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aef650691f64bd4" Type="http://schemas.microsoft.com/office/2006/relationships/ui/extensibility" Target="customUI/customUI.xml"/><Relationship Id="R5e3c9db33b7540f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13_ncr:1_{562F091B-2084-4E88-8E70-0E545240049C}" xr6:coauthVersionLast="47" xr6:coauthVersionMax="47" xr10:uidLastSave="{00000000-0000-0000-0000-000000000000}"/>
  <bookViews>
    <workbookView xWindow="-120" yWindow="-120" windowWidth="29040" windowHeight="15840" tabRatio="906" firstSheet="2" activeTab="23" xr2:uid="{00000000-000D-0000-FFFF-FFFF00000000}"/>
  </bookViews>
  <sheets>
    <sheet name="HinhDang" sheetId="1" state="veryHidden" r:id="rId1"/>
    <sheet name="ThongSo" sheetId="16" state="hidden" r:id="rId2"/>
    <sheet name="TKT" sheetId="2" r:id="rId3"/>
    <sheet name="TH Thep" sheetId="3" r:id="rId4"/>
    <sheet name="SoLieuCatThep" sheetId="4" r:id="rId5"/>
    <sheet name="SLCT" sheetId="23" state="veryHidden" r:id="rId6"/>
    <sheet name="SLThepDu" sheetId="5" r:id="rId7"/>
    <sheet name="10" sheetId="6" state="veryHidden" r:id="rId8"/>
    <sheet name="12" sheetId="7" state="veryHidden" r:id="rId9"/>
    <sheet name="14" sheetId="8" state="veryHidden" r:id="rId10"/>
    <sheet name="16" sheetId="9" state="veryHidden" r:id="rId11"/>
    <sheet name="18" sheetId="10" state="veryHidden" r:id="rId12"/>
    <sheet name="20" sheetId="11" state="veryHidden" r:id="rId13"/>
    <sheet name="22" sheetId="12" state="veryHidden" r:id="rId14"/>
    <sheet name="25" sheetId="13" state="veryHidden" r:id="rId15"/>
    <sheet name="28" sheetId="14" state="veryHidden" r:id="rId16"/>
    <sheet name="32" sheetId="15" r:id="rId17"/>
    <sheet name="36" sheetId="21" state="veryHidden" r:id="rId18"/>
    <sheet name="40" sheetId="22" state="veryHidden" r:id="rId19"/>
    <sheet name="DuSauCat" sheetId="17" state="veryHidden" r:id="rId20"/>
    <sheet name="SoDoCat" sheetId="18" r:id="rId21"/>
    <sheet name="SoDoCatRutGon" sheetId="19" r:id="rId22"/>
    <sheet name="KiemSoatThepDu" sheetId="20" r:id="rId23"/>
    <sheet name="BangTinhHaoHut" sheetId="24" r:id="rId24"/>
    <sheet name="TongHopBao Cao" sheetId="25" state="hidden" r:id="rId25"/>
  </sheets>
  <functionGroups builtInGroupCount="19"/>
  <externalReferences>
    <externalReference r:id="rId26"/>
  </externalReferences>
  <definedNames>
    <definedName name="_xlnm._FilterDatabase" localSheetId="23" hidden="1">BangTinhHaoHut!$G$3:$I$2353</definedName>
    <definedName name="_xlnm._FilterDatabase" localSheetId="6" hidden="1">SLThepDu!$A$1:$D$1</definedName>
    <definedName name="_xlnm._FilterDatabase" localSheetId="2" hidden="1">TKT!$A$1:$Q$2447</definedName>
    <definedName name="BoNoi">ThongSo!$B$4</definedName>
    <definedName name="Noi" localSheetId="21">[1]ThongSo!$B$1</definedName>
    <definedName name="Noi">ThongSo!$B$1</definedName>
    <definedName name="_xlnm.Print_Area" localSheetId="24">'TongHopBao Cao'!$A$1:$K$49</definedName>
    <definedName name="_xlnm.Print_Titles" localSheetId="24">'TongHopBao Cao'!$7:$7</definedName>
    <definedName name="Uon" localSheetId="21">[1]ThongSo!$B$2</definedName>
    <definedName name="Uon">ThongSo!$B$2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24" l="1"/>
  <c r="H6" i="24"/>
  <c r="H7" i="24"/>
  <c r="H8" i="24"/>
  <c r="H9" i="24"/>
  <c r="H10" i="24"/>
  <c r="H11" i="24"/>
  <c r="H12" i="24"/>
  <c r="H13" i="24"/>
  <c r="H14" i="24"/>
  <c r="H15" i="24"/>
  <c r="H16" i="24"/>
  <c r="H17" i="24"/>
  <c r="H18" i="24"/>
  <c r="H19" i="24"/>
  <c r="H20" i="24"/>
  <c r="H21" i="24"/>
  <c r="H22" i="24"/>
  <c r="H23" i="24"/>
  <c r="H24" i="24"/>
  <c r="H25" i="24"/>
  <c r="H26" i="24"/>
  <c r="H27" i="24"/>
  <c r="H28" i="24"/>
  <c r="H29" i="24"/>
  <c r="H30" i="24"/>
  <c r="H31" i="24"/>
  <c r="H32" i="24"/>
  <c r="H33" i="24"/>
  <c r="H34" i="24"/>
  <c r="H35" i="24"/>
  <c r="H36" i="24"/>
  <c r="H37" i="24"/>
  <c r="H38" i="24"/>
  <c r="H39" i="24"/>
  <c r="H40" i="24"/>
  <c r="H41" i="24"/>
  <c r="H42" i="24"/>
  <c r="H43" i="24"/>
  <c r="H44" i="24"/>
  <c r="H45" i="24"/>
  <c r="H46" i="24"/>
  <c r="H47" i="24"/>
  <c r="H48" i="24"/>
  <c r="H49" i="24"/>
  <c r="H50" i="24"/>
  <c r="H51" i="24"/>
  <c r="H52" i="24"/>
  <c r="H53" i="24"/>
  <c r="H54" i="24"/>
  <c r="H55" i="24"/>
  <c r="H56" i="24"/>
  <c r="H57" i="24"/>
  <c r="H58" i="24"/>
  <c r="H59" i="24"/>
  <c r="H60" i="24"/>
  <c r="H61" i="24"/>
  <c r="H62" i="24"/>
  <c r="H63" i="24"/>
  <c r="H64" i="24"/>
  <c r="H65" i="24"/>
  <c r="H66" i="24"/>
  <c r="H67" i="24"/>
  <c r="H68" i="24"/>
  <c r="H69" i="24"/>
  <c r="H70" i="24"/>
  <c r="H71" i="24"/>
  <c r="H72" i="24"/>
  <c r="H73" i="24"/>
  <c r="H74" i="24"/>
  <c r="H75" i="24"/>
  <c r="H76" i="24"/>
  <c r="H77" i="24"/>
  <c r="H78" i="24"/>
  <c r="H79" i="24"/>
  <c r="H80" i="24"/>
  <c r="H81" i="24"/>
  <c r="H82" i="24"/>
  <c r="H83" i="24"/>
  <c r="H84" i="24"/>
  <c r="H85" i="24"/>
  <c r="H86" i="24"/>
  <c r="H87" i="24"/>
  <c r="H88" i="24"/>
  <c r="H89" i="24"/>
  <c r="H90" i="24"/>
  <c r="H91" i="24"/>
  <c r="H92" i="24"/>
  <c r="H93" i="24"/>
  <c r="H94" i="24"/>
  <c r="H95" i="24"/>
  <c r="H96" i="24"/>
  <c r="H97" i="24"/>
  <c r="H98" i="24"/>
  <c r="H99" i="24"/>
  <c r="H100" i="24"/>
  <c r="H101" i="24"/>
  <c r="H102" i="24"/>
  <c r="H103" i="24"/>
  <c r="H104" i="24"/>
  <c r="H105" i="24"/>
  <c r="H106" i="24"/>
  <c r="H107" i="24"/>
  <c r="H108" i="24"/>
  <c r="H109" i="24"/>
  <c r="H110" i="24"/>
  <c r="H111" i="24"/>
  <c r="H112" i="24"/>
  <c r="H113" i="24"/>
  <c r="H114" i="24"/>
  <c r="H115" i="24"/>
  <c r="H116" i="24"/>
  <c r="H117" i="24"/>
  <c r="H118" i="24"/>
  <c r="H119" i="24"/>
  <c r="H120" i="24"/>
  <c r="H121" i="24"/>
  <c r="H122" i="24"/>
  <c r="H123" i="24"/>
  <c r="H124" i="24"/>
  <c r="H125" i="24"/>
  <c r="H126" i="24"/>
  <c r="H127" i="24"/>
  <c r="H128" i="24"/>
  <c r="H129" i="24"/>
  <c r="H130" i="24"/>
  <c r="H131" i="24"/>
  <c r="H132" i="24"/>
  <c r="H133" i="24"/>
  <c r="H134" i="24"/>
  <c r="H135" i="24"/>
  <c r="H136" i="24"/>
  <c r="H137" i="24"/>
  <c r="H138" i="24"/>
  <c r="H139" i="24"/>
  <c r="H140" i="24"/>
  <c r="H141" i="24"/>
  <c r="H142" i="24"/>
  <c r="H143" i="24"/>
  <c r="H144" i="24"/>
  <c r="H145" i="24"/>
  <c r="H146" i="24"/>
  <c r="H147" i="24"/>
  <c r="H148" i="24"/>
  <c r="H149" i="24"/>
  <c r="H150" i="24"/>
  <c r="H151" i="24"/>
  <c r="H152" i="24"/>
  <c r="H153" i="24"/>
  <c r="H154" i="24"/>
  <c r="H155" i="24"/>
  <c r="H156" i="24"/>
  <c r="H157" i="24"/>
  <c r="H158" i="24"/>
  <c r="H159" i="24"/>
  <c r="H160" i="24"/>
  <c r="H161" i="24"/>
  <c r="H162" i="24"/>
  <c r="H163" i="24"/>
  <c r="H164" i="24"/>
  <c r="H165" i="24"/>
  <c r="H166" i="24"/>
  <c r="H167" i="24"/>
  <c r="H168" i="24"/>
  <c r="H169" i="24"/>
  <c r="H170" i="24"/>
  <c r="H171" i="24"/>
  <c r="H172" i="24"/>
  <c r="H173" i="24"/>
  <c r="H174" i="24"/>
  <c r="H175" i="24"/>
  <c r="H176" i="24"/>
  <c r="H177" i="24"/>
  <c r="H178" i="24"/>
  <c r="H179" i="24"/>
  <c r="H180" i="24"/>
  <c r="H181" i="24"/>
  <c r="H182" i="24"/>
  <c r="H183" i="24"/>
  <c r="H184" i="24"/>
  <c r="H185" i="24"/>
  <c r="H186" i="24"/>
  <c r="H187" i="24"/>
  <c r="H188" i="24"/>
  <c r="H189" i="24"/>
  <c r="H190" i="24"/>
  <c r="H191" i="24"/>
  <c r="H192" i="24"/>
  <c r="H193" i="24"/>
  <c r="H194" i="24"/>
  <c r="H195" i="24"/>
  <c r="H196" i="24"/>
  <c r="H197" i="24"/>
  <c r="H198" i="24"/>
  <c r="H199" i="24"/>
  <c r="H200" i="24"/>
  <c r="H201" i="24"/>
  <c r="H202" i="24"/>
  <c r="H203" i="24"/>
  <c r="H204" i="24"/>
  <c r="H205" i="24"/>
  <c r="H206" i="24"/>
  <c r="H207" i="24"/>
  <c r="H208" i="24"/>
  <c r="H209" i="24"/>
  <c r="H210" i="24"/>
  <c r="H211" i="24"/>
  <c r="H212" i="24"/>
  <c r="H213" i="24"/>
  <c r="H214" i="24"/>
  <c r="H215" i="24"/>
  <c r="H216" i="24"/>
  <c r="H217" i="24"/>
  <c r="H218" i="24"/>
  <c r="H219" i="24"/>
  <c r="H220" i="24"/>
  <c r="H221" i="24"/>
  <c r="H222" i="24"/>
  <c r="H223" i="24"/>
  <c r="H224" i="24"/>
  <c r="H225" i="24"/>
  <c r="H226" i="24"/>
  <c r="H227" i="24"/>
  <c r="H228" i="24"/>
  <c r="H229" i="24"/>
  <c r="H230" i="24"/>
  <c r="H231" i="24"/>
  <c r="H232" i="24"/>
  <c r="H233" i="24"/>
  <c r="H234" i="24"/>
  <c r="H235" i="24"/>
  <c r="H236" i="24"/>
  <c r="H237" i="24"/>
  <c r="H238" i="24"/>
  <c r="H239" i="24"/>
  <c r="H240" i="24"/>
  <c r="H241" i="24"/>
  <c r="H242" i="24"/>
  <c r="H243" i="24"/>
  <c r="H244" i="24"/>
  <c r="H245" i="24"/>
  <c r="H246" i="24"/>
  <c r="H247" i="24"/>
  <c r="H248" i="24"/>
  <c r="H249" i="24"/>
  <c r="H250" i="24"/>
  <c r="H251" i="24"/>
  <c r="H252" i="24"/>
  <c r="H253" i="24"/>
  <c r="H254" i="24"/>
  <c r="H255" i="24"/>
  <c r="H256" i="24"/>
  <c r="H257" i="24"/>
  <c r="H258" i="24"/>
  <c r="H259" i="24"/>
  <c r="H260" i="24"/>
  <c r="H261" i="24"/>
  <c r="H262" i="24"/>
  <c r="H263" i="24"/>
  <c r="H264" i="24"/>
  <c r="H265" i="24"/>
  <c r="H266" i="24"/>
  <c r="H267" i="24"/>
  <c r="H268" i="24"/>
  <c r="H269" i="24"/>
  <c r="H270" i="24"/>
  <c r="H271" i="24"/>
  <c r="H272" i="24"/>
  <c r="H273" i="24"/>
  <c r="H274" i="24"/>
  <c r="H275" i="24"/>
  <c r="H276" i="24"/>
  <c r="H277" i="24"/>
  <c r="H278" i="24"/>
  <c r="H279" i="24"/>
  <c r="H280" i="24"/>
  <c r="H281" i="24"/>
  <c r="H282" i="24"/>
  <c r="H283" i="24"/>
  <c r="H284" i="24"/>
  <c r="H285" i="24"/>
  <c r="H286" i="24"/>
  <c r="H287" i="24"/>
  <c r="H288" i="24"/>
  <c r="H289" i="24"/>
  <c r="H290" i="24"/>
  <c r="H291" i="24"/>
  <c r="H292" i="24"/>
  <c r="H293" i="24"/>
  <c r="H294" i="24"/>
  <c r="H295" i="24"/>
  <c r="H296" i="24"/>
  <c r="H297" i="24"/>
  <c r="H298" i="24"/>
  <c r="H299" i="24"/>
  <c r="H300" i="24"/>
  <c r="H301" i="24"/>
  <c r="H302" i="24"/>
  <c r="H303" i="24"/>
  <c r="H304" i="24"/>
  <c r="H305" i="24"/>
  <c r="H306" i="24"/>
  <c r="H307" i="24"/>
  <c r="H308" i="24"/>
  <c r="H309" i="24"/>
  <c r="H310" i="24"/>
  <c r="H311" i="24"/>
  <c r="H312" i="24"/>
  <c r="H313" i="24"/>
  <c r="H314" i="24"/>
  <c r="H315" i="24"/>
  <c r="H316" i="24"/>
  <c r="H317" i="24"/>
  <c r="H318" i="24"/>
  <c r="H319" i="24"/>
  <c r="H320" i="24"/>
  <c r="H321" i="24"/>
  <c r="H322" i="24"/>
  <c r="H323" i="24"/>
  <c r="H324" i="24"/>
  <c r="H325" i="24"/>
  <c r="H326" i="24"/>
  <c r="H327" i="24"/>
  <c r="H328" i="24"/>
  <c r="H329" i="24"/>
  <c r="H330" i="24"/>
  <c r="H331" i="24"/>
  <c r="H332" i="24"/>
  <c r="H333" i="24"/>
  <c r="H334" i="24"/>
  <c r="H335" i="24"/>
  <c r="H336" i="24"/>
  <c r="H337" i="24"/>
  <c r="H338" i="24"/>
  <c r="H339" i="24"/>
  <c r="H340" i="24"/>
  <c r="H341" i="24"/>
  <c r="H342" i="24"/>
  <c r="H343" i="24"/>
  <c r="H344" i="24"/>
  <c r="H345" i="24"/>
  <c r="H346" i="24"/>
  <c r="H347" i="24"/>
  <c r="H348" i="24"/>
  <c r="H349" i="24"/>
  <c r="H350" i="24"/>
  <c r="H351" i="24"/>
  <c r="H352" i="24"/>
  <c r="H353" i="24"/>
  <c r="H354" i="24"/>
  <c r="H355" i="24"/>
  <c r="H356" i="24"/>
  <c r="H357" i="24"/>
  <c r="H358" i="24"/>
  <c r="H359" i="24"/>
  <c r="H360" i="24"/>
  <c r="H361" i="24"/>
  <c r="H362" i="24"/>
  <c r="H363" i="24"/>
  <c r="H364" i="24"/>
  <c r="H365" i="24"/>
  <c r="H366" i="24"/>
  <c r="H367" i="24"/>
  <c r="H368" i="24"/>
  <c r="H369" i="24"/>
  <c r="H370" i="24"/>
  <c r="H371" i="24"/>
  <c r="H372" i="24"/>
  <c r="H373" i="24"/>
  <c r="H374" i="24"/>
  <c r="H375" i="24"/>
  <c r="H376" i="24"/>
  <c r="H377" i="24"/>
  <c r="H378" i="24"/>
  <c r="H379" i="24"/>
  <c r="H380" i="24"/>
  <c r="H381" i="24"/>
  <c r="H382" i="24"/>
  <c r="H383" i="24"/>
  <c r="H384" i="24"/>
  <c r="H385" i="24"/>
  <c r="H386" i="24"/>
  <c r="H387" i="24"/>
  <c r="H388" i="24"/>
  <c r="H389" i="24"/>
  <c r="H390" i="24"/>
  <c r="H391" i="24"/>
  <c r="H392" i="24"/>
  <c r="H393" i="24"/>
  <c r="H394" i="24"/>
  <c r="H395" i="24"/>
  <c r="H396" i="24"/>
  <c r="H397" i="24"/>
  <c r="H398" i="24"/>
  <c r="H399" i="24"/>
  <c r="H400" i="24"/>
  <c r="H401" i="24"/>
  <c r="H402" i="24"/>
  <c r="H403" i="24"/>
  <c r="H404" i="24"/>
  <c r="H405" i="24"/>
  <c r="H406" i="24"/>
  <c r="H407" i="24"/>
  <c r="H408" i="24"/>
  <c r="H409" i="24"/>
  <c r="H410" i="24"/>
  <c r="H411" i="24"/>
  <c r="H412" i="24"/>
  <c r="H413" i="24"/>
  <c r="H414" i="24"/>
  <c r="H415" i="24"/>
  <c r="H416" i="24"/>
  <c r="H417" i="24"/>
  <c r="H418" i="24"/>
  <c r="H419" i="24"/>
  <c r="H420" i="24"/>
  <c r="H421" i="24"/>
  <c r="H422" i="24"/>
  <c r="H423" i="24"/>
  <c r="H424" i="24"/>
  <c r="H425" i="24"/>
  <c r="H426" i="24"/>
  <c r="H427" i="24"/>
  <c r="H428" i="24"/>
  <c r="H429" i="24"/>
  <c r="H430" i="24"/>
  <c r="H431" i="24"/>
  <c r="H432" i="24"/>
  <c r="H433" i="24"/>
  <c r="H434" i="24"/>
  <c r="H435" i="24"/>
  <c r="H436" i="24"/>
  <c r="H437" i="24"/>
  <c r="H438" i="24"/>
  <c r="H439" i="24"/>
  <c r="H440" i="24"/>
  <c r="H441" i="24"/>
  <c r="H442" i="24"/>
  <c r="H443" i="24"/>
  <c r="H444" i="24"/>
  <c r="H445" i="24"/>
  <c r="H446" i="24"/>
  <c r="H447" i="24"/>
  <c r="H448" i="24"/>
  <c r="H449" i="24"/>
  <c r="H450" i="24"/>
  <c r="H451" i="24"/>
  <c r="H452" i="24"/>
  <c r="H453" i="24"/>
  <c r="H454" i="24"/>
  <c r="H455" i="24"/>
  <c r="H456" i="24"/>
  <c r="H457" i="24"/>
  <c r="H458" i="24"/>
  <c r="H459" i="24"/>
  <c r="H460" i="24"/>
  <c r="H461" i="24"/>
  <c r="H462" i="24"/>
  <c r="H463" i="24"/>
  <c r="H464" i="24"/>
  <c r="H465" i="24"/>
  <c r="H466" i="24"/>
  <c r="H467" i="24"/>
  <c r="H468" i="24"/>
  <c r="H469" i="24"/>
  <c r="H470" i="24"/>
  <c r="H471" i="24"/>
  <c r="H472" i="24"/>
  <c r="H473" i="24"/>
  <c r="H474" i="24"/>
  <c r="H475" i="24"/>
  <c r="H476" i="24"/>
  <c r="H477" i="24"/>
  <c r="H478" i="24"/>
  <c r="H479" i="24"/>
  <c r="H480" i="24"/>
  <c r="H481" i="24"/>
  <c r="H482" i="24"/>
  <c r="H483" i="24"/>
  <c r="H484" i="24"/>
  <c r="H485" i="24"/>
  <c r="H486" i="24"/>
  <c r="H487" i="24"/>
  <c r="H488" i="24"/>
  <c r="H489" i="24"/>
  <c r="H490" i="24"/>
  <c r="H491" i="24"/>
  <c r="H492" i="24"/>
  <c r="H493" i="24"/>
  <c r="H494" i="24"/>
  <c r="H495" i="24"/>
  <c r="H496" i="24"/>
  <c r="H497" i="24"/>
  <c r="H498" i="24"/>
  <c r="H499" i="24"/>
  <c r="H500" i="24"/>
  <c r="H501" i="24"/>
  <c r="H502" i="24"/>
  <c r="H503" i="24"/>
  <c r="H504" i="24"/>
  <c r="H505" i="24"/>
  <c r="H506" i="24"/>
  <c r="H507" i="24"/>
  <c r="H508" i="24"/>
  <c r="H509" i="24"/>
  <c r="H510" i="24"/>
  <c r="H511" i="24"/>
  <c r="H512" i="24"/>
  <c r="H513" i="24"/>
  <c r="H514" i="24"/>
  <c r="H515" i="24"/>
  <c r="H516" i="24"/>
  <c r="H517" i="24"/>
  <c r="H518" i="24"/>
  <c r="H519" i="24"/>
  <c r="H520" i="24"/>
  <c r="H521" i="24"/>
  <c r="H522" i="24"/>
  <c r="H523" i="24"/>
  <c r="H524" i="24"/>
  <c r="H525" i="24"/>
  <c r="H526" i="24"/>
  <c r="H527" i="24"/>
  <c r="H528" i="24"/>
  <c r="H529" i="24"/>
  <c r="H530" i="24"/>
  <c r="H531" i="24"/>
  <c r="H532" i="24"/>
  <c r="H533" i="24"/>
  <c r="H534" i="24"/>
  <c r="H535" i="24"/>
  <c r="H536" i="24"/>
  <c r="H537" i="24"/>
  <c r="H538" i="24"/>
  <c r="H539" i="24"/>
  <c r="H540" i="24"/>
  <c r="H541" i="24"/>
  <c r="H542" i="24"/>
  <c r="H543" i="24"/>
  <c r="H544" i="24"/>
  <c r="H545" i="24"/>
  <c r="H546" i="24"/>
  <c r="H547" i="24"/>
  <c r="H548" i="24"/>
  <c r="H549" i="24"/>
  <c r="H550" i="24"/>
  <c r="H551" i="24"/>
  <c r="H552" i="24"/>
  <c r="H553" i="24"/>
  <c r="H554" i="24"/>
  <c r="H555" i="24"/>
  <c r="H556" i="24"/>
  <c r="H557" i="24"/>
  <c r="H558" i="24"/>
  <c r="H559" i="24"/>
  <c r="H560" i="24"/>
  <c r="H561" i="24"/>
  <c r="H562" i="24"/>
  <c r="H563" i="24"/>
  <c r="H564" i="24"/>
  <c r="H565" i="24"/>
  <c r="H566" i="24"/>
  <c r="H567" i="24"/>
  <c r="H568" i="24"/>
  <c r="H569" i="24"/>
  <c r="H570" i="24"/>
  <c r="H571" i="24"/>
  <c r="H572" i="24"/>
  <c r="H573" i="24"/>
  <c r="H574" i="24"/>
  <c r="H575" i="24"/>
  <c r="H576" i="24"/>
  <c r="H577" i="24"/>
  <c r="H578" i="24"/>
  <c r="H579" i="24"/>
  <c r="H580" i="24"/>
  <c r="H581" i="24"/>
  <c r="H582" i="24"/>
  <c r="H583" i="24"/>
  <c r="H584" i="24"/>
  <c r="H585" i="24"/>
  <c r="H586" i="24"/>
  <c r="H587" i="24"/>
  <c r="H588" i="24"/>
  <c r="H589" i="24"/>
  <c r="H590" i="24"/>
  <c r="H591" i="24"/>
  <c r="H592" i="24"/>
  <c r="H593" i="24"/>
  <c r="H594" i="24"/>
  <c r="H595" i="24"/>
  <c r="H596" i="24"/>
  <c r="H597" i="24"/>
  <c r="H598" i="24"/>
  <c r="H599" i="24"/>
  <c r="H600" i="24"/>
  <c r="H601" i="24"/>
  <c r="H602" i="24"/>
  <c r="H603" i="24"/>
  <c r="H604" i="24"/>
  <c r="H605" i="24"/>
  <c r="H606" i="24"/>
  <c r="H607" i="24"/>
  <c r="H608" i="24"/>
  <c r="H609" i="24"/>
  <c r="H610" i="24"/>
  <c r="H611" i="24"/>
  <c r="H612" i="24"/>
  <c r="H613" i="24"/>
  <c r="H614" i="24"/>
  <c r="H615" i="24"/>
  <c r="H616" i="24"/>
  <c r="H617" i="24"/>
  <c r="H618" i="24"/>
  <c r="H619" i="24"/>
  <c r="H620" i="24"/>
  <c r="H621" i="24"/>
  <c r="H622" i="24"/>
  <c r="H623" i="24"/>
  <c r="H624" i="24"/>
  <c r="H625" i="24"/>
  <c r="H626" i="24"/>
  <c r="H627" i="24"/>
  <c r="H628" i="24"/>
  <c r="H629" i="24"/>
  <c r="H630" i="24"/>
  <c r="H631" i="24"/>
  <c r="H632" i="24"/>
  <c r="H633" i="24"/>
  <c r="H634" i="24"/>
  <c r="H635" i="24"/>
  <c r="H636" i="24"/>
  <c r="H637" i="24"/>
  <c r="H638" i="24"/>
  <c r="H639" i="24"/>
  <c r="H640" i="24"/>
  <c r="H641" i="24"/>
  <c r="H642" i="24"/>
  <c r="H643" i="24"/>
  <c r="H644" i="24"/>
  <c r="H645" i="24"/>
  <c r="H646" i="24"/>
  <c r="H647" i="24"/>
  <c r="H648" i="24"/>
  <c r="H649" i="24"/>
  <c r="H650" i="24"/>
  <c r="H651" i="24"/>
  <c r="H652" i="24"/>
  <c r="H653" i="24"/>
  <c r="H654" i="24"/>
  <c r="H655" i="24"/>
  <c r="H656" i="24"/>
  <c r="H657" i="24"/>
  <c r="H658" i="24"/>
  <c r="H659" i="24"/>
  <c r="H660" i="24"/>
  <c r="H661" i="24"/>
  <c r="H662" i="24"/>
  <c r="H663" i="24"/>
  <c r="H664" i="24"/>
  <c r="H665" i="24"/>
  <c r="H666" i="24"/>
  <c r="H667" i="24"/>
  <c r="H668" i="24"/>
  <c r="H669" i="24"/>
  <c r="H670" i="24"/>
  <c r="H671" i="24"/>
  <c r="H672" i="24"/>
  <c r="H673" i="24"/>
  <c r="H674" i="24"/>
  <c r="H675" i="24"/>
  <c r="H676" i="24"/>
  <c r="H677" i="24"/>
  <c r="H678" i="24"/>
  <c r="H679" i="24"/>
  <c r="H680" i="24"/>
  <c r="H681" i="24"/>
  <c r="H682" i="24"/>
  <c r="H683" i="24"/>
  <c r="H684" i="24"/>
  <c r="H685" i="24"/>
  <c r="H686" i="24"/>
  <c r="H687" i="24"/>
  <c r="H688" i="24"/>
  <c r="H689" i="24"/>
  <c r="H690" i="24"/>
  <c r="H691" i="24"/>
  <c r="H692" i="24"/>
  <c r="H693" i="24"/>
  <c r="H694" i="24"/>
  <c r="H695" i="24"/>
  <c r="H696" i="24"/>
  <c r="H697" i="24"/>
  <c r="H698" i="24"/>
  <c r="H699" i="24"/>
  <c r="H700" i="24"/>
  <c r="H701" i="24"/>
  <c r="H702" i="24"/>
  <c r="H703" i="24"/>
  <c r="H704" i="24"/>
  <c r="H705" i="24"/>
  <c r="H706" i="24"/>
  <c r="H707" i="24"/>
  <c r="H708" i="24"/>
  <c r="H709" i="24"/>
  <c r="H710" i="24"/>
  <c r="H711" i="24"/>
  <c r="H712" i="24"/>
  <c r="H713" i="24"/>
  <c r="H714" i="24"/>
  <c r="H715" i="24"/>
  <c r="H716" i="24"/>
  <c r="H717" i="24"/>
  <c r="H718" i="24"/>
  <c r="H719" i="24"/>
  <c r="H720" i="24"/>
  <c r="H721" i="24"/>
  <c r="H722" i="24"/>
  <c r="H723" i="24"/>
  <c r="H724" i="24"/>
  <c r="H725" i="24"/>
  <c r="H726" i="24"/>
  <c r="H727" i="24"/>
  <c r="H728" i="24"/>
  <c r="H729" i="24"/>
  <c r="H730" i="24"/>
  <c r="H731" i="24"/>
  <c r="H732" i="24"/>
  <c r="H733" i="24"/>
  <c r="H734" i="24"/>
  <c r="H735" i="24"/>
  <c r="H736" i="24"/>
  <c r="H737" i="24"/>
  <c r="H738" i="24"/>
  <c r="H739" i="24"/>
  <c r="H740" i="24"/>
  <c r="H741" i="24"/>
  <c r="H742" i="24"/>
  <c r="H743" i="24"/>
  <c r="H744" i="24"/>
  <c r="H745" i="24"/>
  <c r="H746" i="24"/>
  <c r="H747" i="24"/>
  <c r="H748" i="24"/>
  <c r="H749" i="24"/>
  <c r="H750" i="24"/>
  <c r="H751" i="24"/>
  <c r="H752" i="24"/>
  <c r="H753" i="24"/>
  <c r="H754" i="24"/>
  <c r="H755" i="24"/>
  <c r="H756" i="24"/>
  <c r="H757" i="24"/>
  <c r="H758" i="24"/>
  <c r="H759" i="24"/>
  <c r="H760" i="24"/>
  <c r="H761" i="24"/>
  <c r="H762" i="24"/>
  <c r="H763" i="24"/>
  <c r="H764" i="24"/>
  <c r="H765" i="24"/>
  <c r="H766" i="24"/>
  <c r="H767" i="24"/>
  <c r="H768" i="24"/>
  <c r="H769" i="24"/>
  <c r="H770" i="24"/>
  <c r="H771" i="24"/>
  <c r="H772" i="24"/>
  <c r="H773" i="24"/>
  <c r="H774" i="24"/>
  <c r="H775" i="24"/>
  <c r="H776" i="24"/>
  <c r="H777" i="24"/>
  <c r="H778" i="24"/>
  <c r="H779" i="24"/>
  <c r="H780" i="24"/>
  <c r="H781" i="24"/>
  <c r="H782" i="24"/>
  <c r="H783" i="24"/>
  <c r="H784" i="24"/>
  <c r="H785" i="24"/>
  <c r="H786" i="24"/>
  <c r="H787" i="24"/>
  <c r="H788" i="24"/>
  <c r="H789" i="24"/>
  <c r="H790" i="24"/>
  <c r="H791" i="24"/>
  <c r="H792" i="24"/>
  <c r="H793" i="24"/>
  <c r="H794" i="24"/>
  <c r="H795" i="24"/>
  <c r="H796" i="24"/>
  <c r="H797" i="24"/>
  <c r="H798" i="24"/>
  <c r="H799" i="24"/>
  <c r="H800" i="24"/>
  <c r="H801" i="24"/>
  <c r="H802" i="24"/>
  <c r="H803" i="24"/>
  <c r="H804" i="24"/>
  <c r="H805" i="24"/>
  <c r="H806" i="24"/>
  <c r="H807" i="24"/>
  <c r="H808" i="24"/>
  <c r="H809" i="24"/>
  <c r="H810" i="24"/>
  <c r="H811" i="24"/>
  <c r="H812" i="24"/>
  <c r="H813" i="24"/>
  <c r="H814" i="24"/>
  <c r="H815" i="24"/>
  <c r="H816" i="24"/>
  <c r="H817" i="24"/>
  <c r="H818" i="24"/>
  <c r="H819" i="24"/>
  <c r="H820" i="24"/>
  <c r="H821" i="24"/>
  <c r="H822" i="24"/>
  <c r="H823" i="24"/>
  <c r="H824" i="24"/>
  <c r="H825" i="24"/>
  <c r="H826" i="24"/>
  <c r="H827" i="24"/>
  <c r="H828" i="24"/>
  <c r="H829" i="24"/>
  <c r="H830" i="24"/>
  <c r="H831" i="24"/>
  <c r="H832" i="24"/>
  <c r="H833" i="24"/>
  <c r="H834" i="24"/>
  <c r="H835" i="24"/>
  <c r="H836" i="24"/>
  <c r="H837" i="24"/>
  <c r="H838" i="24"/>
  <c r="H839" i="24"/>
  <c r="H840" i="24"/>
  <c r="H841" i="24"/>
  <c r="H842" i="24"/>
  <c r="H843" i="24"/>
  <c r="H844" i="24"/>
  <c r="H845" i="24"/>
  <c r="H846" i="24"/>
  <c r="H847" i="24"/>
  <c r="H848" i="24"/>
  <c r="H849" i="24"/>
  <c r="H850" i="24"/>
  <c r="H851" i="24"/>
  <c r="H852" i="24"/>
  <c r="H853" i="24"/>
  <c r="H854" i="24"/>
  <c r="H855" i="24"/>
  <c r="H856" i="24"/>
  <c r="H857" i="24"/>
  <c r="H858" i="24"/>
  <c r="H859" i="24"/>
  <c r="H860" i="24"/>
  <c r="H861" i="24"/>
  <c r="H862" i="24"/>
  <c r="H863" i="24"/>
  <c r="H864" i="24"/>
  <c r="H865" i="24"/>
  <c r="H866" i="24"/>
  <c r="H867" i="24"/>
  <c r="H868" i="24"/>
  <c r="H869" i="24"/>
  <c r="H870" i="24"/>
  <c r="H871" i="24"/>
  <c r="H872" i="24"/>
  <c r="H873" i="24"/>
  <c r="H874" i="24"/>
  <c r="H875" i="24"/>
  <c r="H876" i="24"/>
  <c r="H877" i="24"/>
  <c r="H878" i="24"/>
  <c r="H879" i="24"/>
  <c r="H880" i="24"/>
  <c r="H881" i="24"/>
  <c r="H882" i="24"/>
  <c r="H883" i="24"/>
  <c r="H884" i="24"/>
  <c r="H885" i="24"/>
  <c r="H886" i="24"/>
  <c r="H887" i="24"/>
  <c r="H888" i="24"/>
  <c r="H889" i="24"/>
  <c r="H890" i="24"/>
  <c r="H891" i="24"/>
  <c r="H892" i="24"/>
  <c r="H893" i="24"/>
  <c r="H894" i="24"/>
  <c r="H895" i="24"/>
  <c r="H896" i="24"/>
  <c r="H897" i="24"/>
  <c r="H898" i="24"/>
  <c r="H899" i="24"/>
  <c r="H900" i="24"/>
  <c r="H901" i="24"/>
  <c r="H902" i="24"/>
  <c r="H903" i="24"/>
  <c r="H904" i="24"/>
  <c r="H905" i="24"/>
  <c r="H906" i="24"/>
  <c r="H907" i="24"/>
  <c r="H908" i="24"/>
  <c r="H909" i="24"/>
  <c r="H910" i="24"/>
  <c r="H911" i="24"/>
  <c r="H912" i="24"/>
  <c r="H913" i="24"/>
  <c r="H914" i="24"/>
  <c r="H915" i="24"/>
  <c r="H916" i="24"/>
  <c r="H917" i="24"/>
  <c r="H918" i="24"/>
  <c r="H919" i="24"/>
  <c r="H920" i="24"/>
  <c r="H921" i="24"/>
  <c r="H922" i="24"/>
  <c r="H923" i="24"/>
  <c r="H924" i="24"/>
  <c r="H925" i="24"/>
  <c r="H926" i="24"/>
  <c r="H927" i="24"/>
  <c r="H928" i="24"/>
  <c r="H929" i="24"/>
  <c r="H930" i="24"/>
  <c r="H931" i="24"/>
  <c r="H932" i="24"/>
  <c r="H933" i="24"/>
  <c r="H934" i="24"/>
  <c r="H935" i="24"/>
  <c r="H936" i="24"/>
  <c r="H937" i="24"/>
  <c r="H938" i="24"/>
  <c r="H939" i="24"/>
  <c r="H940" i="24"/>
  <c r="H941" i="24"/>
  <c r="H942" i="24"/>
  <c r="H943" i="24"/>
  <c r="H944" i="24"/>
  <c r="H945" i="24"/>
  <c r="H946" i="24"/>
  <c r="H947" i="24"/>
  <c r="H948" i="24"/>
  <c r="H949" i="24"/>
  <c r="H950" i="24"/>
  <c r="H951" i="24"/>
  <c r="H952" i="24"/>
  <c r="H953" i="24"/>
  <c r="H954" i="24"/>
  <c r="H955" i="24"/>
  <c r="H956" i="24"/>
  <c r="H957" i="24"/>
  <c r="H958" i="24"/>
  <c r="H959" i="24"/>
  <c r="H960" i="24"/>
  <c r="H961" i="24"/>
  <c r="H962" i="24"/>
  <c r="H963" i="24"/>
  <c r="H964" i="24"/>
  <c r="H965" i="24"/>
  <c r="H966" i="24"/>
  <c r="H967" i="24"/>
  <c r="H968" i="24"/>
  <c r="H969" i="24"/>
  <c r="H970" i="24"/>
  <c r="H971" i="24"/>
  <c r="H972" i="24"/>
  <c r="H973" i="24"/>
  <c r="H974" i="24"/>
  <c r="H975" i="24"/>
  <c r="H976" i="24"/>
  <c r="H977" i="24"/>
  <c r="H978" i="24"/>
  <c r="H979" i="24"/>
  <c r="H980" i="24"/>
  <c r="H981" i="24"/>
  <c r="H982" i="24"/>
  <c r="H983" i="24"/>
  <c r="H984" i="24"/>
  <c r="H985" i="24"/>
  <c r="H986" i="24"/>
  <c r="H987" i="24"/>
  <c r="H988" i="24"/>
  <c r="H989" i="24"/>
  <c r="H990" i="24"/>
  <c r="H991" i="24"/>
  <c r="H992" i="24"/>
  <c r="H993" i="24"/>
  <c r="H994" i="24"/>
  <c r="H995" i="24"/>
  <c r="H996" i="24"/>
  <c r="H997" i="24"/>
  <c r="H998" i="24"/>
  <c r="H999" i="24"/>
  <c r="H1000" i="24"/>
  <c r="H1001" i="24"/>
  <c r="H1002" i="24"/>
  <c r="H1003" i="24"/>
  <c r="H1004" i="24"/>
  <c r="H1005" i="24"/>
  <c r="H1006" i="24"/>
  <c r="H1007" i="24"/>
  <c r="H1008" i="24"/>
  <c r="H1009" i="24"/>
  <c r="H1010" i="24"/>
  <c r="H1011" i="24"/>
  <c r="H1012" i="24"/>
  <c r="H1013" i="24"/>
  <c r="H1014" i="24"/>
  <c r="H1015" i="24"/>
  <c r="H1016" i="24"/>
  <c r="H1017" i="24"/>
  <c r="H1018" i="24"/>
  <c r="H1019" i="24"/>
  <c r="H1020" i="24"/>
  <c r="H1021" i="24"/>
  <c r="H1022" i="24"/>
  <c r="H1023" i="24"/>
  <c r="H1024" i="24"/>
  <c r="H1025" i="24"/>
  <c r="H1026" i="24"/>
  <c r="H1027" i="24"/>
  <c r="H1028" i="24"/>
  <c r="H1029" i="24"/>
  <c r="H1030" i="24"/>
  <c r="H1031" i="24"/>
  <c r="H1032" i="24"/>
  <c r="H1033" i="24"/>
  <c r="H1034" i="24"/>
  <c r="H1035" i="24"/>
  <c r="H1036" i="24"/>
  <c r="H1037" i="24"/>
  <c r="H1038" i="24"/>
  <c r="H1039" i="24"/>
  <c r="H1040" i="24"/>
  <c r="H1041" i="24"/>
  <c r="H1042" i="24"/>
  <c r="H1043" i="24"/>
  <c r="H1044" i="24"/>
  <c r="H1045" i="24"/>
  <c r="H1046" i="24"/>
  <c r="H1047" i="24"/>
  <c r="H1048" i="24"/>
  <c r="H1049" i="24"/>
  <c r="H1050" i="24"/>
  <c r="H1051" i="24"/>
  <c r="H1052" i="24"/>
  <c r="H1053" i="24"/>
  <c r="H1054" i="24"/>
  <c r="H1055" i="24"/>
  <c r="H1056" i="24"/>
  <c r="H1057" i="24"/>
  <c r="H1058" i="24"/>
  <c r="H1059" i="24"/>
  <c r="H1060" i="24"/>
  <c r="H1061" i="24"/>
  <c r="H1062" i="24"/>
  <c r="H1063" i="24"/>
  <c r="H1064" i="24"/>
  <c r="H1065" i="24"/>
  <c r="H1066" i="24"/>
  <c r="H1067" i="24"/>
  <c r="H1068" i="24"/>
  <c r="H1069" i="24"/>
  <c r="H1070" i="24"/>
  <c r="H1071" i="24"/>
  <c r="H1072" i="24"/>
  <c r="H1073" i="24"/>
  <c r="H1074" i="24"/>
  <c r="H1075" i="24"/>
  <c r="H1076" i="24"/>
  <c r="H1077" i="24"/>
  <c r="H1078" i="24"/>
  <c r="H1079" i="24"/>
  <c r="H1080" i="24"/>
  <c r="H1081" i="24"/>
  <c r="H1082" i="24"/>
  <c r="H1083" i="24"/>
  <c r="H1084" i="24"/>
  <c r="H1085" i="24"/>
  <c r="H1086" i="24"/>
  <c r="H1087" i="24"/>
  <c r="H1088" i="24"/>
  <c r="H1089" i="24"/>
  <c r="H1090" i="24"/>
  <c r="H1091" i="24"/>
  <c r="H1092" i="24"/>
  <c r="H1093" i="24"/>
  <c r="H1094" i="24"/>
  <c r="H1095" i="24"/>
  <c r="H1096" i="24"/>
  <c r="H1097" i="24"/>
  <c r="H1098" i="24"/>
  <c r="H1099" i="24"/>
  <c r="H1100" i="24"/>
  <c r="H1101" i="24"/>
  <c r="H1102" i="24"/>
  <c r="H1103" i="24"/>
  <c r="H1104" i="24"/>
  <c r="H1105" i="24"/>
  <c r="H1106" i="24"/>
  <c r="H1107" i="24"/>
  <c r="H1108" i="24"/>
  <c r="H1109" i="24"/>
  <c r="H1110" i="24"/>
  <c r="H1111" i="24"/>
  <c r="H1112" i="24"/>
  <c r="H1113" i="24"/>
  <c r="H1114" i="24"/>
  <c r="H1115" i="24"/>
  <c r="H1116" i="24"/>
  <c r="H1117" i="24"/>
  <c r="H1118" i="24"/>
  <c r="H1119" i="24"/>
  <c r="H1120" i="24"/>
  <c r="H1121" i="24"/>
  <c r="H1122" i="24"/>
  <c r="H1123" i="24"/>
  <c r="H1124" i="24"/>
  <c r="H1125" i="24"/>
  <c r="H1126" i="24"/>
  <c r="H1127" i="24"/>
  <c r="H1128" i="24"/>
  <c r="H1129" i="24"/>
  <c r="H1130" i="24"/>
  <c r="H1131" i="24"/>
  <c r="H1132" i="24"/>
  <c r="H1133" i="24"/>
  <c r="H1134" i="24"/>
  <c r="H1135" i="24"/>
  <c r="H1136" i="24"/>
  <c r="H1137" i="24"/>
  <c r="H1138" i="24"/>
  <c r="H1139" i="24"/>
  <c r="H1140" i="24"/>
  <c r="H1141" i="24"/>
  <c r="H1142" i="24"/>
  <c r="H1143" i="24"/>
  <c r="H1144" i="24"/>
  <c r="H1145" i="24"/>
  <c r="H1146" i="24"/>
  <c r="H1147" i="24"/>
  <c r="H1148" i="24"/>
  <c r="H1149" i="24"/>
  <c r="H1150" i="24"/>
  <c r="H1151" i="24"/>
  <c r="H1152" i="24"/>
  <c r="H1153" i="24"/>
  <c r="H1154" i="24"/>
  <c r="H1155" i="24"/>
  <c r="H1156" i="24"/>
  <c r="H1157" i="24"/>
  <c r="H1158" i="24"/>
  <c r="H1159" i="24"/>
  <c r="H1160" i="24"/>
  <c r="H1161" i="24"/>
  <c r="H1162" i="24"/>
  <c r="H1163" i="24"/>
  <c r="H1164" i="24"/>
  <c r="H1165" i="24"/>
  <c r="H1166" i="24"/>
  <c r="H1167" i="24"/>
  <c r="H1168" i="24"/>
  <c r="H1169" i="24"/>
  <c r="H1170" i="24"/>
  <c r="H1171" i="24"/>
  <c r="H1172" i="24"/>
  <c r="H1173" i="24"/>
  <c r="H1174" i="24"/>
  <c r="H1175" i="24"/>
  <c r="H1176" i="24"/>
  <c r="H1177" i="24"/>
  <c r="H1178" i="24"/>
  <c r="H1179" i="24"/>
  <c r="H1180" i="24"/>
  <c r="H1181" i="24"/>
  <c r="H1182" i="24"/>
  <c r="H1183" i="24"/>
  <c r="H1184" i="24"/>
  <c r="H1185" i="24"/>
  <c r="H1186" i="24"/>
  <c r="H1187" i="24"/>
  <c r="H1188" i="24"/>
  <c r="H1189" i="24"/>
  <c r="H1190" i="24"/>
  <c r="H1191" i="24"/>
  <c r="H1192" i="24"/>
  <c r="H1193" i="24"/>
  <c r="H1194" i="24"/>
  <c r="H1195" i="24"/>
  <c r="H1196" i="24"/>
  <c r="H1197" i="24"/>
  <c r="H1198" i="24"/>
  <c r="H1199" i="24"/>
  <c r="H1200" i="24"/>
  <c r="H1201" i="24"/>
  <c r="H1202" i="24"/>
  <c r="H1203" i="24"/>
  <c r="H1204" i="24"/>
  <c r="H1205" i="24"/>
  <c r="H1206" i="24"/>
  <c r="H1207" i="24"/>
  <c r="H1208" i="24"/>
  <c r="H1209" i="24"/>
  <c r="H1210" i="24"/>
  <c r="H1211" i="24"/>
  <c r="H1212" i="24"/>
  <c r="H1213" i="24"/>
  <c r="H1214" i="24"/>
  <c r="H1215" i="24"/>
  <c r="H1216" i="24"/>
  <c r="H1217" i="24"/>
  <c r="H1218" i="24"/>
  <c r="H1219" i="24"/>
  <c r="H1220" i="24"/>
  <c r="H1221" i="24"/>
  <c r="H1222" i="24"/>
  <c r="H1223" i="24"/>
  <c r="H1224" i="24"/>
  <c r="H1225" i="24"/>
  <c r="H1226" i="24"/>
  <c r="H1227" i="24"/>
  <c r="H1228" i="24"/>
  <c r="H1229" i="24"/>
  <c r="H1230" i="24"/>
  <c r="H1231" i="24"/>
  <c r="H1232" i="24"/>
  <c r="H1233" i="24"/>
  <c r="H1234" i="24"/>
  <c r="H1235" i="24"/>
  <c r="H1236" i="24"/>
  <c r="H1237" i="24"/>
  <c r="H1238" i="24"/>
  <c r="H1239" i="24"/>
  <c r="H1240" i="24"/>
  <c r="H1241" i="24"/>
  <c r="H1242" i="24"/>
  <c r="H1243" i="24"/>
  <c r="H1244" i="24"/>
  <c r="H1245" i="24"/>
  <c r="H1246" i="24"/>
  <c r="H1247" i="24"/>
  <c r="H1248" i="24"/>
  <c r="H1249" i="24"/>
  <c r="H1250" i="24"/>
  <c r="H1251" i="24"/>
  <c r="H1252" i="24"/>
  <c r="H1253" i="24"/>
  <c r="H1254" i="24"/>
  <c r="H1255" i="24"/>
  <c r="H1256" i="24"/>
  <c r="H1257" i="24"/>
  <c r="H1258" i="24"/>
  <c r="H1259" i="24"/>
  <c r="H1260" i="24"/>
  <c r="H1261" i="24"/>
  <c r="H1262" i="24"/>
  <c r="H1263" i="24"/>
  <c r="H1264" i="24"/>
  <c r="H1265" i="24"/>
  <c r="H1266" i="24"/>
  <c r="H1267" i="24"/>
  <c r="H1268" i="24"/>
  <c r="H1269" i="24"/>
  <c r="H1270" i="24"/>
  <c r="H1271" i="24"/>
  <c r="H1272" i="24"/>
  <c r="H1273" i="24"/>
  <c r="H1274" i="24"/>
  <c r="H1275" i="24"/>
  <c r="H1276" i="24"/>
  <c r="H1277" i="24"/>
  <c r="H1278" i="24"/>
  <c r="H1279" i="24"/>
  <c r="H1280" i="24"/>
  <c r="H1281" i="24"/>
  <c r="H1282" i="24"/>
  <c r="H1283" i="24"/>
  <c r="H1284" i="24"/>
  <c r="H1285" i="24"/>
  <c r="H1286" i="24"/>
  <c r="H1287" i="24"/>
  <c r="H1288" i="24"/>
  <c r="H1289" i="24"/>
  <c r="H1290" i="24"/>
  <c r="H1291" i="24"/>
  <c r="H1292" i="24"/>
  <c r="H1293" i="24"/>
  <c r="H1294" i="24"/>
  <c r="H1295" i="24"/>
  <c r="H1296" i="24"/>
  <c r="H1297" i="24"/>
  <c r="H1298" i="24"/>
  <c r="H1299" i="24"/>
  <c r="H1300" i="24"/>
  <c r="H1301" i="24"/>
  <c r="H1302" i="24"/>
  <c r="H1303" i="24"/>
  <c r="H1304" i="24"/>
  <c r="H1305" i="24"/>
  <c r="H1306" i="24"/>
  <c r="H1307" i="24"/>
  <c r="H1308" i="24"/>
  <c r="H1309" i="24"/>
  <c r="H1310" i="24"/>
  <c r="H1311" i="24"/>
  <c r="H1312" i="24"/>
  <c r="H1313" i="24"/>
  <c r="H1314" i="24"/>
  <c r="H1315" i="24"/>
  <c r="H1316" i="24"/>
  <c r="H1317" i="24"/>
  <c r="H1318" i="24"/>
  <c r="H1319" i="24"/>
  <c r="H1320" i="24"/>
  <c r="H1321" i="24"/>
  <c r="H1322" i="24"/>
  <c r="H1323" i="24"/>
  <c r="H1324" i="24"/>
  <c r="H1325" i="24"/>
  <c r="H1326" i="24"/>
  <c r="H1327" i="24"/>
  <c r="H1328" i="24"/>
  <c r="H1329" i="24"/>
  <c r="H1330" i="24"/>
  <c r="H1331" i="24"/>
  <c r="H1332" i="24"/>
  <c r="H1333" i="24"/>
  <c r="H1334" i="24"/>
  <c r="H1335" i="24"/>
  <c r="H1336" i="24"/>
  <c r="H1337" i="24"/>
  <c r="H1338" i="24"/>
  <c r="H1339" i="24"/>
  <c r="H1340" i="24"/>
  <c r="H1341" i="24"/>
  <c r="H1342" i="24"/>
  <c r="H1343" i="24"/>
  <c r="H1344" i="24"/>
  <c r="H1345" i="24"/>
  <c r="H1346" i="24"/>
  <c r="H1347" i="24"/>
  <c r="H1348" i="24"/>
  <c r="H1349" i="24"/>
  <c r="H1350" i="24"/>
  <c r="H1351" i="24"/>
  <c r="H1352" i="24"/>
  <c r="H1353" i="24"/>
  <c r="H1354" i="24"/>
  <c r="H1355" i="24"/>
  <c r="H1356" i="24"/>
  <c r="H1357" i="24"/>
  <c r="H1358" i="24"/>
  <c r="H1359" i="24"/>
  <c r="H1360" i="24"/>
  <c r="H1361" i="24"/>
  <c r="H1362" i="24"/>
  <c r="H1363" i="24"/>
  <c r="H1364" i="24"/>
  <c r="H1365" i="24"/>
  <c r="H1366" i="24"/>
  <c r="H1367" i="24"/>
  <c r="H1368" i="24"/>
  <c r="H1369" i="24"/>
  <c r="H1370" i="24"/>
  <c r="H1371" i="24"/>
  <c r="H1372" i="24"/>
  <c r="H1373" i="24"/>
  <c r="H1374" i="24"/>
  <c r="H1375" i="24"/>
  <c r="H1376" i="24"/>
  <c r="H1377" i="24"/>
  <c r="H1378" i="24"/>
  <c r="H1379" i="24"/>
  <c r="H1380" i="24"/>
  <c r="H1381" i="24"/>
  <c r="H1382" i="24"/>
  <c r="H1383" i="24"/>
  <c r="H1384" i="24"/>
  <c r="H1385" i="24"/>
  <c r="H1386" i="24"/>
  <c r="H1387" i="24"/>
  <c r="H1388" i="24"/>
  <c r="H1389" i="24"/>
  <c r="H1390" i="24"/>
  <c r="H1391" i="24"/>
  <c r="H1392" i="24"/>
  <c r="H1393" i="24"/>
  <c r="H1394" i="24"/>
  <c r="H1395" i="24"/>
  <c r="H1396" i="24"/>
  <c r="H1397" i="24"/>
  <c r="H1398" i="24"/>
  <c r="H1399" i="24"/>
  <c r="H1400" i="24"/>
  <c r="H1401" i="24"/>
  <c r="H1402" i="24"/>
  <c r="H1403" i="24"/>
  <c r="H1404" i="24"/>
  <c r="H1405" i="24"/>
  <c r="H1406" i="24"/>
  <c r="H1407" i="24"/>
  <c r="H1408" i="24"/>
  <c r="H1409" i="24"/>
  <c r="H1410" i="24"/>
  <c r="H1411" i="24"/>
  <c r="H1412" i="24"/>
  <c r="H1413" i="24"/>
  <c r="H1414" i="24"/>
  <c r="H1415" i="24"/>
  <c r="H1416" i="24"/>
  <c r="H1417" i="24"/>
  <c r="H1418" i="24"/>
  <c r="H1419" i="24"/>
  <c r="H1420" i="24"/>
  <c r="H1421" i="24"/>
  <c r="H1422" i="24"/>
  <c r="H1423" i="24"/>
  <c r="H1424" i="24"/>
  <c r="H1425" i="24"/>
  <c r="H1426" i="24"/>
  <c r="H1427" i="24"/>
  <c r="H1428" i="24"/>
  <c r="H1429" i="24"/>
  <c r="H1430" i="24"/>
  <c r="H1431" i="24"/>
  <c r="H1432" i="24"/>
  <c r="H1433" i="24"/>
  <c r="H1434" i="24"/>
  <c r="H1435" i="24"/>
  <c r="H1436" i="24"/>
  <c r="H1437" i="24"/>
  <c r="H1438" i="24"/>
  <c r="H1439" i="24"/>
  <c r="H1440" i="24"/>
  <c r="H1441" i="24"/>
  <c r="H1442" i="24"/>
  <c r="H1443" i="24"/>
  <c r="H1444" i="24"/>
  <c r="H1445" i="24"/>
  <c r="H1446" i="24"/>
  <c r="H1447" i="24"/>
  <c r="H1448" i="24"/>
  <c r="H1449" i="24"/>
  <c r="H1450" i="24"/>
  <c r="H1451" i="24"/>
  <c r="H1452" i="24"/>
  <c r="H1453" i="24"/>
  <c r="H1454" i="24"/>
  <c r="H1455" i="24"/>
  <c r="H1456" i="24"/>
  <c r="H1457" i="24"/>
  <c r="H1458" i="24"/>
  <c r="H1459" i="24"/>
  <c r="H1460" i="24"/>
  <c r="H1461" i="24"/>
  <c r="H1462" i="24"/>
  <c r="H1463" i="24"/>
  <c r="H1464" i="24"/>
  <c r="H1465" i="24"/>
  <c r="H1466" i="24"/>
  <c r="H1467" i="24"/>
  <c r="H1468" i="24"/>
  <c r="H1469" i="24"/>
  <c r="H1470" i="24"/>
  <c r="H1471" i="24"/>
  <c r="H1472" i="24"/>
  <c r="H1473" i="24"/>
  <c r="H1474" i="24"/>
  <c r="H1475" i="24"/>
  <c r="H1476" i="24"/>
  <c r="H1477" i="24"/>
  <c r="H1478" i="24"/>
  <c r="H1479" i="24"/>
  <c r="H1480" i="24"/>
  <c r="H1481" i="24"/>
  <c r="H1482" i="24"/>
  <c r="H1483" i="24"/>
  <c r="H1484" i="24"/>
  <c r="H1485" i="24"/>
  <c r="H1486" i="24"/>
  <c r="H1487" i="24"/>
  <c r="H1488" i="24"/>
  <c r="H1489" i="24"/>
  <c r="H1490" i="24"/>
  <c r="H1491" i="24"/>
  <c r="H1492" i="24"/>
  <c r="H1493" i="24"/>
  <c r="H1494" i="24"/>
  <c r="H1495" i="24"/>
  <c r="H1496" i="24"/>
  <c r="H1497" i="24"/>
  <c r="H1498" i="24"/>
  <c r="H1499" i="24"/>
  <c r="H1500" i="24"/>
  <c r="H1501" i="24"/>
  <c r="H1502" i="24"/>
  <c r="H1503" i="24"/>
  <c r="H1504" i="24"/>
  <c r="H1505" i="24"/>
  <c r="H1506" i="24"/>
  <c r="H1507" i="24"/>
  <c r="H1508" i="24"/>
  <c r="H1509" i="24"/>
  <c r="H1510" i="24"/>
  <c r="H1511" i="24"/>
  <c r="H1512" i="24"/>
  <c r="H1513" i="24"/>
  <c r="H1514" i="24"/>
  <c r="H1515" i="24"/>
  <c r="H1516" i="24"/>
  <c r="H1517" i="24"/>
  <c r="H1518" i="24"/>
  <c r="H1519" i="24"/>
  <c r="H1520" i="24"/>
  <c r="H1521" i="24"/>
  <c r="H1522" i="24"/>
  <c r="H1523" i="24"/>
  <c r="H1524" i="24"/>
  <c r="H1525" i="24"/>
  <c r="H1526" i="24"/>
  <c r="H1527" i="24"/>
  <c r="H1528" i="24"/>
  <c r="H1529" i="24"/>
  <c r="H1530" i="24"/>
  <c r="H1531" i="24"/>
  <c r="H1532" i="24"/>
  <c r="H1533" i="24"/>
  <c r="H1534" i="24"/>
  <c r="H1535" i="24"/>
  <c r="H1536" i="24"/>
  <c r="H1537" i="24"/>
  <c r="H1538" i="24"/>
  <c r="H1539" i="24"/>
  <c r="H1540" i="24"/>
  <c r="H1541" i="24"/>
  <c r="H1542" i="24"/>
  <c r="H1543" i="24"/>
  <c r="H1544" i="24"/>
  <c r="H1545" i="24"/>
  <c r="H1546" i="24"/>
  <c r="H1547" i="24"/>
  <c r="H1548" i="24"/>
  <c r="H1549" i="24"/>
  <c r="H1550" i="24"/>
  <c r="H1551" i="24"/>
  <c r="H1552" i="24"/>
  <c r="H1553" i="24"/>
  <c r="H1554" i="24"/>
  <c r="H1555" i="24"/>
  <c r="H1556" i="24"/>
  <c r="H1557" i="24"/>
  <c r="H1558" i="24"/>
  <c r="H1559" i="24"/>
  <c r="H1560" i="24"/>
  <c r="H1561" i="24"/>
  <c r="H1562" i="24"/>
  <c r="H1563" i="24"/>
  <c r="H1564" i="24"/>
  <c r="H1565" i="24"/>
  <c r="H1566" i="24"/>
  <c r="H1567" i="24"/>
  <c r="H1568" i="24"/>
  <c r="H1569" i="24"/>
  <c r="H1570" i="24"/>
  <c r="H1571" i="24"/>
  <c r="H1572" i="24"/>
  <c r="H1573" i="24"/>
  <c r="H1574" i="24"/>
  <c r="H1575" i="24"/>
  <c r="H1576" i="24"/>
  <c r="H1577" i="24"/>
  <c r="H1578" i="24"/>
  <c r="H1579" i="24"/>
  <c r="H1580" i="24"/>
  <c r="H1581" i="24"/>
  <c r="H1582" i="24"/>
  <c r="H1583" i="24"/>
  <c r="H1584" i="24"/>
  <c r="H1585" i="24"/>
  <c r="H1586" i="24"/>
  <c r="H1587" i="24"/>
  <c r="H1588" i="24"/>
  <c r="H1589" i="24"/>
  <c r="H1590" i="24"/>
  <c r="H1591" i="24"/>
  <c r="H1592" i="24"/>
  <c r="H1593" i="24"/>
  <c r="H1594" i="24"/>
  <c r="H1595" i="24"/>
  <c r="H1596" i="24"/>
  <c r="H1597" i="24"/>
  <c r="H1598" i="24"/>
  <c r="H1599" i="24"/>
  <c r="H1600" i="24"/>
  <c r="H1601" i="24"/>
  <c r="H1602" i="24"/>
  <c r="H1603" i="24"/>
  <c r="H1604" i="24"/>
  <c r="H1605" i="24"/>
  <c r="H1606" i="24"/>
  <c r="H1607" i="24"/>
  <c r="H1608" i="24"/>
  <c r="H1609" i="24"/>
  <c r="H1610" i="24"/>
  <c r="H1611" i="24"/>
  <c r="H1612" i="24"/>
  <c r="H1613" i="24"/>
  <c r="H1614" i="24"/>
  <c r="H1615" i="24"/>
  <c r="H1616" i="24"/>
  <c r="H1617" i="24"/>
  <c r="H1618" i="24"/>
  <c r="H1619" i="24"/>
  <c r="H1620" i="24"/>
  <c r="H1621" i="24"/>
  <c r="H1622" i="24"/>
  <c r="H1623" i="24"/>
  <c r="H1624" i="24"/>
  <c r="H1625" i="24"/>
  <c r="H1626" i="24"/>
  <c r="H1627" i="24"/>
  <c r="H1628" i="24"/>
  <c r="H1629" i="24"/>
  <c r="H1630" i="24"/>
  <c r="H1631" i="24"/>
  <c r="H1632" i="24"/>
  <c r="H1633" i="24"/>
  <c r="H1634" i="24"/>
  <c r="H1635" i="24"/>
  <c r="H1636" i="24"/>
  <c r="H1637" i="24"/>
  <c r="H1638" i="24"/>
  <c r="H1639" i="24"/>
  <c r="H1640" i="24"/>
  <c r="H1641" i="24"/>
  <c r="H1642" i="24"/>
  <c r="H1643" i="24"/>
  <c r="H1644" i="24"/>
  <c r="H1645" i="24"/>
  <c r="H1646" i="24"/>
  <c r="H1647" i="24"/>
  <c r="H1648" i="24"/>
  <c r="H1649" i="24"/>
  <c r="H1650" i="24"/>
  <c r="H1651" i="24"/>
  <c r="H1652" i="24"/>
  <c r="H1653" i="24"/>
  <c r="H1654" i="24"/>
  <c r="H1655" i="24"/>
  <c r="H1656" i="24"/>
  <c r="H1657" i="24"/>
  <c r="H1658" i="24"/>
  <c r="H1659" i="24"/>
  <c r="H1660" i="24"/>
  <c r="H1661" i="24"/>
  <c r="H1662" i="24"/>
  <c r="H1663" i="24"/>
  <c r="H1664" i="24"/>
  <c r="H1665" i="24"/>
  <c r="H1666" i="24"/>
  <c r="H1667" i="24"/>
  <c r="H1668" i="24"/>
  <c r="H1669" i="24"/>
  <c r="H1670" i="24"/>
  <c r="H1671" i="24"/>
  <c r="H1672" i="24"/>
  <c r="H1673" i="24"/>
  <c r="H1674" i="24"/>
  <c r="H1675" i="24"/>
  <c r="H1676" i="24"/>
  <c r="H1677" i="24"/>
  <c r="H1678" i="24"/>
  <c r="H1679" i="24"/>
  <c r="H1680" i="24"/>
  <c r="H1681" i="24"/>
  <c r="H1682" i="24"/>
  <c r="H1683" i="24"/>
  <c r="H1684" i="24"/>
  <c r="H1685" i="24"/>
  <c r="H1686" i="24"/>
  <c r="H1687" i="24"/>
  <c r="H1688" i="24"/>
  <c r="H1689" i="24"/>
  <c r="H1690" i="24"/>
  <c r="H1691" i="24"/>
  <c r="H1692" i="24"/>
  <c r="H1693" i="24"/>
  <c r="H1694" i="24"/>
  <c r="H1695" i="24"/>
  <c r="H1696" i="24"/>
  <c r="H1697" i="24"/>
  <c r="H1698" i="24"/>
  <c r="H1699" i="24"/>
  <c r="H1700" i="24"/>
  <c r="H1701" i="24"/>
  <c r="H1702" i="24"/>
  <c r="H1703" i="24"/>
  <c r="H1704" i="24"/>
  <c r="H1705" i="24"/>
  <c r="H1706" i="24"/>
  <c r="H1707" i="24"/>
  <c r="H1708" i="24"/>
  <c r="H1709" i="24"/>
  <c r="H1710" i="24"/>
  <c r="H1711" i="24"/>
  <c r="H1712" i="24"/>
  <c r="H1713" i="24"/>
  <c r="H1714" i="24"/>
  <c r="H1715" i="24"/>
  <c r="H1716" i="24"/>
  <c r="H1717" i="24"/>
  <c r="H1718" i="24"/>
  <c r="H1719" i="24"/>
  <c r="H1720" i="24"/>
  <c r="H1721" i="24"/>
  <c r="H1722" i="24"/>
  <c r="H1723" i="24"/>
  <c r="H1724" i="24"/>
  <c r="H1725" i="24"/>
  <c r="H1726" i="24"/>
  <c r="H1727" i="24"/>
  <c r="H1728" i="24"/>
  <c r="H1729" i="24"/>
  <c r="H1730" i="24"/>
  <c r="H1731" i="24"/>
  <c r="H1732" i="24"/>
  <c r="H1733" i="24"/>
  <c r="H1734" i="24"/>
  <c r="H1735" i="24"/>
  <c r="H1736" i="24"/>
  <c r="H1737" i="24"/>
  <c r="H1738" i="24"/>
  <c r="H1739" i="24"/>
  <c r="H1740" i="24"/>
  <c r="H1741" i="24"/>
  <c r="H1742" i="24"/>
  <c r="H1743" i="24"/>
  <c r="H1744" i="24"/>
  <c r="H1745" i="24"/>
  <c r="H1746" i="24"/>
  <c r="H1747" i="24"/>
  <c r="H1748" i="24"/>
  <c r="H1749" i="24"/>
  <c r="H1750" i="24"/>
  <c r="H1751" i="24"/>
  <c r="H1752" i="24"/>
  <c r="H1753" i="24"/>
  <c r="H1754" i="24"/>
  <c r="H1755" i="24"/>
  <c r="H1756" i="24"/>
  <c r="H1757" i="24"/>
  <c r="H1758" i="24"/>
  <c r="H1759" i="24"/>
  <c r="H1760" i="24"/>
  <c r="H1761" i="24"/>
  <c r="H1762" i="24"/>
  <c r="H1763" i="24"/>
  <c r="H1764" i="24"/>
  <c r="H1765" i="24"/>
  <c r="H1766" i="24"/>
  <c r="H1767" i="24"/>
  <c r="H1768" i="24"/>
  <c r="H1769" i="24"/>
  <c r="H1770" i="24"/>
  <c r="H1771" i="24"/>
  <c r="H1772" i="24"/>
  <c r="H1773" i="24"/>
  <c r="H1774" i="24"/>
  <c r="H1775" i="24"/>
  <c r="H1776" i="24"/>
  <c r="H1777" i="24"/>
  <c r="H1778" i="24"/>
  <c r="H1779" i="24"/>
  <c r="H1780" i="24"/>
  <c r="H1781" i="24"/>
  <c r="H1782" i="24"/>
  <c r="H1783" i="24"/>
  <c r="H1784" i="24"/>
  <c r="H1785" i="24"/>
  <c r="H1786" i="24"/>
  <c r="H1787" i="24"/>
  <c r="H1788" i="24"/>
  <c r="H1789" i="24"/>
  <c r="H1790" i="24"/>
  <c r="H1791" i="24"/>
  <c r="H1792" i="24"/>
  <c r="H1793" i="24"/>
  <c r="H1794" i="24"/>
  <c r="H1795" i="24"/>
  <c r="H1796" i="24"/>
  <c r="H1797" i="24"/>
  <c r="H1798" i="24"/>
  <c r="H1799" i="24"/>
  <c r="H1800" i="24"/>
  <c r="H1801" i="24"/>
  <c r="H1802" i="24"/>
  <c r="H1803" i="24"/>
  <c r="H1804" i="24"/>
  <c r="H1805" i="24"/>
  <c r="H1806" i="24"/>
  <c r="H1807" i="24"/>
  <c r="H1808" i="24"/>
  <c r="H1809" i="24"/>
  <c r="H1810" i="24"/>
  <c r="H1811" i="24"/>
  <c r="H1812" i="24"/>
  <c r="H1813" i="24"/>
  <c r="H1814" i="24"/>
  <c r="H1815" i="24"/>
  <c r="H1816" i="24"/>
  <c r="H1817" i="24"/>
  <c r="H1818" i="24"/>
  <c r="H1819" i="24"/>
  <c r="H1820" i="24"/>
  <c r="H1821" i="24"/>
  <c r="H1822" i="24"/>
  <c r="H1823" i="24"/>
  <c r="H1824" i="24"/>
  <c r="H1825" i="24"/>
  <c r="H1826" i="24"/>
  <c r="H1827" i="24"/>
  <c r="H1828" i="24"/>
  <c r="H1829" i="24"/>
  <c r="H1830" i="24"/>
  <c r="H1831" i="24"/>
  <c r="H1832" i="24"/>
  <c r="H1833" i="24"/>
  <c r="H1834" i="24"/>
  <c r="H1835" i="24"/>
  <c r="H1836" i="24"/>
  <c r="H1837" i="24"/>
  <c r="H1838" i="24"/>
  <c r="H1839" i="24"/>
  <c r="H1840" i="24"/>
  <c r="H1841" i="24"/>
  <c r="H1842" i="24"/>
  <c r="H1843" i="24"/>
  <c r="H1844" i="24"/>
  <c r="H1845" i="24"/>
  <c r="H1846" i="24"/>
  <c r="H1847" i="24"/>
  <c r="H1848" i="24"/>
  <c r="H1849" i="24"/>
  <c r="H1850" i="24"/>
  <c r="H1851" i="24"/>
  <c r="H1852" i="24"/>
  <c r="H1853" i="24"/>
  <c r="H1854" i="24"/>
  <c r="H1855" i="24"/>
  <c r="H1856" i="24"/>
  <c r="H1857" i="24"/>
  <c r="H1858" i="24"/>
  <c r="H1859" i="24"/>
  <c r="H1860" i="24"/>
  <c r="H1861" i="24"/>
  <c r="H1862" i="24"/>
  <c r="H1863" i="24"/>
  <c r="H1864" i="24"/>
  <c r="H1865" i="24"/>
  <c r="H1866" i="24"/>
  <c r="H1867" i="24"/>
  <c r="H1868" i="24"/>
  <c r="H1869" i="24"/>
  <c r="H1870" i="24"/>
  <c r="H1871" i="24"/>
  <c r="H1872" i="24"/>
  <c r="H1873" i="24"/>
  <c r="H1874" i="24"/>
  <c r="H1875" i="24"/>
  <c r="H1876" i="24"/>
  <c r="H1877" i="24"/>
  <c r="H1878" i="24"/>
  <c r="H1879" i="24"/>
  <c r="H1880" i="24"/>
  <c r="H1881" i="24"/>
  <c r="H1882" i="24"/>
  <c r="H1883" i="24"/>
  <c r="H1884" i="24"/>
  <c r="H1885" i="24"/>
  <c r="H1886" i="24"/>
  <c r="H1887" i="24"/>
  <c r="H1888" i="24"/>
  <c r="H1889" i="24"/>
  <c r="H1890" i="24"/>
  <c r="H1891" i="24"/>
  <c r="H1892" i="24"/>
  <c r="H1893" i="24"/>
  <c r="H1894" i="24"/>
  <c r="H1895" i="24"/>
  <c r="H1896" i="24"/>
  <c r="H1897" i="24"/>
  <c r="H1898" i="24"/>
  <c r="H1899" i="24"/>
  <c r="H1900" i="24"/>
  <c r="H1901" i="24"/>
  <c r="H1902" i="24"/>
  <c r="H1903" i="24"/>
  <c r="H1904" i="24"/>
  <c r="H1905" i="24"/>
  <c r="H1906" i="24"/>
  <c r="H1907" i="24"/>
  <c r="H1908" i="24"/>
  <c r="H1909" i="24"/>
  <c r="H1910" i="24"/>
  <c r="H1911" i="24"/>
  <c r="H1912" i="24"/>
  <c r="H1913" i="24"/>
  <c r="H1914" i="24"/>
  <c r="H1915" i="24"/>
  <c r="H1916" i="24"/>
  <c r="H1917" i="24"/>
  <c r="H1918" i="24"/>
  <c r="H1919" i="24"/>
  <c r="H1920" i="24"/>
  <c r="H1921" i="24"/>
  <c r="H1922" i="24"/>
  <c r="H1923" i="24"/>
  <c r="H1924" i="24"/>
  <c r="H1925" i="24"/>
  <c r="H1926" i="24"/>
  <c r="H1927" i="24"/>
  <c r="H1928" i="24"/>
  <c r="H1929" i="24"/>
  <c r="H1930" i="24"/>
  <c r="H1931" i="24"/>
  <c r="H1932" i="24"/>
  <c r="H1933" i="24"/>
  <c r="H1934" i="24"/>
  <c r="H1935" i="24"/>
  <c r="H1936" i="24"/>
  <c r="H1937" i="24"/>
  <c r="H1938" i="24"/>
  <c r="H1939" i="24"/>
  <c r="H1940" i="24"/>
  <c r="H1941" i="24"/>
  <c r="H1942" i="24"/>
  <c r="H1943" i="24"/>
  <c r="H1944" i="24"/>
  <c r="H1945" i="24"/>
  <c r="H1946" i="24"/>
  <c r="H1947" i="24"/>
  <c r="H1948" i="24"/>
  <c r="H1949" i="24"/>
  <c r="H1950" i="24"/>
  <c r="H1951" i="24"/>
  <c r="H1952" i="24"/>
  <c r="H1953" i="24"/>
  <c r="H1954" i="24"/>
  <c r="H1955" i="24"/>
  <c r="H1956" i="24"/>
  <c r="H1957" i="24"/>
  <c r="H1958" i="24"/>
  <c r="H1959" i="24"/>
  <c r="H1960" i="24"/>
  <c r="H1961" i="24"/>
  <c r="H1962" i="24"/>
  <c r="H1963" i="24"/>
  <c r="H1964" i="24"/>
  <c r="H1965" i="24"/>
  <c r="H1966" i="24"/>
  <c r="H1967" i="24"/>
  <c r="H1968" i="24"/>
  <c r="H1969" i="24"/>
  <c r="H1970" i="24"/>
  <c r="H1971" i="24"/>
  <c r="H1972" i="24"/>
  <c r="H1973" i="24"/>
  <c r="H1974" i="24"/>
  <c r="H1975" i="24"/>
  <c r="H1976" i="24"/>
  <c r="H1977" i="24"/>
  <c r="H1978" i="24"/>
  <c r="H1979" i="24"/>
  <c r="H1980" i="24"/>
  <c r="H1981" i="24"/>
  <c r="H1982" i="24"/>
  <c r="H1983" i="24"/>
  <c r="H1984" i="24"/>
  <c r="H1985" i="24"/>
  <c r="H1986" i="24"/>
  <c r="H1987" i="24"/>
  <c r="H1988" i="24"/>
  <c r="H1989" i="24"/>
  <c r="H1990" i="24"/>
  <c r="H1991" i="24"/>
  <c r="H1992" i="24"/>
  <c r="H1993" i="24"/>
  <c r="H1994" i="24"/>
  <c r="H1995" i="24"/>
  <c r="H1996" i="24"/>
  <c r="H1997" i="24"/>
  <c r="H1998" i="24"/>
  <c r="H1999" i="24"/>
  <c r="H2000" i="24"/>
  <c r="H2001" i="24"/>
  <c r="H2002" i="24"/>
  <c r="H2003" i="24"/>
  <c r="H2004" i="24"/>
  <c r="H2005" i="24"/>
  <c r="H2006" i="24"/>
  <c r="H2007" i="24"/>
  <c r="H2008" i="24"/>
  <c r="H2009" i="24"/>
  <c r="H2010" i="24"/>
  <c r="H2011" i="24"/>
  <c r="H2012" i="24"/>
  <c r="H2013" i="24"/>
  <c r="H2014" i="24"/>
  <c r="H2015" i="24"/>
  <c r="H2016" i="24"/>
  <c r="H2017" i="24"/>
  <c r="H2018" i="24"/>
  <c r="H2019" i="24"/>
  <c r="H2020" i="24"/>
  <c r="H2021" i="24"/>
  <c r="H2022" i="24"/>
  <c r="H2023" i="24"/>
  <c r="H2024" i="24"/>
  <c r="H2025" i="24"/>
  <c r="H2026" i="24"/>
  <c r="H2027" i="24"/>
  <c r="H2028" i="24"/>
  <c r="H2029" i="24"/>
  <c r="H2030" i="24"/>
  <c r="H2031" i="24"/>
  <c r="H2032" i="24"/>
  <c r="H2033" i="24"/>
  <c r="H2034" i="24"/>
  <c r="H2035" i="24"/>
  <c r="H2036" i="24"/>
  <c r="H2037" i="24"/>
  <c r="H2038" i="24"/>
  <c r="H2039" i="24"/>
  <c r="H2040" i="24"/>
  <c r="H2041" i="24"/>
  <c r="H2042" i="24"/>
  <c r="H2043" i="24"/>
  <c r="H2044" i="24"/>
  <c r="H2045" i="24"/>
  <c r="H2046" i="24"/>
  <c r="H2047" i="24"/>
  <c r="H2048" i="24"/>
  <c r="H2049" i="24"/>
  <c r="H2050" i="24"/>
  <c r="H2051" i="24"/>
  <c r="H2052" i="24"/>
  <c r="H2053" i="24"/>
  <c r="H2054" i="24"/>
  <c r="H2055" i="24"/>
  <c r="H2056" i="24"/>
  <c r="H2057" i="24"/>
  <c r="H2058" i="24"/>
  <c r="H2059" i="24"/>
  <c r="H2060" i="24"/>
  <c r="H2061" i="24"/>
  <c r="H2062" i="24"/>
  <c r="H2063" i="24"/>
  <c r="H2064" i="24"/>
  <c r="H2065" i="24"/>
  <c r="H2066" i="24"/>
  <c r="H2067" i="24"/>
  <c r="H2068" i="24"/>
  <c r="H2069" i="24"/>
  <c r="H2070" i="24"/>
  <c r="H2071" i="24"/>
  <c r="H2072" i="24"/>
  <c r="H2073" i="24"/>
  <c r="H2074" i="24"/>
  <c r="H2075" i="24"/>
  <c r="H2076" i="24"/>
  <c r="H2077" i="24"/>
  <c r="H2078" i="24"/>
  <c r="H2079" i="24"/>
  <c r="H2080" i="24"/>
  <c r="H2081" i="24"/>
  <c r="H2082" i="24"/>
  <c r="H2083" i="24"/>
  <c r="H2084" i="24"/>
  <c r="H2085" i="24"/>
  <c r="H2086" i="24"/>
  <c r="H2087" i="24"/>
  <c r="H2088" i="24"/>
  <c r="H2089" i="24"/>
  <c r="H2090" i="24"/>
  <c r="H2091" i="24"/>
  <c r="H2092" i="24"/>
  <c r="H2093" i="24"/>
  <c r="H2094" i="24"/>
  <c r="H2095" i="24"/>
  <c r="H2096" i="24"/>
  <c r="H2097" i="24"/>
  <c r="H2098" i="24"/>
  <c r="H2099" i="24"/>
  <c r="H2100" i="24"/>
  <c r="H2101" i="24"/>
  <c r="H2102" i="24"/>
  <c r="H2103" i="24"/>
  <c r="H2104" i="24"/>
  <c r="H2105" i="24"/>
  <c r="H2106" i="24"/>
  <c r="H2107" i="24"/>
  <c r="H2108" i="24"/>
  <c r="H2109" i="24"/>
  <c r="H2110" i="24"/>
  <c r="H2111" i="24"/>
  <c r="H2112" i="24"/>
  <c r="H2113" i="24"/>
  <c r="H2114" i="24"/>
  <c r="H2115" i="24"/>
  <c r="H2116" i="24"/>
  <c r="H2117" i="24"/>
  <c r="H2118" i="24"/>
  <c r="H2119" i="24"/>
  <c r="H2120" i="24"/>
  <c r="H2121" i="24"/>
  <c r="H2122" i="24"/>
  <c r="H2123" i="24"/>
  <c r="H2124" i="24"/>
  <c r="H2125" i="24"/>
  <c r="H2126" i="24"/>
  <c r="H2127" i="24"/>
  <c r="H2128" i="24"/>
  <c r="H2129" i="24"/>
  <c r="H2130" i="24"/>
  <c r="H2131" i="24"/>
  <c r="H2132" i="24"/>
  <c r="H2133" i="24"/>
  <c r="H2134" i="24"/>
  <c r="H2135" i="24"/>
  <c r="H2136" i="24"/>
  <c r="H2137" i="24"/>
  <c r="H2138" i="24"/>
  <c r="H2139" i="24"/>
  <c r="H2140" i="24"/>
  <c r="H2141" i="24"/>
  <c r="H2142" i="24"/>
  <c r="H2143" i="24"/>
  <c r="H2144" i="24"/>
  <c r="H2145" i="24"/>
  <c r="H2146" i="24"/>
  <c r="H2147" i="24"/>
  <c r="H2148" i="24"/>
  <c r="H2149" i="24"/>
  <c r="H2150" i="24"/>
  <c r="H2151" i="24"/>
  <c r="H2152" i="24"/>
  <c r="H2153" i="24"/>
  <c r="H2154" i="24"/>
  <c r="H2155" i="24"/>
  <c r="H2156" i="24"/>
  <c r="H2157" i="24"/>
  <c r="H2158" i="24"/>
  <c r="H2159" i="24"/>
  <c r="H2160" i="24"/>
  <c r="H2161" i="24"/>
  <c r="H2162" i="24"/>
  <c r="H2163" i="24"/>
  <c r="H2164" i="24"/>
  <c r="H2165" i="24"/>
  <c r="H2166" i="24"/>
  <c r="H2167" i="24"/>
  <c r="H2168" i="24"/>
  <c r="H2169" i="24"/>
  <c r="H2170" i="24"/>
  <c r="H2171" i="24"/>
  <c r="H2172" i="24"/>
  <c r="H2173" i="24"/>
  <c r="H2174" i="24"/>
  <c r="H2175" i="24"/>
  <c r="H2176" i="24"/>
  <c r="H2177" i="24"/>
  <c r="H2178" i="24"/>
  <c r="H2179" i="24"/>
  <c r="H2180" i="24"/>
  <c r="H2181" i="24"/>
  <c r="H2182" i="24"/>
  <c r="H2183" i="24"/>
  <c r="H2184" i="24"/>
  <c r="H2185" i="24"/>
  <c r="H2186" i="24"/>
  <c r="H2187" i="24"/>
  <c r="H2188" i="24"/>
  <c r="H2189" i="24"/>
  <c r="H2190" i="24"/>
  <c r="H2191" i="24"/>
  <c r="H2192" i="24"/>
  <c r="H2193" i="24"/>
  <c r="H2194" i="24"/>
  <c r="H2195" i="24"/>
  <c r="H2196" i="24"/>
  <c r="H2197" i="24"/>
  <c r="H2198" i="24"/>
  <c r="H2199" i="24"/>
  <c r="H2200" i="24"/>
  <c r="H2201" i="24"/>
  <c r="H2202" i="24"/>
  <c r="H2203" i="24"/>
  <c r="H2204" i="24"/>
  <c r="H2205" i="24"/>
  <c r="H2206" i="24"/>
  <c r="H2207" i="24"/>
  <c r="H2208" i="24"/>
  <c r="H2209" i="24"/>
  <c r="H2210" i="24"/>
  <c r="H2211" i="24"/>
  <c r="H2212" i="24"/>
  <c r="H2213" i="24"/>
  <c r="H2214" i="24"/>
  <c r="H2215" i="24"/>
  <c r="H2216" i="24"/>
  <c r="H2217" i="24"/>
  <c r="H2218" i="24"/>
  <c r="H2219" i="24"/>
  <c r="H2220" i="24"/>
  <c r="H2221" i="24"/>
  <c r="H2222" i="24"/>
  <c r="H2223" i="24"/>
  <c r="H2224" i="24"/>
  <c r="H2225" i="24"/>
  <c r="H2226" i="24"/>
  <c r="H2227" i="24"/>
  <c r="H2228" i="24"/>
  <c r="H2229" i="24"/>
  <c r="H2230" i="24"/>
  <c r="H2231" i="24"/>
  <c r="H2232" i="24"/>
  <c r="H2233" i="24"/>
  <c r="H2234" i="24"/>
  <c r="H2235" i="24"/>
  <c r="H2236" i="24"/>
  <c r="H2237" i="24"/>
  <c r="H2238" i="24"/>
  <c r="H2239" i="24"/>
  <c r="H2240" i="24"/>
  <c r="H2241" i="24"/>
  <c r="H2242" i="24"/>
  <c r="H2243" i="24"/>
  <c r="H2244" i="24"/>
  <c r="H2245" i="24"/>
  <c r="H2246" i="24"/>
  <c r="H2247" i="24"/>
  <c r="H2248" i="24"/>
  <c r="H2249" i="24"/>
  <c r="H2250" i="24"/>
  <c r="H2251" i="24"/>
  <c r="H2252" i="24"/>
  <c r="H2253" i="24"/>
  <c r="H2254" i="24"/>
  <c r="H2255" i="24"/>
  <c r="H2256" i="24"/>
  <c r="H2257" i="24"/>
  <c r="H2258" i="24"/>
  <c r="H2259" i="24"/>
  <c r="H2260" i="24"/>
  <c r="H2261" i="24"/>
  <c r="H2262" i="24"/>
  <c r="H2263" i="24"/>
  <c r="H2264" i="24"/>
  <c r="H2265" i="24"/>
  <c r="H2266" i="24"/>
  <c r="H2267" i="24"/>
  <c r="H2268" i="24"/>
  <c r="H2269" i="24"/>
  <c r="H2270" i="24"/>
  <c r="H2271" i="24"/>
  <c r="H2272" i="24"/>
  <c r="H2273" i="24"/>
  <c r="H2274" i="24"/>
  <c r="H2275" i="24"/>
  <c r="H2276" i="24"/>
  <c r="H2277" i="24"/>
  <c r="H2278" i="24"/>
  <c r="H2279" i="24"/>
  <c r="H2280" i="24"/>
  <c r="H2281" i="24"/>
  <c r="H2282" i="24"/>
  <c r="H2283" i="24"/>
  <c r="H2284" i="24"/>
  <c r="H2285" i="24"/>
  <c r="H2286" i="24"/>
  <c r="H2287" i="24"/>
  <c r="H2288" i="24"/>
  <c r="H2289" i="24"/>
  <c r="H2290" i="24"/>
  <c r="H2291" i="24"/>
  <c r="H2292" i="24"/>
  <c r="H2293" i="24"/>
  <c r="H2294" i="24"/>
  <c r="H2295" i="24"/>
  <c r="H2296" i="24"/>
  <c r="H2297" i="24"/>
  <c r="H2298" i="24"/>
  <c r="H2299" i="24"/>
  <c r="H2300" i="24"/>
  <c r="H2301" i="24"/>
  <c r="H2302" i="24"/>
  <c r="H2303" i="24"/>
  <c r="H2304" i="24"/>
  <c r="H2305" i="24"/>
  <c r="H2306" i="24"/>
  <c r="H2307" i="24"/>
  <c r="H2308" i="24"/>
  <c r="H2309" i="24"/>
  <c r="H2310" i="24"/>
  <c r="H2311" i="24"/>
  <c r="H2312" i="24"/>
  <c r="H2313" i="24"/>
  <c r="H2314" i="24"/>
  <c r="H2315" i="24"/>
  <c r="H2316" i="24"/>
  <c r="H2317" i="24"/>
  <c r="H2318" i="24"/>
  <c r="H2319" i="24"/>
  <c r="H2320" i="24"/>
  <c r="H2321" i="24"/>
  <c r="H2322" i="24"/>
  <c r="H2323" i="24"/>
  <c r="H2324" i="24"/>
  <c r="H2325" i="24"/>
  <c r="H2326" i="24"/>
  <c r="H2327" i="24"/>
  <c r="H2328" i="24"/>
  <c r="H2329" i="24"/>
  <c r="H2330" i="24"/>
  <c r="H2331" i="24"/>
  <c r="H2332" i="24"/>
  <c r="H2333" i="24"/>
  <c r="H2334" i="24"/>
  <c r="H2335" i="24"/>
  <c r="H2336" i="24"/>
  <c r="H2337" i="24"/>
  <c r="H2338" i="24"/>
  <c r="H2339" i="24"/>
  <c r="H2340" i="24"/>
  <c r="H2341" i="24"/>
  <c r="H2342" i="24"/>
  <c r="H2343" i="24"/>
  <c r="H2344" i="24"/>
  <c r="H2345" i="24"/>
  <c r="H2346" i="24"/>
  <c r="H2347" i="24"/>
  <c r="H2348" i="24"/>
  <c r="H2349" i="24"/>
  <c r="H2350" i="24"/>
  <c r="H2351" i="24"/>
  <c r="H2352" i="24"/>
  <c r="H2353" i="24"/>
  <c r="H4" i="24"/>
  <c r="I2353" i="24"/>
  <c r="I2352" i="24"/>
  <c r="I2351" i="24"/>
  <c r="I2350" i="24"/>
  <c r="I2349" i="24"/>
  <c r="I2348" i="24"/>
  <c r="I2347" i="24"/>
  <c r="I2346" i="24"/>
  <c r="I2345" i="24"/>
  <c r="I2344" i="24"/>
  <c r="I2343" i="24"/>
  <c r="I2342" i="24"/>
  <c r="I2341" i="24"/>
  <c r="I2340" i="24"/>
  <c r="I2339" i="24"/>
  <c r="I2338" i="24"/>
  <c r="I2337" i="24"/>
  <c r="I2336" i="24"/>
  <c r="I2335" i="24"/>
  <c r="I2334" i="24"/>
  <c r="I2333" i="24"/>
  <c r="I2332" i="24"/>
  <c r="I2331" i="24"/>
  <c r="I2330" i="24"/>
  <c r="I2329" i="24"/>
  <c r="I2328" i="24"/>
  <c r="I2327" i="24"/>
  <c r="I2326" i="24"/>
  <c r="I2325" i="24"/>
  <c r="I2324" i="24"/>
  <c r="I2323" i="24"/>
  <c r="I2322" i="24"/>
  <c r="I2321" i="24"/>
  <c r="I2320" i="24"/>
  <c r="I2319" i="24"/>
  <c r="I2318" i="24"/>
  <c r="I2317" i="24"/>
  <c r="I2316" i="24"/>
  <c r="I2315" i="24"/>
  <c r="I2314" i="24"/>
  <c r="I2313" i="24"/>
  <c r="I2312" i="24"/>
  <c r="I2311" i="24"/>
  <c r="I2310" i="24"/>
  <c r="I2309" i="24"/>
  <c r="I2308" i="24"/>
  <c r="I2307" i="24"/>
  <c r="I2306" i="24"/>
  <c r="I2305" i="24"/>
  <c r="I2304" i="24"/>
  <c r="I2303" i="24"/>
  <c r="I2302" i="24"/>
  <c r="I2301" i="24"/>
  <c r="I2300" i="24"/>
  <c r="I2299" i="24"/>
  <c r="I2298" i="24"/>
  <c r="I2297" i="24"/>
  <c r="I2296" i="24"/>
  <c r="I2295" i="24"/>
  <c r="I2294" i="24"/>
  <c r="I2293" i="24"/>
  <c r="I2292" i="24"/>
  <c r="I2291" i="24"/>
  <c r="I2290" i="24"/>
  <c r="I2289" i="24"/>
  <c r="I2288" i="24"/>
  <c r="I2287" i="24"/>
  <c r="I2286" i="24"/>
  <c r="I2285" i="24"/>
  <c r="I2284" i="24"/>
  <c r="I2283" i="24"/>
  <c r="I2282" i="24"/>
  <c r="I2281" i="24"/>
  <c r="I2280" i="24"/>
  <c r="I2279" i="24"/>
  <c r="I2278" i="24"/>
  <c r="I2277" i="24"/>
  <c r="I2276" i="24"/>
  <c r="I2275" i="24"/>
  <c r="I2274" i="24"/>
  <c r="I2273" i="24"/>
  <c r="I2272" i="24"/>
  <c r="I2271" i="24"/>
  <c r="I2270" i="24"/>
  <c r="I2269" i="24"/>
  <c r="I2268" i="24"/>
  <c r="I2267" i="24"/>
  <c r="I2266" i="24"/>
  <c r="I2265" i="24"/>
  <c r="I2264" i="24"/>
  <c r="I2263" i="24"/>
  <c r="I2262" i="24"/>
  <c r="I2261" i="24"/>
  <c r="I2260" i="24"/>
  <c r="I2259" i="24"/>
  <c r="I2258" i="24"/>
  <c r="I2257" i="24"/>
  <c r="I2256" i="24"/>
  <c r="I2255" i="24"/>
  <c r="I2254" i="24"/>
  <c r="I2253" i="24"/>
  <c r="I2252" i="24"/>
  <c r="I2251" i="24"/>
  <c r="I2250" i="24"/>
  <c r="I2249" i="24"/>
  <c r="I2248" i="24"/>
  <c r="I2247" i="24"/>
  <c r="I2246" i="24"/>
  <c r="I2245" i="24"/>
  <c r="I2244" i="24"/>
  <c r="I2243" i="24"/>
  <c r="I2242" i="24"/>
  <c r="I2241" i="24"/>
  <c r="I2240" i="24"/>
  <c r="I2239" i="24"/>
  <c r="I2238" i="24"/>
  <c r="I2237" i="24"/>
  <c r="I2236" i="24"/>
  <c r="I2235" i="24"/>
  <c r="I2234" i="24"/>
  <c r="I2233" i="24"/>
  <c r="I2232" i="24"/>
  <c r="I2231" i="24"/>
  <c r="I2230" i="24"/>
  <c r="I2229" i="24"/>
  <c r="I2228" i="24"/>
  <c r="I2227" i="24"/>
  <c r="I2226" i="24"/>
  <c r="I2225" i="24"/>
  <c r="I2224" i="24"/>
  <c r="I2223" i="24"/>
  <c r="I2222" i="24"/>
  <c r="I2221" i="24"/>
  <c r="I2220" i="24"/>
  <c r="I2219" i="24"/>
  <c r="I2218" i="24"/>
  <c r="I2217" i="24"/>
  <c r="I2216" i="24"/>
  <c r="I2215" i="24"/>
  <c r="I2214" i="24"/>
  <c r="I2213" i="24"/>
  <c r="I2212" i="24"/>
  <c r="I2211" i="24"/>
  <c r="I2210" i="24"/>
  <c r="I2209" i="24"/>
  <c r="I2208" i="24"/>
  <c r="I2207" i="24"/>
  <c r="I2206" i="24"/>
  <c r="I2205" i="24"/>
  <c r="I2204" i="24"/>
  <c r="I2203" i="24"/>
  <c r="I2202" i="24"/>
  <c r="I2201" i="24"/>
  <c r="I2200" i="24"/>
  <c r="I2199" i="24"/>
  <c r="I2198" i="24"/>
  <c r="I2197" i="24"/>
  <c r="I2196" i="24"/>
  <c r="I2195" i="24"/>
  <c r="I2194" i="24"/>
  <c r="I2193" i="24"/>
  <c r="I2192" i="24"/>
  <c r="I2191" i="24"/>
  <c r="I2190" i="24"/>
  <c r="I2189" i="24"/>
  <c r="I2188" i="24"/>
  <c r="I2187" i="24"/>
  <c r="I2186" i="24"/>
  <c r="I2185" i="24"/>
  <c r="I2184" i="24"/>
  <c r="I2183" i="24"/>
  <c r="I2182" i="24"/>
  <c r="I2181" i="24"/>
  <c r="I2180" i="24"/>
  <c r="I2179" i="24"/>
  <c r="I2178" i="24"/>
  <c r="I2177" i="24"/>
  <c r="I2176" i="24"/>
  <c r="I2175" i="24"/>
  <c r="I2174" i="24"/>
  <c r="I2173" i="24"/>
  <c r="I2172" i="24"/>
  <c r="I2171" i="24"/>
  <c r="I2170" i="24"/>
  <c r="I2169" i="24"/>
  <c r="I2168" i="24"/>
  <c r="I2167" i="24"/>
  <c r="I2166" i="24"/>
  <c r="I2165" i="24"/>
  <c r="I2164" i="24"/>
  <c r="I2163" i="24"/>
  <c r="I2162" i="24"/>
  <c r="I2161" i="24"/>
  <c r="I2160" i="24"/>
  <c r="I2159" i="24"/>
  <c r="I2158" i="24"/>
  <c r="I2157" i="24"/>
  <c r="I2156" i="24"/>
  <c r="I2155" i="24"/>
  <c r="I2154" i="24"/>
  <c r="I2153" i="24"/>
  <c r="I2152" i="24"/>
  <c r="I2151" i="24"/>
  <c r="I2150" i="24"/>
  <c r="I2149" i="24"/>
  <c r="I2148" i="24"/>
  <c r="I2147" i="24"/>
  <c r="I2146" i="24"/>
  <c r="I2145" i="24"/>
  <c r="I2144" i="24"/>
  <c r="I2143" i="24"/>
  <c r="I2142" i="24"/>
  <c r="I2141" i="24"/>
  <c r="I2140" i="24"/>
  <c r="I2139" i="24"/>
  <c r="I2138" i="24"/>
  <c r="I2137" i="24"/>
  <c r="I2136" i="24"/>
  <c r="I2135" i="24"/>
  <c r="I2134" i="24"/>
  <c r="I2133" i="24"/>
  <c r="I2132" i="24"/>
  <c r="I2131" i="24"/>
  <c r="I2130" i="24"/>
  <c r="I2129" i="24"/>
  <c r="I2128" i="24"/>
  <c r="I2127" i="24"/>
  <c r="I2126" i="24"/>
  <c r="I2125" i="24"/>
  <c r="I2124" i="24"/>
  <c r="I2123" i="24"/>
  <c r="I2122" i="24"/>
  <c r="I2121" i="24"/>
  <c r="I2120" i="24"/>
  <c r="I2119" i="24"/>
  <c r="I2118" i="24"/>
  <c r="I2117" i="24"/>
  <c r="I2116" i="24"/>
  <c r="I2115" i="24"/>
  <c r="I2114" i="24"/>
  <c r="I2113" i="24"/>
  <c r="I2112" i="24"/>
  <c r="I2111" i="24"/>
  <c r="I2110" i="24"/>
  <c r="I2109" i="24"/>
  <c r="I2108" i="24"/>
  <c r="I2107" i="24"/>
  <c r="I2106" i="24"/>
  <c r="I2105" i="24"/>
  <c r="I2104" i="24"/>
  <c r="I2103" i="24"/>
  <c r="I2102" i="24"/>
  <c r="I2101" i="24"/>
  <c r="I2100" i="24"/>
  <c r="I2099" i="24"/>
  <c r="I2098" i="24"/>
  <c r="I2097" i="24"/>
  <c r="I2096" i="24"/>
  <c r="I2095" i="24"/>
  <c r="I2094" i="24"/>
  <c r="I2093" i="24"/>
  <c r="I2092" i="24"/>
  <c r="I2091" i="24"/>
  <c r="I2090" i="24"/>
  <c r="I2089" i="24"/>
  <c r="I2088" i="24"/>
  <c r="I2087" i="24"/>
  <c r="I2086" i="24"/>
  <c r="I2085" i="24"/>
  <c r="I2084" i="24"/>
  <c r="I2083" i="24"/>
  <c r="I2082" i="24"/>
  <c r="I2081" i="24"/>
  <c r="I2080" i="24"/>
  <c r="I2079" i="24"/>
  <c r="I2078" i="24"/>
  <c r="I2077" i="24"/>
  <c r="I2076" i="24"/>
  <c r="I2075" i="24"/>
  <c r="I2074" i="24"/>
  <c r="I2073" i="24"/>
  <c r="I2072" i="24"/>
  <c r="I2071" i="24"/>
  <c r="I2070" i="24"/>
  <c r="I2069" i="24"/>
  <c r="I2068" i="24"/>
  <c r="I2067" i="24"/>
  <c r="I2066" i="24"/>
  <c r="I2065" i="24"/>
  <c r="I2064" i="24"/>
  <c r="I2063" i="24"/>
  <c r="I2062" i="24"/>
  <c r="I2061" i="24"/>
  <c r="I2060" i="24"/>
  <c r="I2059" i="24"/>
  <c r="I2058" i="24"/>
  <c r="I2057" i="24"/>
  <c r="I2056" i="24"/>
  <c r="I2055" i="24"/>
  <c r="I2054" i="24"/>
  <c r="I2053" i="24"/>
  <c r="I2052" i="24"/>
  <c r="I2051" i="24"/>
  <c r="I2050" i="24"/>
  <c r="I2049" i="24"/>
  <c r="I2048" i="24"/>
  <c r="I2047" i="24"/>
  <c r="I2046" i="24"/>
  <c r="I2045" i="24"/>
  <c r="I2044" i="24"/>
  <c r="I2043" i="24"/>
  <c r="I2042" i="24"/>
  <c r="I2041" i="24"/>
  <c r="I2040" i="24"/>
  <c r="I2039" i="24"/>
  <c r="I2038" i="24"/>
  <c r="I2037" i="24"/>
  <c r="I2036" i="24"/>
  <c r="I2035" i="24"/>
  <c r="I2034" i="24"/>
  <c r="I2033" i="24"/>
  <c r="I2032" i="24"/>
  <c r="I2031" i="24"/>
  <c r="I2030" i="24"/>
  <c r="I2029" i="24"/>
  <c r="I2028" i="24"/>
  <c r="I2027" i="24"/>
  <c r="I2026" i="24"/>
  <c r="I2025" i="24"/>
  <c r="I2024" i="24"/>
  <c r="I2023" i="24"/>
  <c r="I2022" i="24"/>
  <c r="I2021" i="24"/>
  <c r="I2020" i="24"/>
  <c r="I2019" i="24"/>
  <c r="I2018" i="24"/>
  <c r="I2017" i="24"/>
  <c r="I2016" i="24"/>
  <c r="I2015" i="24"/>
  <c r="I2014" i="24"/>
  <c r="I2013" i="24"/>
  <c r="I2012" i="24"/>
  <c r="I2011" i="24"/>
  <c r="I2010" i="24"/>
  <c r="I2009" i="24"/>
  <c r="I2008" i="24"/>
  <c r="I2007" i="24"/>
  <c r="I2006" i="24"/>
  <c r="I2005" i="24"/>
  <c r="I2004" i="24"/>
  <c r="I2003" i="24"/>
  <c r="I2002" i="24"/>
  <c r="I2001" i="24"/>
  <c r="I2000" i="24"/>
  <c r="I1999" i="24"/>
  <c r="I1998" i="24"/>
  <c r="I1997" i="24"/>
  <c r="I1996" i="24"/>
  <c r="I1995" i="24"/>
  <c r="I1994" i="24"/>
  <c r="I1993" i="24"/>
  <c r="I1992" i="24"/>
  <c r="I1991" i="24"/>
  <c r="I1990" i="24"/>
  <c r="I1989" i="24"/>
  <c r="I1988" i="24"/>
  <c r="I1987" i="24"/>
  <c r="I1986" i="24"/>
  <c r="I1985" i="24"/>
  <c r="I1984" i="24"/>
  <c r="I1983" i="24"/>
  <c r="I1982" i="24"/>
  <c r="I1981" i="24"/>
  <c r="I1980" i="24"/>
  <c r="I1979" i="24"/>
  <c r="I1978" i="24"/>
  <c r="I1977" i="24"/>
  <c r="I1976" i="24"/>
  <c r="I1975" i="24"/>
  <c r="I1974" i="24"/>
  <c r="I1973" i="24"/>
  <c r="I1972" i="24"/>
  <c r="I1971" i="24"/>
  <c r="I1970" i="24"/>
  <c r="I1969" i="24"/>
  <c r="I1968" i="24"/>
  <c r="I1967" i="24"/>
  <c r="I1966" i="24"/>
  <c r="I1965" i="24"/>
  <c r="I1964" i="24"/>
  <c r="I1963" i="24"/>
  <c r="I1962" i="24"/>
  <c r="I1961" i="24"/>
  <c r="I1960" i="24"/>
  <c r="I1959" i="24"/>
  <c r="I1958" i="24"/>
  <c r="I1957" i="24"/>
  <c r="I1956" i="24"/>
  <c r="I1955" i="24"/>
  <c r="I1954" i="24"/>
  <c r="I1953" i="24"/>
  <c r="I1952" i="24"/>
  <c r="I1951" i="24"/>
  <c r="I1950" i="24"/>
  <c r="I1949" i="24"/>
  <c r="I1948" i="24"/>
  <c r="I1947" i="24"/>
  <c r="I1946" i="24"/>
  <c r="I1945" i="24"/>
  <c r="I1944" i="24"/>
  <c r="I1943" i="24"/>
  <c r="I1942" i="24"/>
  <c r="I1941" i="24"/>
  <c r="I1940" i="24"/>
  <c r="I1939" i="24"/>
  <c r="I1938" i="24"/>
  <c r="I1937" i="24"/>
  <c r="I1936" i="24"/>
  <c r="I1935" i="24"/>
  <c r="I1934" i="24"/>
  <c r="I1933" i="24"/>
  <c r="I1932" i="24"/>
  <c r="I1931" i="24"/>
  <c r="I1930" i="24"/>
  <c r="I1929" i="24"/>
  <c r="I1928" i="24"/>
  <c r="I1927" i="24"/>
  <c r="I1926" i="24"/>
  <c r="I1925" i="24"/>
  <c r="I1924" i="24"/>
  <c r="I1923" i="24"/>
  <c r="I1922" i="24"/>
  <c r="I1921" i="24"/>
  <c r="I1920" i="24"/>
  <c r="I1919" i="24"/>
  <c r="I1918" i="24"/>
  <c r="I1917" i="24"/>
  <c r="I1916" i="24"/>
  <c r="I1915" i="24"/>
  <c r="I1914" i="24"/>
  <c r="I1913" i="24"/>
  <c r="I1912" i="24"/>
  <c r="I1911" i="24"/>
  <c r="I1910" i="24"/>
  <c r="I1909" i="24"/>
  <c r="I1908" i="24"/>
  <c r="I1907" i="24"/>
  <c r="I1906" i="24"/>
  <c r="I1905" i="24"/>
  <c r="I1904" i="24"/>
  <c r="I1903" i="24"/>
  <c r="I1902" i="24"/>
  <c r="I1901" i="24"/>
  <c r="I1900" i="24"/>
  <c r="I1899" i="24"/>
  <c r="I1898" i="24"/>
  <c r="I1897" i="24"/>
  <c r="I1896" i="24"/>
  <c r="I1895" i="24"/>
  <c r="I1894" i="24"/>
  <c r="I1893" i="24"/>
  <c r="I1892" i="24"/>
  <c r="I1891" i="24"/>
  <c r="I1890" i="24"/>
  <c r="I1889" i="24"/>
  <c r="I1888" i="24"/>
  <c r="I1887" i="24"/>
  <c r="I1886" i="24"/>
  <c r="I1885" i="24"/>
  <c r="I1884" i="24"/>
  <c r="I1883" i="24"/>
  <c r="I1882" i="24"/>
  <c r="I1881" i="24"/>
  <c r="I1880" i="24"/>
  <c r="I1879" i="24"/>
  <c r="I1878" i="24"/>
  <c r="I1877" i="24"/>
  <c r="I1876" i="24"/>
  <c r="I1875" i="24"/>
  <c r="I1874" i="24"/>
  <c r="I1873" i="24"/>
  <c r="I1872" i="24"/>
  <c r="I1871" i="24"/>
  <c r="I1870" i="24"/>
  <c r="I1869" i="24"/>
  <c r="I1868" i="24"/>
  <c r="I1867" i="24"/>
  <c r="I1866" i="24"/>
  <c r="I1865" i="24"/>
  <c r="I1864" i="24"/>
  <c r="I1863" i="24"/>
  <c r="I1862" i="24"/>
  <c r="I1861" i="24"/>
  <c r="I1860" i="24"/>
  <c r="I1859" i="24"/>
  <c r="I1858" i="24"/>
  <c r="I1857" i="24"/>
  <c r="I1856" i="24"/>
  <c r="I1855" i="24"/>
  <c r="I1854" i="24"/>
  <c r="I1853" i="24"/>
  <c r="I1852" i="24"/>
  <c r="I1851" i="24"/>
  <c r="I1850" i="24"/>
  <c r="I1849" i="24"/>
  <c r="I1848" i="24"/>
  <c r="I1847" i="24"/>
  <c r="I1846" i="24"/>
  <c r="I1845" i="24"/>
  <c r="I1844" i="24"/>
  <c r="I1843" i="24"/>
  <c r="I1842" i="24"/>
  <c r="I1841" i="24"/>
  <c r="I1840" i="24"/>
  <c r="I1839" i="24"/>
  <c r="I1838" i="24"/>
  <c r="I1837" i="24"/>
  <c r="I1836" i="24"/>
  <c r="I1835" i="24"/>
  <c r="I1834" i="24"/>
  <c r="I1833" i="24"/>
  <c r="I1832" i="24"/>
  <c r="I1831" i="24"/>
  <c r="I1830" i="24"/>
  <c r="I1829" i="24"/>
  <c r="I1828" i="24"/>
  <c r="I1827" i="24"/>
  <c r="I1826" i="24"/>
  <c r="I1825" i="24"/>
  <c r="I1824" i="24"/>
  <c r="I1823" i="24"/>
  <c r="I1822" i="24"/>
  <c r="I1821" i="24"/>
  <c r="I1820" i="24"/>
  <c r="I1819" i="24"/>
  <c r="I1818" i="24"/>
  <c r="I1817" i="24"/>
  <c r="I1816" i="24"/>
  <c r="I1815" i="24"/>
  <c r="I1814" i="24"/>
  <c r="I1813" i="24"/>
  <c r="I1812" i="24"/>
  <c r="I1811" i="24"/>
  <c r="I1810" i="24"/>
  <c r="I1809" i="24"/>
  <c r="I1808" i="24"/>
  <c r="I1807" i="24"/>
  <c r="I1806" i="24"/>
  <c r="I1805" i="24"/>
  <c r="I1804" i="24"/>
  <c r="I1803" i="24"/>
  <c r="I1802" i="24"/>
  <c r="I1801" i="24"/>
  <c r="I1800" i="24"/>
  <c r="I1799" i="24"/>
  <c r="I1798" i="24"/>
  <c r="I1797" i="24"/>
  <c r="I1796" i="24"/>
  <c r="I1795" i="24"/>
  <c r="I1794" i="24"/>
  <c r="I1793" i="24"/>
  <c r="I1792" i="24"/>
  <c r="I1791" i="24"/>
  <c r="I1790" i="24"/>
  <c r="I1789" i="24"/>
  <c r="I1788" i="24"/>
  <c r="I1787" i="24"/>
  <c r="I1786" i="24"/>
  <c r="I1785" i="24"/>
  <c r="I1784" i="24"/>
  <c r="I1783" i="24"/>
  <c r="I1782" i="24"/>
  <c r="I1781" i="24"/>
  <c r="I1780" i="24"/>
  <c r="I1779" i="24"/>
  <c r="I1778" i="24"/>
  <c r="I1777" i="24"/>
  <c r="I1776" i="24"/>
  <c r="I1775" i="24"/>
  <c r="I1774" i="24"/>
  <c r="I1773" i="24"/>
  <c r="I1772" i="24"/>
  <c r="I1771" i="24"/>
  <c r="I1770" i="24"/>
  <c r="I1769" i="24"/>
  <c r="I1768" i="24"/>
  <c r="I1767" i="24"/>
  <c r="I1766" i="24"/>
  <c r="I1765" i="24"/>
  <c r="I1764" i="24"/>
  <c r="I1763" i="24"/>
  <c r="I1762" i="24"/>
  <c r="I1761" i="24"/>
  <c r="I1760" i="24"/>
  <c r="I1759" i="24"/>
  <c r="I1758" i="24"/>
  <c r="I1757" i="24"/>
  <c r="I1756" i="24"/>
  <c r="I1755" i="24"/>
  <c r="I1754" i="24"/>
  <c r="I1753" i="24"/>
  <c r="I1752" i="24"/>
  <c r="I1751" i="24"/>
  <c r="I1750" i="24"/>
  <c r="I1749" i="24"/>
  <c r="I1748" i="24"/>
  <c r="I1747" i="24"/>
  <c r="I1746" i="24"/>
  <c r="I1745" i="24"/>
  <c r="I1744" i="24"/>
  <c r="I1743" i="24"/>
  <c r="I1742" i="24"/>
  <c r="I1741" i="24"/>
  <c r="I1740" i="24"/>
  <c r="I1739" i="24"/>
  <c r="I1738" i="24"/>
  <c r="I1737" i="24"/>
  <c r="I1736" i="24"/>
  <c r="I1735" i="24"/>
  <c r="I1734" i="24"/>
  <c r="I1733" i="24"/>
  <c r="I1732" i="24"/>
  <c r="I1731" i="24"/>
  <c r="I1730" i="24"/>
  <c r="I1729" i="24"/>
  <c r="I1728" i="24"/>
  <c r="I1727" i="24"/>
  <c r="I1726" i="24"/>
  <c r="I1725" i="24"/>
  <c r="I1724" i="24"/>
  <c r="I1723" i="24"/>
  <c r="I1722" i="24"/>
  <c r="I1721" i="24"/>
  <c r="I1720" i="24"/>
  <c r="I1719" i="24"/>
  <c r="I1718" i="24"/>
  <c r="I1717" i="24"/>
  <c r="I1716" i="24"/>
  <c r="I1715" i="24"/>
  <c r="I1714" i="24"/>
  <c r="I1713" i="24"/>
  <c r="I1712" i="24"/>
  <c r="I1711" i="24"/>
  <c r="I1710" i="24"/>
  <c r="I1709" i="24"/>
  <c r="I1708" i="24"/>
  <c r="I1707" i="24"/>
  <c r="I1706" i="24"/>
  <c r="I1705" i="24"/>
  <c r="I1704" i="24"/>
  <c r="I1703" i="24"/>
  <c r="I1702" i="24"/>
  <c r="I1701" i="24"/>
  <c r="I1700" i="24"/>
  <c r="I1699" i="24"/>
  <c r="I1698" i="24"/>
  <c r="I1697" i="24"/>
  <c r="I1696" i="24"/>
  <c r="I1695" i="24"/>
  <c r="I1694" i="24"/>
  <c r="I1693" i="24"/>
  <c r="I1692" i="24"/>
  <c r="I1691" i="24"/>
  <c r="I1690" i="24"/>
  <c r="I1689" i="24"/>
  <c r="I1688" i="24"/>
  <c r="I1687" i="24"/>
  <c r="I1686" i="24"/>
  <c r="I1685" i="24"/>
  <c r="I1684" i="24"/>
  <c r="I1683" i="24"/>
  <c r="I1682" i="24"/>
  <c r="I1681" i="24"/>
  <c r="I1680" i="24"/>
  <c r="I1679" i="24"/>
  <c r="I1678" i="24"/>
  <c r="I1677" i="24"/>
  <c r="I1676" i="24"/>
  <c r="I1675" i="24"/>
  <c r="I1674" i="24"/>
  <c r="I1673" i="24"/>
  <c r="I1672" i="24"/>
  <c r="I1671" i="24"/>
  <c r="I1670" i="24"/>
  <c r="I1669" i="24"/>
  <c r="I1668" i="24"/>
  <c r="I1667" i="24"/>
  <c r="I1666" i="24"/>
  <c r="I1665" i="24"/>
  <c r="I1664" i="24"/>
  <c r="I1663" i="24"/>
  <c r="I1662" i="24"/>
  <c r="I1661" i="24"/>
  <c r="I1660" i="24"/>
  <c r="I1659" i="24"/>
  <c r="I1658" i="24"/>
  <c r="I1657" i="24"/>
  <c r="I1656" i="24"/>
  <c r="I1655" i="24"/>
  <c r="I1654" i="24"/>
  <c r="I1653" i="24"/>
  <c r="I1652" i="24"/>
  <c r="I1651" i="24"/>
  <c r="I1650" i="24"/>
  <c r="I1649" i="24"/>
  <c r="I1648" i="24"/>
  <c r="I1647" i="24"/>
  <c r="I1646" i="24"/>
  <c r="I1645" i="24"/>
  <c r="I1644" i="24"/>
  <c r="I1643" i="24"/>
  <c r="I1642" i="24"/>
  <c r="I1641" i="24"/>
  <c r="I1640" i="24"/>
  <c r="I1639" i="24"/>
  <c r="I1638" i="24"/>
  <c r="I1637" i="24"/>
  <c r="I1636" i="24"/>
  <c r="I1635" i="24"/>
  <c r="I1634" i="24"/>
  <c r="I1633" i="24"/>
  <c r="I1632" i="24"/>
  <c r="I1631" i="24"/>
  <c r="I1630" i="24"/>
  <c r="I1629" i="24"/>
  <c r="I1628" i="24"/>
  <c r="I1627" i="24"/>
  <c r="I1626" i="24"/>
  <c r="I1625" i="24"/>
  <c r="I1624" i="24"/>
  <c r="I1623" i="24"/>
  <c r="I1622" i="24"/>
  <c r="I1621" i="24"/>
  <c r="I1620" i="24"/>
  <c r="I1619" i="24"/>
  <c r="I1618" i="24"/>
  <c r="I1617" i="24"/>
  <c r="I1616" i="24"/>
  <c r="I1615" i="24"/>
  <c r="I1614" i="24"/>
  <c r="I1613" i="24"/>
  <c r="I1612" i="24"/>
  <c r="I1611" i="24"/>
  <c r="I1610" i="24"/>
  <c r="I1609" i="24"/>
  <c r="I1608" i="24"/>
  <c r="I1607" i="24"/>
  <c r="I1606" i="24"/>
  <c r="I1605" i="24"/>
  <c r="I1604" i="24"/>
  <c r="I1603" i="24"/>
  <c r="I1602" i="24"/>
  <c r="I1601" i="24"/>
  <c r="I1600" i="24"/>
  <c r="I1599" i="24"/>
  <c r="I1598" i="24"/>
  <c r="I1597" i="24"/>
  <c r="I1596" i="24"/>
  <c r="I1595" i="24"/>
  <c r="I1594" i="24"/>
  <c r="I1593" i="24"/>
  <c r="I1592" i="24"/>
  <c r="I1591" i="24"/>
  <c r="I1590" i="24"/>
  <c r="I1589" i="24"/>
  <c r="I1588" i="24"/>
  <c r="I1587" i="24"/>
  <c r="I1586" i="24"/>
  <c r="I1585" i="24"/>
  <c r="I1584" i="24"/>
  <c r="I1583" i="24"/>
  <c r="I1582" i="24"/>
  <c r="I1581" i="24"/>
  <c r="I1580" i="24"/>
  <c r="I1579" i="24"/>
  <c r="I1578" i="24"/>
  <c r="I1577" i="24"/>
  <c r="I1576" i="24"/>
  <c r="I1575" i="24"/>
  <c r="I1574" i="24"/>
  <c r="I1573" i="24"/>
  <c r="I1572" i="24"/>
  <c r="I1571" i="24"/>
  <c r="I1570" i="24"/>
  <c r="I1569" i="24"/>
  <c r="I1568" i="24"/>
  <c r="I1567" i="24"/>
  <c r="I1566" i="24"/>
  <c r="I1565" i="24"/>
  <c r="I1564" i="24"/>
  <c r="I1563" i="24"/>
  <c r="I1562" i="24"/>
  <c r="I1561" i="24"/>
  <c r="I1560" i="24"/>
  <c r="I1559" i="24"/>
  <c r="I1558" i="24"/>
  <c r="I1557" i="24"/>
  <c r="I1556" i="24"/>
  <c r="I1555" i="24"/>
  <c r="I1554" i="24"/>
  <c r="I1553" i="24"/>
  <c r="I1552" i="24"/>
  <c r="I1551" i="24"/>
  <c r="I1550" i="24"/>
  <c r="I1549" i="24"/>
  <c r="I1548" i="24"/>
  <c r="I1547" i="24"/>
  <c r="I1546" i="24"/>
  <c r="I1545" i="24"/>
  <c r="I1544" i="24"/>
  <c r="I1543" i="24"/>
  <c r="I1542" i="24"/>
  <c r="I1541" i="24"/>
  <c r="I1540" i="24"/>
  <c r="I1539" i="24"/>
  <c r="I1538" i="24"/>
  <c r="I1537" i="24"/>
  <c r="I1536" i="24"/>
  <c r="I1535" i="24"/>
  <c r="I1534" i="24"/>
  <c r="I1533" i="24"/>
  <c r="I1532" i="24"/>
  <c r="I1531" i="24"/>
  <c r="I1530" i="24"/>
  <c r="I1529" i="24"/>
  <c r="I1528" i="24"/>
  <c r="I1527" i="24"/>
  <c r="I1526" i="24"/>
  <c r="I1525" i="24"/>
  <c r="I1524" i="24"/>
  <c r="I1523" i="24"/>
  <c r="I1522" i="24"/>
  <c r="I1521" i="24"/>
  <c r="I1520" i="24"/>
  <c r="I1519" i="24"/>
  <c r="I1518" i="24"/>
  <c r="I1517" i="24"/>
  <c r="I1516" i="24"/>
  <c r="I1515" i="24"/>
  <c r="I1514" i="24"/>
  <c r="I1513" i="24"/>
  <c r="I1512" i="24"/>
  <c r="I1511" i="24"/>
  <c r="I1510" i="24"/>
  <c r="I1509" i="24"/>
  <c r="I1508" i="24"/>
  <c r="I1507" i="24"/>
  <c r="I1506" i="24"/>
  <c r="I1505" i="24"/>
  <c r="I1504" i="24"/>
  <c r="I1503" i="24"/>
  <c r="I1502" i="24"/>
  <c r="I1501" i="24"/>
  <c r="I1500" i="24"/>
  <c r="I1499" i="24"/>
  <c r="I1498" i="24"/>
  <c r="I1497" i="24"/>
  <c r="I1496" i="24"/>
  <c r="I1495" i="24"/>
  <c r="I1494" i="24"/>
  <c r="I1493" i="24"/>
  <c r="I1492" i="24"/>
  <c r="I1491" i="24"/>
  <c r="I1490" i="24"/>
  <c r="I1489" i="24"/>
  <c r="I1488" i="24"/>
  <c r="I1487" i="24"/>
  <c r="I1486" i="24"/>
  <c r="I1485" i="24"/>
  <c r="I1484" i="24"/>
  <c r="I1483" i="24"/>
  <c r="I1482" i="24"/>
  <c r="I1481" i="24"/>
  <c r="I1480" i="24"/>
  <c r="I1479" i="24"/>
  <c r="I1478" i="24"/>
  <c r="I1477" i="24"/>
  <c r="I1476" i="24"/>
  <c r="I1475" i="24"/>
  <c r="I1474" i="24"/>
  <c r="I1473" i="24"/>
  <c r="I1472" i="24"/>
  <c r="I1471" i="24"/>
  <c r="I1470" i="24"/>
  <c r="I1469" i="24"/>
  <c r="I1468" i="24"/>
  <c r="I1467" i="24"/>
  <c r="I1466" i="24"/>
  <c r="I1465" i="24"/>
  <c r="I1464" i="24"/>
  <c r="I1463" i="24"/>
  <c r="I1462" i="24"/>
  <c r="I1461" i="24"/>
  <c r="I1460" i="24"/>
  <c r="I1459" i="24"/>
  <c r="I1458" i="24"/>
  <c r="I1457" i="24"/>
  <c r="I1456" i="24"/>
  <c r="I1455" i="24"/>
  <c r="I1454" i="24"/>
  <c r="I1453" i="24"/>
  <c r="I1452" i="24"/>
  <c r="I1451" i="24"/>
  <c r="I1450" i="24"/>
  <c r="I1449" i="24"/>
  <c r="I1448" i="24"/>
  <c r="I1447" i="24"/>
  <c r="I1446" i="24"/>
  <c r="I1445" i="24"/>
  <c r="I1444" i="24"/>
  <c r="I1443" i="24"/>
  <c r="I1442" i="24"/>
  <c r="I1441" i="24"/>
  <c r="I1440" i="24"/>
  <c r="I1439" i="24"/>
  <c r="I1438" i="24"/>
  <c r="I1437" i="24"/>
  <c r="I1436" i="24"/>
  <c r="I1435" i="24"/>
  <c r="I1434" i="24"/>
  <c r="I1433" i="24"/>
  <c r="I1432" i="24"/>
  <c r="I1431" i="24"/>
  <c r="I1430" i="24"/>
  <c r="I1429" i="24"/>
  <c r="I1428" i="24"/>
  <c r="I1427" i="24"/>
  <c r="I1426" i="24"/>
  <c r="I1425" i="24"/>
  <c r="I1424" i="24"/>
  <c r="I1423" i="24"/>
  <c r="I1422" i="24"/>
  <c r="I1421" i="24"/>
  <c r="I1420" i="24"/>
  <c r="I1419" i="24"/>
  <c r="I1418" i="24"/>
  <c r="I1417" i="24"/>
  <c r="I1416" i="24"/>
  <c r="I1415" i="24"/>
  <c r="I1414" i="24"/>
  <c r="I1413" i="24"/>
  <c r="I1412" i="24"/>
  <c r="I1411" i="24"/>
  <c r="I1410" i="24"/>
  <c r="I1409" i="24"/>
  <c r="I1408" i="24"/>
  <c r="I1407" i="24"/>
  <c r="I1406" i="24"/>
  <c r="I1405" i="24"/>
  <c r="I1404" i="24"/>
  <c r="I1403" i="24"/>
  <c r="I1402" i="24"/>
  <c r="I1401" i="24"/>
  <c r="I1400" i="24"/>
  <c r="I1399" i="24"/>
  <c r="I1398" i="24"/>
  <c r="I1397" i="24"/>
  <c r="I1396" i="24"/>
  <c r="I1395" i="24"/>
  <c r="I1394" i="24"/>
  <c r="I1393" i="24"/>
  <c r="I1392" i="24"/>
  <c r="I1391" i="24"/>
  <c r="I1390" i="24"/>
  <c r="I1389" i="24"/>
  <c r="I1388" i="24"/>
  <c r="I1387" i="24"/>
  <c r="I1386" i="24"/>
  <c r="I1385" i="24"/>
  <c r="I1384" i="24"/>
  <c r="I1383" i="24"/>
  <c r="I1382" i="24"/>
  <c r="I1381" i="24"/>
  <c r="I1380" i="24"/>
  <c r="I1379" i="24"/>
  <c r="I1378" i="24"/>
  <c r="I1377" i="24"/>
  <c r="I1376" i="24"/>
  <c r="I1375" i="24"/>
  <c r="I1374" i="24"/>
  <c r="I1373" i="24"/>
  <c r="I1372" i="24"/>
  <c r="I1371" i="24"/>
  <c r="I1370" i="24"/>
  <c r="I1369" i="24"/>
  <c r="I1368" i="24"/>
  <c r="I1367" i="24"/>
  <c r="I1366" i="24"/>
  <c r="I1365" i="24"/>
  <c r="I1364" i="24"/>
  <c r="I1363" i="24"/>
  <c r="I1362" i="24"/>
  <c r="I1361" i="24"/>
  <c r="I1360" i="24"/>
  <c r="I1359" i="24"/>
  <c r="I1358" i="24"/>
  <c r="I1357" i="24"/>
  <c r="I1356" i="24"/>
  <c r="I1355" i="24"/>
  <c r="I1354" i="24"/>
  <c r="I1353" i="24"/>
  <c r="I1352" i="24"/>
  <c r="I1351" i="24"/>
  <c r="I1350" i="24"/>
  <c r="I1349" i="24"/>
  <c r="I1348" i="24"/>
  <c r="I1347" i="24"/>
  <c r="I1346" i="24"/>
  <c r="I1345" i="24"/>
  <c r="I1344" i="24"/>
  <c r="I1343" i="24"/>
  <c r="I1342" i="24"/>
  <c r="I1341" i="24"/>
  <c r="I1340" i="24"/>
  <c r="I1339" i="24"/>
  <c r="I1338" i="24"/>
  <c r="I1337" i="24"/>
  <c r="I1336" i="24"/>
  <c r="I1335" i="24"/>
  <c r="I1334" i="24"/>
  <c r="I1333" i="24"/>
  <c r="I1332" i="24"/>
  <c r="I1331" i="24"/>
  <c r="I1330" i="24"/>
  <c r="I1329" i="24"/>
  <c r="I1328" i="24"/>
  <c r="I1327" i="24"/>
  <c r="I1326" i="24"/>
  <c r="I1325" i="24"/>
  <c r="I1324" i="24"/>
  <c r="I1323" i="24"/>
  <c r="I1322" i="24"/>
  <c r="I1321" i="24"/>
  <c r="I1320" i="24"/>
  <c r="I1319" i="24"/>
  <c r="I1318" i="24"/>
  <c r="I1317" i="24"/>
  <c r="I1316" i="24"/>
  <c r="I1315" i="24"/>
  <c r="I1314" i="24"/>
  <c r="I1313" i="24"/>
  <c r="I1312" i="24"/>
  <c r="I1311" i="24"/>
  <c r="I1310" i="24"/>
  <c r="I1309" i="24"/>
  <c r="I1308" i="24"/>
  <c r="I1307" i="24"/>
  <c r="I1306" i="24"/>
  <c r="I1305" i="24"/>
  <c r="I1304" i="24"/>
  <c r="I1303" i="24"/>
  <c r="I1302" i="24"/>
  <c r="I1301" i="24"/>
  <c r="I1300" i="24"/>
  <c r="I1299" i="24"/>
  <c r="I1298" i="24"/>
  <c r="I1297" i="24"/>
  <c r="I1296" i="24"/>
  <c r="I1295" i="24"/>
  <c r="I1294" i="24"/>
  <c r="I1293" i="24"/>
  <c r="I1292" i="24"/>
  <c r="I1291" i="24"/>
  <c r="I1290" i="24"/>
  <c r="I1289" i="24"/>
  <c r="I1288" i="24"/>
  <c r="I1287" i="24"/>
  <c r="I1286" i="24"/>
  <c r="I1285" i="24"/>
  <c r="I1284" i="24"/>
  <c r="I1283" i="24"/>
  <c r="I1282" i="24"/>
  <c r="I1281" i="24"/>
  <c r="I1280" i="24"/>
  <c r="I1279" i="24"/>
  <c r="I1278" i="24"/>
  <c r="I1277" i="24"/>
  <c r="I1276" i="24"/>
  <c r="I1275" i="24"/>
  <c r="I1274" i="24"/>
  <c r="I1273" i="24"/>
  <c r="I1272" i="24"/>
  <c r="I1271" i="24"/>
  <c r="I1270" i="24"/>
  <c r="I1269" i="24"/>
  <c r="I1268" i="24"/>
  <c r="I1267" i="24"/>
  <c r="I1266" i="24"/>
  <c r="I1265" i="24"/>
  <c r="I1264" i="24"/>
  <c r="I1263" i="24"/>
  <c r="I1262" i="24"/>
  <c r="I1261" i="24"/>
  <c r="I1260" i="24"/>
  <c r="I1259" i="24"/>
  <c r="I1258" i="24"/>
  <c r="I1257" i="24"/>
  <c r="I1256" i="24"/>
  <c r="I1255" i="24"/>
  <c r="I1254" i="24"/>
  <c r="I1253" i="24"/>
  <c r="I1252" i="24"/>
  <c r="I1251" i="24"/>
  <c r="I1250" i="24"/>
  <c r="I1249" i="24"/>
  <c r="I1248" i="24"/>
  <c r="I1247" i="24"/>
  <c r="I1246" i="24"/>
  <c r="I1245" i="24"/>
  <c r="I1244" i="24"/>
  <c r="I1243" i="24"/>
  <c r="I1242" i="24"/>
  <c r="I1241" i="24"/>
  <c r="I1240" i="24"/>
  <c r="I1239" i="24"/>
  <c r="I1238" i="24"/>
  <c r="I1237" i="24"/>
  <c r="I1236" i="24"/>
  <c r="I1235" i="24"/>
  <c r="I1234" i="24"/>
  <c r="I1233" i="24"/>
  <c r="I1232" i="24"/>
  <c r="I1231" i="24"/>
  <c r="I1230" i="24"/>
  <c r="I1229" i="24"/>
  <c r="I1228" i="24"/>
  <c r="I1227" i="24"/>
  <c r="I1226" i="24"/>
  <c r="I1225" i="24"/>
  <c r="I1224" i="24"/>
  <c r="I1223" i="24"/>
  <c r="I1222" i="24"/>
  <c r="I1221" i="24"/>
  <c r="I1220" i="24"/>
  <c r="I1219" i="24"/>
  <c r="I1218" i="24"/>
  <c r="I1217" i="24"/>
  <c r="I1216" i="24"/>
  <c r="I1215" i="24"/>
  <c r="I1214" i="24"/>
  <c r="I1213" i="24"/>
  <c r="I1212" i="24"/>
  <c r="I1211" i="24"/>
  <c r="I1210" i="24"/>
  <c r="I1209" i="24"/>
  <c r="I1208" i="24"/>
  <c r="I1207" i="24"/>
  <c r="I1206" i="24"/>
  <c r="I1205" i="24"/>
  <c r="I1204" i="24"/>
  <c r="I1203" i="24"/>
  <c r="I1202" i="24"/>
  <c r="I1201" i="24"/>
  <c r="I1200" i="24"/>
  <c r="I1199" i="24"/>
  <c r="I1198" i="24"/>
  <c r="I1197" i="24"/>
  <c r="I1196" i="24"/>
  <c r="I1195" i="24"/>
  <c r="I1194" i="24"/>
  <c r="I1193" i="24"/>
  <c r="I1192" i="24"/>
  <c r="I1191" i="24"/>
  <c r="I1190" i="24"/>
  <c r="I1189" i="24"/>
  <c r="I1188" i="24"/>
  <c r="I1187" i="24"/>
  <c r="I1186" i="24"/>
  <c r="I1185" i="24"/>
  <c r="I1184" i="24"/>
  <c r="I1183" i="24"/>
  <c r="I1182" i="24"/>
  <c r="I1181" i="24"/>
  <c r="I1180" i="24"/>
  <c r="I1179" i="24"/>
  <c r="I1178" i="24"/>
  <c r="I1177" i="24"/>
  <c r="I1176" i="24"/>
  <c r="I1175" i="24"/>
  <c r="I1174" i="24"/>
  <c r="I1173" i="24"/>
  <c r="I1172" i="24"/>
  <c r="I1171" i="24"/>
  <c r="I1170" i="24"/>
  <c r="I1169" i="24"/>
  <c r="I1168" i="24"/>
  <c r="I1167" i="24"/>
  <c r="I1166" i="24"/>
  <c r="I1165" i="24"/>
  <c r="I1164" i="24"/>
  <c r="I1163" i="24"/>
  <c r="I1162" i="24"/>
  <c r="I1161" i="24"/>
  <c r="I1160" i="24"/>
  <c r="I1159" i="24"/>
  <c r="I1158" i="24"/>
  <c r="I1157" i="24"/>
  <c r="I1156" i="24"/>
  <c r="I1155" i="24"/>
  <c r="I1154" i="24"/>
  <c r="I1153" i="24"/>
  <c r="I1152" i="24"/>
  <c r="I1151" i="24"/>
  <c r="I1150" i="24"/>
  <c r="I1149" i="24"/>
  <c r="I1148" i="24"/>
  <c r="I1147" i="24"/>
  <c r="I1146" i="24"/>
  <c r="I1145" i="24"/>
  <c r="I1144" i="24"/>
  <c r="I1143" i="24"/>
  <c r="I1142" i="24"/>
  <c r="I1141" i="24"/>
  <c r="I1140" i="24"/>
  <c r="I1139" i="24"/>
  <c r="I1138" i="24"/>
  <c r="I1137" i="24"/>
  <c r="I1136" i="24"/>
  <c r="I1135" i="24"/>
  <c r="I1134" i="24"/>
  <c r="I1133" i="24"/>
  <c r="I1132" i="24"/>
  <c r="I1131" i="24"/>
  <c r="I1130" i="24"/>
  <c r="I1129" i="24"/>
  <c r="I1128" i="24"/>
  <c r="I1127" i="24"/>
  <c r="I1126" i="24"/>
  <c r="I1125" i="24"/>
  <c r="I1124" i="24"/>
  <c r="I1123" i="24"/>
  <c r="I1122" i="24"/>
  <c r="I1121" i="24"/>
  <c r="I1120" i="24"/>
  <c r="I1119" i="24"/>
  <c r="I1118" i="24"/>
  <c r="I1117" i="24"/>
  <c r="I1116" i="24"/>
  <c r="I1115" i="24"/>
  <c r="I1114" i="24"/>
  <c r="I1113" i="24"/>
  <c r="I1112" i="24"/>
  <c r="I1111" i="24"/>
  <c r="I1110" i="24"/>
  <c r="I1109" i="24"/>
  <c r="I1108" i="24"/>
  <c r="I1107" i="24"/>
  <c r="I1106" i="24"/>
  <c r="I1105" i="24"/>
  <c r="I1104" i="24"/>
  <c r="I1103" i="24"/>
  <c r="I1102" i="24"/>
  <c r="I1101" i="24"/>
  <c r="I1100" i="24"/>
  <c r="I1099" i="24"/>
  <c r="I1098" i="24"/>
  <c r="I1097" i="24"/>
  <c r="I1096" i="24"/>
  <c r="I1095" i="24"/>
  <c r="I1094" i="24"/>
  <c r="I1093" i="24"/>
  <c r="I1092" i="24"/>
  <c r="I1091" i="24"/>
  <c r="I1090" i="24"/>
  <c r="I1089" i="24"/>
  <c r="I1088" i="24"/>
  <c r="I1087" i="24"/>
  <c r="I1086" i="24"/>
  <c r="I1085" i="24"/>
  <c r="I1084" i="24"/>
  <c r="I1083" i="24"/>
  <c r="I1082" i="24"/>
  <c r="I1081" i="24"/>
  <c r="I1080" i="24"/>
  <c r="I1079" i="24"/>
  <c r="I1078" i="24"/>
  <c r="I1077" i="24"/>
  <c r="I1076" i="24"/>
  <c r="I1075" i="24"/>
  <c r="I1074" i="24"/>
  <c r="I1073" i="24"/>
  <c r="I1072" i="24"/>
  <c r="I1071" i="24"/>
  <c r="I1070" i="24"/>
  <c r="I1069" i="24"/>
  <c r="I1068" i="24"/>
  <c r="I1067" i="24"/>
  <c r="I1066" i="24"/>
  <c r="I1065" i="24"/>
  <c r="I1064" i="24"/>
  <c r="I1063" i="24"/>
  <c r="I1062" i="24"/>
  <c r="I1061" i="24"/>
  <c r="I1060" i="24"/>
  <c r="I1059" i="24"/>
  <c r="I1058" i="24"/>
  <c r="I1057" i="24"/>
  <c r="I1056" i="24"/>
  <c r="I1055" i="24"/>
  <c r="I1054" i="24"/>
  <c r="I1053" i="24"/>
  <c r="I1052" i="24"/>
  <c r="I1051" i="24"/>
  <c r="I1050" i="24"/>
  <c r="I1049" i="24"/>
  <c r="I1048" i="24"/>
  <c r="I1047" i="24"/>
  <c r="I1046" i="24"/>
  <c r="I1045" i="24"/>
  <c r="I1044" i="24"/>
  <c r="I1043" i="24"/>
  <c r="I1042" i="24"/>
  <c r="I1041" i="24"/>
  <c r="I1040" i="24"/>
  <c r="I1039" i="24"/>
  <c r="I1038" i="24"/>
  <c r="I1037" i="24"/>
  <c r="I1036" i="24"/>
  <c r="I1035" i="24"/>
  <c r="I1034" i="24"/>
  <c r="I1033" i="24"/>
  <c r="I1032" i="24"/>
  <c r="I1031" i="24"/>
  <c r="I1030" i="24"/>
  <c r="I1029" i="24"/>
  <c r="I1028" i="24"/>
  <c r="I1027" i="24"/>
  <c r="I1026" i="24"/>
  <c r="I1025" i="24"/>
  <c r="I1024" i="24"/>
  <c r="I1023" i="24"/>
  <c r="I1022" i="24"/>
  <c r="I1021" i="24"/>
  <c r="I1020" i="24"/>
  <c r="I1019" i="24"/>
  <c r="I1018" i="24"/>
  <c r="I1017" i="24"/>
  <c r="I1016" i="24"/>
  <c r="I1015" i="24"/>
  <c r="I1014" i="24"/>
  <c r="I1013" i="24"/>
  <c r="I1012" i="24"/>
  <c r="I1011" i="24"/>
  <c r="I1010" i="24"/>
  <c r="I1009" i="24"/>
  <c r="I1008" i="24"/>
  <c r="I1007" i="24"/>
  <c r="I1006" i="24"/>
  <c r="I1005" i="24"/>
  <c r="I1004" i="24"/>
  <c r="I1003" i="24"/>
  <c r="I1002" i="24"/>
  <c r="I1001" i="24"/>
  <c r="I1000" i="24"/>
  <c r="I999" i="24"/>
  <c r="I998" i="24"/>
  <c r="I997" i="24"/>
  <c r="I996" i="24"/>
  <c r="I995" i="24"/>
  <c r="I994" i="24"/>
  <c r="I993" i="24"/>
  <c r="I992" i="24"/>
  <c r="I991" i="24"/>
  <c r="I990" i="24"/>
  <c r="I989" i="24"/>
  <c r="I988" i="24"/>
  <c r="I987" i="24"/>
  <c r="I986" i="24"/>
  <c r="I985" i="24"/>
  <c r="I984" i="24"/>
  <c r="I983" i="24"/>
  <c r="I982" i="24"/>
  <c r="I981" i="24"/>
  <c r="I980" i="24"/>
  <c r="I979" i="24"/>
  <c r="I978" i="24"/>
  <c r="I977" i="24"/>
  <c r="I976" i="24"/>
  <c r="I975" i="24"/>
  <c r="I974" i="24"/>
  <c r="I973" i="24"/>
  <c r="I972" i="24"/>
  <c r="I971" i="24"/>
  <c r="I970" i="24"/>
  <c r="I969" i="24"/>
  <c r="I968" i="24"/>
  <c r="I967" i="24"/>
  <c r="I966" i="24"/>
  <c r="I965" i="24"/>
  <c r="I964" i="24"/>
  <c r="I963" i="24"/>
  <c r="I962" i="24"/>
  <c r="I961" i="24"/>
  <c r="I960" i="24"/>
  <c r="I959" i="24"/>
  <c r="I958" i="24"/>
  <c r="I957" i="24"/>
  <c r="I956" i="24"/>
  <c r="I955" i="24"/>
  <c r="I954" i="24"/>
  <c r="I953" i="24"/>
  <c r="I952" i="24"/>
  <c r="I951" i="24"/>
  <c r="I950" i="24"/>
  <c r="I949" i="24"/>
  <c r="I948" i="24"/>
  <c r="I947" i="24"/>
  <c r="I946" i="24"/>
  <c r="I945" i="24"/>
  <c r="I944" i="24"/>
  <c r="I943" i="24"/>
  <c r="I942" i="24"/>
  <c r="I941" i="24"/>
  <c r="I940" i="24"/>
  <c r="I939" i="24"/>
  <c r="I938" i="24"/>
  <c r="I937" i="24"/>
  <c r="I936" i="24"/>
  <c r="I935" i="24"/>
  <c r="I934" i="24"/>
  <c r="I933" i="24"/>
  <c r="I932" i="24"/>
  <c r="I931" i="24"/>
  <c r="I930" i="24"/>
  <c r="I929" i="24"/>
  <c r="I928" i="24"/>
  <c r="I927" i="24"/>
  <c r="I926" i="24"/>
  <c r="I925" i="24"/>
  <c r="I924" i="24"/>
  <c r="I923" i="24"/>
  <c r="I922" i="24"/>
  <c r="I921" i="24"/>
  <c r="I920" i="24"/>
  <c r="I919" i="24"/>
  <c r="I918" i="24"/>
  <c r="I917" i="24"/>
  <c r="I916" i="24"/>
  <c r="I915" i="24"/>
  <c r="I914" i="24"/>
  <c r="I913" i="24"/>
  <c r="I912" i="24"/>
  <c r="I911" i="24"/>
  <c r="I910" i="24"/>
  <c r="I909" i="24"/>
  <c r="I908" i="24"/>
  <c r="I907" i="24"/>
  <c r="I906" i="24"/>
  <c r="I905" i="24"/>
  <c r="I904" i="24"/>
  <c r="I903" i="24"/>
  <c r="I902" i="24"/>
  <c r="I901" i="24"/>
  <c r="I900" i="24"/>
  <c r="I899" i="24"/>
  <c r="I898" i="24"/>
  <c r="I897" i="24"/>
  <c r="I896" i="24"/>
  <c r="I895" i="24"/>
  <c r="I894" i="24"/>
  <c r="I893" i="24"/>
  <c r="I892" i="24"/>
  <c r="I891" i="24"/>
  <c r="I890" i="24"/>
  <c r="I889" i="24"/>
  <c r="I888" i="24"/>
  <c r="I887" i="24"/>
  <c r="I886" i="24"/>
  <c r="I885" i="24"/>
  <c r="I884" i="24"/>
  <c r="I883" i="24"/>
  <c r="I882" i="24"/>
  <c r="I881" i="24"/>
  <c r="I880" i="24"/>
  <c r="I879" i="24"/>
  <c r="I878" i="24"/>
  <c r="I877" i="24"/>
  <c r="I876" i="24"/>
  <c r="I875" i="24"/>
  <c r="I874" i="24"/>
  <c r="I873" i="24"/>
  <c r="I872" i="24"/>
  <c r="I871" i="24"/>
  <c r="I870" i="24"/>
  <c r="I869" i="24"/>
  <c r="I868" i="24"/>
  <c r="I867" i="24"/>
  <c r="I866" i="24"/>
  <c r="I865" i="24"/>
  <c r="I864" i="24"/>
  <c r="I863" i="24"/>
  <c r="I862" i="24"/>
  <c r="I861" i="24"/>
  <c r="I860" i="24"/>
  <c r="I859" i="24"/>
  <c r="I858" i="24"/>
  <c r="I857" i="24"/>
  <c r="I856" i="24"/>
  <c r="I855" i="24"/>
  <c r="I854" i="24"/>
  <c r="I853" i="24"/>
  <c r="I852" i="24"/>
  <c r="I851" i="24"/>
  <c r="I850" i="24"/>
  <c r="I849" i="24"/>
  <c r="I848" i="24"/>
  <c r="I847" i="24"/>
  <c r="I846" i="24"/>
  <c r="I845" i="24"/>
  <c r="I844" i="24"/>
  <c r="I843" i="24"/>
  <c r="I842" i="24"/>
  <c r="I841" i="24"/>
  <c r="I840" i="24"/>
  <c r="I839" i="24"/>
  <c r="I838" i="24"/>
  <c r="I837" i="24"/>
  <c r="I836" i="24"/>
  <c r="I835" i="24"/>
  <c r="I834" i="24"/>
  <c r="I833" i="24"/>
  <c r="I832" i="24"/>
  <c r="I831" i="24"/>
  <c r="I830" i="24"/>
  <c r="I829" i="24"/>
  <c r="I828" i="24"/>
  <c r="I827" i="24"/>
  <c r="I826" i="24"/>
  <c r="I825" i="24"/>
  <c r="I824" i="24"/>
  <c r="I823" i="24"/>
  <c r="I822" i="24"/>
  <c r="I821" i="24"/>
  <c r="I820" i="24"/>
  <c r="I819" i="24"/>
  <c r="I818" i="24"/>
  <c r="I817" i="24"/>
  <c r="I816" i="24"/>
  <c r="I815" i="24"/>
  <c r="I814" i="24"/>
  <c r="I813" i="24"/>
  <c r="I812" i="24"/>
  <c r="I811" i="24"/>
  <c r="I810" i="24"/>
  <c r="I809" i="24"/>
  <c r="I808" i="24"/>
  <c r="I807" i="24"/>
  <c r="I806" i="24"/>
  <c r="I805" i="24"/>
  <c r="I804" i="24"/>
  <c r="I803" i="24"/>
  <c r="I802" i="24"/>
  <c r="I801" i="24"/>
  <c r="I800" i="24"/>
  <c r="I799" i="24"/>
  <c r="I798" i="24"/>
  <c r="I797" i="24"/>
  <c r="I796" i="24"/>
  <c r="I795" i="24"/>
  <c r="I794" i="24"/>
  <c r="I793" i="24"/>
  <c r="I792" i="24"/>
  <c r="I791" i="24"/>
  <c r="I790" i="24"/>
  <c r="I789" i="24"/>
  <c r="I788" i="24"/>
  <c r="I787" i="24"/>
  <c r="I786" i="24"/>
  <c r="I785" i="24"/>
  <c r="I784" i="24"/>
  <c r="I783" i="24"/>
  <c r="I782" i="24"/>
  <c r="I781" i="24"/>
  <c r="I780" i="24"/>
  <c r="I779" i="24"/>
  <c r="I778" i="24"/>
  <c r="I777" i="24"/>
  <c r="I776" i="24"/>
  <c r="I775" i="24"/>
  <c r="I774" i="24"/>
  <c r="I773" i="24"/>
  <c r="I772" i="24"/>
  <c r="I771" i="24"/>
  <c r="I770" i="24"/>
  <c r="I769" i="24"/>
  <c r="I768" i="24"/>
  <c r="I767" i="24"/>
  <c r="I766" i="24"/>
  <c r="I765" i="24"/>
  <c r="I764" i="24"/>
  <c r="I763" i="24"/>
  <c r="I762" i="24"/>
  <c r="I761" i="24"/>
  <c r="I760" i="24"/>
  <c r="I759" i="24"/>
  <c r="I758" i="24"/>
  <c r="I757" i="24"/>
  <c r="I756" i="24"/>
  <c r="I755" i="24"/>
  <c r="I754" i="24"/>
  <c r="I753" i="24"/>
  <c r="I752" i="24"/>
  <c r="I751" i="24"/>
  <c r="I750" i="24"/>
  <c r="I749" i="24"/>
  <c r="I748" i="24"/>
  <c r="I747" i="24"/>
  <c r="I746" i="24"/>
  <c r="I745" i="24"/>
  <c r="I744" i="24"/>
  <c r="I743" i="24"/>
  <c r="I742" i="24"/>
  <c r="I741" i="24"/>
  <c r="I740" i="24"/>
  <c r="I739" i="24"/>
  <c r="I738" i="24"/>
  <c r="I737" i="24"/>
  <c r="I736" i="24"/>
  <c r="I735" i="24"/>
  <c r="I734" i="24"/>
  <c r="I733" i="24"/>
  <c r="I732" i="24"/>
  <c r="I731" i="24"/>
  <c r="I730" i="24"/>
  <c r="I729" i="24"/>
  <c r="I728" i="24"/>
  <c r="I727" i="24"/>
  <c r="I726" i="24"/>
  <c r="I725" i="24"/>
  <c r="I724" i="24"/>
  <c r="I723" i="24"/>
  <c r="I722" i="24"/>
  <c r="I721" i="24"/>
  <c r="I720" i="24"/>
  <c r="I719" i="24"/>
  <c r="I718" i="24"/>
  <c r="I717" i="24"/>
  <c r="I716" i="24"/>
  <c r="I715" i="24"/>
  <c r="I714" i="24"/>
  <c r="I713" i="24"/>
  <c r="I712" i="24"/>
  <c r="I711" i="24"/>
  <c r="I710" i="24"/>
  <c r="I709" i="24"/>
  <c r="I708" i="24"/>
  <c r="I707" i="24"/>
  <c r="I706" i="24"/>
  <c r="I705" i="24"/>
  <c r="I704" i="24"/>
  <c r="I703" i="24"/>
  <c r="I702" i="24"/>
  <c r="I701" i="24"/>
  <c r="I700" i="24"/>
  <c r="I699" i="24"/>
  <c r="I698" i="24"/>
  <c r="I697" i="24"/>
  <c r="I696" i="24"/>
  <c r="I695" i="24"/>
  <c r="I694" i="24"/>
  <c r="I693" i="24"/>
  <c r="I692" i="24"/>
  <c r="I691" i="24"/>
  <c r="I690" i="24"/>
  <c r="I689" i="24"/>
  <c r="I688" i="24"/>
  <c r="I687" i="24"/>
  <c r="I686" i="24"/>
  <c r="I685" i="24"/>
  <c r="I684" i="24"/>
  <c r="I683" i="24"/>
  <c r="I682" i="24"/>
  <c r="I681" i="24"/>
  <c r="I680" i="24"/>
  <c r="I679" i="24"/>
  <c r="I678" i="24"/>
  <c r="I677" i="24"/>
  <c r="I676" i="24"/>
  <c r="I675" i="24"/>
  <c r="I674" i="24"/>
  <c r="I673" i="24"/>
  <c r="I672" i="24"/>
  <c r="I671" i="24"/>
  <c r="I670" i="24"/>
  <c r="I669" i="24"/>
  <c r="I668" i="24"/>
  <c r="I667" i="24"/>
  <c r="I666" i="24"/>
  <c r="I665" i="24"/>
  <c r="I664" i="24"/>
  <c r="I663" i="24"/>
  <c r="I662" i="24"/>
  <c r="I661" i="24"/>
  <c r="I660" i="24"/>
  <c r="I659" i="24"/>
  <c r="I658" i="24"/>
  <c r="I657" i="24"/>
  <c r="I656" i="24"/>
  <c r="I655" i="24"/>
  <c r="I654" i="24"/>
  <c r="I653" i="24"/>
  <c r="I652" i="24"/>
  <c r="I651" i="24"/>
  <c r="I650" i="24"/>
  <c r="I649" i="24"/>
  <c r="I648" i="24"/>
  <c r="I647" i="24"/>
  <c r="I646" i="24"/>
  <c r="I645" i="24"/>
  <c r="I644" i="24"/>
  <c r="I643" i="24"/>
  <c r="I642" i="24"/>
  <c r="I641" i="24"/>
  <c r="I640" i="24"/>
  <c r="I639" i="24"/>
  <c r="I638" i="24"/>
  <c r="I637" i="24"/>
  <c r="I636" i="24"/>
  <c r="I635" i="24"/>
  <c r="I634" i="24"/>
  <c r="I633" i="24"/>
  <c r="I632" i="24"/>
  <c r="I631" i="24"/>
  <c r="I630" i="24"/>
  <c r="I629" i="24"/>
  <c r="I628" i="24"/>
  <c r="I627" i="24"/>
  <c r="I626" i="24"/>
  <c r="I625" i="24"/>
  <c r="I624" i="24"/>
  <c r="I623" i="24"/>
  <c r="I622" i="24"/>
  <c r="I621" i="24"/>
  <c r="I620" i="24"/>
  <c r="I619" i="24"/>
  <c r="I618" i="24"/>
  <c r="I617" i="24"/>
  <c r="I616" i="24"/>
  <c r="I615" i="24"/>
  <c r="I614" i="24"/>
  <c r="I613" i="24"/>
  <c r="I612" i="24"/>
  <c r="I611" i="24"/>
  <c r="I610" i="24"/>
  <c r="I609" i="24"/>
  <c r="I608" i="24"/>
  <c r="I607" i="24"/>
  <c r="I606" i="24"/>
  <c r="I605" i="24"/>
  <c r="I604" i="24"/>
  <c r="I603" i="24"/>
  <c r="I602" i="24"/>
  <c r="I601" i="24"/>
  <c r="I600" i="24"/>
  <c r="I599" i="24"/>
  <c r="I598" i="24"/>
  <c r="I597" i="24"/>
  <c r="I596" i="24"/>
  <c r="I595" i="24"/>
  <c r="I594" i="24"/>
  <c r="I593" i="24"/>
  <c r="I592" i="24"/>
  <c r="I591" i="24"/>
  <c r="I590" i="24"/>
  <c r="I589" i="24"/>
  <c r="I588" i="24"/>
  <c r="I587" i="24"/>
  <c r="I586" i="24"/>
  <c r="I585" i="24"/>
  <c r="I584" i="24"/>
  <c r="I583" i="24"/>
  <c r="I582" i="24"/>
  <c r="I581" i="24"/>
  <c r="I580" i="24"/>
  <c r="I579" i="24"/>
  <c r="I578" i="24"/>
  <c r="I577" i="24"/>
  <c r="I576" i="24"/>
  <c r="I575" i="24"/>
  <c r="I574" i="24"/>
  <c r="I573" i="24"/>
  <c r="I572" i="24"/>
  <c r="I571" i="24"/>
  <c r="I570" i="24"/>
  <c r="I569" i="24"/>
  <c r="I568" i="24"/>
  <c r="I567" i="24"/>
  <c r="I566" i="24"/>
  <c r="I565" i="24"/>
  <c r="I564" i="24"/>
  <c r="I563" i="24"/>
  <c r="I562" i="24"/>
  <c r="I561" i="24"/>
  <c r="I560" i="24"/>
  <c r="I559" i="24"/>
  <c r="I558" i="24"/>
  <c r="I557" i="24"/>
  <c r="I556" i="24"/>
  <c r="I555" i="24"/>
  <c r="I554" i="24"/>
  <c r="I553" i="24"/>
  <c r="I552" i="24"/>
  <c r="I551" i="24"/>
  <c r="I550" i="24"/>
  <c r="I549" i="24"/>
  <c r="I548" i="24"/>
  <c r="I547" i="24"/>
  <c r="I546" i="24"/>
  <c r="I545" i="24"/>
  <c r="I544" i="24"/>
  <c r="I543" i="24"/>
  <c r="I542" i="24"/>
  <c r="I541" i="24"/>
  <c r="I540" i="24"/>
  <c r="I539" i="24"/>
  <c r="I538" i="24"/>
  <c r="I537" i="24"/>
  <c r="I536" i="24"/>
  <c r="I535" i="24"/>
  <c r="I534" i="24"/>
  <c r="I533" i="24"/>
  <c r="I532" i="24"/>
  <c r="I531" i="24"/>
  <c r="I530" i="24"/>
  <c r="I529" i="24"/>
  <c r="I528" i="24"/>
  <c r="I527" i="24"/>
  <c r="I526" i="24"/>
  <c r="I525" i="24"/>
  <c r="I524" i="24"/>
  <c r="I523" i="24"/>
  <c r="I522" i="24"/>
  <c r="I521" i="24"/>
  <c r="I520" i="24"/>
  <c r="I519" i="24"/>
  <c r="I518" i="24"/>
  <c r="I517" i="24"/>
  <c r="I516" i="24"/>
  <c r="I515" i="24"/>
  <c r="I514" i="24"/>
  <c r="I513" i="24"/>
  <c r="I512" i="24"/>
  <c r="I511" i="24"/>
  <c r="I510" i="24"/>
  <c r="I509" i="24"/>
  <c r="I508" i="24"/>
  <c r="I507" i="24"/>
  <c r="I506" i="24"/>
  <c r="I505" i="24"/>
  <c r="I504" i="24"/>
  <c r="I503" i="24"/>
  <c r="I502" i="24"/>
  <c r="I501" i="24"/>
  <c r="I500" i="24"/>
  <c r="I499" i="24"/>
  <c r="I498" i="24"/>
  <c r="I497" i="24"/>
  <c r="I496" i="24"/>
  <c r="I495" i="24"/>
  <c r="I494" i="24"/>
  <c r="I493" i="24"/>
  <c r="I492" i="24"/>
  <c r="I491" i="24"/>
  <c r="I490" i="24"/>
  <c r="I489" i="24"/>
  <c r="I488" i="24"/>
  <c r="I487" i="24"/>
  <c r="I486" i="24"/>
  <c r="I485" i="24"/>
  <c r="I484" i="24"/>
  <c r="I483" i="24"/>
  <c r="I482" i="24"/>
  <c r="I481" i="24"/>
  <c r="I480" i="24"/>
  <c r="I479" i="24"/>
  <c r="I478" i="24"/>
  <c r="I477" i="24"/>
  <c r="I476" i="24"/>
  <c r="I475" i="24"/>
  <c r="I474" i="24"/>
  <c r="I473" i="24"/>
  <c r="I472" i="24"/>
  <c r="I471" i="24"/>
  <c r="I470" i="24"/>
  <c r="I469" i="24"/>
  <c r="I468" i="24"/>
  <c r="I467" i="24"/>
  <c r="I466" i="24"/>
  <c r="I465" i="24"/>
  <c r="I464" i="24"/>
  <c r="I463" i="24"/>
  <c r="I462" i="24"/>
  <c r="I461" i="24"/>
  <c r="I460" i="24"/>
  <c r="I459" i="24"/>
  <c r="I458" i="24"/>
  <c r="I457" i="24"/>
  <c r="I456" i="24"/>
  <c r="I455" i="24"/>
  <c r="I454" i="24"/>
  <c r="I453" i="24"/>
  <c r="I452" i="24"/>
  <c r="I451" i="24"/>
  <c r="I450" i="24"/>
  <c r="I449" i="24"/>
  <c r="I448" i="24"/>
  <c r="I447" i="24"/>
  <c r="I446" i="24"/>
  <c r="I445" i="24"/>
  <c r="I444" i="24"/>
  <c r="I443" i="24"/>
  <c r="I442" i="24"/>
  <c r="I441" i="24"/>
  <c r="I440" i="24"/>
  <c r="I439" i="24"/>
  <c r="I438" i="24"/>
  <c r="I437" i="24"/>
  <c r="I436" i="24"/>
  <c r="I435" i="24"/>
  <c r="I434" i="24"/>
  <c r="I433" i="24"/>
  <c r="I432" i="24"/>
  <c r="I431" i="24"/>
  <c r="I430" i="24"/>
  <c r="I429" i="24"/>
  <c r="I428" i="24"/>
  <c r="I427" i="24"/>
  <c r="I426" i="24"/>
  <c r="I425" i="24"/>
  <c r="I424" i="24"/>
  <c r="I423" i="24"/>
  <c r="I422" i="24"/>
  <c r="I421" i="24"/>
  <c r="I420" i="24"/>
  <c r="I419" i="24"/>
  <c r="I418" i="24"/>
  <c r="I417" i="24"/>
  <c r="I416" i="24"/>
  <c r="I415" i="24"/>
  <c r="I414" i="24"/>
  <c r="I413" i="24"/>
  <c r="I412" i="24"/>
  <c r="I411" i="24"/>
  <c r="I410" i="24"/>
  <c r="I409" i="24"/>
  <c r="I408" i="24"/>
  <c r="I407" i="24"/>
  <c r="I406" i="24"/>
  <c r="I405" i="24"/>
  <c r="I404" i="24"/>
  <c r="I403" i="24"/>
  <c r="I402" i="24"/>
  <c r="I401" i="24"/>
  <c r="I400" i="24"/>
  <c r="I399" i="24"/>
  <c r="I398" i="24"/>
  <c r="I397" i="24"/>
  <c r="I396" i="24"/>
  <c r="I395" i="24"/>
  <c r="I394" i="24"/>
  <c r="I393" i="24"/>
  <c r="I392" i="24"/>
  <c r="I391" i="24"/>
  <c r="I390" i="24"/>
  <c r="I389" i="24"/>
  <c r="I388" i="24"/>
  <c r="I387" i="24"/>
  <c r="I386" i="24"/>
  <c r="I385" i="24"/>
  <c r="I384" i="24"/>
  <c r="I383" i="24"/>
  <c r="I382" i="24"/>
  <c r="I381" i="24"/>
  <c r="I380" i="24"/>
  <c r="I379" i="24"/>
  <c r="I378" i="24"/>
  <c r="I377" i="24"/>
  <c r="I376" i="24"/>
  <c r="I375" i="24"/>
  <c r="I374" i="24"/>
  <c r="I373" i="24"/>
  <c r="I372" i="24"/>
  <c r="I371" i="24"/>
  <c r="I370" i="24"/>
  <c r="I369" i="24"/>
  <c r="I368" i="24"/>
  <c r="I367" i="24"/>
  <c r="I366" i="24"/>
  <c r="I365" i="24"/>
  <c r="I364" i="24"/>
  <c r="I363" i="24"/>
  <c r="I362" i="24"/>
  <c r="I361" i="24"/>
  <c r="I360" i="24"/>
  <c r="I359" i="24"/>
  <c r="I358" i="24"/>
  <c r="I357" i="24"/>
  <c r="I356" i="24"/>
  <c r="I355" i="24"/>
  <c r="I354" i="24"/>
  <c r="I353" i="24"/>
  <c r="I352" i="24"/>
  <c r="I351" i="24"/>
  <c r="I350" i="24"/>
  <c r="I349" i="24"/>
  <c r="I348" i="24"/>
  <c r="I347" i="24"/>
  <c r="I346" i="24"/>
  <c r="I345" i="24"/>
  <c r="I344" i="24"/>
  <c r="I343" i="24"/>
  <c r="I342" i="24"/>
  <c r="I341" i="24"/>
  <c r="I340" i="24"/>
  <c r="I339" i="24"/>
  <c r="I338" i="24"/>
  <c r="I337" i="24"/>
  <c r="I336" i="24"/>
  <c r="I335" i="24"/>
  <c r="I334" i="24"/>
  <c r="I333" i="24"/>
  <c r="I332" i="24"/>
  <c r="I331" i="24"/>
  <c r="I330" i="24"/>
  <c r="I329" i="24"/>
  <c r="I328" i="24"/>
  <c r="I327" i="24"/>
  <c r="I326" i="24"/>
  <c r="I325" i="24"/>
  <c r="I324" i="24"/>
  <c r="I323" i="24"/>
  <c r="I322" i="24"/>
  <c r="I321" i="24"/>
  <c r="I320" i="24"/>
  <c r="I319" i="24"/>
  <c r="I318" i="24"/>
  <c r="I317" i="24"/>
  <c r="I316" i="24"/>
  <c r="I315" i="24"/>
  <c r="I314" i="24"/>
  <c r="I313" i="24"/>
  <c r="I312" i="24"/>
  <c r="I311" i="24"/>
  <c r="I310" i="24"/>
  <c r="I309" i="24"/>
  <c r="I308" i="24"/>
  <c r="I307" i="24"/>
  <c r="I306" i="24"/>
  <c r="I305" i="24"/>
  <c r="I304" i="24"/>
  <c r="I303" i="24"/>
  <c r="I302" i="24"/>
  <c r="I301" i="24"/>
  <c r="I300" i="24"/>
  <c r="I299" i="24"/>
  <c r="I298" i="24"/>
  <c r="I297" i="24"/>
  <c r="I296" i="24"/>
  <c r="I295" i="24"/>
  <c r="I294" i="24"/>
  <c r="I293" i="24"/>
  <c r="I292" i="24"/>
  <c r="I291" i="24"/>
  <c r="I290" i="24"/>
  <c r="I289" i="24"/>
  <c r="I288" i="24"/>
  <c r="I287" i="24"/>
  <c r="I286" i="24"/>
  <c r="I285" i="24"/>
  <c r="I284" i="24"/>
  <c r="I283" i="24"/>
  <c r="I282" i="24"/>
  <c r="I281" i="24"/>
  <c r="I280" i="24"/>
  <c r="I279" i="24"/>
  <c r="I278" i="24"/>
  <c r="I277" i="24"/>
  <c r="I276" i="24"/>
  <c r="I275" i="24"/>
  <c r="I274" i="24"/>
  <c r="I273" i="24"/>
  <c r="I272" i="24"/>
  <c r="I271" i="24"/>
  <c r="I270" i="24"/>
  <c r="I269" i="24"/>
  <c r="I268" i="24"/>
  <c r="I267" i="24"/>
  <c r="I266" i="24"/>
  <c r="I265" i="24"/>
  <c r="I264" i="24"/>
  <c r="I263" i="24"/>
  <c r="I262" i="24"/>
  <c r="I261" i="24"/>
  <c r="I260" i="24"/>
  <c r="I259" i="24"/>
  <c r="I258" i="24"/>
  <c r="I257" i="24"/>
  <c r="I256" i="24"/>
  <c r="I255" i="24"/>
  <c r="I254" i="24"/>
  <c r="I253" i="24"/>
  <c r="I252" i="24"/>
  <c r="I251" i="24"/>
  <c r="I250" i="24"/>
  <c r="I249" i="24"/>
  <c r="I248" i="24"/>
  <c r="I247" i="24"/>
  <c r="I246" i="24"/>
  <c r="I245" i="24"/>
  <c r="I244" i="24"/>
  <c r="I243" i="24"/>
  <c r="I242" i="24"/>
  <c r="I241" i="24"/>
  <c r="I240" i="24"/>
  <c r="I239" i="24"/>
  <c r="I238" i="24"/>
  <c r="I237" i="24"/>
  <c r="I236" i="24"/>
  <c r="I235" i="24"/>
  <c r="I234" i="24"/>
  <c r="I233" i="24"/>
  <c r="I232" i="24"/>
  <c r="I231" i="24"/>
  <c r="I230" i="24"/>
  <c r="I229" i="24"/>
  <c r="I228" i="24"/>
  <c r="I227" i="24"/>
  <c r="I226" i="24"/>
  <c r="I225" i="24"/>
  <c r="I224" i="24"/>
  <c r="I223" i="24"/>
  <c r="I222" i="24"/>
  <c r="I221" i="24"/>
  <c r="I220" i="24"/>
  <c r="I219" i="24"/>
  <c r="I218" i="24"/>
  <c r="I217" i="24"/>
  <c r="I216" i="24"/>
  <c r="I215" i="24"/>
  <c r="I214" i="24"/>
  <c r="I213" i="24"/>
  <c r="I212" i="24"/>
  <c r="I211" i="24"/>
  <c r="I210" i="24"/>
  <c r="I209" i="24"/>
  <c r="I208" i="24"/>
  <c r="I207" i="24"/>
  <c r="I206" i="24"/>
  <c r="I205" i="24"/>
  <c r="I204" i="24"/>
  <c r="I203" i="24"/>
  <c r="I202" i="24"/>
  <c r="I201" i="24"/>
  <c r="I200" i="24"/>
  <c r="I199" i="24"/>
  <c r="I198" i="24"/>
  <c r="I197" i="24"/>
  <c r="I196" i="24"/>
  <c r="I195" i="24"/>
  <c r="I194" i="24"/>
  <c r="I193" i="24"/>
  <c r="I192" i="24"/>
  <c r="I191" i="24"/>
  <c r="I190" i="24"/>
  <c r="I189" i="24"/>
  <c r="I188" i="24"/>
  <c r="I187" i="24"/>
  <c r="I186" i="24"/>
  <c r="I185" i="24"/>
  <c r="I184" i="24"/>
  <c r="I183" i="24"/>
  <c r="I182" i="24"/>
  <c r="I181" i="24"/>
  <c r="I180" i="24"/>
  <c r="I179" i="24"/>
  <c r="I178" i="24"/>
  <c r="I177" i="24"/>
  <c r="I176" i="24"/>
  <c r="I175" i="24"/>
  <c r="I174" i="24"/>
  <c r="I173" i="24"/>
  <c r="I172" i="24"/>
  <c r="I171" i="24"/>
  <c r="I170" i="24"/>
  <c r="I169" i="24"/>
  <c r="I168" i="24"/>
  <c r="I167" i="24"/>
  <c r="I166" i="24"/>
  <c r="I165" i="24"/>
  <c r="I164" i="24"/>
  <c r="I163" i="24"/>
  <c r="I162" i="24"/>
  <c r="I161" i="24"/>
  <c r="I160" i="24"/>
  <c r="I159" i="24"/>
  <c r="I158" i="24"/>
  <c r="I157" i="24"/>
  <c r="I156" i="24"/>
  <c r="I155" i="24"/>
  <c r="I154" i="24"/>
  <c r="I153" i="24"/>
  <c r="I152" i="24"/>
  <c r="I151" i="24"/>
  <c r="I150" i="24"/>
  <c r="I149" i="24"/>
  <c r="I148" i="24"/>
  <c r="I147" i="24"/>
  <c r="I146" i="24"/>
  <c r="I145" i="24"/>
  <c r="I144" i="24"/>
  <c r="I143" i="24"/>
  <c r="I142" i="24"/>
  <c r="I141" i="24"/>
  <c r="I140" i="24"/>
  <c r="I139" i="24"/>
  <c r="I138" i="24"/>
  <c r="I137" i="24"/>
  <c r="I136" i="24"/>
  <c r="I135" i="24"/>
  <c r="I134" i="24"/>
  <c r="I133" i="24"/>
  <c r="I132" i="24"/>
  <c r="I131" i="24"/>
  <c r="I130" i="24"/>
  <c r="I129" i="24"/>
  <c r="I128" i="24"/>
  <c r="I127" i="24"/>
  <c r="I126" i="24"/>
  <c r="I125" i="24"/>
  <c r="I124" i="24"/>
  <c r="I123" i="24"/>
  <c r="I122" i="24"/>
  <c r="I121" i="24"/>
  <c r="I120" i="24"/>
  <c r="I119" i="24"/>
  <c r="I118" i="24"/>
  <c r="I117" i="24"/>
  <c r="I116" i="24"/>
  <c r="I115" i="24"/>
  <c r="I114" i="24"/>
  <c r="I113" i="24"/>
  <c r="I112" i="24"/>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7" i="24"/>
  <c r="I86" i="24"/>
  <c r="I85" i="24"/>
  <c r="I84" i="24"/>
  <c r="I83" i="24"/>
  <c r="I82" i="24"/>
  <c r="I81" i="24"/>
  <c r="I80" i="24"/>
  <c r="I79" i="24"/>
  <c r="I78" i="24"/>
  <c r="I77" i="24"/>
  <c r="I76" i="24"/>
  <c r="I75" i="24"/>
  <c r="I74" i="24"/>
  <c r="I73" i="24"/>
  <c r="I72" i="24"/>
  <c r="I71" i="24"/>
  <c r="I70" i="24"/>
  <c r="I69" i="24"/>
  <c r="I68" i="24"/>
  <c r="I67" i="24"/>
  <c r="I66" i="24"/>
  <c r="I65" i="24"/>
  <c r="I64" i="24"/>
  <c r="I63" i="24"/>
  <c r="I62" i="24"/>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7" i="24"/>
  <c r="I26" i="24"/>
  <c r="I25" i="24"/>
  <c r="I24" i="24"/>
  <c r="I23" i="24"/>
  <c r="I22" i="24"/>
  <c r="I21" i="24"/>
  <c r="I20" i="24"/>
  <c r="I19" i="24"/>
  <c r="I18" i="24"/>
  <c r="I17" i="24"/>
  <c r="I16" i="24"/>
  <c r="I15" i="24"/>
  <c r="I14" i="24"/>
  <c r="I13" i="24"/>
  <c r="I12" i="24"/>
  <c r="I11" i="24"/>
  <c r="I10" i="24"/>
  <c r="I9" i="24"/>
  <c r="I8" i="24"/>
  <c r="I7" i="24"/>
  <c r="I6" i="24"/>
  <c r="G1" i="3"/>
  <c r="J1" i="3"/>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F381" i="20"/>
  <c r="F382" i="20"/>
  <c r="F383" i="20"/>
  <c r="F384" i="20"/>
  <c r="F385" i="20"/>
  <c r="F386" i="20"/>
  <c r="F387" i="20"/>
  <c r="F388" i="20"/>
  <c r="B2" i="15"/>
  <c r="B1" i="15"/>
  <c r="F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70" i="20"/>
  <c r="F71" i="20"/>
  <c r="F72" i="20"/>
  <c r="F73" i="20"/>
  <c r="F74" i="20"/>
  <c r="F75" i="20"/>
  <c r="F76" i="20"/>
  <c r="F77" i="20"/>
  <c r="F78" i="20"/>
  <c r="F79" i="20"/>
  <c r="F80" i="20"/>
  <c r="F81" i="20"/>
  <c r="F82" i="20"/>
  <c r="F83" i="20"/>
  <c r="F84" i="20"/>
  <c r="F85" i="20"/>
  <c r="F86" i="20"/>
  <c r="F87" i="20"/>
  <c r="F88" i="20"/>
  <c r="F89" i="20"/>
  <c r="F90" i="20"/>
  <c r="F91" i="20"/>
  <c r="F92" i="20"/>
  <c r="F93" i="20"/>
  <c r="F94" i="20"/>
  <c r="F95" i="20"/>
  <c r="F96" i="20"/>
  <c r="F97" i="20"/>
  <c r="F98" i="20"/>
  <c r="F99" i="20"/>
  <c r="F100" i="20"/>
  <c r="F101" i="20"/>
  <c r="F102" i="20"/>
  <c r="F103" i="20"/>
  <c r="F104" i="20"/>
  <c r="F105" i="20"/>
  <c r="F106" i="20"/>
  <c r="F107" i="20"/>
  <c r="F108" i="20"/>
  <c r="F109" i="20"/>
  <c r="F110" i="20"/>
  <c r="F111" i="20"/>
  <c r="F112" i="20"/>
  <c r="F113" i="20"/>
  <c r="F114" i="20"/>
  <c r="F115" i="20"/>
  <c r="F116" i="20"/>
  <c r="F117" i="20"/>
  <c r="F118" i="20"/>
  <c r="F119" i="20"/>
  <c r="F120" i="20"/>
  <c r="F121" i="20"/>
  <c r="F122" i="20"/>
  <c r="F123" i="20"/>
  <c r="F124" i="20"/>
  <c r="F125" i="20"/>
  <c r="F126" i="20"/>
  <c r="F127" i="20"/>
  <c r="F128" i="20"/>
  <c r="F129" i="20"/>
  <c r="F130" i="20"/>
  <c r="F131" i="20"/>
  <c r="F132" i="20"/>
  <c r="F133" i="20"/>
  <c r="F134" i="20"/>
  <c r="F135" i="20"/>
  <c r="F136" i="20"/>
  <c r="F137" i="20"/>
  <c r="F138" i="20"/>
  <c r="F139" i="20"/>
  <c r="F140" i="20"/>
  <c r="F141" i="20"/>
  <c r="F142" i="20"/>
  <c r="F143" i="20"/>
  <c r="F144" i="20"/>
  <c r="F145" i="20"/>
  <c r="F146" i="20"/>
  <c r="F147" i="20"/>
  <c r="F148" i="20"/>
  <c r="F149" i="20"/>
  <c r="F150" i="20"/>
  <c r="F151" i="20"/>
  <c r="F152" i="20"/>
  <c r="F153" i="20"/>
  <c r="F154" i="20"/>
  <c r="F155" i="20"/>
  <c r="F156" i="20"/>
  <c r="F157" i="20"/>
  <c r="F158" i="20"/>
  <c r="F159" i="20"/>
  <c r="F160" i="20"/>
  <c r="F161" i="20"/>
  <c r="F162" i="20"/>
  <c r="F163" i="20"/>
  <c r="F164" i="20"/>
  <c r="F165" i="20"/>
  <c r="F166" i="20"/>
  <c r="F167" i="20"/>
  <c r="F168" i="20"/>
  <c r="F169" i="20"/>
  <c r="F170" i="20"/>
  <c r="F171" i="20"/>
  <c r="F172" i="20"/>
  <c r="F173" i="20"/>
  <c r="F174" i="20"/>
  <c r="F175" i="20"/>
  <c r="F176" i="20"/>
  <c r="F177" i="20"/>
  <c r="F178" i="20"/>
  <c r="F179" i="20"/>
  <c r="F180" i="20"/>
  <c r="F181" i="20"/>
  <c r="F182" i="20"/>
  <c r="F183" i="20"/>
  <c r="F184" i="20"/>
  <c r="F185" i="20"/>
  <c r="F186" i="20"/>
  <c r="F187" i="20"/>
  <c r="F188" i="20"/>
  <c r="F189" i="20"/>
  <c r="F190" i="20"/>
  <c r="F191" i="20"/>
  <c r="F192" i="20"/>
  <c r="F193" i="20"/>
  <c r="F194" i="20"/>
  <c r="F195" i="20"/>
  <c r="F196" i="20"/>
  <c r="F197" i="20"/>
  <c r="F198" i="20"/>
  <c r="F199" i="20"/>
  <c r="F200" i="20"/>
  <c r="F201" i="20"/>
  <c r="F202" i="20"/>
  <c r="F203" i="20"/>
  <c r="F204" i="20"/>
  <c r="F205" i="20"/>
  <c r="F206" i="20"/>
  <c r="F207" i="20"/>
  <c r="F208" i="20"/>
  <c r="F209" i="20"/>
  <c r="F210" i="20"/>
  <c r="F211" i="20"/>
  <c r="F212" i="20"/>
  <c r="F213" i="20"/>
  <c r="F214" i="20"/>
  <c r="F215" i="20"/>
  <c r="F216" i="20"/>
  <c r="F217" i="20"/>
  <c r="F218" i="20"/>
  <c r="F219" i="20"/>
  <c r="F220" i="20"/>
  <c r="F221" i="20"/>
  <c r="F222" i="20"/>
  <c r="F223" i="20"/>
  <c r="F224" i="20"/>
  <c r="F225" i="20"/>
  <c r="F226" i="20"/>
  <c r="F227" i="20"/>
  <c r="F228" i="20"/>
  <c r="F229" i="20"/>
  <c r="F230" i="20"/>
  <c r="F231" i="20"/>
  <c r="F232" i="20"/>
  <c r="F233" i="20"/>
  <c r="F234" i="20"/>
  <c r="F235" i="20"/>
  <c r="F236" i="20"/>
  <c r="F237" i="20"/>
  <c r="F238" i="20"/>
  <c r="F239" i="20"/>
  <c r="F240" i="20"/>
  <c r="F241" i="20"/>
  <c r="F242" i="20"/>
  <c r="F243" i="20"/>
  <c r="F244" i="20"/>
  <c r="F245" i="20"/>
  <c r="F246" i="20"/>
  <c r="F247" i="20"/>
  <c r="F248" i="20"/>
  <c r="F249" i="20"/>
  <c r="F250" i="20"/>
  <c r="F251" i="20"/>
  <c r="F252" i="20"/>
  <c r="F253" i="20"/>
  <c r="F254" i="20"/>
  <c r="F255" i="20"/>
  <c r="F256" i="20"/>
  <c r="F257" i="20"/>
  <c r="F258" i="20"/>
  <c r="F259" i="20"/>
  <c r="F260" i="20"/>
  <c r="F261" i="20"/>
  <c r="F262" i="20"/>
  <c r="F263" i="20"/>
  <c r="F264" i="20"/>
  <c r="F265" i="20"/>
  <c r="F266" i="20"/>
  <c r="F267" i="20"/>
  <c r="F268" i="20"/>
  <c r="F269" i="20"/>
  <c r="F270" i="20"/>
  <c r="F271" i="20"/>
  <c r="F272" i="20"/>
  <c r="F273" i="20"/>
  <c r="F274" i="20"/>
  <c r="F275" i="20"/>
  <c r="F276" i="20"/>
  <c r="F277" i="20"/>
  <c r="F278" i="20"/>
  <c r="F279" i="20"/>
  <c r="F280" i="20"/>
  <c r="F281" i="20"/>
  <c r="F282" i="20"/>
  <c r="F283" i="20"/>
  <c r="F284" i="20"/>
  <c r="F285" i="20"/>
  <c r="F286" i="20"/>
  <c r="F287" i="20"/>
  <c r="F288" i="20"/>
  <c r="F289" i="20"/>
  <c r="F290" i="20"/>
  <c r="F291" i="20"/>
  <c r="F292" i="20"/>
  <c r="F293" i="20"/>
  <c r="F294" i="20"/>
  <c r="F295" i="20"/>
  <c r="F296" i="20"/>
  <c r="F297" i="20"/>
  <c r="F298" i="20"/>
  <c r="F299" i="20"/>
  <c r="F300" i="20"/>
  <c r="F301" i="20"/>
  <c r="F302" i="20"/>
  <c r="F303" i="20"/>
  <c r="F304" i="20"/>
  <c r="F305" i="20"/>
  <c r="F306" i="20"/>
  <c r="F307" i="20"/>
  <c r="F308" i="20"/>
  <c r="F309" i="20"/>
  <c r="F310" i="20"/>
  <c r="F311" i="20"/>
  <c r="F312" i="20"/>
  <c r="F313" i="20"/>
  <c r="F314" i="20"/>
  <c r="F315" i="20"/>
  <c r="F316" i="20"/>
  <c r="F317" i="20"/>
  <c r="F318" i="20"/>
  <c r="F319" i="20"/>
  <c r="F320" i="20"/>
  <c r="F321" i="20"/>
  <c r="F322" i="20"/>
  <c r="F323" i="20"/>
  <c r="F324" i="20"/>
  <c r="F325" i="20"/>
  <c r="F326" i="20"/>
  <c r="F327" i="20"/>
  <c r="F328" i="20"/>
  <c r="F329" i="20"/>
  <c r="F330" i="20"/>
  <c r="F331" i="20"/>
  <c r="F332" i="20"/>
  <c r="F333" i="20"/>
  <c r="F334" i="20"/>
  <c r="F335" i="20"/>
  <c r="F336" i="20"/>
  <c r="F337" i="20"/>
  <c r="F338" i="20"/>
  <c r="F339" i="20"/>
  <c r="F340" i="20"/>
  <c r="F341" i="20"/>
  <c r="F342" i="20"/>
  <c r="F343" i="20"/>
  <c r="F344" i="20"/>
  <c r="F345" i="20"/>
  <c r="F346" i="20"/>
  <c r="F347" i="20"/>
  <c r="F348" i="20"/>
  <c r="F349" i="20"/>
  <c r="F350" i="20"/>
  <c r="F351" i="20"/>
  <c r="F352" i="20"/>
  <c r="F353" i="20"/>
  <c r="F354" i="20"/>
  <c r="F355" i="20"/>
  <c r="F356" i="20"/>
  <c r="F357" i="20"/>
  <c r="F358" i="20"/>
  <c r="F359" i="20"/>
  <c r="F360" i="20"/>
  <c r="F361" i="20"/>
  <c r="F362" i="20"/>
  <c r="F363" i="20"/>
  <c r="F364" i="20"/>
  <c r="F365" i="20"/>
  <c r="F366" i="20"/>
  <c r="F367" i="20"/>
  <c r="F368" i="20"/>
  <c r="F369" i="20"/>
  <c r="F370" i="20"/>
  <c r="F371" i="20"/>
  <c r="F372" i="20"/>
  <c r="F373" i="20"/>
  <c r="F374" i="20"/>
  <c r="F375" i="20"/>
  <c r="F376" i="20"/>
  <c r="F377" i="20"/>
  <c r="F378" i="20"/>
  <c r="F379" i="20"/>
  <c r="F380" i="20"/>
  <c r="B2" i="13"/>
  <c r="B1" i="13"/>
  <c r="E63" i="3"/>
  <c r="E62" i="3"/>
  <c r="E61"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2" i="3"/>
  <c r="E21" i="3"/>
  <c r="E20" i="3"/>
  <c r="E19" i="3"/>
  <c r="E18" i="3"/>
  <c r="E17" i="3"/>
  <c r="E16" i="3"/>
  <c r="E15" i="3"/>
  <c r="E14" i="3"/>
  <c r="E13" i="3"/>
  <c r="E12" i="3"/>
  <c r="E11" i="3"/>
  <c r="E10" i="3"/>
  <c r="E9" i="3"/>
  <c r="E8" i="3"/>
  <c r="E7" i="3"/>
  <c r="E6" i="3"/>
  <c r="E5" i="3"/>
  <c r="E4" i="3"/>
  <c r="E3" i="3"/>
  <c r="E2" i="3"/>
  <c r="B2" i="10"/>
  <c r="B1" i="10"/>
  <c r="B2" i="11"/>
  <c r="B1" i="11"/>
  <c r="B2" i="8"/>
  <c r="B1" i="8"/>
  <c r="B2" i="9"/>
  <c r="B1" i="9"/>
  <c r="Q2338" i="2"/>
  <c r="Q2337" i="2"/>
  <c r="Q2336" i="2"/>
  <c r="Q2335" i="2"/>
  <c r="Q2334" i="2"/>
  <c r="Q2333" i="2"/>
  <c r="Q2332" i="2"/>
  <c r="Q2331" i="2"/>
  <c r="Q2330" i="2"/>
  <c r="Q2329" i="2"/>
  <c r="Q2328" i="2"/>
  <c r="Q2327" i="2"/>
  <c r="Q2326" i="2"/>
  <c r="Q2325" i="2"/>
  <c r="Q2324" i="2"/>
  <c r="Q2323" i="2"/>
  <c r="Q2322" i="2"/>
  <c r="Q2321" i="2"/>
  <c r="Q2320" i="2"/>
  <c r="Q2319" i="2"/>
  <c r="Q2318" i="2"/>
  <c r="Q2317" i="2"/>
  <c r="Q2316" i="2"/>
  <c r="Q2315" i="2"/>
  <c r="Q2314" i="2"/>
  <c r="Q2313" i="2"/>
  <c r="Q2312" i="2"/>
  <c r="Q2311" i="2"/>
  <c r="Q2310" i="2"/>
  <c r="Q2309" i="2"/>
  <c r="Q2307" i="2"/>
  <c r="Q2306" i="2"/>
  <c r="Q2305" i="2"/>
  <c r="Q2304" i="2"/>
  <c r="Q2303" i="2"/>
  <c r="Q2302" i="2"/>
  <c r="Q2301" i="2"/>
  <c r="Q2300" i="2"/>
  <c r="Q2299" i="2"/>
  <c r="Q2298" i="2"/>
  <c r="Q2297" i="2"/>
  <c r="Q2296" i="2"/>
  <c r="Q2295" i="2"/>
  <c r="Q2294" i="2"/>
  <c r="Q2293" i="2"/>
  <c r="Q2292" i="2"/>
  <c r="Q2291" i="2"/>
  <c r="Q2290" i="2"/>
  <c r="Q2289" i="2"/>
  <c r="Q2288" i="2"/>
  <c r="Q2287" i="2"/>
  <c r="Q2286" i="2"/>
  <c r="Q2285" i="2"/>
  <c r="Q2284" i="2"/>
  <c r="Q2283" i="2"/>
  <c r="Q2282" i="2"/>
  <c r="Q2281" i="2"/>
  <c r="Q2280" i="2"/>
  <c r="Q2279" i="2"/>
  <c r="Q2278" i="2"/>
  <c r="Q2277" i="2"/>
  <c r="Q2276" i="2"/>
  <c r="Q2275" i="2"/>
  <c r="Q2274" i="2"/>
  <c r="Q2273" i="2"/>
  <c r="Q2272" i="2"/>
  <c r="Q2271" i="2"/>
  <c r="Q2270" i="2"/>
  <c r="Q2269" i="2"/>
  <c r="Q2268" i="2"/>
  <c r="Q2267" i="2"/>
  <c r="Q2266" i="2"/>
  <c r="Q2265" i="2"/>
  <c r="Q2264" i="2"/>
  <c r="Q2262" i="2"/>
  <c r="Q2261" i="2"/>
  <c r="Q2260" i="2"/>
  <c r="Q2259" i="2"/>
  <c r="Q2258" i="2"/>
  <c r="Q2257" i="2"/>
  <c r="Q2255" i="2"/>
  <c r="Q2254" i="2"/>
  <c r="Q2253" i="2"/>
  <c r="Q2252" i="2"/>
  <c r="Q2251" i="2"/>
  <c r="Q2250" i="2"/>
  <c r="Q2249" i="2"/>
  <c r="Q2248" i="2"/>
  <c r="Q2247" i="2"/>
  <c r="Q2246" i="2"/>
  <c r="Q2245" i="2"/>
  <c r="Q2244" i="2"/>
  <c r="Q2243" i="2"/>
  <c r="Q2242" i="2"/>
  <c r="Q2241" i="2"/>
  <c r="Q2240" i="2"/>
  <c r="Q2239" i="2"/>
  <c r="Q2238" i="2"/>
  <c r="Q2237" i="2"/>
  <c r="Q2236" i="2"/>
  <c r="Q2235" i="2"/>
  <c r="Q2234" i="2"/>
  <c r="Q2233" i="2"/>
  <c r="Q2232" i="2"/>
  <c r="Q2231" i="2"/>
  <c r="Q2230" i="2"/>
  <c r="Q2229" i="2"/>
  <c r="Q2228" i="2"/>
  <c r="Q2227" i="2"/>
  <c r="Q2226" i="2"/>
  <c r="Q2225" i="2"/>
  <c r="Q2224" i="2"/>
  <c r="Q2223" i="2"/>
  <c r="Q2222" i="2"/>
  <c r="Q2221" i="2"/>
  <c r="Q2220" i="2"/>
  <c r="Q2219" i="2"/>
  <c r="Q2218" i="2"/>
  <c r="Q2217" i="2"/>
  <c r="Q2216" i="2"/>
  <c r="Q2215" i="2"/>
  <c r="Q2214" i="2"/>
  <c r="Q2213" i="2"/>
  <c r="Q2212" i="2"/>
  <c r="Q2211" i="2"/>
  <c r="Q2210" i="2"/>
  <c r="Q2209" i="2"/>
  <c r="Q2208" i="2"/>
  <c r="Q2207" i="2"/>
  <c r="Q2206" i="2"/>
  <c r="Q2205" i="2"/>
  <c r="Q2204" i="2"/>
  <c r="Q2203" i="2"/>
  <c r="Q2202" i="2"/>
  <c r="Q2201" i="2"/>
  <c r="Q2200" i="2"/>
  <c r="B2" i="6"/>
  <c r="B1" i="6"/>
  <c r="B2" i="12"/>
  <c r="B1" i="12"/>
  <c r="B2" i="7"/>
  <c r="B1" i="7"/>
  <c r="K1240" i="24" l="1"/>
  <c r="L2289" i="24"/>
  <c r="J4" i="24"/>
  <c r="B2" i="14"/>
  <c r="B1" i="14"/>
  <c r="I5" i="24" l="1"/>
  <c r="J13" i="25" l="1"/>
  <c r="J12" i="25"/>
  <c r="L1" i="3"/>
  <c r="J11" i="25" l="1"/>
  <c r="J10" i="25" l="1"/>
  <c r="J9" i="25"/>
  <c r="B5" i="25"/>
  <c r="I4" i="24" l="1"/>
  <c r="L4" i="24" s="1"/>
  <c r="A3" i="24"/>
  <c r="A7" i="24"/>
  <c r="D1" i="5"/>
  <c r="I15" i="16"/>
  <c r="I14" i="16"/>
  <c r="I13" i="16"/>
  <c r="I12" i="16"/>
  <c r="I11" i="16"/>
  <c r="I10" i="16"/>
  <c r="I9" i="16"/>
  <c r="I8" i="16"/>
  <c r="I7" i="16"/>
  <c r="I6" i="16"/>
  <c r="I5" i="16"/>
  <c r="I4" i="16"/>
  <c r="I3" i="16"/>
  <c r="I2" i="16"/>
  <c r="K4" i="24"/>
  <c r="I1" i="3"/>
  <c r="F1" i="3"/>
  <c r="N4" i="24" l="1"/>
  <c r="F1" i="5" l="1"/>
  <c r="M4" i="24" s="1"/>
  <c r="O4" i="24" s="1"/>
  <c r="P4" i="24" s="1"/>
  <c r="B7" i="22" l="1"/>
  <c r="B6" i="22" s="1"/>
  <c r="B5" i="22"/>
  <c r="B4" i="22"/>
  <c r="B7" i="21"/>
  <c r="B6" i="21" s="1"/>
  <c r="B5" i="21"/>
  <c r="B4" i="21"/>
  <c r="L3" i="1" l="1"/>
  <c r="L4" i="1"/>
  <c r="L5" i="1"/>
  <c r="L6" i="1"/>
  <c r="L7" i="1"/>
  <c r="L8" i="1"/>
  <c r="L9" i="1"/>
  <c r="L10" i="1"/>
  <c r="L11" i="1"/>
  <c r="L12" i="1"/>
  <c r="L13" i="1"/>
  <c r="L14" i="1"/>
  <c r="L15" i="1"/>
  <c r="L16" i="1"/>
  <c r="L17" i="1"/>
  <c r="L18" i="1"/>
  <c r="L19" i="1"/>
  <c r="L20" i="1"/>
  <c r="L21" i="1"/>
  <c r="L22" i="1"/>
  <c r="L23" i="1"/>
  <c r="L2" i="1"/>
  <c r="M9" i="1"/>
  <c r="M21" i="1"/>
  <c r="M16" i="1"/>
  <c r="M11" i="1"/>
  <c r="M7" i="1"/>
  <c r="M5" i="1"/>
  <c r="M17" i="1"/>
  <c r="M23" i="1"/>
  <c r="M4" i="1"/>
  <c r="M8" i="1"/>
  <c r="M20" i="1"/>
  <c r="M18" i="1"/>
  <c r="M14" i="1"/>
  <c r="M19" i="1"/>
  <c r="M12" i="1"/>
  <c r="M13" i="1"/>
  <c r="M10" i="1"/>
  <c r="M22" i="1"/>
  <c r="M6" i="1"/>
  <c r="M3" i="1"/>
  <c r="M15" i="1"/>
  <c r="M2" i="1"/>
  <c r="N2" i="1" l="1"/>
  <c r="N3" i="1"/>
  <c r="N4" i="1"/>
  <c r="N5" i="1"/>
  <c r="N6" i="1"/>
  <c r="N7" i="1"/>
  <c r="N8" i="1"/>
  <c r="N9" i="1"/>
  <c r="N10" i="1"/>
  <c r="N11" i="1"/>
  <c r="N12" i="1"/>
  <c r="N14" i="1"/>
  <c r="N15" i="1"/>
  <c r="N16" i="1"/>
  <c r="N17" i="1"/>
  <c r="N18" i="1"/>
  <c r="N19" i="1"/>
  <c r="N20" i="1"/>
  <c r="N21" i="1"/>
  <c r="N22" i="1"/>
  <c r="N23" i="1"/>
  <c r="N13" i="1"/>
  <c r="Q16" i="1"/>
  <c r="Q17" i="1"/>
  <c r="Q18" i="1"/>
  <c r="Q19" i="1"/>
  <c r="Q20" i="1"/>
  <c r="Q21" i="1"/>
  <c r="Q22" i="1"/>
  <c r="Q23" i="1"/>
  <c r="O16" i="1"/>
  <c r="O17" i="1"/>
  <c r="O18" i="1"/>
  <c r="O19" i="1"/>
  <c r="O20" i="1"/>
  <c r="O21" i="1"/>
  <c r="O22" i="1"/>
  <c r="O23" i="1"/>
  <c r="P23" i="1" l="1"/>
  <c r="P21" i="1"/>
  <c r="P19" i="1"/>
  <c r="P20" i="1"/>
  <c r="P18" i="1"/>
  <c r="P16" i="1"/>
  <c r="P22" i="1"/>
  <c r="P17" i="1"/>
  <c r="A3" i="19" l="1"/>
  <c r="A2" i="19"/>
  <c r="B4" i="10" l="1"/>
  <c r="A3" i="18" l="1"/>
  <c r="A2" i="18"/>
  <c r="B7" i="15"/>
  <c r="B6" i="15" s="1"/>
  <c r="B3" i="15" s="1"/>
  <c r="B4" i="15"/>
  <c r="B7" i="14"/>
  <c r="B6" i="14" s="1"/>
  <c r="B3" i="14" s="1"/>
  <c r="B4" i="14"/>
  <c r="B7" i="13"/>
  <c r="B6" i="13" s="1"/>
  <c r="B3" i="13" s="1"/>
  <c r="B4" i="13"/>
  <c r="B7" i="12"/>
  <c r="B6" i="12" s="1"/>
  <c r="B3" i="12" s="1"/>
  <c r="B4" i="12"/>
  <c r="B7" i="11"/>
  <c r="B6" i="11" s="1"/>
  <c r="B3" i="11" s="1"/>
  <c r="B4" i="11"/>
  <c r="B7" i="10"/>
  <c r="B6" i="10" s="1"/>
  <c r="B3" i="10" s="1"/>
  <c r="B7" i="9"/>
  <c r="B6" i="9" s="1"/>
  <c r="B3" i="9" s="1"/>
  <c r="B4" i="9"/>
  <c r="B7" i="8"/>
  <c r="B6" i="8" s="1"/>
  <c r="B3" i="8" s="1"/>
  <c r="B7" i="7"/>
  <c r="B6" i="7" s="1"/>
  <c r="B3" i="7" s="1"/>
  <c r="B7" i="6"/>
  <c r="B6" i="6" s="1"/>
  <c r="B3" i="6" s="1"/>
  <c r="O15" i="1"/>
  <c r="Q15" i="1"/>
  <c r="O14" i="1"/>
  <c r="Q14" i="1"/>
  <c r="O13" i="1"/>
  <c r="O12" i="1"/>
  <c r="Q12" i="1"/>
  <c r="O11" i="1"/>
  <c r="O10" i="1"/>
  <c r="Q10" i="1"/>
  <c r="O9" i="1"/>
  <c r="O8" i="1"/>
  <c r="Q8" i="1"/>
  <c r="O7" i="1"/>
  <c r="Q7" i="1"/>
  <c r="O6" i="1"/>
  <c r="Q6" i="1"/>
  <c r="O5" i="1"/>
  <c r="O4" i="1"/>
  <c r="Q4" i="1"/>
  <c r="O3" i="1"/>
  <c r="Q3" i="1"/>
  <c r="O2" i="1"/>
  <c r="Q2" i="1"/>
  <c r="B5" i="15" l="1"/>
  <c r="B5" i="14"/>
  <c r="B5" i="13"/>
  <c r="P11" i="1"/>
  <c r="P2" i="1"/>
  <c r="P4" i="1"/>
  <c r="P6" i="1"/>
  <c r="P8" i="1"/>
  <c r="P10" i="1"/>
  <c r="P12" i="1"/>
  <c r="P14" i="1"/>
  <c r="P5" i="1"/>
  <c r="P9" i="1"/>
  <c r="P13" i="1"/>
  <c r="Q5" i="1"/>
  <c r="Q9" i="1"/>
  <c r="Q11" i="1"/>
  <c r="Q13" i="1"/>
  <c r="P3" i="1"/>
  <c r="P7" i="1"/>
  <c r="P15" i="1"/>
  <c r="B5" i="12"/>
  <c r="B5" i="9"/>
  <c r="B5" i="11"/>
  <c r="B5" i="10"/>
  <c r="B5" i="6"/>
  <c r="B4" i="8"/>
  <c r="B4" i="6"/>
  <c r="B4" i="7"/>
  <c r="B5" i="8"/>
  <c r="B5" i="7"/>
</calcChain>
</file>

<file path=xl/sharedStrings.xml><?xml version="1.0" encoding="utf-8"?>
<sst xmlns="http://schemas.openxmlformats.org/spreadsheetml/2006/main" count="16665" uniqueCount="5028">
  <si>
    <t>SỐ HIỆU</t>
  </si>
  <si>
    <t>CẤU KIỆN</t>
  </si>
  <si>
    <t>ĐƯỜNG KÍNH</t>
  </si>
  <si>
    <t>SỐ THANH/CK</t>
  </si>
  <si>
    <t>SỐ CK</t>
  </si>
  <si>
    <t>TỔNG SỐ THANH</t>
  </si>
  <si>
    <t>TRỌNG LƯỢNG RIÊNG</t>
  </si>
  <si>
    <t>ĐIỂM DỪNG</t>
  </si>
  <si>
    <t>ĐƯỜNG KÍNH THÉP</t>
  </si>
  <si>
    <t>CHIỀU DÀI
(m)</t>
  </si>
  <si>
    <t>TRỌNG LƯỢNG (kg)</t>
  </si>
  <si>
    <t>TỔNG CHIỀU DÀI
(m)</t>
  </si>
  <si>
    <t>KHỐI LƯỢNG
(kg)</t>
  </si>
  <si>
    <t>CHIỀU DÀI TỐI THIỂU
(mm)</t>
  </si>
  <si>
    <t>CHIỀU DÀI 1 THANH
(mm)</t>
  </si>
  <si>
    <t>SỐ LIỆU CẮT THÉP THEO ĐIỂM DỪNG</t>
  </si>
  <si>
    <t>ĐIỂM DỪNG:</t>
  </si>
  <si>
    <t>CHIỀU DÀI TỐI THIỂU (mm)</t>
  </si>
  <si>
    <t>CHIỀU DÀI 1 THANH (mm)</t>
  </si>
  <si>
    <t>SỐ HIỆU THEO BẢNG TKT</t>
  </si>
  <si>
    <t>SỐ HIỆU
TKT</t>
  </si>
  <si>
    <t>TỔNG SỐ THANH CẦN (CK)</t>
  </si>
  <si>
    <t>Chiều dài đoạn nối</t>
  </si>
  <si>
    <t>D</t>
  </si>
  <si>
    <t>Chiều dài giảm uốn</t>
  </si>
  <si>
    <t>Công trình</t>
  </si>
  <si>
    <t>TỪ ĐOẠN CẮT</t>
  </si>
  <si>
    <t>Chiều dài tính sắt vụn</t>
  </si>
  <si>
    <t>CHIỀU DÀI THANH CẮT</t>
  </si>
  <si>
    <t>SỐ THANH CẮT TỐI ĐA</t>
  </si>
  <si>
    <t>CHIỀU DÀI DƯ</t>
  </si>
  <si>
    <t>CHIỀU DÀI THANH</t>
  </si>
  <si>
    <t>CHIỀU DÀI THANH LẺ (mm)</t>
  </si>
  <si>
    <t>CHIỀU DÀI VỤN</t>
  </si>
  <si>
    <t>CHIỀU DÀI CẦN</t>
  </si>
  <si>
    <t>TỈ LỆ DƯ</t>
  </si>
  <si>
    <t>TỈ LỆ VỤN</t>
  </si>
  <si>
    <t>CHIỀU DÀI TÍNH VỤN</t>
  </si>
  <si>
    <t>CHIỀU DÀI CẦN (mm)</t>
  </si>
  <si>
    <t>CHIỀU DÀI DƯ (mm)</t>
  </si>
  <si>
    <t>CHIỀU DÀI VỤN (mm)</t>
  </si>
  <si>
    <t>SƠ ĐỒ CẮT THÉP</t>
  </si>
  <si>
    <t>ĐOẠN CẮT</t>
  </si>
  <si>
    <t>ĐOẠN DƯ</t>
  </si>
  <si>
    <t>SỐ HIỆU THÉP</t>
  </si>
  <si>
    <t>CHIỀU DÀI</t>
  </si>
  <si>
    <t>TẬN DỤNG</t>
  </si>
  <si>
    <t>SỐ THANH
(cây)</t>
  </si>
  <si>
    <t>CHIỀU DÀI 
SỬ DỤNG</t>
  </si>
  <si>
    <t>SỐ THANH NGUYÊN (thanh)</t>
  </si>
  <si>
    <t>LOẠI THANH</t>
  </si>
  <si>
    <t>SỐ THANH</t>
  </si>
  <si>
    <t>GHI CHÚ</t>
  </si>
  <si>
    <t>HIỆN CÒN</t>
  </si>
  <si>
    <t>Chiều dài bỏ qua nối</t>
  </si>
  <si>
    <t>mm</t>
  </si>
  <si>
    <t>HÌNH DẠNG KÍCH THƯỚC
(mm)</t>
  </si>
  <si>
    <t>L1</t>
  </si>
  <si>
    <t>L2</t>
  </si>
  <si>
    <t>L3</t>
  </si>
  <si>
    <t>L4</t>
  </si>
  <si>
    <t>SỐ HIỆU
CẮT THÉP</t>
  </si>
  <si>
    <t>Chiều dài giảm thép tận dụng (mm)</t>
  </si>
  <si>
    <t>Ký hiệu cắt thép</t>
  </si>
  <si>
    <t>Ký hiệu thống kê thép</t>
  </si>
  <si>
    <t>Số thanh</t>
  </si>
  <si>
    <t>SỬ DỤNG/ HAO HỤT</t>
  </si>
  <si>
    <t>Khối lượng cần mua-Kg (11.7m)</t>
  </si>
  <si>
    <t>Đường kính</t>
  </si>
  <si>
    <t>Khối lượng sắt vun-Kg</t>
  </si>
  <si>
    <t>Tỉ lệ Lưu kho</t>
  </si>
  <si>
    <t>Tổng khối lượng
 thep dư
(Kg)</t>
  </si>
  <si>
    <t>D32</t>
  </si>
  <si>
    <t>Thanh nguyên</t>
  </si>
  <si>
    <t>Sắt vụn</t>
  </si>
  <si>
    <t>Lưu kho</t>
  </si>
  <si>
    <t>D28</t>
  </si>
  <si>
    <t>D25</t>
  </si>
  <si>
    <t>D22</t>
  </si>
  <si>
    <t>D20</t>
  </si>
  <si>
    <t>D18</t>
  </si>
  <si>
    <t>D16</t>
  </si>
  <si>
    <t>D14</t>
  </si>
  <si>
    <t>D12</t>
  </si>
  <si>
    <t>D10</t>
  </si>
  <si>
    <t>Thép dư 660</t>
  </si>
  <si>
    <t>Thép dư 740</t>
  </si>
  <si>
    <t>Thép dư 780</t>
  </si>
  <si>
    <t>Thép dư 820</t>
  </si>
  <si>
    <t>Thép dư 850</t>
  </si>
  <si>
    <t>Thép dư 860</t>
  </si>
  <si>
    <t>Thép dư 900</t>
  </si>
  <si>
    <t>Thép dư 910</t>
  </si>
  <si>
    <t>Thép dư 920</t>
  </si>
  <si>
    <t>Thép dư 960</t>
  </si>
  <si>
    <t>Thép dư 990</t>
  </si>
  <si>
    <t>Thép dư 1000</t>
  </si>
  <si>
    <t>Thép dư 1010</t>
  </si>
  <si>
    <t>Thép dư 1020</t>
  </si>
  <si>
    <t>Thép dư 1040</t>
  </si>
  <si>
    <t>Thép dư 1050</t>
  </si>
  <si>
    <t>Thép dư 1060</t>
  </si>
  <si>
    <t>Thép dư 1090</t>
  </si>
  <si>
    <t>Thép dư 1100</t>
  </si>
  <si>
    <t>Thép dư 1120</t>
  </si>
  <si>
    <t>Thép dư 1130</t>
  </si>
  <si>
    <t>Thép dư 1140</t>
  </si>
  <si>
    <t>Thép dư 1160</t>
  </si>
  <si>
    <t>Thép dư 1200</t>
  </si>
  <si>
    <t>Thép dư 1260</t>
  </si>
  <si>
    <t>Thép dư 1270</t>
  </si>
  <si>
    <t>Thép dư 1280</t>
  </si>
  <si>
    <t>Thép dư 1290</t>
  </si>
  <si>
    <t>Thép dư 1310</t>
  </si>
  <si>
    <t>Thép dư 1360</t>
  </si>
  <si>
    <t>Thép dư 1450</t>
  </si>
  <si>
    <t>Thép dư 1580</t>
  </si>
  <si>
    <t>Thép dư 1610</t>
  </si>
  <si>
    <t>Thép dư 1660</t>
  </si>
  <si>
    <t>Thép dư 1670</t>
  </si>
  <si>
    <t>Thép dư 1800</t>
  </si>
  <si>
    <t>Thép dư 1920</t>
  </si>
  <si>
    <t>Thép dư 2420</t>
  </si>
  <si>
    <t>Thép dư 2640</t>
  </si>
  <si>
    <t>Thép dư 2760</t>
  </si>
  <si>
    <t>Thép dư 2900</t>
  </si>
  <si>
    <t>Thép dư 2965</t>
  </si>
  <si>
    <t>Thép dư 3040</t>
  </si>
  <si>
    <t>Thép dư 3440</t>
  </si>
  <si>
    <t>Thép dư 4100</t>
  </si>
  <si>
    <t>Thép dư 4250</t>
  </si>
  <si>
    <t>Thép dư 4320</t>
  </si>
  <si>
    <t>Thép dư 5180</t>
  </si>
  <si>
    <t>Thép dư 5200</t>
  </si>
  <si>
    <t>Thép dư 1560</t>
  </si>
  <si>
    <t>Thép dư 1730</t>
  </si>
  <si>
    <t>Thép dư 1750</t>
  </si>
  <si>
    <t>Thép dư 1900</t>
  </si>
  <si>
    <t>Thép dư 2150</t>
  </si>
  <si>
    <t>Thép dư 2450</t>
  </si>
  <si>
    <t>Thép dư 3610</t>
  </si>
  <si>
    <t>Thép dư 3670</t>
  </si>
  <si>
    <t>Thép dư 3700</t>
  </si>
  <si>
    <t>Thép dư 3930</t>
  </si>
  <si>
    <t>Thép dư 4310</t>
  </si>
  <si>
    <t>Thép dư 4400</t>
  </si>
  <si>
    <t>Thép dư 4600</t>
  </si>
  <si>
    <t>Thép dư 4830</t>
  </si>
  <si>
    <t>Thép dư 1740</t>
  </si>
  <si>
    <t>Thép dư 2390</t>
  </si>
  <si>
    <t>Thép dư 1540</t>
  </si>
  <si>
    <t>Thép dư 2700</t>
  </si>
  <si>
    <t>Thép dư 3030</t>
  </si>
  <si>
    <t>Thép dư 3110</t>
  </si>
  <si>
    <t>Thép dư 3295</t>
  </si>
  <si>
    <t>Thép dư 3300</t>
  </si>
  <si>
    <t>Thép dư 1775</t>
  </si>
  <si>
    <t>Thép dư 1895</t>
  </si>
  <si>
    <t>Thép dư 2300</t>
  </si>
  <si>
    <t>Thép dư 3975</t>
  </si>
  <si>
    <t>Thép dư 4000</t>
  </si>
  <si>
    <t>Thép dư 1600</t>
  </si>
  <si>
    <t>Thép dư 1700</t>
  </si>
  <si>
    <t>Thép dư 1780</t>
  </si>
  <si>
    <t>Thép dư 1790</t>
  </si>
  <si>
    <t>Thép dư 2000</t>
  </si>
  <si>
    <t>Thép dư 2135</t>
  </si>
  <si>
    <t>Thép dư 2275</t>
  </si>
  <si>
    <t>Thép dư 2375</t>
  </si>
  <si>
    <t>Thép dư 2800</t>
  </si>
  <si>
    <t>Thép dư 2890</t>
  </si>
  <si>
    <t>Thép dư 3100</t>
  </si>
  <si>
    <t>Thép dư 3800</t>
  </si>
  <si>
    <t>Thép dư 4550</t>
  </si>
  <si>
    <t>Thép dư 5390</t>
  </si>
  <si>
    <t>Thép dư 5645</t>
  </si>
  <si>
    <t>Thép dư 1760</t>
  </si>
  <si>
    <t>Thép dư 1860</t>
  </si>
  <si>
    <t>Thép dư 2240</t>
  </si>
  <si>
    <t>Thép dư 2320</t>
  </si>
  <si>
    <t>Thép dư 2460</t>
  </si>
  <si>
    <t>Thép dư 2520</t>
  </si>
  <si>
    <t>Thép dư 3050</t>
  </si>
  <si>
    <t>Thép dư 3500</t>
  </si>
  <si>
    <t>Thép dư 3840</t>
  </si>
  <si>
    <t>Thép dư 3900</t>
  </si>
  <si>
    <t>Thép dư 3600</t>
  </si>
  <si>
    <t>Thép dư 1470</t>
  </si>
  <si>
    <t>Thép dư 2055</t>
  </si>
  <si>
    <t>Thép dư 2100</t>
  </si>
  <si>
    <t>Thép dư 2110</t>
  </si>
  <si>
    <t>Thép dư 2560</t>
  </si>
  <si>
    <t>Thép dư 3520</t>
  </si>
  <si>
    <t>Thép dư 3540</t>
  </si>
  <si>
    <t>Thép dư 4050</t>
  </si>
  <si>
    <t>Thép dư 4070</t>
  </si>
  <si>
    <t>Thép dư 4090</t>
  </si>
  <si>
    <t>Thép dư 4220</t>
  </si>
  <si>
    <t>Thép dư 4800</t>
  </si>
  <si>
    <t>Thép dư 1890</t>
  </si>
  <si>
    <t>Thép dư 4860</t>
  </si>
  <si>
    <t>Thép dư 3400</t>
  </si>
  <si>
    <t>Thép dư 3715</t>
  </si>
  <si>
    <t>Thép dư 4300</t>
  </si>
  <si>
    <t>Thép dư 4695</t>
  </si>
  <si>
    <t>Thép dư 5450</t>
  </si>
  <si>
    <t>Thép dư 5480</t>
  </si>
  <si>
    <t>Thép dư 5560</t>
  </si>
  <si>
    <t>Thép dư 5600</t>
  </si>
  <si>
    <t>Thép dư 3000</t>
  </si>
  <si>
    <t>Thép dư 4650</t>
  </si>
  <si>
    <t>Thép dư 2500</t>
  </si>
  <si>
    <t>Thép dư 3850</t>
  </si>
  <si>
    <t>Thép dư 4380</t>
  </si>
  <si>
    <t>Thép dư 5410</t>
  </si>
  <si>
    <t>Thép dư 1500</t>
  </si>
  <si>
    <t>Thép dư 1510</t>
  </si>
  <si>
    <t>Thép dư 1590</t>
  </si>
  <si>
    <t>Thép dư 1930</t>
  </si>
  <si>
    <t>Thép dư 2230</t>
  </si>
  <si>
    <t>Thép dư 2250</t>
  </si>
  <si>
    <t>Thép dư 2330</t>
  </si>
  <si>
    <t>Thép dư 2970</t>
  </si>
  <si>
    <t>Thép dư 3245</t>
  </si>
  <si>
    <t>Thép dư 3310</t>
  </si>
  <si>
    <t>Thép dư 3580</t>
  </si>
  <si>
    <t>Thép dư 3590</t>
  </si>
  <si>
    <t>Thép dư 3770</t>
  </si>
  <si>
    <t>Thép dư 3830</t>
  </si>
  <si>
    <t>Thép dư 3860</t>
  </si>
  <si>
    <t>Thép dư 4500</t>
  </si>
  <si>
    <t>Thép dư 4605</t>
  </si>
  <si>
    <t>Thép dư 4635</t>
  </si>
  <si>
    <t>Thép dư 4760</t>
  </si>
  <si>
    <t>Thép dư 4790</t>
  </si>
  <si>
    <t>Thép dư 5100</t>
  </si>
  <si>
    <t>Thép dư 1830</t>
  </si>
  <si>
    <t>Thép dư 1980</t>
  </si>
  <si>
    <t>Thép dư 2690</t>
  </si>
  <si>
    <t>Thép dư 2880</t>
  </si>
  <si>
    <t>Thép dư 3320</t>
  </si>
  <si>
    <t>Thép dư 3340</t>
  </si>
  <si>
    <t>Thép dư 3370</t>
  </si>
  <si>
    <t>Thép dư 3510</t>
  </si>
  <si>
    <t>Thép dư 3595</t>
  </si>
  <si>
    <t>Thép dư 5585</t>
  </si>
  <si>
    <t>Thép dư 4700</t>
  </si>
  <si>
    <t>Thép dư 4750</t>
  </si>
  <si>
    <t>Thép dư 1420</t>
  </si>
  <si>
    <t>Thép dư 1460</t>
  </si>
  <si>
    <t>Thép dư 2510</t>
  </si>
  <si>
    <t>Thép dư 3630</t>
  </si>
  <si>
    <t>Thép dư 4630</t>
  </si>
  <si>
    <t>Thép dư 2010</t>
  </si>
  <si>
    <t>Thép dư 3020</t>
  </si>
  <si>
    <t>Thép dư 1440</t>
  </si>
  <si>
    <t>MONBAY HẠ LONG</t>
  </si>
  <si>
    <t>Tổng KL
D6
(Kg)</t>
  </si>
  <si>
    <t>Tổng KL
D8
(Kg)</t>
  </si>
  <si>
    <t>Tổng KL theo shop
(Kg)</t>
  </si>
  <si>
    <t>STT</t>
  </si>
  <si>
    <t>Ø</t>
  </si>
  <si>
    <t>TL/cây</t>
  </si>
  <si>
    <t>Cây/bó</t>
  </si>
  <si>
    <t>TL/md</t>
  </si>
  <si>
    <t>(1)</t>
  </si>
  <si>
    <t>(2)</t>
  </si>
  <si>
    <t>(3)</t>
  </si>
  <si>
    <t>(4)</t>
  </si>
  <si>
    <t>Tổng KL sắt vụn (kg)</t>
  </si>
  <si>
    <t>Tổng KL lưu kho (kg)</t>
  </si>
  <si>
    <t>Tỉ lệ  Sắt vụn</t>
  </si>
  <si>
    <t>Tổng KL cần mua-Kg (11.7m)</t>
  </si>
  <si>
    <t>Tổng KL theo shop
(kg)</t>
  </si>
  <si>
    <t>Dự án:</t>
  </si>
  <si>
    <t>Bộ phận:</t>
  </si>
  <si>
    <t>Kỹ Thuật</t>
  </si>
  <si>
    <t>Ngày báo cáo:</t>
  </si>
  <si>
    <t>Cấu kiện/Tầng</t>
  </si>
  <si>
    <t>Số lượng</t>
  </si>
  <si>
    <t>Ghi chú</t>
  </si>
  <si>
    <t>(7)</t>
  </si>
  <si>
    <t>(10)=(8)+(9)</t>
  </si>
  <si>
    <t>(11)</t>
  </si>
  <si>
    <t>Người lập</t>
  </si>
  <si>
    <t>Xác nhận CHT</t>
  </si>
  <si>
    <t>Trần Văn Bình</t>
  </si>
  <si>
    <t>Điểm dừng cắt thép</t>
  </si>
  <si>
    <t>Lũy kế KL cần mua
(11.7m -kg)</t>
  </si>
  <si>
    <t>Lũy kế KL shop
(11.7m -kg)</t>
  </si>
  <si>
    <t>phụ trách :</t>
  </si>
  <si>
    <t>Lũy kế KL 
sắt vụn
(kg)</t>
  </si>
  <si>
    <t>Lũy kế KL 
lưu kho
(kg)</t>
  </si>
  <si>
    <t>Lũy kế tỉ lệ sắt vụn
(%)</t>
  </si>
  <si>
    <t>Lũy kế tỉ lệ lưu kho
(%)</t>
  </si>
  <si>
    <t>Lũy kế hao hụt tổng 
(%)</t>
  </si>
  <si>
    <t>* Ghi chú:
  - Hao hụt lý thuyết theo shop được hiểu là phần thép dư không còn tận dụng được (SẮT VỤN) sẽ thanh lý theo quy định của công ty và thép DC chờ tận dụng công tác sau.
  - Thực tế hao hụt này có thể giảm bớt do giảm chiều dài các thanh thép gia cường, giảm khoảng cách rải thép sàn.</t>
  </si>
  <si>
    <t>(5)</t>
  </si>
  <si>
    <t>(6)</t>
  </si>
  <si>
    <t>(8)=(6)/(4)</t>
  </si>
  <si>
    <t>(9)=(7)/(4)</t>
  </si>
  <si>
    <t>BẢNG TỔNG HỢP HAO HỤT THÉP LÝ THUYẾT CÔNG TÁC SHOP DRAWING</t>
  </si>
  <si>
    <r>
      <t>(4)=SUM(H:H)+</t>
    </r>
    <r>
      <rPr>
        <sz val="11"/>
        <color theme="1"/>
        <rFont val="Symbol"/>
        <family val="1"/>
        <charset val="2"/>
      </rPr>
      <t>f6+f8</t>
    </r>
  </si>
  <si>
    <t>(5)=TH Thep'!M1</t>
  </si>
  <si>
    <t>(7)=SLThepDu!F1</t>
  </si>
  <si>
    <t>(9)=(7)/(5)</t>
  </si>
  <si>
    <t>TẦNG 1-MÓNG CẨU THÁP CT1</t>
  </si>
  <si>
    <t>TẦNG 1-MÓNG CẨU THÁP CT2&amp;CT3</t>
  </si>
  <si>
    <t>A</t>
  </si>
  <si>
    <t>A # 1.1</t>
  </si>
  <si>
    <t>Thép dư 4330</t>
  </si>
  <si>
    <t>Thép dư 4580</t>
  </si>
  <si>
    <t>Thép dư 4740</t>
  </si>
  <si>
    <t>Thép dư 4950</t>
  </si>
  <si>
    <t>TẦNG 1-DẦM BO, DẦM CHỜ,LỖ MỞ ĐỈNH TƯỜNG VÂY</t>
  </si>
  <si>
    <t>Thép dư 5760</t>
  </si>
  <si>
    <t>Thép dư 4970</t>
  </si>
  <si>
    <t xml:space="preserve">TẦNG 1-ZONE 1.1-THÉP DẦM </t>
  </si>
  <si>
    <t>TẦNG 1-ZONE 1.1-THÉP SÀN</t>
  </si>
  <si>
    <t>Thép dư 5350</t>
  </si>
  <si>
    <t>Thép dư 5700</t>
  </si>
  <si>
    <t>Thép dư 5900</t>
  </si>
  <si>
    <t>TỔNG hao hụt</t>
  </si>
  <si>
    <t>Thép dư 1950</t>
  </si>
  <si>
    <t xml:space="preserve">TẦNG 1-ZONE 1.2-THÉP DẦM SÀN </t>
  </si>
  <si>
    <t xml:space="preserve">TẦNG 1-ZONE 1.3-THÉP DẦM SÀN </t>
  </si>
  <si>
    <t xml:space="preserve">TẦNG 1-ZONE 2.1-THÉP DẦM SÀN </t>
  </si>
  <si>
    <t>Thép dư 3240</t>
  </si>
  <si>
    <t>Thép dư 4120</t>
  </si>
  <si>
    <t>Thép dư 4280</t>
  </si>
  <si>
    <t>Thép dư 4450</t>
  </si>
  <si>
    <t>Thép dư 2380</t>
  </si>
  <si>
    <t>Thép dư 2410</t>
  </si>
  <si>
    <t>Thép dư 2470</t>
  </si>
  <si>
    <t>Thép dư 2530</t>
  </si>
  <si>
    <t>Thép dư 3190</t>
  </si>
  <si>
    <t>Thép dư 3620</t>
  </si>
  <si>
    <t>Thép dư 3920</t>
  </si>
  <si>
    <t>Thép dư 4170</t>
  </si>
  <si>
    <t>Thép dư 4370</t>
  </si>
  <si>
    <t>Thép dư 1570</t>
  </si>
  <si>
    <t>Thép dư 2720</t>
  </si>
  <si>
    <t>Thép dư 4900</t>
  </si>
  <si>
    <t xml:space="preserve">TẦNG 1-ZONE 2.2-THÉP DẦM SÀN </t>
  </si>
  <si>
    <t>Thép dư 2130</t>
  </si>
  <si>
    <t>Thép dư 2170</t>
  </si>
  <si>
    <t>Thép dư 2180</t>
  </si>
  <si>
    <t>Thép dư 2280</t>
  </si>
  <si>
    <t>Thép dư 2310</t>
  </si>
  <si>
    <t>Thép dư 2340</t>
  </si>
  <si>
    <t>Thép dư 2820</t>
  </si>
  <si>
    <t>Thép dư 1620</t>
  </si>
  <si>
    <t>Thép dư 4350</t>
  </si>
  <si>
    <t>Thép dư 4480</t>
  </si>
  <si>
    <t xml:space="preserve">TẦNG 1-ZONE 2.3-THÉP DẦM SÀN </t>
  </si>
  <si>
    <t>Thép dư 640</t>
  </si>
  <si>
    <t>Thép dư 650</t>
  </si>
  <si>
    <t>Thép dư 3795</t>
  </si>
  <si>
    <t>Thép dư 2785</t>
  </si>
  <si>
    <t>Thép dư 5230</t>
  </si>
  <si>
    <t>Thép dư 4385</t>
  </si>
  <si>
    <t>Thép dư 4420</t>
  </si>
  <si>
    <t>TẦNG B1-ZONE 1.1-THÉP DẦM SÀN</t>
  </si>
  <si>
    <t>Thép dư 3070</t>
  </si>
  <si>
    <t>Thép dư 5000</t>
  </si>
  <si>
    <t>Thép dư 4440</t>
  </si>
  <si>
    <t>Thép dư 4490</t>
  </si>
  <si>
    <t>Thép dư 4590</t>
  </si>
  <si>
    <t>Thép dư 4610</t>
  </si>
  <si>
    <t>Thép dư 4660</t>
  </si>
  <si>
    <t>Thép dư 4850</t>
  </si>
  <si>
    <t>Thép dư 5460</t>
  </si>
  <si>
    <t>TẦNG B1-ZONE 1.2-THÉP DẦM SÀN</t>
  </si>
  <si>
    <t>TẦNG B1-ZONE 1.3-THÉP DẦM SÀN</t>
  </si>
  <si>
    <t>Thép dư 2220</t>
  </si>
  <si>
    <t>Thép dư 5120</t>
  </si>
  <si>
    <t>TẦNG B1-ZONE 2.1-THÉP DẦM SÀN</t>
  </si>
  <si>
    <t>Thép dư 4435</t>
  </si>
  <si>
    <t>Thép dư 5260</t>
  </si>
  <si>
    <t>Thép dư 3155</t>
  </si>
  <si>
    <t>TẦNG B1-ZONE 2.2-THÉP DẦM SÀN</t>
  </si>
  <si>
    <t>Thép dư 4680</t>
  </si>
  <si>
    <t>TẦNG B1-ZONE 2.3-THÉP DẦM SÀN</t>
  </si>
  <si>
    <t>DA.C-1</t>
  </si>
  <si>
    <t>DA.C-2</t>
  </si>
  <si>
    <t>DA.C-3</t>
  </si>
  <si>
    <t>DA.C-4</t>
  </si>
  <si>
    <t>DA.C-5</t>
  </si>
  <si>
    <t>DA.C-6</t>
  </si>
  <si>
    <t>DA.C-7</t>
  </si>
  <si>
    <t>DA.C-8</t>
  </si>
  <si>
    <t>DA.C-9</t>
  </si>
  <si>
    <t>DA.C-10</t>
  </si>
  <si>
    <t>DA.C-11</t>
  </si>
  <si>
    <t>DA.C-12</t>
  </si>
  <si>
    <t>DA.C-12a</t>
  </si>
  <si>
    <t>DA.C-13</t>
  </si>
  <si>
    <t>DA.C-14</t>
  </si>
  <si>
    <t>DA.C-15</t>
  </si>
  <si>
    <t>DA.C-16</t>
  </si>
  <si>
    <t>DA.C-17</t>
  </si>
  <si>
    <t>DA.C-19</t>
  </si>
  <si>
    <t>DA.C-20</t>
  </si>
  <si>
    <t>DA.C-21</t>
  </si>
  <si>
    <t>DA.C-22</t>
  </si>
  <si>
    <t>DA.C-23</t>
  </si>
  <si>
    <t>DA.C-24</t>
  </si>
  <si>
    <t>DA.C-25</t>
  </si>
  <si>
    <t>DA.C-26</t>
  </si>
  <si>
    <t>DA.C-27</t>
  </si>
  <si>
    <t>DA.C-28</t>
  </si>
  <si>
    <t>DA.C-29</t>
  </si>
  <si>
    <t>DA.C-30</t>
  </si>
  <si>
    <t>DA.C-31</t>
  </si>
  <si>
    <t>DA.C-32</t>
  </si>
  <si>
    <t>DA.C-33</t>
  </si>
  <si>
    <t>DA.C-33a</t>
  </si>
  <si>
    <t>DA.C-34</t>
  </si>
  <si>
    <t>DA.C-35</t>
  </si>
  <si>
    <t>DA.C-36</t>
  </si>
  <si>
    <t>DA.C-36a</t>
  </si>
  <si>
    <t>DA.C-36b</t>
  </si>
  <si>
    <t>DA.C-37</t>
  </si>
  <si>
    <t>DA.C-38</t>
  </si>
  <si>
    <t>DA.C-39</t>
  </si>
  <si>
    <t>DA.C-40</t>
  </si>
  <si>
    <t>DA.C-41</t>
  </si>
  <si>
    <t>DA.C-goc</t>
  </si>
  <si>
    <t xml:space="preserve">DB.C-2 </t>
  </si>
  <si>
    <t xml:space="preserve">DB.C-3 </t>
  </si>
  <si>
    <t xml:space="preserve">DB.C-4 </t>
  </si>
  <si>
    <t xml:space="preserve">DB.C-5 </t>
  </si>
  <si>
    <t xml:space="preserve">DB.C-15 </t>
  </si>
  <si>
    <t>DC.C-1</t>
  </si>
  <si>
    <t xml:space="preserve">DC.C-2 </t>
  </si>
  <si>
    <t>DC.C-6</t>
  </si>
  <si>
    <t>DC.C-7</t>
  </si>
  <si>
    <t>DC.C-8</t>
  </si>
  <si>
    <t>DC.C-9</t>
  </si>
  <si>
    <t>DC.C-10</t>
  </si>
  <si>
    <t>DC.C-11</t>
  </si>
  <si>
    <t>DC.C-11a</t>
  </si>
  <si>
    <t>DC.C-11b</t>
  </si>
  <si>
    <t>DC.C-12</t>
  </si>
  <si>
    <t>DC.C-13</t>
  </si>
  <si>
    <t>DC.C-14</t>
  </si>
  <si>
    <t>DC.C-16</t>
  </si>
  <si>
    <t>DC.C-17</t>
  </si>
  <si>
    <t>DC.C-18</t>
  </si>
  <si>
    <t>DA.C-18</t>
  </si>
  <si>
    <t>DB.4-40</t>
  </si>
  <si>
    <t>DB.4-41</t>
  </si>
  <si>
    <t>DB.C-1</t>
  </si>
  <si>
    <t>DB.C-2</t>
  </si>
  <si>
    <t>DB.C-3</t>
  </si>
  <si>
    <t xml:space="preserve">DB.C-6 </t>
  </si>
  <si>
    <t xml:space="preserve">DB.C-7 </t>
  </si>
  <si>
    <t xml:space="preserve">DB.C-8 </t>
  </si>
  <si>
    <t>DB.C-8A</t>
  </si>
  <si>
    <t xml:space="preserve">DB.C-9 </t>
  </si>
  <si>
    <t xml:space="preserve">DB.C-10 </t>
  </si>
  <si>
    <t>DB.C-11</t>
  </si>
  <si>
    <t>DB.C-12</t>
  </si>
  <si>
    <t>DB.C-13</t>
  </si>
  <si>
    <t>DB.C-13a</t>
  </si>
  <si>
    <t>DB.C-14</t>
  </si>
  <si>
    <t>DB.C-15</t>
  </si>
  <si>
    <t>DB.C-16</t>
  </si>
  <si>
    <t>DB.C-17</t>
  </si>
  <si>
    <t>DB.C-18a</t>
  </si>
  <si>
    <t>DB.C-19</t>
  </si>
  <si>
    <t>DB.C-19a</t>
  </si>
  <si>
    <t>DB.C-20</t>
  </si>
  <si>
    <t>DB.C-21</t>
  </si>
  <si>
    <t>A # 2.1</t>
  </si>
  <si>
    <t>A # 2.2</t>
  </si>
  <si>
    <t>A # 5.1</t>
  </si>
  <si>
    <t>A # 5.2</t>
  </si>
  <si>
    <t>A # 5.3</t>
  </si>
  <si>
    <t>A # 5.4</t>
  </si>
  <si>
    <t>A # 5.5</t>
  </si>
  <si>
    <t>A # 5.6</t>
  </si>
  <si>
    <t>A # 5.7</t>
  </si>
  <si>
    <t>A # 5.8</t>
  </si>
  <si>
    <t>A # 7.1</t>
  </si>
  <si>
    <t>A # 7</t>
  </si>
  <si>
    <t>A # 7.2</t>
  </si>
  <si>
    <t>A # 7.3</t>
  </si>
  <si>
    <t>A # 7.4</t>
  </si>
  <si>
    <t>A # 7.5</t>
  </si>
  <si>
    <t>A # 9.1</t>
  </si>
  <si>
    <t>A # 9.2</t>
  </si>
  <si>
    <t>A # 9.3</t>
  </si>
  <si>
    <t>A # 12.1</t>
  </si>
  <si>
    <t>A # 12.2</t>
  </si>
  <si>
    <t>DA.C-1 # 1.1</t>
  </si>
  <si>
    <t>DA.C-1 # 1.2</t>
  </si>
  <si>
    <t>DA.C-1 # 1.3</t>
  </si>
  <si>
    <t>DA.C-1 # 1.4</t>
  </si>
  <si>
    <t>DA.C-1 # 1.5</t>
  </si>
  <si>
    <t>DA.C-1 # 1.6</t>
  </si>
  <si>
    <t>DA.C-1 # 1.7</t>
  </si>
  <si>
    <t>DA.C-1 # 1.8</t>
  </si>
  <si>
    <t>DA.C-1 # 2</t>
  </si>
  <si>
    <t>DA.C-1 # 3.1</t>
  </si>
  <si>
    <t>DA.C-1 # 3.2</t>
  </si>
  <si>
    <t>DA.C-1 # 3.3</t>
  </si>
  <si>
    <t>DA.C-1 # 3.4</t>
  </si>
  <si>
    <t>DA.C-1 # 3.5</t>
  </si>
  <si>
    <t>DA.C-1 # 4.1</t>
  </si>
  <si>
    <t>DA.C-1 # 4.2</t>
  </si>
  <si>
    <t>DA.C-1 # 4.3</t>
  </si>
  <si>
    <t>DA.C-1 # 4.4</t>
  </si>
  <si>
    <t>DA.C-1 # 4.5</t>
  </si>
  <si>
    <t>DA.C-1 # 5</t>
  </si>
  <si>
    <t>DA.C-1 # 6</t>
  </si>
  <si>
    <t>DA.C-1 # 7</t>
  </si>
  <si>
    <t>DA.C-1 # 8</t>
  </si>
  <si>
    <t>DA.C-1 # 9.1</t>
  </si>
  <si>
    <t>DA.C-1 # 9.2</t>
  </si>
  <si>
    <t>DA.C-1 # 10</t>
  </si>
  <si>
    <t>DA.C-1 # 11.1</t>
  </si>
  <si>
    <t>DA.C-1 # 11.2</t>
  </si>
  <si>
    <t>DA.C-1 # 11.3</t>
  </si>
  <si>
    <t>DA.C-1 # 11.4</t>
  </si>
  <si>
    <t>DA.C-1 # 11.5</t>
  </si>
  <si>
    <t>DA.C-1 # 11.6</t>
  </si>
  <si>
    <t>DA.C-1 # 12</t>
  </si>
  <si>
    <t>DA.C-1 # 13</t>
  </si>
  <si>
    <t>DA.C-1 # 14.1</t>
  </si>
  <si>
    <t>DA.C-1 # 14.2</t>
  </si>
  <si>
    <t>DA.C-1 # 14.3</t>
  </si>
  <si>
    <t>DA.C-1 # 14.4</t>
  </si>
  <si>
    <t>DA.C-1 # 14.5</t>
  </si>
  <si>
    <t>DA.C-1 # 14.6</t>
  </si>
  <si>
    <t>DA.C-2 # 1.1</t>
  </si>
  <si>
    <t>DA.C-2 # 1.2</t>
  </si>
  <si>
    <t>DA.C-2 # 1.3</t>
  </si>
  <si>
    <t>DA.C-2 # 1.6</t>
  </si>
  <si>
    <t>DA.C-2 # 2.1</t>
  </si>
  <si>
    <t>DA.C-2 # 2.2</t>
  </si>
  <si>
    <t>DA.C-2 # 2.3</t>
  </si>
  <si>
    <t>DA.C-2 # 2.4</t>
  </si>
  <si>
    <t>DA.C-2 # 3</t>
  </si>
  <si>
    <t>DA.C-2 # 4</t>
  </si>
  <si>
    <t>DA.C-2 # 5.1</t>
  </si>
  <si>
    <t>DA.C-2 # 5.2</t>
  </si>
  <si>
    <t>DA.C-2 # 6</t>
  </si>
  <si>
    <t>DA.C-2 # 7</t>
  </si>
  <si>
    <t>DA.C-2 # 8</t>
  </si>
  <si>
    <t>DA.C-2 # 9</t>
  </si>
  <si>
    <t>DA.C-2 # 10</t>
  </si>
  <si>
    <t>DA.C-3 # 1.2</t>
  </si>
  <si>
    <t>DA.C-3 # 1.3</t>
  </si>
  <si>
    <t>DA.C-3 # 1.4</t>
  </si>
  <si>
    <t>DA.C-3 # 2.5</t>
  </si>
  <si>
    <t>DA.C-3 # 2.6</t>
  </si>
  <si>
    <t>DA.C-3 # 2.7</t>
  </si>
  <si>
    <t>DA.C-3 # 2.8</t>
  </si>
  <si>
    <t>DA.C-3 # 3.1</t>
  </si>
  <si>
    <t>DA.C-3 # 3.2</t>
  </si>
  <si>
    <t>DA.C-3 # 4</t>
  </si>
  <si>
    <t>DA.C-3 # 5</t>
  </si>
  <si>
    <t>DA.C-3 # 6</t>
  </si>
  <si>
    <t>DA.C-3 # 7</t>
  </si>
  <si>
    <t>DA.C-4 # 1.1</t>
  </si>
  <si>
    <t>DA.C-4 # 1.2</t>
  </si>
  <si>
    <t>DA.C-4 # 2.1</t>
  </si>
  <si>
    <t>DA.C-4 # 2.2</t>
  </si>
  <si>
    <t>DA.C-4 # 3.1</t>
  </si>
  <si>
    <t>DA.C-4 # 3.2</t>
  </si>
  <si>
    <t>DA.C-4 # 4.1</t>
  </si>
  <si>
    <t>DA.C-4 # 4.2</t>
  </si>
  <si>
    <t>DA.C-4 # 4.3</t>
  </si>
  <si>
    <t>DA.C-4 # 4.4</t>
  </si>
  <si>
    <t>DA.C-4 # 5</t>
  </si>
  <si>
    <t>DA.C-4 # 6</t>
  </si>
  <si>
    <t>DA.C-4 # 6.1</t>
  </si>
  <si>
    <t>DA.C-4 # 7.1</t>
  </si>
  <si>
    <t>DA.C-4 # 7.2</t>
  </si>
  <si>
    <t>DA.C-4 # 8</t>
  </si>
  <si>
    <t>DA.C-4 # 9</t>
  </si>
  <si>
    <t>DA.C-4 # 10</t>
  </si>
  <si>
    <t>DA.C-4 # 11</t>
  </si>
  <si>
    <t>DA.C-4 # 12.1</t>
  </si>
  <si>
    <t>DA.C-4 # 12.2</t>
  </si>
  <si>
    <t>DA.C-4 # 12</t>
  </si>
  <si>
    <t>DA.C-5 # 1.1</t>
  </si>
  <si>
    <t>DA.C-5 # 1.2</t>
  </si>
  <si>
    <t>DA.C-5 # 1.3</t>
  </si>
  <si>
    <t>DA.C-5 # 1.4</t>
  </si>
  <si>
    <t>DA.C-5 # 1.5</t>
  </si>
  <si>
    <t>DA.C-5 # 2.1</t>
  </si>
  <si>
    <t>DA.C-5 # 2.2</t>
  </si>
  <si>
    <t>DA.C-5 # 2.3</t>
  </si>
  <si>
    <t>DA.C-5 # 2.4</t>
  </si>
  <si>
    <t>DA.C-5 # 2.5</t>
  </si>
  <si>
    <t>DA.C-5 # 3.1</t>
  </si>
  <si>
    <t>DA.C-5 # 3.2</t>
  </si>
  <si>
    <t>DA.C-5 # 3.3</t>
  </si>
  <si>
    <t>DA.C-5 # 3.4</t>
  </si>
  <si>
    <t>DA.C-5 # 3.5</t>
  </si>
  <si>
    <t>DA.C-5 # 4.1</t>
  </si>
  <si>
    <t>DA.C-5 # 4.2</t>
  </si>
  <si>
    <t>DA.C-5 # 4.3</t>
  </si>
  <si>
    <t>DA.C-5 # 4.4</t>
  </si>
  <si>
    <t>DA.C-5 # 5</t>
  </si>
  <si>
    <t>DA.C-5 # 6.1</t>
  </si>
  <si>
    <t>DA.C-5 # 6.2</t>
  </si>
  <si>
    <t>DA.C-5 # 7</t>
  </si>
  <si>
    <t>DA.C-5 # 8.1</t>
  </si>
  <si>
    <t>DA.C-5 # 8.2</t>
  </si>
  <si>
    <t>DA.C-5 # 9</t>
  </si>
  <si>
    <t>DA.C-5 # 10</t>
  </si>
  <si>
    <t>DA.C-5 # 11.1</t>
  </si>
  <si>
    <t>DA.C-5 # 11.2</t>
  </si>
  <si>
    <t>DA.C-6 # 1.1</t>
  </si>
  <si>
    <t>DA.C-6 # 1.2</t>
  </si>
  <si>
    <t>DA.C-6 # 1.3</t>
  </si>
  <si>
    <t>DA.C-6 # 1.4</t>
  </si>
  <si>
    <t>DA.C-6 # 1.5</t>
  </si>
  <si>
    <t>DA.C-6 # 2.1</t>
  </si>
  <si>
    <t>DA.C-6 # 2.2</t>
  </si>
  <si>
    <t>DA.C-6 # 2.3</t>
  </si>
  <si>
    <t>DA.C-6 # 2.4</t>
  </si>
  <si>
    <t>DA.C-6 # 3.1</t>
  </si>
  <si>
    <t>DA.C-6 # 3.2</t>
  </si>
  <si>
    <t>DA.C-6 # 4</t>
  </si>
  <si>
    <t>DA.C-6 # 5.1</t>
  </si>
  <si>
    <t>DA.C-6 # 5.2</t>
  </si>
  <si>
    <t>DA.C-6 # 6</t>
  </si>
  <si>
    <t>DA.C-6 # 7.1</t>
  </si>
  <si>
    <t>DA.C-6 # 7.2</t>
  </si>
  <si>
    <t>DA.C-7 # 1.1</t>
  </si>
  <si>
    <t>DA.C-7 # 1.2</t>
  </si>
  <si>
    <t>DA.C-7 # 1.3</t>
  </si>
  <si>
    <t>DA.C-7 # 1.4</t>
  </si>
  <si>
    <t>DA.C-7 # 1.5</t>
  </si>
  <si>
    <t>DA.C-7 # 2.1</t>
  </si>
  <si>
    <t>DA.C-7 # 2.2</t>
  </si>
  <si>
    <t>DA.C-7 # 2.3</t>
  </si>
  <si>
    <t>DA.C-7 # 2.4</t>
  </si>
  <si>
    <t>DA.C-7 # 2.5</t>
  </si>
  <si>
    <t>DA.C-7 # 3.1</t>
  </si>
  <si>
    <t>DA.C-7 # 3.2</t>
  </si>
  <si>
    <t>DA.C-7 # 3.3</t>
  </si>
  <si>
    <t>DA.C-7 # 3.4</t>
  </si>
  <si>
    <t>DA.C-7 # 3.5</t>
  </si>
  <si>
    <t>DA.C-7 # 4.1</t>
  </si>
  <si>
    <t>DA.C-7 # 4.2</t>
  </si>
  <si>
    <t>DA.C-7 # 4.3</t>
  </si>
  <si>
    <t>DA.C-7 # 4.4</t>
  </si>
  <si>
    <t>DA.C-7 # 5</t>
  </si>
  <si>
    <t>DA.C-7 # 6.1</t>
  </si>
  <si>
    <t>DA.C-7 # 6.2</t>
  </si>
  <si>
    <t>DA.C-7 # 7</t>
  </si>
  <si>
    <t>DA.C-7 # 8.1</t>
  </si>
  <si>
    <t>DA.C-7 # 8.2</t>
  </si>
  <si>
    <t>DA.C-7 # 9</t>
  </si>
  <si>
    <t>DA.C-7 # 10</t>
  </si>
  <si>
    <t>DA.C-7 # 11.1</t>
  </si>
  <si>
    <t>DA.C-7 # 11.2</t>
  </si>
  <si>
    <t>DA.C-8 # 1.1</t>
  </si>
  <si>
    <t>DA.C-8 # 1.2</t>
  </si>
  <si>
    <t>DA.C-8 # 1.3</t>
  </si>
  <si>
    <t>DA.C-8 # 1.4</t>
  </si>
  <si>
    <t>DA.C-8 # 1.5</t>
  </si>
  <si>
    <t>DA.C-8 # 1.6</t>
  </si>
  <si>
    <t>DA.C-8 # 1.7</t>
  </si>
  <si>
    <t>DA.C-8 # 2.1</t>
  </si>
  <si>
    <t>DA.C-8 # 2.2</t>
  </si>
  <si>
    <t>DA.C-8 # 2.3</t>
  </si>
  <si>
    <t>DA.C-8 # 2.4</t>
  </si>
  <si>
    <t>DA.C-8 # 2.5</t>
  </si>
  <si>
    <t>DA.C-8 # 2.6</t>
  </si>
  <si>
    <t>DA.C-8 # 2.7</t>
  </si>
  <si>
    <t>DA.C-8 # 3.1</t>
  </si>
  <si>
    <t>DA.C-8 # 3.2</t>
  </si>
  <si>
    <t>DA.C-8 # 3.3</t>
  </si>
  <si>
    <t>DA.C-8 # 3.4</t>
  </si>
  <si>
    <t>DA.C-8 # 3.5</t>
  </si>
  <si>
    <t>DA.C-8 # 3.6</t>
  </si>
  <si>
    <t>DA.C-8 # 3.7</t>
  </si>
  <si>
    <t>DA.C-8 # 4.1</t>
  </si>
  <si>
    <t>DA.C-8 # 4.2</t>
  </si>
  <si>
    <t>DA.C-8 # 4.3</t>
  </si>
  <si>
    <t>DA.C-8 # 4.4</t>
  </si>
  <si>
    <t>DA.C-8 # 4.5</t>
  </si>
  <si>
    <t>DA.C-8 # 4.6</t>
  </si>
  <si>
    <t>DA.C-8 # 4.7</t>
  </si>
  <si>
    <t>DA.C-8 # 5</t>
  </si>
  <si>
    <t>DA.C-8 # 6</t>
  </si>
  <si>
    <t>DA.C-8 # 6.1</t>
  </si>
  <si>
    <t>DA.C-8 # 7.1</t>
  </si>
  <si>
    <t>DA.C-8 # 7.2</t>
  </si>
  <si>
    <t>DA.C-8 # 8</t>
  </si>
  <si>
    <t>DA.C-8 # 9.1</t>
  </si>
  <si>
    <t>DA.C-8 # 9.2</t>
  </si>
  <si>
    <t>DA.C-8 # 9.3</t>
  </si>
  <si>
    <t>DA.C-8 # 10</t>
  </si>
  <si>
    <t>DA.C-8 # 11</t>
  </si>
  <si>
    <t>DA.C-8 # 12.1</t>
  </si>
  <si>
    <t>DA.C-8 # 12.2</t>
  </si>
  <si>
    <t>DA.C-8 # 12.3</t>
  </si>
  <si>
    <t>DA.C-8 # 12.4</t>
  </si>
  <si>
    <t>DA.C-8 # 12.5</t>
  </si>
  <si>
    <t>DA.C-9 # 1.3</t>
  </si>
  <si>
    <t>DA.C-9 # 1.4</t>
  </si>
  <si>
    <t>DA.C-9 # 1.5</t>
  </si>
  <si>
    <t>DA.C-9 # 1.6</t>
  </si>
  <si>
    <t>DA.C-9 # 1.7</t>
  </si>
  <si>
    <t>DA.C-9 # 1.8</t>
  </si>
  <si>
    <t>DA.C-9 # 2.1</t>
  </si>
  <si>
    <t>DA.C-9 # 2.2</t>
  </si>
  <si>
    <t>DA.C-9 # 2.4</t>
  </si>
  <si>
    <t>DA.C-9 # 2.5</t>
  </si>
  <si>
    <t>DA.C-9 # 2.6</t>
  </si>
  <si>
    <t>DA.C-9 # 2.7</t>
  </si>
  <si>
    <t>DA.C-9 # 2.8</t>
  </si>
  <si>
    <t>DA.C-9 # 2.9</t>
  </si>
  <si>
    <t>DA.C-9 # 2.11</t>
  </si>
  <si>
    <t>DA.C-9 # 2.12</t>
  </si>
  <si>
    <t>DA.C-9 # 2.13</t>
  </si>
  <si>
    <t>DA.C-9 # 2.14</t>
  </si>
  <si>
    <t>DA.C-9 # 2.15</t>
  </si>
  <si>
    <t>DA.C-9 # 2.16</t>
  </si>
  <si>
    <t>DA.C-9 # 2.17</t>
  </si>
  <si>
    <t>DA.C-9 # 2.18</t>
  </si>
  <si>
    <t>DA.C-9 # 2.19</t>
  </si>
  <si>
    <t>DA.C-9 # 2.21</t>
  </si>
  <si>
    <t>DA.C-9 # 2.22</t>
  </si>
  <si>
    <t>DA.C-9 # 2.23</t>
  </si>
  <si>
    <t>DA.C-9 # 2.24</t>
  </si>
  <si>
    <t>DA.C-9 # 2.25</t>
  </si>
  <si>
    <t>DA.C-9 # 2.26</t>
  </si>
  <si>
    <t>DA.C-9 # 3.1</t>
  </si>
  <si>
    <t>DA.C-9 # 3.2</t>
  </si>
  <si>
    <t>DA.C-9 # 3.3</t>
  </si>
  <si>
    <t>DA.C-9 # 3.8</t>
  </si>
  <si>
    <t>DA.C-9 # 3.9</t>
  </si>
  <si>
    <t>DA.C-9 # 4.1</t>
  </si>
  <si>
    <t>DA.C-9 # 4.2</t>
  </si>
  <si>
    <t>DA.C-9 # 5.1</t>
  </si>
  <si>
    <t>DA.C-9 # 5.2</t>
  </si>
  <si>
    <t>DA.C-9 # 6</t>
  </si>
  <si>
    <t>DA.C-9 # 7</t>
  </si>
  <si>
    <t>DA.C-9 # 8</t>
  </si>
  <si>
    <t>DA.C-9 # 9</t>
  </si>
  <si>
    <t>DA.C-9 # 12</t>
  </si>
  <si>
    <t>DA.C-10 # 1.1</t>
  </si>
  <si>
    <t>DA.C-10 # 1.2</t>
  </si>
  <si>
    <t>DA.C-10 # 1.3</t>
  </si>
  <si>
    <t>DA.C-10 # 1.4</t>
  </si>
  <si>
    <t>DA.C-10 # 1.5</t>
  </si>
  <si>
    <t>DA.C-10 # 1.6</t>
  </si>
  <si>
    <t>DA.C-10 # 1.7</t>
  </si>
  <si>
    <t>DA.C-10 # 1.8</t>
  </si>
  <si>
    <t>DA.C-10 # 2.1</t>
  </si>
  <si>
    <t>DA.C-10 # 2.2</t>
  </si>
  <si>
    <t>DA.C-10 # 2.3</t>
  </si>
  <si>
    <t>DA.C-10 # 2.5</t>
  </si>
  <si>
    <t>DA.C-10 # 2.12</t>
  </si>
  <si>
    <t>DA.C-10 # 3.1</t>
  </si>
  <si>
    <t>DA.C-10 # 3.2</t>
  </si>
  <si>
    <t>DA.C-10 # 3.3</t>
  </si>
  <si>
    <t>DA.C-10 # 3.4</t>
  </si>
  <si>
    <t>DA.C-10 # 3.5</t>
  </si>
  <si>
    <t>DA.C-10 # 3.6</t>
  </si>
  <si>
    <t>DA.C-10 # 3.7</t>
  </si>
  <si>
    <t>DA.C-10 # 3.8</t>
  </si>
  <si>
    <t>DA.C-10 # 3.9</t>
  </si>
  <si>
    <t>DA.C-10 # 4.1</t>
  </si>
  <si>
    <t>DA.C-10 # 4.2</t>
  </si>
  <si>
    <t>DA.C-10 # 4.3</t>
  </si>
  <si>
    <t>DA.C-10 # 4.5</t>
  </si>
  <si>
    <t>DA.C-10 # 4.9</t>
  </si>
  <si>
    <t>DA.C-10 # 4.11</t>
  </si>
  <si>
    <t>DA.C-10 # 4.12</t>
  </si>
  <si>
    <t>DA.C-10 # 5</t>
  </si>
  <si>
    <t>DA.C-10 # 6</t>
  </si>
  <si>
    <t>DA.C-10 # 7.1</t>
  </si>
  <si>
    <t>DA.C-10 # 7.2</t>
  </si>
  <si>
    <t>DA.C-10 # 8</t>
  </si>
  <si>
    <t>DA.C-10 # 9</t>
  </si>
  <si>
    <t>DA.C-10 # 10</t>
  </si>
  <si>
    <t>DA.C-10 # 11</t>
  </si>
  <si>
    <t>DA.C-10 # 12.1</t>
  </si>
  <si>
    <t>DA.C-10 # 12.2</t>
  </si>
  <si>
    <t>DA.C-10 # 12.3</t>
  </si>
  <si>
    <t>DA.C-11 # 1.1</t>
  </si>
  <si>
    <t>DA.C-11 # 1.2</t>
  </si>
  <si>
    <t>DA.C-11 # 1.3</t>
  </si>
  <si>
    <t>DA.C-11 # 1.4</t>
  </si>
  <si>
    <t>DA.C-11 # 1.5</t>
  </si>
  <si>
    <t>DA.C-11 # 1.6</t>
  </si>
  <si>
    <t>DA.C-11 # 2.1</t>
  </si>
  <si>
    <t>DA.C-11 # 2.2</t>
  </si>
  <si>
    <t>DA.C-11 # 2.3</t>
  </si>
  <si>
    <t>DA.C-11 # 2.4</t>
  </si>
  <si>
    <t>DA.C-11 # 2.5</t>
  </si>
  <si>
    <t>DA.C-11 # 2.6</t>
  </si>
  <si>
    <t>DA.C-11 # 3.1</t>
  </si>
  <si>
    <t>DA.C-11 # 3.2</t>
  </si>
  <si>
    <t>DA.C-11 # 3.3</t>
  </si>
  <si>
    <t>DA.C-11 # 3.4</t>
  </si>
  <si>
    <t>DA.C-11 # 3.5</t>
  </si>
  <si>
    <t>DA.C-11 # 3.6</t>
  </si>
  <si>
    <t>DA.C-11 # 4.1</t>
  </si>
  <si>
    <t>DA.C-11 # 4.2</t>
  </si>
  <si>
    <t>DA.C-11 # 4.3</t>
  </si>
  <si>
    <t>DA.C-11 # 4.4</t>
  </si>
  <si>
    <t>DA.C-11 # 4.5</t>
  </si>
  <si>
    <t>DA.C-11 # 4.6</t>
  </si>
  <si>
    <t>DA.C-11 # 5</t>
  </si>
  <si>
    <t>DA.C-11 # 6</t>
  </si>
  <si>
    <t>DA.C-11 # 7</t>
  </si>
  <si>
    <t>DA.C-11 # 8</t>
  </si>
  <si>
    <t>DA.C-11 # 9</t>
  </si>
  <si>
    <t>DA.C-11 # 10</t>
  </si>
  <si>
    <t>DA.C-11 # 11.1</t>
  </si>
  <si>
    <t>DA.C-11 # 11.2</t>
  </si>
  <si>
    <t>DA.C-11 # 12</t>
  </si>
  <si>
    <t>DA.C-11 # 13.1</t>
  </si>
  <si>
    <t>DA.C-11 # 13.2</t>
  </si>
  <si>
    <t>DA.C-11 # 13.3</t>
  </si>
  <si>
    <t>DA.C-11 # 14</t>
  </si>
  <si>
    <t>DA.C-11 # 15</t>
  </si>
  <si>
    <t>DA.C-11 # 16.1</t>
  </si>
  <si>
    <t>DA.C-11 # 16.2</t>
  </si>
  <si>
    <t>DA.C-12 # 1.1</t>
  </si>
  <si>
    <t>DA.C-12 # 1.2</t>
  </si>
  <si>
    <t>DA.C-12 # 1.3</t>
  </si>
  <si>
    <t>DA.C-12 # 1.4</t>
  </si>
  <si>
    <t>DA.C-12 # 1.5</t>
  </si>
  <si>
    <t>DA.C-12 # 1.6</t>
  </si>
  <si>
    <t>DA.C-12 # 1.7</t>
  </si>
  <si>
    <t>DA.C-12 # 2.1</t>
  </si>
  <si>
    <t>DA.C-12 # 2.2</t>
  </si>
  <si>
    <t>DA.C-12 # 2.3</t>
  </si>
  <si>
    <t>DA.C-12 # 2.4</t>
  </si>
  <si>
    <t>DA.C-12 # 3.1</t>
  </si>
  <si>
    <t>DA.C-12 # 3.2</t>
  </si>
  <si>
    <t>DA.C-12 # 3.3</t>
  </si>
  <si>
    <t>DA.C-12 # 3.4</t>
  </si>
  <si>
    <t>DA.C-12 # 4.1</t>
  </si>
  <si>
    <t>DA.C-12 # 4.2</t>
  </si>
  <si>
    <t>DA.C-12 # 4.3</t>
  </si>
  <si>
    <t>DA.C-12 # 4.4</t>
  </si>
  <si>
    <t>DA.C-12 # 4.5</t>
  </si>
  <si>
    <t>DA.C-12 # 4.6</t>
  </si>
  <si>
    <t>DA.C-12 # 4.7</t>
  </si>
  <si>
    <t>DA.C-12 # 4.8</t>
  </si>
  <si>
    <t>DA.C-12 # 5</t>
  </si>
  <si>
    <t>DA.C-12 # 6</t>
  </si>
  <si>
    <t>DA.C-12 # 7</t>
  </si>
  <si>
    <t>DA.C-12 # 8</t>
  </si>
  <si>
    <t>DA.C-12 # 9.1</t>
  </si>
  <si>
    <t>DA.C-12 # 9.2</t>
  </si>
  <si>
    <t>DA.C-12 # 10</t>
  </si>
  <si>
    <t>DA.C-12 # 11.1</t>
  </si>
  <si>
    <t>DA.C-12 # 11.2</t>
  </si>
  <si>
    <t>DA.C-12 # 11.3</t>
  </si>
  <si>
    <t>DA.C-12 # 11.4</t>
  </si>
  <si>
    <t>DA.C-12 # 11.5</t>
  </si>
  <si>
    <t>DA.C-12 # 11.6</t>
  </si>
  <si>
    <t>DA.C-12 # 11.7</t>
  </si>
  <si>
    <t>DA.C-12 # 12</t>
  </si>
  <si>
    <t>DA.C-12 # 13</t>
  </si>
  <si>
    <t>DA.C-12 # 14.1</t>
  </si>
  <si>
    <t>DA.C-12 # 14.2</t>
  </si>
  <si>
    <t>DA.C-12 # 14.3</t>
  </si>
  <si>
    <t>DA.C-12 # 14.4</t>
  </si>
  <si>
    <t>DA.C-12 # 14.6</t>
  </si>
  <si>
    <t>DA.C-12 # 14.7</t>
  </si>
  <si>
    <t>DA.C-12 # 14.8</t>
  </si>
  <si>
    <t>DA.C-12a # 1.2</t>
  </si>
  <si>
    <t>DA.C-12a # 1.3</t>
  </si>
  <si>
    <t>DA.C-12a # 1.4</t>
  </si>
  <si>
    <t>DA.C-12a # 1.5</t>
  </si>
  <si>
    <t>DA.C-12a # 1.6</t>
  </si>
  <si>
    <t>DA.C-12a # 1.7</t>
  </si>
  <si>
    <t>DA.C-12a # 2</t>
  </si>
  <si>
    <t>DA.C-12a # 3.1</t>
  </si>
  <si>
    <t>DA.C-12a # 3.2</t>
  </si>
  <si>
    <t>DA.C-12a # 3.3</t>
  </si>
  <si>
    <t>DA.C-12a # 3.4</t>
  </si>
  <si>
    <t>DA.C-12a # 4</t>
  </si>
  <si>
    <t>DA.C-12a # 5.2</t>
  </si>
  <si>
    <t>DA.C-12a # 5.3</t>
  </si>
  <si>
    <t>DA.C-12a # 5.4</t>
  </si>
  <si>
    <t>DA.C-12a # 5.6</t>
  </si>
  <si>
    <t>DA.C-12a # 5.7</t>
  </si>
  <si>
    <t>DA.C-12a # 5.8</t>
  </si>
  <si>
    <t>DA.C-12a # 6</t>
  </si>
  <si>
    <t>DA.C-12a # 7</t>
  </si>
  <si>
    <t>DA.C-12a # 8</t>
  </si>
  <si>
    <t>DA.C-12a # 9.1</t>
  </si>
  <si>
    <t>DA.C-12a # 9.2</t>
  </si>
  <si>
    <t>DA.C-12a # 10</t>
  </si>
  <si>
    <t>DA.C-12a # 11.1</t>
  </si>
  <si>
    <t>DA.C-12a # 11.2</t>
  </si>
  <si>
    <t>DA.C-12a # 11.3</t>
  </si>
  <si>
    <t>DA.C-12a # 11.4</t>
  </si>
  <si>
    <t>DA.C-12a # 11.5</t>
  </si>
  <si>
    <t>DA.C-12a # 12</t>
  </si>
  <si>
    <t>DA.C-12a # 13</t>
  </si>
  <si>
    <t>DA.C-12a # 14.1</t>
  </si>
  <si>
    <t>DA.C-12a # 14.2</t>
  </si>
  <si>
    <t>DA.C-12a # 14.3</t>
  </si>
  <si>
    <t>DA.C-12a # 14.4</t>
  </si>
  <si>
    <t>DA.C-13 # 1.1</t>
  </si>
  <si>
    <t>DA.C-13 # 1.2</t>
  </si>
  <si>
    <t>DA.C-13 # 1.3</t>
  </si>
  <si>
    <t>DA.C-13 # 1.4</t>
  </si>
  <si>
    <t>DA.C-13 # 1.5</t>
  </si>
  <si>
    <t>DA.C-13 # 1.6</t>
  </si>
  <si>
    <t>DA.C-13 # 1.7</t>
  </si>
  <si>
    <t>DA.C-13 # 1.8</t>
  </si>
  <si>
    <t>DA.C-13 # 1.9</t>
  </si>
  <si>
    <t>DA.C-13 # 1.11</t>
  </si>
  <si>
    <t>DA.C-13 # 2.1</t>
  </si>
  <si>
    <t>DA.C-13 # 2.2</t>
  </si>
  <si>
    <t>DA.C-13 # 2.3</t>
  </si>
  <si>
    <t>DA.C-13 # 2.4</t>
  </si>
  <si>
    <t>DA.C-13 # 2.5</t>
  </si>
  <si>
    <t>DA.C-13 # 2.6</t>
  </si>
  <si>
    <t>DA.C-13 # 2.7</t>
  </si>
  <si>
    <t>DA.C-13 # 2.8</t>
  </si>
  <si>
    <t>DA.C-13 # 3</t>
  </si>
  <si>
    <t>DA.C-13 # 3.1</t>
  </si>
  <si>
    <t>DA.C-13 # 4</t>
  </si>
  <si>
    <t>DA.C-13 # 5</t>
  </si>
  <si>
    <t>DA.C-13 # 6.1</t>
  </si>
  <si>
    <t>DA.C-13 # 6.2</t>
  </si>
  <si>
    <t>DA.C-13 # 6.3</t>
  </si>
  <si>
    <t>DA.C-13 # 6.4</t>
  </si>
  <si>
    <t>DA.C-13 # 7.1</t>
  </si>
  <si>
    <t>DA.C-13 # 7.2</t>
  </si>
  <si>
    <t>DA.C-13 # 7.3</t>
  </si>
  <si>
    <t>DA.C-13 # 7.4</t>
  </si>
  <si>
    <t>DA.C-13 # 7.5</t>
  </si>
  <si>
    <t>DA.C-13 # 7.6</t>
  </si>
  <si>
    <t>DA.C-13 # 7.7</t>
  </si>
  <si>
    <t>DA.C-13 # 7.8</t>
  </si>
  <si>
    <t>DA.C-13 # 7.9</t>
  </si>
  <si>
    <t>DA.C-13 # 7.11</t>
  </si>
  <si>
    <t>DA.C-13 # 7.12</t>
  </si>
  <si>
    <t>DA.C-13 # 8</t>
  </si>
  <si>
    <t>DA.C-13 # 9</t>
  </si>
  <si>
    <t>DA.C-13 # 10</t>
  </si>
  <si>
    <t>DA.C-13 # 11</t>
  </si>
  <si>
    <t>DA.C-13 # 12.1</t>
  </si>
  <si>
    <t>DA.C-13 # 12.2</t>
  </si>
  <si>
    <t>DA.C-13 # 13</t>
  </si>
  <si>
    <t>DA.C-13 # 14.1</t>
  </si>
  <si>
    <t>DA.C-13 # 14.2</t>
  </si>
  <si>
    <t>DA.C-13 # 14.3</t>
  </si>
  <si>
    <t>DA.C-13 # 14.4</t>
  </si>
  <si>
    <t>DA.C-13 # 14.5</t>
  </si>
  <si>
    <t>DA.C-13 # 15</t>
  </si>
  <si>
    <t>DA.C-13 # 16</t>
  </si>
  <si>
    <t>DA.C-13 # 17.1</t>
  </si>
  <si>
    <t>DA.C-13 # 17.2</t>
  </si>
  <si>
    <t>DA.C-13 # 17.3</t>
  </si>
  <si>
    <t>DA.C-13 # 17.4</t>
  </si>
  <si>
    <t>DA.C-13 # 17.5</t>
  </si>
  <si>
    <t>DA.C-14 # 1.1</t>
  </si>
  <si>
    <t>DA.C-14 # 1.2</t>
  </si>
  <si>
    <t>DA.C-14 # 1.3</t>
  </si>
  <si>
    <t>DA.C-14 # 1.4</t>
  </si>
  <si>
    <t>DA.C-14 # 1.5</t>
  </si>
  <si>
    <t>DA.C-14 # 1.6</t>
  </si>
  <si>
    <t>DA.C-14 # 2</t>
  </si>
  <si>
    <t>DA.C-14 # 3.1</t>
  </si>
  <si>
    <t>DA.C-14 # 3.3</t>
  </si>
  <si>
    <t>DA.C-14 # 3.4</t>
  </si>
  <si>
    <t>DA.C-14 # 3.5</t>
  </si>
  <si>
    <t>DA.C-14 # 4</t>
  </si>
  <si>
    <t>DA.C-14 # 7.1</t>
  </si>
  <si>
    <t>DA.C-14 # 7.2</t>
  </si>
  <si>
    <t>DA.C-14 # 8</t>
  </si>
  <si>
    <t>DA.C-14 # 10</t>
  </si>
  <si>
    <t>DA.C-14 # 11</t>
  </si>
  <si>
    <t>DA.C-15 # 1.1</t>
  </si>
  <si>
    <t>DA.C-15 # 1.2</t>
  </si>
  <si>
    <t>DA.C-15 # 1.3</t>
  </si>
  <si>
    <t>DA.C-15 # 1.4</t>
  </si>
  <si>
    <t>DA.C-15 # 1.5</t>
  </si>
  <si>
    <t>DA.C-15 # 1.6</t>
  </si>
  <si>
    <t>DA.C-15 # 2.1</t>
  </si>
  <si>
    <t>DA.C-15 # 2.2</t>
  </si>
  <si>
    <t>DA.C-15 # 2.3</t>
  </si>
  <si>
    <t>DA.C-15 # 2.4</t>
  </si>
  <si>
    <t>DA.C-15 # 2.5</t>
  </si>
  <si>
    <t>DA.C-15 # 2.6</t>
  </si>
  <si>
    <t>DA.C-15 # 3</t>
  </si>
  <si>
    <t>DA.C-15 # 4.1</t>
  </si>
  <si>
    <t>DA.C-15 # 4.2</t>
  </si>
  <si>
    <t>DA.C-15 # 4.3</t>
  </si>
  <si>
    <t>DA.C-15 # 4.4</t>
  </si>
  <si>
    <t>DA.C-15 # 4.5</t>
  </si>
  <si>
    <t>DA.C-15 # 4.6</t>
  </si>
  <si>
    <t>DA.C-15 # 4.7</t>
  </si>
  <si>
    <t>DA.C-15 # 4.8</t>
  </si>
  <si>
    <t>DA.C-15 # 5</t>
  </si>
  <si>
    <t>DA.C-15 # 6.1</t>
  </si>
  <si>
    <t>DA.C-15 # 6.2</t>
  </si>
  <si>
    <t>DA.C-15 # 6.3</t>
  </si>
  <si>
    <t>DA.C-15 # 6.4</t>
  </si>
  <si>
    <t>DA.C-15 # 7</t>
  </si>
  <si>
    <t>DA.C-15 # 8.1</t>
  </si>
  <si>
    <t>DA.C-15 # 8.2</t>
  </si>
  <si>
    <t>DA.C-15 # 8.3</t>
  </si>
  <si>
    <t>DA.C-15 # 9</t>
  </si>
  <si>
    <t>DA.C-15 # 10</t>
  </si>
  <si>
    <t>DA.C-15 # 12.1</t>
  </si>
  <si>
    <t>DA.C-16 # 1.1</t>
  </si>
  <si>
    <t>DA.C-16 # 1.2</t>
  </si>
  <si>
    <t>DA.C-16 # 1.3</t>
  </si>
  <si>
    <t>DA.C-16 # 1.4</t>
  </si>
  <si>
    <t>DA.C-16 # 1.5</t>
  </si>
  <si>
    <t>DA.C-16 # 2.1</t>
  </si>
  <si>
    <t>DA.C-16 # 2.2</t>
  </si>
  <si>
    <t>DA.C-16 # 2.3</t>
  </si>
  <si>
    <t>DA.C-16 # 2.4</t>
  </si>
  <si>
    <t>DA.C-16 # 2.5</t>
  </si>
  <si>
    <t>DA.C-16 # 3.1</t>
  </si>
  <si>
    <t>DA.C-16 # 3.2</t>
  </si>
  <si>
    <t>DA.C-16 # 4</t>
  </si>
  <si>
    <t>DA.C-16 # 5.1</t>
  </si>
  <si>
    <t>DA.C-16 # 5.2</t>
  </si>
  <si>
    <t>DA.C-16 # 5.3</t>
  </si>
  <si>
    <t>DA.C-16 # 5.4</t>
  </si>
  <si>
    <t>DA.C-16 # 5.5</t>
  </si>
  <si>
    <t>DA.C-16 # 6</t>
  </si>
  <si>
    <t>DA.C-17 # 1.1</t>
  </si>
  <si>
    <t>DA.C-17 # 1.2</t>
  </si>
  <si>
    <t>DA.C-17 # 1.3</t>
  </si>
  <si>
    <t>DA.C-17 # 1.4</t>
  </si>
  <si>
    <t>DA.C-17 # 2.1</t>
  </si>
  <si>
    <t>DA.C-17 # 2.2</t>
  </si>
  <si>
    <t>DA.C-17 # 2.3</t>
  </si>
  <si>
    <t>DA.C-17 # 2.4</t>
  </si>
  <si>
    <t>DA.C-17 # 3.2</t>
  </si>
  <si>
    <t>DA.C-17 # 3.4</t>
  </si>
  <si>
    <t>DA.C-17 # 3.5</t>
  </si>
  <si>
    <t>DA.C-17 # 3.6</t>
  </si>
  <si>
    <t>DA.C-17 # 4.1</t>
  </si>
  <si>
    <t>DA.C-17 # 4.2</t>
  </si>
  <si>
    <t>DA.C-17 # 4.3</t>
  </si>
  <si>
    <t>DA.C-17 # 4.4</t>
  </si>
  <si>
    <t>DA.C-17 # 5</t>
  </si>
  <si>
    <t>DA.C-17 # 6</t>
  </si>
  <si>
    <t>DA.C-17 # 7.1</t>
  </si>
  <si>
    <t>DA.C-17 # 7.2</t>
  </si>
  <si>
    <t>DA.C-17 # 8</t>
  </si>
  <si>
    <t>DA.C-17 # 9</t>
  </si>
  <si>
    <t>DA.C-17 # 10</t>
  </si>
  <si>
    <t>DA.C-17 # 11</t>
  </si>
  <si>
    <t>DA.C-17 # 12.1</t>
  </si>
  <si>
    <t>DA.C-17 # 12.2</t>
  </si>
  <si>
    <t>DA.C-17 # 12.3</t>
  </si>
  <si>
    <t>DA.C-17 # 12.4</t>
  </si>
  <si>
    <t>DA.C-17 # 13</t>
  </si>
  <si>
    <t>DA.C-19 # 1.1</t>
  </si>
  <si>
    <t>DA.C-19 # 1.2</t>
  </si>
  <si>
    <t>DA.C-19 # 1.3</t>
  </si>
  <si>
    <t>DA.C-19 # 1.4</t>
  </si>
  <si>
    <t>DA.C-19 # 2.1</t>
  </si>
  <si>
    <t>DA.C-19 # 2.2</t>
  </si>
  <si>
    <t>DA.C-19 # 2.3</t>
  </si>
  <si>
    <t>DA.C-19 # 2.4</t>
  </si>
  <si>
    <t>DA.C-19 # 2.5</t>
  </si>
  <si>
    <t>DA.C-19 # 2.6</t>
  </si>
  <si>
    <t>DA.C-19 # 3.1</t>
  </si>
  <si>
    <t>DA.C-19 # 3.2</t>
  </si>
  <si>
    <t>DA.C-19 # 3.3</t>
  </si>
  <si>
    <t>DA.C-19 # 3.4</t>
  </si>
  <si>
    <t>DA.C-19 # 4.1</t>
  </si>
  <si>
    <t>DA.C-19 # 4.2</t>
  </si>
  <si>
    <t>DA.C-19 # 5</t>
  </si>
  <si>
    <t>DA.C-19 # 6</t>
  </si>
  <si>
    <t>DA.C-19 # 7</t>
  </si>
  <si>
    <t>DA.C-19 # 8</t>
  </si>
  <si>
    <t>DA.C-19 # 9</t>
  </si>
  <si>
    <t>DA.C-20 # 1.6</t>
  </si>
  <si>
    <t>DA.C-20 # 1.7</t>
  </si>
  <si>
    <t>DA.C-20 # 2.1</t>
  </si>
  <si>
    <t>DA.C-20 # 2.2</t>
  </si>
  <si>
    <t>DA.C-20 # 2.8</t>
  </si>
  <si>
    <t>DA.C-20 # 2.9</t>
  </si>
  <si>
    <t>DA.C-20 # 2.11</t>
  </si>
  <si>
    <t>DA.C-20 # 2.12</t>
  </si>
  <si>
    <t>DA.C-20 # 3.6</t>
  </si>
  <si>
    <t>DA.C-20 # 3.7</t>
  </si>
  <si>
    <t>DA.C-20 # 3.8</t>
  </si>
  <si>
    <t>DA.C-20 # 3.9</t>
  </si>
  <si>
    <t>DA.C-20 # 4.5</t>
  </si>
  <si>
    <t>DA.C-20 # 4.6</t>
  </si>
  <si>
    <t>DA.C-20 # 5.1</t>
  </si>
  <si>
    <t>DA.C-20 # 5.2</t>
  </si>
  <si>
    <t>DA.C-20 # 6</t>
  </si>
  <si>
    <t>DA.C-20 # 7</t>
  </si>
  <si>
    <t>DA.C-20 # 8</t>
  </si>
  <si>
    <t>DA.C-20 # 9</t>
  </si>
  <si>
    <t>DA.C-20 # 10</t>
  </si>
  <si>
    <t>DA.C-21 # 1.1</t>
  </si>
  <si>
    <t>DA.C-21 # 1.2</t>
  </si>
  <si>
    <t>DA.C-21 # 1.4</t>
  </si>
  <si>
    <t>DA.C-21 # 1.7</t>
  </si>
  <si>
    <t>DA.C-21 # 2.1</t>
  </si>
  <si>
    <t>DA.C-21 # 2.2</t>
  </si>
  <si>
    <t>DA.C-21 # 2.3</t>
  </si>
  <si>
    <t>DA.C-21 # 2.8</t>
  </si>
  <si>
    <t>DA.C-21 # 3.1</t>
  </si>
  <si>
    <t>DA.C-21 # 3.2</t>
  </si>
  <si>
    <t>DA.C-21 # 3.4</t>
  </si>
  <si>
    <t>DA.C-21 # 3.7</t>
  </si>
  <si>
    <t>DA.C-21 # 4.3</t>
  </si>
  <si>
    <t>DA.C-21 # 4.5</t>
  </si>
  <si>
    <t>DA.C-21 # 4.6</t>
  </si>
  <si>
    <t>DA.C-21 # 4.7</t>
  </si>
  <si>
    <t>DA.C-21 # 4.9</t>
  </si>
  <si>
    <t>DA.C-21 # 5</t>
  </si>
  <si>
    <t>DA.C-21 # 6</t>
  </si>
  <si>
    <t>DA.C-21 # 7</t>
  </si>
  <si>
    <t>DA.C-21 # 8</t>
  </si>
  <si>
    <t>DA.C-21 # 9.1</t>
  </si>
  <si>
    <t>DA.C-21 # 9.2</t>
  </si>
  <si>
    <t>DA.C-21 # 10</t>
  </si>
  <si>
    <t>DA.C-21 # 11.1</t>
  </si>
  <si>
    <t>DA.C-21 # 11.2</t>
  </si>
  <si>
    <t>DA.C-21 # 12</t>
  </si>
  <si>
    <t>DA.C-21 # 13</t>
  </si>
  <si>
    <t>DA.C-21 # 14.1</t>
  </si>
  <si>
    <t>DA.C-21 # 14.2</t>
  </si>
  <si>
    <t>DA.C-22 # 1.1</t>
  </si>
  <si>
    <t>DA.C-22 # 1.2</t>
  </si>
  <si>
    <t>DA.C-22 # 1.3</t>
  </si>
  <si>
    <t>DA.C-22 # 1.4</t>
  </si>
  <si>
    <t>DA.C-22 # 2.1</t>
  </si>
  <si>
    <t>DA.C-22 # 2.2</t>
  </si>
  <si>
    <t>DA.C-22 # 2.3</t>
  </si>
  <si>
    <t>DA.C-22 # 3.1</t>
  </si>
  <si>
    <t>DA.C-22 # 3.2</t>
  </si>
  <si>
    <t>DA.C-22 # 3.3</t>
  </si>
  <si>
    <t>DA.C-22 # 3.4</t>
  </si>
  <si>
    <t>DA.C-22 # 3.5</t>
  </si>
  <si>
    <t>DA.C-22 # 3.6</t>
  </si>
  <si>
    <t>DA.C-22 # 4</t>
  </si>
  <si>
    <t>DA.C-22 # 5</t>
  </si>
  <si>
    <t>DA.C-22 # 6</t>
  </si>
  <si>
    <t>DA.C-22 # 7.1</t>
  </si>
  <si>
    <t>DA.C-22 # 7.2</t>
  </si>
  <si>
    <t>DA.C-22 # 8</t>
  </si>
  <si>
    <t>DA.C-22 # 9.1</t>
  </si>
  <si>
    <t>DA.C-22 # 9.2</t>
  </si>
  <si>
    <t>DA.C-22 # 10</t>
  </si>
  <si>
    <t>DA.C-22 # 11</t>
  </si>
  <si>
    <t>DA.C-22 # 12.1</t>
  </si>
  <si>
    <t>DA.C-22 # 12.2</t>
  </si>
  <si>
    <t>DA.C-23 # 3.1</t>
  </si>
  <si>
    <t>DA.C-23 # 3.2</t>
  </si>
  <si>
    <t>DA.C-23 # 4</t>
  </si>
  <si>
    <t>DA.C-23 # 5</t>
  </si>
  <si>
    <t>DA.C-23 # 6</t>
  </si>
  <si>
    <t>DA.C-23 # 7</t>
  </si>
  <si>
    <t>DA.C-24 # 1.1</t>
  </si>
  <si>
    <t>DA.C-24 # 1.2</t>
  </si>
  <si>
    <t>DA.C-24 # 1.3</t>
  </si>
  <si>
    <t>DA.C-24 # 1.4</t>
  </si>
  <si>
    <t>DA.C-24 # 1.5</t>
  </si>
  <si>
    <t>DA.C-24 # 1.6</t>
  </si>
  <si>
    <t>DA.C-24 # 1.7</t>
  </si>
  <si>
    <t>DA.C-24 # 1.8</t>
  </si>
  <si>
    <t>DA.C-24 # 1.9</t>
  </si>
  <si>
    <t>DA.C-24 # 2.1</t>
  </si>
  <si>
    <t>DA.C-24 # 2.2</t>
  </si>
  <si>
    <t>DA.C-24 # 2.3</t>
  </si>
  <si>
    <t>DA.C-24 # 3.1</t>
  </si>
  <si>
    <t>DA.C-24 # 3.2</t>
  </si>
  <si>
    <t>DA.C-24 # 3.3</t>
  </si>
  <si>
    <t>DA.C-24 # 3.4</t>
  </si>
  <si>
    <t>DA.C-24 # 3.5</t>
  </si>
  <si>
    <t>DA.C-24 # 3.6</t>
  </si>
  <si>
    <t>DA.C-24 # 3.7</t>
  </si>
  <si>
    <t>DA.C-24 # 3.8</t>
  </si>
  <si>
    <t>DA.C-24 # 3.9</t>
  </si>
  <si>
    <t>DA.C-24 # 4</t>
  </si>
  <si>
    <t>DA.C-24 # 5.2</t>
  </si>
  <si>
    <t>DA.C-24 # 5.3</t>
  </si>
  <si>
    <t>DA.C-24 # 6</t>
  </si>
  <si>
    <t>DA.C-24 # 7.2</t>
  </si>
  <si>
    <t>DA.C-24 # 7.3</t>
  </si>
  <si>
    <t>DA.C-24 # 8</t>
  </si>
  <si>
    <t>DA.C-24 # 10.1</t>
  </si>
  <si>
    <t>DA.C-24 # 10.2</t>
  </si>
  <si>
    <t>DA.C-24 # 10</t>
  </si>
  <si>
    <t>DA.C-24 # 10.3</t>
  </si>
  <si>
    <t>DA.C-24 # 10.4</t>
  </si>
  <si>
    <t>DA.C-24 # 10.5</t>
  </si>
  <si>
    <t>DA.C-25 # 1.2</t>
  </si>
  <si>
    <t>DA.C-25 # 1.3</t>
  </si>
  <si>
    <t>DA.C-25 # 1.4</t>
  </si>
  <si>
    <t>DA.C-25 # 2.2</t>
  </si>
  <si>
    <t>DA.C-25 # 3.1</t>
  </si>
  <si>
    <t>DA.C-25 # 3.2</t>
  </si>
  <si>
    <t>DA.C-25 # 3.3</t>
  </si>
  <si>
    <t>DA.C-25 # 3.4</t>
  </si>
  <si>
    <t>DA.C-25 # 4</t>
  </si>
  <si>
    <t>DA.C-25 # 5.1</t>
  </si>
  <si>
    <t>DA.C-25 # 5.2</t>
  </si>
  <si>
    <t>DA.C-25 # 6</t>
  </si>
  <si>
    <t>DA.C-25 # 7.1</t>
  </si>
  <si>
    <t>DA.C-25 # 7.2</t>
  </si>
  <si>
    <t>DA.C-25 # 8.1</t>
  </si>
  <si>
    <t>DA.C-25 # 8.2</t>
  </si>
  <si>
    <t>DA.C-25 # 9</t>
  </si>
  <si>
    <t>DA.C-25 # 10</t>
  </si>
  <si>
    <t>DA.C-25 # 11</t>
  </si>
  <si>
    <t>DA.C-25 # 12</t>
  </si>
  <si>
    <t>DA.C-25 # 13</t>
  </si>
  <si>
    <t>DA.C-26 # 1.1</t>
  </si>
  <si>
    <t>DA.C-26 # 1.2</t>
  </si>
  <si>
    <t>DA.C-26 # 1.3</t>
  </si>
  <si>
    <t>DA.C-26 # 1.4</t>
  </si>
  <si>
    <t>DA.C-26 # 2.1</t>
  </si>
  <si>
    <t>DA.C-26 # 2.2</t>
  </si>
  <si>
    <t>DA.C-26 # 2.3</t>
  </si>
  <si>
    <t>DA.C-26 # 2.4</t>
  </si>
  <si>
    <t>DA.C-26 # 2.5</t>
  </si>
  <si>
    <t>DA.C-26 # 2.6</t>
  </si>
  <si>
    <t>DA.C-26 # 3.1</t>
  </si>
  <si>
    <t>DA.C-26 # 3.2</t>
  </si>
  <si>
    <t>DA.C-26 # 4.1</t>
  </si>
  <si>
    <t>DA.C-26 # 4.2</t>
  </si>
  <si>
    <t>DA.C-26 # 5</t>
  </si>
  <si>
    <t>DA.C-26 # 6</t>
  </si>
  <si>
    <t>DA.C-26 # 7</t>
  </si>
  <si>
    <t>DA.C-26 # 8</t>
  </si>
  <si>
    <t>DA.C-26 # 9</t>
  </si>
  <si>
    <t>DA.C-27 # 1.1</t>
  </si>
  <si>
    <t>DA.C-27 # 1.2</t>
  </si>
  <si>
    <t>DA.C-27 # 1.3</t>
  </si>
  <si>
    <t>DA.C-27 # 1.4</t>
  </si>
  <si>
    <t>DA.C-27 # 1.5</t>
  </si>
  <si>
    <t>DA.C-27 # 1.6</t>
  </si>
  <si>
    <t>DA.C-27 # 1.7</t>
  </si>
  <si>
    <t>DA.C-27 # 1.8</t>
  </si>
  <si>
    <t>DA.C-27 # 2.1</t>
  </si>
  <si>
    <t>DA.C-27 # 2.4</t>
  </si>
  <si>
    <t>DA.C-27 # 2.5</t>
  </si>
  <si>
    <t>DA.C-27 # 2.6</t>
  </si>
  <si>
    <t>DA.C-27 # 3.1</t>
  </si>
  <si>
    <t>DA.C-27 # 3.2</t>
  </si>
  <si>
    <t>DA.C-27 # 3.3</t>
  </si>
  <si>
    <t>DA.C-27 # 3.4</t>
  </si>
  <si>
    <t>DA.C-27 # 4.1</t>
  </si>
  <si>
    <t>DA.C-27 # 4.2</t>
  </si>
  <si>
    <t>DA.C-27 # 4.3</t>
  </si>
  <si>
    <t>DA.C-27 # 4.4</t>
  </si>
  <si>
    <t>DA.C-27 # 4.5</t>
  </si>
  <si>
    <t>DA.C-27 # 4.6</t>
  </si>
  <si>
    <t>DA.C-27 # 4.7</t>
  </si>
  <si>
    <t>DA.C-27 # 4.8</t>
  </si>
  <si>
    <t>DA.C-27 # 5</t>
  </si>
  <si>
    <t>DA.C-27 # 6.1</t>
  </si>
  <si>
    <t>DA.C-27 # 6.2</t>
  </si>
  <si>
    <t>DA.C-27 # 7.1</t>
  </si>
  <si>
    <t>DA.C-27 # 7.2</t>
  </si>
  <si>
    <t>DA.C-27 # 8</t>
  </si>
  <si>
    <t>DA.C-27 # 9.1</t>
  </si>
  <si>
    <t>DA.C-27 # 9.2</t>
  </si>
  <si>
    <t>DA.C-27 # 9.3</t>
  </si>
  <si>
    <t>DA.C-27 # 9.4</t>
  </si>
  <si>
    <t>DA.C-27 # 10</t>
  </si>
  <si>
    <t>DA.C-27 # 11</t>
  </si>
  <si>
    <t>DA.C-27 # 12.1</t>
  </si>
  <si>
    <t>DA.C-27 # 12.2</t>
  </si>
  <si>
    <t>DA.C-28 # 1.1</t>
  </si>
  <si>
    <t>DA.C-28 # 1.2</t>
  </si>
  <si>
    <t>DA.C-28 # 1.3</t>
  </si>
  <si>
    <t>DA.C-28 # 1.5</t>
  </si>
  <si>
    <t>DA.C-28 # 1.6</t>
  </si>
  <si>
    <t>DA.C-28 # 2.1</t>
  </si>
  <si>
    <t>DA.C-28 # 2.2</t>
  </si>
  <si>
    <t>DA.C-28 # 2.3</t>
  </si>
  <si>
    <t>DA.C-28 # 2.4</t>
  </si>
  <si>
    <t>DA.C-28 # 2.5</t>
  </si>
  <si>
    <t>DA.C-28 # 2.6</t>
  </si>
  <si>
    <t>DA.C-28 # 2.7</t>
  </si>
  <si>
    <t>DA.C-28 # 3.2</t>
  </si>
  <si>
    <t>DA.C-28 # 3.3</t>
  </si>
  <si>
    <t>DA.C-28 # 3.4</t>
  </si>
  <si>
    <t>DA.C-28 # 3.5</t>
  </si>
  <si>
    <t>DA.C-28 # 4.1</t>
  </si>
  <si>
    <t>DA.C-28 # 4.3</t>
  </si>
  <si>
    <t>DA.C-28 # 5</t>
  </si>
  <si>
    <t>DA.C-28 # 6.1</t>
  </si>
  <si>
    <t>DA.C-28 # 6.2</t>
  </si>
  <si>
    <t>DA.C-28 # 6.3</t>
  </si>
  <si>
    <t>DA.C-28 # 6.4</t>
  </si>
  <si>
    <t>DA.C-28 # 6.5</t>
  </si>
  <si>
    <t>DA.C-28 # 7</t>
  </si>
  <si>
    <t>DA.C-28 # 8</t>
  </si>
  <si>
    <t>DA.C-28 # 9.1</t>
  </si>
  <si>
    <t>DA.C-28 # 9.2</t>
  </si>
  <si>
    <t>DA.C-28 # 9.3</t>
  </si>
  <si>
    <t>DA.C-28 # 9.4</t>
  </si>
  <si>
    <t>DA.C-28 # 9.5</t>
  </si>
  <si>
    <t>DA.C-29 # 1.1</t>
  </si>
  <si>
    <t>DA.C-29 # 1.2</t>
  </si>
  <si>
    <t>DA.C-29 # 1.3</t>
  </si>
  <si>
    <t>DA.C-29 # 1.4</t>
  </si>
  <si>
    <t>DA.C-29 # 1.6</t>
  </si>
  <si>
    <t>DA.C-29 # 2.1</t>
  </si>
  <si>
    <t>DA.C-29 # 2.2</t>
  </si>
  <si>
    <t>DA.C-29 # 3.1</t>
  </si>
  <si>
    <t>DA.C-29 # 3.2</t>
  </si>
  <si>
    <t>DA.C-29 # 3.3</t>
  </si>
  <si>
    <t>DA.C-29 # 3.4</t>
  </si>
  <si>
    <t>DA.C-29 # 3.5</t>
  </si>
  <si>
    <t>DA.C-29 # 4.1</t>
  </si>
  <si>
    <t>DA.C-29 # 4.2</t>
  </si>
  <si>
    <t>DA.C-29 # 4.3</t>
  </si>
  <si>
    <t>DA.C-29 # 4.4</t>
  </si>
  <si>
    <t>DA.C-29 # 4.5</t>
  </si>
  <si>
    <t>DA.C-29 # 4.6</t>
  </si>
  <si>
    <t>DA.C-29 # 5.1</t>
  </si>
  <si>
    <t>DA.C-29 # 5.2</t>
  </si>
  <si>
    <t>DA.C-29 # 6</t>
  </si>
  <si>
    <t>DA.C-29 # 7.1</t>
  </si>
  <si>
    <t>DA.C-29 # 7.2</t>
  </si>
  <si>
    <t>DA.C-29 # 8</t>
  </si>
  <si>
    <t>DA.C-29 # 9.1</t>
  </si>
  <si>
    <t>DA.C-29 # 9.2</t>
  </si>
  <si>
    <t>DA.C-29 # 10</t>
  </si>
  <si>
    <t>DA.C-30 # 1.1</t>
  </si>
  <si>
    <t>DA.C-30 # 1.2</t>
  </si>
  <si>
    <t>DA.C-30 # 1.3</t>
  </si>
  <si>
    <t>DA.C-30 # 1</t>
  </si>
  <si>
    <t>DA.C-30 # 1.4</t>
  </si>
  <si>
    <t>DA.C-30 # 1.5</t>
  </si>
  <si>
    <t>DA.C-30 # 2</t>
  </si>
  <si>
    <t>DA.C-30 # 3.1</t>
  </si>
  <si>
    <t>DA.C-30 # 3</t>
  </si>
  <si>
    <t>DA.C-30 # 3.3</t>
  </si>
  <si>
    <t>DA.C-30 # 3.4</t>
  </si>
  <si>
    <t>DA.C-30 # 3.5</t>
  </si>
  <si>
    <t>DA.C-30 # 3.6</t>
  </si>
  <si>
    <t>DA.C-30 # 3.7</t>
  </si>
  <si>
    <t>DA.C-30 # 4</t>
  </si>
  <si>
    <t>DA.C-30 # 5.1</t>
  </si>
  <si>
    <t>DA.C-30 # 7.1</t>
  </si>
  <si>
    <t>DA.C-30 # 7.2</t>
  </si>
  <si>
    <t>DA.C-30 # 7.3</t>
  </si>
  <si>
    <t>DA.C-30 # 7.4</t>
  </si>
  <si>
    <t>DA.C-30 # 7.5</t>
  </si>
  <si>
    <t>DA.C-30 # 12</t>
  </si>
  <si>
    <t>DA.C-30 # 13</t>
  </si>
  <si>
    <t>DA.C-30 # 14.1</t>
  </si>
  <si>
    <t>DA.C-30 # 14.2</t>
  </si>
  <si>
    <t>DA.C-30 # 14.3</t>
  </si>
  <si>
    <t>DA.C-30 # 14.4</t>
  </si>
  <si>
    <t>DA.C-30 # 14.19</t>
  </si>
  <si>
    <t>DA.C-31 # 1.1</t>
  </si>
  <si>
    <t>DA.C-31 # 1.2</t>
  </si>
  <si>
    <t>DA.C-31 # 1.3</t>
  </si>
  <si>
    <t>DA.C-31 # 1.4</t>
  </si>
  <si>
    <t>DA.C-31 # 1.5</t>
  </si>
  <si>
    <t>DA.C-31 # 2.1</t>
  </si>
  <si>
    <t>DA.C-31 # 2.2</t>
  </si>
  <si>
    <t>DA.C-31 # 2.3</t>
  </si>
  <si>
    <t>DA.C-31 # 2.4</t>
  </si>
  <si>
    <t>DA.C-31 # 2.5</t>
  </si>
  <si>
    <t>DA.C-31 # 3.1</t>
  </si>
  <si>
    <t>DA.C-31 # 3.2</t>
  </si>
  <si>
    <t>DA.C-31 # 3.3</t>
  </si>
  <si>
    <t>DA.C-31 # 3.4</t>
  </si>
  <si>
    <t>DA.C-31 # 3.5</t>
  </si>
  <si>
    <t>DA.C-31 # 4.1</t>
  </si>
  <si>
    <t>DA.C-31 # 4.2</t>
  </si>
  <si>
    <t>DA.C-31 # 4.3</t>
  </si>
  <si>
    <t>DA.C-31 # 4.4</t>
  </si>
  <si>
    <t>DA.C-31 # 4.5</t>
  </si>
  <si>
    <t>DA.C-31 # 5.1</t>
  </si>
  <si>
    <t>DA.C-31 # 5.2</t>
  </si>
  <si>
    <t>DA.C-31 # 6</t>
  </si>
  <si>
    <t>DA.C-31 # 7.1</t>
  </si>
  <si>
    <t>DA.C-31 # 7.2</t>
  </si>
  <si>
    <t>DA.C-31 # 7.3</t>
  </si>
  <si>
    <t>DA.C-31 # 7.4</t>
  </si>
  <si>
    <t>DA.C-31 # 7.5</t>
  </si>
  <si>
    <t>DA.C-31 # 8</t>
  </si>
  <si>
    <t>DA.C-31 # 9.1</t>
  </si>
  <si>
    <t>DA.C-31 # 9.2</t>
  </si>
  <si>
    <t>DA.C-31 # 9.3</t>
  </si>
  <si>
    <t>DA.C-31 # 9.4</t>
  </si>
  <si>
    <t>DA.C-32 # 1.1</t>
  </si>
  <si>
    <t>DA.C-32 # 1.2</t>
  </si>
  <si>
    <t>DA.C-32 # 1.3</t>
  </si>
  <si>
    <t>DA.C-32 # 1.4</t>
  </si>
  <si>
    <t>DA.C-32 # 1.5</t>
  </si>
  <si>
    <t>DA.C-32 # 1.6</t>
  </si>
  <si>
    <t>DA.C-32 # 2.1</t>
  </si>
  <si>
    <t>DA.C-32 # 2.2</t>
  </si>
  <si>
    <t>DA.C-32 # 2.3</t>
  </si>
  <si>
    <t>DA.C-32 # 2.4</t>
  </si>
  <si>
    <t>DA.C-32 # 2.5</t>
  </si>
  <si>
    <t>DA.C-32 # 3</t>
  </si>
  <si>
    <t>DA.C-32 # 3.1</t>
  </si>
  <si>
    <t>DA.C-32 # 4.1</t>
  </si>
  <si>
    <t>DA.C-32 # 4.2</t>
  </si>
  <si>
    <t>DA.C-32 # 4.3</t>
  </si>
  <si>
    <t>DA.C-32 # 4.4</t>
  </si>
  <si>
    <t>DA.C-32 # 4.5</t>
  </si>
  <si>
    <t>DA.C-32 # 5</t>
  </si>
  <si>
    <t>DA.C-32 # 5.1</t>
  </si>
  <si>
    <t>DA.C-32 # 6</t>
  </si>
  <si>
    <t>DA.C-32 # 7</t>
  </si>
  <si>
    <t>DA.C-32 # 8</t>
  </si>
  <si>
    <t>DA.C-32 # 9.1</t>
  </si>
  <si>
    <t>DA.C-32 # 9.2</t>
  </si>
  <si>
    <t>DA.C-32 # 9.3</t>
  </si>
  <si>
    <t>DA.C-32 # 9.9</t>
  </si>
  <si>
    <t>DA.C-32 # 10</t>
  </si>
  <si>
    <t>DA.C-32 # 11</t>
  </si>
  <si>
    <t>DA.C-32 # 12.1</t>
  </si>
  <si>
    <t>DA.C-32 # 12.2</t>
  </si>
  <si>
    <t>DA.C-32 # 12.3</t>
  </si>
  <si>
    <t>DA.C-32 # 12.4</t>
  </si>
  <si>
    <t>DA.C-32 # 12.5</t>
  </si>
  <si>
    <t>DA.C-33 # 1.1</t>
  </si>
  <si>
    <t>DA.C-33 # 1.2</t>
  </si>
  <si>
    <t>DA.C-33 # 1.3</t>
  </si>
  <si>
    <t>DA.C-33 # 1.4</t>
  </si>
  <si>
    <t>DA.C-33 # 2.1</t>
  </si>
  <si>
    <t>DA.C-33 # 2.2</t>
  </si>
  <si>
    <t>DA.C-33 # 2.3</t>
  </si>
  <si>
    <t>DA.C-33 # 2.4</t>
  </si>
  <si>
    <t>DA.C-33 # 3.1</t>
  </si>
  <si>
    <t>DA.C-33 # 3.2</t>
  </si>
  <si>
    <t>DA.C-33 # 3.3</t>
  </si>
  <si>
    <t>DA.C-33 # 3.4</t>
  </si>
  <si>
    <t>DA.C-33 # 3.5</t>
  </si>
  <si>
    <t>DA.C-33 # 3.6</t>
  </si>
  <si>
    <t>DA.C-33 # 4</t>
  </si>
  <si>
    <t>DA.C-33 # 4.1</t>
  </si>
  <si>
    <t>DA.C-33 # 4.2</t>
  </si>
  <si>
    <t>DA.C-33 # 4.3</t>
  </si>
  <si>
    <t>DA.C-33 # 5</t>
  </si>
  <si>
    <t>DA.C-33 # 6.1</t>
  </si>
  <si>
    <t>DA.C-33 # 6</t>
  </si>
  <si>
    <t>DA.C-33 # 7</t>
  </si>
  <si>
    <t>DA.C-33 # 8</t>
  </si>
  <si>
    <t>DA.C-33 # 9</t>
  </si>
  <si>
    <t>DA.C-33 # 10</t>
  </si>
  <si>
    <t>DA.C-33 # 11</t>
  </si>
  <si>
    <t>DA.C-33a # 1.1</t>
  </si>
  <si>
    <t>DA.C-33a # 1.2</t>
  </si>
  <si>
    <t>DA.C-33a # 1.3</t>
  </si>
  <si>
    <t>DA.C-33a # 1.4</t>
  </si>
  <si>
    <t>DA.C-33a # 1.5</t>
  </si>
  <si>
    <t>DA.C-33a # 2.1</t>
  </si>
  <si>
    <t>DA.C-33a # 2.2</t>
  </si>
  <si>
    <t>DA.C-33a # 2.3</t>
  </si>
  <si>
    <t>DA.C-33a # 2.4</t>
  </si>
  <si>
    <t>DA.C-33a # 3.1</t>
  </si>
  <si>
    <t>DA.C-33a # 3.2</t>
  </si>
  <si>
    <t>DA.C-33a # 3.3</t>
  </si>
  <si>
    <t>DA.C-33a # 3.4</t>
  </si>
  <si>
    <t>DA.C-33a # 3.5</t>
  </si>
  <si>
    <t>DA.C-33a # 4</t>
  </si>
  <si>
    <t>DA.C-33a # 5</t>
  </si>
  <si>
    <t>DA.C-33a # 6</t>
  </si>
  <si>
    <t>DA.C-33a # 6.1</t>
  </si>
  <si>
    <t>DA.C-33a # 7</t>
  </si>
  <si>
    <t>DA.C-33a # 8</t>
  </si>
  <si>
    <t>DA.C-33a # 9</t>
  </si>
  <si>
    <t>DA.C-33a # 10</t>
  </si>
  <si>
    <t>DA.C-33a # 11</t>
  </si>
  <si>
    <t>DA.C-34 # 1.1</t>
  </si>
  <si>
    <t>DA.C-34 # 1.2</t>
  </si>
  <si>
    <t>DA.C-34 # 1.3</t>
  </si>
  <si>
    <t>DA.C-34 # 1.4</t>
  </si>
  <si>
    <t>DA.C-34 # 2.1</t>
  </si>
  <si>
    <t>DA.C-34 # 2.2</t>
  </si>
  <si>
    <t>DA.C-34 # 2.3</t>
  </si>
  <si>
    <t>DA.C-34 # 2.4</t>
  </si>
  <si>
    <t>DA.C-34 # 2.5</t>
  </si>
  <si>
    <t>DA.C-34 # 2.6</t>
  </si>
  <si>
    <t>DA.C-34 # 2.7</t>
  </si>
  <si>
    <t>DA.C-34 # 2.8</t>
  </si>
  <si>
    <t>DA.C-34 # 3.1</t>
  </si>
  <si>
    <t>DA.C-34 # 3</t>
  </si>
  <si>
    <t>DA.C-34 # 3.2</t>
  </si>
  <si>
    <t>DA.C-34 # 3.3</t>
  </si>
  <si>
    <t>DA.C-34 # 4</t>
  </si>
  <si>
    <t>DA.C-34 # 5.1</t>
  </si>
  <si>
    <t>DA.C-34 # 5</t>
  </si>
  <si>
    <t>DA.C-34 # 6</t>
  </si>
  <si>
    <t>DA.C-34 # 7</t>
  </si>
  <si>
    <t>DA.C-34 # 8</t>
  </si>
  <si>
    <t>DA.C-34 # 9</t>
  </si>
  <si>
    <t>DA.C-34 # 10</t>
  </si>
  <si>
    <t>DA.C-35 # 1.1</t>
  </si>
  <si>
    <t>DA.C-35 # 1.2</t>
  </si>
  <si>
    <t>DA.C-35 # 1.3</t>
  </si>
  <si>
    <t>DA.C-35 # 1.4</t>
  </si>
  <si>
    <t>DA.C-35 # 2.1</t>
  </si>
  <si>
    <t>DA.C-35 # 2.2</t>
  </si>
  <si>
    <t>DA.C-35 # 2.3</t>
  </si>
  <si>
    <t>DA.C-35 # 2.4</t>
  </si>
  <si>
    <t>DA.C-35 # 3.2</t>
  </si>
  <si>
    <t>DA.C-35 # 3.3</t>
  </si>
  <si>
    <t>DA.C-35 # 3.5</t>
  </si>
  <si>
    <t>DA.C-35 # 3.6</t>
  </si>
  <si>
    <t>DA.C-35 # 4.1</t>
  </si>
  <si>
    <t>DA.C-35 # 4.2</t>
  </si>
  <si>
    <t>DA.C-35 # 4.3</t>
  </si>
  <si>
    <t>DA.C-35 # 4.4</t>
  </si>
  <si>
    <t>DA.C-35 # 5</t>
  </si>
  <si>
    <t>DA.C-35 # 6</t>
  </si>
  <si>
    <t>DA.C-35 # 6.1</t>
  </si>
  <si>
    <t>DA.C-35 # 8</t>
  </si>
  <si>
    <t>DA.C-35 # 9</t>
  </si>
  <si>
    <t>DA.C-35 # 10</t>
  </si>
  <si>
    <t>DA.C-35 # 11</t>
  </si>
  <si>
    <t>DA.C-35 # 12.1</t>
  </si>
  <si>
    <t>DA.C-35 # 12.2</t>
  </si>
  <si>
    <t>DA.C-35 # 12.3</t>
  </si>
  <si>
    <t>DA.C-35 # 12.4</t>
  </si>
  <si>
    <t>DA.C-35 # 13</t>
  </si>
  <si>
    <t>DA.C-36 # 1.3</t>
  </si>
  <si>
    <t>DA.C-36 # 1.4</t>
  </si>
  <si>
    <t>DA.C-36 # 1.7</t>
  </si>
  <si>
    <t>DA.C-36 # 1.8</t>
  </si>
  <si>
    <t>DA.C-36 # 2.3</t>
  </si>
  <si>
    <t>DA.C-36 # 2.4</t>
  </si>
  <si>
    <t>DA.C-36 # 2.7</t>
  </si>
  <si>
    <t>DA.C-36 # 2.8</t>
  </si>
  <si>
    <t>DA.C-36 # 3.6</t>
  </si>
  <si>
    <t>DA.C-36 # 3.8</t>
  </si>
  <si>
    <t>DA.C-36 # 3.14</t>
  </si>
  <si>
    <t>DA.C-36 # 3.16</t>
  </si>
  <si>
    <t>DA.C-36 # 4.1</t>
  </si>
  <si>
    <t>DA.C-36 # 4.2</t>
  </si>
  <si>
    <t>DA.C-36 # 4.3</t>
  </si>
  <si>
    <t>DA.C-36 # 4.4</t>
  </si>
  <si>
    <t>DA.C-36 # 5.1</t>
  </si>
  <si>
    <t>DA.C-36 # 5</t>
  </si>
  <si>
    <t>DA.C-36 # 6</t>
  </si>
  <si>
    <t>DA.C-36 # 7.1</t>
  </si>
  <si>
    <t>DA.C-36 # 7.2</t>
  </si>
  <si>
    <t>DA.C-36 # 7.3</t>
  </si>
  <si>
    <t>DA.C-36 # 7.4</t>
  </si>
  <si>
    <t>DA.C-36 # 8</t>
  </si>
  <si>
    <t>DA.C-36 # 9</t>
  </si>
  <si>
    <t>DA.C-36 # 10.1</t>
  </si>
  <si>
    <t>DA.C-36 # 10.2</t>
  </si>
  <si>
    <t>DA.C-36 # 11.1</t>
  </si>
  <si>
    <t>DA.C-36 # 11.2</t>
  </si>
  <si>
    <t>DA.C-36 # 11.3</t>
  </si>
  <si>
    <t>DA.C-36 # 11.4</t>
  </si>
  <si>
    <t>DA.C-36a # 1.1</t>
  </si>
  <si>
    <t>DA.C-36a # 1.2</t>
  </si>
  <si>
    <t>DA.C-36a # 1.3</t>
  </si>
  <si>
    <t>DA.C-36a # 1.4</t>
  </si>
  <si>
    <t>DA.C-36a # 1.5</t>
  </si>
  <si>
    <t>DA.C-36a # 2.1</t>
  </si>
  <si>
    <t>DA.C-36a # 2.2</t>
  </si>
  <si>
    <t>DA.C-36a # 2.3</t>
  </si>
  <si>
    <t>DA.C-36a # 2.4</t>
  </si>
  <si>
    <t>DA.C-36a # 2.5</t>
  </si>
  <si>
    <t>DA.C-36a # 3.1</t>
  </si>
  <si>
    <t>DA.C-36a # 3.2</t>
  </si>
  <si>
    <t>DA.C-36a # 3.3</t>
  </si>
  <si>
    <t>DA.C-36a # 3.4</t>
  </si>
  <si>
    <t>DA.C-36a # 4.1</t>
  </si>
  <si>
    <t>DA.C-36a # 4.2</t>
  </si>
  <si>
    <t>DA.C-36a # 4.3</t>
  </si>
  <si>
    <t>DA.C-36a # 4.4</t>
  </si>
  <si>
    <t>DA.C-36a # 4.5</t>
  </si>
  <si>
    <t>DA.C-36a # 4.6</t>
  </si>
  <si>
    <t>DA.C-36a # 5</t>
  </si>
  <si>
    <t>DA.C-36a # 6</t>
  </si>
  <si>
    <t>DA.C-36a # 7.1</t>
  </si>
  <si>
    <t>DA.C-36a # 7.2</t>
  </si>
  <si>
    <t>DA.C-36a # 8</t>
  </si>
  <si>
    <t>DA.C-36a # 9.1</t>
  </si>
  <si>
    <t>DA.C-36a # 9.2</t>
  </si>
  <si>
    <t>DA.C-36a # 9.3</t>
  </si>
  <si>
    <t>DA.C-36a # 10</t>
  </si>
  <si>
    <t>DA.C-36a # 11</t>
  </si>
  <si>
    <t>DA.C-36a # 12.1</t>
  </si>
  <si>
    <t>DA.C-36a # 12.2</t>
  </si>
  <si>
    <t>DA.C-36a # 12.3</t>
  </si>
  <si>
    <t>DA.C-36b # 1.1</t>
  </si>
  <si>
    <t>DA.C-36b # 1.3</t>
  </si>
  <si>
    <t>DA.C-36b # 2.1</t>
  </si>
  <si>
    <t>DA.C-36b # 2.3</t>
  </si>
  <si>
    <t>DA.C-36b # 3.2</t>
  </si>
  <si>
    <t>DA.C-36b # 3.3</t>
  </si>
  <si>
    <t>DA.C-36b # 4.1</t>
  </si>
  <si>
    <t>DA.C-36b # 4.2</t>
  </si>
  <si>
    <t>DA.C-36b # 5</t>
  </si>
  <si>
    <t>DA.C-36b # 6</t>
  </si>
  <si>
    <t>DA.C-36b # 7</t>
  </si>
  <si>
    <t>DA.C-36b # 7.1</t>
  </si>
  <si>
    <t>DA.C-36b # 8</t>
  </si>
  <si>
    <t>DA.C-36b # 9</t>
  </si>
  <si>
    <t>DA.C-36b # 10</t>
  </si>
  <si>
    <t>DA.C-36b # 11</t>
  </si>
  <si>
    <t>DA.C-36b # 12.1</t>
  </si>
  <si>
    <t>DA.C-36b # 12.2</t>
  </si>
  <si>
    <t>DA.C-36b # 12.4</t>
  </si>
  <si>
    <t>DA.C-36b # 12.3</t>
  </si>
  <si>
    <t>DA.C-36b # 12</t>
  </si>
  <si>
    <t>DA.C-37 # 1.1</t>
  </si>
  <si>
    <t>DA.C-37 # 2</t>
  </si>
  <si>
    <t>DA.C-37 # 3.1</t>
  </si>
  <si>
    <t>DA.C-37 # 3.2</t>
  </si>
  <si>
    <t>DA.C-37 # 4</t>
  </si>
  <si>
    <t>DA.C-37 # 6</t>
  </si>
  <si>
    <t>DA.C-37 # 7</t>
  </si>
  <si>
    <t>DA.C-37 # 8</t>
  </si>
  <si>
    <t>DA.C-38 # 1.1</t>
  </si>
  <si>
    <t>DA.C-38 # 1.2</t>
  </si>
  <si>
    <t>DA.C-38 # 1.3</t>
  </si>
  <si>
    <t>DA.C-38 # 2.1</t>
  </si>
  <si>
    <t>DA.C-38 # 2.2</t>
  </si>
  <si>
    <t>DA.C-38 # 2.3</t>
  </si>
  <si>
    <t>DA.C-38 # 3.1</t>
  </si>
  <si>
    <t>DA.C-38 # 3.2</t>
  </si>
  <si>
    <t>DA.C-38 # 4</t>
  </si>
  <si>
    <t>DA.C-38 # 5</t>
  </si>
  <si>
    <t>DA.C-38 # 6</t>
  </si>
  <si>
    <t>DA.C-38 # 7</t>
  </si>
  <si>
    <t>DA.C-39 # 1.1</t>
  </si>
  <si>
    <t>DA.C-39 # 1.2</t>
  </si>
  <si>
    <t>DA.C-39 # 1.3</t>
  </si>
  <si>
    <t>DA.C-39 # 1.4</t>
  </si>
  <si>
    <t>DA.C-39 # 1.5</t>
  </si>
  <si>
    <t>DA.C-39 # 1.6</t>
  </si>
  <si>
    <t>DA.C-39 # 2.1</t>
  </si>
  <si>
    <t>DA.C-39 # 2.2</t>
  </si>
  <si>
    <t>DA.C-39 # 2.3</t>
  </si>
  <si>
    <t>DA.C-39 # 2.4</t>
  </si>
  <si>
    <t>DA.C-39 # 3.1</t>
  </si>
  <si>
    <t>DA.C-39 # 3.2</t>
  </si>
  <si>
    <t>DA.C-39 # 3.3</t>
  </si>
  <si>
    <t>DA.C-39 # 3.4</t>
  </si>
  <si>
    <t>DA.C-39 # 3.5</t>
  </si>
  <si>
    <t>DA.C-39 # 3.6</t>
  </si>
  <si>
    <t>DA.C-39 # 4</t>
  </si>
  <si>
    <t>DA.C-39 # 5</t>
  </si>
  <si>
    <t>DA.C-39 # 6</t>
  </si>
  <si>
    <t>DA.C-39 # 6.1</t>
  </si>
  <si>
    <t>DA.C-39 # 7</t>
  </si>
  <si>
    <t>DA.C-39 # 8</t>
  </si>
  <si>
    <t>DA.C-39 # 9</t>
  </si>
  <si>
    <t>DA.C-39 # 10</t>
  </si>
  <si>
    <t>DA.C-39 # 11</t>
  </si>
  <si>
    <t>DA.C-40 # 1.1</t>
  </si>
  <si>
    <t>DA.C-40 # 1.2</t>
  </si>
  <si>
    <t>DA.C-40 # 1.3</t>
  </si>
  <si>
    <t>DA.C-40 # 1.4</t>
  </si>
  <si>
    <t>DA.C-40 # 2.1</t>
  </si>
  <si>
    <t>DA.C-40 # 2.2</t>
  </si>
  <si>
    <t>DA.C-40 # 2.3</t>
  </si>
  <si>
    <t>DA.C-40 # 2.4</t>
  </si>
  <si>
    <t>DA.C-40 # 3.1</t>
  </si>
  <si>
    <t>DA.C-40 # 3.2</t>
  </si>
  <si>
    <t>DA.C-40 # 3.3</t>
  </si>
  <si>
    <t>DA.C-40 # 3.4</t>
  </si>
  <si>
    <t>DA.C-40 # 4.1</t>
  </si>
  <si>
    <t>DA.C-40 # 4.2</t>
  </si>
  <si>
    <t>DA.C-40 # 4.3</t>
  </si>
  <si>
    <t>DA.C-40 # 4.4</t>
  </si>
  <si>
    <t>DA.C-40 # 5</t>
  </si>
  <si>
    <t>DA.C-40 # 6</t>
  </si>
  <si>
    <t>DA.C-40 # 7.1</t>
  </si>
  <si>
    <t>DA.C-40 # 7.2</t>
  </si>
  <si>
    <t>DA.C-40 # 8</t>
  </si>
  <si>
    <t>DA.C-40 # 9</t>
  </si>
  <si>
    <t>DA.C-40 # 10</t>
  </si>
  <si>
    <t>DA.C-40 # 11</t>
  </si>
  <si>
    <t>DA.C-40 # 12</t>
  </si>
  <si>
    <t>DA.C-41 # 1.1</t>
  </si>
  <si>
    <t>DA.C-41 # 1.2</t>
  </si>
  <si>
    <t>DA.C-41 # 1.3</t>
  </si>
  <si>
    <t>DA.C-41 # 1.4</t>
  </si>
  <si>
    <t>DA.C-41 # 2.1</t>
  </si>
  <si>
    <t>DA.C-41 # 2.2</t>
  </si>
  <si>
    <t>DA.C-41 # 2.3</t>
  </si>
  <si>
    <t>DA.C-41 # 2.4</t>
  </si>
  <si>
    <t>DA.C-41 # 2.5</t>
  </si>
  <si>
    <t>DA.C-41 # 2.6</t>
  </si>
  <si>
    <t>DA.C-41 # 2.7</t>
  </si>
  <si>
    <t>DA.C-41 # 2.8</t>
  </si>
  <si>
    <t>DA.C-41 # 3.1</t>
  </si>
  <si>
    <t>DA.C-41 # 3.2</t>
  </si>
  <si>
    <t>DA.C-41 # 3.3</t>
  </si>
  <si>
    <t>DA.C-41 # 3.4</t>
  </si>
  <si>
    <t>DA.C-41 # 4</t>
  </si>
  <si>
    <t>DA.C-41 # 5</t>
  </si>
  <si>
    <t>DA.C-41 # 6.1</t>
  </si>
  <si>
    <t>DA.C-41 # 6</t>
  </si>
  <si>
    <t>DA.C-41 # 7</t>
  </si>
  <si>
    <t>DA.C-41 # 8</t>
  </si>
  <si>
    <t>DA.C-41 # 9</t>
  </si>
  <si>
    <t>DA.C-41 # 11</t>
  </si>
  <si>
    <t>DA.C-41 # 14</t>
  </si>
  <si>
    <t>DA.C-goc # 1</t>
  </si>
  <si>
    <t>DA.C-goc # 2</t>
  </si>
  <si>
    <t>DA.C-goc # 3</t>
  </si>
  <si>
    <t>DA.C-goc # 3.1</t>
  </si>
  <si>
    <t>DA.C-goc # 3.2</t>
  </si>
  <si>
    <t>DA.C-goc # 4</t>
  </si>
  <si>
    <t>DA.C-goc # 5</t>
  </si>
  <si>
    <t>DA.C-goc # 6</t>
  </si>
  <si>
    <t>DA.C-goc # 7</t>
  </si>
  <si>
    <t>DA.C-goc # 9</t>
  </si>
  <si>
    <t>DB.C-2  # 9</t>
  </si>
  <si>
    <t>DB.C-2  # 10</t>
  </si>
  <si>
    <t>DB.C-3  # 1.1</t>
  </si>
  <si>
    <t>DB.C-3  # 1.2</t>
  </si>
  <si>
    <t>DB.C-3  # 1.3</t>
  </si>
  <si>
    <t>DB.C-3  # 1.4</t>
  </si>
  <si>
    <t>DB.C-3  # 1.5</t>
  </si>
  <si>
    <t>DB.C-3  # 2.2</t>
  </si>
  <si>
    <t>DB.C-3  # 2.5</t>
  </si>
  <si>
    <t>DB.C-3  # 2.7</t>
  </si>
  <si>
    <t>DB.C-3  # 2.8</t>
  </si>
  <si>
    <t>DB.C-3  # 2.9</t>
  </si>
  <si>
    <t>DB.C-3  # 2.1</t>
  </si>
  <si>
    <t>DB.C-3  # 3</t>
  </si>
  <si>
    <t>DB.C-3  # 4</t>
  </si>
  <si>
    <t>DB.C-3  # 5</t>
  </si>
  <si>
    <t>DB.C-3  # 6</t>
  </si>
  <si>
    <t>DB.C-3  # 7</t>
  </si>
  <si>
    <t>DB.C-3  # 8</t>
  </si>
  <si>
    <t>DB.C-4  # 1.1</t>
  </si>
  <si>
    <t>DB.C-4  # 1.2</t>
  </si>
  <si>
    <t>DB.C-4  # 1.3</t>
  </si>
  <si>
    <t>DB.C-4  # 1.4</t>
  </si>
  <si>
    <t>DB.C-4  # 2</t>
  </si>
  <si>
    <t>DB.C-4  # 3.1</t>
  </si>
  <si>
    <t>DB.C-4  # 3.2</t>
  </si>
  <si>
    <t>DB.C-4  # 3.3</t>
  </si>
  <si>
    <t>DB.C-4  # 3.4</t>
  </si>
  <si>
    <t>DB.C-4  # 4</t>
  </si>
  <si>
    <t>DB.C-4  # 5</t>
  </si>
  <si>
    <t>DB.C-4  # 6</t>
  </si>
  <si>
    <t>DB.C-4  # 7</t>
  </si>
  <si>
    <t>DB.C-4  # 8</t>
  </si>
  <si>
    <t>DB.C-4  # 9</t>
  </si>
  <si>
    <t>DB.C-4  # 10</t>
  </si>
  <si>
    <t>DB.C-5  # 1.1</t>
  </si>
  <si>
    <t>DB.C-5  # 1.2</t>
  </si>
  <si>
    <t>DB.C-5  # 1.3</t>
  </si>
  <si>
    <t>DB.C-5  # 1.4</t>
  </si>
  <si>
    <t>DB.C-5  # 1.5</t>
  </si>
  <si>
    <t>DB.C-5  # 2.1</t>
  </si>
  <si>
    <t>DB.C-5  # 2.2</t>
  </si>
  <si>
    <t>DB.C-5  # 2.3</t>
  </si>
  <si>
    <t>DB.C-5  # 2.4</t>
  </si>
  <si>
    <t>DB.C-5  # 3.1</t>
  </si>
  <si>
    <t>DB.C-5  # 3.2</t>
  </si>
  <si>
    <t>DB.C-5  # 3.3</t>
  </si>
  <si>
    <t>DB.C-5  # 3.4</t>
  </si>
  <si>
    <t>DB.C-5  # 3.5</t>
  </si>
  <si>
    <t>DB.C-5  # 3.6</t>
  </si>
  <si>
    <t>DB.C-5  # 4</t>
  </si>
  <si>
    <t>DB.C-5  # 5</t>
  </si>
  <si>
    <t>DB.C-5  # 6</t>
  </si>
  <si>
    <t>DB.C-5  # 7</t>
  </si>
  <si>
    <t>DB.C-5  # 8</t>
  </si>
  <si>
    <t>DB.C-15  # 1.1</t>
  </si>
  <si>
    <t>DB.C-15  # 1.2</t>
  </si>
  <si>
    <t>DB.C-15  # 1.3</t>
  </si>
  <si>
    <t>DB.C-15  # 1.4</t>
  </si>
  <si>
    <t>DB.C-15  # 1.5</t>
  </si>
  <si>
    <t>DB.C-15  # 1.6</t>
  </si>
  <si>
    <t>DB.C-15  # 2.1</t>
  </si>
  <si>
    <t>DB.C-15  # 2.2</t>
  </si>
  <si>
    <t>DB.C-15  # 2.3</t>
  </si>
  <si>
    <t>DB.C-15  # 2.4</t>
  </si>
  <si>
    <t>DB.C-15  # 3.1</t>
  </si>
  <si>
    <t>DB.C-15  # 3.2</t>
  </si>
  <si>
    <t>DB.C-15  # 3.3</t>
  </si>
  <si>
    <t>DB.C-15  # 3.4</t>
  </si>
  <si>
    <t>DB.C-15  # 3.5</t>
  </si>
  <si>
    <t>DB.C-15  # 3.6</t>
  </si>
  <si>
    <t>DB.C-15  # 4</t>
  </si>
  <si>
    <t>DB.C-15  # 5</t>
  </si>
  <si>
    <t>DB.C-15  # 6</t>
  </si>
  <si>
    <t>DB.C-15  # 7</t>
  </si>
  <si>
    <t>DB.C-15  # 8</t>
  </si>
  <si>
    <t>DB.C-15  # 9</t>
  </si>
  <si>
    <t>DB.C-15  # 10.1</t>
  </si>
  <si>
    <t>DB.C-15  # 10.2</t>
  </si>
  <si>
    <t>DB.C-15  # 11</t>
  </si>
  <si>
    <t>DB.C-15  # 12</t>
  </si>
  <si>
    <t>DC.C-1 # 1.1</t>
  </si>
  <si>
    <t>DC.C-1 # 1.2</t>
  </si>
  <si>
    <t>DC.C-1 # 1.3</t>
  </si>
  <si>
    <t>DC.C-1 # 1.4</t>
  </si>
  <si>
    <t>DC.C-1 # 2.1</t>
  </si>
  <si>
    <t>DC.C-1 # 2.2</t>
  </si>
  <si>
    <t>DC.C-1 # 2.3</t>
  </si>
  <si>
    <t>DC.C-1 # 2.4</t>
  </si>
  <si>
    <t>DC.C-1 # 3</t>
  </si>
  <si>
    <t>DC.C-1 # 4</t>
  </si>
  <si>
    <t>DC.C-1 # 5</t>
  </si>
  <si>
    <t>DC.C-1 # 6</t>
  </si>
  <si>
    <t>DC.C-2  # 1.3</t>
  </si>
  <si>
    <t>DC.C-2  # 1.4</t>
  </si>
  <si>
    <t>DC.C-2  # 1.5</t>
  </si>
  <si>
    <t>DC.C-2  # 1.6</t>
  </si>
  <si>
    <t>DC.C-2  # 1.7</t>
  </si>
  <si>
    <t>DC.C-2  # 2.3</t>
  </si>
  <si>
    <t>DC.C-2  # 2.4</t>
  </si>
  <si>
    <t>DC.C-2  # 2.5</t>
  </si>
  <si>
    <t>DC.C-2  # 2.6</t>
  </si>
  <si>
    <t>DC.C-2  # 2.7</t>
  </si>
  <si>
    <t>DC.C-2  # 3</t>
  </si>
  <si>
    <t>DC.C-2  # 4</t>
  </si>
  <si>
    <t>DC.C-2  # 5</t>
  </si>
  <si>
    <t>DC.C-2  # 6</t>
  </si>
  <si>
    <t>DC.C-2  # 7</t>
  </si>
  <si>
    <t>DC.C-2  # 8</t>
  </si>
  <si>
    <t>DC.C-6 # 1.1</t>
  </si>
  <si>
    <t>DC.C-6 # 1.2</t>
  </si>
  <si>
    <t>DC.C-6 # 1</t>
  </si>
  <si>
    <t>DC.C-6 # 1.3</t>
  </si>
  <si>
    <t>DC.C-6 # 2</t>
  </si>
  <si>
    <t>DC.C-6 # 2.1</t>
  </si>
  <si>
    <t>DC.C-6 # 2.2</t>
  </si>
  <si>
    <t>DC.C-6 # 3.1</t>
  </si>
  <si>
    <t>DC.C-6 # 3</t>
  </si>
  <si>
    <t>DC.C-6 # 3.2</t>
  </si>
  <si>
    <t>DC.C-6 # 3.3</t>
  </si>
  <si>
    <t>DC.C-6 # 3.4</t>
  </si>
  <si>
    <t>DC.C-6 # 3.5</t>
  </si>
  <si>
    <t>DC.C-6 # 3.6</t>
  </si>
  <si>
    <t>DC.C-6 # 3.7</t>
  </si>
  <si>
    <t>DC.C-6 # 4</t>
  </si>
  <si>
    <t>DC.C-6 # 5</t>
  </si>
  <si>
    <t>DC.C-6 # 6</t>
  </si>
  <si>
    <t>DC.C-6 # 7</t>
  </si>
  <si>
    <t>DC.C-6 # 8</t>
  </si>
  <si>
    <t>DC.C-7 # 1</t>
  </si>
  <si>
    <t>DC.C-7 # 2.1</t>
  </si>
  <si>
    <t>DC.C-7 # 2.2</t>
  </si>
  <si>
    <t>DC.C-7 # 2.3</t>
  </si>
  <si>
    <t>DC.C-7 # 2.4</t>
  </si>
  <si>
    <t>DC.C-7 # 3</t>
  </si>
  <si>
    <t>DC.C-7 # 4</t>
  </si>
  <si>
    <t>DC.C-7 # 5</t>
  </si>
  <si>
    <t>DC.C-7 # 6</t>
  </si>
  <si>
    <t>DC.C-7 # 7</t>
  </si>
  <si>
    <t>DC.C-8 # 1</t>
  </si>
  <si>
    <t>DC.C-8 # 2</t>
  </si>
  <si>
    <t>DC.C-8 # 3</t>
  </si>
  <si>
    <t>DC.C-8 # 4</t>
  </si>
  <si>
    <t>DC.C-8 # 5</t>
  </si>
  <si>
    <t>DC.C-8 # 6</t>
  </si>
  <si>
    <t>DC.C-9 # 1</t>
  </si>
  <si>
    <t>DC.C-9 # 2</t>
  </si>
  <si>
    <t>DC.C-9 # 3</t>
  </si>
  <si>
    <t>DC.C-9 # 4</t>
  </si>
  <si>
    <t>DC.C-9 # 5</t>
  </si>
  <si>
    <t>DC.C-9 # 6</t>
  </si>
  <si>
    <t>DC.C-9 # 7</t>
  </si>
  <si>
    <t>DC.C-10 # 1</t>
  </si>
  <si>
    <t>DC.C-10 # 2</t>
  </si>
  <si>
    <t>DC.C-10 # 3</t>
  </si>
  <si>
    <t>DC.C-10 # 4</t>
  </si>
  <si>
    <t>DC.C-11 # 1.1</t>
  </si>
  <si>
    <t>DC.C-11 # 1.3</t>
  </si>
  <si>
    <t>DC.C-11 # 1.4</t>
  </si>
  <si>
    <t>DC.C-11 # 1.5</t>
  </si>
  <si>
    <t>DC.C-11 # 1.6</t>
  </si>
  <si>
    <t>DC.C-11 # 1</t>
  </si>
  <si>
    <t>DC.C-11 # 2</t>
  </si>
  <si>
    <t>DC.C-11 # 3</t>
  </si>
  <si>
    <t>DC.C-11 # 3.1</t>
  </si>
  <si>
    <t>DC.C-11 # 3.2</t>
  </si>
  <si>
    <t>DC.C-11 # 3.5</t>
  </si>
  <si>
    <t>DC.C-11 # 3.7</t>
  </si>
  <si>
    <t>DC.C-11 # 3.3</t>
  </si>
  <si>
    <t>DC.C-11 # 3.4</t>
  </si>
  <si>
    <t>DC.C-11 # 3.6</t>
  </si>
  <si>
    <t>DC.C-11 # 4</t>
  </si>
  <si>
    <t>DC.C-11 # 5</t>
  </si>
  <si>
    <t>DC.C-11 # 6</t>
  </si>
  <si>
    <t>DC.C-11 # 7</t>
  </si>
  <si>
    <t>DC.C-11 # 8.1</t>
  </si>
  <si>
    <t>DC.C-11 # 8.2</t>
  </si>
  <si>
    <t>DC.C-11 # 10</t>
  </si>
  <si>
    <t>DC.C-11a # 1</t>
  </si>
  <si>
    <t>DC.C-11a # 1.1</t>
  </si>
  <si>
    <t>DC.C-11a # 1.2</t>
  </si>
  <si>
    <t>DC.C-11a # 2.1</t>
  </si>
  <si>
    <t>DC.C-11a # 2.2</t>
  </si>
  <si>
    <t>DC.C-11a # 2</t>
  </si>
  <si>
    <t>DC.C-11a # 3</t>
  </si>
  <si>
    <t>DC.C-11b # 1.1</t>
  </si>
  <si>
    <t>DC.C-11b # 1.2</t>
  </si>
  <si>
    <t>DC.C-11b # 1</t>
  </si>
  <si>
    <t>DC.C-11b # 2.1</t>
  </si>
  <si>
    <t>DC.C-11b # 2.2</t>
  </si>
  <si>
    <t>DC.C-11b # 2</t>
  </si>
  <si>
    <t>DC.C-11b # 3</t>
  </si>
  <si>
    <t>DC.C-12 # 1.8</t>
  </si>
  <si>
    <t>DC.C-12 # 1.9</t>
  </si>
  <si>
    <t>DC.C-12 # 1</t>
  </si>
  <si>
    <t>DC.C-12 # 1.1</t>
  </si>
  <si>
    <t>DC.C-12 # 2.3</t>
  </si>
  <si>
    <t>DC.C-12 # 2</t>
  </si>
  <si>
    <t>DC.C-12 # 3.1</t>
  </si>
  <si>
    <t>DC.C-12 # 3.2</t>
  </si>
  <si>
    <t>DC.C-12 # 3.3</t>
  </si>
  <si>
    <t>DC.C-12 # 3.4</t>
  </si>
  <si>
    <t>DC.C-12 # 3</t>
  </si>
  <si>
    <t>DC.C-12 # 3.5</t>
  </si>
  <si>
    <t>DC.C-12 # 3.6</t>
  </si>
  <si>
    <t>DC.C-12 # 4</t>
  </si>
  <si>
    <t>DC.C-12 # 5</t>
  </si>
  <si>
    <t>DC.C-12 # 6</t>
  </si>
  <si>
    <t>DC.C-12 # 13</t>
  </si>
  <si>
    <t>DC.C-12 # 16</t>
  </si>
  <si>
    <t>DC.C-12 # 17</t>
  </si>
  <si>
    <t>DC.C-13 # 1.1</t>
  </si>
  <si>
    <t>DC.C-13 # 1.2</t>
  </si>
  <si>
    <t>DC.C-13 # 1.3</t>
  </si>
  <si>
    <t>DC.C-13 # 1.4</t>
  </si>
  <si>
    <t>DC.C-13 # 1.5</t>
  </si>
  <si>
    <t>DC.C-13 # 1.6</t>
  </si>
  <si>
    <t>DC.C-13 # 1.7</t>
  </si>
  <si>
    <t>DC.C-13 # 2.1</t>
  </si>
  <si>
    <t>DC.C-13 # 2.2</t>
  </si>
  <si>
    <t>DC.C-13 # 3.1</t>
  </si>
  <si>
    <t>DC.C-13 # 3.2</t>
  </si>
  <si>
    <t>DC.C-13 # 4.1</t>
  </si>
  <si>
    <t>DC.C-13 # 4.2</t>
  </si>
  <si>
    <t>DC.C-13 # 4.3</t>
  </si>
  <si>
    <t>DC.C-13 # 4.4</t>
  </si>
  <si>
    <t>DC.C-13 # 4.5</t>
  </si>
  <si>
    <t>DC.C-13 # 4.6</t>
  </si>
  <si>
    <t>DC.C-13 # 4.7</t>
  </si>
  <si>
    <t>DC.C-13 # 4.8</t>
  </si>
  <si>
    <t>DC.C-13 # 5</t>
  </si>
  <si>
    <t>DC.C-13 # 6</t>
  </si>
  <si>
    <t>DC.C-13 # 7</t>
  </si>
  <si>
    <t>DC.C-13 # 8</t>
  </si>
  <si>
    <t>DC.C-13 # 9</t>
  </si>
  <si>
    <t>DC.C-13 # 10</t>
  </si>
  <si>
    <t>DC.C-13 # 11.1</t>
  </si>
  <si>
    <t>DC.C-13 # 11.2</t>
  </si>
  <si>
    <t>DC.C-13 # 12</t>
  </si>
  <si>
    <t>DC.C-14 # 1.8</t>
  </si>
  <si>
    <t>DC.C-14 # 1.9</t>
  </si>
  <si>
    <t>DC.C-14 # 1.1</t>
  </si>
  <si>
    <t>DC.C-14 # 1.11</t>
  </si>
  <si>
    <t>DC.C-14 # 1.12</t>
  </si>
  <si>
    <t>DC.C-14 # 1.13</t>
  </si>
  <si>
    <t>DC.C-14 # 2.3</t>
  </si>
  <si>
    <t>DC.C-14 # 2.4</t>
  </si>
  <si>
    <t>DC.C-14 # 3.3</t>
  </si>
  <si>
    <t>DC.C-14 # 3.4</t>
  </si>
  <si>
    <t>DC.C-14 # 3.5</t>
  </si>
  <si>
    <t>DC.C-14 # 3.6</t>
  </si>
  <si>
    <t>DC.C-14 # 3.7</t>
  </si>
  <si>
    <t>DC.C-14 # 4</t>
  </si>
  <si>
    <t>DC.C-14 # 5</t>
  </si>
  <si>
    <t>DC.C-14 # 6</t>
  </si>
  <si>
    <t>DC.C-14 # 7.1</t>
  </si>
  <si>
    <t>DC.C-14 # 7.2</t>
  </si>
  <si>
    <t>DC.C-14 # 9</t>
  </si>
  <si>
    <t>DC.C-16 # 1.1</t>
  </si>
  <si>
    <t>DC.C-16 # 1.2</t>
  </si>
  <si>
    <t>DC.C-16 # 1.3</t>
  </si>
  <si>
    <t>DC.C-16 # 1.4</t>
  </si>
  <si>
    <t>DC.C-16 # 1.5</t>
  </si>
  <si>
    <t>DC.C-16 # 1.6</t>
  </si>
  <si>
    <t>DC.C-16 # 1.7</t>
  </si>
  <si>
    <t>DC.C-16 # 1.8</t>
  </si>
  <si>
    <t>DC.C-16 # 1.9</t>
  </si>
  <si>
    <t>DC.C-16 # 2</t>
  </si>
  <si>
    <t>DC.C-16 # 3.1</t>
  </si>
  <si>
    <t>DC.C-16 # 3.2</t>
  </si>
  <si>
    <t>DC.C-16 # 3.3</t>
  </si>
  <si>
    <t>DC.C-16 # 4.1</t>
  </si>
  <si>
    <t>DC.C-16 # 4.2</t>
  </si>
  <si>
    <t>DC.C-16 # 4.3</t>
  </si>
  <si>
    <t>DC.C-16 # 4.4</t>
  </si>
  <si>
    <t>DC.C-16 # 4.5</t>
  </si>
  <si>
    <t>DC.C-16 # 4.6</t>
  </si>
  <si>
    <t>DC.C-16 # 4.7</t>
  </si>
  <si>
    <t>DC.C-16 # 4.8</t>
  </si>
  <si>
    <t>DC.C-16 # 4.9</t>
  </si>
  <si>
    <t>DC.C-16 # 5</t>
  </si>
  <si>
    <t>DC.C-16 # 6</t>
  </si>
  <si>
    <t>DC.C-16 # 7.1</t>
  </si>
  <si>
    <t>DC.C-16 # 7.2</t>
  </si>
  <si>
    <t>DC.C-16 # 8</t>
  </si>
  <si>
    <t>DC.C-16 # 9</t>
  </si>
  <si>
    <t>DC.C-16 # 10</t>
  </si>
  <si>
    <t>DC.C-16 # 11</t>
  </si>
  <si>
    <t>DC.C-16 # 12</t>
  </si>
  <si>
    <t>DC.C-16 # 13</t>
  </si>
  <si>
    <t>DC.C-16 # 14</t>
  </si>
  <si>
    <t>DC.C-17 # 1.1</t>
  </si>
  <si>
    <t>DC.C-17 # 1.2</t>
  </si>
  <si>
    <t>DC.C-17 # 1.3</t>
  </si>
  <si>
    <t>DC.C-17 # 1.4</t>
  </si>
  <si>
    <t>DC.C-17 # 1.5</t>
  </si>
  <si>
    <t>DC.C-17 # 1.6</t>
  </si>
  <si>
    <t>DC.C-17 # 1.7</t>
  </si>
  <si>
    <t>DC.C-17 # 1.8</t>
  </si>
  <si>
    <t>DC.C-17 # 2.1</t>
  </si>
  <si>
    <t>DC.C-17 # 2.2</t>
  </si>
  <si>
    <t>DC.C-17 # 2.3</t>
  </si>
  <si>
    <t>DC.C-17 # 2.4</t>
  </si>
  <si>
    <t>DC.C-17 # 2.5</t>
  </si>
  <si>
    <t>DC.C-17 # 2.6</t>
  </si>
  <si>
    <t>DC.C-17 # 2.7</t>
  </si>
  <si>
    <t>DC.C-17 # 2.8</t>
  </si>
  <si>
    <t>DC.C-17 # 2.9</t>
  </si>
  <si>
    <t>DC.C-17 # 3</t>
  </si>
  <si>
    <t>DC.C-17 # 4</t>
  </si>
  <si>
    <t>DC.C-18 # 1</t>
  </si>
  <si>
    <t>DC.C-18 # 2</t>
  </si>
  <si>
    <t>DC.C-18 # 3</t>
  </si>
  <si>
    <t>DC.C-18 # 4</t>
  </si>
  <si>
    <t>DC.C-18 # 5</t>
  </si>
  <si>
    <t>DC.C-18 # 6</t>
  </si>
  <si>
    <t>DC.C-18 # 7</t>
  </si>
  <si>
    <t>DC.C-18 # 8</t>
  </si>
  <si>
    <t>DA.C-18 # 1.1</t>
  </si>
  <si>
    <t>DA.C-18 # 1.2</t>
  </si>
  <si>
    <t>DA.C-18 # 2.1</t>
  </si>
  <si>
    <t>DA.C-18 # 2.2</t>
  </si>
  <si>
    <t>DA.C-18 # 3</t>
  </si>
  <si>
    <t>DA.C-18 # 3.1</t>
  </si>
  <si>
    <t>DA.C-18 # 3.2</t>
  </si>
  <si>
    <t>DA.C-18 # 4</t>
  </si>
  <si>
    <t>DA.C-18 # 5</t>
  </si>
  <si>
    <t>DA.C-18 # 6</t>
  </si>
  <si>
    <t>DB.4-40 # 1</t>
  </si>
  <si>
    <t>DB.4-40 # 2</t>
  </si>
  <si>
    <t>DB.4-40 # 3</t>
  </si>
  <si>
    <t>DB.4-41 # 1</t>
  </si>
  <si>
    <t>DB.4-41 # 2</t>
  </si>
  <si>
    <t>DB.C-1 # 1.1</t>
  </si>
  <si>
    <t>DB.C-1 # 1.2</t>
  </si>
  <si>
    <t>DB.C-1 # 1.3</t>
  </si>
  <si>
    <t>DB.C-1 # 1.4</t>
  </si>
  <si>
    <t>DB.C-1 # 2.1</t>
  </si>
  <si>
    <t>DB.C-1 # 2.2</t>
  </si>
  <si>
    <t>DB.C-1 # 2.3</t>
  </si>
  <si>
    <t>DB.C-1 # 2.4</t>
  </si>
  <si>
    <t>DB.C-1 # 3</t>
  </si>
  <si>
    <t>DB.C-1 # 4</t>
  </si>
  <si>
    <t>DB.C-1 # 5.1</t>
  </si>
  <si>
    <t>DB.C-1 # 5.2</t>
  </si>
  <si>
    <t>DB.C-1 # 5.3</t>
  </si>
  <si>
    <t>DB.C-1 # 5.4</t>
  </si>
  <si>
    <t>DB.C-1 # 5.5</t>
  </si>
  <si>
    <t>DB.C-1 # 5.6</t>
  </si>
  <si>
    <t>DB.C-1 # 6</t>
  </si>
  <si>
    <t>DB.C-1 # 7</t>
  </si>
  <si>
    <t>DB.C-1 # 7.1</t>
  </si>
  <si>
    <t>DB.C-1 # 8</t>
  </si>
  <si>
    <t>DB.C-1 # 9.1</t>
  </si>
  <si>
    <t>DB.C-1 # 10</t>
  </si>
  <si>
    <t>DB.C-1 # 11</t>
  </si>
  <si>
    <t>DB.C-1 # 12.1</t>
  </si>
  <si>
    <t>DB.C-1 # 12.2</t>
  </si>
  <si>
    <t>DB.C-2 # 1.1</t>
  </si>
  <si>
    <t>DB.C-2 # 1.2</t>
  </si>
  <si>
    <t>DB.C-2 # 1.3</t>
  </si>
  <si>
    <t>DB.C-2 # 1.4</t>
  </si>
  <si>
    <t>DB.C-2 # 1.5</t>
  </si>
  <si>
    <t>DB.C-2 # 1.6</t>
  </si>
  <si>
    <t>DB.C-2 # 2.1</t>
  </si>
  <si>
    <t>DB.C-2 # 2.2</t>
  </si>
  <si>
    <t>DB.C-2 # 2.3</t>
  </si>
  <si>
    <t>DB.C-2 # 2.4</t>
  </si>
  <si>
    <t>DB.C-2 # 3</t>
  </si>
  <si>
    <t>DB.C-2 # 4.1</t>
  </si>
  <si>
    <t>DB.C-2 # 4.2</t>
  </si>
  <si>
    <t>DB.C-2 # 4</t>
  </si>
  <si>
    <t>DB.C-2 # 4.3</t>
  </si>
  <si>
    <t>DB.C-2 # 4.4</t>
  </si>
  <si>
    <t>DB.C-2 # 4.5</t>
  </si>
  <si>
    <t>DB.C-2 # 4.6</t>
  </si>
  <si>
    <t>DB.C-2 # 4.7</t>
  </si>
  <si>
    <t>DB.C-2 # 5</t>
  </si>
  <si>
    <t>DB.C-2 # 6</t>
  </si>
  <si>
    <t>DB.C-2 # 7</t>
  </si>
  <si>
    <t>DB.C-2 # 8</t>
  </si>
  <si>
    <t>DB.C-2 # 9</t>
  </si>
  <si>
    <t>DB.C-2 # 9.1</t>
  </si>
  <si>
    <t>DB.C-2 # 10</t>
  </si>
  <si>
    <t>DB.C-2 # 11.1</t>
  </si>
  <si>
    <t>DB.C-2 # 11.2</t>
  </si>
  <si>
    <t>DB.C-2 # 12</t>
  </si>
  <si>
    <t>DB.C-2 # 13</t>
  </si>
  <si>
    <t>DB.C-2 # 14.1</t>
  </si>
  <si>
    <t>DB.C-2 # 14.2</t>
  </si>
  <si>
    <t>DB.C-3 # 1.1</t>
  </si>
  <si>
    <t>DB.C-3 # 1.2</t>
  </si>
  <si>
    <t>DB.C-3 # 1.3</t>
  </si>
  <si>
    <t>DB.C-3 # 1.4</t>
  </si>
  <si>
    <t>DB.C-3 # 1.8</t>
  </si>
  <si>
    <t>DB.C-3 # 2.1</t>
  </si>
  <si>
    <t>DB.C-3 # 2.2</t>
  </si>
  <si>
    <t>DB.C-3 # 2.3</t>
  </si>
  <si>
    <t>DB.C-3 # 2.4</t>
  </si>
  <si>
    <t>DB.C-3 # 2.5</t>
  </si>
  <si>
    <t>DB.C-3 # 2.6</t>
  </si>
  <si>
    <t>DB.C-3 # 3</t>
  </si>
  <si>
    <t>DB.C-3 # 4.1</t>
  </si>
  <si>
    <t>DB.C-3 # 4.2</t>
  </si>
  <si>
    <t>DB.C-3 # 4.3</t>
  </si>
  <si>
    <t>DB.C-3 # 4.4</t>
  </si>
  <si>
    <t>DB.C-3 # 4.5</t>
  </si>
  <si>
    <t>DB.C-3 # 4.6</t>
  </si>
  <si>
    <t>DB.C-3 # 4.7</t>
  </si>
  <si>
    <t>DB.C-3 # 4.8</t>
  </si>
  <si>
    <t>DB.C-3 # 5</t>
  </si>
  <si>
    <t>DB.C-3 # 6</t>
  </si>
  <si>
    <t>DB.C-3 # 7</t>
  </si>
  <si>
    <t>DB.C-3 # 8</t>
  </si>
  <si>
    <t>DB.C-3 # 9</t>
  </si>
  <si>
    <t>DB.C-3 # 10</t>
  </si>
  <si>
    <t>DB.C-3 # 10.1</t>
  </si>
  <si>
    <t>DB.C-3 # 11</t>
  </si>
  <si>
    <t>DB.C-3 # 12.1</t>
  </si>
  <si>
    <t>DB.C-3 # 12.2</t>
  </si>
  <si>
    <t>DB.C-3 # 12.3</t>
  </si>
  <si>
    <t>DB.C-3 # 12.4</t>
  </si>
  <si>
    <t>DB.C-3 # 12.5</t>
  </si>
  <si>
    <t>DB.C-3 # 13</t>
  </si>
  <si>
    <t>DB.C-3 # 14</t>
  </si>
  <si>
    <t>DB.C-3 # 15.1</t>
  </si>
  <si>
    <t>DB.C-3 # 15.2</t>
  </si>
  <si>
    <t>DB.C-3 # 15.3</t>
  </si>
  <si>
    <t>DB.C-3 # 15.4</t>
  </si>
  <si>
    <t>DB.C-3 # 15.5</t>
  </si>
  <si>
    <t>DB.C-4  # 1.5</t>
  </si>
  <si>
    <t>DB.C-4  # 1.6</t>
  </si>
  <si>
    <t>DB.C-4  # 1.7</t>
  </si>
  <si>
    <t>DB.C-4  # 1.8</t>
  </si>
  <si>
    <t>DB.C-4  # 1.9</t>
  </si>
  <si>
    <t>DB.C-4  # 1.11</t>
  </si>
  <si>
    <t>DB.C-4  # 1.12</t>
  </si>
  <si>
    <t>DB.C-4  # 1.13</t>
  </si>
  <si>
    <t>DB.C-4  # 1.14</t>
  </si>
  <si>
    <t>DB.C-4  # 1.15</t>
  </si>
  <si>
    <t>DB.C-4  # 1.16</t>
  </si>
  <si>
    <t>DB.C-4  # 1.17</t>
  </si>
  <si>
    <t>DB.C-4  # 1.18</t>
  </si>
  <si>
    <t>DB.C-4  # 1.19</t>
  </si>
  <si>
    <t>DB.C-4  # 1.21</t>
  </si>
  <si>
    <t>DB.C-4  # 2.1</t>
  </si>
  <si>
    <t>DB.C-4  # 2.2</t>
  </si>
  <si>
    <t>DB.C-4  # 2.4</t>
  </si>
  <si>
    <t>DB.C-4  # 2.6</t>
  </si>
  <si>
    <t>DB.C-4  # 3</t>
  </si>
  <si>
    <t>DB.C-4  # 4.2</t>
  </si>
  <si>
    <t>DB.C-4  # 4.3</t>
  </si>
  <si>
    <t>DB.C-4  # 4.4</t>
  </si>
  <si>
    <t>DB.C-4  # 4.5</t>
  </si>
  <si>
    <t>DB.C-4  # 5.1</t>
  </si>
  <si>
    <t>DB.C-4  # 5.2</t>
  </si>
  <si>
    <t>DB.C-4  # 5.3</t>
  </si>
  <si>
    <t>DB.C-4  # 5.4</t>
  </si>
  <si>
    <t>DB.C-4  # 5.5</t>
  </si>
  <si>
    <t>DB.C-4  # 5.6</t>
  </si>
  <si>
    <t>DB.C-4  # 5.7</t>
  </si>
  <si>
    <t>DB.C-4  # 5.8</t>
  </si>
  <si>
    <t>DB.C-4  # 5.9</t>
  </si>
  <si>
    <t>DB.C-4  # 5.11</t>
  </si>
  <si>
    <t>DB.C-4  # 5.12</t>
  </si>
  <si>
    <t>DB.C-4  # 5.13</t>
  </si>
  <si>
    <t>DB.C-4  # 5.14</t>
  </si>
  <si>
    <t>DB.C-4  # 5.15</t>
  </si>
  <si>
    <t>DB.C-4  # 5.16</t>
  </si>
  <si>
    <t>DB.C-4  # 5.17</t>
  </si>
  <si>
    <t>DB.C-4  # 5.18</t>
  </si>
  <si>
    <t>DB.C-4  # 5.19</t>
  </si>
  <si>
    <t>DB.C-4  # 5.21</t>
  </si>
  <si>
    <t>DB.C-4  # 5.22</t>
  </si>
  <si>
    <t>DB.C-4  # 10.1</t>
  </si>
  <si>
    <t>DB.C-4  # 10.2</t>
  </si>
  <si>
    <t>DB.C-4  # 10.3</t>
  </si>
  <si>
    <t>DB.C-4  # 10.4</t>
  </si>
  <si>
    <t>DB.C-4  # 10.5</t>
  </si>
  <si>
    <t>DB.C-4  # 10.6</t>
  </si>
  <si>
    <t>DB.C-4  # 10.7</t>
  </si>
  <si>
    <t>DB.C-4  # 10.8</t>
  </si>
  <si>
    <t>DB.C-4  # 10.9</t>
  </si>
  <si>
    <t>DB.C-4  # 11.1</t>
  </si>
  <si>
    <t>DB.C-4  # 11.2</t>
  </si>
  <si>
    <t>DB.C-4  # 12</t>
  </si>
  <si>
    <t>DB.C-4  # 13.1</t>
  </si>
  <si>
    <t>DB.C-4  # 13.2</t>
  </si>
  <si>
    <t>DB.C-4  # 13.3</t>
  </si>
  <si>
    <t>DB.C-4  # 13.4</t>
  </si>
  <si>
    <t>DB.C-4  # 13.5</t>
  </si>
  <si>
    <t>DB.C-4  # 13.6</t>
  </si>
  <si>
    <t>DB.C-4  # 13.7</t>
  </si>
  <si>
    <t>DB.C-4  # 13.8</t>
  </si>
  <si>
    <t>DB.C-4  # 13.9</t>
  </si>
  <si>
    <t>DB.C-4  # 13.11</t>
  </si>
  <si>
    <t>DB.C-4  # 13.12</t>
  </si>
  <si>
    <t>DB.C-4  # 13.13</t>
  </si>
  <si>
    <t>DB.C-4  # 13.14</t>
  </si>
  <si>
    <t>DB.C-4  # 13.15</t>
  </si>
  <si>
    <t>DB.C-4  # 13.16</t>
  </si>
  <si>
    <t>DB.C-4  # 13.17</t>
  </si>
  <si>
    <t>DB.C-4  # 13.18</t>
  </si>
  <si>
    <t>DB.C-4  # 13.19</t>
  </si>
  <si>
    <t>DB.C-4  # 14</t>
  </si>
  <si>
    <t>DB.C-4  # 15.1</t>
  </si>
  <si>
    <t>DB.C-4  # 15.2</t>
  </si>
  <si>
    <t>DB.C-4  # 15.3</t>
  </si>
  <si>
    <t>DB.C-4  # 15.4</t>
  </si>
  <si>
    <t>DB.C-4  # 15.5</t>
  </si>
  <si>
    <t>DB.C-4  # 15.6</t>
  </si>
  <si>
    <t>DB.C-4  # 15.7</t>
  </si>
  <si>
    <t>DB.C-4  # 15.8</t>
  </si>
  <si>
    <t>DB.C-4  # 15.9</t>
  </si>
  <si>
    <t>DB.C-4  # 15.11</t>
  </si>
  <si>
    <t>DB.C-4  # 15.12</t>
  </si>
  <si>
    <t>DB.C-4  # 15.13</t>
  </si>
  <si>
    <t>DB.C-4  # 15.14</t>
  </si>
  <si>
    <t>DB.C-4  # 15.15</t>
  </si>
  <si>
    <t>DB.C-4  # 15.16</t>
  </si>
  <si>
    <t>DB.C-4  # 15.17</t>
  </si>
  <si>
    <t>DB.C-4  # 15.18</t>
  </si>
  <si>
    <t>DB.C-4  # 15.19</t>
  </si>
  <si>
    <t>DB.C-4  # 16.1</t>
  </si>
  <si>
    <t>DB.C-4  # 16</t>
  </si>
  <si>
    <t>DB.C-4  # 17.1</t>
  </si>
  <si>
    <t>DB.C-4  # 17</t>
  </si>
  <si>
    <t>DB.C-4  # 17.2</t>
  </si>
  <si>
    <t>DB.C-4  # 18</t>
  </si>
  <si>
    <t>DB.C-5  # 1.6</t>
  </si>
  <si>
    <t>DB.C-5  # 1.7</t>
  </si>
  <si>
    <t>DB.C-5  # 1.8</t>
  </si>
  <si>
    <t>DB.C-5  # 1.9</t>
  </si>
  <si>
    <t>DB.C-5  # 1.11</t>
  </si>
  <si>
    <t>DB.C-5  # 1.12</t>
  </si>
  <si>
    <t>DB.C-5  # 1.14</t>
  </si>
  <si>
    <t>DB.C-5  # 1.15</t>
  </si>
  <si>
    <t>DB.C-5  # 1.16</t>
  </si>
  <si>
    <t>DB.C-5  # 1.17</t>
  </si>
  <si>
    <t>DB.C-5  # 2.5</t>
  </si>
  <si>
    <t>DB.C-5  # 2.6</t>
  </si>
  <si>
    <t>DB.C-5  # 2.8</t>
  </si>
  <si>
    <t>DB.C-5  # 2.9</t>
  </si>
  <si>
    <t>DB.C-5  # 2.11</t>
  </si>
  <si>
    <t>DB.C-5  # 3.7</t>
  </si>
  <si>
    <t>DB.C-5  # 3.8</t>
  </si>
  <si>
    <t>DB.C-5  # 3.11</t>
  </si>
  <si>
    <t>DB.C-5  # 5.1</t>
  </si>
  <si>
    <t>DB.C-5  # 5.2</t>
  </si>
  <si>
    <t>DB.C-5  # 5.3</t>
  </si>
  <si>
    <t>DB.C-5  # 5.4</t>
  </si>
  <si>
    <t>DB.C-5  # 5.5</t>
  </si>
  <si>
    <t>DB.C-5  # 5.6</t>
  </si>
  <si>
    <t>DB.C-5  # 5.7</t>
  </si>
  <si>
    <t>DB.C-5  # 5.8</t>
  </si>
  <si>
    <t>DB.C-5  # 6.1</t>
  </si>
  <si>
    <t>DB.C-5  # 6.2</t>
  </si>
  <si>
    <t>DB.C-5  # 6.3</t>
  </si>
  <si>
    <t>DB.C-5  # 6.4</t>
  </si>
  <si>
    <t>DB.C-5  # 6.5</t>
  </si>
  <si>
    <t>DB.C-5  # 6.6</t>
  </si>
  <si>
    <t>DB.C-5  # 6.7</t>
  </si>
  <si>
    <t>DB.C-5  # 6.8</t>
  </si>
  <si>
    <t>DB.C-5  # 6.9</t>
  </si>
  <si>
    <t>DB.C-5  # 6.11</t>
  </si>
  <si>
    <t>DB.C-5  # 6.12</t>
  </si>
  <si>
    <t>DB.C-5  # 6.13</t>
  </si>
  <si>
    <t>DB.C-5  # 6.14</t>
  </si>
  <si>
    <t>DB.C-5  # 7.1</t>
  </si>
  <si>
    <t>DB.C-5  # 7.2</t>
  </si>
  <si>
    <t>DB.C-5  # 7.7</t>
  </si>
  <si>
    <t>DB.C-5  # 9.1</t>
  </si>
  <si>
    <t>DB.C-5  # 9</t>
  </si>
  <si>
    <t>DB.C-5  # 10</t>
  </si>
  <si>
    <t>DB.C-5  # 11</t>
  </si>
  <si>
    <t>DB.C-5  # 12.1</t>
  </si>
  <si>
    <t>DB.C-5  # 12.2</t>
  </si>
  <si>
    <t>DB.C-5  # 13</t>
  </si>
  <si>
    <t>DB.C-5  # 14.1</t>
  </si>
  <si>
    <t>DB.C-5  # 14.2</t>
  </si>
  <si>
    <t>DB.C-5  # 15</t>
  </si>
  <si>
    <t>DB.C-5  # 16.1</t>
  </si>
  <si>
    <t>DB.C-5  # 16.2</t>
  </si>
  <si>
    <t>DB.C-5  # 16.3</t>
  </si>
  <si>
    <t>DB.C-5  # 16.4</t>
  </si>
  <si>
    <t>DB.C-5  # 16.5</t>
  </si>
  <si>
    <t>DB.C-5  # 16.6</t>
  </si>
  <si>
    <t>DB.C-5  # 16.7</t>
  </si>
  <si>
    <t>DB.C-5  # 16.8</t>
  </si>
  <si>
    <t>DB.C-5  # 16.9</t>
  </si>
  <si>
    <t>DB.C-5  # 16.11</t>
  </si>
  <si>
    <t>DB.C-5  # 17</t>
  </si>
  <si>
    <t>DB.C-5  # 18</t>
  </si>
  <si>
    <t>DB.C-5  # 19.1</t>
  </si>
  <si>
    <t>DB.C-5  # 19.2</t>
  </si>
  <si>
    <t>DB.C-5  # 19.3</t>
  </si>
  <si>
    <t>DB.C-5  # 19.4</t>
  </si>
  <si>
    <t>DB.C-5  # 19.5</t>
  </si>
  <si>
    <t>DB.C-5  # 19.6</t>
  </si>
  <si>
    <t>DB.C-5  # 19.7</t>
  </si>
  <si>
    <t>DB.C-5  # 19.8</t>
  </si>
  <si>
    <t>DB.C-5  # 19.9</t>
  </si>
  <si>
    <t>DB.C-5  # 19.11</t>
  </si>
  <si>
    <t>DB.C-6  # 1.1</t>
  </si>
  <si>
    <t>DB.C-6  # 1.3</t>
  </si>
  <si>
    <t>DB.C-6  # 1.5</t>
  </si>
  <si>
    <t>DB.C-6  # 1.6</t>
  </si>
  <si>
    <t>DB.C-6  # 1.7</t>
  </si>
  <si>
    <t>DB.C-6  # 1.8</t>
  </si>
  <si>
    <t>DB.C-6  # 2.1</t>
  </si>
  <si>
    <t>DB.C-6  # 2.2</t>
  </si>
  <si>
    <t>DB.C-6  # 2.3</t>
  </si>
  <si>
    <t>DB.C-6  # 2.4</t>
  </si>
  <si>
    <t>DB.C-6  # 3.1</t>
  </si>
  <si>
    <t>DB.C-6  # 3.2</t>
  </si>
  <si>
    <t>DB.C-6  # 4.1</t>
  </si>
  <si>
    <t>DB.C-6  # 4.2</t>
  </si>
  <si>
    <t>DB.C-6  # 4.3</t>
  </si>
  <si>
    <t>DB.C-6  # 4.4</t>
  </si>
  <si>
    <t>DB.C-6  # 4.5</t>
  </si>
  <si>
    <t>DB.C-6  # 4.6</t>
  </si>
  <si>
    <t>DB.C-6  # 4.7</t>
  </si>
  <si>
    <t>DB.C-6  # 4.8</t>
  </si>
  <si>
    <t>DB.C-6  # 5</t>
  </si>
  <si>
    <t>DB.C-6  # 6</t>
  </si>
  <si>
    <t>DB.C-6  # 7.1</t>
  </si>
  <si>
    <t>DB.C-6  # 7.2</t>
  </si>
  <si>
    <t>DB.C-6  # 8</t>
  </si>
  <si>
    <t>DB.C-6  # 9.1</t>
  </si>
  <si>
    <t>DB.C-6  # 9.2</t>
  </si>
  <si>
    <t>DB.C-6  # 9.3</t>
  </si>
  <si>
    <t>DB.C-6  # 9.4</t>
  </si>
  <si>
    <t>DB.C-6  # 9.5</t>
  </si>
  <si>
    <t>DB.C-6  # 9.6</t>
  </si>
  <si>
    <t>DB.C-6  # 10</t>
  </si>
  <si>
    <t>DB.C-6  # 11</t>
  </si>
  <si>
    <t>DB.C-6  # 12.1</t>
  </si>
  <si>
    <t>DB.C-6  # 12.2</t>
  </si>
  <si>
    <t>DB.C-6  # 12.3</t>
  </si>
  <si>
    <t>DB.C-6  # 12.4</t>
  </si>
  <si>
    <t>DB.C-6  # 12.5</t>
  </si>
  <si>
    <t>DB.C-6  # 12.6</t>
  </si>
  <si>
    <t>DB.C-7  # 1.1</t>
  </si>
  <si>
    <t>DB.C-7  # 1.3</t>
  </si>
  <si>
    <t>DB.C-7  # 1.5</t>
  </si>
  <si>
    <t>DB.C-7  # 1.7</t>
  </si>
  <si>
    <t>DB.C-7  # 1.8</t>
  </si>
  <si>
    <t>DB.C-7  # 1.9</t>
  </si>
  <si>
    <t>DB.C-7  # 2.1</t>
  </si>
  <si>
    <t>DB.C-7  # 2.3</t>
  </si>
  <si>
    <t>DB.C-7  # 2.5</t>
  </si>
  <si>
    <t>DB.C-7  # 2.6</t>
  </si>
  <si>
    <t>DB.C-7  # 2.7</t>
  </si>
  <si>
    <t>DB.C-7  # 2.8</t>
  </si>
  <si>
    <t>DB.C-7  # 3</t>
  </si>
  <si>
    <t>DB.C-7  # 3.1</t>
  </si>
  <si>
    <t>DB.C-7  # 4</t>
  </si>
  <si>
    <t>DB.C-7  # 5</t>
  </si>
  <si>
    <t>DB.C-7  # 6.1</t>
  </si>
  <si>
    <t>DB.C-7  # 6.2</t>
  </si>
  <si>
    <t>DB.C-7  # 6.3</t>
  </si>
  <si>
    <t>DB.C-7  # 6.4</t>
  </si>
  <si>
    <t>DB.C-7  # 6.5</t>
  </si>
  <si>
    <t>DB.C-7  # 6.6</t>
  </si>
  <si>
    <t>DB.C-7  # 6.7</t>
  </si>
  <si>
    <t>DB.C-7  # 6.8</t>
  </si>
  <si>
    <t>DB.C-7  # 7</t>
  </si>
  <si>
    <t>DB.C-7  # 8</t>
  </si>
  <si>
    <t>DB.C-7  # 9</t>
  </si>
  <si>
    <t>DB.C-7  # 10.1</t>
  </si>
  <si>
    <t>DB.C-7  # 10.2</t>
  </si>
  <si>
    <t>DB.C-7  # 11</t>
  </si>
  <si>
    <t>DB.C-7  # 12.1</t>
  </si>
  <si>
    <t>DB.C-7  # 12.2</t>
  </si>
  <si>
    <t>DB.C-7  # 12.3</t>
  </si>
  <si>
    <t>DB.C-7  # 12.4</t>
  </si>
  <si>
    <t>DB.C-7  # 12.5</t>
  </si>
  <si>
    <t>DB.C-7  # 12.6</t>
  </si>
  <si>
    <t>DB.C-7  # 13</t>
  </si>
  <si>
    <t>DB.C-7  # 14</t>
  </si>
  <si>
    <t>DB.C-7  # 15.1</t>
  </si>
  <si>
    <t>DB.C-7  # 15.2</t>
  </si>
  <si>
    <t>DB.C-7  # 15.3</t>
  </si>
  <si>
    <t>DB.C-7  # 15.4</t>
  </si>
  <si>
    <t>DB.C-7  # 15.5</t>
  </si>
  <si>
    <t>DB.C-7  # 15.6</t>
  </si>
  <si>
    <t>DB.C-8  # 1.1</t>
  </si>
  <si>
    <t>DB.C-8  # 1.3</t>
  </si>
  <si>
    <t>DB.C-8  # 1.4</t>
  </si>
  <si>
    <t>DB.C-8  # 2.1</t>
  </si>
  <si>
    <t>DB.C-8  # 2.3</t>
  </si>
  <si>
    <t>DB.C-8  # 2.5</t>
  </si>
  <si>
    <t>DB.C-8  # 3.1</t>
  </si>
  <si>
    <t>DB.C-8  # 3.3</t>
  </si>
  <si>
    <t>DB.C-8  # 3.5</t>
  </si>
  <si>
    <t>DB.C-8  # 4.1</t>
  </si>
  <si>
    <t>DB.C-8  # 4.2</t>
  </si>
  <si>
    <t>DB.C-8  # 4.3</t>
  </si>
  <si>
    <t>DB.C-8  # 4.4</t>
  </si>
  <si>
    <t>DB.C-8  # 5</t>
  </si>
  <si>
    <t>DB.C-8  # 6</t>
  </si>
  <si>
    <t>DB.C-8  # 6.1</t>
  </si>
  <si>
    <t>DB.C-8  # 7</t>
  </si>
  <si>
    <t>DB.C-8  # 8.1</t>
  </si>
  <si>
    <t>DB.C-8  # 8.2</t>
  </si>
  <si>
    <t>DB.C-8  # 9</t>
  </si>
  <si>
    <t>DB.C-8  # 10.1</t>
  </si>
  <si>
    <t>DB.C-8  # 10.2</t>
  </si>
  <si>
    <t>DB.C-8  # 10.3</t>
  </si>
  <si>
    <t>DB.C-8  # 11</t>
  </si>
  <si>
    <t>DB.C-8  # 12</t>
  </si>
  <si>
    <t>DB.C-8  # 13.1</t>
  </si>
  <si>
    <t>DB.C-8  # 13.2</t>
  </si>
  <si>
    <t>DB.C-8A # 1.1</t>
  </si>
  <si>
    <t>DB.C-8A # 1.2</t>
  </si>
  <si>
    <t>DB.C-8A # 1.3</t>
  </si>
  <si>
    <t>DB.C-8A # 1.5</t>
  </si>
  <si>
    <t>DB.C-8A # 1.6</t>
  </si>
  <si>
    <t>DB.C-8A # 1.7</t>
  </si>
  <si>
    <t>DB.C-8A # 1.8</t>
  </si>
  <si>
    <t>DB.C-8A # 2.1</t>
  </si>
  <si>
    <t>DB.C-8A # 2.2</t>
  </si>
  <si>
    <t>DB.C-8A # 2.3</t>
  </si>
  <si>
    <t>DB.C-8A # 2.4</t>
  </si>
  <si>
    <t>DB.C-8A # 2.5</t>
  </si>
  <si>
    <t>DB.C-8A # 2.6</t>
  </si>
  <si>
    <t>DB.C-8A # 2.7</t>
  </si>
  <si>
    <t>DB.C-8A # 3.1</t>
  </si>
  <si>
    <t>DB.C-8A # 3.2</t>
  </si>
  <si>
    <t>DB.C-8A # 3.3</t>
  </si>
  <si>
    <t>DB.C-8A # 3.4</t>
  </si>
  <si>
    <t>DB.C-8A # 3.5</t>
  </si>
  <si>
    <t>DB.C-8A # 3.6</t>
  </si>
  <si>
    <t>DB.C-8A # 3.7</t>
  </si>
  <si>
    <t>DB.C-8A # 4.1</t>
  </si>
  <si>
    <t>DB.C-8A # 4.2</t>
  </si>
  <si>
    <t>DB.C-8A # 4.3</t>
  </si>
  <si>
    <t>DB.C-8A # 4.4</t>
  </si>
  <si>
    <t>DB.C-8A # 4.5</t>
  </si>
  <si>
    <t>DB.C-8A # 4.6</t>
  </si>
  <si>
    <t>DB.C-8A # 4.7</t>
  </si>
  <si>
    <t>DB.C-8A # 5</t>
  </si>
  <si>
    <t>DB.C-8A # 6.2</t>
  </si>
  <si>
    <t>DB.C-8A # 6.3</t>
  </si>
  <si>
    <t>DB.C-8A # 7</t>
  </si>
  <si>
    <t>DB.C-8A # 8.1</t>
  </si>
  <si>
    <t>DB.C-8A # 8.2</t>
  </si>
  <si>
    <t>DB.C-8A # 8.3</t>
  </si>
  <si>
    <t>DB.C-8A # 9</t>
  </si>
  <si>
    <t>DB.C-8A # 11.1</t>
  </si>
  <si>
    <t>DB.C-8A # 11.2</t>
  </si>
  <si>
    <t>DB.C-8A # 11.3</t>
  </si>
  <si>
    <t>DB.C-8A # 12.1</t>
  </si>
  <si>
    <t>DB.C-8A # 12.2</t>
  </si>
  <si>
    <t>DB.C-8A # 12.3</t>
  </si>
  <si>
    <t>DB.C-8A # 12.4</t>
  </si>
  <si>
    <t>DB.C-8A # 14</t>
  </si>
  <si>
    <t>DB.C-9  # 1.1</t>
  </si>
  <si>
    <t>DB.C-9  # 1.2</t>
  </si>
  <si>
    <t>DB.C-9  # 1.3</t>
  </si>
  <si>
    <t>DB.C-9  # 1.4</t>
  </si>
  <si>
    <t>DB.C-9  # 1.5</t>
  </si>
  <si>
    <t>DB.C-9  # 1.6</t>
  </si>
  <si>
    <t>DB.C-9  # 2.1</t>
  </si>
  <si>
    <t>DB.C-9  # 2.2</t>
  </si>
  <si>
    <t>DB.C-9  # 2.3</t>
  </si>
  <si>
    <t>DB.C-9  # 2.5</t>
  </si>
  <si>
    <t>DB.C-9  # 2.6</t>
  </si>
  <si>
    <t>DB.C-9  # 2.7</t>
  </si>
  <si>
    <t>DB.C-9  # 2.8</t>
  </si>
  <si>
    <t>DB.C-9  # 2.9</t>
  </si>
  <si>
    <t>DB.C-9  # 2.11</t>
  </si>
  <si>
    <t>DB.C-9  # 2.12</t>
  </si>
  <si>
    <t>DB.C-9  # 2.13</t>
  </si>
  <si>
    <t>DB.C-9  # 3.1</t>
  </si>
  <si>
    <t>DB.C-9  # 3.2</t>
  </si>
  <si>
    <t>DB.C-9  # 3.3</t>
  </si>
  <si>
    <t>DB.C-9  # 3.4</t>
  </si>
  <si>
    <t>DB.C-9  # 3.5</t>
  </si>
  <si>
    <t>DB.C-9  # 3.6</t>
  </si>
  <si>
    <t>DB.C-9  # 3.7</t>
  </si>
  <si>
    <t>DB.C-9  # 4</t>
  </si>
  <si>
    <t>DB.C-9  # 5</t>
  </si>
  <si>
    <t>DB.C-9  # 6.1</t>
  </si>
  <si>
    <t>DB.C-9  # 6.2</t>
  </si>
  <si>
    <t>DB.C-9  # 7</t>
  </si>
  <si>
    <t>DB.C-9  # 8.1</t>
  </si>
  <si>
    <t>DB.C-9  # 8.2</t>
  </si>
  <si>
    <t>DB.C-9  # 8.3</t>
  </si>
  <si>
    <t>DB.C-9  # 8.4</t>
  </si>
  <si>
    <t>DB.C-9  # 8.5</t>
  </si>
  <si>
    <t>DB.C-9  # 9</t>
  </si>
  <si>
    <t>DB.C-9  # 10</t>
  </si>
  <si>
    <t>DB.C-9  # 11.1</t>
  </si>
  <si>
    <t>DB.C-9  # 11.2</t>
  </si>
  <si>
    <t>DB.C-9  # 11.3</t>
  </si>
  <si>
    <t>DB.C-9  # 11.4</t>
  </si>
  <si>
    <t>DB.C-9  # 11.5</t>
  </si>
  <si>
    <t>DB.C-9  # 12.1</t>
  </si>
  <si>
    <t>DB.C-9  # 12.2</t>
  </si>
  <si>
    <t>DB.C-9  # 12.4</t>
  </si>
  <si>
    <t>DB.C-9  # 12.5</t>
  </si>
  <si>
    <t>DB.C-9  # 13.1</t>
  </si>
  <si>
    <t>DB.C-9  # 13.2</t>
  </si>
  <si>
    <t>DB.C-9  # 13.3</t>
  </si>
  <si>
    <t>DB.C-9  # 13.4</t>
  </si>
  <si>
    <t>DB.C-10  # 1.1</t>
  </si>
  <si>
    <t>DB.C-10  # 1.2</t>
  </si>
  <si>
    <t>DB.C-10  # 1.3</t>
  </si>
  <si>
    <t>DB.C-10  # 1.4</t>
  </si>
  <si>
    <t>DB.C-10  # 2.1</t>
  </si>
  <si>
    <t>DB.C-10  # 2.2</t>
  </si>
  <si>
    <t>DB.C-10  # 2.3</t>
  </si>
  <si>
    <t>DB.C-10  # 2.4</t>
  </si>
  <si>
    <t>DB.C-10  # 3.1</t>
  </si>
  <si>
    <t>DB.C-10  # 3.2</t>
  </si>
  <si>
    <t>DB.C-10  # 3.3</t>
  </si>
  <si>
    <t>DB.C-10  # 3.4</t>
  </si>
  <si>
    <t>DB.C-10  # 4.1</t>
  </si>
  <si>
    <t>DB.C-10  # 4.2</t>
  </si>
  <si>
    <t>DB.C-10  # 4.3</t>
  </si>
  <si>
    <t>DB.C-10  # 4.4</t>
  </si>
  <si>
    <t>DB.C-10  # 5</t>
  </si>
  <si>
    <t>DB.C-10  # 8.1</t>
  </si>
  <si>
    <t>DB.C-10  # 8.2</t>
  </si>
  <si>
    <t>DB.C-10  # 8</t>
  </si>
  <si>
    <t>DB.C-10  # 9</t>
  </si>
  <si>
    <t>DB.C-10  # 11</t>
  </si>
  <si>
    <t>DB.C-10  # 12.1</t>
  </si>
  <si>
    <t>DB.C-10  # 12.2</t>
  </si>
  <si>
    <t>DB.C-10  # 12.3</t>
  </si>
  <si>
    <t>DB.C-10  # 12</t>
  </si>
  <si>
    <t>DB.C-10  # 12.4</t>
  </si>
  <si>
    <t>DB.C-10  # 13</t>
  </si>
  <si>
    <t>DB.C-11 # 1.1</t>
  </si>
  <si>
    <t>DB.C-11 # 1.2</t>
  </si>
  <si>
    <t>DB.C-11 # 1.3</t>
  </si>
  <si>
    <t>DB.C-11 # 1.4</t>
  </si>
  <si>
    <t>DB.C-11 # 1.5</t>
  </si>
  <si>
    <t>DB.C-11 # 1.6</t>
  </si>
  <si>
    <t>DB.C-11 # 2.1</t>
  </si>
  <si>
    <t>DB.C-11 # 2.2</t>
  </si>
  <si>
    <t>DB.C-11 # 2.3</t>
  </si>
  <si>
    <t>DB.C-11 # 2.4</t>
  </si>
  <si>
    <t>DB.C-11 # 2.5</t>
  </si>
  <si>
    <t>DB.C-11 # 2.6</t>
  </si>
  <si>
    <t>DB.C-11 # 2.7</t>
  </si>
  <si>
    <t>DB.C-11 # 2.8</t>
  </si>
  <si>
    <t>DB.C-11 # 2.9</t>
  </si>
  <si>
    <t>DB.C-11 # 3.1</t>
  </si>
  <si>
    <t>DB.C-11 # 3.2</t>
  </si>
  <si>
    <t>DB.C-11 # 3.3</t>
  </si>
  <si>
    <t>DB.C-11 # 3.4</t>
  </si>
  <si>
    <t>DB.C-11 # 3.7</t>
  </si>
  <si>
    <t>DB.C-11 # 4</t>
  </si>
  <si>
    <t>DB.C-11 # 5</t>
  </si>
  <si>
    <t>DB.C-11 # 6.1</t>
  </si>
  <si>
    <t>DB.C-11 # 6.2</t>
  </si>
  <si>
    <t>DB.C-11 # 7</t>
  </si>
  <si>
    <t>DB.C-11 # 8.1</t>
  </si>
  <si>
    <t>DB.C-11 # 8.2</t>
  </si>
  <si>
    <t>DB.C-11 # 8.3</t>
  </si>
  <si>
    <t>DB.C-11 # 8.4</t>
  </si>
  <si>
    <t>DB.C-11 # 8.5</t>
  </si>
  <si>
    <t>DB.C-11 # 9</t>
  </si>
  <si>
    <t>DB.C-11 # 11.1</t>
  </si>
  <si>
    <t>DB.C-11 # 11.2</t>
  </si>
  <si>
    <t>DB.C-11 # 11.3</t>
  </si>
  <si>
    <t>DB.C-11 # 11.4</t>
  </si>
  <si>
    <t>DB.C-11 # 11.5</t>
  </si>
  <si>
    <t>DB.C-11 # 11</t>
  </si>
  <si>
    <t>DB.C-12 # 1.1</t>
  </si>
  <si>
    <t>DB.C-12 # 1.2</t>
  </si>
  <si>
    <t>DB.C-12 # 1.3</t>
  </si>
  <si>
    <t>DB.C-12 # 1.4</t>
  </si>
  <si>
    <t>DB.C-12 # 1.5</t>
  </si>
  <si>
    <t>DB.C-12 # 2.1</t>
  </si>
  <si>
    <t>DB.C-12 # 2.2</t>
  </si>
  <si>
    <t>DB.C-12 # 2.3</t>
  </si>
  <si>
    <t>DB.C-12 # 2.4</t>
  </si>
  <si>
    <t>DB.C-12 # 2.5</t>
  </si>
  <si>
    <t>DB.C-12 # 2.6</t>
  </si>
  <si>
    <t>DB.C-12 # 2.7</t>
  </si>
  <si>
    <t>DB.C-12 # 3.1</t>
  </si>
  <si>
    <t>DB.C-12 # 3.2</t>
  </si>
  <si>
    <t>DB.C-12 # 3.3</t>
  </si>
  <si>
    <t>DB.C-12 # 3.4</t>
  </si>
  <si>
    <t>DB.C-12 # 3.5</t>
  </si>
  <si>
    <t>DB.C-12 # 3.7</t>
  </si>
  <si>
    <t>DB.C-12 # 4</t>
  </si>
  <si>
    <t>DB.C-12 # 5</t>
  </si>
  <si>
    <t>DB.C-12 # 6.1</t>
  </si>
  <si>
    <t>DB.C-12 # 6.2</t>
  </si>
  <si>
    <t>DB.C-12 # 7</t>
  </si>
  <si>
    <t>DB.C-12 # 8.1</t>
  </si>
  <si>
    <t>DB.C-12 # 8.2</t>
  </si>
  <si>
    <t>DB.C-12 # 8.3</t>
  </si>
  <si>
    <t>DB.C-12 # 8.4</t>
  </si>
  <si>
    <t>DB.C-12 # 8.5</t>
  </si>
  <si>
    <t>DB.C-12 # 9</t>
  </si>
  <si>
    <t>DB.C-12 # 10</t>
  </si>
  <si>
    <t>DB.C-12 # 11.1</t>
  </si>
  <si>
    <t>DB.C-12 # 11.2</t>
  </si>
  <si>
    <t>DB.C-12 # 11.3</t>
  </si>
  <si>
    <t>DB.C-12 # 11.4</t>
  </si>
  <si>
    <t>DB.C-12 # 11.5</t>
  </si>
  <si>
    <t>DB.C-13 # 1</t>
  </si>
  <si>
    <t>DB.C-13 # 1.1</t>
  </si>
  <si>
    <t>DB.C-13 # 1.2</t>
  </si>
  <si>
    <t>DB.C-13 # 1.3</t>
  </si>
  <si>
    <t>DB.C-13 # 1.4</t>
  </si>
  <si>
    <t>DB.C-13 # 2.1</t>
  </si>
  <si>
    <t>DB.C-13 # 2.2</t>
  </si>
  <si>
    <t>DB.C-13 # 2.3</t>
  </si>
  <si>
    <t>DB.C-13 # 2.4</t>
  </si>
  <si>
    <t>DB.C-13 # 3.1</t>
  </si>
  <si>
    <t>DB.C-13 # 3.2</t>
  </si>
  <si>
    <t>DB.C-13 # 3.3</t>
  </si>
  <si>
    <t>DB.C-13 # 3.4</t>
  </si>
  <si>
    <t>DB.C-13 # 4.1</t>
  </si>
  <si>
    <t>DB.C-13 # 5</t>
  </si>
  <si>
    <t>DB.C-13 # 6</t>
  </si>
  <si>
    <t>DB.C-13 # 7.1</t>
  </si>
  <si>
    <t>DB.C-13 # 7.2</t>
  </si>
  <si>
    <t>DB.C-13 # 8</t>
  </si>
  <si>
    <t>DB.C-13 # 9</t>
  </si>
  <si>
    <t>DB.C-13 # 10</t>
  </si>
  <si>
    <t>DB.C-13 # 11</t>
  </si>
  <si>
    <t>DB.C-13 # 12</t>
  </si>
  <si>
    <t>DB.C-13a # 1.1</t>
  </si>
  <si>
    <t>DB.C-13a # 1.3</t>
  </si>
  <si>
    <t>DB.C-13a # 1.5</t>
  </si>
  <si>
    <t>DB.C-13a # 1.6</t>
  </si>
  <si>
    <t>DB.C-13a # 2.1</t>
  </si>
  <si>
    <t>DB.C-13a # 2.2</t>
  </si>
  <si>
    <t>DB.C-13a # 2.3</t>
  </si>
  <si>
    <t>DB.C-13a # 2.4</t>
  </si>
  <si>
    <t>DB.C-13a # 3.1</t>
  </si>
  <si>
    <t>DB.C-13a # 3.2</t>
  </si>
  <si>
    <t>DB.C-13a # 3.3</t>
  </si>
  <si>
    <t>DB.C-13a # 3.4</t>
  </si>
  <si>
    <t>DB.C-13a # 4.1</t>
  </si>
  <si>
    <t>DB.C-13a # 4.2</t>
  </si>
  <si>
    <t>DB.C-13a # 4.3</t>
  </si>
  <si>
    <t>DB.C-13a # 4.4</t>
  </si>
  <si>
    <t>DB.C-13a # 5.1</t>
  </si>
  <si>
    <t>DB.C-13a # 6.1</t>
  </si>
  <si>
    <t>DB.C-13a # 6.2</t>
  </si>
  <si>
    <t>DB.C-13a # 7</t>
  </si>
  <si>
    <t>DB.C-13a # 8</t>
  </si>
  <si>
    <t>DB.C-13a # 9</t>
  </si>
  <si>
    <t>DB.C-13a # 10</t>
  </si>
  <si>
    <t>DB.C-13a # 12</t>
  </si>
  <si>
    <t>DB.C-13a # 13.1</t>
  </si>
  <si>
    <t>DB.C-13a # 13.2</t>
  </si>
  <si>
    <t>DB.C-13a # 13.3</t>
  </si>
  <si>
    <t>DB.C-13a # 13.4</t>
  </si>
  <si>
    <t>DB.C-14 # 1</t>
  </si>
  <si>
    <t>DB.C-14 # 2</t>
  </si>
  <si>
    <t>DB.C-14 # 3.5</t>
  </si>
  <si>
    <t>DB.C-14 # 3.6</t>
  </si>
  <si>
    <t>DB.C-14 # 4</t>
  </si>
  <si>
    <t>DB.C-14 # 5</t>
  </si>
  <si>
    <t>DB.C-14 # 6</t>
  </si>
  <si>
    <t>DB.C-14 # 7</t>
  </si>
  <si>
    <t>DB.C-15 # 1</t>
  </si>
  <si>
    <t>DB.C-15 # 2</t>
  </si>
  <si>
    <t>DB.C-15 # 3.1</t>
  </si>
  <si>
    <t>DB.C-15 # 3.2</t>
  </si>
  <si>
    <t>DB.C-15 # 4</t>
  </si>
  <si>
    <t>DB.C-15 # 6</t>
  </si>
  <si>
    <t>DB.C-15 # 8</t>
  </si>
  <si>
    <t>DB.C-16 # 1.1</t>
  </si>
  <si>
    <t>DB.C-16 # 1.2</t>
  </si>
  <si>
    <t>DB.C-16 # 1.3</t>
  </si>
  <si>
    <t>DB.C-16 # 1.4</t>
  </si>
  <si>
    <t>DB.C-16 # 2.1</t>
  </si>
  <si>
    <t>DB.C-16 # 2.2</t>
  </si>
  <si>
    <t>DB.C-16 # 2.3</t>
  </si>
  <si>
    <t>DB.C-16 # 2.4</t>
  </si>
  <si>
    <t>DB.C-16 # 3.1</t>
  </si>
  <si>
    <t>DB.C-16 # 3.2</t>
  </si>
  <si>
    <t>DB.C-16 # 3.3</t>
  </si>
  <si>
    <t>DB.C-16 # 3.4</t>
  </si>
  <si>
    <t>DB.C-16 # 4.1</t>
  </si>
  <si>
    <t>DB.C-16 # 4.2</t>
  </si>
  <si>
    <t>DB.C-16 # 4.3</t>
  </si>
  <si>
    <t>DB.C-16 # 4.4</t>
  </si>
  <si>
    <t>DB.C-16 # 5.1</t>
  </si>
  <si>
    <t>DB.C-16 # 5.2</t>
  </si>
  <si>
    <t>DB.C-16 # 6</t>
  </si>
  <si>
    <t>DB.C-16 # 7</t>
  </si>
  <si>
    <t>DB.C-16 # 8</t>
  </si>
  <si>
    <t>DB.C-16 # 9</t>
  </si>
  <si>
    <t>DB.C-16 # 10</t>
  </si>
  <si>
    <t>DB.C-16 # 11.1</t>
  </si>
  <si>
    <t>DB.C-16 # 11.2</t>
  </si>
  <si>
    <t>DB.C-16 # 11.3</t>
  </si>
  <si>
    <t>DB.C-16 # 11.4</t>
  </si>
  <si>
    <t>DB.C-17 # 1</t>
  </si>
  <si>
    <t>DB.C-17 # 2</t>
  </si>
  <si>
    <t>DB.C-17 # 3</t>
  </si>
  <si>
    <t>DB.C-17 # 4</t>
  </si>
  <si>
    <t>DB.C-17 # 5.1</t>
  </si>
  <si>
    <t>DB.C-17 # 5.2</t>
  </si>
  <si>
    <t>DB.C-17 # 6</t>
  </si>
  <si>
    <t>DB.C-17 # 7</t>
  </si>
  <si>
    <t>DB.C-17 # 8</t>
  </si>
  <si>
    <t>DB.C-17 # 9</t>
  </si>
  <si>
    <t>DB.C-17 # 10</t>
  </si>
  <si>
    <t>DB.C-17 # 11</t>
  </si>
  <si>
    <t>DB.C-18a # 1</t>
  </si>
  <si>
    <t>DB.C-18a # 2</t>
  </si>
  <si>
    <t>DB.C-18a # 3</t>
  </si>
  <si>
    <t>DB.C-18a # 4</t>
  </si>
  <si>
    <t>DB.C-18a # 5</t>
  </si>
  <si>
    <t>DB.C-18a # 6</t>
  </si>
  <si>
    <t>DB.C-18a # 7</t>
  </si>
  <si>
    <t>DB.C-19 # 1.1</t>
  </si>
  <si>
    <t>DB.C-19 # 1.3</t>
  </si>
  <si>
    <t>DB.C-19 # 2.2</t>
  </si>
  <si>
    <t>DB.C-19 # 2.3</t>
  </si>
  <si>
    <t>DB.C-19 # 3.2</t>
  </si>
  <si>
    <t>DB.C-19 # 3.4</t>
  </si>
  <si>
    <t>DB.C-19 # 4</t>
  </si>
  <si>
    <t>DB.C-19 # 5.1</t>
  </si>
  <si>
    <t>DB.C-19 # 6.1</t>
  </si>
  <si>
    <t>DB.C-19 # 6.2</t>
  </si>
  <si>
    <t>DB.C-19 # 7</t>
  </si>
  <si>
    <t>DB.C-19 # 8</t>
  </si>
  <si>
    <t>DB.C-19 # 9</t>
  </si>
  <si>
    <t>DB.C-19 # 10</t>
  </si>
  <si>
    <t>DB.C-19 # 11.1</t>
  </si>
  <si>
    <t>DB.C-19 # 11.2</t>
  </si>
  <si>
    <t>DB.C-19a # 1.1</t>
  </si>
  <si>
    <t>DB.C-19a # 1.2</t>
  </si>
  <si>
    <t>DB.C-19a # 1.3</t>
  </si>
  <si>
    <t>DB.C-19a # 1.4</t>
  </si>
  <si>
    <t>DB.C-19a # 1.5</t>
  </si>
  <si>
    <t>DB.C-19a # 1.6</t>
  </si>
  <si>
    <t>DB.C-19a # 1.7</t>
  </si>
  <si>
    <t>DB.C-19a # 1.8</t>
  </si>
  <si>
    <t>DB.C-19a # 2.1</t>
  </si>
  <si>
    <t>DB.C-19a # 2.2</t>
  </si>
  <si>
    <t>DB.C-19a # 2.3</t>
  </si>
  <si>
    <t>DB.C-19a # 2.4</t>
  </si>
  <si>
    <t>DB.C-19a # 2.5</t>
  </si>
  <si>
    <t>DB.C-19a # 2.6</t>
  </si>
  <si>
    <t>DB.C-19a # 2.7</t>
  </si>
  <si>
    <t>DB.C-19a # 2.8</t>
  </si>
  <si>
    <t>DB.C-19a # 3.1</t>
  </si>
  <si>
    <t>DB.C-19a # 3.3</t>
  </si>
  <si>
    <t>DB.C-19a # 3.4</t>
  </si>
  <si>
    <t>DB.C-19a # 3.5</t>
  </si>
  <si>
    <t>DB.C-19a # 3.6</t>
  </si>
  <si>
    <t>DB.C-19a # 3.7</t>
  </si>
  <si>
    <t>DB.C-19a # 4.1</t>
  </si>
  <si>
    <t>DB.C-19a # 4.2</t>
  </si>
  <si>
    <t>DB.C-19a # 4.3</t>
  </si>
  <si>
    <t>DB.C-19a # 4.4</t>
  </si>
  <si>
    <t>DB.C-19a # 4.5</t>
  </si>
  <si>
    <t>DB.C-19a # 4.6</t>
  </si>
  <si>
    <t>DB.C-19a # 4.7</t>
  </si>
  <si>
    <t>DB.C-19a # 4.8</t>
  </si>
  <si>
    <t>DB.C-19a # 4.9</t>
  </si>
  <si>
    <t>DB.C-19a # 5.1</t>
  </si>
  <si>
    <t>DB.C-19a # 5.2</t>
  </si>
  <si>
    <t>DB.C-19a # 6</t>
  </si>
  <si>
    <t>DB.C-19a # 7.1</t>
  </si>
  <si>
    <t>DB.C-19a # 7.2</t>
  </si>
  <si>
    <t>DB.C-19a # 8</t>
  </si>
  <si>
    <t>DB.C-19a # 9.1</t>
  </si>
  <si>
    <t>DB.C-19a # 9.2</t>
  </si>
  <si>
    <t>DB.C-19a # 9.3</t>
  </si>
  <si>
    <t>DB.C-19a # 9.4</t>
  </si>
  <si>
    <t>DB.C-19a # 9.5</t>
  </si>
  <si>
    <t>DB.C-19a # 9.7</t>
  </si>
  <si>
    <t>DB.C-19a # 9.8</t>
  </si>
  <si>
    <t>DB.C-19a # 10</t>
  </si>
  <si>
    <t>DB.C-19a # 11.1</t>
  </si>
  <si>
    <t>DB.C-19a # 11.2</t>
  </si>
  <si>
    <t>DB.C-19a # 11.3</t>
  </si>
  <si>
    <t>DB.C-19a # 11.4</t>
  </si>
  <si>
    <t>DB.C-19a # 11.5</t>
  </si>
  <si>
    <t>DB.C-19a # 11.6</t>
  </si>
  <si>
    <t>DB.C-19a # 12</t>
  </si>
  <si>
    <t>DB.C-20 # 1.1</t>
  </si>
  <si>
    <t>DB.C-20 # 1.2</t>
  </si>
  <si>
    <t>DB.C-20 # 1.3</t>
  </si>
  <si>
    <t>DB.C-20 # 1.4</t>
  </si>
  <si>
    <t>DB.C-20 # 1.5</t>
  </si>
  <si>
    <t>DB.C-20 # 2.1</t>
  </si>
  <si>
    <t>DB.C-20 # 2.2</t>
  </si>
  <si>
    <t>DB.C-20 # 2.3</t>
  </si>
  <si>
    <t>DB.C-20 # 2.4</t>
  </si>
  <si>
    <t>DB.C-20 # 2.5</t>
  </si>
  <si>
    <t>DB.C-20 # 3.1</t>
  </si>
  <si>
    <t>DB.C-20 # 3.2</t>
  </si>
  <si>
    <t>DB.C-20 # 3.3</t>
  </si>
  <si>
    <t>DB.C-20 # 3.4</t>
  </si>
  <si>
    <t>DB.C-20 # 3.5</t>
  </si>
  <si>
    <t>DB.C-20 # 4.2</t>
  </si>
  <si>
    <t>DB.C-20 # 4.3</t>
  </si>
  <si>
    <t>DB.C-20 # 4.4</t>
  </si>
  <si>
    <t>DB.C-20 # 4.5</t>
  </si>
  <si>
    <t>DB.C-20 # 4.6</t>
  </si>
  <si>
    <t>DB.C-20 # 4.7</t>
  </si>
  <si>
    <t>DB.C-20 # 4.8</t>
  </si>
  <si>
    <t>DB.C-20 # 4.9</t>
  </si>
  <si>
    <t>DB.C-20 # 4.1</t>
  </si>
  <si>
    <t>DB.C-20 # 4.11</t>
  </si>
  <si>
    <t>DB.C-20 # 4.12</t>
  </si>
  <si>
    <t>DB.C-20 # 4.14</t>
  </si>
  <si>
    <t>DB.C-20 # 4.17</t>
  </si>
  <si>
    <t>DB.C-20 # 5</t>
  </si>
  <si>
    <t>DB.C-20 # 6.1</t>
  </si>
  <si>
    <t>DB.C-20 # 6.2</t>
  </si>
  <si>
    <t>DB.C-20 # 7</t>
  </si>
  <si>
    <t>DB.C-20 # 8</t>
  </si>
  <si>
    <t>DB.C-20 # 9</t>
  </si>
  <si>
    <t>DB.C-20 # 10</t>
  </si>
  <si>
    <t>DB.C-20 # 11</t>
  </si>
  <si>
    <t>DB.C-21 # 1.1</t>
  </si>
  <si>
    <t>DB.C-21 # 1.2</t>
  </si>
  <si>
    <t>DB.C-21 # 1.3</t>
  </si>
  <si>
    <t>DB.C-21 # 1.4</t>
  </si>
  <si>
    <t>DB.C-21 # 2.1</t>
  </si>
  <si>
    <t>DB.C-21 # 2.2</t>
  </si>
  <si>
    <t>DB.C-21 # 2.3</t>
  </si>
  <si>
    <t>DB.C-21 # 2.4</t>
  </si>
  <si>
    <t>DB.C-21 # 3.1</t>
  </si>
  <si>
    <t>DB.C-21 # 3.2</t>
  </si>
  <si>
    <t>DB.C-21 # 3.3</t>
  </si>
  <si>
    <t>DB.C-21 # 3.4</t>
  </si>
  <si>
    <t>DB.C-21 # 3.5</t>
  </si>
  <si>
    <t>DB.C-21 # 3.6</t>
  </si>
  <si>
    <t>DB.C-21 # 3.7</t>
  </si>
  <si>
    <t>DB.C-21 # 3.8</t>
  </si>
  <si>
    <t>DB.C-21 # 3.9</t>
  </si>
  <si>
    <t>DB.C-21 # 3.11</t>
  </si>
  <si>
    <t>DB.C-21 # 3.12</t>
  </si>
  <si>
    <t>DB.C-21 # 4.1</t>
  </si>
  <si>
    <t>DB.C-21 # 4.2</t>
  </si>
  <si>
    <t>DB.C-21 # 4.3</t>
  </si>
  <si>
    <t>DB.C-21 # 4.4</t>
  </si>
  <si>
    <t>DB.C-21 # 5</t>
  </si>
  <si>
    <t>DB.C-21 # 6</t>
  </si>
  <si>
    <t>DB.C-21 # 7.1</t>
  </si>
  <si>
    <t>DB.C-21 # 7.2</t>
  </si>
  <si>
    <t>DB.C-21 # 8</t>
  </si>
  <si>
    <t>DB.C-21 # 9</t>
  </si>
  <si>
    <t>DB.C-21 # 10</t>
  </si>
  <si>
    <t>DB.C-21 # 11</t>
  </si>
  <si>
    <t>DB.C-21 # 12</t>
  </si>
  <si>
    <t>1xDA.C-9 # 3.1(9610) + 1xDA.C-4 # 11(2090)</t>
  </si>
  <si>
    <t>1xDA.C-1 # 4.5(8500) + 1xDA.C-1 # 1.8(3200)</t>
  </si>
  <si>
    <t>1xDA.C-8 # 4.1(8500) + 1xDA.C-1 # 3.5(3200)</t>
  </si>
  <si>
    <t>1xDA.C-2 # 2.4(7670) + 1xDA.C-4 # 6.1(4030)</t>
  </si>
  <si>
    <t>1xDA.C-6 # 1.4(7420) + 1xDA.C-9 # 1.5(4280)</t>
  </si>
  <si>
    <t>1xDA.C-6 # 1.4(7420) + 1xDA.C-9 # 1.6(4280)</t>
  </si>
  <si>
    <t>1xDA.C-6 # 1.4(7420) + 1xDA.C-5 # 10(2190) + 1xDA.C-4 # 11(2090)</t>
  </si>
  <si>
    <t>1xDA.C-6 # 2.2(7420) + 1xDA.C-5 # 10(2190) + 1xDA.C-4 # 11(2090)</t>
  </si>
  <si>
    <t>1xDA.C-5 # 4.1(7270) + 1xDA.C-4 # 5(4430)</t>
  </si>
  <si>
    <t>1xDA.C-7 # 4.1(7270) + 1xDA.C-4 # 5(4430)</t>
  </si>
  <si>
    <t>1xA # 5.8(7170) + 1xDA.C-10 # 1.5(3240) + 1xDA.C-7 # 10(1290)</t>
  </si>
  <si>
    <t>1xA # 5.8(7170) + 1xDA.C-10 # 1.8(3240) + 1xDA.C-7 # 10(1290)</t>
  </si>
  <si>
    <t>1xDA.C-7 # 1.2(7150) + 1xDA.C-7 # 1.5(4550)</t>
  </si>
  <si>
    <t>1xDA.C-5 # 1.2(7070) + 1xDA.C-5 # 1.5(4630)</t>
  </si>
  <si>
    <t>1xDA.C-7 # 2.2(7050) + 1xDA.C-7 # 2.5(4650)</t>
  </si>
  <si>
    <t>1xDA.C-9 # 2.24(7050) + 1xDA.C-7 # 2.5(4650)</t>
  </si>
  <si>
    <t>1xDA.C-5 # 2.2(6970) + 1xDA.C-5 # 2.5(4730)</t>
  </si>
  <si>
    <t>1xDA.C-7 # 3.2(6950) + 1xDA.C-7 # 3.5(4750)</t>
  </si>
  <si>
    <t>1xDA.C-10 # 1.1(6880) + 1xDA.C-10 # 3.4(4820)</t>
  </si>
  <si>
    <t>1xDA.C-4 # 4.2(6870) + 1xDA.C-5 # 3.5(4830)</t>
  </si>
  <si>
    <t>1xDA.C-8 # 4.7(6790) + 1xDA.C-3 # 1.3(3620) + 1xDA.C-7 # 10(1290)</t>
  </si>
  <si>
    <t>1xDA.C-10 # 2.1(6780) + 1xDA.C-10 # 3.5(4920)</t>
  </si>
  <si>
    <t>1xDA.C-1 # 4.3(6750) + 1xDA.C-1 # 6(4950)</t>
  </si>
  <si>
    <t>1xDA.C-4 # 4.3(6620) + 1xDA.C-10 # 1.3(5080)</t>
  </si>
  <si>
    <t>1xDA.C-8 # 1.2(6570) + 1xDA.C-7 # 2.3(3840) + 1xDA.C-7 # 10(1290)</t>
  </si>
  <si>
    <t>1xDA.C-8 # 1.2(6570) + 1xDA.C-7 # 3.3(3640) + 1xDA.C-2 # 9(1490)</t>
  </si>
  <si>
    <t>1xDA.C-2 # 2.3(6380) + 1xA # 1.1(5320)</t>
  </si>
  <si>
    <t>1xDA.C-2 # 2.3(6380) + 1xA # 2.1(5320)</t>
  </si>
  <si>
    <t>1xDA.C-3 # 2.5(6310) + 1xDA.C-9 # 2.15(5390)</t>
  </si>
  <si>
    <t>1xDA.C-1 # 4.2(5960) + 1xDA.C-1 # 7(5740)</t>
  </si>
  <si>
    <t>2xDA.C-2 # 2.2(5850)</t>
  </si>
  <si>
    <t>1xDA.C-9 # 3.2(5810) + 1xDA.C-2 # 4(3700) + 1xDA.C-5 # 10(2190)</t>
  </si>
  <si>
    <t>1xDA.C-1 # 7(5740) + 2xDA.C-1 # 1.1(2980)</t>
  </si>
  <si>
    <t>1xDA.C-1 # 7(8720) + 1xDA.C-1 # 1.1+1xDA.C-1 # 3.4(2980)</t>
  </si>
  <si>
    <t>1xDA.C-1 # 7(5740) + 2xDA.C-1 # 3.4(2980)</t>
  </si>
  <si>
    <t>1xDA.C-1 # 7(5740) + 1xDA.C-1 # 3.4(2980) + 2xDA.C-2 # 9(1490)</t>
  </si>
  <si>
    <t>1xDA.C-1 # 7(5740) + 4xDA.C-2 # 9(1490)</t>
  </si>
  <si>
    <t>1xDA.C-9 # 2.1(5490) + 1xDA.C-10 # 3.3(4720) + 1xDA.C-2 # 9(1490)</t>
  </si>
  <si>
    <t>1xDA.C-9 # 2.1(5490) + 1xDA.C-3 # 1.3(3620) + 1xDA.C-1 # 13(2590)</t>
  </si>
  <si>
    <t>1xDA.C-1 # 8(5440) + 1xDA.C-4 # 3.1(3670) + 1xDA.C-1 # 13(2590)</t>
  </si>
  <si>
    <t>1xA # 5.1(5410) + 1xDA.C-2 # 4(3700) + 1xDA.C-1 # 13(2590)</t>
  </si>
  <si>
    <t>1xA # 5.1(5410) + 1xDA.C-10 # 2.5(3200) + 1xDA.C-9 # 9(3090)</t>
  </si>
  <si>
    <t>1xDA.C-10 # 2.3(5020) + 1xDA.C-5 # 3.3(3480) + 1xDA.C-10 # 2.5(3200)</t>
  </si>
  <si>
    <t>1xDA.C-5 # 2.5(4730) + 1xDA.C-5 # 1.3(3880) + 1xDA.C-9 # 9(3090)</t>
  </si>
  <si>
    <t>1xDA.C-4 # 5(4430) + 1xDA.C-9 # 4.1(4290) + 2xDA.C-2 # 9(1490)</t>
  </si>
  <si>
    <t>1xDA.C-9 # 4.1(4290) + 1xDA.C-4 # 6.1(4030) + 1xDA.C-8 # 11(1890) + 1xDA.C-2 # 9(1490)</t>
  </si>
  <si>
    <t>1xDA.C-9 # 4.1(4290) + 1xDA.C-4 # 2.2(3770) + 1xDA.C-7 # 3.3(3640)</t>
  </si>
  <si>
    <t>2xDA.C-4 # 6(4230) + 1xDA.C-10 # 1.8(3240)</t>
  </si>
  <si>
    <t>1xDA.C-4 # 6(4230) + 1xDA.C-2 # 1.2(3900) + 1xDA.C-4 # 12.2(3570)</t>
  </si>
  <si>
    <t>1xDA.C-9 # 2.2(4180) + 1xDA.C-7 # 1.3(4040) + 1xDA.C-5 # 3.3(3480)</t>
  </si>
  <si>
    <t>1xDA.C-9 # 2.7(4180) + 1xDA.C-5 # 1.3(3880) + 1xDA.C-7 # 3.3(3640)</t>
  </si>
  <si>
    <t>1xDA.C-8 # 1.4(4110) + 1xDA.C-7 # 1.3(4040) + 1xDA.C-6 # 1.2(3550)</t>
  </si>
  <si>
    <t>2xDA.C-8 # 2.4(4010) + 1xDA.C-5 # 2.3(3680)</t>
  </si>
  <si>
    <t>3xDA.C-2 # 1.2(3900)</t>
  </si>
  <si>
    <t>2xDA.C-2 # 1.2+1xDA.C-2 # 1.6(5850)</t>
  </si>
  <si>
    <t>3xDA.C-2 # 1.6(3900)</t>
  </si>
  <si>
    <t>2xDA.C-2 # 1.6+1xDA.C-2 # 3(5850)</t>
  </si>
  <si>
    <t>3xDA.C-2 # 3(3900)</t>
  </si>
  <si>
    <t>3xDA.C-8 # 1.7(3900)</t>
  </si>
  <si>
    <t>1xDA.C-8 # 1.7+2xDA.C-8 # 2.7(11700)</t>
  </si>
  <si>
    <t>3xDA.C-8 # 2.7(3900)</t>
  </si>
  <si>
    <t>1xDA.C-8 # 2.7+2xDA.C-8 # 3.4(11700)</t>
  </si>
  <si>
    <t>1xDA.C-5 # 2.3(3680) + 1xDA.C-6 # 1.2(3550) + 3xDA.C-2 # 9(1490)</t>
  </si>
  <si>
    <t>1xDA.C-4 # 3.1(3670) + 1xDA.C-6 # 1.2(3550) + 1xDA.C-1 # 13(2590) + 1xDA.C-8 # 11(1890)</t>
  </si>
  <si>
    <t>1xDA.C-8 # 6.1(8600) + 1xDA.C-9 # 9(3090)</t>
  </si>
  <si>
    <t>1xDA.C-8 # 4.4(6220) + 1xDA.C-9 # 2.16(3980) + 1xDA.C-2 # 9(1490)</t>
  </si>
  <si>
    <t>1xDA.C-8 # 4.4(6220) + 1xDA.C-9 # 2.17(3980) + 1xDA.C-2 # 9(1490)</t>
  </si>
  <si>
    <t>1xA # 5.5(5570) + 1xDA.C-4 # 6(4230) + 1xDA.C-8 # 11(1890)</t>
  </si>
  <si>
    <t>1xA # 2.1(5320) + 1xDA.C-1 # 13(2590) + 2xDA.C-8 # 11(1890)</t>
  </si>
  <si>
    <t>1xDA.C-9 # 2.21(5290) + 2xDA.C-10 # 2.5(3200)</t>
  </si>
  <si>
    <t>1xDA.C-9 # 2.21(5290) + 1xDA.C-10 # 2.5+1xDA.C-10 # 3.2(3200)</t>
  </si>
  <si>
    <t>1xDA.C-9 # 2.21(5290) + 2xDA.C-10 # 3.2(3200)</t>
  </si>
  <si>
    <t>1xA # 7(4700) + 1xDA.C-8 # 3.7(3900) + 1xDA.C-9 # 9(3090)</t>
  </si>
  <si>
    <t>1xDA.C-9 # 3.9(7570) + 1xDA.C-8 # 1.4(4110)</t>
  </si>
  <si>
    <t>1xDA.C-9 # 2.15(5390) + 1xDA.C-10 # 3.2(3200) + 1xDA.C-9 # 9(3090)</t>
  </si>
  <si>
    <t>1xA # 2.1(5320) + 1xDA.C-4 # 2.2(3770) + 1xDA.C-1 # 13(2590)</t>
  </si>
  <si>
    <t>1xDA.C-8 # 1.4(4110) + 1xDA.C-9 # 9(3090) + 1xDA.C-1 # 13(2590) + 1xDA.C-8 # 11(1890)</t>
  </si>
  <si>
    <t>1xDA.C-5 # 5(7900) + 1xDA.C-4 # 2.2(3770)</t>
  </si>
  <si>
    <t>1xDA.C-7 # 5(7900) + 1xDA.C-4 # 2.2(3770)</t>
  </si>
  <si>
    <t>1xDA.C-9 # 2.1(5490) + 2xDA.C-9 # 9(3090)</t>
  </si>
  <si>
    <t>1xA # 7(4700) + 1xDA.C-5 # 1.3(3880) + 1xDA.C-9 # 9(3090)</t>
  </si>
  <si>
    <t>1xA # 7(4700) + 1xDA.C-9 # 2.22(3880) + 1xDA.C-9 # 9(3090)</t>
  </si>
  <si>
    <t>1xA # 7(4700) + 1xDA.C-9 # 2.23(3880) + 1xDA.C-9 # 9(3090)</t>
  </si>
  <si>
    <t>1xDA.C-10 # 3.6(6480) + 2xDA.C-1 # 13(2590)</t>
  </si>
  <si>
    <t>1xA # 7(4700) + 1xDA.C-4 # 1.1(3870) + 1xDA.C-9 # 9(3090)</t>
  </si>
  <si>
    <t>1xDA.C-1 # 4.4(7780) + 1xDA.C-4 # 1.1(3870)</t>
  </si>
  <si>
    <t>1xDA.C-7 # 3.2(6950) + 1xA # 7(4700)</t>
  </si>
  <si>
    <t>1xDA.C-8 # 2.2(6470) + 2xDA.C-1 # 13(2590)</t>
  </si>
  <si>
    <t>1xDA.C-1 # 5(5250) + 2xDA.C-10 # 3.2(3200)</t>
  </si>
  <si>
    <t>1xDA.C-9 # 2.5(7450) + 1xDA.C-9 # 2.7(4180)</t>
  </si>
  <si>
    <t>1xDA.C-8 # 3.1(11600)</t>
  </si>
  <si>
    <t>1xDA.C-7 # 5(7900) + 1xDA.C-4 # 3.1(3670)</t>
  </si>
  <si>
    <t>1xDA.C-9 # 3.1(7900) + 1xDA.C-4 # 3.1(3670)</t>
  </si>
  <si>
    <t>1xDA.C-4 # 4.2(6870) + 1xA # 7(4700)</t>
  </si>
  <si>
    <t>1xDA.C-5 # 3.2(6870) + 1xA # 7(4700)</t>
  </si>
  <si>
    <t>1xDA.C-9 # 2.5(7450) + 1xDA.C-8 # 1.4(4110)</t>
  </si>
  <si>
    <t>1xDA.C-9 # 2.5(7450) + 1xDA.C-9 # 2.11(4080)</t>
  </si>
  <si>
    <t>1xDA.C-9 # 2.5(7450) + 1xDA.C-9 # 2.12(4080)</t>
  </si>
  <si>
    <t>1xDA.C-8 # 4.4(6220) + 1xDA.C-6 # 1.3(5310)</t>
  </si>
  <si>
    <t>1xDA.C-6 # 2.2(7420) + 1xDA.C-9 # 2.12(4080)</t>
  </si>
  <si>
    <t>1xDA.C-1 # 1.5(11480)</t>
  </si>
  <si>
    <t>1xDA.C-1 # 3.1(11480)</t>
  </si>
  <si>
    <t>2xDA.C-9 # 1.7(5650)</t>
  </si>
  <si>
    <t>1xDA.C-9 # 1.7(5650) + 1xDA.C-9 # 2.26(5590)</t>
  </si>
  <si>
    <t>2xDA.C-9 # 2.26(5590)</t>
  </si>
  <si>
    <t>1xDA.C-9 # 2.26(5590) + 1xA # 5.5(5570)</t>
  </si>
  <si>
    <t>2xDA.C-6 # 1.3(5310)</t>
  </si>
  <si>
    <t>1xDA.C-6 # 1.3(5310) + 1xDA.C-1 # 5(5250)</t>
  </si>
  <si>
    <t>2xDA.C-1 # 5(5250)</t>
  </si>
  <si>
    <t>1xDA.C-2 # 1.1(10000)</t>
  </si>
  <si>
    <t>1xDA.C-2 # 1.3(10000)</t>
  </si>
  <si>
    <t>1xDA.C-7 # 4.4(9970)</t>
  </si>
  <si>
    <t>1xDA.C-5 # 4.4(9940)</t>
  </si>
  <si>
    <t>1xDA.C-6 # 2.4(9940)</t>
  </si>
  <si>
    <t>1xDA.C-8 # 4.3(9370)</t>
  </si>
  <si>
    <t>1xDA.C-8 # 5(9200)</t>
  </si>
  <si>
    <t>1xDA.C-6 # 2.3(9180)</t>
  </si>
  <si>
    <t>1xDA.C-3 # 2.8(9010)</t>
  </si>
  <si>
    <t>1xDA.C-5 # 4.3(9000)</t>
  </si>
  <si>
    <t>1xDA.C-7 # 4.3(9000)</t>
  </si>
  <si>
    <t>1xDA.C-8 # 4.5(9000)</t>
  </si>
  <si>
    <t>1xDA.C-8 # 4.6(9000)</t>
  </si>
  <si>
    <t>1xDA.C-8 # 6(8900)</t>
  </si>
  <si>
    <t>1xDA.C-4 # 4.4(8630)</t>
  </si>
  <si>
    <t>1xDA.C-4 # 4.1(8380)</t>
  </si>
  <si>
    <t>1xDA.C-9 # 4.2(8300)</t>
  </si>
  <si>
    <t>1xDA.C-2 # 2.1(8200)</t>
  </si>
  <si>
    <t>1xA # 2.2(8180)</t>
  </si>
  <si>
    <t>1xA # 5.3(8180)</t>
  </si>
  <si>
    <t>1xA # 5.7(8180)</t>
  </si>
  <si>
    <t>1xDA.C-3 # 2.7(8070)</t>
  </si>
  <si>
    <t>1xDA.C-9 # 3.1(7900)</t>
  </si>
  <si>
    <t>1xDA.C-9 # 3.3(7850)</t>
  </si>
  <si>
    <t>1xDA.C-1 # 4.4(7780)</t>
  </si>
  <si>
    <t>1xDA.C-6 # 2.2(7420)</t>
  </si>
  <si>
    <t>1xDA.C-9 # 2.25(7350)</t>
  </si>
  <si>
    <t>1xA # 5.4(7330)</t>
  </si>
  <si>
    <t>1xDA.C-3 # 2.6(7250)</t>
  </si>
  <si>
    <t>1xDA.C-9 # 2.9(7250)</t>
  </si>
  <si>
    <t>1xDA.C-7 # 1.2(7150)</t>
  </si>
  <si>
    <t>1xDA.C-9 # 2.19(7150)</t>
  </si>
  <si>
    <t>1xDA.C-5 # 1.2(7070)</t>
  </si>
  <si>
    <t>1xDA.C-9 # 2.24(7050)</t>
  </si>
  <si>
    <t>1xDA.C-5 # 3.2(6870)</t>
  </si>
  <si>
    <t>1xDA.C-4 # 4.3(6620)</t>
  </si>
  <si>
    <t>1xDA.C-8 # 2.2(6470)</t>
  </si>
  <si>
    <t>1xDA.C-8 # 3.2(6470)</t>
  </si>
  <si>
    <t>1xDA.C-1 # 5(5250)</t>
  </si>
  <si>
    <t>3xA # 9.3(3220) + 2xDA.C-8 # 9.3(970) + 5xDA.C-1 # 11.3(20)</t>
  </si>
  <si>
    <t>1xA # 9.3(3220) + 3xDA.C-1 # 11.6(2820) + 1xDA.C-1 # 11.3(20)</t>
  </si>
  <si>
    <t>1xA # 9.3(3220) + 3xDA.C-1 # 11.6(2820)</t>
  </si>
  <si>
    <t>1xDA.C-9 # 7(11600)</t>
  </si>
  <si>
    <t>3xA # 9.3(3220) + 2xDA.C-8 # 9.3(970)</t>
  </si>
  <si>
    <t>2xDA.C-5 # 8.2(2860) + 6xDA.C-8 # 9.3(970)</t>
  </si>
  <si>
    <t>4xDA.C-5 # 8.2(2860)</t>
  </si>
  <si>
    <t>2xDA.C-5 # 8.2+2xDA.C-7 # 8.2(2860)</t>
  </si>
  <si>
    <t>4xDA.C-7 # 8.2(2860)</t>
  </si>
  <si>
    <t>1xDA.C-4 # 9(10200)</t>
  </si>
  <si>
    <t>1xDA.C-1 # 11.5(6910) + 1xA # 9.3(3220)</t>
  </si>
  <si>
    <t>1xDA.C-1 # 11.5(6910) + 1xDA.C-7 # 8.2(2860)</t>
  </si>
  <si>
    <t>1xDA.C-2 # 7(9450)</t>
  </si>
  <si>
    <t>1xDA.C-1 # 11.1(8900)</t>
  </si>
  <si>
    <t>1xDA.C-1 # 11.5(6910)</t>
  </si>
  <si>
    <t>1xDA.C-6 # 3.2(5370) + 1xDA.C-1 # 10(2670) + 2xDA.C-3 # 3.1(1830)</t>
  </si>
  <si>
    <t>1xDA.C-3 # 3.2(5170) + 1xDA.C-1 # 10(2670) + 1xDA.C-6 # 3.1(2030) + 1xDA.C-3 # 3.1(1830)</t>
  </si>
  <si>
    <t>1xDA.C-1 # 9.2(4030) + 1xDA.C-2 # 5.2(2930) + 1xDA.C-3 # 4(2710) + 1xDA.C-6 # 3.1(2030)</t>
  </si>
  <si>
    <t>1xDA.C-1 # 9.2(4030) + 1xDA.C-2 # 5.2(2930) + 1xDA.C-6 # 4(2710) + 1xDA.C-6 # 3.1(2030)</t>
  </si>
  <si>
    <t>1xDA.C-2 # 5.1(6270) + 2xDA.C-6 # 4(2710)</t>
  </si>
  <si>
    <t>2xDA.C-6 # 4(2710) + 3xDA.C-6 # 3.1(2030)</t>
  </si>
  <si>
    <t>1xDA.C-1 # 9.1(7370) + 1xDA.C-1 # 9.2(4030)</t>
  </si>
  <si>
    <t>4xDA.C-6 # 4(2710)</t>
  </si>
  <si>
    <t>3xDA.C-6 # 4(2710) + 1xDA.C-1 # 10(2670)</t>
  </si>
  <si>
    <t>2xDA.C-6 # 3.2(5370)</t>
  </si>
  <si>
    <t>4xDA.C-1 # 10(2670)</t>
  </si>
  <si>
    <t>1xDA.C-1 # 10+3xDA.C-2 # 6(2670)</t>
  </si>
  <si>
    <t>4xDA.C-2 # 6(2670)</t>
  </si>
  <si>
    <t>2xDA.C-3 # 3.2(5170)</t>
  </si>
  <si>
    <t>1xDA.C-1 # 9.1(7370) + 1xDA.C-2 # 6(2670)</t>
  </si>
  <si>
    <t>1xDA.C-1 # 9.1(7370)</t>
  </si>
  <si>
    <t>1xDA.C-8 # 12.5(9020) + 1xDA.C-7 # 11.1(2680)</t>
  </si>
  <si>
    <t>1xDA.C-1 # 14.3(8560) + 1xDA.C-1 # 14.6(3140)</t>
  </si>
  <si>
    <t>1xA # 7.5(6680) + 1xA # 7.2(5020)</t>
  </si>
  <si>
    <t>1xDA.C-8 # 7.1(6670) + 1xA # 12.1(2860) + 1xDA.C-8 # 10(2170)</t>
  </si>
  <si>
    <t>1xDA.C-7 # 6.1(6070) + 1xA # 7.4(2290) + 1xDA.C-2 # 8(1770) + 1xDA.C-7 # 9(1570)</t>
  </si>
  <si>
    <t>1xDA.C-5 # 6.2(3450) + 1xDA.C-4 # 7.2(3350) + 1xDA.C-6 # 5.1(2530) + 1xDA.C-4 # 10(2370)</t>
  </si>
  <si>
    <t>1xDA.C-5 # 6.2(3450) + 1xDA.C-4 # 7.2(3350) + 1xDA.C-6 # 7.1(2530) + 1xDA.C-4 # 10(2370)</t>
  </si>
  <si>
    <t>1xDA.C-5 # 6.2(3450) + 1xDA.C-8 # 7.2(3150) + 2xDA.C-7 # 6.2(2550)</t>
  </si>
  <si>
    <t>1xDA.C-9 # 8(3370) + 1xDA.C-8 # 12.4(3290) + 1xDA.C-1 # 12(2870) + 1xDA.C-8 # 10(2170)</t>
  </si>
  <si>
    <t>1xDA.C-1 # 12(2870) + 1xDA.C-7 # 6.2(2550) + 4xDA.C-7 # 9(1570)</t>
  </si>
  <si>
    <t>1xDA.C-5 # 6.1(6970) + 1xDA.C-8 # 7.2(3150) + 1xDA.C-7 # 9(1570)</t>
  </si>
  <si>
    <t>1xDA.C-7 # 6.1(6070) + 1xDA.C-8 # 7.2(3150) + 1xDA.C-5 # 9(2470)</t>
  </si>
  <si>
    <t>1xDA.C-1 # 14.5(6050) + 1xDA.C-1 # 12(2870) + 1xDA.C-5 # 11.1(2770)</t>
  </si>
  <si>
    <t>1xDA.C-9 # 8(3370) + 1xDA.C-1 # 12(2870) + 1xDA.C-5 # 11.1(2770) + 1xDA.C-7 # 11.1(2680)</t>
  </si>
  <si>
    <t>1xDA.C-8 # 12.1(11680)</t>
  </si>
  <si>
    <t>1xDA.C-7 # 6.1(6070) + 1xDA.C-5 # 9(2470) + 2xDA.C-7 # 9(1570)</t>
  </si>
  <si>
    <t>3xDA.C-9 # 8(3370) + 1xDA.C-7 # 9(1570)</t>
  </si>
  <si>
    <t>2xDA.C-9 # 8(3370) + 1xDA.C-5 # 11.1(2770) + 1xDA.C-8 # 10(2170)</t>
  </si>
  <si>
    <t>2xDA.C-9 # 8(3370) + 2xDA.C-5 # 9(2470)</t>
  </si>
  <si>
    <t>1xDA.C-9 # 5.2(4350) + 1xDA.C-9 # 8(3370) + 1xDA.C-8 # 10(2170) + 1xDA.C-2 # 8(1770)</t>
  </si>
  <si>
    <t>1xDA.C-9 # 5.2(4350) + 1xDA.C-1 # 12(2870) + 1xDA.C-4 # 8(2670) + 1xDA.C-2 # 8(1770)</t>
  </si>
  <si>
    <t>2xDA.C-1 # 12(2870) + 1xDA.C-4 # 10(2370) + 2xDA.C-2 # 8(1770)</t>
  </si>
  <si>
    <t>1xDA.C-4 # 8(2670) + 1xDA.C-5 # 9(2470) + 3xDA.C-8 # 10(2170)</t>
  </si>
  <si>
    <t>4xDA.C-4 # 10(2370) + 1xDA.C-8 # 10(2170)</t>
  </si>
  <si>
    <t>1xDA.C-2 # 10(9450) + 1xDA.C-8 # 10(2170)</t>
  </si>
  <si>
    <t>1xDA.C-5 # 11.2(11610)</t>
  </si>
  <si>
    <t>1xDA.C-4 # 7.1(6870) + 2xDA.C-4 # 10(2370)</t>
  </si>
  <si>
    <t>1xDA.C-9 # 12(11600)</t>
  </si>
  <si>
    <t>1xDA.C-4 # 7.2(3350) + 1xDA.C-1 # 12(2870) + 2xDA.C-4 # 8(2670)</t>
  </si>
  <si>
    <t>1xDA.C-1 # 12(2870) + 4xDA.C-8 # 10(2170)</t>
  </si>
  <si>
    <t>1xDA.C-8 # 7.1(6670) + 1xDA.C-4 # 8(2670) + 1xDA.C-8 # 10(2170)</t>
  </si>
  <si>
    <t>4xDA.C-1 # 12(2870)</t>
  </si>
  <si>
    <t>1xDA.C-1 # 12(2870) + 3xDA.C-4 # 8(2670)</t>
  </si>
  <si>
    <t>4xDA.C-4 # 8(2670)</t>
  </si>
  <si>
    <t>4xDA.C-5 # 7(2670)</t>
  </si>
  <si>
    <t>1xDA.C-5 # 7+3xDA.C-7 # 7(2670)</t>
  </si>
  <si>
    <t>4xDA.C-7 # 7(2670)</t>
  </si>
  <si>
    <t>4xDA.C-8 # 8(2670)</t>
  </si>
  <si>
    <t>1xDA.C-8 # 8+3xDA.C-9 # 6(2670)</t>
  </si>
  <si>
    <t>4xDA.C-9 # 6(2670)</t>
  </si>
  <si>
    <t>1xDA.C-9 # 5.1(7870) + 1xDA.C-9 # 6(2670)</t>
  </si>
  <si>
    <t>1xDA.C-4 # 12(10200)</t>
  </si>
  <si>
    <t>1xDA.C-3 # 5(9700)</t>
  </si>
  <si>
    <t>1xDA.C-3 # 7(9700)</t>
  </si>
  <si>
    <t>1xDA.C-9 # 5.1(7870)</t>
  </si>
  <si>
    <t>1xDA.C-4 # 7.1(6870)</t>
  </si>
  <si>
    <t>1xDA.C-8 # 7.1(6670)</t>
  </si>
  <si>
    <t>14xDA.C-6 # 6(790) + 1xDA.C-3 # 6(590)</t>
  </si>
  <si>
    <t>11xDA.C-6 # 6(790) + 5xDA.C-3 # 6(590)</t>
  </si>
  <si>
    <t>1xDA.C-6 # 6(790) + 18xDA.C-3 # 6(590)</t>
  </si>
  <si>
    <t>19xDA.C-3 # 6(590)</t>
  </si>
  <si>
    <t>4xDA.C-3 # 6(590)</t>
  </si>
  <si>
    <t>Thép dư 9340</t>
  </si>
  <si>
    <t>Thép dư 5030</t>
  </si>
  <si>
    <t>Thép dư 5080</t>
  </si>
  <si>
    <t>Thép dư 6450</t>
  </si>
  <si>
    <t>1xDA.C-15 # 10(1090) + 3xDA.C-15 # 1.1(50)</t>
  </si>
  <si>
    <t>1xDA.C-15 # 10(1090)</t>
  </si>
  <si>
    <t>1xDA.C-17 # 11(1890)</t>
  </si>
  <si>
    <t>1xDA.C-14 # 11(2590)</t>
  </si>
  <si>
    <t>1xDA.C-12 # 5(2970)</t>
  </si>
  <si>
    <t>1xDA.C-17 # 12.1(3280)</t>
  </si>
  <si>
    <t>1xDA.C-17 # 3.2(3380)</t>
  </si>
  <si>
    <t>1xDA.C-12a # 13(3240)</t>
  </si>
  <si>
    <t>1xDA.C-17 # 2.1(3480)</t>
  </si>
  <si>
    <t>1xDA.C-10 # 11(3090)</t>
  </si>
  <si>
    <t>1xDA.C-17 # 1.1(3580)</t>
  </si>
  <si>
    <t>1xDA.C-12 # 2.3(3690)</t>
  </si>
  <si>
    <t>1xDA.C-12 # 13(3840)</t>
  </si>
  <si>
    <t>1xDA.C-16 # 2.4(3900)</t>
  </si>
  <si>
    <t>1xDA.C-12 # 1.3(4250)</t>
  </si>
  <si>
    <t>1xDA.C-17 # 6(4315)</t>
  </si>
  <si>
    <t>1xDA.C-17 # 3.4(4080)</t>
  </si>
  <si>
    <t>1xDA.C-12a # 6(4450)</t>
  </si>
  <si>
    <t>1xDA.C-11 # 8(4425)</t>
  </si>
  <si>
    <t>1xDA.C-13 # 11(4500)</t>
  </si>
  <si>
    <t>1xDA.C-12 # 4.4(4590)</t>
  </si>
  <si>
    <t>1xDA.C-13 # 10(4800)</t>
  </si>
  <si>
    <t>1xDA.C-12a # 7(5200)</t>
  </si>
  <si>
    <t>1xDA.C-12 # 2.2(6360)</t>
  </si>
  <si>
    <t>1xDA.C-12a # 3.2(8730) + 1xDA.C-12 # 5(2970)</t>
  </si>
  <si>
    <t>1xDA.C-11 # 4.2(7800) + 1xDA.C-16 # 2.4(3900)</t>
  </si>
  <si>
    <t>1xDA.C-11 # 4.2(7800) + 1xDA.C-17 # 1.2(3900)</t>
  </si>
  <si>
    <t>1xDA.C-11 # 4.2(7800) + 1xDA.C-17 # 2.2(3900)</t>
  </si>
  <si>
    <t>1xDA.C-12a # 5.3(7800) + 1xDA.C-17 # 2.2(3900)</t>
  </si>
  <si>
    <t>1xDA.C-13 # 2.3(7200) + 1xDA.C-13 # 11(4500)</t>
  </si>
  <si>
    <t>1xDA.C-12 # 2.2(6360) + 1xDA.C-12 # 3.2(5340)</t>
  </si>
  <si>
    <t>1xDA.C-12 # 4.1(6350) + 1xDA.C-17 # 4.4(5350)</t>
  </si>
  <si>
    <t>2xDA.C-12 # 1.7(5850)</t>
  </si>
  <si>
    <t>2xDA.C-16 # 1.4(5850)</t>
  </si>
  <si>
    <t>1xDA.C-12 # 8(7100) + 1xDA.C-12 # 4.4(4590)</t>
  </si>
  <si>
    <t>1xDA.C-12a # 8(4070) + 1xDA.C-17 # 12.2(3980) + 1xDA.C-12 # 3.4(3640)</t>
  </si>
  <si>
    <t>2xDA.C-19 # 1.1(4000) + 1xDA.C-12 # 2.3(3690)</t>
  </si>
  <si>
    <t>2xDA.C-19 # 1.2(4000) + 1xDA.C-12 # 2.3(3690)</t>
  </si>
  <si>
    <t>1xDA.C-11 # 4.4(8590) + 1xDA.C-10 # 11(3090)</t>
  </si>
  <si>
    <t>1xDA.C-15 # 2.2(8040) + 1xDA.C-12 # 3.4(3640)</t>
  </si>
  <si>
    <t>1xDA.C-15 # 4.7(5500) + 2xDA.C-10 # 11(3090)</t>
  </si>
  <si>
    <t>1xDA.C-19 # 1.2(4000) + 2xDA.C-12 # 13(3840)</t>
  </si>
  <si>
    <t>1xDA.C-11 # 9(6470) + 1xDA.C-12a # 7(5200)</t>
  </si>
  <si>
    <t>1xDA.C-16 # 1.4(5850) + 1xDA.C-11 # 1.1(5810)</t>
  </si>
  <si>
    <t>1xDA.C-10 # 5(7580) + 1xDA.C-12a # 8(4070)</t>
  </si>
  <si>
    <t>1xDA.C-13 # 1.6(5460) + 2xDA.C-10 # 11(3090)</t>
  </si>
  <si>
    <t>1xDA.C-13 # 1.6(5460) + 1xDA.C-10 # 11+1xDA.C-11 # 15(3090)</t>
  </si>
  <si>
    <t>1xDA.C-13 # 1.6(5460) + 2xDA.C-11 # 15(3090)</t>
  </si>
  <si>
    <t>2xDA.C-19 # 1.2(4000) + 1xDA.C-12 # 3.4(3640)</t>
  </si>
  <si>
    <t>1xDA.C-13 # 7.7(5450) + 2xDA.C-11 # 15(3090)</t>
  </si>
  <si>
    <t>1xDA.C-13 # 7.7(5450) + 1xDA.C-11 # 15+1xDA.C-13 # 16(3090)</t>
  </si>
  <si>
    <t>1xDA.C-13 # 7.7(5450) + 2xDA.C-13 # 16(3090)</t>
  </si>
  <si>
    <t>2xDA.C-11 # 1.1(5810)</t>
  </si>
  <si>
    <t>2xDA.C-11 # 1.6(5810)</t>
  </si>
  <si>
    <t>1xDA.C-12a # 5.2(11610)</t>
  </si>
  <si>
    <t>1xDA.C-10 # 4.2(6810) + 1xDA.C-13 # 10(4800)</t>
  </si>
  <si>
    <t>1xDA.C-12 # 4.1(6350) + 1xDA.C-12 # 6(5250)</t>
  </si>
  <si>
    <t>1xDA.C-17 # 5(6350) + 1xDA.C-12 # 6(5250)</t>
  </si>
  <si>
    <t>1xDA.C-17 # 5(6350) + 1xDA.C-15 # 5(5250)</t>
  </si>
  <si>
    <t>1xDA.C-12 # 4.2(7940) + 1xDA.C-12 # 3.4(3640)</t>
  </si>
  <si>
    <t>1xDA.C-10 # 5(7580) + 1xDA.C-19 # 1.2(4000)</t>
  </si>
  <si>
    <t>1xDA.C-13 # 1.9(6310) + 1xDA.C-15 # 5(5250)</t>
  </si>
  <si>
    <t>1xDA.C-10 # 4.11(8430) + 1xDA.C-13 # 16(3090)</t>
  </si>
  <si>
    <t>1xDA.C-10 # 3.8(6680) + 1xDA.C-13 # 10(4800)</t>
  </si>
  <si>
    <t>1xDA.C-10 # 4.12(6670) + 1xDA.C-13 # 10(4800)</t>
  </si>
  <si>
    <t>2xDA.C-11 # 2.1(5710)</t>
  </si>
  <si>
    <t>2xDA.C-11 # 2.6(5710)</t>
  </si>
  <si>
    <t>1xDA.C-15 # 4.5(8310) + 1xDA.C-13 # 16(3090)</t>
  </si>
  <si>
    <t>1xDA.C-10 # 4.12(6670) + 1xDA.C-11 # 7(4725)</t>
  </si>
  <si>
    <t>1xDA.C-17 # 1.3(11380)</t>
  </si>
  <si>
    <t>1xDA.C-12a # 2(11350)</t>
  </si>
  <si>
    <t>1xDA.C-11 # 2.6(5710) + 1xDA.C-16 # 1.5(5630)</t>
  </si>
  <si>
    <t>1xDA.C-10 # 3.7(6580) + 1xDA.C-11 # 7(4725)</t>
  </si>
  <si>
    <t>1xDA.C-17 # 2.3(11280)</t>
  </si>
  <si>
    <t>1xDA.C-14 # 1.2(8190) + 1xDA.C-13 # 16(3090)</t>
  </si>
  <si>
    <t>1xDA.C-15 # 4.1(6550) + 1xDA.C-11 # 7(4725)</t>
  </si>
  <si>
    <t>1xDA.C-15 # 4.3(8180) + 1xDA.C-13 # 16(3090)</t>
  </si>
  <si>
    <t>1xDA.C-13 # 7.5(8170) + 1xDA.C-13 # 16(3090)</t>
  </si>
  <si>
    <t>2xDA.C-16 # 1.5(5630)</t>
  </si>
  <si>
    <t>2xDA.C-11 # 3.1(5610)</t>
  </si>
  <si>
    <t>1xDA.C-11 # 3.1+1xDA.C-11 # 3.6(5610)</t>
  </si>
  <si>
    <t>2xDA.C-11 # 3.6(5610)</t>
  </si>
  <si>
    <t>1xDA.C-17 # 4.2(8120) + 1xDA.C-13 # 16(3090)</t>
  </si>
  <si>
    <t>1xDA.C-11 # 9(6470) + 1xDA.C-11 # 7(4725)</t>
  </si>
  <si>
    <t>1xDA.C-15 # 1.2(8090) + 1xDA.C-13 # 16(3090)</t>
  </si>
  <si>
    <t>1xDA.C-11 # 9(6470) + 1xDA.C-13 # 9(4700)</t>
  </si>
  <si>
    <t>1xDA.C-13 # 1.4(11140)</t>
  </si>
  <si>
    <t>1xDA.C-11 # 3.6(5610) + 1xDA.C-12a # 5.8(5530)</t>
  </si>
  <si>
    <t>2xDA.C-12a # 5.8(5530)</t>
  </si>
  <si>
    <t>1xDA.C-12 # 4.2(7940) + 1xDA.C-13 # 16(3090)</t>
  </si>
  <si>
    <t>1xDA.C-13 # 7.11(7940) + 1xDA.C-13 # 16(3090)</t>
  </si>
  <si>
    <t>1xDA.C-13 # 1.9(6310) + 1xDA.C-13 # 9(4700)</t>
  </si>
  <si>
    <t>1xDA.C-12 # 1.5(11000)</t>
  </si>
  <si>
    <t>1xDA.C-12 # 4.3(11000)</t>
  </si>
  <si>
    <t>1xDA.C-12 # 4.8(11000)</t>
  </si>
  <si>
    <t>1xDA.C-12a # 1.2(11000)</t>
  </si>
  <si>
    <t>1xDA.C-13 # 1.1(11000)</t>
  </si>
  <si>
    <t>1xDA.C-13 # 2.6(11000)</t>
  </si>
  <si>
    <t>1xDA.C-13 # 7.12(11000)</t>
  </si>
  <si>
    <t>1xDA.C-17 # 3.5(11000)</t>
  </si>
  <si>
    <t>1xDA.C-17 # 12.3(11000)</t>
  </si>
  <si>
    <t>1xDA.C-12a # 5.6(7900) + 1xDA.C-13 # 16(3090)</t>
  </si>
  <si>
    <t>1xDA.C-11 # 4.1(10970)</t>
  </si>
  <si>
    <t>1xDA.C-13 # 2.2(10970)</t>
  </si>
  <si>
    <t>1xDA.C-13 # 3(10960)</t>
  </si>
  <si>
    <t>1xDA.C-13 # 3.1(10960)</t>
  </si>
  <si>
    <t>1xDA.C-15 # 4.2(10840)</t>
  </si>
  <si>
    <t>1xDA.C-14 # 2(10800)</t>
  </si>
  <si>
    <t>1xDA.C-12 # 4.7(10760)</t>
  </si>
  <si>
    <t>1xDA.C-13 # 6.4(10740)</t>
  </si>
  <si>
    <t>1xDA.C-14 # 4(10720)</t>
  </si>
  <si>
    <t>1xDA.C-13 # 6.3(10690)</t>
  </si>
  <si>
    <t>1xDA.C-13 # 6.2(10640)</t>
  </si>
  <si>
    <t>1xDA.C-13 # 6.1(10590)</t>
  </si>
  <si>
    <t>1xDA.C-13 # 5(10560)</t>
  </si>
  <si>
    <t>1xDA.C-11 # 4.3(10520)</t>
  </si>
  <si>
    <t>1xDA.C-13 # 1.7(10510)</t>
  </si>
  <si>
    <t>1xDA.C-13 # 7.4(10450)</t>
  </si>
  <si>
    <t>1xDA.C-13 # 7.9(10450)</t>
  </si>
  <si>
    <t>1xDA.C-15 # 3(10200)</t>
  </si>
  <si>
    <t>1xDA.C-12a # 4(10190)</t>
  </si>
  <si>
    <t>1xDA.C-13 # 4(10160)</t>
  </si>
  <si>
    <t>1xDA.C-12 # 3.1(10000)</t>
  </si>
  <si>
    <t>1xDA.C-13 # 7.3(10000)</t>
  </si>
  <si>
    <t>1xDA.C-13 # 7.1(10000)</t>
  </si>
  <si>
    <t>1xDA.C-16 # 1.2(10000)</t>
  </si>
  <si>
    <t>1xDA.C-16 # 2.2(10000)</t>
  </si>
  <si>
    <t>1xDA.C-17 # 4.3(10000)</t>
  </si>
  <si>
    <t>1xDA.C-14 # 1.6(9950)</t>
  </si>
  <si>
    <t>1xDA.C-10 # 4.9(9940)</t>
  </si>
  <si>
    <t>1xDA.C-14 # 1.4(9940)</t>
  </si>
  <si>
    <t>1xDA.C-15 # 1.4(9940)</t>
  </si>
  <si>
    <t>1xDA.C-15 # 2.4(9940)</t>
  </si>
  <si>
    <t>1xDA.C-15 # 1.6(9900)</t>
  </si>
  <si>
    <t>1xDA.C-13 # 2.5(9870)</t>
  </si>
  <si>
    <t>1xDA.C-15 # 2.6(9800)</t>
  </si>
  <si>
    <t>1xDA.C-14 # 3.1(9310)</t>
  </si>
  <si>
    <t>1xDA.C-14 # 3.3(9310)</t>
  </si>
  <si>
    <t>1xDA.C-10 # 4.5(9000)</t>
  </si>
  <si>
    <t>1xDA.C-11 # 4.5(9000)</t>
  </si>
  <si>
    <t>1xDA.C-12 # 1.1(9000)</t>
  </si>
  <si>
    <t>1xDA.C-12 # 2.1(9000)</t>
  </si>
  <si>
    <t>1xDA.C-12 # 4.6(9000)</t>
  </si>
  <si>
    <t>1xDA.C-12a # 1.7(9000)</t>
  </si>
  <si>
    <t>1xDA.C-13 # 1.1(9000)</t>
  </si>
  <si>
    <t>1xDA.C-13 # 2.8(9000)</t>
  </si>
  <si>
    <t>1xDA.C-13 # 7.1(9000)</t>
  </si>
  <si>
    <t>1xDA.C-10 # 4.1(8810)</t>
  </si>
  <si>
    <t>1xDA.C-12a # 3.4(8730)</t>
  </si>
  <si>
    <t>1xDA.C-12a # 5.6(7900)</t>
  </si>
  <si>
    <t>1xDA.C-12a # 5.3(7800)</t>
  </si>
  <si>
    <t>1xDA.C-10 # 5(7580)</t>
  </si>
  <si>
    <t>1xDA.C-16 # 2.1(7580)</t>
  </si>
  <si>
    <t>1xDA.C-12a # 5.4(7480)</t>
  </si>
  <si>
    <t>1xDA.C-12 # 1.6(7450)</t>
  </si>
  <si>
    <t>1xDA.C-10 # 6(7380)</t>
  </si>
  <si>
    <t>1xDA.C-15 # 4.6(7320)</t>
  </si>
  <si>
    <t>1xDA.C-13 # 8(7315)</t>
  </si>
  <si>
    <t>1xDA.C-12 # 7(7300)</t>
  </si>
  <si>
    <t>1xDA.C-11 # 5(7265)</t>
  </si>
  <si>
    <t>1xDA.C-15 # 4.4(7260)</t>
  </si>
  <si>
    <t>1xDA.C-17 # 4.1(7250)</t>
  </si>
  <si>
    <t>1xDA.C-13 # 7.6(7220)</t>
  </si>
  <si>
    <t>1xDA.C-13 # 2.3(7200)</t>
  </si>
  <si>
    <t>1xDA.C-12a # 1.5(7120)</t>
  </si>
  <si>
    <t>1xDA.C-12 # 8(7100)</t>
  </si>
  <si>
    <t>1xDA.C-12a # 1.3(7095)</t>
  </si>
  <si>
    <t>1xDA.C-11 # 6(7065)</t>
  </si>
  <si>
    <t>1xDA.C-13 # 1.9(6310)</t>
  </si>
  <si>
    <t>1xDA.C-11 # 10(6270)</t>
  </si>
  <si>
    <t>1xDA.C-12a # 5.8(5530)</t>
  </si>
  <si>
    <t>1xDA.C-11 # 13.3(1020)</t>
  </si>
  <si>
    <t>1xDA.C-13 # 14.5(1940)</t>
  </si>
  <si>
    <t>1xDA.C-15 # 8.1(3320)</t>
  </si>
  <si>
    <t>1xDA.C-12 # 11.6(8710) + 1xDA.C-12 # 11.5(2990)</t>
  </si>
  <si>
    <t>1xDA.C-12 # 11.4(6530) + 1xDA.C-12 # 11.7(5170)</t>
  </si>
  <si>
    <t>1xDA.C-12a # 11.5(4870) + 2xDA.C-15 # 8.1(3320)</t>
  </si>
  <si>
    <t>4xDA.C-12a # 11.3(2820)</t>
  </si>
  <si>
    <t>1xDA.C-17 # 9(10700)</t>
  </si>
  <si>
    <t>3xDA.C-15 # 8.1(3320)</t>
  </si>
  <si>
    <t>1xDA.C-12a # 11.4(9230)</t>
  </si>
  <si>
    <t>2xDA.C-12a # 11.3(2820)</t>
  </si>
  <si>
    <t>2xDA.C-16 # 3.1(2030)</t>
  </si>
  <si>
    <t>1xDA.C-17 # 7.2(3330)</t>
  </si>
  <si>
    <t>1xDA.C-17 # 7.2(3330) + 3xDA.C-16 # 4(2710)</t>
  </si>
  <si>
    <t>4xDA.C-16 # 4(2710)</t>
  </si>
  <si>
    <t>3xDA.C-16 # 4+1xDA.C-17 # 8(2710)</t>
  </si>
  <si>
    <t>4xDA.C-17 # 8(2710)</t>
  </si>
  <si>
    <t>2xDA.C-16 # 3.2(5370)</t>
  </si>
  <si>
    <t>1xDA.C-17 # 7.1(6670)</t>
  </si>
  <si>
    <t>1xDA.C-15 # 9(1370)</t>
  </si>
  <si>
    <t>1xDA.C-10 # 12.2(1880)</t>
  </si>
  <si>
    <t>1xDA.C-15 # 9(1370) + 2xDA.C-13 # 17.5(1220)</t>
  </si>
  <si>
    <t>2xDA.C-10 # 12.2(1880)</t>
  </si>
  <si>
    <t>1xDA.C-15 # 6.1(2350) + 1xDA.C-15 # 9(1370)</t>
  </si>
  <si>
    <t>1xDA.C-10 # 12.3(2060) + 2xDA.C-15 # 9(1370)</t>
  </si>
  <si>
    <t>1xDA.C-10 # 10(3370) + 1xDA.C-15 # 9(1370)</t>
  </si>
  <si>
    <t>1xDA.C-16 # 5.5(2290) + 2xDA.C-15 # 9(1370)</t>
  </si>
  <si>
    <t>1xDA.C-16 # 5.4(5020)</t>
  </si>
  <si>
    <t>1xDA.C-10 # 8(2670) + 1xDA.C-15 # 6.1(2350)</t>
  </si>
  <si>
    <t>1xDA.C-12 # 14.6(8530) + 1xDA.C-12 # 14.8(3170)</t>
  </si>
  <si>
    <t>1xDA.C-14 # 7.1(7370) + 1xDA.C-15 # 6.4(2960) + 1xDA.C-15 # 9(1370)</t>
  </si>
  <si>
    <t>1xDA.C-16 # 5.2(6680) + 1xDA.C-10 # 8(2670) + 1xDA.C-15 # 6.1(2350)</t>
  </si>
  <si>
    <t>1xDA.C-12 # 14.4(5990) + 2xDA.C-17 # 10(2170) + 1xDA.C-15 # 9(1370)</t>
  </si>
  <si>
    <t>2xDA.C-12 # 14.7(5850)</t>
  </si>
  <si>
    <t>1xDA.C-12 # 12(4120) + 1xDA.C-12a # 14.3(3470) + 3xDA.C-15 # 9(1370)</t>
  </si>
  <si>
    <t>1xDA.C-12 # 12(4120) + 1xDA.C-10 # 8(2670) + 1xDA.C-17 # 10(2170) + 2xDA.C-15 # 9(1370)</t>
  </si>
  <si>
    <t>1xDA.C-12 # 9.2(5100) + 1xDA.C-14 # 10(2870) + 1xDA.C-15 # 6.1(2350) + 1xDA.C-15 # 9(1370)</t>
  </si>
  <si>
    <t>1xDA.C-12a # 9.2(4500) + 1xDA.C-10 # 8(2670) + 1xDA.C-15 # 6.1(2350) + 1xDA.C-17 # 10(2170)</t>
  </si>
  <si>
    <t>2xDA.C-12a # 9.2(4500) + 1xDA.C-10 # 8(2670)</t>
  </si>
  <si>
    <t>1xDA.C-12 # 12(4120) + 2xDA.C-10 # 8(2670) + 1xDA.C-17 # 10(2170)</t>
  </si>
  <si>
    <t>1xDA.C-12 # 9.2(5100) + 1xDA.C-14 # 7.2(3850) + 1xDA.C-10 # 8(2670)</t>
  </si>
  <si>
    <t>1xDA.C-15 # 6.3(5870) + 2xDA.C-14 # 10(2870)</t>
  </si>
  <si>
    <t>2xDA.C-12 # 12(4120) + 1xDA.C-10 # 10(3370)</t>
  </si>
  <si>
    <t>1xDA.C-12 # 14.7(5850) + 2xDA.C-14 # 10(2870)</t>
  </si>
  <si>
    <t>1xDA.C-10 # 10(3370) + 1xDA.C-14 # 10(2870) + 2xDA.C-10 # 8(2670)</t>
  </si>
  <si>
    <t>1xDA.C-11 # 14(3370) + 1xDA.C-14 # 10(2870) + 2xDA.C-10 # 8(2670)</t>
  </si>
  <si>
    <t>1xDA.C-11 # 14(3370) + 1xDA.C-14 # 10(2870) + 2xDA.C-11 # 12(2670)</t>
  </si>
  <si>
    <t>1xDA.C-10 # 7.2(4350) + 1xDA.C-14 # 7.2(3850) + 1xDA.C-11 # 14(3370)</t>
  </si>
  <si>
    <t>1xDA.C-12a # 9.1(8020) + 1xDA.C-12a # 12(3520)</t>
  </si>
  <si>
    <t>1xDA.C-12a # 12(3520) + 3xDA.C-11 # 12(2670)</t>
  </si>
  <si>
    <t>1xDA.C-12a # 12(3520) + 3xDA.C-12 # 10(2670)</t>
  </si>
  <si>
    <t>1xDA.C-12a # 12(3520) + 3xDA.C-12a # 10(2670)</t>
  </si>
  <si>
    <t>1xDA.C-11 # 14(3370) + 3xDA.C-12a # 10(2670)</t>
  </si>
  <si>
    <t>1xDA.C-13 # 15(3370) + 3xDA.C-12a # 10(2670)</t>
  </si>
  <si>
    <t>1xDA.C-13 # 15(3370) + 3xDA.C-13 # 13(2670)</t>
  </si>
  <si>
    <t>2xDA.C-10 # 7.2(4350) + 1xDA.C-13 # 13(2670)</t>
  </si>
  <si>
    <t>1xDA.C-10 # 7.2+1xDA.C-11 # 11.2(4350) + 1xDA.C-13 # 13(2670)</t>
  </si>
  <si>
    <t>2xDA.C-11 # 11.2(4350) + 1xDA.C-13 # 13(2670)</t>
  </si>
  <si>
    <t>1xDA.C-11 # 11.2+1xDA.C-13 # 12.2(4350) + 1xDA.C-13 # 13(2670)</t>
  </si>
  <si>
    <t>2xDA.C-13 # 12.2(4350) + 1xDA.C-13 # 13(2670)</t>
  </si>
  <si>
    <t>1xDA.C-12a # 14.4(8690) + 1xDA.C-13 # 13(2670)</t>
  </si>
  <si>
    <t>1xDA.C-12 # 9.1(8620) + 1xDA.C-13 # 13(2670)</t>
  </si>
  <si>
    <t>1xDA.C-17 # 13(10700)</t>
  </si>
  <si>
    <t>4xDA.C-13 # 13(2670)</t>
  </si>
  <si>
    <t>1xDA.C-13 # 13+3xDA.C-14 # 8(2670)</t>
  </si>
  <si>
    <t>4xDA.C-14 # 8(2670)</t>
  </si>
  <si>
    <t>1xDA.C-14 # 8+3xDA.C-15 # 7(2670)</t>
  </si>
  <si>
    <t>4xDA.C-15 # 7(2670)</t>
  </si>
  <si>
    <t>1xDA.C-10 # 7.1(7870) + 1xDA.C-15 # 7(2670)</t>
  </si>
  <si>
    <t>1xDA.C-10 # 7.1(7870)</t>
  </si>
  <si>
    <t>1xDA.C-11 # 11.1(7870)</t>
  </si>
  <si>
    <t>1xDA.C-13 # 12.1(7870)</t>
  </si>
  <si>
    <t>1xDA.C-14 # 7.1(7370)</t>
  </si>
  <si>
    <t>11xDA.C-16 # 6(790)</t>
  </si>
  <si>
    <t>14xDA.C-16 # 6(790)</t>
  </si>
  <si>
    <t>1xDA.C-16 # 6(790)</t>
  </si>
  <si>
    <t>Thép dư 10910</t>
  </si>
  <si>
    <t>Thép dư 6060</t>
  </si>
  <si>
    <t>Thép dư 5430</t>
  </si>
  <si>
    <t>Thép dư 6170</t>
  </si>
  <si>
    <t>1xDA.C-25 # 12(1390)</t>
  </si>
  <si>
    <t>1xDA.C-28 # 8(1390)</t>
  </si>
  <si>
    <t>1xDA.C-29 # 10(1390)</t>
  </si>
  <si>
    <t>1xDA.C-20 # 9(1090)</t>
  </si>
  <si>
    <t>1xDA.C-21 # 13(1090)</t>
  </si>
  <si>
    <t>1xDA.C-22 # 11(1090)</t>
  </si>
  <si>
    <t>2xDA.C-22 # 11(1090)</t>
  </si>
  <si>
    <t>1xDA.C-22 # 11+1xDA.C-30 # 12(1090)</t>
  </si>
  <si>
    <t>2xDA.C-30 # 12(1090)</t>
  </si>
  <si>
    <t>1xDA.C-25 # 7.2(2640)</t>
  </si>
  <si>
    <t>1xDA.C-27 # 11(2590)</t>
  </si>
  <si>
    <t>1xDA.C-28 # 2.5(2500)</t>
  </si>
  <si>
    <t>1xDA.C-28 # 2.2(2450)</t>
  </si>
  <si>
    <t>1xDA.C-21 # 6(2835)</t>
  </si>
  <si>
    <t>1xDA.C-25 # 7.1(2895)</t>
  </si>
  <si>
    <t>1xDA.C-19 # 2.1(3800)</t>
  </si>
  <si>
    <t>1xDA.C-19 # 2.2(3800)</t>
  </si>
  <si>
    <t>1xDA.C-20 # 2.11(3780)</t>
  </si>
  <si>
    <t>1xDA.C-19 # 2.3(3900)</t>
  </si>
  <si>
    <t>1xDA.C-21 # 8(4010)</t>
  </si>
  <si>
    <t>1xDA.C-20 # 1.7(3980)</t>
  </si>
  <si>
    <t>1xDA.C-28 # 1.1(3970)</t>
  </si>
  <si>
    <t>1xDA.C-22 # 6(4230)</t>
  </si>
  <si>
    <t>1xDA.C-19 # 2.4(3900)</t>
  </si>
  <si>
    <t>1xDA.C-20 # 2.8(3900)</t>
  </si>
  <si>
    <t>1xDA.C-20 # 2.2(3880)</t>
  </si>
  <si>
    <t>1xDA.C-26 # 3.2(4400)</t>
  </si>
  <si>
    <t>1xDA.C-26 # 3.1(4390)</t>
  </si>
  <si>
    <t>1xDA.C-24 # 10(3590)</t>
  </si>
  <si>
    <t>1xDA.C-26 # 8(3540)</t>
  </si>
  <si>
    <t>1xDA.C-25 # 4(3510)</t>
  </si>
  <si>
    <t>1xDA.C-30 # 4(3495)</t>
  </si>
  <si>
    <t>1xDA.C-26 # 1.2(3420)</t>
  </si>
  <si>
    <t>1xDA.C-26 # 1.4(3420)</t>
  </si>
  <si>
    <t>1xDA.C-21 # 4.7(4490)</t>
  </si>
  <si>
    <t>1xDA.C-25 # 5.1(3325)</t>
  </si>
  <si>
    <t>1xDA.C-22 # 3.6(4560)</t>
  </si>
  <si>
    <t>1xDA.C-24 # 3.1(4550)</t>
  </si>
  <si>
    <t>1xDA.C-24 # 4(3310)</t>
  </si>
  <si>
    <t>1xDA.C-25 # 3.4(4610)</t>
  </si>
  <si>
    <t>1xDA.C-27 # 2.4(5380)</t>
  </si>
  <si>
    <t>1xDA.C-27 # 2.5(5380)</t>
  </si>
  <si>
    <t>1xDA.C-22 # 4(3100) + 1xDA.C-25 # 6(3070)</t>
  </si>
  <si>
    <t>1xDA.C-19 # 3.2(8630) + 1xDA.C-25 # 6(3070)</t>
  </si>
  <si>
    <t>1xDA.C-20 # 3.8(8390) + 1xDA.C-24 # 4(3310)</t>
  </si>
  <si>
    <t>1xDA.C-27 # 6.2(6700) + 1xDA.C-28 # 2.7(5000)</t>
  </si>
  <si>
    <t>1xDA.C-28 # 1.3(6700) + 1xDA.C-28 # 2.7(5000)</t>
  </si>
  <si>
    <t>1xDA.C-22 # 3.1(6320) + 1xDA.C-27 # 2.5(5380)</t>
  </si>
  <si>
    <t>1xDA.C-21 # 4.6(6250) + 1xDA.C-22 # 5(5450)</t>
  </si>
  <si>
    <t>1xDA.C-21 # 4.9(5620) + 1xDA.C-25 # 5.2(3060) + 1xDA.C-21 # 5(3020)</t>
  </si>
  <si>
    <t>1xDA.C-29 # 4.1(5540) + 1xDA.C-22 # 4(3100) + 1xDA.C-25 # 5.2(3060)</t>
  </si>
  <si>
    <t>1xDA.C-27 # 1.1(5490) + 1xDA.C-29 # 1.3(3120) + 1xDA.C-19 # 8(3090)</t>
  </si>
  <si>
    <t>1xDA.C-27 # 1.3(5490) + 1xDA.C-29 # 1.3(3120) + 1xDA.C-19 # 8(3090)</t>
  </si>
  <si>
    <t>1xDA.C-20 # 4.5(5655) + 2xDA.C-21 # 5(3020)</t>
  </si>
  <si>
    <t>1xDA.C-20 # 4.5(5655) + 2xDA.C-29 # 3.1(3020)</t>
  </si>
  <si>
    <t>1xDA.C-29 # 4.1(5540) + 1xDA.C-22 # 4(3100) + 1xDA.C-30 # 1.2(3055)</t>
  </si>
  <si>
    <t>1xDA.C-27 # 1.3(5490) + 1xDA.C-24 # 4(3310) + 1xDA.C-25 # 7.1(2895)</t>
  </si>
  <si>
    <t>1xDA.C-22 # 3.4(6500) + 1xDA.C-30 # 3.7(5190)</t>
  </si>
  <si>
    <t>1xDA.C-19 # 3.2(8630) + 1xDA.C-30 # 1.2(3055)</t>
  </si>
  <si>
    <t>1xDA.C-29 # 4.1(5540) + 1xDA.C-19 # 8(3090) + 1xDA.C-30 # 1.2(3055)</t>
  </si>
  <si>
    <t>1xDA.C-20 # 2.9(11680)</t>
  </si>
  <si>
    <t>1xDA.C-27 # 3.1(5280) + 1xDA.C-24 # 4(3310) + 1xDA.C-19 # 8(3090)</t>
  </si>
  <si>
    <t>1xDA.C-28 # 1.3(6700) + 1xDA.C-20 # 4.6(4970)</t>
  </si>
  <si>
    <t>1xDA.C-22 # 3.4(6500) + 1xDA.C-27 # 1.7(5160)</t>
  </si>
  <si>
    <t>1xDA.C-21 # 7(6000) + 1xDA.C-20 # 4.5(5655)</t>
  </si>
  <si>
    <t>1xDA.C-28 # 3.3(6750) + 1xDA.C-28 # 2.4(4900)</t>
  </si>
  <si>
    <t>1xDA.C-20 # 3.9(6370) + 1xDA.C-27 # 3.1(5280)</t>
  </si>
  <si>
    <t>1xDA.C-25 # 3.2(6370) + 1xDA.C-27 # 3.1(5280)</t>
  </si>
  <si>
    <t>1xDA.C-25 # 3.2(6370) + 1xDA.C-27 # 3.3(5280)</t>
  </si>
  <si>
    <t>1xDA.C-26 # 2.4(6200) + 1xDA.C-22 # 5(5450)</t>
  </si>
  <si>
    <t>2xDA.C-27 # 6.1(5820)</t>
  </si>
  <si>
    <t>1xDA.C-21 # 7(6000) + 1xDA.C-24 # 3.5(5630)</t>
  </si>
  <si>
    <t>1xDA.C-26 # 2.3(8730) + 1xDA.C-25 # 7.1(2895)</t>
  </si>
  <si>
    <t>1xDA.C-28 # 3.4(8510) + 1xDA.C-19 # 8(3090)</t>
  </si>
  <si>
    <t>1xDA.C-22 # 3.1(6320) + 1xDA.C-27 # 3.3(5280)</t>
  </si>
  <si>
    <t>1xDA.C-20 # 3.7(6980) + 1xDA.C-25 # 3.4(4610)</t>
  </si>
  <si>
    <t>1xDA.C-24 # 3.8(6310) + 1xDA.C-27 # 1.7(5160)</t>
  </si>
  <si>
    <t>1xDA.C-24 # 3.8(6310) + 1xDA.C-29 # 4.4(5150)</t>
  </si>
  <si>
    <t>1xDA.C-26 # 2.4(6200) + 1xDA.C-29 # 4.4(5150)</t>
  </si>
  <si>
    <t>1xDA.C-22 # 2.3(11320)</t>
  </si>
  <si>
    <t>1xDA.C-26 # 2.5(6200) + 1xDA.C-27 # 5(5100)</t>
  </si>
  <si>
    <t>1xDA.C-22 # 2.2(11270)</t>
  </si>
  <si>
    <t>2xDA.C-24 # 3.5(5630)</t>
  </si>
  <si>
    <t>1xDA.C-28 # 1.6(11250)</t>
  </si>
  <si>
    <t>1xDA.C-22 # 2.1(11220)</t>
  </si>
  <si>
    <t>1xDA.C-25 # 1.2(11000)</t>
  </si>
  <si>
    <t>1xDA.C-26 # 2.1(11000)</t>
  </si>
  <si>
    <t>1xDA.C-26 # 2.2(11000)</t>
  </si>
  <si>
    <t>1xDA.C-28 # 3.2(11000)</t>
  </si>
  <si>
    <t>1xDA.C-28 # 3.5(11000)</t>
  </si>
  <si>
    <t>1xDA.C-29 # 4.2(11000)</t>
  </si>
  <si>
    <t>1xDA.C-29 # 4.5(11000)</t>
  </si>
  <si>
    <t>1xDA.C-21 # 4.5(10740)</t>
  </si>
  <si>
    <t>1xDA.C-24 # 3.5(5630) + 1xDA.C-27 # 5(5100)</t>
  </si>
  <si>
    <t>1xDA.C-30 # 2(10695)</t>
  </si>
  <si>
    <t>1xDA.C-29 # 1.2(10680)</t>
  </si>
  <si>
    <t>1xDA.C-30 # 1.5(10615)</t>
  </si>
  <si>
    <t>1xDA.C-29 # 3.3(10580)</t>
  </si>
  <si>
    <t>1xDA.C-29 # 2.1(10570)</t>
  </si>
  <si>
    <t>1xDA.C-29 # 2.2(10570)</t>
  </si>
  <si>
    <t>2xDA.C-27 # 5(5100)</t>
  </si>
  <si>
    <t>1xDA.C-27 # 5(5100) + 1xDA.C-30 # 3.4(5050)</t>
  </si>
  <si>
    <t>1xDA.C-25 # 2.2(10140)</t>
  </si>
  <si>
    <t>2xDA.C-30 # 3.4(5050)</t>
  </si>
  <si>
    <t>1xDA.C-24 # 1.6(10000)</t>
  </si>
  <si>
    <t>1xDA.C-24 # 1.9(10000)</t>
  </si>
  <si>
    <t>1xDA.C-27 # 1.8(10000)</t>
  </si>
  <si>
    <t>1xDA.C-27 # 4.2(10000)</t>
  </si>
  <si>
    <t>2xDA.C-20 # 4.6(4970)</t>
  </si>
  <si>
    <t>1xDA.C-24 # 1.8(9910)</t>
  </si>
  <si>
    <t>1xDA.C-24 # 1.1(9720)</t>
  </si>
  <si>
    <t>1xDA.C-21 # 1.1(9570)</t>
  </si>
  <si>
    <t>1xDA.C-21 # 1.2(9570)</t>
  </si>
  <si>
    <t>1xDA.C-27 # 4.3(9530)</t>
  </si>
  <si>
    <t>1xDA.C-21 # 2.1(9470)</t>
  </si>
  <si>
    <t>1xDA.C-21 # 2.2(9470)</t>
  </si>
  <si>
    <t>1xDA.C-22 # 1.2(9380)</t>
  </si>
  <si>
    <t>1xDA.C-22 # 1.4(9380)</t>
  </si>
  <si>
    <t>1xDA.C-21 # 3.1(9370)</t>
  </si>
  <si>
    <t>1xDA.C-21 # 3.2(9370)</t>
  </si>
  <si>
    <t>1xDA.C-27 # 4.7(9290)</t>
  </si>
  <si>
    <t>1xDA.C-28 # 2.3(9250)</t>
  </si>
  <si>
    <t>1xDA.C-28 # 2.6(9200)</t>
  </si>
  <si>
    <t>1xDA.C-20 # 3.6(9000)</t>
  </si>
  <si>
    <t>1xDA.C-24 # 1.5(9000)</t>
  </si>
  <si>
    <t>1xDA.C-25 # 1.3(9000)</t>
  </si>
  <si>
    <t>1xDA.C-29 # 1.6(9000)</t>
  </si>
  <si>
    <t>1xDA.C-29 # 3.4(9000)</t>
  </si>
  <si>
    <t>1xDA.C-30 # 1.3(9000)</t>
  </si>
  <si>
    <t>1xDA.C-26 # 2.3(8730)</t>
  </si>
  <si>
    <t>1xDA.C-26 # 2.6(8730)</t>
  </si>
  <si>
    <t>1xDA.C-19 # 3.4(8660)</t>
  </si>
  <si>
    <t>1xDA.C-22 # 3.3(8260)</t>
  </si>
  <si>
    <t>1xDA.C-22 # 3.2(8180)</t>
  </si>
  <si>
    <t>1xDA.C-24 # 3.3(8180)</t>
  </si>
  <si>
    <t>1xDA.C-24 # 3.7(8180)</t>
  </si>
  <si>
    <t>1xDA.C-25 # 3.3(8180)</t>
  </si>
  <si>
    <t>1xDA.C-24 # 3.1(8080)</t>
  </si>
  <si>
    <t>1xDA.C-27 # 4.4(7770)</t>
  </si>
  <si>
    <t>1xDA.C-27 # 4.1(7530)</t>
  </si>
  <si>
    <t>1xDA.C-24 # 3.4(7390)</t>
  </si>
  <si>
    <t>1xDA.C-21 # 4.3(7380)</t>
  </si>
  <si>
    <t>1xDA.C-27 # 4.8(7300)</t>
  </si>
  <si>
    <t>1xDA.C-29 # 4.6(7300)</t>
  </si>
  <si>
    <t>1xDA.C-24 # 1.1(7210)</t>
  </si>
  <si>
    <t>1xDA.C-30 # 3.5(6960)</t>
  </si>
  <si>
    <t>1xDA.C-29 # 4.3(6910)</t>
  </si>
  <si>
    <t>1xDA.C-19 # 3.1(6900)</t>
  </si>
  <si>
    <t>1xDA.C-19 # 3.3(6870)</t>
  </si>
  <si>
    <t>1xDA.C-30 # 3.6(6820)</t>
  </si>
  <si>
    <t>1xDA.C-28 # 3.3(6750)</t>
  </si>
  <si>
    <t>2xDA.C-27 # 7.2(4390) + 1xDA.C-20 # 5.2(2890)</t>
  </si>
  <si>
    <t>1xDA.C-20 # 5.1(5870) + 2xDA.C-20 # 5.2(2890)</t>
  </si>
  <si>
    <t>1xDA.C-20 # 5.1(5870) + 1xDA.C-20 # 5.2(2890) + 1xDA.C-20 # 6(2790)</t>
  </si>
  <si>
    <t>1xDA.C-20 # 5.1(5870) + 2xDA.C-20 # 6(2790)</t>
  </si>
  <si>
    <t>4xDA.C-20 # 6(2790)</t>
  </si>
  <si>
    <t>3xDA.C-20 # 6+1xDA.C-27 # 10(2790)</t>
  </si>
  <si>
    <t>4xDA.C-27 # 10(2790)</t>
  </si>
  <si>
    <t>1xDA.C-27 # 7.1(7370)</t>
  </si>
  <si>
    <t>1xDA.C-27 # 7.2(4390)</t>
  </si>
  <si>
    <t>1xDA.C-30 # 7.4(1330)</t>
  </si>
  <si>
    <t>1xDA.C-24 # 7.3(1720)</t>
  </si>
  <si>
    <t>1xDA.C-27 # 12.1(2310)</t>
  </si>
  <si>
    <t>1xDA.C-25 # 9(2750)</t>
  </si>
  <si>
    <t>1xDA.C-25 # 8.2(3010) + 1xDA.C-24 # 7.3(1720) + 1xDA.C-30 # 7.4(1330)</t>
  </si>
  <si>
    <t>1xDA.C-28 # 6.2(7160) + 1xDA.C-28 # 6.5(4540)</t>
  </si>
  <si>
    <t>1xDA.C-30 # 7.2(6110) + 1xDA.C-30 # 7.5(5590)</t>
  </si>
  <si>
    <t>1xDA.C-21 # 11.2(5210) + 3xDA.C-24 # 7.3(1720) + 1xDA.C-30 # 7.4(1330)</t>
  </si>
  <si>
    <t>3xDA.C-25 # 9(2750) + 2xDA.C-24 # 7.3(1720)</t>
  </si>
  <si>
    <t>1xDA.C-28 # 6.4(3430) + 3xDA.C-25 # 9(2750)</t>
  </si>
  <si>
    <t>1xDA.C-25 # 8.1(6170) + 2xDA.C-25 # 9(2750)</t>
  </si>
  <si>
    <t>1xDA.C-29 # 7.2(6160) + 2xDA.C-25 # 9(2750)</t>
  </si>
  <si>
    <t>1xDA.C-25 # 8.2(3010) + 3xDA.C-27 # 12.1(2310) + 1xDA.C-24 # 7.3(1720)</t>
  </si>
  <si>
    <t>5xDA.C-27 # 12.1(2310)</t>
  </si>
  <si>
    <t>2xDA.C-25 # 8.2(3010) + 2xDA.C-25 # 9(2750)</t>
  </si>
  <si>
    <t>3xDA.C-25 # 8.2(3010) + 1xDA.C-27 # 12.1(2310)</t>
  </si>
  <si>
    <t>1xDA.C-21 # 11.2(5210) + 2xDA.C-25 # 8.2(3010)</t>
  </si>
  <si>
    <t>2xDA.C-21 # 11.2(5210)</t>
  </si>
  <si>
    <t>2xDA.C-22 # 9.2(5210)</t>
  </si>
  <si>
    <t>1xDA.C-25 # 10(6800) + 1xDA.C-25 # 8.2(3010)</t>
  </si>
  <si>
    <t>1xDA.C-20 # 7(9600)</t>
  </si>
  <si>
    <t>1xDA.C-26 # 6(9400)</t>
  </si>
  <si>
    <t>1xDA.C-25 # 10(6800)</t>
  </si>
  <si>
    <t>1xDA.C-22 # 8(2710) + 1xDA.C-23 # 3.1(1830)</t>
  </si>
  <si>
    <t>1xDA.C-22 # 8(2710)</t>
  </si>
  <si>
    <t>1xDA.C-22 # 7.1(5870) + 2xDA.C-22 # 8(2710)</t>
  </si>
  <si>
    <t>1xDA.C-22 # 7.1(5870) + 1xDA.C-22 # 8+1xDA.C-23 # 4(2710)</t>
  </si>
  <si>
    <t>1xDA.C-22 # 7.1(5870) + 2xDA.C-23 # 4(2710)</t>
  </si>
  <si>
    <t>1xDA.C-22 # 7.1(5870) + 1xDA.C-23 # 3.2(5170)</t>
  </si>
  <si>
    <t>2xDA.C-23 # 3.2(5170)</t>
  </si>
  <si>
    <t>1xDA.C-23 # 3.2(5170) + 2xDA.C-22 # 7.2(2530)</t>
  </si>
  <si>
    <t>4xDA.C-22 # 7.2(2530)</t>
  </si>
  <si>
    <t>1xDA.C-22 # 7.2(2530)</t>
  </si>
  <si>
    <t>1xDA.C-30 # 14.3(790)</t>
  </si>
  <si>
    <t>1xDA.C-26 # 7(3820)</t>
  </si>
  <si>
    <t>1xDA.C-27 # 9.3(2130) + 1xDA.C-25 # 11(1670)</t>
  </si>
  <si>
    <t>1xDA.C-23 # 5(2400) + 1xDA.C-20 # 8(1370)</t>
  </si>
  <si>
    <t>1xDA.C-23 # 7(2400) + 1xDA.C-20 # 8(1370)</t>
  </si>
  <si>
    <t>1xDA.C-21 # 9.2(2350) + 1xDA.C-20 # 8(1370)</t>
  </si>
  <si>
    <t>1xDA.C-30 # 5.1(2350) + 1xDA.C-20 # 8(1370)</t>
  </si>
  <si>
    <t>1xDA.C-30 # 5.1(2350) + 1xDA.C-21 # 12(1370)</t>
  </si>
  <si>
    <t>1xDA.C-19 # 7(3370)</t>
  </si>
  <si>
    <t>1xDA.C-28 # 4.3(2650) + 1xDA.C-25 # 11(1670)</t>
  </si>
  <si>
    <t>1xDA.C-29 # 5.2(2650) + 1xDA.C-25 # 11(1670)</t>
  </si>
  <si>
    <t>1xDA.C-29 # 5.2(2650) + 1xDA.C-28 # 7(1670)</t>
  </si>
  <si>
    <t>1xDA.C-28 # 9.2(6980) + 1xDA.C-28 # 9.5(4720)</t>
  </si>
  <si>
    <t>1xDA.C-24 # 10.5(6220) + 4xDA.C-21 # 12(1370)</t>
  </si>
  <si>
    <t>1xDA.C-29 # 9.2(5980) + 1xDA.C-19 # 4.2(4350) + 1xDA.C-21 # 12(1370)</t>
  </si>
  <si>
    <t>1xDA.C-30 # 14.2(5770) + 1xDA.C-28 # 9.4(2890) + 1xDA.C-28 # 7(1670) + 1xDA.C-21 # 12(1370)</t>
  </si>
  <si>
    <t>1xDA.C-21 # 14.2(5030) + 2xDA.C-29 # 5.2(2650) + 1xDA.C-21 # 12(1370)</t>
  </si>
  <si>
    <t>1xDA.C-22 # 12.2(5030) + 2xDA.C-29 # 5.2(2650) + 1xDA.C-21 # 12(1370)</t>
  </si>
  <si>
    <t>1xDA.C-24 # 5.2(4850) + 5xDA.C-21 # 12(1370)</t>
  </si>
  <si>
    <t>1xDA.C-24 # 5.2(4850) + 5xDA.C-22 # 10(1370)</t>
  </si>
  <si>
    <t>1xDA.C-24 # 5.2(7590) + 3xDA.C-22 # 10+2xDA.C-30 # 13(1370)</t>
  </si>
  <si>
    <t>1xDA.C-24 # 5.2(4850) + 5xDA.C-30 # 13(1370)</t>
  </si>
  <si>
    <t>1xDA.C-26 # 4.2(4800) + 1xDA.C-24 # 8(3870) + 1xDA.C-28 # 7(1670) + 1xDA.C-24 # 10.1(1360)</t>
  </si>
  <si>
    <t>1xDA.C-24 # 10.4(4090) + 1xDA.C-19 # 7(3370) + 1xDA.C-27 # 8(2870) + 1xDA.C-30 # 13(1370)</t>
  </si>
  <si>
    <t>1xDA.C-19 # 5(2670) + 1xDA.C-29 # 5.2(2650) + 3xDA.C-28 # 7(1670) + 1xDA.C-30 # 13(1370)</t>
  </si>
  <si>
    <t>1xDA.C-26 # 4.1(8320) + 1xDA.C-19 # 7(3370)</t>
  </si>
  <si>
    <t>2xDA.C-28 # 9.4(2890) + 1xDA.C-27 # 8(2870) + 1xDA.C-28 # 7(1670) + 1xDA.C-30 # 13(1370)</t>
  </si>
  <si>
    <t>1xDA.C-27 # 8(2870) + 2xDA.C-28 # 7(1670) + 4xDA.C-30 # 13(1370)</t>
  </si>
  <si>
    <t>7xDA.C-28 # 7(1670)</t>
  </si>
  <si>
    <t>3xDA.C-28 # 7+4xDA.C-29 # 8(1670)</t>
  </si>
  <si>
    <t>7xDA.C-29 # 8(1670)</t>
  </si>
  <si>
    <t>1xDA.C-28 # 9.4(2890) + 2xDA.C-27 # 8(2870) + 1xDA.C-29 # 8(1670) + 1xDA.C-30 # 13(1370)</t>
  </si>
  <si>
    <t>1xDA.C-21 # 9.1(5870) + 2xDA.C-27 # 8(2870)</t>
  </si>
  <si>
    <t>3xDA.C-24 # 8(3870)</t>
  </si>
  <si>
    <t>1xDA.C-25 # 13(6800) + 1xDA.C-26 # 4.2(4800)</t>
  </si>
  <si>
    <t>1xDA.C-28 # 4.1(6170) + 2xDA.C-19 # 5(2670)</t>
  </si>
  <si>
    <t>1xDA.C-29 # 5.1(6170) + 2xDA.C-19 # 5(2670)</t>
  </si>
  <si>
    <t>1xDA.C-19 # 7(3370) + 3xDA.C-19 # 5(2670)</t>
  </si>
  <si>
    <t>1xDA.C-19 # 7(3370) + 3xDA.C-21 # 10(2670)</t>
  </si>
  <si>
    <t>2xDA.C-19 # 4.2(4350) + 1xDA.C-21 # 10(2670)</t>
  </si>
  <si>
    <t>1xDA.C-21 # 9.1(5870) + 2xDA.C-21 # 10(2670)</t>
  </si>
  <si>
    <t>1xDA.C-30 # 1(5870) + 2xDA.C-21 # 10(2670)</t>
  </si>
  <si>
    <t>1xDA.C-30 # 1(5870) + 1xDA.C-21 # 10+1xDA.C-24 # 6(2670)</t>
  </si>
  <si>
    <t>1xDA.C-30 # 1(5870) + 2xDA.C-24 # 6(2670)</t>
  </si>
  <si>
    <t>1xDA.C-25 # 13(6800) + 1xDA.C-19 # 4.2(4350)</t>
  </si>
  <si>
    <t>1xDA.C-24 # 5.3(8370) + 1xDA.C-24 # 6(2670)</t>
  </si>
  <si>
    <t>4xDA.C-24 # 6(2670)</t>
  </si>
  <si>
    <t>1xDA.C-24 # 6+3xDA.C-26 # 5(2670)</t>
  </si>
  <si>
    <t>4xDA.C-26 # 5(2670)</t>
  </si>
  <si>
    <t>3xDA.C-26 # 5+1xDA.C-28 # 5(2670)</t>
  </si>
  <si>
    <t>4xDA.C-28 # 5(2670)</t>
  </si>
  <si>
    <t>3xDA.C-28 # 5+1xDA.C-29 # 6(2670)</t>
  </si>
  <si>
    <t>4xDA.C-29 # 6(2670)</t>
  </si>
  <si>
    <t>3xDA.C-29 # 6+1xDA.C-30 # 3(2670)</t>
  </si>
  <si>
    <t>4xDA.C-30 # 3(2670)</t>
  </si>
  <si>
    <t>1xDA.C-19 # 4.1(7870) + 1xDA.C-30 # 3(2670)</t>
  </si>
  <si>
    <t>1xDA.C-20 # 10(9600)</t>
  </si>
  <si>
    <t>1xDA.C-27 # 9.4(9570)</t>
  </si>
  <si>
    <t>1xDA.C-26 # 9(9400)</t>
  </si>
  <si>
    <t>1xDA.C-19 # 4.1(7870)</t>
  </si>
  <si>
    <t>1xDA.C-25 # 13(6800)</t>
  </si>
  <si>
    <t>1xDA.C-23 # 6(590)</t>
  </si>
  <si>
    <t>11xDA.C-23 # 6(590)</t>
  </si>
  <si>
    <t>Thép dư 9170</t>
  </si>
  <si>
    <t>Thép dư 7310</t>
  </si>
  <si>
    <t>Thép dư 4880</t>
  </si>
  <si>
    <t>1xDA.C-32 # 11(1090)</t>
  </si>
  <si>
    <t>1xDA.C-33 # 10(1690)</t>
  </si>
  <si>
    <t>1xDA.C-34 # 9(1690)</t>
  </si>
  <si>
    <t>1xDA.C-35 # 10(1690)</t>
  </si>
  <si>
    <t>2xDA.C-32 # 11(1090)</t>
  </si>
  <si>
    <t>2xDA.C-33a # 10(1090)</t>
  </si>
  <si>
    <t>2xDA.C-36 # 9(1090)</t>
  </si>
  <si>
    <t>1xDA.C-36 # 9+1xDA.C-36b # 11(1090)</t>
  </si>
  <si>
    <t>2xDA.C-36b # 11(1090)</t>
  </si>
  <si>
    <t>1xDA.C-38 # 1.2(2540)</t>
  </si>
  <si>
    <t>1xDA.C-36b # 11(1090)</t>
  </si>
  <si>
    <t>1xDA.C-34 # 2.5(3425)</t>
  </si>
  <si>
    <t>1xDA.C-33 # 2.1(3515)</t>
  </si>
  <si>
    <t>1xDA.C-33 # 2.2(3515)</t>
  </si>
  <si>
    <t>1xDA.C-31 # 2.2(3490)</t>
  </si>
  <si>
    <t>1xDA.C-31 # 2.3(3490)</t>
  </si>
  <si>
    <t>1xDA.C-32 # 1.2(3490)</t>
  </si>
  <si>
    <t>1xDA.C-32 # 1.5(3490)</t>
  </si>
  <si>
    <t>1xDA.C-35 # 2.1(3480)</t>
  </si>
  <si>
    <t>1xDA.C-33 # 1.1(3615)</t>
  </si>
  <si>
    <t>1xDA.C-33 # 1.2(3615)</t>
  </si>
  <si>
    <t>1xDA.C-33a # 1.3(3900)</t>
  </si>
  <si>
    <t>1xDA.C-36 # 1.4(3900)</t>
  </si>
  <si>
    <t>1xDA.C-36 # 2.4(3900)</t>
  </si>
  <si>
    <t>1xDA.C-36b # 5(4305)</t>
  </si>
  <si>
    <t>1xDA.C-36a # 6(4220)</t>
  </si>
  <si>
    <t>1xDA.C-36b # 6(4210)</t>
  </si>
  <si>
    <t>1xDA.C-39 # 5(4360)</t>
  </si>
  <si>
    <t>1xDA.C-39 # 1.1(4445)</t>
  </si>
  <si>
    <t>1xDA.C-36a # 1.1(4615)</t>
  </si>
  <si>
    <t>1xDA.C-36a # 2.1(4515)</t>
  </si>
  <si>
    <t>1xDA.C-36b # 4.1(4510)</t>
  </si>
  <si>
    <t>1xDA.C-34 # 4(4495)</t>
  </si>
  <si>
    <t>1xDA.C-39 # 1.2(4445)</t>
  </si>
  <si>
    <t>1xDA.C-36 # 4.4(8610) + 1xDA.C-36a # 11(3090)</t>
  </si>
  <si>
    <t>1xDA.C-32 # 4.4(8310) + 1xDA.C-32 # 2.2(3390)</t>
  </si>
  <si>
    <t>1xDA.C-36a # 4.1(8220) + 1xDA.C-35 # 2.1(3480)</t>
  </si>
  <si>
    <t>1xDA.C-36a # 4.1(8220) + 1xDA.C-35 # 2.2(3480)</t>
  </si>
  <si>
    <t>1xDA.C-33 # 4.3(8120) + 1xDA.C-35 # 1.1(3580)</t>
  </si>
  <si>
    <t>1xDA.C-38 # 2.2(6240) + 1xDA.C-34 # 3(5460)</t>
  </si>
  <si>
    <t>2xDA.C-35 # 4.1(5850)</t>
  </si>
  <si>
    <t>1xDA.C-33 # 4.2(5220) + 1xDA.C-32 # 2.2(3390) + 1xDA.C-36a # 11(3090)</t>
  </si>
  <si>
    <t>1xDA.C-33 # 4.2(5220) + 1xDA.C-32 # 2.3(3390) + 1xDA.C-36a # 11(3090)</t>
  </si>
  <si>
    <t>1xDA.C-36a # 2.2(5215) + 1xDA.C-36b # 12.1(3395) + 1xDA.C-36a # 11(3090)</t>
  </si>
  <si>
    <t>1xDA.C-36a # 2.2(5215) + 1xDA.C-36b # 12.2(3395) + 1xDA.C-36a # 11(3090)</t>
  </si>
  <si>
    <t>1xDA.C-39 # 1.2(4445) + 1xDA.C-33 # 5(3730) + 1xDA.C-34 # 1.1(3525)</t>
  </si>
  <si>
    <t>1xDA.C-36a # 3.1(4415) + 1xDA.C-36b # 2.1(3805) + 1xDA.C-35 # 2.2(3480)</t>
  </si>
  <si>
    <t>1xDA.C-36a # 3.1(4415) + 1xDA.C-33a # 4(3705) + 1xDA.C-35 # 1.1(3580)</t>
  </si>
  <si>
    <t>1xDA.C-36b # 4.2(4415) + 1xDA.C-33a # 4(3705) + 1xDA.C-35 # 1.2(3580)</t>
  </si>
  <si>
    <t>3xDA.C-36 # 2.4(3900)</t>
  </si>
  <si>
    <t>1xDA.C-32 # 4.5(8280) + 1xDA.C-33 # 3.3(3415)</t>
  </si>
  <si>
    <t>1xDA.C-39 # 3.2(8280) + 1xDA.C-33 # 3.3(3415)</t>
  </si>
  <si>
    <t>1xDA.C-39 # 3.2(8280) + 1xDA.C-33 # 3.4(3415)</t>
  </si>
  <si>
    <t>1xDA.C-31 # 4.4(8150) + 1xDA.C-36 # 3.6(3545)</t>
  </si>
  <si>
    <t>1xDA.C-36a # 1.2(5315) + 2xDA.C-39 # 10(3190)</t>
  </si>
  <si>
    <t>1xDA.C-36a # 3.2(5115) + 1xDA.C-35 # 12.2(3300) + 1xDA.C-35 # 12.1(3280)</t>
  </si>
  <si>
    <t>1xDA.C-36b # 4.2(4415) + 1xDA.C-36b # 1.1(3855) + 1xDA.C-34 # 2.5(3425)</t>
  </si>
  <si>
    <t>1xDA.C-36b # 4.2(4415) + 1xDA.C-36b # 1.1(3855) + 1xDA.C-34 # 2.6(3425)</t>
  </si>
  <si>
    <t>1xDA.C-39 # 5(4360) + 1xDA.C-35 # 5(3745) + 1xDA.C-31 # 1.2(3590)</t>
  </si>
  <si>
    <t>1xDA.C-39 # 5(4360) + 1xDA.C-35 # 5(3745) + 1xDA.C-31 # 1.3(3590)</t>
  </si>
  <si>
    <t>1xDA.C-39 # 2.1(4345) + 1xDA.C-36b # 2.1(3805) + 1xDA.C-36 # 3.6(3545)</t>
  </si>
  <si>
    <t>1xDA.C-39 # 1.5(4335) + 1xDA.C-33a # 4(3705) + 1xDA.C-33a # 2.1(3655)</t>
  </si>
  <si>
    <t>1xDA.C-33 # 4.2(5220) + 1xDA.C-35 # 3.3(3380) + 1xDA.C-36a # 11(3090)</t>
  </si>
  <si>
    <t>1xDA.C-39 # 2.1(4345) + 1xDA.C-33a # 1.4(3755) + 1xDA.C-31 # 1.3(3590)</t>
  </si>
  <si>
    <t>1xDA.C-33 # 4(6220) + 1xDA.C-35 # 4.2(5465)</t>
  </si>
  <si>
    <t>1xDA.C-36a # 2.2(5215) + 1xDA.C-35 # 3.3(3380) + 1xDA.C-36a # 11(3090)</t>
  </si>
  <si>
    <t>1xDA.C-36a # 4.6(8135) + 1xDA.C-36 # 3.6(3545)</t>
  </si>
  <si>
    <t>1xDA.C-36a # 4.6(8135) + 1xDA.C-36 # 3.8(3545)</t>
  </si>
  <si>
    <t>1xDA.C-33a # 3.1(5400) + 1xDA.C-39 # 10(3190) + 1xDA.C-36a # 11(3090)</t>
  </si>
  <si>
    <t>1xDA.C-39 # 5(4360) + 1xDA.C-33 # 5(3730) + 1xDA.C-31 # 1.3(3590)</t>
  </si>
  <si>
    <t>1xDA.C-36a # 4.2(6355) + 1xDA.C-36a # 1.2(5315)</t>
  </si>
  <si>
    <t>1xDA.C-39 # 5(4360) + 2xDA.C-33a # 2.1(3655)</t>
  </si>
  <si>
    <t>1xDA.C-39 # 5(4360) + 2xDA.C-33a # 2.2(3655)</t>
  </si>
  <si>
    <t>1xDA.C-39 # 3.2(8280) + 1xDA.C-35 # 3.3(3380)</t>
  </si>
  <si>
    <t>1xDA.C-36a # 4.6(8135) + 1xDA.C-34 # 1.1(3525)</t>
  </si>
  <si>
    <t>1xDA.C-39 # 3.6(5865) + 1xDA.C-33a # 5(5790)</t>
  </si>
  <si>
    <t>1xDA.C-31 # 3.4(8200) + 1xDA.C-36 # 11.1(3445)</t>
  </si>
  <si>
    <t>1xDA.C-31 # 3.4(8200) + 1xDA.C-36 # 11.2(3445)</t>
  </si>
  <si>
    <t>1xDA.C-38 # 2.2(6240) + 1xDA.C-33a # 3.1(5400)</t>
  </si>
  <si>
    <t>1xDA.C-35 # 4.3(7900) + 1xDA.C-33 # 5(3730)</t>
  </si>
  <si>
    <t>1xDA.C-33 # 4(6220) + 1xDA.C-33a # 3.1(5400)</t>
  </si>
  <si>
    <t>1xDA.C-32 # 3(11595)</t>
  </si>
  <si>
    <t>1xDA.C-32 # 3.1(11595)</t>
  </si>
  <si>
    <t>1xDA.C-33a # 3.2(8065) + 1xDA.C-34 # 1.1(3525)</t>
  </si>
  <si>
    <t>1xDA.C-33a # 3.5(5400) + 2xDA.C-36a # 11(3090)</t>
  </si>
  <si>
    <t>1xDA.C-34 # 3.3(7200) + 1xDA.C-39 # 5(4360)</t>
  </si>
  <si>
    <t>1xDA.C-34 # 3.3(7200) + 1xDA.C-39 # 2.1(4345)</t>
  </si>
  <si>
    <t>1xDA.C-34 # 3.3(7200) + 1xDA.C-39 # 2.2(4345)</t>
  </si>
  <si>
    <t>1xDA.C-36a # 4.5(8000) + 1xDA.C-34 # 1.2(3525)</t>
  </si>
  <si>
    <t>1xDA.C-33a # 3.4(7160) + 1xDA.C-39 # 2.2(4345)</t>
  </si>
  <si>
    <t>1xDA.C-33 # 4.1(7120) + 1xDA.C-39 # 1.5(4335)</t>
  </si>
  <si>
    <t>1xDA.C-38 # 2.1(8000) + 1xDA.C-34 # 2.6(3425)</t>
  </si>
  <si>
    <t>1xDA.C-38 # 2.3(8000) + 1xDA.C-35 # 3.3(3380)</t>
  </si>
  <si>
    <t>1xDA.C-38 # 2.3(8000) + 1xDA.C-35 # 3.5(3380)</t>
  </si>
  <si>
    <t>1xDA.C-34 # 3.1(7855) + 1xDA.C-35 # 3.5(3380)</t>
  </si>
  <si>
    <t>1xDA.C-34 # 3.1(7855) + 1xDA.C-34 # 2.3(3325)</t>
  </si>
  <si>
    <t>1xDA.C-36b # 3.3(7850) + 1xDA.C-34 # 2.3(3325)</t>
  </si>
  <si>
    <t>1xDA.C-36b # 3.3(7850) + 1xDA.C-34 # 2.4(3325)</t>
  </si>
  <si>
    <t>1xDA.C-39 # 3.5(7795) + 1xDA.C-34 # 2.4(3325)</t>
  </si>
  <si>
    <t>1xDA.C-39 # 3.5(7795) + 1xDA.C-33 # 3.1(3315)</t>
  </si>
  <si>
    <t>1xDA.C-39 # 3.3(7755) + 1xDA.C-33 # 3.1(3315)</t>
  </si>
  <si>
    <t>1xDA.C-39 # 3.3(7755) + 1xDA.C-33 # 3.2(3315)</t>
  </si>
  <si>
    <t>1xDA.C-36 # 1.8(11000)</t>
  </si>
  <si>
    <t>1xDA.C-36 # 2.8(11000)</t>
  </si>
  <si>
    <t>1xDA.C-36a # 1.3(11000)</t>
  </si>
  <si>
    <t>1xDA.C-36a # 2.3(11000)</t>
  </si>
  <si>
    <t>1xDA.C-36a # 3.3(11000)</t>
  </si>
  <si>
    <t>1xDA.C-36b # 1.3(11000)</t>
  </si>
  <si>
    <t>1xDA.C-36b # 2.3(11000)</t>
  </si>
  <si>
    <t>1xDA.C-36b # 12.4(11000)</t>
  </si>
  <si>
    <t>1xDA.C-36b # 12.3(11000)</t>
  </si>
  <si>
    <t>1xDA.C-37 # 1.1(11000)</t>
  </si>
  <si>
    <t>1xDA.C-37 # 2(11000)</t>
  </si>
  <si>
    <t>1xDA.C-35 # 4.4(7515) + 1xDA.C-33 # 3.2(3315)</t>
  </si>
  <si>
    <t>1xDA.C-35 # 4.4(7515) + 1xDA.C-34 # 2.1(3225)</t>
  </si>
  <si>
    <t>1xDA.C-32 # 5(7450) + 1xDA.C-34 # 2.1(3225)</t>
  </si>
  <si>
    <t>1xDA.C-32 # 5(7450) + 1xDA.C-34 # 2.2(3225)</t>
  </si>
  <si>
    <t>1xDA.C-33 # 4.1(7120) + 1xDA.C-36a # 11(3090)</t>
  </si>
  <si>
    <t>1xDA.C-33 # 1.3(10000)</t>
  </si>
  <si>
    <t>1xDA.C-33 # 1.4(10000)</t>
  </si>
  <si>
    <t>1xDA.C-33 # 2.3(10000)</t>
  </si>
  <si>
    <t>1xDA.C-33 # 2.4(10000)</t>
  </si>
  <si>
    <t>1xDA.C-33 # 3.5(10000)</t>
  </si>
  <si>
    <t>1xDA.C-33 # 3.6(10000)</t>
  </si>
  <si>
    <t>1xDA.C-33a # 1.5(10000)</t>
  </si>
  <si>
    <t>1xDA.C-33a # 2.3(10000)</t>
  </si>
  <si>
    <t>1xDA.C-33a # 2.4(10000)</t>
  </si>
  <si>
    <t>1xDA.C-34 # 1.3(10000)</t>
  </si>
  <si>
    <t>1xDA.C-34 # 1.4(10000)</t>
  </si>
  <si>
    <t>1xDA.C-34 # 2.7(10000)</t>
  </si>
  <si>
    <t>1xDA.C-34 # 2.8(10000)</t>
  </si>
  <si>
    <t>1xDA.C-35 # 1.3(10000)</t>
  </si>
  <si>
    <t>1xDA.C-35 # 1.4(10000)</t>
  </si>
  <si>
    <t>1xDA.C-35 # 2.3(10000)</t>
  </si>
  <si>
    <t>1xDA.C-35 # 2.4(10000)</t>
  </si>
  <si>
    <t>1xDA.C-35 # 3.2(10000)</t>
  </si>
  <si>
    <t>1xDA.C-35 # 3.6(10000)</t>
  </si>
  <si>
    <t>1xDA.C-35 # 12.3(10000)</t>
  </si>
  <si>
    <t>1xDA.C-35 # 12.4(10000)</t>
  </si>
  <si>
    <t>1xDA.C-36 # 3.14(10000)</t>
  </si>
  <si>
    <t>1xDA.C-36 # 3.16(10000)</t>
  </si>
  <si>
    <t>1xDA.C-36 # 4.2(10000)</t>
  </si>
  <si>
    <t>1xDA.C-36 # 11.3(10000)</t>
  </si>
  <si>
    <t>1xDA.C-36 # 11.4(10000)</t>
  </si>
  <si>
    <t>1xDA.C-36a # 4.3(10000)</t>
  </si>
  <si>
    <t>1xDA.C-39 # 3.1(10000)</t>
  </si>
  <si>
    <t>1xDA.C-39 # 1.6(9390)</t>
  </si>
  <si>
    <t>1xDA.C-33a # 1.2(9000)</t>
  </si>
  <si>
    <t>1xDA.C-31 # 3.5(8850)</t>
  </si>
  <si>
    <t>1xDA.C-31 # 4.5(8800)</t>
  </si>
  <si>
    <t>1xDA.C-33 # 4.1(7120)</t>
  </si>
  <si>
    <t>1xDA.C-32 # 6(7100)</t>
  </si>
  <si>
    <t>1xDA.C-31 # 3.3(7090)</t>
  </si>
  <si>
    <t>1xDA.C-31 # 4.3(7040)</t>
  </si>
  <si>
    <t>1xDA.C-36 # 4.1(6950)</t>
  </si>
  <si>
    <t>1xDA.C-36 # 4.3(6850)</t>
  </si>
  <si>
    <t>1xDA.C-36a # 5(6695)</t>
  </si>
  <si>
    <t>1xDA.C-32 # 4.2(6565)</t>
  </si>
  <si>
    <t>1xDA.C-32 # 4.3(6520)</t>
  </si>
  <si>
    <t>1xDA.C-31 # 3.2(6440)</t>
  </si>
  <si>
    <t>1xDA.C-31 # 4.2(6390)</t>
  </si>
  <si>
    <t>1xDA.C-36a # 4.2(6355)</t>
  </si>
  <si>
    <t>1xDA.C-39 # 4(6145)</t>
  </si>
  <si>
    <t>1xDA.C-34 # 3.2(6115)</t>
  </si>
  <si>
    <t>1xDA.C-36b # 3.2(6100)</t>
  </si>
  <si>
    <t>1xDA.C-39 # 3.4(6035)</t>
  </si>
  <si>
    <t>1xDA.C-33a # 5(5790)</t>
  </si>
  <si>
    <t>1xDA.C-32 # 9.1(3440)</t>
  </si>
  <si>
    <t>1xDA.C-36a # 9.3(3040)</t>
  </si>
  <si>
    <t>1xDA.C-32 # 8(2750)</t>
  </si>
  <si>
    <t>2xDA.C-36 # 7.2(5850)</t>
  </si>
  <si>
    <t>1xDA.C-32 # 7(5870) + 1xDA.C-32 # 9.3(5630)</t>
  </si>
  <si>
    <t>1xDA.C-32 # 7(5870) + 2xDA.C-32 # 8(2750)</t>
  </si>
  <si>
    <t>1xDA.C-36 # 7.2(5850) + 2xDA.C-32 # 8(2750)</t>
  </si>
  <si>
    <t>1xDA.C-39 # 8(11230)</t>
  </si>
  <si>
    <t>1xDA.C-36b # 9(8380) + 1xDA.C-32 # 8(2750)</t>
  </si>
  <si>
    <t>1xDA.C-36b # 9(8380) + 1xDA.C-32 # 5.1(2710)</t>
  </si>
  <si>
    <t>1xDA.C-32 # 9.9(8260) + 1xDA.C-32 # 5.1(2710)</t>
  </si>
  <si>
    <t>1xDA.C-36a # 9.1(8260) + 1xDA.C-32 # 5.1(2710)</t>
  </si>
  <si>
    <t>4xDA.C-32 # 5.1(2710)</t>
  </si>
  <si>
    <t>1xDA.C-33a # 8(8100) + 1xDA.C-32 # 5.1(2710)</t>
  </si>
  <si>
    <t>1xDA.C-36a # 9.2(10650)</t>
  </si>
  <si>
    <t>1xDA.C-33a # 8(8100)</t>
  </si>
  <si>
    <t>1xDA.C-33 # 8(7900)</t>
  </si>
  <si>
    <t>1xDA.C-35 # 8(7900)</t>
  </si>
  <si>
    <t>1xDA.C-36 # 7.4(7900)</t>
  </si>
  <si>
    <t>1xDA.C-34 # 7(7700)</t>
  </si>
  <si>
    <t>1xDA.C-37 # 3.1(2030)</t>
  </si>
  <si>
    <t>1xDA.C-38 # 3.1(2030)</t>
  </si>
  <si>
    <t>1xDA.C-31 # 5.2(5670) + 1xDA.C-31 # 6(2710)</t>
  </si>
  <si>
    <t>5xDA.C-31 # 5.1(2330)</t>
  </si>
  <si>
    <t>2xDA.C-31 # 5.2(5670)</t>
  </si>
  <si>
    <t>4xDA.C-31 # 6(2710)</t>
  </si>
  <si>
    <t>2xDA.C-31 # 6+2xDA.C-37 # 4(2710)</t>
  </si>
  <si>
    <t>4xDA.C-37 # 4(2710)</t>
  </si>
  <si>
    <t>2xDA.C-37 # 4+2xDA.C-38 # 4(2710)</t>
  </si>
  <si>
    <t>4xDA.C-38 # 4(2710)</t>
  </si>
  <si>
    <t>1xDA.C-37 # 3.2(5370) + 2xDA.C-38 # 4(2710)</t>
  </si>
  <si>
    <t>2xDA.C-37 # 3.2(5370)</t>
  </si>
  <si>
    <t>1xDA.C-37 # 3.2+1xDA.C-38 # 3.2(5370)</t>
  </si>
  <si>
    <t>2xDA.C-38 # 3.2(5370)</t>
  </si>
  <si>
    <t>1xDA.C-38 # 3.2(5370) + 2xDA.C-31 # 5.1(2330)</t>
  </si>
  <si>
    <t>2xDA.C-31 # 5.1(2330)</t>
  </si>
  <si>
    <t>1xDA.C-33 # 9(1970)</t>
  </si>
  <si>
    <t>1xDA.C-33a # 6.1(2350) + 1xDA.C-32 # 10(1370)</t>
  </si>
  <si>
    <t>1xDA.C-36 # 5.1(2350) + 1xDA.C-32 # 10(1370)</t>
  </si>
  <si>
    <t>1xDA.C-39 # 9(3470) + 1xDA.C-32 # 10(1370)</t>
  </si>
  <si>
    <t>1xDA.C-31 # 7.1(8480) + 1xDA.C-31 # 7.5(3220)</t>
  </si>
  <si>
    <t>1xDA.C-31 # 9.3(8480) + 1xDA.C-31 # 9.1(3220)</t>
  </si>
  <si>
    <t>1xDA.C-32 # 12.1(8080) + 1xDA.C-32 # 12.5(3620)</t>
  </si>
  <si>
    <t>1xDA.C-31 # 7.4(5890) + 1xDA.C-33 # 6.1(2950) + 1xDA.C-36a # 12.2(2860)</t>
  </si>
  <si>
    <t>1xDA.C-31 # 9.2(5890) + 1xDA.C-33 # 6.1(2950) + 1xDA.C-36a # 12.2(2860)</t>
  </si>
  <si>
    <t>2xDA.C-36 # 10.2(5850)</t>
  </si>
  <si>
    <t>1xDA.C-32 # 12.4(5090) + 1xDA.C-33 # 7(2670) + 2xDA.C-33 # 9(1970)</t>
  </si>
  <si>
    <t>1xDA.C-33 # 6.1(2950) + 1xDA.C-33 # 7(2670) + 1xDA.C-33 # 9(1970) + 3xDA.C-32 # 10(1370)</t>
  </si>
  <si>
    <t>1xDA.C-33 # 6.1(2950) + 1xDA.C-33 # 7(2670) + 1xDA.C-33 # 9(1970) + 3xDA.C-33a # 9(1370)</t>
  </si>
  <si>
    <t>1xDA.C-34 # 5.1(2950) + 1xDA.C-33 # 7(2670) + 1xDA.C-33 # 9(1970) + 3xDA.C-33a # 9(1370)</t>
  </si>
  <si>
    <t>1xDA.C-34 # 5.1(2950) + 1xDA.C-33 # 7(2670) + 1xDA.C-34 # 8(1970) + 3xDA.C-33a # 9(1370)</t>
  </si>
  <si>
    <t>1xDA.C-34 # 5.1(2950) + 1xDA.C-33 # 7(2670) + 1xDA.C-34 # 8(1970) + 3xDA.C-36 # 8(1370)</t>
  </si>
  <si>
    <t>1xDA.C-35 # 6.1(2950) + 1xDA.C-33 # 7(2670) + 1xDA.C-34 # 8(1970) + 3xDA.C-36 # 8(1370)</t>
  </si>
  <si>
    <t>1xDA.C-35 # 6.1(2950) + 1xDA.C-33 # 7(2670) + 1xDA.C-34 # 8(1970) + 3xDA.C-36b # 10(1370)</t>
  </si>
  <si>
    <t>1xDA.C-33 # 7(2670) + 1xDA.C-36 # 5.1(2350) + 2xDA.C-34 # 8(1970) + 2xDA.C-36b # 10(1370)</t>
  </si>
  <si>
    <t>1xDA.C-33 # 7(2670) + 1xDA.C-36b # 7.1(2350) + 2xDA.C-34 # 8(1970) + 2xDA.C-36b # 10(1370)</t>
  </si>
  <si>
    <t>1xDA.C-33 # 7(2670) + 1xDA.C-36b # 7.1(2350) + 2xDA.C-35 # 9(1970) + 2xDA.C-36b # 10(1370)</t>
  </si>
  <si>
    <t>1xDA.C-33a # 7(2670) + 1xDA.C-36b # 7.1(2350) + 2xDA.C-35 # 9(1970) + 2xDA.C-36b # 10(1370)</t>
  </si>
  <si>
    <t>1xDA.C-33a # 7(2670) + 3xDA.C-36b # 7.1(2350) + 1xDA.C-35 # 9(1970)</t>
  </si>
  <si>
    <t>2xDA.C-39 # 9(3470) + 1xDA.C-36a # 10(3370) + 1xDA.C-36b # 10(1370)</t>
  </si>
  <si>
    <t>1xDA.C-38 # 5(8300) + 1xDA.C-36a # 10(3370)</t>
  </si>
  <si>
    <t>1xDA.C-38 # 7(8300) + 1xDA.C-36a # 10(3370)</t>
  </si>
  <si>
    <t>1xDA.C-36a # 7.1(4350) + 1xDA.C-36a # 10(3370) + 2xDA.C-35 # 9(1970)</t>
  </si>
  <si>
    <t>1xDA.C-36a # 7.1(4350) + 2xDA.C-33a # 7(2670) + 1xDA.C-35 # 9(1970)</t>
  </si>
  <si>
    <t>1xDA.C-33a # 11(8100) + 1xDA.C-39 # 9(3470)</t>
  </si>
  <si>
    <t>2xDA.C-39 # 6.1(4450) + 1xDA.C-33a # 7(2670)</t>
  </si>
  <si>
    <t>1xDA.C-36a # 12.1(8080) + 1xDA.C-39 # 9(3470)</t>
  </si>
  <si>
    <t>1xDA.C-39 # 6(8030) + 1xDA.C-39 # 9(3470)</t>
  </si>
  <si>
    <t>1xDA.C-39 # 9(3470) + 3xDA.C-33a # 7(2670)</t>
  </si>
  <si>
    <t>1xDA.C-39 # 9(3470) + 2xDA.C-33a # 7+1xDA.C-34 # 6(2670)</t>
  </si>
  <si>
    <t>1xDA.C-39 # 9(3470) + 3xDA.C-34 # 6(2670)</t>
  </si>
  <si>
    <t>1xDA.C-36a # 10(3370) + 3xDA.C-34 # 6(2670)</t>
  </si>
  <si>
    <t>1xDA.C-36a # 10(3370) + 3xDA.C-35 # 13(2670)</t>
  </si>
  <si>
    <t>1xDA.C-36a # 10(3370) + 1xDA.C-35 # 13+2xDA.C-36 # 6(2670)</t>
  </si>
  <si>
    <t>1xDA.C-36a # 10(3370) + 3xDA.C-36 # 6(2670)</t>
  </si>
  <si>
    <t>1xDA.C-36a # 10(3370) + 1xDA.C-36 # 6+2xDA.C-36a # 8(2670)</t>
  </si>
  <si>
    <t>1xDA.C-36a # 10(3370) + 3xDA.C-36a # 8(2670)</t>
  </si>
  <si>
    <t>2xDA.C-36a # 7.1(4350) + 1xDA.C-36a # 8(2670)</t>
  </si>
  <si>
    <t>1xDA.C-30 # 14.4(5930) + 2xDA.C-36a # 8(2670)</t>
  </si>
  <si>
    <t>1xDA.C-33a # 6(5930) + 2xDA.C-36a # 8(2670)</t>
  </si>
  <si>
    <t>1xDA.C-36 # 5(5930) + 2xDA.C-36a # 8(2670)</t>
  </si>
  <si>
    <t>1xDA.C-36b # 7(5930) + 2xDA.C-36a # 8(2670)</t>
  </si>
  <si>
    <t>1xDA.C-39 # 11(11230)</t>
  </si>
  <si>
    <t>1xDA.C-31 # 9.2(5890) + 2xDA.C-36a # 8(2670)</t>
  </si>
  <si>
    <t>1xDA.C-36 # 10.2(5850) + 2xDA.C-36a # 8(2670)</t>
  </si>
  <si>
    <t>1xDA.C-36b # 12(8380) + 1xDA.C-36a # 8(2670)</t>
  </si>
  <si>
    <t>4xDA.C-36a # 8(2670)</t>
  </si>
  <si>
    <t>3xDA.C-36a # 8+1xDA.C-36b # 8(2670)</t>
  </si>
  <si>
    <t>4xDA.C-36b # 8(2670)</t>
  </si>
  <si>
    <t>4xDA.C-39 # 7(2670)</t>
  </si>
  <si>
    <t>1xDA.C-36a # 12.3(10650)</t>
  </si>
  <si>
    <t>1xDA.C-36a # 7.2(7930)</t>
  </si>
  <si>
    <t>1xDA.C-33 # 11(7900)</t>
  </si>
  <si>
    <t>1xDA.C-35 # 11(7900)</t>
  </si>
  <si>
    <t>1xDA.C-34 # 10(7700)</t>
  </si>
  <si>
    <t>1xDA.C-33 # 6(6530)</t>
  </si>
  <si>
    <t>1xDA.C-34 # 5(6530)</t>
  </si>
  <si>
    <t>1xDA.C-35 # 6(6530)</t>
  </si>
  <si>
    <t>1xDA.C-37 # 7(6500)</t>
  </si>
  <si>
    <t>1xDA.C-37 # 8(6500)</t>
  </si>
  <si>
    <t>4xDA.C-31 # 8(1090)</t>
  </si>
  <si>
    <t>10xDA.C-31 # 8(1090) + 1xDA.C-37 # 6(790)</t>
  </si>
  <si>
    <t>2xDA.C-31 # 8(1090) + 12xDA.C-37 # 6(790)</t>
  </si>
  <si>
    <t>14xDA.C-37 # 6(790)</t>
  </si>
  <si>
    <t>9xDA.C-37 # 6+5xDA.C-38 # 6(790)</t>
  </si>
  <si>
    <t>14xDA.C-38 # 6(790)</t>
  </si>
  <si>
    <t>9xDA.C-38 # 6(790)</t>
  </si>
  <si>
    <t>Thép dư 5170</t>
  </si>
  <si>
    <t>Thép dư 7040</t>
  </si>
  <si>
    <t>Thép dư 5005</t>
  </si>
  <si>
    <t>Thép dư 5135</t>
  </si>
  <si>
    <t>Thép dư 5310</t>
  </si>
  <si>
    <t>Thép dư 5345</t>
  </si>
  <si>
    <t>Thép dư 5555</t>
  </si>
  <si>
    <t>Thép dư 5665</t>
  </si>
  <si>
    <t>Thép dư 5910</t>
  </si>
  <si>
    <t>4xDC.C-6 # 8(390)</t>
  </si>
  <si>
    <t>1xDA.C-40 # 12(1690)</t>
  </si>
  <si>
    <t>1xDA.C-41 # 14(1690)</t>
  </si>
  <si>
    <t>1xDA.C-goc # 7(1290) + 1xDC.C-9 # 7(390)</t>
  </si>
  <si>
    <t>1xDA.C-goc # 7(1290) + 1xDC.C-16 # 14(390)</t>
  </si>
  <si>
    <t>1xDB.C-4  # 10(490) + 3xDC.C-16 # 14(390)</t>
  </si>
  <si>
    <t>3xDB.C-4  # 10(490)</t>
  </si>
  <si>
    <t>2xDB.C-4  # 10+1xDB.C-15  # 12(490)</t>
  </si>
  <si>
    <t>3xDB.C-15  # 12(490)</t>
  </si>
  <si>
    <t>2xDB.C-15  # 12+1xDC.C-12 # 3(490)</t>
  </si>
  <si>
    <t>3xDC.C-12 # 3(490)</t>
  </si>
  <si>
    <t>1xDC.C-12 # 3+2xDC.C-12 # 13(490)</t>
  </si>
  <si>
    <t>1xDC.C-12 # 13+2xDC.C-18 # 8(490)</t>
  </si>
  <si>
    <t>3xDC.C-18 # 8(490)</t>
  </si>
  <si>
    <t>2xDC.C-18 # 8(490) + 1xDC.C-16 # 14(390)</t>
  </si>
  <si>
    <t>1xDB.C-15  # 2.2(1990)</t>
  </si>
  <si>
    <t>1xDB.C-4  # 1.1(2680)</t>
  </si>
  <si>
    <t>1xDB.C-4  # 1.4(2680)</t>
  </si>
  <si>
    <t>1xDB.C-15  # 2.4(1990)</t>
  </si>
  <si>
    <t>1xDB.C-15  # 1.4(2790)</t>
  </si>
  <si>
    <t>1xDB.C-15  # 3.1(4530)</t>
  </si>
  <si>
    <t>1xDC.C-9 # 3(4465)</t>
  </si>
  <si>
    <t>1xDC.C-16 # 7.1(4600)</t>
  </si>
  <si>
    <t>1xDC.C-16 # 7.2(4600)</t>
  </si>
  <si>
    <t>1xDC.C-18 # 5(4465)</t>
  </si>
  <si>
    <t>1xDB.C-4  # 7(4730)</t>
  </si>
  <si>
    <t>1xDC.C-2  # 4(4710)</t>
  </si>
  <si>
    <t>1xDB.C-3  # 3(4830)</t>
  </si>
  <si>
    <t>1xDB.C-5  # 4(4780)</t>
  </si>
  <si>
    <t>1xDC.C-1 # 4(5000)</t>
  </si>
  <si>
    <t>1xDC.C-13 # 4.4(4970)</t>
  </si>
  <si>
    <t>1xDC.C-11 # 7(5100)</t>
  </si>
  <si>
    <t>1xDC.C-13 # 8(5100)</t>
  </si>
  <si>
    <t>1xDC.C-6 # 3.3(5180)</t>
  </si>
  <si>
    <t>1xDC.C-16 # 11(5140)</t>
  </si>
  <si>
    <t>1xDA.C-40 # 4.1(5200)</t>
  </si>
  <si>
    <t>1xDC.C-8 # 2(5510)</t>
  </si>
  <si>
    <t>1xDC.C-2  # 6(5500)</t>
  </si>
  <si>
    <t>1xDC.C-6 # 5(5500)</t>
  </si>
  <si>
    <t>1xDB.C-3  # 2.8(5440)</t>
  </si>
  <si>
    <t>1xDC.C-2  # 7(5440)</t>
  </si>
  <si>
    <t>1xDB.C-4  # 6(5580)</t>
  </si>
  <si>
    <t>1xDC.C-13 # 4.8(5400)</t>
  </si>
  <si>
    <t>1xDB.C-15  # 6(5380)</t>
  </si>
  <si>
    <t>1xDB.C-5  # 3.3(5350)</t>
  </si>
  <si>
    <t>1xDC.C-16 # 5(4940)</t>
  </si>
  <si>
    <t>1xDC.C-18 # 4(4915)</t>
  </si>
  <si>
    <t>1xDC.C-16 # 4.5(5900)</t>
  </si>
  <si>
    <t>1xDC.C-1 # 2.2(8600) + 1xDA.C-41 # 2.1(3100)</t>
  </si>
  <si>
    <t>1xDC.C-13 # 1.7(8430) + 1xDC.C-13 # 1.4(3270)</t>
  </si>
  <si>
    <t>1xDB.C-3  # 2.7(8320) + 1xDB.C-3  # 6(3380)</t>
  </si>
  <si>
    <t>1xDC.C-2  # 2.3(7490) + 1xDC.C-2  # 8(4210)</t>
  </si>
  <si>
    <t>1xDA.C-40 # 4.3(7000) + 1xDC.C-16 # 9(4700)</t>
  </si>
  <si>
    <t>1xDC.C-16 # 4.5(5900) + 1xDC.C-16 # 6(5800)</t>
  </si>
  <si>
    <t>2xDB.C-4  # 3.3(5850)</t>
  </si>
  <si>
    <t>2xDC.C-13 # 1.2(5850)</t>
  </si>
  <si>
    <t>2xDC.C-16 # 10(5850)</t>
  </si>
  <si>
    <t>1xDC.C-18 # 5(4465) + 1xDC.C-11 # 5(4050) + 1xDA.C-40 # 3.1(3185)</t>
  </si>
  <si>
    <t>1xDC.C-18 # 5(4465) + 1xDC.C-11 # 5(4050) + 1xDA.C-40 # 3.2(3185)</t>
  </si>
  <si>
    <t>1xDB.C-15  # 7(4330) + 1xDB.C-5  # 6(4130) + 1xDB.C-15  # 1.3(3240)</t>
  </si>
  <si>
    <t>2xDC.C-2  # 8(4210) + 1xDC.C-13 # 6(3280)</t>
  </si>
  <si>
    <t>1xDC.C-18 # 5(4465) + 1xDC.C-13 # 5(3930) + 1xDA.C-41 # 1.1(3300)</t>
  </si>
  <si>
    <t>1xDB.C-4  # 4(4430) + 1xDA.C-41 # 5(4165) + 1xDA.C-41 # 2.1(3100)</t>
  </si>
  <si>
    <t>1xDB.C-4  # 4(4430) + 1xDA.C-41 # 5(4165) + 1xDA.C-41 # 2.2(3100)</t>
  </si>
  <si>
    <t>1xDB.C-15  # 7(4330) + 1xDA.C-41 # 5(4165) + 1xDA.C-41 # 2.3(3200)</t>
  </si>
  <si>
    <t>1xDC.C-18 # 4(4915) + 1xDA.C-40 # 5(3470) + 1xDA.C-41 # 1.1(3300)</t>
  </si>
  <si>
    <t>1xDC.C-18 # 4(4915) + 1xDA.C-40 # 5(3470) + 1xDA.C-41 # 1.2(3300)</t>
  </si>
  <si>
    <t>1xDC.C-18 # 5(4465) + 1xDA.C-18 # 1.1(4120) + 1xDC.C-1 # 1.1(3100)</t>
  </si>
  <si>
    <t>1xDC.C-18 # 5(4465) + 1xDA.C-18 # 1.1(4120) + 1xDC.C-1 # 1.3(3100)</t>
  </si>
  <si>
    <t>1xDA.C-41 # 4(4365) + 1xDA.C-18 # 1.1(4120) + 1xDA.C-41 # 2.3(3200)</t>
  </si>
  <si>
    <t>1xDA.C-40 # 4.4(8040) + 1xDB.C-4  # 5(3630)</t>
  </si>
  <si>
    <t>1xDC.C-6 # 3.4(8360) + 1xDA.C-41 # 1.2(3300)</t>
  </si>
  <si>
    <t>1xDB.C-5  # 3.1(8190) + 1xDA.C-40 # 5(3470)</t>
  </si>
  <si>
    <t>1xDB.C-3  # 2.1(7260) + 1xDB.C-3  # 5(4400)</t>
  </si>
  <si>
    <t>1xDB.C-3  # 4(6950) + 1xDC.C-2  # 4(4710)</t>
  </si>
  <si>
    <t>1xDB.C-5  # 3.6(7190) + 1xDC.C-18 # 5(4465)</t>
  </si>
  <si>
    <t>1xDC.C-6 # 3.6(8180) + 1xDA.C-40 # 5(3470)</t>
  </si>
  <si>
    <t>1xDB.C-4  # 3.2(6940) + 1xDC.C-2  # 4(4710)</t>
  </si>
  <si>
    <t>1xDC.C-1 # 2.3(7420) + 1xDC.C-2  # 8(4210)</t>
  </si>
  <si>
    <t>1xDC.C-13 # 4.1(7160) + 1xDC.C-18 # 5(4465)</t>
  </si>
  <si>
    <t>1xDB.C-5  # 5(7150) + 1xDC.C-18 # 5(4465)</t>
  </si>
  <si>
    <t>1xDC.C-6 # 4(7150) + 1xDC.C-18 # 5(4465)</t>
  </si>
  <si>
    <t>1xDA.C-41 # 3.4(8100) + 1xDA.C-40 # 5(3470)</t>
  </si>
  <si>
    <t>1xDC.C-2  # 5(7100) + 1xDC.C-18 # 5(4465)</t>
  </si>
  <si>
    <t>1xDC.C-2  # 5(7100) + 1xDB.C-3  # 5(4400)</t>
  </si>
  <si>
    <t>1xDA.C-41 # 3.4(8100) + 1xDA.C-40 # 1.1(3385)</t>
  </si>
  <si>
    <t>1xDC.C-2  # 5(7100) + 1xDA.C-41 # 4(4365)</t>
  </si>
  <si>
    <t>1xDA.C-40 # 4.4(8040) + 1xDA.C-40 # 1.1(3385)</t>
  </si>
  <si>
    <t>1xDA.C-40 # 4.4(8040) + 1xDA.C-40 # 1.2(3385)</t>
  </si>
  <si>
    <t>1xDC.C-16 # 4.1(8040) + 1xDA.C-40 # 1.2(3385)</t>
  </si>
  <si>
    <t>1xDC.C-16 # 4.7(8030) + 1xDA.C-40 # 1.2(3385)</t>
  </si>
  <si>
    <t>1xDC.C-16 # 4.9(8020) + 1xDA.C-40 # 1.2(3385)</t>
  </si>
  <si>
    <t>1xDC.C-7 # 2.2(8010) + 1xDA.C-40 # 1.2(3385)</t>
  </si>
  <si>
    <t>1xDC.C-13 # 4.6(7030) + 1xDA.C-41 # 4(4365)</t>
  </si>
  <si>
    <t>1xDC.C-7 # 2.1(8000) + 1xDA.C-40 # 1.2(3385)</t>
  </si>
  <si>
    <t>1xDA.C-goc # 1(7020) + 1xDA.C-41 # 4(4365)</t>
  </si>
  <si>
    <t>1xDA.C-goc # 1(7020) + 1xDB.C-15  # 7(4330)</t>
  </si>
  <si>
    <t>1xDC.C-7 # 2.1(8000) + 1xDA.C-41 # 1.2(3300)</t>
  </si>
  <si>
    <t>1xDC.C-16 # 4.3(7960) + 1xDA.C-40 # 2.1(3285)</t>
  </si>
  <si>
    <t>1xDA.C-41 # 3.3(7900) + 1xDA.C-40 # 2.1(3285)</t>
  </si>
  <si>
    <t>1xDA.C-41 # 3.3(7900) + 1xDA.C-40 # 2.2(3285)</t>
  </si>
  <si>
    <t>1xDC.C-13 # 2.1(7900) + 1xDA.C-40 # 2.2(3285)</t>
  </si>
  <si>
    <t>1xDC.C-13 # 2.2(7900) + 1xDA.C-40 # 2.2(3285)</t>
  </si>
  <si>
    <t>1xDC.C-13 # 2.2(7900) + 1xDC.C-13 # 6(3280)</t>
  </si>
  <si>
    <t>1xDB.C-15  # 1.5(11100)</t>
  </si>
  <si>
    <t>1xDC.C-8 # 3(11085)</t>
  </si>
  <si>
    <t>1xDC.C-9 # 4(11085)</t>
  </si>
  <si>
    <t>1xDC.C-16 # 4.6(7740) + 1xDC.C-13 # 6(3280)</t>
  </si>
  <si>
    <t>1xDA.C-41 # 1.3(11000)</t>
  </si>
  <si>
    <t>1xDA.C-41 # 1.4(11000)</t>
  </si>
  <si>
    <t>1xDA.C-41 # 2.5(11000)</t>
  </si>
  <si>
    <t>1xDA.C-41 # 2.6(11000)</t>
  </si>
  <si>
    <t>1xDA.C-41 # 2.7(11000)</t>
  </si>
  <si>
    <t>1xDA.C-41 # 2.8(11000)</t>
  </si>
  <si>
    <t>1xDC.C-13 # 1.6(11000)</t>
  </si>
  <si>
    <t>1xDB.C-4  # 3.1(7610) + 1xDA.C-40 # 6(3265)</t>
  </si>
  <si>
    <t>1xDB.C-15  # 3.6(7600) + 1xDA.C-41 # 2.3(3200)</t>
  </si>
  <si>
    <t>1xDB.C-15  # 4(7550) + 1xDA.C-41 # 2.3(3200)</t>
  </si>
  <si>
    <t>1xDB.C-15  # 4(7550) + 1xDA.C-41 # 2.4(3200)</t>
  </si>
  <si>
    <t>1xDB.C-15  # 1.1(10650)</t>
  </si>
  <si>
    <t>1xDC.C-13 # 4.3(10550)</t>
  </si>
  <si>
    <t>1xDC.C-6 # 2.2(10340)</t>
  </si>
  <si>
    <t>1xDC.C-13 # 1.3(10290)</t>
  </si>
  <si>
    <t>1xDA.C-goc # 1(7020) + 1xDA.C-41 # 2.4(3200)</t>
  </si>
  <si>
    <t>1xDC.C-13 # 4.7(10120)</t>
  </si>
  <si>
    <t>1xDA.C-40 # 1.3(10000)</t>
  </si>
  <si>
    <t>1xDA.C-40 # 1.4(10000)</t>
  </si>
  <si>
    <t>1xDA.C-40 # 2.3(10000)</t>
  </si>
  <si>
    <t>1xDA.C-40 # 2.4(10000)</t>
  </si>
  <si>
    <t>1xDA.C-40 # 3.3(10000)</t>
  </si>
  <si>
    <t>1xDA.C-40 # 3.4(10000)</t>
  </si>
  <si>
    <t>1xDB.C-1 # 1.2(9685)</t>
  </si>
  <si>
    <t>1xDB.C-1 # 1.4(9685)</t>
  </si>
  <si>
    <t>1xDB.C-15  # 3.3(9360)</t>
  </si>
  <si>
    <t>1xDC.C-1 # 2.4(9320)</t>
  </si>
  <si>
    <t>1xDC.C-2  # 2.6(9260)</t>
  </si>
  <si>
    <t>1xDC.C-10 # 1(9255)</t>
  </si>
  <si>
    <t>1xDC.C-10 # 2(9255)</t>
  </si>
  <si>
    <t>1xDC.C-9 # 1(9245)</t>
  </si>
  <si>
    <t>1xDC.C-18 # 1(9245)</t>
  </si>
  <si>
    <t>1xDC.C-18 # 3(9245)</t>
  </si>
  <si>
    <t>1xDC.C-8 # 1(9195)</t>
  </si>
  <si>
    <t>1xDC.C-18 # 2(9195)</t>
  </si>
  <si>
    <t>1xDA.C-18 # 2.2(9000)</t>
  </si>
  <si>
    <t>1xDB.C-4  # 3.4(8700)</t>
  </si>
  <si>
    <t>1xDC.C-2  # 2.4(8670)</t>
  </si>
  <si>
    <t>1xDA.C-goc # 1(7020)</t>
  </si>
  <si>
    <t>1xDA.C-goc # 2(7020)</t>
  </si>
  <si>
    <t>1xDA.C-40 # 4.3(7000)</t>
  </si>
  <si>
    <t>1xDB.C-4  # 3.2(6940)</t>
  </si>
  <si>
    <t>1xDC.C-6 # 3.7(6940)</t>
  </si>
  <si>
    <t>1xDC.C-2  # 2.5(6900)</t>
  </si>
  <si>
    <t>1xDA.C-18 # 2.1(6840)</t>
  </si>
  <si>
    <t>1xDC.C-13 # 4.5(6730)</t>
  </si>
  <si>
    <t>1xDC.C-1 # 2.1(6700)</t>
  </si>
  <si>
    <t>1xDC.C-6 # 3(6600)</t>
  </si>
  <si>
    <t>1xDC.C-13 # 4.2(6600)</t>
  </si>
  <si>
    <t>1xDC.C-13 # 1.5(6580)</t>
  </si>
  <si>
    <t>1xDB.C-3  # 2.9(6500)</t>
  </si>
  <si>
    <t>1xDB.C-5  # 3.4(6350)</t>
  </si>
  <si>
    <t>1xDB.C-15  # 3.4(6290)</t>
  </si>
  <si>
    <t>1xDC.C-16 # 4.1(6280)</t>
  </si>
  <si>
    <t>1xDA.C-41 # 3.2(6255)</t>
  </si>
  <si>
    <t>1xDC.C-7 # 2.4(6250)</t>
  </si>
  <si>
    <t>1xDA.C-40 # 4.2(6240)</t>
  </si>
  <si>
    <t>1xDC.C-7 # 2.3(6240)</t>
  </si>
  <si>
    <t>1xDC.C-2  # 3(6140)</t>
  </si>
  <si>
    <t>1xDA.C-41 # 3.1(6055)</t>
  </si>
  <si>
    <t>1xDC.C-8 # 4(6015)</t>
  </si>
  <si>
    <t>1xDC.C-16 # 8(6000)</t>
  </si>
  <si>
    <t>1xDC.C-1 # 3(5940)</t>
  </si>
  <si>
    <t>1xDB.C-15  # 5(5925)</t>
  </si>
  <si>
    <t>1xDC.C-16 # 6(5800)</t>
  </si>
  <si>
    <t>1xDC.C-16 # 2(8100) + 1xDB.C-5  # 1.1(3600)</t>
  </si>
  <si>
    <t>1xDC.C-14 # 3.7(7250) + 1xDC.C-14 # 3.4(4450)</t>
  </si>
  <si>
    <t>1xDC.C-12 # 3.6(6700) + 1xDC.C-12 # 3.4(5000)</t>
  </si>
  <si>
    <t>1xDC.C-12 # 3.6(6700) + 1xDC.C-12 # 6(5000)</t>
  </si>
  <si>
    <t>1xDC.C-12 # 3.5(6380) + 1xDC.C-12 # 3.1(5320)</t>
  </si>
  <si>
    <t>1xDC.C-11 # 3(6240) + 1xDC.C-12 # 5(3000) + 1xDC.C-16 # 1.5(2460)</t>
  </si>
  <si>
    <t>2xDC.C-14 # 3.3(5850)</t>
  </si>
  <si>
    <t>2xDC.C-16 # 1.2(5850)</t>
  </si>
  <si>
    <t>1xDC.C-16 # 1.2(5850) + 2xDC.C-2  # 1.6(2925)</t>
  </si>
  <si>
    <t>1xDC.C-12 # 6(5000) + 1xDC.C-7 # 4(4200) + 1xDB.C-3  # 1.1(2500)</t>
  </si>
  <si>
    <t>1xDC.C-7 # 1(9600) + 1xDC.C-14 # 1.1(2090)</t>
  </si>
  <si>
    <t>1xDC.C-7 # 5(5130) + 1xDC.C-12 # 4(3650) + 1xDC.C-16 # 1.1(2910)</t>
  </si>
  <si>
    <t>1xDC.C-11 # 1.4(7745) + 1xDA.C-41 # 6.1(3940)</t>
  </si>
  <si>
    <t>1xDC.C-13 # 7(5100) + 1xDC.C-12 # 4(3650) + 1xDC.C-2  # 1.6(2925)</t>
  </si>
  <si>
    <t>1xDC.C-7 # 3(5180) + 1xDC.C-7 # 4(4200) + 1xDC.C-6 # 1(2290)</t>
  </si>
  <si>
    <t>2xDC.C-11 # 1.1(4690) + 1xDC.C-6 # 1(2290)</t>
  </si>
  <si>
    <t>1xDC.C-12 # 5(3000) + 3xDA.C-41 # 7(2890)</t>
  </si>
  <si>
    <t>1xDC.C-16 # 1.7(9370) + 1xDC.C-6 # 1(2290)</t>
  </si>
  <si>
    <t>1xDC.C-12 # 2.3(8000) + 1xDC.C-12 # 4(3650)</t>
  </si>
  <si>
    <t>1xDC.C-11 # 3.7(7680) + 1xDA.C-41 # 6.1(3940)</t>
  </si>
  <si>
    <t>4xDA.C-41 # 7(2890)</t>
  </si>
  <si>
    <t>1xDC.C-11 # 3.4(7610) + 1xDA.C-41 # 6.1(3940)</t>
  </si>
  <si>
    <t>1xDC.C-11 # 3.5(6900) + 1xDC.C-12 # 1.1(4650)</t>
  </si>
  <si>
    <t>1xDB.C-5  # 1.3(8650) + 1xDA.C-41 # 7(2890)</t>
  </si>
  <si>
    <t>1xDA.C-41 # 6(6530) + 1xDC.C-12 # 6(5000)</t>
  </si>
  <si>
    <t>1xDC.C-16 # 1.9(7560) + 1xDA.C-41 # 6.1(3940)</t>
  </si>
  <si>
    <t>1xDC.C-16 # 1.6(6220) + 1xDC.C-7 # 3(5180)</t>
  </si>
  <si>
    <t>1xDC.C-2  # 1.3(11125)</t>
  </si>
  <si>
    <t>1xDB.C-3  # 1.5(11120)</t>
  </si>
  <si>
    <t>1xDB.C-5  # 1.4(11120)</t>
  </si>
  <si>
    <t>1xDC.C-11 # 1.6(11000)</t>
  </si>
  <si>
    <t>1xDC.C-12 # 1.9(11000)</t>
  </si>
  <si>
    <t>1xDC.C-12 # 1(11000)</t>
  </si>
  <si>
    <t>1xDC.C-14 # 1.8(11000)</t>
  </si>
  <si>
    <t>1xDC.C-16 # 1.4(11000)</t>
  </si>
  <si>
    <t>1xDC.C-11 # 1.3(10980)</t>
  </si>
  <si>
    <t>1xDC.C-11 # 4(10980)</t>
  </si>
  <si>
    <t>1xDA.C-41 # 6(6530) + 1xDA.C-41 # 6.1(3940)</t>
  </si>
  <si>
    <t>1xDA.C-41 # 6(6530) + 1xDC.C-14 # 1.11(3900)</t>
  </si>
  <si>
    <t>1xDB.C-3  # 1.3(9750)</t>
  </si>
  <si>
    <t>1xDC.C-11 # 3.2(9690)</t>
  </si>
  <si>
    <t>1xDC.C-7 # 1(9600)</t>
  </si>
  <si>
    <t>1xDC.C-12 # 3.3(9460)</t>
  </si>
  <si>
    <t>1xDC.C-16 # 1.3(9420)</t>
  </si>
  <si>
    <t>1xDC.C-16 # 1.7(9370)</t>
  </si>
  <si>
    <t>1xDC.C-2  # 1.5(9325)</t>
  </si>
  <si>
    <t>1xDC.C-14 # 1.12(9190)</t>
  </si>
  <si>
    <t>1xDC.C-9 # 2(8915)</t>
  </si>
  <si>
    <t>1xDC.C-14 # 3.5(8650)</t>
  </si>
  <si>
    <t>1xDC.C-11 # 3.1(8600)</t>
  </si>
  <si>
    <t>1xDC.C-11 # 3.6(8545)</t>
  </si>
  <si>
    <t>1xDC.C-16 # 2(8100)</t>
  </si>
  <si>
    <t>1xDC.C-12 # 2.3(8000)</t>
  </si>
  <si>
    <t>1xDC.C-12 # 2(8000)</t>
  </si>
  <si>
    <t>1xDC.C-12 # 3.2(8000)</t>
  </si>
  <si>
    <t>1xDC.C-6 # 1.3(7985)</t>
  </si>
  <si>
    <t>1xDC.C-11 # 1.5(7905)</t>
  </si>
  <si>
    <t>1xDC.C-13 # 3.1(7900)</t>
  </si>
  <si>
    <t>1xDC.C-13 # 3.2(7900)</t>
  </si>
  <si>
    <t>1xDC.C-12 # 1.8(7825)</t>
  </si>
  <si>
    <t>1xDA.C-41 # 6(6530)</t>
  </si>
  <si>
    <t>1xDC.C-16 # 1.6(6220)</t>
  </si>
  <si>
    <t>1xDC.C-11 # 3.3(6205)</t>
  </si>
  <si>
    <t>1xDC.C-11a # 2.2(4270) + 2xDC.C-11a # 2(3425)</t>
  </si>
  <si>
    <t>1xDC.C-11b # 2.2(4270) + 2xDC.C-11a # 2(3425)</t>
  </si>
  <si>
    <t>1xDC.C-11a # 2.1(4180) + 2xDC.C-11b # 2(3375)</t>
  </si>
  <si>
    <t>1xDC.C-11b # 2.1(4180) + 2xDC.C-11b # 2(3375)</t>
  </si>
  <si>
    <t>2xDC.C-14 # 2.4(2150)</t>
  </si>
  <si>
    <t>1xDC.C-17 # 2.1(4100)</t>
  </si>
  <si>
    <t>1xDC.C-17 # 2.6(4100)</t>
  </si>
  <si>
    <t>1xDB.4-40 # 1(3950)</t>
  </si>
  <si>
    <t>1xDB.4-40 # 2(3950)</t>
  </si>
  <si>
    <t>1xDA.C-40 # 7.1(3490)</t>
  </si>
  <si>
    <t>1xDA.C-40 # 8(2790)</t>
  </si>
  <si>
    <t>1xDC.C-14 # 4(7250)</t>
  </si>
  <si>
    <t>2xDC.C-16 # 3.2(5850)</t>
  </si>
  <si>
    <t>2xDC.C-17 # 1.8(5850)</t>
  </si>
  <si>
    <t>2xDC.C-17 # 2.5(5850)</t>
  </si>
  <si>
    <t>1xDB.4-41 # 1(6130) + 1xDA.C-40 # 8(2790) + 1xDB.C-2  # 9(2760)</t>
  </si>
  <si>
    <t>1xDB.4-41 # 2(6130) + 1xDA.C-40 # 8(2790) + 1xDB.C-2  # 9(2760)</t>
  </si>
  <si>
    <t>1xDC.C-17 # 1.4(8700) + 1xDA.C-40 # 8(2790)</t>
  </si>
  <si>
    <t>1xDC.C-17 # 2.2(5900) + 2xDA.C-40 # 8(2790)</t>
  </si>
  <si>
    <t>1xDA.C-40 # 7.2(6530) + 1xDA.C-40 # 8(2790) + 1xDC.C-14 # 2.4(2150)</t>
  </si>
  <si>
    <t>1xDC.C-16 # 3.3(11220)</t>
  </si>
  <si>
    <t>1xDC.C-17 # 2.1(11200)</t>
  </si>
  <si>
    <t>4xDA.C-40 # 8(2790)</t>
  </si>
  <si>
    <t>3xDA.C-40 # 8(2790) + 1xDB.C-2  # 9(2760)</t>
  </si>
  <si>
    <t>4xDB.C-2  # 9(2760)</t>
  </si>
  <si>
    <t>1xDC.C-17 # 2.4(11000)</t>
  </si>
  <si>
    <t>1xDC.C-17 # 2.7(11000)</t>
  </si>
  <si>
    <t>1xDC.C-17 # 1.3(10850)</t>
  </si>
  <si>
    <t>1xDC.C-11 # 2(7900) + 1xDB.C-2  # 9(2760)</t>
  </si>
  <si>
    <t>1xDC.C-17 # 1.6(10600)</t>
  </si>
  <si>
    <t>1xDB.C-5  # 2.1(10500)</t>
  </si>
  <si>
    <t>1xDB.C-5  # 2.4(10500)</t>
  </si>
  <si>
    <t>1xDC.C-16 # 3.1(10230)</t>
  </si>
  <si>
    <t>1xDC.C-11 # 2(7900)</t>
  </si>
  <si>
    <t>1xDC.C-17 # 2.3(7650)</t>
  </si>
  <si>
    <t>1xDC.C-17 # 2.8(7600)</t>
  </si>
  <si>
    <t>1xDC.C-17 # 2.9(7600)</t>
  </si>
  <si>
    <t>1xDC.C-17 # 1.1(7400)</t>
  </si>
  <si>
    <t>1xDC.C-17 # 1.7(7400)</t>
  </si>
  <si>
    <t>1xDA.C-40 # 7.2(6530)</t>
  </si>
  <si>
    <t>1xDC.C-11a # 1(3265)</t>
  </si>
  <si>
    <t>1xDC.C-11b # 1(3215)</t>
  </si>
  <si>
    <t>1xDA.C-goc # 5(3020)</t>
  </si>
  <si>
    <t>1xDC.C-11a # 1.2(3950)</t>
  </si>
  <si>
    <t>1xDC.C-11b # 1.2(3950)</t>
  </si>
  <si>
    <t>1xDC.C-11a # 1.1(3860)</t>
  </si>
  <si>
    <t>1xDC.C-11b # 1.1(3860)</t>
  </si>
  <si>
    <t>1xDA.C-41 # 8(8190)</t>
  </si>
  <si>
    <t>1xDA.C-40 # 9(8180)</t>
  </si>
  <si>
    <t>1xDA.C-18 # 3.1(2030)</t>
  </si>
  <si>
    <t>1xDA.C-18 # 4(2710) + 2xDA.C-18 # 3.1(2030)</t>
  </si>
  <si>
    <t>2xDA.C-18 # 4(2710) + 3xDA.C-18 # 3.1(2030)</t>
  </si>
  <si>
    <t>4xDA.C-18 # 4(2710)</t>
  </si>
  <si>
    <t>2xDA.C-18 # 3.2(5370)</t>
  </si>
  <si>
    <t>1xDA.C-18 # 3.2(5370) + 1xDA.C-18 # 4(2710) + 1xDA.C-18 # 3.1(2030)</t>
  </si>
  <si>
    <t>1xDC.C-11 # 10(970)</t>
  </si>
  <si>
    <t>1xDC.C-13 # 12(770)</t>
  </si>
  <si>
    <t>1xDC.C-14 # 9(770)</t>
  </si>
  <si>
    <t>1xDA.C-40 # 10(1970) + 1xDA.C-goc # 6(1570)</t>
  </si>
  <si>
    <t>1xDA.C-goc # 9(3020)</t>
  </si>
  <si>
    <t>2xDA.C-40 # 10(1970)</t>
  </si>
  <si>
    <t>2xDA.C-41 # 9(1970)</t>
  </si>
  <si>
    <t>2xDA.C-goc # 3.1(2550)</t>
  </si>
  <si>
    <t>1xDA.C-goc # 9(3020) + 1xDA.C-41 # 9(1970)</t>
  </si>
  <si>
    <t>1xDA.C-goc # 4(2670) + 1xDA.C-41 # 9(1970)</t>
  </si>
  <si>
    <t>1xDA.C-goc # 4(2670)</t>
  </si>
  <si>
    <t>1xDA.C-18 # 3(9900)</t>
  </si>
  <si>
    <t>1xDA.C-18 # 5(9900)</t>
  </si>
  <si>
    <t>1xDA.C-41 # 11(8190)</t>
  </si>
  <si>
    <t>1xDA.C-40 # 11(8180)</t>
  </si>
  <si>
    <t>1xDA.C-goc # 3.2(6130)</t>
  </si>
  <si>
    <t>1xDC.C-11 # 8.2(11430)</t>
  </si>
  <si>
    <t>1xDC.C-13 # 11.2(11430)</t>
  </si>
  <si>
    <t>1xDC.C-14 # 7.2(9590)</t>
  </si>
  <si>
    <t>1xDB.C-15  # 10.2(9280)</t>
  </si>
  <si>
    <t>1xDC.C-11a # 3(1520) + 1xDB.C-15  # 9(890) + 1xDA.C-18 # 6(790) + 2xDB.C-2  # 10(690)</t>
  </si>
  <si>
    <t>2xDB.C-15  # 8(2560) + 1xDB.C-4  # 8(2160) + 1xDB.C-3  # 7(1760) + 1xDB.4-40 # 3(1180) + 1xDA.C-18 # 6(790) + 1xDB.C-2  # 10(690)</t>
  </si>
  <si>
    <t>1xDB.C-15  # 8+1xDC.C-8 # 5(5120) + 1xDB.C-4  # 8(2160) + 1xDB.C-3  # 7(1760) + 1xDB.4-40 # 3(1180) + 1xDA.C-18 # 6(790) + 1xDB.C-2  # 10(690)</t>
  </si>
  <si>
    <t>2xDC.C-8 # 5(2560) + 1xDB.C-4  # 8(2160) + 1xDB.C-3  # 7(1760) + 1xDB.4-40 # 3(1180) + 1xDA.C-18 # 6(790) + 1xDB.C-2  # 10(690)</t>
  </si>
  <si>
    <t>2xDC.C-8 # 5(2560) + 1xDB.C-4  # 8(2160) + 2xDC.C-11a # 3(1520) + 2xDB.C-2  # 10(690)</t>
  </si>
  <si>
    <t>2xDC.C-8 # 5(2560) + 1xDB.C-5  # 7(2160) + 2xDC.C-11a # 3(1520) + 2xDB.C-2  # 10(690)</t>
  </si>
  <si>
    <t>1xDC.C-8 # 5+1xDC.C-11 # 6(5120) + 1xDB.C-5  # 7(2160) + 2xDC.C-11a # 3(1520) + 2xDB.C-2  # 10(690)</t>
  </si>
  <si>
    <t>2xDC.C-11 # 6(2560) + 1xDB.C-5  # 7(2160) + 2xDC.C-11a # 3(1520) + 2xDB.C-2  # 10(690)</t>
  </si>
  <si>
    <t>2xDC.C-11 # 6(3320) + 1xDB.C-5  # 7(2160) + 1xDC.C-11a # 3+1xDC.C-11b # 3(1520) + 2xDB.C-2  # 10(690)</t>
  </si>
  <si>
    <t>2xDC.C-11 # 6(2560) + 1xDB.C-5  # 7(2160) + 2xDC.C-11b # 3(1520) + 2xDB.C-2  # 10(690)</t>
  </si>
  <si>
    <t>2xDC.C-11 # 6(2560) + 1xDC.C-1 # 5(1960) + 1xDB.C-3  # 7(1760) + 1xDA.C-18 # 6(790) + 3xDB.C-2  # 10(690)</t>
  </si>
  <si>
    <t>1xDC.C-11 # 6+1xDC.C-13 # 9(5120) + 1xDC.C-1 # 5(1960) + 1xDB.C-3  # 7(1760) + 1xDA.C-18 # 6(790) + 3xDB.C-2  # 10(690)</t>
  </si>
  <si>
    <t>2xDC.C-13 # 9(2560) + 1xDC.C-1 # 5(1960) + 1xDB.C-3  # 7(1760) + 1xDA.C-18 # 6(790) + 3xDB.C-2  # 10(690)</t>
  </si>
  <si>
    <t>2xDC.C-13 # 9(2560) + 1xDC.C-1 # 5(1960) + 1xDB.C-3  # 7(1760) + 1xDA.C-18 # 6(790) + 3xDB.C-3  # 8(690)</t>
  </si>
  <si>
    <t>5xDB.C-3  # 7(1760) + 1xDC.C-11b # 3(1520) + 2xDB.C-3  # 8(690)</t>
  </si>
  <si>
    <t>2xDC.C-13 # 9(2560) + 1xDB.C-5  # 7(2160) + 1xDC.C-1 # 5(1960) + 1xDB.C-3  # 7(1760) + 1xDB.C-3  # 8(690)</t>
  </si>
  <si>
    <t>2xDC.C-13 # 9(2560) + 3xDC.C-1 # 5(1960) + 1xDB.C-3  # 8(690)</t>
  </si>
  <si>
    <t>2xDC.C-13 # 9(2560) + 2xDC.C-1 # 5+1xDC.C-6 # 6(1960) + 1xDB.C-3  # 8(690)</t>
  </si>
  <si>
    <t>2xDC.C-13 # 9(2560) + 3xDC.C-6 # 6(1960) + 1xDB.C-3  # 8(690)</t>
  </si>
  <si>
    <t>1xDC.C-13 # 9+1xDC.C-14 # 5(2560) + 3xDC.C-6 # 6(1960) + 1xDB.C-3  # 8(690)</t>
  </si>
  <si>
    <t>2xDC.C-14 # 5(2560) + 3xDC.C-6 # 6(1960) + 1xDB.C-3  # 8(690)</t>
  </si>
  <si>
    <t>2xDC.C-14 # 5(2560) + 2xDC.C-6 # 6+1xDC.C-17 # 3(1960) + 1xDB.C-3  # 8(690)</t>
  </si>
  <si>
    <t>2xDC.C-14 # 5(2560) + 3xDC.C-17 # 3(1960) + 1xDB.C-3  # 8(690)</t>
  </si>
  <si>
    <t>5xDB.C-5  # 7(2160) + 1xDB.C-15  # 9(890)</t>
  </si>
  <si>
    <t>2xDB.C-5  # 7+3xDC.C-7 # 6(2160) + 1xDB.C-15  # 9(890)</t>
  </si>
  <si>
    <t>5xDC.C-7 # 6(2160) + 1xDB.C-15  # 9(890)</t>
  </si>
  <si>
    <t>2xDC.C-7 # 6+3xDC.C-9 # 5(2160) + 1xDB.C-15  # 9(890)</t>
  </si>
  <si>
    <t>5xDC.C-9 # 5(2160) + 1xDB.C-15  # 9(890)</t>
  </si>
  <si>
    <t>4xDC.C-9 # 5+1xDC.C-10 # 3(2160) + 1xDB.C-15  # 9(890)</t>
  </si>
  <si>
    <t>5xDC.C-10 # 3(2160) + 1xDB.C-15  # 9(890)</t>
  </si>
  <si>
    <t>3xDC.C-10 # 3+2xDC.C-12 # 17(2160) + 1xDB.C-15  # 9(890)</t>
  </si>
  <si>
    <t>5xDC.C-12 # 17(2160) + 1xDB.C-15  # 9(890)</t>
  </si>
  <si>
    <t>4xDC.C-12 # 17+1xDC.C-16 # 12(2160) + 1xDB.C-15  # 9(890)</t>
  </si>
  <si>
    <t>5xDC.C-16 # 12(2160) + 1xDB.C-15  # 9(890)</t>
  </si>
  <si>
    <t>3xDC.C-16 # 12+2xDC.C-18 # 6(2160) + 1xDB.C-15  # 9(890)</t>
  </si>
  <si>
    <t>5xDC.C-18 # 6(2160) + 1xDB.C-15  # 9(890)</t>
  </si>
  <si>
    <t>1xDC.C-18 # 6(2160) + 3xDC.C-17 # 3(1960) + 1xDB.C-15  # 9(890) + 4xDB.C-3  # 8(690)</t>
  </si>
  <si>
    <t>4xDC.C-17 # 3(1960) + 2xDB.C-15  # 9(890) + 3xDB.C-3  # 8(690)</t>
  </si>
  <si>
    <t>4xDC.C-17 # 3(1960) + 2xDB.C-15  # 9(890) + 1xDB.C-3  # 8+2xDB.C-4  # 9(690)</t>
  </si>
  <si>
    <t>4xDC.C-17 # 3(1960) + 2xDB.C-15  # 9(890) + 3xDB.C-4  # 9(690)</t>
  </si>
  <si>
    <t>4xDC.C-17 # 3(1960) + 2xDC.C-11 # 1(890) + 3xDB.C-4  # 9(690)</t>
  </si>
  <si>
    <t>4xDC.C-17 # 3(1960) + 2xDC.C-11 # 1(890) + 3xDB.C-5  # 8(690)</t>
  </si>
  <si>
    <t>10xDC.C-11 # 1(890) + 4xDB.C-5  # 8(690)</t>
  </si>
  <si>
    <t>2xDC.C-11 # 1+8xDC.C-13 # 10(890) + 4xDB.C-5  # 8(690)</t>
  </si>
  <si>
    <t>10xDC.C-13 # 10(890) + 4xDB.C-5  # 8(690)</t>
  </si>
  <si>
    <t>10xDC.C-13 # 10(890) + 1xDB.C-5  # 8+3xDC.C-1 # 6(690)</t>
  </si>
  <si>
    <t>10xDC.C-13 # 10(890) + 4xDC.C-1 # 6(690)</t>
  </si>
  <si>
    <t>10xDC.C-14 # 6(890) + 4xDC.C-1 # 6(690)</t>
  </si>
  <si>
    <t>10xDC.C-14 # 6(890) + 1xDC.C-1 # 6+3xDC.C-6 # 7(690)</t>
  </si>
  <si>
    <t>10xDC.C-14 # 6(890) + 4xDC.C-6 # 7(690)</t>
  </si>
  <si>
    <t>3xDC.C-14 # 6(890) + 13xDC.C-6 # 7(690)</t>
  </si>
  <si>
    <t>1xDC.C-17 # 3(1960) + 14xDC.C-6 # 7(690)</t>
  </si>
  <si>
    <t>1xDC.C-14 # 6(890) + 15xDC.C-6 # 7(690)</t>
  </si>
  <si>
    <t>16xDC.C-6 # 7(690)</t>
  </si>
  <si>
    <t>8xDC.C-6 # 7+8xDC.C-7 # 7(690)</t>
  </si>
  <si>
    <t>16xDC.C-7 # 7(690)</t>
  </si>
  <si>
    <t>5xDC.C-7 # 7+11xDC.C-8 # 6(690)</t>
  </si>
  <si>
    <t>16xDC.C-8 # 6(690)</t>
  </si>
  <si>
    <t>1xDC.C-8 # 6+15xDC.C-9 # 6(690)</t>
  </si>
  <si>
    <t>16xDC.C-9 # 6(690)</t>
  </si>
  <si>
    <t>4xDC.C-9 # 6+12xDC.C-10 # 4(690)</t>
  </si>
  <si>
    <t>16xDC.C-10 # 4(690)</t>
  </si>
  <si>
    <t>7xDC.C-10 # 4+9xDC.C-12 # 16(690)</t>
  </si>
  <si>
    <t>16xDC.C-12 # 16(690)</t>
  </si>
  <si>
    <t>13xDC.C-12 # 16+3xDC.C-16 # 13(690)</t>
  </si>
  <si>
    <t>16xDC.C-16 # 13(690)</t>
  </si>
  <si>
    <t>16xDC.C-17 # 4(690)</t>
  </si>
  <si>
    <t>10xDC.C-17 # 4+6xDC.C-18 # 7(690)</t>
  </si>
  <si>
    <t>16xDC.C-18 # 7(690)</t>
  </si>
  <si>
    <t>2xDC.C-18 # 7(690)</t>
  </si>
  <si>
    <t>Thép dư 5570</t>
  </si>
  <si>
    <t>Thép dư 9670</t>
  </si>
  <si>
    <t>Thép dư 3875</t>
  </si>
  <si>
    <t>Thép dư 5495</t>
  </si>
  <si>
    <t>Thép dư 5420</t>
  </si>
  <si>
    <t>Thép dư 5445</t>
  </si>
  <si>
    <t>Thép dư 5685</t>
  </si>
  <si>
    <t>Thép dư 5775</t>
  </si>
  <si>
    <t>4xDB.C-4  # 1.11(420) + 1xDB.C-2 # 2.1(20)</t>
  </si>
  <si>
    <t>4xDB.C-4  # 2.1(420) + 1xDB.C-2 # 2.1(20)</t>
  </si>
  <si>
    <t>1xDB.C-4  # 2.1(420)</t>
  </si>
  <si>
    <t>1xDB.C-3 # 14(2590)</t>
  </si>
  <si>
    <t>1xDB.C-2 # 6(4675)</t>
  </si>
  <si>
    <t>1xDB.C-5  # 7.2(4675)</t>
  </si>
  <si>
    <t>1xDB.C-2 # 7(4600)</t>
  </si>
  <si>
    <t>1xDB.C-7  # 9(4600)</t>
  </si>
  <si>
    <t>1xDB.C-5  # 10(4550)</t>
  </si>
  <si>
    <t>1xDB.C-8  # 1.3(4520)</t>
  </si>
  <si>
    <t>1xDB.C-8  # 2.3(4520)</t>
  </si>
  <si>
    <t>1xDB.C-8  # 3.3(4520)</t>
  </si>
  <si>
    <t>1xDB.C-3 # 7(4470)</t>
  </si>
  <si>
    <t>1xDB.C-3 # 8(4465)</t>
  </si>
  <si>
    <t>1xDB.C-1 # 6(4700)</t>
  </si>
  <si>
    <t>1xDB.C-5  # 7.1(4725)</t>
  </si>
  <si>
    <t>1xDB.C-8  # 5(4795)</t>
  </si>
  <si>
    <t>1xDB.C-3 # 5(4780)</t>
  </si>
  <si>
    <t>1xDB.C-5  # 5.8(4970)</t>
  </si>
  <si>
    <t>1xDB.C-7  # 7(4950)</t>
  </si>
  <si>
    <t>1xDB.C-4  # 9(5050)</t>
  </si>
  <si>
    <t>1xDB.C-4  # 8(5150)</t>
  </si>
  <si>
    <t>1xDB.C-5  # 6.1(5245)</t>
  </si>
  <si>
    <t>1xDB.C-2 # 4.4(5375)</t>
  </si>
  <si>
    <t>1xDB.C-4  # 5.11(5515)</t>
  </si>
  <si>
    <t>1xDB.C-2 # 4(5595)</t>
  </si>
  <si>
    <t>1xDB.C-1 # 5.1(5575)</t>
  </si>
  <si>
    <t>1xDB.C-7  # 6.5(5720)</t>
  </si>
  <si>
    <t>1xDB.C-3 # 4.1(5850)</t>
  </si>
  <si>
    <t>1xDB.C-8  # 4.4(8055) + 1xDB.C-8  # 6(3645)</t>
  </si>
  <si>
    <t>1xDB.C-4  # 1.3(7800) + 1xDB.C-2 # 8(3900)</t>
  </si>
  <si>
    <t>1xDB.C-4  # 1.3(7800) + 1xDB.C-4  # 1.1(3900)</t>
  </si>
  <si>
    <t>1xDB.C-5  # 1.16(7600) + 1xDB.C-5  # 9.1(4100)</t>
  </si>
  <si>
    <t>1xDB.C-6  # 4.4(7600) + 1xDB.C-5  # 9.1(4100)</t>
  </si>
  <si>
    <t>1xDB.C-4  # 5.1(7275) + 1xDB.C-5  # 8(4425)</t>
  </si>
  <si>
    <t>1xDB.C-5  # 1.1(7275) + 1xDB.C-5  # 8(4425)</t>
  </si>
  <si>
    <t>1xDB.C-3 # 4.2(6920) + 1xDB.C-3 # 5(4780)</t>
  </si>
  <si>
    <t>2xDB.C-3 # 4.1(5850)</t>
  </si>
  <si>
    <t>1xDB.C-3 # 4.1+1xDB.C-4  # 1.8(11700)</t>
  </si>
  <si>
    <t>2xDB.C-4  # 1.8(5850)</t>
  </si>
  <si>
    <t>2xDB.C-4  # 5.19(5850)</t>
  </si>
  <si>
    <t>1xDB.C-4  # 5.19+1xDB.C-4  # 10.7(11700)</t>
  </si>
  <si>
    <t>2xDB.C-4  # 10.7(5850)</t>
  </si>
  <si>
    <t>1xDB.C-4  # 10.7+1xDB.C-5  # 1.7(11700)</t>
  </si>
  <si>
    <t>2xDB.C-5  # 1.7(5850)</t>
  </si>
  <si>
    <t>2xDB.C-6  # 4.1(5850)</t>
  </si>
  <si>
    <t>1xDB.C-6  # 4.1+1xDB.C-7  # 6.4(11700)</t>
  </si>
  <si>
    <t>2xDB.C-7  # 6.4(5850)</t>
  </si>
  <si>
    <t>1xDB.C-4  # 5.4(8050) + 1xDB.C-8  # 6(3645)</t>
  </si>
  <si>
    <t>1xDB.C-4  # 5.11(5515) + 2xDB.C-1 # 11(3090)</t>
  </si>
  <si>
    <t>1xDB.C-3 # 9(4430) + 1xDB.C-4  # 16(3840) + 1xDB.C-2 # 5(3425)</t>
  </si>
  <si>
    <t>1xDB.C-4  # 1.17(8400) + 1xDB.C-6  # 11(3290)</t>
  </si>
  <si>
    <t>1xDB.C-7  # 6.4(5850) + 1xDB.C-6  # 4.8(5840)</t>
  </si>
  <si>
    <t>2xDB.C-6  # 5(4300) + 1xDB.C-1 # 11(3090)</t>
  </si>
  <si>
    <t>2xDB.C-6  # 5(4300) + 1xDB.C-2 # 13(3090)</t>
  </si>
  <si>
    <t>2xDB.C-6  # 6(4300) + 1xDB.C-2 # 13(3090)</t>
  </si>
  <si>
    <t>1xDB.C-4  # 8(5150) + 1xDB.C-6  # 11(3290) + 1xDB.C-8  # 7(3245)</t>
  </si>
  <si>
    <t>1xDB.C-5  # 5.4(6730) + 1xDB.C-7  # 7(4950)</t>
  </si>
  <si>
    <t>2xDB.C-6  # 4.8(5840)</t>
  </si>
  <si>
    <t>1xDB.C-4  # 8(5150) + 1xDB.C-6  # 11(3290) + 1xDB.C-4  # 16.1(3240)</t>
  </si>
  <si>
    <t>1xDB.C-5  # 1.1(7275) + 1xDB.C-5  # 9(4400)</t>
  </si>
  <si>
    <t>1xDB.C-4  # 10.1(6950) + 1xDB.C-5  # 7.1(4725)</t>
  </si>
  <si>
    <t>1xDB.C-4  # 1.12(6625) + 1xDB.C-4  # 9(5050)</t>
  </si>
  <si>
    <t>1xDB.C-4  # 1.2(6430) + 1xDB.C-5  # 6.1(5245)</t>
  </si>
  <si>
    <t>1xDB.C-4  # 7(6190) + 1xDB.C-1 # 5.2(5485)</t>
  </si>
  <si>
    <t>1xDB.C-4  # 5.1(6720) + 1xDB.C-7  # 7(4950)</t>
  </si>
  <si>
    <t>1xDB.C-6  # 1.7(7825) + 1xDB.C-4  # 16(3840)</t>
  </si>
  <si>
    <t>1xDB.C-7  # 6.2(7820) + 1xDB.C-4  # 16(3840)</t>
  </si>
  <si>
    <t>1xDB.C-5  # 7.1(4725) + 1xDB.C-4  # 16(3840) + 1xDB.C-2 # 13(3090)</t>
  </si>
  <si>
    <t>1xDB.C-4  # 10.9(6875) + 1xDB.C-3 # 6(4775)</t>
  </si>
  <si>
    <t>1xDB.C-1 # 5.3(7245) + 1xDB.C-5  # 9(4400)</t>
  </si>
  <si>
    <t>1xDB.C-7  # 2.7(7800) + 1xDB.C-4  # 16(3840)</t>
  </si>
  <si>
    <t>1xDB.C-7  # 6.7(7800) + 1xDB.C-4  # 16(3840)</t>
  </si>
  <si>
    <t>1xDB.C-2 # 4.3(7155) + 1xDB.C-3 # 8(4465)</t>
  </si>
  <si>
    <t>1xDB.C-4  # 10.4(6670) + 1xDB.C-7  # 7(4950)</t>
  </si>
  <si>
    <t>1xDB.C-4  # 10.4(6670) + 1xDB.C-7  # 8(4900)</t>
  </si>
  <si>
    <t>1xDB.C-6  # 4.8(5840) + 1xDB.C-7  # 6.5(5720)</t>
  </si>
  <si>
    <t>1xDB.C-2 # 4.3(7155) + 1xDB.C-5  # 9(4400)</t>
  </si>
  <si>
    <t>1xDB.C-5  # 2.9(7150) + 1xDB.C-5  # 9(4400)</t>
  </si>
  <si>
    <t>1xDB.C-5  # 1.14(11525)</t>
  </si>
  <si>
    <t>1xDB.C-4  # 1.12(6625) + 1xDB.C-7  # 8(4900)</t>
  </si>
  <si>
    <t>1xDB.C-4  # 1.15(6600) + 1xDB.C-7  # 8(4900)</t>
  </si>
  <si>
    <t>1xDB.C-1 # 5.4(8180) + 1xDB.C-6  # 11(3290)</t>
  </si>
  <si>
    <t>1xDB.C-1 # 5.4(8180) + 1xDB.C-4  # 16.1(3240)</t>
  </si>
  <si>
    <t>1xDB.C-4  # 1.15(6600) + 1xDB.C-3 # 6(4775)</t>
  </si>
  <si>
    <t>1xDB.C-6  # 2.2(11335)</t>
  </si>
  <si>
    <t>1xDB.C-5  # 5.3(6560) + 1xDB.C-3 # 6(4775)</t>
  </si>
  <si>
    <t>1xDB.C-5  # 5.6(6560) + 1xDB.C-3 # 6(4775)</t>
  </si>
  <si>
    <t>1xDB.C-3 # 1.8(11295)</t>
  </si>
  <si>
    <t>1xDB.C-7  # 6.5(5720) + 1xDB.C-1 # 5.1(5575)</t>
  </si>
  <si>
    <t>1xDB.C-2 # 4.6(8180) + 1xDB.C-2 # 13(3090)</t>
  </si>
  <si>
    <t>1xDB.C-2 # 4.6(8180) + 1xDB.C-5  # 18(3090)</t>
  </si>
  <si>
    <t>1xDB.C-5  # 6.3(8180) + 1xDB.C-5  # 18(3090)</t>
  </si>
  <si>
    <t>1xDB.C-5  # 6.5(8180) + 1xDB.C-5  # 18(3090)</t>
  </si>
  <si>
    <t>1xDB.C-5  # 6.1(8180) + 1xDB.C-5  # 18(3090)</t>
  </si>
  <si>
    <t>1xDB.C-5  # 6.12(8180) + 1xDB.C-5  # 18(3090)</t>
  </si>
  <si>
    <t>1xDB.C-5  # 6.14(8180) + 1xDB.C-5  # 18(3090)</t>
  </si>
  <si>
    <t>1xDB.C-6  # 4.6(8180) + 1xDB.C-5  # 18(3090)</t>
  </si>
  <si>
    <t>1xDB.C-6  # 4.6(8180) + 1xDB.C-7  # 14(3090)</t>
  </si>
  <si>
    <t>1xDB.C-4  # 6(6490) + 1xDB.C-3 # 6(4775)</t>
  </si>
  <si>
    <t>1xDB.C-6  # 4.7(11260)</t>
  </si>
  <si>
    <t>1xDB.C-2 # 4.2(8160) + 1xDB.C-7  # 14(3090)</t>
  </si>
  <si>
    <t>1xDB.C-3 # 2.4(11245)</t>
  </si>
  <si>
    <t>1xDB.C-8  # 4.1(8145) + 1xDB.C-7  # 14(3090)</t>
  </si>
  <si>
    <t>1xDB.C-1 # 4(11220)</t>
  </si>
  <si>
    <t>1xDB.C-4  # 5.6(8120) + 1xDB.C-7  # 14(3090)</t>
  </si>
  <si>
    <t>1xDB.C-4  # 6(6490) + 1xDB.C-4  # 1.21(4705)</t>
  </si>
  <si>
    <t>1xDB.C-4  # 6(6490) + 1xDB.C-1 # 6(4700)</t>
  </si>
  <si>
    <t>1xDB.C-4  # 6(6490) + 1xDB.C-5  # 7.7(4700)</t>
  </si>
  <si>
    <t>2xDB.C-1 # 5.1(5575)</t>
  </si>
  <si>
    <t>1xDB.C-4  # 2.6(11000)</t>
  </si>
  <si>
    <t>1xDB.C-4  # 5.9(11000)</t>
  </si>
  <si>
    <t>1xDB.C-4  # 10.3(11000)</t>
  </si>
  <si>
    <t>1xDB.C-5  # 3.11(11000)</t>
  </si>
  <si>
    <t>1xDB.C-3 # 3(10980)</t>
  </si>
  <si>
    <t>1xDB.C-2 # 3(10885)</t>
  </si>
  <si>
    <t>1xDB.C-6  # 3.1(10425)</t>
  </si>
  <si>
    <t>1xDB.C-6  # 3.2(10425)</t>
  </si>
  <si>
    <t>1xDB.C-7  # 3(10400)</t>
  </si>
  <si>
    <t>1xDB.C-7  # 3.1(10400)</t>
  </si>
  <si>
    <t>1xDB.C-7  # 5(10380)</t>
  </si>
  <si>
    <t>1xDB.C-1 # 3(10285)</t>
  </si>
  <si>
    <t>1xDB.C-2 # 1.6(10000)</t>
  </si>
  <si>
    <t>1xDB.C-4  # 4.3(10000)</t>
  </si>
  <si>
    <t>1xDB.C-4  # 5.7(10000)</t>
  </si>
  <si>
    <t>1xDB.C-4  # 5.17(10000)</t>
  </si>
  <si>
    <t>1xDB.C-4  # 5.18(10000)</t>
  </si>
  <si>
    <t>1xDB.C-4  # 10.6(10000)</t>
  </si>
  <si>
    <t>1xDB.C-6  # 1.5(10000)</t>
  </si>
  <si>
    <t>1xDB.C-3 # 1.1(9940)</t>
  </si>
  <si>
    <t>1xDB.C-5  # 5.1(9940)</t>
  </si>
  <si>
    <t>1xDB.C-5  # 1.8(9920)</t>
  </si>
  <si>
    <t>1xDB.C-4  # 1.18(9915)</t>
  </si>
  <si>
    <t>1xDB.C-7  # 1.5(9900)</t>
  </si>
  <si>
    <t>1xDB.C-7  # 2.5(9900)</t>
  </si>
  <si>
    <t>1xDB.C-3 # 2.2(9890)</t>
  </si>
  <si>
    <t>1xDB.C-4  # 5.2(9865)</t>
  </si>
  <si>
    <t>1xDB.C-5  # 2.11(9850)</t>
  </si>
  <si>
    <t>1xDB.C-5  # 6.13(9850)</t>
  </si>
  <si>
    <t>1xDB.C-7  # 1.1(9700)</t>
  </si>
  <si>
    <t>1xDB.C-5  # 4(9660)</t>
  </si>
  <si>
    <t>1xDB.C-7  # 2.1(9600)</t>
  </si>
  <si>
    <t>1xDB.C-1 # 2.1(9585)</t>
  </si>
  <si>
    <t>1xDB.C-1 # 2.4(9585)</t>
  </si>
  <si>
    <t>1xDB.C-6  # 1.1(9565)</t>
  </si>
  <si>
    <t>1xDB.C-3 # 1.4(9520)</t>
  </si>
  <si>
    <t>1xDB.C-5  # 3.8(9460)</t>
  </si>
  <si>
    <t>1xDB.C-5  # 3.1(9460)</t>
  </si>
  <si>
    <t>1xDB.C-2 # 1.4(9425)</t>
  </si>
  <si>
    <t>1xDB.C-3 # 2.1(9420)</t>
  </si>
  <si>
    <t>1xDB.C-4  # 1.2(9420)</t>
  </si>
  <si>
    <t>1xDB.C-7  # 4(9360)</t>
  </si>
  <si>
    <t>1xDB.C-4  # 2.4(9145)</t>
  </si>
  <si>
    <t>1xDB.C-4  # 3(9000)</t>
  </si>
  <si>
    <t>1xDB.C-4  # 5.21(9000)</t>
  </si>
  <si>
    <t>1xDB.C-4  # 10.2(9000)</t>
  </si>
  <si>
    <t>1xDB.C-4  # 10.8(9000)</t>
  </si>
  <si>
    <t>1xDB.C-4  # 17(9000)</t>
  </si>
  <si>
    <t>1xDB.C-5  # 1.6(9000)</t>
  </si>
  <si>
    <t>1xDB.C-5  # 2.6(9000)</t>
  </si>
  <si>
    <t>1xDB.C-6  # 2.4(9000)</t>
  </si>
  <si>
    <t>1xDB.C-4  # 5.8(8890)</t>
  </si>
  <si>
    <t>1xDB.C-4  # 4.2(8800)</t>
  </si>
  <si>
    <t>1xDB.C-4  # 10.5(8770)</t>
  </si>
  <si>
    <t>1xDB.C-2 # 2.3(8760)</t>
  </si>
  <si>
    <t>1xDB.C-2 # 2.4(8740)</t>
  </si>
  <si>
    <t>1xDB.C-3 # 4.4(8680)</t>
  </si>
  <si>
    <t>1xDB.C-6  # 2.3(8635)</t>
  </si>
  <si>
    <t>1xDB.C-4  # 5.6(8120)</t>
  </si>
  <si>
    <t>1xDB.C-4  # 5.22(8105)</t>
  </si>
  <si>
    <t>1xDB.C-5  # 6.7(8090)</t>
  </si>
  <si>
    <t>1xDB.C-3 # 4.6(8070)</t>
  </si>
  <si>
    <t>1xDB.C-4  # 5.4(8050)</t>
  </si>
  <si>
    <t>1xDB.C-4  # 5.2(8030)</t>
  </si>
  <si>
    <t>1xDB.C-4  # 5.13(8030)</t>
  </si>
  <si>
    <t>1xDB.C-3 # 4.5(8020)</t>
  </si>
  <si>
    <t>1xDB.C-4  # 2.2(8000)</t>
  </si>
  <si>
    <t>1xDB.C-4  # 5.15(7990)</t>
  </si>
  <si>
    <t>1xDB.C-7  # 1.8(7900)</t>
  </si>
  <si>
    <t>1xDB.C-7  # 6.7(7800)</t>
  </si>
  <si>
    <t>1xDB.C-6  # 4.3(7740)</t>
  </si>
  <si>
    <t>1xDB.C-2 # 1.2(7725)</t>
  </si>
  <si>
    <t>1xDB.C-5  # 1.17(7710)</t>
  </si>
  <si>
    <t>1xDB.C-3 # 4.3(7660)</t>
  </si>
  <si>
    <t>1xDB.C-7  # 6.8(7630)</t>
  </si>
  <si>
    <t>1xDB.C-6  # 4.5(7610)</t>
  </si>
  <si>
    <t>1xDB.C-6  # 4.4(7600)</t>
  </si>
  <si>
    <t>1xDB.C-7  # 6.1(7480)</t>
  </si>
  <si>
    <t>1xDB.C-8  # 6.1(7450)</t>
  </si>
  <si>
    <t>1xDB.C-2 # 4.7(7355)</t>
  </si>
  <si>
    <t>1xDB.C-1 # 5.5(7335)</t>
  </si>
  <si>
    <t>1xDB.C-5  # 2.9(7150)</t>
  </si>
  <si>
    <t>1xDB.C-4  # 4.5(7100)</t>
  </si>
  <si>
    <t>1xDB.C-5  # 6.8(7005)</t>
  </si>
  <si>
    <t>1xDB.C-4  # 1.2(6430)</t>
  </si>
  <si>
    <t>1xDB.C-4  # 1.4(6400)</t>
  </si>
  <si>
    <t>1xDB.C-8  # 4.3(6385)</t>
  </si>
  <si>
    <t>1xDB.C-5  # 11(6360)</t>
  </si>
  <si>
    <t>1xDB.C-4  # 7(6190)</t>
  </si>
  <si>
    <t>1xDB.C-5  # 13(2890)</t>
  </si>
  <si>
    <t>1xDB.C-5  # 12.1(5340)</t>
  </si>
  <si>
    <t>4xDB.C-5  # 13(2890)</t>
  </si>
  <si>
    <t>1xDB.C-5  # 12.1(5340) + 2xDB.C-5  # 13(2890)</t>
  </si>
  <si>
    <t>1xDB.C-5  # 12.2(7870) + 1xDB.C-5  # 13(2890)</t>
  </si>
  <si>
    <t>2xDB.C-5  # 12.1(5340)</t>
  </si>
  <si>
    <t>1xDB.C-5  # 12.2(7870)</t>
  </si>
  <si>
    <t>4xDB.C-3 # 11(2830)</t>
  </si>
  <si>
    <t>1xDB.C-3 # 10.1(4570) + 2xDB.C-3 # 11(2830)</t>
  </si>
  <si>
    <t>1xDB.C-3 # 10(7370) + 1xDB.C-3 # 11(2830)</t>
  </si>
  <si>
    <t>2xDB.C-3 # 10.1(4570)</t>
  </si>
  <si>
    <t>1xDB.C-3 # 10(7370)</t>
  </si>
  <si>
    <t>1xDB.C-2 # 10(2790)</t>
  </si>
  <si>
    <t>1xDB.C-4  # 17.2(5040)</t>
  </si>
  <si>
    <t>1xDB.C-4  # 11.2(8620) + 1xDB.C-2 # 10(2790)</t>
  </si>
  <si>
    <t>2xDB.C-4  # 11.1(5640)</t>
  </si>
  <si>
    <t>4xDB.C-2 # 10(2790)</t>
  </si>
  <si>
    <t>3xDB.C-2 # 10+1xDB.C-4  # 12(2790)</t>
  </si>
  <si>
    <t>4xDB.C-4  # 12(2790)</t>
  </si>
  <si>
    <t>4xDB.C-5  # 15(2790)</t>
  </si>
  <si>
    <t>1xDB.C-5  # 15+3xDB.C-7  # 11(2790)</t>
  </si>
  <si>
    <t>4xDB.C-7  # 11(2790)</t>
  </si>
  <si>
    <t>1xDB.C-4  # 17.1(8020) + 1xDB.C-7  # 11(2790)</t>
  </si>
  <si>
    <t>2xDB.C-4  # 17.2(5040)</t>
  </si>
  <si>
    <t>2xDB.C-2 # 9.1(4890)</t>
  </si>
  <si>
    <t>1xDB.C-2 # 9.1+1xDB.C-5  # 14.1(4890)</t>
  </si>
  <si>
    <t>2xDB.C-5  # 14.1(4890)</t>
  </si>
  <si>
    <t>2xDB.C-7  # 10.1(4890)</t>
  </si>
  <si>
    <t>1xDB.C-4  # 17.1(8020)</t>
  </si>
  <si>
    <t>1xDB.C-2 # 9(7870)</t>
  </si>
  <si>
    <t>1xDB.C-5  # 14.2(7870)</t>
  </si>
  <si>
    <t>1xDB.C-7  # 10.2(7870)</t>
  </si>
  <si>
    <t>1xDB.C-7  # 10.1(4890)</t>
  </si>
  <si>
    <t>1xDB.C-7  # 12.3(1420)</t>
  </si>
  <si>
    <t>1xDB.C-5  # 16.11(2060)</t>
  </si>
  <si>
    <t>1xDB.C-6  # 9.3(2220)</t>
  </si>
  <si>
    <t>1xDB.C-4  # 13.15(3340)</t>
  </si>
  <si>
    <t>1xDB.C-2 # 11.1(3120)</t>
  </si>
  <si>
    <t>1xDB.C-4  # 13.19(3060)</t>
  </si>
  <si>
    <t>1xDB.C-7  # 12.4(2840)</t>
  </si>
  <si>
    <t>1xDB.C-8  # 10.2(3800)</t>
  </si>
  <si>
    <t>2xDB.C-4  # 13.8(5830)</t>
  </si>
  <si>
    <t>1xDB.C-4  # 13.8(5830) + 1xDB.C-1 # 9.1(5810)</t>
  </si>
  <si>
    <t>2xDB.C-1 # 9.1(5810)</t>
  </si>
  <si>
    <t>1xDB.C-4  # 13.17(6390) + 1xDB.C-6  # 9.4(4440)</t>
  </si>
  <si>
    <t>1xDB.C-4  # 13.18(10410)</t>
  </si>
  <si>
    <t>1xDB.C-7  # 12.6(10280)</t>
  </si>
  <si>
    <t>1xDB.C-1 # 9.1(5810) + 1xDB.C-6  # 9.4(4440)</t>
  </si>
  <si>
    <t>1xDB.C-5  # 16.5(9640)</t>
  </si>
  <si>
    <t>1xDB.C-6  # 9.6(9480)</t>
  </si>
  <si>
    <t>2xDB.C-6  # 9.4(4440)</t>
  </si>
  <si>
    <t>1xDB.C-4  # 13.16(8640)</t>
  </si>
  <si>
    <t>1xDB.C-5  # 16.6(8390)</t>
  </si>
  <si>
    <t>1xDB.C-4  # 13.7(8360)</t>
  </si>
  <si>
    <t>1xDB.C-8  # 10.1(7900)</t>
  </si>
  <si>
    <t>2xDB.C-6  # 7.1(4730)</t>
  </si>
  <si>
    <t>4xDB.C-1 # 8(2710)</t>
  </si>
  <si>
    <t>1xDB.C-1 # 8+3xDB.C-6  # 8(2710)</t>
  </si>
  <si>
    <t>4xDB.C-6  # 8(2710)</t>
  </si>
  <si>
    <t>1xDB.C-6  # 7.2(8070) + 1xDB.C-6  # 8(2710)</t>
  </si>
  <si>
    <t>1xDB.C-6  # 7.1(4730) + 1xDB.C-1 # 7.1(4530)</t>
  </si>
  <si>
    <t>2xDB.C-1 # 7.1(4530)</t>
  </si>
  <si>
    <t>1xDB.C-6  # 7.2(8070)</t>
  </si>
  <si>
    <t>1xDB.C-1 # 7(7870)</t>
  </si>
  <si>
    <t>1xDB.C-7  # 15.3(1060)</t>
  </si>
  <si>
    <t>1xDB.C-8  # 8.1(2350)</t>
  </si>
  <si>
    <t>1xDB.C-4  # 15.1(3490)</t>
  </si>
  <si>
    <t>1xDB.C-4  # 18(3520)</t>
  </si>
  <si>
    <t>1xDB.C-5  # 19.1(2780) + 1xDB.C-8  # 8.1(2350)</t>
  </si>
  <si>
    <t>2xDB.C-5  # 19.1(2780)</t>
  </si>
  <si>
    <t>1xDB.C-5  # 19.1(2780) + 1xDB.C-2 # 14.1(2760)</t>
  </si>
  <si>
    <t>2xDB.C-2 # 14.1(2760)</t>
  </si>
  <si>
    <t>1xDB.C-1 # 10(3370) + 1xDB.C-7  # 15.4(2120)</t>
  </si>
  <si>
    <t>1xDB.C-6  # 12.3(9840) + 1xDB.C-6  # 12.6(1860)</t>
  </si>
  <si>
    <t>1xDB.C-4  # 15.16(7920) + 1xDB.C-4  # 15.2(3780)</t>
  </si>
  <si>
    <t>1xDB.C-4  # 15.15(7280) + 1xDB.C-4  # 15.8(4420)</t>
  </si>
  <si>
    <t>1xDB.C-8  # 8.2(5870) + 1xDB.C-3 # 15.5(3480) + 1xDB.C-8  # 8.1(2350)</t>
  </si>
  <si>
    <t>1xDB.C-1 # 12.2(5630) + 1xDB.C-6  # 12.1(3720) + 1xDB.C-8  # 8.1(2350)</t>
  </si>
  <si>
    <t>2xDB.C-3 # 13(2670) + 3xDB.C-7  # 15.4(2120)</t>
  </si>
  <si>
    <t>1xDB.C-5  # 19.5(8920) + 1xDB.C-2 # 14.1(2760)</t>
  </si>
  <si>
    <t>1xDB.C-4  # 14(4120) + 1xDB.C-3 # 12.1(3840) + 1xDB.C-6  # 12.1(3720)</t>
  </si>
  <si>
    <t>1xDB.C-1 # 12.2(5630) + 1xDB.C-1 # 10(3370) + 1xDB.C-3 # 13(2670)</t>
  </si>
  <si>
    <t>1xDB.C-4  # 15.18(4770) + 1xDB.C-4  # 18(3520) + 1xDB.C-1 # 10(3370)</t>
  </si>
  <si>
    <t>2xDB.C-4  # 14(4120) + 1xDB.C-1 # 10(3370)</t>
  </si>
  <si>
    <t>2xDB.C-4  # 14(4120) + 1xDB.C-2 # 12(3370)</t>
  </si>
  <si>
    <t>1xDB.C-5  # 19.5(8920) + 1xDB.C-3 # 13(2670)</t>
  </si>
  <si>
    <t>1xDB.C-6  # 10(3570) + 3xDB.C-3 # 13(2670)</t>
  </si>
  <si>
    <t>1xDB.C-6  # 10(3570) + 2xDB.C-3 # 13+1xDB.C-8  # 9(2670)</t>
  </si>
  <si>
    <t>1xDB.C-6  # 10(3570) + 3xDB.C-8  # 9(2670)</t>
  </si>
  <si>
    <t>1xDB.C-8  # 8.2(5870) + 2xDB.C-8  # 9(2670)</t>
  </si>
  <si>
    <t>3xDB.C-6  # 12.1(3720)</t>
  </si>
  <si>
    <t>3xDB.C-6  # 10(3570)</t>
  </si>
  <si>
    <t>1xDB.C-7  # 15.6(10640)</t>
  </si>
  <si>
    <t>1xDB.C-6  # 10(3570) + 2xDB.C-4  # 18(3520)</t>
  </si>
  <si>
    <t>3xDB.C-4  # 18(3520)</t>
  </si>
  <si>
    <t>1xDB.C-4  # 18(3520) + 2xDB.C-4  # 15.1(3490)</t>
  </si>
  <si>
    <t>1xDB.C-5  # 19.11(6770) + 1xDB.C-4  # 15.1(3490)</t>
  </si>
  <si>
    <t>1xDB.C-4  # 15.19(10230)</t>
  </si>
  <si>
    <t>1xDB.C-5  # 19.11(6770) + 1xDB.C-2 # 12(3370)</t>
  </si>
  <si>
    <t>3xDB.C-2 # 12(3370)</t>
  </si>
  <si>
    <t>1xDB.C-2 # 12+2xDB.C-5  # 17(3370)</t>
  </si>
  <si>
    <t>3xDB.C-5  # 17(3370)</t>
  </si>
  <si>
    <t>1xDB.C-5  # 17+2xDB.C-7  # 13(3370)</t>
  </si>
  <si>
    <t>3xDB.C-7  # 13(3370)</t>
  </si>
  <si>
    <t>1xDB.C-8  # 8.2(5870) + 1xDB.C-7  # 13(3370)</t>
  </si>
  <si>
    <t>1xDB.C-8  # 8.2(5870)</t>
  </si>
  <si>
    <t>DB.C-16 # 11.1~3</t>
  </si>
  <si>
    <t>DB.C-16 # 11.2~4</t>
  </si>
  <si>
    <t>DB.C-16 # 11.3~3</t>
  </si>
  <si>
    <t>DB.C-17 # 1~9</t>
  </si>
  <si>
    <t>DB.C-17 # 2~9</t>
  </si>
  <si>
    <t>DB.C-17 # 3~9</t>
  </si>
  <si>
    <t>DB.C-17 # 4~5</t>
  </si>
  <si>
    <t>DB.C-17 # 11~5</t>
  </si>
  <si>
    <t>DB.C-19 # 2.3~7</t>
  </si>
  <si>
    <t>DB.C-19 # 3.2~6</t>
  </si>
  <si>
    <t>DB.C-19 # 3.4~7</t>
  </si>
  <si>
    <t>DB.C-19 # 4~2</t>
  </si>
  <si>
    <t>DB.C-19 # 5.1~6</t>
  </si>
  <si>
    <t>DB.C-19a # 1.5~5</t>
  </si>
  <si>
    <t>Thép dư 5830</t>
  </si>
  <si>
    <t>Thép dư 3065</t>
  </si>
  <si>
    <t>Thép dư 5270</t>
  </si>
  <si>
    <t>Thép dư 5300</t>
  </si>
  <si>
    <t>Thép dư 5315</t>
  </si>
  <si>
    <t>Thép dư 5340</t>
  </si>
  <si>
    <t>Thép dư 5510</t>
  </si>
  <si>
    <t>Thép dư 6125</t>
  </si>
  <si>
    <t>1xDB.C-16 # 9</t>
  </si>
  <si>
    <t>1xDB.C-19 # 10</t>
  </si>
  <si>
    <t>1xDB.C-17 # 9</t>
  </si>
  <si>
    <t>1xDB.C-16 # 11.2</t>
  </si>
  <si>
    <t>1xDB.C-19 # 2.3</t>
  </si>
  <si>
    <t>1xDB.C-19a # 1.5</t>
  </si>
  <si>
    <t>1xDB.C-16 # 11.1</t>
  </si>
  <si>
    <t>1xDB.C-19a # 1.8</t>
  </si>
  <si>
    <t>1xDB.C-19 # 3.2</t>
  </si>
  <si>
    <t>1xDB.C-19 # 4</t>
  </si>
  <si>
    <t>1xDB.C-19a # 2.4</t>
  </si>
  <si>
    <t>1xDB.C-19a # 1.4</t>
  </si>
  <si>
    <t>1xDB.C-17 # 1</t>
  </si>
  <si>
    <t>1xDB.C-17 # 3</t>
  </si>
  <si>
    <t>1xDB.C-17 # 2</t>
  </si>
  <si>
    <t>1xDB.C-17 # 4</t>
  </si>
  <si>
    <t>1xDB.C-17 # 11</t>
  </si>
  <si>
    <t>1xDB.C-16 # 11.3</t>
  </si>
  <si>
    <t>1xDB.C-19 # 3.4</t>
  </si>
  <si>
    <t>1xDB.C-9  # 10(1690)</t>
  </si>
  <si>
    <t>1xDB.C-10  # 12(1690)</t>
  </si>
  <si>
    <t>1xDB.C-8  # 12(1090)</t>
  </si>
  <si>
    <t>1xDB.C-11 # 11(1090)</t>
  </si>
  <si>
    <t>1xDB.C-12 # 10(1090)</t>
  </si>
  <si>
    <t>1xDB.C-9  # 13.2(1775)</t>
  </si>
  <si>
    <t>1xDB.C-9  # 13.4(3550)</t>
  </si>
  <si>
    <t>1xDB.C-9  # 12.5(3300)</t>
  </si>
  <si>
    <t>1xDB.C-8A # 14(3090)</t>
  </si>
  <si>
    <t>1xDB.C-11 # 2.7(4550)</t>
  </si>
  <si>
    <t>1xDB.C-11 # 2.8(4550)</t>
  </si>
  <si>
    <t>1xDB.C-12 # 2.2(4580)</t>
  </si>
  <si>
    <t>1xDB.C-12 # 2.3(4580)</t>
  </si>
  <si>
    <t>1xDB.C-9  # 1.1(4670)</t>
  </si>
  <si>
    <t>1xDB.C-9  # 1.6(4670)</t>
  </si>
  <si>
    <t>1xDB.C-10  # 3.2(5180)</t>
  </si>
  <si>
    <t>1xDB.C-10  # 2.2(5280)</t>
  </si>
  <si>
    <t>1xDB.C-10  # 2.3(5280)</t>
  </si>
  <si>
    <t>1xDB.C-10  # 1.2(5380)</t>
  </si>
  <si>
    <t>1xDB.C-12 # 3.2(7210) + 1xDB.C-12 # 2.6(4480)</t>
  </si>
  <si>
    <t>1xDB.C-12 # 3.4(11680)</t>
  </si>
  <si>
    <t>1xDB.C-11 # 5(7100) + 1xDB.C-12 # 2.3(4580)</t>
  </si>
  <si>
    <t>1xDB.C-8A # 1.1(6295) + 1xDB.C-10  # 1.2(5380)</t>
  </si>
  <si>
    <t>1xDB.C-8A # 2.2(6295) + 1xDB.C-10  # 1.2(5380)</t>
  </si>
  <si>
    <t>1xDB.C-8A # 2.1(11670)</t>
  </si>
  <si>
    <t>1xDB.C-12 # 5(7100) + 1xDB.C-9  # 2.1(4570)</t>
  </si>
  <si>
    <t>1xDB.C-8A # 3.1(6290) + 1xDB.C-10  # 1.3(5380)</t>
  </si>
  <si>
    <t>1xDB.C-11 # 3.2(7095) + 1xDB.C-9  # 2.1(4570)</t>
  </si>
  <si>
    <t>1xDB.C-11 # 3.2(7095) + 1xDB.C-9  # 2.6(4570)</t>
  </si>
  <si>
    <t>1xDB.C-8A # 5(6755) + 1xDB.C-9  # 12.4(4900)</t>
  </si>
  <si>
    <t>1xDB.C-10  # 4.4(6470) + 1xDB.C-10  # 3.2(5180)</t>
  </si>
  <si>
    <t>1xDB.C-10  # 4.4(6470) + 1xDB.C-10  # 3.3(5180)</t>
  </si>
  <si>
    <t>1xDB.C-8A # 4.4(6270) + 1xDB.C-10  # 1.3(5380)</t>
  </si>
  <si>
    <t>1xDB.C-8A # 4.7(6270) + 1xDB.C-10  # 1.3(5380)</t>
  </si>
  <si>
    <t>1xDB.C-9  # 3.4(6270) + 1xDB.C-8A # 1.6(5375)</t>
  </si>
  <si>
    <t>1xDB.C-9  # 3.4(6270) + 1xDB.C-8A # 1.8(5375)</t>
  </si>
  <si>
    <t>1xDB.C-11 # 3.3(7150) + 1xDB.C-12 # 2.7(4480)</t>
  </si>
  <si>
    <t>1xDB.C-12 # 3.3(7150) + 1xDB.C-9  # 2.7(4470)</t>
  </si>
  <si>
    <t>1xDB.C-9  # 3.1(6240) + 1xDB.C-8A # 1.8(5375)</t>
  </si>
  <si>
    <t>1xDB.C-10  # 5(6690) + 1xDB.C-9  # 12.4(4900)</t>
  </si>
  <si>
    <t>1xDB.C-8A # 3.6(11570)</t>
  </si>
  <si>
    <t>1xDB.C-9  # 3.1(6240) + 1xDB.C-10  # 2.3(5280)</t>
  </si>
  <si>
    <t>1xDB.C-10  # 5(6690) + 1xDB.C-9  # 4(4790)</t>
  </si>
  <si>
    <t>1xDB.C-10  # 5(6690) + 1xDB.C-9  # 1.6(4670)</t>
  </si>
  <si>
    <t>1xDB.C-10  # 5(6690) + 1xDB.C-11 # 1.2(4640)</t>
  </si>
  <si>
    <t>1xDB.C-10  # 5(6690) + 1xDB.C-11 # 1.3(4640)</t>
  </si>
  <si>
    <t>1xDB.C-10  # 5(6690) + 1xDB.C-12 # 1.2(4640)</t>
  </si>
  <si>
    <t>1xDB.C-10  # 5(6690) + 1xDB.C-12 # 1.3(4640)</t>
  </si>
  <si>
    <t>1xDB.C-10  # 5(6690) + 1xDB.C-9  # 2.6(4570)</t>
  </si>
  <si>
    <t>1xDB.C-8A # 4.3(10625)</t>
  </si>
  <si>
    <t>2xDB.C-10  # 2.3(5280)</t>
  </si>
  <si>
    <t>1xDB.C-10  # 2.3(5280) + 1xDB.C-8A # 2.4(5275)</t>
  </si>
  <si>
    <t>2xDB.C-8A # 2.4(5275)</t>
  </si>
  <si>
    <t>1xDB.C-8A # 2.4+1xDB.C-8A # 2.6(5275)</t>
  </si>
  <si>
    <t>2xDB.C-8A # 2.6(5275)</t>
  </si>
  <si>
    <t>1xDB.C-8A # 2.6(5275) + 1xDB.C-10  # 3.3(5180)</t>
  </si>
  <si>
    <t>1xDB.C-10  # 4.3(10450)</t>
  </si>
  <si>
    <t>2xDB.C-10  # 3.3(5180)</t>
  </si>
  <si>
    <t>1xDB.C-10  # 3.3(5180) + 1xDB.C-8A # 3.3(5175)</t>
  </si>
  <si>
    <t>2xDB.C-8A # 3.3(5175)</t>
  </si>
  <si>
    <t>1xDB.C-8A # 3.3+1xDB.C-8A # 3.5(5175)</t>
  </si>
  <si>
    <t>2xDB.C-8A # 3.5(5175)</t>
  </si>
  <si>
    <t>1xDB.C-8A # 3.5(5175) + 1xDB.C-10  # 12.1(5080)</t>
  </si>
  <si>
    <t>2xDB.C-10  # 12.1(5080)</t>
  </si>
  <si>
    <t>1xDB.C-10  # 12.1+1xDB.C-10  # 12.2(5080)</t>
  </si>
  <si>
    <t>2xDB.C-10  # 12.2(5080)</t>
  </si>
  <si>
    <t>1xDB.C-10  # 12.2(5080) + 1xDB.C-8A # 12.1(5075)</t>
  </si>
  <si>
    <t>2xDB.C-8A # 12.1(5075)</t>
  </si>
  <si>
    <t>1xDB.C-8A # 12.1+1xDB.C-8A # 12.3(5075)</t>
  </si>
  <si>
    <t>2xDB.C-8A # 12.3(5075)</t>
  </si>
  <si>
    <t>1xDB.C-8A # 1.3(10000)</t>
  </si>
  <si>
    <t>1xDB.C-9  # 12.2(10000)</t>
  </si>
  <si>
    <t>1xDB.C-9  # 13.1(9925)</t>
  </si>
  <si>
    <t>1xDB.C-8A # 2.3(9900)</t>
  </si>
  <si>
    <t>1xDB.C-8A # 3.2(9805)</t>
  </si>
  <si>
    <t>1xDB.C-8A # 12.3(5075) + 1xDB.C-9  # 2.6(4570)</t>
  </si>
  <si>
    <t>2xDB.C-9  # 2.6(4570)</t>
  </si>
  <si>
    <t>1xDB.C-9  # 2.6(4570) + 1xDB.C-9  # 2.7(4470)</t>
  </si>
  <si>
    <t>1xDB.C-12 # 3.1(8980)</t>
  </si>
  <si>
    <t>2xDB.C-9  # 2.12(4470)</t>
  </si>
  <si>
    <t>1xDB.C-11 # 3.7(8920)</t>
  </si>
  <si>
    <t>1xDB.C-12 # 3.7(8920)</t>
  </si>
  <si>
    <t>1xDB.C-9  # 2.12(4470) + 1xDB.C-11 # 2.9(4450)</t>
  </si>
  <si>
    <t>2xDB.C-11 # 2.9(4450)</t>
  </si>
  <si>
    <t>2xDB.C-11 # 2.1(4450)</t>
  </si>
  <si>
    <t>1xDB.C-11 # 3.1(8865)</t>
  </si>
  <si>
    <t>1xDB.C-8A # 4.1(8850)</t>
  </si>
  <si>
    <t>1xDB.C-10  # 4.2(8630)</t>
  </si>
  <si>
    <t>1xDB.C-8A # 4.6(8455)</t>
  </si>
  <si>
    <t>1xDB.C-9  # 12.1(8400)</t>
  </si>
  <si>
    <t>1xDB.C-9  # 3.2(8330)</t>
  </si>
  <si>
    <t>1xDB.C-9  # 3.3(8330)</t>
  </si>
  <si>
    <t>1xDB.C-10  # 4.1(8290)</t>
  </si>
  <si>
    <t>1xDB.C-8A # 4.2(8030)</t>
  </si>
  <si>
    <t>1xDB.C-8A # 4.5(8030)</t>
  </si>
  <si>
    <t>1xDB.C-9  # 3.7(8030)</t>
  </si>
  <si>
    <t>1xDB.C-9  # 3.5(8000)</t>
  </si>
  <si>
    <t>1xDB.C-9  # 5(7450)</t>
  </si>
  <si>
    <t>1xDB.C-12 # 4(7400)</t>
  </si>
  <si>
    <t>1xDB.C-11 # 4(7350)</t>
  </si>
  <si>
    <t>1xDB.C-11 # 2.1(4450)</t>
  </si>
  <si>
    <t>1xDB.C-12 # 6.1(3070)</t>
  </si>
  <si>
    <t>1xDB.C-12 # 7(2830)</t>
  </si>
  <si>
    <t>1xDB.C-12 # 6.2(5870) + 2xDB.C-12 # 7(2830)</t>
  </si>
  <si>
    <t>4xDB.C-12 # 7(2830)</t>
  </si>
  <si>
    <t>1xDB.C-9  # 8.5(3240)</t>
  </si>
  <si>
    <t>1xDB.C-11 # 8.5(3440)</t>
  </si>
  <si>
    <t>1xDB.C-12 # 8.5(3440)</t>
  </si>
  <si>
    <t>1xDB.C-9  # 8.4(6030) + 1xDB.C-11 # 8.3(5630)</t>
  </si>
  <si>
    <t>2xDB.C-12 # 8.3(5630)</t>
  </si>
  <si>
    <t>2xDB.C-8A # 8.2(5470)</t>
  </si>
  <si>
    <t>1xDB.C-8A # 8.1(10850)</t>
  </si>
  <si>
    <t>1xDB.C-10  # 8(10650)</t>
  </si>
  <si>
    <t>1xDB.C-8A # 8.3(8460)</t>
  </si>
  <si>
    <t>1xDB.C-9  # 8.2(8460)</t>
  </si>
  <si>
    <t>1xDB.C-11 # 8.1(8260)</t>
  </si>
  <si>
    <t>1xDB.C-12 # 8.1(8260)</t>
  </si>
  <si>
    <t>1xDB.C-8A # 8.2(5470)</t>
  </si>
  <si>
    <t>1xDB.C-11 # 6.2(2530)</t>
  </si>
  <si>
    <t>1xDB.C-9  # 6.1(3130)</t>
  </si>
  <si>
    <t>1xDB.C-10  # 8.1(3130)</t>
  </si>
  <si>
    <t>1xDB.C-9  # 7(2710)</t>
  </si>
  <si>
    <t>1xDB.C-9  # 6.2(6470) + 2xDB.C-11 # 6.2(2530)</t>
  </si>
  <si>
    <t>1xDB.C-11 # 6.1(5870) + 2xDB.C-9  # 7(2710)</t>
  </si>
  <si>
    <t>4xDB.C-9  # 7(2710)</t>
  </si>
  <si>
    <t>4xDB.C-10  # 9(2710)</t>
  </si>
  <si>
    <t>2xDB.C-10  # 9+2xDB.C-11 # 7(2710)</t>
  </si>
  <si>
    <t>4xDB.C-11 # 7(2710)</t>
  </si>
  <si>
    <t>1xDB.C-9  # 6.2(6470) + 1xDB.C-11 # 7(2710)</t>
  </si>
  <si>
    <t>1xDB.C-9  # 6.2(6470) + 1xDB.C-11 # 6.2(2530)</t>
  </si>
  <si>
    <t>1xDB.C-9  # 6.2(6470)</t>
  </si>
  <si>
    <t>1xDB.C-10  # 8.2(6470)</t>
  </si>
  <si>
    <t>1xDB.C-8  # 11(1370)</t>
  </si>
  <si>
    <t>1xDB.C-11 # 9(1370)</t>
  </si>
  <si>
    <t>1xDB.C-12 # 9(1370)</t>
  </si>
  <si>
    <t>1xDB.C-9  # 9(1970)</t>
  </si>
  <si>
    <t>1xDB.C-8A # 11.2(3060) + 2xDB.C-12 # 9(1370)</t>
  </si>
  <si>
    <t>1xDB.C-8A # 11.3(8280) + 1xDB.C-9  # 11.5(3420)</t>
  </si>
  <si>
    <t>1xDB.C-9  # 11.2(8280) + 1xDB.C-9  # 11.5(3420)</t>
  </si>
  <si>
    <t>1xDB.C-11 # 11.1(8080) + 1xDB.C-11 # 11.5(3620)</t>
  </si>
  <si>
    <t>1xDB.C-12 # 11.1(8080) + 1xDB.C-12 # 11.5(3620)</t>
  </si>
  <si>
    <t>2xDB.C-8  # 13.2(5850)</t>
  </si>
  <si>
    <t>1xDB.C-11 # 11.4(5090) + 1xDB.C-8A # 7(2670) + 2xDB.C-9  # 9(1970)</t>
  </si>
  <si>
    <t>1xDB.C-12 # 11.4(5090) + 1xDB.C-8A # 7(2670) + 2xDB.C-9  # 9(1970)</t>
  </si>
  <si>
    <t>1xDB.C-8A # 6.3(4350) + 1xDB.C-8A # 9(3370) + 2xDB.C-9  # 9(1970)</t>
  </si>
  <si>
    <t>1xDB.C-9  # 11.2(8280) + 1xDB.C-8A # 9(3370)</t>
  </si>
  <si>
    <t>1xDB.C-8  # 13.2(5850) + 1xDB.C-8A # 11.2(3060) + 2xDB.C-12 # 9(1370)</t>
  </si>
  <si>
    <t>1xDB.C-9  # 11.4(5490) + 1xDB.C-8A # 9(3370) + 2xDB.C-12 # 9(1370)</t>
  </si>
  <si>
    <t>1xDB.C-8A # 9(3370) + 6xDB.C-12 # 9(1370)</t>
  </si>
  <si>
    <t>3xDB.C-8A # 9(3370) + 1xDB.C-12 # 9(1370)</t>
  </si>
  <si>
    <t>2xDB.C-8A # 9(3370) + 1xDB.C-8A # 7(2670) + 1xDB.C-9  # 9(1970)</t>
  </si>
  <si>
    <t>2xDB.C-8A # 7(2670) + 3xDB.C-9  # 9(1970)</t>
  </si>
  <si>
    <t>2xDB.C-8A # 7(2670) + 3xDB.C-10  # 13(1970)</t>
  </si>
  <si>
    <t>1xDB.C-8A # 11.1(10850)</t>
  </si>
  <si>
    <t>4xDB.C-8A # 7(2670)</t>
  </si>
  <si>
    <t>1xDB.C-10  # 11(10650)</t>
  </si>
  <si>
    <t>1xDB.C-13 # 1(7900) + 1xDB.C-8A # 7(2670)</t>
  </si>
  <si>
    <t>1xDB.C-13 # 1(7900)</t>
  </si>
  <si>
    <t>1xDB.C-8A # 6.2(7870)</t>
  </si>
  <si>
    <t>DB.C-19a # 1.4~4</t>
  </si>
  <si>
    <t>Thép dư 6230</t>
  </si>
  <si>
    <t>Thép dư 7250</t>
  </si>
  <si>
    <t>2xDB.C-17 # 9</t>
  </si>
  <si>
    <t>DB.C-19a # 1.8~6</t>
  </si>
  <si>
    <t>1xDB.C-20 # 10(1690)</t>
  </si>
  <si>
    <t>1xDB.C-21 # 12(1890)</t>
  </si>
  <si>
    <t>1xDB.C-19a # 12(3090)</t>
  </si>
  <si>
    <t>1xDB.C-20 # 3.2(3480)</t>
  </si>
  <si>
    <t>1xDB.C-20 # 4.7(3420)</t>
  </si>
  <si>
    <t>1xDB.C-20 # 1.2(3700)</t>
  </si>
  <si>
    <t>1xDB.C-20 # 4.8(3900)</t>
  </si>
  <si>
    <t>1xDB.C-20 # 2.3(3840)</t>
  </si>
  <si>
    <t>1xDB.C-20 # 1.3(4040)</t>
  </si>
  <si>
    <t>1xDB.C-20 # 3.3(3980)</t>
  </si>
  <si>
    <t>1xDB.C-20 # 2.2(3760)</t>
  </si>
  <si>
    <t>1xDB.C-21 # 3.11(4225)</t>
  </si>
  <si>
    <t>1xDB.C-21 # 3.12(4225)</t>
  </si>
  <si>
    <t>1xDB.C-21 # 3.2(4325)</t>
  </si>
  <si>
    <t>1xDB.C-19a # 5.1(7010)</t>
  </si>
  <si>
    <t>1xDB.C-19a # 4.3(6750) + 1xDB.C-19a # 6(4950)</t>
  </si>
  <si>
    <t>2xDB.C-19a # 2.8(5850)</t>
  </si>
  <si>
    <t>2xDB.C-21 # 4.1(5850)</t>
  </si>
  <si>
    <t>1xDB.C-19a # 5.1(7010) + 1xDB.C-21 # 1.1(4625)</t>
  </si>
  <si>
    <t>2xDB.C-20 # 5(5795)</t>
  </si>
  <si>
    <t>1xDB.C-20 # 5(5795) + 1xDB.C-20 # 4.12(5785)</t>
  </si>
  <si>
    <t>1xDB.C-21 # 5(6620) + 1xDB.C-19a # 6(4950)</t>
  </si>
  <si>
    <t>2xDB.C-20 # 4.12(5785)</t>
  </si>
  <si>
    <t>1xDB.C-20 # 4.12(5785) + 1xDB.C-20 # 4.17(5710)</t>
  </si>
  <si>
    <t>2xDB.C-20 # 4.17(5710)</t>
  </si>
  <si>
    <t>1xDB.C-21 # 5(6620) + 1xDB.C-21 # 1.1(4625)</t>
  </si>
  <si>
    <t>1xDB.C-21 # 5(6620) + 1xDB.C-21 # 1.4(4625)</t>
  </si>
  <si>
    <t>1xDB.C-20 # 4.3(11210)</t>
  </si>
  <si>
    <t>1xDB.C-20 # 4.14(11135)</t>
  </si>
  <si>
    <t>1xDB.C-21 # 6(6420) + 1xDB.C-21 # 1.4(4625)</t>
  </si>
  <si>
    <t>1xDB.C-19a # 2.6(11000)</t>
  </si>
  <si>
    <t>1xDB.C-19a # 3.6(11000)</t>
  </si>
  <si>
    <t>1xDB.C-19a # 4.6(11000)</t>
  </si>
  <si>
    <t>1xDB.C-21 # 6(6420) + 1xDB.C-19a # 2.5(4550)</t>
  </si>
  <si>
    <t>1xDB.C-21 # 6(6420) + 1xDB.C-21 # 2.1(4530)</t>
  </si>
  <si>
    <t>1xDB.C-19a # 3.4(6410) + 1xDB.C-21 # 2.1(4530)</t>
  </si>
  <si>
    <t>1xDB.C-20 # 4.2(6275) + 1xDB.C-21 # 2.1(4530)</t>
  </si>
  <si>
    <t>1xDB.C-20 # 4.1(6275) + 1xDB.C-21 # 2.1(4530)</t>
  </si>
  <si>
    <t>1xDB.C-20 # 4.1(6275) + 1xDB.C-21 # 2.4(4530)</t>
  </si>
  <si>
    <t>1xDB.C-21 # 4.3(10205)</t>
  </si>
  <si>
    <t>1xDB.C-20 # 1.4(10000)</t>
  </si>
  <si>
    <t>1xDB.C-20 # 2.4(10000)</t>
  </si>
  <si>
    <t>1xDB.C-20 # 3.4(10000)</t>
  </si>
  <si>
    <t>1xDB.C-20 # 4.9(10000)</t>
  </si>
  <si>
    <t>2xDB.C-21 # 2.4(4530)</t>
  </si>
  <si>
    <t>1xDB.C-19a # 3.1(9000)</t>
  </si>
  <si>
    <t>1xDB.C-19a # 4.5(8940)</t>
  </si>
  <si>
    <t>2xDB.C-21 # 3.1(4425)</t>
  </si>
  <si>
    <t>2xDB.C-19a # 3.5(4410)</t>
  </si>
  <si>
    <t>1xDB.C-19a # 4.7(8800)</t>
  </si>
  <si>
    <t>1xDB.C-19a # 3.5(4410) + 1xDB.C-21 # 3.2(4325)</t>
  </si>
  <si>
    <t>2xDB.C-21 # 3.2(4325)</t>
  </si>
  <si>
    <t>2xDB.C-21 # 3.8(4325)</t>
  </si>
  <si>
    <t>1xDB.C-19a # 4.4(8590)</t>
  </si>
  <si>
    <t>1xDB.C-21 # 4.4(8405)</t>
  </si>
  <si>
    <t>1xDB.C-19a # 4.9(8160)</t>
  </si>
  <si>
    <t>1xDB.C-20 # 1.5(8000)</t>
  </si>
  <si>
    <t>1xDB.C-20 # 2.5(7860)</t>
  </si>
  <si>
    <t>1xDB.C-19a # 4.1(7800)</t>
  </si>
  <si>
    <t>1xDB.C-19a # 4.8(7800)</t>
  </si>
  <si>
    <t>1xDB.C-19a # 5.2(7750)</t>
  </si>
  <si>
    <t>1xDB.C-20 # 3.5(7720)</t>
  </si>
  <si>
    <t>1xDB.C-21 # 4.2(7650)</t>
  </si>
  <si>
    <t>1xDB.C-20 # 4.5(7580)</t>
  </si>
  <si>
    <t>4xDB.C-19a # 8(2790)</t>
  </si>
  <si>
    <t>1xDB.C-19a # 7.2(7870) + 1xDB.C-19a # 8(2790)</t>
  </si>
  <si>
    <t>2xDB.C-19a # 7.1(4890)</t>
  </si>
  <si>
    <t>1xDB.C-19a # 7.2(7870)</t>
  </si>
  <si>
    <t>1xDB.C-19a # 9.8(2890)</t>
  </si>
  <si>
    <t>1xDB.C-19a # 9.7(4970)</t>
  </si>
  <si>
    <t>1xDB.C-19a # 9.4(6730) + 1xDB.C-19a # 9.7(4970)</t>
  </si>
  <si>
    <t>1xDB.C-20 # 8(11660)</t>
  </si>
  <si>
    <t>1xDB.C-21 # 9(10260)</t>
  </si>
  <si>
    <t>1xDB.C-19a # 9.5(8810)</t>
  </si>
  <si>
    <t>1xDB.C-19a # 9.4(6730)</t>
  </si>
  <si>
    <t>1xDB.C-19a # 10(3370)</t>
  </si>
  <si>
    <t>1xDB.C-19a # 11.1(8630) + 1xDB.C-19a # 11.5(3070)</t>
  </si>
  <si>
    <t>1xDB.C-19a # 11.4(6190) + 1xDB.C-19a # 11.6(5510)</t>
  </si>
  <si>
    <t>1xDB.C-21 # 7.2(6070) + 1xDB.C-20 # 6.1(2950) + 1xDB.C-20 # 7(2670)</t>
  </si>
  <si>
    <t>1xDB.C-20 # 11(11660)</t>
  </si>
  <si>
    <t>1xDB.C-19a # 10(3370) + 1xDB.C-21 # 8(2370) + 3xDB.C-20 # 9(1970)</t>
  </si>
  <si>
    <t>4xDB.C-21 # 8(2370) + 1xDB.C-21 # 10(2170)</t>
  </si>
  <si>
    <t>2xDB.C-21 # 7.1(3150) + 2xDB.C-20 # 7(2670)</t>
  </si>
  <si>
    <t>1xDB.C-21 # 7.2(6070) + 1xDB.C-19a # 10(3370) + 1xDB.C-21 # 10(2170)</t>
  </si>
  <si>
    <t>2xDB.C-19a # 10(3370) + 1xDB.C-20 # 7(2670) + 1xDB.C-21 # 10(2170)</t>
  </si>
  <si>
    <t>1xDB.C-19a # 11.6(5510) + 1xDB.C-19a # 10(3370) + 1xDB.C-20 # 7(2670)</t>
  </si>
  <si>
    <t>1xDB.C-20 # 7(2670) + 1xDB.C-21 # 8(2370) + 3xDB.C-21 # 10(2170)</t>
  </si>
  <si>
    <t>1xDB.C-20 # 7(2670) + 4xDB.C-21 # 10(2170)</t>
  </si>
  <si>
    <t>1xDB.C-20 # 6.2(6470) + 1xDB.C-20 # 7(2670) + 1xDB.C-21 # 10(2170)</t>
  </si>
  <si>
    <t>2xDB.C-19a # 11.6(5510)</t>
  </si>
  <si>
    <t>4xDB.C-20 # 7(2670)</t>
  </si>
  <si>
    <t>1xDB.C-21 # 11(10260)</t>
  </si>
  <si>
    <t>1xDB.C-20 # 6.2(6470)</t>
  </si>
  <si>
    <t>1xDB.C-18a # 5(1960) + 12xDB.C-14 # 6(790)</t>
  </si>
  <si>
    <t>1xDB.C-18a # 5(1960) + 6xDB.C-14 # 6+6xDB.C-15 # 6(790)</t>
  </si>
  <si>
    <t>1xDB.C-18a # 5(1960) + 12xDB.C-15 # 6(790)</t>
  </si>
  <si>
    <t>5xDB.C-18a # 5(1960) + 2xDB.C-15 # 6(790)</t>
  </si>
  <si>
    <t>5xDB.C-18a # 5(1960)</t>
  </si>
  <si>
    <t>4xDB.C-18a # 5(1960)</t>
  </si>
  <si>
    <t>2xDB.C-13 # 11(1090)</t>
  </si>
  <si>
    <t>1xDB.C-13a # 10(1890)</t>
  </si>
  <si>
    <t>1xDB.C-13 # 11(1090)</t>
  </si>
  <si>
    <t>1xDB.C-13 # 12(3225)</t>
  </si>
  <si>
    <t>1xDB.C-13 # 1.4(3170)</t>
  </si>
  <si>
    <t>1xDB.C-13 # 2.3(3170)</t>
  </si>
  <si>
    <t>1xDB.C-13 # 1.3(3510)</t>
  </si>
  <si>
    <t>1xDB.C-13 # 2.1(3510)</t>
  </si>
  <si>
    <t>1xDB.C-13 # 5(3645)</t>
  </si>
  <si>
    <t>1xDB.C-13 # 6(3445)</t>
  </si>
  <si>
    <t>1xDB.C-13a # 5.1(6635) + 1xDB.C-13a # 13.1(5060)</t>
  </si>
  <si>
    <t>1xDB.C-13a # 5.1(6635) + 1xDB.C-13a # 13.2(5060)</t>
  </si>
  <si>
    <t>1xDB.C-13 # 3.4(6295) + 1xDB.C-13a # 2.1(5340)</t>
  </si>
  <si>
    <t>1xDB.C-13 # 3.1(7065) + 1xDB.C-13 # 4.1(4300)</t>
  </si>
  <si>
    <t>1xDB.C-14 # 1(11000)</t>
  </si>
  <si>
    <t>1xDB.C-14 # 2(11000)</t>
  </si>
  <si>
    <t>1xDB.C-15 # 1(11000)</t>
  </si>
  <si>
    <t>1xDB.C-15 # 2(11000)</t>
  </si>
  <si>
    <t>2xDB.C-13a # 1.5(5480)</t>
  </si>
  <si>
    <t>2xDB.C-13a # 1.1(5475)</t>
  </si>
  <si>
    <t>1xDB.C-13a # 5.1(6635) + 1xDB.C-13 # 4.1(4300)</t>
  </si>
  <si>
    <t>1xDB.C-13a # 1.1(5475) + 1xDB.C-13a # 2.1(5340)</t>
  </si>
  <si>
    <t>2xDB.C-13a # 2.1(5340)</t>
  </si>
  <si>
    <t>1xDB.C-13a # 2.1+1xDB.C-13a # 2.2(5340)</t>
  </si>
  <si>
    <t>2xDB.C-13a # 2.2(5340)</t>
  </si>
  <si>
    <t>1xDB.C-13a # 2.2(5340) + 1xDB.C-13 # 3.2(5305)</t>
  </si>
  <si>
    <t>2xDB.C-13 # 3.2(5305)</t>
  </si>
  <si>
    <t>1xDB.C-13 # 3.2(5305) + 1xDB.C-13a # 3.1(5200)</t>
  </si>
  <si>
    <t>2xDB.C-13a # 3.1(5200)</t>
  </si>
  <si>
    <t>1xDB.C-13a # 3.1+1xDB.C-13a # 3.2(5200)</t>
  </si>
  <si>
    <t>2xDB.C-13a # 3.2(5200)</t>
  </si>
  <si>
    <t>1xDB.C-13a # 4.3(10270)</t>
  </si>
  <si>
    <t>1xDB.C-13 # 1.1(10000)</t>
  </si>
  <si>
    <t>1xDB.C-13 # 1.2(10000)</t>
  </si>
  <si>
    <t>1xDB.C-13 # 2.2(10000)</t>
  </si>
  <si>
    <t>1xDB.C-13 # 2.4(10000)</t>
  </si>
  <si>
    <t>1xDB.C-13a # 4.1(8510)</t>
  </si>
  <si>
    <t>1xDB.C-13a # 4.4(8330)</t>
  </si>
  <si>
    <t>1xDB.C-13 # 3.3(8055)</t>
  </si>
  <si>
    <t>1xDB.C-13a # 5.1(6635)</t>
  </si>
  <si>
    <t>1xDB.C-13a # 4.2(6570)</t>
  </si>
  <si>
    <t>1xDB.C-13a # 8(10650)</t>
  </si>
  <si>
    <t>1xDB.C-13 # 9(7900)</t>
  </si>
  <si>
    <t>2xDB.C-14 # 4(2710) + 3xDB.C-14 # 3.5(2030)</t>
  </si>
  <si>
    <t>4xDB.C-14 # 4(2710)</t>
  </si>
  <si>
    <t>2xDB.C-14 # 3.6(5370)</t>
  </si>
  <si>
    <t>1xDB.C-13 # 10(1370)</t>
  </si>
  <si>
    <t>1xDB.C-13 # 7.1(2350) + 2xDB.C-13 # 10(1370)</t>
  </si>
  <si>
    <t>1xDB.C-13a # 9(2170) + 2xDB.C-13 # 10(1370)</t>
  </si>
  <si>
    <t>1xDB.C-13 # 8(2670) + 1xDB.C-13a # 9(2170)</t>
  </si>
  <si>
    <t>1xDB.C-13 # 7.2(5870) + 1xDB.C-13a # 6.1(3150) + 1xDB.C-13 # 8(2670)</t>
  </si>
  <si>
    <t>1xDB.C-13a # 6.2(6670) + 1xDB.C-13 # 8(2670) + 1xDB.C-13a # 9(2170)</t>
  </si>
  <si>
    <t>1xDB.C-13a # 6.2(6670) + 1xDB.C-13a # 7(2670) + 1xDB.C-13a # 9(2170)</t>
  </si>
  <si>
    <t>1xDB.C-13a # 7(2670) + 4xDB.C-13a # 9(2170)</t>
  </si>
  <si>
    <t>1xDB.C-14 # 5(6500) + 1xDB.C-13a # 7(2670) + 1xDB.C-13a # 9(2170)</t>
  </si>
  <si>
    <t>4xDB.C-13a # 7(2670)</t>
  </si>
  <si>
    <t>1xDB.C-13a # 12(10650)</t>
  </si>
  <si>
    <t>1xDB.C-14 # 5(6500) + 1xDB.C-13a # 7(2670)</t>
  </si>
  <si>
    <t>1xDB.C-14 # 5(6500)</t>
  </si>
  <si>
    <t>1xDB.C-14 # 7(6500)</t>
  </si>
  <si>
    <t>DB.C-17 # 9~9</t>
  </si>
  <si>
    <t>1xDB.C-16 # 2.1(2850)</t>
  </si>
  <si>
    <t>1xDB.C-16 # 2.2(2850)</t>
  </si>
  <si>
    <t>1xDB.C-16 # 3.1(2750)</t>
  </si>
  <si>
    <t>1xDB.C-16 # 3.2(2750)</t>
  </si>
  <si>
    <t>1xDB.C-16 # 1.1(3120)</t>
  </si>
  <si>
    <t>1xDB.C-16 # 1.2(3120)</t>
  </si>
  <si>
    <t>2xDB.C-16 # 4.1(5300)</t>
  </si>
  <si>
    <t>1xDB.C-16 # 4.4(8940)</t>
  </si>
  <si>
    <t>1xDB.C-16 # 4.2(7140)</t>
  </si>
  <si>
    <t>1xDB.C-16 # 4.3(7100)</t>
  </si>
  <si>
    <t>2xDB.C-15 # 4(2710) + 3xDB.C-15 # 3.1(2030)</t>
  </si>
  <si>
    <t>4xDB.C-15 # 4(2710)</t>
  </si>
  <si>
    <t>2xDB.C-15 # 3.2(5370)</t>
  </si>
  <si>
    <t>1xDB.C-16 # 5.1(2950)</t>
  </si>
  <si>
    <t>3xDB.C-16 # 5.1(2950) + 1xDB.C-16 # 6(2670)</t>
  </si>
  <si>
    <t>2xDB.C-16 # 5.1(2950) + 2xDB.C-16 # 6(2670)</t>
  </si>
  <si>
    <t>4xDB.C-16 # 6(2670)</t>
  </si>
  <si>
    <t>1xDB.C-15 # 8(6500)</t>
  </si>
  <si>
    <t>1xDB.C-16 # 5.2(6470)</t>
  </si>
  <si>
    <t>DB.C-16 # 9~15</t>
  </si>
  <si>
    <t>DB.C-19 # 2.2~6</t>
  </si>
  <si>
    <t>DB.C-16 # 11.4~4|DB.C-19 # 1.1~6|DB.C-19 # 1.3~7|DB.C-19a # 1.1~10|DB.C-19a # 1.2~6|DB.C-19a # 1.6~11|DB.C-19a # 2.1~11|DB.C-19a # 2.2~6</t>
  </si>
  <si>
    <t>DB.C-19 # 10~14</t>
  </si>
  <si>
    <t>DB.C-19a # 1.3~11</t>
  </si>
  <si>
    <t>DB.C-19a # 1.7~10</t>
  </si>
  <si>
    <t>DB.C-19a # 2.3~10|DB.C-19a # 2.4~5</t>
  </si>
  <si>
    <t>2xDB.C-19a # 1.7</t>
  </si>
  <si>
    <t>1xDB.C-19a # 1.3</t>
  </si>
  <si>
    <t>1xDB.C-19a # 2.3</t>
  </si>
  <si>
    <t>2xDB.C-18a # 6(350)</t>
  </si>
  <si>
    <t>2xDB.C-19 # 5.1</t>
  </si>
  <si>
    <t>3xDB.C-19 # 2.2</t>
  </si>
  <si>
    <t>4xDB.C-19 # 6.2(2790)</t>
  </si>
  <si>
    <t>1xDB.C-19 # 7(8110) + 1xDB.C-19 # 6.2(2790)</t>
  </si>
  <si>
    <t>1xDB.C-19 # 7(8110)</t>
  </si>
  <si>
    <t>1xDB.C-19 # 6.1(6470)</t>
  </si>
  <si>
    <t>1xDB.C-19 # 8(1970)</t>
  </si>
  <si>
    <t>1xDB.C-16 # 7(8800)</t>
  </si>
  <si>
    <t>2xDB.C-17 # 7(4100)</t>
  </si>
  <si>
    <t>1xDB.C-16 # 11.2(2660)</t>
  </si>
  <si>
    <t>2xDB.C-17 # 9(1090)</t>
  </si>
  <si>
    <t>1xDB.C-16 # 9(1690)</t>
  </si>
  <si>
    <t>1xDB.C-17 # 9(1090)</t>
  </si>
  <si>
    <t>1xDB.C-19 # 2.3(6380) + 1xDB.C-16 # 11.1(5320)</t>
  </si>
  <si>
    <t>2xDB.C-19a # 1.7(5850)</t>
  </si>
  <si>
    <t>1xDB.C-19a # 1.4(4690) + 2xDB.C-19 # 5.1(3490)</t>
  </si>
  <si>
    <t>1xDB.C-19a # 1.3(6690) + 1xDB.C-19 # 3.4(4940)</t>
  </si>
  <si>
    <t>1xDB.C-19a # 1.3(6690) + 1xDB.C-19a # 1.4(4690)</t>
  </si>
  <si>
    <t>1xDB.C-17 # 1(11300)</t>
  </si>
  <si>
    <t>1xDB.C-17 # 3(11260)</t>
  </si>
  <si>
    <t>3xDB.C-19 # 2.2(3750)</t>
  </si>
  <si>
    <t>1xDB.C-17 # 2(11200)</t>
  </si>
  <si>
    <t>1xDB.C-17 # 4(11160)</t>
  </si>
  <si>
    <t>1xDB.C-17 # 11(11100)</t>
  </si>
  <si>
    <t>1xDB.C-19a # 1.5(11000)</t>
  </si>
  <si>
    <t>1xDB.C-19a # 1.3(6690) + 1xDB.C-19 # 4(3710)</t>
  </si>
  <si>
    <t>1xDB.C-16 # 11.3(9040)</t>
  </si>
  <si>
    <t>1xDB.C-19a # 1.8(9000)</t>
  </si>
  <si>
    <t>1xDB.C-19 # 3.2(8140)</t>
  </si>
  <si>
    <t>1xDB.C-19a # 1.3(6690)</t>
  </si>
  <si>
    <t>1xDB.C-19a # 2.3(6550)</t>
  </si>
  <si>
    <t>1xDB.C-19a # 2.4(6550)</t>
  </si>
  <si>
    <t>1xDB.C-19 # 2.3(6380)</t>
  </si>
  <si>
    <t>1xDB.C-19 # 10(6270)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</si>
</sst>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0.000"/>
    <numFmt numFmtId="166" formatCode="_(* #,##0_);_(* \(#,##0\);_(* &quot;-&quot;??_);_(@_)"/>
    <numFmt numFmtId="167" formatCode="_(* #,##0.000_);_(* \(#,##0.000\);_(* &quot;-&quot;??_);_(@_)"/>
    <numFmt numFmtId="168" formatCode="[$-1010000]d/m/yyyy;@"/>
  </numFmts>
  <fonts count="46" x14ac:knownFonts="1">
    <font>
      <sz val="11"/>
      <color theme="1"/>
      <name val="Calibri"/>
      <family val="2"/>
      <charset val="163"/>
      <scheme val="minor"/>
    </font>
    <font>
      <sz val="11"/>
      <color theme="1"/>
      <name val="Calibri"/>
      <family val="2"/>
      <scheme val="minor"/>
    </font>
    <font>
      <b/>
      <sz val="11"/>
      <color theme="1"/>
      <name val="Calibri"/>
      <family val="2"/>
      <charset val="163"/>
      <scheme val="minor"/>
    </font>
    <font>
      <b/>
      <sz val="11"/>
      <name val="Calibri"/>
      <family val="2"/>
      <charset val="163"/>
      <scheme val="minor"/>
    </font>
    <font>
      <sz val="11"/>
      <color theme="1"/>
      <name val="Calibri"/>
      <family val="2"/>
      <charset val="163"/>
      <scheme val="minor"/>
    </font>
    <font>
      <b/>
      <sz val="11"/>
      <color theme="0"/>
      <name val="Calibri"/>
      <family val="2"/>
      <charset val="163"/>
      <scheme val="minor"/>
    </font>
    <font>
      <b/>
      <sz val="14"/>
      <color theme="1"/>
      <name val="Calibri"/>
      <family val="2"/>
      <charset val="163"/>
      <scheme val="minor"/>
    </font>
    <font>
      <b/>
      <sz val="11"/>
      <color rgb="FF007D7A"/>
      <name val="Calibri"/>
      <family val="2"/>
      <charset val="163"/>
      <scheme val="minor"/>
    </font>
    <font>
      <b/>
      <sz val="11"/>
      <color rgb="FFFFFF00"/>
      <name val="Calibri"/>
      <family val="2"/>
      <charset val="163"/>
      <scheme val="minor"/>
    </font>
    <font>
      <b/>
      <sz val="16"/>
      <color theme="1"/>
      <name val="Calibri"/>
      <family val="2"/>
      <charset val="163"/>
      <scheme val="minor"/>
    </font>
    <font>
      <sz val="11"/>
      <color indexed="8"/>
      <name val="Calibri"/>
      <family val="2"/>
    </font>
    <font>
      <sz val="11"/>
      <color rgb="FFFF0000"/>
      <name val="Calibri"/>
      <family val="2"/>
      <charset val="163"/>
      <scheme val="minor"/>
    </font>
    <font>
      <b/>
      <sz val="11"/>
      <color rgb="FFFF0000"/>
      <name val="Calibri"/>
      <family val="2"/>
      <charset val="163"/>
      <scheme val="minor"/>
    </font>
    <font>
      <b/>
      <sz val="11"/>
      <color theme="0"/>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FF0000"/>
      <name val="Calibri"/>
      <family val="2"/>
      <scheme val="minor"/>
    </font>
    <font>
      <b/>
      <sz val="11"/>
      <color theme="1"/>
      <name val="Calibri"/>
      <family val="2"/>
      <scheme val="minor"/>
    </font>
    <font>
      <b/>
      <sz val="11"/>
      <color theme="1"/>
      <name val="Times New Roman"/>
      <family val="1"/>
    </font>
    <font>
      <sz val="11"/>
      <color theme="1"/>
      <name val="Times New Roman"/>
      <family val="1"/>
    </font>
    <font>
      <b/>
      <sz val="11"/>
      <color rgb="FFFF0000"/>
      <name val="Times New Roman"/>
      <family val="1"/>
    </font>
    <font>
      <sz val="11"/>
      <color theme="1"/>
      <name val="Symbol"/>
      <family val="1"/>
      <charset val="2"/>
    </font>
    <font>
      <b/>
      <sz val="11"/>
      <color rgb="FFFF0000"/>
      <name val="Calibri"/>
      <family val="2"/>
      <scheme val="minor"/>
    </font>
    <font>
      <b/>
      <sz val="12"/>
      <color theme="1"/>
      <name val="Calibri"/>
      <family val="2"/>
      <charset val="163"/>
      <scheme val="minor"/>
    </font>
    <font>
      <b/>
      <sz val="22"/>
      <color theme="1"/>
      <name val="Arial"/>
      <family val="2"/>
    </font>
    <font>
      <b/>
      <sz val="11"/>
      <color rgb="FFFF0000"/>
      <name val="Arial"/>
      <family val="2"/>
    </font>
    <font>
      <b/>
      <sz val="16"/>
      <color theme="1"/>
      <name val="Times New Roman"/>
      <family val="1"/>
    </font>
    <font>
      <sz val="16"/>
      <color theme="1"/>
      <name val="Times New Roman"/>
      <family val="1"/>
    </font>
    <font>
      <sz val="11"/>
      <color theme="1"/>
      <name val="Arial"/>
      <family val="2"/>
    </font>
    <font>
      <b/>
      <sz val="11"/>
      <color theme="1"/>
      <name val="Arial"/>
      <family val="2"/>
    </font>
    <font>
      <i/>
      <sz val="10"/>
      <color theme="1"/>
      <name val="Times New Roman"/>
      <family val="1"/>
    </font>
    <font>
      <sz val="8"/>
      <name val="Calibri"/>
      <family val="2"/>
      <charset val="163"/>
      <scheme val="minor"/>
    </font>
  </fonts>
  <fills count="35">
    <fill>
      <patternFill patternType="none"/>
    </fill>
    <fill>
      <patternFill patternType="gray125"/>
    </fill>
    <fill>
      <patternFill patternType="solid">
        <fgColor rgb="FF007D7A"/>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5"/>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rgb="FFFFFFFF"/>
        <bgColor indexed="64"/>
      </patternFill>
    </fill>
    <fill>
      <patternFill patternType="solid">
        <fgColor theme="4" tint="0.59999389629810485"/>
        <bgColor indexed="64"/>
      </patternFill>
    </fill>
    <fill>
      <patternFill patternType="solid">
        <fgColor rgb="FF00FFFF"/>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0"/>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theme="0"/>
      </bottom>
      <diagonal/>
    </border>
    <border>
      <left/>
      <right style="thin">
        <color indexed="64"/>
      </right>
      <top style="thin">
        <color theme="0"/>
      </top>
      <bottom style="thin">
        <color theme="0"/>
      </bottom>
      <diagonal/>
    </border>
    <border>
      <left style="thin">
        <color indexed="64"/>
      </left>
      <right style="thin">
        <color auto="1"/>
      </right>
      <top style="thin">
        <color auto="1"/>
      </top>
      <bottom style="thin">
        <color auto="1"/>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auto="1"/>
      </bottom>
      <diagonal/>
    </border>
    <border>
      <left style="thin">
        <color indexed="64"/>
      </left>
      <right/>
      <top style="thin">
        <color theme="0"/>
      </top>
      <bottom style="thin">
        <color auto="1"/>
      </bottom>
      <diagonal/>
    </border>
    <border>
      <left/>
      <right/>
      <top style="thin">
        <color theme="0"/>
      </top>
      <bottom style="thin">
        <color auto="1"/>
      </bottom>
      <diagonal/>
    </border>
    <border>
      <left/>
      <right style="thin">
        <color indexed="64"/>
      </right>
      <top style="thin">
        <color theme="0"/>
      </top>
      <bottom style="thin">
        <color auto="1"/>
      </bottom>
      <diagonal/>
    </border>
    <border>
      <left style="thin">
        <color indexed="64"/>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bottom/>
      <diagonal/>
    </border>
  </borders>
  <cellStyleXfs count="46">
    <xf numFmtId="0" fontId="0" fillId="0" borderId="0"/>
    <xf numFmtId="164" fontId="4" fillId="0" borderId="0" applyFont="0" applyFill="0" applyBorder="0" applyAlignment="0" applyProtection="0"/>
    <xf numFmtId="0" fontId="10" fillId="0" borderId="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0" fillId="15" borderId="0" applyNumberFormat="0" applyBorder="0" applyAlignment="0" applyProtection="0"/>
    <xf numFmtId="0" fontId="14" fillId="16"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23" borderId="0" applyNumberFormat="0" applyBorder="0" applyAlignment="0" applyProtection="0"/>
    <xf numFmtId="0" fontId="15" fillId="7" borderId="0" applyNumberFormat="0" applyBorder="0" applyAlignment="0" applyProtection="0"/>
    <xf numFmtId="0" fontId="16" fillId="24" borderId="19" applyNumberFormat="0" applyAlignment="0" applyProtection="0"/>
    <xf numFmtId="0" fontId="17" fillId="25" borderId="20" applyNumberFormat="0" applyAlignment="0" applyProtection="0"/>
    <xf numFmtId="0" fontId="18" fillId="0" borderId="0" applyNumberFormat="0" applyFill="0" applyBorder="0" applyAlignment="0" applyProtection="0"/>
    <xf numFmtId="0" fontId="19" fillId="8" borderId="0" applyNumberFormat="0" applyBorder="0" applyAlignment="0" applyProtection="0"/>
    <xf numFmtId="0" fontId="20" fillId="0" borderId="21" applyNumberFormat="0" applyFill="0" applyAlignment="0" applyProtection="0"/>
    <xf numFmtId="0" fontId="21" fillId="0" borderId="22" applyNumberFormat="0" applyFill="0" applyAlignment="0" applyProtection="0"/>
    <xf numFmtId="0" fontId="22" fillId="0" borderId="23" applyNumberFormat="0" applyFill="0" applyAlignment="0" applyProtection="0"/>
    <xf numFmtId="0" fontId="22" fillId="0" borderId="0" applyNumberFormat="0" applyFill="0" applyBorder="0" applyAlignment="0" applyProtection="0"/>
    <xf numFmtId="0" fontId="23" fillId="11" borderId="19" applyNumberFormat="0" applyAlignment="0" applyProtection="0"/>
    <xf numFmtId="0" fontId="24" fillId="0" borderId="24" applyNumberFormat="0" applyFill="0" applyAlignment="0" applyProtection="0"/>
    <xf numFmtId="0" fontId="25" fillId="26" borderId="0" applyNumberFormat="0" applyBorder="0" applyAlignment="0" applyProtection="0"/>
    <xf numFmtId="0" fontId="10" fillId="27" borderId="25" applyNumberFormat="0" applyFont="0" applyAlignment="0" applyProtection="0"/>
    <xf numFmtId="0" fontId="26" fillId="24" borderId="26" applyNumberFormat="0" applyAlignment="0" applyProtection="0"/>
    <xf numFmtId="0" fontId="27" fillId="0" borderId="0" applyNumberFormat="0" applyFill="0" applyBorder="0" applyAlignment="0" applyProtection="0"/>
    <xf numFmtId="0" fontId="28" fillId="0" borderId="27" applyNumberFormat="0" applyFill="0" applyAlignment="0" applyProtection="0"/>
    <xf numFmtId="0" fontId="29" fillId="0" borderId="0" applyNumberFormat="0" applyFill="0" applyBorder="0" applyAlignment="0" applyProtection="0"/>
    <xf numFmtId="9" fontId="4" fillId="0" borderId="0" applyFont="0" applyFill="0" applyBorder="0" applyAlignment="0" applyProtection="0"/>
    <xf numFmtId="0" fontId="1" fillId="0" borderId="0"/>
  </cellStyleXfs>
  <cellXfs count="180">
    <xf numFmtId="0" fontId="0" fillId="0" borderId="0" xfId="0"/>
    <xf numFmtId="0" fontId="2" fillId="0" borderId="0" xfId="0" applyFont="1" applyAlignment="1">
      <alignment horizontal="center"/>
    </xf>
    <xf numFmtId="0" fontId="0" fillId="0" borderId="0" xfId="0" applyAlignment="1">
      <alignment vertical="center"/>
    </xf>
    <xf numFmtId="0" fontId="0" fillId="0" borderId="0" xfId="0" applyAlignment="1">
      <alignment horizontal="center" vertical="center"/>
    </xf>
    <xf numFmtId="0" fontId="2" fillId="2" borderId="1"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2" xfId="0" applyBorder="1" applyAlignment="1">
      <alignment horizontal="center" vertical="center"/>
    </xf>
    <xf numFmtId="165" fontId="2" fillId="2" borderId="1" xfId="0" applyNumberFormat="1" applyFont="1" applyFill="1" applyBorder="1" applyAlignment="1">
      <alignment horizontal="center" vertical="center" wrapText="1"/>
    </xf>
    <xf numFmtId="165" fontId="0" fillId="0" borderId="0" xfId="0" applyNumberFormat="1"/>
    <xf numFmtId="0" fontId="0" fillId="3" borderId="1" xfId="0" applyFill="1" applyBorder="1" applyAlignment="1">
      <alignment horizontal="center" vertical="center"/>
    </xf>
    <xf numFmtId="165" fontId="0" fillId="0" borderId="1" xfId="0" applyNumberFormat="1" applyBorder="1" applyAlignment="1">
      <alignment horizontal="right" vertical="center"/>
    </xf>
    <xf numFmtId="2" fontId="0" fillId="0" borderId="1" xfId="0" applyNumberFormat="1" applyBorder="1" applyAlignment="1">
      <alignment horizontal="right" vertical="center"/>
    </xf>
    <xf numFmtId="3" fontId="2" fillId="2" borderId="1" xfId="0" applyNumberFormat="1" applyFont="1" applyFill="1" applyBorder="1" applyAlignment="1">
      <alignment horizontal="center" vertical="center" wrapText="1"/>
    </xf>
    <xf numFmtId="3" fontId="0" fillId="0" borderId="0" xfId="0" applyNumberFormat="1"/>
    <xf numFmtId="0" fontId="4" fillId="0" borderId="0" xfId="0" applyFont="1"/>
    <xf numFmtId="166" fontId="5" fillId="2" borderId="1" xfId="1" applyNumberFormat="1" applyFont="1" applyFill="1" applyBorder="1" applyAlignment="1">
      <alignment horizontal="center" vertical="center" wrapText="1"/>
    </xf>
    <xf numFmtId="2" fontId="5" fillId="2" borderId="1" xfId="0" applyNumberFormat="1" applyFont="1" applyFill="1" applyBorder="1" applyAlignment="1">
      <alignment horizontal="center" vertical="center" wrapText="1"/>
    </xf>
    <xf numFmtId="2" fontId="4" fillId="0" borderId="0" xfId="0" applyNumberFormat="1" applyFont="1"/>
    <xf numFmtId="1" fontId="5" fillId="2" borderId="1" xfId="0" applyNumberFormat="1" applyFont="1" applyFill="1" applyBorder="1" applyAlignment="1">
      <alignment horizontal="center" vertical="center" wrapText="1"/>
    </xf>
    <xf numFmtId="1" fontId="4" fillId="0" borderId="0" xfId="0" applyNumberFormat="1" applyFont="1"/>
    <xf numFmtId="1" fontId="5" fillId="2" borderId="1" xfId="1" applyNumberFormat="1" applyFont="1" applyFill="1" applyBorder="1" applyAlignment="1">
      <alignment horizontal="center" vertical="center" wrapText="1"/>
    </xf>
    <xf numFmtId="0" fontId="5" fillId="2" borderId="1" xfId="0" applyFont="1" applyFill="1" applyBorder="1" applyAlignment="1">
      <alignment horizontal="center" vertical="center" wrapText="1"/>
    </xf>
    <xf numFmtId="3" fontId="5" fillId="2" borderId="1" xfId="0" applyNumberFormat="1" applyFont="1" applyFill="1" applyBorder="1" applyAlignment="1">
      <alignment horizontal="center" vertical="center" wrapText="1"/>
    </xf>
    <xf numFmtId="0" fontId="2" fillId="0" borderId="0" xfId="0" applyFont="1"/>
    <xf numFmtId="0" fontId="5" fillId="2" borderId="3" xfId="0" applyFont="1" applyFill="1" applyBorder="1" applyAlignment="1">
      <alignment vertical="center"/>
    </xf>
    <xf numFmtId="3" fontId="5" fillId="2" borderId="3" xfId="0" applyNumberFormat="1" applyFont="1" applyFill="1" applyBorder="1" applyAlignment="1">
      <alignment vertical="center"/>
    </xf>
    <xf numFmtId="0" fontId="5" fillId="2" borderId="5" xfId="0" applyFont="1" applyFill="1" applyBorder="1" applyAlignment="1">
      <alignment vertical="center"/>
    </xf>
    <xf numFmtId="0" fontId="5" fillId="2" borderId="6" xfId="0" applyFont="1" applyFill="1" applyBorder="1" applyAlignment="1">
      <alignment horizontal="right" vertical="center"/>
    </xf>
    <xf numFmtId="0" fontId="5" fillId="2" borderId="8" xfId="0" applyFont="1" applyFill="1" applyBorder="1" applyAlignment="1">
      <alignment horizontal="right" vertical="center"/>
    </xf>
    <xf numFmtId="3" fontId="5" fillId="2" borderId="8" xfId="0" applyNumberFormat="1" applyFont="1" applyFill="1" applyBorder="1" applyAlignment="1">
      <alignment horizontal="right" vertical="center"/>
    </xf>
    <xf numFmtId="3" fontId="0" fillId="0" borderId="1" xfId="0" applyNumberFormat="1" applyBorder="1" applyAlignment="1">
      <alignment vertical="center"/>
    </xf>
    <xf numFmtId="0" fontId="7" fillId="4" borderId="9" xfId="0" applyFont="1" applyFill="1" applyBorder="1" applyAlignment="1">
      <alignment horizontal="center" vertical="center" wrapText="1"/>
    </xf>
    <xf numFmtId="0" fontId="7" fillId="5" borderId="11" xfId="0" applyFont="1" applyFill="1" applyBorder="1"/>
    <xf numFmtId="0" fontId="5" fillId="2" borderId="12" xfId="0" applyFont="1" applyFill="1" applyBorder="1"/>
    <xf numFmtId="0" fontId="7" fillId="5" borderId="7" xfId="0" applyFont="1" applyFill="1" applyBorder="1"/>
    <xf numFmtId="0" fontId="7" fillId="5" borderId="3" xfId="0" applyFont="1" applyFill="1" applyBorder="1"/>
    <xf numFmtId="0" fontId="7" fillId="5" borderId="8" xfId="0" applyFont="1" applyFill="1" applyBorder="1" applyAlignment="1">
      <alignment horizontal="right"/>
    </xf>
    <xf numFmtId="0" fontId="5" fillId="2" borderId="13" xfId="0" applyFont="1" applyFill="1" applyBorder="1"/>
    <xf numFmtId="0" fontId="5" fillId="2" borderId="14" xfId="0" applyFont="1" applyFill="1" applyBorder="1"/>
    <xf numFmtId="0" fontId="5" fillId="2" borderId="15" xfId="0" applyFont="1" applyFill="1" applyBorder="1" applyAlignment="1">
      <alignment horizontal="right"/>
    </xf>
    <xf numFmtId="0" fontId="8" fillId="2" borderId="4" xfId="0" applyFont="1" applyFill="1" applyBorder="1" applyAlignment="1">
      <alignment vertical="center"/>
    </xf>
    <xf numFmtId="0" fontId="8" fillId="2" borderId="7" xfId="0" applyFont="1" applyFill="1" applyBorder="1" applyAlignment="1">
      <alignment vertical="center"/>
    </xf>
    <xf numFmtId="3" fontId="8" fillId="2" borderId="7" xfId="0" applyNumberFormat="1" applyFont="1" applyFill="1" applyBorder="1" applyAlignment="1">
      <alignment vertical="center"/>
    </xf>
    <xf numFmtId="10" fontId="8" fillId="2" borderId="11" xfId="0" applyNumberFormat="1" applyFont="1" applyFill="1" applyBorder="1" applyAlignment="1">
      <alignment vertical="center"/>
    </xf>
    <xf numFmtId="3" fontId="5" fillId="2" borderId="9" xfId="0" applyNumberFormat="1" applyFont="1" applyFill="1" applyBorder="1" applyAlignment="1">
      <alignment horizontal="center" vertical="center" wrapText="1"/>
    </xf>
    <xf numFmtId="0" fontId="5" fillId="2" borderId="9" xfId="0" applyFont="1" applyFill="1" applyBorder="1" applyAlignment="1">
      <alignment horizontal="center"/>
    </xf>
    <xf numFmtId="0" fontId="5" fillId="2" borderId="16" xfId="0" applyFont="1" applyFill="1" applyBorder="1" applyAlignment="1">
      <alignment horizontal="center"/>
    </xf>
    <xf numFmtId="3" fontId="8" fillId="2" borderId="10" xfId="0" applyNumberFormat="1" applyFont="1" applyFill="1" applyBorder="1" applyAlignment="1">
      <alignment vertical="center"/>
    </xf>
    <xf numFmtId="3" fontId="8" fillId="2" borderId="11" xfId="0" applyNumberFormat="1" applyFont="1" applyFill="1" applyBorder="1" applyAlignment="1">
      <alignment vertical="center"/>
    </xf>
    <xf numFmtId="0" fontId="0" fillId="0" borderId="0" xfId="0" applyAlignment="1">
      <alignment horizontal="left" vertical="center"/>
    </xf>
    <xf numFmtId="3" fontId="0" fillId="3" borderId="1" xfId="0" applyNumberFormat="1" applyFill="1" applyBorder="1" applyAlignment="1">
      <alignment horizontal="right" vertical="center"/>
    </xf>
    <xf numFmtId="0" fontId="0" fillId="0" borderId="0" xfId="0" applyAlignment="1">
      <alignment horizontal="center"/>
    </xf>
    <xf numFmtId="0" fontId="11" fillId="0" borderId="0" xfId="0" applyFont="1" applyAlignment="1">
      <alignment horizontal="center" vertical="center"/>
    </xf>
    <xf numFmtId="3" fontId="12" fillId="4" borderId="1" xfId="0" applyNumberFormat="1"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0" fontId="12" fillId="4" borderId="1" xfId="0" applyFont="1" applyFill="1" applyBorder="1" applyAlignment="1">
      <alignment horizontal="center" vertical="center" wrapText="1"/>
    </xf>
    <xf numFmtId="165" fontId="5" fillId="2" borderId="1" xfId="0" applyNumberFormat="1" applyFont="1" applyFill="1" applyBorder="1" applyAlignment="1">
      <alignment horizontal="center" vertical="center" wrapText="1"/>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xf>
    <xf numFmtId="0" fontId="0" fillId="0" borderId="17" xfId="0" applyBorder="1" applyAlignment="1">
      <alignment horizontal="center" vertical="top"/>
    </xf>
    <xf numFmtId="0" fontId="0" fillId="0" borderId="17" xfId="0" applyBorder="1" applyAlignment="1">
      <alignment horizontal="center" vertical="center" textRotation="90"/>
    </xf>
    <xf numFmtId="0" fontId="0" fillId="0" borderId="18" xfId="0" applyBorder="1" applyAlignment="1">
      <alignment horizontal="center" vertical="center" textRotation="90"/>
    </xf>
    <xf numFmtId="0" fontId="0" fillId="0" borderId="17" xfId="0" applyBorder="1" applyAlignment="1">
      <alignment horizontal="right" vertical="top"/>
    </xf>
    <xf numFmtId="0" fontId="0" fillId="0" borderId="18" xfId="0" applyBorder="1" applyAlignment="1">
      <alignment horizontal="left" vertical="center" textRotation="90"/>
    </xf>
    <xf numFmtId="0" fontId="0" fillId="0" borderId="18" xfId="0" applyBorder="1" applyAlignment="1">
      <alignment vertical="center" textRotation="90"/>
    </xf>
    <xf numFmtId="0" fontId="0" fillId="0" borderId="17" xfId="0" applyBorder="1" applyAlignment="1">
      <alignment horizontal="left" vertical="center"/>
    </xf>
    <xf numFmtId="0" fontId="0" fillId="0" borderId="17" xfId="0" applyBorder="1" applyAlignment="1">
      <alignment horizontal="center" vertical="top" textRotation="90"/>
    </xf>
    <xf numFmtId="0" fontId="0" fillId="0" borderId="2" xfId="0" applyBorder="1" applyAlignment="1">
      <alignment horizontal="center" vertical="center" textRotation="90"/>
    </xf>
    <xf numFmtId="0" fontId="0" fillId="0" borderId="18" xfId="0" applyBorder="1" applyAlignment="1">
      <alignment horizontal="left" textRotation="90"/>
    </xf>
    <xf numFmtId="0" fontId="0" fillId="0" borderId="2" xfId="0" applyBorder="1" applyAlignment="1">
      <alignment horizontal="center" vertical="top" textRotation="90"/>
    </xf>
    <xf numFmtId="0" fontId="0" fillId="0" borderId="17" xfId="0" applyBorder="1" applyAlignment="1">
      <alignment horizontal="right"/>
    </xf>
    <xf numFmtId="0" fontId="0" fillId="0" borderId="2" xfId="0" applyBorder="1" applyAlignment="1">
      <alignment horizontal="right" vertical="center" textRotation="90"/>
    </xf>
    <xf numFmtId="49" fontId="0" fillId="0" borderId="0" xfId="0" applyNumberFormat="1" applyAlignment="1">
      <alignment horizontal="center"/>
    </xf>
    <xf numFmtId="0" fontId="13" fillId="2" borderId="0" xfId="0" applyFont="1" applyFill="1" applyAlignment="1">
      <alignment horizontal="center"/>
    </xf>
    <xf numFmtId="0" fontId="5" fillId="2" borderId="9" xfId="0" applyFont="1" applyFill="1" applyBorder="1" applyAlignment="1">
      <alignment horizontal="center" vertical="center" wrapText="1"/>
    </xf>
    <xf numFmtId="49" fontId="5" fillId="2" borderId="9" xfId="0" applyNumberFormat="1" applyFont="1" applyFill="1" applyBorder="1" applyAlignment="1">
      <alignment horizontal="center" vertical="center" wrapText="1"/>
    </xf>
    <xf numFmtId="3" fontId="0" fillId="0" borderId="0" xfId="0" applyNumberFormat="1" applyAlignment="1">
      <alignment horizontal="center" vertical="center"/>
    </xf>
    <xf numFmtId="3" fontId="5" fillId="2" borderId="28" xfId="0" applyNumberFormat="1" applyFont="1" applyFill="1" applyBorder="1" applyAlignment="1">
      <alignment horizontal="center" vertical="center" wrapText="1"/>
    </xf>
    <xf numFmtId="0" fontId="5" fillId="2" borderId="28" xfId="0" applyFont="1" applyFill="1" applyBorder="1" applyAlignment="1">
      <alignment horizontal="center" vertical="center" wrapText="1"/>
    </xf>
    <xf numFmtId="3" fontId="12" fillId="4" borderId="28" xfId="0" applyNumberFormat="1" applyFont="1" applyFill="1" applyBorder="1" applyAlignment="1">
      <alignment horizontal="center" vertical="center" wrapText="1"/>
    </xf>
    <xf numFmtId="0" fontId="0" fillId="0" borderId="9" xfId="0" applyBorder="1"/>
    <xf numFmtId="0" fontId="0" fillId="0" borderId="9" xfId="0" applyBorder="1" applyAlignment="1">
      <alignment horizontal="right" vertical="center"/>
    </xf>
    <xf numFmtId="0" fontId="0" fillId="4" borderId="9" xfId="0" applyFill="1" applyBorder="1" applyAlignment="1">
      <alignment horizontal="center" vertical="center"/>
    </xf>
    <xf numFmtId="0" fontId="0" fillId="0" borderId="9" xfId="0" applyBorder="1" applyAlignment="1">
      <alignment horizontal="center"/>
    </xf>
    <xf numFmtId="0" fontId="0" fillId="4" borderId="9" xfId="0" applyFill="1" applyBorder="1"/>
    <xf numFmtId="0" fontId="0" fillId="4" borderId="9" xfId="0" applyFill="1" applyBorder="1" applyAlignment="1">
      <alignment horizontal="center"/>
    </xf>
    <xf numFmtId="0" fontId="4" fillId="0" borderId="0" xfId="0" applyFont="1" applyAlignment="1">
      <alignment wrapText="1"/>
    </xf>
    <xf numFmtId="0" fontId="30" fillId="30" borderId="28" xfId="0" applyFont="1" applyFill="1" applyBorder="1" applyAlignment="1">
      <alignment horizontal="center" vertical="center"/>
    </xf>
    <xf numFmtId="0" fontId="11" fillId="4" borderId="28" xfId="0" applyFont="1" applyFill="1" applyBorder="1" applyAlignment="1">
      <alignment horizontal="center" vertical="center"/>
    </xf>
    <xf numFmtId="3" fontId="12" fillId="31" borderId="28" xfId="0" applyNumberFormat="1" applyFont="1" applyFill="1" applyBorder="1" applyAlignment="1">
      <alignment horizontal="center" vertical="center" wrapText="1"/>
    </xf>
    <xf numFmtId="0" fontId="32" fillId="4" borderId="30" xfId="45" applyFont="1" applyFill="1" applyBorder="1" applyAlignment="1">
      <alignment horizontal="center" vertical="center"/>
    </xf>
    <xf numFmtId="0" fontId="32" fillId="4" borderId="31" xfId="45" applyFont="1" applyFill="1" applyBorder="1" applyAlignment="1">
      <alignment horizontal="center" vertical="center"/>
    </xf>
    <xf numFmtId="0" fontId="32" fillId="4" borderId="32" xfId="45" applyFont="1" applyFill="1" applyBorder="1" applyAlignment="1">
      <alignment horizontal="center" vertical="center"/>
    </xf>
    <xf numFmtId="0" fontId="32" fillId="4" borderId="33" xfId="45" applyFont="1" applyFill="1" applyBorder="1" applyAlignment="1">
      <alignment horizontal="center" vertical="center" wrapText="1"/>
    </xf>
    <xf numFmtId="0" fontId="33" fillId="0" borderId="34" xfId="45" applyFont="1" applyBorder="1" applyAlignment="1">
      <alignment horizontal="center"/>
    </xf>
    <xf numFmtId="0" fontId="34" fillId="0" borderId="35" xfId="45" applyFont="1" applyBorder="1" applyAlignment="1">
      <alignment horizontal="center"/>
    </xf>
    <xf numFmtId="0" fontId="33" fillId="0" borderId="35" xfId="45" applyFont="1" applyBorder="1" applyAlignment="1">
      <alignment horizontal="center"/>
    </xf>
    <xf numFmtId="0" fontId="34" fillId="0" borderId="35" xfId="45" applyFont="1" applyBorder="1"/>
    <xf numFmtId="167" fontId="0" fillId="0" borderId="36" xfId="1" applyNumberFormat="1" applyFont="1" applyBorder="1"/>
    <xf numFmtId="0" fontId="33" fillId="0" borderId="37" xfId="45" applyFont="1" applyBorder="1" applyAlignment="1">
      <alignment horizontal="center"/>
    </xf>
    <xf numFmtId="0" fontId="34" fillId="0" borderId="38" xfId="45" applyFont="1" applyBorder="1" applyAlignment="1">
      <alignment horizontal="center"/>
    </xf>
    <xf numFmtId="0" fontId="33" fillId="0" borderId="38" xfId="45" applyFont="1" applyBorder="1" applyAlignment="1">
      <alignment horizontal="center"/>
    </xf>
    <xf numFmtId="0" fontId="34" fillId="0" borderId="38" xfId="45" applyFont="1" applyBorder="1"/>
    <xf numFmtId="167" fontId="0" fillId="0" borderId="39" xfId="1" applyNumberFormat="1" applyFont="1" applyBorder="1"/>
    <xf numFmtId="0" fontId="34" fillId="32" borderId="38" xfId="45" applyFont="1" applyFill="1" applyBorder="1" applyAlignment="1">
      <alignment horizontal="center" vertical="center" wrapText="1"/>
    </xf>
    <xf numFmtId="2" fontId="33" fillId="0" borderId="38" xfId="45" applyNumberFormat="1" applyFont="1" applyBorder="1" applyAlignment="1">
      <alignment horizontal="center"/>
    </xf>
    <xf numFmtId="0" fontId="33" fillId="0" borderId="40" xfId="45" applyFont="1" applyBorder="1" applyAlignment="1">
      <alignment horizontal="center"/>
    </xf>
    <xf numFmtId="0" fontId="34" fillId="0" borderId="41" xfId="45" applyFont="1" applyBorder="1" applyAlignment="1">
      <alignment horizontal="center"/>
    </xf>
    <xf numFmtId="0" fontId="33" fillId="0" borderId="41" xfId="45" applyFont="1" applyBorder="1" applyAlignment="1">
      <alignment horizontal="center"/>
    </xf>
    <xf numFmtId="0" fontId="34" fillId="0" borderId="41" xfId="45" applyFont="1" applyBorder="1"/>
    <xf numFmtId="167" fontId="0" fillId="0" borderId="42" xfId="1" applyNumberFormat="1" applyFont="1" applyBorder="1"/>
    <xf numFmtId="0" fontId="33" fillId="0" borderId="0" xfId="0" applyFont="1"/>
    <xf numFmtId="0" fontId="33" fillId="0" borderId="0" xfId="0" applyFont="1" applyAlignment="1">
      <alignment horizontal="left" vertical="center"/>
    </xf>
    <xf numFmtId="0" fontId="41" fillId="0" borderId="0" xfId="0" applyFont="1" applyAlignment="1">
      <alignment horizontal="center" vertical="center"/>
    </xf>
    <xf numFmtId="168" fontId="33" fillId="0" borderId="0" xfId="0" applyNumberFormat="1" applyFont="1" applyAlignment="1">
      <alignment horizontal="left" vertical="center"/>
    </xf>
    <xf numFmtId="0" fontId="42" fillId="0" borderId="28" xfId="0" applyFont="1" applyBorder="1" applyAlignment="1">
      <alignment horizontal="center" vertical="center"/>
    </xf>
    <xf numFmtId="0" fontId="42" fillId="0" borderId="28" xfId="0" applyFont="1" applyBorder="1" applyAlignment="1">
      <alignment horizontal="left" vertical="center" wrapText="1"/>
    </xf>
    <xf numFmtId="4" fontId="43" fillId="0" borderId="28" xfId="0" applyNumberFormat="1" applyFont="1" applyBorder="1" applyAlignment="1">
      <alignment horizontal="right" vertical="center"/>
    </xf>
    <xf numFmtId="0" fontId="42" fillId="0" borderId="0" xfId="0" applyFont="1"/>
    <xf numFmtId="0" fontId="33" fillId="0" borderId="0" xfId="0" applyFont="1" applyAlignment="1">
      <alignment vertical="center" wrapText="1"/>
    </xf>
    <xf numFmtId="0" fontId="32" fillId="0" borderId="0" xfId="0" applyFont="1" applyAlignment="1">
      <alignment horizontal="center"/>
    </xf>
    <xf numFmtId="0" fontId="32" fillId="0" borderId="0" xfId="0" applyFont="1"/>
    <xf numFmtId="0" fontId="32" fillId="33" borderId="28" xfId="0" applyFont="1" applyFill="1" applyBorder="1" applyAlignment="1">
      <alignment horizontal="center" vertical="center"/>
    </xf>
    <xf numFmtId="0" fontId="32" fillId="33" borderId="28" xfId="0" applyFont="1" applyFill="1" applyBorder="1" applyAlignment="1">
      <alignment horizontal="center" vertical="center" wrapText="1"/>
    </xf>
    <xf numFmtId="49" fontId="44" fillId="29" borderId="28" xfId="0" applyNumberFormat="1" applyFont="1" applyFill="1" applyBorder="1" applyAlignment="1">
      <alignment horizontal="center" vertical="center"/>
    </xf>
    <xf numFmtId="49" fontId="44" fillId="29" borderId="28" xfId="0" applyNumberFormat="1" applyFont="1" applyFill="1" applyBorder="1" applyAlignment="1">
      <alignment horizontal="center" vertical="center" wrapText="1"/>
    </xf>
    <xf numFmtId="2" fontId="31" fillId="4" borderId="28" xfId="0" applyNumberFormat="1" applyFont="1" applyFill="1" applyBorder="1" applyAlignment="1">
      <alignment horizontal="center" vertical="center"/>
    </xf>
    <xf numFmtId="2" fontId="31" fillId="30" borderId="28" xfId="0" applyNumberFormat="1" applyFont="1" applyFill="1" applyBorder="1" applyAlignment="1">
      <alignment horizontal="center" vertical="center"/>
    </xf>
    <xf numFmtId="10" fontId="39" fillId="0" borderId="28" xfId="44" applyNumberFormat="1" applyFont="1" applyBorder="1" applyAlignment="1">
      <alignment horizontal="right" vertical="center"/>
    </xf>
    <xf numFmtId="0" fontId="42" fillId="0" borderId="28" xfId="0" applyFont="1" applyBorder="1" applyAlignment="1">
      <alignment horizontal="center" vertical="center" wrapText="1"/>
    </xf>
    <xf numFmtId="1" fontId="4" fillId="0" borderId="9" xfId="0" applyNumberFormat="1" applyFont="1" applyBorder="1"/>
    <xf numFmtId="4" fontId="4" fillId="0" borderId="9" xfId="0" applyNumberFormat="1" applyFont="1" applyBorder="1"/>
    <xf numFmtId="0" fontId="4" fillId="0" borderId="9" xfId="0" applyFont="1" applyBorder="1" applyAlignment="1">
      <alignment horizontal="center"/>
    </xf>
    <xf numFmtId="1" fontId="4" fillId="0" borderId="9" xfId="0" applyNumberFormat="1" applyFont="1" applyBorder="1" applyAlignment="1">
      <alignment horizontal="center"/>
    </xf>
    <xf numFmtId="49" fontId="0" fillId="0" borderId="9" xfId="0" applyNumberFormat="1" applyBorder="1" applyAlignment="1">
      <alignment horizontal="center"/>
    </xf>
    <xf numFmtId="4" fontId="0" fillId="0" borderId="9" xfId="0" applyNumberFormat="1" applyBorder="1"/>
    <xf numFmtId="0" fontId="0" fillId="34" borderId="9" xfId="0" applyFill="1" applyBorder="1"/>
    <xf numFmtId="0" fontId="42" fillId="0" borderId="9" xfId="0" applyFont="1" applyBorder="1" applyAlignment="1">
      <alignment horizontal="center" vertical="center"/>
    </xf>
    <xf numFmtId="0" fontId="42" fillId="0" borderId="9" xfId="0" applyFont="1" applyBorder="1" applyAlignment="1">
      <alignment horizontal="left" vertical="center" wrapText="1"/>
    </xf>
    <xf numFmtId="0" fontId="42" fillId="0" borderId="9" xfId="0" applyFont="1" applyBorder="1" applyAlignment="1">
      <alignment horizontal="center" vertical="center" wrapText="1"/>
    </xf>
    <xf numFmtId="4" fontId="43" fillId="0" borderId="9" xfId="0" applyNumberFormat="1" applyFont="1" applyBorder="1" applyAlignment="1">
      <alignment horizontal="right" vertical="center"/>
    </xf>
    <xf numFmtId="10" fontId="39" fillId="0" borderId="9" xfId="44" applyNumberFormat="1" applyFont="1" applyBorder="1" applyAlignment="1">
      <alignment horizontal="right" vertical="center"/>
    </xf>
    <xf numFmtId="0" fontId="5" fillId="2" borderId="9" xfId="0" applyFont="1" applyFill="1" applyBorder="1" applyAlignment="1">
      <alignment horizontal="center" vertical="center" wrapText="1"/>
    </xf>
    <xf numFmtId="2" fontId="0" fillId="0" borderId="0" xfId="0" applyNumberFormat="1"/>
    <xf numFmtId="0" fontId="0" fillId="28" borderId="28" xfId="0" quotePrefix="1" applyNumberFormat="1" applyFill="1" applyBorder="1" applyAlignment="1">
      <alignment horizontal="center" vertical="center"/>
    </xf>
    <xf numFmtId="0" fontId="0" fillId="29" borderId="9" xfId="0" applyNumberFormat="1" applyFill="1" applyBorder="1"/>
    <xf numFmtId="0" fontId="0" fillId="29" borderId="28" xfId="0" applyNumberFormat="1" applyFill="1" applyBorder="1"/>
    <xf numFmtId="0" fontId="0" fillId="0" borderId="16" xfId="0" applyNumberFormat="1" applyFill="1" applyBorder="1"/>
    <xf numFmtId="0" fontId="0" fillId="0" borderId="0" xfId="0" applyNumberFormat="1"/>
    <xf numFmtId="0" fontId="0" fillId="28" borderId="0" xfId="0" applyNumberFormat="1" applyFill="1"/>
    <xf numFmtId="0" fontId="0" fillId="29" borderId="9" xfId="0" applyNumberFormat="1" applyFill="1" applyBorder="1" applyAlignment="1">
      <alignment horizontal="right"/>
    </xf>
    <xf numFmtId="0" fontId="0" fillId="0" borderId="0" xfId="0" applyNumberFormat="1" applyAlignment="1">
      <alignment horizontal="right"/>
    </xf>
    <xf numFmtId="0" fontId="0" fillId="0" borderId="0" xfId="0" applyNumberFormat="1" applyAlignment="1">
      <alignment horizontal="center"/>
    </xf>
    <xf numFmtId="0" fontId="5" fillId="2" borderId="9" xfId="0" applyNumberFormat="1" applyFont="1" applyFill="1" applyBorder="1" applyAlignment="1">
      <alignment horizontal="center"/>
    </xf>
    <xf numFmtId="0" fontId="5" fillId="2" borderId="16" xfId="0" applyNumberFormat="1" applyFont="1" applyFill="1" applyBorder="1" applyAlignment="1">
      <alignment horizontal="center"/>
    </xf>
    <xf numFmtId="0" fontId="0" fillId="4" borderId="9" xfId="0" applyNumberFormat="1" applyFill="1" applyBorder="1" applyAlignment="1">
      <alignment horizontal="center"/>
    </xf>
    <xf numFmtId="0" fontId="0" fillId="4" borderId="9" xfId="0" applyNumberFormat="1" applyFill="1" applyBorder="1"/>
    <xf numFmtId="0" fontId="0" fillId="0" borderId="9" xfId="0" applyNumberFormat="1" applyBorder="1" applyAlignment="1">
      <alignment horizontal="center"/>
    </xf>
    <xf numFmtId="0" fontId="0" fillId="0" borderId="9" xfId="0" applyNumberFormat="1" applyBorder="1"/>
    <xf numFmtId="0" fontId="3" fillId="2" borderId="9"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6" fillId="0" borderId="0" xfId="0" applyFont="1" applyAlignment="1">
      <alignment horizontal="center"/>
    </xf>
    <xf numFmtId="0" fontId="2" fillId="0" borderId="0" xfId="0" applyFont="1" applyAlignment="1">
      <alignment horizontal="right"/>
    </xf>
    <xf numFmtId="0" fontId="9" fillId="0" borderId="0" xfId="0" applyFont="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31" fillId="28" borderId="28" xfId="0" applyNumberFormat="1" applyFont="1" applyFill="1" applyBorder="1" applyAlignment="1">
      <alignment horizontal="center" vertical="center" wrapText="1"/>
    </xf>
    <xf numFmtId="0" fontId="9" fillId="0" borderId="0" xfId="0" applyNumberFormat="1" applyFont="1" applyAlignment="1">
      <alignment horizontal="center"/>
    </xf>
    <xf numFmtId="0" fontId="37" fillId="28" borderId="28" xfId="0" applyNumberFormat="1" applyFont="1" applyFill="1" applyBorder="1" applyAlignment="1">
      <alignment horizontal="center" vertical="center"/>
    </xf>
    <xf numFmtId="0" fontId="38" fillId="28" borderId="28" xfId="0" applyNumberFormat="1" applyFont="1" applyFill="1" applyBorder="1" applyAlignment="1">
      <alignment horizontal="center" vertical="center"/>
    </xf>
    <xf numFmtId="0" fontId="31" fillId="4" borderId="28" xfId="0" applyNumberFormat="1" applyFont="1" applyFill="1" applyBorder="1" applyAlignment="1">
      <alignment horizontal="center" vertical="center" wrapText="1"/>
    </xf>
    <xf numFmtId="0" fontId="31" fillId="4" borderId="29" xfId="0" applyNumberFormat="1" applyFont="1" applyFill="1" applyBorder="1" applyAlignment="1">
      <alignment horizontal="center" vertical="center" wrapText="1"/>
    </xf>
    <xf numFmtId="0" fontId="2" fillId="0" borderId="43" xfId="0" applyNumberFormat="1" applyFont="1" applyBorder="1" applyAlignment="1">
      <alignment horizontal="center"/>
    </xf>
    <xf numFmtId="0" fontId="33" fillId="0" borderId="0" xfId="0" applyFont="1" applyAlignment="1">
      <alignment horizontal="left" vertical="center" wrapText="1"/>
    </xf>
    <xf numFmtId="0" fontId="40" fillId="0" borderId="0" xfId="0" applyFont="1" applyAlignment="1">
      <alignment horizontal="center" vertical="center"/>
    </xf>
    <xf numFmtId="10" fontId="36" fillId="28" borderId="9" xfId="44" applyNumberFormat="1" applyFont="1" applyFill="1" applyBorder="1" applyAlignment="1">
      <alignment vertical="center"/>
    </xf>
    <xf numFmtId="4" fontId="31" fillId="28" borderId="9" xfId="0" applyNumberFormat="1" applyFont="1" applyFill="1" applyBorder="1"/>
    <xf numFmtId="4" fontId="31" fillId="28" borderId="9" xfId="0" applyNumberFormat="1" applyFont="1" applyFill="1" applyBorder="1" applyAlignment="1">
      <alignment horizontal="right"/>
    </xf>
  </cellXfs>
  <cellStyles count="46">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xfId="1" builtinId="3"/>
    <cellStyle name="Explanatory Text 2" xfId="30" xr:uid="{00000000-0005-0000-0000-00001C000000}"/>
    <cellStyle name="Good 2" xfId="31" xr:uid="{00000000-0005-0000-0000-00001D000000}"/>
    <cellStyle name="Heading 1 2" xfId="32" xr:uid="{00000000-0005-0000-0000-00001E000000}"/>
    <cellStyle name="Heading 2 2" xfId="33" xr:uid="{00000000-0005-0000-0000-00001F000000}"/>
    <cellStyle name="Heading 3 2" xfId="34" xr:uid="{00000000-0005-0000-0000-000020000000}"/>
    <cellStyle name="Heading 4 2" xfId="35" xr:uid="{00000000-0005-0000-0000-000021000000}"/>
    <cellStyle name="Input 2" xfId="36" xr:uid="{00000000-0005-0000-0000-000022000000}"/>
    <cellStyle name="Linked Cell 2" xfId="37" xr:uid="{00000000-0005-0000-0000-000023000000}"/>
    <cellStyle name="Neutral 2" xfId="38" xr:uid="{00000000-0005-0000-0000-000024000000}"/>
    <cellStyle name="Normal" xfId="0" builtinId="0"/>
    <cellStyle name="Normal 2" xfId="2" xr:uid="{00000000-0005-0000-0000-000026000000}"/>
    <cellStyle name="Normal 4" xfId="45" xr:uid="{A58706EE-5670-40D2-BBA6-6956118AB58A}"/>
    <cellStyle name="Note 2" xfId="39" xr:uid="{00000000-0005-0000-0000-000027000000}"/>
    <cellStyle name="Output 2" xfId="40" xr:uid="{00000000-0005-0000-0000-000028000000}"/>
    <cellStyle name="Percent" xfId="44" builtinId="5"/>
    <cellStyle name="Title 2" xfId="41" xr:uid="{00000000-0005-0000-0000-000029000000}"/>
    <cellStyle name="Total 2" xfId="42" xr:uid="{00000000-0005-0000-0000-00002A000000}"/>
    <cellStyle name="Warning Text 2" xfId="43" xr:uid="{00000000-0005-0000-0000-00002B000000}"/>
  </cellStyles>
  <dxfs count="1">
    <dxf>
      <fill>
        <patternFill>
          <bgColor rgb="FFFFC000"/>
        </patternFill>
      </fill>
    </dxf>
  </dxfs>
  <tableStyles count="0" defaultTableStyle="TableStyleMedium2" defaultPivotStyle="PivotStyleLight16"/>
  <colors>
    <mruColors>
      <color rgb="FF007D7A"/>
      <color rgb="FFFF7D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419100</xdr:colOff>
      <xdr:row>1</xdr:row>
      <xdr:rowOff>342900</xdr:rowOff>
    </xdr:from>
    <xdr:to>
      <xdr:col>7</xdr:col>
      <xdr:colOff>9525</xdr:colOff>
      <xdr:row>1</xdr:row>
      <xdr:rowOff>342900</xdr:rowOff>
    </xdr:to>
    <xdr:cxnSp macro="">
      <xdr:nvCxnSpPr>
        <xdr:cNvPr id="274" name="Straight Connector 273">
          <a:extLst>
            <a:ext uri="{FF2B5EF4-FFF2-40B4-BE49-F238E27FC236}">
              <a16:creationId xmlns:a16="http://schemas.microsoft.com/office/drawing/2014/main" id="{00000000-0008-0000-0000-000012010000}"/>
            </a:ext>
          </a:extLst>
        </xdr:cNvPr>
        <xdr:cNvCxnSpPr/>
      </xdr:nvCxnSpPr>
      <xdr:spPr>
        <a:xfrm>
          <a:off x="2190750" y="914400"/>
          <a:ext cx="1362075"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0</xdr:colOff>
      <xdr:row>3</xdr:row>
      <xdr:rowOff>117872</xdr:rowOff>
    </xdr:from>
    <xdr:to>
      <xdr:col>7</xdr:col>
      <xdr:colOff>9525</xdr:colOff>
      <xdr:row>3</xdr:row>
      <xdr:rowOff>352425</xdr:rowOff>
    </xdr:to>
    <xdr:grpSp>
      <xdr:nvGrpSpPr>
        <xdr:cNvPr id="275" name="Group 274">
          <a:extLst>
            <a:ext uri="{FF2B5EF4-FFF2-40B4-BE49-F238E27FC236}">
              <a16:creationId xmlns:a16="http://schemas.microsoft.com/office/drawing/2014/main" id="{00000000-0008-0000-0000-000013010000}"/>
            </a:ext>
          </a:extLst>
        </xdr:cNvPr>
        <xdr:cNvGrpSpPr/>
      </xdr:nvGrpSpPr>
      <xdr:grpSpPr>
        <a:xfrm>
          <a:off x="2196582" y="1702132"/>
          <a:ext cx="1360520" cy="234553"/>
          <a:chOff x="1103709" y="720328"/>
          <a:chExt cx="1608535" cy="234553"/>
        </a:xfrm>
      </xdr:grpSpPr>
      <xdr:cxnSp macro="">
        <xdr:nvCxnSpPr>
          <xdr:cNvPr id="276" name="Straight Connector 275">
            <a:extLst>
              <a:ext uri="{FF2B5EF4-FFF2-40B4-BE49-F238E27FC236}">
                <a16:creationId xmlns:a16="http://schemas.microsoft.com/office/drawing/2014/main" id="{00000000-0008-0000-0000-000014010000}"/>
              </a:ext>
            </a:extLst>
          </xdr:cNvPr>
          <xdr:cNvCxnSpPr/>
        </xdr:nvCxnSpPr>
        <xdr:spPr>
          <a:xfrm>
            <a:off x="1103709" y="954881"/>
            <a:ext cx="1608535"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000-000015010000}"/>
              </a:ext>
            </a:extLst>
          </xdr:cNvPr>
          <xdr:cNvCxnSpPr/>
        </xdr:nvCxnSpPr>
        <xdr:spPr>
          <a:xfrm>
            <a:off x="1107281" y="720328"/>
            <a:ext cx="1" cy="2321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1191</xdr:colOff>
      <xdr:row>4</xdr:row>
      <xdr:rowOff>83292</xdr:rowOff>
    </xdr:from>
    <xdr:to>
      <xdr:col>7</xdr:col>
      <xdr:colOff>1191</xdr:colOff>
      <xdr:row>4</xdr:row>
      <xdr:rowOff>316706</xdr:rowOff>
    </xdr:to>
    <xdr:grpSp>
      <xdr:nvGrpSpPr>
        <xdr:cNvPr id="278" name="Group 277">
          <a:extLst>
            <a:ext uri="{FF2B5EF4-FFF2-40B4-BE49-F238E27FC236}">
              <a16:creationId xmlns:a16="http://schemas.microsoft.com/office/drawing/2014/main" id="{00000000-0008-0000-0000-000016010000}"/>
            </a:ext>
          </a:extLst>
        </xdr:cNvPr>
        <xdr:cNvGrpSpPr/>
      </xdr:nvGrpSpPr>
      <xdr:grpSpPr>
        <a:xfrm>
          <a:off x="2197773" y="2172960"/>
          <a:ext cx="1350995" cy="233414"/>
          <a:chOff x="1098223" y="1590727"/>
          <a:chExt cx="1619664" cy="233414"/>
        </a:xfrm>
      </xdr:grpSpPr>
      <xdr:cxnSp macro="">
        <xdr:nvCxnSpPr>
          <xdr:cNvPr id="279" name="Straight Connector 278">
            <a:extLst>
              <a:ext uri="{FF2B5EF4-FFF2-40B4-BE49-F238E27FC236}">
                <a16:creationId xmlns:a16="http://schemas.microsoft.com/office/drawing/2014/main" id="{00000000-0008-0000-0000-000017010000}"/>
              </a:ext>
            </a:extLst>
          </xdr:cNvPr>
          <xdr:cNvCxnSpPr/>
        </xdr:nvCxnSpPr>
        <xdr:spPr>
          <a:xfrm>
            <a:off x="1098223" y="1596731"/>
            <a:ext cx="1619664"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000-000018010000}"/>
              </a:ext>
            </a:extLst>
          </xdr:cNvPr>
          <xdr:cNvCxnSpPr/>
        </xdr:nvCxnSpPr>
        <xdr:spPr>
          <a:xfrm>
            <a:off x="1101820" y="1590727"/>
            <a:ext cx="1" cy="2321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000-000019010000}"/>
              </a:ext>
            </a:extLst>
          </xdr:cNvPr>
          <xdr:cNvCxnSpPr/>
        </xdr:nvCxnSpPr>
        <xdr:spPr>
          <a:xfrm>
            <a:off x="2705898" y="1591969"/>
            <a:ext cx="1" cy="2321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11206</xdr:colOff>
      <xdr:row>16</xdr:row>
      <xdr:rowOff>197827</xdr:rowOff>
    </xdr:from>
    <xdr:to>
      <xdr:col>7</xdr:col>
      <xdr:colOff>4763</xdr:colOff>
      <xdr:row>16</xdr:row>
      <xdr:rowOff>411957</xdr:rowOff>
    </xdr:to>
    <xdr:grpSp>
      <xdr:nvGrpSpPr>
        <xdr:cNvPr id="282" name="Group 281">
          <a:extLst>
            <a:ext uri="{FF2B5EF4-FFF2-40B4-BE49-F238E27FC236}">
              <a16:creationId xmlns:a16="http://schemas.microsoft.com/office/drawing/2014/main" id="{00000000-0008-0000-0000-00001A010000}"/>
            </a:ext>
          </a:extLst>
        </xdr:cNvPr>
        <xdr:cNvGrpSpPr/>
      </xdr:nvGrpSpPr>
      <xdr:grpSpPr>
        <a:xfrm>
          <a:off x="2207788" y="8352393"/>
          <a:ext cx="1344552" cy="214130"/>
          <a:chOff x="2194629" y="8286750"/>
          <a:chExt cx="1341711" cy="214130"/>
        </a:xfrm>
      </xdr:grpSpPr>
      <xdr:cxnSp macro="">
        <xdr:nvCxnSpPr>
          <xdr:cNvPr id="283" name="Straight Connector 282">
            <a:extLst>
              <a:ext uri="{FF2B5EF4-FFF2-40B4-BE49-F238E27FC236}">
                <a16:creationId xmlns:a16="http://schemas.microsoft.com/office/drawing/2014/main" id="{00000000-0008-0000-0000-00001B010000}"/>
              </a:ext>
            </a:extLst>
          </xdr:cNvPr>
          <xdr:cNvCxnSpPr/>
        </xdr:nvCxnSpPr>
        <xdr:spPr>
          <a:xfrm>
            <a:off x="2601058" y="8288947"/>
            <a:ext cx="935282"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000-00001C010000}"/>
              </a:ext>
            </a:extLst>
          </xdr:cNvPr>
          <xdr:cNvCxnSpPr/>
        </xdr:nvCxnSpPr>
        <xdr:spPr>
          <a:xfrm flipH="1">
            <a:off x="2194629" y="8286750"/>
            <a:ext cx="406429" cy="21413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332133</xdr:colOff>
      <xdr:row>17</xdr:row>
      <xdr:rowOff>84992</xdr:rowOff>
    </xdr:from>
    <xdr:to>
      <xdr:col>7</xdr:col>
      <xdr:colOff>1770</xdr:colOff>
      <xdr:row>17</xdr:row>
      <xdr:rowOff>432288</xdr:rowOff>
    </xdr:to>
    <xdr:grpSp>
      <xdr:nvGrpSpPr>
        <xdr:cNvPr id="288" name="Group 287">
          <a:extLst>
            <a:ext uri="{FF2B5EF4-FFF2-40B4-BE49-F238E27FC236}">
              <a16:creationId xmlns:a16="http://schemas.microsoft.com/office/drawing/2014/main" id="{00000000-0008-0000-0000-000020010000}"/>
            </a:ext>
          </a:extLst>
        </xdr:cNvPr>
        <xdr:cNvGrpSpPr/>
      </xdr:nvGrpSpPr>
      <xdr:grpSpPr>
        <a:xfrm>
          <a:off x="2169097" y="8744966"/>
          <a:ext cx="1380250" cy="347296"/>
          <a:chOff x="2156537" y="8679473"/>
          <a:chExt cx="1376810" cy="347296"/>
        </a:xfrm>
      </xdr:grpSpPr>
      <xdr:cxnSp macro="">
        <xdr:nvCxnSpPr>
          <xdr:cNvPr id="289" name="Straight Connector 288">
            <a:extLst>
              <a:ext uri="{FF2B5EF4-FFF2-40B4-BE49-F238E27FC236}">
                <a16:creationId xmlns:a16="http://schemas.microsoft.com/office/drawing/2014/main" id="{00000000-0008-0000-0000-000021010000}"/>
              </a:ext>
            </a:extLst>
          </xdr:cNvPr>
          <xdr:cNvCxnSpPr/>
        </xdr:nvCxnSpPr>
        <xdr:spPr>
          <a:xfrm flipV="1">
            <a:off x="2539118" y="8684055"/>
            <a:ext cx="638306"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000-000022010000}"/>
              </a:ext>
            </a:extLst>
          </xdr:cNvPr>
          <xdr:cNvCxnSpPr/>
        </xdr:nvCxnSpPr>
        <xdr:spPr>
          <a:xfrm flipV="1">
            <a:off x="2156537" y="8684971"/>
            <a:ext cx="390951" cy="339049"/>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000-000023010000}"/>
              </a:ext>
            </a:extLst>
          </xdr:cNvPr>
          <xdr:cNvCxnSpPr/>
        </xdr:nvCxnSpPr>
        <xdr:spPr>
          <a:xfrm>
            <a:off x="3177161" y="8679473"/>
            <a:ext cx="356186" cy="34729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2722</xdr:colOff>
      <xdr:row>2</xdr:row>
      <xdr:rowOff>193221</xdr:rowOff>
    </xdr:from>
    <xdr:to>
      <xdr:col>7</xdr:col>
      <xdr:colOff>70759</xdr:colOff>
      <xdr:row>2</xdr:row>
      <xdr:rowOff>361950</xdr:rowOff>
    </xdr:to>
    <xdr:grpSp>
      <xdr:nvGrpSpPr>
        <xdr:cNvPr id="292" name="Group 291">
          <a:extLst>
            <a:ext uri="{FF2B5EF4-FFF2-40B4-BE49-F238E27FC236}">
              <a16:creationId xmlns:a16="http://schemas.microsoft.com/office/drawing/2014/main" id="{00000000-0008-0000-0000-000024010000}"/>
            </a:ext>
          </a:extLst>
        </xdr:cNvPr>
        <xdr:cNvGrpSpPr/>
      </xdr:nvGrpSpPr>
      <xdr:grpSpPr>
        <a:xfrm>
          <a:off x="2199304" y="1272073"/>
          <a:ext cx="1419032" cy="168729"/>
          <a:chOff x="1052129" y="869910"/>
          <a:chExt cx="1735326" cy="168729"/>
        </a:xfrm>
      </xdr:grpSpPr>
      <xdr:cxnSp macro="">
        <xdr:nvCxnSpPr>
          <xdr:cNvPr id="293" name="Straight Connector 292">
            <a:extLst>
              <a:ext uri="{FF2B5EF4-FFF2-40B4-BE49-F238E27FC236}">
                <a16:creationId xmlns:a16="http://schemas.microsoft.com/office/drawing/2014/main" id="{00000000-0008-0000-0000-000025010000}"/>
              </a:ext>
            </a:extLst>
          </xdr:cNvPr>
          <xdr:cNvCxnSpPr/>
        </xdr:nvCxnSpPr>
        <xdr:spPr>
          <a:xfrm>
            <a:off x="1106557" y="1038639"/>
            <a:ext cx="1619664"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nvGrpSpPr>
          <xdr:cNvPr id="294" name="Group 293">
            <a:extLst>
              <a:ext uri="{FF2B5EF4-FFF2-40B4-BE49-F238E27FC236}">
                <a16:creationId xmlns:a16="http://schemas.microsoft.com/office/drawing/2014/main" id="{00000000-0008-0000-0000-000026010000}"/>
              </a:ext>
            </a:extLst>
          </xdr:cNvPr>
          <xdr:cNvGrpSpPr/>
        </xdr:nvGrpSpPr>
        <xdr:grpSpPr>
          <a:xfrm>
            <a:off x="2607130" y="869910"/>
            <a:ext cx="180325" cy="168729"/>
            <a:chOff x="2541814" y="647700"/>
            <a:chExt cx="326572" cy="326572"/>
          </a:xfrm>
        </xdr:grpSpPr>
        <xdr:sp macro="" textlink="">
          <xdr:nvSpPr>
            <xdr:cNvPr id="298" name="Arc 297">
              <a:extLst>
                <a:ext uri="{FF2B5EF4-FFF2-40B4-BE49-F238E27FC236}">
                  <a16:creationId xmlns:a16="http://schemas.microsoft.com/office/drawing/2014/main" id="{00000000-0008-0000-0000-00002A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299" name="Arc 298">
              <a:extLst>
                <a:ext uri="{FF2B5EF4-FFF2-40B4-BE49-F238E27FC236}">
                  <a16:creationId xmlns:a16="http://schemas.microsoft.com/office/drawing/2014/main" id="{00000000-0008-0000-0000-00002B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nvGrpSpPr>
          <xdr:cNvPr id="295" name="Group 294">
            <a:extLst>
              <a:ext uri="{FF2B5EF4-FFF2-40B4-BE49-F238E27FC236}">
                <a16:creationId xmlns:a16="http://schemas.microsoft.com/office/drawing/2014/main" id="{00000000-0008-0000-0000-000027010000}"/>
              </a:ext>
            </a:extLst>
          </xdr:cNvPr>
          <xdr:cNvGrpSpPr/>
        </xdr:nvGrpSpPr>
        <xdr:grpSpPr>
          <a:xfrm flipH="1" flipV="1">
            <a:off x="1052129" y="869910"/>
            <a:ext cx="180324" cy="168729"/>
            <a:chOff x="2541814" y="647700"/>
            <a:chExt cx="326572" cy="326572"/>
          </a:xfrm>
        </xdr:grpSpPr>
        <xdr:sp macro="" textlink="">
          <xdr:nvSpPr>
            <xdr:cNvPr id="296" name="Arc 295">
              <a:extLst>
                <a:ext uri="{FF2B5EF4-FFF2-40B4-BE49-F238E27FC236}">
                  <a16:creationId xmlns:a16="http://schemas.microsoft.com/office/drawing/2014/main" id="{00000000-0008-0000-0000-000028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297" name="Arc 296">
              <a:extLst>
                <a:ext uri="{FF2B5EF4-FFF2-40B4-BE49-F238E27FC236}">
                  <a16:creationId xmlns:a16="http://schemas.microsoft.com/office/drawing/2014/main" id="{00000000-0008-0000-0000-000029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clientData/>
  </xdr:twoCellAnchor>
  <xdr:twoCellAnchor>
    <xdr:from>
      <xdr:col>3</xdr:col>
      <xdr:colOff>357188</xdr:colOff>
      <xdr:row>5</xdr:row>
      <xdr:rowOff>96979</xdr:rowOff>
    </xdr:from>
    <xdr:to>
      <xdr:col>7</xdr:col>
      <xdr:colOff>13373</xdr:colOff>
      <xdr:row>5</xdr:row>
      <xdr:rowOff>405945</xdr:rowOff>
    </xdr:to>
    <xdr:grpSp>
      <xdr:nvGrpSpPr>
        <xdr:cNvPr id="302" name="Group 301">
          <a:extLst>
            <a:ext uri="{FF2B5EF4-FFF2-40B4-BE49-F238E27FC236}">
              <a16:creationId xmlns:a16="http://schemas.microsoft.com/office/drawing/2014/main" id="{00000000-0008-0000-0000-00002E010000}"/>
            </a:ext>
          </a:extLst>
        </xdr:cNvPr>
        <xdr:cNvGrpSpPr/>
      </xdr:nvGrpSpPr>
      <xdr:grpSpPr>
        <a:xfrm>
          <a:off x="2194152" y="2692056"/>
          <a:ext cx="1366798" cy="308966"/>
          <a:chOff x="1101795" y="3824153"/>
          <a:chExt cx="1628274" cy="308966"/>
        </a:xfrm>
      </xdr:grpSpPr>
      <xdr:cxnSp macro="">
        <xdr:nvCxnSpPr>
          <xdr:cNvPr id="303" name="Straight Connector 302">
            <a:extLst>
              <a:ext uri="{FF2B5EF4-FFF2-40B4-BE49-F238E27FC236}">
                <a16:creationId xmlns:a16="http://schemas.microsoft.com/office/drawing/2014/main" id="{00000000-0008-0000-0000-00002F010000}"/>
              </a:ext>
            </a:extLst>
          </xdr:cNvPr>
          <xdr:cNvCxnSpPr/>
        </xdr:nvCxnSpPr>
        <xdr:spPr>
          <a:xfrm>
            <a:off x="2716697" y="3834039"/>
            <a:ext cx="0" cy="298983"/>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000-000030010000}"/>
              </a:ext>
            </a:extLst>
          </xdr:cNvPr>
          <xdr:cNvCxnSpPr/>
        </xdr:nvCxnSpPr>
        <xdr:spPr>
          <a:xfrm>
            <a:off x="1101795" y="3831947"/>
            <a:ext cx="1619666"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000-000031010000}"/>
              </a:ext>
            </a:extLst>
          </xdr:cNvPr>
          <xdr:cNvCxnSpPr/>
        </xdr:nvCxnSpPr>
        <xdr:spPr>
          <a:xfrm>
            <a:off x="1109098" y="3830706"/>
            <a:ext cx="0" cy="30231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000-000032010000}"/>
              </a:ext>
            </a:extLst>
          </xdr:cNvPr>
          <xdr:cNvCxnSpPr/>
        </xdr:nvCxnSpPr>
        <xdr:spPr>
          <a:xfrm>
            <a:off x="1106741" y="4133119"/>
            <a:ext cx="1623328"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000-000033010000}"/>
              </a:ext>
            </a:extLst>
          </xdr:cNvPr>
          <xdr:cNvCxnSpPr/>
        </xdr:nvCxnSpPr>
        <xdr:spPr>
          <a:xfrm>
            <a:off x="2545726" y="3824153"/>
            <a:ext cx="69681" cy="69696"/>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000-000034010000}"/>
              </a:ext>
            </a:extLst>
          </xdr:cNvPr>
          <xdr:cNvCxnSpPr/>
        </xdr:nvCxnSpPr>
        <xdr:spPr>
          <a:xfrm>
            <a:off x="2642937" y="3923862"/>
            <a:ext cx="69695" cy="69696"/>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60813</xdr:colOff>
      <xdr:row>6</xdr:row>
      <xdr:rowOff>122360</xdr:rowOff>
    </xdr:from>
    <xdr:to>
      <xdr:col>7</xdr:col>
      <xdr:colOff>315516</xdr:colOff>
      <xdr:row>6</xdr:row>
      <xdr:rowOff>400050</xdr:rowOff>
    </xdr:to>
    <xdr:grpSp>
      <xdr:nvGrpSpPr>
        <xdr:cNvPr id="309" name="Group 308">
          <a:extLst>
            <a:ext uri="{FF2B5EF4-FFF2-40B4-BE49-F238E27FC236}">
              <a16:creationId xmlns:a16="http://schemas.microsoft.com/office/drawing/2014/main" id="{00000000-0008-0000-0000-000035010000}"/>
            </a:ext>
          </a:extLst>
        </xdr:cNvPr>
        <xdr:cNvGrpSpPr/>
      </xdr:nvGrpSpPr>
      <xdr:grpSpPr>
        <a:xfrm>
          <a:off x="1897777" y="3222845"/>
          <a:ext cx="1965316" cy="277690"/>
          <a:chOff x="2118213" y="4732460"/>
          <a:chExt cx="2283072" cy="277690"/>
        </a:xfrm>
      </xdr:grpSpPr>
      <xdr:cxnSp macro="">
        <xdr:nvCxnSpPr>
          <xdr:cNvPr id="310" name="Straight Connector 309">
            <a:extLst>
              <a:ext uri="{FF2B5EF4-FFF2-40B4-BE49-F238E27FC236}">
                <a16:creationId xmlns:a16="http://schemas.microsoft.com/office/drawing/2014/main" id="{00000000-0008-0000-0000-000036010000}"/>
              </a:ext>
            </a:extLst>
          </xdr:cNvPr>
          <xdr:cNvCxnSpPr/>
        </xdr:nvCxnSpPr>
        <xdr:spPr>
          <a:xfrm>
            <a:off x="2912421" y="5006486"/>
            <a:ext cx="726429"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11" name="Straight Connector 310">
            <a:extLst>
              <a:ext uri="{FF2B5EF4-FFF2-40B4-BE49-F238E27FC236}">
                <a16:creationId xmlns:a16="http://schemas.microsoft.com/office/drawing/2014/main" id="{00000000-0008-0000-0000-000037010000}"/>
              </a:ext>
            </a:extLst>
          </xdr:cNvPr>
          <xdr:cNvCxnSpPr/>
        </xdr:nvCxnSpPr>
        <xdr:spPr>
          <a:xfrm>
            <a:off x="2477022" y="4734658"/>
            <a:ext cx="444924" cy="27109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000-000038010000}"/>
              </a:ext>
            </a:extLst>
          </xdr:cNvPr>
          <xdr:cNvCxnSpPr/>
        </xdr:nvCxnSpPr>
        <xdr:spPr>
          <a:xfrm>
            <a:off x="2118213" y="4734657"/>
            <a:ext cx="365985" cy="1"/>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000-000039010000}"/>
              </a:ext>
            </a:extLst>
          </xdr:cNvPr>
          <xdr:cNvCxnSpPr/>
        </xdr:nvCxnSpPr>
        <xdr:spPr>
          <a:xfrm>
            <a:off x="4035300" y="4734657"/>
            <a:ext cx="365985" cy="1"/>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14" name="Straight Connector 313">
            <a:extLst>
              <a:ext uri="{FF2B5EF4-FFF2-40B4-BE49-F238E27FC236}">
                <a16:creationId xmlns:a16="http://schemas.microsoft.com/office/drawing/2014/main" id="{00000000-0008-0000-0000-00003A010000}"/>
              </a:ext>
            </a:extLst>
          </xdr:cNvPr>
          <xdr:cNvCxnSpPr/>
        </xdr:nvCxnSpPr>
        <xdr:spPr>
          <a:xfrm flipV="1">
            <a:off x="3638550" y="4732460"/>
            <a:ext cx="405360" cy="27769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35718</xdr:colOff>
      <xdr:row>7</xdr:row>
      <xdr:rowOff>57979</xdr:rowOff>
    </xdr:from>
    <xdr:to>
      <xdr:col>7</xdr:col>
      <xdr:colOff>20922</xdr:colOff>
      <xdr:row>7</xdr:row>
      <xdr:rowOff>394139</xdr:rowOff>
    </xdr:to>
    <xdr:grpSp>
      <xdr:nvGrpSpPr>
        <xdr:cNvPr id="315" name="Group 314">
          <a:extLst>
            <a:ext uri="{FF2B5EF4-FFF2-40B4-BE49-F238E27FC236}">
              <a16:creationId xmlns:a16="http://schemas.microsoft.com/office/drawing/2014/main" id="{00000000-0008-0000-0000-00003B010000}"/>
            </a:ext>
          </a:extLst>
        </xdr:cNvPr>
        <xdr:cNvGrpSpPr/>
      </xdr:nvGrpSpPr>
      <xdr:grpSpPr>
        <a:xfrm>
          <a:off x="2232300" y="3663872"/>
          <a:ext cx="1336199" cy="336160"/>
          <a:chOff x="2220515" y="3637359"/>
          <a:chExt cx="1342516" cy="390526"/>
        </a:xfrm>
      </xdr:grpSpPr>
      <xdr:cxnSp macro="">
        <xdr:nvCxnSpPr>
          <xdr:cNvPr id="316" name="Straight Connector 315">
            <a:extLst>
              <a:ext uri="{FF2B5EF4-FFF2-40B4-BE49-F238E27FC236}">
                <a16:creationId xmlns:a16="http://schemas.microsoft.com/office/drawing/2014/main" id="{00000000-0008-0000-0000-00003C010000}"/>
              </a:ext>
            </a:extLst>
          </xdr:cNvPr>
          <xdr:cNvCxnSpPr/>
        </xdr:nvCxnSpPr>
        <xdr:spPr>
          <a:xfrm flipV="1">
            <a:off x="2355056" y="3737371"/>
            <a:ext cx="1200689" cy="1191"/>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17" name="Straight Connector 316">
            <a:extLst>
              <a:ext uri="{FF2B5EF4-FFF2-40B4-BE49-F238E27FC236}">
                <a16:creationId xmlns:a16="http://schemas.microsoft.com/office/drawing/2014/main" id="{00000000-0008-0000-0000-00003D010000}"/>
              </a:ext>
            </a:extLst>
          </xdr:cNvPr>
          <xdr:cNvCxnSpPr/>
        </xdr:nvCxnSpPr>
        <xdr:spPr>
          <a:xfrm>
            <a:off x="2355056" y="3935016"/>
            <a:ext cx="1207975" cy="2323"/>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nvGrpSpPr>
          <xdr:cNvPr id="318" name="Group 317">
            <a:extLst>
              <a:ext uri="{FF2B5EF4-FFF2-40B4-BE49-F238E27FC236}">
                <a16:creationId xmlns:a16="http://schemas.microsoft.com/office/drawing/2014/main" id="{00000000-0008-0000-0000-00003E010000}"/>
              </a:ext>
            </a:extLst>
          </xdr:cNvPr>
          <xdr:cNvGrpSpPr/>
        </xdr:nvGrpSpPr>
        <xdr:grpSpPr>
          <a:xfrm rot="10800000">
            <a:off x="2220515" y="3738560"/>
            <a:ext cx="273843" cy="196455"/>
            <a:chOff x="2541814" y="647700"/>
            <a:chExt cx="326572" cy="326572"/>
          </a:xfrm>
        </xdr:grpSpPr>
        <xdr:sp macro="" textlink="">
          <xdr:nvSpPr>
            <xdr:cNvPr id="321" name="Arc 320">
              <a:extLst>
                <a:ext uri="{FF2B5EF4-FFF2-40B4-BE49-F238E27FC236}">
                  <a16:creationId xmlns:a16="http://schemas.microsoft.com/office/drawing/2014/main" id="{00000000-0008-0000-0000-000041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22" name="Arc 321">
              <a:extLst>
                <a:ext uri="{FF2B5EF4-FFF2-40B4-BE49-F238E27FC236}">
                  <a16:creationId xmlns:a16="http://schemas.microsoft.com/office/drawing/2014/main" id="{00000000-0008-0000-0000-000042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cxnSp macro="">
        <xdr:nvCxnSpPr>
          <xdr:cNvPr id="319" name="Straight Connector 318">
            <a:extLst>
              <a:ext uri="{FF2B5EF4-FFF2-40B4-BE49-F238E27FC236}">
                <a16:creationId xmlns:a16="http://schemas.microsoft.com/office/drawing/2014/main" id="{00000000-0008-0000-0000-00003F010000}"/>
              </a:ext>
            </a:extLst>
          </xdr:cNvPr>
          <xdr:cNvCxnSpPr/>
        </xdr:nvCxnSpPr>
        <xdr:spPr>
          <a:xfrm flipV="1">
            <a:off x="3548062" y="3637359"/>
            <a:ext cx="0" cy="107157"/>
          </a:xfrm>
          <a:prstGeom prst="line">
            <a:avLst/>
          </a:prstGeom>
          <a:ln w="38100">
            <a:solidFill>
              <a:srgbClr val="FF0000"/>
            </a:solidFill>
          </a:ln>
        </xdr:spPr>
        <xdr:style>
          <a:lnRef idx="3">
            <a:schemeClr val="dk1"/>
          </a:lnRef>
          <a:fillRef idx="0">
            <a:schemeClr val="dk1"/>
          </a:fillRef>
          <a:effectRef idx="2">
            <a:schemeClr val="dk1"/>
          </a:effectRef>
          <a:fontRef idx="minor">
            <a:schemeClr val="tx1"/>
          </a:fontRef>
        </xdr:style>
      </xdr:cxnSp>
      <xdr:cxnSp macro="">
        <xdr:nvCxnSpPr>
          <xdr:cNvPr id="320" name="Straight Connector 319">
            <a:extLst>
              <a:ext uri="{FF2B5EF4-FFF2-40B4-BE49-F238E27FC236}">
                <a16:creationId xmlns:a16="http://schemas.microsoft.com/office/drawing/2014/main" id="{00000000-0008-0000-0000-000040010000}"/>
              </a:ext>
            </a:extLst>
          </xdr:cNvPr>
          <xdr:cNvCxnSpPr/>
        </xdr:nvCxnSpPr>
        <xdr:spPr>
          <a:xfrm flipV="1">
            <a:off x="3548062" y="3920728"/>
            <a:ext cx="0" cy="107157"/>
          </a:xfrm>
          <a:prstGeom prst="line">
            <a:avLst/>
          </a:prstGeom>
          <a:ln w="38100">
            <a:solidFill>
              <a:srgbClr val="FF0000"/>
            </a:solidFill>
          </a:ln>
        </xdr:spPr>
        <xdr:style>
          <a:lnRef idx="3">
            <a:schemeClr val="dk1"/>
          </a:lnRef>
          <a:fillRef idx="0">
            <a:schemeClr val="dk1"/>
          </a:fillRef>
          <a:effectRef idx="2">
            <a:schemeClr val="dk1"/>
          </a:effectRef>
          <a:fontRef idx="minor">
            <a:schemeClr val="tx1"/>
          </a:fontRef>
        </xdr:style>
      </xdr:cxnSp>
    </xdr:grpSp>
    <xdr:clientData/>
  </xdr:twoCellAnchor>
  <xdr:twoCellAnchor>
    <xdr:from>
      <xdr:col>3</xdr:col>
      <xdr:colOff>315057</xdr:colOff>
      <xdr:row>8</xdr:row>
      <xdr:rowOff>85725</xdr:rowOff>
    </xdr:from>
    <xdr:to>
      <xdr:col>7</xdr:col>
      <xdr:colOff>95248</xdr:colOff>
      <xdr:row>8</xdr:row>
      <xdr:rowOff>364434</xdr:rowOff>
    </xdr:to>
    <xdr:grpSp>
      <xdr:nvGrpSpPr>
        <xdr:cNvPr id="323" name="Group 322">
          <a:extLst>
            <a:ext uri="{FF2B5EF4-FFF2-40B4-BE49-F238E27FC236}">
              <a16:creationId xmlns:a16="http://schemas.microsoft.com/office/drawing/2014/main" id="{00000000-0008-0000-0000-000043010000}"/>
            </a:ext>
          </a:extLst>
        </xdr:cNvPr>
        <xdr:cNvGrpSpPr/>
      </xdr:nvGrpSpPr>
      <xdr:grpSpPr>
        <a:xfrm flipH="1">
          <a:off x="2152021" y="4197026"/>
          <a:ext cx="1490804" cy="278709"/>
          <a:chOff x="2477640" y="5180770"/>
          <a:chExt cx="1548535" cy="298589"/>
        </a:xfrm>
      </xdr:grpSpPr>
      <xdr:cxnSp macro="">
        <xdr:nvCxnSpPr>
          <xdr:cNvPr id="324" name="Straight Connector 323">
            <a:extLst>
              <a:ext uri="{FF2B5EF4-FFF2-40B4-BE49-F238E27FC236}">
                <a16:creationId xmlns:a16="http://schemas.microsoft.com/office/drawing/2014/main" id="{00000000-0008-0000-0000-000044010000}"/>
              </a:ext>
            </a:extLst>
          </xdr:cNvPr>
          <xdr:cNvCxnSpPr/>
        </xdr:nvCxnSpPr>
        <xdr:spPr>
          <a:xfrm>
            <a:off x="2477640" y="5475631"/>
            <a:ext cx="420464"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25" name="Straight Connector 324">
            <a:extLst>
              <a:ext uri="{FF2B5EF4-FFF2-40B4-BE49-F238E27FC236}">
                <a16:creationId xmlns:a16="http://schemas.microsoft.com/office/drawing/2014/main" id="{00000000-0008-0000-0000-000045010000}"/>
              </a:ext>
            </a:extLst>
          </xdr:cNvPr>
          <xdr:cNvCxnSpPr/>
        </xdr:nvCxnSpPr>
        <xdr:spPr>
          <a:xfrm flipV="1">
            <a:off x="2898103" y="5181185"/>
            <a:ext cx="716027" cy="298174"/>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000-000046010000}"/>
              </a:ext>
            </a:extLst>
          </xdr:cNvPr>
          <xdr:cNvCxnSpPr/>
        </xdr:nvCxnSpPr>
        <xdr:spPr>
          <a:xfrm>
            <a:off x="3605711" y="5180770"/>
            <a:ext cx="420464"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clientData/>
  </xdr:twoCellAnchor>
  <xdr:twoCellAnchor>
    <xdr:from>
      <xdr:col>4</xdr:col>
      <xdr:colOff>2382</xdr:colOff>
      <xdr:row>9</xdr:row>
      <xdr:rowOff>158302</xdr:rowOff>
    </xdr:from>
    <xdr:to>
      <xdr:col>7</xdr:col>
      <xdr:colOff>28066</xdr:colOff>
      <xdr:row>9</xdr:row>
      <xdr:rowOff>382140</xdr:rowOff>
    </xdr:to>
    <xdr:grpSp>
      <xdr:nvGrpSpPr>
        <xdr:cNvPr id="327" name="Group 326">
          <a:extLst>
            <a:ext uri="{FF2B5EF4-FFF2-40B4-BE49-F238E27FC236}">
              <a16:creationId xmlns:a16="http://schemas.microsoft.com/office/drawing/2014/main" id="{00000000-0008-0000-0000-000047010000}"/>
            </a:ext>
          </a:extLst>
        </xdr:cNvPr>
        <xdr:cNvGrpSpPr/>
      </xdr:nvGrpSpPr>
      <xdr:grpSpPr>
        <a:xfrm>
          <a:off x="2198964" y="4775011"/>
          <a:ext cx="1376679" cy="223838"/>
          <a:chOff x="2469357" y="3758752"/>
          <a:chExt cx="1597309" cy="223838"/>
        </a:xfrm>
      </xdr:grpSpPr>
      <xdr:cxnSp macro="">
        <xdr:nvCxnSpPr>
          <xdr:cNvPr id="328" name="Straight Connector 327">
            <a:extLst>
              <a:ext uri="{FF2B5EF4-FFF2-40B4-BE49-F238E27FC236}">
                <a16:creationId xmlns:a16="http://schemas.microsoft.com/office/drawing/2014/main" id="{00000000-0008-0000-0000-000048010000}"/>
              </a:ext>
            </a:extLst>
          </xdr:cNvPr>
          <xdr:cNvCxnSpPr/>
        </xdr:nvCxnSpPr>
        <xdr:spPr>
          <a:xfrm>
            <a:off x="2469357" y="3762374"/>
            <a:ext cx="1145190"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000-000049010000}"/>
              </a:ext>
            </a:extLst>
          </xdr:cNvPr>
          <xdr:cNvCxnSpPr/>
        </xdr:nvCxnSpPr>
        <xdr:spPr>
          <a:xfrm>
            <a:off x="2478669" y="3761133"/>
            <a:ext cx="0" cy="221457"/>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000-00004A010000}"/>
              </a:ext>
            </a:extLst>
          </xdr:cNvPr>
          <xdr:cNvCxnSpPr/>
        </xdr:nvCxnSpPr>
        <xdr:spPr>
          <a:xfrm>
            <a:off x="3606083" y="3758752"/>
            <a:ext cx="460583" cy="206802"/>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clientData/>
  </xdr:twoCellAnchor>
  <xdr:twoCellAnchor>
    <xdr:from>
      <xdr:col>4</xdr:col>
      <xdr:colOff>2382</xdr:colOff>
      <xdr:row>10</xdr:row>
      <xdr:rowOff>83344</xdr:rowOff>
    </xdr:from>
    <xdr:to>
      <xdr:col>7</xdr:col>
      <xdr:colOff>53578</xdr:colOff>
      <xdr:row>10</xdr:row>
      <xdr:rowOff>382140</xdr:rowOff>
    </xdr:to>
    <xdr:grpSp>
      <xdr:nvGrpSpPr>
        <xdr:cNvPr id="331" name="Group 330">
          <a:extLst>
            <a:ext uri="{FF2B5EF4-FFF2-40B4-BE49-F238E27FC236}">
              <a16:creationId xmlns:a16="http://schemas.microsoft.com/office/drawing/2014/main" id="{00000000-0008-0000-0000-00004B010000}"/>
            </a:ext>
          </a:extLst>
        </xdr:cNvPr>
        <xdr:cNvGrpSpPr/>
      </xdr:nvGrpSpPr>
      <xdr:grpSpPr>
        <a:xfrm>
          <a:off x="2198964" y="5205461"/>
          <a:ext cx="1402191" cy="298796"/>
          <a:chOff x="1099414" y="2468735"/>
          <a:chExt cx="1670860" cy="298796"/>
        </a:xfrm>
      </xdr:grpSpPr>
      <xdr:cxnSp macro="">
        <xdr:nvCxnSpPr>
          <xdr:cNvPr id="332" name="Straight Connector 331">
            <a:extLst>
              <a:ext uri="{FF2B5EF4-FFF2-40B4-BE49-F238E27FC236}">
                <a16:creationId xmlns:a16="http://schemas.microsoft.com/office/drawing/2014/main" id="{00000000-0008-0000-0000-00004C010000}"/>
              </a:ext>
            </a:extLst>
          </xdr:cNvPr>
          <xdr:cNvCxnSpPr/>
        </xdr:nvCxnSpPr>
        <xdr:spPr>
          <a:xfrm>
            <a:off x="1099414" y="2547315"/>
            <a:ext cx="1179431"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000-00004D010000}"/>
              </a:ext>
            </a:extLst>
          </xdr:cNvPr>
          <xdr:cNvCxnSpPr/>
        </xdr:nvCxnSpPr>
        <xdr:spPr>
          <a:xfrm>
            <a:off x="1109004" y="2546074"/>
            <a:ext cx="0" cy="221457"/>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000-00004E010000}"/>
              </a:ext>
            </a:extLst>
          </xdr:cNvPr>
          <xdr:cNvCxnSpPr/>
        </xdr:nvCxnSpPr>
        <xdr:spPr>
          <a:xfrm flipV="1">
            <a:off x="2271654" y="2468735"/>
            <a:ext cx="498620" cy="76199"/>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clientData/>
  </xdr:twoCellAnchor>
  <xdr:twoCellAnchor>
    <xdr:from>
      <xdr:col>4</xdr:col>
      <xdr:colOff>14653</xdr:colOff>
      <xdr:row>11</xdr:row>
      <xdr:rowOff>61291</xdr:rowOff>
    </xdr:from>
    <xdr:to>
      <xdr:col>7</xdr:col>
      <xdr:colOff>21980</xdr:colOff>
      <xdr:row>11</xdr:row>
      <xdr:rowOff>472109</xdr:rowOff>
    </xdr:to>
    <xdr:grpSp>
      <xdr:nvGrpSpPr>
        <xdr:cNvPr id="335" name="Group 334">
          <a:extLst>
            <a:ext uri="{FF2B5EF4-FFF2-40B4-BE49-F238E27FC236}">
              <a16:creationId xmlns:a16="http://schemas.microsoft.com/office/drawing/2014/main" id="{00000000-0008-0000-0000-00004F010000}"/>
            </a:ext>
          </a:extLst>
        </xdr:cNvPr>
        <xdr:cNvGrpSpPr/>
      </xdr:nvGrpSpPr>
      <xdr:grpSpPr>
        <a:xfrm flipH="1">
          <a:off x="2211235" y="5688817"/>
          <a:ext cx="1358322" cy="410818"/>
          <a:chOff x="2479813" y="5681041"/>
          <a:chExt cx="1546362" cy="410818"/>
        </a:xfrm>
      </xdr:grpSpPr>
      <xdr:cxnSp macro="">
        <xdr:nvCxnSpPr>
          <xdr:cNvPr id="336" name="Straight Connector 335">
            <a:extLst>
              <a:ext uri="{FF2B5EF4-FFF2-40B4-BE49-F238E27FC236}">
                <a16:creationId xmlns:a16="http://schemas.microsoft.com/office/drawing/2014/main" id="{00000000-0008-0000-0000-000050010000}"/>
              </a:ext>
            </a:extLst>
          </xdr:cNvPr>
          <xdr:cNvCxnSpPr/>
        </xdr:nvCxnSpPr>
        <xdr:spPr>
          <a:xfrm flipV="1">
            <a:off x="2479813" y="5686010"/>
            <a:ext cx="1134334" cy="240197"/>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37" name="Straight Connector 336">
            <a:extLst>
              <a:ext uri="{FF2B5EF4-FFF2-40B4-BE49-F238E27FC236}">
                <a16:creationId xmlns:a16="http://schemas.microsoft.com/office/drawing/2014/main" id="{00000000-0008-0000-0000-000051010000}"/>
              </a:ext>
            </a:extLst>
          </xdr:cNvPr>
          <xdr:cNvCxnSpPr/>
        </xdr:nvCxnSpPr>
        <xdr:spPr>
          <a:xfrm>
            <a:off x="3605728" y="5685595"/>
            <a:ext cx="420447"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000-000052010000}"/>
              </a:ext>
            </a:extLst>
          </xdr:cNvPr>
          <xdr:cNvCxnSpPr/>
        </xdr:nvCxnSpPr>
        <xdr:spPr>
          <a:xfrm flipV="1">
            <a:off x="2479813" y="5926207"/>
            <a:ext cx="0" cy="165652"/>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000-000053010000}"/>
              </a:ext>
            </a:extLst>
          </xdr:cNvPr>
          <xdr:cNvCxnSpPr/>
        </xdr:nvCxnSpPr>
        <xdr:spPr>
          <a:xfrm flipH="1" flipV="1">
            <a:off x="4018131" y="5681041"/>
            <a:ext cx="1108" cy="214932"/>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clientData/>
  </xdr:twoCellAnchor>
  <xdr:twoCellAnchor>
    <xdr:from>
      <xdr:col>3</xdr:col>
      <xdr:colOff>354725</xdr:colOff>
      <xdr:row>12</xdr:row>
      <xdr:rowOff>96562</xdr:rowOff>
    </xdr:from>
    <xdr:to>
      <xdr:col>7</xdr:col>
      <xdr:colOff>72259</xdr:colOff>
      <xdr:row>12</xdr:row>
      <xdr:rowOff>407276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191689" y="6229496"/>
          <a:ext cx="1428147" cy="310714"/>
          <a:chOff x="2191689" y="6229496"/>
          <a:chExt cx="1428147" cy="310714"/>
        </a:xfrm>
      </xdr:grpSpPr>
      <xdr:cxnSp macro="">
        <xdr:nvCxnSpPr>
          <xdr:cNvPr id="273" name="Straight Arrow Connector 272">
            <a:extLst>
              <a:ext uri="{FF2B5EF4-FFF2-40B4-BE49-F238E27FC236}">
                <a16:creationId xmlns:a16="http://schemas.microsoft.com/office/drawing/2014/main" id="{00000000-0008-0000-0000-000011010000}"/>
              </a:ext>
            </a:extLst>
          </xdr:cNvPr>
          <xdr:cNvCxnSpPr>
            <a:stCxn id="340" idx="2"/>
            <a:endCxn id="340" idx="6"/>
          </xdr:cNvCxnSpPr>
        </xdr:nvCxnSpPr>
        <xdr:spPr>
          <a:xfrm>
            <a:off x="2191689" y="6389124"/>
            <a:ext cx="1369026" cy="0"/>
          </a:xfrm>
          <a:prstGeom prst="straightConnector1">
            <a:avLst/>
          </a:prstGeom>
          <a:ln>
            <a:solidFill>
              <a:schemeClr val="tx2"/>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0" name="Oval 339">
            <a:extLst>
              <a:ext uri="{FF2B5EF4-FFF2-40B4-BE49-F238E27FC236}">
                <a16:creationId xmlns:a16="http://schemas.microsoft.com/office/drawing/2014/main" id="{00000000-0008-0000-0000-000054010000}"/>
              </a:ext>
            </a:extLst>
          </xdr:cNvPr>
          <xdr:cNvSpPr/>
        </xdr:nvSpPr>
        <xdr:spPr>
          <a:xfrm>
            <a:off x="2191689" y="6244606"/>
            <a:ext cx="1369026" cy="28903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1" name="Arc 340">
            <a:extLst>
              <a:ext uri="{FF2B5EF4-FFF2-40B4-BE49-F238E27FC236}">
                <a16:creationId xmlns:a16="http://schemas.microsoft.com/office/drawing/2014/main" id="{00000000-0008-0000-0000-000055010000}"/>
              </a:ext>
            </a:extLst>
          </xdr:cNvPr>
          <xdr:cNvSpPr/>
        </xdr:nvSpPr>
        <xdr:spPr>
          <a:xfrm rot="1503465">
            <a:off x="3450717" y="6375986"/>
            <a:ext cx="169119" cy="164224"/>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342" name="Arc 341">
            <a:extLst>
              <a:ext uri="{FF2B5EF4-FFF2-40B4-BE49-F238E27FC236}">
                <a16:creationId xmlns:a16="http://schemas.microsoft.com/office/drawing/2014/main" id="{00000000-0008-0000-0000-000056010000}"/>
              </a:ext>
            </a:extLst>
          </xdr:cNvPr>
          <xdr:cNvSpPr/>
        </xdr:nvSpPr>
        <xdr:spPr>
          <a:xfrm rot="3855530">
            <a:off x="3438056" y="6233618"/>
            <a:ext cx="170794" cy="162549"/>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3</xdr:col>
      <xdr:colOff>357188</xdr:colOff>
      <xdr:row>13</xdr:row>
      <xdr:rowOff>23812</xdr:rowOff>
    </xdr:from>
    <xdr:to>
      <xdr:col>7</xdr:col>
      <xdr:colOff>4763</xdr:colOff>
      <xdr:row>13</xdr:row>
      <xdr:rowOff>411957</xdr:rowOff>
    </xdr:to>
    <xdr:grpSp>
      <xdr:nvGrpSpPr>
        <xdr:cNvPr id="343" name="Group 342">
          <a:extLst>
            <a:ext uri="{FF2B5EF4-FFF2-40B4-BE49-F238E27FC236}">
              <a16:creationId xmlns:a16="http://schemas.microsoft.com/office/drawing/2014/main" id="{00000000-0008-0000-0000-000057010000}"/>
            </a:ext>
          </a:extLst>
        </xdr:cNvPr>
        <xdr:cNvGrpSpPr/>
      </xdr:nvGrpSpPr>
      <xdr:grpSpPr>
        <a:xfrm>
          <a:off x="2194152" y="6662154"/>
          <a:ext cx="1358188" cy="388145"/>
          <a:chOff x="1098947" y="1535906"/>
          <a:chExt cx="1608535" cy="388145"/>
        </a:xfrm>
      </xdr:grpSpPr>
      <xdr:cxnSp macro="">
        <xdr:nvCxnSpPr>
          <xdr:cNvPr id="344" name="Straight Connector 343">
            <a:extLst>
              <a:ext uri="{FF2B5EF4-FFF2-40B4-BE49-F238E27FC236}">
                <a16:creationId xmlns:a16="http://schemas.microsoft.com/office/drawing/2014/main" id="{00000000-0008-0000-0000-000058010000}"/>
              </a:ext>
            </a:extLst>
          </xdr:cNvPr>
          <xdr:cNvCxnSpPr/>
        </xdr:nvCxnSpPr>
        <xdr:spPr>
          <a:xfrm>
            <a:off x="1098947" y="1712118"/>
            <a:ext cx="1608535"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45" name="Straight Connector 344">
            <a:extLst>
              <a:ext uri="{FF2B5EF4-FFF2-40B4-BE49-F238E27FC236}">
                <a16:creationId xmlns:a16="http://schemas.microsoft.com/office/drawing/2014/main" id="{00000000-0008-0000-0000-000059010000}"/>
              </a:ext>
            </a:extLst>
          </xdr:cNvPr>
          <xdr:cNvCxnSpPr/>
        </xdr:nvCxnSpPr>
        <xdr:spPr>
          <a:xfrm>
            <a:off x="1114426" y="1702594"/>
            <a:ext cx="0" cy="221457"/>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000-00005A010000}"/>
              </a:ext>
            </a:extLst>
          </xdr:cNvPr>
          <xdr:cNvCxnSpPr/>
        </xdr:nvCxnSpPr>
        <xdr:spPr>
          <a:xfrm>
            <a:off x="2701529" y="1535906"/>
            <a:ext cx="0" cy="184547"/>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317098</xdr:colOff>
      <xdr:row>14</xdr:row>
      <xdr:rowOff>153865</xdr:rowOff>
    </xdr:from>
    <xdr:to>
      <xdr:col>7</xdr:col>
      <xdr:colOff>49455</xdr:colOff>
      <xdr:row>14</xdr:row>
      <xdr:rowOff>380999</xdr:rowOff>
    </xdr:to>
    <xdr:grpSp>
      <xdr:nvGrpSpPr>
        <xdr:cNvPr id="347" name="Group 346">
          <a:extLst>
            <a:ext uri="{FF2B5EF4-FFF2-40B4-BE49-F238E27FC236}">
              <a16:creationId xmlns:a16="http://schemas.microsoft.com/office/drawing/2014/main" id="{00000000-0008-0000-0000-00005B010000}"/>
            </a:ext>
          </a:extLst>
        </xdr:cNvPr>
        <xdr:cNvGrpSpPr/>
      </xdr:nvGrpSpPr>
      <xdr:grpSpPr>
        <a:xfrm flipV="1">
          <a:off x="2154062" y="7297615"/>
          <a:ext cx="1442970" cy="227134"/>
          <a:chOff x="2141502" y="7225939"/>
          <a:chExt cx="1439530" cy="204001"/>
        </a:xfrm>
      </xdr:grpSpPr>
      <xdr:cxnSp macro="">
        <xdr:nvCxnSpPr>
          <xdr:cNvPr id="348" name="Straight Connector 347">
            <a:extLst>
              <a:ext uri="{FF2B5EF4-FFF2-40B4-BE49-F238E27FC236}">
                <a16:creationId xmlns:a16="http://schemas.microsoft.com/office/drawing/2014/main" id="{00000000-0008-0000-0000-00005C010000}"/>
              </a:ext>
            </a:extLst>
          </xdr:cNvPr>
          <xdr:cNvCxnSpPr/>
        </xdr:nvCxnSpPr>
        <xdr:spPr>
          <a:xfrm>
            <a:off x="2181592" y="7327530"/>
            <a:ext cx="1354748"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nvGrpSpPr>
          <xdr:cNvPr id="349" name="Group 348">
            <a:extLst>
              <a:ext uri="{FF2B5EF4-FFF2-40B4-BE49-F238E27FC236}">
                <a16:creationId xmlns:a16="http://schemas.microsoft.com/office/drawing/2014/main" id="{00000000-0008-0000-0000-00005D010000}"/>
              </a:ext>
            </a:extLst>
          </xdr:cNvPr>
          <xdr:cNvGrpSpPr/>
        </xdr:nvGrpSpPr>
        <xdr:grpSpPr>
          <a:xfrm>
            <a:off x="3495580" y="7225939"/>
            <a:ext cx="85452" cy="99386"/>
            <a:chOff x="2541814" y="647700"/>
            <a:chExt cx="326572" cy="326572"/>
          </a:xfrm>
        </xdr:grpSpPr>
        <xdr:sp macro="" textlink="">
          <xdr:nvSpPr>
            <xdr:cNvPr id="353" name="Arc 352">
              <a:extLst>
                <a:ext uri="{FF2B5EF4-FFF2-40B4-BE49-F238E27FC236}">
                  <a16:creationId xmlns:a16="http://schemas.microsoft.com/office/drawing/2014/main" id="{00000000-0008-0000-0000-000061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54" name="Arc 353">
              <a:extLst>
                <a:ext uri="{FF2B5EF4-FFF2-40B4-BE49-F238E27FC236}">
                  <a16:creationId xmlns:a16="http://schemas.microsoft.com/office/drawing/2014/main" id="{00000000-0008-0000-0000-000062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nvGrpSpPr>
          <xdr:cNvPr id="350" name="Group 349">
            <a:extLst>
              <a:ext uri="{FF2B5EF4-FFF2-40B4-BE49-F238E27FC236}">
                <a16:creationId xmlns:a16="http://schemas.microsoft.com/office/drawing/2014/main" id="{00000000-0008-0000-0000-00005E010000}"/>
              </a:ext>
            </a:extLst>
          </xdr:cNvPr>
          <xdr:cNvGrpSpPr/>
        </xdr:nvGrpSpPr>
        <xdr:grpSpPr>
          <a:xfrm rot="10800000">
            <a:off x="2141502" y="7330554"/>
            <a:ext cx="85452" cy="99386"/>
            <a:chOff x="2541814" y="647700"/>
            <a:chExt cx="326572" cy="326572"/>
          </a:xfrm>
        </xdr:grpSpPr>
        <xdr:sp macro="" textlink="">
          <xdr:nvSpPr>
            <xdr:cNvPr id="351" name="Arc 350">
              <a:extLst>
                <a:ext uri="{FF2B5EF4-FFF2-40B4-BE49-F238E27FC236}">
                  <a16:creationId xmlns:a16="http://schemas.microsoft.com/office/drawing/2014/main" id="{00000000-0008-0000-0000-00005F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52" name="Arc 351">
              <a:extLst>
                <a:ext uri="{FF2B5EF4-FFF2-40B4-BE49-F238E27FC236}">
                  <a16:creationId xmlns:a16="http://schemas.microsoft.com/office/drawing/2014/main" id="{00000000-0008-0000-0000-000060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clientData/>
  </xdr:twoCellAnchor>
  <xdr:twoCellAnchor>
    <xdr:from>
      <xdr:col>3</xdr:col>
      <xdr:colOff>322384</xdr:colOff>
      <xdr:row>15</xdr:row>
      <xdr:rowOff>146539</xdr:rowOff>
    </xdr:from>
    <xdr:to>
      <xdr:col>6</xdr:col>
      <xdr:colOff>298939</xdr:colOff>
      <xdr:row>15</xdr:row>
      <xdr:rowOff>424962</xdr:rowOff>
    </xdr:to>
    <xdr:grpSp>
      <xdr:nvGrpSpPr>
        <xdr:cNvPr id="355" name="Group 354">
          <a:extLst>
            <a:ext uri="{FF2B5EF4-FFF2-40B4-BE49-F238E27FC236}">
              <a16:creationId xmlns:a16="http://schemas.microsoft.com/office/drawing/2014/main" id="{00000000-0008-0000-0000-000063010000}"/>
            </a:ext>
          </a:extLst>
        </xdr:cNvPr>
        <xdr:cNvGrpSpPr/>
      </xdr:nvGrpSpPr>
      <xdr:grpSpPr>
        <a:xfrm>
          <a:off x="2159348" y="7795697"/>
          <a:ext cx="1327550" cy="278423"/>
          <a:chOff x="2146788" y="7729904"/>
          <a:chExt cx="1324709" cy="278423"/>
        </a:xfrm>
      </xdr:grpSpPr>
      <xdr:cxnSp macro="">
        <xdr:nvCxnSpPr>
          <xdr:cNvPr id="356" name="Straight Connector 355">
            <a:extLst>
              <a:ext uri="{FF2B5EF4-FFF2-40B4-BE49-F238E27FC236}">
                <a16:creationId xmlns:a16="http://schemas.microsoft.com/office/drawing/2014/main" id="{00000000-0008-0000-0000-000064010000}"/>
              </a:ext>
            </a:extLst>
          </xdr:cNvPr>
          <xdr:cNvCxnSpPr/>
        </xdr:nvCxnSpPr>
        <xdr:spPr>
          <a:xfrm>
            <a:off x="2498481" y="7737230"/>
            <a:ext cx="0" cy="13921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57" name="Straight Connector 356">
            <a:extLst>
              <a:ext uri="{FF2B5EF4-FFF2-40B4-BE49-F238E27FC236}">
                <a16:creationId xmlns:a16="http://schemas.microsoft.com/office/drawing/2014/main" id="{00000000-0008-0000-0000-000065010000}"/>
              </a:ext>
            </a:extLst>
          </xdr:cNvPr>
          <xdr:cNvCxnSpPr/>
        </xdr:nvCxnSpPr>
        <xdr:spPr>
          <a:xfrm>
            <a:off x="3119804" y="7852996"/>
            <a:ext cx="0" cy="13921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000-000066010000}"/>
              </a:ext>
            </a:extLst>
          </xdr:cNvPr>
          <xdr:cNvCxnSpPr/>
        </xdr:nvCxnSpPr>
        <xdr:spPr>
          <a:xfrm flipV="1">
            <a:off x="2146788" y="7883769"/>
            <a:ext cx="351693" cy="124558"/>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000-000067010000}"/>
              </a:ext>
            </a:extLst>
          </xdr:cNvPr>
          <xdr:cNvCxnSpPr/>
        </xdr:nvCxnSpPr>
        <xdr:spPr>
          <a:xfrm flipV="1">
            <a:off x="3119804" y="7867650"/>
            <a:ext cx="351693" cy="124558"/>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60" name="Straight Connector 359">
            <a:extLst>
              <a:ext uri="{FF2B5EF4-FFF2-40B4-BE49-F238E27FC236}">
                <a16:creationId xmlns:a16="http://schemas.microsoft.com/office/drawing/2014/main" id="{00000000-0008-0000-0000-000068010000}"/>
              </a:ext>
            </a:extLst>
          </xdr:cNvPr>
          <xdr:cNvCxnSpPr/>
        </xdr:nvCxnSpPr>
        <xdr:spPr>
          <a:xfrm>
            <a:off x="2505808" y="7729904"/>
            <a:ext cx="615461" cy="117231"/>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2382</xdr:colOff>
      <xdr:row>18</xdr:row>
      <xdr:rowOff>153356</xdr:rowOff>
    </xdr:from>
    <xdr:to>
      <xdr:col>6</xdr:col>
      <xdr:colOff>337038</xdr:colOff>
      <xdr:row>18</xdr:row>
      <xdr:rowOff>468924</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2198964" y="9318739"/>
          <a:ext cx="1326033" cy="315568"/>
          <a:chOff x="2198964" y="9318739"/>
          <a:chExt cx="1326033" cy="315568"/>
        </a:xfrm>
      </xdr:grpSpPr>
      <xdr:cxnSp macro="">
        <xdr:nvCxnSpPr>
          <xdr:cNvPr id="285" name="Straight Connector 284">
            <a:extLst>
              <a:ext uri="{FF2B5EF4-FFF2-40B4-BE49-F238E27FC236}">
                <a16:creationId xmlns:a16="http://schemas.microsoft.com/office/drawing/2014/main" id="{00000000-0008-0000-0000-00001D010000}"/>
              </a:ext>
            </a:extLst>
          </xdr:cNvPr>
          <xdr:cNvCxnSpPr/>
        </xdr:nvCxnSpPr>
        <xdr:spPr>
          <a:xfrm>
            <a:off x="2198964" y="9319980"/>
            <a:ext cx="312676"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000-00001E010000}"/>
              </a:ext>
            </a:extLst>
          </xdr:cNvPr>
          <xdr:cNvCxnSpPr/>
        </xdr:nvCxnSpPr>
        <xdr:spPr>
          <a:xfrm>
            <a:off x="2206973" y="9318739"/>
            <a:ext cx="0" cy="221457"/>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000-00001F010000}"/>
              </a:ext>
            </a:extLst>
          </xdr:cNvPr>
          <xdr:cNvCxnSpPr/>
        </xdr:nvCxnSpPr>
        <xdr:spPr>
          <a:xfrm>
            <a:off x="2511640" y="9319249"/>
            <a:ext cx="652694" cy="146538"/>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61" name="Straight Connector 360">
            <a:extLst>
              <a:ext uri="{FF2B5EF4-FFF2-40B4-BE49-F238E27FC236}">
                <a16:creationId xmlns:a16="http://schemas.microsoft.com/office/drawing/2014/main" id="{00000000-0008-0000-0000-000069010000}"/>
              </a:ext>
            </a:extLst>
          </xdr:cNvPr>
          <xdr:cNvCxnSpPr/>
        </xdr:nvCxnSpPr>
        <xdr:spPr>
          <a:xfrm>
            <a:off x="3150596" y="9465054"/>
            <a:ext cx="374401"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62" name="Straight Connector 361">
            <a:extLst>
              <a:ext uri="{FF2B5EF4-FFF2-40B4-BE49-F238E27FC236}">
                <a16:creationId xmlns:a16="http://schemas.microsoft.com/office/drawing/2014/main" id="{00000000-0008-0000-0000-00006A010000}"/>
              </a:ext>
            </a:extLst>
          </xdr:cNvPr>
          <xdr:cNvCxnSpPr/>
        </xdr:nvCxnSpPr>
        <xdr:spPr>
          <a:xfrm>
            <a:off x="3519269" y="9463812"/>
            <a:ext cx="0" cy="17049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186836</xdr:colOff>
      <xdr:row>19</xdr:row>
      <xdr:rowOff>406678</xdr:rowOff>
    </xdr:from>
    <xdr:to>
      <xdr:col>7</xdr:col>
      <xdr:colOff>28000</xdr:colOff>
      <xdr:row>19</xdr:row>
      <xdr:rowOff>410308</xdr:rowOff>
    </xdr:to>
    <xdr:cxnSp macro="">
      <xdr:nvCxnSpPr>
        <xdr:cNvPr id="364" name="Straight Connector 363">
          <a:extLst>
            <a:ext uri="{FF2B5EF4-FFF2-40B4-BE49-F238E27FC236}">
              <a16:creationId xmlns:a16="http://schemas.microsoft.com/office/drawing/2014/main" id="{00000000-0008-0000-0000-00006C010000}"/>
            </a:ext>
          </a:extLst>
        </xdr:cNvPr>
        <xdr:cNvCxnSpPr>
          <a:stCxn id="372" idx="0"/>
        </xdr:cNvCxnSpPr>
      </xdr:nvCxnSpPr>
      <xdr:spPr>
        <a:xfrm flipV="1">
          <a:off x="2383418" y="10077469"/>
          <a:ext cx="1192159" cy="363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36634</xdr:colOff>
      <xdr:row>19</xdr:row>
      <xdr:rowOff>102577</xdr:rowOff>
    </xdr:from>
    <xdr:to>
      <xdr:col>7</xdr:col>
      <xdr:colOff>63616</xdr:colOff>
      <xdr:row>19</xdr:row>
      <xdr:rowOff>410308</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2233216" y="9773368"/>
          <a:ext cx="1377977" cy="307731"/>
          <a:chOff x="2233216" y="9783087"/>
          <a:chExt cx="1377977" cy="307731"/>
        </a:xfrm>
      </xdr:grpSpPr>
      <xdr:cxnSp macro="">
        <xdr:nvCxnSpPr>
          <xdr:cNvPr id="363" name="Straight Connector 362">
            <a:extLst>
              <a:ext uri="{FF2B5EF4-FFF2-40B4-BE49-F238E27FC236}">
                <a16:creationId xmlns:a16="http://schemas.microsoft.com/office/drawing/2014/main" id="{00000000-0008-0000-0000-00006B010000}"/>
              </a:ext>
            </a:extLst>
          </xdr:cNvPr>
          <xdr:cNvCxnSpPr>
            <a:stCxn id="373" idx="0"/>
          </xdr:cNvCxnSpPr>
        </xdr:nvCxnSpPr>
        <xdr:spPr>
          <a:xfrm>
            <a:off x="2383418" y="9783087"/>
            <a:ext cx="1184913" cy="2929"/>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nvGrpSpPr>
          <xdr:cNvPr id="365" name="Group 364">
            <a:extLst>
              <a:ext uri="{FF2B5EF4-FFF2-40B4-BE49-F238E27FC236}">
                <a16:creationId xmlns:a16="http://schemas.microsoft.com/office/drawing/2014/main" id="{00000000-0008-0000-0000-00006D010000}"/>
              </a:ext>
            </a:extLst>
          </xdr:cNvPr>
          <xdr:cNvGrpSpPr/>
        </xdr:nvGrpSpPr>
        <xdr:grpSpPr>
          <a:xfrm>
            <a:off x="3518701" y="9792976"/>
            <a:ext cx="86051" cy="99386"/>
            <a:chOff x="2541814" y="647700"/>
            <a:chExt cx="326572" cy="326572"/>
          </a:xfrm>
        </xdr:grpSpPr>
        <xdr:sp macro="" textlink="">
          <xdr:nvSpPr>
            <xdr:cNvPr id="366" name="Arc 365">
              <a:extLst>
                <a:ext uri="{FF2B5EF4-FFF2-40B4-BE49-F238E27FC236}">
                  <a16:creationId xmlns:a16="http://schemas.microsoft.com/office/drawing/2014/main" id="{00000000-0008-0000-0000-00006E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67" name="Arc 366">
              <a:extLst>
                <a:ext uri="{FF2B5EF4-FFF2-40B4-BE49-F238E27FC236}">
                  <a16:creationId xmlns:a16="http://schemas.microsoft.com/office/drawing/2014/main" id="{00000000-0008-0000-0000-00006F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nvGrpSpPr>
          <xdr:cNvPr id="368" name="Group 367">
            <a:extLst>
              <a:ext uri="{FF2B5EF4-FFF2-40B4-BE49-F238E27FC236}">
                <a16:creationId xmlns:a16="http://schemas.microsoft.com/office/drawing/2014/main" id="{00000000-0008-0000-0000-000070010000}"/>
              </a:ext>
            </a:extLst>
          </xdr:cNvPr>
          <xdr:cNvGrpSpPr/>
        </xdr:nvGrpSpPr>
        <xdr:grpSpPr>
          <a:xfrm>
            <a:off x="3525142" y="9985355"/>
            <a:ext cx="86051" cy="99386"/>
            <a:chOff x="2541814" y="647700"/>
            <a:chExt cx="326572" cy="326572"/>
          </a:xfrm>
        </xdr:grpSpPr>
        <xdr:sp macro="" textlink="">
          <xdr:nvSpPr>
            <xdr:cNvPr id="369" name="Arc 368">
              <a:extLst>
                <a:ext uri="{FF2B5EF4-FFF2-40B4-BE49-F238E27FC236}">
                  <a16:creationId xmlns:a16="http://schemas.microsoft.com/office/drawing/2014/main" id="{00000000-0008-0000-0000-000071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70" name="Arc 369">
              <a:extLst>
                <a:ext uri="{FF2B5EF4-FFF2-40B4-BE49-F238E27FC236}">
                  <a16:creationId xmlns:a16="http://schemas.microsoft.com/office/drawing/2014/main" id="{00000000-0008-0000-0000-000072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nvGrpSpPr>
          <xdr:cNvPr id="371" name="Group 370">
            <a:extLst>
              <a:ext uri="{FF2B5EF4-FFF2-40B4-BE49-F238E27FC236}">
                <a16:creationId xmlns:a16="http://schemas.microsoft.com/office/drawing/2014/main" id="{00000000-0008-0000-0000-000073010000}"/>
              </a:ext>
            </a:extLst>
          </xdr:cNvPr>
          <xdr:cNvGrpSpPr/>
        </xdr:nvGrpSpPr>
        <xdr:grpSpPr>
          <a:xfrm rot="10800000">
            <a:off x="2233216" y="9783087"/>
            <a:ext cx="300404" cy="307731"/>
            <a:chOff x="2541814" y="647700"/>
            <a:chExt cx="326572" cy="326572"/>
          </a:xfrm>
        </xdr:grpSpPr>
        <xdr:sp macro="" textlink="">
          <xdr:nvSpPr>
            <xdr:cNvPr id="372" name="Arc 371">
              <a:extLst>
                <a:ext uri="{FF2B5EF4-FFF2-40B4-BE49-F238E27FC236}">
                  <a16:creationId xmlns:a16="http://schemas.microsoft.com/office/drawing/2014/main" id="{00000000-0008-0000-0000-000074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73" name="Arc 372">
              <a:extLst>
                <a:ext uri="{FF2B5EF4-FFF2-40B4-BE49-F238E27FC236}">
                  <a16:creationId xmlns:a16="http://schemas.microsoft.com/office/drawing/2014/main" id="{00000000-0008-0000-0000-000075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clientData/>
  </xdr:twoCellAnchor>
  <xdr:twoCellAnchor>
    <xdr:from>
      <xdr:col>3</xdr:col>
      <xdr:colOff>357188</xdr:colOff>
      <xdr:row>20</xdr:row>
      <xdr:rowOff>74957</xdr:rowOff>
    </xdr:from>
    <xdr:to>
      <xdr:col>7</xdr:col>
      <xdr:colOff>13373</xdr:colOff>
      <xdr:row>20</xdr:row>
      <xdr:rowOff>377370</xdr:rowOff>
    </xdr:to>
    <xdr:grpSp>
      <xdr:nvGrpSpPr>
        <xdr:cNvPr id="374" name="Group 373">
          <a:extLst>
            <a:ext uri="{FF2B5EF4-FFF2-40B4-BE49-F238E27FC236}">
              <a16:creationId xmlns:a16="http://schemas.microsoft.com/office/drawing/2014/main" id="{00000000-0008-0000-0000-000076010000}"/>
            </a:ext>
          </a:extLst>
        </xdr:cNvPr>
        <xdr:cNvGrpSpPr/>
      </xdr:nvGrpSpPr>
      <xdr:grpSpPr>
        <a:xfrm>
          <a:off x="2194152" y="10251156"/>
          <a:ext cx="1366798" cy="302413"/>
          <a:chOff x="1101795" y="6290641"/>
          <a:chExt cx="1628274" cy="302413"/>
        </a:xfrm>
      </xdr:grpSpPr>
      <xdr:cxnSp macro="">
        <xdr:nvCxnSpPr>
          <xdr:cNvPr id="375" name="Straight Connector 374">
            <a:extLst>
              <a:ext uri="{FF2B5EF4-FFF2-40B4-BE49-F238E27FC236}">
                <a16:creationId xmlns:a16="http://schemas.microsoft.com/office/drawing/2014/main" id="{00000000-0008-0000-0000-000077010000}"/>
              </a:ext>
            </a:extLst>
          </xdr:cNvPr>
          <xdr:cNvCxnSpPr/>
        </xdr:nvCxnSpPr>
        <xdr:spPr>
          <a:xfrm>
            <a:off x="1101795" y="6291882"/>
            <a:ext cx="1619666"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000-000078010000}"/>
              </a:ext>
            </a:extLst>
          </xdr:cNvPr>
          <xdr:cNvCxnSpPr/>
        </xdr:nvCxnSpPr>
        <xdr:spPr>
          <a:xfrm>
            <a:off x="1109098" y="6290641"/>
            <a:ext cx="0" cy="30231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77" name="Straight Connector 376">
            <a:extLst>
              <a:ext uri="{FF2B5EF4-FFF2-40B4-BE49-F238E27FC236}">
                <a16:creationId xmlns:a16="http://schemas.microsoft.com/office/drawing/2014/main" id="{00000000-0008-0000-0000-000079010000}"/>
              </a:ext>
            </a:extLst>
          </xdr:cNvPr>
          <xdr:cNvCxnSpPr/>
        </xdr:nvCxnSpPr>
        <xdr:spPr>
          <a:xfrm>
            <a:off x="1106741" y="6593054"/>
            <a:ext cx="1623328"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grpSp>
    <xdr:clientData/>
  </xdr:twoCellAnchor>
  <xdr:twoCellAnchor>
    <xdr:from>
      <xdr:col>4</xdr:col>
      <xdr:colOff>5496</xdr:colOff>
      <xdr:row>22</xdr:row>
      <xdr:rowOff>111592</xdr:rowOff>
    </xdr:from>
    <xdr:to>
      <xdr:col>7</xdr:col>
      <xdr:colOff>48383</xdr:colOff>
      <xdr:row>22</xdr:row>
      <xdr:rowOff>413908</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2202078" y="11298607"/>
          <a:ext cx="1393882" cy="302316"/>
          <a:chOff x="2202078" y="11298607"/>
          <a:chExt cx="1393882" cy="302316"/>
        </a:xfrm>
      </xdr:grpSpPr>
      <xdr:cxnSp macro="">
        <xdr:nvCxnSpPr>
          <xdr:cNvPr id="300" name="Straight Connector 299">
            <a:extLst>
              <a:ext uri="{FF2B5EF4-FFF2-40B4-BE49-F238E27FC236}">
                <a16:creationId xmlns:a16="http://schemas.microsoft.com/office/drawing/2014/main" id="{00000000-0008-0000-0000-00002C010000}"/>
              </a:ext>
            </a:extLst>
          </xdr:cNvPr>
          <xdr:cNvCxnSpPr/>
        </xdr:nvCxnSpPr>
        <xdr:spPr>
          <a:xfrm>
            <a:off x="2202078" y="11299848"/>
            <a:ext cx="1358991"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000-00002D010000}"/>
              </a:ext>
            </a:extLst>
          </xdr:cNvPr>
          <xdr:cNvCxnSpPr/>
        </xdr:nvCxnSpPr>
        <xdr:spPr>
          <a:xfrm>
            <a:off x="2208193" y="11298607"/>
            <a:ext cx="0" cy="30231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nvGrpSpPr>
          <xdr:cNvPr id="378" name="Group 377">
            <a:extLst>
              <a:ext uri="{FF2B5EF4-FFF2-40B4-BE49-F238E27FC236}">
                <a16:creationId xmlns:a16="http://schemas.microsoft.com/office/drawing/2014/main" id="{00000000-0008-0000-0000-00007A010000}"/>
              </a:ext>
            </a:extLst>
          </xdr:cNvPr>
          <xdr:cNvGrpSpPr/>
        </xdr:nvGrpSpPr>
        <xdr:grpSpPr>
          <a:xfrm>
            <a:off x="3509909" y="11307734"/>
            <a:ext cx="86051" cy="99386"/>
            <a:chOff x="2541814" y="647700"/>
            <a:chExt cx="326572" cy="326572"/>
          </a:xfrm>
        </xdr:grpSpPr>
        <xdr:sp macro="" textlink="">
          <xdr:nvSpPr>
            <xdr:cNvPr id="379" name="Arc 378">
              <a:extLst>
                <a:ext uri="{FF2B5EF4-FFF2-40B4-BE49-F238E27FC236}">
                  <a16:creationId xmlns:a16="http://schemas.microsoft.com/office/drawing/2014/main" id="{00000000-0008-0000-0000-00007B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80" name="Arc 379">
              <a:extLst>
                <a:ext uri="{FF2B5EF4-FFF2-40B4-BE49-F238E27FC236}">
                  <a16:creationId xmlns:a16="http://schemas.microsoft.com/office/drawing/2014/main" id="{00000000-0008-0000-0000-00007C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clientData/>
  </xdr:twoCellAnchor>
  <xdr:twoCellAnchor>
    <xdr:from>
      <xdr:col>4</xdr:col>
      <xdr:colOff>11358</xdr:colOff>
      <xdr:row>21</xdr:row>
      <xdr:rowOff>94007</xdr:rowOff>
    </xdr:from>
    <xdr:to>
      <xdr:col>7</xdr:col>
      <xdr:colOff>19354</xdr:colOff>
      <xdr:row>21</xdr:row>
      <xdr:rowOff>297204</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2207940" y="10775614"/>
          <a:ext cx="1358991" cy="203197"/>
          <a:chOff x="2207940" y="10775614"/>
          <a:chExt cx="1358991" cy="203197"/>
        </a:xfrm>
      </xdr:grpSpPr>
      <xdr:cxnSp macro="">
        <xdr:nvCxnSpPr>
          <xdr:cNvPr id="381" name="Straight Connector 380">
            <a:extLst>
              <a:ext uri="{FF2B5EF4-FFF2-40B4-BE49-F238E27FC236}">
                <a16:creationId xmlns:a16="http://schemas.microsoft.com/office/drawing/2014/main" id="{00000000-0008-0000-0000-00007D010000}"/>
              </a:ext>
            </a:extLst>
          </xdr:cNvPr>
          <xdr:cNvCxnSpPr/>
        </xdr:nvCxnSpPr>
        <xdr:spPr>
          <a:xfrm>
            <a:off x="2207940" y="10785648"/>
            <a:ext cx="1358991" cy="0"/>
          </a:xfrm>
          <a:prstGeom prst="line">
            <a:avLst/>
          </a:prstGeom>
          <a:ln w="28575">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382" name="Straight Connector 381">
            <a:extLst>
              <a:ext uri="{FF2B5EF4-FFF2-40B4-BE49-F238E27FC236}">
                <a16:creationId xmlns:a16="http://schemas.microsoft.com/office/drawing/2014/main" id="{00000000-0008-0000-0000-00007E010000}"/>
              </a:ext>
            </a:extLst>
          </xdr:cNvPr>
          <xdr:cNvCxnSpPr/>
        </xdr:nvCxnSpPr>
        <xdr:spPr>
          <a:xfrm>
            <a:off x="3557723" y="10777080"/>
            <a:ext cx="0" cy="16829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3" name="Straight Connector 382">
            <a:extLst>
              <a:ext uri="{FF2B5EF4-FFF2-40B4-BE49-F238E27FC236}">
                <a16:creationId xmlns:a16="http://schemas.microsoft.com/office/drawing/2014/main" id="{00000000-0008-0000-0000-00007F010000}"/>
              </a:ext>
            </a:extLst>
          </xdr:cNvPr>
          <xdr:cNvCxnSpPr/>
        </xdr:nvCxnSpPr>
        <xdr:spPr>
          <a:xfrm>
            <a:off x="3460409" y="10775614"/>
            <a:ext cx="0" cy="168296"/>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nvGrpSpPr>
          <xdr:cNvPr id="384" name="Group 383">
            <a:extLst>
              <a:ext uri="{FF2B5EF4-FFF2-40B4-BE49-F238E27FC236}">
                <a16:creationId xmlns:a16="http://schemas.microsoft.com/office/drawing/2014/main" id="{00000000-0008-0000-0000-000080010000}"/>
              </a:ext>
            </a:extLst>
          </xdr:cNvPr>
          <xdr:cNvGrpSpPr/>
        </xdr:nvGrpSpPr>
        <xdr:grpSpPr>
          <a:xfrm rot="5400000">
            <a:off x="3464783" y="10886092"/>
            <a:ext cx="85452" cy="99985"/>
            <a:chOff x="2541814" y="647700"/>
            <a:chExt cx="326572" cy="326572"/>
          </a:xfrm>
        </xdr:grpSpPr>
        <xdr:sp macro="" textlink="">
          <xdr:nvSpPr>
            <xdr:cNvPr id="385" name="Arc 384">
              <a:extLst>
                <a:ext uri="{FF2B5EF4-FFF2-40B4-BE49-F238E27FC236}">
                  <a16:creationId xmlns:a16="http://schemas.microsoft.com/office/drawing/2014/main" id="{00000000-0008-0000-0000-000081010000}"/>
                </a:ext>
              </a:extLst>
            </xdr:cNvPr>
            <xdr:cNvSpPr/>
          </xdr:nvSpPr>
          <xdr:spPr>
            <a:xfrm>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sp macro="" textlink="">
          <xdr:nvSpPr>
            <xdr:cNvPr id="386" name="Arc 385">
              <a:extLst>
                <a:ext uri="{FF2B5EF4-FFF2-40B4-BE49-F238E27FC236}">
                  <a16:creationId xmlns:a16="http://schemas.microsoft.com/office/drawing/2014/main" id="{00000000-0008-0000-0000-000082010000}"/>
                </a:ext>
              </a:extLst>
            </xdr:cNvPr>
            <xdr:cNvSpPr/>
          </xdr:nvSpPr>
          <xdr:spPr>
            <a:xfrm flipV="1">
              <a:off x="2541814" y="647700"/>
              <a:ext cx="326572" cy="326572"/>
            </a:xfrm>
            <a:prstGeom prst="arc">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0</xdr:row>
      <xdr:rowOff>59219</xdr:rowOff>
    </xdr:from>
    <xdr:to>
      <xdr:col>1</xdr:col>
      <xdr:colOff>575538</xdr:colOff>
      <xdr:row>0</xdr:row>
      <xdr:rowOff>523875</xdr:rowOff>
    </xdr:to>
    <xdr:pic>
      <xdr:nvPicPr>
        <xdr:cNvPr id="2" name="Picture 1">
          <a:extLst>
            <a:ext uri="{FF2B5EF4-FFF2-40B4-BE49-F238E27FC236}">
              <a16:creationId xmlns:a16="http://schemas.microsoft.com/office/drawing/2014/main" id="{9FB548CE-1A05-4F55-AC12-793BAD58E5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59219"/>
          <a:ext cx="1299438" cy="464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DNS/Desktop/ThongKeThepVersion%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nhDang"/>
      <sheetName val="ThongSo"/>
      <sheetName val="TKT"/>
      <sheetName val="TH Thep"/>
      <sheetName val="SoLieuCatThep"/>
      <sheetName val="SLThepDu"/>
      <sheetName val="10"/>
      <sheetName val="12"/>
      <sheetName val="14"/>
      <sheetName val="16"/>
      <sheetName val="18"/>
      <sheetName val="20"/>
      <sheetName val="22"/>
      <sheetName val="25"/>
      <sheetName val="28"/>
      <sheetName val="32"/>
      <sheetName val="DuSauCat"/>
      <sheetName val="SoDoCat"/>
      <sheetName val="SoDoCatRutGon"/>
      <sheetName val="btkt"/>
    </sheetNames>
    <sheetDataSet>
      <sheetData sheetId="0"/>
      <sheetData sheetId="1">
        <row r="1">
          <cell r="B1">
            <v>40</v>
          </cell>
        </row>
        <row r="2">
          <cell r="B2">
            <v>2</v>
          </cell>
        </row>
      </sheetData>
      <sheetData sheetId="2"/>
      <sheetData sheetId="3"/>
      <sheetData sheetId="4">
        <row r="2">
          <cell r="D2">
            <v>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63"/>
  <sheetViews>
    <sheetView showGridLines="0" zoomScale="98" zoomScaleNormal="98" workbookViewId="0">
      <pane ySplit="1" topLeftCell="A2" activePane="bottomLeft" state="frozen"/>
      <selection pane="bottomLeft" activeCell="J4" sqref="J4"/>
    </sheetView>
  </sheetViews>
  <sheetFormatPr defaultRowHeight="15" x14ac:dyDescent="0.25"/>
  <cols>
    <col min="4" max="4" width="5.42578125" customWidth="1"/>
    <col min="5" max="5" width="5.42578125" style="52" customWidth="1"/>
    <col min="6" max="6" width="9.42578125" style="52" customWidth="1"/>
    <col min="7" max="8" width="5.42578125" style="52" customWidth="1"/>
    <col min="9" max="9" width="9" style="3"/>
    <col min="10" max="10" width="11.28515625" style="3" customWidth="1"/>
    <col min="11" max="11" width="9" style="3"/>
    <col min="12" max="12" width="10.42578125" customWidth="1"/>
    <col min="13" max="13" width="12.28515625" style="14" customWidth="1"/>
    <col min="14" max="14" width="12.28515625" style="9" customWidth="1"/>
    <col min="15" max="15" width="10.42578125" style="9" customWidth="1"/>
    <col min="16" max="16" width="10.42578125" customWidth="1"/>
    <col min="17" max="17" width="12.42578125" customWidth="1"/>
  </cols>
  <sheetData>
    <row r="1" spans="1:17" s="1" customFormat="1" ht="45" customHeight="1" x14ac:dyDescent="0.25">
      <c r="A1" s="56" t="s">
        <v>7</v>
      </c>
      <c r="B1" s="4" t="s">
        <v>1</v>
      </c>
      <c r="C1" s="5" t="s">
        <v>0</v>
      </c>
      <c r="D1" s="161" t="s">
        <v>56</v>
      </c>
      <c r="E1" s="161"/>
      <c r="F1" s="161"/>
      <c r="G1" s="161"/>
      <c r="H1" s="161"/>
      <c r="I1" s="4" t="s">
        <v>2</v>
      </c>
      <c r="J1" s="4" t="s">
        <v>3</v>
      </c>
      <c r="K1" s="4" t="s">
        <v>4</v>
      </c>
      <c r="L1" s="4" t="s">
        <v>5</v>
      </c>
      <c r="M1" s="13" t="s">
        <v>14</v>
      </c>
      <c r="N1" s="8" t="s">
        <v>11</v>
      </c>
      <c r="O1" s="8" t="s">
        <v>6</v>
      </c>
      <c r="P1" s="4" t="s">
        <v>12</v>
      </c>
      <c r="Q1" s="54" t="s">
        <v>13</v>
      </c>
    </row>
    <row r="2" spans="1:17" ht="39.950000000000003" customHeight="1" x14ac:dyDescent="0.25">
      <c r="A2" s="10"/>
      <c r="B2" s="10"/>
      <c r="C2" s="10"/>
      <c r="D2" s="7"/>
      <c r="E2" s="58"/>
      <c r="F2" s="58" t="s">
        <v>57</v>
      </c>
      <c r="G2" s="58"/>
      <c r="H2" s="59"/>
      <c r="I2" s="10"/>
      <c r="J2" s="10"/>
      <c r="K2" s="10"/>
      <c r="L2" s="6">
        <f>K2*J2</f>
        <v>0</v>
      </c>
      <c r="M2" s="31" t="e">
        <f>CD(D2,E2,F2,G2,H2,0,0,1,0,0,I2,0,0)</f>
        <v>#VALUE!</v>
      </c>
      <c r="N2" s="11" t="e">
        <f>M2*L2/1000</f>
        <v>#VALUE!</v>
      </c>
      <c r="O2" s="11">
        <f>PI()*(I2/1000)^2/4*7850</f>
        <v>0</v>
      </c>
      <c r="P2" s="12" t="e">
        <f>O2*N2</f>
        <v>#VALUE!</v>
      </c>
      <c r="Q2" s="51" t="e">
        <f>M2</f>
        <v>#VALUE!</v>
      </c>
    </row>
    <row r="3" spans="1:17" ht="39.950000000000003" customHeight="1" x14ac:dyDescent="0.25">
      <c r="A3" s="10"/>
      <c r="B3" s="10"/>
      <c r="C3" s="10"/>
      <c r="D3" s="7" t="s">
        <v>58</v>
      </c>
      <c r="E3" s="58"/>
      <c r="F3" s="58" t="s">
        <v>57</v>
      </c>
      <c r="G3" s="58"/>
      <c r="H3" s="59"/>
      <c r="I3" s="10"/>
      <c r="J3" s="10"/>
      <c r="K3" s="10"/>
      <c r="L3" s="6">
        <f t="shared" ref="L3:L23" si="0">K3*J3</f>
        <v>0</v>
      </c>
      <c r="M3" s="31" t="e">
        <f>CD(D3,E3,F3,G3,H3,2,0,1,0,0,I3,2,0)</f>
        <v>#VALUE!</v>
      </c>
      <c r="N3" s="11" t="e">
        <f t="shared" ref="N3:N23" si="1">M3*L3/1000</f>
        <v>#VALUE!</v>
      </c>
      <c r="O3" s="11">
        <f t="shared" ref="O3:O15" si="2">PI()*(I3/1000)^2/4*7850</f>
        <v>0</v>
      </c>
      <c r="P3" s="12" t="e">
        <f t="shared" ref="P3:P15" si="3">O3*N3</f>
        <v>#VALUE!</v>
      </c>
      <c r="Q3" s="51" t="e">
        <f t="shared" ref="Q3:Q23" si="4">M3</f>
        <v>#VALUE!</v>
      </c>
    </row>
    <row r="4" spans="1:17" ht="39.950000000000003" customHeight="1" x14ac:dyDescent="0.25">
      <c r="A4" s="10"/>
      <c r="B4" s="10"/>
      <c r="C4" s="10"/>
      <c r="D4" s="7" t="s">
        <v>58</v>
      </c>
      <c r="E4" s="58"/>
      <c r="F4" s="58" t="s">
        <v>57</v>
      </c>
      <c r="G4" s="58"/>
      <c r="H4" s="59"/>
      <c r="I4" s="10"/>
      <c r="J4" s="10"/>
      <c r="K4" s="10"/>
      <c r="L4" s="6">
        <f t="shared" si="0"/>
        <v>0</v>
      </c>
      <c r="M4" s="31" t="e">
        <f>CD(D4,E4,F4,G4,H4,1,0,1,0,0,I4,1,0)</f>
        <v>#VALUE!</v>
      </c>
      <c r="N4" s="11" t="e">
        <f t="shared" si="1"/>
        <v>#VALUE!</v>
      </c>
      <c r="O4" s="11">
        <f t="shared" si="2"/>
        <v>0</v>
      </c>
      <c r="P4" s="12" t="e">
        <f t="shared" si="3"/>
        <v>#VALUE!</v>
      </c>
      <c r="Q4" s="51" t="e">
        <f t="shared" si="4"/>
        <v>#VALUE!</v>
      </c>
    </row>
    <row r="5" spans="1:17" ht="39.950000000000003" customHeight="1" x14ac:dyDescent="0.25">
      <c r="A5" s="10"/>
      <c r="B5" s="10"/>
      <c r="C5" s="10"/>
      <c r="D5" s="7" t="s">
        <v>58</v>
      </c>
      <c r="E5" s="58"/>
      <c r="F5" s="58" t="s">
        <v>57</v>
      </c>
      <c r="G5" s="58"/>
      <c r="H5" s="59"/>
      <c r="I5" s="10"/>
      <c r="J5" s="10"/>
      <c r="K5" s="10"/>
      <c r="L5" s="6">
        <f t="shared" si="0"/>
        <v>0</v>
      </c>
      <c r="M5" s="31" t="e">
        <f>CD(D5,E5,F5,G5,H5,2,0,1,0,0,I5,2,0)</f>
        <v>#VALUE!</v>
      </c>
      <c r="N5" s="11" t="e">
        <f t="shared" si="1"/>
        <v>#VALUE!</v>
      </c>
      <c r="O5" s="11">
        <f t="shared" si="2"/>
        <v>0</v>
      </c>
      <c r="P5" s="12" t="e">
        <f t="shared" si="3"/>
        <v>#VALUE!</v>
      </c>
      <c r="Q5" s="51" t="e">
        <f t="shared" si="4"/>
        <v>#VALUE!</v>
      </c>
    </row>
    <row r="6" spans="1:17" ht="39.950000000000003" customHeight="1" x14ac:dyDescent="0.25">
      <c r="A6" s="10"/>
      <c r="B6" s="10"/>
      <c r="C6" s="10"/>
      <c r="D6" s="7" t="s">
        <v>58</v>
      </c>
      <c r="E6" s="58"/>
      <c r="F6" s="58" t="s">
        <v>57</v>
      </c>
      <c r="G6" s="62" t="s">
        <v>59</v>
      </c>
      <c r="H6" s="63"/>
      <c r="I6" s="10"/>
      <c r="J6" s="10"/>
      <c r="K6" s="10"/>
      <c r="L6" s="6">
        <f t="shared" si="0"/>
        <v>0</v>
      </c>
      <c r="M6" s="31" t="e">
        <f>CD(D6,E6,F6,G6,H6,2,0,2,2,0,I6,4,0)</f>
        <v>#VALUE!</v>
      </c>
      <c r="N6" s="11" t="e">
        <f t="shared" si="1"/>
        <v>#VALUE!</v>
      </c>
      <c r="O6" s="11">
        <f t="shared" si="2"/>
        <v>0</v>
      </c>
      <c r="P6" s="12" t="e">
        <f t="shared" si="3"/>
        <v>#VALUE!</v>
      </c>
      <c r="Q6" s="51" t="e">
        <f t="shared" si="4"/>
        <v>#VALUE!</v>
      </c>
    </row>
    <row r="7" spans="1:17" ht="39.950000000000003" customHeight="1" x14ac:dyDescent="0.25">
      <c r="A7" s="10"/>
      <c r="B7" s="10"/>
      <c r="C7" s="10"/>
      <c r="D7" s="7"/>
      <c r="E7" s="64" t="s">
        <v>58</v>
      </c>
      <c r="F7" s="58" t="s">
        <v>57</v>
      </c>
      <c r="G7" s="58"/>
      <c r="H7" s="59" t="s">
        <v>59</v>
      </c>
      <c r="I7" s="10"/>
      <c r="J7" s="10"/>
      <c r="K7" s="10"/>
      <c r="L7" s="6">
        <f t="shared" si="0"/>
        <v>0</v>
      </c>
      <c r="M7" s="31" t="e">
        <f>CD(D7,E7,F7,G7,H7,0,2,1,0,2,I7,4,0)</f>
        <v>#VALUE!</v>
      </c>
      <c r="N7" s="11" t="e">
        <f t="shared" si="1"/>
        <v>#VALUE!</v>
      </c>
      <c r="O7" s="11">
        <f t="shared" si="2"/>
        <v>0</v>
      </c>
      <c r="P7" s="12" t="e">
        <f t="shared" si="3"/>
        <v>#VALUE!</v>
      </c>
      <c r="Q7" s="51" t="e">
        <f t="shared" si="4"/>
        <v>#VALUE!</v>
      </c>
    </row>
    <row r="8" spans="1:17" ht="39.950000000000003" customHeight="1" x14ac:dyDescent="0.25">
      <c r="A8" s="10"/>
      <c r="B8" s="10"/>
      <c r="C8" s="10"/>
      <c r="D8" s="7" t="s">
        <v>58</v>
      </c>
      <c r="E8" s="58"/>
      <c r="F8" s="58" t="s">
        <v>57</v>
      </c>
      <c r="G8" s="62"/>
      <c r="H8" s="63" t="s">
        <v>59</v>
      </c>
      <c r="I8" s="10"/>
      <c r="J8" s="10"/>
      <c r="K8" s="10"/>
      <c r="L8" s="6">
        <f t="shared" si="0"/>
        <v>0</v>
      </c>
      <c r="M8" s="31" t="e">
        <f>CD(D8,E8,F8,G8,H8,1,0,2,0,2,I8,2,0)</f>
        <v>#VALUE!</v>
      </c>
      <c r="N8" s="11" t="e">
        <f t="shared" si="1"/>
        <v>#VALUE!</v>
      </c>
      <c r="O8" s="11">
        <f t="shared" si="2"/>
        <v>0</v>
      </c>
      <c r="P8" s="12" t="e">
        <f t="shared" si="3"/>
        <v>#VALUE!</v>
      </c>
      <c r="Q8" s="51" t="e">
        <f t="shared" si="4"/>
        <v>#VALUE!</v>
      </c>
    </row>
    <row r="9" spans="1:17" ht="39.950000000000003" customHeight="1" x14ac:dyDescent="0.25">
      <c r="A9" s="10"/>
      <c r="B9" s="10"/>
      <c r="C9" s="10"/>
      <c r="D9" s="7"/>
      <c r="E9" s="58" t="s">
        <v>58</v>
      </c>
      <c r="F9" s="60" t="s">
        <v>57</v>
      </c>
      <c r="G9" s="58" t="s">
        <v>59</v>
      </c>
      <c r="H9" s="59"/>
      <c r="I9" s="10"/>
      <c r="J9" s="10"/>
      <c r="K9" s="10"/>
      <c r="L9" s="6">
        <f t="shared" si="0"/>
        <v>0</v>
      </c>
      <c r="M9" s="31" t="e">
        <f>CD(D9,E9,F9,G9,H9,0,1,1,1,0,I9,2,0)</f>
        <v>#VALUE!</v>
      </c>
      <c r="N9" s="11" t="e">
        <f t="shared" si="1"/>
        <v>#VALUE!</v>
      </c>
      <c r="O9" s="11">
        <f t="shared" si="2"/>
        <v>0</v>
      </c>
      <c r="P9" s="12" t="e">
        <f t="shared" si="3"/>
        <v>#VALUE!</v>
      </c>
      <c r="Q9" s="51" t="e">
        <f t="shared" si="4"/>
        <v>#VALUE!</v>
      </c>
    </row>
    <row r="10" spans="1:17" ht="39.950000000000003" customHeight="1" x14ac:dyDescent="0.25">
      <c r="A10" s="10"/>
      <c r="B10" s="10"/>
      <c r="C10" s="10"/>
      <c r="D10" s="7" t="s">
        <v>58</v>
      </c>
      <c r="E10" s="58"/>
      <c r="F10" s="60" t="s">
        <v>57</v>
      </c>
      <c r="G10" s="61" t="s">
        <v>59</v>
      </c>
      <c r="H10" s="59"/>
      <c r="I10" s="10"/>
      <c r="J10" s="10"/>
      <c r="K10" s="10"/>
      <c r="L10" s="6">
        <f t="shared" si="0"/>
        <v>0</v>
      </c>
      <c r="M10" s="31" t="e">
        <f>CD(D10,E10,F10,G10,H10,1,0,1,1,0,I10,2,0)</f>
        <v>#VALUE!</v>
      </c>
      <c r="N10" s="11" t="e">
        <f t="shared" si="1"/>
        <v>#VALUE!</v>
      </c>
      <c r="O10" s="11">
        <f t="shared" si="2"/>
        <v>0</v>
      </c>
      <c r="P10" s="12" t="e">
        <f t="shared" si="3"/>
        <v>#VALUE!</v>
      </c>
      <c r="Q10" s="51" t="e">
        <f t="shared" si="4"/>
        <v>#VALUE!</v>
      </c>
    </row>
    <row r="11" spans="1:17" ht="39.950000000000003" customHeight="1" x14ac:dyDescent="0.25">
      <c r="A11" s="10"/>
      <c r="B11" s="10"/>
      <c r="C11" s="10"/>
      <c r="D11" s="7" t="s">
        <v>58</v>
      </c>
      <c r="E11" s="58"/>
      <c r="F11" s="60" t="s">
        <v>57</v>
      </c>
      <c r="G11" s="58" t="s">
        <v>59</v>
      </c>
      <c r="H11" s="59"/>
      <c r="I11" s="10"/>
      <c r="J11" s="10"/>
      <c r="K11" s="10"/>
      <c r="L11" s="6">
        <f t="shared" si="0"/>
        <v>0</v>
      </c>
      <c r="M11" s="31" t="e">
        <f>CD(D11,E11,F11,G11,H11,1,0,1,1,0,I11,2,0)</f>
        <v>#VALUE!</v>
      </c>
      <c r="N11" s="11" t="e">
        <f t="shared" si="1"/>
        <v>#VALUE!</v>
      </c>
      <c r="O11" s="11">
        <f t="shared" si="2"/>
        <v>0</v>
      </c>
      <c r="P11" s="12" t="e">
        <f t="shared" si="3"/>
        <v>#VALUE!</v>
      </c>
      <c r="Q11" s="51" t="e">
        <f t="shared" si="4"/>
        <v>#VALUE!</v>
      </c>
    </row>
    <row r="12" spans="1:17" ht="39.950000000000003" customHeight="1" x14ac:dyDescent="0.25">
      <c r="A12" s="10"/>
      <c r="B12" s="10"/>
      <c r="C12" s="10"/>
      <c r="D12" s="71" t="s">
        <v>58</v>
      </c>
      <c r="E12" s="58" t="s">
        <v>57</v>
      </c>
      <c r="F12" s="60" t="s">
        <v>59</v>
      </c>
      <c r="G12" s="58"/>
      <c r="H12" s="70" t="s">
        <v>60</v>
      </c>
      <c r="I12" s="10"/>
      <c r="J12" s="10"/>
      <c r="K12" s="10"/>
      <c r="L12" s="6">
        <f t="shared" si="0"/>
        <v>0</v>
      </c>
      <c r="M12" s="31" t="e">
        <f>CD(D12,E12,F12,G12,H12,1,1,1,0,1,I12,2,0)</f>
        <v>#VALUE!</v>
      </c>
      <c r="N12" s="11" t="e">
        <f t="shared" si="1"/>
        <v>#VALUE!</v>
      </c>
      <c r="O12" s="11">
        <f t="shared" si="2"/>
        <v>0</v>
      </c>
      <c r="P12" s="12" t="e">
        <f t="shared" si="3"/>
        <v>#VALUE!</v>
      </c>
      <c r="Q12" s="51" t="e">
        <f t="shared" si="4"/>
        <v>#VALUE!</v>
      </c>
    </row>
    <row r="13" spans="1:17" ht="39.950000000000003" customHeight="1" x14ac:dyDescent="0.25">
      <c r="A13" s="10"/>
      <c r="B13" s="10"/>
      <c r="C13" s="10"/>
      <c r="D13" s="7"/>
      <c r="E13" s="58"/>
      <c r="F13" s="58" t="s">
        <v>57</v>
      </c>
      <c r="G13" s="62"/>
      <c r="H13" s="63" t="s">
        <v>58</v>
      </c>
      <c r="I13" s="10"/>
      <c r="J13" s="10"/>
      <c r="K13" s="10"/>
      <c r="L13" s="6">
        <f t="shared" si="0"/>
        <v>0</v>
      </c>
      <c r="M13" s="31" t="e">
        <f>CD(F13,D13,E13,G13,H13,1,0,0,0,1,I13,0,1)</f>
        <v>#VALUE!</v>
      </c>
      <c r="N13" s="11" t="e">
        <f t="shared" si="1"/>
        <v>#VALUE!</v>
      </c>
      <c r="O13" s="11">
        <f t="shared" si="2"/>
        <v>0</v>
      </c>
      <c r="P13" s="12" t="e">
        <f t="shared" si="3"/>
        <v>#VALUE!</v>
      </c>
      <c r="Q13" s="51" t="e">
        <f t="shared" si="4"/>
        <v>#VALUE!</v>
      </c>
    </row>
    <row r="14" spans="1:17" ht="39.950000000000003" customHeight="1" x14ac:dyDescent="0.25">
      <c r="A14" s="10"/>
      <c r="B14" s="10"/>
      <c r="C14" s="10"/>
      <c r="D14" s="7" t="s">
        <v>58</v>
      </c>
      <c r="E14" s="58"/>
      <c r="F14" s="60" t="s">
        <v>57</v>
      </c>
      <c r="G14" s="58"/>
      <c r="H14" s="59"/>
      <c r="I14" s="10"/>
      <c r="J14" s="10"/>
      <c r="K14" s="10"/>
      <c r="L14" s="6">
        <f t="shared" si="0"/>
        <v>0</v>
      </c>
      <c r="M14" s="31" t="e">
        <f>CD(D14,E14,F14,G14,H14,2,0,1,0,0,I14,2,0)</f>
        <v>#VALUE!</v>
      </c>
      <c r="N14" s="11" t="e">
        <f t="shared" si="1"/>
        <v>#VALUE!</v>
      </c>
      <c r="O14" s="11">
        <f t="shared" si="2"/>
        <v>0</v>
      </c>
      <c r="P14" s="12" t="e">
        <f t="shared" si="3"/>
        <v>#VALUE!</v>
      </c>
      <c r="Q14" s="51" t="e">
        <f t="shared" si="4"/>
        <v>#VALUE!</v>
      </c>
    </row>
    <row r="15" spans="1:17" ht="39.950000000000003" customHeight="1" x14ac:dyDescent="0.25">
      <c r="A15" s="10"/>
      <c r="B15" s="10"/>
      <c r="C15" s="10"/>
      <c r="D15" s="7" t="s">
        <v>58</v>
      </c>
      <c r="E15" s="58"/>
      <c r="F15" s="60" t="s">
        <v>57</v>
      </c>
      <c r="G15" s="58"/>
      <c r="H15" s="59"/>
      <c r="I15" s="10"/>
      <c r="J15" s="10"/>
      <c r="K15" s="10"/>
      <c r="L15" s="6">
        <f t="shared" si="0"/>
        <v>0</v>
      </c>
      <c r="M15" s="31" t="e">
        <f>CD(D15,E15,F15,G15,H15,2,0,1,0,0,I15,0,0)</f>
        <v>#VALUE!</v>
      </c>
      <c r="N15" s="11" t="e">
        <f t="shared" si="1"/>
        <v>#VALUE!</v>
      </c>
      <c r="O15" s="11">
        <f t="shared" si="2"/>
        <v>0</v>
      </c>
      <c r="P15" s="12" t="e">
        <f t="shared" si="3"/>
        <v>#VALUE!</v>
      </c>
      <c r="Q15" s="51" t="e">
        <f t="shared" si="4"/>
        <v>#VALUE!</v>
      </c>
    </row>
    <row r="16" spans="1:17" ht="39.950000000000003" customHeight="1" x14ac:dyDescent="0.25">
      <c r="A16" s="10"/>
      <c r="B16" s="10"/>
      <c r="C16" s="10"/>
      <c r="D16" s="7"/>
      <c r="E16" s="68" t="s">
        <v>58</v>
      </c>
      <c r="F16" s="61" t="s">
        <v>57</v>
      </c>
      <c r="G16" s="67" t="s">
        <v>59</v>
      </c>
      <c r="H16" s="66"/>
      <c r="I16" s="10"/>
      <c r="J16" s="10"/>
      <c r="K16" s="10"/>
      <c r="L16" s="6">
        <f t="shared" si="0"/>
        <v>0</v>
      </c>
      <c r="M16" s="31" t="e">
        <f>CD(D16,E16,F16,G16,H16,0,2,1,2,0,I16,4,0)</f>
        <v>#VALUE!</v>
      </c>
      <c r="N16" s="11" t="e">
        <f t="shared" si="1"/>
        <v>#VALUE!</v>
      </c>
      <c r="O16" s="11">
        <f t="shared" ref="O16:O23" si="5">PI()*(I16/1000)^2/4*7850</f>
        <v>0</v>
      </c>
      <c r="P16" s="12" t="e">
        <f t="shared" ref="P16:P23" si="6">O16*N16</f>
        <v>#VALUE!</v>
      </c>
      <c r="Q16" s="51" t="e">
        <f t="shared" si="4"/>
        <v>#VALUE!</v>
      </c>
    </row>
    <row r="17" spans="1:17" ht="39.950000000000003" customHeight="1" x14ac:dyDescent="0.25">
      <c r="A17" s="10"/>
      <c r="B17" s="10"/>
      <c r="C17" s="10"/>
      <c r="D17" s="7" t="s">
        <v>58</v>
      </c>
      <c r="E17" s="58"/>
      <c r="F17" s="61" t="s">
        <v>57</v>
      </c>
      <c r="G17" s="58"/>
      <c r="H17" s="59"/>
      <c r="I17" s="10"/>
      <c r="J17" s="10"/>
      <c r="K17" s="10"/>
      <c r="L17" s="6">
        <f t="shared" si="0"/>
        <v>0</v>
      </c>
      <c r="M17" s="31" t="e">
        <f>CD(D17,E17,F17,G17,H17,1,0,1,0,0,I17,1,0)</f>
        <v>#VALUE!</v>
      </c>
      <c r="N17" s="11" t="e">
        <f t="shared" si="1"/>
        <v>#VALUE!</v>
      </c>
      <c r="O17" s="11">
        <f t="shared" si="5"/>
        <v>0</v>
      </c>
      <c r="P17" s="12" t="e">
        <f t="shared" si="6"/>
        <v>#VALUE!</v>
      </c>
      <c r="Q17" s="51" t="e">
        <f t="shared" si="4"/>
        <v>#VALUE!</v>
      </c>
    </row>
    <row r="18" spans="1:17" ht="39.950000000000003" customHeight="1" x14ac:dyDescent="0.25">
      <c r="A18" s="10"/>
      <c r="B18" s="10"/>
      <c r="C18" s="10"/>
      <c r="D18" s="7" t="s">
        <v>58</v>
      </c>
      <c r="E18" s="58"/>
      <c r="F18" s="58" t="s">
        <v>57</v>
      </c>
      <c r="G18" s="58"/>
      <c r="H18" s="59"/>
      <c r="I18" s="10"/>
      <c r="J18" s="10"/>
      <c r="K18" s="10"/>
      <c r="L18" s="6">
        <f t="shared" si="0"/>
        <v>0</v>
      </c>
      <c r="M18" s="31" t="e">
        <f>CD(D18,E18,F18,G18,H18,2,0,1,0,0,I18,2,0)</f>
        <v>#VALUE!</v>
      </c>
      <c r="N18" s="11" t="e">
        <f t="shared" si="1"/>
        <v>#VALUE!</v>
      </c>
      <c r="O18" s="11">
        <f t="shared" si="5"/>
        <v>0</v>
      </c>
      <c r="P18" s="12" t="e">
        <f t="shared" si="6"/>
        <v>#VALUE!</v>
      </c>
      <c r="Q18" s="51" t="e">
        <f t="shared" si="4"/>
        <v>#VALUE!</v>
      </c>
    </row>
    <row r="19" spans="1:17" ht="39.950000000000003" customHeight="1" x14ac:dyDescent="0.25">
      <c r="A19" s="10"/>
      <c r="B19" s="10"/>
      <c r="C19" s="10"/>
      <c r="D19" s="69" t="s">
        <v>60</v>
      </c>
      <c r="E19" s="58" t="s">
        <v>57</v>
      </c>
      <c r="F19" s="60" t="s">
        <v>58</v>
      </c>
      <c r="G19" s="61" t="s">
        <v>59</v>
      </c>
      <c r="H19" s="63" t="s">
        <v>60</v>
      </c>
      <c r="I19" s="10"/>
      <c r="J19" s="10"/>
      <c r="K19" s="10"/>
      <c r="L19" s="6">
        <f t="shared" si="0"/>
        <v>0</v>
      </c>
      <c r="M19" s="31" t="e">
        <f>CD(D19,E19,F19,G19,H19,2,1,1,1,0,I19,4,0)</f>
        <v>#VALUE!</v>
      </c>
      <c r="N19" s="11" t="e">
        <f t="shared" si="1"/>
        <v>#VALUE!</v>
      </c>
      <c r="O19" s="11">
        <f t="shared" si="5"/>
        <v>0</v>
      </c>
      <c r="P19" s="12" t="e">
        <f t="shared" si="6"/>
        <v>#VALUE!</v>
      </c>
      <c r="Q19" s="51" t="e">
        <f t="shared" si="4"/>
        <v>#VALUE!</v>
      </c>
    </row>
    <row r="20" spans="1:17" ht="39.950000000000003" customHeight="1" x14ac:dyDescent="0.25">
      <c r="A20" s="10"/>
      <c r="B20" s="10"/>
      <c r="C20" s="10"/>
      <c r="D20" s="7" t="s">
        <v>58</v>
      </c>
      <c r="E20" s="58"/>
      <c r="F20" s="58" t="s">
        <v>57</v>
      </c>
      <c r="G20" s="62" t="s">
        <v>59</v>
      </c>
      <c r="H20" s="63"/>
      <c r="I20" s="10"/>
      <c r="J20" s="10"/>
      <c r="K20" s="10"/>
      <c r="L20" s="6">
        <f t="shared" si="0"/>
        <v>0</v>
      </c>
      <c r="M20" s="31" t="e">
        <f>CD(D20,E20,F20,G20,H20,1,0,2,2,0,I20,2,0)</f>
        <v>#VALUE!</v>
      </c>
      <c r="N20" s="11" t="e">
        <f t="shared" si="1"/>
        <v>#VALUE!</v>
      </c>
      <c r="O20" s="11">
        <f t="shared" si="5"/>
        <v>0</v>
      </c>
      <c r="P20" s="12" t="e">
        <f t="shared" si="6"/>
        <v>#VALUE!</v>
      </c>
      <c r="Q20" s="51" t="e">
        <f t="shared" si="4"/>
        <v>#VALUE!</v>
      </c>
    </row>
    <row r="21" spans="1:17" ht="39.950000000000003" customHeight="1" x14ac:dyDescent="0.25">
      <c r="A21" s="10"/>
      <c r="B21" s="10"/>
      <c r="C21" s="10"/>
      <c r="D21" s="7" t="s">
        <v>58</v>
      </c>
      <c r="E21" s="58"/>
      <c r="F21" s="58" t="s">
        <v>57</v>
      </c>
      <c r="G21" s="62"/>
      <c r="H21" s="63"/>
      <c r="I21" s="10"/>
      <c r="J21" s="10"/>
      <c r="K21" s="10"/>
      <c r="L21" s="6">
        <f t="shared" si="0"/>
        <v>0</v>
      </c>
      <c r="M21" s="31" t="e">
        <f>CD(D21,E21,F21,G21,H21,1,0,2,0,0,I21,2,0)</f>
        <v>#VALUE!</v>
      </c>
      <c r="N21" s="11" t="e">
        <f t="shared" si="1"/>
        <v>#VALUE!</v>
      </c>
      <c r="O21" s="11">
        <f t="shared" si="5"/>
        <v>0</v>
      </c>
      <c r="P21" s="12" t="e">
        <f t="shared" si="6"/>
        <v>#VALUE!</v>
      </c>
      <c r="Q21" s="51" t="e">
        <f t="shared" si="4"/>
        <v>#VALUE!</v>
      </c>
    </row>
    <row r="22" spans="1:17" ht="39.950000000000003" customHeight="1" x14ac:dyDescent="0.25">
      <c r="A22" s="10"/>
      <c r="B22" s="10"/>
      <c r="C22" s="10"/>
      <c r="D22" s="7"/>
      <c r="E22" s="58"/>
      <c r="F22" s="58" t="s">
        <v>57</v>
      </c>
      <c r="G22" s="72" t="s">
        <v>59</v>
      </c>
      <c r="H22" s="59" t="s">
        <v>58</v>
      </c>
      <c r="I22" s="10"/>
      <c r="J22" s="10"/>
      <c r="K22" s="10"/>
      <c r="L22" s="6">
        <f t="shared" si="0"/>
        <v>0</v>
      </c>
      <c r="M22" s="31" t="e">
        <f>CD(D22,E22,F22,G22,H22,0,0,1,1,2,I22,2,0)</f>
        <v>#VALUE!</v>
      </c>
      <c r="N22" s="11" t="e">
        <f t="shared" si="1"/>
        <v>#VALUE!</v>
      </c>
      <c r="O22" s="11">
        <f t="shared" si="5"/>
        <v>0</v>
      </c>
      <c r="P22" s="12" t="e">
        <f t="shared" si="6"/>
        <v>#VALUE!</v>
      </c>
      <c r="Q22" s="51" t="e">
        <f t="shared" si="4"/>
        <v>#VALUE!</v>
      </c>
    </row>
    <row r="23" spans="1:17" ht="39.950000000000003" customHeight="1" x14ac:dyDescent="0.25">
      <c r="A23" s="10"/>
      <c r="B23" s="10"/>
      <c r="C23" s="10"/>
      <c r="D23" s="73" t="s">
        <v>58</v>
      </c>
      <c r="E23" s="58"/>
      <c r="F23" s="58" t="s">
        <v>57</v>
      </c>
      <c r="G23" s="58"/>
      <c r="H23" s="65" t="s">
        <v>59</v>
      </c>
      <c r="I23" s="10"/>
      <c r="J23" s="10"/>
      <c r="K23" s="10"/>
      <c r="L23" s="6">
        <f t="shared" si="0"/>
        <v>0</v>
      </c>
      <c r="M23" s="31" t="e">
        <f>CD(D23,E23,F23,G23,H23,1,0,1,0,1,I23,2,0)</f>
        <v>#VALUE!</v>
      </c>
      <c r="N23" s="11" t="e">
        <f t="shared" si="1"/>
        <v>#VALUE!</v>
      </c>
      <c r="O23" s="11">
        <f t="shared" si="5"/>
        <v>0</v>
      </c>
      <c r="P23" s="12" t="e">
        <f t="shared" si="6"/>
        <v>#VALUE!</v>
      </c>
      <c r="Q23" s="51" t="e">
        <f t="shared" si="4"/>
        <v>#VALUE!</v>
      </c>
    </row>
    <row r="24" spans="1:17" ht="35.1" customHeight="1" x14ac:dyDescent="0.25">
      <c r="C24" s="2"/>
      <c r="D24" s="3"/>
      <c r="E24" s="3"/>
      <c r="F24" s="3"/>
      <c r="G24" s="3"/>
      <c r="H24" s="3"/>
    </row>
    <row r="25" spans="1:17" ht="35.1" customHeight="1" x14ac:dyDescent="0.25">
      <c r="C25" s="2"/>
      <c r="D25" s="3"/>
      <c r="E25" s="3"/>
      <c r="F25" s="3"/>
      <c r="G25" s="3"/>
      <c r="H25" s="3"/>
    </row>
    <row r="26" spans="1:17" ht="35.1" customHeight="1" x14ac:dyDescent="0.25">
      <c r="C26" s="2"/>
      <c r="D26" s="3"/>
      <c r="E26" s="3"/>
      <c r="F26" s="3"/>
      <c r="G26" s="3"/>
      <c r="H26" s="3"/>
    </row>
    <row r="27" spans="1:17" ht="35.1" customHeight="1" x14ac:dyDescent="0.25">
      <c r="C27" s="2"/>
      <c r="D27" s="3"/>
      <c r="E27" s="3"/>
      <c r="F27" s="3"/>
      <c r="G27" s="3"/>
      <c r="H27" s="3"/>
    </row>
    <row r="28" spans="1:17" ht="35.1" customHeight="1" x14ac:dyDescent="0.25">
      <c r="C28" s="2"/>
      <c r="D28" s="3"/>
      <c r="E28" s="3"/>
      <c r="F28" s="3"/>
      <c r="G28" s="3"/>
      <c r="H28" s="3"/>
    </row>
    <row r="29" spans="1:17" ht="35.1" customHeight="1" x14ac:dyDescent="0.25">
      <c r="C29" s="2"/>
      <c r="D29" s="3"/>
      <c r="E29" s="3"/>
      <c r="F29" s="3"/>
      <c r="G29" s="3"/>
      <c r="H29" s="3"/>
    </row>
    <row r="30" spans="1:17" ht="35.1" customHeight="1" x14ac:dyDescent="0.25">
      <c r="C30" s="2"/>
      <c r="D30" s="3"/>
      <c r="E30" s="3"/>
      <c r="F30" s="3"/>
      <c r="G30" s="3"/>
      <c r="H30" s="3"/>
    </row>
    <row r="31" spans="1:17" ht="35.1" customHeight="1" x14ac:dyDescent="0.25">
      <c r="C31" s="2"/>
      <c r="D31" s="3"/>
      <c r="E31" s="3"/>
      <c r="F31" s="3"/>
      <c r="G31" s="3"/>
      <c r="H31" s="3"/>
    </row>
    <row r="32" spans="1:17" ht="35.1" customHeight="1" x14ac:dyDescent="0.25">
      <c r="C32" s="2"/>
      <c r="D32" s="3"/>
      <c r="E32" s="3"/>
      <c r="F32" s="3"/>
      <c r="G32" s="3"/>
      <c r="H32" s="3"/>
    </row>
    <row r="33" spans="3:8" ht="35.1" customHeight="1" x14ac:dyDescent="0.25">
      <c r="C33" s="2"/>
      <c r="D33" s="3"/>
      <c r="E33" s="3"/>
      <c r="F33" s="3"/>
      <c r="G33" s="3"/>
      <c r="H33" s="3"/>
    </row>
    <row r="34" spans="3:8" ht="35.1" customHeight="1" x14ac:dyDescent="0.25">
      <c r="C34" s="2"/>
      <c r="D34" s="3"/>
      <c r="E34" s="3"/>
      <c r="F34" s="3"/>
      <c r="G34" s="3"/>
      <c r="H34" s="3"/>
    </row>
    <row r="35" spans="3:8" ht="35.1" customHeight="1" x14ac:dyDescent="0.25">
      <c r="C35" s="2"/>
      <c r="D35" s="3"/>
      <c r="E35" s="3"/>
      <c r="F35" s="3"/>
      <c r="G35" s="3"/>
      <c r="H35" s="3"/>
    </row>
    <row r="36" spans="3:8" ht="35.1" customHeight="1" x14ac:dyDescent="0.25">
      <c r="C36" s="2"/>
      <c r="D36" s="3"/>
      <c r="E36" s="3"/>
      <c r="F36" s="3"/>
      <c r="G36" s="3"/>
      <c r="H36" s="3"/>
    </row>
    <row r="37" spans="3:8" ht="35.1" customHeight="1" x14ac:dyDescent="0.25">
      <c r="C37" s="2"/>
      <c r="D37" s="3"/>
      <c r="E37" s="3"/>
      <c r="F37" s="3"/>
      <c r="G37" s="3"/>
      <c r="H37" s="3"/>
    </row>
    <row r="38" spans="3:8" ht="35.1" customHeight="1" x14ac:dyDescent="0.25">
      <c r="C38" s="2"/>
      <c r="D38" s="3"/>
      <c r="E38" s="3"/>
      <c r="F38" s="3"/>
      <c r="G38" s="3"/>
      <c r="H38" s="3"/>
    </row>
    <row r="39" spans="3:8" ht="35.1" customHeight="1" x14ac:dyDescent="0.25">
      <c r="C39" s="2"/>
      <c r="D39" s="3"/>
      <c r="E39" s="3"/>
      <c r="F39" s="3"/>
      <c r="G39" s="3"/>
      <c r="H39" s="3"/>
    </row>
    <row r="40" spans="3:8" ht="35.1" customHeight="1" x14ac:dyDescent="0.25">
      <c r="C40" s="2"/>
      <c r="D40" s="3"/>
      <c r="E40" s="3"/>
      <c r="F40" s="3"/>
      <c r="G40" s="3"/>
      <c r="H40" s="3"/>
    </row>
    <row r="41" spans="3:8" ht="35.1" customHeight="1" x14ac:dyDescent="0.25">
      <c r="C41" s="2"/>
      <c r="D41" s="3"/>
      <c r="E41" s="3"/>
      <c r="F41" s="3"/>
      <c r="G41" s="3"/>
      <c r="H41" s="3"/>
    </row>
    <row r="42" spans="3:8" ht="35.1" customHeight="1" x14ac:dyDescent="0.25">
      <c r="C42" s="2"/>
      <c r="D42" s="3"/>
      <c r="E42" s="3"/>
      <c r="F42" s="3"/>
      <c r="G42" s="3"/>
      <c r="H42" s="3"/>
    </row>
    <row r="43" spans="3:8" ht="35.1" customHeight="1" x14ac:dyDescent="0.25">
      <c r="C43" s="2"/>
      <c r="D43" s="3"/>
      <c r="E43" s="3"/>
      <c r="F43" s="3"/>
      <c r="G43" s="3"/>
      <c r="H43" s="3"/>
    </row>
    <row r="44" spans="3:8" ht="35.1" customHeight="1" x14ac:dyDescent="0.25">
      <c r="C44" s="2"/>
      <c r="D44" s="3"/>
      <c r="E44" s="3"/>
      <c r="F44" s="3"/>
      <c r="G44" s="3"/>
      <c r="H44" s="3"/>
    </row>
    <row r="45" spans="3:8" ht="35.1" customHeight="1" x14ac:dyDescent="0.25">
      <c r="C45" s="2"/>
      <c r="D45" s="3"/>
      <c r="E45" s="3"/>
      <c r="F45" s="3"/>
      <c r="G45" s="3"/>
      <c r="H45" s="3"/>
    </row>
    <row r="46" spans="3:8" ht="35.1" customHeight="1" x14ac:dyDescent="0.25">
      <c r="C46" s="2"/>
      <c r="D46" s="3"/>
      <c r="E46" s="3"/>
      <c r="F46" s="3"/>
      <c r="G46" s="3"/>
      <c r="H46" s="3"/>
    </row>
    <row r="47" spans="3:8" ht="35.1" customHeight="1" x14ac:dyDescent="0.25">
      <c r="C47" s="2"/>
      <c r="D47" s="3"/>
      <c r="E47" s="3"/>
      <c r="F47" s="3"/>
      <c r="G47" s="3"/>
      <c r="H47" s="3"/>
    </row>
    <row r="48" spans="3:8" ht="35.1" customHeight="1" x14ac:dyDescent="0.25">
      <c r="C48" s="2"/>
      <c r="D48" s="3"/>
      <c r="E48" s="3"/>
      <c r="F48" s="3"/>
      <c r="G48" s="3"/>
      <c r="H48" s="3"/>
    </row>
    <row r="49" spans="3:8" ht="35.1" customHeight="1" x14ac:dyDescent="0.25">
      <c r="C49" s="2"/>
      <c r="D49" s="3"/>
      <c r="E49" s="3"/>
      <c r="F49" s="3"/>
      <c r="G49" s="3"/>
      <c r="H49" s="3"/>
    </row>
    <row r="50" spans="3:8" ht="35.1" customHeight="1" x14ac:dyDescent="0.25">
      <c r="C50" s="2"/>
      <c r="D50" s="3"/>
      <c r="E50" s="3"/>
      <c r="F50" s="3"/>
      <c r="G50" s="3"/>
      <c r="H50" s="3"/>
    </row>
    <row r="51" spans="3:8" ht="35.1" customHeight="1" x14ac:dyDescent="0.25">
      <c r="C51" s="2"/>
      <c r="D51" s="3"/>
      <c r="E51" s="3"/>
      <c r="F51" s="3"/>
      <c r="G51" s="3"/>
      <c r="H51" s="3"/>
    </row>
    <row r="52" spans="3:8" ht="35.1" customHeight="1" x14ac:dyDescent="0.25">
      <c r="C52" s="2"/>
      <c r="D52" s="3"/>
      <c r="E52" s="3"/>
      <c r="F52" s="3"/>
      <c r="G52" s="3"/>
      <c r="H52" s="3"/>
    </row>
    <row r="53" spans="3:8" ht="35.1" customHeight="1" x14ac:dyDescent="0.25">
      <c r="C53" s="2"/>
      <c r="D53" s="3"/>
      <c r="E53" s="3"/>
      <c r="F53" s="3"/>
      <c r="G53" s="3"/>
      <c r="H53" s="3"/>
    </row>
    <row r="54" spans="3:8" ht="35.1" customHeight="1" x14ac:dyDescent="0.25">
      <c r="C54" s="2"/>
      <c r="D54" s="3"/>
      <c r="E54" s="3"/>
      <c r="F54" s="3"/>
      <c r="G54" s="3"/>
      <c r="H54" s="3"/>
    </row>
    <row r="55" spans="3:8" ht="35.1" customHeight="1" x14ac:dyDescent="0.25">
      <c r="C55" s="2"/>
      <c r="D55" s="3"/>
      <c r="E55" s="3"/>
      <c r="F55" s="3"/>
      <c r="G55" s="3"/>
      <c r="H55" s="3"/>
    </row>
    <row r="56" spans="3:8" ht="35.1" customHeight="1" x14ac:dyDescent="0.25">
      <c r="C56" s="2"/>
      <c r="D56" s="3"/>
      <c r="E56" s="3"/>
      <c r="F56" s="3"/>
      <c r="G56" s="3"/>
      <c r="H56" s="3"/>
    </row>
    <row r="57" spans="3:8" ht="35.1" customHeight="1" x14ac:dyDescent="0.25">
      <c r="C57" s="2"/>
      <c r="D57" s="3"/>
      <c r="E57" s="3"/>
      <c r="F57" s="3"/>
      <c r="G57" s="3"/>
      <c r="H57" s="3"/>
    </row>
    <row r="58" spans="3:8" ht="35.1" customHeight="1" x14ac:dyDescent="0.25">
      <c r="C58" s="2"/>
      <c r="D58" s="3"/>
      <c r="E58" s="3"/>
      <c r="F58" s="3"/>
      <c r="G58" s="3"/>
      <c r="H58" s="3"/>
    </row>
    <row r="59" spans="3:8" ht="35.1" customHeight="1" x14ac:dyDescent="0.25">
      <c r="C59" s="2"/>
      <c r="D59" s="3"/>
      <c r="E59" s="3"/>
      <c r="F59" s="3"/>
      <c r="G59" s="3"/>
      <c r="H59" s="3"/>
    </row>
    <row r="60" spans="3:8" ht="35.1" customHeight="1" x14ac:dyDescent="0.25">
      <c r="C60" s="2"/>
      <c r="D60" s="3"/>
      <c r="E60" s="3"/>
      <c r="F60" s="3"/>
      <c r="G60" s="3"/>
      <c r="H60" s="3"/>
    </row>
    <row r="61" spans="3:8" ht="35.1" customHeight="1" x14ac:dyDescent="0.25">
      <c r="C61" s="2"/>
      <c r="D61" s="3"/>
      <c r="E61" s="3"/>
      <c r="F61" s="3"/>
      <c r="G61" s="3"/>
      <c r="H61" s="3"/>
    </row>
    <row r="62" spans="3:8" ht="35.1" customHeight="1" x14ac:dyDescent="0.25">
      <c r="C62" s="2"/>
      <c r="D62" s="3"/>
      <c r="E62" s="3"/>
      <c r="F62" s="3"/>
      <c r="G62" s="3"/>
      <c r="H62" s="3"/>
    </row>
    <row r="63" spans="3:8" ht="35.1" customHeight="1" x14ac:dyDescent="0.25">
      <c r="C63" s="2"/>
      <c r="D63" s="3"/>
      <c r="E63" s="3"/>
      <c r="F63" s="3"/>
      <c r="G63" s="3"/>
      <c r="H63" s="3"/>
    </row>
  </sheetData>
  <mergeCells count="1">
    <mergeCell ref="D1:H1"/>
  </mergeCells>
  <conditionalFormatting sqref="M2:M23">
    <cfRule type="expression" dxfId="0" priority="2">
      <formula>M2=""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I15"/>
  <sheetViews>
    <sheetView workbookViewId="0">
      <selection activeCell="A35" sqref="A35"/>
    </sheetView>
  </sheetViews>
  <sheetFormatPr defaultRowHeight="15" x14ac:dyDescent="0.25"/>
  <cols>
    <col min="1" max="1" width="28.85546875" customWidth="1"/>
    <col min="2" max="2" width="20.140625" customWidth="1"/>
  </cols>
  <sheetData>
    <row r="1" spans="1:9" ht="15.75" thickBot="1" x14ac:dyDescent="0.3">
      <c r="A1" t="s">
        <v>22</v>
      </c>
      <c r="B1" s="3">
        <v>40</v>
      </c>
      <c r="C1" t="s">
        <v>23</v>
      </c>
      <c r="E1" s="92" t="s">
        <v>260</v>
      </c>
      <c r="F1" s="93" t="s">
        <v>261</v>
      </c>
      <c r="G1" s="94" t="s">
        <v>262</v>
      </c>
      <c r="H1" s="94" t="s">
        <v>263</v>
      </c>
      <c r="I1" s="95" t="s">
        <v>264</v>
      </c>
    </row>
    <row r="2" spans="1:9" x14ac:dyDescent="0.25">
      <c r="A2" t="s">
        <v>24</v>
      </c>
      <c r="B2" s="3">
        <v>0</v>
      </c>
      <c r="C2" t="s">
        <v>23</v>
      </c>
      <c r="E2" s="96">
        <v>1</v>
      </c>
      <c r="F2" s="97">
        <v>6</v>
      </c>
      <c r="G2" s="98"/>
      <c r="H2" s="99"/>
      <c r="I2" s="100">
        <f>ROUND((PI()*6^2/4)*7850*10^-6,3)</f>
        <v>0.222</v>
      </c>
    </row>
    <row r="3" spans="1:9" x14ac:dyDescent="0.25">
      <c r="A3" t="s">
        <v>27</v>
      </c>
      <c r="B3" s="53">
        <v>50</v>
      </c>
      <c r="C3" t="s">
        <v>23</v>
      </c>
      <c r="E3" s="101">
        <v>2</v>
      </c>
      <c r="F3" s="102">
        <v>8</v>
      </c>
      <c r="G3" s="103"/>
      <c r="H3" s="104"/>
      <c r="I3" s="105">
        <f>ROUND((PI()*8^2/4)*7850*10^-6,3)</f>
        <v>0.39500000000000002</v>
      </c>
    </row>
    <row r="4" spans="1:9" x14ac:dyDescent="0.25">
      <c r="A4" t="s">
        <v>54</v>
      </c>
      <c r="B4" s="53">
        <v>50</v>
      </c>
      <c r="C4" t="s">
        <v>55</v>
      </c>
      <c r="E4" s="101">
        <v>3</v>
      </c>
      <c r="F4" s="102">
        <v>10</v>
      </c>
      <c r="G4" s="103">
        <v>7.22</v>
      </c>
      <c r="H4" s="106">
        <v>380</v>
      </c>
      <c r="I4" s="105">
        <f>ROUND(G4/11.7,3)</f>
        <v>0.61699999999999999</v>
      </c>
    </row>
    <row r="5" spans="1:9" x14ac:dyDescent="0.25">
      <c r="A5" t="s">
        <v>25</v>
      </c>
      <c r="B5" s="50" t="s">
        <v>256</v>
      </c>
      <c r="E5" s="101">
        <v>4</v>
      </c>
      <c r="F5" s="102">
        <v>12</v>
      </c>
      <c r="G5" s="107">
        <v>10.39</v>
      </c>
      <c r="H5" s="106">
        <v>280</v>
      </c>
      <c r="I5" s="105">
        <f t="shared" ref="I5:I15" si="0">ROUND(G5/11.7,3)</f>
        <v>0.88800000000000001</v>
      </c>
    </row>
    <row r="6" spans="1:9" x14ac:dyDescent="0.25">
      <c r="A6" t="s">
        <v>62</v>
      </c>
      <c r="B6" s="3">
        <v>0</v>
      </c>
      <c r="C6" t="b">
        <v>0</v>
      </c>
      <c r="E6" s="101">
        <v>5</v>
      </c>
      <c r="F6" s="102">
        <v>14</v>
      </c>
      <c r="G6" s="103">
        <v>14.16</v>
      </c>
      <c r="H6" s="106">
        <v>200</v>
      </c>
      <c r="I6" s="105">
        <f t="shared" si="0"/>
        <v>1.21</v>
      </c>
    </row>
    <row r="7" spans="1:9" x14ac:dyDescent="0.25">
      <c r="E7" s="101">
        <v>6</v>
      </c>
      <c r="F7" s="102">
        <v>16</v>
      </c>
      <c r="G7" s="107">
        <v>18.489999999999998</v>
      </c>
      <c r="H7" s="106">
        <v>160</v>
      </c>
      <c r="I7" s="105">
        <f t="shared" si="0"/>
        <v>1.58</v>
      </c>
    </row>
    <row r="8" spans="1:9" x14ac:dyDescent="0.25">
      <c r="E8" s="101">
        <v>7</v>
      </c>
      <c r="F8" s="102">
        <v>18</v>
      </c>
      <c r="G8" s="103">
        <v>23.4</v>
      </c>
      <c r="H8" s="106">
        <v>120</v>
      </c>
      <c r="I8" s="105">
        <f t="shared" si="0"/>
        <v>2</v>
      </c>
    </row>
    <row r="9" spans="1:9" x14ac:dyDescent="0.25">
      <c r="E9" s="101">
        <v>8</v>
      </c>
      <c r="F9" s="102">
        <v>20</v>
      </c>
      <c r="G9" s="103">
        <v>28.9</v>
      </c>
      <c r="H9" s="106">
        <v>110</v>
      </c>
      <c r="I9" s="105">
        <f t="shared" si="0"/>
        <v>2.4700000000000002</v>
      </c>
    </row>
    <row r="10" spans="1:9" x14ac:dyDescent="0.25">
      <c r="E10" s="101">
        <v>9</v>
      </c>
      <c r="F10" s="102">
        <v>22</v>
      </c>
      <c r="G10" s="103">
        <v>34.869999999999997</v>
      </c>
      <c r="H10" s="106">
        <v>80</v>
      </c>
      <c r="I10" s="105">
        <f t="shared" si="0"/>
        <v>2.98</v>
      </c>
    </row>
    <row r="11" spans="1:9" x14ac:dyDescent="0.25">
      <c r="E11" s="101">
        <v>10</v>
      </c>
      <c r="F11" s="102">
        <v>25</v>
      </c>
      <c r="G11" s="103">
        <v>45.05</v>
      </c>
      <c r="H11" s="106">
        <v>65</v>
      </c>
      <c r="I11" s="105">
        <f t="shared" si="0"/>
        <v>3.85</v>
      </c>
    </row>
    <row r="12" spans="1:9" x14ac:dyDescent="0.25">
      <c r="E12" s="101">
        <v>11</v>
      </c>
      <c r="F12" s="102">
        <v>28</v>
      </c>
      <c r="G12" s="103">
        <v>56.63</v>
      </c>
      <c r="H12" s="106">
        <v>55</v>
      </c>
      <c r="I12" s="105">
        <f t="shared" si="0"/>
        <v>4.84</v>
      </c>
    </row>
    <row r="13" spans="1:9" x14ac:dyDescent="0.25">
      <c r="E13" s="101">
        <v>12</v>
      </c>
      <c r="F13" s="102">
        <v>32</v>
      </c>
      <c r="G13" s="103">
        <v>73.83</v>
      </c>
      <c r="H13" s="106">
        <v>45</v>
      </c>
      <c r="I13" s="105">
        <f t="shared" si="0"/>
        <v>6.31</v>
      </c>
    </row>
    <row r="14" spans="1:9" x14ac:dyDescent="0.25">
      <c r="E14" s="101">
        <v>13</v>
      </c>
      <c r="F14" s="102">
        <v>36</v>
      </c>
      <c r="G14" s="103">
        <v>93.48</v>
      </c>
      <c r="H14" s="104"/>
      <c r="I14" s="105">
        <f t="shared" si="0"/>
        <v>7.99</v>
      </c>
    </row>
    <row r="15" spans="1:9" ht="15.75" thickBot="1" x14ac:dyDescent="0.3">
      <c r="E15" s="108">
        <v>14</v>
      </c>
      <c r="F15" s="109">
        <v>40</v>
      </c>
      <c r="G15" s="110">
        <v>115.4</v>
      </c>
      <c r="H15" s="111"/>
      <c r="I15" s="112">
        <f t="shared" si="0"/>
        <v>9.8629999999999995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filterMode="1"/>
  <dimension ref="A1:Q2447"/>
  <sheetViews>
    <sheetView showGridLines="0" zoomScale="70" zoomScaleNormal="70" workbookViewId="0">
      <pane ySplit="1" topLeftCell="A2" activePane="bottomLeft" state="frozen"/>
      <selection pane="bottomLeft" activeCell="M2453" sqref="M2453"/>
    </sheetView>
  </sheetViews>
  <sheetFormatPr defaultColWidth="9.140625" defaultRowHeight="24.95" customHeight="1" x14ac:dyDescent="0.25"/>
  <cols>
    <col min="1" max="1" width="9.140625" style="3"/>
    <col min="2" max="2" width="27.85546875" style="3" customWidth="1"/>
    <col min="3" max="3" width="17.7109375" style="3" customWidth="1"/>
    <col min="4" max="4" width="5.42578125" style="3" customWidth="1"/>
    <col min="5" max="5" width="5.42578125" style="78" customWidth="1"/>
    <col min="6" max="6" width="9.42578125" style="78" customWidth="1"/>
    <col min="7" max="7" width="5.42578125" style="78" customWidth="1"/>
    <col min="8" max="8" width="5.7109375" style="78" customWidth="1"/>
    <col min="9" max="9" width="9.140625" style="3"/>
    <col min="10" max="10" width="11.42578125" style="3" customWidth="1"/>
    <col min="11" max="12" width="9.140625" style="3"/>
    <col min="13" max="14" width="11.42578125" style="3" customWidth="1"/>
    <col min="15" max="15" width="15.85546875" style="3" customWidth="1"/>
    <col min="16" max="16" width="12" style="3" customWidth="1"/>
    <col min="17" max="17" width="13.28515625" style="3" customWidth="1"/>
    <col min="18" max="16384" width="9.140625" style="3"/>
  </cols>
  <sheetData>
    <row r="1" spans="1:17" ht="49.5" customHeight="1" x14ac:dyDescent="0.25">
      <c r="A1" s="56" t="s">
        <v>7</v>
      </c>
      <c r="B1" s="22" t="s">
        <v>1</v>
      </c>
      <c r="C1" s="22" t="s">
        <v>0</v>
      </c>
      <c r="D1" s="162" t="s">
        <v>56</v>
      </c>
      <c r="E1" s="162"/>
      <c r="F1" s="162"/>
      <c r="G1" s="162"/>
      <c r="H1" s="162"/>
      <c r="I1" s="22" t="s">
        <v>2</v>
      </c>
      <c r="J1" s="22" t="s">
        <v>3</v>
      </c>
      <c r="K1" s="22" t="s">
        <v>4</v>
      </c>
      <c r="L1" s="22" t="s">
        <v>5</v>
      </c>
      <c r="M1" s="23" t="s">
        <v>14</v>
      </c>
      <c r="N1" s="57" t="s">
        <v>11</v>
      </c>
      <c r="O1" s="57" t="s">
        <v>6</v>
      </c>
      <c r="P1" s="22" t="s">
        <v>12</v>
      </c>
      <c r="Q1" s="54" t="s">
        <v>13</v>
      </c>
    </row>
    <row r="2" spans="1:17" ht="24.95" hidden="1" customHeight="1" x14ac:dyDescent="0.25">
      <c r="A2" s="3">
        <v>1</v>
      </c>
      <c r="B2" s="3" t="s">
        <v>308</v>
      </c>
      <c r="C2" s="3" t="s">
        <v>309</v>
      </c>
      <c r="I2" s="3">
        <v>32</v>
      </c>
      <c r="J2" s="3">
        <v>5</v>
      </c>
      <c r="K2" s="3">
        <v>1</v>
      </c>
      <c r="L2" s="3">
        <v>5</v>
      </c>
      <c r="M2" s="3">
        <v>5320</v>
      </c>
      <c r="N2" s="3">
        <v>26.6</v>
      </c>
      <c r="O2" s="3">
        <v>6.31</v>
      </c>
      <c r="P2" s="3">
        <v>167.846</v>
      </c>
      <c r="Q2" s="3">
        <v>5320</v>
      </c>
    </row>
    <row r="3" spans="1:17" ht="24.95" hidden="1" customHeight="1" x14ac:dyDescent="0.25">
      <c r="A3" s="3">
        <v>1</v>
      </c>
      <c r="B3" s="3" t="s">
        <v>308</v>
      </c>
      <c r="C3" s="3" t="s">
        <v>474</v>
      </c>
      <c r="I3" s="3">
        <v>32</v>
      </c>
      <c r="J3" s="3">
        <v>5</v>
      </c>
      <c r="K3" s="3">
        <v>1</v>
      </c>
      <c r="L3" s="3">
        <v>5</v>
      </c>
      <c r="M3" s="3">
        <v>5320</v>
      </c>
      <c r="N3" s="3">
        <v>26.6</v>
      </c>
      <c r="O3" s="3">
        <v>6.31</v>
      </c>
      <c r="P3" s="3">
        <v>167.846</v>
      </c>
      <c r="Q3" s="3">
        <v>5320</v>
      </c>
    </row>
    <row r="4" spans="1:17" ht="24.95" hidden="1" customHeight="1" x14ac:dyDescent="0.25">
      <c r="A4" s="3">
        <v>1</v>
      </c>
      <c r="B4" s="3" t="s">
        <v>308</v>
      </c>
      <c r="C4" s="3" t="s">
        <v>475</v>
      </c>
      <c r="I4" s="3">
        <v>32</v>
      </c>
      <c r="J4" s="3">
        <v>11</v>
      </c>
      <c r="K4" s="3">
        <v>1</v>
      </c>
      <c r="L4" s="3">
        <v>11</v>
      </c>
      <c r="M4" s="3">
        <v>8180</v>
      </c>
      <c r="N4" s="3">
        <v>89.98</v>
      </c>
      <c r="O4" s="3">
        <v>6.31</v>
      </c>
      <c r="P4" s="3">
        <v>567.77379999999994</v>
      </c>
      <c r="Q4" s="3">
        <v>8180</v>
      </c>
    </row>
    <row r="5" spans="1:17" ht="24.95" hidden="1" customHeight="1" x14ac:dyDescent="0.25">
      <c r="A5" s="3">
        <v>1</v>
      </c>
      <c r="B5" s="3" t="s">
        <v>308</v>
      </c>
      <c r="C5" s="3" t="s">
        <v>476</v>
      </c>
      <c r="I5" s="3">
        <v>32</v>
      </c>
      <c r="J5" s="3">
        <v>9</v>
      </c>
      <c r="K5" s="3">
        <v>1</v>
      </c>
      <c r="L5" s="3">
        <v>9</v>
      </c>
      <c r="M5" s="3">
        <v>5410</v>
      </c>
      <c r="N5" s="3">
        <v>48.69</v>
      </c>
      <c r="O5" s="3">
        <v>6.31</v>
      </c>
      <c r="P5" s="3">
        <v>307.23389999999995</v>
      </c>
      <c r="Q5" s="3">
        <v>5410</v>
      </c>
    </row>
    <row r="6" spans="1:17" ht="24.95" hidden="1" customHeight="1" x14ac:dyDescent="0.25">
      <c r="A6" s="3">
        <v>1</v>
      </c>
      <c r="B6" s="3" t="s">
        <v>308</v>
      </c>
      <c r="C6" s="3" t="s">
        <v>477</v>
      </c>
      <c r="I6" s="3">
        <v>32</v>
      </c>
      <c r="J6" s="3">
        <v>9</v>
      </c>
      <c r="K6" s="3">
        <v>1</v>
      </c>
      <c r="L6" s="3">
        <v>9</v>
      </c>
      <c r="M6" s="3">
        <v>11700</v>
      </c>
      <c r="N6" s="3">
        <v>105.3</v>
      </c>
      <c r="O6" s="3">
        <v>6.31</v>
      </c>
      <c r="P6" s="3">
        <v>664.44299999999998</v>
      </c>
      <c r="Q6" s="3">
        <v>11700</v>
      </c>
    </row>
    <row r="7" spans="1:17" ht="24.95" hidden="1" customHeight="1" x14ac:dyDescent="0.25">
      <c r="A7" s="3">
        <v>1</v>
      </c>
      <c r="B7" s="3" t="s">
        <v>308</v>
      </c>
      <c r="C7" s="3" t="s">
        <v>478</v>
      </c>
      <c r="I7" s="3">
        <v>32</v>
      </c>
      <c r="J7" s="3">
        <v>9</v>
      </c>
      <c r="K7" s="3">
        <v>1</v>
      </c>
      <c r="L7" s="3">
        <v>9</v>
      </c>
      <c r="M7" s="3">
        <v>8180</v>
      </c>
      <c r="N7" s="3">
        <v>73.62</v>
      </c>
      <c r="O7" s="3">
        <v>6.31</v>
      </c>
      <c r="P7" s="3">
        <v>464.54219999999998</v>
      </c>
      <c r="Q7" s="3">
        <v>8180</v>
      </c>
    </row>
    <row r="8" spans="1:17" ht="24.95" hidden="1" customHeight="1" x14ac:dyDescent="0.25">
      <c r="A8" s="3">
        <v>1</v>
      </c>
      <c r="B8" s="3" t="s">
        <v>308</v>
      </c>
      <c r="C8" s="3" t="s">
        <v>479</v>
      </c>
      <c r="I8" s="3">
        <v>32</v>
      </c>
      <c r="J8" s="3">
        <v>9</v>
      </c>
      <c r="K8" s="3">
        <v>1</v>
      </c>
      <c r="L8" s="3">
        <v>9</v>
      </c>
      <c r="M8" s="3">
        <v>7330</v>
      </c>
      <c r="N8" s="3">
        <v>65.97</v>
      </c>
      <c r="O8" s="3">
        <v>6.31</v>
      </c>
      <c r="P8" s="3">
        <v>416.27069999999998</v>
      </c>
      <c r="Q8" s="3">
        <v>7330</v>
      </c>
    </row>
    <row r="9" spans="1:17" ht="24.95" hidden="1" customHeight="1" x14ac:dyDescent="0.25">
      <c r="A9" s="3">
        <v>1</v>
      </c>
      <c r="B9" s="3" t="s">
        <v>308</v>
      </c>
      <c r="C9" s="3" t="s">
        <v>480</v>
      </c>
      <c r="I9" s="3">
        <v>32</v>
      </c>
      <c r="J9" s="3">
        <v>8</v>
      </c>
      <c r="K9" s="3">
        <v>1</v>
      </c>
      <c r="L9" s="3">
        <v>8</v>
      </c>
      <c r="M9" s="3">
        <v>5570</v>
      </c>
      <c r="N9" s="3">
        <v>44.56</v>
      </c>
      <c r="O9" s="3">
        <v>6.31</v>
      </c>
      <c r="P9" s="3">
        <v>281.17360000000002</v>
      </c>
      <c r="Q9" s="3">
        <v>5570</v>
      </c>
    </row>
    <row r="10" spans="1:17" ht="24.95" hidden="1" customHeight="1" x14ac:dyDescent="0.25">
      <c r="A10" s="3">
        <v>1</v>
      </c>
      <c r="B10" s="3" t="s">
        <v>308</v>
      </c>
      <c r="C10" s="3" t="s">
        <v>481</v>
      </c>
      <c r="I10" s="3">
        <v>32</v>
      </c>
      <c r="J10" s="3">
        <v>8</v>
      </c>
      <c r="K10" s="3">
        <v>1</v>
      </c>
      <c r="L10" s="3">
        <v>8</v>
      </c>
      <c r="M10" s="3">
        <v>11700</v>
      </c>
      <c r="N10" s="3">
        <v>93.6</v>
      </c>
      <c r="O10" s="3">
        <v>6.31</v>
      </c>
      <c r="P10" s="3">
        <v>590.61599999999987</v>
      </c>
      <c r="Q10" s="3">
        <v>11700</v>
      </c>
    </row>
    <row r="11" spans="1:17" ht="24.95" hidden="1" customHeight="1" x14ac:dyDescent="0.25">
      <c r="A11" s="3">
        <v>1</v>
      </c>
      <c r="B11" s="3" t="s">
        <v>308</v>
      </c>
      <c r="C11" s="3" t="s">
        <v>482</v>
      </c>
      <c r="I11" s="3">
        <v>32</v>
      </c>
      <c r="J11" s="3">
        <v>8</v>
      </c>
      <c r="K11" s="3">
        <v>1</v>
      </c>
      <c r="L11" s="3">
        <v>8</v>
      </c>
      <c r="M11" s="3">
        <v>8180</v>
      </c>
      <c r="N11" s="3">
        <v>65.44</v>
      </c>
      <c r="O11" s="3">
        <v>6.31</v>
      </c>
      <c r="P11" s="3">
        <v>412.92639999999994</v>
      </c>
      <c r="Q11" s="3">
        <v>8180</v>
      </c>
    </row>
    <row r="12" spans="1:17" ht="24.95" hidden="1" customHeight="1" x14ac:dyDescent="0.25">
      <c r="A12" s="3">
        <v>1</v>
      </c>
      <c r="B12" s="3" t="s">
        <v>308</v>
      </c>
      <c r="C12" s="3" t="s">
        <v>483</v>
      </c>
      <c r="I12" s="3">
        <v>32</v>
      </c>
      <c r="J12" s="3">
        <v>8</v>
      </c>
      <c r="K12" s="3">
        <v>1</v>
      </c>
      <c r="L12" s="3">
        <v>8</v>
      </c>
      <c r="M12" s="3">
        <v>7170</v>
      </c>
      <c r="N12" s="3">
        <v>57.36</v>
      </c>
      <c r="O12" s="3">
        <v>6.31</v>
      </c>
      <c r="P12" s="3">
        <v>361.94159999999999</v>
      </c>
      <c r="Q12" s="3">
        <v>7170</v>
      </c>
    </row>
    <row r="13" spans="1:17" ht="24.95" hidden="1" customHeight="1" x14ac:dyDescent="0.25">
      <c r="A13" s="3">
        <v>1</v>
      </c>
      <c r="B13" s="3" t="s">
        <v>308</v>
      </c>
      <c r="C13" s="3" t="s">
        <v>484</v>
      </c>
      <c r="I13" s="3">
        <v>14</v>
      </c>
      <c r="J13" s="3">
        <v>6</v>
      </c>
      <c r="K13" s="3">
        <v>1</v>
      </c>
      <c r="L13" s="3">
        <v>6</v>
      </c>
      <c r="M13" s="3">
        <v>11700</v>
      </c>
      <c r="N13" s="3">
        <v>70.2</v>
      </c>
      <c r="O13" s="3">
        <v>1.21</v>
      </c>
      <c r="P13" s="3">
        <v>84.942000000000007</v>
      </c>
      <c r="Q13" s="3">
        <v>11700</v>
      </c>
    </row>
    <row r="14" spans="1:17" ht="24.95" hidden="1" customHeight="1" x14ac:dyDescent="0.25">
      <c r="A14" s="3">
        <v>1</v>
      </c>
      <c r="B14" s="3" t="s">
        <v>308</v>
      </c>
      <c r="C14" s="3" t="s">
        <v>485</v>
      </c>
      <c r="I14" s="3">
        <v>32</v>
      </c>
      <c r="J14" s="3">
        <v>20</v>
      </c>
      <c r="K14" s="3">
        <v>1</v>
      </c>
      <c r="L14" s="3">
        <v>20</v>
      </c>
      <c r="M14" s="3">
        <v>4700</v>
      </c>
      <c r="N14" s="3">
        <v>94</v>
      </c>
      <c r="O14" s="3">
        <v>6.31</v>
      </c>
      <c r="P14" s="3">
        <v>593.14</v>
      </c>
      <c r="Q14" s="3">
        <v>4700</v>
      </c>
    </row>
    <row r="15" spans="1:17" ht="24.95" hidden="1" customHeight="1" x14ac:dyDescent="0.25">
      <c r="A15" s="3">
        <v>1</v>
      </c>
      <c r="B15" s="3" t="s">
        <v>308</v>
      </c>
      <c r="C15" s="3" t="s">
        <v>486</v>
      </c>
      <c r="I15" s="3">
        <v>14</v>
      </c>
      <c r="J15" s="3">
        <v>6</v>
      </c>
      <c r="K15" s="3">
        <v>1</v>
      </c>
      <c r="L15" s="3">
        <v>6</v>
      </c>
      <c r="M15" s="3">
        <v>5020</v>
      </c>
      <c r="N15" s="3">
        <v>30.12</v>
      </c>
      <c r="O15" s="3">
        <v>1.21</v>
      </c>
      <c r="P15" s="3">
        <v>36.4452</v>
      </c>
      <c r="Q15" s="3">
        <v>5020</v>
      </c>
    </row>
    <row r="16" spans="1:17" ht="24.95" hidden="1" customHeight="1" x14ac:dyDescent="0.25">
      <c r="A16" s="3">
        <v>1</v>
      </c>
      <c r="B16" s="3" t="s">
        <v>308</v>
      </c>
      <c r="C16" s="3" t="s">
        <v>487</v>
      </c>
      <c r="I16" s="3">
        <v>14</v>
      </c>
      <c r="J16" s="3">
        <v>6</v>
      </c>
      <c r="K16" s="3">
        <v>1</v>
      </c>
      <c r="L16" s="3">
        <v>6</v>
      </c>
      <c r="M16" s="3">
        <v>11700</v>
      </c>
      <c r="N16" s="3">
        <v>70.2</v>
      </c>
      <c r="O16" s="3">
        <v>1.21</v>
      </c>
      <c r="P16" s="3">
        <v>84.942000000000007</v>
      </c>
      <c r="Q16" s="3">
        <v>11700</v>
      </c>
    </row>
    <row r="17" spans="1:17" ht="24.95" hidden="1" customHeight="1" x14ac:dyDescent="0.25">
      <c r="A17" s="3">
        <v>1</v>
      </c>
      <c r="B17" s="3" t="s">
        <v>308</v>
      </c>
      <c r="C17" s="3" t="s">
        <v>488</v>
      </c>
      <c r="I17" s="3">
        <v>14</v>
      </c>
      <c r="J17" s="3">
        <v>6</v>
      </c>
      <c r="K17" s="3">
        <v>1</v>
      </c>
      <c r="L17" s="3">
        <v>6</v>
      </c>
      <c r="M17" s="3">
        <v>2290</v>
      </c>
      <c r="N17" s="3">
        <v>13.74</v>
      </c>
      <c r="O17" s="3">
        <v>1.21</v>
      </c>
      <c r="P17" s="3">
        <v>16.625399999999999</v>
      </c>
      <c r="Q17" s="3">
        <v>2290</v>
      </c>
    </row>
    <row r="18" spans="1:17" ht="24.95" hidden="1" customHeight="1" x14ac:dyDescent="0.25">
      <c r="A18" s="3">
        <v>1</v>
      </c>
      <c r="B18" s="3" t="s">
        <v>308</v>
      </c>
      <c r="C18" s="3" t="s">
        <v>489</v>
      </c>
      <c r="I18" s="3">
        <v>14</v>
      </c>
      <c r="J18" s="3">
        <v>6</v>
      </c>
      <c r="K18" s="3">
        <v>1</v>
      </c>
      <c r="L18" s="3">
        <v>6</v>
      </c>
      <c r="M18" s="3">
        <v>6680</v>
      </c>
      <c r="N18" s="3">
        <v>40.08</v>
      </c>
      <c r="O18" s="3">
        <v>1.21</v>
      </c>
      <c r="P18" s="3">
        <v>48.496799999999993</v>
      </c>
      <c r="Q18" s="3">
        <v>6680</v>
      </c>
    </row>
    <row r="19" spans="1:17" ht="24.95" hidden="1" customHeight="1" x14ac:dyDescent="0.25">
      <c r="A19" s="3">
        <v>1</v>
      </c>
      <c r="B19" s="3" t="s">
        <v>308</v>
      </c>
      <c r="C19" s="3" t="s">
        <v>490</v>
      </c>
      <c r="I19" s="3">
        <v>18</v>
      </c>
      <c r="J19" s="3">
        <v>12</v>
      </c>
      <c r="K19" s="3">
        <v>1</v>
      </c>
      <c r="L19" s="3">
        <v>12</v>
      </c>
      <c r="M19" s="3">
        <v>11700</v>
      </c>
      <c r="N19" s="3">
        <v>140.4</v>
      </c>
      <c r="O19" s="3">
        <v>2</v>
      </c>
      <c r="P19" s="3">
        <v>280.8</v>
      </c>
      <c r="Q19" s="3">
        <v>11700</v>
      </c>
    </row>
    <row r="20" spans="1:17" ht="24.95" hidden="1" customHeight="1" x14ac:dyDescent="0.25">
      <c r="A20" s="3">
        <v>1</v>
      </c>
      <c r="B20" s="3" t="s">
        <v>308</v>
      </c>
      <c r="C20" s="3" t="s">
        <v>491</v>
      </c>
      <c r="I20" s="3">
        <v>18</v>
      </c>
      <c r="J20" s="3">
        <v>12</v>
      </c>
      <c r="K20" s="3">
        <v>1</v>
      </c>
      <c r="L20" s="3">
        <v>12</v>
      </c>
      <c r="M20" s="3">
        <v>11700</v>
      </c>
      <c r="N20" s="3">
        <v>140.4</v>
      </c>
      <c r="O20" s="3">
        <v>2</v>
      </c>
      <c r="P20" s="3">
        <v>280.8</v>
      </c>
      <c r="Q20" s="3">
        <v>11700</v>
      </c>
    </row>
    <row r="21" spans="1:17" ht="24.95" hidden="1" customHeight="1" x14ac:dyDescent="0.25">
      <c r="A21" s="3">
        <v>1</v>
      </c>
      <c r="B21" s="3" t="s">
        <v>308</v>
      </c>
      <c r="C21" s="3" t="s">
        <v>492</v>
      </c>
      <c r="I21" s="3">
        <v>18</v>
      </c>
      <c r="J21" s="3">
        <v>12</v>
      </c>
      <c r="K21" s="3">
        <v>1</v>
      </c>
      <c r="L21" s="3">
        <v>12</v>
      </c>
      <c r="M21" s="3">
        <v>3220</v>
      </c>
      <c r="N21" s="3">
        <v>38.64</v>
      </c>
      <c r="O21" s="3">
        <v>2</v>
      </c>
      <c r="P21" s="3">
        <v>77.28</v>
      </c>
      <c r="Q21" s="3">
        <v>3220</v>
      </c>
    </row>
    <row r="22" spans="1:17" ht="24.95" hidden="1" customHeight="1" x14ac:dyDescent="0.25">
      <c r="A22" s="3">
        <v>1</v>
      </c>
      <c r="B22" s="3" t="s">
        <v>308</v>
      </c>
      <c r="C22" s="3" t="s">
        <v>493</v>
      </c>
      <c r="I22" s="3">
        <v>14</v>
      </c>
      <c r="J22" s="3">
        <v>42</v>
      </c>
      <c r="K22" s="3">
        <v>1</v>
      </c>
      <c r="L22" s="3">
        <v>42</v>
      </c>
      <c r="M22" s="3">
        <v>2860</v>
      </c>
      <c r="N22" s="3">
        <v>120.12</v>
      </c>
      <c r="O22" s="3">
        <v>1.21</v>
      </c>
      <c r="P22" s="3">
        <v>145.34520000000001</v>
      </c>
      <c r="Q22" s="3">
        <v>2860</v>
      </c>
    </row>
    <row r="23" spans="1:17" ht="24.95" hidden="1" customHeight="1" x14ac:dyDescent="0.25">
      <c r="A23" s="3">
        <v>1</v>
      </c>
      <c r="B23" s="3" t="s">
        <v>308</v>
      </c>
      <c r="C23" s="3" t="s">
        <v>494</v>
      </c>
      <c r="I23" s="3">
        <v>14</v>
      </c>
      <c r="J23" s="3">
        <v>42</v>
      </c>
      <c r="K23" s="3">
        <v>1</v>
      </c>
      <c r="L23" s="3">
        <v>42</v>
      </c>
      <c r="M23" s="3">
        <v>11700</v>
      </c>
      <c r="N23" s="3">
        <v>491.4</v>
      </c>
      <c r="O23" s="3">
        <v>1.21</v>
      </c>
      <c r="P23" s="3">
        <v>594.59399999999994</v>
      </c>
      <c r="Q23" s="3">
        <v>11700</v>
      </c>
    </row>
    <row r="24" spans="1:17" ht="24.95" hidden="1" customHeight="1" x14ac:dyDescent="0.25">
      <c r="A24" s="3">
        <v>1</v>
      </c>
      <c r="B24" s="3" t="s">
        <v>383</v>
      </c>
      <c r="C24" s="3" t="s">
        <v>495</v>
      </c>
      <c r="I24" s="3">
        <v>32</v>
      </c>
      <c r="J24" s="3">
        <v>9</v>
      </c>
      <c r="K24" s="3">
        <v>1</v>
      </c>
      <c r="L24" s="3">
        <v>9</v>
      </c>
      <c r="M24" s="3">
        <v>2980</v>
      </c>
      <c r="N24" s="3">
        <v>26.82</v>
      </c>
      <c r="O24" s="3">
        <v>6.31</v>
      </c>
      <c r="P24" s="3">
        <v>169.23419999999999</v>
      </c>
      <c r="Q24" s="3">
        <v>2980</v>
      </c>
    </row>
    <row r="25" spans="1:17" ht="24.95" hidden="1" customHeight="1" x14ac:dyDescent="0.25">
      <c r="A25" s="3">
        <v>1</v>
      </c>
      <c r="B25" s="3" t="s">
        <v>383</v>
      </c>
      <c r="C25" s="3" t="s">
        <v>496</v>
      </c>
      <c r="I25" s="3">
        <v>32</v>
      </c>
      <c r="J25" s="3">
        <v>9</v>
      </c>
      <c r="K25" s="3">
        <v>1</v>
      </c>
      <c r="L25" s="3">
        <v>9</v>
      </c>
      <c r="M25" s="3">
        <v>11700</v>
      </c>
      <c r="N25" s="3">
        <v>105.3</v>
      </c>
      <c r="O25" s="3">
        <v>6.31</v>
      </c>
      <c r="P25" s="3">
        <v>664.44299999999998</v>
      </c>
      <c r="Q25" s="3">
        <v>11700</v>
      </c>
    </row>
    <row r="26" spans="1:17" ht="24.95" hidden="1" customHeight="1" x14ac:dyDescent="0.25">
      <c r="A26" s="3">
        <v>1</v>
      </c>
      <c r="B26" s="3" t="s">
        <v>383</v>
      </c>
      <c r="C26" s="3" t="s">
        <v>497</v>
      </c>
      <c r="I26" s="3">
        <v>32</v>
      </c>
      <c r="J26" s="3">
        <v>9</v>
      </c>
      <c r="K26" s="3">
        <v>1</v>
      </c>
      <c r="L26" s="3">
        <v>9</v>
      </c>
      <c r="M26" s="3">
        <v>11700</v>
      </c>
      <c r="N26" s="3">
        <v>105.3</v>
      </c>
      <c r="O26" s="3">
        <v>6.31</v>
      </c>
      <c r="P26" s="3">
        <v>664.44299999999998</v>
      </c>
      <c r="Q26" s="3">
        <v>11700</v>
      </c>
    </row>
    <row r="27" spans="1:17" ht="24.95" hidden="1" customHeight="1" x14ac:dyDescent="0.25">
      <c r="A27" s="3">
        <v>1</v>
      </c>
      <c r="B27" s="3" t="s">
        <v>383</v>
      </c>
      <c r="C27" s="3" t="s">
        <v>498</v>
      </c>
      <c r="I27" s="3">
        <v>32</v>
      </c>
      <c r="J27" s="3">
        <v>9</v>
      </c>
      <c r="K27" s="3">
        <v>1</v>
      </c>
      <c r="L27" s="3">
        <v>9</v>
      </c>
      <c r="M27" s="3">
        <v>11700</v>
      </c>
      <c r="N27" s="3">
        <v>105.3</v>
      </c>
      <c r="O27" s="3">
        <v>6.31</v>
      </c>
      <c r="P27" s="3">
        <v>664.44299999999998</v>
      </c>
      <c r="Q27" s="3">
        <v>11700</v>
      </c>
    </row>
    <row r="28" spans="1:17" ht="24.95" hidden="1" customHeight="1" x14ac:dyDescent="0.25">
      <c r="A28" s="3">
        <v>1</v>
      </c>
      <c r="B28" s="3" t="s">
        <v>383</v>
      </c>
      <c r="C28" s="3" t="s">
        <v>499</v>
      </c>
      <c r="I28" s="3">
        <v>32</v>
      </c>
      <c r="J28" s="3">
        <v>8</v>
      </c>
      <c r="K28" s="3">
        <v>1</v>
      </c>
      <c r="L28" s="3">
        <v>8</v>
      </c>
      <c r="M28" s="3">
        <v>11480</v>
      </c>
      <c r="N28" s="3">
        <v>91.84</v>
      </c>
      <c r="O28" s="3">
        <v>6.31</v>
      </c>
      <c r="P28" s="3">
        <v>579.5104</v>
      </c>
      <c r="Q28" s="3">
        <v>11480</v>
      </c>
    </row>
    <row r="29" spans="1:17" ht="24.95" hidden="1" customHeight="1" x14ac:dyDescent="0.25">
      <c r="A29" s="3">
        <v>1</v>
      </c>
      <c r="B29" s="3" t="s">
        <v>383</v>
      </c>
      <c r="C29" s="3" t="s">
        <v>500</v>
      </c>
      <c r="I29" s="3">
        <v>32</v>
      </c>
      <c r="J29" s="3">
        <v>8</v>
      </c>
      <c r="K29" s="3">
        <v>1</v>
      </c>
      <c r="L29" s="3">
        <v>8</v>
      </c>
      <c r="M29" s="3">
        <v>11700</v>
      </c>
      <c r="N29" s="3">
        <v>93.6</v>
      </c>
      <c r="O29" s="3">
        <v>6.31</v>
      </c>
      <c r="P29" s="3">
        <v>590.61599999999987</v>
      </c>
      <c r="Q29" s="3">
        <v>11700</v>
      </c>
    </row>
    <row r="30" spans="1:17" ht="24.95" hidden="1" customHeight="1" x14ac:dyDescent="0.25">
      <c r="A30" s="3">
        <v>1</v>
      </c>
      <c r="B30" s="3" t="s">
        <v>383</v>
      </c>
      <c r="C30" s="3" t="s">
        <v>501</v>
      </c>
      <c r="I30" s="3">
        <v>32</v>
      </c>
      <c r="J30" s="3">
        <v>8</v>
      </c>
      <c r="K30" s="3">
        <v>1</v>
      </c>
      <c r="L30" s="3">
        <v>8</v>
      </c>
      <c r="M30" s="3">
        <v>11700</v>
      </c>
      <c r="N30" s="3">
        <v>93.6</v>
      </c>
      <c r="O30" s="3">
        <v>6.31</v>
      </c>
      <c r="P30" s="3">
        <v>590.61599999999987</v>
      </c>
      <c r="Q30" s="3">
        <v>11700</v>
      </c>
    </row>
    <row r="31" spans="1:17" ht="24.95" hidden="1" customHeight="1" x14ac:dyDescent="0.25">
      <c r="A31" s="3">
        <v>1</v>
      </c>
      <c r="B31" s="3" t="s">
        <v>383</v>
      </c>
      <c r="C31" s="3" t="s">
        <v>502</v>
      </c>
      <c r="I31" s="3">
        <v>32</v>
      </c>
      <c r="J31" s="3">
        <v>8</v>
      </c>
      <c r="K31" s="3">
        <v>1</v>
      </c>
      <c r="L31" s="3">
        <v>8</v>
      </c>
      <c r="M31" s="3">
        <v>3200</v>
      </c>
      <c r="N31" s="3">
        <v>25.6</v>
      </c>
      <c r="O31" s="3">
        <v>6.31</v>
      </c>
      <c r="P31" s="3">
        <v>161.536</v>
      </c>
      <c r="Q31" s="3">
        <v>3200</v>
      </c>
    </row>
    <row r="32" spans="1:17" ht="24.95" hidden="1" customHeight="1" x14ac:dyDescent="0.25">
      <c r="A32" s="3">
        <v>1</v>
      </c>
      <c r="B32" s="3" t="s">
        <v>383</v>
      </c>
      <c r="C32" s="3" t="s">
        <v>503</v>
      </c>
      <c r="I32" s="3">
        <v>32</v>
      </c>
      <c r="J32" s="3">
        <v>9</v>
      </c>
      <c r="K32" s="3">
        <v>1</v>
      </c>
      <c r="L32" s="3">
        <v>9</v>
      </c>
      <c r="M32" s="3">
        <v>11700</v>
      </c>
      <c r="N32" s="3">
        <v>105.3</v>
      </c>
      <c r="O32" s="3">
        <v>6.31</v>
      </c>
      <c r="P32" s="3">
        <v>664.44299999999998</v>
      </c>
      <c r="Q32" s="3">
        <v>11700</v>
      </c>
    </row>
    <row r="33" spans="1:17" ht="24.95" hidden="1" customHeight="1" x14ac:dyDescent="0.25">
      <c r="A33" s="3">
        <v>1</v>
      </c>
      <c r="B33" s="3" t="s">
        <v>383</v>
      </c>
      <c r="C33" s="3" t="s">
        <v>504</v>
      </c>
      <c r="I33" s="3">
        <v>32</v>
      </c>
      <c r="J33" s="3">
        <v>6</v>
      </c>
      <c r="K33" s="3">
        <v>1</v>
      </c>
      <c r="L33" s="3">
        <v>6</v>
      </c>
      <c r="M33" s="3">
        <v>11480</v>
      </c>
      <c r="N33" s="3">
        <v>68.88</v>
      </c>
      <c r="O33" s="3">
        <v>6.31</v>
      </c>
      <c r="P33" s="3">
        <v>434.63279999999992</v>
      </c>
      <c r="Q33" s="3">
        <v>11480</v>
      </c>
    </row>
    <row r="34" spans="1:17" ht="24.95" hidden="1" customHeight="1" x14ac:dyDescent="0.25">
      <c r="A34" s="3">
        <v>1</v>
      </c>
      <c r="B34" s="3" t="s">
        <v>383</v>
      </c>
      <c r="C34" s="3" t="s">
        <v>505</v>
      </c>
      <c r="I34" s="3">
        <v>32</v>
      </c>
      <c r="J34" s="3">
        <v>12</v>
      </c>
      <c r="K34" s="3">
        <v>1</v>
      </c>
      <c r="L34" s="3">
        <v>12</v>
      </c>
      <c r="M34" s="3">
        <v>11700</v>
      </c>
      <c r="N34" s="3">
        <v>140.4</v>
      </c>
      <c r="O34" s="3">
        <v>6.31</v>
      </c>
      <c r="P34" s="3">
        <v>885.92399999999998</v>
      </c>
      <c r="Q34" s="3">
        <v>11700</v>
      </c>
    </row>
    <row r="35" spans="1:17" ht="24.95" hidden="1" customHeight="1" x14ac:dyDescent="0.25">
      <c r="A35" s="3">
        <v>1</v>
      </c>
      <c r="B35" s="3" t="s">
        <v>383</v>
      </c>
      <c r="C35" s="3" t="s">
        <v>506</v>
      </c>
      <c r="I35" s="3">
        <v>32</v>
      </c>
      <c r="J35" s="3">
        <v>6</v>
      </c>
      <c r="K35" s="3">
        <v>1</v>
      </c>
      <c r="L35" s="3">
        <v>6</v>
      </c>
      <c r="M35" s="3">
        <v>11700</v>
      </c>
      <c r="N35" s="3">
        <v>70.2</v>
      </c>
      <c r="O35" s="3">
        <v>6.31</v>
      </c>
      <c r="P35" s="3">
        <v>442.96199999999999</v>
      </c>
      <c r="Q35" s="3">
        <v>11700</v>
      </c>
    </row>
    <row r="36" spans="1:17" ht="24.95" hidden="1" customHeight="1" x14ac:dyDescent="0.25">
      <c r="A36" s="3">
        <v>1</v>
      </c>
      <c r="B36" s="3" t="s">
        <v>383</v>
      </c>
      <c r="C36" s="3" t="s">
        <v>507</v>
      </c>
      <c r="I36" s="3">
        <v>32</v>
      </c>
      <c r="J36" s="3">
        <v>6</v>
      </c>
      <c r="K36" s="3">
        <v>1</v>
      </c>
      <c r="L36" s="3">
        <v>6</v>
      </c>
      <c r="M36" s="3">
        <v>2980</v>
      </c>
      <c r="N36" s="3">
        <v>17.88</v>
      </c>
      <c r="O36" s="3">
        <v>6.31</v>
      </c>
      <c r="P36" s="3">
        <v>112.82279999999999</v>
      </c>
      <c r="Q36" s="3">
        <v>2980</v>
      </c>
    </row>
    <row r="37" spans="1:17" ht="24.95" hidden="1" customHeight="1" x14ac:dyDescent="0.25">
      <c r="A37" s="3">
        <v>1</v>
      </c>
      <c r="B37" s="3" t="s">
        <v>383</v>
      </c>
      <c r="C37" s="3" t="s">
        <v>508</v>
      </c>
      <c r="I37" s="3">
        <v>32</v>
      </c>
      <c r="J37" s="3">
        <v>6</v>
      </c>
      <c r="K37" s="3">
        <v>1</v>
      </c>
      <c r="L37" s="3">
        <v>6</v>
      </c>
      <c r="M37" s="3">
        <v>3200</v>
      </c>
      <c r="N37" s="3">
        <v>19.2</v>
      </c>
      <c r="O37" s="3">
        <v>6.31</v>
      </c>
      <c r="P37" s="3">
        <v>121.15199999999999</v>
      </c>
      <c r="Q37" s="3">
        <v>3200</v>
      </c>
    </row>
    <row r="38" spans="1:17" ht="24.95" hidden="1" customHeight="1" x14ac:dyDescent="0.25">
      <c r="A38" s="3">
        <v>1</v>
      </c>
      <c r="B38" s="3" t="s">
        <v>383</v>
      </c>
      <c r="C38" s="3" t="s">
        <v>509</v>
      </c>
      <c r="I38" s="3">
        <v>32</v>
      </c>
      <c r="J38" s="3">
        <v>34</v>
      </c>
      <c r="K38" s="3">
        <v>1</v>
      </c>
      <c r="L38" s="3">
        <v>34</v>
      </c>
      <c r="M38" s="3">
        <v>11700</v>
      </c>
      <c r="N38" s="3">
        <v>397.8</v>
      </c>
      <c r="O38" s="3">
        <v>6.31</v>
      </c>
      <c r="P38" s="3">
        <v>2510.1179999999999</v>
      </c>
      <c r="Q38" s="3">
        <v>11700</v>
      </c>
    </row>
    <row r="39" spans="1:17" ht="24.95" hidden="1" customHeight="1" x14ac:dyDescent="0.25">
      <c r="A39" s="3">
        <v>1</v>
      </c>
      <c r="B39" s="3" t="s">
        <v>383</v>
      </c>
      <c r="C39" s="3" t="s">
        <v>510</v>
      </c>
      <c r="I39" s="3">
        <v>32</v>
      </c>
      <c r="J39" s="3">
        <v>8</v>
      </c>
      <c r="K39" s="3">
        <v>1</v>
      </c>
      <c r="L39" s="3">
        <v>8</v>
      </c>
      <c r="M39" s="3">
        <v>5960</v>
      </c>
      <c r="N39" s="3">
        <v>47.68</v>
      </c>
      <c r="O39" s="3">
        <v>6.31</v>
      </c>
      <c r="P39" s="3">
        <v>300.86079999999998</v>
      </c>
      <c r="Q39" s="3">
        <v>5960</v>
      </c>
    </row>
    <row r="40" spans="1:17" ht="24.95" hidden="1" customHeight="1" x14ac:dyDescent="0.25">
      <c r="A40" s="3">
        <v>1</v>
      </c>
      <c r="B40" s="3" t="s">
        <v>383</v>
      </c>
      <c r="C40" s="3" t="s">
        <v>511</v>
      </c>
      <c r="I40" s="3">
        <v>32</v>
      </c>
      <c r="J40" s="3">
        <v>9</v>
      </c>
      <c r="K40" s="3">
        <v>1</v>
      </c>
      <c r="L40" s="3">
        <v>9</v>
      </c>
      <c r="M40" s="3">
        <v>6750</v>
      </c>
      <c r="N40" s="3">
        <v>60.75</v>
      </c>
      <c r="O40" s="3">
        <v>6.31</v>
      </c>
      <c r="P40" s="3">
        <v>383.33249999999998</v>
      </c>
      <c r="Q40" s="3">
        <v>6750</v>
      </c>
    </row>
    <row r="41" spans="1:17" ht="24.95" hidden="1" customHeight="1" x14ac:dyDescent="0.25">
      <c r="A41" s="3">
        <v>1</v>
      </c>
      <c r="B41" s="3" t="s">
        <v>383</v>
      </c>
      <c r="C41" s="3" t="s">
        <v>512</v>
      </c>
      <c r="I41" s="3">
        <v>32</v>
      </c>
      <c r="J41" s="3">
        <v>9</v>
      </c>
      <c r="K41" s="3">
        <v>1</v>
      </c>
      <c r="L41" s="3">
        <v>9</v>
      </c>
      <c r="M41" s="3">
        <v>7780</v>
      </c>
      <c r="N41" s="3">
        <v>70.02</v>
      </c>
      <c r="O41" s="3">
        <v>6.31</v>
      </c>
      <c r="P41" s="3">
        <v>441.82619999999997</v>
      </c>
      <c r="Q41" s="3">
        <v>7780</v>
      </c>
    </row>
    <row r="42" spans="1:17" ht="24.95" hidden="1" customHeight="1" x14ac:dyDescent="0.25">
      <c r="A42" s="3">
        <v>1</v>
      </c>
      <c r="B42" s="3" t="s">
        <v>383</v>
      </c>
      <c r="C42" s="3" t="s">
        <v>513</v>
      </c>
      <c r="I42" s="3">
        <v>32</v>
      </c>
      <c r="J42" s="3">
        <v>8</v>
      </c>
      <c r="K42" s="3">
        <v>1</v>
      </c>
      <c r="L42" s="3">
        <v>8</v>
      </c>
      <c r="M42" s="3">
        <v>8500</v>
      </c>
      <c r="N42" s="3">
        <v>68</v>
      </c>
      <c r="O42" s="3">
        <v>6.31</v>
      </c>
      <c r="P42" s="3">
        <v>429.08</v>
      </c>
      <c r="Q42" s="3">
        <v>8500</v>
      </c>
    </row>
    <row r="43" spans="1:17" ht="24.95" hidden="1" customHeight="1" x14ac:dyDescent="0.25">
      <c r="A43" s="3">
        <v>1</v>
      </c>
      <c r="B43" s="3" t="s">
        <v>383</v>
      </c>
      <c r="C43" s="3" t="s">
        <v>514</v>
      </c>
      <c r="I43" s="3">
        <v>32</v>
      </c>
      <c r="J43" s="3">
        <v>17</v>
      </c>
      <c r="K43" s="3">
        <v>1</v>
      </c>
      <c r="L43" s="3">
        <v>17</v>
      </c>
      <c r="M43" s="3">
        <v>5250</v>
      </c>
      <c r="N43" s="3">
        <v>89.25</v>
      </c>
      <c r="O43" s="3">
        <v>6.31</v>
      </c>
      <c r="P43" s="3">
        <v>563.16750000000002</v>
      </c>
      <c r="Q43" s="3">
        <v>5250</v>
      </c>
    </row>
    <row r="44" spans="1:17" ht="24.95" hidden="1" customHeight="1" x14ac:dyDescent="0.25">
      <c r="A44" s="3">
        <v>1</v>
      </c>
      <c r="B44" s="3" t="s">
        <v>383</v>
      </c>
      <c r="C44" s="3" t="s">
        <v>515</v>
      </c>
      <c r="I44" s="3">
        <v>32</v>
      </c>
      <c r="J44" s="3">
        <v>9</v>
      </c>
      <c r="K44" s="3">
        <v>1</v>
      </c>
      <c r="L44" s="3">
        <v>9</v>
      </c>
      <c r="M44" s="3">
        <v>4950</v>
      </c>
      <c r="N44" s="3">
        <v>44.55</v>
      </c>
      <c r="O44" s="3">
        <v>6.31</v>
      </c>
      <c r="P44" s="3">
        <v>281.11049999999994</v>
      </c>
      <c r="Q44" s="3">
        <v>4950</v>
      </c>
    </row>
    <row r="45" spans="1:17" ht="24.95" hidden="1" customHeight="1" x14ac:dyDescent="0.25">
      <c r="A45" s="3">
        <v>1</v>
      </c>
      <c r="B45" s="3" t="s">
        <v>383</v>
      </c>
      <c r="C45" s="3" t="s">
        <v>516</v>
      </c>
      <c r="I45" s="3">
        <v>32</v>
      </c>
      <c r="J45" s="3">
        <v>17</v>
      </c>
      <c r="K45" s="3">
        <v>1</v>
      </c>
      <c r="L45" s="3">
        <v>17</v>
      </c>
      <c r="M45" s="3">
        <v>5740</v>
      </c>
      <c r="N45" s="3">
        <v>97.58</v>
      </c>
      <c r="O45" s="3">
        <v>6.31</v>
      </c>
      <c r="P45" s="3">
        <v>615.72979999999995</v>
      </c>
      <c r="Q45" s="3">
        <v>5740</v>
      </c>
    </row>
    <row r="46" spans="1:17" ht="24.95" hidden="1" customHeight="1" x14ac:dyDescent="0.25">
      <c r="A46" s="3">
        <v>1</v>
      </c>
      <c r="B46" s="3" t="s">
        <v>383</v>
      </c>
      <c r="C46" s="3" t="s">
        <v>517</v>
      </c>
      <c r="I46" s="3">
        <v>32</v>
      </c>
      <c r="J46" s="3">
        <v>9</v>
      </c>
      <c r="K46" s="3">
        <v>1</v>
      </c>
      <c r="L46" s="3">
        <v>9</v>
      </c>
      <c r="M46" s="3">
        <v>5440</v>
      </c>
      <c r="N46" s="3">
        <v>48.96</v>
      </c>
      <c r="O46" s="3">
        <v>6.31</v>
      </c>
      <c r="P46" s="3">
        <v>308.93759999999997</v>
      </c>
      <c r="Q46" s="3">
        <v>5440</v>
      </c>
    </row>
    <row r="47" spans="1:17" ht="24.95" hidden="1" customHeight="1" x14ac:dyDescent="0.25">
      <c r="A47" s="3">
        <v>1</v>
      </c>
      <c r="B47" s="3" t="s">
        <v>383</v>
      </c>
      <c r="C47" s="3" t="s">
        <v>518</v>
      </c>
      <c r="I47" s="3">
        <v>16</v>
      </c>
      <c r="J47" s="3">
        <v>194</v>
      </c>
      <c r="K47" s="3">
        <v>1</v>
      </c>
      <c r="L47" s="3">
        <v>194</v>
      </c>
      <c r="M47" s="3">
        <v>7370</v>
      </c>
      <c r="N47" s="3">
        <v>1429.78</v>
      </c>
      <c r="O47" s="3">
        <v>1.58</v>
      </c>
      <c r="P47" s="3">
        <v>2259.0524</v>
      </c>
      <c r="Q47" s="3">
        <v>7370</v>
      </c>
    </row>
    <row r="48" spans="1:17" ht="24.95" hidden="1" customHeight="1" x14ac:dyDescent="0.25">
      <c r="A48" s="3">
        <v>1</v>
      </c>
      <c r="B48" s="3" t="s">
        <v>383</v>
      </c>
      <c r="C48" s="3" t="s">
        <v>519</v>
      </c>
      <c r="I48" s="3">
        <v>16</v>
      </c>
      <c r="J48" s="3">
        <v>194</v>
      </c>
      <c r="K48" s="3">
        <v>1</v>
      </c>
      <c r="L48" s="3">
        <v>194</v>
      </c>
      <c r="M48" s="3">
        <v>4030</v>
      </c>
      <c r="N48" s="3">
        <v>781.82</v>
      </c>
      <c r="O48" s="3">
        <v>1.58</v>
      </c>
      <c r="P48" s="3">
        <v>1235.2756000000002</v>
      </c>
      <c r="Q48" s="3">
        <v>4030</v>
      </c>
    </row>
    <row r="49" spans="1:17" ht="24.95" hidden="1" customHeight="1" x14ac:dyDescent="0.25">
      <c r="A49" s="3">
        <v>1</v>
      </c>
      <c r="B49" s="3" t="s">
        <v>383</v>
      </c>
      <c r="C49" s="3" t="s">
        <v>520</v>
      </c>
      <c r="I49" s="3">
        <v>16</v>
      </c>
      <c r="J49" s="3">
        <v>1463</v>
      </c>
      <c r="K49" s="3">
        <v>1</v>
      </c>
      <c r="L49" s="3">
        <v>1463</v>
      </c>
      <c r="M49" s="3">
        <v>2670</v>
      </c>
      <c r="N49" s="3">
        <v>3906.21</v>
      </c>
      <c r="O49" s="3">
        <v>1.58</v>
      </c>
      <c r="P49" s="3">
        <v>6171.8118000000004</v>
      </c>
      <c r="Q49" s="3">
        <v>2670</v>
      </c>
    </row>
    <row r="50" spans="1:17" ht="24.95" hidden="1" customHeight="1" x14ac:dyDescent="0.25">
      <c r="A50" s="3">
        <v>1</v>
      </c>
      <c r="B50" s="3" t="s">
        <v>383</v>
      </c>
      <c r="C50" s="3" t="s">
        <v>521</v>
      </c>
      <c r="I50" s="3">
        <v>18</v>
      </c>
      <c r="J50" s="3">
        <v>6</v>
      </c>
      <c r="K50" s="3">
        <v>1</v>
      </c>
      <c r="L50" s="3">
        <v>6</v>
      </c>
      <c r="M50" s="3">
        <v>8900</v>
      </c>
      <c r="N50" s="3">
        <v>53.4</v>
      </c>
      <c r="O50" s="3">
        <v>2</v>
      </c>
      <c r="P50" s="3">
        <v>106.8</v>
      </c>
      <c r="Q50" s="3">
        <v>8900</v>
      </c>
    </row>
    <row r="51" spans="1:17" ht="24.95" hidden="1" customHeight="1" x14ac:dyDescent="0.25">
      <c r="A51" s="3">
        <v>1</v>
      </c>
      <c r="B51" s="3" t="s">
        <v>383</v>
      </c>
      <c r="C51" s="3" t="s">
        <v>522</v>
      </c>
      <c r="I51" s="3">
        <v>18</v>
      </c>
      <c r="J51" s="3">
        <v>12</v>
      </c>
      <c r="K51" s="3">
        <v>1</v>
      </c>
      <c r="L51" s="3">
        <v>12</v>
      </c>
      <c r="M51" s="3">
        <v>11700</v>
      </c>
      <c r="N51" s="3">
        <v>140.4</v>
      </c>
      <c r="O51" s="3">
        <v>2</v>
      </c>
      <c r="P51" s="3">
        <v>280.8</v>
      </c>
      <c r="Q51" s="3">
        <v>11700</v>
      </c>
    </row>
    <row r="52" spans="1:17" ht="24.95" hidden="1" customHeight="1" x14ac:dyDescent="0.25">
      <c r="A52" s="3">
        <v>1</v>
      </c>
      <c r="B52" s="3" t="s">
        <v>383</v>
      </c>
      <c r="C52" s="3" t="s">
        <v>523</v>
      </c>
      <c r="I52" s="3">
        <v>18</v>
      </c>
      <c r="J52" s="3">
        <v>6</v>
      </c>
      <c r="K52" s="3">
        <v>1</v>
      </c>
      <c r="L52" s="3">
        <v>6</v>
      </c>
      <c r="M52" s="3">
        <v>11720</v>
      </c>
      <c r="N52" s="3">
        <v>70.319999999999993</v>
      </c>
      <c r="O52" s="3">
        <v>2</v>
      </c>
      <c r="P52" s="3">
        <v>140.63999999999999</v>
      </c>
      <c r="Q52" s="3">
        <v>11720</v>
      </c>
    </row>
    <row r="53" spans="1:17" ht="24.95" hidden="1" customHeight="1" x14ac:dyDescent="0.25">
      <c r="A53" s="3">
        <v>1</v>
      </c>
      <c r="B53" s="3" t="s">
        <v>383</v>
      </c>
      <c r="C53" s="3" t="s">
        <v>524</v>
      </c>
      <c r="I53" s="3">
        <v>18</v>
      </c>
      <c r="J53" s="3">
        <v>6</v>
      </c>
      <c r="K53" s="3">
        <v>1</v>
      </c>
      <c r="L53" s="3">
        <v>6</v>
      </c>
      <c r="M53" s="3">
        <v>11700</v>
      </c>
      <c r="N53" s="3">
        <v>70.2</v>
      </c>
      <c r="O53" s="3">
        <v>2</v>
      </c>
      <c r="P53" s="3">
        <v>140.4</v>
      </c>
      <c r="Q53" s="3">
        <v>11700</v>
      </c>
    </row>
    <row r="54" spans="1:17" ht="24.95" hidden="1" customHeight="1" x14ac:dyDescent="0.25">
      <c r="A54" s="3">
        <v>1</v>
      </c>
      <c r="B54" s="3" t="s">
        <v>383</v>
      </c>
      <c r="C54" s="3" t="s">
        <v>525</v>
      </c>
      <c r="I54" s="3">
        <v>18</v>
      </c>
      <c r="J54" s="3">
        <v>6</v>
      </c>
      <c r="K54" s="3">
        <v>1</v>
      </c>
      <c r="L54" s="3">
        <v>6</v>
      </c>
      <c r="M54" s="3">
        <v>6910</v>
      </c>
      <c r="N54" s="3">
        <v>41.46</v>
      </c>
      <c r="O54" s="3">
        <v>2</v>
      </c>
      <c r="P54" s="3">
        <v>82.92</v>
      </c>
      <c r="Q54" s="3">
        <v>6910</v>
      </c>
    </row>
    <row r="55" spans="1:17" ht="24.95" hidden="1" customHeight="1" x14ac:dyDescent="0.25">
      <c r="A55" s="3">
        <v>1</v>
      </c>
      <c r="B55" s="3" t="s">
        <v>383</v>
      </c>
      <c r="C55" s="3" t="s">
        <v>526</v>
      </c>
      <c r="I55" s="3">
        <v>18</v>
      </c>
      <c r="J55" s="3">
        <v>6</v>
      </c>
      <c r="K55" s="3">
        <v>1</v>
      </c>
      <c r="L55" s="3">
        <v>6</v>
      </c>
      <c r="M55" s="3">
        <v>2820</v>
      </c>
      <c r="N55" s="3">
        <v>16.920000000000002</v>
      </c>
      <c r="O55" s="3">
        <v>2</v>
      </c>
      <c r="P55" s="3">
        <v>33.840000000000003</v>
      </c>
      <c r="Q55" s="3">
        <v>2820</v>
      </c>
    </row>
    <row r="56" spans="1:17" ht="24.95" hidden="1" customHeight="1" x14ac:dyDescent="0.25">
      <c r="A56" s="3">
        <v>1</v>
      </c>
      <c r="B56" s="3" t="s">
        <v>383</v>
      </c>
      <c r="C56" s="3" t="s">
        <v>527</v>
      </c>
      <c r="I56" s="3">
        <v>14</v>
      </c>
      <c r="J56" s="3">
        <v>582</v>
      </c>
      <c r="K56" s="3">
        <v>1</v>
      </c>
      <c r="L56" s="3">
        <v>582</v>
      </c>
      <c r="M56" s="3">
        <v>2870</v>
      </c>
      <c r="N56" s="3">
        <v>1670.34</v>
      </c>
      <c r="O56" s="3">
        <v>1.21</v>
      </c>
      <c r="P56" s="3">
        <v>2021.1113999999998</v>
      </c>
      <c r="Q56" s="3">
        <v>2870</v>
      </c>
    </row>
    <row r="57" spans="1:17" ht="24.95" hidden="1" customHeight="1" x14ac:dyDescent="0.25">
      <c r="A57" s="3">
        <v>1</v>
      </c>
      <c r="B57" s="3" t="s">
        <v>383</v>
      </c>
      <c r="C57" s="3" t="s">
        <v>528</v>
      </c>
      <c r="I57" s="3">
        <v>32</v>
      </c>
      <c r="J57" s="3">
        <v>33</v>
      </c>
      <c r="K57" s="3">
        <v>1</v>
      </c>
      <c r="L57" s="3">
        <v>33</v>
      </c>
      <c r="M57" s="3">
        <v>2590</v>
      </c>
      <c r="N57" s="3">
        <v>85.47</v>
      </c>
      <c r="O57" s="3">
        <v>6.31</v>
      </c>
      <c r="P57" s="3">
        <v>539.31569999999999</v>
      </c>
      <c r="Q57" s="3">
        <v>2590</v>
      </c>
    </row>
    <row r="58" spans="1:17" ht="24.95" hidden="1" customHeight="1" x14ac:dyDescent="0.25">
      <c r="A58" s="3">
        <v>1</v>
      </c>
      <c r="B58" s="3" t="s">
        <v>383</v>
      </c>
      <c r="C58" s="3" t="s">
        <v>529</v>
      </c>
      <c r="I58" s="3">
        <v>14</v>
      </c>
      <c r="J58" s="3">
        <v>21</v>
      </c>
      <c r="K58" s="3">
        <v>1</v>
      </c>
      <c r="L58" s="3">
        <v>21</v>
      </c>
      <c r="M58" s="3">
        <v>11700</v>
      </c>
      <c r="N58" s="3">
        <v>245.7</v>
      </c>
      <c r="O58" s="3">
        <v>1.21</v>
      </c>
      <c r="P58" s="3">
        <v>297.29699999999997</v>
      </c>
      <c r="Q58" s="3">
        <v>11700</v>
      </c>
    </row>
    <row r="59" spans="1:17" ht="24.95" hidden="1" customHeight="1" x14ac:dyDescent="0.25">
      <c r="A59" s="3">
        <v>1</v>
      </c>
      <c r="B59" s="3" t="s">
        <v>383</v>
      </c>
      <c r="C59" s="3" t="s">
        <v>530</v>
      </c>
      <c r="I59" s="3">
        <v>14</v>
      </c>
      <c r="J59" s="3">
        <v>42</v>
      </c>
      <c r="K59" s="3">
        <v>1</v>
      </c>
      <c r="L59" s="3">
        <v>42</v>
      </c>
      <c r="M59" s="3">
        <v>11700</v>
      </c>
      <c r="N59" s="3">
        <v>491.4</v>
      </c>
      <c r="O59" s="3">
        <v>1.21</v>
      </c>
      <c r="P59" s="3">
        <v>594.59399999999994</v>
      </c>
      <c r="Q59" s="3">
        <v>11700</v>
      </c>
    </row>
    <row r="60" spans="1:17" ht="24.95" hidden="1" customHeight="1" x14ac:dyDescent="0.25">
      <c r="A60" s="3">
        <v>1</v>
      </c>
      <c r="B60" s="3" t="s">
        <v>383</v>
      </c>
      <c r="C60" s="3" t="s">
        <v>531</v>
      </c>
      <c r="I60" s="3">
        <v>14</v>
      </c>
      <c r="J60" s="3">
        <v>21</v>
      </c>
      <c r="K60" s="3">
        <v>1</v>
      </c>
      <c r="L60" s="3">
        <v>21</v>
      </c>
      <c r="M60" s="3">
        <v>8560</v>
      </c>
      <c r="N60" s="3">
        <v>179.76</v>
      </c>
      <c r="O60" s="3">
        <v>1.21</v>
      </c>
      <c r="P60" s="3">
        <v>217.50959999999998</v>
      </c>
      <c r="Q60" s="3">
        <v>8560</v>
      </c>
    </row>
    <row r="61" spans="1:17" ht="24.95" hidden="1" customHeight="1" x14ac:dyDescent="0.25">
      <c r="A61" s="3">
        <v>1</v>
      </c>
      <c r="B61" s="3" t="s">
        <v>383</v>
      </c>
      <c r="C61" s="3" t="s">
        <v>532</v>
      </c>
      <c r="I61" s="3">
        <v>14</v>
      </c>
      <c r="J61" s="3">
        <v>21</v>
      </c>
      <c r="K61" s="3">
        <v>1</v>
      </c>
      <c r="L61" s="3">
        <v>21</v>
      </c>
      <c r="M61" s="3">
        <v>11700</v>
      </c>
      <c r="N61" s="3">
        <v>245.7</v>
      </c>
      <c r="O61" s="3">
        <v>1.21</v>
      </c>
      <c r="P61" s="3">
        <v>297.29699999999997</v>
      </c>
      <c r="Q61" s="3">
        <v>11700</v>
      </c>
    </row>
    <row r="62" spans="1:17" ht="24.95" hidden="1" customHeight="1" x14ac:dyDescent="0.25">
      <c r="A62" s="3">
        <v>1</v>
      </c>
      <c r="B62" s="3" t="s">
        <v>383</v>
      </c>
      <c r="C62" s="3" t="s">
        <v>533</v>
      </c>
      <c r="I62" s="3">
        <v>14</v>
      </c>
      <c r="J62" s="3">
        <v>21</v>
      </c>
      <c r="K62" s="3">
        <v>1</v>
      </c>
      <c r="L62" s="3">
        <v>21</v>
      </c>
      <c r="M62" s="3">
        <v>6050</v>
      </c>
      <c r="N62" s="3">
        <v>127.05</v>
      </c>
      <c r="O62" s="3">
        <v>1.21</v>
      </c>
      <c r="P62" s="3">
        <v>153.73049999999998</v>
      </c>
      <c r="Q62" s="3">
        <v>6050</v>
      </c>
    </row>
    <row r="63" spans="1:17" ht="24.95" hidden="1" customHeight="1" x14ac:dyDescent="0.25">
      <c r="A63" s="3">
        <v>1</v>
      </c>
      <c r="B63" s="3" t="s">
        <v>383</v>
      </c>
      <c r="C63" s="3" t="s">
        <v>534</v>
      </c>
      <c r="I63" s="3">
        <v>14</v>
      </c>
      <c r="J63" s="3">
        <v>21</v>
      </c>
      <c r="K63" s="3">
        <v>1</v>
      </c>
      <c r="L63" s="3">
        <v>21</v>
      </c>
      <c r="M63" s="3">
        <v>3140</v>
      </c>
      <c r="N63" s="3">
        <v>65.94</v>
      </c>
      <c r="O63" s="3">
        <v>1.21</v>
      </c>
      <c r="P63" s="3">
        <v>79.787399999999991</v>
      </c>
      <c r="Q63" s="3">
        <v>3140</v>
      </c>
    </row>
    <row r="64" spans="1:17" ht="24.95" hidden="1" customHeight="1" x14ac:dyDescent="0.25">
      <c r="A64" s="3">
        <v>1</v>
      </c>
      <c r="B64" s="3" t="s">
        <v>384</v>
      </c>
      <c r="C64" s="3" t="s">
        <v>535</v>
      </c>
      <c r="I64" s="3">
        <v>32</v>
      </c>
      <c r="J64" s="3">
        <v>7</v>
      </c>
      <c r="K64" s="3">
        <v>1</v>
      </c>
      <c r="L64" s="3">
        <v>7</v>
      </c>
      <c r="M64" s="3">
        <v>10000</v>
      </c>
      <c r="N64" s="3">
        <v>70</v>
      </c>
      <c r="O64" s="3">
        <v>6.31</v>
      </c>
      <c r="P64" s="3">
        <v>441.7</v>
      </c>
      <c r="Q64" s="3">
        <v>10000</v>
      </c>
    </row>
    <row r="65" spans="1:17" ht="24.95" hidden="1" customHeight="1" x14ac:dyDescent="0.25">
      <c r="A65" s="3">
        <v>1</v>
      </c>
      <c r="B65" s="3" t="s">
        <v>384</v>
      </c>
      <c r="C65" s="3" t="s">
        <v>536</v>
      </c>
      <c r="I65" s="3">
        <v>32</v>
      </c>
      <c r="J65" s="3">
        <v>7</v>
      </c>
      <c r="K65" s="3">
        <v>1</v>
      </c>
      <c r="L65" s="3">
        <v>7</v>
      </c>
      <c r="M65" s="3">
        <v>3900</v>
      </c>
      <c r="N65" s="3">
        <v>27.3</v>
      </c>
      <c r="O65" s="3">
        <v>6.31</v>
      </c>
      <c r="P65" s="3">
        <v>172.26300000000001</v>
      </c>
      <c r="Q65" s="3">
        <v>3900</v>
      </c>
    </row>
    <row r="66" spans="1:17" ht="24.95" hidden="1" customHeight="1" x14ac:dyDescent="0.25">
      <c r="A66" s="3">
        <v>1</v>
      </c>
      <c r="B66" s="3" t="s">
        <v>384</v>
      </c>
      <c r="C66" s="3" t="s">
        <v>537</v>
      </c>
      <c r="I66" s="3">
        <v>32</v>
      </c>
      <c r="J66" s="3">
        <v>6</v>
      </c>
      <c r="K66" s="3">
        <v>1</v>
      </c>
      <c r="L66" s="3">
        <v>6</v>
      </c>
      <c r="M66" s="3">
        <v>10000</v>
      </c>
      <c r="N66" s="3">
        <v>60</v>
      </c>
      <c r="O66" s="3">
        <v>6.31</v>
      </c>
      <c r="P66" s="3">
        <v>378.59999999999997</v>
      </c>
      <c r="Q66" s="3">
        <v>10000</v>
      </c>
    </row>
    <row r="67" spans="1:17" ht="24.95" hidden="1" customHeight="1" x14ac:dyDescent="0.25">
      <c r="A67" s="3">
        <v>1</v>
      </c>
      <c r="B67" s="3" t="s">
        <v>384</v>
      </c>
      <c r="C67" s="3" t="s">
        <v>538</v>
      </c>
      <c r="I67" s="3">
        <v>32</v>
      </c>
      <c r="J67" s="3">
        <v>6</v>
      </c>
      <c r="K67" s="3">
        <v>1</v>
      </c>
      <c r="L67" s="3">
        <v>6</v>
      </c>
      <c r="M67" s="3">
        <v>3900</v>
      </c>
      <c r="N67" s="3">
        <v>23.4</v>
      </c>
      <c r="O67" s="3">
        <v>6.31</v>
      </c>
      <c r="P67" s="3">
        <v>147.65399999999997</v>
      </c>
      <c r="Q67" s="3">
        <v>3900</v>
      </c>
    </row>
    <row r="68" spans="1:17" ht="24.95" hidden="1" customHeight="1" x14ac:dyDescent="0.25">
      <c r="A68" s="3">
        <v>1</v>
      </c>
      <c r="B68" s="3" t="s">
        <v>384</v>
      </c>
      <c r="C68" s="3" t="s">
        <v>539</v>
      </c>
      <c r="I68" s="3">
        <v>32</v>
      </c>
      <c r="J68" s="3">
        <v>6</v>
      </c>
      <c r="K68" s="3">
        <v>1</v>
      </c>
      <c r="L68" s="3">
        <v>6</v>
      </c>
      <c r="M68" s="3">
        <v>8200</v>
      </c>
      <c r="N68" s="3">
        <v>49.2</v>
      </c>
      <c r="O68" s="3">
        <v>6.31</v>
      </c>
      <c r="P68" s="3">
        <v>310.452</v>
      </c>
      <c r="Q68" s="3">
        <v>8200</v>
      </c>
    </row>
    <row r="69" spans="1:17" ht="24.95" hidden="1" customHeight="1" x14ac:dyDescent="0.25">
      <c r="A69" s="3">
        <v>1</v>
      </c>
      <c r="B69" s="3" t="s">
        <v>384</v>
      </c>
      <c r="C69" s="3" t="s">
        <v>540</v>
      </c>
      <c r="I69" s="3">
        <v>32</v>
      </c>
      <c r="J69" s="3">
        <v>6</v>
      </c>
      <c r="K69" s="3">
        <v>1</v>
      </c>
      <c r="L69" s="3">
        <v>6</v>
      </c>
      <c r="M69" s="3">
        <v>5850</v>
      </c>
      <c r="N69" s="3">
        <v>35.1</v>
      </c>
      <c r="O69" s="3">
        <v>6.31</v>
      </c>
      <c r="P69" s="3">
        <v>221.48099999999999</v>
      </c>
      <c r="Q69" s="3">
        <v>5850</v>
      </c>
    </row>
    <row r="70" spans="1:17" ht="24.95" hidden="1" customHeight="1" x14ac:dyDescent="0.25">
      <c r="A70" s="3">
        <v>1</v>
      </c>
      <c r="B70" s="3" t="s">
        <v>384</v>
      </c>
      <c r="C70" s="3" t="s">
        <v>541</v>
      </c>
      <c r="I70" s="3">
        <v>32</v>
      </c>
      <c r="J70" s="3">
        <v>7</v>
      </c>
      <c r="K70" s="3">
        <v>1</v>
      </c>
      <c r="L70" s="3">
        <v>7</v>
      </c>
      <c r="M70" s="3">
        <v>6380</v>
      </c>
      <c r="N70" s="3">
        <v>44.66</v>
      </c>
      <c r="O70" s="3">
        <v>6.31</v>
      </c>
      <c r="P70" s="3">
        <v>281.80459999999994</v>
      </c>
      <c r="Q70" s="3">
        <v>6380</v>
      </c>
    </row>
    <row r="71" spans="1:17" ht="24.95" hidden="1" customHeight="1" x14ac:dyDescent="0.25">
      <c r="A71" s="3">
        <v>1</v>
      </c>
      <c r="B71" s="3" t="s">
        <v>384</v>
      </c>
      <c r="C71" s="3" t="s">
        <v>542</v>
      </c>
      <c r="I71" s="3">
        <v>32</v>
      </c>
      <c r="J71" s="3">
        <v>7</v>
      </c>
      <c r="K71" s="3">
        <v>1</v>
      </c>
      <c r="L71" s="3">
        <v>7</v>
      </c>
      <c r="M71" s="3">
        <v>7670</v>
      </c>
      <c r="N71" s="3">
        <v>53.69</v>
      </c>
      <c r="O71" s="3">
        <v>6.31</v>
      </c>
      <c r="P71" s="3">
        <v>338.78389999999996</v>
      </c>
      <c r="Q71" s="3">
        <v>7670</v>
      </c>
    </row>
    <row r="72" spans="1:17" ht="24.95" hidden="1" customHeight="1" x14ac:dyDescent="0.25">
      <c r="A72" s="3">
        <v>1</v>
      </c>
      <c r="B72" s="3" t="s">
        <v>384</v>
      </c>
      <c r="C72" s="3" t="s">
        <v>543</v>
      </c>
      <c r="I72" s="3">
        <v>32</v>
      </c>
      <c r="J72" s="3">
        <v>13</v>
      </c>
      <c r="K72" s="3">
        <v>1</v>
      </c>
      <c r="L72" s="3">
        <v>13</v>
      </c>
      <c r="M72" s="3">
        <v>3900</v>
      </c>
      <c r="N72" s="3">
        <v>50.7</v>
      </c>
      <c r="O72" s="3">
        <v>6.31</v>
      </c>
      <c r="P72" s="3">
        <v>319.91699999999997</v>
      </c>
      <c r="Q72" s="3">
        <v>3900</v>
      </c>
    </row>
    <row r="73" spans="1:17" ht="24.95" hidden="1" customHeight="1" x14ac:dyDescent="0.25">
      <c r="A73" s="3">
        <v>1</v>
      </c>
      <c r="B73" s="3" t="s">
        <v>384</v>
      </c>
      <c r="C73" s="3" t="s">
        <v>544</v>
      </c>
      <c r="I73" s="3">
        <v>32</v>
      </c>
      <c r="J73" s="3">
        <v>9</v>
      </c>
      <c r="K73" s="3">
        <v>1</v>
      </c>
      <c r="L73" s="3">
        <v>9</v>
      </c>
      <c r="M73" s="3">
        <v>3700</v>
      </c>
      <c r="N73" s="3">
        <v>33.299999999999997</v>
      </c>
      <c r="O73" s="3">
        <v>6.31</v>
      </c>
      <c r="P73" s="3">
        <v>210.12299999999996</v>
      </c>
      <c r="Q73" s="3">
        <v>3700</v>
      </c>
    </row>
    <row r="74" spans="1:17" ht="24.95" hidden="1" customHeight="1" x14ac:dyDescent="0.25">
      <c r="A74" s="3">
        <v>1</v>
      </c>
      <c r="B74" s="3" t="s">
        <v>384</v>
      </c>
      <c r="C74" s="3" t="s">
        <v>545</v>
      </c>
      <c r="I74" s="3">
        <v>16</v>
      </c>
      <c r="J74" s="3">
        <v>68</v>
      </c>
      <c r="K74" s="3">
        <v>1</v>
      </c>
      <c r="L74" s="3">
        <v>68</v>
      </c>
      <c r="M74" s="3">
        <v>6270</v>
      </c>
      <c r="N74" s="3">
        <v>426.36</v>
      </c>
      <c r="O74" s="3">
        <v>1.58</v>
      </c>
      <c r="P74" s="3">
        <v>673.64880000000005</v>
      </c>
      <c r="Q74" s="3">
        <v>6270</v>
      </c>
    </row>
    <row r="75" spans="1:17" ht="24.95" hidden="1" customHeight="1" x14ac:dyDescent="0.25">
      <c r="A75" s="3">
        <v>1</v>
      </c>
      <c r="B75" s="3" t="s">
        <v>384</v>
      </c>
      <c r="C75" s="3" t="s">
        <v>546</v>
      </c>
      <c r="I75" s="3">
        <v>16</v>
      </c>
      <c r="J75" s="3">
        <v>68</v>
      </c>
      <c r="K75" s="3">
        <v>1</v>
      </c>
      <c r="L75" s="3">
        <v>68</v>
      </c>
      <c r="M75" s="3">
        <v>2930</v>
      </c>
      <c r="N75" s="3">
        <v>199.24</v>
      </c>
      <c r="O75" s="3">
        <v>1.58</v>
      </c>
      <c r="P75" s="3">
        <v>314.79920000000004</v>
      </c>
      <c r="Q75" s="3">
        <v>2930</v>
      </c>
    </row>
    <row r="76" spans="1:17" ht="24.95" hidden="1" customHeight="1" x14ac:dyDescent="0.25">
      <c r="A76" s="3">
        <v>1</v>
      </c>
      <c r="B76" s="3" t="s">
        <v>384</v>
      </c>
      <c r="C76" s="3" t="s">
        <v>547</v>
      </c>
      <c r="I76" s="3">
        <v>16</v>
      </c>
      <c r="J76" s="3">
        <v>340</v>
      </c>
      <c r="K76" s="3">
        <v>1</v>
      </c>
      <c r="L76" s="3">
        <v>340</v>
      </c>
      <c r="M76" s="3">
        <v>2670</v>
      </c>
      <c r="N76" s="3">
        <v>907.8</v>
      </c>
      <c r="O76" s="3">
        <v>1.58</v>
      </c>
      <c r="P76" s="3">
        <v>1434.3240000000001</v>
      </c>
      <c r="Q76" s="3">
        <v>2670</v>
      </c>
    </row>
    <row r="77" spans="1:17" ht="24.95" hidden="1" customHeight="1" x14ac:dyDescent="0.25">
      <c r="A77" s="3">
        <v>1</v>
      </c>
      <c r="B77" s="3" t="s">
        <v>384</v>
      </c>
      <c r="C77" s="3" t="s">
        <v>548</v>
      </c>
      <c r="I77" s="3">
        <v>18</v>
      </c>
      <c r="J77" s="3">
        <v>12</v>
      </c>
      <c r="K77" s="3">
        <v>1</v>
      </c>
      <c r="L77" s="3">
        <v>12</v>
      </c>
      <c r="M77" s="3">
        <v>9450</v>
      </c>
      <c r="N77" s="3">
        <v>113.4</v>
      </c>
      <c r="O77" s="3">
        <v>2</v>
      </c>
      <c r="P77" s="3">
        <v>226.8</v>
      </c>
      <c r="Q77" s="3">
        <v>9450</v>
      </c>
    </row>
    <row r="78" spans="1:17" ht="24.95" hidden="1" customHeight="1" x14ac:dyDescent="0.25">
      <c r="A78" s="3">
        <v>1</v>
      </c>
      <c r="B78" s="3" t="s">
        <v>384</v>
      </c>
      <c r="C78" s="3" t="s">
        <v>549</v>
      </c>
      <c r="I78" s="3">
        <v>14</v>
      </c>
      <c r="J78" s="3">
        <v>204</v>
      </c>
      <c r="K78" s="3">
        <v>1</v>
      </c>
      <c r="L78" s="3">
        <v>204</v>
      </c>
      <c r="M78" s="3">
        <v>1770</v>
      </c>
      <c r="N78" s="3">
        <v>361.08</v>
      </c>
      <c r="O78" s="3">
        <v>1.21</v>
      </c>
      <c r="P78" s="3">
        <v>436.90679999999998</v>
      </c>
      <c r="Q78" s="3">
        <v>1770</v>
      </c>
    </row>
    <row r="79" spans="1:17" ht="24.95" hidden="1" customHeight="1" x14ac:dyDescent="0.25">
      <c r="A79" s="3">
        <v>1</v>
      </c>
      <c r="B79" s="3" t="s">
        <v>384</v>
      </c>
      <c r="C79" s="3" t="s">
        <v>550</v>
      </c>
      <c r="I79" s="3">
        <v>32</v>
      </c>
      <c r="J79" s="3">
        <v>33</v>
      </c>
      <c r="K79" s="3">
        <v>1</v>
      </c>
      <c r="L79" s="3">
        <v>33</v>
      </c>
      <c r="M79" s="3">
        <v>1490</v>
      </c>
      <c r="N79" s="3">
        <v>49.17</v>
      </c>
      <c r="O79" s="3">
        <v>6.31</v>
      </c>
      <c r="P79" s="3">
        <v>310.2627</v>
      </c>
      <c r="Q79" s="3">
        <v>1490</v>
      </c>
    </row>
    <row r="80" spans="1:17" ht="24.95" hidden="1" customHeight="1" x14ac:dyDescent="0.25">
      <c r="A80" s="3">
        <v>1</v>
      </c>
      <c r="B80" s="3" t="s">
        <v>384</v>
      </c>
      <c r="C80" s="3" t="s">
        <v>551</v>
      </c>
      <c r="I80" s="3">
        <v>14</v>
      </c>
      <c r="J80" s="3">
        <v>30</v>
      </c>
      <c r="K80" s="3">
        <v>1</v>
      </c>
      <c r="L80" s="3">
        <v>30</v>
      </c>
      <c r="M80" s="3">
        <v>9450</v>
      </c>
      <c r="N80" s="3">
        <v>283.5</v>
      </c>
      <c r="O80" s="3">
        <v>1.21</v>
      </c>
      <c r="P80" s="3">
        <v>343.03499999999997</v>
      </c>
      <c r="Q80" s="3">
        <v>9450</v>
      </c>
    </row>
    <row r="81" spans="1:17" ht="24.95" hidden="1" customHeight="1" x14ac:dyDescent="0.25">
      <c r="A81" s="3">
        <v>1</v>
      </c>
      <c r="B81" s="3" t="s">
        <v>385</v>
      </c>
      <c r="C81" s="3" t="s">
        <v>552</v>
      </c>
      <c r="I81" s="3">
        <v>32</v>
      </c>
      <c r="J81" s="3">
        <v>3</v>
      </c>
      <c r="K81" s="3">
        <v>2</v>
      </c>
      <c r="L81" s="3">
        <v>6</v>
      </c>
      <c r="M81" s="3">
        <v>11700</v>
      </c>
      <c r="N81" s="3">
        <v>70.2</v>
      </c>
      <c r="O81" s="3">
        <v>6.31</v>
      </c>
      <c r="P81" s="3">
        <v>442.96199999999999</v>
      </c>
      <c r="Q81" s="3">
        <v>11700</v>
      </c>
    </row>
    <row r="82" spans="1:17" ht="24.95" hidden="1" customHeight="1" x14ac:dyDescent="0.25">
      <c r="A82" s="3">
        <v>1</v>
      </c>
      <c r="B82" s="3" t="s">
        <v>385</v>
      </c>
      <c r="C82" s="3" t="s">
        <v>553</v>
      </c>
      <c r="I82" s="3">
        <v>32</v>
      </c>
      <c r="J82" s="3">
        <v>5</v>
      </c>
      <c r="K82" s="3">
        <v>2</v>
      </c>
      <c r="L82" s="3">
        <v>10</v>
      </c>
      <c r="M82" s="3">
        <v>3620</v>
      </c>
      <c r="N82" s="3">
        <v>36.200000000000003</v>
      </c>
      <c r="O82" s="3">
        <v>6.31</v>
      </c>
      <c r="P82" s="3">
        <v>228.422</v>
      </c>
      <c r="Q82" s="3">
        <v>3620</v>
      </c>
    </row>
    <row r="83" spans="1:17" ht="24.95" hidden="1" customHeight="1" x14ac:dyDescent="0.25">
      <c r="A83" s="3">
        <v>1</v>
      </c>
      <c r="B83" s="3" t="s">
        <v>385</v>
      </c>
      <c r="C83" s="3" t="s">
        <v>554</v>
      </c>
      <c r="I83" s="3">
        <v>32</v>
      </c>
      <c r="J83" s="3">
        <v>2</v>
      </c>
      <c r="K83" s="3">
        <v>2</v>
      </c>
      <c r="L83" s="3">
        <v>4</v>
      </c>
      <c r="M83" s="3">
        <v>11700</v>
      </c>
      <c r="N83" s="3">
        <v>46.8</v>
      </c>
      <c r="O83" s="3">
        <v>6.31</v>
      </c>
      <c r="P83" s="3">
        <v>295.30799999999994</v>
      </c>
      <c r="Q83" s="3">
        <v>11700</v>
      </c>
    </row>
    <row r="84" spans="1:17" ht="24.95" hidden="1" customHeight="1" x14ac:dyDescent="0.25">
      <c r="A84" s="3">
        <v>1</v>
      </c>
      <c r="B84" s="3" t="s">
        <v>385</v>
      </c>
      <c r="C84" s="3" t="s">
        <v>555</v>
      </c>
      <c r="I84" s="3">
        <v>32</v>
      </c>
      <c r="J84" s="3">
        <v>2</v>
      </c>
      <c r="K84" s="3">
        <v>2</v>
      </c>
      <c r="L84" s="3">
        <v>4</v>
      </c>
      <c r="M84" s="3">
        <v>6310</v>
      </c>
      <c r="N84" s="3">
        <v>25.24</v>
      </c>
      <c r="O84" s="3">
        <v>6.31</v>
      </c>
      <c r="P84" s="3">
        <v>159.26439999999997</v>
      </c>
      <c r="Q84" s="3">
        <v>6310</v>
      </c>
    </row>
    <row r="85" spans="1:17" ht="24.95" hidden="1" customHeight="1" x14ac:dyDescent="0.25">
      <c r="A85" s="3">
        <v>1</v>
      </c>
      <c r="B85" s="3" t="s">
        <v>385</v>
      </c>
      <c r="C85" s="3" t="s">
        <v>556</v>
      </c>
      <c r="I85" s="3">
        <v>32</v>
      </c>
      <c r="J85" s="3">
        <v>3</v>
      </c>
      <c r="K85" s="3">
        <v>2</v>
      </c>
      <c r="L85" s="3">
        <v>6</v>
      </c>
      <c r="M85" s="3">
        <v>7250</v>
      </c>
      <c r="N85" s="3">
        <v>43.5</v>
      </c>
      <c r="O85" s="3">
        <v>6.31</v>
      </c>
      <c r="P85" s="3">
        <v>274.48499999999996</v>
      </c>
      <c r="Q85" s="3">
        <v>7250</v>
      </c>
    </row>
    <row r="86" spans="1:17" ht="24.95" hidden="1" customHeight="1" x14ac:dyDescent="0.25">
      <c r="A86" s="3">
        <v>1</v>
      </c>
      <c r="B86" s="3" t="s">
        <v>385</v>
      </c>
      <c r="C86" s="3" t="s">
        <v>557</v>
      </c>
      <c r="I86" s="3">
        <v>32</v>
      </c>
      <c r="J86" s="3">
        <v>3</v>
      </c>
      <c r="K86" s="3">
        <v>2</v>
      </c>
      <c r="L86" s="3">
        <v>6</v>
      </c>
      <c r="M86" s="3">
        <v>8070</v>
      </c>
      <c r="N86" s="3">
        <v>48.42</v>
      </c>
      <c r="O86" s="3">
        <v>6.31</v>
      </c>
      <c r="P86" s="3">
        <v>305.53019999999998</v>
      </c>
      <c r="Q86" s="3">
        <v>8070</v>
      </c>
    </row>
    <row r="87" spans="1:17" ht="24.95" hidden="1" customHeight="1" x14ac:dyDescent="0.25">
      <c r="A87" s="3">
        <v>1</v>
      </c>
      <c r="B87" s="3" t="s">
        <v>385</v>
      </c>
      <c r="C87" s="3" t="s">
        <v>558</v>
      </c>
      <c r="I87" s="3">
        <v>32</v>
      </c>
      <c r="J87" s="3">
        <v>2</v>
      </c>
      <c r="K87" s="3">
        <v>2</v>
      </c>
      <c r="L87" s="3">
        <v>4</v>
      </c>
      <c r="M87" s="3">
        <v>9010</v>
      </c>
      <c r="N87" s="3">
        <v>36.04</v>
      </c>
      <c r="O87" s="3">
        <v>6.31</v>
      </c>
      <c r="P87" s="3">
        <v>227.41239999999999</v>
      </c>
      <c r="Q87" s="3">
        <v>9010</v>
      </c>
    </row>
    <row r="88" spans="1:17" ht="24.95" hidden="1" customHeight="1" x14ac:dyDescent="0.25">
      <c r="A88" s="3">
        <v>1</v>
      </c>
      <c r="B88" s="3" t="s">
        <v>385</v>
      </c>
      <c r="C88" s="3" t="s">
        <v>559</v>
      </c>
      <c r="I88" s="3">
        <v>16</v>
      </c>
      <c r="J88" s="3">
        <v>65</v>
      </c>
      <c r="K88" s="3">
        <v>1</v>
      </c>
      <c r="L88" s="3">
        <v>65</v>
      </c>
      <c r="M88" s="3">
        <v>1830</v>
      </c>
      <c r="N88" s="3">
        <v>118.95</v>
      </c>
      <c r="O88" s="3">
        <v>1.58</v>
      </c>
      <c r="P88" s="3">
        <v>187.941</v>
      </c>
      <c r="Q88" s="3">
        <v>1830</v>
      </c>
    </row>
    <row r="89" spans="1:17" ht="24.95" hidden="1" customHeight="1" x14ac:dyDescent="0.25">
      <c r="A89" s="3">
        <v>1</v>
      </c>
      <c r="B89" s="3" t="s">
        <v>385</v>
      </c>
      <c r="C89" s="3" t="s">
        <v>560</v>
      </c>
      <c r="I89" s="3">
        <v>16</v>
      </c>
      <c r="J89" s="3">
        <v>65</v>
      </c>
      <c r="K89" s="3">
        <v>1</v>
      </c>
      <c r="L89" s="3">
        <v>65</v>
      </c>
      <c r="M89" s="3">
        <v>5170</v>
      </c>
      <c r="N89" s="3">
        <v>336.05</v>
      </c>
      <c r="O89" s="3">
        <v>1.58</v>
      </c>
      <c r="P89" s="3">
        <v>530.95900000000006</v>
      </c>
      <c r="Q89" s="3">
        <v>5170</v>
      </c>
    </row>
    <row r="90" spans="1:17" ht="24.95" hidden="1" customHeight="1" x14ac:dyDescent="0.25">
      <c r="A90" s="3">
        <v>1</v>
      </c>
      <c r="B90" s="3" t="s">
        <v>385</v>
      </c>
      <c r="C90" s="3" t="s">
        <v>561</v>
      </c>
      <c r="I90" s="3">
        <v>16</v>
      </c>
      <c r="J90" s="3">
        <v>65</v>
      </c>
      <c r="K90" s="3">
        <v>1</v>
      </c>
      <c r="L90" s="3">
        <v>65</v>
      </c>
      <c r="M90" s="3">
        <v>2710</v>
      </c>
      <c r="N90" s="3">
        <v>176.15</v>
      </c>
      <c r="O90" s="3">
        <v>1.58</v>
      </c>
      <c r="P90" s="3">
        <v>278.31700000000001</v>
      </c>
      <c r="Q90" s="3">
        <v>2710</v>
      </c>
    </row>
    <row r="91" spans="1:17" ht="24.95" hidden="1" customHeight="1" x14ac:dyDescent="0.25">
      <c r="A91" s="3">
        <v>1</v>
      </c>
      <c r="B91" s="3" t="s">
        <v>385</v>
      </c>
      <c r="C91" s="3" t="s">
        <v>562</v>
      </c>
      <c r="I91" s="3">
        <v>14</v>
      </c>
      <c r="J91" s="3">
        <v>12</v>
      </c>
      <c r="K91" s="3">
        <v>2</v>
      </c>
      <c r="L91" s="3">
        <v>24</v>
      </c>
      <c r="M91" s="3">
        <v>9700</v>
      </c>
      <c r="N91" s="3">
        <v>232.8</v>
      </c>
      <c r="O91" s="3">
        <v>1.21</v>
      </c>
      <c r="P91" s="3">
        <v>281.68799999999999</v>
      </c>
      <c r="Q91" s="3">
        <v>9700</v>
      </c>
    </row>
    <row r="92" spans="1:17" ht="24.95" hidden="1" customHeight="1" x14ac:dyDescent="0.25">
      <c r="A92" s="3">
        <v>1</v>
      </c>
      <c r="B92" s="3" t="s">
        <v>385</v>
      </c>
      <c r="C92" s="3" t="s">
        <v>563</v>
      </c>
      <c r="I92" s="3">
        <v>10</v>
      </c>
      <c r="J92" s="3">
        <v>102</v>
      </c>
      <c r="K92" s="3">
        <v>1</v>
      </c>
      <c r="L92" s="3">
        <v>102</v>
      </c>
      <c r="M92" s="3">
        <v>590</v>
      </c>
      <c r="N92" s="3">
        <v>60.18</v>
      </c>
      <c r="O92" s="3">
        <v>0.61699999999999999</v>
      </c>
      <c r="P92" s="3">
        <v>37.131059999999998</v>
      </c>
      <c r="Q92" s="3">
        <v>590</v>
      </c>
    </row>
    <row r="93" spans="1:17" ht="24.95" hidden="1" customHeight="1" x14ac:dyDescent="0.25">
      <c r="A93" s="3">
        <v>1</v>
      </c>
      <c r="B93" s="3" t="s">
        <v>385</v>
      </c>
      <c r="C93" s="3" t="s">
        <v>564</v>
      </c>
      <c r="I93" s="3">
        <v>14</v>
      </c>
      <c r="J93" s="3">
        <v>6</v>
      </c>
      <c r="K93" s="3">
        <v>2</v>
      </c>
      <c r="L93" s="3">
        <v>12</v>
      </c>
      <c r="M93" s="3">
        <v>9700</v>
      </c>
      <c r="N93" s="3">
        <v>116.4</v>
      </c>
      <c r="O93" s="3">
        <v>1.21</v>
      </c>
      <c r="P93" s="3">
        <v>140.84399999999999</v>
      </c>
      <c r="Q93" s="3">
        <v>9700</v>
      </c>
    </row>
    <row r="94" spans="1:17" ht="24.95" hidden="1" customHeight="1" x14ac:dyDescent="0.25">
      <c r="A94" s="3">
        <v>1</v>
      </c>
      <c r="B94" s="3" t="s">
        <v>386</v>
      </c>
      <c r="C94" s="3" t="s">
        <v>565</v>
      </c>
      <c r="I94" s="3">
        <v>32</v>
      </c>
      <c r="J94" s="3">
        <v>13</v>
      </c>
      <c r="K94" s="3">
        <v>1</v>
      </c>
      <c r="L94" s="3">
        <v>13</v>
      </c>
      <c r="M94" s="3">
        <v>3870</v>
      </c>
      <c r="N94" s="3">
        <v>50.31</v>
      </c>
      <c r="O94" s="3">
        <v>6.31</v>
      </c>
      <c r="P94" s="3">
        <v>317.45609999999999</v>
      </c>
      <c r="Q94" s="3">
        <v>3870</v>
      </c>
    </row>
    <row r="95" spans="1:17" ht="24.95" hidden="1" customHeight="1" x14ac:dyDescent="0.25">
      <c r="A95" s="3">
        <v>1</v>
      </c>
      <c r="B95" s="3" t="s">
        <v>386</v>
      </c>
      <c r="C95" s="3" t="s">
        <v>566</v>
      </c>
      <c r="I95" s="3">
        <v>32</v>
      </c>
      <c r="J95" s="3">
        <v>13</v>
      </c>
      <c r="K95" s="3">
        <v>1</v>
      </c>
      <c r="L95" s="3">
        <v>13</v>
      </c>
      <c r="M95" s="3">
        <v>11700</v>
      </c>
      <c r="N95" s="3">
        <v>152.1</v>
      </c>
      <c r="O95" s="3">
        <v>6.31</v>
      </c>
      <c r="P95" s="3">
        <v>959.75099999999986</v>
      </c>
      <c r="Q95" s="3">
        <v>11700</v>
      </c>
    </row>
    <row r="96" spans="1:17" ht="24.95" hidden="1" customHeight="1" x14ac:dyDescent="0.25">
      <c r="A96" s="3">
        <v>1</v>
      </c>
      <c r="B96" s="3" t="s">
        <v>386</v>
      </c>
      <c r="C96" s="3" t="s">
        <v>567</v>
      </c>
      <c r="I96" s="3">
        <v>32</v>
      </c>
      <c r="J96" s="3">
        <v>13</v>
      </c>
      <c r="K96" s="3">
        <v>1</v>
      </c>
      <c r="L96" s="3">
        <v>13</v>
      </c>
      <c r="M96" s="3">
        <v>11700</v>
      </c>
      <c r="N96" s="3">
        <v>152.1</v>
      </c>
      <c r="O96" s="3">
        <v>6.31</v>
      </c>
      <c r="P96" s="3">
        <v>959.75099999999986</v>
      </c>
      <c r="Q96" s="3">
        <v>11700</v>
      </c>
    </row>
    <row r="97" spans="1:17" ht="24.95" hidden="1" customHeight="1" x14ac:dyDescent="0.25">
      <c r="A97" s="3">
        <v>1</v>
      </c>
      <c r="B97" s="3" t="s">
        <v>386</v>
      </c>
      <c r="C97" s="3" t="s">
        <v>568</v>
      </c>
      <c r="I97" s="3">
        <v>32</v>
      </c>
      <c r="J97" s="3">
        <v>13</v>
      </c>
      <c r="K97" s="3">
        <v>1</v>
      </c>
      <c r="L97" s="3">
        <v>13</v>
      </c>
      <c r="M97" s="3">
        <v>3770</v>
      </c>
      <c r="N97" s="3">
        <v>49.01</v>
      </c>
      <c r="O97" s="3">
        <v>6.31</v>
      </c>
      <c r="P97" s="3">
        <v>309.25309999999996</v>
      </c>
      <c r="Q97" s="3">
        <v>3770</v>
      </c>
    </row>
    <row r="98" spans="1:17" ht="24.95" hidden="1" customHeight="1" x14ac:dyDescent="0.25">
      <c r="A98" s="3">
        <v>1</v>
      </c>
      <c r="B98" s="3" t="s">
        <v>386</v>
      </c>
      <c r="C98" s="3" t="s">
        <v>569</v>
      </c>
      <c r="I98" s="3">
        <v>32</v>
      </c>
      <c r="J98" s="3">
        <v>13</v>
      </c>
      <c r="K98" s="3">
        <v>1</v>
      </c>
      <c r="L98" s="3">
        <v>13</v>
      </c>
      <c r="M98" s="3">
        <v>3670</v>
      </c>
      <c r="N98" s="3">
        <v>47.71</v>
      </c>
      <c r="O98" s="3">
        <v>6.31</v>
      </c>
      <c r="P98" s="3">
        <v>301.05009999999999</v>
      </c>
      <c r="Q98" s="3">
        <v>3670</v>
      </c>
    </row>
    <row r="99" spans="1:17" ht="24.95" hidden="1" customHeight="1" x14ac:dyDescent="0.25">
      <c r="A99" s="3">
        <v>1</v>
      </c>
      <c r="B99" s="3" t="s">
        <v>386</v>
      </c>
      <c r="C99" s="3" t="s">
        <v>570</v>
      </c>
      <c r="I99" s="3">
        <v>32</v>
      </c>
      <c r="J99" s="3">
        <v>13</v>
      </c>
      <c r="K99" s="3">
        <v>1</v>
      </c>
      <c r="L99" s="3">
        <v>13</v>
      </c>
      <c r="M99" s="3">
        <v>11700</v>
      </c>
      <c r="N99" s="3">
        <v>152.1</v>
      </c>
      <c r="O99" s="3">
        <v>6.31</v>
      </c>
      <c r="P99" s="3">
        <v>959.75099999999986</v>
      </c>
      <c r="Q99" s="3">
        <v>11700</v>
      </c>
    </row>
    <row r="100" spans="1:17" ht="24.95" hidden="1" customHeight="1" x14ac:dyDescent="0.25">
      <c r="A100" s="3">
        <v>1</v>
      </c>
      <c r="B100" s="3" t="s">
        <v>386</v>
      </c>
      <c r="C100" s="3" t="s">
        <v>571</v>
      </c>
      <c r="I100" s="3">
        <v>32</v>
      </c>
      <c r="J100" s="3">
        <v>7</v>
      </c>
      <c r="K100" s="3">
        <v>1</v>
      </c>
      <c r="L100" s="3">
        <v>7</v>
      </c>
      <c r="M100" s="3">
        <v>8380</v>
      </c>
      <c r="N100" s="3">
        <v>58.66</v>
      </c>
      <c r="O100" s="3">
        <v>6.31</v>
      </c>
      <c r="P100" s="3">
        <v>370.14459999999997</v>
      </c>
      <c r="Q100" s="3">
        <v>8380</v>
      </c>
    </row>
    <row r="101" spans="1:17" ht="24.95" hidden="1" customHeight="1" x14ac:dyDescent="0.25">
      <c r="A101" s="3">
        <v>1</v>
      </c>
      <c r="B101" s="3" t="s">
        <v>386</v>
      </c>
      <c r="C101" s="3" t="s">
        <v>572</v>
      </c>
      <c r="I101" s="3">
        <v>32</v>
      </c>
      <c r="J101" s="3">
        <v>7</v>
      </c>
      <c r="K101" s="3">
        <v>1</v>
      </c>
      <c r="L101" s="3">
        <v>7</v>
      </c>
      <c r="M101" s="3">
        <v>6870</v>
      </c>
      <c r="N101" s="3">
        <v>48.09</v>
      </c>
      <c r="O101" s="3">
        <v>6.31</v>
      </c>
      <c r="P101" s="3">
        <v>303.4479</v>
      </c>
      <c r="Q101" s="3">
        <v>6870</v>
      </c>
    </row>
    <row r="102" spans="1:17" ht="24.95" hidden="1" customHeight="1" x14ac:dyDescent="0.25">
      <c r="A102" s="3">
        <v>1</v>
      </c>
      <c r="B102" s="3" t="s">
        <v>386</v>
      </c>
      <c r="C102" s="3" t="s">
        <v>573</v>
      </c>
      <c r="I102" s="3">
        <v>32</v>
      </c>
      <c r="J102" s="3">
        <v>6</v>
      </c>
      <c r="K102" s="3">
        <v>1</v>
      </c>
      <c r="L102" s="3">
        <v>6</v>
      </c>
      <c r="M102" s="3">
        <v>6620</v>
      </c>
      <c r="N102" s="3">
        <v>39.72</v>
      </c>
      <c r="O102" s="3">
        <v>6.31</v>
      </c>
      <c r="P102" s="3">
        <v>250.63319999999999</v>
      </c>
      <c r="Q102" s="3">
        <v>6620</v>
      </c>
    </row>
    <row r="103" spans="1:17" ht="24.95" hidden="1" customHeight="1" x14ac:dyDescent="0.25">
      <c r="A103" s="3">
        <v>1</v>
      </c>
      <c r="B103" s="3" t="s">
        <v>386</v>
      </c>
      <c r="C103" s="3" t="s">
        <v>574</v>
      </c>
      <c r="I103" s="3">
        <v>32</v>
      </c>
      <c r="J103" s="3">
        <v>6</v>
      </c>
      <c r="K103" s="3">
        <v>1</v>
      </c>
      <c r="L103" s="3">
        <v>6</v>
      </c>
      <c r="M103" s="3">
        <v>8630</v>
      </c>
      <c r="N103" s="3">
        <v>51.78</v>
      </c>
      <c r="O103" s="3">
        <v>6.31</v>
      </c>
      <c r="P103" s="3">
        <v>326.73179999999996</v>
      </c>
      <c r="Q103" s="3">
        <v>8630</v>
      </c>
    </row>
    <row r="104" spans="1:17" ht="24.95" hidden="1" customHeight="1" x14ac:dyDescent="0.25">
      <c r="A104" s="3">
        <v>1</v>
      </c>
      <c r="B104" s="3" t="s">
        <v>386</v>
      </c>
      <c r="C104" s="3" t="s">
        <v>575</v>
      </c>
      <c r="I104" s="3">
        <v>32</v>
      </c>
      <c r="J104" s="3">
        <v>13</v>
      </c>
      <c r="K104" s="3">
        <v>1</v>
      </c>
      <c r="L104" s="3">
        <v>13</v>
      </c>
      <c r="M104" s="3">
        <v>4430</v>
      </c>
      <c r="N104" s="3">
        <v>57.59</v>
      </c>
      <c r="O104" s="3">
        <v>6.31</v>
      </c>
      <c r="P104" s="3">
        <v>363.3929</v>
      </c>
      <c r="Q104" s="3">
        <v>4430</v>
      </c>
    </row>
    <row r="105" spans="1:17" ht="24.95" hidden="1" customHeight="1" x14ac:dyDescent="0.25">
      <c r="A105" s="3">
        <v>1</v>
      </c>
      <c r="B105" s="3" t="s">
        <v>386</v>
      </c>
      <c r="C105" s="3" t="s">
        <v>576</v>
      </c>
      <c r="I105" s="3">
        <v>32</v>
      </c>
      <c r="J105" s="3">
        <v>13</v>
      </c>
      <c r="K105" s="3">
        <v>1</v>
      </c>
      <c r="L105" s="3">
        <v>13</v>
      </c>
      <c r="M105" s="3">
        <v>4230</v>
      </c>
      <c r="N105" s="3">
        <v>54.99</v>
      </c>
      <c r="O105" s="3">
        <v>6.31</v>
      </c>
      <c r="P105" s="3">
        <v>346.98689999999999</v>
      </c>
      <c r="Q105" s="3">
        <v>4230</v>
      </c>
    </row>
    <row r="106" spans="1:17" ht="24.95" hidden="1" customHeight="1" x14ac:dyDescent="0.25">
      <c r="A106" s="3">
        <v>1</v>
      </c>
      <c r="B106" s="3" t="s">
        <v>386</v>
      </c>
      <c r="C106" s="3" t="s">
        <v>577</v>
      </c>
      <c r="I106" s="3">
        <v>32</v>
      </c>
      <c r="J106" s="3">
        <v>10</v>
      </c>
      <c r="K106" s="3">
        <v>1</v>
      </c>
      <c r="L106" s="3">
        <v>10</v>
      </c>
      <c r="M106" s="3">
        <v>4030</v>
      </c>
      <c r="N106" s="3">
        <v>40.299999999999997</v>
      </c>
      <c r="O106" s="3">
        <v>6.31</v>
      </c>
      <c r="P106" s="3">
        <v>254.29299999999998</v>
      </c>
      <c r="Q106" s="3">
        <v>4030</v>
      </c>
    </row>
    <row r="107" spans="1:17" ht="24.95" hidden="1" customHeight="1" x14ac:dyDescent="0.25">
      <c r="A107" s="3">
        <v>1</v>
      </c>
      <c r="B107" s="3" t="s">
        <v>386</v>
      </c>
      <c r="C107" s="3" t="s">
        <v>578</v>
      </c>
      <c r="I107" s="3">
        <v>14</v>
      </c>
      <c r="J107" s="3">
        <v>67</v>
      </c>
      <c r="K107" s="3">
        <v>1</v>
      </c>
      <c r="L107" s="3">
        <v>67</v>
      </c>
      <c r="M107" s="3">
        <v>6870</v>
      </c>
      <c r="N107" s="3">
        <v>460.29</v>
      </c>
      <c r="O107" s="3">
        <v>1.21</v>
      </c>
      <c r="P107" s="3">
        <v>556.95090000000005</v>
      </c>
      <c r="Q107" s="3">
        <v>6870</v>
      </c>
    </row>
    <row r="108" spans="1:17" ht="24.95" hidden="1" customHeight="1" x14ac:dyDescent="0.25">
      <c r="A108" s="3">
        <v>1</v>
      </c>
      <c r="B108" s="3" t="s">
        <v>386</v>
      </c>
      <c r="C108" s="3" t="s">
        <v>579</v>
      </c>
      <c r="I108" s="3">
        <v>14</v>
      </c>
      <c r="J108" s="3">
        <v>67</v>
      </c>
      <c r="K108" s="3">
        <v>1</v>
      </c>
      <c r="L108" s="3">
        <v>67</v>
      </c>
      <c r="M108" s="3">
        <v>3350</v>
      </c>
      <c r="N108" s="3">
        <v>224.45</v>
      </c>
      <c r="O108" s="3">
        <v>1.21</v>
      </c>
      <c r="P108" s="3">
        <v>271.58449999999999</v>
      </c>
      <c r="Q108" s="3">
        <v>3350</v>
      </c>
    </row>
    <row r="109" spans="1:17" ht="24.95" hidden="1" customHeight="1" x14ac:dyDescent="0.25">
      <c r="A109" s="3">
        <v>1</v>
      </c>
      <c r="B109" s="3" t="s">
        <v>386</v>
      </c>
      <c r="C109" s="3" t="s">
        <v>580</v>
      </c>
      <c r="I109" s="3">
        <v>14</v>
      </c>
      <c r="J109" s="3">
        <v>335</v>
      </c>
      <c r="K109" s="3">
        <v>1</v>
      </c>
      <c r="L109" s="3">
        <v>335</v>
      </c>
      <c r="M109" s="3">
        <v>2670</v>
      </c>
      <c r="N109" s="3">
        <v>894.45</v>
      </c>
      <c r="O109" s="3">
        <v>1.21</v>
      </c>
      <c r="P109" s="3">
        <v>1082.2845</v>
      </c>
      <c r="Q109" s="3">
        <v>2670</v>
      </c>
    </row>
    <row r="110" spans="1:17" ht="24.95" hidden="1" customHeight="1" x14ac:dyDescent="0.25">
      <c r="A110" s="3">
        <v>1</v>
      </c>
      <c r="B110" s="3" t="s">
        <v>386</v>
      </c>
      <c r="C110" s="3" t="s">
        <v>581</v>
      </c>
      <c r="I110" s="3">
        <v>18</v>
      </c>
      <c r="J110" s="3">
        <v>12</v>
      </c>
      <c r="K110" s="3">
        <v>1</v>
      </c>
      <c r="L110" s="3">
        <v>12</v>
      </c>
      <c r="M110" s="3">
        <v>10200</v>
      </c>
      <c r="N110" s="3">
        <v>122.4</v>
      </c>
      <c r="O110" s="3">
        <v>2</v>
      </c>
      <c r="P110" s="3">
        <v>244.8</v>
      </c>
      <c r="Q110" s="3">
        <v>10200</v>
      </c>
    </row>
    <row r="111" spans="1:17" ht="24.95" hidden="1" customHeight="1" x14ac:dyDescent="0.25">
      <c r="A111" s="3">
        <v>1</v>
      </c>
      <c r="B111" s="3" t="s">
        <v>386</v>
      </c>
      <c r="C111" s="3" t="s">
        <v>582</v>
      </c>
      <c r="I111" s="3">
        <v>14</v>
      </c>
      <c r="J111" s="3">
        <v>204</v>
      </c>
      <c r="K111" s="3">
        <v>1</v>
      </c>
      <c r="L111" s="3">
        <v>204</v>
      </c>
      <c r="M111" s="3">
        <v>2370</v>
      </c>
      <c r="N111" s="3">
        <v>483.48</v>
      </c>
      <c r="O111" s="3">
        <v>1.21</v>
      </c>
      <c r="P111" s="3">
        <v>585.01080000000002</v>
      </c>
      <c r="Q111" s="3">
        <v>2370</v>
      </c>
    </row>
    <row r="112" spans="1:17" ht="24.95" hidden="1" customHeight="1" x14ac:dyDescent="0.25">
      <c r="A112" s="3">
        <v>1</v>
      </c>
      <c r="B112" s="3" t="s">
        <v>386</v>
      </c>
      <c r="C112" s="3" t="s">
        <v>583</v>
      </c>
      <c r="I112" s="3">
        <v>32</v>
      </c>
      <c r="J112" s="3">
        <v>18</v>
      </c>
      <c r="K112" s="3">
        <v>1</v>
      </c>
      <c r="L112" s="3">
        <v>18</v>
      </c>
      <c r="M112" s="3">
        <v>2090</v>
      </c>
      <c r="N112" s="3">
        <v>37.619999999999997</v>
      </c>
      <c r="O112" s="3">
        <v>6.31</v>
      </c>
      <c r="P112" s="3">
        <v>237.38219999999998</v>
      </c>
      <c r="Q112" s="3">
        <v>2090</v>
      </c>
    </row>
    <row r="113" spans="1:17" ht="24.95" hidden="1" customHeight="1" x14ac:dyDescent="0.25">
      <c r="A113" s="3">
        <v>1</v>
      </c>
      <c r="B113" s="3" t="s">
        <v>386</v>
      </c>
      <c r="C113" s="3" t="s">
        <v>584</v>
      </c>
      <c r="I113" s="3">
        <v>32</v>
      </c>
      <c r="J113" s="3">
        <v>2</v>
      </c>
      <c r="K113" s="3">
        <v>1</v>
      </c>
      <c r="L113" s="3">
        <v>2</v>
      </c>
      <c r="M113" s="3">
        <v>11700</v>
      </c>
      <c r="N113" s="3">
        <v>23.4</v>
      </c>
      <c r="O113" s="3">
        <v>6.31</v>
      </c>
      <c r="P113" s="3">
        <v>147.65399999999997</v>
      </c>
      <c r="Q113" s="3">
        <v>11700</v>
      </c>
    </row>
    <row r="114" spans="1:17" ht="24.95" hidden="1" customHeight="1" x14ac:dyDescent="0.25">
      <c r="A114" s="3">
        <v>1</v>
      </c>
      <c r="B114" s="3" t="s">
        <v>386</v>
      </c>
      <c r="C114" s="3" t="s">
        <v>585</v>
      </c>
      <c r="I114" s="3">
        <v>32</v>
      </c>
      <c r="J114" s="3">
        <v>2</v>
      </c>
      <c r="K114" s="3">
        <v>1</v>
      </c>
      <c r="L114" s="3">
        <v>2</v>
      </c>
      <c r="M114" s="3">
        <v>3570</v>
      </c>
      <c r="N114" s="3">
        <v>7.14</v>
      </c>
      <c r="O114" s="3">
        <v>6.31</v>
      </c>
      <c r="P114" s="3">
        <v>45.053399999999996</v>
      </c>
      <c r="Q114" s="3">
        <v>3570</v>
      </c>
    </row>
    <row r="115" spans="1:17" ht="24.95" hidden="1" customHeight="1" x14ac:dyDescent="0.25">
      <c r="A115" s="3">
        <v>1</v>
      </c>
      <c r="B115" s="3" t="s">
        <v>386</v>
      </c>
      <c r="C115" s="3" t="s">
        <v>586</v>
      </c>
      <c r="I115" s="3">
        <v>14</v>
      </c>
      <c r="J115" s="3">
        <v>30</v>
      </c>
      <c r="K115" s="3">
        <v>1</v>
      </c>
      <c r="L115" s="3">
        <v>30</v>
      </c>
      <c r="M115" s="3">
        <v>10200</v>
      </c>
      <c r="N115" s="3">
        <v>306</v>
      </c>
      <c r="O115" s="3">
        <v>1.21</v>
      </c>
      <c r="P115" s="3">
        <v>370.26</v>
      </c>
      <c r="Q115" s="3">
        <v>10200</v>
      </c>
    </row>
    <row r="116" spans="1:17" ht="24.95" hidden="1" customHeight="1" x14ac:dyDescent="0.25">
      <c r="A116" s="3">
        <v>1</v>
      </c>
      <c r="B116" s="3" t="s">
        <v>387</v>
      </c>
      <c r="C116" s="3" t="s">
        <v>587</v>
      </c>
      <c r="I116" s="3">
        <v>32</v>
      </c>
      <c r="J116" s="3">
        <v>7</v>
      </c>
      <c r="K116" s="3">
        <v>1</v>
      </c>
      <c r="L116" s="3">
        <v>7</v>
      </c>
      <c r="M116" s="3">
        <v>11700</v>
      </c>
      <c r="N116" s="3">
        <v>81.900000000000006</v>
      </c>
      <c r="O116" s="3">
        <v>6.31</v>
      </c>
      <c r="P116" s="3">
        <v>516.78899999999999</v>
      </c>
      <c r="Q116" s="3">
        <v>11700</v>
      </c>
    </row>
    <row r="117" spans="1:17" ht="24.95" hidden="1" customHeight="1" x14ac:dyDescent="0.25">
      <c r="A117" s="3">
        <v>1</v>
      </c>
      <c r="B117" s="3" t="s">
        <v>387</v>
      </c>
      <c r="C117" s="3" t="s">
        <v>588</v>
      </c>
      <c r="I117" s="3">
        <v>32</v>
      </c>
      <c r="J117" s="3">
        <v>7</v>
      </c>
      <c r="K117" s="3">
        <v>1</v>
      </c>
      <c r="L117" s="3">
        <v>7</v>
      </c>
      <c r="M117" s="3">
        <v>7070</v>
      </c>
      <c r="N117" s="3">
        <v>49.49</v>
      </c>
      <c r="O117" s="3">
        <v>6.31</v>
      </c>
      <c r="P117" s="3">
        <v>312.28190000000001</v>
      </c>
      <c r="Q117" s="3">
        <v>7070</v>
      </c>
    </row>
    <row r="118" spans="1:17" ht="24.95" hidden="1" customHeight="1" x14ac:dyDescent="0.25">
      <c r="A118" s="3">
        <v>1</v>
      </c>
      <c r="B118" s="3" t="s">
        <v>387</v>
      </c>
      <c r="C118" s="3" t="s">
        <v>589</v>
      </c>
      <c r="I118" s="3">
        <v>32</v>
      </c>
      <c r="J118" s="3">
        <v>6</v>
      </c>
      <c r="K118" s="3">
        <v>1</v>
      </c>
      <c r="L118" s="3">
        <v>6</v>
      </c>
      <c r="M118" s="3">
        <v>3880</v>
      </c>
      <c r="N118" s="3">
        <v>23.28</v>
      </c>
      <c r="O118" s="3">
        <v>6.31</v>
      </c>
      <c r="P118" s="3">
        <v>146.89679999999998</v>
      </c>
      <c r="Q118" s="3">
        <v>3880</v>
      </c>
    </row>
    <row r="119" spans="1:17" ht="24.95" hidden="1" customHeight="1" x14ac:dyDescent="0.25">
      <c r="A119" s="3">
        <v>1</v>
      </c>
      <c r="B119" s="3" t="s">
        <v>387</v>
      </c>
      <c r="C119" s="3" t="s">
        <v>590</v>
      </c>
      <c r="I119" s="3">
        <v>32</v>
      </c>
      <c r="J119" s="3">
        <v>6</v>
      </c>
      <c r="K119" s="3">
        <v>1</v>
      </c>
      <c r="L119" s="3">
        <v>6</v>
      </c>
      <c r="M119" s="3">
        <v>11700</v>
      </c>
      <c r="N119" s="3">
        <v>70.2</v>
      </c>
      <c r="O119" s="3">
        <v>6.31</v>
      </c>
      <c r="P119" s="3">
        <v>442.96199999999999</v>
      </c>
      <c r="Q119" s="3">
        <v>11700</v>
      </c>
    </row>
    <row r="120" spans="1:17" ht="24.95" hidden="1" customHeight="1" x14ac:dyDescent="0.25">
      <c r="A120" s="3">
        <v>1</v>
      </c>
      <c r="B120" s="3" t="s">
        <v>387</v>
      </c>
      <c r="C120" s="3" t="s">
        <v>591</v>
      </c>
      <c r="I120" s="3">
        <v>32</v>
      </c>
      <c r="J120" s="3">
        <v>6</v>
      </c>
      <c r="K120" s="3">
        <v>1</v>
      </c>
      <c r="L120" s="3">
        <v>6</v>
      </c>
      <c r="M120" s="3">
        <v>4630</v>
      </c>
      <c r="N120" s="3">
        <v>27.78</v>
      </c>
      <c r="O120" s="3">
        <v>6.31</v>
      </c>
      <c r="P120" s="3">
        <v>175.29179999999999</v>
      </c>
      <c r="Q120" s="3">
        <v>4630</v>
      </c>
    </row>
    <row r="121" spans="1:17" ht="24.95" hidden="1" customHeight="1" x14ac:dyDescent="0.25">
      <c r="A121" s="3">
        <v>1</v>
      </c>
      <c r="B121" s="3" t="s">
        <v>387</v>
      </c>
      <c r="C121" s="3" t="s">
        <v>592</v>
      </c>
      <c r="I121" s="3">
        <v>32</v>
      </c>
      <c r="J121" s="3">
        <v>6</v>
      </c>
      <c r="K121" s="3">
        <v>1</v>
      </c>
      <c r="L121" s="3">
        <v>6</v>
      </c>
      <c r="M121" s="3">
        <v>11700</v>
      </c>
      <c r="N121" s="3">
        <v>70.2</v>
      </c>
      <c r="O121" s="3">
        <v>6.31</v>
      </c>
      <c r="P121" s="3">
        <v>442.96199999999999</v>
      </c>
      <c r="Q121" s="3">
        <v>11700</v>
      </c>
    </row>
    <row r="122" spans="1:17" ht="24.95" hidden="1" customHeight="1" x14ac:dyDescent="0.25">
      <c r="A122" s="3">
        <v>1</v>
      </c>
      <c r="B122" s="3" t="s">
        <v>387</v>
      </c>
      <c r="C122" s="3" t="s">
        <v>593</v>
      </c>
      <c r="I122" s="3">
        <v>32</v>
      </c>
      <c r="J122" s="3">
        <v>6</v>
      </c>
      <c r="K122" s="3">
        <v>1</v>
      </c>
      <c r="L122" s="3">
        <v>6</v>
      </c>
      <c r="M122" s="3">
        <v>6970</v>
      </c>
      <c r="N122" s="3">
        <v>41.82</v>
      </c>
      <c r="O122" s="3">
        <v>6.31</v>
      </c>
      <c r="P122" s="3">
        <v>263.88419999999996</v>
      </c>
      <c r="Q122" s="3">
        <v>6970</v>
      </c>
    </row>
    <row r="123" spans="1:17" ht="24.95" hidden="1" customHeight="1" x14ac:dyDescent="0.25">
      <c r="A123" s="3">
        <v>1</v>
      </c>
      <c r="B123" s="3" t="s">
        <v>387</v>
      </c>
      <c r="C123" s="3" t="s">
        <v>594</v>
      </c>
      <c r="I123" s="3">
        <v>32</v>
      </c>
      <c r="J123" s="3">
        <v>7</v>
      </c>
      <c r="K123" s="3">
        <v>1</v>
      </c>
      <c r="L123" s="3">
        <v>7</v>
      </c>
      <c r="M123" s="3">
        <v>3680</v>
      </c>
      <c r="N123" s="3">
        <v>25.76</v>
      </c>
      <c r="O123" s="3">
        <v>6.31</v>
      </c>
      <c r="P123" s="3">
        <v>162.54560000000001</v>
      </c>
      <c r="Q123" s="3">
        <v>3680</v>
      </c>
    </row>
    <row r="124" spans="1:17" ht="24.95" hidden="1" customHeight="1" x14ac:dyDescent="0.25">
      <c r="A124" s="3">
        <v>1</v>
      </c>
      <c r="B124" s="3" t="s">
        <v>387</v>
      </c>
      <c r="C124" s="3" t="s">
        <v>595</v>
      </c>
      <c r="I124" s="3">
        <v>32</v>
      </c>
      <c r="J124" s="3">
        <v>7</v>
      </c>
      <c r="K124" s="3">
        <v>1</v>
      </c>
      <c r="L124" s="3">
        <v>7</v>
      </c>
      <c r="M124" s="3">
        <v>11700</v>
      </c>
      <c r="N124" s="3">
        <v>81.900000000000006</v>
      </c>
      <c r="O124" s="3">
        <v>6.31</v>
      </c>
      <c r="P124" s="3">
        <v>516.78899999999999</v>
      </c>
      <c r="Q124" s="3">
        <v>11700</v>
      </c>
    </row>
    <row r="125" spans="1:17" ht="24.95" hidden="1" customHeight="1" x14ac:dyDescent="0.25">
      <c r="A125" s="3">
        <v>1</v>
      </c>
      <c r="B125" s="3" t="s">
        <v>387</v>
      </c>
      <c r="C125" s="3" t="s">
        <v>596</v>
      </c>
      <c r="I125" s="3">
        <v>32</v>
      </c>
      <c r="J125" s="3">
        <v>7</v>
      </c>
      <c r="K125" s="3">
        <v>1</v>
      </c>
      <c r="L125" s="3">
        <v>7</v>
      </c>
      <c r="M125" s="3">
        <v>4730</v>
      </c>
      <c r="N125" s="3">
        <v>33.11</v>
      </c>
      <c r="O125" s="3">
        <v>6.31</v>
      </c>
      <c r="P125" s="3">
        <v>208.92409999999998</v>
      </c>
      <c r="Q125" s="3">
        <v>4730</v>
      </c>
    </row>
    <row r="126" spans="1:17" ht="24.95" hidden="1" customHeight="1" x14ac:dyDescent="0.25">
      <c r="A126" s="3">
        <v>1</v>
      </c>
      <c r="B126" s="3" t="s">
        <v>387</v>
      </c>
      <c r="C126" s="3" t="s">
        <v>597</v>
      </c>
      <c r="I126" s="3">
        <v>32</v>
      </c>
      <c r="J126" s="3">
        <v>7</v>
      </c>
      <c r="K126" s="3">
        <v>1</v>
      </c>
      <c r="L126" s="3">
        <v>7</v>
      </c>
      <c r="M126" s="3">
        <v>11700</v>
      </c>
      <c r="N126" s="3">
        <v>81.900000000000006</v>
      </c>
      <c r="O126" s="3">
        <v>6.31</v>
      </c>
      <c r="P126" s="3">
        <v>516.78899999999999</v>
      </c>
      <c r="Q126" s="3">
        <v>11700</v>
      </c>
    </row>
    <row r="127" spans="1:17" ht="24.95" hidden="1" customHeight="1" x14ac:dyDescent="0.25">
      <c r="A127" s="3">
        <v>1</v>
      </c>
      <c r="B127" s="3" t="s">
        <v>387</v>
      </c>
      <c r="C127" s="3" t="s">
        <v>598</v>
      </c>
      <c r="I127" s="3">
        <v>32</v>
      </c>
      <c r="J127" s="3">
        <v>7</v>
      </c>
      <c r="K127" s="3">
        <v>1</v>
      </c>
      <c r="L127" s="3">
        <v>7</v>
      </c>
      <c r="M127" s="3">
        <v>6870</v>
      </c>
      <c r="N127" s="3">
        <v>48.09</v>
      </c>
      <c r="O127" s="3">
        <v>6.31</v>
      </c>
      <c r="P127" s="3">
        <v>303.4479</v>
      </c>
      <c r="Q127" s="3">
        <v>6870</v>
      </c>
    </row>
    <row r="128" spans="1:17" ht="24.95" hidden="1" customHeight="1" x14ac:dyDescent="0.25">
      <c r="A128" s="3">
        <v>1</v>
      </c>
      <c r="B128" s="3" t="s">
        <v>387</v>
      </c>
      <c r="C128" s="3" t="s">
        <v>599</v>
      </c>
      <c r="I128" s="3">
        <v>32</v>
      </c>
      <c r="J128" s="3">
        <v>6</v>
      </c>
      <c r="K128" s="3">
        <v>1</v>
      </c>
      <c r="L128" s="3">
        <v>6</v>
      </c>
      <c r="M128" s="3">
        <v>3480</v>
      </c>
      <c r="N128" s="3">
        <v>20.88</v>
      </c>
      <c r="O128" s="3">
        <v>6.31</v>
      </c>
      <c r="P128" s="3">
        <v>131.75279999999998</v>
      </c>
      <c r="Q128" s="3">
        <v>3480</v>
      </c>
    </row>
    <row r="129" spans="1:17" ht="24.95" hidden="1" customHeight="1" x14ac:dyDescent="0.25">
      <c r="A129" s="3">
        <v>1</v>
      </c>
      <c r="B129" s="3" t="s">
        <v>387</v>
      </c>
      <c r="C129" s="3" t="s">
        <v>600</v>
      </c>
      <c r="I129" s="3">
        <v>32</v>
      </c>
      <c r="J129" s="3">
        <v>6</v>
      </c>
      <c r="K129" s="3">
        <v>1</v>
      </c>
      <c r="L129" s="3">
        <v>6</v>
      </c>
      <c r="M129" s="3">
        <v>11700</v>
      </c>
      <c r="N129" s="3">
        <v>70.2</v>
      </c>
      <c r="O129" s="3">
        <v>6.31</v>
      </c>
      <c r="P129" s="3">
        <v>442.96199999999999</v>
      </c>
      <c r="Q129" s="3">
        <v>11700</v>
      </c>
    </row>
    <row r="130" spans="1:17" ht="24.95" hidden="1" customHeight="1" x14ac:dyDescent="0.25">
      <c r="A130" s="3">
        <v>1</v>
      </c>
      <c r="B130" s="3" t="s">
        <v>387</v>
      </c>
      <c r="C130" s="3" t="s">
        <v>601</v>
      </c>
      <c r="I130" s="3">
        <v>32</v>
      </c>
      <c r="J130" s="3">
        <v>6</v>
      </c>
      <c r="K130" s="3">
        <v>1</v>
      </c>
      <c r="L130" s="3">
        <v>6</v>
      </c>
      <c r="M130" s="3">
        <v>4830</v>
      </c>
      <c r="N130" s="3">
        <v>28.98</v>
      </c>
      <c r="O130" s="3">
        <v>6.31</v>
      </c>
      <c r="P130" s="3">
        <v>182.8638</v>
      </c>
      <c r="Q130" s="3">
        <v>4830</v>
      </c>
    </row>
    <row r="131" spans="1:17" ht="24.95" hidden="1" customHeight="1" x14ac:dyDescent="0.25">
      <c r="A131" s="3">
        <v>1</v>
      </c>
      <c r="B131" s="3" t="s">
        <v>387</v>
      </c>
      <c r="C131" s="3" t="s">
        <v>602</v>
      </c>
      <c r="I131" s="3">
        <v>32</v>
      </c>
      <c r="J131" s="3">
        <v>7</v>
      </c>
      <c r="K131" s="3">
        <v>1</v>
      </c>
      <c r="L131" s="3">
        <v>7</v>
      </c>
      <c r="M131" s="3">
        <v>7270</v>
      </c>
      <c r="N131" s="3">
        <v>50.89</v>
      </c>
      <c r="O131" s="3">
        <v>6.31</v>
      </c>
      <c r="P131" s="3">
        <v>321.11590000000001</v>
      </c>
      <c r="Q131" s="3">
        <v>7270</v>
      </c>
    </row>
    <row r="132" spans="1:17" ht="24.95" hidden="1" customHeight="1" x14ac:dyDescent="0.25">
      <c r="A132" s="3">
        <v>1</v>
      </c>
      <c r="B132" s="3" t="s">
        <v>387</v>
      </c>
      <c r="C132" s="3" t="s">
        <v>603</v>
      </c>
      <c r="I132" s="3">
        <v>32</v>
      </c>
      <c r="J132" s="3">
        <v>7</v>
      </c>
      <c r="K132" s="3">
        <v>1</v>
      </c>
      <c r="L132" s="3">
        <v>7</v>
      </c>
      <c r="M132" s="3">
        <v>11700</v>
      </c>
      <c r="N132" s="3">
        <v>81.900000000000006</v>
      </c>
      <c r="O132" s="3">
        <v>6.31</v>
      </c>
      <c r="P132" s="3">
        <v>516.78899999999999</v>
      </c>
      <c r="Q132" s="3">
        <v>11700</v>
      </c>
    </row>
    <row r="133" spans="1:17" ht="24.95" hidden="1" customHeight="1" x14ac:dyDescent="0.25">
      <c r="A133" s="3">
        <v>1</v>
      </c>
      <c r="B133" s="3" t="s">
        <v>387</v>
      </c>
      <c r="C133" s="3" t="s">
        <v>604</v>
      </c>
      <c r="I133" s="3">
        <v>32</v>
      </c>
      <c r="J133" s="3">
        <v>6</v>
      </c>
      <c r="K133" s="3">
        <v>1</v>
      </c>
      <c r="L133" s="3">
        <v>6</v>
      </c>
      <c r="M133" s="3">
        <v>9000</v>
      </c>
      <c r="N133" s="3">
        <v>54</v>
      </c>
      <c r="O133" s="3">
        <v>6.31</v>
      </c>
      <c r="P133" s="3">
        <v>340.73999999999995</v>
      </c>
      <c r="Q133" s="3">
        <v>9000</v>
      </c>
    </row>
    <row r="134" spans="1:17" ht="24.95" hidden="1" customHeight="1" x14ac:dyDescent="0.25">
      <c r="A134" s="3">
        <v>1</v>
      </c>
      <c r="B134" s="3" t="s">
        <v>387</v>
      </c>
      <c r="C134" s="3" t="s">
        <v>605</v>
      </c>
      <c r="I134" s="3">
        <v>32</v>
      </c>
      <c r="J134" s="3">
        <v>6</v>
      </c>
      <c r="K134" s="3">
        <v>1</v>
      </c>
      <c r="L134" s="3">
        <v>6</v>
      </c>
      <c r="M134" s="3">
        <v>9940</v>
      </c>
      <c r="N134" s="3">
        <v>59.64</v>
      </c>
      <c r="O134" s="3">
        <v>6.31</v>
      </c>
      <c r="P134" s="3">
        <v>376.32839999999999</v>
      </c>
      <c r="Q134" s="3">
        <v>9940</v>
      </c>
    </row>
    <row r="135" spans="1:17" ht="24.95" hidden="1" customHeight="1" x14ac:dyDescent="0.25">
      <c r="A135" s="3">
        <v>1</v>
      </c>
      <c r="B135" s="3" t="s">
        <v>387</v>
      </c>
      <c r="C135" s="3" t="s">
        <v>606</v>
      </c>
      <c r="I135" s="3">
        <v>32</v>
      </c>
      <c r="J135" s="3">
        <v>4</v>
      </c>
      <c r="K135" s="3">
        <v>1</v>
      </c>
      <c r="L135" s="3">
        <v>4</v>
      </c>
      <c r="M135" s="3">
        <v>7900</v>
      </c>
      <c r="N135" s="3">
        <v>31.6</v>
      </c>
      <c r="O135" s="3">
        <v>6.31</v>
      </c>
      <c r="P135" s="3">
        <v>199.39599999999999</v>
      </c>
      <c r="Q135" s="3">
        <v>7900</v>
      </c>
    </row>
    <row r="136" spans="1:17" ht="24.95" hidden="1" customHeight="1" x14ac:dyDescent="0.25">
      <c r="A136" s="3">
        <v>1</v>
      </c>
      <c r="B136" s="3" t="s">
        <v>387</v>
      </c>
      <c r="C136" s="3" t="s">
        <v>607</v>
      </c>
      <c r="I136" s="3">
        <v>14</v>
      </c>
      <c r="J136" s="3">
        <v>81</v>
      </c>
      <c r="K136" s="3">
        <v>1</v>
      </c>
      <c r="L136" s="3">
        <v>81</v>
      </c>
      <c r="M136" s="3">
        <v>6970</v>
      </c>
      <c r="N136" s="3">
        <v>564.57000000000005</v>
      </c>
      <c r="O136" s="3">
        <v>1.21</v>
      </c>
      <c r="P136" s="3">
        <v>683.12970000000007</v>
      </c>
      <c r="Q136" s="3">
        <v>6970</v>
      </c>
    </row>
    <row r="137" spans="1:17" ht="24.95" hidden="1" customHeight="1" x14ac:dyDescent="0.25">
      <c r="A137" s="3">
        <v>1</v>
      </c>
      <c r="B137" s="3" t="s">
        <v>387</v>
      </c>
      <c r="C137" s="3" t="s">
        <v>608</v>
      </c>
      <c r="I137" s="3">
        <v>14</v>
      </c>
      <c r="J137" s="3">
        <v>81</v>
      </c>
      <c r="K137" s="3">
        <v>1</v>
      </c>
      <c r="L137" s="3">
        <v>81</v>
      </c>
      <c r="M137" s="3">
        <v>3450</v>
      </c>
      <c r="N137" s="3">
        <v>279.45</v>
      </c>
      <c r="O137" s="3">
        <v>1.21</v>
      </c>
      <c r="P137" s="3">
        <v>338.1345</v>
      </c>
      <c r="Q137" s="3">
        <v>3450</v>
      </c>
    </row>
    <row r="138" spans="1:17" ht="24.95" hidden="1" customHeight="1" x14ac:dyDescent="0.25">
      <c r="A138" s="3">
        <v>1</v>
      </c>
      <c r="B138" s="3" t="s">
        <v>387</v>
      </c>
      <c r="C138" s="3" t="s">
        <v>609</v>
      </c>
      <c r="I138" s="3">
        <v>14</v>
      </c>
      <c r="J138" s="3">
        <v>405</v>
      </c>
      <c r="K138" s="3">
        <v>1</v>
      </c>
      <c r="L138" s="3">
        <v>405</v>
      </c>
      <c r="M138" s="3">
        <v>2670</v>
      </c>
      <c r="N138" s="3">
        <v>1081.3499999999999</v>
      </c>
      <c r="O138" s="3">
        <v>1.21</v>
      </c>
      <c r="P138" s="3">
        <v>1308.4334999999999</v>
      </c>
      <c r="Q138" s="3">
        <v>2670</v>
      </c>
    </row>
    <row r="139" spans="1:17" ht="24.95" hidden="1" customHeight="1" x14ac:dyDescent="0.25">
      <c r="A139" s="3">
        <v>1</v>
      </c>
      <c r="B139" s="3" t="s">
        <v>387</v>
      </c>
      <c r="C139" s="3" t="s">
        <v>610</v>
      </c>
      <c r="I139" s="3">
        <v>18</v>
      </c>
      <c r="J139" s="3">
        <v>12</v>
      </c>
      <c r="K139" s="3">
        <v>1</v>
      </c>
      <c r="L139" s="3">
        <v>12</v>
      </c>
      <c r="M139" s="3">
        <v>11700</v>
      </c>
      <c r="N139" s="3">
        <v>140.4</v>
      </c>
      <c r="O139" s="3">
        <v>2</v>
      </c>
      <c r="P139" s="3">
        <v>280.8</v>
      </c>
      <c r="Q139" s="3">
        <v>11700</v>
      </c>
    </row>
    <row r="140" spans="1:17" ht="24.95" hidden="1" customHeight="1" x14ac:dyDescent="0.25">
      <c r="A140" s="3">
        <v>1</v>
      </c>
      <c r="B140" s="3" t="s">
        <v>387</v>
      </c>
      <c r="C140" s="3" t="s">
        <v>611</v>
      </c>
      <c r="I140" s="3">
        <v>18</v>
      </c>
      <c r="J140" s="3">
        <v>12</v>
      </c>
      <c r="K140" s="3">
        <v>1</v>
      </c>
      <c r="L140" s="3">
        <v>12</v>
      </c>
      <c r="M140" s="3">
        <v>2860</v>
      </c>
      <c r="N140" s="3">
        <v>34.32</v>
      </c>
      <c r="O140" s="3">
        <v>2</v>
      </c>
      <c r="P140" s="3">
        <v>68.64</v>
      </c>
      <c r="Q140" s="3">
        <v>2860</v>
      </c>
    </row>
    <row r="141" spans="1:17" ht="24.95" hidden="1" customHeight="1" x14ac:dyDescent="0.25">
      <c r="A141" s="3">
        <v>1</v>
      </c>
      <c r="B141" s="3" t="s">
        <v>387</v>
      </c>
      <c r="C141" s="3" t="s">
        <v>612</v>
      </c>
      <c r="I141" s="3">
        <v>14</v>
      </c>
      <c r="J141" s="3">
        <v>240</v>
      </c>
      <c r="K141" s="3">
        <v>1</v>
      </c>
      <c r="L141" s="3">
        <v>240</v>
      </c>
      <c r="M141" s="3">
        <v>2470</v>
      </c>
      <c r="N141" s="3">
        <v>592.79999999999995</v>
      </c>
      <c r="O141" s="3">
        <v>1.21</v>
      </c>
      <c r="P141" s="3">
        <v>717.2879999999999</v>
      </c>
      <c r="Q141" s="3">
        <v>2470</v>
      </c>
    </row>
    <row r="142" spans="1:17" ht="24.95" hidden="1" customHeight="1" x14ac:dyDescent="0.25">
      <c r="A142" s="3">
        <v>1</v>
      </c>
      <c r="B142" s="3" t="s">
        <v>387</v>
      </c>
      <c r="C142" s="3" t="s">
        <v>613</v>
      </c>
      <c r="I142" s="3">
        <v>32</v>
      </c>
      <c r="J142" s="3">
        <v>10</v>
      </c>
      <c r="K142" s="3">
        <v>1</v>
      </c>
      <c r="L142" s="3">
        <v>10</v>
      </c>
      <c r="M142" s="3">
        <v>2190</v>
      </c>
      <c r="N142" s="3">
        <v>21.9</v>
      </c>
      <c r="O142" s="3">
        <v>6.31</v>
      </c>
      <c r="P142" s="3">
        <v>138.18899999999999</v>
      </c>
      <c r="Q142" s="3">
        <v>2190</v>
      </c>
    </row>
    <row r="143" spans="1:17" ht="24.95" hidden="1" customHeight="1" x14ac:dyDescent="0.25">
      <c r="A143" s="3">
        <v>1</v>
      </c>
      <c r="B143" s="3" t="s">
        <v>387</v>
      </c>
      <c r="C143" s="3" t="s">
        <v>614</v>
      </c>
      <c r="I143" s="3">
        <v>14</v>
      </c>
      <c r="J143" s="3">
        <v>30</v>
      </c>
      <c r="K143" s="3">
        <v>1</v>
      </c>
      <c r="L143" s="3">
        <v>30</v>
      </c>
      <c r="M143" s="3">
        <v>2770</v>
      </c>
      <c r="N143" s="3">
        <v>83.1</v>
      </c>
      <c r="O143" s="3">
        <v>1.21</v>
      </c>
      <c r="P143" s="3">
        <v>100.55099999999999</v>
      </c>
      <c r="Q143" s="3">
        <v>2770</v>
      </c>
    </row>
    <row r="144" spans="1:17" ht="24.95" hidden="1" customHeight="1" x14ac:dyDescent="0.25">
      <c r="A144" s="3">
        <v>1</v>
      </c>
      <c r="B144" s="3" t="s">
        <v>387</v>
      </c>
      <c r="C144" s="3" t="s">
        <v>615</v>
      </c>
      <c r="I144" s="3">
        <v>14</v>
      </c>
      <c r="J144" s="3">
        <v>30</v>
      </c>
      <c r="K144" s="3">
        <v>1</v>
      </c>
      <c r="L144" s="3">
        <v>30</v>
      </c>
      <c r="M144" s="3">
        <v>11610</v>
      </c>
      <c r="N144" s="3">
        <v>348.3</v>
      </c>
      <c r="O144" s="3">
        <v>1.21</v>
      </c>
      <c r="P144" s="3">
        <v>421.44299999999998</v>
      </c>
      <c r="Q144" s="3">
        <v>11610</v>
      </c>
    </row>
    <row r="145" spans="1:17" ht="24.95" hidden="1" customHeight="1" x14ac:dyDescent="0.25">
      <c r="A145" s="3">
        <v>1</v>
      </c>
      <c r="B145" s="3" t="s">
        <v>388</v>
      </c>
      <c r="C145" s="3" t="s">
        <v>616</v>
      </c>
      <c r="I145" s="3">
        <v>32</v>
      </c>
      <c r="J145" s="3">
        <v>3</v>
      </c>
      <c r="K145" s="3">
        <v>2</v>
      </c>
      <c r="L145" s="3">
        <v>6</v>
      </c>
      <c r="M145" s="3">
        <v>11700</v>
      </c>
      <c r="N145" s="3">
        <v>70.2</v>
      </c>
      <c r="O145" s="3">
        <v>6.31</v>
      </c>
      <c r="P145" s="3">
        <v>442.96199999999999</v>
      </c>
      <c r="Q145" s="3">
        <v>11700</v>
      </c>
    </row>
    <row r="146" spans="1:17" ht="24.95" hidden="1" customHeight="1" x14ac:dyDescent="0.25">
      <c r="A146" s="3">
        <v>1</v>
      </c>
      <c r="B146" s="3" t="s">
        <v>388</v>
      </c>
      <c r="C146" s="3" t="s">
        <v>617</v>
      </c>
      <c r="I146" s="3">
        <v>32</v>
      </c>
      <c r="J146" s="3">
        <v>3</v>
      </c>
      <c r="K146" s="3">
        <v>2</v>
      </c>
      <c r="L146" s="3">
        <v>6</v>
      </c>
      <c r="M146" s="3">
        <v>3550</v>
      </c>
      <c r="N146" s="3">
        <v>21.3</v>
      </c>
      <c r="O146" s="3">
        <v>6.31</v>
      </c>
      <c r="P146" s="3">
        <v>134.40299999999999</v>
      </c>
      <c r="Q146" s="3">
        <v>3550</v>
      </c>
    </row>
    <row r="147" spans="1:17" ht="24.95" hidden="1" customHeight="1" x14ac:dyDescent="0.25">
      <c r="A147" s="3">
        <v>1</v>
      </c>
      <c r="B147" s="3" t="s">
        <v>388</v>
      </c>
      <c r="C147" s="3" t="s">
        <v>618</v>
      </c>
      <c r="I147" s="3">
        <v>32</v>
      </c>
      <c r="J147" s="3">
        <v>3</v>
      </c>
      <c r="K147" s="3">
        <v>2</v>
      </c>
      <c r="L147" s="3">
        <v>6</v>
      </c>
      <c r="M147" s="3">
        <v>5310</v>
      </c>
      <c r="N147" s="3">
        <v>31.86</v>
      </c>
      <c r="O147" s="3">
        <v>6.31</v>
      </c>
      <c r="P147" s="3">
        <v>201.03659999999999</v>
      </c>
      <c r="Q147" s="3">
        <v>5310</v>
      </c>
    </row>
    <row r="148" spans="1:17" ht="24.95" hidden="1" customHeight="1" x14ac:dyDescent="0.25">
      <c r="A148" s="3">
        <v>1</v>
      </c>
      <c r="B148" s="3" t="s">
        <v>388</v>
      </c>
      <c r="C148" s="3" t="s">
        <v>619</v>
      </c>
      <c r="I148" s="3">
        <v>32</v>
      </c>
      <c r="J148" s="3">
        <v>4</v>
      </c>
      <c r="K148" s="3">
        <v>2</v>
      </c>
      <c r="L148" s="3">
        <v>8</v>
      </c>
      <c r="M148" s="3">
        <v>7420</v>
      </c>
      <c r="N148" s="3">
        <v>59.36</v>
      </c>
      <c r="O148" s="3">
        <v>6.31</v>
      </c>
      <c r="P148" s="3">
        <v>374.5616</v>
      </c>
      <c r="Q148" s="3">
        <v>7420</v>
      </c>
    </row>
    <row r="149" spans="1:17" ht="24.95" hidden="1" customHeight="1" x14ac:dyDescent="0.25">
      <c r="A149" s="3">
        <v>1</v>
      </c>
      <c r="B149" s="3" t="s">
        <v>388</v>
      </c>
      <c r="C149" s="3" t="s">
        <v>620</v>
      </c>
      <c r="I149" s="3">
        <v>32</v>
      </c>
      <c r="J149" s="3">
        <v>4</v>
      </c>
      <c r="K149" s="3">
        <v>2</v>
      </c>
      <c r="L149" s="3">
        <v>8</v>
      </c>
      <c r="M149" s="3">
        <v>11700</v>
      </c>
      <c r="N149" s="3">
        <v>93.6</v>
      </c>
      <c r="O149" s="3">
        <v>6.31</v>
      </c>
      <c r="P149" s="3">
        <v>590.61599999999987</v>
      </c>
      <c r="Q149" s="3">
        <v>11700</v>
      </c>
    </row>
    <row r="150" spans="1:17" ht="24.95" hidden="1" customHeight="1" x14ac:dyDescent="0.25">
      <c r="A150" s="3">
        <v>1</v>
      </c>
      <c r="B150" s="3" t="s">
        <v>388</v>
      </c>
      <c r="C150" s="3" t="s">
        <v>621</v>
      </c>
      <c r="I150" s="3">
        <v>32</v>
      </c>
      <c r="J150" s="3">
        <v>4</v>
      </c>
      <c r="K150" s="3">
        <v>2</v>
      </c>
      <c r="L150" s="3">
        <v>8</v>
      </c>
      <c r="M150" s="3">
        <v>11700</v>
      </c>
      <c r="N150" s="3">
        <v>93.6</v>
      </c>
      <c r="O150" s="3">
        <v>6.31</v>
      </c>
      <c r="P150" s="3">
        <v>590.61599999999987</v>
      </c>
      <c r="Q150" s="3">
        <v>11700</v>
      </c>
    </row>
    <row r="151" spans="1:17" ht="24.95" hidden="1" customHeight="1" x14ac:dyDescent="0.25">
      <c r="A151" s="3">
        <v>1</v>
      </c>
      <c r="B151" s="3" t="s">
        <v>388</v>
      </c>
      <c r="C151" s="3" t="s">
        <v>622</v>
      </c>
      <c r="I151" s="3">
        <v>32</v>
      </c>
      <c r="J151" s="3">
        <v>4</v>
      </c>
      <c r="K151" s="3">
        <v>2</v>
      </c>
      <c r="L151" s="3">
        <v>8</v>
      </c>
      <c r="M151" s="3">
        <v>7420</v>
      </c>
      <c r="N151" s="3">
        <v>59.36</v>
      </c>
      <c r="O151" s="3">
        <v>6.31</v>
      </c>
      <c r="P151" s="3">
        <v>374.5616</v>
      </c>
      <c r="Q151" s="3">
        <v>7420</v>
      </c>
    </row>
    <row r="152" spans="1:17" ht="24.95" hidden="1" customHeight="1" x14ac:dyDescent="0.25">
      <c r="A152" s="3">
        <v>1</v>
      </c>
      <c r="B152" s="3" t="s">
        <v>388</v>
      </c>
      <c r="C152" s="3" t="s">
        <v>623</v>
      </c>
      <c r="I152" s="3">
        <v>32</v>
      </c>
      <c r="J152" s="3">
        <v>3</v>
      </c>
      <c r="K152" s="3">
        <v>2</v>
      </c>
      <c r="L152" s="3">
        <v>6</v>
      </c>
      <c r="M152" s="3">
        <v>9180</v>
      </c>
      <c r="N152" s="3">
        <v>55.08</v>
      </c>
      <c r="O152" s="3">
        <v>6.31</v>
      </c>
      <c r="P152" s="3">
        <v>347.55479999999994</v>
      </c>
      <c r="Q152" s="3">
        <v>9180</v>
      </c>
    </row>
    <row r="153" spans="1:17" ht="24.95" hidden="1" customHeight="1" x14ac:dyDescent="0.25">
      <c r="A153" s="3">
        <v>1</v>
      </c>
      <c r="B153" s="3" t="s">
        <v>388</v>
      </c>
      <c r="C153" s="3" t="s">
        <v>624</v>
      </c>
      <c r="I153" s="3">
        <v>32</v>
      </c>
      <c r="J153" s="3">
        <v>3</v>
      </c>
      <c r="K153" s="3">
        <v>2</v>
      </c>
      <c r="L153" s="3">
        <v>6</v>
      </c>
      <c r="M153" s="3">
        <v>9940</v>
      </c>
      <c r="N153" s="3">
        <v>59.64</v>
      </c>
      <c r="O153" s="3">
        <v>6.31</v>
      </c>
      <c r="P153" s="3">
        <v>376.32839999999999</v>
      </c>
      <c r="Q153" s="3">
        <v>9940</v>
      </c>
    </row>
    <row r="154" spans="1:17" ht="24.95" hidden="1" customHeight="1" x14ac:dyDescent="0.25">
      <c r="A154" s="3">
        <v>1</v>
      </c>
      <c r="B154" s="3" t="s">
        <v>388</v>
      </c>
      <c r="C154" s="3" t="s">
        <v>625</v>
      </c>
      <c r="I154" s="3">
        <v>16</v>
      </c>
      <c r="J154" s="3">
        <v>42</v>
      </c>
      <c r="K154" s="3">
        <v>2</v>
      </c>
      <c r="L154" s="3">
        <v>84</v>
      </c>
      <c r="M154" s="3">
        <v>2030</v>
      </c>
      <c r="N154" s="3">
        <v>170.52</v>
      </c>
      <c r="O154" s="3">
        <v>1.58</v>
      </c>
      <c r="P154" s="3">
        <v>269.42160000000001</v>
      </c>
      <c r="Q154" s="3">
        <v>2030</v>
      </c>
    </row>
    <row r="155" spans="1:17" ht="24.95" hidden="1" customHeight="1" x14ac:dyDescent="0.25">
      <c r="A155" s="3">
        <v>1</v>
      </c>
      <c r="B155" s="3" t="s">
        <v>388</v>
      </c>
      <c r="C155" s="3" t="s">
        <v>626</v>
      </c>
      <c r="I155" s="3">
        <v>16</v>
      </c>
      <c r="J155" s="3">
        <v>42</v>
      </c>
      <c r="K155" s="3">
        <v>2</v>
      </c>
      <c r="L155" s="3">
        <v>84</v>
      </c>
      <c r="M155" s="3">
        <v>5370</v>
      </c>
      <c r="N155" s="3">
        <v>451.08</v>
      </c>
      <c r="O155" s="3">
        <v>1.58</v>
      </c>
      <c r="P155" s="3">
        <v>712.70640000000003</v>
      </c>
      <c r="Q155" s="3">
        <v>5370</v>
      </c>
    </row>
    <row r="156" spans="1:17" ht="24.95" hidden="1" customHeight="1" x14ac:dyDescent="0.25">
      <c r="A156" s="3">
        <v>1</v>
      </c>
      <c r="B156" s="3" t="s">
        <v>388</v>
      </c>
      <c r="C156" s="3" t="s">
        <v>627</v>
      </c>
      <c r="I156" s="3">
        <v>16</v>
      </c>
      <c r="J156" s="3">
        <v>164</v>
      </c>
      <c r="K156" s="3">
        <v>2</v>
      </c>
      <c r="L156" s="3">
        <v>328</v>
      </c>
      <c r="M156" s="3">
        <v>2710</v>
      </c>
      <c r="N156" s="3">
        <v>888.88</v>
      </c>
      <c r="O156" s="3">
        <v>1.58</v>
      </c>
      <c r="P156" s="3">
        <v>1404.4304</v>
      </c>
      <c r="Q156" s="3">
        <v>2710</v>
      </c>
    </row>
    <row r="157" spans="1:17" ht="24.95" hidden="1" customHeight="1" x14ac:dyDescent="0.25">
      <c r="A157" s="3">
        <v>1</v>
      </c>
      <c r="B157" s="3" t="s">
        <v>388</v>
      </c>
      <c r="C157" s="3" t="s">
        <v>628</v>
      </c>
      <c r="I157" s="3">
        <v>14</v>
      </c>
      <c r="J157" s="3">
        <v>12</v>
      </c>
      <c r="K157" s="3">
        <v>2</v>
      </c>
      <c r="L157" s="3">
        <v>24</v>
      </c>
      <c r="M157" s="3">
        <v>2530</v>
      </c>
      <c r="N157" s="3">
        <v>60.72</v>
      </c>
      <c r="O157" s="3">
        <v>1.21</v>
      </c>
      <c r="P157" s="3">
        <v>73.471199999999996</v>
      </c>
      <c r="Q157" s="3">
        <v>2530</v>
      </c>
    </row>
    <row r="158" spans="1:17" ht="24.95" hidden="1" customHeight="1" x14ac:dyDescent="0.25">
      <c r="A158" s="3">
        <v>1</v>
      </c>
      <c r="B158" s="3" t="s">
        <v>388</v>
      </c>
      <c r="C158" s="3" t="s">
        <v>629</v>
      </c>
      <c r="I158" s="3">
        <v>14</v>
      </c>
      <c r="J158" s="3">
        <v>12</v>
      </c>
      <c r="K158" s="3">
        <v>2</v>
      </c>
      <c r="L158" s="3">
        <v>24</v>
      </c>
      <c r="M158" s="3">
        <v>11700</v>
      </c>
      <c r="N158" s="3">
        <v>280.8</v>
      </c>
      <c r="O158" s="3">
        <v>1.21</v>
      </c>
      <c r="P158" s="3">
        <v>339.76800000000003</v>
      </c>
      <c r="Q158" s="3">
        <v>11700</v>
      </c>
    </row>
    <row r="159" spans="1:17" ht="24.95" hidden="1" customHeight="1" x14ac:dyDescent="0.25">
      <c r="A159" s="3">
        <v>1</v>
      </c>
      <c r="B159" s="3" t="s">
        <v>388</v>
      </c>
      <c r="C159" s="3" t="s">
        <v>630</v>
      </c>
      <c r="I159" s="3">
        <v>10</v>
      </c>
      <c r="J159" s="3">
        <v>132</v>
      </c>
      <c r="K159" s="3">
        <v>2</v>
      </c>
      <c r="L159" s="3">
        <v>264</v>
      </c>
      <c r="M159" s="3">
        <v>790</v>
      </c>
      <c r="N159" s="3">
        <v>208.56</v>
      </c>
      <c r="O159" s="3">
        <v>0.61699999999999999</v>
      </c>
      <c r="P159" s="3">
        <v>128.68152000000001</v>
      </c>
      <c r="Q159" s="3">
        <v>790</v>
      </c>
    </row>
    <row r="160" spans="1:17" ht="24.95" hidden="1" customHeight="1" x14ac:dyDescent="0.25">
      <c r="A160" s="3">
        <v>1</v>
      </c>
      <c r="B160" s="3" t="s">
        <v>388</v>
      </c>
      <c r="C160" s="3" t="s">
        <v>631</v>
      </c>
      <c r="I160" s="3">
        <v>14</v>
      </c>
      <c r="J160" s="3">
        <v>12</v>
      </c>
      <c r="K160" s="3">
        <v>2</v>
      </c>
      <c r="L160" s="3">
        <v>24</v>
      </c>
      <c r="M160" s="3">
        <v>2530</v>
      </c>
      <c r="N160" s="3">
        <v>60.72</v>
      </c>
      <c r="O160" s="3">
        <v>1.21</v>
      </c>
      <c r="P160" s="3">
        <v>73.471199999999996</v>
      </c>
      <c r="Q160" s="3">
        <v>2530</v>
      </c>
    </row>
    <row r="161" spans="1:17" ht="24.95" hidden="1" customHeight="1" x14ac:dyDescent="0.25">
      <c r="A161" s="3">
        <v>1</v>
      </c>
      <c r="B161" s="3" t="s">
        <v>388</v>
      </c>
      <c r="C161" s="3" t="s">
        <v>632</v>
      </c>
      <c r="I161" s="3">
        <v>14</v>
      </c>
      <c r="J161" s="3">
        <v>12</v>
      </c>
      <c r="K161" s="3">
        <v>2</v>
      </c>
      <c r="L161" s="3">
        <v>24</v>
      </c>
      <c r="M161" s="3">
        <v>11700</v>
      </c>
      <c r="N161" s="3">
        <v>280.8</v>
      </c>
      <c r="O161" s="3">
        <v>1.21</v>
      </c>
      <c r="P161" s="3">
        <v>339.76800000000003</v>
      </c>
      <c r="Q161" s="3">
        <v>11700</v>
      </c>
    </row>
    <row r="162" spans="1:17" ht="24.95" hidden="1" customHeight="1" x14ac:dyDescent="0.25">
      <c r="A162" s="3">
        <v>1</v>
      </c>
      <c r="B162" s="3" t="s">
        <v>389</v>
      </c>
      <c r="C162" s="3" t="s">
        <v>633</v>
      </c>
      <c r="I162" s="3">
        <v>32</v>
      </c>
      <c r="J162" s="3">
        <v>5</v>
      </c>
      <c r="K162" s="3">
        <v>1</v>
      </c>
      <c r="L162" s="3">
        <v>5</v>
      </c>
      <c r="M162" s="3">
        <v>11700</v>
      </c>
      <c r="N162" s="3">
        <v>58.5</v>
      </c>
      <c r="O162" s="3">
        <v>6.31</v>
      </c>
      <c r="P162" s="3">
        <v>369.13499999999999</v>
      </c>
      <c r="Q162" s="3">
        <v>11700</v>
      </c>
    </row>
    <row r="163" spans="1:17" ht="24.95" hidden="1" customHeight="1" x14ac:dyDescent="0.25">
      <c r="A163" s="3">
        <v>1</v>
      </c>
      <c r="B163" s="3" t="s">
        <v>389</v>
      </c>
      <c r="C163" s="3" t="s">
        <v>634</v>
      </c>
      <c r="I163" s="3">
        <v>32</v>
      </c>
      <c r="J163" s="3">
        <v>5</v>
      </c>
      <c r="K163" s="3">
        <v>1</v>
      </c>
      <c r="L163" s="3">
        <v>5</v>
      </c>
      <c r="M163" s="3">
        <v>7150</v>
      </c>
      <c r="N163" s="3">
        <v>35.75</v>
      </c>
      <c r="O163" s="3">
        <v>6.31</v>
      </c>
      <c r="P163" s="3">
        <v>225.58249999999998</v>
      </c>
      <c r="Q163" s="3">
        <v>7150</v>
      </c>
    </row>
    <row r="164" spans="1:17" ht="24.95" hidden="1" customHeight="1" x14ac:dyDescent="0.25">
      <c r="A164" s="3">
        <v>1</v>
      </c>
      <c r="B164" s="3" t="s">
        <v>389</v>
      </c>
      <c r="C164" s="3" t="s">
        <v>635</v>
      </c>
      <c r="I164" s="3">
        <v>32</v>
      </c>
      <c r="J164" s="3">
        <v>4</v>
      </c>
      <c r="K164" s="3">
        <v>1</v>
      </c>
      <c r="L164" s="3">
        <v>4</v>
      </c>
      <c r="M164" s="3">
        <v>4040</v>
      </c>
      <c r="N164" s="3">
        <v>16.16</v>
      </c>
      <c r="O164" s="3">
        <v>6.31</v>
      </c>
      <c r="P164" s="3">
        <v>101.9696</v>
      </c>
      <c r="Q164" s="3">
        <v>4040</v>
      </c>
    </row>
    <row r="165" spans="1:17" ht="24.95" hidden="1" customHeight="1" x14ac:dyDescent="0.25">
      <c r="A165" s="3">
        <v>1</v>
      </c>
      <c r="B165" s="3" t="s">
        <v>389</v>
      </c>
      <c r="C165" s="3" t="s">
        <v>636</v>
      </c>
      <c r="I165" s="3">
        <v>32</v>
      </c>
      <c r="J165" s="3">
        <v>4</v>
      </c>
      <c r="K165" s="3">
        <v>1</v>
      </c>
      <c r="L165" s="3">
        <v>4</v>
      </c>
      <c r="M165" s="3">
        <v>11700</v>
      </c>
      <c r="N165" s="3">
        <v>46.8</v>
      </c>
      <c r="O165" s="3">
        <v>6.31</v>
      </c>
      <c r="P165" s="3">
        <v>295.30799999999994</v>
      </c>
      <c r="Q165" s="3">
        <v>11700</v>
      </c>
    </row>
    <row r="166" spans="1:17" ht="24.95" hidden="1" customHeight="1" x14ac:dyDescent="0.25">
      <c r="A166" s="3">
        <v>1</v>
      </c>
      <c r="B166" s="3" t="s">
        <v>389</v>
      </c>
      <c r="C166" s="3" t="s">
        <v>637</v>
      </c>
      <c r="I166" s="3">
        <v>32</v>
      </c>
      <c r="J166" s="3">
        <v>4</v>
      </c>
      <c r="K166" s="3">
        <v>1</v>
      </c>
      <c r="L166" s="3">
        <v>4</v>
      </c>
      <c r="M166" s="3">
        <v>4550</v>
      </c>
      <c r="N166" s="3">
        <v>18.2</v>
      </c>
      <c r="O166" s="3">
        <v>6.31</v>
      </c>
      <c r="P166" s="3">
        <v>114.84199999999998</v>
      </c>
      <c r="Q166" s="3">
        <v>4550</v>
      </c>
    </row>
    <row r="167" spans="1:17" ht="24.95" hidden="1" customHeight="1" x14ac:dyDescent="0.25">
      <c r="A167" s="3">
        <v>1</v>
      </c>
      <c r="B167" s="3" t="s">
        <v>389</v>
      </c>
      <c r="C167" s="3" t="s">
        <v>638</v>
      </c>
      <c r="I167" s="3">
        <v>32</v>
      </c>
      <c r="J167" s="3">
        <v>4</v>
      </c>
      <c r="K167" s="3">
        <v>1</v>
      </c>
      <c r="L167" s="3">
        <v>4</v>
      </c>
      <c r="M167" s="3">
        <v>11700</v>
      </c>
      <c r="N167" s="3">
        <v>46.8</v>
      </c>
      <c r="O167" s="3">
        <v>6.31</v>
      </c>
      <c r="P167" s="3">
        <v>295.30799999999994</v>
      </c>
      <c r="Q167" s="3">
        <v>11700</v>
      </c>
    </row>
    <row r="168" spans="1:17" ht="24.95" hidden="1" customHeight="1" x14ac:dyDescent="0.25">
      <c r="A168" s="3">
        <v>1</v>
      </c>
      <c r="B168" s="3" t="s">
        <v>389</v>
      </c>
      <c r="C168" s="3" t="s">
        <v>639</v>
      </c>
      <c r="I168" s="3">
        <v>32</v>
      </c>
      <c r="J168" s="3">
        <v>4</v>
      </c>
      <c r="K168" s="3">
        <v>1</v>
      </c>
      <c r="L168" s="3">
        <v>4</v>
      </c>
      <c r="M168" s="3">
        <v>7050</v>
      </c>
      <c r="N168" s="3">
        <v>28.2</v>
      </c>
      <c r="O168" s="3">
        <v>6.31</v>
      </c>
      <c r="P168" s="3">
        <v>177.94199999999998</v>
      </c>
      <c r="Q168" s="3">
        <v>7050</v>
      </c>
    </row>
    <row r="169" spans="1:17" ht="24.95" hidden="1" customHeight="1" x14ac:dyDescent="0.25">
      <c r="A169" s="3">
        <v>1</v>
      </c>
      <c r="B169" s="3" t="s">
        <v>389</v>
      </c>
      <c r="C169" s="3" t="s">
        <v>640</v>
      </c>
      <c r="I169" s="3">
        <v>32</v>
      </c>
      <c r="J169" s="3">
        <v>5</v>
      </c>
      <c r="K169" s="3">
        <v>1</v>
      </c>
      <c r="L169" s="3">
        <v>5</v>
      </c>
      <c r="M169" s="3">
        <v>3840</v>
      </c>
      <c r="N169" s="3">
        <v>19.2</v>
      </c>
      <c r="O169" s="3">
        <v>6.31</v>
      </c>
      <c r="P169" s="3">
        <v>121.15199999999999</v>
      </c>
      <c r="Q169" s="3">
        <v>3840</v>
      </c>
    </row>
    <row r="170" spans="1:17" ht="24.95" hidden="1" customHeight="1" x14ac:dyDescent="0.25">
      <c r="A170" s="3">
        <v>1</v>
      </c>
      <c r="B170" s="3" t="s">
        <v>389</v>
      </c>
      <c r="C170" s="3" t="s">
        <v>641</v>
      </c>
      <c r="I170" s="3">
        <v>32</v>
      </c>
      <c r="J170" s="3">
        <v>5</v>
      </c>
      <c r="K170" s="3">
        <v>1</v>
      </c>
      <c r="L170" s="3">
        <v>5</v>
      </c>
      <c r="M170" s="3">
        <v>11700</v>
      </c>
      <c r="N170" s="3">
        <v>58.5</v>
      </c>
      <c r="O170" s="3">
        <v>6.31</v>
      </c>
      <c r="P170" s="3">
        <v>369.13499999999999</v>
      </c>
      <c r="Q170" s="3">
        <v>11700</v>
      </c>
    </row>
    <row r="171" spans="1:17" ht="24.95" hidden="1" customHeight="1" x14ac:dyDescent="0.25">
      <c r="A171" s="3">
        <v>1</v>
      </c>
      <c r="B171" s="3" t="s">
        <v>389</v>
      </c>
      <c r="C171" s="3" t="s">
        <v>642</v>
      </c>
      <c r="I171" s="3">
        <v>32</v>
      </c>
      <c r="J171" s="3">
        <v>5</v>
      </c>
      <c r="K171" s="3">
        <v>1</v>
      </c>
      <c r="L171" s="3">
        <v>5</v>
      </c>
      <c r="M171" s="3">
        <v>4650</v>
      </c>
      <c r="N171" s="3">
        <v>23.25</v>
      </c>
      <c r="O171" s="3">
        <v>6.31</v>
      </c>
      <c r="P171" s="3">
        <v>146.70749999999998</v>
      </c>
      <c r="Q171" s="3">
        <v>4650</v>
      </c>
    </row>
    <row r="172" spans="1:17" ht="24.95" hidden="1" customHeight="1" x14ac:dyDescent="0.25">
      <c r="A172" s="3">
        <v>1</v>
      </c>
      <c r="B172" s="3" t="s">
        <v>389</v>
      </c>
      <c r="C172" s="3" t="s">
        <v>643</v>
      </c>
      <c r="I172" s="3">
        <v>32</v>
      </c>
      <c r="J172" s="3">
        <v>4</v>
      </c>
      <c r="K172" s="3">
        <v>1</v>
      </c>
      <c r="L172" s="3">
        <v>4</v>
      </c>
      <c r="M172" s="3">
        <v>11700</v>
      </c>
      <c r="N172" s="3">
        <v>46.8</v>
      </c>
      <c r="O172" s="3">
        <v>6.31</v>
      </c>
      <c r="P172" s="3">
        <v>295.30799999999994</v>
      </c>
      <c r="Q172" s="3">
        <v>11700</v>
      </c>
    </row>
    <row r="173" spans="1:17" ht="24.95" hidden="1" customHeight="1" x14ac:dyDescent="0.25">
      <c r="A173" s="3">
        <v>1</v>
      </c>
      <c r="B173" s="3" t="s">
        <v>389</v>
      </c>
      <c r="C173" s="3" t="s">
        <v>644</v>
      </c>
      <c r="I173" s="3">
        <v>32</v>
      </c>
      <c r="J173" s="3">
        <v>4</v>
      </c>
      <c r="K173" s="3">
        <v>1</v>
      </c>
      <c r="L173" s="3">
        <v>4</v>
      </c>
      <c r="M173" s="3">
        <v>6950</v>
      </c>
      <c r="N173" s="3">
        <v>27.8</v>
      </c>
      <c r="O173" s="3">
        <v>6.31</v>
      </c>
      <c r="P173" s="3">
        <v>175.41800000000001</v>
      </c>
      <c r="Q173" s="3">
        <v>6950</v>
      </c>
    </row>
    <row r="174" spans="1:17" ht="24.95" hidden="1" customHeight="1" x14ac:dyDescent="0.25">
      <c r="A174" s="3">
        <v>1</v>
      </c>
      <c r="B174" s="3" t="s">
        <v>389</v>
      </c>
      <c r="C174" s="3" t="s">
        <v>645</v>
      </c>
      <c r="I174" s="3">
        <v>32</v>
      </c>
      <c r="J174" s="3">
        <v>3</v>
      </c>
      <c r="K174" s="3">
        <v>1</v>
      </c>
      <c r="L174" s="3">
        <v>3</v>
      </c>
      <c r="M174" s="3">
        <v>3640</v>
      </c>
      <c r="N174" s="3">
        <v>10.92</v>
      </c>
      <c r="O174" s="3">
        <v>6.31</v>
      </c>
      <c r="P174" s="3">
        <v>68.905199999999994</v>
      </c>
      <c r="Q174" s="3">
        <v>3640</v>
      </c>
    </row>
    <row r="175" spans="1:17" ht="24.95" hidden="1" customHeight="1" x14ac:dyDescent="0.25">
      <c r="A175" s="3">
        <v>1</v>
      </c>
      <c r="B175" s="3" t="s">
        <v>389</v>
      </c>
      <c r="C175" s="3" t="s">
        <v>646</v>
      </c>
      <c r="I175" s="3">
        <v>32</v>
      </c>
      <c r="J175" s="3">
        <v>3</v>
      </c>
      <c r="K175" s="3">
        <v>1</v>
      </c>
      <c r="L175" s="3">
        <v>3</v>
      </c>
      <c r="M175" s="3">
        <v>11700</v>
      </c>
      <c r="N175" s="3">
        <v>35.1</v>
      </c>
      <c r="O175" s="3">
        <v>6.31</v>
      </c>
      <c r="P175" s="3">
        <v>221.48099999999999</v>
      </c>
      <c r="Q175" s="3">
        <v>11700</v>
      </c>
    </row>
    <row r="176" spans="1:17" ht="24.95" hidden="1" customHeight="1" x14ac:dyDescent="0.25">
      <c r="A176" s="3">
        <v>1</v>
      </c>
      <c r="B176" s="3" t="s">
        <v>389</v>
      </c>
      <c r="C176" s="3" t="s">
        <v>647</v>
      </c>
      <c r="I176" s="3">
        <v>32</v>
      </c>
      <c r="J176" s="3">
        <v>3</v>
      </c>
      <c r="K176" s="3">
        <v>1</v>
      </c>
      <c r="L176" s="3">
        <v>3</v>
      </c>
      <c r="M176" s="3">
        <v>4750</v>
      </c>
      <c r="N176" s="3">
        <v>14.25</v>
      </c>
      <c r="O176" s="3">
        <v>6.31</v>
      </c>
      <c r="P176" s="3">
        <v>89.91749999999999</v>
      </c>
      <c r="Q176" s="3">
        <v>4750</v>
      </c>
    </row>
    <row r="177" spans="1:17" ht="24.95" hidden="1" customHeight="1" x14ac:dyDescent="0.25">
      <c r="A177" s="3">
        <v>1</v>
      </c>
      <c r="B177" s="3" t="s">
        <v>389</v>
      </c>
      <c r="C177" s="3" t="s">
        <v>648</v>
      </c>
      <c r="I177" s="3">
        <v>32</v>
      </c>
      <c r="J177" s="3">
        <v>5</v>
      </c>
      <c r="K177" s="3">
        <v>1</v>
      </c>
      <c r="L177" s="3">
        <v>5</v>
      </c>
      <c r="M177" s="3">
        <v>7270</v>
      </c>
      <c r="N177" s="3">
        <v>36.35</v>
      </c>
      <c r="O177" s="3">
        <v>6.31</v>
      </c>
      <c r="P177" s="3">
        <v>229.36849999999998</v>
      </c>
      <c r="Q177" s="3">
        <v>7270</v>
      </c>
    </row>
    <row r="178" spans="1:17" ht="24.95" hidden="1" customHeight="1" x14ac:dyDescent="0.25">
      <c r="A178" s="3">
        <v>1</v>
      </c>
      <c r="B178" s="3" t="s">
        <v>389</v>
      </c>
      <c r="C178" s="3" t="s">
        <v>649</v>
      </c>
      <c r="I178" s="3">
        <v>32</v>
      </c>
      <c r="J178" s="3">
        <v>5</v>
      </c>
      <c r="K178" s="3">
        <v>1</v>
      </c>
      <c r="L178" s="3">
        <v>5</v>
      </c>
      <c r="M178" s="3">
        <v>11700</v>
      </c>
      <c r="N178" s="3">
        <v>58.5</v>
      </c>
      <c r="O178" s="3">
        <v>6.31</v>
      </c>
      <c r="P178" s="3">
        <v>369.13499999999999</v>
      </c>
      <c r="Q178" s="3">
        <v>11700</v>
      </c>
    </row>
    <row r="179" spans="1:17" ht="24.95" hidden="1" customHeight="1" x14ac:dyDescent="0.25">
      <c r="A179" s="3">
        <v>1</v>
      </c>
      <c r="B179" s="3" t="s">
        <v>389</v>
      </c>
      <c r="C179" s="3" t="s">
        <v>650</v>
      </c>
      <c r="I179" s="3">
        <v>32</v>
      </c>
      <c r="J179" s="3">
        <v>4</v>
      </c>
      <c r="K179" s="3">
        <v>1</v>
      </c>
      <c r="L179" s="3">
        <v>4</v>
      </c>
      <c r="M179" s="3">
        <v>9000</v>
      </c>
      <c r="N179" s="3">
        <v>36</v>
      </c>
      <c r="O179" s="3">
        <v>6.31</v>
      </c>
      <c r="P179" s="3">
        <v>227.16</v>
      </c>
      <c r="Q179" s="3">
        <v>9000</v>
      </c>
    </row>
    <row r="180" spans="1:17" ht="24.95" hidden="1" customHeight="1" x14ac:dyDescent="0.25">
      <c r="A180" s="3">
        <v>1</v>
      </c>
      <c r="B180" s="3" t="s">
        <v>389</v>
      </c>
      <c r="C180" s="3" t="s">
        <v>651</v>
      </c>
      <c r="I180" s="3">
        <v>32</v>
      </c>
      <c r="J180" s="3">
        <v>4</v>
      </c>
      <c r="K180" s="3">
        <v>1</v>
      </c>
      <c r="L180" s="3">
        <v>4</v>
      </c>
      <c r="M180" s="3">
        <v>9970</v>
      </c>
      <c r="N180" s="3">
        <v>39.880000000000003</v>
      </c>
      <c r="O180" s="3">
        <v>6.31</v>
      </c>
      <c r="P180" s="3">
        <v>251.64279999999999</v>
      </c>
      <c r="Q180" s="3">
        <v>9970</v>
      </c>
    </row>
    <row r="181" spans="1:17" ht="24.95" hidden="1" customHeight="1" x14ac:dyDescent="0.25">
      <c r="A181" s="3">
        <v>1</v>
      </c>
      <c r="B181" s="3" t="s">
        <v>389</v>
      </c>
      <c r="C181" s="3" t="s">
        <v>652</v>
      </c>
      <c r="I181" s="3">
        <v>32</v>
      </c>
      <c r="J181" s="3">
        <v>9</v>
      </c>
      <c r="K181" s="3">
        <v>1</v>
      </c>
      <c r="L181" s="3">
        <v>9</v>
      </c>
      <c r="M181" s="3">
        <v>7900</v>
      </c>
      <c r="N181" s="3">
        <v>71.099999999999994</v>
      </c>
      <c r="O181" s="3">
        <v>6.31</v>
      </c>
      <c r="P181" s="3">
        <v>448.64099999999996</v>
      </c>
      <c r="Q181" s="3">
        <v>7900</v>
      </c>
    </row>
    <row r="182" spans="1:17" ht="24.95" hidden="1" customHeight="1" x14ac:dyDescent="0.25">
      <c r="A182" s="3">
        <v>1</v>
      </c>
      <c r="B182" s="3" t="s">
        <v>389</v>
      </c>
      <c r="C182" s="3" t="s">
        <v>653</v>
      </c>
      <c r="I182" s="3">
        <v>14</v>
      </c>
      <c r="J182" s="3">
        <v>81</v>
      </c>
      <c r="K182" s="3">
        <v>1</v>
      </c>
      <c r="L182" s="3">
        <v>81</v>
      </c>
      <c r="M182" s="3">
        <v>6070</v>
      </c>
      <c r="N182" s="3">
        <v>491.67</v>
      </c>
      <c r="O182" s="3">
        <v>1.21</v>
      </c>
      <c r="P182" s="3">
        <v>594.92070000000001</v>
      </c>
      <c r="Q182" s="3">
        <v>6070</v>
      </c>
    </row>
    <row r="183" spans="1:17" ht="24.95" hidden="1" customHeight="1" x14ac:dyDescent="0.25">
      <c r="A183" s="3">
        <v>1</v>
      </c>
      <c r="B183" s="3" t="s">
        <v>389</v>
      </c>
      <c r="C183" s="3" t="s">
        <v>654</v>
      </c>
      <c r="I183" s="3">
        <v>14</v>
      </c>
      <c r="J183" s="3">
        <v>81</v>
      </c>
      <c r="K183" s="3">
        <v>1</v>
      </c>
      <c r="L183" s="3">
        <v>81</v>
      </c>
      <c r="M183" s="3">
        <v>2550</v>
      </c>
      <c r="N183" s="3">
        <v>206.55</v>
      </c>
      <c r="O183" s="3">
        <v>1.21</v>
      </c>
      <c r="P183" s="3">
        <v>249.9255</v>
      </c>
      <c r="Q183" s="3">
        <v>2550</v>
      </c>
    </row>
    <row r="184" spans="1:17" ht="24.95" hidden="1" customHeight="1" x14ac:dyDescent="0.25">
      <c r="A184" s="3">
        <v>1</v>
      </c>
      <c r="B184" s="3" t="s">
        <v>389</v>
      </c>
      <c r="C184" s="3" t="s">
        <v>655</v>
      </c>
      <c r="I184" s="3">
        <v>14</v>
      </c>
      <c r="J184" s="3">
        <v>243</v>
      </c>
      <c r="K184" s="3">
        <v>1</v>
      </c>
      <c r="L184" s="3">
        <v>243</v>
      </c>
      <c r="M184" s="3">
        <v>2670</v>
      </c>
      <c r="N184" s="3">
        <v>648.80999999999995</v>
      </c>
      <c r="O184" s="3">
        <v>1.21</v>
      </c>
      <c r="P184" s="3">
        <v>785.06009999999992</v>
      </c>
      <c r="Q184" s="3">
        <v>2670</v>
      </c>
    </row>
    <row r="185" spans="1:17" ht="24.95" hidden="1" customHeight="1" x14ac:dyDescent="0.25">
      <c r="A185" s="3">
        <v>1</v>
      </c>
      <c r="B185" s="3" t="s">
        <v>389</v>
      </c>
      <c r="C185" s="3" t="s">
        <v>656</v>
      </c>
      <c r="I185" s="3">
        <v>18</v>
      </c>
      <c r="J185" s="3">
        <v>12</v>
      </c>
      <c r="K185" s="3">
        <v>1</v>
      </c>
      <c r="L185" s="3">
        <v>12</v>
      </c>
      <c r="M185" s="3">
        <v>11700</v>
      </c>
      <c r="N185" s="3">
        <v>140.4</v>
      </c>
      <c r="O185" s="3">
        <v>2</v>
      </c>
      <c r="P185" s="3">
        <v>280.8</v>
      </c>
      <c r="Q185" s="3">
        <v>11700</v>
      </c>
    </row>
    <row r="186" spans="1:17" ht="24.95" hidden="1" customHeight="1" x14ac:dyDescent="0.25">
      <c r="A186" s="3">
        <v>1</v>
      </c>
      <c r="B186" s="3" t="s">
        <v>389</v>
      </c>
      <c r="C186" s="3" t="s">
        <v>657</v>
      </c>
      <c r="I186" s="3">
        <v>18</v>
      </c>
      <c r="J186" s="3">
        <v>12</v>
      </c>
      <c r="K186" s="3">
        <v>1</v>
      </c>
      <c r="L186" s="3">
        <v>12</v>
      </c>
      <c r="M186" s="3">
        <v>2860</v>
      </c>
      <c r="N186" s="3">
        <v>34.32</v>
      </c>
      <c r="O186" s="3">
        <v>2</v>
      </c>
      <c r="P186" s="3">
        <v>68.64</v>
      </c>
      <c r="Q186" s="3">
        <v>2860</v>
      </c>
    </row>
    <row r="187" spans="1:17" ht="24.95" hidden="1" customHeight="1" x14ac:dyDescent="0.25">
      <c r="A187" s="3">
        <v>1</v>
      </c>
      <c r="B187" s="3" t="s">
        <v>389</v>
      </c>
      <c r="C187" s="3" t="s">
        <v>658</v>
      </c>
      <c r="I187" s="3">
        <v>14</v>
      </c>
      <c r="J187" s="3">
        <v>264</v>
      </c>
      <c r="K187" s="3">
        <v>1</v>
      </c>
      <c r="L187" s="3">
        <v>264</v>
      </c>
      <c r="M187" s="3">
        <v>1570</v>
      </c>
      <c r="N187" s="3">
        <v>414.48</v>
      </c>
      <c r="O187" s="3">
        <v>1.21</v>
      </c>
      <c r="P187" s="3">
        <v>501.52080000000001</v>
      </c>
      <c r="Q187" s="3">
        <v>1570</v>
      </c>
    </row>
    <row r="188" spans="1:17" ht="24.95" hidden="1" customHeight="1" x14ac:dyDescent="0.25">
      <c r="A188" s="3">
        <v>1</v>
      </c>
      <c r="B188" s="3" t="s">
        <v>389</v>
      </c>
      <c r="C188" s="3" t="s">
        <v>659</v>
      </c>
      <c r="I188" s="3">
        <v>32</v>
      </c>
      <c r="J188" s="3">
        <v>20</v>
      </c>
      <c r="K188" s="3">
        <v>1</v>
      </c>
      <c r="L188" s="3">
        <v>20</v>
      </c>
      <c r="M188" s="3">
        <v>1290</v>
      </c>
      <c r="N188" s="3">
        <v>25.8</v>
      </c>
      <c r="O188" s="3">
        <v>6.31</v>
      </c>
      <c r="P188" s="3">
        <v>162.798</v>
      </c>
      <c r="Q188" s="3">
        <v>1290</v>
      </c>
    </row>
    <row r="189" spans="1:17" ht="24.95" hidden="1" customHeight="1" x14ac:dyDescent="0.25">
      <c r="A189" s="3">
        <v>1</v>
      </c>
      <c r="B189" s="3" t="s">
        <v>389</v>
      </c>
      <c r="C189" s="3" t="s">
        <v>660</v>
      </c>
      <c r="I189" s="3">
        <v>14</v>
      </c>
      <c r="J189" s="3">
        <v>18</v>
      </c>
      <c r="K189" s="3">
        <v>1</v>
      </c>
      <c r="L189" s="3">
        <v>18</v>
      </c>
      <c r="M189" s="3">
        <v>2680</v>
      </c>
      <c r="N189" s="3">
        <v>48.24</v>
      </c>
      <c r="O189" s="3">
        <v>1.21</v>
      </c>
      <c r="P189" s="3">
        <v>58.370400000000004</v>
      </c>
      <c r="Q189" s="3">
        <v>2680</v>
      </c>
    </row>
    <row r="190" spans="1:17" ht="24.95" hidden="1" customHeight="1" x14ac:dyDescent="0.25">
      <c r="A190" s="3">
        <v>1</v>
      </c>
      <c r="B190" s="3" t="s">
        <v>389</v>
      </c>
      <c r="C190" s="3" t="s">
        <v>661</v>
      </c>
      <c r="I190" s="3">
        <v>14</v>
      </c>
      <c r="J190" s="3">
        <v>18</v>
      </c>
      <c r="K190" s="3">
        <v>1</v>
      </c>
      <c r="L190" s="3">
        <v>18</v>
      </c>
      <c r="M190" s="3">
        <v>11700</v>
      </c>
      <c r="N190" s="3">
        <v>210.6</v>
      </c>
      <c r="O190" s="3">
        <v>1.21</v>
      </c>
      <c r="P190" s="3">
        <v>254.82599999999999</v>
      </c>
      <c r="Q190" s="3">
        <v>11700</v>
      </c>
    </row>
    <row r="191" spans="1:17" ht="24.95" hidden="1" customHeight="1" x14ac:dyDescent="0.25">
      <c r="A191" s="3">
        <v>1</v>
      </c>
      <c r="B191" s="3" t="s">
        <v>390</v>
      </c>
      <c r="C191" s="3" t="s">
        <v>662</v>
      </c>
      <c r="I191" s="3">
        <v>32</v>
      </c>
      <c r="J191" s="3">
        <v>6</v>
      </c>
      <c r="K191" s="3">
        <v>1</v>
      </c>
      <c r="L191" s="3">
        <v>6</v>
      </c>
      <c r="M191" s="3">
        <v>11700</v>
      </c>
      <c r="N191" s="3">
        <v>70.2</v>
      </c>
      <c r="O191" s="3">
        <v>6.31</v>
      </c>
      <c r="P191" s="3">
        <v>442.96199999999999</v>
      </c>
      <c r="Q191" s="3">
        <v>11700</v>
      </c>
    </row>
    <row r="192" spans="1:17" ht="24.95" hidden="1" customHeight="1" x14ac:dyDescent="0.25">
      <c r="A192" s="3">
        <v>1</v>
      </c>
      <c r="B192" s="3" t="s">
        <v>390</v>
      </c>
      <c r="C192" s="3" t="s">
        <v>663</v>
      </c>
      <c r="I192" s="3">
        <v>32</v>
      </c>
      <c r="J192" s="3">
        <v>6</v>
      </c>
      <c r="K192" s="3">
        <v>1</v>
      </c>
      <c r="L192" s="3">
        <v>6</v>
      </c>
      <c r="M192" s="3">
        <v>6570</v>
      </c>
      <c r="N192" s="3">
        <v>39.42</v>
      </c>
      <c r="O192" s="3">
        <v>6.31</v>
      </c>
      <c r="P192" s="3">
        <v>248.74019999999999</v>
      </c>
      <c r="Q192" s="3">
        <v>6570</v>
      </c>
    </row>
    <row r="193" spans="1:17" ht="24.95" hidden="1" customHeight="1" x14ac:dyDescent="0.25">
      <c r="A193" s="3">
        <v>1</v>
      </c>
      <c r="B193" s="3" t="s">
        <v>390</v>
      </c>
      <c r="C193" s="3" t="s">
        <v>664</v>
      </c>
      <c r="I193" s="3">
        <v>32</v>
      </c>
      <c r="J193" s="3">
        <v>6</v>
      </c>
      <c r="K193" s="3">
        <v>1</v>
      </c>
      <c r="L193" s="3">
        <v>6</v>
      </c>
      <c r="M193" s="3">
        <v>11700</v>
      </c>
      <c r="N193" s="3">
        <v>70.2</v>
      </c>
      <c r="O193" s="3">
        <v>6.31</v>
      </c>
      <c r="P193" s="3">
        <v>442.96199999999999</v>
      </c>
      <c r="Q193" s="3">
        <v>11700</v>
      </c>
    </row>
    <row r="194" spans="1:17" ht="24.95" hidden="1" customHeight="1" x14ac:dyDescent="0.25">
      <c r="A194" s="3">
        <v>1</v>
      </c>
      <c r="B194" s="3" t="s">
        <v>390</v>
      </c>
      <c r="C194" s="3" t="s">
        <v>665</v>
      </c>
      <c r="I194" s="3">
        <v>32</v>
      </c>
      <c r="J194" s="3">
        <v>7</v>
      </c>
      <c r="K194" s="3">
        <v>1</v>
      </c>
      <c r="L194" s="3">
        <v>7</v>
      </c>
      <c r="M194" s="3">
        <v>4110</v>
      </c>
      <c r="N194" s="3">
        <v>28.77</v>
      </c>
      <c r="O194" s="3">
        <v>6.31</v>
      </c>
      <c r="P194" s="3">
        <v>181.53869999999998</v>
      </c>
      <c r="Q194" s="3">
        <v>4110</v>
      </c>
    </row>
    <row r="195" spans="1:17" ht="24.95" hidden="1" customHeight="1" x14ac:dyDescent="0.25">
      <c r="A195" s="3">
        <v>1</v>
      </c>
      <c r="B195" s="3" t="s">
        <v>390</v>
      </c>
      <c r="C195" s="3" t="s">
        <v>666</v>
      </c>
      <c r="I195" s="3">
        <v>32</v>
      </c>
      <c r="J195" s="3">
        <v>7</v>
      </c>
      <c r="K195" s="3">
        <v>1</v>
      </c>
      <c r="L195" s="3">
        <v>7</v>
      </c>
      <c r="M195" s="3">
        <v>11700</v>
      </c>
      <c r="N195" s="3">
        <v>81.900000000000006</v>
      </c>
      <c r="O195" s="3">
        <v>6.31</v>
      </c>
      <c r="P195" s="3">
        <v>516.78899999999999</v>
      </c>
      <c r="Q195" s="3">
        <v>11700</v>
      </c>
    </row>
    <row r="196" spans="1:17" ht="24.95" hidden="1" customHeight="1" x14ac:dyDescent="0.25">
      <c r="A196" s="3">
        <v>1</v>
      </c>
      <c r="B196" s="3" t="s">
        <v>390</v>
      </c>
      <c r="C196" s="3" t="s">
        <v>667</v>
      </c>
      <c r="I196" s="3">
        <v>32</v>
      </c>
      <c r="J196" s="3">
        <v>7</v>
      </c>
      <c r="K196" s="3">
        <v>1</v>
      </c>
      <c r="L196" s="3">
        <v>7</v>
      </c>
      <c r="M196" s="3">
        <v>11700</v>
      </c>
      <c r="N196" s="3">
        <v>81.900000000000006</v>
      </c>
      <c r="O196" s="3">
        <v>6.31</v>
      </c>
      <c r="P196" s="3">
        <v>516.78899999999999</v>
      </c>
      <c r="Q196" s="3">
        <v>11700</v>
      </c>
    </row>
    <row r="197" spans="1:17" ht="24.95" hidden="1" customHeight="1" x14ac:dyDescent="0.25">
      <c r="A197" s="3">
        <v>1</v>
      </c>
      <c r="B197" s="3" t="s">
        <v>390</v>
      </c>
      <c r="C197" s="3" t="s">
        <v>668</v>
      </c>
      <c r="I197" s="3">
        <v>32</v>
      </c>
      <c r="J197" s="3">
        <v>7</v>
      </c>
      <c r="K197" s="3">
        <v>1</v>
      </c>
      <c r="L197" s="3">
        <v>7</v>
      </c>
      <c r="M197" s="3">
        <v>3900</v>
      </c>
      <c r="N197" s="3">
        <v>27.3</v>
      </c>
      <c r="O197" s="3">
        <v>6.31</v>
      </c>
      <c r="P197" s="3">
        <v>172.26300000000001</v>
      </c>
      <c r="Q197" s="3">
        <v>3900</v>
      </c>
    </row>
    <row r="198" spans="1:17" ht="24.95" hidden="1" customHeight="1" x14ac:dyDescent="0.25">
      <c r="A198" s="3">
        <v>1</v>
      </c>
      <c r="B198" s="3" t="s">
        <v>390</v>
      </c>
      <c r="C198" s="3" t="s">
        <v>669</v>
      </c>
      <c r="I198" s="3">
        <v>32</v>
      </c>
      <c r="J198" s="3">
        <v>7</v>
      </c>
      <c r="K198" s="3">
        <v>1</v>
      </c>
      <c r="L198" s="3">
        <v>7</v>
      </c>
      <c r="M198" s="3">
        <v>11700</v>
      </c>
      <c r="N198" s="3">
        <v>81.900000000000006</v>
      </c>
      <c r="O198" s="3">
        <v>6.31</v>
      </c>
      <c r="P198" s="3">
        <v>516.78899999999999</v>
      </c>
      <c r="Q198" s="3">
        <v>11700</v>
      </c>
    </row>
    <row r="199" spans="1:17" ht="24.95" hidden="1" customHeight="1" x14ac:dyDescent="0.25">
      <c r="A199" s="3">
        <v>1</v>
      </c>
      <c r="B199" s="3" t="s">
        <v>390</v>
      </c>
      <c r="C199" s="3" t="s">
        <v>670</v>
      </c>
      <c r="I199" s="3">
        <v>32</v>
      </c>
      <c r="J199" s="3">
        <v>7</v>
      </c>
      <c r="K199" s="3">
        <v>1</v>
      </c>
      <c r="L199" s="3">
        <v>7</v>
      </c>
      <c r="M199" s="3">
        <v>6470</v>
      </c>
      <c r="N199" s="3">
        <v>45.29</v>
      </c>
      <c r="O199" s="3">
        <v>6.31</v>
      </c>
      <c r="P199" s="3">
        <v>285.7799</v>
      </c>
      <c r="Q199" s="3">
        <v>6470</v>
      </c>
    </row>
    <row r="200" spans="1:17" ht="24.95" hidden="1" customHeight="1" x14ac:dyDescent="0.25">
      <c r="A200" s="3">
        <v>1</v>
      </c>
      <c r="B200" s="3" t="s">
        <v>390</v>
      </c>
      <c r="C200" s="3" t="s">
        <v>671</v>
      </c>
      <c r="I200" s="3">
        <v>32</v>
      </c>
      <c r="J200" s="3">
        <v>7</v>
      </c>
      <c r="K200" s="3">
        <v>1</v>
      </c>
      <c r="L200" s="3">
        <v>7</v>
      </c>
      <c r="M200" s="3">
        <v>11700</v>
      </c>
      <c r="N200" s="3">
        <v>81.900000000000006</v>
      </c>
      <c r="O200" s="3">
        <v>6.31</v>
      </c>
      <c r="P200" s="3">
        <v>516.78899999999999</v>
      </c>
      <c r="Q200" s="3">
        <v>11700</v>
      </c>
    </row>
    <row r="201" spans="1:17" ht="24.95" hidden="1" customHeight="1" x14ac:dyDescent="0.25">
      <c r="A201" s="3">
        <v>1</v>
      </c>
      <c r="B201" s="3" t="s">
        <v>390</v>
      </c>
      <c r="C201" s="3" t="s">
        <v>672</v>
      </c>
      <c r="I201" s="3">
        <v>32</v>
      </c>
      <c r="J201" s="3">
        <v>6</v>
      </c>
      <c r="K201" s="3">
        <v>1</v>
      </c>
      <c r="L201" s="3">
        <v>6</v>
      </c>
      <c r="M201" s="3">
        <v>4010</v>
      </c>
      <c r="N201" s="3">
        <v>24.06</v>
      </c>
      <c r="O201" s="3">
        <v>6.31</v>
      </c>
      <c r="P201" s="3">
        <v>151.81859999999998</v>
      </c>
      <c r="Q201" s="3">
        <v>4010</v>
      </c>
    </row>
    <row r="202" spans="1:17" ht="24.95" hidden="1" customHeight="1" x14ac:dyDescent="0.25">
      <c r="A202" s="3">
        <v>1</v>
      </c>
      <c r="B202" s="3" t="s">
        <v>390</v>
      </c>
      <c r="C202" s="3" t="s">
        <v>673</v>
      </c>
      <c r="I202" s="3">
        <v>32</v>
      </c>
      <c r="J202" s="3">
        <v>6</v>
      </c>
      <c r="K202" s="3">
        <v>1</v>
      </c>
      <c r="L202" s="3">
        <v>6</v>
      </c>
      <c r="M202" s="3">
        <v>11700</v>
      </c>
      <c r="N202" s="3">
        <v>70.2</v>
      </c>
      <c r="O202" s="3">
        <v>6.31</v>
      </c>
      <c r="P202" s="3">
        <v>442.96199999999999</v>
      </c>
      <c r="Q202" s="3">
        <v>11700</v>
      </c>
    </row>
    <row r="203" spans="1:17" ht="24.95" hidden="1" customHeight="1" x14ac:dyDescent="0.25">
      <c r="A203" s="3">
        <v>1</v>
      </c>
      <c r="B203" s="3" t="s">
        <v>390</v>
      </c>
      <c r="C203" s="3" t="s">
        <v>674</v>
      </c>
      <c r="I203" s="3">
        <v>32</v>
      </c>
      <c r="J203" s="3">
        <v>6</v>
      </c>
      <c r="K203" s="3">
        <v>1</v>
      </c>
      <c r="L203" s="3">
        <v>6</v>
      </c>
      <c r="M203" s="3">
        <v>11700</v>
      </c>
      <c r="N203" s="3">
        <v>70.2</v>
      </c>
      <c r="O203" s="3">
        <v>6.31</v>
      </c>
      <c r="P203" s="3">
        <v>442.96199999999999</v>
      </c>
      <c r="Q203" s="3">
        <v>11700</v>
      </c>
    </row>
    <row r="204" spans="1:17" ht="24.95" hidden="1" customHeight="1" x14ac:dyDescent="0.25">
      <c r="A204" s="3">
        <v>1</v>
      </c>
      <c r="B204" s="3" t="s">
        <v>390</v>
      </c>
      <c r="C204" s="3" t="s">
        <v>675</v>
      </c>
      <c r="I204" s="3">
        <v>32</v>
      </c>
      <c r="J204" s="3">
        <v>6</v>
      </c>
      <c r="K204" s="3">
        <v>1</v>
      </c>
      <c r="L204" s="3">
        <v>6</v>
      </c>
      <c r="M204" s="3">
        <v>3900</v>
      </c>
      <c r="N204" s="3">
        <v>23.4</v>
      </c>
      <c r="O204" s="3">
        <v>6.31</v>
      </c>
      <c r="P204" s="3">
        <v>147.65399999999997</v>
      </c>
      <c r="Q204" s="3">
        <v>3900</v>
      </c>
    </row>
    <row r="205" spans="1:17" ht="24.95" hidden="1" customHeight="1" x14ac:dyDescent="0.25">
      <c r="A205" s="3">
        <v>1</v>
      </c>
      <c r="B205" s="3" t="s">
        <v>390</v>
      </c>
      <c r="C205" s="3" t="s">
        <v>676</v>
      </c>
      <c r="I205" s="3">
        <v>32</v>
      </c>
      <c r="J205" s="3">
        <v>2</v>
      </c>
      <c r="K205" s="3">
        <v>1</v>
      </c>
      <c r="L205" s="3">
        <v>2</v>
      </c>
      <c r="M205" s="3">
        <v>11600</v>
      </c>
      <c r="N205" s="3">
        <v>23.2</v>
      </c>
      <c r="O205" s="3">
        <v>6.31</v>
      </c>
      <c r="P205" s="3">
        <v>146.392</v>
      </c>
      <c r="Q205" s="3">
        <v>11600</v>
      </c>
    </row>
    <row r="206" spans="1:17" ht="24.95" hidden="1" customHeight="1" x14ac:dyDescent="0.25">
      <c r="A206" s="3">
        <v>1</v>
      </c>
      <c r="B206" s="3" t="s">
        <v>390</v>
      </c>
      <c r="C206" s="3" t="s">
        <v>677</v>
      </c>
      <c r="I206" s="3">
        <v>32</v>
      </c>
      <c r="J206" s="3">
        <v>2</v>
      </c>
      <c r="K206" s="3">
        <v>1</v>
      </c>
      <c r="L206" s="3">
        <v>2</v>
      </c>
      <c r="M206" s="3">
        <v>6470</v>
      </c>
      <c r="N206" s="3">
        <v>12.94</v>
      </c>
      <c r="O206" s="3">
        <v>6.31</v>
      </c>
      <c r="P206" s="3">
        <v>81.651399999999995</v>
      </c>
      <c r="Q206" s="3">
        <v>6470</v>
      </c>
    </row>
    <row r="207" spans="1:17" ht="24.95" hidden="1" customHeight="1" x14ac:dyDescent="0.25">
      <c r="A207" s="3">
        <v>1</v>
      </c>
      <c r="B207" s="3" t="s">
        <v>390</v>
      </c>
      <c r="C207" s="3" t="s">
        <v>678</v>
      </c>
      <c r="I207" s="3">
        <v>32</v>
      </c>
      <c r="J207" s="3">
        <v>2</v>
      </c>
      <c r="K207" s="3">
        <v>1</v>
      </c>
      <c r="L207" s="3">
        <v>2</v>
      </c>
      <c r="M207" s="3">
        <v>11700</v>
      </c>
      <c r="N207" s="3">
        <v>23.4</v>
      </c>
      <c r="O207" s="3">
        <v>6.31</v>
      </c>
      <c r="P207" s="3">
        <v>147.65399999999997</v>
      </c>
      <c r="Q207" s="3">
        <v>11700</v>
      </c>
    </row>
    <row r="208" spans="1:17" ht="24.95" hidden="1" customHeight="1" x14ac:dyDescent="0.25">
      <c r="A208" s="3">
        <v>1</v>
      </c>
      <c r="B208" s="3" t="s">
        <v>390</v>
      </c>
      <c r="C208" s="3" t="s">
        <v>679</v>
      </c>
      <c r="I208" s="3">
        <v>32</v>
      </c>
      <c r="J208" s="3">
        <v>2</v>
      </c>
      <c r="K208" s="3">
        <v>1</v>
      </c>
      <c r="L208" s="3">
        <v>2</v>
      </c>
      <c r="M208" s="3">
        <v>3900</v>
      </c>
      <c r="N208" s="3">
        <v>7.8</v>
      </c>
      <c r="O208" s="3">
        <v>6.31</v>
      </c>
      <c r="P208" s="3">
        <v>49.217999999999996</v>
      </c>
      <c r="Q208" s="3">
        <v>3900</v>
      </c>
    </row>
    <row r="209" spans="1:17" ht="24.95" hidden="1" customHeight="1" x14ac:dyDescent="0.25">
      <c r="A209" s="3">
        <v>1</v>
      </c>
      <c r="B209" s="3" t="s">
        <v>390</v>
      </c>
      <c r="C209" s="3" t="s">
        <v>680</v>
      </c>
      <c r="I209" s="3">
        <v>32</v>
      </c>
      <c r="J209" s="3">
        <v>2</v>
      </c>
      <c r="K209" s="3">
        <v>1</v>
      </c>
      <c r="L209" s="3">
        <v>2</v>
      </c>
      <c r="M209" s="3">
        <v>11700</v>
      </c>
      <c r="N209" s="3">
        <v>23.4</v>
      </c>
      <c r="O209" s="3">
        <v>6.31</v>
      </c>
      <c r="P209" s="3">
        <v>147.65399999999997</v>
      </c>
      <c r="Q209" s="3">
        <v>11700</v>
      </c>
    </row>
    <row r="210" spans="1:17" ht="24.95" hidden="1" customHeight="1" x14ac:dyDescent="0.25">
      <c r="A210" s="3">
        <v>1</v>
      </c>
      <c r="B210" s="3" t="s">
        <v>390</v>
      </c>
      <c r="C210" s="3" t="s">
        <v>681</v>
      </c>
      <c r="I210" s="3">
        <v>32</v>
      </c>
      <c r="J210" s="3">
        <v>2</v>
      </c>
      <c r="K210" s="3">
        <v>1</v>
      </c>
      <c r="L210" s="3">
        <v>2</v>
      </c>
      <c r="M210" s="3">
        <v>11700</v>
      </c>
      <c r="N210" s="3">
        <v>23.4</v>
      </c>
      <c r="O210" s="3">
        <v>6.31</v>
      </c>
      <c r="P210" s="3">
        <v>147.65399999999997</v>
      </c>
      <c r="Q210" s="3">
        <v>11700</v>
      </c>
    </row>
    <row r="211" spans="1:17" ht="24.95" hidden="1" customHeight="1" x14ac:dyDescent="0.25">
      <c r="A211" s="3">
        <v>1</v>
      </c>
      <c r="B211" s="3" t="s">
        <v>390</v>
      </c>
      <c r="C211" s="3" t="s">
        <v>682</v>
      </c>
      <c r="I211" s="3">
        <v>32</v>
      </c>
      <c r="J211" s="3">
        <v>2</v>
      </c>
      <c r="K211" s="3">
        <v>1</v>
      </c>
      <c r="L211" s="3">
        <v>2</v>
      </c>
      <c r="M211" s="3">
        <v>3900</v>
      </c>
      <c r="N211" s="3">
        <v>7.8</v>
      </c>
      <c r="O211" s="3">
        <v>6.31</v>
      </c>
      <c r="P211" s="3">
        <v>49.217999999999996</v>
      </c>
      <c r="Q211" s="3">
        <v>3900</v>
      </c>
    </row>
    <row r="212" spans="1:17" ht="24.95" hidden="1" customHeight="1" x14ac:dyDescent="0.25">
      <c r="A212" s="3">
        <v>1</v>
      </c>
      <c r="B212" s="3" t="s">
        <v>390</v>
      </c>
      <c r="C212" s="3" t="s">
        <v>683</v>
      </c>
      <c r="I212" s="3">
        <v>32</v>
      </c>
      <c r="J212" s="3">
        <v>6</v>
      </c>
      <c r="K212" s="3">
        <v>1</v>
      </c>
      <c r="L212" s="3">
        <v>6</v>
      </c>
      <c r="M212" s="3">
        <v>8500</v>
      </c>
      <c r="N212" s="3">
        <v>51</v>
      </c>
      <c r="O212" s="3">
        <v>6.31</v>
      </c>
      <c r="P212" s="3">
        <v>321.81</v>
      </c>
      <c r="Q212" s="3">
        <v>8500</v>
      </c>
    </row>
    <row r="213" spans="1:17" ht="24.95" hidden="1" customHeight="1" x14ac:dyDescent="0.25">
      <c r="A213" s="3">
        <v>1</v>
      </c>
      <c r="B213" s="3" t="s">
        <v>390</v>
      </c>
      <c r="C213" s="3" t="s">
        <v>684</v>
      </c>
      <c r="I213" s="3">
        <v>32</v>
      </c>
      <c r="J213" s="3">
        <v>6</v>
      </c>
      <c r="K213" s="3">
        <v>1</v>
      </c>
      <c r="L213" s="3">
        <v>6</v>
      </c>
      <c r="M213" s="3">
        <v>11700</v>
      </c>
      <c r="N213" s="3">
        <v>70.2</v>
      </c>
      <c r="O213" s="3">
        <v>6.31</v>
      </c>
      <c r="P213" s="3">
        <v>442.96199999999999</v>
      </c>
      <c r="Q213" s="3">
        <v>11700</v>
      </c>
    </row>
    <row r="214" spans="1:17" ht="24.95" hidden="1" customHeight="1" x14ac:dyDescent="0.25">
      <c r="A214" s="3">
        <v>1</v>
      </c>
      <c r="B214" s="3" t="s">
        <v>390</v>
      </c>
      <c r="C214" s="3" t="s">
        <v>685</v>
      </c>
      <c r="I214" s="3">
        <v>32</v>
      </c>
      <c r="J214" s="3">
        <v>6</v>
      </c>
      <c r="K214" s="3">
        <v>1</v>
      </c>
      <c r="L214" s="3">
        <v>6</v>
      </c>
      <c r="M214" s="3">
        <v>9370</v>
      </c>
      <c r="N214" s="3">
        <v>56.22</v>
      </c>
      <c r="O214" s="3">
        <v>6.31</v>
      </c>
      <c r="P214" s="3">
        <v>354.7482</v>
      </c>
      <c r="Q214" s="3">
        <v>9370</v>
      </c>
    </row>
    <row r="215" spans="1:17" ht="24.95" hidden="1" customHeight="1" x14ac:dyDescent="0.25">
      <c r="A215" s="3">
        <v>1</v>
      </c>
      <c r="B215" s="3" t="s">
        <v>390</v>
      </c>
      <c r="C215" s="3" t="s">
        <v>686</v>
      </c>
      <c r="I215" s="3">
        <v>32</v>
      </c>
      <c r="J215" s="3">
        <v>7</v>
      </c>
      <c r="K215" s="3">
        <v>1</v>
      </c>
      <c r="L215" s="3">
        <v>7</v>
      </c>
      <c r="M215" s="3">
        <v>6220</v>
      </c>
      <c r="N215" s="3">
        <v>43.54</v>
      </c>
      <c r="O215" s="3">
        <v>6.31</v>
      </c>
      <c r="P215" s="3">
        <v>274.73739999999998</v>
      </c>
      <c r="Q215" s="3">
        <v>6220</v>
      </c>
    </row>
    <row r="216" spans="1:17" ht="24.95" hidden="1" customHeight="1" x14ac:dyDescent="0.25">
      <c r="A216" s="3">
        <v>1</v>
      </c>
      <c r="B216" s="3" t="s">
        <v>390</v>
      </c>
      <c r="C216" s="3" t="s">
        <v>687</v>
      </c>
      <c r="I216" s="3">
        <v>32</v>
      </c>
      <c r="J216" s="3">
        <v>7</v>
      </c>
      <c r="K216" s="3">
        <v>1</v>
      </c>
      <c r="L216" s="3">
        <v>7</v>
      </c>
      <c r="M216" s="3">
        <v>9000</v>
      </c>
      <c r="N216" s="3">
        <v>63</v>
      </c>
      <c r="O216" s="3">
        <v>6.31</v>
      </c>
      <c r="P216" s="3">
        <v>397.53</v>
      </c>
      <c r="Q216" s="3">
        <v>9000</v>
      </c>
    </row>
    <row r="217" spans="1:17" ht="24.95" hidden="1" customHeight="1" x14ac:dyDescent="0.25">
      <c r="A217" s="3">
        <v>1</v>
      </c>
      <c r="B217" s="3" t="s">
        <v>390</v>
      </c>
      <c r="C217" s="3" t="s">
        <v>688</v>
      </c>
      <c r="I217" s="3">
        <v>32</v>
      </c>
      <c r="J217" s="3">
        <v>7</v>
      </c>
      <c r="K217" s="3">
        <v>1</v>
      </c>
      <c r="L217" s="3">
        <v>7</v>
      </c>
      <c r="M217" s="3">
        <v>9000</v>
      </c>
      <c r="N217" s="3">
        <v>63</v>
      </c>
      <c r="O217" s="3">
        <v>6.31</v>
      </c>
      <c r="P217" s="3">
        <v>397.53</v>
      </c>
      <c r="Q217" s="3">
        <v>9000</v>
      </c>
    </row>
    <row r="218" spans="1:17" ht="24.95" hidden="1" customHeight="1" x14ac:dyDescent="0.25">
      <c r="A218" s="3">
        <v>1</v>
      </c>
      <c r="B218" s="3" t="s">
        <v>390</v>
      </c>
      <c r="C218" s="3" t="s">
        <v>689</v>
      </c>
      <c r="I218" s="3">
        <v>32</v>
      </c>
      <c r="J218" s="3">
        <v>7</v>
      </c>
      <c r="K218" s="3">
        <v>1</v>
      </c>
      <c r="L218" s="3">
        <v>7</v>
      </c>
      <c r="M218" s="3">
        <v>6790</v>
      </c>
      <c r="N218" s="3">
        <v>47.53</v>
      </c>
      <c r="O218" s="3">
        <v>6.31</v>
      </c>
      <c r="P218" s="3">
        <v>299.91429999999997</v>
      </c>
      <c r="Q218" s="3">
        <v>6790</v>
      </c>
    </row>
    <row r="219" spans="1:17" ht="24.95" hidden="1" customHeight="1" x14ac:dyDescent="0.25">
      <c r="A219" s="3">
        <v>1</v>
      </c>
      <c r="B219" s="3" t="s">
        <v>390</v>
      </c>
      <c r="C219" s="3" t="s">
        <v>690</v>
      </c>
      <c r="I219" s="3">
        <v>32</v>
      </c>
      <c r="J219" s="3">
        <v>13</v>
      </c>
      <c r="K219" s="3">
        <v>1</v>
      </c>
      <c r="L219" s="3">
        <v>13</v>
      </c>
      <c r="M219" s="3">
        <v>9200</v>
      </c>
      <c r="N219" s="3">
        <v>119.6</v>
      </c>
      <c r="O219" s="3">
        <v>6.31</v>
      </c>
      <c r="P219" s="3">
        <v>754.67599999999993</v>
      </c>
      <c r="Q219" s="3">
        <v>9200</v>
      </c>
    </row>
    <row r="220" spans="1:17" ht="24.95" hidden="1" customHeight="1" x14ac:dyDescent="0.25">
      <c r="A220" s="3">
        <v>1</v>
      </c>
      <c r="B220" s="3" t="s">
        <v>390</v>
      </c>
      <c r="C220" s="3" t="s">
        <v>691</v>
      </c>
      <c r="I220" s="3">
        <v>32</v>
      </c>
      <c r="J220" s="3">
        <v>13</v>
      </c>
      <c r="K220" s="3">
        <v>1</v>
      </c>
      <c r="L220" s="3">
        <v>13</v>
      </c>
      <c r="M220" s="3">
        <v>8900</v>
      </c>
      <c r="N220" s="3">
        <v>115.7</v>
      </c>
      <c r="O220" s="3">
        <v>6.31</v>
      </c>
      <c r="P220" s="3">
        <v>730.06700000000001</v>
      </c>
      <c r="Q220" s="3">
        <v>8900</v>
      </c>
    </row>
    <row r="221" spans="1:17" ht="24.95" hidden="1" customHeight="1" x14ac:dyDescent="0.25">
      <c r="A221" s="3">
        <v>1</v>
      </c>
      <c r="B221" s="3" t="s">
        <v>390</v>
      </c>
      <c r="C221" s="3" t="s">
        <v>692</v>
      </c>
      <c r="I221" s="3">
        <v>32</v>
      </c>
      <c r="J221" s="3">
        <v>2</v>
      </c>
      <c r="K221" s="3">
        <v>1</v>
      </c>
      <c r="L221" s="3">
        <v>2</v>
      </c>
      <c r="M221" s="3">
        <v>8600</v>
      </c>
      <c r="N221" s="3">
        <v>17.2</v>
      </c>
      <c r="O221" s="3">
        <v>6.31</v>
      </c>
      <c r="P221" s="3">
        <v>108.53199999999998</v>
      </c>
      <c r="Q221" s="3">
        <v>8600</v>
      </c>
    </row>
    <row r="222" spans="1:17" ht="24.95" hidden="1" customHeight="1" x14ac:dyDescent="0.25">
      <c r="A222" s="3">
        <v>1</v>
      </c>
      <c r="B222" s="3" t="s">
        <v>390</v>
      </c>
      <c r="C222" s="3" t="s">
        <v>693</v>
      </c>
      <c r="I222" s="3">
        <v>14</v>
      </c>
      <c r="J222" s="3">
        <v>131</v>
      </c>
      <c r="K222" s="3">
        <v>1</v>
      </c>
      <c r="L222" s="3">
        <v>131</v>
      </c>
      <c r="M222" s="3">
        <v>6670</v>
      </c>
      <c r="N222" s="3">
        <v>873.77</v>
      </c>
      <c r="O222" s="3">
        <v>1.21</v>
      </c>
      <c r="P222" s="3">
        <v>1057.2617</v>
      </c>
      <c r="Q222" s="3">
        <v>6670</v>
      </c>
    </row>
    <row r="223" spans="1:17" ht="24.95" hidden="1" customHeight="1" x14ac:dyDescent="0.25">
      <c r="A223" s="3">
        <v>1</v>
      </c>
      <c r="B223" s="3" t="s">
        <v>390</v>
      </c>
      <c r="C223" s="3" t="s">
        <v>694</v>
      </c>
      <c r="I223" s="3">
        <v>14</v>
      </c>
      <c r="J223" s="3">
        <v>131</v>
      </c>
      <c r="K223" s="3">
        <v>1</v>
      </c>
      <c r="L223" s="3">
        <v>131</v>
      </c>
      <c r="M223" s="3">
        <v>3150</v>
      </c>
      <c r="N223" s="3">
        <v>412.65</v>
      </c>
      <c r="O223" s="3">
        <v>1.21</v>
      </c>
      <c r="P223" s="3">
        <v>499.30649999999997</v>
      </c>
      <c r="Q223" s="3">
        <v>3150</v>
      </c>
    </row>
    <row r="224" spans="1:17" ht="24.95" hidden="1" customHeight="1" x14ac:dyDescent="0.25">
      <c r="A224" s="3">
        <v>1</v>
      </c>
      <c r="B224" s="3" t="s">
        <v>390</v>
      </c>
      <c r="C224" s="3" t="s">
        <v>695</v>
      </c>
      <c r="I224" s="3">
        <v>14</v>
      </c>
      <c r="J224" s="3">
        <v>665</v>
      </c>
      <c r="K224" s="3">
        <v>1</v>
      </c>
      <c r="L224" s="3">
        <v>665</v>
      </c>
      <c r="M224" s="3">
        <v>2670</v>
      </c>
      <c r="N224" s="3">
        <v>1775.55</v>
      </c>
      <c r="O224" s="3">
        <v>1.21</v>
      </c>
      <c r="P224" s="3">
        <v>2148.4155000000001</v>
      </c>
      <c r="Q224" s="3">
        <v>2670</v>
      </c>
    </row>
    <row r="225" spans="1:17" ht="24.95" hidden="1" customHeight="1" x14ac:dyDescent="0.25">
      <c r="A225" s="3">
        <v>1</v>
      </c>
      <c r="B225" s="3" t="s">
        <v>390</v>
      </c>
      <c r="C225" s="3" t="s">
        <v>696</v>
      </c>
      <c r="I225" s="3">
        <v>18</v>
      </c>
      <c r="J225" s="3">
        <v>12</v>
      </c>
      <c r="K225" s="3">
        <v>1</v>
      </c>
      <c r="L225" s="3">
        <v>12</v>
      </c>
      <c r="M225" s="3">
        <v>11700</v>
      </c>
      <c r="N225" s="3">
        <v>140.4</v>
      </c>
      <c r="O225" s="3">
        <v>2</v>
      </c>
      <c r="P225" s="3">
        <v>280.8</v>
      </c>
      <c r="Q225" s="3">
        <v>11700</v>
      </c>
    </row>
    <row r="226" spans="1:17" ht="24.95" hidden="1" customHeight="1" x14ac:dyDescent="0.25">
      <c r="A226" s="3">
        <v>1</v>
      </c>
      <c r="B226" s="3" t="s">
        <v>390</v>
      </c>
      <c r="C226" s="3" t="s">
        <v>697</v>
      </c>
      <c r="I226" s="3">
        <v>18</v>
      </c>
      <c r="J226" s="3">
        <v>12</v>
      </c>
      <c r="K226" s="3">
        <v>1</v>
      </c>
      <c r="L226" s="3">
        <v>12</v>
      </c>
      <c r="M226" s="3">
        <v>11700</v>
      </c>
      <c r="N226" s="3">
        <v>140.4</v>
      </c>
      <c r="O226" s="3">
        <v>2</v>
      </c>
      <c r="P226" s="3">
        <v>280.8</v>
      </c>
      <c r="Q226" s="3">
        <v>11700</v>
      </c>
    </row>
    <row r="227" spans="1:17" ht="24.95" hidden="1" customHeight="1" x14ac:dyDescent="0.25">
      <c r="A227" s="3">
        <v>1</v>
      </c>
      <c r="B227" s="3" t="s">
        <v>390</v>
      </c>
      <c r="C227" s="3" t="s">
        <v>698</v>
      </c>
      <c r="I227" s="3">
        <v>18</v>
      </c>
      <c r="J227" s="3">
        <v>12</v>
      </c>
      <c r="K227" s="3">
        <v>1</v>
      </c>
      <c r="L227" s="3">
        <v>12</v>
      </c>
      <c r="M227" s="3">
        <v>970</v>
      </c>
      <c r="N227" s="3">
        <v>11.64</v>
      </c>
      <c r="O227" s="3">
        <v>2</v>
      </c>
      <c r="P227" s="3">
        <v>23.28</v>
      </c>
      <c r="Q227" s="3">
        <v>970</v>
      </c>
    </row>
    <row r="228" spans="1:17" ht="24.95" hidden="1" customHeight="1" x14ac:dyDescent="0.25">
      <c r="A228" s="3">
        <v>1</v>
      </c>
      <c r="B228" s="3" t="s">
        <v>390</v>
      </c>
      <c r="C228" s="3" t="s">
        <v>699</v>
      </c>
      <c r="I228" s="3">
        <v>14</v>
      </c>
      <c r="J228" s="3">
        <v>420</v>
      </c>
      <c r="K228" s="3">
        <v>1</v>
      </c>
      <c r="L228" s="3">
        <v>420</v>
      </c>
      <c r="M228" s="3">
        <v>2170</v>
      </c>
      <c r="N228" s="3">
        <v>911.4</v>
      </c>
      <c r="O228" s="3">
        <v>1.21</v>
      </c>
      <c r="P228" s="3">
        <v>1102.7939999999999</v>
      </c>
      <c r="Q228" s="3">
        <v>2170</v>
      </c>
    </row>
    <row r="229" spans="1:17" ht="24.95" hidden="1" customHeight="1" x14ac:dyDescent="0.25">
      <c r="A229" s="3">
        <v>1</v>
      </c>
      <c r="B229" s="3" t="s">
        <v>390</v>
      </c>
      <c r="C229" s="3" t="s">
        <v>700</v>
      </c>
      <c r="I229" s="3">
        <v>32</v>
      </c>
      <c r="J229" s="3">
        <v>16</v>
      </c>
      <c r="K229" s="3">
        <v>1</v>
      </c>
      <c r="L229" s="3">
        <v>16</v>
      </c>
      <c r="M229" s="3">
        <v>1890</v>
      </c>
      <c r="N229" s="3">
        <v>30.24</v>
      </c>
      <c r="O229" s="3">
        <v>6.31</v>
      </c>
      <c r="P229" s="3">
        <v>190.81439999999998</v>
      </c>
      <c r="Q229" s="3">
        <v>1890</v>
      </c>
    </row>
    <row r="230" spans="1:17" ht="24.95" hidden="1" customHeight="1" x14ac:dyDescent="0.25">
      <c r="A230" s="3">
        <v>1</v>
      </c>
      <c r="B230" s="3" t="s">
        <v>390</v>
      </c>
      <c r="C230" s="3" t="s">
        <v>701</v>
      </c>
      <c r="I230" s="3">
        <v>14</v>
      </c>
      <c r="J230" s="3">
        <v>15</v>
      </c>
      <c r="K230" s="3">
        <v>1</v>
      </c>
      <c r="L230" s="3">
        <v>15</v>
      </c>
      <c r="M230" s="3">
        <v>11680</v>
      </c>
      <c r="N230" s="3">
        <v>175.2</v>
      </c>
      <c r="O230" s="3">
        <v>1.21</v>
      </c>
      <c r="P230" s="3">
        <v>211.99199999999999</v>
      </c>
      <c r="Q230" s="3">
        <v>11680</v>
      </c>
    </row>
    <row r="231" spans="1:17" ht="24.95" hidden="1" customHeight="1" x14ac:dyDescent="0.25">
      <c r="A231" s="3">
        <v>1</v>
      </c>
      <c r="B231" s="3" t="s">
        <v>390</v>
      </c>
      <c r="C231" s="3" t="s">
        <v>702</v>
      </c>
      <c r="I231" s="3">
        <v>14</v>
      </c>
      <c r="J231" s="3">
        <v>15</v>
      </c>
      <c r="K231" s="3">
        <v>1</v>
      </c>
      <c r="L231" s="3">
        <v>15</v>
      </c>
      <c r="M231" s="3">
        <v>11700</v>
      </c>
      <c r="N231" s="3">
        <v>175.5</v>
      </c>
      <c r="O231" s="3">
        <v>1.21</v>
      </c>
      <c r="P231" s="3">
        <v>212.35499999999999</v>
      </c>
      <c r="Q231" s="3">
        <v>11700</v>
      </c>
    </row>
    <row r="232" spans="1:17" ht="24.95" hidden="1" customHeight="1" x14ac:dyDescent="0.25">
      <c r="A232" s="3">
        <v>1</v>
      </c>
      <c r="B232" s="3" t="s">
        <v>390</v>
      </c>
      <c r="C232" s="3" t="s">
        <v>703</v>
      </c>
      <c r="I232" s="3">
        <v>14</v>
      </c>
      <c r="J232" s="3">
        <v>15</v>
      </c>
      <c r="K232" s="3">
        <v>1</v>
      </c>
      <c r="L232" s="3">
        <v>15</v>
      </c>
      <c r="M232" s="3">
        <v>11700</v>
      </c>
      <c r="N232" s="3">
        <v>175.5</v>
      </c>
      <c r="O232" s="3">
        <v>1.21</v>
      </c>
      <c r="P232" s="3">
        <v>212.35499999999999</v>
      </c>
      <c r="Q232" s="3">
        <v>11700</v>
      </c>
    </row>
    <row r="233" spans="1:17" ht="24.95" hidden="1" customHeight="1" x14ac:dyDescent="0.25">
      <c r="A233" s="3">
        <v>1</v>
      </c>
      <c r="B233" s="3" t="s">
        <v>390</v>
      </c>
      <c r="C233" s="3" t="s">
        <v>704</v>
      </c>
      <c r="I233" s="3">
        <v>14</v>
      </c>
      <c r="J233" s="3">
        <v>15</v>
      </c>
      <c r="K233" s="3">
        <v>1</v>
      </c>
      <c r="L233" s="3">
        <v>15</v>
      </c>
      <c r="M233" s="3">
        <v>3290</v>
      </c>
      <c r="N233" s="3">
        <v>49.35</v>
      </c>
      <c r="O233" s="3">
        <v>1.21</v>
      </c>
      <c r="P233" s="3">
        <v>59.713500000000003</v>
      </c>
      <c r="Q233" s="3">
        <v>3290</v>
      </c>
    </row>
    <row r="234" spans="1:17" ht="24.95" hidden="1" customHeight="1" x14ac:dyDescent="0.25">
      <c r="A234" s="3">
        <v>1</v>
      </c>
      <c r="B234" s="3" t="s">
        <v>390</v>
      </c>
      <c r="C234" s="3" t="s">
        <v>705</v>
      </c>
      <c r="I234" s="3">
        <v>14</v>
      </c>
      <c r="J234" s="3">
        <v>15</v>
      </c>
      <c r="K234" s="3">
        <v>1</v>
      </c>
      <c r="L234" s="3">
        <v>15</v>
      </c>
      <c r="M234" s="3">
        <v>9020</v>
      </c>
      <c r="N234" s="3">
        <v>135.30000000000001</v>
      </c>
      <c r="O234" s="3">
        <v>1.21</v>
      </c>
      <c r="P234" s="3">
        <v>163.71300000000002</v>
      </c>
      <c r="Q234" s="3">
        <v>9020</v>
      </c>
    </row>
    <row r="235" spans="1:17" ht="24.95" hidden="1" customHeight="1" x14ac:dyDescent="0.25">
      <c r="A235" s="3">
        <v>1</v>
      </c>
      <c r="B235" s="3" t="s">
        <v>391</v>
      </c>
      <c r="C235" s="3" t="s">
        <v>706</v>
      </c>
      <c r="I235" s="3">
        <v>32</v>
      </c>
      <c r="J235" s="3">
        <v>8</v>
      </c>
      <c r="K235" s="3">
        <v>1</v>
      </c>
      <c r="L235" s="3">
        <v>8</v>
      </c>
      <c r="M235" s="3">
        <v>11700</v>
      </c>
      <c r="N235" s="3">
        <v>93.6</v>
      </c>
      <c r="O235" s="3">
        <v>6.31</v>
      </c>
      <c r="P235" s="3">
        <v>590.61599999999987</v>
      </c>
      <c r="Q235" s="3">
        <v>11700</v>
      </c>
    </row>
    <row r="236" spans="1:17" ht="24.95" hidden="1" customHeight="1" x14ac:dyDescent="0.25">
      <c r="A236" s="3">
        <v>1</v>
      </c>
      <c r="B236" s="3" t="s">
        <v>391</v>
      </c>
      <c r="C236" s="3" t="s">
        <v>707</v>
      </c>
      <c r="I236" s="3">
        <v>32</v>
      </c>
      <c r="J236" s="3">
        <v>3</v>
      </c>
      <c r="K236" s="3">
        <v>1</v>
      </c>
      <c r="L236" s="3">
        <v>3</v>
      </c>
      <c r="M236" s="3">
        <v>11700</v>
      </c>
      <c r="N236" s="3">
        <v>35.1</v>
      </c>
      <c r="O236" s="3">
        <v>6.31</v>
      </c>
      <c r="P236" s="3">
        <v>221.48099999999999</v>
      </c>
      <c r="Q236" s="3">
        <v>11700</v>
      </c>
    </row>
    <row r="237" spans="1:17" ht="24.95" hidden="1" customHeight="1" x14ac:dyDescent="0.25">
      <c r="A237" s="3">
        <v>1</v>
      </c>
      <c r="B237" s="3" t="s">
        <v>391</v>
      </c>
      <c r="C237" s="3" t="s">
        <v>708</v>
      </c>
      <c r="I237" s="3">
        <v>32</v>
      </c>
      <c r="J237" s="3">
        <v>3</v>
      </c>
      <c r="K237" s="3">
        <v>1</v>
      </c>
      <c r="L237" s="3">
        <v>3</v>
      </c>
      <c r="M237" s="3">
        <v>4280</v>
      </c>
      <c r="N237" s="3">
        <v>12.84</v>
      </c>
      <c r="O237" s="3">
        <v>6.31</v>
      </c>
      <c r="P237" s="3">
        <v>81.020399999999995</v>
      </c>
      <c r="Q237" s="3">
        <v>4280</v>
      </c>
    </row>
    <row r="238" spans="1:17" ht="24.95" hidden="1" customHeight="1" x14ac:dyDescent="0.25">
      <c r="A238" s="3">
        <v>1</v>
      </c>
      <c r="B238" s="3" t="s">
        <v>391</v>
      </c>
      <c r="C238" s="3" t="s">
        <v>709</v>
      </c>
      <c r="I238" s="3">
        <v>32</v>
      </c>
      <c r="J238" s="3">
        <v>3</v>
      </c>
      <c r="K238" s="3">
        <v>1</v>
      </c>
      <c r="L238" s="3">
        <v>3</v>
      </c>
      <c r="M238" s="3">
        <v>4280</v>
      </c>
      <c r="N238" s="3">
        <v>12.84</v>
      </c>
      <c r="O238" s="3">
        <v>6.31</v>
      </c>
      <c r="P238" s="3">
        <v>81.020399999999995</v>
      </c>
      <c r="Q238" s="3">
        <v>4280</v>
      </c>
    </row>
    <row r="239" spans="1:17" ht="24.95" hidden="1" customHeight="1" x14ac:dyDescent="0.25">
      <c r="A239" s="3">
        <v>1</v>
      </c>
      <c r="B239" s="3" t="s">
        <v>391</v>
      </c>
      <c r="C239" s="3" t="s">
        <v>710</v>
      </c>
      <c r="I239" s="3">
        <v>32</v>
      </c>
      <c r="J239" s="3">
        <v>7</v>
      </c>
      <c r="K239" s="3">
        <v>1</v>
      </c>
      <c r="L239" s="3">
        <v>7</v>
      </c>
      <c r="M239" s="3">
        <v>5650</v>
      </c>
      <c r="N239" s="3">
        <v>39.549999999999997</v>
      </c>
      <c r="O239" s="3">
        <v>6.31</v>
      </c>
      <c r="P239" s="3">
        <v>249.56049999999996</v>
      </c>
      <c r="Q239" s="3">
        <v>5650</v>
      </c>
    </row>
    <row r="240" spans="1:17" ht="24.95" hidden="1" customHeight="1" x14ac:dyDescent="0.25">
      <c r="A240" s="3">
        <v>1</v>
      </c>
      <c r="B240" s="3" t="s">
        <v>391</v>
      </c>
      <c r="C240" s="3" t="s">
        <v>711</v>
      </c>
      <c r="I240" s="3">
        <v>32</v>
      </c>
      <c r="J240" s="3">
        <v>3</v>
      </c>
      <c r="K240" s="3">
        <v>1</v>
      </c>
      <c r="L240" s="3">
        <v>3</v>
      </c>
      <c r="M240" s="3">
        <v>11700</v>
      </c>
      <c r="N240" s="3">
        <v>35.1</v>
      </c>
      <c r="O240" s="3">
        <v>6.31</v>
      </c>
      <c r="P240" s="3">
        <v>221.48099999999999</v>
      </c>
      <c r="Q240" s="3">
        <v>11700</v>
      </c>
    </row>
    <row r="241" spans="1:17" ht="24.95" hidden="1" customHeight="1" x14ac:dyDescent="0.25">
      <c r="A241" s="3">
        <v>1</v>
      </c>
      <c r="B241" s="3" t="s">
        <v>391</v>
      </c>
      <c r="C241" s="3" t="s">
        <v>712</v>
      </c>
      <c r="I241" s="3">
        <v>32</v>
      </c>
      <c r="J241" s="3">
        <v>15</v>
      </c>
      <c r="K241" s="3">
        <v>1</v>
      </c>
      <c r="L241" s="3">
        <v>15</v>
      </c>
      <c r="M241" s="3">
        <v>11700</v>
      </c>
      <c r="N241" s="3">
        <v>175.5</v>
      </c>
      <c r="O241" s="3">
        <v>6.31</v>
      </c>
      <c r="P241" s="3">
        <v>1107.405</v>
      </c>
      <c r="Q241" s="3">
        <v>11700</v>
      </c>
    </row>
    <row r="242" spans="1:17" ht="24.95" hidden="1" customHeight="1" x14ac:dyDescent="0.25">
      <c r="A242" s="3">
        <v>1</v>
      </c>
      <c r="B242" s="3" t="s">
        <v>391</v>
      </c>
      <c r="C242" s="3" t="s">
        <v>713</v>
      </c>
      <c r="I242" s="3">
        <v>32</v>
      </c>
      <c r="J242" s="3">
        <v>3</v>
      </c>
      <c r="K242" s="3">
        <v>1</v>
      </c>
      <c r="L242" s="3">
        <v>3</v>
      </c>
      <c r="M242" s="3">
        <v>4180</v>
      </c>
      <c r="N242" s="3">
        <v>12.54</v>
      </c>
      <c r="O242" s="3">
        <v>6.31</v>
      </c>
      <c r="P242" s="3">
        <v>79.127399999999994</v>
      </c>
      <c r="Q242" s="3">
        <v>4180</v>
      </c>
    </row>
    <row r="243" spans="1:17" ht="24.95" hidden="1" customHeight="1" x14ac:dyDescent="0.25">
      <c r="A243" s="3">
        <v>1</v>
      </c>
      <c r="B243" s="3" t="s">
        <v>391</v>
      </c>
      <c r="C243" s="3" t="s">
        <v>714</v>
      </c>
      <c r="I243" s="3">
        <v>32</v>
      </c>
      <c r="J243" s="3">
        <v>23</v>
      </c>
      <c r="K243" s="3">
        <v>1</v>
      </c>
      <c r="L243" s="3">
        <v>23</v>
      </c>
      <c r="M243" s="3">
        <v>11700</v>
      </c>
      <c r="N243" s="3">
        <v>269.10000000000002</v>
      </c>
      <c r="O243" s="3">
        <v>6.31</v>
      </c>
      <c r="P243" s="3">
        <v>1698.021</v>
      </c>
      <c r="Q243" s="3">
        <v>11700</v>
      </c>
    </row>
    <row r="244" spans="1:17" ht="24.95" hidden="1" customHeight="1" x14ac:dyDescent="0.25">
      <c r="A244" s="3">
        <v>1</v>
      </c>
      <c r="B244" s="3" t="s">
        <v>391</v>
      </c>
      <c r="C244" s="3" t="s">
        <v>715</v>
      </c>
      <c r="I244" s="3">
        <v>32</v>
      </c>
      <c r="J244" s="3">
        <v>8</v>
      </c>
      <c r="K244" s="3">
        <v>1</v>
      </c>
      <c r="L244" s="3">
        <v>8</v>
      </c>
      <c r="M244" s="3">
        <v>7450</v>
      </c>
      <c r="N244" s="3">
        <v>59.6</v>
      </c>
      <c r="O244" s="3">
        <v>6.31</v>
      </c>
      <c r="P244" s="3">
        <v>376.07599999999996</v>
      </c>
      <c r="Q244" s="3">
        <v>7450</v>
      </c>
    </row>
    <row r="245" spans="1:17" ht="24.95" hidden="1" customHeight="1" x14ac:dyDescent="0.25">
      <c r="A245" s="3">
        <v>1</v>
      </c>
      <c r="B245" s="3" t="s">
        <v>391</v>
      </c>
      <c r="C245" s="3" t="s">
        <v>716</v>
      </c>
      <c r="I245" s="3">
        <v>32</v>
      </c>
      <c r="J245" s="3">
        <v>7</v>
      </c>
      <c r="K245" s="3">
        <v>1</v>
      </c>
      <c r="L245" s="3">
        <v>7</v>
      </c>
      <c r="M245" s="3">
        <v>11700</v>
      </c>
      <c r="N245" s="3">
        <v>81.900000000000006</v>
      </c>
      <c r="O245" s="3">
        <v>6.31</v>
      </c>
      <c r="P245" s="3">
        <v>516.78899999999999</v>
      </c>
      <c r="Q245" s="3">
        <v>11700</v>
      </c>
    </row>
    <row r="246" spans="1:17" ht="24.95" hidden="1" customHeight="1" x14ac:dyDescent="0.25">
      <c r="A246" s="3">
        <v>1</v>
      </c>
      <c r="B246" s="3" t="s">
        <v>391</v>
      </c>
      <c r="C246" s="3" t="s">
        <v>717</v>
      </c>
      <c r="I246" s="3">
        <v>32</v>
      </c>
      <c r="J246" s="3">
        <v>3</v>
      </c>
      <c r="K246" s="3">
        <v>1</v>
      </c>
      <c r="L246" s="3">
        <v>3</v>
      </c>
      <c r="M246" s="3">
        <v>4180</v>
      </c>
      <c r="N246" s="3">
        <v>12.54</v>
      </c>
      <c r="O246" s="3">
        <v>6.31</v>
      </c>
      <c r="P246" s="3">
        <v>79.127399999999994</v>
      </c>
      <c r="Q246" s="3">
        <v>4180</v>
      </c>
    </row>
    <row r="247" spans="1:17" ht="24.95" hidden="1" customHeight="1" x14ac:dyDescent="0.25">
      <c r="A247" s="3">
        <v>1</v>
      </c>
      <c r="B247" s="3" t="s">
        <v>391</v>
      </c>
      <c r="C247" s="3" t="s">
        <v>718</v>
      </c>
      <c r="I247" s="3">
        <v>32</v>
      </c>
      <c r="J247" s="3">
        <v>6</v>
      </c>
      <c r="K247" s="3">
        <v>1</v>
      </c>
      <c r="L247" s="3">
        <v>6</v>
      </c>
      <c r="M247" s="3">
        <v>11700</v>
      </c>
      <c r="N247" s="3">
        <v>70.2</v>
      </c>
      <c r="O247" s="3">
        <v>6.31</v>
      </c>
      <c r="P247" s="3">
        <v>442.96199999999999</v>
      </c>
      <c r="Q247" s="3">
        <v>11700</v>
      </c>
    </row>
    <row r="248" spans="1:17" ht="24.95" hidden="1" customHeight="1" x14ac:dyDescent="0.25">
      <c r="A248" s="3">
        <v>1</v>
      </c>
      <c r="B248" s="3" t="s">
        <v>391</v>
      </c>
      <c r="C248" s="3" t="s">
        <v>719</v>
      </c>
      <c r="I248" s="3">
        <v>32</v>
      </c>
      <c r="J248" s="3">
        <v>8</v>
      </c>
      <c r="K248" s="3">
        <v>1</v>
      </c>
      <c r="L248" s="3">
        <v>8</v>
      </c>
      <c r="M248" s="3">
        <v>7250</v>
      </c>
      <c r="N248" s="3">
        <v>58</v>
      </c>
      <c r="O248" s="3">
        <v>6.31</v>
      </c>
      <c r="P248" s="3">
        <v>365.97999999999996</v>
      </c>
      <c r="Q248" s="3">
        <v>7250</v>
      </c>
    </row>
    <row r="249" spans="1:17" ht="24.95" hidden="1" customHeight="1" x14ac:dyDescent="0.25">
      <c r="A249" s="3">
        <v>1</v>
      </c>
      <c r="B249" s="3" t="s">
        <v>391</v>
      </c>
      <c r="C249" s="3" t="s">
        <v>712</v>
      </c>
      <c r="I249" s="3">
        <v>32</v>
      </c>
      <c r="J249" s="3">
        <v>7</v>
      </c>
      <c r="K249" s="3">
        <v>1</v>
      </c>
      <c r="L249" s="3">
        <v>7</v>
      </c>
      <c r="M249" s="3">
        <v>5490</v>
      </c>
      <c r="N249" s="3">
        <v>38.43</v>
      </c>
      <c r="O249" s="3">
        <v>6.31</v>
      </c>
      <c r="P249" s="3">
        <v>242.49329999999998</v>
      </c>
      <c r="Q249" s="3">
        <v>5490</v>
      </c>
    </row>
    <row r="250" spans="1:17" ht="24.95" hidden="1" customHeight="1" x14ac:dyDescent="0.25">
      <c r="A250" s="3">
        <v>1</v>
      </c>
      <c r="B250" s="3" t="s">
        <v>391</v>
      </c>
      <c r="C250" s="3" t="s">
        <v>720</v>
      </c>
      <c r="I250" s="3">
        <v>32</v>
      </c>
      <c r="J250" s="3">
        <v>3</v>
      </c>
      <c r="K250" s="3">
        <v>1</v>
      </c>
      <c r="L250" s="3">
        <v>3</v>
      </c>
      <c r="M250" s="3">
        <v>4080</v>
      </c>
      <c r="N250" s="3">
        <v>12.24</v>
      </c>
      <c r="O250" s="3">
        <v>6.31</v>
      </c>
      <c r="P250" s="3">
        <v>77.234399999999994</v>
      </c>
      <c r="Q250" s="3">
        <v>4080</v>
      </c>
    </row>
    <row r="251" spans="1:17" ht="24.95" hidden="1" customHeight="1" x14ac:dyDescent="0.25">
      <c r="A251" s="3">
        <v>1</v>
      </c>
      <c r="B251" s="3" t="s">
        <v>391</v>
      </c>
      <c r="C251" s="3" t="s">
        <v>721</v>
      </c>
      <c r="I251" s="3">
        <v>32</v>
      </c>
      <c r="J251" s="3">
        <v>3</v>
      </c>
      <c r="K251" s="3">
        <v>1</v>
      </c>
      <c r="L251" s="3">
        <v>3</v>
      </c>
      <c r="M251" s="3">
        <v>4080</v>
      </c>
      <c r="N251" s="3">
        <v>12.24</v>
      </c>
      <c r="O251" s="3">
        <v>6.31</v>
      </c>
      <c r="P251" s="3">
        <v>77.234399999999994</v>
      </c>
      <c r="Q251" s="3">
        <v>4080</v>
      </c>
    </row>
    <row r="252" spans="1:17" ht="24.95" hidden="1" customHeight="1" x14ac:dyDescent="0.25">
      <c r="A252" s="3">
        <v>1</v>
      </c>
      <c r="B252" s="3" t="s">
        <v>391</v>
      </c>
      <c r="C252" s="3" t="s">
        <v>722</v>
      </c>
      <c r="I252" s="3">
        <v>32</v>
      </c>
      <c r="J252" s="3">
        <v>12</v>
      </c>
      <c r="K252" s="3">
        <v>1</v>
      </c>
      <c r="L252" s="3">
        <v>12</v>
      </c>
      <c r="M252" s="3">
        <v>11700</v>
      </c>
      <c r="N252" s="3">
        <v>140.4</v>
      </c>
      <c r="O252" s="3">
        <v>6.31</v>
      </c>
      <c r="P252" s="3">
        <v>885.92399999999998</v>
      </c>
      <c r="Q252" s="3">
        <v>11700</v>
      </c>
    </row>
    <row r="253" spans="1:17" ht="24.95" hidden="1" customHeight="1" x14ac:dyDescent="0.25">
      <c r="A253" s="3">
        <v>1</v>
      </c>
      <c r="B253" s="3" t="s">
        <v>391</v>
      </c>
      <c r="C253" s="3" t="s">
        <v>723</v>
      </c>
      <c r="I253" s="3">
        <v>32</v>
      </c>
      <c r="J253" s="3">
        <v>6</v>
      </c>
      <c r="K253" s="3">
        <v>1</v>
      </c>
      <c r="L253" s="3">
        <v>6</v>
      </c>
      <c r="M253" s="3">
        <v>11700</v>
      </c>
      <c r="N253" s="3">
        <v>70.2</v>
      </c>
      <c r="O253" s="3">
        <v>6.31</v>
      </c>
      <c r="P253" s="3">
        <v>442.96199999999999</v>
      </c>
      <c r="Q253" s="3">
        <v>11700</v>
      </c>
    </row>
    <row r="254" spans="1:17" ht="24.95" hidden="1" customHeight="1" x14ac:dyDescent="0.25">
      <c r="A254" s="3">
        <v>1</v>
      </c>
      <c r="B254" s="3" t="s">
        <v>391</v>
      </c>
      <c r="C254" s="3" t="s">
        <v>724</v>
      </c>
      <c r="I254" s="3">
        <v>32</v>
      </c>
      <c r="J254" s="3">
        <v>8</v>
      </c>
      <c r="K254" s="3">
        <v>1</v>
      </c>
      <c r="L254" s="3">
        <v>8</v>
      </c>
      <c r="M254" s="3">
        <v>5390</v>
      </c>
      <c r="N254" s="3">
        <v>43.12</v>
      </c>
      <c r="O254" s="3">
        <v>6.31</v>
      </c>
      <c r="P254" s="3">
        <v>272.08719999999994</v>
      </c>
      <c r="Q254" s="3">
        <v>5390</v>
      </c>
    </row>
    <row r="255" spans="1:17" ht="24.95" hidden="1" customHeight="1" x14ac:dyDescent="0.25">
      <c r="A255" s="3">
        <v>1</v>
      </c>
      <c r="B255" s="3" t="s">
        <v>391</v>
      </c>
      <c r="C255" s="3" t="s">
        <v>725</v>
      </c>
      <c r="I255" s="3">
        <v>32</v>
      </c>
      <c r="J255" s="3">
        <v>3</v>
      </c>
      <c r="K255" s="3">
        <v>1</v>
      </c>
      <c r="L255" s="3">
        <v>3</v>
      </c>
      <c r="M255" s="3">
        <v>3980</v>
      </c>
      <c r="N255" s="3">
        <v>11.94</v>
      </c>
      <c r="O255" s="3">
        <v>6.31</v>
      </c>
      <c r="P255" s="3">
        <v>75.341399999999993</v>
      </c>
      <c r="Q255" s="3">
        <v>3980</v>
      </c>
    </row>
    <row r="256" spans="1:17" ht="24.95" hidden="1" customHeight="1" x14ac:dyDescent="0.25">
      <c r="A256" s="3">
        <v>1</v>
      </c>
      <c r="B256" s="3" t="s">
        <v>391</v>
      </c>
      <c r="C256" s="3" t="s">
        <v>726</v>
      </c>
      <c r="I256" s="3">
        <v>32</v>
      </c>
      <c r="J256" s="3">
        <v>3</v>
      </c>
      <c r="K256" s="3">
        <v>1</v>
      </c>
      <c r="L256" s="3">
        <v>3</v>
      </c>
      <c r="M256" s="3">
        <v>3980</v>
      </c>
      <c r="N256" s="3">
        <v>11.94</v>
      </c>
      <c r="O256" s="3">
        <v>6.31</v>
      </c>
      <c r="P256" s="3">
        <v>75.341399999999993</v>
      </c>
      <c r="Q256" s="3">
        <v>3980</v>
      </c>
    </row>
    <row r="257" spans="1:17" ht="24.95" hidden="1" customHeight="1" x14ac:dyDescent="0.25">
      <c r="A257" s="3">
        <v>1</v>
      </c>
      <c r="B257" s="3" t="s">
        <v>391</v>
      </c>
      <c r="C257" s="3" t="s">
        <v>727</v>
      </c>
      <c r="I257" s="3">
        <v>32</v>
      </c>
      <c r="J257" s="3">
        <v>15</v>
      </c>
      <c r="K257" s="3">
        <v>1</v>
      </c>
      <c r="L257" s="3">
        <v>15</v>
      </c>
      <c r="M257" s="3">
        <v>11700</v>
      </c>
      <c r="N257" s="3">
        <v>175.5</v>
      </c>
      <c r="O257" s="3">
        <v>6.31</v>
      </c>
      <c r="P257" s="3">
        <v>1107.405</v>
      </c>
      <c r="Q257" s="3">
        <v>11700</v>
      </c>
    </row>
    <row r="258" spans="1:17" ht="24.95" hidden="1" customHeight="1" x14ac:dyDescent="0.25">
      <c r="A258" s="3">
        <v>1</v>
      </c>
      <c r="B258" s="3" t="s">
        <v>391</v>
      </c>
      <c r="C258" s="3" t="s">
        <v>728</v>
      </c>
      <c r="I258" s="3">
        <v>32</v>
      </c>
      <c r="J258" s="3">
        <v>7</v>
      </c>
      <c r="K258" s="3">
        <v>1</v>
      </c>
      <c r="L258" s="3">
        <v>7</v>
      </c>
      <c r="M258" s="3">
        <v>7150</v>
      </c>
      <c r="N258" s="3">
        <v>50.05</v>
      </c>
      <c r="O258" s="3">
        <v>6.31</v>
      </c>
      <c r="P258" s="3">
        <v>315.81549999999999</v>
      </c>
      <c r="Q258" s="3">
        <v>7150</v>
      </c>
    </row>
    <row r="259" spans="1:17" ht="24.95" hidden="1" customHeight="1" x14ac:dyDescent="0.25">
      <c r="A259" s="3">
        <v>1</v>
      </c>
      <c r="B259" s="3" t="s">
        <v>391</v>
      </c>
      <c r="C259" s="3" t="s">
        <v>713</v>
      </c>
      <c r="I259" s="3">
        <v>32</v>
      </c>
      <c r="J259" s="3">
        <v>7</v>
      </c>
      <c r="K259" s="3">
        <v>1</v>
      </c>
      <c r="L259" s="3">
        <v>7</v>
      </c>
      <c r="M259" s="3">
        <v>11700</v>
      </c>
      <c r="N259" s="3">
        <v>81.900000000000006</v>
      </c>
      <c r="O259" s="3">
        <v>6.31</v>
      </c>
      <c r="P259" s="3">
        <v>516.78899999999999</v>
      </c>
      <c r="Q259" s="3">
        <v>11700</v>
      </c>
    </row>
    <row r="260" spans="1:17" ht="24.95" hidden="1" customHeight="1" x14ac:dyDescent="0.25">
      <c r="A260" s="3">
        <v>1</v>
      </c>
      <c r="B260" s="3" t="s">
        <v>391</v>
      </c>
      <c r="C260" s="3" t="s">
        <v>729</v>
      </c>
      <c r="I260" s="3">
        <v>32</v>
      </c>
      <c r="J260" s="3">
        <v>7</v>
      </c>
      <c r="K260" s="3">
        <v>1</v>
      </c>
      <c r="L260" s="3">
        <v>7</v>
      </c>
      <c r="M260" s="3">
        <v>5290</v>
      </c>
      <c r="N260" s="3">
        <v>37.03</v>
      </c>
      <c r="O260" s="3">
        <v>6.31</v>
      </c>
      <c r="P260" s="3">
        <v>233.6593</v>
      </c>
      <c r="Q260" s="3">
        <v>5290</v>
      </c>
    </row>
    <row r="261" spans="1:17" ht="24.95" hidden="1" customHeight="1" x14ac:dyDescent="0.25">
      <c r="A261" s="3">
        <v>1</v>
      </c>
      <c r="B261" s="3" t="s">
        <v>391</v>
      </c>
      <c r="C261" s="3" t="s">
        <v>730</v>
      </c>
      <c r="I261" s="3">
        <v>32</v>
      </c>
      <c r="J261" s="3">
        <v>3</v>
      </c>
      <c r="K261" s="3">
        <v>1</v>
      </c>
      <c r="L261" s="3">
        <v>3</v>
      </c>
      <c r="M261" s="3">
        <v>3880</v>
      </c>
      <c r="N261" s="3">
        <v>11.64</v>
      </c>
      <c r="O261" s="3">
        <v>6.31</v>
      </c>
      <c r="P261" s="3">
        <v>73.448399999999992</v>
      </c>
      <c r="Q261" s="3">
        <v>3880</v>
      </c>
    </row>
    <row r="262" spans="1:17" ht="24.95" hidden="1" customHeight="1" x14ac:dyDescent="0.25">
      <c r="A262" s="3">
        <v>1</v>
      </c>
      <c r="B262" s="3" t="s">
        <v>391</v>
      </c>
      <c r="C262" s="3" t="s">
        <v>731</v>
      </c>
      <c r="I262" s="3">
        <v>32</v>
      </c>
      <c r="J262" s="3">
        <v>3</v>
      </c>
      <c r="K262" s="3">
        <v>1</v>
      </c>
      <c r="L262" s="3">
        <v>3</v>
      </c>
      <c r="M262" s="3">
        <v>3880</v>
      </c>
      <c r="N262" s="3">
        <v>11.64</v>
      </c>
      <c r="O262" s="3">
        <v>6.31</v>
      </c>
      <c r="P262" s="3">
        <v>73.448399999999992</v>
      </c>
      <c r="Q262" s="3">
        <v>3880</v>
      </c>
    </row>
    <row r="263" spans="1:17" ht="24.95" hidden="1" customHeight="1" x14ac:dyDescent="0.25">
      <c r="A263" s="3">
        <v>1</v>
      </c>
      <c r="B263" s="3" t="s">
        <v>391</v>
      </c>
      <c r="C263" s="3" t="s">
        <v>732</v>
      </c>
      <c r="I263" s="3">
        <v>32</v>
      </c>
      <c r="J263" s="3">
        <v>8</v>
      </c>
      <c r="K263" s="3">
        <v>1</v>
      </c>
      <c r="L263" s="3">
        <v>8</v>
      </c>
      <c r="M263" s="3">
        <v>7050</v>
      </c>
      <c r="N263" s="3">
        <v>56.4</v>
      </c>
      <c r="O263" s="3">
        <v>6.31</v>
      </c>
      <c r="P263" s="3">
        <v>355.88399999999996</v>
      </c>
      <c r="Q263" s="3">
        <v>7050</v>
      </c>
    </row>
    <row r="264" spans="1:17" ht="24.95" hidden="1" customHeight="1" x14ac:dyDescent="0.25">
      <c r="A264" s="3">
        <v>1</v>
      </c>
      <c r="B264" s="3" t="s">
        <v>391</v>
      </c>
      <c r="C264" s="3" t="s">
        <v>733</v>
      </c>
      <c r="I264" s="3">
        <v>32</v>
      </c>
      <c r="J264" s="3">
        <v>7</v>
      </c>
      <c r="K264" s="3">
        <v>1</v>
      </c>
      <c r="L264" s="3">
        <v>7</v>
      </c>
      <c r="M264" s="3">
        <v>7350</v>
      </c>
      <c r="N264" s="3">
        <v>51.45</v>
      </c>
      <c r="O264" s="3">
        <v>6.31</v>
      </c>
      <c r="P264" s="3">
        <v>324.64949999999999</v>
      </c>
      <c r="Q264" s="3">
        <v>7350</v>
      </c>
    </row>
    <row r="265" spans="1:17" ht="24.95" hidden="1" customHeight="1" x14ac:dyDescent="0.25">
      <c r="A265" s="3">
        <v>1</v>
      </c>
      <c r="B265" s="3" t="s">
        <v>391</v>
      </c>
      <c r="C265" s="3" t="s">
        <v>734</v>
      </c>
      <c r="I265" s="3">
        <v>32</v>
      </c>
      <c r="J265" s="3">
        <v>8</v>
      </c>
      <c r="K265" s="3">
        <v>1</v>
      </c>
      <c r="L265" s="3">
        <v>8</v>
      </c>
      <c r="M265" s="3">
        <v>5590</v>
      </c>
      <c r="N265" s="3">
        <v>44.72</v>
      </c>
      <c r="O265" s="3">
        <v>6.31</v>
      </c>
      <c r="P265" s="3">
        <v>282.1832</v>
      </c>
      <c r="Q265" s="3">
        <v>5590</v>
      </c>
    </row>
    <row r="266" spans="1:17" ht="24.95" hidden="1" customHeight="1" x14ac:dyDescent="0.25">
      <c r="A266" s="3">
        <v>1</v>
      </c>
      <c r="B266" s="3" t="s">
        <v>391</v>
      </c>
      <c r="C266" s="3" t="s">
        <v>735</v>
      </c>
      <c r="I266" s="3">
        <v>32</v>
      </c>
      <c r="J266" s="3">
        <v>11</v>
      </c>
      <c r="K266" s="3">
        <v>1</v>
      </c>
      <c r="L266" s="3">
        <v>11</v>
      </c>
      <c r="M266" s="3">
        <v>9610</v>
      </c>
      <c r="N266" s="3">
        <v>105.71</v>
      </c>
      <c r="O266" s="3">
        <v>6.31</v>
      </c>
      <c r="P266" s="3">
        <v>667.03009999999995</v>
      </c>
      <c r="Q266" s="3">
        <v>9610</v>
      </c>
    </row>
    <row r="267" spans="1:17" ht="24.95" hidden="1" customHeight="1" x14ac:dyDescent="0.25">
      <c r="A267" s="3">
        <v>1</v>
      </c>
      <c r="B267" s="3" t="s">
        <v>391</v>
      </c>
      <c r="C267" s="3" t="s">
        <v>736</v>
      </c>
      <c r="I267" s="3">
        <v>32</v>
      </c>
      <c r="J267" s="3">
        <v>3</v>
      </c>
      <c r="K267" s="3">
        <v>1</v>
      </c>
      <c r="L267" s="3">
        <v>3</v>
      </c>
      <c r="M267" s="3">
        <v>5810</v>
      </c>
      <c r="N267" s="3">
        <v>17.43</v>
      </c>
      <c r="O267" s="3">
        <v>6.31</v>
      </c>
      <c r="P267" s="3">
        <v>109.98329999999999</v>
      </c>
      <c r="Q267" s="3">
        <v>5810</v>
      </c>
    </row>
    <row r="268" spans="1:17" ht="24.95" hidden="1" customHeight="1" x14ac:dyDescent="0.25">
      <c r="A268" s="3">
        <v>1</v>
      </c>
      <c r="B268" s="3" t="s">
        <v>391</v>
      </c>
      <c r="C268" s="3" t="s">
        <v>737</v>
      </c>
      <c r="I268" s="3">
        <v>32</v>
      </c>
      <c r="J268" s="3">
        <v>10</v>
      </c>
      <c r="K268" s="3">
        <v>1</v>
      </c>
      <c r="L268" s="3">
        <v>10</v>
      </c>
      <c r="M268" s="3">
        <v>7850</v>
      </c>
      <c r="N268" s="3">
        <v>78.5</v>
      </c>
      <c r="O268" s="3">
        <v>6.31</v>
      </c>
      <c r="P268" s="3">
        <v>495.33499999999998</v>
      </c>
      <c r="Q268" s="3">
        <v>7850</v>
      </c>
    </row>
    <row r="269" spans="1:17" ht="24.95" hidden="1" customHeight="1" x14ac:dyDescent="0.25">
      <c r="A269" s="3">
        <v>1</v>
      </c>
      <c r="B269" s="3" t="s">
        <v>391</v>
      </c>
      <c r="C269" s="3" t="s">
        <v>738</v>
      </c>
      <c r="I269" s="3">
        <v>32</v>
      </c>
      <c r="J269" s="3">
        <v>8</v>
      </c>
      <c r="K269" s="3">
        <v>1</v>
      </c>
      <c r="L269" s="3">
        <v>8</v>
      </c>
      <c r="M269" s="3">
        <v>11700</v>
      </c>
      <c r="N269" s="3">
        <v>93.6</v>
      </c>
      <c r="O269" s="3">
        <v>6.31</v>
      </c>
      <c r="P269" s="3">
        <v>590.61599999999987</v>
      </c>
      <c r="Q269" s="3">
        <v>11700</v>
      </c>
    </row>
    <row r="270" spans="1:17" ht="24.95" hidden="1" customHeight="1" x14ac:dyDescent="0.25">
      <c r="A270" s="3">
        <v>1</v>
      </c>
      <c r="B270" s="3" t="s">
        <v>391</v>
      </c>
      <c r="C270" s="3" t="s">
        <v>739</v>
      </c>
      <c r="I270" s="3">
        <v>32</v>
      </c>
      <c r="J270" s="3">
        <v>3</v>
      </c>
      <c r="K270" s="3">
        <v>1</v>
      </c>
      <c r="L270" s="3">
        <v>3</v>
      </c>
      <c r="M270" s="3">
        <v>7570</v>
      </c>
      <c r="N270" s="3">
        <v>22.71</v>
      </c>
      <c r="O270" s="3">
        <v>6.31</v>
      </c>
      <c r="P270" s="3">
        <v>143.30009999999999</v>
      </c>
      <c r="Q270" s="3">
        <v>7570</v>
      </c>
    </row>
    <row r="271" spans="1:17" ht="24.95" hidden="1" customHeight="1" x14ac:dyDescent="0.25">
      <c r="A271" s="3">
        <v>1</v>
      </c>
      <c r="B271" s="3" t="s">
        <v>391</v>
      </c>
      <c r="C271" s="3" t="s">
        <v>735</v>
      </c>
      <c r="I271" s="3">
        <v>32</v>
      </c>
      <c r="J271" s="3">
        <v>7</v>
      </c>
      <c r="K271" s="3">
        <v>1</v>
      </c>
      <c r="L271" s="3">
        <v>7</v>
      </c>
      <c r="M271" s="3">
        <v>7900</v>
      </c>
      <c r="N271" s="3">
        <v>55.3</v>
      </c>
      <c r="O271" s="3">
        <v>6.31</v>
      </c>
      <c r="P271" s="3">
        <v>348.94299999999998</v>
      </c>
      <c r="Q271" s="3">
        <v>7900</v>
      </c>
    </row>
    <row r="272" spans="1:17" ht="24.95" hidden="1" customHeight="1" x14ac:dyDescent="0.25">
      <c r="A272" s="3">
        <v>1</v>
      </c>
      <c r="B272" s="3" t="s">
        <v>391</v>
      </c>
      <c r="C272" s="3" t="s">
        <v>740</v>
      </c>
      <c r="I272" s="3">
        <v>32</v>
      </c>
      <c r="J272" s="3">
        <v>5</v>
      </c>
      <c r="K272" s="3">
        <v>1</v>
      </c>
      <c r="L272" s="3">
        <v>5</v>
      </c>
      <c r="M272" s="3">
        <v>4290</v>
      </c>
      <c r="N272" s="3">
        <v>21.45</v>
      </c>
      <c r="O272" s="3">
        <v>6.31</v>
      </c>
      <c r="P272" s="3">
        <v>135.34949999999998</v>
      </c>
      <c r="Q272" s="3">
        <v>4290</v>
      </c>
    </row>
    <row r="273" spans="1:17" ht="24.95" hidden="1" customHeight="1" x14ac:dyDescent="0.25">
      <c r="A273" s="3">
        <v>1</v>
      </c>
      <c r="B273" s="3" t="s">
        <v>391</v>
      </c>
      <c r="C273" s="3" t="s">
        <v>741</v>
      </c>
      <c r="I273" s="3">
        <v>32</v>
      </c>
      <c r="J273" s="3">
        <v>12</v>
      </c>
      <c r="K273" s="3">
        <v>1</v>
      </c>
      <c r="L273" s="3">
        <v>12</v>
      </c>
      <c r="M273" s="3">
        <v>8300</v>
      </c>
      <c r="N273" s="3">
        <v>99.6</v>
      </c>
      <c r="O273" s="3">
        <v>6.31</v>
      </c>
      <c r="P273" s="3">
        <v>628.47599999999989</v>
      </c>
      <c r="Q273" s="3">
        <v>8300</v>
      </c>
    </row>
    <row r="274" spans="1:17" ht="24.95" hidden="1" customHeight="1" x14ac:dyDescent="0.25">
      <c r="A274" s="3">
        <v>1</v>
      </c>
      <c r="B274" s="3" t="s">
        <v>391</v>
      </c>
      <c r="C274" s="3" t="s">
        <v>742</v>
      </c>
      <c r="I274" s="3">
        <v>14</v>
      </c>
      <c r="J274" s="3">
        <v>74</v>
      </c>
      <c r="K274" s="3">
        <v>1</v>
      </c>
      <c r="L274" s="3">
        <v>74</v>
      </c>
      <c r="M274" s="3">
        <v>7870</v>
      </c>
      <c r="N274" s="3">
        <v>582.38</v>
      </c>
      <c r="O274" s="3">
        <v>1.21</v>
      </c>
      <c r="P274" s="3">
        <v>704.6798</v>
      </c>
      <c r="Q274" s="3">
        <v>7870</v>
      </c>
    </row>
    <row r="275" spans="1:17" ht="24.95" hidden="1" customHeight="1" x14ac:dyDescent="0.25">
      <c r="A275" s="3">
        <v>1</v>
      </c>
      <c r="B275" s="3" t="s">
        <v>391</v>
      </c>
      <c r="C275" s="3" t="s">
        <v>743</v>
      </c>
      <c r="I275" s="3">
        <v>14</v>
      </c>
      <c r="J275" s="3">
        <v>74</v>
      </c>
      <c r="K275" s="3">
        <v>1</v>
      </c>
      <c r="L275" s="3">
        <v>74</v>
      </c>
      <c r="M275" s="3">
        <v>4350</v>
      </c>
      <c r="N275" s="3">
        <v>321.89999999999998</v>
      </c>
      <c r="O275" s="3">
        <v>1.21</v>
      </c>
      <c r="P275" s="3">
        <v>389.49899999999997</v>
      </c>
      <c r="Q275" s="3">
        <v>4350</v>
      </c>
    </row>
    <row r="276" spans="1:17" ht="24.95" hidden="1" customHeight="1" x14ac:dyDescent="0.25">
      <c r="A276" s="3">
        <v>1</v>
      </c>
      <c r="B276" s="3" t="s">
        <v>391</v>
      </c>
      <c r="C276" s="3" t="s">
        <v>744</v>
      </c>
      <c r="I276" s="3">
        <v>14</v>
      </c>
      <c r="J276" s="3">
        <v>666</v>
      </c>
      <c r="K276" s="3">
        <v>1</v>
      </c>
      <c r="L276" s="3">
        <v>666</v>
      </c>
      <c r="M276" s="3">
        <v>2670</v>
      </c>
      <c r="N276" s="3">
        <v>1778.22</v>
      </c>
      <c r="O276" s="3">
        <v>1.21</v>
      </c>
      <c r="P276" s="3">
        <v>2151.6462000000001</v>
      </c>
      <c r="Q276" s="3">
        <v>2670</v>
      </c>
    </row>
    <row r="277" spans="1:17" ht="24.95" hidden="1" customHeight="1" x14ac:dyDescent="0.25">
      <c r="A277" s="3">
        <v>1</v>
      </c>
      <c r="B277" s="3" t="s">
        <v>391</v>
      </c>
      <c r="C277" s="3" t="s">
        <v>745</v>
      </c>
      <c r="I277" s="3">
        <v>18</v>
      </c>
      <c r="J277" s="3">
        <v>12</v>
      </c>
      <c r="K277" s="3">
        <v>1</v>
      </c>
      <c r="L277" s="3">
        <v>12</v>
      </c>
      <c r="M277" s="3">
        <v>11600</v>
      </c>
      <c r="N277" s="3">
        <v>139.19999999999999</v>
      </c>
      <c r="O277" s="3">
        <v>2</v>
      </c>
      <c r="P277" s="3">
        <v>278.39999999999998</v>
      </c>
      <c r="Q277" s="3">
        <v>11600</v>
      </c>
    </row>
    <row r="278" spans="1:17" ht="24.95" hidden="1" customHeight="1" x14ac:dyDescent="0.25">
      <c r="A278" s="3">
        <v>1</v>
      </c>
      <c r="B278" s="3" t="s">
        <v>391</v>
      </c>
      <c r="C278" s="3" t="s">
        <v>746</v>
      </c>
      <c r="I278" s="3">
        <v>14</v>
      </c>
      <c r="J278" s="3">
        <v>204</v>
      </c>
      <c r="K278" s="3">
        <v>1</v>
      </c>
      <c r="L278" s="3">
        <v>204</v>
      </c>
      <c r="M278" s="3">
        <v>3370</v>
      </c>
      <c r="N278" s="3">
        <v>687.48</v>
      </c>
      <c r="O278" s="3">
        <v>1.21</v>
      </c>
      <c r="P278" s="3">
        <v>831.85080000000005</v>
      </c>
      <c r="Q278" s="3">
        <v>3370</v>
      </c>
    </row>
    <row r="279" spans="1:17" ht="24.95" hidden="1" customHeight="1" x14ac:dyDescent="0.25">
      <c r="A279" s="3">
        <v>1</v>
      </c>
      <c r="B279" s="3" t="s">
        <v>391</v>
      </c>
      <c r="C279" s="3" t="s">
        <v>747</v>
      </c>
      <c r="I279" s="3">
        <v>32</v>
      </c>
      <c r="J279" s="3">
        <v>30</v>
      </c>
      <c r="K279" s="3">
        <v>1</v>
      </c>
      <c r="L279" s="3">
        <v>30</v>
      </c>
      <c r="M279" s="3">
        <v>3090</v>
      </c>
      <c r="N279" s="3">
        <v>92.7</v>
      </c>
      <c r="O279" s="3">
        <v>6.31</v>
      </c>
      <c r="P279" s="3">
        <v>584.93700000000001</v>
      </c>
      <c r="Q279" s="3">
        <v>3090</v>
      </c>
    </row>
    <row r="280" spans="1:17" ht="24.95" hidden="1" customHeight="1" x14ac:dyDescent="0.25">
      <c r="A280" s="3">
        <v>1</v>
      </c>
      <c r="B280" s="3" t="s">
        <v>391</v>
      </c>
      <c r="C280" s="3" t="s">
        <v>748</v>
      </c>
      <c r="I280" s="3">
        <v>14</v>
      </c>
      <c r="J280" s="3">
        <v>54</v>
      </c>
      <c r="K280" s="3">
        <v>1</v>
      </c>
      <c r="L280" s="3">
        <v>54</v>
      </c>
      <c r="M280" s="3">
        <v>11600</v>
      </c>
      <c r="N280" s="3">
        <v>626.4</v>
      </c>
      <c r="O280" s="3">
        <v>1.21</v>
      </c>
      <c r="P280" s="3">
        <v>757.94399999999996</v>
      </c>
      <c r="Q280" s="3">
        <v>11600</v>
      </c>
    </row>
    <row r="281" spans="1:17" ht="24.95" hidden="1" customHeight="1" x14ac:dyDescent="0.25">
      <c r="A281" s="3">
        <v>1</v>
      </c>
      <c r="B281" s="3" t="s">
        <v>392</v>
      </c>
      <c r="C281" s="3" t="s">
        <v>749</v>
      </c>
      <c r="I281" s="3">
        <v>32</v>
      </c>
      <c r="J281" s="3">
        <v>3</v>
      </c>
      <c r="K281" s="3">
        <v>1</v>
      </c>
      <c r="L281" s="3">
        <v>3</v>
      </c>
      <c r="M281" s="3">
        <v>6880</v>
      </c>
      <c r="N281" s="3">
        <v>20.64</v>
      </c>
      <c r="O281" s="3">
        <v>6.31</v>
      </c>
      <c r="P281" s="3">
        <v>130.23839999999998</v>
      </c>
      <c r="Q281" s="3">
        <v>6880</v>
      </c>
    </row>
    <row r="282" spans="1:17" ht="24.95" hidden="1" customHeight="1" x14ac:dyDescent="0.25">
      <c r="A282" s="3">
        <v>1</v>
      </c>
      <c r="B282" s="3" t="s">
        <v>392</v>
      </c>
      <c r="C282" s="3" t="s">
        <v>750</v>
      </c>
      <c r="I282" s="3">
        <v>32</v>
      </c>
      <c r="J282" s="3">
        <v>8</v>
      </c>
      <c r="K282" s="3">
        <v>1</v>
      </c>
      <c r="L282" s="3">
        <v>8</v>
      </c>
      <c r="M282" s="3">
        <v>11700</v>
      </c>
      <c r="N282" s="3">
        <v>93.6</v>
      </c>
      <c r="O282" s="3">
        <v>6.31</v>
      </c>
      <c r="P282" s="3">
        <v>590.61599999999987</v>
      </c>
      <c r="Q282" s="3">
        <v>11700</v>
      </c>
    </row>
    <row r="283" spans="1:17" ht="24.95" hidden="1" customHeight="1" x14ac:dyDescent="0.25">
      <c r="A283" s="3">
        <v>1</v>
      </c>
      <c r="B283" s="3" t="s">
        <v>392</v>
      </c>
      <c r="C283" s="3" t="s">
        <v>751</v>
      </c>
      <c r="I283" s="3">
        <v>32</v>
      </c>
      <c r="J283" s="3">
        <v>3</v>
      </c>
      <c r="K283" s="3">
        <v>1</v>
      </c>
      <c r="L283" s="3">
        <v>3</v>
      </c>
      <c r="M283" s="3">
        <v>5080</v>
      </c>
      <c r="N283" s="3">
        <v>15.24</v>
      </c>
      <c r="O283" s="3">
        <v>6.31</v>
      </c>
      <c r="P283" s="3">
        <v>96.164400000000001</v>
      </c>
      <c r="Q283" s="3">
        <v>5080</v>
      </c>
    </row>
    <row r="284" spans="1:17" ht="24.95" hidden="1" customHeight="1" x14ac:dyDescent="0.25">
      <c r="A284" s="3">
        <v>1</v>
      </c>
      <c r="B284" s="3" t="s">
        <v>392</v>
      </c>
      <c r="C284" s="3" t="s">
        <v>752</v>
      </c>
      <c r="I284" s="3">
        <v>32</v>
      </c>
      <c r="J284" s="3">
        <v>7</v>
      </c>
      <c r="K284" s="3">
        <v>1</v>
      </c>
      <c r="L284" s="3">
        <v>7</v>
      </c>
      <c r="M284" s="3">
        <v>11700</v>
      </c>
      <c r="N284" s="3">
        <v>81.900000000000006</v>
      </c>
      <c r="O284" s="3">
        <v>6.31</v>
      </c>
      <c r="P284" s="3">
        <v>516.78899999999999</v>
      </c>
      <c r="Q284" s="3">
        <v>11700</v>
      </c>
    </row>
    <row r="285" spans="1:17" ht="24.95" hidden="1" customHeight="1" x14ac:dyDescent="0.25">
      <c r="A285" s="3">
        <v>1</v>
      </c>
      <c r="B285" s="3" t="s">
        <v>392</v>
      </c>
      <c r="C285" s="3" t="s">
        <v>753</v>
      </c>
      <c r="I285" s="3">
        <v>32</v>
      </c>
      <c r="J285" s="3">
        <v>7</v>
      </c>
      <c r="K285" s="3">
        <v>1</v>
      </c>
      <c r="L285" s="3">
        <v>7</v>
      </c>
      <c r="M285" s="3">
        <v>3240</v>
      </c>
      <c r="N285" s="3">
        <v>22.68</v>
      </c>
      <c r="O285" s="3">
        <v>6.31</v>
      </c>
      <c r="P285" s="3">
        <v>143.11079999999998</v>
      </c>
      <c r="Q285" s="3">
        <v>3240</v>
      </c>
    </row>
    <row r="286" spans="1:17" ht="24.95" hidden="1" customHeight="1" x14ac:dyDescent="0.25">
      <c r="A286" s="3">
        <v>1</v>
      </c>
      <c r="B286" s="3" t="s">
        <v>392</v>
      </c>
      <c r="C286" s="3" t="s">
        <v>754</v>
      </c>
      <c r="I286" s="3">
        <v>32</v>
      </c>
      <c r="J286" s="3">
        <v>3</v>
      </c>
      <c r="K286" s="3">
        <v>1</v>
      </c>
      <c r="L286" s="3">
        <v>3</v>
      </c>
      <c r="M286" s="3">
        <v>11700</v>
      </c>
      <c r="N286" s="3">
        <v>35.1</v>
      </c>
      <c r="O286" s="3">
        <v>6.31</v>
      </c>
      <c r="P286" s="3">
        <v>221.48099999999999</v>
      </c>
      <c r="Q286" s="3">
        <v>11700</v>
      </c>
    </row>
    <row r="287" spans="1:17" ht="24.95" hidden="1" customHeight="1" x14ac:dyDescent="0.25">
      <c r="A287" s="3">
        <v>1</v>
      </c>
      <c r="B287" s="3" t="s">
        <v>392</v>
      </c>
      <c r="C287" s="3" t="s">
        <v>755</v>
      </c>
      <c r="I287" s="3">
        <v>32</v>
      </c>
      <c r="J287" s="3">
        <v>3</v>
      </c>
      <c r="K287" s="3">
        <v>1</v>
      </c>
      <c r="L287" s="3">
        <v>3</v>
      </c>
      <c r="M287" s="3">
        <v>11700</v>
      </c>
      <c r="N287" s="3">
        <v>35.1</v>
      </c>
      <c r="O287" s="3">
        <v>6.31</v>
      </c>
      <c r="P287" s="3">
        <v>221.48099999999999</v>
      </c>
      <c r="Q287" s="3">
        <v>11700</v>
      </c>
    </row>
    <row r="288" spans="1:17" ht="24.95" hidden="1" customHeight="1" x14ac:dyDescent="0.25">
      <c r="A288" s="3">
        <v>1</v>
      </c>
      <c r="B288" s="3" t="s">
        <v>392</v>
      </c>
      <c r="C288" s="3" t="s">
        <v>756</v>
      </c>
      <c r="I288" s="3">
        <v>32</v>
      </c>
      <c r="J288" s="3">
        <v>3</v>
      </c>
      <c r="K288" s="3">
        <v>1</v>
      </c>
      <c r="L288" s="3">
        <v>3</v>
      </c>
      <c r="M288" s="3">
        <v>3240</v>
      </c>
      <c r="N288" s="3">
        <v>9.7200000000000006</v>
      </c>
      <c r="O288" s="3">
        <v>6.31</v>
      </c>
      <c r="P288" s="3">
        <v>61.333199999999998</v>
      </c>
      <c r="Q288" s="3">
        <v>3240</v>
      </c>
    </row>
    <row r="289" spans="1:17" ht="24.95" hidden="1" customHeight="1" x14ac:dyDescent="0.25">
      <c r="A289" s="3">
        <v>1</v>
      </c>
      <c r="B289" s="3" t="s">
        <v>392</v>
      </c>
      <c r="C289" s="3" t="s">
        <v>757</v>
      </c>
      <c r="I289" s="3">
        <v>32</v>
      </c>
      <c r="J289" s="3">
        <v>3</v>
      </c>
      <c r="K289" s="3">
        <v>1</v>
      </c>
      <c r="L289" s="3">
        <v>3</v>
      </c>
      <c r="M289" s="3">
        <v>6780</v>
      </c>
      <c r="N289" s="3">
        <v>20.34</v>
      </c>
      <c r="O289" s="3">
        <v>6.31</v>
      </c>
      <c r="P289" s="3">
        <v>128.34539999999998</v>
      </c>
      <c r="Q289" s="3">
        <v>6780</v>
      </c>
    </row>
    <row r="290" spans="1:17" ht="24.95" hidden="1" customHeight="1" x14ac:dyDescent="0.25">
      <c r="A290" s="3">
        <v>1</v>
      </c>
      <c r="B290" s="3" t="s">
        <v>392</v>
      </c>
      <c r="C290" s="3" t="s">
        <v>758</v>
      </c>
      <c r="I290" s="3">
        <v>32</v>
      </c>
      <c r="J290" s="3">
        <v>10</v>
      </c>
      <c r="K290" s="3">
        <v>1</v>
      </c>
      <c r="L290" s="3">
        <v>10</v>
      </c>
      <c r="M290" s="3">
        <v>11700</v>
      </c>
      <c r="N290" s="3">
        <v>117</v>
      </c>
      <c r="O290" s="3">
        <v>6.31</v>
      </c>
      <c r="P290" s="3">
        <v>738.27</v>
      </c>
      <c r="Q290" s="3">
        <v>11700</v>
      </c>
    </row>
    <row r="291" spans="1:17" ht="24.95" hidden="1" customHeight="1" x14ac:dyDescent="0.25">
      <c r="A291" s="3">
        <v>1</v>
      </c>
      <c r="B291" s="3" t="s">
        <v>392</v>
      </c>
      <c r="C291" s="3" t="s">
        <v>759</v>
      </c>
      <c r="I291" s="3">
        <v>32</v>
      </c>
      <c r="J291" s="3">
        <v>3</v>
      </c>
      <c r="K291" s="3">
        <v>1</v>
      </c>
      <c r="L291" s="3">
        <v>3</v>
      </c>
      <c r="M291" s="3">
        <v>5020</v>
      </c>
      <c r="N291" s="3">
        <v>15.06</v>
      </c>
      <c r="O291" s="3">
        <v>6.31</v>
      </c>
      <c r="P291" s="3">
        <v>95.028599999999997</v>
      </c>
      <c r="Q291" s="3">
        <v>5020</v>
      </c>
    </row>
    <row r="292" spans="1:17" ht="24.95" hidden="1" customHeight="1" x14ac:dyDescent="0.25">
      <c r="A292" s="3">
        <v>1</v>
      </c>
      <c r="B292" s="3" t="s">
        <v>392</v>
      </c>
      <c r="C292" s="3" t="s">
        <v>760</v>
      </c>
      <c r="I292" s="3">
        <v>32</v>
      </c>
      <c r="J292" s="3">
        <v>11</v>
      </c>
      <c r="K292" s="3">
        <v>1</v>
      </c>
      <c r="L292" s="3">
        <v>11</v>
      </c>
      <c r="M292" s="3">
        <v>3200</v>
      </c>
      <c r="N292" s="3">
        <v>35.200000000000003</v>
      </c>
      <c r="O292" s="3">
        <v>6.31</v>
      </c>
      <c r="P292" s="3">
        <v>222.11199999999999</v>
      </c>
      <c r="Q292" s="3">
        <v>3200</v>
      </c>
    </row>
    <row r="293" spans="1:17" ht="24.95" hidden="1" customHeight="1" x14ac:dyDescent="0.25">
      <c r="A293" s="3">
        <v>1</v>
      </c>
      <c r="B293" s="3" t="s">
        <v>392</v>
      </c>
      <c r="C293" s="3" t="s">
        <v>761</v>
      </c>
      <c r="I293" s="3">
        <v>32</v>
      </c>
      <c r="J293" s="3">
        <v>11</v>
      </c>
      <c r="K293" s="3">
        <v>1</v>
      </c>
      <c r="L293" s="3">
        <v>11</v>
      </c>
      <c r="M293" s="3">
        <v>11700</v>
      </c>
      <c r="N293" s="3">
        <v>128.69999999999999</v>
      </c>
      <c r="O293" s="3">
        <v>6.31</v>
      </c>
      <c r="P293" s="3">
        <v>812.09699999999987</v>
      </c>
      <c r="Q293" s="3">
        <v>11700</v>
      </c>
    </row>
    <row r="294" spans="1:17" ht="24.95" hidden="1" customHeight="1" x14ac:dyDescent="0.25">
      <c r="A294" s="3">
        <v>1</v>
      </c>
      <c r="B294" s="3" t="s">
        <v>392</v>
      </c>
      <c r="C294" s="3" t="s">
        <v>762</v>
      </c>
      <c r="I294" s="3">
        <v>32</v>
      </c>
      <c r="J294" s="3">
        <v>31</v>
      </c>
      <c r="K294" s="3">
        <v>1</v>
      </c>
      <c r="L294" s="3">
        <v>31</v>
      </c>
      <c r="M294" s="3">
        <v>11700</v>
      </c>
      <c r="N294" s="3">
        <v>362.7</v>
      </c>
      <c r="O294" s="3">
        <v>6.31</v>
      </c>
      <c r="P294" s="3">
        <v>2288.6369999999997</v>
      </c>
      <c r="Q294" s="3">
        <v>11700</v>
      </c>
    </row>
    <row r="295" spans="1:17" ht="24.95" hidden="1" customHeight="1" x14ac:dyDescent="0.25">
      <c r="A295" s="3">
        <v>1</v>
      </c>
      <c r="B295" s="3" t="s">
        <v>392</v>
      </c>
      <c r="C295" s="3" t="s">
        <v>763</v>
      </c>
      <c r="I295" s="3">
        <v>32</v>
      </c>
      <c r="J295" s="3">
        <v>31</v>
      </c>
      <c r="K295" s="3">
        <v>1</v>
      </c>
      <c r="L295" s="3">
        <v>31</v>
      </c>
      <c r="M295" s="3">
        <v>3200</v>
      </c>
      <c r="N295" s="3">
        <v>99.2</v>
      </c>
      <c r="O295" s="3">
        <v>6.31</v>
      </c>
      <c r="P295" s="3">
        <v>625.952</v>
      </c>
      <c r="Q295" s="3">
        <v>3200</v>
      </c>
    </row>
    <row r="296" spans="1:17" ht="24.95" hidden="1" customHeight="1" x14ac:dyDescent="0.25">
      <c r="A296" s="3">
        <v>1</v>
      </c>
      <c r="B296" s="3" t="s">
        <v>392</v>
      </c>
      <c r="C296" s="3" t="s">
        <v>764</v>
      </c>
      <c r="I296" s="3">
        <v>32</v>
      </c>
      <c r="J296" s="3">
        <v>3</v>
      </c>
      <c r="K296" s="3">
        <v>1</v>
      </c>
      <c r="L296" s="3">
        <v>3</v>
      </c>
      <c r="M296" s="3">
        <v>4720</v>
      </c>
      <c r="N296" s="3">
        <v>14.16</v>
      </c>
      <c r="O296" s="3">
        <v>6.31</v>
      </c>
      <c r="P296" s="3">
        <v>89.349599999999995</v>
      </c>
      <c r="Q296" s="3">
        <v>4720</v>
      </c>
    </row>
    <row r="297" spans="1:17" ht="24.95" hidden="1" customHeight="1" x14ac:dyDescent="0.25">
      <c r="A297" s="3">
        <v>1</v>
      </c>
      <c r="B297" s="3" t="s">
        <v>392</v>
      </c>
      <c r="C297" s="3" t="s">
        <v>765</v>
      </c>
      <c r="I297" s="3">
        <v>32</v>
      </c>
      <c r="J297" s="3">
        <v>3</v>
      </c>
      <c r="K297" s="3">
        <v>1</v>
      </c>
      <c r="L297" s="3">
        <v>3</v>
      </c>
      <c r="M297" s="3">
        <v>4820</v>
      </c>
      <c r="N297" s="3">
        <v>14.46</v>
      </c>
      <c r="O297" s="3">
        <v>6.31</v>
      </c>
      <c r="P297" s="3">
        <v>91.242599999999996</v>
      </c>
      <c r="Q297" s="3">
        <v>4820</v>
      </c>
    </row>
    <row r="298" spans="1:17" ht="24.95" hidden="1" customHeight="1" x14ac:dyDescent="0.25">
      <c r="A298" s="3">
        <v>1</v>
      </c>
      <c r="B298" s="3" t="s">
        <v>392</v>
      </c>
      <c r="C298" s="3" t="s">
        <v>766</v>
      </c>
      <c r="I298" s="3">
        <v>32</v>
      </c>
      <c r="J298" s="3">
        <v>3</v>
      </c>
      <c r="K298" s="3">
        <v>1</v>
      </c>
      <c r="L298" s="3">
        <v>3</v>
      </c>
      <c r="M298" s="3">
        <v>4920</v>
      </c>
      <c r="N298" s="3">
        <v>14.76</v>
      </c>
      <c r="O298" s="3">
        <v>6.31</v>
      </c>
      <c r="P298" s="3">
        <v>93.135599999999997</v>
      </c>
      <c r="Q298" s="3">
        <v>4920</v>
      </c>
    </row>
    <row r="299" spans="1:17" ht="24.95" hidden="1" customHeight="1" x14ac:dyDescent="0.25">
      <c r="A299" s="3">
        <v>1</v>
      </c>
      <c r="B299" s="3" t="s">
        <v>392</v>
      </c>
      <c r="C299" s="3" t="s">
        <v>767</v>
      </c>
      <c r="I299" s="3">
        <v>32</v>
      </c>
      <c r="J299" s="3">
        <v>3</v>
      </c>
      <c r="K299" s="3">
        <v>1</v>
      </c>
      <c r="L299" s="3">
        <v>3</v>
      </c>
      <c r="M299" s="3">
        <v>6480</v>
      </c>
      <c r="N299" s="3">
        <v>19.440000000000001</v>
      </c>
      <c r="O299" s="3">
        <v>6.31</v>
      </c>
      <c r="P299" s="3">
        <v>122.6664</v>
      </c>
      <c r="Q299" s="3">
        <v>6480</v>
      </c>
    </row>
    <row r="300" spans="1:17" ht="24.95" hidden="1" customHeight="1" x14ac:dyDescent="0.25">
      <c r="A300" s="3">
        <v>2</v>
      </c>
      <c r="B300" s="3" t="s">
        <v>392</v>
      </c>
      <c r="C300" s="3" t="s">
        <v>768</v>
      </c>
      <c r="I300" s="3">
        <v>32</v>
      </c>
      <c r="J300" s="3">
        <v>3</v>
      </c>
      <c r="K300" s="3">
        <v>1</v>
      </c>
      <c r="L300" s="3">
        <v>3</v>
      </c>
      <c r="M300" s="3">
        <v>6580</v>
      </c>
      <c r="N300" s="3">
        <v>19.739999999999998</v>
      </c>
      <c r="O300" s="3">
        <v>6.31</v>
      </c>
      <c r="P300" s="3">
        <v>124.55939999999998</v>
      </c>
      <c r="Q300" s="3">
        <v>6580</v>
      </c>
    </row>
    <row r="301" spans="1:17" ht="24.95" hidden="1" customHeight="1" x14ac:dyDescent="0.25">
      <c r="A301" s="3">
        <v>2</v>
      </c>
      <c r="B301" s="3" t="s">
        <v>392</v>
      </c>
      <c r="C301" s="3" t="s">
        <v>769</v>
      </c>
      <c r="I301" s="3">
        <v>32</v>
      </c>
      <c r="J301" s="3">
        <v>3</v>
      </c>
      <c r="K301" s="3">
        <v>1</v>
      </c>
      <c r="L301" s="3">
        <v>3</v>
      </c>
      <c r="M301" s="3">
        <v>6680</v>
      </c>
      <c r="N301" s="3">
        <v>20.04</v>
      </c>
      <c r="O301" s="3">
        <v>6.31</v>
      </c>
      <c r="P301" s="3">
        <v>126.45239999999998</v>
      </c>
      <c r="Q301" s="3">
        <v>6680</v>
      </c>
    </row>
    <row r="302" spans="1:17" ht="24.95" hidden="1" customHeight="1" x14ac:dyDescent="0.25">
      <c r="A302" s="3">
        <v>2</v>
      </c>
      <c r="B302" s="3" t="s">
        <v>392</v>
      </c>
      <c r="C302" s="3" t="s">
        <v>770</v>
      </c>
      <c r="I302" s="3">
        <v>32</v>
      </c>
      <c r="J302" s="3">
        <v>32</v>
      </c>
      <c r="K302" s="3">
        <v>1</v>
      </c>
      <c r="L302" s="3">
        <v>32</v>
      </c>
      <c r="M302" s="3">
        <v>11700</v>
      </c>
      <c r="N302" s="3">
        <v>374.4</v>
      </c>
      <c r="O302" s="3">
        <v>6.31</v>
      </c>
      <c r="P302" s="3">
        <v>2362.4639999999995</v>
      </c>
      <c r="Q302" s="3">
        <v>11700</v>
      </c>
    </row>
    <row r="303" spans="1:17" ht="24.95" hidden="1" customHeight="1" x14ac:dyDescent="0.25">
      <c r="A303" s="3">
        <v>2</v>
      </c>
      <c r="B303" s="3" t="s">
        <v>392</v>
      </c>
      <c r="C303" s="3" t="s">
        <v>771</v>
      </c>
      <c r="I303" s="3">
        <v>32</v>
      </c>
      <c r="J303" s="3">
        <v>8</v>
      </c>
      <c r="K303" s="3">
        <v>1</v>
      </c>
      <c r="L303" s="3">
        <v>8</v>
      </c>
      <c r="M303" s="3">
        <v>8810</v>
      </c>
      <c r="N303" s="3">
        <v>70.48</v>
      </c>
      <c r="O303" s="3">
        <v>6.31</v>
      </c>
      <c r="P303" s="3">
        <v>444.72879999999998</v>
      </c>
      <c r="Q303" s="3">
        <v>8810</v>
      </c>
    </row>
    <row r="304" spans="1:17" ht="24.95" hidden="1" customHeight="1" x14ac:dyDescent="0.25">
      <c r="A304" s="3">
        <v>2</v>
      </c>
      <c r="B304" s="3" t="s">
        <v>392</v>
      </c>
      <c r="C304" s="3" t="s">
        <v>772</v>
      </c>
      <c r="I304" s="3">
        <v>32</v>
      </c>
      <c r="J304" s="3">
        <v>7</v>
      </c>
      <c r="K304" s="3">
        <v>1</v>
      </c>
      <c r="L304" s="3">
        <v>7</v>
      </c>
      <c r="M304" s="3">
        <v>6810</v>
      </c>
      <c r="N304" s="3">
        <v>47.67</v>
      </c>
      <c r="O304" s="3">
        <v>6.31</v>
      </c>
      <c r="P304" s="3">
        <v>300.79770000000002</v>
      </c>
      <c r="Q304" s="3">
        <v>6810</v>
      </c>
    </row>
    <row r="305" spans="1:17" ht="24.95" hidden="1" customHeight="1" x14ac:dyDescent="0.25">
      <c r="A305" s="3">
        <v>2</v>
      </c>
      <c r="B305" s="3" t="s">
        <v>392</v>
      </c>
      <c r="C305" s="3" t="s">
        <v>773</v>
      </c>
      <c r="I305" s="3">
        <v>32</v>
      </c>
      <c r="J305" s="3">
        <v>3</v>
      </c>
      <c r="K305" s="3">
        <v>1</v>
      </c>
      <c r="L305" s="3">
        <v>3</v>
      </c>
      <c r="M305" s="3">
        <v>11700</v>
      </c>
      <c r="N305" s="3">
        <v>35.1</v>
      </c>
      <c r="O305" s="3">
        <v>6.31</v>
      </c>
      <c r="P305" s="3">
        <v>221.48099999999999</v>
      </c>
      <c r="Q305" s="3">
        <v>11700</v>
      </c>
    </row>
    <row r="306" spans="1:17" ht="24.95" hidden="1" customHeight="1" x14ac:dyDescent="0.25">
      <c r="A306" s="3">
        <v>2</v>
      </c>
      <c r="B306" s="3" t="s">
        <v>392</v>
      </c>
      <c r="C306" s="3" t="s">
        <v>774</v>
      </c>
      <c r="I306" s="3">
        <v>32</v>
      </c>
      <c r="J306" s="3">
        <v>7</v>
      </c>
      <c r="K306" s="3">
        <v>1</v>
      </c>
      <c r="L306" s="3">
        <v>7</v>
      </c>
      <c r="M306" s="3">
        <v>9000</v>
      </c>
      <c r="N306" s="3">
        <v>63</v>
      </c>
      <c r="O306" s="3">
        <v>6.31</v>
      </c>
      <c r="P306" s="3">
        <v>397.53</v>
      </c>
      <c r="Q306" s="3">
        <v>9000</v>
      </c>
    </row>
    <row r="307" spans="1:17" ht="24.95" hidden="1" customHeight="1" x14ac:dyDescent="0.25">
      <c r="A307" s="3">
        <v>2</v>
      </c>
      <c r="B307" s="3" t="s">
        <v>392</v>
      </c>
      <c r="C307" s="3" t="s">
        <v>775</v>
      </c>
      <c r="I307" s="3">
        <v>32</v>
      </c>
      <c r="J307" s="3">
        <v>3</v>
      </c>
      <c r="K307" s="3">
        <v>1</v>
      </c>
      <c r="L307" s="3">
        <v>3</v>
      </c>
      <c r="M307" s="3">
        <v>9940</v>
      </c>
      <c r="N307" s="3">
        <v>29.82</v>
      </c>
      <c r="O307" s="3">
        <v>6.31</v>
      </c>
      <c r="P307" s="3">
        <v>188.16419999999999</v>
      </c>
      <c r="Q307" s="3">
        <v>9940</v>
      </c>
    </row>
    <row r="308" spans="1:17" ht="24.95" hidden="1" customHeight="1" x14ac:dyDescent="0.25">
      <c r="A308" s="3">
        <v>2</v>
      </c>
      <c r="B308" s="3" t="s">
        <v>392</v>
      </c>
      <c r="C308" s="3" t="s">
        <v>776</v>
      </c>
      <c r="I308" s="3">
        <v>32</v>
      </c>
      <c r="J308" s="3">
        <v>3</v>
      </c>
      <c r="K308" s="3">
        <v>1</v>
      </c>
      <c r="L308" s="3">
        <v>3</v>
      </c>
      <c r="M308" s="3">
        <v>8430</v>
      </c>
      <c r="N308" s="3">
        <v>25.29</v>
      </c>
      <c r="O308" s="3">
        <v>6.31</v>
      </c>
      <c r="P308" s="3">
        <v>159.57989999999998</v>
      </c>
      <c r="Q308" s="3">
        <v>8430</v>
      </c>
    </row>
    <row r="309" spans="1:17" ht="24.95" hidden="1" customHeight="1" x14ac:dyDescent="0.25">
      <c r="A309" s="3">
        <v>2</v>
      </c>
      <c r="B309" s="3" t="s">
        <v>392</v>
      </c>
      <c r="C309" s="3" t="s">
        <v>777</v>
      </c>
      <c r="I309" s="3">
        <v>32</v>
      </c>
      <c r="J309" s="3">
        <v>3</v>
      </c>
      <c r="K309" s="3">
        <v>1</v>
      </c>
      <c r="L309" s="3">
        <v>3</v>
      </c>
      <c r="M309" s="3">
        <v>6670</v>
      </c>
      <c r="N309" s="3">
        <v>20.010000000000002</v>
      </c>
      <c r="O309" s="3">
        <v>6.31</v>
      </c>
      <c r="P309" s="3">
        <v>126.26310000000001</v>
      </c>
      <c r="Q309" s="3">
        <v>6670</v>
      </c>
    </row>
    <row r="310" spans="1:17" ht="24.95" hidden="1" customHeight="1" x14ac:dyDescent="0.25">
      <c r="A310" s="3">
        <v>2</v>
      </c>
      <c r="B310" s="3" t="s">
        <v>392</v>
      </c>
      <c r="C310" s="3" t="s">
        <v>778</v>
      </c>
      <c r="I310" s="3">
        <v>32</v>
      </c>
      <c r="J310" s="3">
        <v>9</v>
      </c>
      <c r="K310" s="3">
        <v>1</v>
      </c>
      <c r="L310" s="3">
        <v>9</v>
      </c>
      <c r="M310" s="3">
        <v>7580</v>
      </c>
      <c r="N310" s="3">
        <v>68.22</v>
      </c>
      <c r="O310" s="3">
        <v>6.31</v>
      </c>
      <c r="P310" s="3">
        <v>430.46819999999997</v>
      </c>
      <c r="Q310" s="3">
        <v>7580</v>
      </c>
    </row>
    <row r="311" spans="1:17" ht="24.95" hidden="1" customHeight="1" x14ac:dyDescent="0.25">
      <c r="A311" s="3">
        <v>2</v>
      </c>
      <c r="B311" s="3" t="s">
        <v>392</v>
      </c>
      <c r="C311" s="3" t="s">
        <v>779</v>
      </c>
      <c r="I311" s="3">
        <v>32</v>
      </c>
      <c r="J311" s="3">
        <v>11</v>
      </c>
      <c r="K311" s="3">
        <v>1</v>
      </c>
      <c r="L311" s="3">
        <v>11</v>
      </c>
      <c r="M311" s="3">
        <v>7380</v>
      </c>
      <c r="N311" s="3">
        <v>81.180000000000007</v>
      </c>
      <c r="O311" s="3">
        <v>6.31</v>
      </c>
      <c r="P311" s="3">
        <v>512.24580000000003</v>
      </c>
      <c r="Q311" s="3">
        <v>7380</v>
      </c>
    </row>
    <row r="312" spans="1:17" ht="24.95" hidden="1" customHeight="1" x14ac:dyDescent="0.25">
      <c r="A312" s="3">
        <v>2</v>
      </c>
      <c r="B312" s="3" t="s">
        <v>392</v>
      </c>
      <c r="C312" s="3" t="s">
        <v>780</v>
      </c>
      <c r="I312" s="3">
        <v>14</v>
      </c>
      <c r="J312" s="3">
        <v>83</v>
      </c>
      <c r="K312" s="3">
        <v>1</v>
      </c>
      <c r="L312" s="3">
        <v>83</v>
      </c>
      <c r="M312" s="3">
        <v>7870</v>
      </c>
      <c r="N312" s="3">
        <v>653.21</v>
      </c>
      <c r="O312" s="3">
        <v>1.21</v>
      </c>
      <c r="P312" s="3">
        <v>790.38409999999999</v>
      </c>
      <c r="Q312" s="3">
        <v>7870</v>
      </c>
    </row>
    <row r="313" spans="1:17" ht="24.95" hidden="1" customHeight="1" x14ac:dyDescent="0.25">
      <c r="A313" s="3">
        <v>2</v>
      </c>
      <c r="B313" s="3" t="s">
        <v>392</v>
      </c>
      <c r="C313" s="3" t="s">
        <v>781</v>
      </c>
      <c r="I313" s="3">
        <v>14</v>
      </c>
      <c r="J313" s="3">
        <v>83</v>
      </c>
      <c r="K313" s="3">
        <v>1</v>
      </c>
      <c r="L313" s="3">
        <v>83</v>
      </c>
      <c r="M313" s="3">
        <v>4350</v>
      </c>
      <c r="N313" s="3">
        <v>361.05</v>
      </c>
      <c r="O313" s="3">
        <v>1.21</v>
      </c>
      <c r="P313" s="3">
        <v>436.87049999999999</v>
      </c>
      <c r="Q313" s="3">
        <v>4350</v>
      </c>
    </row>
    <row r="314" spans="1:17" ht="24.95" hidden="1" customHeight="1" x14ac:dyDescent="0.25">
      <c r="A314" s="3">
        <v>2</v>
      </c>
      <c r="B314" s="3" t="s">
        <v>392</v>
      </c>
      <c r="C314" s="3" t="s">
        <v>782</v>
      </c>
      <c r="I314" s="3">
        <v>14</v>
      </c>
      <c r="J314" s="3">
        <v>747</v>
      </c>
      <c r="K314" s="3">
        <v>1</v>
      </c>
      <c r="L314" s="3">
        <v>747</v>
      </c>
      <c r="M314" s="3">
        <v>2670</v>
      </c>
      <c r="N314" s="3">
        <v>1994.49</v>
      </c>
      <c r="O314" s="3">
        <v>1.21</v>
      </c>
      <c r="P314" s="3">
        <v>2413.3328999999999</v>
      </c>
      <c r="Q314" s="3">
        <v>2670</v>
      </c>
    </row>
    <row r="315" spans="1:17" ht="24.95" hidden="1" customHeight="1" x14ac:dyDescent="0.25">
      <c r="A315" s="3">
        <v>2</v>
      </c>
      <c r="B315" s="3" t="s">
        <v>392</v>
      </c>
      <c r="C315" s="3" t="s">
        <v>783</v>
      </c>
      <c r="I315" s="3">
        <v>18</v>
      </c>
      <c r="J315" s="3">
        <v>12</v>
      </c>
      <c r="K315" s="3">
        <v>1</v>
      </c>
      <c r="L315" s="3">
        <v>12</v>
      </c>
      <c r="M315" s="3">
        <v>11700</v>
      </c>
      <c r="N315" s="3">
        <v>140.4</v>
      </c>
      <c r="O315" s="3">
        <v>2</v>
      </c>
      <c r="P315" s="3">
        <v>280.8</v>
      </c>
      <c r="Q315" s="3">
        <v>11700</v>
      </c>
    </row>
    <row r="316" spans="1:17" ht="24.95" hidden="1" customHeight="1" x14ac:dyDescent="0.25">
      <c r="A316" s="3">
        <v>2</v>
      </c>
      <c r="B316" s="3" t="s">
        <v>392</v>
      </c>
      <c r="C316" s="3" t="s">
        <v>784</v>
      </c>
      <c r="I316" s="3">
        <v>14</v>
      </c>
      <c r="J316" s="3">
        <v>258</v>
      </c>
      <c r="K316" s="3">
        <v>1</v>
      </c>
      <c r="L316" s="3">
        <v>258</v>
      </c>
      <c r="M316" s="3">
        <v>3370</v>
      </c>
      <c r="N316" s="3">
        <v>869.46</v>
      </c>
      <c r="O316" s="3">
        <v>1.21</v>
      </c>
      <c r="P316" s="3">
        <v>1052.0466000000001</v>
      </c>
      <c r="Q316" s="3">
        <v>3370</v>
      </c>
    </row>
    <row r="317" spans="1:17" ht="24.95" hidden="1" customHeight="1" x14ac:dyDescent="0.25">
      <c r="A317" s="3">
        <v>2</v>
      </c>
      <c r="B317" s="3" t="s">
        <v>392</v>
      </c>
      <c r="C317" s="3" t="s">
        <v>785</v>
      </c>
      <c r="I317" s="3">
        <v>32</v>
      </c>
      <c r="J317" s="3">
        <v>40</v>
      </c>
      <c r="K317" s="3">
        <v>1</v>
      </c>
      <c r="L317" s="3">
        <v>40</v>
      </c>
      <c r="M317" s="3">
        <v>3090</v>
      </c>
      <c r="N317" s="3">
        <v>123.6</v>
      </c>
      <c r="O317" s="3">
        <v>6.31</v>
      </c>
      <c r="P317" s="3">
        <v>779.91599999999994</v>
      </c>
      <c r="Q317" s="3">
        <v>3090</v>
      </c>
    </row>
    <row r="318" spans="1:17" ht="24.95" hidden="1" customHeight="1" x14ac:dyDescent="0.25">
      <c r="A318" s="3">
        <v>2</v>
      </c>
      <c r="B318" s="3" t="s">
        <v>392</v>
      </c>
      <c r="C318" s="3" t="s">
        <v>786</v>
      </c>
      <c r="I318" s="3">
        <v>14</v>
      </c>
      <c r="J318" s="3">
        <v>54</v>
      </c>
      <c r="K318" s="3">
        <v>1</v>
      </c>
      <c r="L318" s="3">
        <v>54</v>
      </c>
      <c r="M318" s="3">
        <v>11700</v>
      </c>
      <c r="N318" s="3">
        <v>631.79999999999995</v>
      </c>
      <c r="O318" s="3">
        <v>1.21</v>
      </c>
      <c r="P318" s="3">
        <v>764.47799999999995</v>
      </c>
      <c r="Q318" s="3">
        <v>11700</v>
      </c>
    </row>
    <row r="319" spans="1:17" ht="24.95" hidden="1" customHeight="1" x14ac:dyDescent="0.25">
      <c r="A319" s="3">
        <v>2</v>
      </c>
      <c r="B319" s="3" t="s">
        <v>392</v>
      </c>
      <c r="C319" s="3" t="s">
        <v>787</v>
      </c>
      <c r="I319" s="3">
        <v>14</v>
      </c>
      <c r="J319" s="3">
        <v>54</v>
      </c>
      <c r="K319" s="3">
        <v>1</v>
      </c>
      <c r="L319" s="3">
        <v>54</v>
      </c>
      <c r="M319" s="3">
        <v>1880</v>
      </c>
      <c r="N319" s="3">
        <v>101.52</v>
      </c>
      <c r="O319" s="3">
        <v>1.21</v>
      </c>
      <c r="P319" s="3">
        <v>122.83919999999999</v>
      </c>
      <c r="Q319" s="3">
        <v>1880</v>
      </c>
    </row>
    <row r="320" spans="1:17" ht="24.95" hidden="1" customHeight="1" x14ac:dyDescent="0.25">
      <c r="A320" s="3">
        <v>2</v>
      </c>
      <c r="B320" s="3" t="s">
        <v>392</v>
      </c>
      <c r="C320" s="3" t="s">
        <v>788</v>
      </c>
      <c r="I320" s="3">
        <v>14</v>
      </c>
      <c r="J320" s="3">
        <v>54</v>
      </c>
      <c r="K320" s="3">
        <v>1</v>
      </c>
      <c r="L320" s="3">
        <v>54</v>
      </c>
      <c r="M320" s="3">
        <v>2060</v>
      </c>
      <c r="N320" s="3">
        <v>111.24</v>
      </c>
      <c r="O320" s="3">
        <v>1.21</v>
      </c>
      <c r="P320" s="3">
        <v>134.60039999999998</v>
      </c>
      <c r="Q320" s="3">
        <v>2060</v>
      </c>
    </row>
    <row r="321" spans="1:17" ht="24.95" hidden="1" customHeight="1" x14ac:dyDescent="0.25">
      <c r="A321" s="3">
        <v>2</v>
      </c>
      <c r="B321" s="3" t="s">
        <v>393</v>
      </c>
      <c r="C321" s="3" t="s">
        <v>789</v>
      </c>
      <c r="I321" s="3">
        <v>32</v>
      </c>
      <c r="J321" s="3">
        <v>11</v>
      </c>
      <c r="K321" s="3">
        <v>1</v>
      </c>
      <c r="L321" s="3">
        <v>11</v>
      </c>
      <c r="M321" s="3">
        <v>5810</v>
      </c>
      <c r="N321" s="3">
        <v>63.91</v>
      </c>
      <c r="O321" s="3">
        <v>6.31</v>
      </c>
      <c r="P321" s="3">
        <v>403.27209999999997</v>
      </c>
      <c r="Q321" s="3">
        <v>5810</v>
      </c>
    </row>
    <row r="322" spans="1:17" ht="24.95" hidden="1" customHeight="1" x14ac:dyDescent="0.25">
      <c r="A322" s="3">
        <v>2</v>
      </c>
      <c r="B322" s="3" t="s">
        <v>393</v>
      </c>
      <c r="C322" s="3" t="s">
        <v>790</v>
      </c>
      <c r="I322" s="3">
        <v>32</v>
      </c>
      <c r="J322" s="3">
        <v>11</v>
      </c>
      <c r="K322" s="3">
        <v>1</v>
      </c>
      <c r="L322" s="3">
        <v>11</v>
      </c>
      <c r="M322" s="3">
        <v>11700</v>
      </c>
      <c r="N322" s="3">
        <v>128.69999999999999</v>
      </c>
      <c r="O322" s="3">
        <v>6.31</v>
      </c>
      <c r="P322" s="3">
        <v>812.09699999999987</v>
      </c>
      <c r="Q322" s="3">
        <v>11700</v>
      </c>
    </row>
    <row r="323" spans="1:17" ht="24.95" hidden="1" customHeight="1" x14ac:dyDescent="0.25">
      <c r="A323" s="3">
        <v>2</v>
      </c>
      <c r="B323" s="3" t="s">
        <v>393</v>
      </c>
      <c r="C323" s="3" t="s">
        <v>791</v>
      </c>
      <c r="I323" s="3">
        <v>32</v>
      </c>
      <c r="J323" s="3">
        <v>11</v>
      </c>
      <c r="K323" s="3">
        <v>1</v>
      </c>
      <c r="L323" s="3">
        <v>11</v>
      </c>
      <c r="M323" s="3">
        <v>11700</v>
      </c>
      <c r="N323" s="3">
        <v>128.69999999999999</v>
      </c>
      <c r="O323" s="3">
        <v>6.31</v>
      </c>
      <c r="P323" s="3">
        <v>812.09699999999987</v>
      </c>
      <c r="Q323" s="3">
        <v>11700</v>
      </c>
    </row>
    <row r="324" spans="1:17" ht="24.95" hidden="1" customHeight="1" x14ac:dyDescent="0.25">
      <c r="A324" s="3">
        <v>2</v>
      </c>
      <c r="B324" s="3" t="s">
        <v>393</v>
      </c>
      <c r="C324" s="3" t="s">
        <v>792</v>
      </c>
      <c r="I324" s="3">
        <v>32</v>
      </c>
      <c r="J324" s="3">
        <v>10</v>
      </c>
      <c r="K324" s="3">
        <v>1</v>
      </c>
      <c r="L324" s="3">
        <v>10</v>
      </c>
      <c r="M324" s="3">
        <v>11700</v>
      </c>
      <c r="N324" s="3">
        <v>117</v>
      </c>
      <c r="O324" s="3">
        <v>6.31</v>
      </c>
      <c r="P324" s="3">
        <v>738.27</v>
      </c>
      <c r="Q324" s="3">
        <v>11700</v>
      </c>
    </row>
    <row r="325" spans="1:17" ht="24.95" hidden="1" customHeight="1" x14ac:dyDescent="0.25">
      <c r="A325" s="3">
        <v>2</v>
      </c>
      <c r="B325" s="3" t="s">
        <v>393</v>
      </c>
      <c r="C325" s="3" t="s">
        <v>793</v>
      </c>
      <c r="I325" s="3">
        <v>32</v>
      </c>
      <c r="J325" s="3">
        <v>10</v>
      </c>
      <c r="K325" s="3">
        <v>1</v>
      </c>
      <c r="L325" s="3">
        <v>10</v>
      </c>
      <c r="M325" s="3">
        <v>11700</v>
      </c>
      <c r="N325" s="3">
        <v>117</v>
      </c>
      <c r="O325" s="3">
        <v>6.31</v>
      </c>
      <c r="P325" s="3">
        <v>738.27</v>
      </c>
      <c r="Q325" s="3">
        <v>11700</v>
      </c>
    </row>
    <row r="326" spans="1:17" ht="24.95" hidden="1" customHeight="1" x14ac:dyDescent="0.25">
      <c r="A326" s="3">
        <v>2</v>
      </c>
      <c r="B326" s="3" t="s">
        <v>393</v>
      </c>
      <c r="C326" s="3" t="s">
        <v>794</v>
      </c>
      <c r="I326" s="3">
        <v>32</v>
      </c>
      <c r="J326" s="3">
        <v>10</v>
      </c>
      <c r="K326" s="3">
        <v>1</v>
      </c>
      <c r="L326" s="3">
        <v>10</v>
      </c>
      <c r="M326" s="3">
        <v>5810</v>
      </c>
      <c r="N326" s="3">
        <v>58.1</v>
      </c>
      <c r="O326" s="3">
        <v>6.31</v>
      </c>
      <c r="P326" s="3">
        <v>366.61099999999999</v>
      </c>
      <c r="Q326" s="3">
        <v>5810</v>
      </c>
    </row>
    <row r="327" spans="1:17" ht="24.95" hidden="1" customHeight="1" x14ac:dyDescent="0.25">
      <c r="A327" s="3">
        <v>2</v>
      </c>
      <c r="B327" s="3" t="s">
        <v>393</v>
      </c>
      <c r="C327" s="3" t="s">
        <v>795</v>
      </c>
      <c r="I327" s="3">
        <v>32</v>
      </c>
      <c r="J327" s="3">
        <v>10</v>
      </c>
      <c r="K327" s="3">
        <v>1</v>
      </c>
      <c r="L327" s="3">
        <v>10</v>
      </c>
      <c r="M327" s="3">
        <v>5710</v>
      </c>
      <c r="N327" s="3">
        <v>57.1</v>
      </c>
      <c r="O327" s="3">
        <v>6.31</v>
      </c>
      <c r="P327" s="3">
        <v>360.30099999999999</v>
      </c>
      <c r="Q327" s="3">
        <v>5710</v>
      </c>
    </row>
    <row r="328" spans="1:17" ht="24.95" hidden="1" customHeight="1" x14ac:dyDescent="0.25">
      <c r="A328" s="3">
        <v>2</v>
      </c>
      <c r="B328" s="3" t="s">
        <v>393</v>
      </c>
      <c r="C328" s="3" t="s">
        <v>796</v>
      </c>
      <c r="I328" s="3">
        <v>32</v>
      </c>
      <c r="J328" s="3">
        <v>10</v>
      </c>
      <c r="K328" s="3">
        <v>1</v>
      </c>
      <c r="L328" s="3">
        <v>10</v>
      </c>
      <c r="M328" s="3">
        <v>11700</v>
      </c>
      <c r="N328" s="3">
        <v>117</v>
      </c>
      <c r="O328" s="3">
        <v>6.31</v>
      </c>
      <c r="P328" s="3">
        <v>738.27</v>
      </c>
      <c r="Q328" s="3">
        <v>11700</v>
      </c>
    </row>
    <row r="329" spans="1:17" ht="24.95" hidden="1" customHeight="1" x14ac:dyDescent="0.25">
      <c r="A329" s="3">
        <v>2</v>
      </c>
      <c r="B329" s="3" t="s">
        <v>393</v>
      </c>
      <c r="C329" s="3" t="s">
        <v>797</v>
      </c>
      <c r="I329" s="3">
        <v>32</v>
      </c>
      <c r="J329" s="3">
        <v>10</v>
      </c>
      <c r="K329" s="3">
        <v>1</v>
      </c>
      <c r="L329" s="3">
        <v>10</v>
      </c>
      <c r="M329" s="3">
        <v>11700</v>
      </c>
      <c r="N329" s="3">
        <v>117</v>
      </c>
      <c r="O329" s="3">
        <v>6.31</v>
      </c>
      <c r="P329" s="3">
        <v>738.27</v>
      </c>
      <c r="Q329" s="3">
        <v>11700</v>
      </c>
    </row>
    <row r="330" spans="1:17" ht="24.95" hidden="1" customHeight="1" x14ac:dyDescent="0.25">
      <c r="A330" s="3">
        <v>2</v>
      </c>
      <c r="B330" s="3" t="s">
        <v>393</v>
      </c>
      <c r="C330" s="3" t="s">
        <v>798</v>
      </c>
      <c r="I330" s="3">
        <v>32</v>
      </c>
      <c r="J330" s="3">
        <v>11</v>
      </c>
      <c r="K330" s="3">
        <v>1</v>
      </c>
      <c r="L330" s="3">
        <v>11</v>
      </c>
      <c r="M330" s="3">
        <v>11700</v>
      </c>
      <c r="N330" s="3">
        <v>128.69999999999999</v>
      </c>
      <c r="O330" s="3">
        <v>6.31</v>
      </c>
      <c r="P330" s="3">
        <v>812.09699999999987</v>
      </c>
      <c r="Q330" s="3">
        <v>11700</v>
      </c>
    </row>
    <row r="331" spans="1:17" ht="24.95" hidden="1" customHeight="1" x14ac:dyDescent="0.25">
      <c r="A331" s="3">
        <v>2</v>
      </c>
      <c r="B331" s="3" t="s">
        <v>393</v>
      </c>
      <c r="C331" s="3" t="s">
        <v>799</v>
      </c>
      <c r="I331" s="3">
        <v>32</v>
      </c>
      <c r="J331" s="3">
        <v>11</v>
      </c>
      <c r="K331" s="3">
        <v>1</v>
      </c>
      <c r="L331" s="3">
        <v>11</v>
      </c>
      <c r="M331" s="3">
        <v>11700</v>
      </c>
      <c r="N331" s="3">
        <v>128.69999999999999</v>
      </c>
      <c r="O331" s="3">
        <v>6.31</v>
      </c>
      <c r="P331" s="3">
        <v>812.09699999999987</v>
      </c>
      <c r="Q331" s="3">
        <v>11700</v>
      </c>
    </row>
    <row r="332" spans="1:17" ht="24.95" hidden="1" customHeight="1" x14ac:dyDescent="0.25">
      <c r="A332" s="3">
        <v>2</v>
      </c>
      <c r="B332" s="3" t="s">
        <v>393</v>
      </c>
      <c r="C332" s="3" t="s">
        <v>800</v>
      </c>
      <c r="I332" s="3">
        <v>32</v>
      </c>
      <c r="J332" s="3">
        <v>11</v>
      </c>
      <c r="K332" s="3">
        <v>1</v>
      </c>
      <c r="L332" s="3">
        <v>11</v>
      </c>
      <c r="M332" s="3">
        <v>5710</v>
      </c>
      <c r="N332" s="3">
        <v>62.81</v>
      </c>
      <c r="O332" s="3">
        <v>6.31</v>
      </c>
      <c r="P332" s="3">
        <v>396.33109999999999</v>
      </c>
      <c r="Q332" s="3">
        <v>5710</v>
      </c>
    </row>
    <row r="333" spans="1:17" ht="24.95" hidden="1" customHeight="1" x14ac:dyDescent="0.25">
      <c r="A333" s="3">
        <v>2</v>
      </c>
      <c r="B333" s="3" t="s">
        <v>393</v>
      </c>
      <c r="C333" s="3" t="s">
        <v>801</v>
      </c>
      <c r="I333" s="3">
        <v>32</v>
      </c>
      <c r="J333" s="3">
        <v>11</v>
      </c>
      <c r="K333" s="3">
        <v>1</v>
      </c>
      <c r="L333" s="3">
        <v>11</v>
      </c>
      <c r="M333" s="3">
        <v>5610</v>
      </c>
      <c r="N333" s="3">
        <v>61.71</v>
      </c>
      <c r="O333" s="3">
        <v>6.31</v>
      </c>
      <c r="P333" s="3">
        <v>389.39009999999996</v>
      </c>
      <c r="Q333" s="3">
        <v>5610</v>
      </c>
    </row>
    <row r="334" spans="1:17" ht="24.95" hidden="1" customHeight="1" x14ac:dyDescent="0.25">
      <c r="A334" s="3">
        <v>2</v>
      </c>
      <c r="B334" s="3" t="s">
        <v>393</v>
      </c>
      <c r="C334" s="3" t="s">
        <v>802</v>
      </c>
      <c r="I334" s="3">
        <v>32</v>
      </c>
      <c r="J334" s="3">
        <v>11</v>
      </c>
      <c r="K334" s="3">
        <v>1</v>
      </c>
      <c r="L334" s="3">
        <v>11</v>
      </c>
      <c r="M334" s="3">
        <v>11700</v>
      </c>
      <c r="N334" s="3">
        <v>128.69999999999999</v>
      </c>
      <c r="O334" s="3">
        <v>6.31</v>
      </c>
      <c r="P334" s="3">
        <v>812.09699999999987</v>
      </c>
      <c r="Q334" s="3">
        <v>11700</v>
      </c>
    </row>
    <row r="335" spans="1:17" ht="24.95" hidden="1" customHeight="1" x14ac:dyDescent="0.25">
      <c r="A335" s="3">
        <v>2</v>
      </c>
      <c r="B335" s="3" t="s">
        <v>393</v>
      </c>
      <c r="C335" s="3" t="s">
        <v>803</v>
      </c>
      <c r="I335" s="3">
        <v>32</v>
      </c>
      <c r="J335" s="3">
        <v>11</v>
      </c>
      <c r="K335" s="3">
        <v>1</v>
      </c>
      <c r="L335" s="3">
        <v>11</v>
      </c>
      <c r="M335" s="3">
        <v>11700</v>
      </c>
      <c r="N335" s="3">
        <v>128.69999999999999</v>
      </c>
      <c r="O335" s="3">
        <v>6.31</v>
      </c>
      <c r="P335" s="3">
        <v>812.09699999999987</v>
      </c>
      <c r="Q335" s="3">
        <v>11700</v>
      </c>
    </row>
    <row r="336" spans="1:17" ht="24.95" hidden="1" customHeight="1" x14ac:dyDescent="0.25">
      <c r="A336" s="3">
        <v>2</v>
      </c>
      <c r="B336" s="3" t="s">
        <v>393</v>
      </c>
      <c r="C336" s="3" t="s">
        <v>804</v>
      </c>
      <c r="I336" s="3">
        <v>32</v>
      </c>
      <c r="J336" s="3">
        <v>10</v>
      </c>
      <c r="K336" s="3">
        <v>1</v>
      </c>
      <c r="L336" s="3">
        <v>10</v>
      </c>
      <c r="M336" s="3">
        <v>11700</v>
      </c>
      <c r="N336" s="3">
        <v>117</v>
      </c>
      <c r="O336" s="3">
        <v>6.31</v>
      </c>
      <c r="P336" s="3">
        <v>738.27</v>
      </c>
      <c r="Q336" s="3">
        <v>11700</v>
      </c>
    </row>
    <row r="337" spans="1:17" ht="24.95" hidden="1" customHeight="1" x14ac:dyDescent="0.25">
      <c r="A337" s="3">
        <v>2</v>
      </c>
      <c r="B337" s="3" t="s">
        <v>393</v>
      </c>
      <c r="C337" s="3" t="s">
        <v>805</v>
      </c>
      <c r="I337" s="3">
        <v>32</v>
      </c>
      <c r="J337" s="3">
        <v>10</v>
      </c>
      <c r="K337" s="3">
        <v>1</v>
      </c>
      <c r="L337" s="3">
        <v>10</v>
      </c>
      <c r="M337" s="3">
        <v>11700</v>
      </c>
      <c r="N337" s="3">
        <v>117</v>
      </c>
      <c r="O337" s="3">
        <v>6.31</v>
      </c>
      <c r="P337" s="3">
        <v>738.27</v>
      </c>
      <c r="Q337" s="3">
        <v>11700</v>
      </c>
    </row>
    <row r="338" spans="1:17" ht="24.95" hidden="1" customHeight="1" x14ac:dyDescent="0.25">
      <c r="A338" s="3">
        <v>2</v>
      </c>
      <c r="B338" s="3" t="s">
        <v>393</v>
      </c>
      <c r="C338" s="3" t="s">
        <v>806</v>
      </c>
      <c r="I338" s="3">
        <v>32</v>
      </c>
      <c r="J338" s="3">
        <v>10</v>
      </c>
      <c r="K338" s="3">
        <v>1</v>
      </c>
      <c r="L338" s="3">
        <v>10</v>
      </c>
      <c r="M338" s="3">
        <v>5610</v>
      </c>
      <c r="N338" s="3">
        <v>56.1</v>
      </c>
      <c r="O338" s="3">
        <v>6.31</v>
      </c>
      <c r="P338" s="3">
        <v>353.99099999999999</v>
      </c>
      <c r="Q338" s="3">
        <v>5610</v>
      </c>
    </row>
    <row r="339" spans="1:17" ht="24.95" hidden="1" customHeight="1" x14ac:dyDescent="0.25">
      <c r="A339" s="3">
        <v>2</v>
      </c>
      <c r="B339" s="3" t="s">
        <v>393</v>
      </c>
      <c r="C339" s="3" t="s">
        <v>807</v>
      </c>
      <c r="I339" s="3">
        <v>32</v>
      </c>
      <c r="J339" s="3">
        <v>11</v>
      </c>
      <c r="K339" s="3">
        <v>1</v>
      </c>
      <c r="L339" s="3">
        <v>11</v>
      </c>
      <c r="M339" s="3">
        <v>10970</v>
      </c>
      <c r="N339" s="3">
        <v>120.67</v>
      </c>
      <c r="O339" s="3">
        <v>6.31</v>
      </c>
      <c r="P339" s="3">
        <v>761.42769999999996</v>
      </c>
      <c r="Q339" s="3">
        <v>10970</v>
      </c>
    </row>
    <row r="340" spans="1:17" ht="24.95" hidden="1" customHeight="1" x14ac:dyDescent="0.25">
      <c r="A340" s="3">
        <v>2</v>
      </c>
      <c r="B340" s="3" t="s">
        <v>393</v>
      </c>
      <c r="C340" s="3" t="s">
        <v>808</v>
      </c>
      <c r="I340" s="3">
        <v>32</v>
      </c>
      <c r="J340" s="3">
        <v>11</v>
      </c>
      <c r="K340" s="3">
        <v>1</v>
      </c>
      <c r="L340" s="3">
        <v>11</v>
      </c>
      <c r="M340" s="3">
        <v>7800</v>
      </c>
      <c r="N340" s="3">
        <v>85.8</v>
      </c>
      <c r="O340" s="3">
        <v>6.31</v>
      </c>
      <c r="P340" s="3">
        <v>541.39799999999991</v>
      </c>
      <c r="Q340" s="3">
        <v>7800</v>
      </c>
    </row>
    <row r="341" spans="1:17" ht="24.95" hidden="1" customHeight="1" x14ac:dyDescent="0.25">
      <c r="A341" s="3">
        <v>2</v>
      </c>
      <c r="B341" s="3" t="s">
        <v>393</v>
      </c>
      <c r="C341" s="3" t="s">
        <v>809</v>
      </c>
      <c r="I341" s="3">
        <v>32</v>
      </c>
      <c r="J341" s="3">
        <v>11</v>
      </c>
      <c r="K341" s="3">
        <v>1</v>
      </c>
      <c r="L341" s="3">
        <v>11</v>
      </c>
      <c r="M341" s="3">
        <v>10520</v>
      </c>
      <c r="N341" s="3">
        <v>115.72</v>
      </c>
      <c r="O341" s="3">
        <v>6.31</v>
      </c>
      <c r="P341" s="3">
        <v>730.19319999999993</v>
      </c>
      <c r="Q341" s="3">
        <v>10520</v>
      </c>
    </row>
    <row r="342" spans="1:17" ht="24.95" hidden="1" customHeight="1" x14ac:dyDescent="0.25">
      <c r="A342" s="3">
        <v>2</v>
      </c>
      <c r="B342" s="3" t="s">
        <v>393</v>
      </c>
      <c r="C342" s="3" t="s">
        <v>810</v>
      </c>
      <c r="I342" s="3">
        <v>32</v>
      </c>
      <c r="J342" s="3">
        <v>10</v>
      </c>
      <c r="K342" s="3">
        <v>1</v>
      </c>
      <c r="L342" s="3">
        <v>10</v>
      </c>
      <c r="M342" s="3">
        <v>8590</v>
      </c>
      <c r="N342" s="3">
        <v>85.9</v>
      </c>
      <c r="O342" s="3">
        <v>6.31</v>
      </c>
      <c r="P342" s="3">
        <v>542.029</v>
      </c>
      <c r="Q342" s="3">
        <v>8590</v>
      </c>
    </row>
    <row r="343" spans="1:17" ht="24.95" hidden="1" customHeight="1" x14ac:dyDescent="0.25">
      <c r="A343" s="3">
        <v>2</v>
      </c>
      <c r="B343" s="3" t="s">
        <v>393</v>
      </c>
      <c r="C343" s="3" t="s">
        <v>811</v>
      </c>
      <c r="I343" s="3">
        <v>32</v>
      </c>
      <c r="J343" s="3">
        <v>10</v>
      </c>
      <c r="K343" s="3">
        <v>1</v>
      </c>
      <c r="L343" s="3">
        <v>10</v>
      </c>
      <c r="M343" s="3">
        <v>9000</v>
      </c>
      <c r="N343" s="3">
        <v>90</v>
      </c>
      <c r="O343" s="3">
        <v>6.31</v>
      </c>
      <c r="P343" s="3">
        <v>567.9</v>
      </c>
      <c r="Q343" s="3">
        <v>9000</v>
      </c>
    </row>
    <row r="344" spans="1:17" ht="24.95" hidden="1" customHeight="1" x14ac:dyDescent="0.25">
      <c r="A344" s="3">
        <v>2</v>
      </c>
      <c r="B344" s="3" t="s">
        <v>393</v>
      </c>
      <c r="C344" s="3" t="s">
        <v>812</v>
      </c>
      <c r="I344" s="3">
        <v>32</v>
      </c>
      <c r="J344" s="3">
        <v>10</v>
      </c>
      <c r="K344" s="3">
        <v>1</v>
      </c>
      <c r="L344" s="3">
        <v>10</v>
      </c>
      <c r="M344" s="3">
        <v>11700</v>
      </c>
      <c r="N344" s="3">
        <v>117</v>
      </c>
      <c r="O344" s="3">
        <v>6.31</v>
      </c>
      <c r="P344" s="3">
        <v>738.27</v>
      </c>
      <c r="Q344" s="3">
        <v>11700</v>
      </c>
    </row>
    <row r="345" spans="1:17" ht="24.95" hidden="1" customHeight="1" x14ac:dyDescent="0.25">
      <c r="A345" s="3">
        <v>2</v>
      </c>
      <c r="B345" s="3" t="s">
        <v>393</v>
      </c>
      <c r="C345" s="3" t="s">
        <v>813</v>
      </c>
      <c r="I345" s="3">
        <v>32</v>
      </c>
      <c r="J345" s="3">
        <v>21</v>
      </c>
      <c r="K345" s="3">
        <v>1</v>
      </c>
      <c r="L345" s="3">
        <v>21</v>
      </c>
      <c r="M345" s="3">
        <v>7265</v>
      </c>
      <c r="N345" s="3">
        <v>152.565</v>
      </c>
      <c r="O345" s="3">
        <v>6.31</v>
      </c>
      <c r="P345" s="3">
        <v>962.68514999999991</v>
      </c>
      <c r="Q345" s="3">
        <v>7265</v>
      </c>
    </row>
    <row r="346" spans="1:17" ht="24.95" hidden="1" customHeight="1" x14ac:dyDescent="0.25">
      <c r="A346" s="3">
        <v>2</v>
      </c>
      <c r="B346" s="3" t="s">
        <v>393</v>
      </c>
      <c r="C346" s="3" t="s">
        <v>814</v>
      </c>
      <c r="I346" s="3">
        <v>32</v>
      </c>
      <c r="J346" s="3">
        <v>2</v>
      </c>
      <c r="K346" s="3">
        <v>1</v>
      </c>
      <c r="L346" s="3">
        <v>2</v>
      </c>
      <c r="M346" s="3">
        <v>7065</v>
      </c>
      <c r="N346" s="3">
        <v>14.13</v>
      </c>
      <c r="O346" s="3">
        <v>6.31</v>
      </c>
      <c r="P346" s="3">
        <v>89.160299999999992</v>
      </c>
      <c r="Q346" s="3">
        <v>7065</v>
      </c>
    </row>
    <row r="347" spans="1:17" ht="24.95" hidden="1" customHeight="1" x14ac:dyDescent="0.25">
      <c r="A347" s="3">
        <v>2</v>
      </c>
      <c r="B347" s="3" t="s">
        <v>393</v>
      </c>
      <c r="C347" s="3" t="s">
        <v>815</v>
      </c>
      <c r="I347" s="3">
        <v>32</v>
      </c>
      <c r="J347" s="3">
        <v>21</v>
      </c>
      <c r="K347" s="3">
        <v>1</v>
      </c>
      <c r="L347" s="3">
        <v>21</v>
      </c>
      <c r="M347" s="3">
        <v>4725</v>
      </c>
      <c r="N347" s="3">
        <v>99.224999999999994</v>
      </c>
      <c r="O347" s="3">
        <v>6.31</v>
      </c>
      <c r="P347" s="3">
        <v>626.10974999999996</v>
      </c>
      <c r="Q347" s="3">
        <v>4725</v>
      </c>
    </row>
    <row r="348" spans="1:17" ht="24.95" hidden="1" customHeight="1" x14ac:dyDescent="0.25">
      <c r="A348" s="3">
        <v>2</v>
      </c>
      <c r="B348" s="3" t="s">
        <v>393</v>
      </c>
      <c r="C348" s="3" t="s">
        <v>816</v>
      </c>
      <c r="I348" s="3">
        <v>32</v>
      </c>
      <c r="J348" s="3">
        <v>2</v>
      </c>
      <c r="K348" s="3">
        <v>1</v>
      </c>
      <c r="L348" s="3">
        <v>2</v>
      </c>
      <c r="M348" s="3">
        <v>4425</v>
      </c>
      <c r="N348" s="3">
        <v>8.85</v>
      </c>
      <c r="O348" s="3">
        <v>6.31</v>
      </c>
      <c r="P348" s="3">
        <v>55.843499999999992</v>
      </c>
      <c r="Q348" s="3">
        <v>4425</v>
      </c>
    </row>
    <row r="349" spans="1:17" ht="24.95" hidden="1" customHeight="1" x14ac:dyDescent="0.25">
      <c r="A349" s="3">
        <v>2</v>
      </c>
      <c r="B349" s="3" t="s">
        <v>393</v>
      </c>
      <c r="C349" s="3" t="s">
        <v>817</v>
      </c>
      <c r="I349" s="3">
        <v>32</v>
      </c>
      <c r="J349" s="3">
        <v>21</v>
      </c>
      <c r="K349" s="3">
        <v>1</v>
      </c>
      <c r="L349" s="3">
        <v>21</v>
      </c>
      <c r="M349" s="3">
        <v>6470</v>
      </c>
      <c r="N349" s="3">
        <v>135.87</v>
      </c>
      <c r="O349" s="3">
        <v>6.31</v>
      </c>
      <c r="P349" s="3">
        <v>857.33969999999999</v>
      </c>
      <c r="Q349" s="3">
        <v>6470</v>
      </c>
    </row>
    <row r="350" spans="1:17" ht="24.95" hidden="1" customHeight="1" x14ac:dyDescent="0.25">
      <c r="A350" s="3">
        <v>2</v>
      </c>
      <c r="B350" s="3" t="s">
        <v>393</v>
      </c>
      <c r="C350" s="3" t="s">
        <v>818</v>
      </c>
      <c r="I350" s="3">
        <v>32</v>
      </c>
      <c r="J350" s="3">
        <v>13</v>
      </c>
      <c r="K350" s="3">
        <v>1</v>
      </c>
      <c r="L350" s="3">
        <v>13</v>
      </c>
      <c r="M350" s="3">
        <v>6270</v>
      </c>
      <c r="N350" s="3">
        <v>81.510000000000005</v>
      </c>
      <c r="O350" s="3">
        <v>6.31</v>
      </c>
      <c r="P350" s="3">
        <v>514.32809999999995</v>
      </c>
      <c r="Q350" s="3">
        <v>6270</v>
      </c>
    </row>
    <row r="351" spans="1:17" ht="24.95" hidden="1" customHeight="1" x14ac:dyDescent="0.25">
      <c r="A351" s="3">
        <v>2</v>
      </c>
      <c r="B351" s="3" t="s">
        <v>393</v>
      </c>
      <c r="C351" s="3" t="s">
        <v>819</v>
      </c>
      <c r="I351" s="3">
        <v>14</v>
      </c>
      <c r="J351" s="3">
        <v>150</v>
      </c>
      <c r="K351" s="3">
        <v>1</v>
      </c>
      <c r="L351" s="3">
        <v>150</v>
      </c>
      <c r="M351" s="3">
        <v>7870</v>
      </c>
      <c r="N351" s="3">
        <v>1180.5</v>
      </c>
      <c r="O351" s="3">
        <v>1.21</v>
      </c>
      <c r="P351" s="3">
        <v>1428.405</v>
      </c>
      <c r="Q351" s="3">
        <v>7870</v>
      </c>
    </row>
    <row r="352" spans="1:17" ht="24.95" hidden="1" customHeight="1" x14ac:dyDescent="0.25">
      <c r="A352" s="3">
        <v>2</v>
      </c>
      <c r="B352" s="3" t="s">
        <v>393</v>
      </c>
      <c r="C352" s="3" t="s">
        <v>820</v>
      </c>
      <c r="I352" s="3">
        <v>14</v>
      </c>
      <c r="J352" s="3">
        <v>150</v>
      </c>
      <c r="K352" s="3">
        <v>1</v>
      </c>
      <c r="L352" s="3">
        <v>150</v>
      </c>
      <c r="M352" s="3">
        <v>4350</v>
      </c>
      <c r="N352" s="3">
        <v>652.5</v>
      </c>
      <c r="O352" s="3">
        <v>1.21</v>
      </c>
      <c r="P352" s="3">
        <v>789.52499999999998</v>
      </c>
      <c r="Q352" s="3">
        <v>4350</v>
      </c>
    </row>
    <row r="353" spans="1:17" ht="24.95" hidden="1" customHeight="1" x14ac:dyDescent="0.25">
      <c r="A353" s="3">
        <v>2</v>
      </c>
      <c r="B353" s="3" t="s">
        <v>393</v>
      </c>
      <c r="C353" s="3" t="s">
        <v>821</v>
      </c>
      <c r="I353" s="3">
        <v>14</v>
      </c>
      <c r="J353" s="3">
        <v>1350</v>
      </c>
      <c r="K353" s="3">
        <v>1</v>
      </c>
      <c r="L353" s="3">
        <v>1350</v>
      </c>
      <c r="M353" s="3">
        <v>2670</v>
      </c>
      <c r="N353" s="3">
        <v>3604.5</v>
      </c>
      <c r="O353" s="3">
        <v>1.21</v>
      </c>
      <c r="P353" s="3">
        <v>4361.4449999999997</v>
      </c>
      <c r="Q353" s="3">
        <v>2670</v>
      </c>
    </row>
    <row r="354" spans="1:17" ht="24.95" hidden="1" customHeight="1" x14ac:dyDescent="0.25">
      <c r="A354" s="3">
        <v>2</v>
      </c>
      <c r="B354" s="3" t="s">
        <v>393</v>
      </c>
      <c r="C354" s="3" t="s">
        <v>822</v>
      </c>
      <c r="I354" s="3">
        <v>18</v>
      </c>
      <c r="J354" s="3">
        <v>12</v>
      </c>
      <c r="K354" s="3">
        <v>1</v>
      </c>
      <c r="L354" s="3">
        <v>12</v>
      </c>
      <c r="M354" s="3">
        <v>11700</v>
      </c>
      <c r="N354" s="3">
        <v>140.4</v>
      </c>
      <c r="O354" s="3">
        <v>2</v>
      </c>
      <c r="P354" s="3">
        <v>280.8</v>
      </c>
      <c r="Q354" s="3">
        <v>11700</v>
      </c>
    </row>
    <row r="355" spans="1:17" ht="24.95" hidden="1" customHeight="1" x14ac:dyDescent="0.25">
      <c r="A355" s="3">
        <v>2</v>
      </c>
      <c r="B355" s="3" t="s">
        <v>393</v>
      </c>
      <c r="C355" s="3" t="s">
        <v>823</v>
      </c>
      <c r="I355" s="3">
        <v>18</v>
      </c>
      <c r="J355" s="3">
        <v>12</v>
      </c>
      <c r="K355" s="3">
        <v>1</v>
      </c>
      <c r="L355" s="3">
        <v>12</v>
      </c>
      <c r="M355" s="3">
        <v>11700</v>
      </c>
      <c r="N355" s="3">
        <v>140.4</v>
      </c>
      <c r="O355" s="3">
        <v>2</v>
      </c>
      <c r="P355" s="3">
        <v>280.8</v>
      </c>
      <c r="Q355" s="3">
        <v>11700</v>
      </c>
    </row>
    <row r="356" spans="1:17" ht="24.95" hidden="1" customHeight="1" x14ac:dyDescent="0.25">
      <c r="A356" s="3">
        <v>2</v>
      </c>
      <c r="B356" s="3" t="s">
        <v>393</v>
      </c>
      <c r="C356" s="3" t="s">
        <v>824</v>
      </c>
      <c r="I356" s="3">
        <v>18</v>
      </c>
      <c r="J356" s="3">
        <v>12</v>
      </c>
      <c r="K356" s="3">
        <v>1</v>
      </c>
      <c r="L356" s="3">
        <v>12</v>
      </c>
      <c r="M356" s="3">
        <v>1020</v>
      </c>
      <c r="N356" s="3">
        <v>12.24</v>
      </c>
      <c r="O356" s="3">
        <v>2</v>
      </c>
      <c r="P356" s="3">
        <v>24.48</v>
      </c>
      <c r="Q356" s="3">
        <v>1020</v>
      </c>
    </row>
    <row r="357" spans="1:17" ht="24.95" hidden="1" customHeight="1" x14ac:dyDescent="0.25">
      <c r="A357" s="3">
        <v>2</v>
      </c>
      <c r="B357" s="3" t="s">
        <v>393</v>
      </c>
      <c r="C357" s="3" t="s">
        <v>825</v>
      </c>
      <c r="I357" s="3">
        <v>14</v>
      </c>
      <c r="J357" s="3">
        <v>372</v>
      </c>
      <c r="K357" s="3">
        <v>1</v>
      </c>
      <c r="L357" s="3">
        <v>372</v>
      </c>
      <c r="M357" s="3">
        <v>3370</v>
      </c>
      <c r="N357" s="3">
        <v>1253.6400000000001</v>
      </c>
      <c r="O357" s="3">
        <v>1.21</v>
      </c>
      <c r="P357" s="3">
        <v>1516.9044000000001</v>
      </c>
      <c r="Q357" s="3">
        <v>3370</v>
      </c>
    </row>
    <row r="358" spans="1:17" ht="24.95" hidden="1" customHeight="1" x14ac:dyDescent="0.25">
      <c r="A358" s="3">
        <v>2</v>
      </c>
      <c r="B358" s="3" t="s">
        <v>393</v>
      </c>
      <c r="C358" s="3" t="s">
        <v>826</v>
      </c>
      <c r="I358" s="3">
        <v>32</v>
      </c>
      <c r="J358" s="3">
        <v>26</v>
      </c>
      <c r="K358" s="3">
        <v>1</v>
      </c>
      <c r="L358" s="3">
        <v>26</v>
      </c>
      <c r="M358" s="3">
        <v>3090</v>
      </c>
      <c r="N358" s="3">
        <v>80.34</v>
      </c>
      <c r="O358" s="3">
        <v>6.31</v>
      </c>
      <c r="P358" s="3">
        <v>506.94540000000001</v>
      </c>
      <c r="Q358" s="3">
        <v>3090</v>
      </c>
    </row>
    <row r="359" spans="1:17" ht="24.95" hidden="1" customHeight="1" x14ac:dyDescent="0.25">
      <c r="A359" s="3">
        <v>2</v>
      </c>
      <c r="B359" s="3" t="s">
        <v>393</v>
      </c>
      <c r="C359" s="3" t="s">
        <v>827</v>
      </c>
      <c r="I359" s="3">
        <v>14</v>
      </c>
      <c r="J359" s="3">
        <v>54</v>
      </c>
      <c r="K359" s="3">
        <v>1</v>
      </c>
      <c r="L359" s="3">
        <v>54</v>
      </c>
      <c r="M359" s="3">
        <v>11700</v>
      </c>
      <c r="N359" s="3">
        <v>631.79999999999995</v>
      </c>
      <c r="O359" s="3">
        <v>1.21</v>
      </c>
      <c r="P359" s="3">
        <v>764.47799999999995</v>
      </c>
      <c r="Q359" s="3">
        <v>11700</v>
      </c>
    </row>
    <row r="360" spans="1:17" ht="24.95" hidden="1" customHeight="1" x14ac:dyDescent="0.25">
      <c r="A360" s="3">
        <v>2</v>
      </c>
      <c r="B360" s="3" t="s">
        <v>393</v>
      </c>
      <c r="C360" s="3" t="s">
        <v>828</v>
      </c>
      <c r="I360" s="3">
        <v>14</v>
      </c>
      <c r="J360" s="3">
        <v>54</v>
      </c>
      <c r="K360" s="3">
        <v>1</v>
      </c>
      <c r="L360" s="3">
        <v>54</v>
      </c>
      <c r="M360" s="3">
        <v>11700</v>
      </c>
      <c r="N360" s="3">
        <v>631.79999999999995</v>
      </c>
      <c r="O360" s="3">
        <v>1.21</v>
      </c>
      <c r="P360" s="3">
        <v>764.47799999999995</v>
      </c>
      <c r="Q360" s="3">
        <v>11700</v>
      </c>
    </row>
    <row r="361" spans="1:17" ht="24.95" hidden="1" customHeight="1" x14ac:dyDescent="0.25">
      <c r="A361" s="3">
        <v>2</v>
      </c>
      <c r="B361" s="3" t="s">
        <v>394</v>
      </c>
      <c r="C361" s="3" t="s">
        <v>829</v>
      </c>
      <c r="I361" s="3">
        <v>32</v>
      </c>
      <c r="J361" s="3">
        <v>13</v>
      </c>
      <c r="K361" s="3">
        <v>1</v>
      </c>
      <c r="L361" s="3">
        <v>13</v>
      </c>
      <c r="M361" s="3">
        <v>9000</v>
      </c>
      <c r="N361" s="3">
        <v>117</v>
      </c>
      <c r="O361" s="3">
        <v>6.31</v>
      </c>
      <c r="P361" s="3">
        <v>738.27</v>
      </c>
      <c r="Q361" s="3">
        <v>9000</v>
      </c>
    </row>
    <row r="362" spans="1:17" ht="24.95" hidden="1" customHeight="1" x14ac:dyDescent="0.25">
      <c r="A362" s="3">
        <v>2</v>
      </c>
      <c r="B362" s="3" t="s">
        <v>394</v>
      </c>
      <c r="C362" s="3" t="s">
        <v>830</v>
      </c>
      <c r="I362" s="3">
        <v>32</v>
      </c>
      <c r="J362" s="3">
        <v>13</v>
      </c>
      <c r="K362" s="3">
        <v>1</v>
      </c>
      <c r="L362" s="3">
        <v>13</v>
      </c>
      <c r="M362" s="3">
        <v>11700</v>
      </c>
      <c r="N362" s="3">
        <v>152.1</v>
      </c>
      <c r="O362" s="3">
        <v>6.31</v>
      </c>
      <c r="P362" s="3">
        <v>959.75099999999986</v>
      </c>
      <c r="Q362" s="3">
        <v>11700</v>
      </c>
    </row>
    <row r="363" spans="1:17" ht="24.95" hidden="1" customHeight="1" x14ac:dyDescent="0.25">
      <c r="A363" s="3">
        <v>2</v>
      </c>
      <c r="B363" s="3" t="s">
        <v>394</v>
      </c>
      <c r="C363" s="3" t="s">
        <v>831</v>
      </c>
      <c r="I363" s="3">
        <v>32</v>
      </c>
      <c r="J363" s="3">
        <v>2</v>
      </c>
      <c r="K363" s="3">
        <v>1</v>
      </c>
      <c r="L363" s="3">
        <v>2</v>
      </c>
      <c r="M363" s="3">
        <v>4250</v>
      </c>
      <c r="N363" s="3">
        <v>8.5</v>
      </c>
      <c r="O363" s="3">
        <v>6.31</v>
      </c>
      <c r="P363" s="3">
        <v>53.634999999999998</v>
      </c>
      <c r="Q363" s="3">
        <v>4250</v>
      </c>
    </row>
    <row r="364" spans="1:17" ht="24.95" hidden="1" customHeight="1" x14ac:dyDescent="0.25">
      <c r="A364" s="3">
        <v>2</v>
      </c>
      <c r="B364" s="3" t="s">
        <v>394</v>
      </c>
      <c r="C364" s="3" t="s">
        <v>832</v>
      </c>
      <c r="I364" s="3">
        <v>32</v>
      </c>
      <c r="J364" s="3">
        <v>12</v>
      </c>
      <c r="K364" s="3">
        <v>1</v>
      </c>
      <c r="L364" s="3">
        <v>12</v>
      </c>
      <c r="M364" s="3">
        <v>11700</v>
      </c>
      <c r="N364" s="3">
        <v>140.4</v>
      </c>
      <c r="O364" s="3">
        <v>6.31</v>
      </c>
      <c r="P364" s="3">
        <v>885.92399999999998</v>
      </c>
      <c r="Q364" s="3">
        <v>11700</v>
      </c>
    </row>
    <row r="365" spans="1:17" ht="24.95" hidden="1" customHeight="1" x14ac:dyDescent="0.25">
      <c r="A365" s="3">
        <v>2</v>
      </c>
      <c r="B365" s="3" t="s">
        <v>394</v>
      </c>
      <c r="C365" s="3" t="s">
        <v>833</v>
      </c>
      <c r="I365" s="3">
        <v>32</v>
      </c>
      <c r="J365" s="3">
        <v>10</v>
      </c>
      <c r="K365" s="3">
        <v>1</v>
      </c>
      <c r="L365" s="3">
        <v>10</v>
      </c>
      <c r="M365" s="3">
        <v>11000</v>
      </c>
      <c r="N365" s="3">
        <v>110</v>
      </c>
      <c r="O365" s="3">
        <v>6.31</v>
      </c>
      <c r="P365" s="3">
        <v>694.09999999999991</v>
      </c>
      <c r="Q365" s="3">
        <v>11000</v>
      </c>
    </row>
    <row r="366" spans="1:17" ht="24.95" hidden="1" customHeight="1" x14ac:dyDescent="0.25">
      <c r="A366" s="3">
        <v>2</v>
      </c>
      <c r="B366" s="3" t="s">
        <v>394</v>
      </c>
      <c r="C366" s="3" t="s">
        <v>834</v>
      </c>
      <c r="I366" s="3">
        <v>32</v>
      </c>
      <c r="J366" s="3">
        <v>2</v>
      </c>
      <c r="K366" s="3">
        <v>1</v>
      </c>
      <c r="L366" s="3">
        <v>2</v>
      </c>
      <c r="M366" s="3">
        <v>7450</v>
      </c>
      <c r="N366" s="3">
        <v>14.9</v>
      </c>
      <c r="O366" s="3">
        <v>6.31</v>
      </c>
      <c r="P366" s="3">
        <v>94.018999999999991</v>
      </c>
      <c r="Q366" s="3">
        <v>7450</v>
      </c>
    </row>
    <row r="367" spans="1:17" ht="24.95" hidden="1" customHeight="1" x14ac:dyDescent="0.25">
      <c r="A367" s="3">
        <v>2</v>
      </c>
      <c r="B367" s="3" t="s">
        <v>394</v>
      </c>
      <c r="C367" s="3" t="s">
        <v>835</v>
      </c>
      <c r="I367" s="3">
        <v>32</v>
      </c>
      <c r="J367" s="3">
        <v>2</v>
      </c>
      <c r="K367" s="3">
        <v>1</v>
      </c>
      <c r="L367" s="3">
        <v>2</v>
      </c>
      <c r="M367" s="3">
        <v>5850</v>
      </c>
      <c r="N367" s="3">
        <v>11.7</v>
      </c>
      <c r="O367" s="3">
        <v>6.31</v>
      </c>
      <c r="P367" s="3">
        <v>73.826999999999984</v>
      </c>
      <c r="Q367" s="3">
        <v>5850</v>
      </c>
    </row>
    <row r="368" spans="1:17" ht="24.95" hidden="1" customHeight="1" x14ac:dyDescent="0.25">
      <c r="A368" s="3">
        <v>2</v>
      </c>
      <c r="B368" s="3" t="s">
        <v>394</v>
      </c>
      <c r="C368" s="3" t="s">
        <v>836</v>
      </c>
      <c r="I368" s="3">
        <v>32</v>
      </c>
      <c r="J368" s="3">
        <v>13</v>
      </c>
      <c r="K368" s="3">
        <v>1</v>
      </c>
      <c r="L368" s="3">
        <v>13</v>
      </c>
      <c r="M368" s="3">
        <v>9000</v>
      </c>
      <c r="N368" s="3">
        <v>117</v>
      </c>
      <c r="O368" s="3">
        <v>6.31</v>
      </c>
      <c r="P368" s="3">
        <v>738.27</v>
      </c>
      <c r="Q368" s="3">
        <v>9000</v>
      </c>
    </row>
    <row r="369" spans="1:17" ht="24.95" hidden="1" customHeight="1" x14ac:dyDescent="0.25">
      <c r="A369" s="3">
        <v>2</v>
      </c>
      <c r="B369" s="3" t="s">
        <v>394</v>
      </c>
      <c r="C369" s="3" t="s">
        <v>837</v>
      </c>
      <c r="I369" s="3">
        <v>32</v>
      </c>
      <c r="J369" s="3">
        <v>13</v>
      </c>
      <c r="K369" s="3">
        <v>1</v>
      </c>
      <c r="L369" s="3">
        <v>13</v>
      </c>
      <c r="M369" s="3">
        <v>6360</v>
      </c>
      <c r="N369" s="3">
        <v>82.68</v>
      </c>
      <c r="O369" s="3">
        <v>6.31</v>
      </c>
      <c r="P369" s="3">
        <v>521.71080000000006</v>
      </c>
      <c r="Q369" s="3">
        <v>6360</v>
      </c>
    </row>
    <row r="370" spans="1:17" ht="24.95" hidden="1" customHeight="1" x14ac:dyDescent="0.25">
      <c r="A370" s="3">
        <v>2</v>
      </c>
      <c r="B370" s="3" t="s">
        <v>394</v>
      </c>
      <c r="C370" s="3" t="s">
        <v>838</v>
      </c>
      <c r="I370" s="3">
        <v>32</v>
      </c>
      <c r="J370" s="3">
        <v>12</v>
      </c>
      <c r="K370" s="3">
        <v>1</v>
      </c>
      <c r="L370" s="3">
        <v>12</v>
      </c>
      <c r="M370" s="3">
        <v>3690</v>
      </c>
      <c r="N370" s="3">
        <v>44.28</v>
      </c>
      <c r="O370" s="3">
        <v>6.31</v>
      </c>
      <c r="P370" s="3">
        <v>279.40679999999998</v>
      </c>
      <c r="Q370" s="3">
        <v>3690</v>
      </c>
    </row>
    <row r="371" spans="1:17" ht="24.95" hidden="1" customHeight="1" x14ac:dyDescent="0.25">
      <c r="A371" s="3">
        <v>2</v>
      </c>
      <c r="B371" s="3" t="s">
        <v>394</v>
      </c>
      <c r="C371" s="3" t="s">
        <v>839</v>
      </c>
      <c r="I371" s="3">
        <v>32</v>
      </c>
      <c r="J371" s="3">
        <v>12</v>
      </c>
      <c r="K371" s="3">
        <v>1</v>
      </c>
      <c r="L371" s="3">
        <v>12</v>
      </c>
      <c r="M371" s="3">
        <v>11700</v>
      </c>
      <c r="N371" s="3">
        <v>140.4</v>
      </c>
      <c r="O371" s="3">
        <v>6.31</v>
      </c>
      <c r="P371" s="3">
        <v>885.92399999999998</v>
      </c>
      <c r="Q371" s="3">
        <v>11700</v>
      </c>
    </row>
    <row r="372" spans="1:17" ht="24.95" hidden="1" customHeight="1" x14ac:dyDescent="0.25">
      <c r="A372" s="3">
        <v>2</v>
      </c>
      <c r="B372" s="3" t="s">
        <v>394</v>
      </c>
      <c r="C372" s="3" t="s">
        <v>840</v>
      </c>
      <c r="I372" s="3">
        <v>32</v>
      </c>
      <c r="J372" s="3">
        <v>12</v>
      </c>
      <c r="K372" s="3">
        <v>1</v>
      </c>
      <c r="L372" s="3">
        <v>12</v>
      </c>
      <c r="M372" s="3">
        <v>10000</v>
      </c>
      <c r="N372" s="3">
        <v>120</v>
      </c>
      <c r="O372" s="3">
        <v>6.31</v>
      </c>
      <c r="P372" s="3">
        <v>757.19999999999993</v>
      </c>
      <c r="Q372" s="3">
        <v>10000</v>
      </c>
    </row>
    <row r="373" spans="1:17" ht="24.95" hidden="1" customHeight="1" x14ac:dyDescent="0.25">
      <c r="A373" s="3">
        <v>2</v>
      </c>
      <c r="B373" s="3" t="s">
        <v>394</v>
      </c>
      <c r="C373" s="3" t="s">
        <v>841</v>
      </c>
      <c r="I373" s="3">
        <v>32</v>
      </c>
      <c r="J373" s="3">
        <v>12</v>
      </c>
      <c r="K373" s="3">
        <v>1</v>
      </c>
      <c r="L373" s="3">
        <v>12</v>
      </c>
      <c r="M373" s="3">
        <v>5340</v>
      </c>
      <c r="N373" s="3">
        <v>64.08</v>
      </c>
      <c r="O373" s="3">
        <v>6.31</v>
      </c>
      <c r="P373" s="3">
        <v>404.34479999999996</v>
      </c>
      <c r="Q373" s="3">
        <v>5340</v>
      </c>
    </row>
    <row r="374" spans="1:17" ht="24.95" hidden="1" customHeight="1" x14ac:dyDescent="0.25">
      <c r="A374" s="3">
        <v>2</v>
      </c>
      <c r="B374" s="3" t="s">
        <v>394</v>
      </c>
      <c r="C374" s="3" t="s">
        <v>842</v>
      </c>
      <c r="I374" s="3">
        <v>32</v>
      </c>
      <c r="J374" s="3">
        <v>13</v>
      </c>
      <c r="K374" s="3">
        <v>1</v>
      </c>
      <c r="L374" s="3">
        <v>13</v>
      </c>
      <c r="M374" s="3">
        <v>11700</v>
      </c>
      <c r="N374" s="3">
        <v>152.1</v>
      </c>
      <c r="O374" s="3">
        <v>6.31</v>
      </c>
      <c r="P374" s="3">
        <v>959.75099999999986</v>
      </c>
      <c r="Q374" s="3">
        <v>11700</v>
      </c>
    </row>
    <row r="375" spans="1:17" ht="24.95" hidden="1" customHeight="1" x14ac:dyDescent="0.25">
      <c r="A375" s="3">
        <v>2</v>
      </c>
      <c r="B375" s="3" t="s">
        <v>394</v>
      </c>
      <c r="C375" s="3" t="s">
        <v>843</v>
      </c>
      <c r="I375" s="3">
        <v>32</v>
      </c>
      <c r="J375" s="3">
        <v>13</v>
      </c>
      <c r="K375" s="3">
        <v>1</v>
      </c>
      <c r="L375" s="3">
        <v>13</v>
      </c>
      <c r="M375" s="3">
        <v>3640</v>
      </c>
      <c r="N375" s="3">
        <v>47.32</v>
      </c>
      <c r="O375" s="3">
        <v>6.31</v>
      </c>
      <c r="P375" s="3">
        <v>298.58920000000001</v>
      </c>
      <c r="Q375" s="3">
        <v>3640</v>
      </c>
    </row>
    <row r="376" spans="1:17" ht="24.95" hidden="1" customHeight="1" x14ac:dyDescent="0.25">
      <c r="A376" s="3">
        <v>2</v>
      </c>
      <c r="B376" s="3" t="s">
        <v>394</v>
      </c>
      <c r="C376" s="3" t="s">
        <v>844</v>
      </c>
      <c r="I376" s="3">
        <v>32</v>
      </c>
      <c r="J376" s="3">
        <v>13</v>
      </c>
      <c r="K376" s="3">
        <v>1</v>
      </c>
      <c r="L376" s="3">
        <v>13</v>
      </c>
      <c r="M376" s="3">
        <v>6350</v>
      </c>
      <c r="N376" s="3">
        <v>82.55</v>
      </c>
      <c r="O376" s="3">
        <v>6.31</v>
      </c>
      <c r="P376" s="3">
        <v>520.89049999999997</v>
      </c>
      <c r="Q376" s="3">
        <v>6350</v>
      </c>
    </row>
    <row r="377" spans="1:17" ht="24.95" hidden="1" customHeight="1" x14ac:dyDescent="0.25">
      <c r="A377" s="3">
        <v>2</v>
      </c>
      <c r="B377" s="3" t="s">
        <v>394</v>
      </c>
      <c r="C377" s="3" t="s">
        <v>845</v>
      </c>
      <c r="I377" s="3">
        <v>32</v>
      </c>
      <c r="J377" s="3">
        <v>13</v>
      </c>
      <c r="K377" s="3">
        <v>1</v>
      </c>
      <c r="L377" s="3">
        <v>13</v>
      </c>
      <c r="M377" s="3">
        <v>7940</v>
      </c>
      <c r="N377" s="3">
        <v>103.22</v>
      </c>
      <c r="O377" s="3">
        <v>6.31</v>
      </c>
      <c r="P377" s="3">
        <v>651.31819999999993</v>
      </c>
      <c r="Q377" s="3">
        <v>7940</v>
      </c>
    </row>
    <row r="378" spans="1:17" ht="24.95" hidden="1" customHeight="1" x14ac:dyDescent="0.25">
      <c r="A378" s="3">
        <v>2</v>
      </c>
      <c r="B378" s="3" t="s">
        <v>394</v>
      </c>
      <c r="C378" s="3" t="s">
        <v>846</v>
      </c>
      <c r="I378" s="3">
        <v>32</v>
      </c>
      <c r="J378" s="3">
        <v>2</v>
      </c>
      <c r="K378" s="3">
        <v>1</v>
      </c>
      <c r="L378" s="3">
        <v>2</v>
      </c>
      <c r="M378" s="3">
        <v>11000</v>
      </c>
      <c r="N378" s="3">
        <v>22</v>
      </c>
      <c r="O378" s="3">
        <v>6.31</v>
      </c>
      <c r="P378" s="3">
        <v>138.82</v>
      </c>
      <c r="Q378" s="3">
        <v>11000</v>
      </c>
    </row>
    <row r="379" spans="1:17" ht="24.95" hidden="1" customHeight="1" x14ac:dyDescent="0.25">
      <c r="A379" s="3">
        <v>2</v>
      </c>
      <c r="B379" s="3" t="s">
        <v>394</v>
      </c>
      <c r="C379" s="3" t="s">
        <v>847</v>
      </c>
      <c r="I379" s="3">
        <v>32</v>
      </c>
      <c r="J379" s="3">
        <v>12</v>
      </c>
      <c r="K379" s="3">
        <v>1</v>
      </c>
      <c r="L379" s="3">
        <v>12</v>
      </c>
      <c r="M379" s="3">
        <v>4590</v>
      </c>
      <c r="N379" s="3">
        <v>55.08</v>
      </c>
      <c r="O379" s="3">
        <v>6.31</v>
      </c>
      <c r="P379" s="3">
        <v>347.55479999999994</v>
      </c>
      <c r="Q379" s="3">
        <v>4590</v>
      </c>
    </row>
    <row r="380" spans="1:17" ht="24.95" hidden="1" customHeight="1" x14ac:dyDescent="0.25">
      <c r="A380" s="3">
        <v>2</v>
      </c>
      <c r="B380" s="3" t="s">
        <v>394</v>
      </c>
      <c r="C380" s="3" t="s">
        <v>848</v>
      </c>
      <c r="I380" s="3">
        <v>32</v>
      </c>
      <c r="J380" s="3">
        <v>12</v>
      </c>
      <c r="K380" s="3">
        <v>1</v>
      </c>
      <c r="L380" s="3">
        <v>12</v>
      </c>
      <c r="M380" s="3">
        <v>11700</v>
      </c>
      <c r="N380" s="3">
        <v>140.4</v>
      </c>
      <c r="O380" s="3">
        <v>6.31</v>
      </c>
      <c r="P380" s="3">
        <v>885.92399999999998</v>
      </c>
      <c r="Q380" s="3">
        <v>11700</v>
      </c>
    </row>
    <row r="381" spans="1:17" ht="24.95" hidden="1" customHeight="1" x14ac:dyDescent="0.25">
      <c r="A381" s="3">
        <v>2</v>
      </c>
      <c r="B381" s="3" t="s">
        <v>394</v>
      </c>
      <c r="C381" s="3" t="s">
        <v>849</v>
      </c>
      <c r="I381" s="3">
        <v>32</v>
      </c>
      <c r="J381" s="3">
        <v>2</v>
      </c>
      <c r="K381" s="3">
        <v>1</v>
      </c>
      <c r="L381" s="3">
        <v>2</v>
      </c>
      <c r="M381" s="3">
        <v>9000</v>
      </c>
      <c r="N381" s="3">
        <v>18</v>
      </c>
      <c r="O381" s="3">
        <v>6.31</v>
      </c>
      <c r="P381" s="3">
        <v>113.58</v>
      </c>
      <c r="Q381" s="3">
        <v>9000</v>
      </c>
    </row>
    <row r="382" spans="1:17" ht="24.95" hidden="1" customHeight="1" x14ac:dyDescent="0.25">
      <c r="A382" s="3">
        <v>2</v>
      </c>
      <c r="B382" s="3" t="s">
        <v>394</v>
      </c>
      <c r="C382" s="3" t="s">
        <v>850</v>
      </c>
      <c r="I382" s="3">
        <v>32</v>
      </c>
      <c r="J382" s="3">
        <v>10</v>
      </c>
      <c r="K382" s="3">
        <v>1</v>
      </c>
      <c r="L382" s="3">
        <v>10</v>
      </c>
      <c r="M382" s="3">
        <v>10760</v>
      </c>
      <c r="N382" s="3">
        <v>107.6</v>
      </c>
      <c r="O382" s="3">
        <v>6.31</v>
      </c>
      <c r="P382" s="3">
        <v>678.9559999999999</v>
      </c>
      <c r="Q382" s="3">
        <v>10760</v>
      </c>
    </row>
    <row r="383" spans="1:17" ht="24.95" hidden="1" customHeight="1" x14ac:dyDescent="0.25">
      <c r="A383" s="3">
        <v>2</v>
      </c>
      <c r="B383" s="3" t="s">
        <v>394</v>
      </c>
      <c r="C383" s="3" t="s">
        <v>851</v>
      </c>
      <c r="I383" s="3">
        <v>32</v>
      </c>
      <c r="J383" s="3">
        <v>11</v>
      </c>
      <c r="K383" s="3">
        <v>1</v>
      </c>
      <c r="L383" s="3">
        <v>11</v>
      </c>
      <c r="M383" s="3">
        <v>11000</v>
      </c>
      <c r="N383" s="3">
        <v>121</v>
      </c>
      <c r="O383" s="3">
        <v>6.31</v>
      </c>
      <c r="P383" s="3">
        <v>763.51</v>
      </c>
      <c r="Q383" s="3">
        <v>11000</v>
      </c>
    </row>
    <row r="384" spans="1:17" ht="24.95" hidden="1" customHeight="1" x14ac:dyDescent="0.25">
      <c r="A384" s="3">
        <v>2</v>
      </c>
      <c r="B384" s="3" t="s">
        <v>394</v>
      </c>
      <c r="C384" s="3" t="s">
        <v>852</v>
      </c>
      <c r="I384" s="3">
        <v>32</v>
      </c>
      <c r="J384" s="3">
        <v>11</v>
      </c>
      <c r="K384" s="3">
        <v>1</v>
      </c>
      <c r="L384" s="3">
        <v>11</v>
      </c>
      <c r="M384" s="3">
        <v>2970</v>
      </c>
      <c r="N384" s="3">
        <v>32.67</v>
      </c>
      <c r="O384" s="3">
        <v>6.31</v>
      </c>
      <c r="P384" s="3">
        <v>206.14769999999999</v>
      </c>
      <c r="Q384" s="3">
        <v>2970</v>
      </c>
    </row>
    <row r="385" spans="1:17" ht="24.95" hidden="1" customHeight="1" x14ac:dyDescent="0.25">
      <c r="A385" s="3">
        <v>2</v>
      </c>
      <c r="B385" s="3" t="s">
        <v>394</v>
      </c>
      <c r="C385" s="3" t="s">
        <v>853</v>
      </c>
      <c r="I385" s="3">
        <v>32</v>
      </c>
      <c r="J385" s="3">
        <v>19</v>
      </c>
      <c r="K385" s="3">
        <v>1</v>
      </c>
      <c r="L385" s="3">
        <v>19</v>
      </c>
      <c r="M385" s="3">
        <v>5250</v>
      </c>
      <c r="N385" s="3">
        <v>99.75</v>
      </c>
      <c r="O385" s="3">
        <v>6.31</v>
      </c>
      <c r="P385" s="3">
        <v>629.42250000000001</v>
      </c>
      <c r="Q385" s="3">
        <v>5250</v>
      </c>
    </row>
    <row r="386" spans="1:17" ht="24.95" hidden="1" customHeight="1" x14ac:dyDescent="0.25">
      <c r="A386" s="3">
        <v>2</v>
      </c>
      <c r="B386" s="3" t="s">
        <v>394</v>
      </c>
      <c r="C386" s="3" t="s">
        <v>854</v>
      </c>
      <c r="I386" s="3">
        <v>32</v>
      </c>
      <c r="J386" s="3">
        <v>25</v>
      </c>
      <c r="K386" s="3">
        <v>1</v>
      </c>
      <c r="L386" s="3">
        <v>25</v>
      </c>
      <c r="M386" s="3">
        <v>7300</v>
      </c>
      <c r="N386" s="3">
        <v>182.5</v>
      </c>
      <c r="O386" s="3">
        <v>6.31</v>
      </c>
      <c r="P386" s="3">
        <v>1151.5749999999998</v>
      </c>
      <c r="Q386" s="3">
        <v>7300</v>
      </c>
    </row>
    <row r="387" spans="1:17" ht="24.95" hidden="1" customHeight="1" x14ac:dyDescent="0.25">
      <c r="A387" s="3">
        <v>2</v>
      </c>
      <c r="B387" s="3" t="s">
        <v>394</v>
      </c>
      <c r="C387" s="3" t="s">
        <v>855</v>
      </c>
      <c r="I387" s="3">
        <v>32</v>
      </c>
      <c r="J387" s="3">
        <v>5</v>
      </c>
      <c r="K387" s="3">
        <v>1</v>
      </c>
      <c r="L387" s="3">
        <v>5</v>
      </c>
      <c r="M387" s="3">
        <v>7100</v>
      </c>
      <c r="N387" s="3">
        <v>35.5</v>
      </c>
      <c r="O387" s="3">
        <v>6.31</v>
      </c>
      <c r="P387" s="3">
        <v>224.005</v>
      </c>
      <c r="Q387" s="3">
        <v>7100</v>
      </c>
    </row>
    <row r="388" spans="1:17" ht="24.95" hidden="1" customHeight="1" x14ac:dyDescent="0.25">
      <c r="A388" s="3">
        <v>2</v>
      </c>
      <c r="B388" s="3" t="s">
        <v>394</v>
      </c>
      <c r="C388" s="3" t="s">
        <v>856</v>
      </c>
      <c r="I388" s="3">
        <v>14</v>
      </c>
      <c r="J388" s="3">
        <v>111</v>
      </c>
      <c r="K388" s="3">
        <v>1</v>
      </c>
      <c r="L388" s="3">
        <v>111</v>
      </c>
      <c r="M388" s="3">
        <v>8620</v>
      </c>
      <c r="N388" s="3">
        <v>956.82</v>
      </c>
      <c r="O388" s="3">
        <v>1.21</v>
      </c>
      <c r="P388" s="3">
        <v>1157.7522000000001</v>
      </c>
      <c r="Q388" s="3">
        <v>8620</v>
      </c>
    </row>
    <row r="389" spans="1:17" ht="24.95" hidden="1" customHeight="1" x14ac:dyDescent="0.25">
      <c r="A389" s="3">
        <v>2</v>
      </c>
      <c r="B389" s="3" t="s">
        <v>394</v>
      </c>
      <c r="C389" s="3" t="s">
        <v>857</v>
      </c>
      <c r="I389" s="3">
        <v>14</v>
      </c>
      <c r="J389" s="3">
        <v>111</v>
      </c>
      <c r="K389" s="3">
        <v>1</v>
      </c>
      <c r="L389" s="3">
        <v>111</v>
      </c>
      <c r="M389" s="3">
        <v>5100</v>
      </c>
      <c r="N389" s="3">
        <v>566.1</v>
      </c>
      <c r="O389" s="3">
        <v>1.21</v>
      </c>
      <c r="P389" s="3">
        <v>684.98099999999999</v>
      </c>
      <c r="Q389" s="3">
        <v>5100</v>
      </c>
    </row>
    <row r="390" spans="1:17" ht="24.95" hidden="1" customHeight="1" x14ac:dyDescent="0.25">
      <c r="A390" s="3">
        <v>2</v>
      </c>
      <c r="B390" s="3" t="s">
        <v>394</v>
      </c>
      <c r="C390" s="3" t="s">
        <v>858</v>
      </c>
      <c r="I390" s="3">
        <v>14</v>
      </c>
      <c r="J390" s="3">
        <v>1221</v>
      </c>
      <c r="K390" s="3">
        <v>1</v>
      </c>
      <c r="L390" s="3">
        <v>1221</v>
      </c>
      <c r="M390" s="3">
        <v>2670</v>
      </c>
      <c r="N390" s="3">
        <v>3260.07</v>
      </c>
      <c r="O390" s="3">
        <v>1.21</v>
      </c>
      <c r="P390" s="3">
        <v>3944.6847000000002</v>
      </c>
      <c r="Q390" s="3">
        <v>2670</v>
      </c>
    </row>
    <row r="391" spans="1:17" ht="24.95" hidden="1" customHeight="1" x14ac:dyDescent="0.25">
      <c r="A391" s="3">
        <v>2</v>
      </c>
      <c r="B391" s="3" t="s">
        <v>394</v>
      </c>
      <c r="C391" s="3" t="s">
        <v>859</v>
      </c>
      <c r="I391" s="3">
        <v>18</v>
      </c>
      <c r="J391" s="3">
        <v>6</v>
      </c>
      <c r="K391" s="3">
        <v>1</v>
      </c>
      <c r="L391" s="3">
        <v>6</v>
      </c>
      <c r="M391" s="3">
        <v>11700</v>
      </c>
      <c r="N391" s="3">
        <v>70.2</v>
      </c>
      <c r="O391" s="3">
        <v>2</v>
      </c>
      <c r="P391" s="3">
        <v>140.4</v>
      </c>
      <c r="Q391" s="3">
        <v>11700</v>
      </c>
    </row>
    <row r="392" spans="1:17" ht="24.95" hidden="1" customHeight="1" x14ac:dyDescent="0.25">
      <c r="A392" s="3">
        <v>2</v>
      </c>
      <c r="B392" s="3" t="s">
        <v>394</v>
      </c>
      <c r="C392" s="3" t="s">
        <v>860</v>
      </c>
      <c r="I392" s="3">
        <v>18</v>
      </c>
      <c r="J392" s="3">
        <v>3</v>
      </c>
      <c r="K392" s="3">
        <v>1</v>
      </c>
      <c r="L392" s="3">
        <v>3</v>
      </c>
      <c r="M392" s="3">
        <v>11700</v>
      </c>
      <c r="N392" s="3">
        <v>35.1</v>
      </c>
      <c r="O392" s="3">
        <v>2</v>
      </c>
      <c r="P392" s="3">
        <v>70.2</v>
      </c>
      <c r="Q392" s="3">
        <v>11700</v>
      </c>
    </row>
    <row r="393" spans="1:17" ht="24.95" hidden="1" customHeight="1" x14ac:dyDescent="0.25">
      <c r="A393" s="3">
        <v>2</v>
      </c>
      <c r="B393" s="3" t="s">
        <v>394</v>
      </c>
      <c r="C393" s="3" t="s">
        <v>861</v>
      </c>
      <c r="I393" s="3">
        <v>18</v>
      </c>
      <c r="J393" s="3">
        <v>6</v>
      </c>
      <c r="K393" s="3">
        <v>1</v>
      </c>
      <c r="L393" s="3">
        <v>6</v>
      </c>
      <c r="M393" s="3">
        <v>11700</v>
      </c>
      <c r="N393" s="3">
        <v>70.2</v>
      </c>
      <c r="O393" s="3">
        <v>2</v>
      </c>
      <c r="P393" s="3">
        <v>140.4</v>
      </c>
      <c r="Q393" s="3">
        <v>11700</v>
      </c>
    </row>
    <row r="394" spans="1:17" ht="24.95" hidden="1" customHeight="1" x14ac:dyDescent="0.25">
      <c r="A394" s="3">
        <v>2</v>
      </c>
      <c r="B394" s="3" t="s">
        <v>394</v>
      </c>
      <c r="C394" s="3" t="s">
        <v>862</v>
      </c>
      <c r="I394" s="3">
        <v>18</v>
      </c>
      <c r="J394" s="3">
        <v>3</v>
      </c>
      <c r="K394" s="3">
        <v>1</v>
      </c>
      <c r="L394" s="3">
        <v>3</v>
      </c>
      <c r="M394" s="3">
        <v>6530</v>
      </c>
      <c r="N394" s="3">
        <v>19.59</v>
      </c>
      <c r="O394" s="3">
        <v>2</v>
      </c>
      <c r="P394" s="3">
        <v>39.18</v>
      </c>
      <c r="Q394" s="3">
        <v>6530</v>
      </c>
    </row>
    <row r="395" spans="1:17" ht="24.95" hidden="1" customHeight="1" x14ac:dyDescent="0.25">
      <c r="A395" s="3">
        <v>2</v>
      </c>
      <c r="B395" s="3" t="s">
        <v>394</v>
      </c>
      <c r="C395" s="3" t="s">
        <v>863</v>
      </c>
      <c r="I395" s="3">
        <v>18</v>
      </c>
      <c r="J395" s="3">
        <v>3</v>
      </c>
      <c r="K395" s="3">
        <v>1</v>
      </c>
      <c r="L395" s="3">
        <v>3</v>
      </c>
      <c r="M395" s="3">
        <v>2990</v>
      </c>
      <c r="N395" s="3">
        <v>8.9700000000000006</v>
      </c>
      <c r="O395" s="3">
        <v>2</v>
      </c>
      <c r="P395" s="3">
        <v>17.940000000000001</v>
      </c>
      <c r="Q395" s="3">
        <v>2990</v>
      </c>
    </row>
    <row r="396" spans="1:17" ht="24.95" hidden="1" customHeight="1" x14ac:dyDescent="0.25">
      <c r="A396" s="3">
        <v>2</v>
      </c>
      <c r="B396" s="3" t="s">
        <v>394</v>
      </c>
      <c r="C396" s="3" t="s">
        <v>864</v>
      </c>
      <c r="I396" s="3">
        <v>18</v>
      </c>
      <c r="J396" s="3">
        <v>3</v>
      </c>
      <c r="K396" s="3">
        <v>1</v>
      </c>
      <c r="L396" s="3">
        <v>3</v>
      </c>
      <c r="M396" s="3">
        <v>8710</v>
      </c>
      <c r="N396" s="3">
        <v>26.13</v>
      </c>
      <c r="O396" s="3">
        <v>2</v>
      </c>
      <c r="P396" s="3">
        <v>52.26</v>
      </c>
      <c r="Q396" s="3">
        <v>8710</v>
      </c>
    </row>
    <row r="397" spans="1:17" ht="24.95" hidden="1" customHeight="1" x14ac:dyDescent="0.25">
      <c r="A397" s="3">
        <v>2</v>
      </c>
      <c r="B397" s="3" t="s">
        <v>394</v>
      </c>
      <c r="C397" s="3" t="s">
        <v>865</v>
      </c>
      <c r="I397" s="3">
        <v>18</v>
      </c>
      <c r="J397" s="3">
        <v>3</v>
      </c>
      <c r="K397" s="3">
        <v>1</v>
      </c>
      <c r="L397" s="3">
        <v>3</v>
      </c>
      <c r="M397" s="3">
        <v>5170</v>
      </c>
      <c r="N397" s="3">
        <v>15.51</v>
      </c>
      <c r="O397" s="3">
        <v>2</v>
      </c>
      <c r="P397" s="3">
        <v>31.02</v>
      </c>
      <c r="Q397" s="3">
        <v>5170</v>
      </c>
    </row>
    <row r="398" spans="1:17" ht="24.95" hidden="1" customHeight="1" x14ac:dyDescent="0.25">
      <c r="A398" s="3">
        <v>2</v>
      </c>
      <c r="B398" s="3" t="s">
        <v>394</v>
      </c>
      <c r="C398" s="3" t="s">
        <v>866</v>
      </c>
      <c r="I398" s="3">
        <v>14</v>
      </c>
      <c r="J398" s="3">
        <v>666</v>
      </c>
      <c r="K398" s="3">
        <v>1</v>
      </c>
      <c r="L398" s="3">
        <v>666</v>
      </c>
      <c r="M398" s="3">
        <v>4120</v>
      </c>
      <c r="N398" s="3">
        <v>2743.92</v>
      </c>
      <c r="O398" s="3">
        <v>1.21</v>
      </c>
      <c r="P398" s="3">
        <v>3320.1432</v>
      </c>
      <c r="Q398" s="3">
        <v>4120</v>
      </c>
    </row>
    <row r="399" spans="1:17" ht="24.95" hidden="1" customHeight="1" x14ac:dyDescent="0.25">
      <c r="A399" s="3">
        <v>2</v>
      </c>
      <c r="B399" s="3" t="s">
        <v>394</v>
      </c>
      <c r="C399" s="3" t="s">
        <v>867</v>
      </c>
      <c r="I399" s="3">
        <v>32</v>
      </c>
      <c r="J399" s="3">
        <v>22</v>
      </c>
      <c r="K399" s="3">
        <v>1</v>
      </c>
      <c r="L399" s="3">
        <v>22</v>
      </c>
      <c r="M399" s="3">
        <v>3840</v>
      </c>
      <c r="N399" s="3">
        <v>84.48</v>
      </c>
      <c r="O399" s="3">
        <v>6.31</v>
      </c>
      <c r="P399" s="3">
        <v>533.06880000000001</v>
      </c>
      <c r="Q399" s="3">
        <v>3840</v>
      </c>
    </row>
    <row r="400" spans="1:17" ht="24.95" hidden="1" customHeight="1" x14ac:dyDescent="0.25">
      <c r="A400" s="3">
        <v>2</v>
      </c>
      <c r="B400" s="3" t="s">
        <v>394</v>
      </c>
      <c r="C400" s="3" t="s">
        <v>868</v>
      </c>
      <c r="I400" s="3">
        <v>14</v>
      </c>
      <c r="J400" s="3">
        <v>33</v>
      </c>
      <c r="K400" s="3">
        <v>1</v>
      </c>
      <c r="L400" s="3">
        <v>33</v>
      </c>
      <c r="M400" s="3">
        <v>11700</v>
      </c>
      <c r="N400" s="3">
        <v>386.1</v>
      </c>
      <c r="O400" s="3">
        <v>1.21</v>
      </c>
      <c r="P400" s="3">
        <v>467.18100000000004</v>
      </c>
      <c r="Q400" s="3">
        <v>11700</v>
      </c>
    </row>
    <row r="401" spans="1:17" ht="24.95" hidden="1" customHeight="1" x14ac:dyDescent="0.25">
      <c r="A401" s="3">
        <v>2</v>
      </c>
      <c r="B401" s="3" t="s">
        <v>394</v>
      </c>
      <c r="C401" s="3" t="s">
        <v>869</v>
      </c>
      <c r="I401" s="3">
        <v>14</v>
      </c>
      <c r="J401" s="3">
        <v>27</v>
      </c>
      <c r="K401" s="3">
        <v>1</v>
      </c>
      <c r="L401" s="3">
        <v>27</v>
      </c>
      <c r="M401" s="3">
        <v>11700</v>
      </c>
      <c r="N401" s="3">
        <v>315.89999999999998</v>
      </c>
      <c r="O401" s="3">
        <v>1.21</v>
      </c>
      <c r="P401" s="3">
        <v>382.23899999999998</v>
      </c>
      <c r="Q401" s="3">
        <v>11700</v>
      </c>
    </row>
    <row r="402" spans="1:17" ht="24.95" hidden="1" customHeight="1" x14ac:dyDescent="0.25">
      <c r="A402" s="3">
        <v>2</v>
      </c>
      <c r="B402" s="3" t="s">
        <v>394</v>
      </c>
      <c r="C402" s="3" t="s">
        <v>870</v>
      </c>
      <c r="I402" s="3">
        <v>14</v>
      </c>
      <c r="J402" s="3">
        <v>33</v>
      </c>
      <c r="K402" s="3">
        <v>1</v>
      </c>
      <c r="L402" s="3">
        <v>33</v>
      </c>
      <c r="M402" s="3">
        <v>11700</v>
      </c>
      <c r="N402" s="3">
        <v>386.1</v>
      </c>
      <c r="O402" s="3">
        <v>1.21</v>
      </c>
      <c r="P402" s="3">
        <v>467.18100000000004</v>
      </c>
      <c r="Q402" s="3">
        <v>11700</v>
      </c>
    </row>
    <row r="403" spans="1:17" ht="24.95" hidden="1" customHeight="1" x14ac:dyDescent="0.25">
      <c r="A403" s="3">
        <v>2</v>
      </c>
      <c r="B403" s="3" t="s">
        <v>394</v>
      </c>
      <c r="C403" s="3" t="s">
        <v>871</v>
      </c>
      <c r="I403" s="3">
        <v>14</v>
      </c>
      <c r="J403" s="3">
        <v>6</v>
      </c>
      <c r="K403" s="3">
        <v>1</v>
      </c>
      <c r="L403" s="3">
        <v>6</v>
      </c>
      <c r="M403" s="3">
        <v>5990</v>
      </c>
      <c r="N403" s="3">
        <v>35.94</v>
      </c>
      <c r="O403" s="3">
        <v>1.21</v>
      </c>
      <c r="P403" s="3">
        <v>43.487399999999994</v>
      </c>
      <c r="Q403" s="3">
        <v>5990</v>
      </c>
    </row>
    <row r="404" spans="1:17" ht="24.95" hidden="1" customHeight="1" x14ac:dyDescent="0.25">
      <c r="A404" s="3">
        <v>2</v>
      </c>
      <c r="B404" s="3" t="s">
        <v>394</v>
      </c>
      <c r="C404" s="3" t="s">
        <v>872</v>
      </c>
      <c r="I404" s="3">
        <v>14</v>
      </c>
      <c r="J404" s="3">
        <v>6</v>
      </c>
      <c r="K404" s="3">
        <v>1</v>
      </c>
      <c r="L404" s="3">
        <v>6</v>
      </c>
      <c r="M404" s="3">
        <v>8530</v>
      </c>
      <c r="N404" s="3">
        <v>51.18</v>
      </c>
      <c r="O404" s="3">
        <v>1.21</v>
      </c>
      <c r="P404" s="3">
        <v>61.927799999999998</v>
      </c>
      <c r="Q404" s="3">
        <v>8530</v>
      </c>
    </row>
    <row r="405" spans="1:17" ht="24.95" hidden="1" customHeight="1" x14ac:dyDescent="0.25">
      <c r="A405" s="3">
        <v>2</v>
      </c>
      <c r="B405" s="3" t="s">
        <v>394</v>
      </c>
      <c r="C405" s="3" t="s">
        <v>873</v>
      </c>
      <c r="I405" s="3">
        <v>14</v>
      </c>
      <c r="J405" s="3">
        <v>27</v>
      </c>
      <c r="K405" s="3">
        <v>1</v>
      </c>
      <c r="L405" s="3">
        <v>27</v>
      </c>
      <c r="M405" s="3">
        <v>5850</v>
      </c>
      <c r="N405" s="3">
        <v>157.94999999999999</v>
      </c>
      <c r="O405" s="3">
        <v>1.21</v>
      </c>
      <c r="P405" s="3">
        <v>191.11949999999999</v>
      </c>
      <c r="Q405" s="3">
        <v>5850</v>
      </c>
    </row>
    <row r="406" spans="1:17" ht="24.95" hidden="1" customHeight="1" x14ac:dyDescent="0.25">
      <c r="A406" s="3">
        <v>2</v>
      </c>
      <c r="B406" s="3" t="s">
        <v>394</v>
      </c>
      <c r="C406" s="3" t="s">
        <v>874</v>
      </c>
      <c r="I406" s="3">
        <v>14</v>
      </c>
      <c r="J406" s="3">
        <v>6</v>
      </c>
      <c r="K406" s="3">
        <v>1</v>
      </c>
      <c r="L406" s="3">
        <v>6</v>
      </c>
      <c r="M406" s="3">
        <v>3170</v>
      </c>
      <c r="N406" s="3">
        <v>19.02</v>
      </c>
      <c r="O406" s="3">
        <v>1.21</v>
      </c>
      <c r="P406" s="3">
        <v>23.014199999999999</v>
      </c>
      <c r="Q406" s="3">
        <v>3170</v>
      </c>
    </row>
    <row r="407" spans="1:17" ht="24.95" hidden="1" customHeight="1" x14ac:dyDescent="0.25">
      <c r="A407" s="3">
        <v>2</v>
      </c>
      <c r="B407" s="3" t="s">
        <v>395</v>
      </c>
      <c r="C407" s="3" t="s">
        <v>875</v>
      </c>
      <c r="I407" s="3">
        <v>32</v>
      </c>
      <c r="J407" s="3">
        <v>11</v>
      </c>
      <c r="K407" s="3">
        <v>1</v>
      </c>
      <c r="L407" s="3">
        <v>11</v>
      </c>
      <c r="M407" s="3">
        <v>11000</v>
      </c>
      <c r="N407" s="3">
        <v>121</v>
      </c>
      <c r="O407" s="3">
        <v>6.31</v>
      </c>
      <c r="P407" s="3">
        <v>763.51</v>
      </c>
      <c r="Q407" s="3">
        <v>11000</v>
      </c>
    </row>
    <row r="408" spans="1:17" ht="24.95" hidden="1" customHeight="1" x14ac:dyDescent="0.25">
      <c r="A408" s="3">
        <v>2</v>
      </c>
      <c r="B408" s="3" t="s">
        <v>395</v>
      </c>
      <c r="C408" s="3" t="s">
        <v>876</v>
      </c>
      <c r="I408" s="3">
        <v>32</v>
      </c>
      <c r="J408" s="3">
        <v>11</v>
      </c>
      <c r="K408" s="3">
        <v>1</v>
      </c>
      <c r="L408" s="3">
        <v>11</v>
      </c>
      <c r="M408" s="3">
        <v>7095</v>
      </c>
      <c r="N408" s="3">
        <v>78.045000000000002</v>
      </c>
      <c r="O408" s="3">
        <v>6.31</v>
      </c>
      <c r="P408" s="3">
        <v>492.46394999999995</v>
      </c>
      <c r="Q408" s="3">
        <v>7095</v>
      </c>
    </row>
    <row r="409" spans="1:17" ht="24.95" hidden="1" customHeight="1" x14ac:dyDescent="0.25">
      <c r="A409" s="3">
        <v>2</v>
      </c>
      <c r="B409" s="3" t="s">
        <v>395</v>
      </c>
      <c r="C409" s="3" t="s">
        <v>877</v>
      </c>
      <c r="I409" s="3">
        <v>32</v>
      </c>
      <c r="J409" s="3">
        <v>11</v>
      </c>
      <c r="K409" s="3">
        <v>1</v>
      </c>
      <c r="L409" s="3">
        <v>11</v>
      </c>
      <c r="M409" s="3">
        <v>11700</v>
      </c>
      <c r="N409" s="3">
        <v>128.69999999999999</v>
      </c>
      <c r="O409" s="3">
        <v>6.31</v>
      </c>
      <c r="P409" s="3">
        <v>812.09699999999987</v>
      </c>
      <c r="Q409" s="3">
        <v>11700</v>
      </c>
    </row>
    <row r="410" spans="1:17" ht="24.95" hidden="1" customHeight="1" x14ac:dyDescent="0.25">
      <c r="A410" s="3">
        <v>2</v>
      </c>
      <c r="B410" s="3" t="s">
        <v>395</v>
      </c>
      <c r="C410" s="3" t="s">
        <v>878</v>
      </c>
      <c r="I410" s="3">
        <v>32</v>
      </c>
      <c r="J410" s="3">
        <v>10</v>
      </c>
      <c r="K410" s="3">
        <v>1</v>
      </c>
      <c r="L410" s="3">
        <v>10</v>
      </c>
      <c r="M410" s="3">
        <v>7120</v>
      </c>
      <c r="N410" s="3">
        <v>71.2</v>
      </c>
      <c r="O410" s="3">
        <v>6.31</v>
      </c>
      <c r="P410" s="3">
        <v>449.27199999999999</v>
      </c>
      <c r="Q410" s="3">
        <v>7120</v>
      </c>
    </row>
    <row r="411" spans="1:17" ht="24.95" hidden="1" customHeight="1" x14ac:dyDescent="0.25">
      <c r="A411" s="3">
        <v>2</v>
      </c>
      <c r="B411" s="3" t="s">
        <v>395</v>
      </c>
      <c r="C411" s="3" t="s">
        <v>879</v>
      </c>
      <c r="I411" s="3">
        <v>32</v>
      </c>
      <c r="J411" s="3">
        <v>10</v>
      </c>
      <c r="K411" s="3">
        <v>1</v>
      </c>
      <c r="L411" s="3">
        <v>10</v>
      </c>
      <c r="M411" s="3">
        <v>11700</v>
      </c>
      <c r="N411" s="3">
        <v>117</v>
      </c>
      <c r="O411" s="3">
        <v>6.31</v>
      </c>
      <c r="P411" s="3">
        <v>738.27</v>
      </c>
      <c r="Q411" s="3">
        <v>11700</v>
      </c>
    </row>
    <row r="412" spans="1:17" ht="24.95" hidden="1" customHeight="1" x14ac:dyDescent="0.25">
      <c r="A412" s="3">
        <v>2</v>
      </c>
      <c r="B412" s="3" t="s">
        <v>395</v>
      </c>
      <c r="C412" s="3" t="s">
        <v>880</v>
      </c>
      <c r="I412" s="3">
        <v>32</v>
      </c>
      <c r="J412" s="3">
        <v>10</v>
      </c>
      <c r="K412" s="3">
        <v>1</v>
      </c>
      <c r="L412" s="3">
        <v>10</v>
      </c>
      <c r="M412" s="3">
        <v>9000</v>
      </c>
      <c r="N412" s="3">
        <v>90</v>
      </c>
      <c r="O412" s="3">
        <v>6.31</v>
      </c>
      <c r="P412" s="3">
        <v>567.9</v>
      </c>
      <c r="Q412" s="3">
        <v>9000</v>
      </c>
    </row>
    <row r="413" spans="1:17" ht="24.95" hidden="1" customHeight="1" x14ac:dyDescent="0.25">
      <c r="A413" s="3">
        <v>2</v>
      </c>
      <c r="B413" s="3" t="s">
        <v>395</v>
      </c>
      <c r="C413" s="3" t="s">
        <v>881</v>
      </c>
      <c r="I413" s="3">
        <v>32</v>
      </c>
      <c r="J413" s="3">
        <v>2</v>
      </c>
      <c r="K413" s="3">
        <v>1</v>
      </c>
      <c r="L413" s="3">
        <v>2</v>
      </c>
      <c r="M413" s="3">
        <v>11350</v>
      </c>
      <c r="N413" s="3">
        <v>22.7</v>
      </c>
      <c r="O413" s="3">
        <v>6.31</v>
      </c>
      <c r="P413" s="3">
        <v>143.23699999999999</v>
      </c>
      <c r="Q413" s="3">
        <v>11350</v>
      </c>
    </row>
    <row r="414" spans="1:17" ht="24.95" hidden="1" customHeight="1" x14ac:dyDescent="0.25">
      <c r="A414" s="3">
        <v>2</v>
      </c>
      <c r="B414" s="3" t="s">
        <v>395</v>
      </c>
      <c r="C414" s="3" t="s">
        <v>882</v>
      </c>
      <c r="I414" s="3">
        <v>32</v>
      </c>
      <c r="J414" s="3">
        <v>5</v>
      </c>
      <c r="K414" s="3">
        <v>1</v>
      </c>
      <c r="L414" s="3">
        <v>5</v>
      </c>
      <c r="M414" s="3">
        <v>11700</v>
      </c>
      <c r="N414" s="3">
        <v>58.5</v>
      </c>
      <c r="O414" s="3">
        <v>6.31</v>
      </c>
      <c r="P414" s="3">
        <v>369.13499999999999</v>
      </c>
      <c r="Q414" s="3">
        <v>11700</v>
      </c>
    </row>
    <row r="415" spans="1:17" ht="24.95" hidden="1" customHeight="1" x14ac:dyDescent="0.25">
      <c r="A415" s="3">
        <v>2</v>
      </c>
      <c r="B415" s="3" t="s">
        <v>395</v>
      </c>
      <c r="C415" s="3" t="s">
        <v>883</v>
      </c>
      <c r="I415" s="3">
        <v>32</v>
      </c>
      <c r="J415" s="3">
        <v>5</v>
      </c>
      <c r="K415" s="3">
        <v>1</v>
      </c>
      <c r="L415" s="3">
        <v>5</v>
      </c>
      <c r="M415" s="3">
        <v>8730</v>
      </c>
      <c r="N415" s="3">
        <v>43.65</v>
      </c>
      <c r="O415" s="3">
        <v>6.31</v>
      </c>
      <c r="P415" s="3">
        <v>275.43149999999997</v>
      </c>
      <c r="Q415" s="3">
        <v>8730</v>
      </c>
    </row>
    <row r="416" spans="1:17" ht="24.95" hidden="1" customHeight="1" x14ac:dyDescent="0.25">
      <c r="A416" s="3">
        <v>2</v>
      </c>
      <c r="B416" s="3" t="s">
        <v>395</v>
      </c>
      <c r="C416" s="3" t="s">
        <v>884</v>
      </c>
      <c r="I416" s="3">
        <v>32</v>
      </c>
      <c r="J416" s="3">
        <v>5</v>
      </c>
      <c r="K416" s="3">
        <v>1</v>
      </c>
      <c r="L416" s="3">
        <v>5</v>
      </c>
      <c r="M416" s="3">
        <v>11700</v>
      </c>
      <c r="N416" s="3">
        <v>58.5</v>
      </c>
      <c r="O416" s="3">
        <v>6.31</v>
      </c>
      <c r="P416" s="3">
        <v>369.13499999999999</v>
      </c>
      <c r="Q416" s="3">
        <v>11700</v>
      </c>
    </row>
    <row r="417" spans="1:17" ht="24.95" hidden="1" customHeight="1" x14ac:dyDescent="0.25">
      <c r="A417" s="3">
        <v>2</v>
      </c>
      <c r="B417" s="3" t="s">
        <v>395</v>
      </c>
      <c r="C417" s="3" t="s">
        <v>885</v>
      </c>
      <c r="I417" s="3">
        <v>32</v>
      </c>
      <c r="J417" s="3">
        <v>5</v>
      </c>
      <c r="K417" s="3">
        <v>1</v>
      </c>
      <c r="L417" s="3">
        <v>5</v>
      </c>
      <c r="M417" s="3">
        <v>8730</v>
      </c>
      <c r="N417" s="3">
        <v>43.65</v>
      </c>
      <c r="O417" s="3">
        <v>6.31</v>
      </c>
      <c r="P417" s="3">
        <v>275.43149999999997</v>
      </c>
      <c r="Q417" s="3">
        <v>8730</v>
      </c>
    </row>
    <row r="418" spans="1:17" ht="24.95" hidden="1" customHeight="1" x14ac:dyDescent="0.25">
      <c r="A418" s="3">
        <v>2</v>
      </c>
      <c r="B418" s="3" t="s">
        <v>395</v>
      </c>
      <c r="C418" s="3" t="s">
        <v>886</v>
      </c>
      <c r="I418" s="3">
        <v>32</v>
      </c>
      <c r="J418" s="3">
        <v>11</v>
      </c>
      <c r="K418" s="3">
        <v>1</v>
      </c>
      <c r="L418" s="3">
        <v>11</v>
      </c>
      <c r="M418" s="3">
        <v>10190</v>
      </c>
      <c r="N418" s="3">
        <v>112.09</v>
      </c>
      <c r="O418" s="3">
        <v>6.31</v>
      </c>
      <c r="P418" s="3">
        <v>707.28789999999992</v>
      </c>
      <c r="Q418" s="3">
        <v>10190</v>
      </c>
    </row>
    <row r="419" spans="1:17" ht="24.95" hidden="1" customHeight="1" x14ac:dyDescent="0.25">
      <c r="A419" s="3">
        <v>2</v>
      </c>
      <c r="B419" s="3" t="s">
        <v>395</v>
      </c>
      <c r="C419" s="3" t="s">
        <v>887</v>
      </c>
      <c r="I419" s="3">
        <v>32</v>
      </c>
      <c r="J419" s="3">
        <v>11</v>
      </c>
      <c r="K419" s="3">
        <v>1</v>
      </c>
      <c r="L419" s="3">
        <v>11</v>
      </c>
      <c r="M419" s="3">
        <v>11610</v>
      </c>
      <c r="N419" s="3">
        <v>127.71</v>
      </c>
      <c r="O419" s="3">
        <v>6.31</v>
      </c>
      <c r="P419" s="3">
        <v>805.85009999999988</v>
      </c>
      <c r="Q419" s="3">
        <v>11610</v>
      </c>
    </row>
    <row r="420" spans="1:17" ht="24.95" hidden="1" customHeight="1" x14ac:dyDescent="0.25">
      <c r="A420" s="3">
        <v>2</v>
      </c>
      <c r="B420" s="3" t="s">
        <v>395</v>
      </c>
      <c r="C420" s="3" t="s">
        <v>888</v>
      </c>
      <c r="I420" s="3">
        <v>32</v>
      </c>
      <c r="J420" s="3">
        <v>11</v>
      </c>
      <c r="K420" s="3">
        <v>1</v>
      </c>
      <c r="L420" s="3">
        <v>11</v>
      </c>
      <c r="M420" s="3">
        <v>7800</v>
      </c>
      <c r="N420" s="3">
        <v>85.8</v>
      </c>
      <c r="O420" s="3">
        <v>6.31</v>
      </c>
      <c r="P420" s="3">
        <v>541.39799999999991</v>
      </c>
      <c r="Q420" s="3">
        <v>7800</v>
      </c>
    </row>
    <row r="421" spans="1:17" ht="24.95" hidden="1" customHeight="1" x14ac:dyDescent="0.25">
      <c r="A421" s="3">
        <v>2</v>
      </c>
      <c r="B421" s="3" t="s">
        <v>395</v>
      </c>
      <c r="C421" s="3" t="s">
        <v>889</v>
      </c>
      <c r="I421" s="3">
        <v>32</v>
      </c>
      <c r="J421" s="3">
        <v>11</v>
      </c>
      <c r="K421" s="3">
        <v>1</v>
      </c>
      <c r="L421" s="3">
        <v>11</v>
      </c>
      <c r="M421" s="3">
        <v>7480</v>
      </c>
      <c r="N421" s="3">
        <v>82.28</v>
      </c>
      <c r="O421" s="3">
        <v>6.31</v>
      </c>
      <c r="P421" s="3">
        <v>519.18679999999995</v>
      </c>
      <c r="Q421" s="3">
        <v>7480</v>
      </c>
    </row>
    <row r="422" spans="1:17" ht="24.95" hidden="1" customHeight="1" x14ac:dyDescent="0.25">
      <c r="A422" s="3">
        <v>2</v>
      </c>
      <c r="B422" s="3" t="s">
        <v>395</v>
      </c>
      <c r="C422" s="3" t="s">
        <v>890</v>
      </c>
      <c r="I422" s="3">
        <v>32</v>
      </c>
      <c r="J422" s="3">
        <v>10</v>
      </c>
      <c r="K422" s="3">
        <v>1</v>
      </c>
      <c r="L422" s="3">
        <v>10</v>
      </c>
      <c r="M422" s="3">
        <v>7900</v>
      </c>
      <c r="N422" s="3">
        <v>79</v>
      </c>
      <c r="O422" s="3">
        <v>6.31</v>
      </c>
      <c r="P422" s="3">
        <v>498.48999999999995</v>
      </c>
      <c r="Q422" s="3">
        <v>7900</v>
      </c>
    </row>
    <row r="423" spans="1:17" ht="24.95" hidden="1" customHeight="1" x14ac:dyDescent="0.25">
      <c r="A423" s="3">
        <v>2</v>
      </c>
      <c r="B423" s="3" t="s">
        <v>395</v>
      </c>
      <c r="C423" s="3" t="s">
        <v>891</v>
      </c>
      <c r="I423" s="3">
        <v>32</v>
      </c>
      <c r="J423" s="3">
        <v>10</v>
      </c>
      <c r="K423" s="3">
        <v>1</v>
      </c>
      <c r="L423" s="3">
        <v>10</v>
      </c>
      <c r="M423" s="3">
        <v>11700</v>
      </c>
      <c r="N423" s="3">
        <v>117</v>
      </c>
      <c r="O423" s="3">
        <v>6.31</v>
      </c>
      <c r="P423" s="3">
        <v>738.27</v>
      </c>
      <c r="Q423" s="3">
        <v>11700</v>
      </c>
    </row>
    <row r="424" spans="1:17" ht="24.95" hidden="1" customHeight="1" x14ac:dyDescent="0.25">
      <c r="A424" s="3">
        <v>2</v>
      </c>
      <c r="B424" s="3" t="s">
        <v>395</v>
      </c>
      <c r="C424" s="3" t="s">
        <v>892</v>
      </c>
      <c r="I424" s="3">
        <v>32</v>
      </c>
      <c r="J424" s="3">
        <v>10</v>
      </c>
      <c r="K424" s="3">
        <v>1</v>
      </c>
      <c r="L424" s="3">
        <v>10</v>
      </c>
      <c r="M424" s="3">
        <v>5530</v>
      </c>
      <c r="N424" s="3">
        <v>55.3</v>
      </c>
      <c r="O424" s="3">
        <v>6.31</v>
      </c>
      <c r="P424" s="3">
        <v>348.94299999999998</v>
      </c>
      <c r="Q424" s="3">
        <v>5530</v>
      </c>
    </row>
    <row r="425" spans="1:17" ht="24.95" hidden="1" customHeight="1" x14ac:dyDescent="0.25">
      <c r="A425" s="3">
        <v>2</v>
      </c>
      <c r="B425" s="3" t="s">
        <v>395</v>
      </c>
      <c r="C425" s="3" t="s">
        <v>893</v>
      </c>
      <c r="I425" s="3">
        <v>32</v>
      </c>
      <c r="J425" s="3">
        <v>7</v>
      </c>
      <c r="K425" s="3">
        <v>1</v>
      </c>
      <c r="L425" s="3">
        <v>7</v>
      </c>
      <c r="M425" s="3">
        <v>4450</v>
      </c>
      <c r="N425" s="3">
        <v>31.15</v>
      </c>
      <c r="O425" s="3">
        <v>6.31</v>
      </c>
      <c r="P425" s="3">
        <v>196.55649999999997</v>
      </c>
      <c r="Q425" s="3">
        <v>4450</v>
      </c>
    </row>
    <row r="426" spans="1:17" ht="24.95" hidden="1" customHeight="1" x14ac:dyDescent="0.25">
      <c r="A426" s="3">
        <v>2</v>
      </c>
      <c r="B426" s="3" t="s">
        <v>395</v>
      </c>
      <c r="C426" s="3" t="s">
        <v>894</v>
      </c>
      <c r="I426" s="3">
        <v>32</v>
      </c>
      <c r="J426" s="3">
        <v>13</v>
      </c>
      <c r="K426" s="3">
        <v>1</v>
      </c>
      <c r="L426" s="3">
        <v>13</v>
      </c>
      <c r="M426" s="3">
        <v>5200</v>
      </c>
      <c r="N426" s="3">
        <v>67.599999999999994</v>
      </c>
      <c r="O426" s="3">
        <v>6.31</v>
      </c>
      <c r="P426" s="3">
        <v>426.55599999999993</v>
      </c>
      <c r="Q426" s="3">
        <v>5200</v>
      </c>
    </row>
    <row r="427" spans="1:17" ht="24.95" hidden="1" customHeight="1" x14ac:dyDescent="0.25">
      <c r="A427" s="3">
        <v>2</v>
      </c>
      <c r="B427" s="3" t="s">
        <v>395</v>
      </c>
      <c r="C427" s="3" t="s">
        <v>895</v>
      </c>
      <c r="I427" s="3">
        <v>32</v>
      </c>
      <c r="J427" s="3">
        <v>11</v>
      </c>
      <c r="K427" s="3">
        <v>1</v>
      </c>
      <c r="L427" s="3">
        <v>11</v>
      </c>
      <c r="M427" s="3">
        <v>4070</v>
      </c>
      <c r="N427" s="3">
        <v>44.77</v>
      </c>
      <c r="O427" s="3">
        <v>6.31</v>
      </c>
      <c r="P427" s="3">
        <v>282.49869999999999</v>
      </c>
      <c r="Q427" s="3">
        <v>4070</v>
      </c>
    </row>
    <row r="428" spans="1:17" ht="24.95" hidden="1" customHeight="1" x14ac:dyDescent="0.25">
      <c r="A428" s="3">
        <v>2</v>
      </c>
      <c r="B428" s="3" t="s">
        <v>395</v>
      </c>
      <c r="C428" s="3" t="s">
        <v>896</v>
      </c>
      <c r="I428" s="3">
        <v>14</v>
      </c>
      <c r="J428" s="3">
        <v>167</v>
      </c>
      <c r="K428" s="3">
        <v>1</v>
      </c>
      <c r="L428" s="3">
        <v>167</v>
      </c>
      <c r="M428" s="3">
        <v>8020</v>
      </c>
      <c r="N428" s="3">
        <v>1339.34</v>
      </c>
      <c r="O428" s="3">
        <v>1.21</v>
      </c>
      <c r="P428" s="3">
        <v>1620.6013999999998</v>
      </c>
      <c r="Q428" s="3">
        <v>8020</v>
      </c>
    </row>
    <row r="429" spans="1:17" ht="24.95" hidden="1" customHeight="1" x14ac:dyDescent="0.25">
      <c r="A429" s="3">
        <v>2</v>
      </c>
      <c r="B429" s="3" t="s">
        <v>395</v>
      </c>
      <c r="C429" s="3" t="s">
        <v>897</v>
      </c>
      <c r="I429" s="3">
        <v>14</v>
      </c>
      <c r="J429" s="3">
        <v>167</v>
      </c>
      <c r="K429" s="3">
        <v>1</v>
      </c>
      <c r="L429" s="3">
        <v>167</v>
      </c>
      <c r="M429" s="3">
        <v>4500</v>
      </c>
      <c r="N429" s="3">
        <v>751.5</v>
      </c>
      <c r="O429" s="3">
        <v>1.21</v>
      </c>
      <c r="P429" s="3">
        <v>909.31499999999994</v>
      </c>
      <c r="Q429" s="3">
        <v>4500</v>
      </c>
    </row>
    <row r="430" spans="1:17" ht="24.95" hidden="1" customHeight="1" x14ac:dyDescent="0.25">
      <c r="A430" s="3">
        <v>2</v>
      </c>
      <c r="B430" s="3" t="s">
        <v>395</v>
      </c>
      <c r="C430" s="3" t="s">
        <v>898</v>
      </c>
      <c r="I430" s="3">
        <v>14</v>
      </c>
      <c r="J430" s="3">
        <v>1503</v>
      </c>
      <c r="K430" s="3">
        <v>1</v>
      </c>
      <c r="L430" s="3">
        <v>1503</v>
      </c>
      <c r="M430" s="3">
        <v>2670</v>
      </c>
      <c r="N430" s="3">
        <v>4013.01</v>
      </c>
      <c r="O430" s="3">
        <v>1.21</v>
      </c>
      <c r="P430" s="3">
        <v>4855.7421000000004</v>
      </c>
      <c r="Q430" s="3">
        <v>2670</v>
      </c>
    </row>
    <row r="431" spans="1:17" ht="24.95" hidden="1" customHeight="1" x14ac:dyDescent="0.25">
      <c r="A431" s="3">
        <v>2</v>
      </c>
      <c r="B431" s="3" t="s">
        <v>395</v>
      </c>
      <c r="C431" s="3" t="s">
        <v>899</v>
      </c>
      <c r="I431" s="3">
        <v>18</v>
      </c>
      <c r="J431" s="3">
        <v>12</v>
      </c>
      <c r="K431" s="3">
        <v>1</v>
      </c>
      <c r="L431" s="3">
        <v>12</v>
      </c>
      <c r="M431" s="3">
        <v>11700</v>
      </c>
      <c r="N431" s="3">
        <v>140.4</v>
      </c>
      <c r="O431" s="3">
        <v>2</v>
      </c>
      <c r="P431" s="3">
        <v>280.8</v>
      </c>
      <c r="Q431" s="3">
        <v>11700</v>
      </c>
    </row>
    <row r="432" spans="1:17" ht="24.95" hidden="1" customHeight="1" x14ac:dyDescent="0.25">
      <c r="A432" s="3">
        <v>2</v>
      </c>
      <c r="B432" s="3" t="s">
        <v>395</v>
      </c>
      <c r="C432" s="3" t="s">
        <v>900</v>
      </c>
      <c r="I432" s="3">
        <v>18</v>
      </c>
      <c r="J432" s="3">
        <v>9</v>
      </c>
      <c r="K432" s="3">
        <v>1</v>
      </c>
      <c r="L432" s="3">
        <v>9</v>
      </c>
      <c r="M432" s="3">
        <v>11700</v>
      </c>
      <c r="N432" s="3">
        <v>105.3</v>
      </c>
      <c r="O432" s="3">
        <v>2</v>
      </c>
      <c r="P432" s="3">
        <v>210.6</v>
      </c>
      <c r="Q432" s="3">
        <v>11700</v>
      </c>
    </row>
    <row r="433" spans="1:17" ht="24.95" hidden="1" customHeight="1" x14ac:dyDescent="0.25">
      <c r="A433" s="3">
        <v>2</v>
      </c>
      <c r="B433" s="3" t="s">
        <v>395</v>
      </c>
      <c r="C433" s="3" t="s">
        <v>901</v>
      </c>
      <c r="I433" s="3">
        <v>18</v>
      </c>
      <c r="J433" s="3">
        <v>6</v>
      </c>
      <c r="K433" s="3">
        <v>1</v>
      </c>
      <c r="L433" s="3">
        <v>6</v>
      </c>
      <c r="M433" s="3">
        <v>2820</v>
      </c>
      <c r="N433" s="3">
        <v>16.920000000000002</v>
      </c>
      <c r="O433" s="3">
        <v>2</v>
      </c>
      <c r="P433" s="3">
        <v>33.840000000000003</v>
      </c>
      <c r="Q433" s="3">
        <v>2820</v>
      </c>
    </row>
    <row r="434" spans="1:17" ht="24.95" hidden="1" customHeight="1" x14ac:dyDescent="0.25">
      <c r="A434" s="3">
        <v>2</v>
      </c>
      <c r="B434" s="3" t="s">
        <v>395</v>
      </c>
      <c r="C434" s="3" t="s">
        <v>902</v>
      </c>
      <c r="I434" s="3">
        <v>18</v>
      </c>
      <c r="J434" s="3">
        <v>3</v>
      </c>
      <c r="K434" s="3">
        <v>1</v>
      </c>
      <c r="L434" s="3">
        <v>3</v>
      </c>
      <c r="M434" s="3">
        <v>9230</v>
      </c>
      <c r="N434" s="3">
        <v>27.69</v>
      </c>
      <c r="O434" s="3">
        <v>2</v>
      </c>
      <c r="P434" s="3">
        <v>55.38</v>
      </c>
      <c r="Q434" s="3">
        <v>9230</v>
      </c>
    </row>
    <row r="435" spans="1:17" ht="24.95" hidden="1" customHeight="1" x14ac:dyDescent="0.25">
      <c r="A435" s="3">
        <v>2</v>
      </c>
      <c r="B435" s="3" t="s">
        <v>395</v>
      </c>
      <c r="C435" s="3" t="s">
        <v>903</v>
      </c>
      <c r="I435" s="3">
        <v>18</v>
      </c>
      <c r="J435" s="3">
        <v>3</v>
      </c>
      <c r="K435" s="3">
        <v>1</v>
      </c>
      <c r="L435" s="3">
        <v>3</v>
      </c>
      <c r="M435" s="3">
        <v>4870</v>
      </c>
      <c r="N435" s="3">
        <v>14.61</v>
      </c>
      <c r="O435" s="3">
        <v>2</v>
      </c>
      <c r="P435" s="3">
        <v>29.22</v>
      </c>
      <c r="Q435" s="3">
        <v>4870</v>
      </c>
    </row>
    <row r="436" spans="1:17" ht="24.95" hidden="1" customHeight="1" x14ac:dyDescent="0.25">
      <c r="A436" s="3">
        <v>2</v>
      </c>
      <c r="B436" s="3" t="s">
        <v>395</v>
      </c>
      <c r="C436" s="3" t="s">
        <v>904</v>
      </c>
      <c r="I436" s="3">
        <v>14</v>
      </c>
      <c r="J436" s="3">
        <v>976</v>
      </c>
      <c r="K436" s="3">
        <v>1</v>
      </c>
      <c r="L436" s="3">
        <v>976</v>
      </c>
      <c r="M436" s="3">
        <v>3520</v>
      </c>
      <c r="N436" s="3">
        <v>3435.52</v>
      </c>
      <c r="O436" s="3">
        <v>1.21</v>
      </c>
      <c r="P436" s="3">
        <v>4156.9791999999998</v>
      </c>
      <c r="Q436" s="3">
        <v>3520</v>
      </c>
    </row>
    <row r="437" spans="1:17" ht="24.95" hidden="1" customHeight="1" x14ac:dyDescent="0.25">
      <c r="A437" s="3">
        <v>2</v>
      </c>
      <c r="B437" s="3" t="s">
        <v>395</v>
      </c>
      <c r="C437" s="3" t="s">
        <v>905</v>
      </c>
      <c r="I437" s="3">
        <v>32</v>
      </c>
      <c r="J437" s="3">
        <v>22</v>
      </c>
      <c r="K437" s="3">
        <v>1</v>
      </c>
      <c r="L437" s="3">
        <v>22</v>
      </c>
      <c r="M437" s="3">
        <v>3240</v>
      </c>
      <c r="N437" s="3">
        <v>71.28</v>
      </c>
      <c r="O437" s="3">
        <v>6.31</v>
      </c>
      <c r="P437" s="3">
        <v>449.77679999999998</v>
      </c>
      <c r="Q437" s="3">
        <v>3240</v>
      </c>
    </row>
    <row r="438" spans="1:17" ht="24.95" hidden="1" customHeight="1" x14ac:dyDescent="0.25">
      <c r="A438" s="3">
        <v>2</v>
      </c>
      <c r="B438" s="3" t="s">
        <v>395</v>
      </c>
      <c r="C438" s="3" t="s">
        <v>906</v>
      </c>
      <c r="I438" s="3">
        <v>14</v>
      </c>
      <c r="J438" s="3">
        <v>54</v>
      </c>
      <c r="K438" s="3">
        <v>1</v>
      </c>
      <c r="L438" s="3">
        <v>54</v>
      </c>
      <c r="M438" s="3">
        <v>11700</v>
      </c>
      <c r="N438" s="3">
        <v>631.79999999999995</v>
      </c>
      <c r="O438" s="3">
        <v>1.21</v>
      </c>
      <c r="P438" s="3">
        <v>764.47799999999995</v>
      </c>
      <c r="Q438" s="3">
        <v>11700</v>
      </c>
    </row>
    <row r="439" spans="1:17" ht="24.95" hidden="1" customHeight="1" x14ac:dyDescent="0.25">
      <c r="A439" s="3">
        <v>2</v>
      </c>
      <c r="B439" s="3" t="s">
        <v>395</v>
      </c>
      <c r="C439" s="3" t="s">
        <v>907</v>
      </c>
      <c r="I439" s="3">
        <v>14</v>
      </c>
      <c r="J439" s="3">
        <v>27</v>
      </c>
      <c r="K439" s="3">
        <v>1</v>
      </c>
      <c r="L439" s="3">
        <v>27</v>
      </c>
      <c r="M439" s="3">
        <v>11700</v>
      </c>
      <c r="N439" s="3">
        <v>315.89999999999998</v>
      </c>
      <c r="O439" s="3">
        <v>1.21</v>
      </c>
      <c r="P439" s="3">
        <v>382.23899999999998</v>
      </c>
      <c r="Q439" s="3">
        <v>11700</v>
      </c>
    </row>
    <row r="440" spans="1:17" ht="24.95" hidden="1" customHeight="1" x14ac:dyDescent="0.25">
      <c r="A440" s="3">
        <v>2</v>
      </c>
      <c r="B440" s="3" t="s">
        <v>395</v>
      </c>
      <c r="C440" s="3" t="s">
        <v>908</v>
      </c>
      <c r="I440" s="3">
        <v>14</v>
      </c>
      <c r="J440" s="3">
        <v>27</v>
      </c>
      <c r="K440" s="3">
        <v>1</v>
      </c>
      <c r="L440" s="3">
        <v>27</v>
      </c>
      <c r="M440" s="3">
        <v>3470</v>
      </c>
      <c r="N440" s="3">
        <v>93.69</v>
      </c>
      <c r="O440" s="3">
        <v>1.21</v>
      </c>
      <c r="P440" s="3">
        <v>113.36489999999999</v>
      </c>
      <c r="Q440" s="3">
        <v>3470</v>
      </c>
    </row>
    <row r="441" spans="1:17" ht="24.95" hidden="1" customHeight="1" x14ac:dyDescent="0.25">
      <c r="A441" s="3">
        <v>2</v>
      </c>
      <c r="B441" s="3" t="s">
        <v>395</v>
      </c>
      <c r="C441" s="3" t="s">
        <v>909</v>
      </c>
      <c r="I441" s="3">
        <v>14</v>
      </c>
      <c r="J441" s="3">
        <v>27</v>
      </c>
      <c r="K441" s="3">
        <v>1</v>
      </c>
      <c r="L441" s="3">
        <v>27</v>
      </c>
      <c r="M441" s="3">
        <v>8690</v>
      </c>
      <c r="N441" s="3">
        <v>234.63</v>
      </c>
      <c r="O441" s="3">
        <v>1.21</v>
      </c>
      <c r="P441" s="3">
        <v>283.90229999999997</v>
      </c>
      <c r="Q441" s="3">
        <v>8690</v>
      </c>
    </row>
    <row r="442" spans="1:17" ht="24.95" hidden="1" customHeight="1" x14ac:dyDescent="0.25">
      <c r="A442" s="3">
        <v>2</v>
      </c>
      <c r="B442" s="3" t="s">
        <v>396</v>
      </c>
      <c r="C442" s="3" t="s">
        <v>910</v>
      </c>
      <c r="I442" s="3">
        <v>32</v>
      </c>
      <c r="J442" s="3">
        <v>11</v>
      </c>
      <c r="K442" s="3">
        <v>1</v>
      </c>
      <c r="L442" s="3">
        <v>11</v>
      </c>
      <c r="M442" s="3">
        <v>9000</v>
      </c>
      <c r="N442" s="3">
        <v>99</v>
      </c>
      <c r="O442" s="3">
        <v>6.31</v>
      </c>
      <c r="P442" s="3">
        <v>624.68999999999994</v>
      </c>
      <c r="Q442" s="3">
        <v>9000</v>
      </c>
    </row>
    <row r="443" spans="1:17" ht="24.95" hidden="1" customHeight="1" x14ac:dyDescent="0.25">
      <c r="A443" s="3">
        <v>2</v>
      </c>
      <c r="B443" s="3" t="s">
        <v>396</v>
      </c>
      <c r="C443" s="3" t="s">
        <v>911</v>
      </c>
      <c r="I443" s="3">
        <v>32</v>
      </c>
      <c r="J443" s="3">
        <v>11</v>
      </c>
      <c r="K443" s="3">
        <v>1</v>
      </c>
      <c r="L443" s="3">
        <v>11</v>
      </c>
      <c r="M443" s="3">
        <v>11700</v>
      </c>
      <c r="N443" s="3">
        <v>128.69999999999999</v>
      </c>
      <c r="O443" s="3">
        <v>6.31</v>
      </c>
      <c r="P443" s="3">
        <v>812.09699999999987</v>
      </c>
      <c r="Q443" s="3">
        <v>11700</v>
      </c>
    </row>
    <row r="444" spans="1:17" ht="24.95" hidden="1" customHeight="1" x14ac:dyDescent="0.25">
      <c r="A444" s="3">
        <v>2</v>
      </c>
      <c r="B444" s="3" t="s">
        <v>396</v>
      </c>
      <c r="C444" s="3" t="s">
        <v>912</v>
      </c>
      <c r="I444" s="3">
        <v>32</v>
      </c>
      <c r="J444" s="3">
        <v>11</v>
      </c>
      <c r="K444" s="3">
        <v>1</v>
      </c>
      <c r="L444" s="3">
        <v>11</v>
      </c>
      <c r="M444" s="3">
        <v>11700</v>
      </c>
      <c r="N444" s="3">
        <v>128.69999999999999</v>
      </c>
      <c r="O444" s="3">
        <v>6.31</v>
      </c>
      <c r="P444" s="3">
        <v>812.09699999999987</v>
      </c>
      <c r="Q444" s="3">
        <v>11700</v>
      </c>
    </row>
    <row r="445" spans="1:17" ht="24.95" hidden="1" customHeight="1" x14ac:dyDescent="0.25">
      <c r="A445" s="3">
        <v>2</v>
      </c>
      <c r="B445" s="3" t="s">
        <v>396</v>
      </c>
      <c r="C445" s="3" t="s">
        <v>913</v>
      </c>
      <c r="I445" s="3">
        <v>32</v>
      </c>
      <c r="J445" s="3">
        <v>11</v>
      </c>
      <c r="K445" s="3">
        <v>1</v>
      </c>
      <c r="L445" s="3">
        <v>11</v>
      </c>
      <c r="M445" s="3">
        <v>11140</v>
      </c>
      <c r="N445" s="3">
        <v>122.54</v>
      </c>
      <c r="O445" s="3">
        <v>6.31</v>
      </c>
      <c r="P445" s="3">
        <v>773.22739999999999</v>
      </c>
      <c r="Q445" s="3">
        <v>11140</v>
      </c>
    </row>
    <row r="446" spans="1:17" ht="24.95" hidden="1" customHeight="1" x14ac:dyDescent="0.25">
      <c r="A446" s="3">
        <v>2</v>
      </c>
      <c r="B446" s="3" t="s">
        <v>396</v>
      </c>
      <c r="C446" s="3" t="s">
        <v>914</v>
      </c>
      <c r="I446" s="3">
        <v>32</v>
      </c>
      <c r="J446" s="3">
        <v>11</v>
      </c>
      <c r="K446" s="3">
        <v>1</v>
      </c>
      <c r="L446" s="3">
        <v>11</v>
      </c>
      <c r="M446" s="3">
        <v>11700</v>
      </c>
      <c r="N446" s="3">
        <v>128.69999999999999</v>
      </c>
      <c r="O446" s="3">
        <v>6.31</v>
      </c>
      <c r="P446" s="3">
        <v>812.09699999999987</v>
      </c>
      <c r="Q446" s="3">
        <v>11700</v>
      </c>
    </row>
    <row r="447" spans="1:17" ht="24.95" hidden="1" customHeight="1" x14ac:dyDescent="0.25">
      <c r="A447" s="3">
        <v>2</v>
      </c>
      <c r="B447" s="3" t="s">
        <v>396</v>
      </c>
      <c r="C447" s="3" t="s">
        <v>915</v>
      </c>
      <c r="I447" s="3">
        <v>32</v>
      </c>
      <c r="J447" s="3">
        <v>10</v>
      </c>
      <c r="K447" s="3">
        <v>1</v>
      </c>
      <c r="L447" s="3">
        <v>10</v>
      </c>
      <c r="M447" s="3">
        <v>5460</v>
      </c>
      <c r="N447" s="3">
        <v>54.6</v>
      </c>
      <c r="O447" s="3">
        <v>6.31</v>
      </c>
      <c r="P447" s="3">
        <v>344.52600000000001</v>
      </c>
      <c r="Q447" s="3">
        <v>5460</v>
      </c>
    </row>
    <row r="448" spans="1:17" ht="24.95" hidden="1" customHeight="1" x14ac:dyDescent="0.25">
      <c r="A448" s="3">
        <v>2</v>
      </c>
      <c r="B448" s="3" t="s">
        <v>396</v>
      </c>
      <c r="C448" s="3" t="s">
        <v>916</v>
      </c>
      <c r="I448" s="3">
        <v>32</v>
      </c>
      <c r="J448" s="3">
        <v>10</v>
      </c>
      <c r="K448" s="3">
        <v>1</v>
      </c>
      <c r="L448" s="3">
        <v>10</v>
      </c>
      <c r="M448" s="3">
        <v>10510</v>
      </c>
      <c r="N448" s="3">
        <v>105.1</v>
      </c>
      <c r="O448" s="3">
        <v>6.31</v>
      </c>
      <c r="P448" s="3">
        <v>663.18099999999993</v>
      </c>
      <c r="Q448" s="3">
        <v>10510</v>
      </c>
    </row>
    <row r="449" spans="1:17" ht="24.95" hidden="1" customHeight="1" x14ac:dyDescent="0.25">
      <c r="A449" s="3">
        <v>2</v>
      </c>
      <c r="B449" s="3" t="s">
        <v>396</v>
      </c>
      <c r="C449" s="3" t="s">
        <v>917</v>
      </c>
      <c r="I449" s="3">
        <v>32</v>
      </c>
      <c r="J449" s="3">
        <v>10</v>
      </c>
      <c r="K449" s="3">
        <v>1</v>
      </c>
      <c r="L449" s="3">
        <v>10</v>
      </c>
      <c r="M449" s="3">
        <v>11700</v>
      </c>
      <c r="N449" s="3">
        <v>117</v>
      </c>
      <c r="O449" s="3">
        <v>6.31</v>
      </c>
      <c r="P449" s="3">
        <v>738.27</v>
      </c>
      <c r="Q449" s="3">
        <v>11700</v>
      </c>
    </row>
    <row r="450" spans="1:17" ht="24.95" hidden="1" customHeight="1" x14ac:dyDescent="0.25">
      <c r="A450" s="3">
        <v>2</v>
      </c>
      <c r="B450" s="3" t="s">
        <v>396</v>
      </c>
      <c r="C450" s="3" t="s">
        <v>918</v>
      </c>
      <c r="I450" s="3">
        <v>32</v>
      </c>
      <c r="J450" s="3">
        <v>10</v>
      </c>
      <c r="K450" s="3">
        <v>1</v>
      </c>
      <c r="L450" s="3">
        <v>10</v>
      </c>
      <c r="M450" s="3">
        <v>6310</v>
      </c>
      <c r="N450" s="3">
        <v>63.1</v>
      </c>
      <c r="O450" s="3">
        <v>6.31</v>
      </c>
      <c r="P450" s="3">
        <v>398.161</v>
      </c>
      <c r="Q450" s="3">
        <v>6310</v>
      </c>
    </row>
    <row r="451" spans="1:17" ht="24.95" hidden="1" customHeight="1" x14ac:dyDescent="0.25">
      <c r="A451" s="3">
        <v>2</v>
      </c>
      <c r="B451" s="3" t="s">
        <v>396</v>
      </c>
      <c r="C451" s="3" t="s">
        <v>910</v>
      </c>
      <c r="I451" s="3">
        <v>32</v>
      </c>
      <c r="J451" s="3">
        <v>10</v>
      </c>
      <c r="K451" s="3">
        <v>1</v>
      </c>
      <c r="L451" s="3">
        <v>10</v>
      </c>
      <c r="M451" s="3">
        <v>11000</v>
      </c>
      <c r="N451" s="3">
        <v>110</v>
      </c>
      <c r="O451" s="3">
        <v>6.31</v>
      </c>
      <c r="P451" s="3">
        <v>694.09999999999991</v>
      </c>
      <c r="Q451" s="3">
        <v>11000</v>
      </c>
    </row>
    <row r="452" spans="1:17" ht="24.95" hidden="1" customHeight="1" x14ac:dyDescent="0.25">
      <c r="A452" s="3">
        <v>2</v>
      </c>
      <c r="B452" s="3" t="s">
        <v>396</v>
      </c>
      <c r="C452" s="3" t="s">
        <v>919</v>
      </c>
      <c r="I452" s="3">
        <v>32</v>
      </c>
      <c r="J452" s="3">
        <v>10</v>
      </c>
      <c r="K452" s="3">
        <v>1</v>
      </c>
      <c r="L452" s="3">
        <v>10</v>
      </c>
      <c r="M452" s="3">
        <v>11700</v>
      </c>
      <c r="N452" s="3">
        <v>117</v>
      </c>
      <c r="O452" s="3">
        <v>6.31</v>
      </c>
      <c r="P452" s="3">
        <v>738.27</v>
      </c>
      <c r="Q452" s="3">
        <v>11700</v>
      </c>
    </row>
    <row r="453" spans="1:17" ht="24.95" hidden="1" customHeight="1" x14ac:dyDescent="0.25">
      <c r="A453" s="3">
        <v>2</v>
      </c>
      <c r="B453" s="3" t="s">
        <v>396</v>
      </c>
      <c r="C453" s="3" t="s">
        <v>920</v>
      </c>
      <c r="I453" s="3">
        <v>32</v>
      </c>
      <c r="J453" s="3">
        <v>11</v>
      </c>
      <c r="K453" s="3">
        <v>1</v>
      </c>
      <c r="L453" s="3">
        <v>11</v>
      </c>
      <c r="M453" s="3">
        <v>11700</v>
      </c>
      <c r="N453" s="3">
        <v>128.69999999999999</v>
      </c>
      <c r="O453" s="3">
        <v>6.31</v>
      </c>
      <c r="P453" s="3">
        <v>812.09699999999987</v>
      </c>
      <c r="Q453" s="3">
        <v>11700</v>
      </c>
    </row>
    <row r="454" spans="1:17" ht="24.95" hidden="1" customHeight="1" x14ac:dyDescent="0.25">
      <c r="A454" s="3">
        <v>2</v>
      </c>
      <c r="B454" s="3" t="s">
        <v>396</v>
      </c>
      <c r="C454" s="3" t="s">
        <v>921</v>
      </c>
      <c r="I454" s="3">
        <v>32</v>
      </c>
      <c r="J454" s="3">
        <v>11</v>
      </c>
      <c r="K454" s="3">
        <v>1</v>
      </c>
      <c r="L454" s="3">
        <v>11</v>
      </c>
      <c r="M454" s="3">
        <v>10970</v>
      </c>
      <c r="N454" s="3">
        <v>120.67</v>
      </c>
      <c r="O454" s="3">
        <v>6.31</v>
      </c>
      <c r="P454" s="3">
        <v>761.42769999999996</v>
      </c>
      <c r="Q454" s="3">
        <v>10970</v>
      </c>
    </row>
    <row r="455" spans="1:17" ht="24.95" hidden="1" customHeight="1" x14ac:dyDescent="0.25">
      <c r="A455" s="3">
        <v>2</v>
      </c>
      <c r="B455" s="3" t="s">
        <v>396</v>
      </c>
      <c r="C455" s="3" t="s">
        <v>922</v>
      </c>
      <c r="I455" s="3">
        <v>32</v>
      </c>
      <c r="J455" s="3">
        <v>11</v>
      </c>
      <c r="K455" s="3">
        <v>1</v>
      </c>
      <c r="L455" s="3">
        <v>11</v>
      </c>
      <c r="M455" s="3">
        <v>7200</v>
      </c>
      <c r="N455" s="3">
        <v>79.2</v>
      </c>
      <c r="O455" s="3">
        <v>6.31</v>
      </c>
      <c r="P455" s="3">
        <v>499.75200000000001</v>
      </c>
      <c r="Q455" s="3">
        <v>7200</v>
      </c>
    </row>
    <row r="456" spans="1:17" ht="24.95" hidden="1" customHeight="1" x14ac:dyDescent="0.25">
      <c r="A456" s="3">
        <v>2</v>
      </c>
      <c r="B456" s="3" t="s">
        <v>396</v>
      </c>
      <c r="C456" s="3" t="s">
        <v>923</v>
      </c>
      <c r="I456" s="3">
        <v>32</v>
      </c>
      <c r="J456" s="3">
        <v>11</v>
      </c>
      <c r="K456" s="3">
        <v>1</v>
      </c>
      <c r="L456" s="3">
        <v>11</v>
      </c>
      <c r="M456" s="3">
        <v>11700</v>
      </c>
      <c r="N456" s="3">
        <v>128.69999999999999</v>
      </c>
      <c r="O456" s="3">
        <v>6.31</v>
      </c>
      <c r="P456" s="3">
        <v>812.09699999999987</v>
      </c>
      <c r="Q456" s="3">
        <v>11700</v>
      </c>
    </row>
    <row r="457" spans="1:17" ht="24.95" hidden="1" customHeight="1" x14ac:dyDescent="0.25">
      <c r="A457" s="3">
        <v>2</v>
      </c>
      <c r="B457" s="3" t="s">
        <v>396</v>
      </c>
      <c r="C457" s="3" t="s">
        <v>924</v>
      </c>
      <c r="I457" s="3">
        <v>32</v>
      </c>
      <c r="J457" s="3">
        <v>10</v>
      </c>
      <c r="K457" s="3">
        <v>1</v>
      </c>
      <c r="L457" s="3">
        <v>10</v>
      </c>
      <c r="M457" s="3">
        <v>9870</v>
      </c>
      <c r="N457" s="3">
        <v>98.7</v>
      </c>
      <c r="O457" s="3">
        <v>6.31</v>
      </c>
      <c r="P457" s="3">
        <v>622.79700000000003</v>
      </c>
      <c r="Q457" s="3">
        <v>9870</v>
      </c>
    </row>
    <row r="458" spans="1:17" ht="24.95" hidden="1" customHeight="1" x14ac:dyDescent="0.25">
      <c r="A458" s="3">
        <v>2</v>
      </c>
      <c r="B458" s="3" t="s">
        <v>396</v>
      </c>
      <c r="C458" s="3" t="s">
        <v>925</v>
      </c>
      <c r="I458" s="3">
        <v>32</v>
      </c>
      <c r="J458" s="3">
        <v>10</v>
      </c>
      <c r="K458" s="3">
        <v>1</v>
      </c>
      <c r="L458" s="3">
        <v>10</v>
      </c>
      <c r="M458" s="3">
        <v>11000</v>
      </c>
      <c r="N458" s="3">
        <v>110</v>
      </c>
      <c r="O458" s="3">
        <v>6.31</v>
      </c>
      <c r="P458" s="3">
        <v>694.09999999999991</v>
      </c>
      <c r="Q458" s="3">
        <v>11000</v>
      </c>
    </row>
    <row r="459" spans="1:17" ht="24.95" hidden="1" customHeight="1" x14ac:dyDescent="0.25">
      <c r="A459" s="3">
        <v>2</v>
      </c>
      <c r="B459" s="3" t="s">
        <v>396</v>
      </c>
      <c r="C459" s="3" t="s">
        <v>926</v>
      </c>
      <c r="I459" s="3">
        <v>32</v>
      </c>
      <c r="J459" s="3">
        <v>10</v>
      </c>
      <c r="K459" s="3">
        <v>1</v>
      </c>
      <c r="L459" s="3">
        <v>10</v>
      </c>
      <c r="M459" s="3">
        <v>11700</v>
      </c>
      <c r="N459" s="3">
        <v>117</v>
      </c>
      <c r="O459" s="3">
        <v>6.31</v>
      </c>
      <c r="P459" s="3">
        <v>738.27</v>
      </c>
      <c r="Q459" s="3">
        <v>11700</v>
      </c>
    </row>
    <row r="460" spans="1:17" ht="24.95" hidden="1" customHeight="1" x14ac:dyDescent="0.25">
      <c r="A460" s="3">
        <v>2</v>
      </c>
      <c r="B460" s="3" t="s">
        <v>396</v>
      </c>
      <c r="C460" s="3" t="s">
        <v>927</v>
      </c>
      <c r="I460" s="3">
        <v>32</v>
      </c>
      <c r="J460" s="3">
        <v>10</v>
      </c>
      <c r="K460" s="3">
        <v>1</v>
      </c>
      <c r="L460" s="3">
        <v>10</v>
      </c>
      <c r="M460" s="3">
        <v>9000</v>
      </c>
      <c r="N460" s="3">
        <v>90</v>
      </c>
      <c r="O460" s="3">
        <v>6.31</v>
      </c>
      <c r="P460" s="3">
        <v>567.9</v>
      </c>
      <c r="Q460" s="3">
        <v>9000</v>
      </c>
    </row>
    <row r="461" spans="1:17" ht="24.95" hidden="1" customHeight="1" x14ac:dyDescent="0.25">
      <c r="A461" s="3">
        <v>2</v>
      </c>
      <c r="B461" s="3" t="s">
        <v>396</v>
      </c>
      <c r="C461" s="3" t="s">
        <v>928</v>
      </c>
      <c r="I461" s="3">
        <v>32</v>
      </c>
      <c r="J461" s="3">
        <v>21</v>
      </c>
      <c r="K461" s="3">
        <v>1</v>
      </c>
      <c r="L461" s="3">
        <v>21</v>
      </c>
      <c r="M461" s="3">
        <v>10960</v>
      </c>
      <c r="N461" s="3">
        <v>230.16</v>
      </c>
      <c r="O461" s="3">
        <v>6.31</v>
      </c>
      <c r="P461" s="3">
        <v>1452.3095999999998</v>
      </c>
      <c r="Q461" s="3">
        <v>10960</v>
      </c>
    </row>
    <row r="462" spans="1:17" ht="24.95" hidden="1" customHeight="1" x14ac:dyDescent="0.25">
      <c r="A462" s="3">
        <v>2</v>
      </c>
      <c r="B462" s="3" t="s">
        <v>396</v>
      </c>
      <c r="C462" s="3" t="s">
        <v>929</v>
      </c>
      <c r="I462" s="3">
        <v>32</v>
      </c>
      <c r="J462" s="3">
        <v>21</v>
      </c>
      <c r="K462" s="3">
        <v>1</v>
      </c>
      <c r="L462" s="3">
        <v>21</v>
      </c>
      <c r="M462" s="3">
        <v>10960</v>
      </c>
      <c r="N462" s="3">
        <v>230.16</v>
      </c>
      <c r="O462" s="3">
        <v>6.31</v>
      </c>
      <c r="P462" s="3">
        <v>1452.3095999999998</v>
      </c>
      <c r="Q462" s="3">
        <v>10960</v>
      </c>
    </row>
    <row r="463" spans="1:17" ht="24.95" hidden="1" customHeight="1" x14ac:dyDescent="0.25">
      <c r="A463" s="3">
        <v>2</v>
      </c>
      <c r="B463" s="3" t="s">
        <v>396</v>
      </c>
      <c r="C463" s="3" t="s">
        <v>930</v>
      </c>
      <c r="I463" s="3">
        <v>32</v>
      </c>
      <c r="J463" s="3">
        <v>6</v>
      </c>
      <c r="K463" s="3">
        <v>1</v>
      </c>
      <c r="L463" s="3">
        <v>6</v>
      </c>
      <c r="M463" s="3">
        <v>10160</v>
      </c>
      <c r="N463" s="3">
        <v>60.96</v>
      </c>
      <c r="O463" s="3">
        <v>6.31</v>
      </c>
      <c r="P463" s="3">
        <v>384.6576</v>
      </c>
      <c r="Q463" s="3">
        <v>10160</v>
      </c>
    </row>
    <row r="464" spans="1:17" ht="24.95" hidden="1" customHeight="1" x14ac:dyDescent="0.25">
      <c r="A464" s="3">
        <v>2</v>
      </c>
      <c r="B464" s="3" t="s">
        <v>396</v>
      </c>
      <c r="C464" s="3" t="s">
        <v>931</v>
      </c>
      <c r="I464" s="3">
        <v>32</v>
      </c>
      <c r="J464" s="3">
        <v>11</v>
      </c>
      <c r="K464" s="3">
        <v>1</v>
      </c>
      <c r="L464" s="3">
        <v>11</v>
      </c>
      <c r="M464" s="3">
        <v>10560</v>
      </c>
      <c r="N464" s="3">
        <v>116.16</v>
      </c>
      <c r="O464" s="3">
        <v>6.31</v>
      </c>
      <c r="P464" s="3">
        <v>732.9695999999999</v>
      </c>
      <c r="Q464" s="3">
        <v>10560</v>
      </c>
    </row>
    <row r="465" spans="1:17" ht="24.95" hidden="1" customHeight="1" x14ac:dyDescent="0.25">
      <c r="A465" s="3">
        <v>2</v>
      </c>
      <c r="B465" s="3" t="s">
        <v>396</v>
      </c>
      <c r="C465" s="3" t="s">
        <v>932</v>
      </c>
      <c r="I465" s="3">
        <v>32</v>
      </c>
      <c r="J465" s="3">
        <v>2</v>
      </c>
      <c r="K465" s="3">
        <v>1</v>
      </c>
      <c r="L465" s="3">
        <v>2</v>
      </c>
      <c r="M465" s="3">
        <v>10590</v>
      </c>
      <c r="N465" s="3">
        <v>21.18</v>
      </c>
      <c r="O465" s="3">
        <v>6.31</v>
      </c>
      <c r="P465" s="3">
        <v>133.64579999999998</v>
      </c>
      <c r="Q465" s="3">
        <v>10590</v>
      </c>
    </row>
    <row r="466" spans="1:17" ht="24.95" hidden="1" customHeight="1" x14ac:dyDescent="0.25">
      <c r="A466" s="3">
        <v>2</v>
      </c>
      <c r="B466" s="3" t="s">
        <v>396</v>
      </c>
      <c r="C466" s="3" t="s">
        <v>933</v>
      </c>
      <c r="I466" s="3">
        <v>32</v>
      </c>
      <c r="J466" s="3">
        <v>21</v>
      </c>
      <c r="K466" s="3">
        <v>1</v>
      </c>
      <c r="L466" s="3">
        <v>21</v>
      </c>
      <c r="M466" s="3">
        <v>10640</v>
      </c>
      <c r="N466" s="3">
        <v>223.44</v>
      </c>
      <c r="O466" s="3">
        <v>6.31</v>
      </c>
      <c r="P466" s="3">
        <v>1409.9063999999998</v>
      </c>
      <c r="Q466" s="3">
        <v>10640</v>
      </c>
    </row>
    <row r="467" spans="1:17" ht="24.95" hidden="1" customHeight="1" x14ac:dyDescent="0.25">
      <c r="A467" s="3">
        <v>2</v>
      </c>
      <c r="B467" s="3" t="s">
        <v>396</v>
      </c>
      <c r="C467" s="3" t="s">
        <v>934</v>
      </c>
      <c r="I467" s="3">
        <v>32</v>
      </c>
      <c r="J467" s="3">
        <v>21</v>
      </c>
      <c r="K467" s="3">
        <v>1</v>
      </c>
      <c r="L467" s="3">
        <v>21</v>
      </c>
      <c r="M467" s="3">
        <v>10690</v>
      </c>
      <c r="N467" s="3">
        <v>224.49</v>
      </c>
      <c r="O467" s="3">
        <v>6.31</v>
      </c>
      <c r="P467" s="3">
        <v>1416.5319</v>
      </c>
      <c r="Q467" s="3">
        <v>10690</v>
      </c>
    </row>
    <row r="468" spans="1:17" ht="24.95" hidden="1" customHeight="1" x14ac:dyDescent="0.25">
      <c r="A468" s="3">
        <v>2</v>
      </c>
      <c r="B468" s="3" t="s">
        <v>396</v>
      </c>
      <c r="C468" s="3" t="s">
        <v>935</v>
      </c>
      <c r="I468" s="3">
        <v>32</v>
      </c>
      <c r="J468" s="3">
        <v>21</v>
      </c>
      <c r="K468" s="3">
        <v>1</v>
      </c>
      <c r="L468" s="3">
        <v>21</v>
      </c>
      <c r="M468" s="3">
        <v>10740</v>
      </c>
      <c r="N468" s="3">
        <v>225.54</v>
      </c>
      <c r="O468" s="3">
        <v>6.31</v>
      </c>
      <c r="P468" s="3">
        <v>1423.1573999999998</v>
      </c>
      <c r="Q468" s="3">
        <v>10740</v>
      </c>
    </row>
    <row r="469" spans="1:17" ht="24.95" hidden="1" customHeight="1" x14ac:dyDescent="0.25">
      <c r="A469" s="3">
        <v>2</v>
      </c>
      <c r="B469" s="3" t="s">
        <v>396</v>
      </c>
      <c r="C469" s="3" t="s">
        <v>936</v>
      </c>
      <c r="I469" s="3">
        <v>32</v>
      </c>
      <c r="J469" s="3">
        <v>10</v>
      </c>
      <c r="K469" s="3">
        <v>1</v>
      </c>
      <c r="L469" s="3">
        <v>10</v>
      </c>
      <c r="M469" s="3">
        <v>9000</v>
      </c>
      <c r="N469" s="3">
        <v>90</v>
      </c>
      <c r="O469" s="3">
        <v>6.31</v>
      </c>
      <c r="P469" s="3">
        <v>567.9</v>
      </c>
      <c r="Q469" s="3">
        <v>9000</v>
      </c>
    </row>
    <row r="470" spans="1:17" ht="24.95" hidden="1" customHeight="1" x14ac:dyDescent="0.25">
      <c r="A470" s="3">
        <v>2</v>
      </c>
      <c r="B470" s="3" t="s">
        <v>396</v>
      </c>
      <c r="C470" s="3" t="s">
        <v>937</v>
      </c>
      <c r="I470" s="3">
        <v>32</v>
      </c>
      <c r="J470" s="3">
        <v>10</v>
      </c>
      <c r="K470" s="3">
        <v>1</v>
      </c>
      <c r="L470" s="3">
        <v>10</v>
      </c>
      <c r="M470" s="3">
        <v>11700</v>
      </c>
      <c r="N470" s="3">
        <v>117</v>
      </c>
      <c r="O470" s="3">
        <v>6.31</v>
      </c>
      <c r="P470" s="3">
        <v>738.27</v>
      </c>
      <c r="Q470" s="3">
        <v>11700</v>
      </c>
    </row>
    <row r="471" spans="1:17" ht="24.95" hidden="1" customHeight="1" x14ac:dyDescent="0.25">
      <c r="A471" s="3">
        <v>2</v>
      </c>
      <c r="B471" s="3" t="s">
        <v>396</v>
      </c>
      <c r="C471" s="3" t="s">
        <v>938</v>
      </c>
      <c r="I471" s="3">
        <v>32</v>
      </c>
      <c r="J471" s="3">
        <v>10</v>
      </c>
      <c r="K471" s="3">
        <v>1</v>
      </c>
      <c r="L471" s="3">
        <v>10</v>
      </c>
      <c r="M471" s="3">
        <v>10000</v>
      </c>
      <c r="N471" s="3">
        <v>100</v>
      </c>
      <c r="O471" s="3">
        <v>6.31</v>
      </c>
      <c r="P471" s="3">
        <v>631</v>
      </c>
      <c r="Q471" s="3">
        <v>10000</v>
      </c>
    </row>
    <row r="472" spans="1:17" ht="24.95" hidden="1" customHeight="1" x14ac:dyDescent="0.25">
      <c r="A472" s="3">
        <v>2</v>
      </c>
      <c r="B472" s="3" t="s">
        <v>396</v>
      </c>
      <c r="C472" s="3" t="s">
        <v>939</v>
      </c>
      <c r="I472" s="3">
        <v>32</v>
      </c>
      <c r="J472" s="3">
        <v>10</v>
      </c>
      <c r="K472" s="3">
        <v>1</v>
      </c>
      <c r="L472" s="3">
        <v>10</v>
      </c>
      <c r="M472" s="3">
        <v>10450</v>
      </c>
      <c r="N472" s="3">
        <v>104.5</v>
      </c>
      <c r="O472" s="3">
        <v>6.31</v>
      </c>
      <c r="P472" s="3">
        <v>659.39499999999998</v>
      </c>
      <c r="Q472" s="3">
        <v>10450</v>
      </c>
    </row>
    <row r="473" spans="1:17" ht="24.95" hidden="1" customHeight="1" x14ac:dyDescent="0.25">
      <c r="A473" s="3">
        <v>2</v>
      </c>
      <c r="B473" s="3" t="s">
        <v>396</v>
      </c>
      <c r="C473" s="3" t="s">
        <v>940</v>
      </c>
      <c r="I473" s="3">
        <v>32</v>
      </c>
      <c r="J473" s="3">
        <v>10</v>
      </c>
      <c r="K473" s="3">
        <v>1</v>
      </c>
      <c r="L473" s="3">
        <v>10</v>
      </c>
      <c r="M473" s="3">
        <v>8170</v>
      </c>
      <c r="N473" s="3">
        <v>81.7</v>
      </c>
      <c r="O473" s="3">
        <v>6.31</v>
      </c>
      <c r="P473" s="3">
        <v>515.52699999999993</v>
      </c>
      <c r="Q473" s="3">
        <v>8170</v>
      </c>
    </row>
    <row r="474" spans="1:17" ht="24.95" hidden="1" customHeight="1" x14ac:dyDescent="0.25">
      <c r="A474" s="3">
        <v>2</v>
      </c>
      <c r="B474" s="3" t="s">
        <v>396</v>
      </c>
      <c r="C474" s="3" t="s">
        <v>941</v>
      </c>
      <c r="I474" s="3">
        <v>32</v>
      </c>
      <c r="J474" s="3">
        <v>10</v>
      </c>
      <c r="K474" s="3">
        <v>1</v>
      </c>
      <c r="L474" s="3">
        <v>10</v>
      </c>
      <c r="M474" s="3">
        <v>7220</v>
      </c>
      <c r="N474" s="3">
        <v>72.2</v>
      </c>
      <c r="O474" s="3">
        <v>6.31</v>
      </c>
      <c r="P474" s="3">
        <v>455.58199999999999</v>
      </c>
      <c r="Q474" s="3">
        <v>7220</v>
      </c>
    </row>
    <row r="475" spans="1:17" ht="24.95" hidden="1" customHeight="1" x14ac:dyDescent="0.25">
      <c r="A475" s="3">
        <v>2</v>
      </c>
      <c r="B475" s="3" t="s">
        <v>396</v>
      </c>
      <c r="C475" s="3" t="s">
        <v>942</v>
      </c>
      <c r="I475" s="3">
        <v>32</v>
      </c>
      <c r="J475" s="3">
        <v>11</v>
      </c>
      <c r="K475" s="3">
        <v>1</v>
      </c>
      <c r="L475" s="3">
        <v>11</v>
      </c>
      <c r="M475" s="3">
        <v>5450</v>
      </c>
      <c r="N475" s="3">
        <v>59.95</v>
      </c>
      <c r="O475" s="3">
        <v>6.31</v>
      </c>
      <c r="P475" s="3">
        <v>378.28449999999998</v>
      </c>
      <c r="Q475" s="3">
        <v>5450</v>
      </c>
    </row>
    <row r="476" spans="1:17" ht="24.95" hidden="1" customHeight="1" x14ac:dyDescent="0.25">
      <c r="A476" s="3">
        <v>2</v>
      </c>
      <c r="B476" s="3" t="s">
        <v>396</v>
      </c>
      <c r="C476" s="3" t="s">
        <v>943</v>
      </c>
      <c r="I476" s="3">
        <v>32</v>
      </c>
      <c r="J476" s="3">
        <v>11</v>
      </c>
      <c r="K476" s="3">
        <v>1</v>
      </c>
      <c r="L476" s="3">
        <v>11</v>
      </c>
      <c r="M476" s="3">
        <v>11700</v>
      </c>
      <c r="N476" s="3">
        <v>128.69999999999999</v>
      </c>
      <c r="O476" s="3">
        <v>6.31</v>
      </c>
      <c r="P476" s="3">
        <v>812.09699999999987</v>
      </c>
      <c r="Q476" s="3">
        <v>11700</v>
      </c>
    </row>
    <row r="477" spans="1:17" ht="24.95" hidden="1" customHeight="1" x14ac:dyDescent="0.25">
      <c r="A477" s="3">
        <v>2</v>
      </c>
      <c r="B477" s="3" t="s">
        <v>396</v>
      </c>
      <c r="C477" s="3" t="s">
        <v>944</v>
      </c>
      <c r="I477" s="3">
        <v>32</v>
      </c>
      <c r="J477" s="3">
        <v>11</v>
      </c>
      <c r="K477" s="3">
        <v>1</v>
      </c>
      <c r="L477" s="3">
        <v>11</v>
      </c>
      <c r="M477" s="3">
        <v>10450</v>
      </c>
      <c r="N477" s="3">
        <v>114.95</v>
      </c>
      <c r="O477" s="3">
        <v>6.31</v>
      </c>
      <c r="P477" s="3">
        <v>725.33449999999993</v>
      </c>
      <c r="Q477" s="3">
        <v>10450</v>
      </c>
    </row>
    <row r="478" spans="1:17" ht="24.95" hidden="1" customHeight="1" x14ac:dyDescent="0.25">
      <c r="A478" s="3">
        <v>2</v>
      </c>
      <c r="B478" s="3" t="s">
        <v>396</v>
      </c>
      <c r="C478" s="3" t="s">
        <v>936</v>
      </c>
      <c r="I478" s="3">
        <v>32</v>
      </c>
      <c r="J478" s="3">
        <v>11</v>
      </c>
      <c r="K478" s="3">
        <v>1</v>
      </c>
      <c r="L478" s="3">
        <v>11</v>
      </c>
      <c r="M478" s="3">
        <v>10000</v>
      </c>
      <c r="N478" s="3">
        <v>110</v>
      </c>
      <c r="O478" s="3">
        <v>6.31</v>
      </c>
      <c r="P478" s="3">
        <v>694.09999999999991</v>
      </c>
      <c r="Q478" s="3">
        <v>10000</v>
      </c>
    </row>
    <row r="479" spans="1:17" ht="24.95" hidden="1" customHeight="1" x14ac:dyDescent="0.25">
      <c r="A479" s="3">
        <v>2</v>
      </c>
      <c r="B479" s="3" t="s">
        <v>396</v>
      </c>
      <c r="C479" s="3" t="s">
        <v>945</v>
      </c>
      <c r="I479" s="3">
        <v>32</v>
      </c>
      <c r="J479" s="3">
        <v>11</v>
      </c>
      <c r="K479" s="3">
        <v>1</v>
      </c>
      <c r="L479" s="3">
        <v>11</v>
      </c>
      <c r="M479" s="3">
        <v>7940</v>
      </c>
      <c r="N479" s="3">
        <v>87.34</v>
      </c>
      <c r="O479" s="3">
        <v>6.31</v>
      </c>
      <c r="P479" s="3">
        <v>551.11540000000002</v>
      </c>
      <c r="Q479" s="3">
        <v>7940</v>
      </c>
    </row>
    <row r="480" spans="1:17" ht="24.95" hidden="1" customHeight="1" x14ac:dyDescent="0.25">
      <c r="A480" s="3">
        <v>2</v>
      </c>
      <c r="B480" s="3" t="s">
        <v>396</v>
      </c>
      <c r="C480" s="3" t="s">
        <v>946</v>
      </c>
      <c r="I480" s="3">
        <v>32</v>
      </c>
      <c r="J480" s="3">
        <v>11</v>
      </c>
      <c r="K480" s="3">
        <v>1</v>
      </c>
      <c r="L480" s="3">
        <v>11</v>
      </c>
      <c r="M480" s="3">
        <v>11000</v>
      </c>
      <c r="N480" s="3">
        <v>121</v>
      </c>
      <c r="O480" s="3">
        <v>6.31</v>
      </c>
      <c r="P480" s="3">
        <v>763.51</v>
      </c>
      <c r="Q480" s="3">
        <v>11000</v>
      </c>
    </row>
    <row r="481" spans="1:17" ht="24.95" hidden="1" customHeight="1" x14ac:dyDescent="0.25">
      <c r="A481" s="3">
        <v>2</v>
      </c>
      <c r="B481" s="3" t="s">
        <v>396</v>
      </c>
      <c r="C481" s="3" t="s">
        <v>947</v>
      </c>
      <c r="I481" s="3">
        <v>32</v>
      </c>
      <c r="J481" s="3">
        <v>11</v>
      </c>
      <c r="K481" s="3">
        <v>1</v>
      </c>
      <c r="L481" s="3">
        <v>11</v>
      </c>
      <c r="M481" s="3">
        <v>7315</v>
      </c>
      <c r="N481" s="3">
        <v>80.465000000000003</v>
      </c>
      <c r="O481" s="3">
        <v>6.31</v>
      </c>
      <c r="P481" s="3">
        <v>507.73415</v>
      </c>
      <c r="Q481" s="3">
        <v>7315</v>
      </c>
    </row>
    <row r="482" spans="1:17" ht="24.95" hidden="1" customHeight="1" x14ac:dyDescent="0.25">
      <c r="A482" s="3">
        <v>2</v>
      </c>
      <c r="B482" s="3" t="s">
        <v>396</v>
      </c>
      <c r="C482" s="3" t="s">
        <v>948</v>
      </c>
      <c r="I482" s="3">
        <v>32</v>
      </c>
      <c r="J482" s="3">
        <v>5</v>
      </c>
      <c r="K482" s="3">
        <v>1</v>
      </c>
      <c r="L482" s="3">
        <v>5</v>
      </c>
      <c r="M482" s="3">
        <v>4700</v>
      </c>
      <c r="N482" s="3">
        <v>23.5</v>
      </c>
      <c r="O482" s="3">
        <v>6.31</v>
      </c>
      <c r="P482" s="3">
        <v>148.285</v>
      </c>
      <c r="Q482" s="3">
        <v>4700</v>
      </c>
    </row>
    <row r="483" spans="1:17" ht="24.95" hidden="1" customHeight="1" x14ac:dyDescent="0.25">
      <c r="A483" s="3">
        <v>2</v>
      </c>
      <c r="B483" s="3" t="s">
        <v>396</v>
      </c>
      <c r="C483" s="3" t="s">
        <v>949</v>
      </c>
      <c r="I483" s="3">
        <v>32</v>
      </c>
      <c r="J483" s="3">
        <v>21</v>
      </c>
      <c r="K483" s="3">
        <v>1</v>
      </c>
      <c r="L483" s="3">
        <v>21</v>
      </c>
      <c r="M483" s="3">
        <v>4800</v>
      </c>
      <c r="N483" s="3">
        <v>100.8</v>
      </c>
      <c r="O483" s="3">
        <v>6.31</v>
      </c>
      <c r="P483" s="3">
        <v>636.04799999999989</v>
      </c>
      <c r="Q483" s="3">
        <v>4800</v>
      </c>
    </row>
    <row r="484" spans="1:17" ht="24.95" hidden="1" customHeight="1" x14ac:dyDescent="0.25">
      <c r="A484" s="3">
        <v>2</v>
      </c>
      <c r="B484" s="3" t="s">
        <v>396</v>
      </c>
      <c r="C484" s="3" t="s">
        <v>950</v>
      </c>
      <c r="I484" s="3">
        <v>32</v>
      </c>
      <c r="J484" s="3">
        <v>11</v>
      </c>
      <c r="K484" s="3">
        <v>1</v>
      </c>
      <c r="L484" s="3">
        <v>11</v>
      </c>
      <c r="M484" s="3">
        <v>4500</v>
      </c>
      <c r="N484" s="3">
        <v>49.5</v>
      </c>
      <c r="O484" s="3">
        <v>6.31</v>
      </c>
      <c r="P484" s="3">
        <v>312.34499999999997</v>
      </c>
      <c r="Q484" s="3">
        <v>4500</v>
      </c>
    </row>
    <row r="485" spans="1:17" ht="24.95" hidden="1" customHeight="1" x14ac:dyDescent="0.25">
      <c r="A485" s="3">
        <v>2</v>
      </c>
      <c r="B485" s="3" t="s">
        <v>396</v>
      </c>
      <c r="C485" s="3" t="s">
        <v>951</v>
      </c>
      <c r="I485" s="3">
        <v>14</v>
      </c>
      <c r="J485" s="3">
        <v>277</v>
      </c>
      <c r="K485" s="3">
        <v>1</v>
      </c>
      <c r="L485" s="3">
        <v>277</v>
      </c>
      <c r="M485" s="3">
        <v>7870</v>
      </c>
      <c r="N485" s="3">
        <v>2179.9899999999998</v>
      </c>
      <c r="O485" s="3">
        <v>1.21</v>
      </c>
      <c r="P485" s="3">
        <v>2637.7878999999998</v>
      </c>
      <c r="Q485" s="3">
        <v>7870</v>
      </c>
    </row>
    <row r="486" spans="1:17" ht="24.95" hidden="1" customHeight="1" x14ac:dyDescent="0.25">
      <c r="A486" s="3">
        <v>2</v>
      </c>
      <c r="B486" s="3" t="s">
        <v>396</v>
      </c>
      <c r="C486" s="3" t="s">
        <v>952</v>
      </c>
      <c r="I486" s="3">
        <v>14</v>
      </c>
      <c r="J486" s="3">
        <v>277</v>
      </c>
      <c r="K486" s="3">
        <v>1</v>
      </c>
      <c r="L486" s="3">
        <v>277</v>
      </c>
      <c r="M486" s="3">
        <v>4350</v>
      </c>
      <c r="N486" s="3">
        <v>1204.95</v>
      </c>
      <c r="O486" s="3">
        <v>1.21</v>
      </c>
      <c r="P486" s="3">
        <v>1457.9894999999999</v>
      </c>
      <c r="Q486" s="3">
        <v>4350</v>
      </c>
    </row>
    <row r="487" spans="1:17" ht="24.95" hidden="1" customHeight="1" x14ac:dyDescent="0.25">
      <c r="A487" s="3">
        <v>2</v>
      </c>
      <c r="B487" s="3" t="s">
        <v>396</v>
      </c>
      <c r="C487" s="3" t="s">
        <v>953</v>
      </c>
      <c r="I487" s="3">
        <v>14</v>
      </c>
      <c r="J487" s="3">
        <v>2493</v>
      </c>
      <c r="K487" s="3">
        <v>1</v>
      </c>
      <c r="L487" s="3">
        <v>2493</v>
      </c>
      <c r="M487" s="3">
        <v>2670</v>
      </c>
      <c r="N487" s="3">
        <v>6656.31</v>
      </c>
      <c r="O487" s="3">
        <v>1.21</v>
      </c>
      <c r="P487" s="3">
        <v>8054.1351000000004</v>
      </c>
      <c r="Q487" s="3">
        <v>2670</v>
      </c>
    </row>
    <row r="488" spans="1:17" ht="24.95" hidden="1" customHeight="1" x14ac:dyDescent="0.25">
      <c r="A488" s="3">
        <v>2</v>
      </c>
      <c r="B488" s="3" t="s">
        <v>396</v>
      </c>
      <c r="C488" s="3" t="s">
        <v>954</v>
      </c>
      <c r="I488" s="3">
        <v>18</v>
      </c>
      <c r="J488" s="3">
        <v>12</v>
      </c>
      <c r="K488" s="3">
        <v>1</v>
      </c>
      <c r="L488" s="3">
        <v>12</v>
      </c>
      <c r="M488" s="3">
        <v>11700</v>
      </c>
      <c r="N488" s="3">
        <v>140.4</v>
      </c>
      <c r="O488" s="3">
        <v>2</v>
      </c>
      <c r="P488" s="3">
        <v>280.8</v>
      </c>
      <c r="Q488" s="3">
        <v>11700</v>
      </c>
    </row>
    <row r="489" spans="1:17" ht="24.95" hidden="1" customHeight="1" x14ac:dyDescent="0.25">
      <c r="A489" s="3">
        <v>2</v>
      </c>
      <c r="B489" s="3" t="s">
        <v>396</v>
      </c>
      <c r="C489" s="3" t="s">
        <v>955</v>
      </c>
      <c r="I489" s="3">
        <v>18</v>
      </c>
      <c r="J489" s="3">
        <v>12</v>
      </c>
      <c r="K489" s="3">
        <v>1</v>
      </c>
      <c r="L489" s="3">
        <v>12</v>
      </c>
      <c r="M489" s="3">
        <v>11700</v>
      </c>
      <c r="N489" s="3">
        <v>140.4</v>
      </c>
      <c r="O489" s="3">
        <v>2</v>
      </c>
      <c r="P489" s="3">
        <v>280.8</v>
      </c>
      <c r="Q489" s="3">
        <v>11700</v>
      </c>
    </row>
    <row r="490" spans="1:17" ht="24.95" hidden="1" customHeight="1" x14ac:dyDescent="0.25">
      <c r="A490" s="3">
        <v>2</v>
      </c>
      <c r="B490" s="3" t="s">
        <v>396</v>
      </c>
      <c r="C490" s="3" t="s">
        <v>956</v>
      </c>
      <c r="I490" s="3">
        <v>18</v>
      </c>
      <c r="J490" s="3">
        <v>12</v>
      </c>
      <c r="K490" s="3">
        <v>1</v>
      </c>
      <c r="L490" s="3">
        <v>12</v>
      </c>
      <c r="M490" s="3">
        <v>11700</v>
      </c>
      <c r="N490" s="3">
        <v>140.4</v>
      </c>
      <c r="O490" s="3">
        <v>2</v>
      </c>
      <c r="P490" s="3">
        <v>280.8</v>
      </c>
      <c r="Q490" s="3">
        <v>11700</v>
      </c>
    </row>
    <row r="491" spans="1:17" ht="24.95" hidden="1" customHeight="1" x14ac:dyDescent="0.25">
      <c r="A491" s="3">
        <v>2</v>
      </c>
      <c r="B491" s="3" t="s">
        <v>396</v>
      </c>
      <c r="C491" s="3" t="s">
        <v>957</v>
      </c>
      <c r="I491" s="3">
        <v>18</v>
      </c>
      <c r="J491" s="3">
        <v>12</v>
      </c>
      <c r="K491" s="3">
        <v>1</v>
      </c>
      <c r="L491" s="3">
        <v>12</v>
      </c>
      <c r="M491" s="3">
        <v>11700</v>
      </c>
      <c r="N491" s="3">
        <v>140.4</v>
      </c>
      <c r="O491" s="3">
        <v>2</v>
      </c>
      <c r="P491" s="3">
        <v>280.8</v>
      </c>
      <c r="Q491" s="3">
        <v>11700</v>
      </c>
    </row>
    <row r="492" spans="1:17" ht="24.95" hidden="1" customHeight="1" x14ac:dyDescent="0.25">
      <c r="A492" s="3">
        <v>2</v>
      </c>
      <c r="B492" s="3" t="s">
        <v>396</v>
      </c>
      <c r="C492" s="3" t="s">
        <v>958</v>
      </c>
      <c r="I492" s="3">
        <v>18</v>
      </c>
      <c r="J492" s="3">
        <v>12</v>
      </c>
      <c r="K492" s="3">
        <v>1</v>
      </c>
      <c r="L492" s="3">
        <v>12</v>
      </c>
      <c r="M492" s="3">
        <v>1940</v>
      </c>
      <c r="N492" s="3">
        <v>23.28</v>
      </c>
      <c r="O492" s="3">
        <v>2</v>
      </c>
      <c r="P492" s="3">
        <v>46.56</v>
      </c>
      <c r="Q492" s="3">
        <v>1940</v>
      </c>
    </row>
    <row r="493" spans="1:17" ht="24.95" hidden="1" customHeight="1" x14ac:dyDescent="0.25">
      <c r="A493" s="3">
        <v>2</v>
      </c>
      <c r="B493" s="3" t="s">
        <v>396</v>
      </c>
      <c r="C493" s="3" t="s">
        <v>959</v>
      </c>
      <c r="I493" s="3">
        <v>14</v>
      </c>
      <c r="J493" s="3">
        <v>852</v>
      </c>
      <c r="K493" s="3">
        <v>1</v>
      </c>
      <c r="L493" s="3">
        <v>852</v>
      </c>
      <c r="M493" s="3">
        <v>3370</v>
      </c>
      <c r="N493" s="3">
        <v>2871.24</v>
      </c>
      <c r="O493" s="3">
        <v>1.21</v>
      </c>
      <c r="P493" s="3">
        <v>3474.2003999999997</v>
      </c>
      <c r="Q493" s="3">
        <v>3370</v>
      </c>
    </row>
    <row r="494" spans="1:17" ht="24.95" hidden="1" customHeight="1" x14ac:dyDescent="0.25">
      <c r="A494" s="3">
        <v>2</v>
      </c>
      <c r="B494" s="3" t="s">
        <v>396</v>
      </c>
      <c r="C494" s="3" t="s">
        <v>960</v>
      </c>
      <c r="I494" s="3">
        <v>32</v>
      </c>
      <c r="J494" s="3">
        <v>67</v>
      </c>
      <c r="K494" s="3">
        <v>1</v>
      </c>
      <c r="L494" s="3">
        <v>67</v>
      </c>
      <c r="M494" s="3">
        <v>3090</v>
      </c>
      <c r="N494" s="3">
        <v>207.03</v>
      </c>
      <c r="O494" s="3">
        <v>6.31</v>
      </c>
      <c r="P494" s="3">
        <v>1306.3592999999998</v>
      </c>
      <c r="Q494" s="3">
        <v>3090</v>
      </c>
    </row>
    <row r="495" spans="1:17" ht="24.95" hidden="1" customHeight="1" x14ac:dyDescent="0.25">
      <c r="A495" s="3">
        <v>2</v>
      </c>
      <c r="B495" s="3" t="s">
        <v>396</v>
      </c>
      <c r="C495" s="3" t="s">
        <v>961</v>
      </c>
      <c r="I495" s="3">
        <v>14</v>
      </c>
      <c r="J495" s="3">
        <v>54</v>
      </c>
      <c r="K495" s="3">
        <v>1</v>
      </c>
      <c r="L495" s="3">
        <v>54</v>
      </c>
      <c r="M495" s="3">
        <v>11700</v>
      </c>
      <c r="N495" s="3">
        <v>631.79999999999995</v>
      </c>
      <c r="O495" s="3">
        <v>1.21</v>
      </c>
      <c r="P495" s="3">
        <v>764.47799999999995</v>
      </c>
      <c r="Q495" s="3">
        <v>11700</v>
      </c>
    </row>
    <row r="496" spans="1:17" ht="24.95" hidden="1" customHeight="1" x14ac:dyDescent="0.25">
      <c r="A496" s="3">
        <v>2</v>
      </c>
      <c r="B496" s="3" t="s">
        <v>396</v>
      </c>
      <c r="C496" s="3" t="s">
        <v>962</v>
      </c>
      <c r="I496" s="3">
        <v>14</v>
      </c>
      <c r="J496" s="3">
        <v>54</v>
      </c>
      <c r="K496" s="3">
        <v>1</v>
      </c>
      <c r="L496" s="3">
        <v>54</v>
      </c>
      <c r="M496" s="3">
        <v>11700</v>
      </c>
      <c r="N496" s="3">
        <v>631.79999999999995</v>
      </c>
      <c r="O496" s="3">
        <v>1.21</v>
      </c>
      <c r="P496" s="3">
        <v>764.47799999999995</v>
      </c>
      <c r="Q496" s="3">
        <v>11700</v>
      </c>
    </row>
    <row r="497" spans="1:17" ht="24.95" hidden="1" customHeight="1" x14ac:dyDescent="0.25">
      <c r="A497" s="3">
        <v>2</v>
      </c>
      <c r="B497" s="3" t="s">
        <v>396</v>
      </c>
      <c r="C497" s="3" t="s">
        <v>963</v>
      </c>
      <c r="I497" s="3">
        <v>14</v>
      </c>
      <c r="J497" s="3">
        <v>54</v>
      </c>
      <c r="K497" s="3">
        <v>1</v>
      </c>
      <c r="L497" s="3">
        <v>54</v>
      </c>
      <c r="M497" s="3">
        <v>11700</v>
      </c>
      <c r="N497" s="3">
        <v>631.79999999999995</v>
      </c>
      <c r="O497" s="3">
        <v>1.21</v>
      </c>
      <c r="P497" s="3">
        <v>764.47799999999995</v>
      </c>
      <c r="Q497" s="3">
        <v>11700</v>
      </c>
    </row>
    <row r="498" spans="1:17" ht="24.95" hidden="1" customHeight="1" x14ac:dyDescent="0.25">
      <c r="A498" s="3">
        <v>2</v>
      </c>
      <c r="B498" s="3" t="s">
        <v>396</v>
      </c>
      <c r="C498" s="3" t="s">
        <v>964</v>
      </c>
      <c r="I498" s="3">
        <v>14</v>
      </c>
      <c r="J498" s="3">
        <v>54</v>
      </c>
      <c r="K498" s="3">
        <v>1</v>
      </c>
      <c r="L498" s="3">
        <v>54</v>
      </c>
      <c r="M498" s="3">
        <v>11700</v>
      </c>
      <c r="N498" s="3">
        <v>631.79999999999995</v>
      </c>
      <c r="O498" s="3">
        <v>1.21</v>
      </c>
      <c r="P498" s="3">
        <v>764.47799999999995</v>
      </c>
      <c r="Q498" s="3">
        <v>11700</v>
      </c>
    </row>
    <row r="499" spans="1:17" ht="24.95" hidden="1" customHeight="1" x14ac:dyDescent="0.25">
      <c r="A499" s="3">
        <v>2</v>
      </c>
      <c r="B499" s="3" t="s">
        <v>396</v>
      </c>
      <c r="C499" s="3" t="s">
        <v>965</v>
      </c>
      <c r="I499" s="3">
        <v>14</v>
      </c>
      <c r="J499" s="3">
        <v>54</v>
      </c>
      <c r="K499" s="3">
        <v>1</v>
      </c>
      <c r="L499" s="3">
        <v>54</v>
      </c>
      <c r="M499" s="3">
        <v>1220</v>
      </c>
      <c r="N499" s="3">
        <v>65.88</v>
      </c>
      <c r="O499" s="3">
        <v>1.21</v>
      </c>
      <c r="P499" s="3">
        <v>79.714799999999997</v>
      </c>
      <c r="Q499" s="3">
        <v>1220</v>
      </c>
    </row>
    <row r="500" spans="1:17" ht="24.95" hidden="1" customHeight="1" x14ac:dyDescent="0.25">
      <c r="A500" s="3">
        <v>2</v>
      </c>
      <c r="B500" s="3" t="s">
        <v>397</v>
      </c>
      <c r="C500" s="3" t="s">
        <v>966</v>
      </c>
      <c r="I500" s="3">
        <v>32</v>
      </c>
      <c r="J500" s="3">
        <v>9</v>
      </c>
      <c r="K500" s="3">
        <v>1</v>
      </c>
      <c r="L500" s="3">
        <v>9</v>
      </c>
      <c r="M500" s="3">
        <v>11700</v>
      </c>
      <c r="N500" s="3">
        <v>105.3</v>
      </c>
      <c r="O500" s="3">
        <v>6.31</v>
      </c>
      <c r="P500" s="3">
        <v>664.44299999999998</v>
      </c>
      <c r="Q500" s="3">
        <v>11700</v>
      </c>
    </row>
    <row r="501" spans="1:17" ht="24.95" hidden="1" customHeight="1" x14ac:dyDescent="0.25">
      <c r="A501" s="3">
        <v>2</v>
      </c>
      <c r="B501" s="3" t="s">
        <v>397</v>
      </c>
      <c r="C501" s="3" t="s">
        <v>967</v>
      </c>
      <c r="I501" s="3">
        <v>32</v>
      </c>
      <c r="J501" s="3">
        <v>9</v>
      </c>
      <c r="K501" s="3">
        <v>1</v>
      </c>
      <c r="L501" s="3">
        <v>9</v>
      </c>
      <c r="M501" s="3">
        <v>8190</v>
      </c>
      <c r="N501" s="3">
        <v>73.709999999999994</v>
      </c>
      <c r="O501" s="3">
        <v>6.31</v>
      </c>
      <c r="P501" s="3">
        <v>465.11009999999993</v>
      </c>
      <c r="Q501" s="3">
        <v>8190</v>
      </c>
    </row>
    <row r="502" spans="1:17" ht="24.95" hidden="1" customHeight="1" x14ac:dyDescent="0.25">
      <c r="A502" s="3">
        <v>2</v>
      </c>
      <c r="B502" s="3" t="s">
        <v>397</v>
      </c>
      <c r="C502" s="3" t="s">
        <v>968</v>
      </c>
      <c r="I502" s="3">
        <v>32</v>
      </c>
      <c r="J502" s="3">
        <v>9</v>
      </c>
      <c r="K502" s="3">
        <v>1</v>
      </c>
      <c r="L502" s="3">
        <v>9</v>
      </c>
      <c r="M502" s="3">
        <v>11700</v>
      </c>
      <c r="N502" s="3">
        <v>105.3</v>
      </c>
      <c r="O502" s="3">
        <v>6.31</v>
      </c>
      <c r="P502" s="3">
        <v>664.44299999999998</v>
      </c>
      <c r="Q502" s="3">
        <v>11700</v>
      </c>
    </row>
    <row r="503" spans="1:17" ht="24.95" hidden="1" customHeight="1" x14ac:dyDescent="0.25">
      <c r="A503" s="3">
        <v>2</v>
      </c>
      <c r="B503" s="3" t="s">
        <v>397</v>
      </c>
      <c r="C503" s="3" t="s">
        <v>969</v>
      </c>
      <c r="I503" s="3">
        <v>32</v>
      </c>
      <c r="J503" s="3">
        <v>8</v>
      </c>
      <c r="K503" s="3">
        <v>1</v>
      </c>
      <c r="L503" s="3">
        <v>8</v>
      </c>
      <c r="M503" s="3">
        <v>9940</v>
      </c>
      <c r="N503" s="3">
        <v>79.52</v>
      </c>
      <c r="O503" s="3">
        <v>6.31</v>
      </c>
      <c r="P503" s="3">
        <v>501.77119999999996</v>
      </c>
      <c r="Q503" s="3">
        <v>9940</v>
      </c>
    </row>
    <row r="504" spans="1:17" ht="24.95" hidden="1" customHeight="1" x14ac:dyDescent="0.25">
      <c r="A504" s="3">
        <v>2</v>
      </c>
      <c r="B504" s="3" t="s">
        <v>397</v>
      </c>
      <c r="C504" s="3" t="s">
        <v>970</v>
      </c>
      <c r="I504" s="3">
        <v>32</v>
      </c>
      <c r="J504" s="3">
        <v>8</v>
      </c>
      <c r="K504" s="3">
        <v>1</v>
      </c>
      <c r="L504" s="3">
        <v>8</v>
      </c>
      <c r="M504" s="3">
        <v>11700</v>
      </c>
      <c r="N504" s="3">
        <v>93.6</v>
      </c>
      <c r="O504" s="3">
        <v>6.31</v>
      </c>
      <c r="P504" s="3">
        <v>590.61599999999987</v>
      </c>
      <c r="Q504" s="3">
        <v>11700</v>
      </c>
    </row>
    <row r="505" spans="1:17" ht="24.95" hidden="1" customHeight="1" x14ac:dyDescent="0.25">
      <c r="A505" s="3">
        <v>2</v>
      </c>
      <c r="B505" s="3" t="s">
        <v>397</v>
      </c>
      <c r="C505" s="3" t="s">
        <v>971</v>
      </c>
      <c r="I505" s="3">
        <v>32</v>
      </c>
      <c r="J505" s="3">
        <v>8</v>
      </c>
      <c r="K505" s="3">
        <v>1</v>
      </c>
      <c r="L505" s="3">
        <v>8</v>
      </c>
      <c r="M505" s="3">
        <v>9950</v>
      </c>
      <c r="N505" s="3">
        <v>79.599999999999994</v>
      </c>
      <c r="O505" s="3">
        <v>6.31</v>
      </c>
      <c r="P505" s="3">
        <v>502.27599999999995</v>
      </c>
      <c r="Q505" s="3">
        <v>9950</v>
      </c>
    </row>
    <row r="506" spans="1:17" ht="24.95" hidden="1" customHeight="1" x14ac:dyDescent="0.25">
      <c r="A506" s="3">
        <v>2</v>
      </c>
      <c r="B506" s="3" t="s">
        <v>397</v>
      </c>
      <c r="C506" s="3" t="s">
        <v>972</v>
      </c>
      <c r="I506" s="3">
        <v>32</v>
      </c>
      <c r="J506" s="3">
        <v>13</v>
      </c>
      <c r="K506" s="3">
        <v>1</v>
      </c>
      <c r="L506" s="3">
        <v>13</v>
      </c>
      <c r="M506" s="3">
        <v>10800</v>
      </c>
      <c r="N506" s="3">
        <v>140.4</v>
      </c>
      <c r="O506" s="3">
        <v>6.31</v>
      </c>
      <c r="P506" s="3">
        <v>885.92399999999998</v>
      </c>
      <c r="Q506" s="3">
        <v>10800</v>
      </c>
    </row>
    <row r="507" spans="1:17" ht="24.95" hidden="1" customHeight="1" x14ac:dyDescent="0.25">
      <c r="A507" s="3">
        <v>2</v>
      </c>
      <c r="B507" s="3" t="s">
        <v>397</v>
      </c>
      <c r="C507" s="3" t="s">
        <v>973</v>
      </c>
      <c r="I507" s="3">
        <v>32</v>
      </c>
      <c r="J507" s="3">
        <v>9</v>
      </c>
      <c r="K507" s="3">
        <v>1</v>
      </c>
      <c r="L507" s="3">
        <v>9</v>
      </c>
      <c r="M507" s="3">
        <v>9310</v>
      </c>
      <c r="N507" s="3">
        <v>83.79</v>
      </c>
      <c r="O507" s="3">
        <v>6.31</v>
      </c>
      <c r="P507" s="3">
        <v>528.71490000000006</v>
      </c>
      <c r="Q507" s="3">
        <v>9310</v>
      </c>
    </row>
    <row r="508" spans="1:17" ht="24.95" hidden="1" customHeight="1" x14ac:dyDescent="0.25">
      <c r="A508" s="3">
        <v>2</v>
      </c>
      <c r="B508" s="3" t="s">
        <v>397</v>
      </c>
      <c r="C508" s="3" t="s">
        <v>974</v>
      </c>
      <c r="I508" s="3">
        <v>32</v>
      </c>
      <c r="J508" s="3">
        <v>8</v>
      </c>
      <c r="K508" s="3">
        <v>1</v>
      </c>
      <c r="L508" s="3">
        <v>8</v>
      </c>
      <c r="M508" s="3">
        <v>9310</v>
      </c>
      <c r="N508" s="3">
        <v>74.48</v>
      </c>
      <c r="O508" s="3">
        <v>6.31</v>
      </c>
      <c r="P508" s="3">
        <v>469.96879999999999</v>
      </c>
      <c r="Q508" s="3">
        <v>9310</v>
      </c>
    </row>
    <row r="509" spans="1:17" ht="24.95" hidden="1" customHeight="1" x14ac:dyDescent="0.25">
      <c r="A509" s="3">
        <v>2</v>
      </c>
      <c r="B509" s="3" t="s">
        <v>397</v>
      </c>
      <c r="C509" s="3" t="s">
        <v>975</v>
      </c>
      <c r="I509" s="3">
        <v>32</v>
      </c>
      <c r="J509" s="3">
        <v>8</v>
      </c>
      <c r="K509" s="3">
        <v>1</v>
      </c>
      <c r="L509" s="3">
        <v>8</v>
      </c>
      <c r="M509" s="3">
        <v>11700</v>
      </c>
      <c r="N509" s="3">
        <v>93.6</v>
      </c>
      <c r="O509" s="3">
        <v>6.31</v>
      </c>
      <c r="P509" s="3">
        <v>590.61599999999987</v>
      </c>
      <c r="Q509" s="3">
        <v>11700</v>
      </c>
    </row>
    <row r="510" spans="1:17" ht="24.95" hidden="1" customHeight="1" x14ac:dyDescent="0.25">
      <c r="A510" s="3">
        <v>2</v>
      </c>
      <c r="B510" s="3" t="s">
        <v>397</v>
      </c>
      <c r="C510" s="3" t="s">
        <v>976</v>
      </c>
      <c r="I510" s="3">
        <v>32</v>
      </c>
      <c r="J510" s="3">
        <v>9</v>
      </c>
      <c r="K510" s="3">
        <v>1</v>
      </c>
      <c r="L510" s="3">
        <v>9</v>
      </c>
      <c r="M510" s="3">
        <v>11700</v>
      </c>
      <c r="N510" s="3">
        <v>105.3</v>
      </c>
      <c r="O510" s="3">
        <v>6.31</v>
      </c>
      <c r="P510" s="3">
        <v>664.44299999999998</v>
      </c>
      <c r="Q510" s="3">
        <v>11700</v>
      </c>
    </row>
    <row r="511" spans="1:17" ht="24.95" hidden="1" customHeight="1" x14ac:dyDescent="0.25">
      <c r="A511" s="3">
        <v>2</v>
      </c>
      <c r="B511" s="3" t="s">
        <v>397</v>
      </c>
      <c r="C511" s="3" t="s">
        <v>977</v>
      </c>
      <c r="I511" s="3">
        <v>32</v>
      </c>
      <c r="J511" s="3">
        <v>6</v>
      </c>
      <c r="K511" s="3">
        <v>1</v>
      </c>
      <c r="L511" s="3">
        <v>6</v>
      </c>
      <c r="M511" s="3">
        <v>10720</v>
      </c>
      <c r="N511" s="3">
        <v>64.319999999999993</v>
      </c>
      <c r="O511" s="3">
        <v>6.31</v>
      </c>
      <c r="P511" s="3">
        <v>405.85919999999993</v>
      </c>
      <c r="Q511" s="3">
        <v>10720</v>
      </c>
    </row>
    <row r="512" spans="1:17" ht="24.95" hidden="1" customHeight="1" x14ac:dyDescent="0.25">
      <c r="A512" s="3">
        <v>2</v>
      </c>
      <c r="B512" s="3" t="s">
        <v>397</v>
      </c>
      <c r="C512" s="3" t="s">
        <v>978</v>
      </c>
      <c r="I512" s="3">
        <v>14</v>
      </c>
      <c r="J512" s="3">
        <v>156</v>
      </c>
      <c r="K512" s="3">
        <v>1</v>
      </c>
      <c r="L512" s="3">
        <v>156</v>
      </c>
      <c r="M512" s="3">
        <v>7370</v>
      </c>
      <c r="N512" s="3">
        <v>1149.72</v>
      </c>
      <c r="O512" s="3">
        <v>1.21</v>
      </c>
      <c r="P512" s="3">
        <v>1391.1612</v>
      </c>
      <c r="Q512" s="3">
        <v>7370</v>
      </c>
    </row>
    <row r="513" spans="1:17" ht="24.95" hidden="1" customHeight="1" x14ac:dyDescent="0.25">
      <c r="A513" s="3">
        <v>2</v>
      </c>
      <c r="B513" s="3" t="s">
        <v>397</v>
      </c>
      <c r="C513" s="3" t="s">
        <v>979</v>
      </c>
      <c r="I513" s="3">
        <v>14</v>
      </c>
      <c r="J513" s="3">
        <v>156</v>
      </c>
      <c r="K513" s="3">
        <v>1</v>
      </c>
      <c r="L513" s="3">
        <v>156</v>
      </c>
      <c r="M513" s="3">
        <v>3850</v>
      </c>
      <c r="N513" s="3">
        <v>600.6</v>
      </c>
      <c r="O513" s="3">
        <v>1.21</v>
      </c>
      <c r="P513" s="3">
        <v>726.726</v>
      </c>
      <c r="Q513" s="3">
        <v>3850</v>
      </c>
    </row>
    <row r="514" spans="1:17" ht="24.95" hidden="1" customHeight="1" x14ac:dyDescent="0.25">
      <c r="A514" s="3">
        <v>2</v>
      </c>
      <c r="B514" s="3" t="s">
        <v>397</v>
      </c>
      <c r="C514" s="3" t="s">
        <v>980</v>
      </c>
      <c r="I514" s="3">
        <v>14</v>
      </c>
      <c r="J514" s="3">
        <v>1092</v>
      </c>
      <c r="K514" s="3">
        <v>1</v>
      </c>
      <c r="L514" s="3">
        <v>1092</v>
      </c>
      <c r="M514" s="3">
        <v>2670</v>
      </c>
      <c r="N514" s="3">
        <v>2915.64</v>
      </c>
      <c r="O514" s="3">
        <v>1.21</v>
      </c>
      <c r="P514" s="3">
        <v>3527.9243999999999</v>
      </c>
      <c r="Q514" s="3">
        <v>2670</v>
      </c>
    </row>
    <row r="515" spans="1:17" ht="24.95" hidden="1" customHeight="1" x14ac:dyDescent="0.25">
      <c r="A515" s="3">
        <v>2</v>
      </c>
      <c r="B515" s="3" t="s">
        <v>397</v>
      </c>
      <c r="C515" s="3" t="s">
        <v>981</v>
      </c>
      <c r="I515" s="3">
        <v>14</v>
      </c>
      <c r="J515" s="3">
        <v>474</v>
      </c>
      <c r="K515" s="3">
        <v>1</v>
      </c>
      <c r="L515" s="3">
        <v>474</v>
      </c>
      <c r="M515" s="3">
        <v>2870</v>
      </c>
      <c r="N515" s="3">
        <v>1360.38</v>
      </c>
      <c r="O515" s="3">
        <v>1.21</v>
      </c>
      <c r="P515" s="3">
        <v>1646.0598</v>
      </c>
      <c r="Q515" s="3">
        <v>2870</v>
      </c>
    </row>
    <row r="516" spans="1:17" ht="24.95" hidden="1" customHeight="1" x14ac:dyDescent="0.25">
      <c r="A516" s="3">
        <v>2</v>
      </c>
      <c r="B516" s="3" t="s">
        <v>397</v>
      </c>
      <c r="C516" s="3" t="s">
        <v>982</v>
      </c>
      <c r="I516" s="3">
        <v>32</v>
      </c>
      <c r="J516" s="3">
        <v>27</v>
      </c>
      <c r="K516" s="3">
        <v>1</v>
      </c>
      <c r="L516" s="3">
        <v>27</v>
      </c>
      <c r="M516" s="3">
        <v>2590</v>
      </c>
      <c r="N516" s="3">
        <v>69.930000000000007</v>
      </c>
      <c r="O516" s="3">
        <v>6.31</v>
      </c>
      <c r="P516" s="3">
        <v>441.25830000000002</v>
      </c>
      <c r="Q516" s="3">
        <v>2590</v>
      </c>
    </row>
    <row r="517" spans="1:17" ht="24.95" hidden="1" customHeight="1" x14ac:dyDescent="0.25">
      <c r="A517" s="3">
        <v>2</v>
      </c>
      <c r="B517" s="3" t="s">
        <v>398</v>
      </c>
      <c r="C517" s="3" t="s">
        <v>983</v>
      </c>
      <c r="I517" s="3">
        <v>32</v>
      </c>
      <c r="J517" s="3">
        <v>3</v>
      </c>
      <c r="K517" s="3">
        <v>1</v>
      </c>
      <c r="L517" s="3">
        <v>3</v>
      </c>
      <c r="M517" s="3">
        <v>11750</v>
      </c>
      <c r="N517" s="3">
        <v>35.25</v>
      </c>
      <c r="O517" s="3">
        <v>6.31</v>
      </c>
      <c r="P517" s="3">
        <v>222.42749999999998</v>
      </c>
      <c r="Q517" s="3">
        <v>11750</v>
      </c>
    </row>
    <row r="518" spans="1:17" ht="24.95" hidden="1" customHeight="1" x14ac:dyDescent="0.25">
      <c r="A518" s="3">
        <v>2</v>
      </c>
      <c r="B518" s="3" t="s">
        <v>398</v>
      </c>
      <c r="C518" s="3" t="s">
        <v>984</v>
      </c>
      <c r="I518" s="3">
        <v>32</v>
      </c>
      <c r="J518" s="3">
        <v>3</v>
      </c>
      <c r="K518" s="3">
        <v>1</v>
      </c>
      <c r="L518" s="3">
        <v>3</v>
      </c>
      <c r="M518" s="3">
        <v>8090</v>
      </c>
      <c r="N518" s="3">
        <v>24.27</v>
      </c>
      <c r="O518" s="3">
        <v>6.31</v>
      </c>
      <c r="P518" s="3">
        <v>153.1437</v>
      </c>
      <c r="Q518" s="3">
        <v>8090</v>
      </c>
    </row>
    <row r="519" spans="1:17" ht="24.95" hidden="1" customHeight="1" x14ac:dyDescent="0.25">
      <c r="A519" s="3">
        <v>2</v>
      </c>
      <c r="B519" s="3" t="s">
        <v>398</v>
      </c>
      <c r="C519" s="3" t="s">
        <v>985</v>
      </c>
      <c r="I519" s="3">
        <v>32</v>
      </c>
      <c r="J519" s="3">
        <v>3</v>
      </c>
      <c r="K519" s="3">
        <v>1</v>
      </c>
      <c r="L519" s="3">
        <v>3</v>
      </c>
      <c r="M519" s="3">
        <v>11700</v>
      </c>
      <c r="N519" s="3">
        <v>35.1</v>
      </c>
      <c r="O519" s="3">
        <v>6.31</v>
      </c>
      <c r="P519" s="3">
        <v>221.48099999999999</v>
      </c>
      <c r="Q519" s="3">
        <v>11700</v>
      </c>
    </row>
    <row r="520" spans="1:17" ht="24.95" hidden="1" customHeight="1" x14ac:dyDescent="0.25">
      <c r="A520" s="3">
        <v>2</v>
      </c>
      <c r="B520" s="3" t="s">
        <v>398</v>
      </c>
      <c r="C520" s="3" t="s">
        <v>986</v>
      </c>
      <c r="I520" s="3">
        <v>32</v>
      </c>
      <c r="J520" s="3">
        <v>4</v>
      </c>
      <c r="K520" s="3">
        <v>1</v>
      </c>
      <c r="L520" s="3">
        <v>4</v>
      </c>
      <c r="M520" s="3">
        <v>9940</v>
      </c>
      <c r="N520" s="3">
        <v>39.76</v>
      </c>
      <c r="O520" s="3">
        <v>6.31</v>
      </c>
      <c r="P520" s="3">
        <v>250.88559999999998</v>
      </c>
      <c r="Q520" s="3">
        <v>9940</v>
      </c>
    </row>
    <row r="521" spans="1:17" ht="24.95" hidden="1" customHeight="1" x14ac:dyDescent="0.25">
      <c r="A521" s="3">
        <v>2</v>
      </c>
      <c r="B521" s="3" t="s">
        <v>398</v>
      </c>
      <c r="C521" s="3" t="s">
        <v>987</v>
      </c>
      <c r="I521" s="3">
        <v>32</v>
      </c>
      <c r="J521" s="3">
        <v>4</v>
      </c>
      <c r="K521" s="3">
        <v>1</v>
      </c>
      <c r="L521" s="3">
        <v>4</v>
      </c>
      <c r="M521" s="3">
        <v>11700</v>
      </c>
      <c r="N521" s="3">
        <v>46.8</v>
      </c>
      <c r="O521" s="3">
        <v>6.31</v>
      </c>
      <c r="P521" s="3">
        <v>295.30799999999994</v>
      </c>
      <c r="Q521" s="3">
        <v>11700</v>
      </c>
    </row>
    <row r="522" spans="1:17" ht="24.95" hidden="1" customHeight="1" x14ac:dyDescent="0.25">
      <c r="A522" s="3">
        <v>2</v>
      </c>
      <c r="B522" s="3" t="s">
        <v>398</v>
      </c>
      <c r="C522" s="3" t="s">
        <v>988</v>
      </c>
      <c r="I522" s="3">
        <v>32</v>
      </c>
      <c r="J522" s="3">
        <v>4</v>
      </c>
      <c r="K522" s="3">
        <v>1</v>
      </c>
      <c r="L522" s="3">
        <v>4</v>
      </c>
      <c r="M522" s="3">
        <v>9900</v>
      </c>
      <c r="N522" s="3">
        <v>39.6</v>
      </c>
      <c r="O522" s="3">
        <v>6.31</v>
      </c>
      <c r="P522" s="3">
        <v>249.876</v>
      </c>
      <c r="Q522" s="3">
        <v>9900</v>
      </c>
    </row>
    <row r="523" spans="1:17" ht="24.95" hidden="1" customHeight="1" x14ac:dyDescent="0.25">
      <c r="A523" s="3">
        <v>2</v>
      </c>
      <c r="B523" s="3" t="s">
        <v>398</v>
      </c>
      <c r="C523" s="3" t="s">
        <v>989</v>
      </c>
      <c r="I523" s="3">
        <v>32</v>
      </c>
      <c r="J523" s="3">
        <v>4</v>
      </c>
      <c r="K523" s="3">
        <v>1</v>
      </c>
      <c r="L523" s="3">
        <v>4</v>
      </c>
      <c r="M523" s="3">
        <v>11700</v>
      </c>
      <c r="N523" s="3">
        <v>46.8</v>
      </c>
      <c r="O523" s="3">
        <v>6.31</v>
      </c>
      <c r="P523" s="3">
        <v>295.30799999999994</v>
      </c>
      <c r="Q523" s="3">
        <v>11700</v>
      </c>
    </row>
    <row r="524" spans="1:17" ht="24.95" hidden="1" customHeight="1" x14ac:dyDescent="0.25">
      <c r="A524" s="3">
        <v>2</v>
      </c>
      <c r="B524" s="3" t="s">
        <v>398</v>
      </c>
      <c r="C524" s="3" t="s">
        <v>990</v>
      </c>
      <c r="I524" s="3">
        <v>32</v>
      </c>
      <c r="J524" s="3">
        <v>4</v>
      </c>
      <c r="K524" s="3">
        <v>1</v>
      </c>
      <c r="L524" s="3">
        <v>4</v>
      </c>
      <c r="M524" s="3">
        <v>8040</v>
      </c>
      <c r="N524" s="3">
        <v>32.159999999999997</v>
      </c>
      <c r="O524" s="3">
        <v>6.31</v>
      </c>
      <c r="P524" s="3">
        <v>202.92959999999997</v>
      </c>
      <c r="Q524" s="3">
        <v>8040</v>
      </c>
    </row>
    <row r="525" spans="1:17" ht="24.95" hidden="1" customHeight="1" x14ac:dyDescent="0.25">
      <c r="A525" s="3">
        <v>2</v>
      </c>
      <c r="B525" s="3" t="s">
        <v>398</v>
      </c>
      <c r="C525" s="3" t="s">
        <v>991</v>
      </c>
      <c r="I525" s="3">
        <v>32</v>
      </c>
      <c r="J525" s="3">
        <v>4</v>
      </c>
      <c r="K525" s="3">
        <v>1</v>
      </c>
      <c r="L525" s="3">
        <v>4</v>
      </c>
      <c r="M525" s="3">
        <v>11700</v>
      </c>
      <c r="N525" s="3">
        <v>46.8</v>
      </c>
      <c r="O525" s="3">
        <v>6.31</v>
      </c>
      <c r="P525" s="3">
        <v>295.30799999999994</v>
      </c>
      <c r="Q525" s="3">
        <v>11700</v>
      </c>
    </row>
    <row r="526" spans="1:17" ht="24.95" hidden="1" customHeight="1" x14ac:dyDescent="0.25">
      <c r="A526" s="3">
        <v>2</v>
      </c>
      <c r="B526" s="3" t="s">
        <v>398</v>
      </c>
      <c r="C526" s="3" t="s">
        <v>992</v>
      </c>
      <c r="I526" s="3">
        <v>32</v>
      </c>
      <c r="J526" s="3">
        <v>3</v>
      </c>
      <c r="K526" s="3">
        <v>1</v>
      </c>
      <c r="L526" s="3">
        <v>3</v>
      </c>
      <c r="M526" s="3">
        <v>9940</v>
      </c>
      <c r="N526" s="3">
        <v>29.82</v>
      </c>
      <c r="O526" s="3">
        <v>6.31</v>
      </c>
      <c r="P526" s="3">
        <v>188.16419999999999</v>
      </c>
      <c r="Q526" s="3">
        <v>9940</v>
      </c>
    </row>
    <row r="527" spans="1:17" ht="24.95" hidden="1" customHeight="1" x14ac:dyDescent="0.25">
      <c r="A527" s="3">
        <v>2</v>
      </c>
      <c r="B527" s="3" t="s">
        <v>398</v>
      </c>
      <c r="C527" s="3" t="s">
        <v>993</v>
      </c>
      <c r="I527" s="3">
        <v>32</v>
      </c>
      <c r="J527" s="3">
        <v>3</v>
      </c>
      <c r="K527" s="3">
        <v>1</v>
      </c>
      <c r="L527" s="3">
        <v>3</v>
      </c>
      <c r="M527" s="3">
        <v>11700</v>
      </c>
      <c r="N527" s="3">
        <v>35.1</v>
      </c>
      <c r="O527" s="3">
        <v>6.31</v>
      </c>
      <c r="P527" s="3">
        <v>221.48099999999999</v>
      </c>
      <c r="Q527" s="3">
        <v>11700</v>
      </c>
    </row>
    <row r="528" spans="1:17" ht="24.95" hidden="1" customHeight="1" x14ac:dyDescent="0.25">
      <c r="A528" s="3">
        <v>2</v>
      </c>
      <c r="B528" s="3" t="s">
        <v>398</v>
      </c>
      <c r="C528" s="3" t="s">
        <v>994</v>
      </c>
      <c r="I528" s="3">
        <v>32</v>
      </c>
      <c r="J528" s="3">
        <v>3</v>
      </c>
      <c r="K528" s="3">
        <v>1</v>
      </c>
      <c r="L528" s="3">
        <v>3</v>
      </c>
      <c r="M528" s="3">
        <v>9800</v>
      </c>
      <c r="N528" s="3">
        <v>29.4</v>
      </c>
      <c r="O528" s="3">
        <v>6.31</v>
      </c>
      <c r="P528" s="3">
        <v>185.51399999999998</v>
      </c>
      <c r="Q528" s="3">
        <v>9800</v>
      </c>
    </row>
    <row r="529" spans="1:17" ht="24.95" hidden="1" customHeight="1" x14ac:dyDescent="0.25">
      <c r="A529" s="3">
        <v>2</v>
      </c>
      <c r="B529" s="3" t="s">
        <v>398</v>
      </c>
      <c r="C529" s="3" t="s">
        <v>995</v>
      </c>
      <c r="I529" s="3">
        <v>32</v>
      </c>
      <c r="J529" s="3">
        <v>7</v>
      </c>
      <c r="K529" s="3">
        <v>1</v>
      </c>
      <c r="L529" s="3">
        <v>7</v>
      </c>
      <c r="M529" s="3">
        <v>10200</v>
      </c>
      <c r="N529" s="3">
        <v>71.400000000000006</v>
      </c>
      <c r="O529" s="3">
        <v>6.31</v>
      </c>
      <c r="P529" s="3">
        <v>450.53399999999999</v>
      </c>
      <c r="Q529" s="3">
        <v>10200</v>
      </c>
    </row>
    <row r="530" spans="1:17" ht="24.95" hidden="1" customHeight="1" x14ac:dyDescent="0.25">
      <c r="A530" s="3">
        <v>2</v>
      </c>
      <c r="B530" s="3" t="s">
        <v>398</v>
      </c>
      <c r="C530" s="3" t="s">
        <v>996</v>
      </c>
      <c r="I530" s="3">
        <v>32</v>
      </c>
      <c r="J530" s="3">
        <v>3</v>
      </c>
      <c r="K530" s="3">
        <v>1</v>
      </c>
      <c r="L530" s="3">
        <v>3</v>
      </c>
      <c r="M530" s="3">
        <v>6550</v>
      </c>
      <c r="N530" s="3">
        <v>19.649999999999999</v>
      </c>
      <c r="O530" s="3">
        <v>6.31</v>
      </c>
      <c r="P530" s="3">
        <v>123.99149999999999</v>
      </c>
      <c r="Q530" s="3">
        <v>6550</v>
      </c>
    </row>
    <row r="531" spans="1:17" ht="24.95" hidden="1" customHeight="1" x14ac:dyDescent="0.25">
      <c r="A531" s="3">
        <v>2</v>
      </c>
      <c r="B531" s="3" t="s">
        <v>398</v>
      </c>
      <c r="C531" s="3" t="s">
        <v>997</v>
      </c>
      <c r="I531" s="3">
        <v>32</v>
      </c>
      <c r="J531" s="3">
        <v>3</v>
      </c>
      <c r="K531" s="3">
        <v>1</v>
      </c>
      <c r="L531" s="3">
        <v>3</v>
      </c>
      <c r="M531" s="3">
        <v>10840</v>
      </c>
      <c r="N531" s="3">
        <v>32.520000000000003</v>
      </c>
      <c r="O531" s="3">
        <v>6.31</v>
      </c>
      <c r="P531" s="3">
        <v>205.2012</v>
      </c>
      <c r="Q531" s="3">
        <v>10840</v>
      </c>
    </row>
    <row r="532" spans="1:17" ht="24.95" hidden="1" customHeight="1" x14ac:dyDescent="0.25">
      <c r="A532" s="3">
        <v>2</v>
      </c>
      <c r="B532" s="3" t="s">
        <v>398</v>
      </c>
      <c r="C532" s="3" t="s">
        <v>998</v>
      </c>
      <c r="I532" s="3">
        <v>32</v>
      </c>
      <c r="J532" s="3">
        <v>3</v>
      </c>
      <c r="K532" s="3">
        <v>1</v>
      </c>
      <c r="L532" s="3">
        <v>3</v>
      </c>
      <c r="M532" s="3">
        <v>8180</v>
      </c>
      <c r="N532" s="3">
        <v>24.54</v>
      </c>
      <c r="O532" s="3">
        <v>6.31</v>
      </c>
      <c r="P532" s="3">
        <v>154.84739999999999</v>
      </c>
      <c r="Q532" s="3">
        <v>8180</v>
      </c>
    </row>
    <row r="533" spans="1:17" ht="24.95" hidden="1" customHeight="1" x14ac:dyDescent="0.25">
      <c r="A533" s="3">
        <v>2</v>
      </c>
      <c r="B533" s="3" t="s">
        <v>398</v>
      </c>
      <c r="C533" s="3" t="s">
        <v>999</v>
      </c>
      <c r="I533" s="3">
        <v>32</v>
      </c>
      <c r="J533" s="3">
        <v>3</v>
      </c>
      <c r="K533" s="3">
        <v>1</v>
      </c>
      <c r="L533" s="3">
        <v>3</v>
      </c>
      <c r="M533" s="3">
        <v>7260</v>
      </c>
      <c r="N533" s="3">
        <v>21.78</v>
      </c>
      <c r="O533" s="3">
        <v>6.31</v>
      </c>
      <c r="P533" s="3">
        <v>137.43180000000001</v>
      </c>
      <c r="Q533" s="3">
        <v>7260</v>
      </c>
    </row>
    <row r="534" spans="1:17" ht="24.95" hidden="1" customHeight="1" x14ac:dyDescent="0.25">
      <c r="A534" s="3">
        <v>2</v>
      </c>
      <c r="B534" s="3" t="s">
        <v>398</v>
      </c>
      <c r="C534" s="3" t="s">
        <v>1000</v>
      </c>
      <c r="I534" s="3">
        <v>32</v>
      </c>
      <c r="J534" s="3">
        <v>4</v>
      </c>
      <c r="K534" s="3">
        <v>1</v>
      </c>
      <c r="L534" s="3">
        <v>4</v>
      </c>
      <c r="M534" s="3">
        <v>8310</v>
      </c>
      <c r="N534" s="3">
        <v>33.24</v>
      </c>
      <c r="O534" s="3">
        <v>6.31</v>
      </c>
      <c r="P534" s="3">
        <v>209.74440000000001</v>
      </c>
      <c r="Q534" s="3">
        <v>8310</v>
      </c>
    </row>
    <row r="535" spans="1:17" ht="24.95" hidden="1" customHeight="1" x14ac:dyDescent="0.25">
      <c r="A535" s="3">
        <v>2</v>
      </c>
      <c r="B535" s="3" t="s">
        <v>398</v>
      </c>
      <c r="C535" s="3" t="s">
        <v>1001</v>
      </c>
      <c r="I535" s="3">
        <v>32</v>
      </c>
      <c r="J535" s="3">
        <v>4</v>
      </c>
      <c r="K535" s="3">
        <v>1</v>
      </c>
      <c r="L535" s="3">
        <v>4</v>
      </c>
      <c r="M535" s="3">
        <v>7320</v>
      </c>
      <c r="N535" s="3">
        <v>29.28</v>
      </c>
      <c r="O535" s="3">
        <v>6.31</v>
      </c>
      <c r="P535" s="3">
        <v>184.7568</v>
      </c>
      <c r="Q535" s="3">
        <v>7320</v>
      </c>
    </row>
    <row r="536" spans="1:17" ht="24.95" hidden="1" customHeight="1" x14ac:dyDescent="0.25">
      <c r="A536" s="3">
        <v>2</v>
      </c>
      <c r="B536" s="3" t="s">
        <v>398</v>
      </c>
      <c r="C536" s="3" t="s">
        <v>1002</v>
      </c>
      <c r="I536" s="3">
        <v>32</v>
      </c>
      <c r="J536" s="3">
        <v>4</v>
      </c>
      <c r="K536" s="3">
        <v>1</v>
      </c>
      <c r="L536" s="3">
        <v>4</v>
      </c>
      <c r="M536" s="3">
        <v>5500</v>
      </c>
      <c r="N536" s="3">
        <v>22</v>
      </c>
      <c r="O536" s="3">
        <v>6.31</v>
      </c>
      <c r="P536" s="3">
        <v>138.82</v>
      </c>
      <c r="Q536" s="3">
        <v>5500</v>
      </c>
    </row>
    <row r="537" spans="1:17" ht="24.95" hidden="1" customHeight="1" x14ac:dyDescent="0.25">
      <c r="A537" s="3">
        <v>2</v>
      </c>
      <c r="B537" s="3" t="s">
        <v>398</v>
      </c>
      <c r="C537" s="3" t="s">
        <v>1003</v>
      </c>
      <c r="I537" s="3">
        <v>32</v>
      </c>
      <c r="J537" s="3">
        <v>4</v>
      </c>
      <c r="K537" s="3">
        <v>1</v>
      </c>
      <c r="L537" s="3">
        <v>4</v>
      </c>
      <c r="M537" s="3">
        <v>11700</v>
      </c>
      <c r="N537" s="3">
        <v>46.8</v>
      </c>
      <c r="O537" s="3">
        <v>6.31</v>
      </c>
      <c r="P537" s="3">
        <v>295.30799999999994</v>
      </c>
      <c r="Q537" s="3">
        <v>11700</v>
      </c>
    </row>
    <row r="538" spans="1:17" ht="24.95" hidden="1" customHeight="1" x14ac:dyDescent="0.25">
      <c r="A538" s="3">
        <v>2</v>
      </c>
      <c r="B538" s="3" t="s">
        <v>398</v>
      </c>
      <c r="C538" s="3" t="s">
        <v>1004</v>
      </c>
      <c r="I538" s="3">
        <v>32</v>
      </c>
      <c r="J538" s="3">
        <v>5</v>
      </c>
      <c r="K538" s="3">
        <v>1</v>
      </c>
      <c r="L538" s="3">
        <v>5</v>
      </c>
      <c r="M538" s="3">
        <v>5250</v>
      </c>
      <c r="N538" s="3">
        <v>26.25</v>
      </c>
      <c r="O538" s="3">
        <v>6.31</v>
      </c>
      <c r="P538" s="3">
        <v>165.63749999999999</v>
      </c>
      <c r="Q538" s="3">
        <v>5250</v>
      </c>
    </row>
    <row r="539" spans="1:17" ht="24.95" hidden="1" customHeight="1" x14ac:dyDescent="0.25">
      <c r="A539" s="3">
        <v>2</v>
      </c>
      <c r="B539" s="3" t="s">
        <v>398</v>
      </c>
      <c r="C539" s="3" t="s">
        <v>1005</v>
      </c>
      <c r="I539" s="3">
        <v>14</v>
      </c>
      <c r="J539" s="3">
        <v>144</v>
      </c>
      <c r="K539" s="3">
        <v>1</v>
      </c>
      <c r="L539" s="3">
        <v>144</v>
      </c>
      <c r="M539" s="3">
        <v>2350</v>
      </c>
      <c r="N539" s="3">
        <v>338.4</v>
      </c>
      <c r="O539" s="3">
        <v>1.21</v>
      </c>
      <c r="P539" s="3">
        <v>409.46399999999994</v>
      </c>
      <c r="Q539" s="3">
        <v>2350</v>
      </c>
    </row>
    <row r="540" spans="1:17" ht="24.95" hidden="1" customHeight="1" x14ac:dyDescent="0.25">
      <c r="A540" s="3">
        <v>2</v>
      </c>
      <c r="B540" s="3" t="s">
        <v>398</v>
      </c>
      <c r="C540" s="3" t="s">
        <v>1006</v>
      </c>
      <c r="I540" s="3">
        <v>14</v>
      </c>
      <c r="J540" s="3">
        <v>12</v>
      </c>
      <c r="K540" s="3">
        <v>1</v>
      </c>
      <c r="L540" s="3">
        <v>12</v>
      </c>
      <c r="M540" s="3">
        <v>11700</v>
      </c>
      <c r="N540" s="3">
        <v>140.4</v>
      </c>
      <c r="O540" s="3">
        <v>1.21</v>
      </c>
      <c r="P540" s="3">
        <v>169.88400000000001</v>
      </c>
      <c r="Q540" s="3">
        <v>11700</v>
      </c>
    </row>
    <row r="541" spans="1:17" ht="24.95" hidden="1" customHeight="1" x14ac:dyDescent="0.25">
      <c r="A541" s="3">
        <v>2</v>
      </c>
      <c r="B541" s="3" t="s">
        <v>398</v>
      </c>
      <c r="C541" s="3" t="s">
        <v>1007</v>
      </c>
      <c r="I541" s="3">
        <v>14</v>
      </c>
      <c r="J541" s="3">
        <v>144</v>
      </c>
      <c r="K541" s="3">
        <v>1</v>
      </c>
      <c r="L541" s="3">
        <v>144</v>
      </c>
      <c r="M541" s="3">
        <v>5870</v>
      </c>
      <c r="N541" s="3">
        <v>845.28</v>
      </c>
      <c r="O541" s="3">
        <v>1.21</v>
      </c>
      <c r="P541" s="3">
        <v>1022.7887999999999</v>
      </c>
      <c r="Q541" s="3">
        <v>5870</v>
      </c>
    </row>
    <row r="542" spans="1:17" ht="24.95" hidden="1" customHeight="1" x14ac:dyDescent="0.25">
      <c r="A542" s="3">
        <v>2</v>
      </c>
      <c r="B542" s="3" t="s">
        <v>398</v>
      </c>
      <c r="C542" s="3" t="s">
        <v>1008</v>
      </c>
      <c r="I542" s="3">
        <v>14</v>
      </c>
      <c r="J542" s="3">
        <v>12</v>
      </c>
      <c r="K542" s="3">
        <v>1</v>
      </c>
      <c r="L542" s="3">
        <v>12</v>
      </c>
      <c r="M542" s="3">
        <v>2960</v>
      </c>
      <c r="N542" s="3">
        <v>35.520000000000003</v>
      </c>
      <c r="O542" s="3">
        <v>1.21</v>
      </c>
      <c r="P542" s="3">
        <v>42.979200000000006</v>
      </c>
      <c r="Q542" s="3">
        <v>2960</v>
      </c>
    </row>
    <row r="543" spans="1:17" ht="24.95" hidden="1" customHeight="1" x14ac:dyDescent="0.25">
      <c r="A543" s="3">
        <v>2</v>
      </c>
      <c r="B543" s="3" t="s">
        <v>398</v>
      </c>
      <c r="C543" s="3" t="s">
        <v>1009</v>
      </c>
      <c r="I543" s="3">
        <v>14</v>
      </c>
      <c r="J543" s="3">
        <v>288</v>
      </c>
      <c r="K543" s="3">
        <v>1</v>
      </c>
      <c r="L543" s="3">
        <v>288</v>
      </c>
      <c r="M543" s="3">
        <v>2670</v>
      </c>
      <c r="N543" s="3">
        <v>768.96</v>
      </c>
      <c r="O543" s="3">
        <v>1.21</v>
      </c>
      <c r="P543" s="3">
        <v>930.44159999999999</v>
      </c>
      <c r="Q543" s="3">
        <v>2670</v>
      </c>
    </row>
    <row r="544" spans="1:17" ht="24.95" hidden="1" customHeight="1" x14ac:dyDescent="0.25">
      <c r="A544" s="3">
        <v>2</v>
      </c>
      <c r="B544" s="3" t="s">
        <v>398</v>
      </c>
      <c r="C544" s="3" t="s">
        <v>1010</v>
      </c>
      <c r="I544" s="3">
        <v>18</v>
      </c>
      <c r="J544" s="3">
        <v>12</v>
      </c>
      <c r="K544" s="3">
        <v>1</v>
      </c>
      <c r="L544" s="3">
        <v>12</v>
      </c>
      <c r="M544" s="3">
        <v>3320</v>
      </c>
      <c r="N544" s="3">
        <v>39.840000000000003</v>
      </c>
      <c r="O544" s="3">
        <v>2</v>
      </c>
      <c r="P544" s="3">
        <v>79.680000000000007</v>
      </c>
      <c r="Q544" s="3">
        <v>3320</v>
      </c>
    </row>
    <row r="545" spans="1:17" ht="24.95" hidden="1" customHeight="1" x14ac:dyDescent="0.25">
      <c r="A545" s="3">
        <v>2</v>
      </c>
      <c r="B545" s="3" t="s">
        <v>398</v>
      </c>
      <c r="C545" s="3" t="s">
        <v>1011</v>
      </c>
      <c r="I545" s="3">
        <v>18</v>
      </c>
      <c r="J545" s="3">
        <v>12</v>
      </c>
      <c r="K545" s="3">
        <v>1</v>
      </c>
      <c r="L545" s="3">
        <v>12</v>
      </c>
      <c r="M545" s="3">
        <v>11700</v>
      </c>
      <c r="N545" s="3">
        <v>140.4</v>
      </c>
      <c r="O545" s="3">
        <v>2</v>
      </c>
      <c r="P545" s="3">
        <v>280.8</v>
      </c>
      <c r="Q545" s="3">
        <v>11700</v>
      </c>
    </row>
    <row r="546" spans="1:17" ht="24.95" hidden="1" customHeight="1" x14ac:dyDescent="0.25">
      <c r="A546" s="3">
        <v>2</v>
      </c>
      <c r="B546" s="3" t="s">
        <v>398</v>
      </c>
      <c r="C546" s="3" t="s">
        <v>1012</v>
      </c>
      <c r="I546" s="3">
        <v>18</v>
      </c>
      <c r="J546" s="3">
        <v>12</v>
      </c>
      <c r="K546" s="3">
        <v>1</v>
      </c>
      <c r="L546" s="3">
        <v>12</v>
      </c>
      <c r="M546" s="3">
        <v>11700</v>
      </c>
      <c r="N546" s="3">
        <v>140.4</v>
      </c>
      <c r="O546" s="3">
        <v>2</v>
      </c>
      <c r="P546" s="3">
        <v>280.8</v>
      </c>
      <c r="Q546" s="3">
        <v>11700</v>
      </c>
    </row>
    <row r="547" spans="1:17" ht="24.95" hidden="1" customHeight="1" x14ac:dyDescent="0.25">
      <c r="A547" s="3">
        <v>2</v>
      </c>
      <c r="B547" s="3" t="s">
        <v>398</v>
      </c>
      <c r="C547" s="3" t="s">
        <v>1013</v>
      </c>
      <c r="I547" s="3">
        <v>14</v>
      </c>
      <c r="J547" s="3">
        <v>450</v>
      </c>
      <c r="K547" s="3">
        <v>1</v>
      </c>
      <c r="L547" s="3">
        <v>450</v>
      </c>
      <c r="M547" s="3">
        <v>1370</v>
      </c>
      <c r="N547" s="3">
        <v>616.5</v>
      </c>
      <c r="O547" s="3">
        <v>1.21</v>
      </c>
      <c r="P547" s="3">
        <v>745.96500000000003</v>
      </c>
      <c r="Q547" s="3">
        <v>1370</v>
      </c>
    </row>
    <row r="548" spans="1:17" ht="24.95" hidden="1" customHeight="1" x14ac:dyDescent="0.25">
      <c r="A548" s="3">
        <v>2</v>
      </c>
      <c r="B548" s="3" t="s">
        <v>398</v>
      </c>
      <c r="C548" s="3" t="s">
        <v>1014</v>
      </c>
      <c r="I548" s="3">
        <v>32</v>
      </c>
      <c r="J548" s="3">
        <v>20</v>
      </c>
      <c r="K548" s="3">
        <v>1</v>
      </c>
      <c r="L548" s="3">
        <v>20</v>
      </c>
      <c r="M548" s="3">
        <v>1090</v>
      </c>
      <c r="N548" s="3">
        <v>21.8</v>
      </c>
      <c r="O548" s="3">
        <v>6.31</v>
      </c>
      <c r="P548" s="3">
        <v>137.55799999999999</v>
      </c>
      <c r="Q548" s="3">
        <v>1090</v>
      </c>
    </row>
    <row r="549" spans="1:17" ht="24.95" hidden="1" customHeight="1" x14ac:dyDescent="0.25">
      <c r="A549" s="3">
        <v>2</v>
      </c>
      <c r="B549" s="3" t="s">
        <v>398</v>
      </c>
      <c r="C549" s="3" t="s">
        <v>1015</v>
      </c>
      <c r="I549" s="3">
        <v>14</v>
      </c>
      <c r="J549" s="3">
        <v>12</v>
      </c>
      <c r="K549" s="3">
        <v>1</v>
      </c>
      <c r="L549" s="3">
        <v>12</v>
      </c>
      <c r="M549" s="3">
        <v>11700</v>
      </c>
      <c r="N549" s="3">
        <v>140.4</v>
      </c>
      <c r="O549" s="3">
        <v>1.21</v>
      </c>
      <c r="P549" s="3">
        <v>169.88400000000001</v>
      </c>
      <c r="Q549" s="3">
        <v>11700</v>
      </c>
    </row>
    <row r="550" spans="1:17" ht="24.95" hidden="1" customHeight="1" x14ac:dyDescent="0.25">
      <c r="A550" s="3">
        <v>2</v>
      </c>
      <c r="B550" s="3" t="s">
        <v>399</v>
      </c>
      <c r="C550" s="3" t="s">
        <v>1016</v>
      </c>
      <c r="I550" s="3">
        <v>32</v>
      </c>
      <c r="J550" s="3">
        <v>3</v>
      </c>
      <c r="K550" s="3">
        <v>1</v>
      </c>
      <c r="L550" s="3">
        <v>3</v>
      </c>
      <c r="M550" s="3">
        <v>11700</v>
      </c>
      <c r="N550" s="3">
        <v>35.1</v>
      </c>
      <c r="O550" s="3">
        <v>6.31</v>
      </c>
      <c r="P550" s="3">
        <v>221.48099999999999</v>
      </c>
      <c r="Q550" s="3">
        <v>11700</v>
      </c>
    </row>
    <row r="551" spans="1:17" ht="24.95" hidden="1" customHeight="1" x14ac:dyDescent="0.25">
      <c r="A551" s="3">
        <v>2</v>
      </c>
      <c r="B551" s="3" t="s">
        <v>399</v>
      </c>
      <c r="C551" s="3" t="s">
        <v>1017</v>
      </c>
      <c r="I551" s="3">
        <v>32</v>
      </c>
      <c r="J551" s="3">
        <v>4</v>
      </c>
      <c r="K551" s="3">
        <v>1</v>
      </c>
      <c r="L551" s="3">
        <v>4</v>
      </c>
      <c r="M551" s="3">
        <v>10000</v>
      </c>
      <c r="N551" s="3">
        <v>40</v>
      </c>
      <c r="O551" s="3">
        <v>6.31</v>
      </c>
      <c r="P551" s="3">
        <v>252.39999999999998</v>
      </c>
      <c r="Q551" s="3">
        <v>10000</v>
      </c>
    </row>
    <row r="552" spans="1:17" ht="24.95" hidden="1" customHeight="1" x14ac:dyDescent="0.25">
      <c r="A552" s="3">
        <v>2</v>
      </c>
      <c r="B552" s="3" t="s">
        <v>399</v>
      </c>
      <c r="C552" s="3" t="s">
        <v>1018</v>
      </c>
      <c r="I552" s="3">
        <v>32</v>
      </c>
      <c r="J552" s="3">
        <v>4</v>
      </c>
      <c r="K552" s="3">
        <v>1</v>
      </c>
      <c r="L552" s="3">
        <v>4</v>
      </c>
      <c r="M552" s="3">
        <v>11700</v>
      </c>
      <c r="N552" s="3">
        <v>46.8</v>
      </c>
      <c r="O552" s="3">
        <v>6.31</v>
      </c>
      <c r="P552" s="3">
        <v>295.30799999999994</v>
      </c>
      <c r="Q552" s="3">
        <v>11700</v>
      </c>
    </row>
    <row r="553" spans="1:17" ht="24.95" hidden="1" customHeight="1" x14ac:dyDescent="0.25">
      <c r="A553" s="3">
        <v>2</v>
      </c>
      <c r="B553" s="3" t="s">
        <v>399</v>
      </c>
      <c r="C553" s="3" t="s">
        <v>1019</v>
      </c>
      <c r="I553" s="3">
        <v>32</v>
      </c>
      <c r="J553" s="3">
        <v>3</v>
      </c>
      <c r="K553" s="3">
        <v>1</v>
      </c>
      <c r="L553" s="3">
        <v>3</v>
      </c>
      <c r="M553" s="3">
        <v>5850</v>
      </c>
      <c r="N553" s="3">
        <v>17.55</v>
      </c>
      <c r="O553" s="3">
        <v>6.31</v>
      </c>
      <c r="P553" s="3">
        <v>110.7405</v>
      </c>
      <c r="Q553" s="3">
        <v>5850</v>
      </c>
    </row>
    <row r="554" spans="1:17" ht="24.95" hidden="1" customHeight="1" x14ac:dyDescent="0.25">
      <c r="A554" s="3">
        <v>2</v>
      </c>
      <c r="B554" s="3" t="s">
        <v>399</v>
      </c>
      <c r="C554" s="3" t="s">
        <v>1020</v>
      </c>
      <c r="I554" s="3">
        <v>32</v>
      </c>
      <c r="J554" s="3">
        <v>3</v>
      </c>
      <c r="K554" s="3">
        <v>1</v>
      </c>
      <c r="L554" s="3">
        <v>3</v>
      </c>
      <c r="M554" s="3">
        <v>5630</v>
      </c>
      <c r="N554" s="3">
        <v>16.89</v>
      </c>
      <c r="O554" s="3">
        <v>6.31</v>
      </c>
      <c r="P554" s="3">
        <v>106.57589999999999</v>
      </c>
      <c r="Q554" s="3">
        <v>5630</v>
      </c>
    </row>
    <row r="555" spans="1:17" ht="24.95" hidden="1" customHeight="1" x14ac:dyDescent="0.25">
      <c r="A555" s="3">
        <v>2</v>
      </c>
      <c r="B555" s="3" t="s">
        <v>399</v>
      </c>
      <c r="C555" s="3" t="s">
        <v>1021</v>
      </c>
      <c r="I555" s="3">
        <v>32</v>
      </c>
      <c r="J555" s="3">
        <v>3</v>
      </c>
      <c r="K555" s="3">
        <v>1</v>
      </c>
      <c r="L555" s="3">
        <v>3</v>
      </c>
      <c r="M555" s="3">
        <v>7580</v>
      </c>
      <c r="N555" s="3">
        <v>22.74</v>
      </c>
      <c r="O555" s="3">
        <v>6.31</v>
      </c>
      <c r="P555" s="3">
        <v>143.48939999999999</v>
      </c>
      <c r="Q555" s="3">
        <v>7580</v>
      </c>
    </row>
    <row r="556" spans="1:17" ht="24.95" hidden="1" customHeight="1" x14ac:dyDescent="0.25">
      <c r="A556" s="3">
        <v>2</v>
      </c>
      <c r="B556" s="3" t="s">
        <v>399</v>
      </c>
      <c r="C556" s="3" t="s">
        <v>1022</v>
      </c>
      <c r="I556" s="3">
        <v>32</v>
      </c>
      <c r="J556" s="3">
        <v>4</v>
      </c>
      <c r="K556" s="3">
        <v>1</v>
      </c>
      <c r="L556" s="3">
        <v>4</v>
      </c>
      <c r="M556" s="3">
        <v>10000</v>
      </c>
      <c r="N556" s="3">
        <v>40</v>
      </c>
      <c r="O556" s="3">
        <v>6.31</v>
      </c>
      <c r="P556" s="3">
        <v>252.39999999999998</v>
      </c>
      <c r="Q556" s="3">
        <v>10000</v>
      </c>
    </row>
    <row r="557" spans="1:17" ht="24.95" hidden="1" customHeight="1" x14ac:dyDescent="0.25">
      <c r="A557" s="3">
        <v>2</v>
      </c>
      <c r="B557" s="3" t="s">
        <v>399</v>
      </c>
      <c r="C557" s="3" t="s">
        <v>1023</v>
      </c>
      <c r="I557" s="3">
        <v>32</v>
      </c>
      <c r="J557" s="3">
        <v>4</v>
      </c>
      <c r="K557" s="3">
        <v>1</v>
      </c>
      <c r="L557" s="3">
        <v>4</v>
      </c>
      <c r="M557" s="3">
        <v>11700</v>
      </c>
      <c r="N557" s="3">
        <v>46.8</v>
      </c>
      <c r="O557" s="3">
        <v>6.31</v>
      </c>
      <c r="P557" s="3">
        <v>295.30799999999994</v>
      </c>
      <c r="Q557" s="3">
        <v>11700</v>
      </c>
    </row>
    <row r="558" spans="1:17" ht="24.95" hidden="1" customHeight="1" x14ac:dyDescent="0.25">
      <c r="A558" s="3">
        <v>2</v>
      </c>
      <c r="B558" s="3" t="s">
        <v>399</v>
      </c>
      <c r="C558" s="3" t="s">
        <v>1024</v>
      </c>
      <c r="I558" s="3">
        <v>32</v>
      </c>
      <c r="J558" s="3">
        <v>3</v>
      </c>
      <c r="K558" s="3">
        <v>1</v>
      </c>
      <c r="L558" s="3">
        <v>3</v>
      </c>
      <c r="M558" s="3">
        <v>3900</v>
      </c>
      <c r="N558" s="3">
        <v>11.7</v>
      </c>
      <c r="O558" s="3">
        <v>6.31</v>
      </c>
      <c r="P558" s="3">
        <v>73.826999999999984</v>
      </c>
      <c r="Q558" s="3">
        <v>3900</v>
      </c>
    </row>
    <row r="559" spans="1:17" ht="24.95" hidden="1" customHeight="1" x14ac:dyDescent="0.25">
      <c r="A559" s="3">
        <v>2</v>
      </c>
      <c r="B559" s="3" t="s">
        <v>399</v>
      </c>
      <c r="C559" s="3" t="s">
        <v>1025</v>
      </c>
      <c r="I559" s="3">
        <v>32</v>
      </c>
      <c r="J559" s="3">
        <v>3</v>
      </c>
      <c r="K559" s="3">
        <v>1</v>
      </c>
      <c r="L559" s="3">
        <v>3</v>
      </c>
      <c r="M559" s="3">
        <v>11700</v>
      </c>
      <c r="N559" s="3">
        <v>35.1</v>
      </c>
      <c r="O559" s="3">
        <v>6.31</v>
      </c>
      <c r="P559" s="3">
        <v>221.48099999999999</v>
      </c>
      <c r="Q559" s="3">
        <v>11700</v>
      </c>
    </row>
    <row r="560" spans="1:17" ht="24.95" hidden="1" customHeight="1" x14ac:dyDescent="0.25">
      <c r="A560" s="3">
        <v>2</v>
      </c>
      <c r="B560" s="3" t="s">
        <v>399</v>
      </c>
      <c r="C560" s="3" t="s">
        <v>1026</v>
      </c>
      <c r="I560" s="3">
        <v>16</v>
      </c>
      <c r="J560" s="3">
        <v>122</v>
      </c>
      <c r="K560" s="3">
        <v>1</v>
      </c>
      <c r="L560" s="3">
        <v>122</v>
      </c>
      <c r="M560" s="3">
        <v>2030</v>
      </c>
      <c r="N560" s="3">
        <v>247.66</v>
      </c>
      <c r="O560" s="3">
        <v>1.58</v>
      </c>
      <c r="P560" s="3">
        <v>391.30279999999999</v>
      </c>
      <c r="Q560" s="3">
        <v>2030</v>
      </c>
    </row>
    <row r="561" spans="1:17" ht="24.95" hidden="1" customHeight="1" x14ac:dyDescent="0.25">
      <c r="A561" s="3">
        <v>2</v>
      </c>
      <c r="B561" s="3" t="s">
        <v>399</v>
      </c>
      <c r="C561" s="3" t="s">
        <v>1027</v>
      </c>
      <c r="I561" s="3">
        <v>16</v>
      </c>
      <c r="J561" s="3">
        <v>122</v>
      </c>
      <c r="K561" s="3">
        <v>1</v>
      </c>
      <c r="L561" s="3">
        <v>122</v>
      </c>
      <c r="M561" s="3">
        <v>5370</v>
      </c>
      <c r="N561" s="3">
        <v>655.14</v>
      </c>
      <c r="O561" s="3">
        <v>1.58</v>
      </c>
      <c r="P561" s="3">
        <v>1035.1212</v>
      </c>
      <c r="Q561" s="3">
        <v>5370</v>
      </c>
    </row>
    <row r="562" spans="1:17" ht="24.95" hidden="1" customHeight="1" x14ac:dyDescent="0.25">
      <c r="A562" s="3">
        <v>2</v>
      </c>
      <c r="B562" s="3" t="s">
        <v>399</v>
      </c>
      <c r="C562" s="3" t="s">
        <v>1028</v>
      </c>
      <c r="I562" s="3">
        <v>16</v>
      </c>
      <c r="J562" s="3">
        <v>244</v>
      </c>
      <c r="K562" s="3">
        <v>1</v>
      </c>
      <c r="L562" s="3">
        <v>244</v>
      </c>
      <c r="M562" s="3">
        <v>2710</v>
      </c>
      <c r="N562" s="3">
        <v>661.24</v>
      </c>
      <c r="O562" s="3">
        <v>1.58</v>
      </c>
      <c r="P562" s="3">
        <v>1044.7592</v>
      </c>
      <c r="Q562" s="3">
        <v>2710</v>
      </c>
    </row>
    <row r="563" spans="1:17" ht="24.95" hidden="1" customHeight="1" x14ac:dyDescent="0.25">
      <c r="A563" s="3">
        <v>2</v>
      </c>
      <c r="B563" s="3" t="s">
        <v>399</v>
      </c>
      <c r="C563" s="3" t="s">
        <v>1029</v>
      </c>
      <c r="I563" s="3">
        <v>14</v>
      </c>
      <c r="J563" s="3">
        <v>6</v>
      </c>
      <c r="K563" s="3">
        <v>1</v>
      </c>
      <c r="L563" s="3">
        <v>6</v>
      </c>
      <c r="M563" s="3">
        <v>11700</v>
      </c>
      <c r="N563" s="3">
        <v>70.2</v>
      </c>
      <c r="O563" s="3">
        <v>1.21</v>
      </c>
      <c r="P563" s="3">
        <v>84.942000000000007</v>
      </c>
      <c r="Q563" s="3">
        <v>11700</v>
      </c>
    </row>
    <row r="564" spans="1:17" ht="24.95" hidden="1" customHeight="1" x14ac:dyDescent="0.25">
      <c r="A564" s="3">
        <v>2</v>
      </c>
      <c r="B564" s="3" t="s">
        <v>399</v>
      </c>
      <c r="C564" s="3" t="s">
        <v>1030</v>
      </c>
      <c r="I564" s="3">
        <v>14</v>
      </c>
      <c r="J564" s="3">
        <v>6</v>
      </c>
      <c r="K564" s="3">
        <v>1</v>
      </c>
      <c r="L564" s="3">
        <v>6</v>
      </c>
      <c r="M564" s="3">
        <v>6680</v>
      </c>
      <c r="N564" s="3">
        <v>40.08</v>
      </c>
      <c r="O564" s="3">
        <v>1.21</v>
      </c>
      <c r="P564" s="3">
        <v>48.496799999999993</v>
      </c>
      <c r="Q564" s="3">
        <v>6680</v>
      </c>
    </row>
    <row r="565" spans="1:17" ht="24.95" hidden="1" customHeight="1" x14ac:dyDescent="0.25">
      <c r="A565" s="3">
        <v>2</v>
      </c>
      <c r="B565" s="3" t="s">
        <v>399</v>
      </c>
      <c r="C565" s="3" t="s">
        <v>1031</v>
      </c>
      <c r="I565" s="3">
        <v>14</v>
      </c>
      <c r="J565" s="3">
        <v>6</v>
      </c>
      <c r="K565" s="3">
        <v>1</v>
      </c>
      <c r="L565" s="3">
        <v>6</v>
      </c>
      <c r="M565" s="3">
        <v>11700</v>
      </c>
      <c r="N565" s="3">
        <v>70.2</v>
      </c>
      <c r="O565" s="3">
        <v>1.21</v>
      </c>
      <c r="P565" s="3">
        <v>84.942000000000007</v>
      </c>
      <c r="Q565" s="3">
        <v>11700</v>
      </c>
    </row>
    <row r="566" spans="1:17" ht="24.95" hidden="1" customHeight="1" x14ac:dyDescent="0.25">
      <c r="A566" s="3">
        <v>2</v>
      </c>
      <c r="B566" s="3" t="s">
        <v>399</v>
      </c>
      <c r="C566" s="3" t="s">
        <v>1032</v>
      </c>
      <c r="I566" s="3">
        <v>14</v>
      </c>
      <c r="J566" s="3">
        <v>6</v>
      </c>
      <c r="K566" s="3">
        <v>1</v>
      </c>
      <c r="L566" s="3">
        <v>6</v>
      </c>
      <c r="M566" s="3">
        <v>5020</v>
      </c>
      <c r="N566" s="3">
        <v>30.12</v>
      </c>
      <c r="O566" s="3">
        <v>1.21</v>
      </c>
      <c r="P566" s="3">
        <v>36.4452</v>
      </c>
      <c r="Q566" s="3">
        <v>5020</v>
      </c>
    </row>
    <row r="567" spans="1:17" ht="24.95" hidden="1" customHeight="1" x14ac:dyDescent="0.25">
      <c r="A567" s="3">
        <v>2</v>
      </c>
      <c r="B567" s="3" t="s">
        <v>399</v>
      </c>
      <c r="C567" s="3" t="s">
        <v>1033</v>
      </c>
      <c r="I567" s="3">
        <v>14</v>
      </c>
      <c r="J567" s="3">
        <v>6</v>
      </c>
      <c r="K567" s="3">
        <v>1</v>
      </c>
      <c r="L567" s="3">
        <v>6</v>
      </c>
      <c r="M567" s="3">
        <v>2290</v>
      </c>
      <c r="N567" s="3">
        <v>13.74</v>
      </c>
      <c r="O567" s="3">
        <v>1.21</v>
      </c>
      <c r="P567" s="3">
        <v>16.625399999999999</v>
      </c>
      <c r="Q567" s="3">
        <v>2290</v>
      </c>
    </row>
    <row r="568" spans="1:17" ht="24.95" hidden="1" customHeight="1" x14ac:dyDescent="0.25">
      <c r="A568" s="3">
        <v>2</v>
      </c>
      <c r="B568" s="3" t="s">
        <v>399</v>
      </c>
      <c r="C568" s="3" t="s">
        <v>1034</v>
      </c>
      <c r="I568" s="3">
        <v>10</v>
      </c>
      <c r="J568" s="3">
        <v>180</v>
      </c>
      <c r="K568" s="3">
        <v>1</v>
      </c>
      <c r="L568" s="3">
        <v>180</v>
      </c>
      <c r="M568" s="3">
        <v>790</v>
      </c>
      <c r="N568" s="3">
        <v>142.19999999999999</v>
      </c>
      <c r="O568" s="3">
        <v>0.61699999999999999</v>
      </c>
      <c r="P568" s="3">
        <v>87.737399999999994</v>
      </c>
      <c r="Q568" s="3">
        <v>790</v>
      </c>
    </row>
    <row r="569" spans="1:17" ht="24.95" hidden="1" customHeight="1" x14ac:dyDescent="0.25">
      <c r="A569" s="3">
        <v>2</v>
      </c>
      <c r="B569" s="3" t="s">
        <v>400</v>
      </c>
      <c r="C569" s="3" t="s">
        <v>1035</v>
      </c>
      <c r="I569" s="3">
        <v>32</v>
      </c>
      <c r="J569" s="3">
        <v>6</v>
      </c>
      <c r="K569" s="3">
        <v>1</v>
      </c>
      <c r="L569" s="3">
        <v>6</v>
      </c>
      <c r="M569" s="3">
        <v>3580</v>
      </c>
      <c r="N569" s="3">
        <v>21.48</v>
      </c>
      <c r="O569" s="3">
        <v>6.31</v>
      </c>
      <c r="P569" s="3">
        <v>135.53879999999998</v>
      </c>
      <c r="Q569" s="3">
        <v>3580</v>
      </c>
    </row>
    <row r="570" spans="1:17" ht="24.95" hidden="1" customHeight="1" x14ac:dyDescent="0.25">
      <c r="A570" s="3">
        <v>2</v>
      </c>
      <c r="B570" s="3" t="s">
        <v>400</v>
      </c>
      <c r="C570" s="3" t="s">
        <v>1036</v>
      </c>
      <c r="I570" s="3">
        <v>32</v>
      </c>
      <c r="J570" s="3">
        <v>7</v>
      </c>
      <c r="K570" s="3">
        <v>1</v>
      </c>
      <c r="L570" s="3">
        <v>7</v>
      </c>
      <c r="M570" s="3">
        <v>3900</v>
      </c>
      <c r="N570" s="3">
        <v>27.3</v>
      </c>
      <c r="O570" s="3">
        <v>6.31</v>
      </c>
      <c r="P570" s="3">
        <v>172.26300000000001</v>
      </c>
      <c r="Q570" s="3">
        <v>3900</v>
      </c>
    </row>
    <row r="571" spans="1:17" ht="24.95" hidden="1" customHeight="1" x14ac:dyDescent="0.25">
      <c r="A571" s="3">
        <v>2</v>
      </c>
      <c r="B571" s="3" t="s">
        <v>400</v>
      </c>
      <c r="C571" s="3" t="s">
        <v>1037</v>
      </c>
      <c r="I571" s="3">
        <v>32</v>
      </c>
      <c r="J571" s="3">
        <v>7</v>
      </c>
      <c r="K571" s="3">
        <v>1</v>
      </c>
      <c r="L571" s="3">
        <v>7</v>
      </c>
      <c r="M571" s="3">
        <v>11380</v>
      </c>
      <c r="N571" s="3">
        <v>79.66</v>
      </c>
      <c r="O571" s="3">
        <v>6.31</v>
      </c>
      <c r="P571" s="3">
        <v>502.65459999999996</v>
      </c>
      <c r="Q571" s="3">
        <v>11380</v>
      </c>
    </row>
    <row r="572" spans="1:17" ht="24.95" hidden="1" customHeight="1" x14ac:dyDescent="0.25">
      <c r="A572" s="3">
        <v>2</v>
      </c>
      <c r="B572" s="3" t="s">
        <v>400</v>
      </c>
      <c r="C572" s="3" t="s">
        <v>1038</v>
      </c>
      <c r="I572" s="3">
        <v>32</v>
      </c>
      <c r="J572" s="3">
        <v>6</v>
      </c>
      <c r="K572" s="3">
        <v>1</v>
      </c>
      <c r="L572" s="3">
        <v>6</v>
      </c>
      <c r="M572" s="3">
        <v>11700</v>
      </c>
      <c r="N572" s="3">
        <v>70.2</v>
      </c>
      <c r="O572" s="3">
        <v>6.31</v>
      </c>
      <c r="P572" s="3">
        <v>442.96199999999999</v>
      </c>
      <c r="Q572" s="3">
        <v>11700</v>
      </c>
    </row>
    <row r="573" spans="1:17" ht="24.95" hidden="1" customHeight="1" x14ac:dyDescent="0.25">
      <c r="A573" s="3">
        <v>2</v>
      </c>
      <c r="B573" s="3" t="s">
        <v>400</v>
      </c>
      <c r="C573" s="3" t="s">
        <v>1039</v>
      </c>
      <c r="I573" s="3">
        <v>32</v>
      </c>
      <c r="J573" s="3">
        <v>7</v>
      </c>
      <c r="K573" s="3">
        <v>1</v>
      </c>
      <c r="L573" s="3">
        <v>7</v>
      </c>
      <c r="M573" s="3">
        <v>3480</v>
      </c>
      <c r="N573" s="3">
        <v>24.36</v>
      </c>
      <c r="O573" s="3">
        <v>6.31</v>
      </c>
      <c r="P573" s="3">
        <v>153.71159999999998</v>
      </c>
      <c r="Q573" s="3">
        <v>3480</v>
      </c>
    </row>
    <row r="574" spans="1:17" ht="24.95" hidden="1" customHeight="1" x14ac:dyDescent="0.25">
      <c r="A574" s="3">
        <v>2</v>
      </c>
      <c r="B574" s="3" t="s">
        <v>400</v>
      </c>
      <c r="C574" s="3" t="s">
        <v>1040</v>
      </c>
      <c r="I574" s="3">
        <v>32</v>
      </c>
      <c r="J574" s="3">
        <v>6</v>
      </c>
      <c r="K574" s="3">
        <v>1</v>
      </c>
      <c r="L574" s="3">
        <v>6</v>
      </c>
      <c r="M574" s="3">
        <v>3900</v>
      </c>
      <c r="N574" s="3">
        <v>23.4</v>
      </c>
      <c r="O574" s="3">
        <v>6.31</v>
      </c>
      <c r="P574" s="3">
        <v>147.65399999999997</v>
      </c>
      <c r="Q574" s="3">
        <v>3900</v>
      </c>
    </row>
    <row r="575" spans="1:17" ht="24.95" hidden="1" customHeight="1" x14ac:dyDescent="0.25">
      <c r="A575" s="3">
        <v>2</v>
      </c>
      <c r="B575" s="3" t="s">
        <v>400</v>
      </c>
      <c r="C575" s="3" t="s">
        <v>1041</v>
      </c>
      <c r="I575" s="3">
        <v>32</v>
      </c>
      <c r="J575" s="3">
        <v>6</v>
      </c>
      <c r="K575" s="3">
        <v>1</v>
      </c>
      <c r="L575" s="3">
        <v>6</v>
      </c>
      <c r="M575" s="3">
        <v>11280</v>
      </c>
      <c r="N575" s="3">
        <v>67.680000000000007</v>
      </c>
      <c r="O575" s="3">
        <v>6.31</v>
      </c>
      <c r="P575" s="3">
        <v>427.06080000000003</v>
      </c>
      <c r="Q575" s="3">
        <v>11280</v>
      </c>
    </row>
    <row r="576" spans="1:17" ht="24.95" hidden="1" customHeight="1" x14ac:dyDescent="0.25">
      <c r="A576" s="3">
        <v>2</v>
      </c>
      <c r="B576" s="3" t="s">
        <v>400</v>
      </c>
      <c r="C576" s="3" t="s">
        <v>1042</v>
      </c>
      <c r="I576" s="3">
        <v>32</v>
      </c>
      <c r="J576" s="3">
        <v>7</v>
      </c>
      <c r="K576" s="3">
        <v>1</v>
      </c>
      <c r="L576" s="3">
        <v>7</v>
      </c>
      <c r="M576" s="3">
        <v>11700</v>
      </c>
      <c r="N576" s="3">
        <v>81.900000000000006</v>
      </c>
      <c r="O576" s="3">
        <v>6.31</v>
      </c>
      <c r="P576" s="3">
        <v>516.78899999999999</v>
      </c>
      <c r="Q576" s="3">
        <v>11700</v>
      </c>
    </row>
    <row r="577" spans="1:17" ht="24.95" hidden="1" customHeight="1" x14ac:dyDescent="0.25">
      <c r="A577" s="3">
        <v>2</v>
      </c>
      <c r="B577" s="3" t="s">
        <v>400</v>
      </c>
      <c r="C577" s="3" t="s">
        <v>1043</v>
      </c>
      <c r="I577" s="3">
        <v>32</v>
      </c>
      <c r="J577" s="3">
        <v>6</v>
      </c>
      <c r="K577" s="3">
        <v>1</v>
      </c>
      <c r="L577" s="3">
        <v>6</v>
      </c>
      <c r="M577" s="3">
        <v>3380</v>
      </c>
      <c r="N577" s="3">
        <v>20.28</v>
      </c>
      <c r="O577" s="3">
        <v>6.31</v>
      </c>
      <c r="P577" s="3">
        <v>127.96680000000001</v>
      </c>
      <c r="Q577" s="3">
        <v>3380</v>
      </c>
    </row>
    <row r="578" spans="1:17" ht="24.95" hidden="1" customHeight="1" x14ac:dyDescent="0.25">
      <c r="A578" s="3">
        <v>2</v>
      </c>
      <c r="B578" s="3" t="s">
        <v>400</v>
      </c>
      <c r="C578" s="3" t="s">
        <v>1044</v>
      </c>
      <c r="I578" s="3">
        <v>32</v>
      </c>
      <c r="J578" s="3">
        <v>7</v>
      </c>
      <c r="K578" s="3">
        <v>1</v>
      </c>
      <c r="L578" s="3">
        <v>7</v>
      </c>
      <c r="M578" s="3">
        <v>4080</v>
      </c>
      <c r="N578" s="3">
        <v>28.56</v>
      </c>
      <c r="O578" s="3">
        <v>6.31</v>
      </c>
      <c r="P578" s="3">
        <v>180.21359999999999</v>
      </c>
      <c r="Q578" s="3">
        <v>4080</v>
      </c>
    </row>
    <row r="579" spans="1:17" ht="24.95" hidden="1" customHeight="1" x14ac:dyDescent="0.25">
      <c r="A579" s="3">
        <v>2</v>
      </c>
      <c r="B579" s="3" t="s">
        <v>400</v>
      </c>
      <c r="C579" s="3" t="s">
        <v>1045</v>
      </c>
      <c r="I579" s="3">
        <v>32</v>
      </c>
      <c r="J579" s="3">
        <v>7</v>
      </c>
      <c r="K579" s="3">
        <v>1</v>
      </c>
      <c r="L579" s="3">
        <v>7</v>
      </c>
      <c r="M579" s="3">
        <v>11000</v>
      </c>
      <c r="N579" s="3">
        <v>77</v>
      </c>
      <c r="O579" s="3">
        <v>6.31</v>
      </c>
      <c r="P579" s="3">
        <v>485.86999999999995</v>
      </c>
      <c r="Q579" s="3">
        <v>11000</v>
      </c>
    </row>
    <row r="580" spans="1:17" ht="24.95" hidden="1" customHeight="1" x14ac:dyDescent="0.25">
      <c r="A580" s="3">
        <v>2</v>
      </c>
      <c r="B580" s="3" t="s">
        <v>400</v>
      </c>
      <c r="C580" s="3" t="s">
        <v>1046</v>
      </c>
      <c r="I580" s="3">
        <v>32</v>
      </c>
      <c r="J580" s="3">
        <v>6</v>
      </c>
      <c r="K580" s="3">
        <v>1</v>
      </c>
      <c r="L580" s="3">
        <v>6</v>
      </c>
      <c r="M580" s="3">
        <v>11700</v>
      </c>
      <c r="N580" s="3">
        <v>70.2</v>
      </c>
      <c r="O580" s="3">
        <v>6.31</v>
      </c>
      <c r="P580" s="3">
        <v>442.96199999999999</v>
      </c>
      <c r="Q580" s="3">
        <v>11700</v>
      </c>
    </row>
    <row r="581" spans="1:17" ht="24.95" hidden="1" customHeight="1" x14ac:dyDescent="0.25">
      <c r="A581" s="3">
        <v>2</v>
      </c>
      <c r="B581" s="3" t="s">
        <v>400</v>
      </c>
      <c r="C581" s="3" t="s">
        <v>1047</v>
      </c>
      <c r="I581" s="3">
        <v>32</v>
      </c>
      <c r="J581" s="3">
        <v>7</v>
      </c>
      <c r="K581" s="3">
        <v>1</v>
      </c>
      <c r="L581" s="3">
        <v>7</v>
      </c>
      <c r="M581" s="3">
        <v>7250</v>
      </c>
      <c r="N581" s="3">
        <v>50.75</v>
      </c>
      <c r="O581" s="3">
        <v>6.31</v>
      </c>
      <c r="P581" s="3">
        <v>320.23249999999996</v>
      </c>
      <c r="Q581" s="3">
        <v>7250</v>
      </c>
    </row>
    <row r="582" spans="1:17" ht="24.95" hidden="1" customHeight="1" x14ac:dyDescent="0.25">
      <c r="A582" s="3">
        <v>2</v>
      </c>
      <c r="B582" s="3" t="s">
        <v>400</v>
      </c>
      <c r="C582" s="3" t="s">
        <v>1048</v>
      </c>
      <c r="I582" s="3">
        <v>32</v>
      </c>
      <c r="J582" s="3">
        <v>7</v>
      </c>
      <c r="K582" s="3">
        <v>1</v>
      </c>
      <c r="L582" s="3">
        <v>7</v>
      </c>
      <c r="M582" s="3">
        <v>8120</v>
      </c>
      <c r="N582" s="3">
        <v>56.84</v>
      </c>
      <c r="O582" s="3">
        <v>6.31</v>
      </c>
      <c r="P582" s="3">
        <v>358.66039999999998</v>
      </c>
      <c r="Q582" s="3">
        <v>8120</v>
      </c>
    </row>
    <row r="583" spans="1:17" ht="24.95" hidden="1" customHeight="1" x14ac:dyDescent="0.25">
      <c r="A583" s="3">
        <v>2</v>
      </c>
      <c r="B583" s="3" t="s">
        <v>400</v>
      </c>
      <c r="C583" s="3" t="s">
        <v>1049</v>
      </c>
      <c r="I583" s="3">
        <v>32</v>
      </c>
      <c r="J583" s="3">
        <v>6</v>
      </c>
      <c r="K583" s="3">
        <v>1</v>
      </c>
      <c r="L583" s="3">
        <v>6</v>
      </c>
      <c r="M583" s="3">
        <v>10000</v>
      </c>
      <c r="N583" s="3">
        <v>60</v>
      </c>
      <c r="O583" s="3">
        <v>6.31</v>
      </c>
      <c r="P583" s="3">
        <v>378.59999999999997</v>
      </c>
      <c r="Q583" s="3">
        <v>10000</v>
      </c>
    </row>
    <row r="584" spans="1:17" ht="24.95" hidden="1" customHeight="1" x14ac:dyDescent="0.25">
      <c r="A584" s="3">
        <v>2</v>
      </c>
      <c r="B584" s="3" t="s">
        <v>400</v>
      </c>
      <c r="C584" s="3" t="s">
        <v>1050</v>
      </c>
      <c r="I584" s="3">
        <v>32</v>
      </c>
      <c r="J584" s="3">
        <v>6</v>
      </c>
      <c r="K584" s="3">
        <v>1</v>
      </c>
      <c r="L584" s="3">
        <v>6</v>
      </c>
      <c r="M584" s="3">
        <v>5350</v>
      </c>
      <c r="N584" s="3">
        <v>32.1</v>
      </c>
      <c r="O584" s="3">
        <v>6.31</v>
      </c>
      <c r="P584" s="3">
        <v>202.55099999999999</v>
      </c>
      <c r="Q584" s="3">
        <v>5350</v>
      </c>
    </row>
    <row r="585" spans="1:17" ht="24.95" hidden="1" customHeight="1" x14ac:dyDescent="0.25">
      <c r="A585" s="3">
        <v>2</v>
      </c>
      <c r="B585" s="3" t="s">
        <v>400</v>
      </c>
      <c r="C585" s="3" t="s">
        <v>1051</v>
      </c>
      <c r="I585" s="3">
        <v>32</v>
      </c>
      <c r="J585" s="3">
        <v>13</v>
      </c>
      <c r="K585" s="3">
        <v>1</v>
      </c>
      <c r="L585" s="3">
        <v>13</v>
      </c>
      <c r="M585" s="3">
        <v>6350</v>
      </c>
      <c r="N585" s="3">
        <v>82.55</v>
      </c>
      <c r="O585" s="3">
        <v>6.31</v>
      </c>
      <c r="P585" s="3">
        <v>520.89049999999997</v>
      </c>
      <c r="Q585" s="3">
        <v>6350</v>
      </c>
    </row>
    <row r="586" spans="1:17" ht="24.95" hidden="1" customHeight="1" x14ac:dyDescent="0.25">
      <c r="A586" s="3">
        <v>2</v>
      </c>
      <c r="B586" s="3" t="s">
        <v>400</v>
      </c>
      <c r="C586" s="3" t="s">
        <v>1052</v>
      </c>
      <c r="I586" s="3">
        <v>32</v>
      </c>
      <c r="J586" s="3">
        <v>13</v>
      </c>
      <c r="K586" s="3">
        <v>1</v>
      </c>
      <c r="L586" s="3">
        <v>13</v>
      </c>
      <c r="M586" s="3">
        <v>4315</v>
      </c>
      <c r="N586" s="3">
        <v>56.094999999999999</v>
      </c>
      <c r="O586" s="3">
        <v>6.31</v>
      </c>
      <c r="P586" s="3">
        <v>353.95944999999995</v>
      </c>
      <c r="Q586" s="3">
        <v>4315</v>
      </c>
    </row>
    <row r="587" spans="1:17" ht="24.95" hidden="1" customHeight="1" x14ac:dyDescent="0.25">
      <c r="A587" s="3">
        <v>2</v>
      </c>
      <c r="B587" s="3" t="s">
        <v>400</v>
      </c>
      <c r="C587" s="3" t="s">
        <v>1053</v>
      </c>
      <c r="I587" s="3">
        <v>16</v>
      </c>
      <c r="J587" s="3">
        <v>130</v>
      </c>
      <c r="K587" s="3">
        <v>1</v>
      </c>
      <c r="L587" s="3">
        <v>130</v>
      </c>
      <c r="M587" s="3">
        <v>6670</v>
      </c>
      <c r="N587" s="3">
        <v>867.1</v>
      </c>
      <c r="O587" s="3">
        <v>1.58</v>
      </c>
      <c r="P587" s="3">
        <v>1370.018</v>
      </c>
      <c r="Q587" s="3">
        <v>6670</v>
      </c>
    </row>
    <row r="588" spans="1:17" ht="24.95" hidden="1" customHeight="1" x14ac:dyDescent="0.25">
      <c r="A588" s="3">
        <v>2</v>
      </c>
      <c r="B588" s="3" t="s">
        <v>400</v>
      </c>
      <c r="C588" s="3" t="s">
        <v>1054</v>
      </c>
      <c r="I588" s="3">
        <v>16</v>
      </c>
      <c r="J588" s="3">
        <v>65</v>
      </c>
      <c r="K588" s="3">
        <v>1</v>
      </c>
      <c r="L588" s="3">
        <v>65</v>
      </c>
      <c r="M588" s="3">
        <v>3330</v>
      </c>
      <c r="N588" s="3">
        <v>216.45</v>
      </c>
      <c r="O588" s="3">
        <v>1.58</v>
      </c>
      <c r="P588" s="3">
        <v>341.99099999999999</v>
      </c>
      <c r="Q588" s="3">
        <v>3330</v>
      </c>
    </row>
    <row r="589" spans="1:17" ht="24.95" hidden="1" customHeight="1" x14ac:dyDescent="0.25">
      <c r="A589" s="3">
        <v>2</v>
      </c>
      <c r="B589" s="3" t="s">
        <v>400</v>
      </c>
      <c r="C589" s="3" t="s">
        <v>1055</v>
      </c>
      <c r="I589" s="3">
        <v>16</v>
      </c>
      <c r="J589" s="3">
        <v>325</v>
      </c>
      <c r="K589" s="3">
        <v>1</v>
      </c>
      <c r="L589" s="3">
        <v>325</v>
      </c>
      <c r="M589" s="3">
        <v>2710</v>
      </c>
      <c r="N589" s="3">
        <v>880.75</v>
      </c>
      <c r="O589" s="3">
        <v>1.58</v>
      </c>
      <c r="P589" s="3">
        <v>1391.585</v>
      </c>
      <c r="Q589" s="3">
        <v>2710</v>
      </c>
    </row>
    <row r="590" spans="1:17" ht="24.95" hidden="1" customHeight="1" x14ac:dyDescent="0.25">
      <c r="A590" s="3">
        <v>2</v>
      </c>
      <c r="B590" s="3" t="s">
        <v>400</v>
      </c>
      <c r="C590" s="3" t="s">
        <v>1056</v>
      </c>
      <c r="I590" s="3">
        <v>18</v>
      </c>
      <c r="J590" s="3">
        <v>12</v>
      </c>
      <c r="K590" s="3">
        <v>1</v>
      </c>
      <c r="L590" s="3">
        <v>12</v>
      </c>
      <c r="M590" s="3">
        <v>10700</v>
      </c>
      <c r="N590" s="3">
        <v>128.4</v>
      </c>
      <c r="O590" s="3">
        <v>2</v>
      </c>
      <c r="P590" s="3">
        <v>256.8</v>
      </c>
      <c r="Q590" s="3">
        <v>10700</v>
      </c>
    </row>
    <row r="591" spans="1:17" ht="24.95" hidden="1" customHeight="1" x14ac:dyDescent="0.25">
      <c r="A591" s="3">
        <v>2</v>
      </c>
      <c r="B591" s="3" t="s">
        <v>400</v>
      </c>
      <c r="C591" s="3" t="s">
        <v>1057</v>
      </c>
      <c r="I591" s="3">
        <v>14</v>
      </c>
      <c r="J591" s="3">
        <v>198</v>
      </c>
      <c r="K591" s="3">
        <v>1</v>
      </c>
      <c r="L591" s="3">
        <v>198</v>
      </c>
      <c r="M591" s="3">
        <v>2170</v>
      </c>
      <c r="N591" s="3">
        <v>429.66</v>
      </c>
      <c r="O591" s="3">
        <v>1.21</v>
      </c>
      <c r="P591" s="3">
        <v>519.8886</v>
      </c>
      <c r="Q591" s="3">
        <v>2170</v>
      </c>
    </row>
    <row r="592" spans="1:17" ht="24.95" hidden="1" customHeight="1" x14ac:dyDescent="0.25">
      <c r="A592" s="3">
        <v>2</v>
      </c>
      <c r="B592" s="3" t="s">
        <v>400</v>
      </c>
      <c r="C592" s="3" t="s">
        <v>1058</v>
      </c>
      <c r="I592" s="3">
        <v>32</v>
      </c>
      <c r="J592" s="3">
        <v>27</v>
      </c>
      <c r="K592" s="3">
        <v>1</v>
      </c>
      <c r="L592" s="3">
        <v>27</v>
      </c>
      <c r="M592" s="3">
        <v>1890</v>
      </c>
      <c r="N592" s="3">
        <v>51.03</v>
      </c>
      <c r="O592" s="3">
        <v>6.31</v>
      </c>
      <c r="P592" s="3">
        <v>321.99930000000001</v>
      </c>
      <c r="Q592" s="3">
        <v>1890</v>
      </c>
    </row>
    <row r="593" spans="1:17" ht="24.95" hidden="1" customHeight="1" x14ac:dyDescent="0.25">
      <c r="A593" s="3">
        <v>2</v>
      </c>
      <c r="B593" s="3" t="s">
        <v>400</v>
      </c>
      <c r="C593" s="3" t="s">
        <v>1059</v>
      </c>
      <c r="I593" s="3">
        <v>32</v>
      </c>
      <c r="J593" s="3">
        <v>7</v>
      </c>
      <c r="K593" s="3">
        <v>1</v>
      </c>
      <c r="L593" s="3">
        <v>7</v>
      </c>
      <c r="M593" s="3">
        <v>3280</v>
      </c>
      <c r="N593" s="3">
        <v>22.96</v>
      </c>
      <c r="O593" s="3">
        <v>6.31</v>
      </c>
      <c r="P593" s="3">
        <v>144.8776</v>
      </c>
      <c r="Q593" s="3">
        <v>3280</v>
      </c>
    </row>
    <row r="594" spans="1:17" ht="24.95" hidden="1" customHeight="1" x14ac:dyDescent="0.25">
      <c r="A594" s="3">
        <v>2</v>
      </c>
      <c r="B594" s="3" t="s">
        <v>400</v>
      </c>
      <c r="C594" s="3" t="s">
        <v>1060</v>
      </c>
      <c r="I594" s="3">
        <v>32</v>
      </c>
      <c r="J594" s="3">
        <v>6</v>
      </c>
      <c r="K594" s="3">
        <v>1</v>
      </c>
      <c r="L594" s="3">
        <v>6</v>
      </c>
      <c r="M594" s="3">
        <v>3980</v>
      </c>
      <c r="N594" s="3">
        <v>23.88</v>
      </c>
      <c r="O594" s="3">
        <v>6.31</v>
      </c>
      <c r="P594" s="3">
        <v>150.68279999999999</v>
      </c>
      <c r="Q594" s="3">
        <v>3980</v>
      </c>
    </row>
    <row r="595" spans="1:17" ht="24.95" hidden="1" customHeight="1" x14ac:dyDescent="0.25">
      <c r="A595" s="3">
        <v>2</v>
      </c>
      <c r="B595" s="3" t="s">
        <v>400</v>
      </c>
      <c r="C595" s="3" t="s">
        <v>1061</v>
      </c>
      <c r="I595" s="3">
        <v>32</v>
      </c>
      <c r="J595" s="3">
        <v>6</v>
      </c>
      <c r="K595" s="3">
        <v>1</v>
      </c>
      <c r="L595" s="3">
        <v>6</v>
      </c>
      <c r="M595" s="3">
        <v>11000</v>
      </c>
      <c r="N595" s="3">
        <v>66</v>
      </c>
      <c r="O595" s="3">
        <v>6.31</v>
      </c>
      <c r="P595" s="3">
        <v>416.46</v>
      </c>
      <c r="Q595" s="3">
        <v>11000</v>
      </c>
    </row>
    <row r="596" spans="1:17" ht="24.95" hidden="1" customHeight="1" x14ac:dyDescent="0.25">
      <c r="A596" s="3">
        <v>2</v>
      </c>
      <c r="B596" s="3" t="s">
        <v>400</v>
      </c>
      <c r="C596" s="3" t="s">
        <v>1062</v>
      </c>
      <c r="I596" s="3">
        <v>32</v>
      </c>
      <c r="J596" s="3">
        <v>7</v>
      </c>
      <c r="K596" s="3">
        <v>1</v>
      </c>
      <c r="L596" s="3">
        <v>7</v>
      </c>
      <c r="M596" s="3">
        <v>11700</v>
      </c>
      <c r="N596" s="3">
        <v>81.900000000000006</v>
      </c>
      <c r="O596" s="3">
        <v>6.31</v>
      </c>
      <c r="P596" s="3">
        <v>516.78899999999999</v>
      </c>
      <c r="Q596" s="3">
        <v>11700</v>
      </c>
    </row>
    <row r="597" spans="1:17" ht="24.95" hidden="1" customHeight="1" x14ac:dyDescent="0.25">
      <c r="A597" s="3">
        <v>2</v>
      </c>
      <c r="B597" s="3" t="s">
        <v>400</v>
      </c>
      <c r="C597" s="3" t="s">
        <v>1063</v>
      </c>
      <c r="I597" s="3">
        <v>14</v>
      </c>
      <c r="J597" s="3">
        <v>30</v>
      </c>
      <c r="K597" s="3">
        <v>1</v>
      </c>
      <c r="L597" s="3">
        <v>30</v>
      </c>
      <c r="M597" s="3">
        <v>10700</v>
      </c>
      <c r="N597" s="3">
        <v>321</v>
      </c>
      <c r="O597" s="3">
        <v>1.21</v>
      </c>
      <c r="P597" s="3">
        <v>388.40999999999997</v>
      </c>
      <c r="Q597" s="3">
        <v>10700</v>
      </c>
    </row>
    <row r="598" spans="1:17" ht="24.95" hidden="1" customHeight="1" x14ac:dyDescent="0.25">
      <c r="A598" s="3">
        <v>2</v>
      </c>
      <c r="B598" s="3" t="s">
        <v>401</v>
      </c>
      <c r="C598" s="3" t="s">
        <v>1064</v>
      </c>
      <c r="I598" s="3">
        <v>32</v>
      </c>
      <c r="J598" s="3">
        <v>10</v>
      </c>
      <c r="K598" s="3">
        <v>1</v>
      </c>
      <c r="L598" s="3">
        <v>10</v>
      </c>
      <c r="M598" s="3">
        <v>4000</v>
      </c>
      <c r="N598" s="3">
        <v>40</v>
      </c>
      <c r="O598" s="3">
        <v>6.31</v>
      </c>
      <c r="P598" s="3">
        <v>252.39999999999998</v>
      </c>
      <c r="Q598" s="3">
        <v>4000</v>
      </c>
    </row>
    <row r="599" spans="1:17" ht="24.95" hidden="1" customHeight="1" x14ac:dyDescent="0.25">
      <c r="A599" s="3">
        <v>2</v>
      </c>
      <c r="B599" s="3" t="s">
        <v>401</v>
      </c>
      <c r="C599" s="3" t="s">
        <v>1065</v>
      </c>
      <c r="I599" s="3">
        <v>32</v>
      </c>
      <c r="J599" s="3">
        <v>11</v>
      </c>
      <c r="K599" s="3">
        <v>1</v>
      </c>
      <c r="L599" s="3">
        <v>11</v>
      </c>
      <c r="M599" s="3">
        <v>4000</v>
      </c>
      <c r="N599" s="3">
        <v>44</v>
      </c>
      <c r="O599" s="3">
        <v>6.31</v>
      </c>
      <c r="P599" s="3">
        <v>277.64</v>
      </c>
      <c r="Q599" s="3">
        <v>4000</v>
      </c>
    </row>
    <row r="600" spans="1:17" ht="24.95" hidden="1" customHeight="1" x14ac:dyDescent="0.25">
      <c r="A600" s="3">
        <v>3</v>
      </c>
      <c r="B600" s="3" t="s">
        <v>401</v>
      </c>
      <c r="C600" s="3" t="s">
        <v>1066</v>
      </c>
      <c r="I600" s="3">
        <v>32</v>
      </c>
      <c r="J600" s="3">
        <v>10</v>
      </c>
      <c r="K600" s="3">
        <v>1</v>
      </c>
      <c r="L600" s="3">
        <v>10</v>
      </c>
      <c r="M600" s="3">
        <v>11700</v>
      </c>
      <c r="N600" s="3">
        <v>117</v>
      </c>
      <c r="O600" s="3">
        <v>6.31</v>
      </c>
      <c r="P600" s="3">
        <v>738.27</v>
      </c>
      <c r="Q600" s="3">
        <v>11700</v>
      </c>
    </row>
    <row r="601" spans="1:17" ht="24.95" hidden="1" customHeight="1" x14ac:dyDescent="0.25">
      <c r="A601" s="3">
        <v>3</v>
      </c>
      <c r="B601" s="3" t="s">
        <v>401</v>
      </c>
      <c r="C601" s="3" t="s">
        <v>1067</v>
      </c>
      <c r="I601" s="3">
        <v>32</v>
      </c>
      <c r="J601" s="3">
        <v>11</v>
      </c>
      <c r="K601" s="3">
        <v>1</v>
      </c>
      <c r="L601" s="3">
        <v>11</v>
      </c>
      <c r="M601" s="3">
        <v>11700</v>
      </c>
      <c r="N601" s="3">
        <v>128.69999999999999</v>
      </c>
      <c r="O601" s="3">
        <v>6.31</v>
      </c>
      <c r="P601" s="3">
        <v>812.09699999999987</v>
      </c>
      <c r="Q601" s="3">
        <v>11700</v>
      </c>
    </row>
    <row r="602" spans="1:17" ht="24.95" hidden="1" customHeight="1" x14ac:dyDescent="0.25">
      <c r="A602" s="3">
        <v>3</v>
      </c>
      <c r="B602" s="3" t="s">
        <v>401</v>
      </c>
      <c r="C602" s="3" t="s">
        <v>1068</v>
      </c>
      <c r="I602" s="3">
        <v>32</v>
      </c>
      <c r="J602" s="3">
        <v>3</v>
      </c>
      <c r="K602" s="3">
        <v>1</v>
      </c>
      <c r="L602" s="3">
        <v>3</v>
      </c>
      <c r="M602" s="3">
        <v>3800</v>
      </c>
      <c r="N602" s="3">
        <v>11.4</v>
      </c>
      <c r="O602" s="3">
        <v>6.31</v>
      </c>
      <c r="P602" s="3">
        <v>71.933999999999997</v>
      </c>
      <c r="Q602" s="3">
        <v>3800</v>
      </c>
    </row>
    <row r="603" spans="1:17" ht="24.95" hidden="1" customHeight="1" x14ac:dyDescent="0.25">
      <c r="A603" s="3">
        <v>3</v>
      </c>
      <c r="B603" s="3" t="s">
        <v>401</v>
      </c>
      <c r="C603" s="3" t="s">
        <v>1069</v>
      </c>
      <c r="I603" s="3">
        <v>32</v>
      </c>
      <c r="J603" s="3">
        <v>3</v>
      </c>
      <c r="K603" s="3">
        <v>1</v>
      </c>
      <c r="L603" s="3">
        <v>3</v>
      </c>
      <c r="M603" s="3">
        <v>3800</v>
      </c>
      <c r="N603" s="3">
        <v>11.4</v>
      </c>
      <c r="O603" s="3">
        <v>6.31</v>
      </c>
      <c r="P603" s="3">
        <v>71.933999999999997</v>
      </c>
      <c r="Q603" s="3">
        <v>3800</v>
      </c>
    </row>
    <row r="604" spans="1:17" ht="24.95" hidden="1" customHeight="1" x14ac:dyDescent="0.25">
      <c r="A604" s="3">
        <v>3</v>
      </c>
      <c r="B604" s="3" t="s">
        <v>401</v>
      </c>
      <c r="C604" s="3" t="s">
        <v>1070</v>
      </c>
      <c r="I604" s="3">
        <v>32</v>
      </c>
      <c r="J604" s="3">
        <v>11</v>
      </c>
      <c r="K604" s="3">
        <v>1</v>
      </c>
      <c r="L604" s="3">
        <v>11</v>
      </c>
      <c r="M604" s="3">
        <v>3900</v>
      </c>
      <c r="N604" s="3">
        <v>42.9</v>
      </c>
      <c r="O604" s="3">
        <v>6.31</v>
      </c>
      <c r="P604" s="3">
        <v>270.69899999999996</v>
      </c>
      <c r="Q604" s="3">
        <v>3900</v>
      </c>
    </row>
    <row r="605" spans="1:17" ht="24.95" hidden="1" customHeight="1" x14ac:dyDescent="0.25">
      <c r="A605" s="3">
        <v>3</v>
      </c>
      <c r="B605" s="3" t="s">
        <v>401</v>
      </c>
      <c r="C605" s="3" t="s">
        <v>1071</v>
      </c>
      <c r="I605" s="3">
        <v>32</v>
      </c>
      <c r="J605" s="3">
        <v>10</v>
      </c>
      <c r="K605" s="3">
        <v>1</v>
      </c>
      <c r="L605" s="3">
        <v>10</v>
      </c>
      <c r="M605" s="3">
        <v>3900</v>
      </c>
      <c r="N605" s="3">
        <v>39</v>
      </c>
      <c r="O605" s="3">
        <v>6.31</v>
      </c>
      <c r="P605" s="3">
        <v>246.08999999999997</v>
      </c>
      <c r="Q605" s="3">
        <v>3900</v>
      </c>
    </row>
    <row r="606" spans="1:17" ht="24.95" hidden="1" customHeight="1" x14ac:dyDescent="0.25">
      <c r="A606" s="3">
        <v>3</v>
      </c>
      <c r="B606" s="3" t="s">
        <v>401</v>
      </c>
      <c r="C606" s="3" t="s">
        <v>1072</v>
      </c>
      <c r="I606" s="3">
        <v>32</v>
      </c>
      <c r="J606" s="3">
        <v>13</v>
      </c>
      <c r="K606" s="3">
        <v>1</v>
      </c>
      <c r="L606" s="3">
        <v>13</v>
      </c>
      <c r="M606" s="3">
        <v>11700</v>
      </c>
      <c r="N606" s="3">
        <v>152.1</v>
      </c>
      <c r="O606" s="3">
        <v>6.31</v>
      </c>
      <c r="P606" s="3">
        <v>959.75099999999986</v>
      </c>
      <c r="Q606" s="3">
        <v>11700</v>
      </c>
    </row>
    <row r="607" spans="1:17" ht="24.95" hidden="1" customHeight="1" x14ac:dyDescent="0.25">
      <c r="A607" s="3">
        <v>3</v>
      </c>
      <c r="B607" s="3" t="s">
        <v>401</v>
      </c>
      <c r="C607" s="3" t="s">
        <v>1073</v>
      </c>
      <c r="I607" s="3">
        <v>32</v>
      </c>
      <c r="J607" s="3">
        <v>14</v>
      </c>
      <c r="K607" s="3">
        <v>1</v>
      </c>
      <c r="L607" s="3">
        <v>14</v>
      </c>
      <c r="M607" s="3">
        <v>11700</v>
      </c>
      <c r="N607" s="3">
        <v>163.80000000000001</v>
      </c>
      <c r="O607" s="3">
        <v>6.31</v>
      </c>
      <c r="P607" s="3">
        <v>1033.578</v>
      </c>
      <c r="Q607" s="3">
        <v>11700</v>
      </c>
    </row>
    <row r="608" spans="1:17" ht="24.95" hidden="1" customHeight="1" x14ac:dyDescent="0.25">
      <c r="A608" s="3">
        <v>3</v>
      </c>
      <c r="B608" s="3" t="s">
        <v>401</v>
      </c>
      <c r="C608" s="3" t="s">
        <v>1074</v>
      </c>
      <c r="I608" s="3">
        <v>32</v>
      </c>
      <c r="J608" s="3">
        <v>11</v>
      </c>
      <c r="K608" s="3">
        <v>1</v>
      </c>
      <c r="L608" s="3">
        <v>11</v>
      </c>
      <c r="M608" s="3">
        <v>6900</v>
      </c>
      <c r="N608" s="3">
        <v>75.900000000000006</v>
      </c>
      <c r="O608" s="3">
        <v>6.31</v>
      </c>
      <c r="P608" s="3">
        <v>478.92900000000003</v>
      </c>
      <c r="Q608" s="3">
        <v>6900</v>
      </c>
    </row>
    <row r="609" spans="1:17" ht="24.95" hidden="1" customHeight="1" x14ac:dyDescent="0.25">
      <c r="A609" s="3">
        <v>3</v>
      </c>
      <c r="B609" s="3" t="s">
        <v>401</v>
      </c>
      <c r="C609" s="3" t="s">
        <v>1075</v>
      </c>
      <c r="I609" s="3">
        <v>32</v>
      </c>
      <c r="J609" s="3">
        <v>11</v>
      </c>
      <c r="K609" s="3">
        <v>1</v>
      </c>
      <c r="L609" s="3">
        <v>11</v>
      </c>
      <c r="M609" s="3">
        <v>8630</v>
      </c>
      <c r="N609" s="3">
        <v>94.93</v>
      </c>
      <c r="O609" s="3">
        <v>6.31</v>
      </c>
      <c r="P609" s="3">
        <v>599.00829999999996</v>
      </c>
      <c r="Q609" s="3">
        <v>8630</v>
      </c>
    </row>
    <row r="610" spans="1:17" ht="24.95" hidden="1" customHeight="1" x14ac:dyDescent="0.25">
      <c r="A610" s="3">
        <v>3</v>
      </c>
      <c r="B610" s="3" t="s">
        <v>401</v>
      </c>
      <c r="C610" s="3" t="s">
        <v>1076</v>
      </c>
      <c r="I610" s="3">
        <v>32</v>
      </c>
      <c r="J610" s="3">
        <v>10</v>
      </c>
      <c r="K610" s="3">
        <v>1</v>
      </c>
      <c r="L610" s="3">
        <v>10</v>
      </c>
      <c r="M610" s="3">
        <v>6870</v>
      </c>
      <c r="N610" s="3">
        <v>68.7</v>
      </c>
      <c r="O610" s="3">
        <v>6.31</v>
      </c>
      <c r="P610" s="3">
        <v>433.49700000000001</v>
      </c>
      <c r="Q610" s="3">
        <v>6870</v>
      </c>
    </row>
    <row r="611" spans="1:17" ht="24.95" hidden="1" customHeight="1" x14ac:dyDescent="0.25">
      <c r="A611" s="3">
        <v>3</v>
      </c>
      <c r="B611" s="3" t="s">
        <v>401</v>
      </c>
      <c r="C611" s="3" t="s">
        <v>1077</v>
      </c>
      <c r="I611" s="3">
        <v>32</v>
      </c>
      <c r="J611" s="3">
        <v>10</v>
      </c>
      <c r="K611" s="3">
        <v>1</v>
      </c>
      <c r="L611" s="3">
        <v>10</v>
      </c>
      <c r="M611" s="3">
        <v>8660</v>
      </c>
      <c r="N611" s="3">
        <v>86.6</v>
      </c>
      <c r="O611" s="3">
        <v>6.31</v>
      </c>
      <c r="P611" s="3">
        <v>546.44599999999991</v>
      </c>
      <c r="Q611" s="3">
        <v>8660</v>
      </c>
    </row>
    <row r="612" spans="1:17" ht="24.95" hidden="1" customHeight="1" x14ac:dyDescent="0.25">
      <c r="A612" s="3">
        <v>3</v>
      </c>
      <c r="B612" s="3" t="s">
        <v>401</v>
      </c>
      <c r="C612" s="3" t="s">
        <v>1078</v>
      </c>
      <c r="I612" s="3">
        <v>14</v>
      </c>
      <c r="J612" s="3">
        <v>77</v>
      </c>
      <c r="K612" s="3">
        <v>1</v>
      </c>
      <c r="L612" s="3">
        <v>77</v>
      </c>
      <c r="M612" s="3">
        <v>7870</v>
      </c>
      <c r="N612" s="3">
        <v>605.99</v>
      </c>
      <c r="O612" s="3">
        <v>1.21</v>
      </c>
      <c r="P612" s="3">
        <v>733.24789999999996</v>
      </c>
      <c r="Q612" s="3">
        <v>7870</v>
      </c>
    </row>
    <row r="613" spans="1:17" ht="24.95" hidden="1" customHeight="1" x14ac:dyDescent="0.25">
      <c r="A613" s="3">
        <v>3</v>
      </c>
      <c r="B613" s="3" t="s">
        <v>401</v>
      </c>
      <c r="C613" s="3" t="s">
        <v>1079</v>
      </c>
      <c r="I613" s="3">
        <v>14</v>
      </c>
      <c r="J613" s="3">
        <v>77</v>
      </c>
      <c r="K613" s="3">
        <v>1</v>
      </c>
      <c r="L613" s="3">
        <v>77</v>
      </c>
      <c r="M613" s="3">
        <v>4350</v>
      </c>
      <c r="N613" s="3">
        <v>334.95</v>
      </c>
      <c r="O613" s="3">
        <v>1.21</v>
      </c>
      <c r="P613" s="3">
        <v>405.28949999999998</v>
      </c>
      <c r="Q613" s="3">
        <v>4350</v>
      </c>
    </row>
    <row r="614" spans="1:17" ht="24.95" hidden="1" customHeight="1" x14ac:dyDescent="0.25">
      <c r="A614" s="3">
        <v>3</v>
      </c>
      <c r="B614" s="3" t="s">
        <v>401</v>
      </c>
      <c r="C614" s="3" t="s">
        <v>1080</v>
      </c>
      <c r="I614" s="3">
        <v>14</v>
      </c>
      <c r="J614" s="3">
        <v>693</v>
      </c>
      <c r="K614" s="3">
        <v>1</v>
      </c>
      <c r="L614" s="3">
        <v>693</v>
      </c>
      <c r="M614" s="3">
        <v>2670</v>
      </c>
      <c r="N614" s="3">
        <v>1850.31</v>
      </c>
      <c r="O614" s="3">
        <v>1.21</v>
      </c>
      <c r="P614" s="3">
        <v>2238.8750999999997</v>
      </c>
      <c r="Q614" s="3">
        <v>2670</v>
      </c>
    </row>
    <row r="615" spans="1:17" ht="24.95" hidden="1" customHeight="1" x14ac:dyDescent="0.25">
      <c r="A615" s="3">
        <v>3</v>
      </c>
      <c r="B615" s="3" t="s">
        <v>401</v>
      </c>
      <c r="C615" s="3" t="s">
        <v>1081</v>
      </c>
      <c r="I615" s="3">
        <v>18</v>
      </c>
      <c r="J615" s="3">
        <v>12</v>
      </c>
      <c r="K615" s="3">
        <v>1</v>
      </c>
      <c r="L615" s="3">
        <v>12</v>
      </c>
      <c r="M615" s="3">
        <v>11700</v>
      </c>
      <c r="N615" s="3">
        <v>140.4</v>
      </c>
      <c r="O615" s="3">
        <v>2</v>
      </c>
      <c r="P615" s="3">
        <v>280.8</v>
      </c>
      <c r="Q615" s="3">
        <v>11700</v>
      </c>
    </row>
    <row r="616" spans="1:17" ht="24.95" hidden="1" customHeight="1" x14ac:dyDescent="0.25">
      <c r="A616" s="3">
        <v>3</v>
      </c>
      <c r="B616" s="3" t="s">
        <v>401</v>
      </c>
      <c r="C616" s="3" t="s">
        <v>1082</v>
      </c>
      <c r="I616" s="3">
        <v>14</v>
      </c>
      <c r="J616" s="3">
        <v>246</v>
      </c>
      <c r="K616" s="3">
        <v>1</v>
      </c>
      <c r="L616" s="3">
        <v>246</v>
      </c>
      <c r="M616" s="3">
        <v>3370</v>
      </c>
      <c r="N616" s="3">
        <v>829.02</v>
      </c>
      <c r="O616" s="3">
        <v>1.21</v>
      </c>
      <c r="P616" s="3">
        <v>1003.1142</v>
      </c>
      <c r="Q616" s="3">
        <v>3370</v>
      </c>
    </row>
    <row r="617" spans="1:17" ht="24.95" hidden="1" customHeight="1" x14ac:dyDescent="0.25">
      <c r="A617" s="3">
        <v>3</v>
      </c>
      <c r="B617" s="3" t="s">
        <v>401</v>
      </c>
      <c r="C617" s="3" t="s">
        <v>1083</v>
      </c>
      <c r="I617" s="3">
        <v>32</v>
      </c>
      <c r="J617" s="3">
        <v>12</v>
      </c>
      <c r="K617" s="3">
        <v>1</v>
      </c>
      <c r="L617" s="3">
        <v>12</v>
      </c>
      <c r="M617" s="3">
        <v>3090</v>
      </c>
      <c r="N617" s="3">
        <v>37.08</v>
      </c>
      <c r="O617" s="3">
        <v>6.31</v>
      </c>
      <c r="P617" s="3">
        <v>233.97479999999999</v>
      </c>
      <c r="Q617" s="3">
        <v>3090</v>
      </c>
    </row>
    <row r="618" spans="1:17" ht="24.95" hidden="1" customHeight="1" x14ac:dyDescent="0.25">
      <c r="A618" s="3">
        <v>3</v>
      </c>
      <c r="B618" s="3" t="s">
        <v>401</v>
      </c>
      <c r="C618" s="3" t="s">
        <v>1084</v>
      </c>
      <c r="I618" s="3">
        <v>14</v>
      </c>
      <c r="J618" s="3">
        <v>54</v>
      </c>
      <c r="K618" s="3">
        <v>1</v>
      </c>
      <c r="L618" s="3">
        <v>54</v>
      </c>
      <c r="M618" s="3">
        <v>11700</v>
      </c>
      <c r="N618" s="3">
        <v>631.79999999999995</v>
      </c>
      <c r="O618" s="3">
        <v>1.21</v>
      </c>
      <c r="P618" s="3">
        <v>764.47799999999995</v>
      </c>
      <c r="Q618" s="3">
        <v>11700</v>
      </c>
    </row>
    <row r="619" spans="1:17" ht="24.95" hidden="1" customHeight="1" x14ac:dyDescent="0.25">
      <c r="A619" s="3">
        <v>3</v>
      </c>
      <c r="B619" s="3" t="s">
        <v>402</v>
      </c>
      <c r="C619" s="3" t="s">
        <v>1085</v>
      </c>
      <c r="I619" s="3">
        <v>32</v>
      </c>
      <c r="J619" s="3">
        <v>9</v>
      </c>
      <c r="K619" s="3">
        <v>1</v>
      </c>
      <c r="L619" s="3">
        <v>9</v>
      </c>
      <c r="M619" s="3">
        <v>11700</v>
      </c>
      <c r="N619" s="3">
        <v>105.3</v>
      </c>
      <c r="O619" s="3">
        <v>6.31</v>
      </c>
      <c r="P619" s="3">
        <v>664.44299999999998</v>
      </c>
      <c r="Q619" s="3">
        <v>11700</v>
      </c>
    </row>
    <row r="620" spans="1:17" ht="24.95" hidden="1" customHeight="1" x14ac:dyDescent="0.25">
      <c r="A620" s="3">
        <v>3</v>
      </c>
      <c r="B620" s="3" t="s">
        <v>402</v>
      </c>
      <c r="C620" s="3" t="s">
        <v>1086</v>
      </c>
      <c r="I620" s="3">
        <v>32</v>
      </c>
      <c r="J620" s="3">
        <v>9</v>
      </c>
      <c r="K620" s="3">
        <v>1</v>
      </c>
      <c r="L620" s="3">
        <v>9</v>
      </c>
      <c r="M620" s="3">
        <v>3980</v>
      </c>
      <c r="N620" s="3">
        <v>35.82</v>
      </c>
      <c r="O620" s="3">
        <v>6.31</v>
      </c>
      <c r="P620" s="3">
        <v>226.02419999999998</v>
      </c>
      <c r="Q620" s="3">
        <v>3980</v>
      </c>
    </row>
    <row r="621" spans="1:17" ht="24.95" hidden="1" customHeight="1" x14ac:dyDescent="0.25">
      <c r="A621" s="3">
        <v>3</v>
      </c>
      <c r="B621" s="3" t="s">
        <v>402</v>
      </c>
      <c r="C621" s="3" t="s">
        <v>1087</v>
      </c>
      <c r="I621" s="3">
        <v>32</v>
      </c>
      <c r="J621" s="3">
        <v>4</v>
      </c>
      <c r="K621" s="3">
        <v>1</v>
      </c>
      <c r="L621" s="3">
        <v>4</v>
      </c>
      <c r="M621" s="3">
        <v>11700</v>
      </c>
      <c r="N621" s="3">
        <v>46.8</v>
      </c>
      <c r="O621" s="3">
        <v>6.31</v>
      </c>
      <c r="P621" s="3">
        <v>295.30799999999994</v>
      </c>
      <c r="Q621" s="3">
        <v>11700</v>
      </c>
    </row>
    <row r="622" spans="1:17" ht="24.95" hidden="1" customHeight="1" x14ac:dyDescent="0.25">
      <c r="A622" s="3">
        <v>3</v>
      </c>
      <c r="B622" s="3" t="s">
        <v>402</v>
      </c>
      <c r="C622" s="3" t="s">
        <v>1088</v>
      </c>
      <c r="I622" s="3">
        <v>32</v>
      </c>
      <c r="J622" s="3">
        <v>4</v>
      </c>
      <c r="K622" s="3">
        <v>1</v>
      </c>
      <c r="L622" s="3">
        <v>4</v>
      </c>
      <c r="M622" s="3">
        <v>3880</v>
      </c>
      <c r="N622" s="3">
        <v>15.52</v>
      </c>
      <c r="O622" s="3">
        <v>6.31</v>
      </c>
      <c r="P622" s="3">
        <v>97.93119999999999</v>
      </c>
      <c r="Q622" s="3">
        <v>3880</v>
      </c>
    </row>
    <row r="623" spans="1:17" ht="24.95" hidden="1" customHeight="1" x14ac:dyDescent="0.25">
      <c r="A623" s="3">
        <v>3</v>
      </c>
      <c r="B623" s="3" t="s">
        <v>402</v>
      </c>
      <c r="C623" s="3" t="s">
        <v>1089</v>
      </c>
      <c r="I623" s="3">
        <v>32</v>
      </c>
      <c r="J623" s="3">
        <v>5</v>
      </c>
      <c r="K623" s="3">
        <v>1</v>
      </c>
      <c r="L623" s="3">
        <v>5</v>
      </c>
      <c r="M623" s="3">
        <v>3900</v>
      </c>
      <c r="N623" s="3">
        <v>19.5</v>
      </c>
      <c r="O623" s="3">
        <v>6.31</v>
      </c>
      <c r="P623" s="3">
        <v>123.04499999999999</v>
      </c>
      <c r="Q623" s="3">
        <v>3900</v>
      </c>
    </row>
    <row r="624" spans="1:17" ht="24.95" hidden="1" customHeight="1" x14ac:dyDescent="0.25">
      <c r="A624" s="3">
        <v>3</v>
      </c>
      <c r="B624" s="3" t="s">
        <v>402</v>
      </c>
      <c r="C624" s="3" t="s">
        <v>1090</v>
      </c>
      <c r="I624" s="3">
        <v>32</v>
      </c>
      <c r="J624" s="3">
        <v>5</v>
      </c>
      <c r="K624" s="3">
        <v>1</v>
      </c>
      <c r="L624" s="3">
        <v>5</v>
      </c>
      <c r="M624" s="3">
        <v>11680</v>
      </c>
      <c r="N624" s="3">
        <v>58.4</v>
      </c>
      <c r="O624" s="3">
        <v>6.31</v>
      </c>
      <c r="P624" s="3">
        <v>368.50399999999996</v>
      </c>
      <c r="Q624" s="3">
        <v>11680</v>
      </c>
    </row>
    <row r="625" spans="1:17" ht="24.95" hidden="1" customHeight="1" x14ac:dyDescent="0.25">
      <c r="A625" s="3">
        <v>3</v>
      </c>
      <c r="B625" s="3" t="s">
        <v>402</v>
      </c>
      <c r="C625" s="3" t="s">
        <v>1087</v>
      </c>
      <c r="I625" s="3">
        <v>32</v>
      </c>
      <c r="J625" s="3">
        <v>4</v>
      </c>
      <c r="K625" s="3">
        <v>1</v>
      </c>
      <c r="L625" s="3">
        <v>4</v>
      </c>
      <c r="M625" s="3">
        <v>11700</v>
      </c>
      <c r="N625" s="3">
        <v>46.8</v>
      </c>
      <c r="O625" s="3">
        <v>6.31</v>
      </c>
      <c r="P625" s="3">
        <v>295.30799999999994</v>
      </c>
      <c r="Q625" s="3">
        <v>11700</v>
      </c>
    </row>
    <row r="626" spans="1:17" ht="24.95" hidden="1" customHeight="1" x14ac:dyDescent="0.25">
      <c r="A626" s="3">
        <v>3</v>
      </c>
      <c r="B626" s="3" t="s">
        <v>402</v>
      </c>
      <c r="C626" s="3" t="s">
        <v>1091</v>
      </c>
      <c r="I626" s="3">
        <v>32</v>
      </c>
      <c r="J626" s="3">
        <v>7</v>
      </c>
      <c r="K626" s="3">
        <v>1</v>
      </c>
      <c r="L626" s="3">
        <v>7</v>
      </c>
      <c r="M626" s="3">
        <v>3780</v>
      </c>
      <c r="N626" s="3">
        <v>26.46</v>
      </c>
      <c r="O626" s="3">
        <v>6.31</v>
      </c>
      <c r="P626" s="3">
        <v>166.96260000000001</v>
      </c>
      <c r="Q626" s="3">
        <v>3780</v>
      </c>
    </row>
    <row r="627" spans="1:17" ht="24.95" hidden="1" customHeight="1" x14ac:dyDescent="0.25">
      <c r="A627" s="3">
        <v>3</v>
      </c>
      <c r="B627" s="3" t="s">
        <v>402</v>
      </c>
      <c r="C627" s="3" t="s">
        <v>1092</v>
      </c>
      <c r="I627" s="3">
        <v>32</v>
      </c>
      <c r="J627" s="3">
        <v>3</v>
      </c>
      <c r="K627" s="3">
        <v>1</v>
      </c>
      <c r="L627" s="3">
        <v>3</v>
      </c>
      <c r="M627" s="3">
        <v>11700</v>
      </c>
      <c r="N627" s="3">
        <v>35.1</v>
      </c>
      <c r="O627" s="3">
        <v>6.31</v>
      </c>
      <c r="P627" s="3">
        <v>221.48099999999999</v>
      </c>
      <c r="Q627" s="3">
        <v>11700</v>
      </c>
    </row>
    <row r="628" spans="1:17" ht="24.95" hidden="1" customHeight="1" x14ac:dyDescent="0.25">
      <c r="A628" s="3">
        <v>3</v>
      </c>
      <c r="B628" s="3" t="s">
        <v>402</v>
      </c>
      <c r="C628" s="3" t="s">
        <v>1093</v>
      </c>
      <c r="I628" s="3">
        <v>32</v>
      </c>
      <c r="J628" s="3">
        <v>5</v>
      </c>
      <c r="K628" s="3">
        <v>1</v>
      </c>
      <c r="L628" s="3">
        <v>5</v>
      </c>
      <c r="M628" s="3">
        <v>9000</v>
      </c>
      <c r="N628" s="3">
        <v>45</v>
      </c>
      <c r="O628" s="3">
        <v>6.31</v>
      </c>
      <c r="P628" s="3">
        <v>283.95</v>
      </c>
      <c r="Q628" s="3">
        <v>9000</v>
      </c>
    </row>
    <row r="629" spans="1:17" ht="24.95" hidden="1" customHeight="1" x14ac:dyDescent="0.25">
      <c r="A629" s="3">
        <v>3</v>
      </c>
      <c r="B629" s="3" t="s">
        <v>402</v>
      </c>
      <c r="C629" s="3" t="s">
        <v>1094</v>
      </c>
      <c r="I629" s="3">
        <v>32</v>
      </c>
      <c r="J629" s="3">
        <v>4</v>
      </c>
      <c r="K629" s="3">
        <v>1</v>
      </c>
      <c r="L629" s="3">
        <v>4</v>
      </c>
      <c r="M629" s="3">
        <v>6980</v>
      </c>
      <c r="N629" s="3">
        <v>27.92</v>
      </c>
      <c r="O629" s="3">
        <v>6.31</v>
      </c>
      <c r="P629" s="3">
        <v>176.17519999999999</v>
      </c>
      <c r="Q629" s="3">
        <v>6980</v>
      </c>
    </row>
    <row r="630" spans="1:17" ht="24.95" hidden="1" customHeight="1" x14ac:dyDescent="0.25">
      <c r="A630" s="3">
        <v>3</v>
      </c>
      <c r="B630" s="3" t="s">
        <v>402</v>
      </c>
      <c r="C630" s="3" t="s">
        <v>1095</v>
      </c>
      <c r="I630" s="3">
        <v>32</v>
      </c>
      <c r="J630" s="3">
        <v>4</v>
      </c>
      <c r="K630" s="3">
        <v>1</v>
      </c>
      <c r="L630" s="3">
        <v>4</v>
      </c>
      <c r="M630" s="3">
        <v>8390</v>
      </c>
      <c r="N630" s="3">
        <v>33.56</v>
      </c>
      <c r="O630" s="3">
        <v>6.31</v>
      </c>
      <c r="P630" s="3">
        <v>211.7636</v>
      </c>
      <c r="Q630" s="3">
        <v>8390</v>
      </c>
    </row>
    <row r="631" spans="1:17" ht="24.95" hidden="1" customHeight="1" x14ac:dyDescent="0.25">
      <c r="A631" s="3">
        <v>3</v>
      </c>
      <c r="B631" s="3" t="s">
        <v>402</v>
      </c>
      <c r="C631" s="3" t="s">
        <v>1096</v>
      </c>
      <c r="I631" s="3">
        <v>32</v>
      </c>
      <c r="J631" s="3">
        <v>5</v>
      </c>
      <c r="K631" s="3">
        <v>1</v>
      </c>
      <c r="L631" s="3">
        <v>5</v>
      </c>
      <c r="M631" s="3">
        <v>6370</v>
      </c>
      <c r="N631" s="3">
        <v>31.85</v>
      </c>
      <c r="O631" s="3">
        <v>6.31</v>
      </c>
      <c r="P631" s="3">
        <v>200.9735</v>
      </c>
      <c r="Q631" s="3">
        <v>6370</v>
      </c>
    </row>
    <row r="632" spans="1:17" ht="24.95" hidden="1" customHeight="1" x14ac:dyDescent="0.25">
      <c r="A632" s="3">
        <v>3</v>
      </c>
      <c r="B632" s="3" t="s">
        <v>402</v>
      </c>
      <c r="C632" s="3" t="s">
        <v>1097</v>
      </c>
      <c r="I632" s="3">
        <v>32</v>
      </c>
      <c r="J632" s="3">
        <v>7</v>
      </c>
      <c r="K632" s="3">
        <v>1</v>
      </c>
      <c r="L632" s="3">
        <v>7</v>
      </c>
      <c r="M632" s="3">
        <v>5655</v>
      </c>
      <c r="N632" s="3">
        <v>39.585000000000001</v>
      </c>
      <c r="O632" s="3">
        <v>6.31</v>
      </c>
      <c r="P632" s="3">
        <v>249.78135</v>
      </c>
      <c r="Q632" s="3">
        <v>5655</v>
      </c>
    </row>
    <row r="633" spans="1:17" ht="24.95" hidden="1" customHeight="1" x14ac:dyDescent="0.25">
      <c r="A633" s="3">
        <v>3</v>
      </c>
      <c r="B633" s="3" t="s">
        <v>402</v>
      </c>
      <c r="C633" s="3" t="s">
        <v>1098</v>
      </c>
      <c r="I633" s="3">
        <v>32</v>
      </c>
      <c r="J633" s="3">
        <v>7</v>
      </c>
      <c r="K633" s="3">
        <v>1</v>
      </c>
      <c r="L633" s="3">
        <v>7</v>
      </c>
      <c r="M633" s="3">
        <v>4970</v>
      </c>
      <c r="N633" s="3">
        <v>34.79</v>
      </c>
      <c r="O633" s="3">
        <v>6.31</v>
      </c>
      <c r="P633" s="3">
        <v>219.52489999999997</v>
      </c>
      <c r="Q633" s="3">
        <v>4970</v>
      </c>
    </row>
    <row r="634" spans="1:17" ht="24.95" hidden="1" customHeight="1" x14ac:dyDescent="0.25">
      <c r="A634" s="3">
        <v>3</v>
      </c>
      <c r="B634" s="3" t="s">
        <v>402</v>
      </c>
      <c r="C634" s="3" t="s">
        <v>1099</v>
      </c>
      <c r="I634" s="3">
        <v>20</v>
      </c>
      <c r="J634" s="3">
        <v>66</v>
      </c>
      <c r="K634" s="3">
        <v>1</v>
      </c>
      <c r="L634" s="3">
        <v>66</v>
      </c>
      <c r="M634" s="3">
        <v>5870</v>
      </c>
      <c r="N634" s="3">
        <v>387.42</v>
      </c>
      <c r="O634" s="3">
        <v>2.4700000000000002</v>
      </c>
      <c r="P634" s="3">
        <v>956.92740000000015</v>
      </c>
      <c r="Q634" s="3">
        <v>5870</v>
      </c>
    </row>
    <row r="635" spans="1:17" ht="24.95" hidden="1" customHeight="1" x14ac:dyDescent="0.25">
      <c r="A635" s="3">
        <v>3</v>
      </c>
      <c r="B635" s="3" t="s">
        <v>402</v>
      </c>
      <c r="C635" s="3" t="s">
        <v>1100</v>
      </c>
      <c r="I635" s="3">
        <v>20</v>
      </c>
      <c r="J635" s="3">
        <v>66</v>
      </c>
      <c r="K635" s="3">
        <v>1</v>
      </c>
      <c r="L635" s="3">
        <v>66</v>
      </c>
      <c r="M635" s="3">
        <v>2890</v>
      </c>
      <c r="N635" s="3">
        <v>190.74</v>
      </c>
      <c r="O635" s="3">
        <v>2.4700000000000002</v>
      </c>
      <c r="P635" s="3">
        <v>471.12780000000004</v>
      </c>
      <c r="Q635" s="3">
        <v>2890</v>
      </c>
    </row>
    <row r="636" spans="1:17" ht="24.95" hidden="1" customHeight="1" x14ac:dyDescent="0.25">
      <c r="A636" s="3">
        <v>3</v>
      </c>
      <c r="B636" s="3" t="s">
        <v>402</v>
      </c>
      <c r="C636" s="3" t="s">
        <v>1101</v>
      </c>
      <c r="I636" s="3">
        <v>20</v>
      </c>
      <c r="J636" s="3">
        <v>198</v>
      </c>
      <c r="K636" s="3">
        <v>1</v>
      </c>
      <c r="L636" s="3">
        <v>198</v>
      </c>
      <c r="M636" s="3">
        <v>2790</v>
      </c>
      <c r="N636" s="3">
        <v>552.41999999999996</v>
      </c>
      <c r="O636" s="3">
        <v>2.4700000000000002</v>
      </c>
      <c r="P636" s="3">
        <v>1364.4774</v>
      </c>
      <c r="Q636" s="3">
        <v>2790</v>
      </c>
    </row>
    <row r="637" spans="1:17" ht="24.95" hidden="1" customHeight="1" x14ac:dyDescent="0.25">
      <c r="A637" s="3">
        <v>3</v>
      </c>
      <c r="B637" s="3" t="s">
        <v>402</v>
      </c>
      <c r="C637" s="3" t="s">
        <v>1102</v>
      </c>
      <c r="I637" s="3">
        <v>18</v>
      </c>
      <c r="J637" s="3">
        <v>12</v>
      </c>
      <c r="K637" s="3">
        <v>1</v>
      </c>
      <c r="L637" s="3">
        <v>12</v>
      </c>
      <c r="M637" s="3">
        <v>9600</v>
      </c>
      <c r="N637" s="3">
        <v>115.2</v>
      </c>
      <c r="O637" s="3">
        <v>2</v>
      </c>
      <c r="P637" s="3">
        <v>230.4</v>
      </c>
      <c r="Q637" s="3">
        <v>9600</v>
      </c>
    </row>
    <row r="638" spans="1:17" ht="24.95" hidden="1" customHeight="1" x14ac:dyDescent="0.25">
      <c r="A638" s="3">
        <v>3</v>
      </c>
      <c r="B638" s="3" t="s">
        <v>402</v>
      </c>
      <c r="C638" s="3" t="s">
        <v>1103</v>
      </c>
      <c r="I638" s="3">
        <v>14</v>
      </c>
      <c r="J638" s="3">
        <v>204</v>
      </c>
      <c r="K638" s="3">
        <v>1</v>
      </c>
      <c r="L638" s="3">
        <v>204</v>
      </c>
      <c r="M638" s="3">
        <v>1370</v>
      </c>
      <c r="N638" s="3">
        <v>279.48</v>
      </c>
      <c r="O638" s="3">
        <v>1.21</v>
      </c>
      <c r="P638" s="3">
        <v>338.17079999999999</v>
      </c>
      <c r="Q638" s="3">
        <v>1370</v>
      </c>
    </row>
    <row r="639" spans="1:17" ht="24.95" hidden="1" customHeight="1" x14ac:dyDescent="0.25">
      <c r="A639" s="3">
        <v>3</v>
      </c>
      <c r="B639" s="3" t="s">
        <v>402</v>
      </c>
      <c r="C639" s="3" t="s">
        <v>1104</v>
      </c>
      <c r="I639" s="3">
        <v>32</v>
      </c>
      <c r="J639" s="3">
        <v>15</v>
      </c>
      <c r="K639" s="3">
        <v>1</v>
      </c>
      <c r="L639" s="3">
        <v>15</v>
      </c>
      <c r="M639" s="3">
        <v>1090</v>
      </c>
      <c r="N639" s="3">
        <v>16.350000000000001</v>
      </c>
      <c r="O639" s="3">
        <v>6.31</v>
      </c>
      <c r="P639" s="3">
        <v>103.16850000000001</v>
      </c>
      <c r="Q639" s="3">
        <v>1090</v>
      </c>
    </row>
    <row r="640" spans="1:17" ht="24.95" hidden="1" customHeight="1" x14ac:dyDescent="0.25">
      <c r="A640" s="3">
        <v>3</v>
      </c>
      <c r="B640" s="3" t="s">
        <v>402</v>
      </c>
      <c r="C640" s="3" t="s">
        <v>1105</v>
      </c>
      <c r="I640" s="3">
        <v>14</v>
      </c>
      <c r="J640" s="3">
        <v>18</v>
      </c>
      <c r="K640" s="3">
        <v>1</v>
      </c>
      <c r="L640" s="3">
        <v>18</v>
      </c>
      <c r="M640" s="3">
        <v>9600</v>
      </c>
      <c r="N640" s="3">
        <v>172.8</v>
      </c>
      <c r="O640" s="3">
        <v>1.21</v>
      </c>
      <c r="P640" s="3">
        <v>209.08799999999999</v>
      </c>
      <c r="Q640" s="3">
        <v>9600</v>
      </c>
    </row>
    <row r="641" spans="1:17" ht="24.95" hidden="1" customHeight="1" x14ac:dyDescent="0.25">
      <c r="A641" s="3">
        <v>3</v>
      </c>
      <c r="B641" s="3" t="s">
        <v>403</v>
      </c>
      <c r="C641" s="3" t="s">
        <v>1106</v>
      </c>
      <c r="I641" s="3">
        <v>32</v>
      </c>
      <c r="J641" s="3">
        <v>4</v>
      </c>
      <c r="K641" s="3">
        <v>1</v>
      </c>
      <c r="L641" s="3">
        <v>4</v>
      </c>
      <c r="M641" s="3">
        <v>9570</v>
      </c>
      <c r="N641" s="3">
        <v>38.28</v>
      </c>
      <c r="O641" s="3">
        <v>6.31</v>
      </c>
      <c r="P641" s="3">
        <v>241.54679999999999</v>
      </c>
      <c r="Q641" s="3">
        <v>9570</v>
      </c>
    </row>
    <row r="642" spans="1:17" ht="24.95" hidden="1" customHeight="1" x14ac:dyDescent="0.25">
      <c r="A642" s="3">
        <v>3</v>
      </c>
      <c r="B642" s="3" t="s">
        <v>403</v>
      </c>
      <c r="C642" s="3" t="s">
        <v>1107</v>
      </c>
      <c r="I642" s="3">
        <v>32</v>
      </c>
      <c r="J642" s="3">
        <v>3</v>
      </c>
      <c r="K642" s="3">
        <v>1</v>
      </c>
      <c r="L642" s="3">
        <v>3</v>
      </c>
      <c r="M642" s="3">
        <v>9570</v>
      </c>
      <c r="N642" s="3">
        <v>28.71</v>
      </c>
      <c r="O642" s="3">
        <v>6.31</v>
      </c>
      <c r="P642" s="3">
        <v>181.1601</v>
      </c>
      <c r="Q642" s="3">
        <v>9570</v>
      </c>
    </row>
    <row r="643" spans="1:17" ht="24.95" hidden="1" customHeight="1" x14ac:dyDescent="0.25">
      <c r="A643" s="3">
        <v>3</v>
      </c>
      <c r="B643" s="3" t="s">
        <v>403</v>
      </c>
      <c r="C643" s="3" t="s">
        <v>1108</v>
      </c>
      <c r="I643" s="3">
        <v>32</v>
      </c>
      <c r="J643" s="3">
        <v>4</v>
      </c>
      <c r="K643" s="3">
        <v>1</v>
      </c>
      <c r="L643" s="3">
        <v>4</v>
      </c>
      <c r="M643" s="3">
        <v>11700</v>
      </c>
      <c r="N643" s="3">
        <v>46.8</v>
      </c>
      <c r="O643" s="3">
        <v>6.31</v>
      </c>
      <c r="P643" s="3">
        <v>295.30799999999994</v>
      </c>
      <c r="Q643" s="3">
        <v>11700</v>
      </c>
    </row>
    <row r="644" spans="1:17" ht="24.95" hidden="1" customHeight="1" x14ac:dyDescent="0.25">
      <c r="A644" s="3">
        <v>3</v>
      </c>
      <c r="B644" s="3" t="s">
        <v>403</v>
      </c>
      <c r="C644" s="3" t="s">
        <v>1109</v>
      </c>
      <c r="I644" s="3">
        <v>32</v>
      </c>
      <c r="J644" s="3">
        <v>3</v>
      </c>
      <c r="K644" s="3">
        <v>1</v>
      </c>
      <c r="L644" s="3">
        <v>3</v>
      </c>
      <c r="M644" s="3">
        <v>11700</v>
      </c>
      <c r="N644" s="3">
        <v>35.1</v>
      </c>
      <c r="O644" s="3">
        <v>6.31</v>
      </c>
      <c r="P644" s="3">
        <v>221.48099999999999</v>
      </c>
      <c r="Q644" s="3">
        <v>11700</v>
      </c>
    </row>
    <row r="645" spans="1:17" ht="24.95" hidden="1" customHeight="1" x14ac:dyDescent="0.25">
      <c r="A645" s="3">
        <v>3</v>
      </c>
      <c r="B645" s="3" t="s">
        <v>403</v>
      </c>
      <c r="C645" s="3" t="s">
        <v>1110</v>
      </c>
      <c r="I645" s="3">
        <v>32</v>
      </c>
      <c r="J645" s="3">
        <v>4</v>
      </c>
      <c r="K645" s="3">
        <v>1</v>
      </c>
      <c r="L645" s="3">
        <v>4</v>
      </c>
      <c r="M645" s="3">
        <v>9470</v>
      </c>
      <c r="N645" s="3">
        <v>37.880000000000003</v>
      </c>
      <c r="O645" s="3">
        <v>6.31</v>
      </c>
      <c r="P645" s="3">
        <v>239.02279999999999</v>
      </c>
      <c r="Q645" s="3">
        <v>9470</v>
      </c>
    </row>
    <row r="646" spans="1:17" ht="24.95" hidden="1" customHeight="1" x14ac:dyDescent="0.25">
      <c r="A646" s="3">
        <v>3</v>
      </c>
      <c r="B646" s="3" t="s">
        <v>403</v>
      </c>
      <c r="C646" s="3" t="s">
        <v>1111</v>
      </c>
      <c r="I646" s="3">
        <v>32</v>
      </c>
      <c r="J646" s="3">
        <v>3</v>
      </c>
      <c r="K646" s="3">
        <v>1</v>
      </c>
      <c r="L646" s="3">
        <v>3</v>
      </c>
      <c r="M646" s="3">
        <v>9470</v>
      </c>
      <c r="N646" s="3">
        <v>28.41</v>
      </c>
      <c r="O646" s="3">
        <v>6.31</v>
      </c>
      <c r="P646" s="3">
        <v>179.2671</v>
      </c>
      <c r="Q646" s="3">
        <v>9470</v>
      </c>
    </row>
    <row r="647" spans="1:17" ht="24.95" hidden="1" customHeight="1" x14ac:dyDescent="0.25">
      <c r="A647" s="3">
        <v>3</v>
      </c>
      <c r="B647" s="3" t="s">
        <v>403</v>
      </c>
      <c r="C647" s="3" t="s">
        <v>1112</v>
      </c>
      <c r="I647" s="3">
        <v>32</v>
      </c>
      <c r="J647" s="3">
        <v>4</v>
      </c>
      <c r="K647" s="3">
        <v>1</v>
      </c>
      <c r="L647" s="3">
        <v>4</v>
      </c>
      <c r="M647" s="3">
        <v>11700</v>
      </c>
      <c r="N647" s="3">
        <v>46.8</v>
      </c>
      <c r="O647" s="3">
        <v>6.31</v>
      </c>
      <c r="P647" s="3">
        <v>295.30799999999994</v>
      </c>
      <c r="Q647" s="3">
        <v>11700</v>
      </c>
    </row>
    <row r="648" spans="1:17" ht="24.95" hidden="1" customHeight="1" x14ac:dyDescent="0.25">
      <c r="A648" s="3">
        <v>3</v>
      </c>
      <c r="B648" s="3" t="s">
        <v>403</v>
      </c>
      <c r="C648" s="3" t="s">
        <v>1113</v>
      </c>
      <c r="I648" s="3">
        <v>32</v>
      </c>
      <c r="J648" s="3">
        <v>3</v>
      </c>
      <c r="K648" s="3">
        <v>1</v>
      </c>
      <c r="L648" s="3">
        <v>3</v>
      </c>
      <c r="M648" s="3">
        <v>11700</v>
      </c>
      <c r="N648" s="3">
        <v>35.1</v>
      </c>
      <c r="O648" s="3">
        <v>6.31</v>
      </c>
      <c r="P648" s="3">
        <v>221.48099999999999</v>
      </c>
      <c r="Q648" s="3">
        <v>11700</v>
      </c>
    </row>
    <row r="649" spans="1:17" ht="24.95" hidden="1" customHeight="1" x14ac:dyDescent="0.25">
      <c r="A649" s="3">
        <v>3</v>
      </c>
      <c r="B649" s="3" t="s">
        <v>403</v>
      </c>
      <c r="C649" s="3" t="s">
        <v>1114</v>
      </c>
      <c r="I649" s="3">
        <v>32</v>
      </c>
      <c r="J649" s="3">
        <v>4</v>
      </c>
      <c r="K649" s="3">
        <v>1</v>
      </c>
      <c r="L649" s="3">
        <v>4</v>
      </c>
      <c r="M649" s="3">
        <v>9370</v>
      </c>
      <c r="N649" s="3">
        <v>37.479999999999997</v>
      </c>
      <c r="O649" s="3">
        <v>6.31</v>
      </c>
      <c r="P649" s="3">
        <v>236.49879999999996</v>
      </c>
      <c r="Q649" s="3">
        <v>9370</v>
      </c>
    </row>
    <row r="650" spans="1:17" ht="24.95" hidden="1" customHeight="1" x14ac:dyDescent="0.25">
      <c r="A650" s="3">
        <v>3</v>
      </c>
      <c r="B650" s="3" t="s">
        <v>403</v>
      </c>
      <c r="C650" s="3" t="s">
        <v>1115</v>
      </c>
      <c r="I650" s="3">
        <v>32</v>
      </c>
      <c r="J650" s="3">
        <v>3</v>
      </c>
      <c r="K650" s="3">
        <v>1</v>
      </c>
      <c r="L650" s="3">
        <v>3</v>
      </c>
      <c r="M650" s="3">
        <v>9370</v>
      </c>
      <c r="N650" s="3">
        <v>28.11</v>
      </c>
      <c r="O650" s="3">
        <v>6.31</v>
      </c>
      <c r="P650" s="3">
        <v>177.3741</v>
      </c>
      <c r="Q650" s="3">
        <v>9370</v>
      </c>
    </row>
    <row r="651" spans="1:17" ht="24.95" hidden="1" customHeight="1" x14ac:dyDescent="0.25">
      <c r="A651" s="3">
        <v>3</v>
      </c>
      <c r="B651" s="3" t="s">
        <v>403</v>
      </c>
      <c r="C651" s="3" t="s">
        <v>1116</v>
      </c>
      <c r="I651" s="3">
        <v>32</v>
      </c>
      <c r="J651" s="3">
        <v>4</v>
      </c>
      <c r="K651" s="3">
        <v>1</v>
      </c>
      <c r="L651" s="3">
        <v>4</v>
      </c>
      <c r="M651" s="3">
        <v>11700</v>
      </c>
      <c r="N651" s="3">
        <v>46.8</v>
      </c>
      <c r="O651" s="3">
        <v>6.31</v>
      </c>
      <c r="P651" s="3">
        <v>295.30799999999994</v>
      </c>
      <c r="Q651" s="3">
        <v>11700</v>
      </c>
    </row>
    <row r="652" spans="1:17" ht="24.95" hidden="1" customHeight="1" x14ac:dyDescent="0.25">
      <c r="A652" s="3">
        <v>3</v>
      </c>
      <c r="B652" s="3" t="s">
        <v>403</v>
      </c>
      <c r="C652" s="3" t="s">
        <v>1117</v>
      </c>
      <c r="I652" s="3">
        <v>32</v>
      </c>
      <c r="J652" s="3">
        <v>3</v>
      </c>
      <c r="K652" s="3">
        <v>1</v>
      </c>
      <c r="L652" s="3">
        <v>3</v>
      </c>
      <c r="M652" s="3">
        <v>11700</v>
      </c>
      <c r="N652" s="3">
        <v>35.1</v>
      </c>
      <c r="O652" s="3">
        <v>6.31</v>
      </c>
      <c r="P652" s="3">
        <v>221.48099999999999</v>
      </c>
      <c r="Q652" s="3">
        <v>11700</v>
      </c>
    </row>
    <row r="653" spans="1:17" ht="24.95" hidden="1" customHeight="1" x14ac:dyDescent="0.25">
      <c r="A653" s="3">
        <v>3</v>
      </c>
      <c r="B653" s="3" t="s">
        <v>403</v>
      </c>
      <c r="C653" s="3" t="s">
        <v>1118</v>
      </c>
      <c r="I653" s="3">
        <v>32</v>
      </c>
      <c r="J653" s="3">
        <v>4</v>
      </c>
      <c r="K653" s="3">
        <v>1</v>
      </c>
      <c r="L653" s="3">
        <v>4</v>
      </c>
      <c r="M653" s="3">
        <v>7380</v>
      </c>
      <c r="N653" s="3">
        <v>29.52</v>
      </c>
      <c r="O653" s="3">
        <v>6.31</v>
      </c>
      <c r="P653" s="3">
        <v>186.27119999999999</v>
      </c>
      <c r="Q653" s="3">
        <v>7380</v>
      </c>
    </row>
    <row r="654" spans="1:17" ht="24.95" hidden="1" customHeight="1" x14ac:dyDescent="0.25">
      <c r="A654" s="3">
        <v>3</v>
      </c>
      <c r="B654" s="3" t="s">
        <v>403</v>
      </c>
      <c r="C654" s="3" t="s">
        <v>1119</v>
      </c>
      <c r="I654" s="3">
        <v>32</v>
      </c>
      <c r="J654" s="3">
        <v>7</v>
      </c>
      <c r="K654" s="3">
        <v>1</v>
      </c>
      <c r="L654" s="3">
        <v>7</v>
      </c>
      <c r="M654" s="3">
        <v>10740</v>
      </c>
      <c r="N654" s="3">
        <v>75.180000000000007</v>
      </c>
      <c r="O654" s="3">
        <v>6.31</v>
      </c>
      <c r="P654" s="3">
        <v>474.38580000000002</v>
      </c>
      <c r="Q654" s="3">
        <v>10740</v>
      </c>
    </row>
    <row r="655" spans="1:17" ht="24.95" hidden="1" customHeight="1" x14ac:dyDescent="0.25">
      <c r="A655" s="3">
        <v>3</v>
      </c>
      <c r="B655" s="3" t="s">
        <v>403</v>
      </c>
      <c r="C655" s="3" t="s">
        <v>1120</v>
      </c>
      <c r="I655" s="3">
        <v>32</v>
      </c>
      <c r="J655" s="3">
        <v>3</v>
      </c>
      <c r="K655" s="3">
        <v>1</v>
      </c>
      <c r="L655" s="3">
        <v>3</v>
      </c>
      <c r="M655" s="3">
        <v>6250</v>
      </c>
      <c r="N655" s="3">
        <v>18.75</v>
      </c>
      <c r="O655" s="3">
        <v>6.31</v>
      </c>
      <c r="P655" s="3">
        <v>118.31249999999999</v>
      </c>
      <c r="Q655" s="3">
        <v>6250</v>
      </c>
    </row>
    <row r="656" spans="1:17" ht="24.95" hidden="1" customHeight="1" x14ac:dyDescent="0.25">
      <c r="A656" s="3">
        <v>3</v>
      </c>
      <c r="B656" s="3" t="s">
        <v>403</v>
      </c>
      <c r="C656" s="3" t="s">
        <v>1121</v>
      </c>
      <c r="I656" s="3">
        <v>32</v>
      </c>
      <c r="J656" s="3">
        <v>4</v>
      </c>
      <c r="K656" s="3">
        <v>1</v>
      </c>
      <c r="L656" s="3">
        <v>4</v>
      </c>
      <c r="M656" s="3">
        <v>4490</v>
      </c>
      <c r="N656" s="3">
        <v>17.96</v>
      </c>
      <c r="O656" s="3">
        <v>6.31</v>
      </c>
      <c r="P656" s="3">
        <v>113.3276</v>
      </c>
      <c r="Q656" s="3">
        <v>4490</v>
      </c>
    </row>
    <row r="657" spans="1:17" ht="24.95" hidden="1" customHeight="1" x14ac:dyDescent="0.25">
      <c r="A657" s="3">
        <v>3</v>
      </c>
      <c r="B657" s="3" t="s">
        <v>403</v>
      </c>
      <c r="C657" s="3" t="s">
        <v>1122</v>
      </c>
      <c r="I657" s="3">
        <v>32</v>
      </c>
      <c r="J657" s="3">
        <v>3</v>
      </c>
      <c r="K657" s="3">
        <v>1</v>
      </c>
      <c r="L657" s="3">
        <v>3</v>
      </c>
      <c r="M657" s="3">
        <v>5620</v>
      </c>
      <c r="N657" s="3">
        <v>16.86</v>
      </c>
      <c r="O657" s="3">
        <v>6.31</v>
      </c>
      <c r="P657" s="3">
        <v>106.38659999999999</v>
      </c>
      <c r="Q657" s="3">
        <v>5620</v>
      </c>
    </row>
    <row r="658" spans="1:17" ht="24.95" hidden="1" customHeight="1" x14ac:dyDescent="0.25">
      <c r="A658" s="3">
        <v>3</v>
      </c>
      <c r="B658" s="3" t="s">
        <v>403</v>
      </c>
      <c r="C658" s="3" t="s">
        <v>1123</v>
      </c>
      <c r="I658" s="3">
        <v>32</v>
      </c>
      <c r="J658" s="3">
        <v>7</v>
      </c>
      <c r="K658" s="3">
        <v>1</v>
      </c>
      <c r="L658" s="3">
        <v>7</v>
      </c>
      <c r="M658" s="3">
        <v>3020</v>
      </c>
      <c r="N658" s="3">
        <v>21.14</v>
      </c>
      <c r="O658" s="3">
        <v>6.31</v>
      </c>
      <c r="P658" s="3">
        <v>133.39339999999999</v>
      </c>
      <c r="Q658" s="3">
        <v>3020</v>
      </c>
    </row>
    <row r="659" spans="1:17" ht="24.95" hidden="1" customHeight="1" x14ac:dyDescent="0.25">
      <c r="A659" s="3">
        <v>3</v>
      </c>
      <c r="B659" s="3" t="s">
        <v>403</v>
      </c>
      <c r="C659" s="3" t="s">
        <v>1124</v>
      </c>
      <c r="I659" s="3">
        <v>32</v>
      </c>
      <c r="J659" s="3">
        <v>7</v>
      </c>
      <c r="K659" s="3">
        <v>1</v>
      </c>
      <c r="L659" s="3">
        <v>7</v>
      </c>
      <c r="M659" s="3">
        <v>2835</v>
      </c>
      <c r="N659" s="3">
        <v>19.844999999999999</v>
      </c>
      <c r="O659" s="3">
        <v>6.31</v>
      </c>
      <c r="P659" s="3">
        <v>125.22194999999998</v>
      </c>
      <c r="Q659" s="3">
        <v>2835</v>
      </c>
    </row>
    <row r="660" spans="1:17" ht="24.95" hidden="1" customHeight="1" x14ac:dyDescent="0.25">
      <c r="A660" s="3">
        <v>3</v>
      </c>
      <c r="B660" s="3" t="s">
        <v>403</v>
      </c>
      <c r="C660" s="3" t="s">
        <v>1125</v>
      </c>
      <c r="I660" s="3">
        <v>32</v>
      </c>
      <c r="J660" s="3">
        <v>7</v>
      </c>
      <c r="K660" s="3">
        <v>1</v>
      </c>
      <c r="L660" s="3">
        <v>7</v>
      </c>
      <c r="M660" s="3">
        <v>6000</v>
      </c>
      <c r="N660" s="3">
        <v>42</v>
      </c>
      <c r="O660" s="3">
        <v>6.31</v>
      </c>
      <c r="P660" s="3">
        <v>265.02</v>
      </c>
      <c r="Q660" s="3">
        <v>6000</v>
      </c>
    </row>
    <row r="661" spans="1:17" ht="24.95" hidden="1" customHeight="1" x14ac:dyDescent="0.25">
      <c r="A661" s="3">
        <v>3</v>
      </c>
      <c r="B661" s="3" t="s">
        <v>403</v>
      </c>
      <c r="C661" s="3" t="s">
        <v>1126</v>
      </c>
      <c r="I661" s="3">
        <v>32</v>
      </c>
      <c r="J661" s="3">
        <v>7</v>
      </c>
      <c r="K661" s="3">
        <v>1</v>
      </c>
      <c r="L661" s="3">
        <v>7</v>
      </c>
      <c r="M661" s="3">
        <v>4010</v>
      </c>
      <c r="N661" s="3">
        <v>28.07</v>
      </c>
      <c r="O661" s="3">
        <v>6.31</v>
      </c>
      <c r="P661" s="3">
        <v>177.1217</v>
      </c>
      <c r="Q661" s="3">
        <v>4010</v>
      </c>
    </row>
    <row r="662" spans="1:17" ht="24.95" hidden="1" customHeight="1" x14ac:dyDescent="0.25">
      <c r="A662" s="3">
        <v>3</v>
      </c>
      <c r="B662" s="3" t="s">
        <v>403</v>
      </c>
      <c r="C662" s="3" t="s">
        <v>1127</v>
      </c>
      <c r="I662" s="3">
        <v>14</v>
      </c>
      <c r="J662" s="3">
        <v>106</v>
      </c>
      <c r="K662" s="3">
        <v>1</v>
      </c>
      <c r="L662" s="3">
        <v>106</v>
      </c>
      <c r="M662" s="3">
        <v>5870</v>
      </c>
      <c r="N662" s="3">
        <v>622.22</v>
      </c>
      <c r="O662" s="3">
        <v>1.21</v>
      </c>
      <c r="P662" s="3">
        <v>752.88620000000003</v>
      </c>
      <c r="Q662" s="3">
        <v>5870</v>
      </c>
    </row>
    <row r="663" spans="1:17" ht="24.95" hidden="1" customHeight="1" x14ac:dyDescent="0.25">
      <c r="A663" s="3">
        <v>3</v>
      </c>
      <c r="B663" s="3" t="s">
        <v>403</v>
      </c>
      <c r="C663" s="3" t="s">
        <v>1128</v>
      </c>
      <c r="I663" s="3">
        <v>14</v>
      </c>
      <c r="J663" s="3">
        <v>106</v>
      </c>
      <c r="K663" s="3">
        <v>1</v>
      </c>
      <c r="L663" s="3">
        <v>106</v>
      </c>
      <c r="M663" s="3">
        <v>2350</v>
      </c>
      <c r="N663" s="3">
        <v>249.1</v>
      </c>
      <c r="O663" s="3">
        <v>1.21</v>
      </c>
      <c r="P663" s="3">
        <v>301.411</v>
      </c>
      <c r="Q663" s="3">
        <v>2350</v>
      </c>
    </row>
    <row r="664" spans="1:17" ht="24.95" hidden="1" customHeight="1" x14ac:dyDescent="0.25">
      <c r="A664" s="3">
        <v>3</v>
      </c>
      <c r="B664" s="3" t="s">
        <v>403</v>
      </c>
      <c r="C664" s="3" t="s">
        <v>1129</v>
      </c>
      <c r="I664" s="3">
        <v>14</v>
      </c>
      <c r="J664" s="3">
        <v>212</v>
      </c>
      <c r="K664" s="3">
        <v>1</v>
      </c>
      <c r="L664" s="3">
        <v>212</v>
      </c>
      <c r="M664" s="3">
        <v>2670</v>
      </c>
      <c r="N664" s="3">
        <v>566.04</v>
      </c>
      <c r="O664" s="3">
        <v>1.21</v>
      </c>
      <c r="P664" s="3">
        <v>684.90839999999992</v>
      </c>
      <c r="Q664" s="3">
        <v>2670</v>
      </c>
    </row>
    <row r="665" spans="1:17" ht="24.95" hidden="1" customHeight="1" x14ac:dyDescent="0.25">
      <c r="A665" s="3">
        <v>3</v>
      </c>
      <c r="B665" s="3" t="s">
        <v>403</v>
      </c>
      <c r="C665" s="3" t="s">
        <v>1130</v>
      </c>
      <c r="I665" s="3">
        <v>18</v>
      </c>
      <c r="J665" s="3">
        <v>12</v>
      </c>
      <c r="K665" s="3">
        <v>1</v>
      </c>
      <c r="L665" s="3">
        <v>12</v>
      </c>
      <c r="M665" s="3">
        <v>11700</v>
      </c>
      <c r="N665" s="3">
        <v>140.4</v>
      </c>
      <c r="O665" s="3">
        <v>2</v>
      </c>
      <c r="P665" s="3">
        <v>280.8</v>
      </c>
      <c r="Q665" s="3">
        <v>11700</v>
      </c>
    </row>
    <row r="666" spans="1:17" ht="24.95" hidden="1" customHeight="1" x14ac:dyDescent="0.25">
      <c r="A666" s="3">
        <v>3</v>
      </c>
      <c r="B666" s="3" t="s">
        <v>403</v>
      </c>
      <c r="C666" s="3" t="s">
        <v>1131</v>
      </c>
      <c r="I666" s="3">
        <v>18</v>
      </c>
      <c r="J666" s="3">
        <v>12</v>
      </c>
      <c r="K666" s="3">
        <v>1</v>
      </c>
      <c r="L666" s="3">
        <v>12</v>
      </c>
      <c r="M666" s="3">
        <v>5210</v>
      </c>
      <c r="N666" s="3">
        <v>62.52</v>
      </c>
      <c r="O666" s="3">
        <v>2</v>
      </c>
      <c r="P666" s="3">
        <v>125.04</v>
      </c>
      <c r="Q666" s="3">
        <v>5210</v>
      </c>
    </row>
    <row r="667" spans="1:17" ht="24.95" hidden="1" customHeight="1" x14ac:dyDescent="0.25">
      <c r="A667" s="3">
        <v>3</v>
      </c>
      <c r="B667" s="3" t="s">
        <v>403</v>
      </c>
      <c r="C667" s="3" t="s">
        <v>1132</v>
      </c>
      <c r="I667" s="3">
        <v>14</v>
      </c>
      <c r="J667" s="3">
        <v>312</v>
      </c>
      <c r="K667" s="3">
        <v>1</v>
      </c>
      <c r="L667" s="3">
        <v>312</v>
      </c>
      <c r="M667" s="3">
        <v>1370</v>
      </c>
      <c r="N667" s="3">
        <v>427.44</v>
      </c>
      <c r="O667" s="3">
        <v>1.21</v>
      </c>
      <c r="P667" s="3">
        <v>517.20240000000001</v>
      </c>
      <c r="Q667" s="3">
        <v>1370</v>
      </c>
    </row>
    <row r="668" spans="1:17" ht="24.95" hidden="1" customHeight="1" x14ac:dyDescent="0.25">
      <c r="A668" s="3">
        <v>3</v>
      </c>
      <c r="B668" s="3" t="s">
        <v>403</v>
      </c>
      <c r="C668" s="3" t="s">
        <v>1133</v>
      </c>
      <c r="I668" s="3">
        <v>32</v>
      </c>
      <c r="J668" s="3">
        <v>31</v>
      </c>
      <c r="K668" s="3">
        <v>1</v>
      </c>
      <c r="L668" s="3">
        <v>31</v>
      </c>
      <c r="M668" s="3">
        <v>1090</v>
      </c>
      <c r="N668" s="3">
        <v>33.79</v>
      </c>
      <c r="O668" s="3">
        <v>6.31</v>
      </c>
      <c r="P668" s="3">
        <v>213.21489999999997</v>
      </c>
      <c r="Q668" s="3">
        <v>1090</v>
      </c>
    </row>
    <row r="669" spans="1:17" ht="24.95" hidden="1" customHeight="1" x14ac:dyDescent="0.25">
      <c r="A669" s="3">
        <v>3</v>
      </c>
      <c r="B669" s="3" t="s">
        <v>403</v>
      </c>
      <c r="C669" s="3" t="s">
        <v>1134</v>
      </c>
      <c r="I669" s="3">
        <v>14</v>
      </c>
      <c r="J669" s="3">
        <v>12</v>
      </c>
      <c r="K669" s="3">
        <v>1</v>
      </c>
      <c r="L669" s="3">
        <v>12</v>
      </c>
      <c r="M669" s="3">
        <v>11700</v>
      </c>
      <c r="N669" s="3">
        <v>140.4</v>
      </c>
      <c r="O669" s="3">
        <v>1.21</v>
      </c>
      <c r="P669" s="3">
        <v>169.88400000000001</v>
      </c>
      <c r="Q669" s="3">
        <v>11700</v>
      </c>
    </row>
    <row r="670" spans="1:17" ht="24.95" hidden="1" customHeight="1" x14ac:dyDescent="0.25">
      <c r="A670" s="3">
        <v>3</v>
      </c>
      <c r="B670" s="3" t="s">
        <v>403</v>
      </c>
      <c r="C670" s="3" t="s">
        <v>1135</v>
      </c>
      <c r="I670" s="3">
        <v>14</v>
      </c>
      <c r="J670" s="3">
        <v>12</v>
      </c>
      <c r="K670" s="3">
        <v>1</v>
      </c>
      <c r="L670" s="3">
        <v>12</v>
      </c>
      <c r="M670" s="3">
        <v>5030</v>
      </c>
      <c r="N670" s="3">
        <v>60.36</v>
      </c>
      <c r="O670" s="3">
        <v>1.21</v>
      </c>
      <c r="P670" s="3">
        <v>73.035600000000002</v>
      </c>
      <c r="Q670" s="3">
        <v>5030</v>
      </c>
    </row>
    <row r="671" spans="1:17" ht="24.95" hidden="1" customHeight="1" x14ac:dyDescent="0.25">
      <c r="A671" s="3">
        <v>3</v>
      </c>
      <c r="B671" s="3" t="s">
        <v>404</v>
      </c>
      <c r="C671" s="3" t="s">
        <v>1136</v>
      </c>
      <c r="I671" s="3">
        <v>32</v>
      </c>
      <c r="J671" s="3">
        <v>5</v>
      </c>
      <c r="K671" s="3">
        <v>1</v>
      </c>
      <c r="L671" s="3">
        <v>5</v>
      </c>
      <c r="M671" s="3">
        <v>11700</v>
      </c>
      <c r="N671" s="3">
        <v>58.5</v>
      </c>
      <c r="O671" s="3">
        <v>6.31</v>
      </c>
      <c r="P671" s="3">
        <v>369.13499999999999</v>
      </c>
      <c r="Q671" s="3">
        <v>11700</v>
      </c>
    </row>
    <row r="672" spans="1:17" ht="24.95" hidden="1" customHeight="1" x14ac:dyDescent="0.25">
      <c r="A672" s="3">
        <v>3</v>
      </c>
      <c r="B672" s="3" t="s">
        <v>404</v>
      </c>
      <c r="C672" s="3" t="s">
        <v>1137</v>
      </c>
      <c r="I672" s="3">
        <v>32</v>
      </c>
      <c r="J672" s="3">
        <v>5</v>
      </c>
      <c r="K672" s="3">
        <v>1</v>
      </c>
      <c r="L672" s="3">
        <v>5</v>
      </c>
      <c r="M672" s="3">
        <v>9380</v>
      </c>
      <c r="N672" s="3">
        <v>46.9</v>
      </c>
      <c r="O672" s="3">
        <v>6.31</v>
      </c>
      <c r="P672" s="3">
        <v>295.93899999999996</v>
      </c>
      <c r="Q672" s="3">
        <v>9380</v>
      </c>
    </row>
    <row r="673" spans="1:17" ht="24.95" hidden="1" customHeight="1" x14ac:dyDescent="0.25">
      <c r="A673" s="3">
        <v>3</v>
      </c>
      <c r="B673" s="3" t="s">
        <v>404</v>
      </c>
      <c r="C673" s="3" t="s">
        <v>1138</v>
      </c>
      <c r="I673" s="3">
        <v>32</v>
      </c>
      <c r="J673" s="3">
        <v>4</v>
      </c>
      <c r="K673" s="3">
        <v>1</v>
      </c>
      <c r="L673" s="3">
        <v>4</v>
      </c>
      <c r="M673" s="3">
        <v>11700</v>
      </c>
      <c r="N673" s="3">
        <v>46.8</v>
      </c>
      <c r="O673" s="3">
        <v>6.31</v>
      </c>
      <c r="P673" s="3">
        <v>295.30799999999994</v>
      </c>
      <c r="Q673" s="3">
        <v>11700</v>
      </c>
    </row>
    <row r="674" spans="1:17" ht="24.95" hidden="1" customHeight="1" x14ac:dyDescent="0.25">
      <c r="A674" s="3">
        <v>3</v>
      </c>
      <c r="B674" s="3" t="s">
        <v>404</v>
      </c>
      <c r="C674" s="3" t="s">
        <v>1139</v>
      </c>
      <c r="I674" s="3">
        <v>32</v>
      </c>
      <c r="J674" s="3">
        <v>4</v>
      </c>
      <c r="K674" s="3">
        <v>1</v>
      </c>
      <c r="L674" s="3">
        <v>4</v>
      </c>
      <c r="M674" s="3">
        <v>9380</v>
      </c>
      <c r="N674" s="3">
        <v>37.520000000000003</v>
      </c>
      <c r="O674" s="3">
        <v>6.31</v>
      </c>
      <c r="P674" s="3">
        <v>236.75120000000001</v>
      </c>
      <c r="Q674" s="3">
        <v>9380</v>
      </c>
    </row>
    <row r="675" spans="1:17" ht="24.95" hidden="1" customHeight="1" x14ac:dyDescent="0.25">
      <c r="A675" s="3">
        <v>3</v>
      </c>
      <c r="B675" s="3" t="s">
        <v>404</v>
      </c>
      <c r="C675" s="3" t="s">
        <v>1140</v>
      </c>
      <c r="I675" s="3">
        <v>32</v>
      </c>
      <c r="J675" s="3">
        <v>5</v>
      </c>
      <c r="K675" s="3">
        <v>1</v>
      </c>
      <c r="L675" s="3">
        <v>5</v>
      </c>
      <c r="M675" s="3">
        <v>11220</v>
      </c>
      <c r="N675" s="3">
        <v>56.1</v>
      </c>
      <c r="O675" s="3">
        <v>6.31</v>
      </c>
      <c r="P675" s="3">
        <v>353.99099999999999</v>
      </c>
      <c r="Q675" s="3">
        <v>11220</v>
      </c>
    </row>
    <row r="676" spans="1:17" ht="24.95" hidden="1" customHeight="1" x14ac:dyDescent="0.25">
      <c r="A676" s="3">
        <v>3</v>
      </c>
      <c r="B676" s="3" t="s">
        <v>404</v>
      </c>
      <c r="C676" s="3" t="s">
        <v>1141</v>
      </c>
      <c r="I676" s="3">
        <v>32</v>
      </c>
      <c r="J676" s="3">
        <v>9</v>
      </c>
      <c r="K676" s="3">
        <v>1</v>
      </c>
      <c r="L676" s="3">
        <v>9</v>
      </c>
      <c r="M676" s="3">
        <v>11270</v>
      </c>
      <c r="N676" s="3">
        <v>101.43</v>
      </c>
      <c r="O676" s="3">
        <v>6.31</v>
      </c>
      <c r="P676" s="3">
        <v>640.02329999999995</v>
      </c>
      <c r="Q676" s="3">
        <v>11270</v>
      </c>
    </row>
    <row r="677" spans="1:17" ht="24.95" hidden="1" customHeight="1" x14ac:dyDescent="0.25">
      <c r="A677" s="3">
        <v>3</v>
      </c>
      <c r="B677" s="3" t="s">
        <v>404</v>
      </c>
      <c r="C677" s="3" t="s">
        <v>1142</v>
      </c>
      <c r="I677" s="3">
        <v>32</v>
      </c>
      <c r="J677" s="3">
        <v>9</v>
      </c>
      <c r="K677" s="3">
        <v>1</v>
      </c>
      <c r="L677" s="3">
        <v>9</v>
      </c>
      <c r="M677" s="3">
        <v>11320</v>
      </c>
      <c r="N677" s="3">
        <v>101.88</v>
      </c>
      <c r="O677" s="3">
        <v>6.31</v>
      </c>
      <c r="P677" s="3">
        <v>642.86279999999988</v>
      </c>
      <c r="Q677" s="3">
        <v>11320</v>
      </c>
    </row>
    <row r="678" spans="1:17" ht="24.95" hidden="1" customHeight="1" x14ac:dyDescent="0.25">
      <c r="A678" s="3">
        <v>3</v>
      </c>
      <c r="B678" s="3" t="s">
        <v>404</v>
      </c>
      <c r="C678" s="3" t="s">
        <v>1143</v>
      </c>
      <c r="I678" s="3">
        <v>32</v>
      </c>
      <c r="J678" s="3">
        <v>4</v>
      </c>
      <c r="K678" s="3">
        <v>1</v>
      </c>
      <c r="L678" s="3">
        <v>4</v>
      </c>
      <c r="M678" s="3">
        <v>6320</v>
      </c>
      <c r="N678" s="3">
        <v>25.28</v>
      </c>
      <c r="O678" s="3">
        <v>6.31</v>
      </c>
      <c r="P678" s="3">
        <v>159.51679999999999</v>
      </c>
      <c r="Q678" s="3">
        <v>6320</v>
      </c>
    </row>
    <row r="679" spans="1:17" ht="24.95" hidden="1" customHeight="1" x14ac:dyDescent="0.25">
      <c r="A679" s="3">
        <v>3</v>
      </c>
      <c r="B679" s="3" t="s">
        <v>404</v>
      </c>
      <c r="C679" s="3" t="s">
        <v>1144</v>
      </c>
      <c r="I679" s="3">
        <v>32</v>
      </c>
      <c r="J679" s="3">
        <v>4</v>
      </c>
      <c r="K679" s="3">
        <v>1</v>
      </c>
      <c r="L679" s="3">
        <v>4</v>
      </c>
      <c r="M679" s="3">
        <v>8180</v>
      </c>
      <c r="N679" s="3">
        <v>32.72</v>
      </c>
      <c r="O679" s="3">
        <v>6.31</v>
      </c>
      <c r="P679" s="3">
        <v>206.46319999999997</v>
      </c>
      <c r="Q679" s="3">
        <v>8180</v>
      </c>
    </row>
    <row r="680" spans="1:17" ht="24.95" hidden="1" customHeight="1" x14ac:dyDescent="0.25">
      <c r="A680" s="3">
        <v>3</v>
      </c>
      <c r="B680" s="3" t="s">
        <v>404</v>
      </c>
      <c r="C680" s="3" t="s">
        <v>1145</v>
      </c>
      <c r="I680" s="3">
        <v>32</v>
      </c>
      <c r="J680" s="3">
        <v>4</v>
      </c>
      <c r="K680" s="3">
        <v>1</v>
      </c>
      <c r="L680" s="3">
        <v>4</v>
      </c>
      <c r="M680" s="3">
        <v>8260</v>
      </c>
      <c r="N680" s="3">
        <v>33.04</v>
      </c>
      <c r="O680" s="3">
        <v>6.31</v>
      </c>
      <c r="P680" s="3">
        <v>208.48239999999998</v>
      </c>
      <c r="Q680" s="3">
        <v>8260</v>
      </c>
    </row>
    <row r="681" spans="1:17" ht="24.95" hidden="1" customHeight="1" x14ac:dyDescent="0.25">
      <c r="A681" s="3">
        <v>3</v>
      </c>
      <c r="B681" s="3" t="s">
        <v>404</v>
      </c>
      <c r="C681" s="3" t="s">
        <v>1146</v>
      </c>
      <c r="I681" s="3">
        <v>32</v>
      </c>
      <c r="J681" s="3">
        <v>5</v>
      </c>
      <c r="K681" s="3">
        <v>1</v>
      </c>
      <c r="L681" s="3">
        <v>5</v>
      </c>
      <c r="M681" s="3">
        <v>6500</v>
      </c>
      <c r="N681" s="3">
        <v>32.5</v>
      </c>
      <c r="O681" s="3">
        <v>6.31</v>
      </c>
      <c r="P681" s="3">
        <v>205.07499999999999</v>
      </c>
      <c r="Q681" s="3">
        <v>6500</v>
      </c>
    </row>
    <row r="682" spans="1:17" ht="24.95" hidden="1" customHeight="1" x14ac:dyDescent="0.25">
      <c r="A682" s="3">
        <v>3</v>
      </c>
      <c r="B682" s="3" t="s">
        <v>404</v>
      </c>
      <c r="C682" s="3" t="s">
        <v>1147</v>
      </c>
      <c r="I682" s="3">
        <v>32</v>
      </c>
      <c r="J682" s="3">
        <v>5</v>
      </c>
      <c r="K682" s="3">
        <v>1</v>
      </c>
      <c r="L682" s="3">
        <v>5</v>
      </c>
      <c r="M682" s="3">
        <v>11700</v>
      </c>
      <c r="N682" s="3">
        <v>58.5</v>
      </c>
      <c r="O682" s="3">
        <v>6.31</v>
      </c>
      <c r="P682" s="3">
        <v>369.13499999999999</v>
      </c>
      <c r="Q682" s="3">
        <v>11700</v>
      </c>
    </row>
    <row r="683" spans="1:17" ht="24.95" hidden="1" customHeight="1" x14ac:dyDescent="0.25">
      <c r="A683" s="3">
        <v>3</v>
      </c>
      <c r="B683" s="3" t="s">
        <v>404</v>
      </c>
      <c r="C683" s="3" t="s">
        <v>1148</v>
      </c>
      <c r="I683" s="3">
        <v>32</v>
      </c>
      <c r="J683" s="3">
        <v>5</v>
      </c>
      <c r="K683" s="3">
        <v>1</v>
      </c>
      <c r="L683" s="3">
        <v>5</v>
      </c>
      <c r="M683" s="3">
        <v>4560</v>
      </c>
      <c r="N683" s="3">
        <v>22.8</v>
      </c>
      <c r="O683" s="3">
        <v>6.31</v>
      </c>
      <c r="P683" s="3">
        <v>143.86799999999999</v>
      </c>
      <c r="Q683" s="3">
        <v>4560</v>
      </c>
    </row>
    <row r="684" spans="1:17" ht="24.95" hidden="1" customHeight="1" x14ac:dyDescent="0.25">
      <c r="A684" s="3">
        <v>3</v>
      </c>
      <c r="B684" s="3" t="s">
        <v>404</v>
      </c>
      <c r="C684" s="3" t="s">
        <v>1149</v>
      </c>
      <c r="I684" s="3">
        <v>32</v>
      </c>
      <c r="J684" s="3">
        <v>5</v>
      </c>
      <c r="K684" s="3">
        <v>1</v>
      </c>
      <c r="L684" s="3">
        <v>5</v>
      </c>
      <c r="M684" s="3">
        <v>3100</v>
      </c>
      <c r="N684" s="3">
        <v>15.5</v>
      </c>
      <c r="O684" s="3">
        <v>6.31</v>
      </c>
      <c r="P684" s="3">
        <v>97.804999999999993</v>
      </c>
      <c r="Q684" s="3">
        <v>3100</v>
      </c>
    </row>
    <row r="685" spans="1:17" ht="24.95" hidden="1" customHeight="1" x14ac:dyDescent="0.25">
      <c r="A685" s="3">
        <v>3</v>
      </c>
      <c r="B685" s="3" t="s">
        <v>404</v>
      </c>
      <c r="C685" s="3" t="s">
        <v>1150</v>
      </c>
      <c r="I685" s="3">
        <v>32</v>
      </c>
      <c r="J685" s="3">
        <v>7</v>
      </c>
      <c r="K685" s="3">
        <v>1</v>
      </c>
      <c r="L685" s="3">
        <v>7</v>
      </c>
      <c r="M685" s="3">
        <v>5450</v>
      </c>
      <c r="N685" s="3">
        <v>38.15</v>
      </c>
      <c r="O685" s="3">
        <v>6.31</v>
      </c>
      <c r="P685" s="3">
        <v>240.72649999999999</v>
      </c>
      <c r="Q685" s="3">
        <v>5450</v>
      </c>
    </row>
    <row r="686" spans="1:17" ht="24.95" hidden="1" customHeight="1" x14ac:dyDescent="0.25">
      <c r="A686" s="3">
        <v>3</v>
      </c>
      <c r="B686" s="3" t="s">
        <v>404</v>
      </c>
      <c r="C686" s="3" t="s">
        <v>1151</v>
      </c>
      <c r="I686" s="3">
        <v>32</v>
      </c>
      <c r="J686" s="3">
        <v>2</v>
      </c>
      <c r="K686" s="3">
        <v>1</v>
      </c>
      <c r="L686" s="3">
        <v>2</v>
      </c>
      <c r="M686" s="3">
        <v>4230</v>
      </c>
      <c r="N686" s="3">
        <v>8.4600000000000009</v>
      </c>
      <c r="O686" s="3">
        <v>6.31</v>
      </c>
      <c r="P686" s="3">
        <v>53.382600000000004</v>
      </c>
      <c r="Q686" s="3">
        <v>4230</v>
      </c>
    </row>
    <row r="687" spans="1:17" ht="24.95" hidden="1" customHeight="1" x14ac:dyDescent="0.25">
      <c r="A687" s="3">
        <v>3</v>
      </c>
      <c r="B687" s="3" t="s">
        <v>404</v>
      </c>
      <c r="C687" s="3" t="s">
        <v>1152</v>
      </c>
      <c r="I687" s="3">
        <v>16</v>
      </c>
      <c r="J687" s="3">
        <v>95</v>
      </c>
      <c r="K687" s="3">
        <v>1</v>
      </c>
      <c r="L687" s="3">
        <v>95</v>
      </c>
      <c r="M687" s="3">
        <v>5870</v>
      </c>
      <c r="N687" s="3">
        <v>557.65</v>
      </c>
      <c r="O687" s="3">
        <v>1.58</v>
      </c>
      <c r="P687" s="3">
        <v>881.08699999999999</v>
      </c>
      <c r="Q687" s="3">
        <v>5870</v>
      </c>
    </row>
    <row r="688" spans="1:17" ht="24.95" hidden="1" customHeight="1" x14ac:dyDescent="0.25">
      <c r="A688" s="3">
        <v>3</v>
      </c>
      <c r="B688" s="3" t="s">
        <v>404</v>
      </c>
      <c r="C688" s="3" t="s">
        <v>1153</v>
      </c>
      <c r="I688" s="3">
        <v>16</v>
      </c>
      <c r="J688" s="3">
        <v>95</v>
      </c>
      <c r="K688" s="3">
        <v>1</v>
      </c>
      <c r="L688" s="3">
        <v>95</v>
      </c>
      <c r="M688" s="3">
        <v>2530</v>
      </c>
      <c r="N688" s="3">
        <v>240.35</v>
      </c>
      <c r="O688" s="3">
        <v>1.58</v>
      </c>
      <c r="P688" s="3">
        <v>379.75299999999999</v>
      </c>
      <c r="Q688" s="3">
        <v>2530</v>
      </c>
    </row>
    <row r="689" spans="1:17" ht="24.95" hidden="1" customHeight="1" x14ac:dyDescent="0.25">
      <c r="A689" s="3">
        <v>3</v>
      </c>
      <c r="B689" s="3" t="s">
        <v>404</v>
      </c>
      <c r="C689" s="3" t="s">
        <v>1154</v>
      </c>
      <c r="I689" s="3">
        <v>16</v>
      </c>
      <c r="J689" s="3">
        <v>285</v>
      </c>
      <c r="K689" s="3">
        <v>1</v>
      </c>
      <c r="L689" s="3">
        <v>285</v>
      </c>
      <c r="M689" s="3">
        <v>2710</v>
      </c>
      <c r="N689" s="3">
        <v>772.35</v>
      </c>
      <c r="O689" s="3">
        <v>1.58</v>
      </c>
      <c r="P689" s="3">
        <v>1220.3130000000001</v>
      </c>
      <c r="Q689" s="3">
        <v>2710</v>
      </c>
    </row>
    <row r="690" spans="1:17" ht="24.95" hidden="1" customHeight="1" x14ac:dyDescent="0.25">
      <c r="A690" s="3">
        <v>3</v>
      </c>
      <c r="B690" s="3" t="s">
        <v>404</v>
      </c>
      <c r="C690" s="3" t="s">
        <v>1155</v>
      </c>
      <c r="I690" s="3">
        <v>18</v>
      </c>
      <c r="J690" s="3">
        <v>12</v>
      </c>
      <c r="K690" s="3">
        <v>1</v>
      </c>
      <c r="L690" s="3">
        <v>12</v>
      </c>
      <c r="M690" s="3">
        <v>11700</v>
      </c>
      <c r="N690" s="3">
        <v>140.4</v>
      </c>
      <c r="O690" s="3">
        <v>2</v>
      </c>
      <c r="P690" s="3">
        <v>280.8</v>
      </c>
      <c r="Q690" s="3">
        <v>11700</v>
      </c>
    </row>
    <row r="691" spans="1:17" ht="24.95" hidden="1" customHeight="1" x14ac:dyDescent="0.25">
      <c r="A691" s="3">
        <v>3</v>
      </c>
      <c r="B691" s="3" t="s">
        <v>404</v>
      </c>
      <c r="C691" s="3" t="s">
        <v>1156</v>
      </c>
      <c r="I691" s="3">
        <v>18</v>
      </c>
      <c r="J691" s="3">
        <v>12</v>
      </c>
      <c r="K691" s="3">
        <v>1</v>
      </c>
      <c r="L691" s="3">
        <v>12</v>
      </c>
      <c r="M691" s="3">
        <v>5210</v>
      </c>
      <c r="N691" s="3">
        <v>62.52</v>
      </c>
      <c r="O691" s="3">
        <v>2</v>
      </c>
      <c r="P691" s="3">
        <v>125.04</v>
      </c>
      <c r="Q691" s="3">
        <v>5210</v>
      </c>
    </row>
    <row r="692" spans="1:17" ht="24.95" hidden="1" customHeight="1" x14ac:dyDescent="0.25">
      <c r="A692" s="3">
        <v>3</v>
      </c>
      <c r="B692" s="3" t="s">
        <v>404</v>
      </c>
      <c r="C692" s="3" t="s">
        <v>1157</v>
      </c>
      <c r="I692" s="3">
        <v>14</v>
      </c>
      <c r="J692" s="3">
        <v>288</v>
      </c>
      <c r="K692" s="3">
        <v>1</v>
      </c>
      <c r="L692" s="3">
        <v>288</v>
      </c>
      <c r="M692" s="3">
        <v>1370</v>
      </c>
      <c r="N692" s="3">
        <v>394.56</v>
      </c>
      <c r="O692" s="3">
        <v>1.21</v>
      </c>
      <c r="P692" s="3">
        <v>477.41759999999999</v>
      </c>
      <c r="Q692" s="3">
        <v>1370</v>
      </c>
    </row>
    <row r="693" spans="1:17" ht="24.95" hidden="1" customHeight="1" x14ac:dyDescent="0.25">
      <c r="A693" s="3">
        <v>3</v>
      </c>
      <c r="B693" s="3" t="s">
        <v>404</v>
      </c>
      <c r="C693" s="3" t="s">
        <v>1158</v>
      </c>
      <c r="I693" s="3">
        <v>32</v>
      </c>
      <c r="J693" s="3">
        <v>27</v>
      </c>
      <c r="K693" s="3">
        <v>1</v>
      </c>
      <c r="L693" s="3">
        <v>27</v>
      </c>
      <c r="M693" s="3">
        <v>1090</v>
      </c>
      <c r="N693" s="3">
        <v>29.43</v>
      </c>
      <c r="O693" s="3">
        <v>6.31</v>
      </c>
      <c r="P693" s="3">
        <v>185.70329999999998</v>
      </c>
      <c r="Q693" s="3">
        <v>1090</v>
      </c>
    </row>
    <row r="694" spans="1:17" ht="24.95" hidden="1" customHeight="1" x14ac:dyDescent="0.25">
      <c r="A694" s="3">
        <v>3</v>
      </c>
      <c r="B694" s="3" t="s">
        <v>404</v>
      </c>
      <c r="C694" s="3" t="s">
        <v>1159</v>
      </c>
      <c r="I694" s="3">
        <v>14</v>
      </c>
      <c r="J694" s="3">
        <v>18</v>
      </c>
      <c r="K694" s="3">
        <v>1</v>
      </c>
      <c r="L694" s="3">
        <v>18</v>
      </c>
      <c r="M694" s="3">
        <v>11700</v>
      </c>
      <c r="N694" s="3">
        <v>210.6</v>
      </c>
      <c r="O694" s="3">
        <v>1.21</v>
      </c>
      <c r="P694" s="3">
        <v>254.82599999999999</v>
      </c>
      <c r="Q694" s="3">
        <v>11700</v>
      </c>
    </row>
    <row r="695" spans="1:17" ht="24.95" hidden="1" customHeight="1" x14ac:dyDescent="0.25">
      <c r="A695" s="3">
        <v>3</v>
      </c>
      <c r="B695" s="3" t="s">
        <v>404</v>
      </c>
      <c r="C695" s="3" t="s">
        <v>1160</v>
      </c>
      <c r="I695" s="3">
        <v>14</v>
      </c>
      <c r="J695" s="3">
        <v>18</v>
      </c>
      <c r="K695" s="3">
        <v>1</v>
      </c>
      <c r="L695" s="3">
        <v>18</v>
      </c>
      <c r="M695" s="3">
        <v>5030</v>
      </c>
      <c r="N695" s="3">
        <v>90.54</v>
      </c>
      <c r="O695" s="3">
        <v>1.21</v>
      </c>
      <c r="P695" s="3">
        <v>109.55340000000001</v>
      </c>
      <c r="Q695" s="3">
        <v>5030</v>
      </c>
    </row>
    <row r="696" spans="1:17" ht="24.95" hidden="1" customHeight="1" x14ac:dyDescent="0.25">
      <c r="A696" s="3">
        <v>3</v>
      </c>
      <c r="B696" s="3" t="s">
        <v>405</v>
      </c>
      <c r="C696" s="3" t="s">
        <v>1161</v>
      </c>
      <c r="I696" s="3">
        <v>16</v>
      </c>
      <c r="J696" s="3">
        <v>15</v>
      </c>
      <c r="K696" s="3">
        <v>1</v>
      </c>
      <c r="L696" s="3">
        <v>15</v>
      </c>
      <c r="M696" s="3">
        <v>1830</v>
      </c>
      <c r="N696" s="3">
        <v>27.45</v>
      </c>
      <c r="O696" s="3">
        <v>1.58</v>
      </c>
      <c r="P696" s="3">
        <v>43.371000000000002</v>
      </c>
      <c r="Q696" s="3">
        <v>1830</v>
      </c>
    </row>
    <row r="697" spans="1:17" ht="24.95" hidden="1" customHeight="1" x14ac:dyDescent="0.25">
      <c r="A697" s="3">
        <v>3</v>
      </c>
      <c r="B697" s="3" t="s">
        <v>405</v>
      </c>
      <c r="C697" s="3" t="s">
        <v>1162</v>
      </c>
      <c r="I697" s="3">
        <v>16</v>
      </c>
      <c r="J697" s="3">
        <v>15</v>
      </c>
      <c r="K697" s="3">
        <v>1</v>
      </c>
      <c r="L697" s="3">
        <v>15</v>
      </c>
      <c r="M697" s="3">
        <v>5170</v>
      </c>
      <c r="N697" s="3">
        <v>77.55</v>
      </c>
      <c r="O697" s="3">
        <v>1.58</v>
      </c>
      <c r="P697" s="3">
        <v>122.529</v>
      </c>
      <c r="Q697" s="3">
        <v>5170</v>
      </c>
    </row>
    <row r="698" spans="1:17" ht="24.95" hidden="1" customHeight="1" x14ac:dyDescent="0.25">
      <c r="A698" s="3">
        <v>3</v>
      </c>
      <c r="B698" s="3" t="s">
        <v>405</v>
      </c>
      <c r="C698" s="3" t="s">
        <v>1163</v>
      </c>
      <c r="I698" s="3">
        <v>16</v>
      </c>
      <c r="J698" s="3">
        <v>15</v>
      </c>
      <c r="K698" s="3">
        <v>1</v>
      </c>
      <c r="L698" s="3">
        <v>15</v>
      </c>
      <c r="M698" s="3">
        <v>2710</v>
      </c>
      <c r="N698" s="3">
        <v>40.65</v>
      </c>
      <c r="O698" s="3">
        <v>1.58</v>
      </c>
      <c r="P698" s="3">
        <v>64.227000000000004</v>
      </c>
      <c r="Q698" s="3">
        <v>2710</v>
      </c>
    </row>
    <row r="699" spans="1:17" ht="24.95" hidden="1" customHeight="1" x14ac:dyDescent="0.25">
      <c r="A699" s="3">
        <v>3</v>
      </c>
      <c r="B699" s="3" t="s">
        <v>405</v>
      </c>
      <c r="C699" s="3" t="s">
        <v>1164</v>
      </c>
      <c r="I699" s="3">
        <v>14</v>
      </c>
      <c r="J699" s="3">
        <v>12</v>
      </c>
      <c r="K699" s="3">
        <v>1</v>
      </c>
      <c r="L699" s="3">
        <v>12</v>
      </c>
      <c r="M699" s="3">
        <v>2400</v>
      </c>
      <c r="N699" s="3">
        <v>28.8</v>
      </c>
      <c r="O699" s="3">
        <v>1.21</v>
      </c>
      <c r="P699" s="3">
        <v>34.847999999999999</v>
      </c>
      <c r="Q699" s="3">
        <v>2400</v>
      </c>
    </row>
    <row r="700" spans="1:17" ht="24.95" hidden="1" customHeight="1" x14ac:dyDescent="0.25">
      <c r="A700" s="3">
        <v>3</v>
      </c>
      <c r="B700" s="3" t="s">
        <v>405</v>
      </c>
      <c r="C700" s="3" t="s">
        <v>1165</v>
      </c>
      <c r="I700" s="3">
        <v>10</v>
      </c>
      <c r="J700" s="3">
        <v>24</v>
      </c>
      <c r="K700" s="3">
        <v>1</v>
      </c>
      <c r="L700" s="3">
        <v>24</v>
      </c>
      <c r="M700" s="3">
        <v>590</v>
      </c>
      <c r="N700" s="3">
        <v>14.16</v>
      </c>
      <c r="O700" s="3">
        <v>0.61699999999999999</v>
      </c>
      <c r="P700" s="3">
        <v>8.73672</v>
      </c>
      <c r="Q700" s="3">
        <v>590</v>
      </c>
    </row>
    <row r="701" spans="1:17" ht="24.95" hidden="1" customHeight="1" x14ac:dyDescent="0.25">
      <c r="A701" s="3">
        <v>3</v>
      </c>
      <c r="B701" s="3" t="s">
        <v>405</v>
      </c>
      <c r="C701" s="3" t="s">
        <v>1166</v>
      </c>
      <c r="I701" s="3">
        <v>14</v>
      </c>
      <c r="J701" s="3">
        <v>12</v>
      </c>
      <c r="K701" s="3">
        <v>1</v>
      </c>
      <c r="L701" s="3">
        <v>12</v>
      </c>
      <c r="M701" s="3">
        <v>2400</v>
      </c>
      <c r="N701" s="3">
        <v>28.8</v>
      </c>
      <c r="O701" s="3">
        <v>1.21</v>
      </c>
      <c r="P701" s="3">
        <v>34.847999999999999</v>
      </c>
      <c r="Q701" s="3">
        <v>2400</v>
      </c>
    </row>
    <row r="702" spans="1:17" ht="24.95" hidden="1" customHeight="1" x14ac:dyDescent="0.25">
      <c r="A702" s="3">
        <v>3</v>
      </c>
      <c r="B702" s="3" t="s">
        <v>406</v>
      </c>
      <c r="C702" s="3" t="s">
        <v>1167</v>
      </c>
      <c r="I702" s="3">
        <v>32</v>
      </c>
      <c r="J702" s="3">
        <v>7</v>
      </c>
      <c r="K702" s="3">
        <v>1</v>
      </c>
      <c r="L702" s="3">
        <v>7</v>
      </c>
      <c r="M702" s="3">
        <v>7210</v>
      </c>
      <c r="N702" s="3">
        <v>50.47</v>
      </c>
      <c r="O702" s="3">
        <v>6.31</v>
      </c>
      <c r="P702" s="3">
        <v>318.46569999999997</v>
      </c>
      <c r="Q702" s="3">
        <v>7210</v>
      </c>
    </row>
    <row r="703" spans="1:17" ht="24.95" hidden="1" customHeight="1" x14ac:dyDescent="0.25">
      <c r="A703" s="3">
        <v>3</v>
      </c>
      <c r="B703" s="3" t="s">
        <v>406</v>
      </c>
      <c r="C703" s="3" t="s">
        <v>1168</v>
      </c>
      <c r="I703" s="3">
        <v>32</v>
      </c>
      <c r="J703" s="3">
        <v>6</v>
      </c>
      <c r="K703" s="3">
        <v>1</v>
      </c>
      <c r="L703" s="3">
        <v>6</v>
      </c>
      <c r="M703" s="3">
        <v>11700</v>
      </c>
      <c r="N703" s="3">
        <v>70.2</v>
      </c>
      <c r="O703" s="3">
        <v>6.31</v>
      </c>
      <c r="P703" s="3">
        <v>442.96199999999999</v>
      </c>
      <c r="Q703" s="3">
        <v>11700</v>
      </c>
    </row>
    <row r="704" spans="1:17" ht="24.95" hidden="1" customHeight="1" x14ac:dyDescent="0.25">
      <c r="A704" s="3">
        <v>3</v>
      </c>
      <c r="B704" s="3" t="s">
        <v>406</v>
      </c>
      <c r="C704" s="3" t="s">
        <v>1169</v>
      </c>
      <c r="I704" s="3">
        <v>32</v>
      </c>
      <c r="J704" s="3">
        <v>7</v>
      </c>
      <c r="K704" s="3">
        <v>1</v>
      </c>
      <c r="L704" s="3">
        <v>7</v>
      </c>
      <c r="M704" s="3">
        <v>11700</v>
      </c>
      <c r="N704" s="3">
        <v>81.900000000000006</v>
      </c>
      <c r="O704" s="3">
        <v>6.31</v>
      </c>
      <c r="P704" s="3">
        <v>516.78899999999999</v>
      </c>
      <c r="Q704" s="3">
        <v>11700</v>
      </c>
    </row>
    <row r="705" spans="1:17" ht="24.95" hidden="1" customHeight="1" x14ac:dyDescent="0.25">
      <c r="A705" s="3">
        <v>3</v>
      </c>
      <c r="B705" s="3" t="s">
        <v>406</v>
      </c>
      <c r="C705" s="3" t="s">
        <v>1170</v>
      </c>
      <c r="I705" s="3">
        <v>32</v>
      </c>
      <c r="J705" s="3">
        <v>7</v>
      </c>
      <c r="K705" s="3">
        <v>1</v>
      </c>
      <c r="L705" s="3">
        <v>7</v>
      </c>
      <c r="M705" s="3">
        <v>11700</v>
      </c>
      <c r="N705" s="3">
        <v>81.900000000000006</v>
      </c>
      <c r="O705" s="3">
        <v>6.31</v>
      </c>
      <c r="P705" s="3">
        <v>516.78899999999999</v>
      </c>
      <c r="Q705" s="3">
        <v>11700</v>
      </c>
    </row>
    <row r="706" spans="1:17" ht="24.95" hidden="1" customHeight="1" x14ac:dyDescent="0.25">
      <c r="A706" s="3">
        <v>3</v>
      </c>
      <c r="B706" s="3" t="s">
        <v>406</v>
      </c>
      <c r="C706" s="3" t="s">
        <v>1171</v>
      </c>
      <c r="I706" s="3">
        <v>32</v>
      </c>
      <c r="J706" s="3">
        <v>7</v>
      </c>
      <c r="K706" s="3">
        <v>1</v>
      </c>
      <c r="L706" s="3">
        <v>7</v>
      </c>
      <c r="M706" s="3">
        <v>9000</v>
      </c>
      <c r="N706" s="3">
        <v>63</v>
      </c>
      <c r="O706" s="3">
        <v>6.31</v>
      </c>
      <c r="P706" s="3">
        <v>397.53</v>
      </c>
      <c r="Q706" s="3">
        <v>9000</v>
      </c>
    </row>
    <row r="707" spans="1:17" ht="24.95" hidden="1" customHeight="1" x14ac:dyDescent="0.25">
      <c r="A707" s="3">
        <v>3</v>
      </c>
      <c r="B707" s="3" t="s">
        <v>406</v>
      </c>
      <c r="C707" s="3" t="s">
        <v>1172</v>
      </c>
      <c r="I707" s="3">
        <v>32</v>
      </c>
      <c r="J707" s="3">
        <v>5</v>
      </c>
      <c r="K707" s="3">
        <v>1</v>
      </c>
      <c r="L707" s="3">
        <v>5</v>
      </c>
      <c r="M707" s="3">
        <v>10000</v>
      </c>
      <c r="N707" s="3">
        <v>50</v>
      </c>
      <c r="O707" s="3">
        <v>6.31</v>
      </c>
      <c r="P707" s="3">
        <v>315.5</v>
      </c>
      <c r="Q707" s="3">
        <v>10000</v>
      </c>
    </row>
    <row r="708" spans="1:17" ht="24.95" hidden="1" customHeight="1" x14ac:dyDescent="0.25">
      <c r="A708" s="3">
        <v>3</v>
      </c>
      <c r="B708" s="3" t="s">
        <v>406</v>
      </c>
      <c r="C708" s="3" t="s">
        <v>1173</v>
      </c>
      <c r="I708" s="3">
        <v>32</v>
      </c>
      <c r="J708" s="3">
        <v>7</v>
      </c>
      <c r="K708" s="3">
        <v>1</v>
      </c>
      <c r="L708" s="3">
        <v>7</v>
      </c>
      <c r="M708" s="3">
        <v>11700</v>
      </c>
      <c r="N708" s="3">
        <v>81.900000000000006</v>
      </c>
      <c r="O708" s="3">
        <v>6.31</v>
      </c>
      <c r="P708" s="3">
        <v>516.78899999999999</v>
      </c>
      <c r="Q708" s="3">
        <v>11700</v>
      </c>
    </row>
    <row r="709" spans="1:17" ht="24.95" hidden="1" customHeight="1" x14ac:dyDescent="0.25">
      <c r="A709" s="3">
        <v>3</v>
      </c>
      <c r="B709" s="3" t="s">
        <v>406</v>
      </c>
      <c r="C709" s="3" t="s">
        <v>1174</v>
      </c>
      <c r="I709" s="3">
        <v>32</v>
      </c>
      <c r="J709" s="3">
        <v>7</v>
      </c>
      <c r="K709" s="3">
        <v>1</v>
      </c>
      <c r="L709" s="3">
        <v>7</v>
      </c>
      <c r="M709" s="3">
        <v>9910</v>
      </c>
      <c r="N709" s="3">
        <v>69.37</v>
      </c>
      <c r="O709" s="3">
        <v>6.31</v>
      </c>
      <c r="P709" s="3">
        <v>437.72469999999998</v>
      </c>
      <c r="Q709" s="3">
        <v>9910</v>
      </c>
    </row>
    <row r="710" spans="1:17" ht="24.95" hidden="1" customHeight="1" x14ac:dyDescent="0.25">
      <c r="A710" s="3">
        <v>3</v>
      </c>
      <c r="B710" s="3" t="s">
        <v>406</v>
      </c>
      <c r="C710" s="3" t="s">
        <v>1175</v>
      </c>
      <c r="I710" s="3">
        <v>32</v>
      </c>
      <c r="J710" s="3">
        <v>6</v>
      </c>
      <c r="K710" s="3">
        <v>1</v>
      </c>
      <c r="L710" s="3">
        <v>6</v>
      </c>
      <c r="M710" s="3">
        <v>10000</v>
      </c>
      <c r="N710" s="3">
        <v>60</v>
      </c>
      <c r="O710" s="3">
        <v>6.31</v>
      </c>
      <c r="P710" s="3">
        <v>378.59999999999997</v>
      </c>
      <c r="Q710" s="3">
        <v>10000</v>
      </c>
    </row>
    <row r="711" spans="1:17" ht="24.95" hidden="1" customHeight="1" x14ac:dyDescent="0.25">
      <c r="A711" s="3">
        <v>3</v>
      </c>
      <c r="B711" s="3" t="s">
        <v>406</v>
      </c>
      <c r="C711" s="3" t="s">
        <v>1167</v>
      </c>
      <c r="I711" s="3">
        <v>32</v>
      </c>
      <c r="J711" s="3">
        <v>5</v>
      </c>
      <c r="K711" s="3">
        <v>1</v>
      </c>
      <c r="L711" s="3">
        <v>5</v>
      </c>
      <c r="M711" s="3">
        <v>9720</v>
      </c>
      <c r="N711" s="3">
        <v>48.6</v>
      </c>
      <c r="O711" s="3">
        <v>6.31</v>
      </c>
      <c r="P711" s="3">
        <v>306.666</v>
      </c>
      <c r="Q711" s="3">
        <v>9720</v>
      </c>
    </row>
    <row r="712" spans="1:17" ht="24.95" hidden="1" customHeight="1" x14ac:dyDescent="0.25">
      <c r="A712" s="3">
        <v>3</v>
      </c>
      <c r="B712" s="3" t="s">
        <v>406</v>
      </c>
      <c r="C712" s="3" t="s">
        <v>1176</v>
      </c>
      <c r="I712" s="3">
        <v>32</v>
      </c>
      <c r="J712" s="3">
        <v>5</v>
      </c>
      <c r="K712" s="3">
        <v>1</v>
      </c>
      <c r="L712" s="3">
        <v>5</v>
      </c>
      <c r="M712" s="3">
        <v>11700</v>
      </c>
      <c r="N712" s="3">
        <v>58.5</v>
      </c>
      <c r="O712" s="3">
        <v>6.31</v>
      </c>
      <c r="P712" s="3">
        <v>369.13499999999999</v>
      </c>
      <c r="Q712" s="3">
        <v>11700</v>
      </c>
    </row>
    <row r="713" spans="1:17" ht="24.95" hidden="1" customHeight="1" x14ac:dyDescent="0.25">
      <c r="A713" s="3">
        <v>3</v>
      </c>
      <c r="B713" s="3" t="s">
        <v>406</v>
      </c>
      <c r="C713" s="3" t="s">
        <v>1177</v>
      </c>
      <c r="I713" s="3">
        <v>32</v>
      </c>
      <c r="J713" s="3">
        <v>25</v>
      </c>
      <c r="K713" s="3">
        <v>1</v>
      </c>
      <c r="L713" s="3">
        <v>25</v>
      </c>
      <c r="M713" s="3">
        <v>11700</v>
      </c>
      <c r="N713" s="3">
        <v>292.5</v>
      </c>
      <c r="O713" s="3">
        <v>6.31</v>
      </c>
      <c r="P713" s="3">
        <v>1845.675</v>
      </c>
      <c r="Q713" s="3">
        <v>11700</v>
      </c>
    </row>
    <row r="714" spans="1:17" ht="24.95" hidden="1" customHeight="1" x14ac:dyDescent="0.25">
      <c r="A714" s="3">
        <v>3</v>
      </c>
      <c r="B714" s="3" t="s">
        <v>406</v>
      </c>
      <c r="C714" s="3" t="s">
        <v>1178</v>
      </c>
      <c r="I714" s="3">
        <v>32</v>
      </c>
      <c r="J714" s="3">
        <v>25</v>
      </c>
      <c r="K714" s="3">
        <v>1</v>
      </c>
      <c r="L714" s="3">
        <v>25</v>
      </c>
      <c r="M714" s="3">
        <v>11700</v>
      </c>
      <c r="N714" s="3">
        <v>292.5</v>
      </c>
      <c r="O714" s="3">
        <v>6.31</v>
      </c>
      <c r="P714" s="3">
        <v>1845.675</v>
      </c>
      <c r="Q714" s="3">
        <v>11700</v>
      </c>
    </row>
    <row r="715" spans="1:17" ht="24.95" hidden="1" customHeight="1" x14ac:dyDescent="0.25">
      <c r="A715" s="3">
        <v>3</v>
      </c>
      <c r="B715" s="3" t="s">
        <v>406</v>
      </c>
      <c r="C715" s="3" t="s">
        <v>1179</v>
      </c>
      <c r="I715" s="3">
        <v>32</v>
      </c>
      <c r="J715" s="3">
        <v>7</v>
      </c>
      <c r="K715" s="3">
        <v>1</v>
      </c>
      <c r="L715" s="3">
        <v>7</v>
      </c>
      <c r="M715" s="3">
        <v>4550</v>
      </c>
      <c r="N715" s="3">
        <v>31.85</v>
      </c>
      <c r="O715" s="3">
        <v>6.31</v>
      </c>
      <c r="P715" s="3">
        <v>200.9735</v>
      </c>
      <c r="Q715" s="3">
        <v>4550</v>
      </c>
    </row>
    <row r="716" spans="1:17" ht="24.95" hidden="1" customHeight="1" x14ac:dyDescent="0.25">
      <c r="A716" s="3">
        <v>3</v>
      </c>
      <c r="B716" s="3" t="s">
        <v>406</v>
      </c>
      <c r="C716" s="3" t="s">
        <v>1180</v>
      </c>
      <c r="I716" s="3">
        <v>32</v>
      </c>
      <c r="J716" s="3">
        <v>7</v>
      </c>
      <c r="K716" s="3">
        <v>1</v>
      </c>
      <c r="L716" s="3">
        <v>7</v>
      </c>
      <c r="M716" s="3">
        <v>11700</v>
      </c>
      <c r="N716" s="3">
        <v>81.900000000000006</v>
      </c>
      <c r="O716" s="3">
        <v>6.31</v>
      </c>
      <c r="P716" s="3">
        <v>516.78899999999999</v>
      </c>
      <c r="Q716" s="3">
        <v>11700</v>
      </c>
    </row>
    <row r="717" spans="1:17" ht="24.95" hidden="1" customHeight="1" x14ac:dyDescent="0.25">
      <c r="A717" s="3">
        <v>3</v>
      </c>
      <c r="B717" s="3" t="s">
        <v>406</v>
      </c>
      <c r="C717" s="3" t="s">
        <v>1181</v>
      </c>
      <c r="I717" s="3">
        <v>32</v>
      </c>
      <c r="J717" s="3">
        <v>7</v>
      </c>
      <c r="K717" s="3">
        <v>1</v>
      </c>
      <c r="L717" s="3">
        <v>7</v>
      </c>
      <c r="M717" s="3">
        <v>8180</v>
      </c>
      <c r="N717" s="3">
        <v>57.26</v>
      </c>
      <c r="O717" s="3">
        <v>6.31</v>
      </c>
      <c r="P717" s="3">
        <v>361.31059999999997</v>
      </c>
      <c r="Q717" s="3">
        <v>8180</v>
      </c>
    </row>
    <row r="718" spans="1:17" ht="24.95" hidden="1" customHeight="1" x14ac:dyDescent="0.25">
      <c r="A718" s="3">
        <v>3</v>
      </c>
      <c r="B718" s="3" t="s">
        <v>406</v>
      </c>
      <c r="C718" s="3" t="s">
        <v>1182</v>
      </c>
      <c r="I718" s="3">
        <v>32</v>
      </c>
      <c r="J718" s="3">
        <v>13</v>
      </c>
      <c r="K718" s="3">
        <v>1</v>
      </c>
      <c r="L718" s="3">
        <v>13</v>
      </c>
      <c r="M718" s="3">
        <v>7390</v>
      </c>
      <c r="N718" s="3">
        <v>96.07</v>
      </c>
      <c r="O718" s="3">
        <v>6.31</v>
      </c>
      <c r="P718" s="3">
        <v>606.20169999999996</v>
      </c>
      <c r="Q718" s="3">
        <v>7390</v>
      </c>
    </row>
    <row r="719" spans="1:17" ht="24.95" hidden="1" customHeight="1" x14ac:dyDescent="0.25">
      <c r="A719" s="3">
        <v>3</v>
      </c>
      <c r="B719" s="3" t="s">
        <v>406</v>
      </c>
      <c r="C719" s="3" t="s">
        <v>1183</v>
      </c>
      <c r="I719" s="3">
        <v>32</v>
      </c>
      <c r="J719" s="3">
        <v>12</v>
      </c>
      <c r="K719" s="3">
        <v>1</v>
      </c>
      <c r="L719" s="3">
        <v>12</v>
      </c>
      <c r="M719" s="3">
        <v>5630</v>
      </c>
      <c r="N719" s="3">
        <v>67.56</v>
      </c>
      <c r="O719" s="3">
        <v>6.31</v>
      </c>
      <c r="P719" s="3">
        <v>426.30359999999996</v>
      </c>
      <c r="Q719" s="3">
        <v>5630</v>
      </c>
    </row>
    <row r="720" spans="1:17" ht="24.95" hidden="1" customHeight="1" x14ac:dyDescent="0.25">
      <c r="A720" s="3">
        <v>3</v>
      </c>
      <c r="B720" s="3" t="s">
        <v>406</v>
      </c>
      <c r="C720" s="3" t="s">
        <v>1184</v>
      </c>
      <c r="I720" s="3">
        <v>32</v>
      </c>
      <c r="J720" s="3">
        <v>12</v>
      </c>
      <c r="K720" s="3">
        <v>1</v>
      </c>
      <c r="L720" s="3">
        <v>12</v>
      </c>
      <c r="M720" s="3">
        <v>11700</v>
      </c>
      <c r="N720" s="3">
        <v>140.4</v>
      </c>
      <c r="O720" s="3">
        <v>6.31</v>
      </c>
      <c r="P720" s="3">
        <v>885.92399999999998</v>
      </c>
      <c r="Q720" s="3">
        <v>11700</v>
      </c>
    </row>
    <row r="721" spans="1:17" ht="24.95" hidden="1" customHeight="1" x14ac:dyDescent="0.25">
      <c r="A721" s="3">
        <v>3</v>
      </c>
      <c r="B721" s="3" t="s">
        <v>406</v>
      </c>
      <c r="C721" s="3" t="s">
        <v>1185</v>
      </c>
      <c r="I721" s="3">
        <v>32</v>
      </c>
      <c r="J721" s="3">
        <v>7</v>
      </c>
      <c r="K721" s="3">
        <v>1</v>
      </c>
      <c r="L721" s="3">
        <v>7</v>
      </c>
      <c r="M721" s="3">
        <v>8180</v>
      </c>
      <c r="N721" s="3">
        <v>57.26</v>
      </c>
      <c r="O721" s="3">
        <v>6.31</v>
      </c>
      <c r="P721" s="3">
        <v>361.31059999999997</v>
      </c>
      <c r="Q721" s="3">
        <v>8180</v>
      </c>
    </row>
    <row r="722" spans="1:17" ht="24.95" hidden="1" customHeight="1" x14ac:dyDescent="0.25">
      <c r="A722" s="3">
        <v>3</v>
      </c>
      <c r="B722" s="3" t="s">
        <v>406</v>
      </c>
      <c r="C722" s="3" t="s">
        <v>1186</v>
      </c>
      <c r="I722" s="3">
        <v>32</v>
      </c>
      <c r="J722" s="3">
        <v>7</v>
      </c>
      <c r="K722" s="3">
        <v>1</v>
      </c>
      <c r="L722" s="3">
        <v>7</v>
      </c>
      <c r="M722" s="3">
        <v>6310</v>
      </c>
      <c r="N722" s="3">
        <v>44.17</v>
      </c>
      <c r="O722" s="3">
        <v>6.31</v>
      </c>
      <c r="P722" s="3">
        <v>278.71269999999998</v>
      </c>
      <c r="Q722" s="3">
        <v>6310</v>
      </c>
    </row>
    <row r="723" spans="1:17" ht="24.95" hidden="1" customHeight="1" x14ac:dyDescent="0.25">
      <c r="A723" s="3">
        <v>3</v>
      </c>
      <c r="B723" s="3" t="s">
        <v>406</v>
      </c>
      <c r="C723" s="3" t="s">
        <v>1187</v>
      </c>
      <c r="I723" s="3">
        <v>32</v>
      </c>
      <c r="J723" s="3">
        <v>6</v>
      </c>
      <c r="K723" s="3">
        <v>1</v>
      </c>
      <c r="L723" s="3">
        <v>6</v>
      </c>
      <c r="M723" s="3">
        <v>11700</v>
      </c>
      <c r="N723" s="3">
        <v>70.2</v>
      </c>
      <c r="O723" s="3">
        <v>6.31</v>
      </c>
      <c r="P723" s="3">
        <v>442.96199999999999</v>
      </c>
      <c r="Q723" s="3">
        <v>11700</v>
      </c>
    </row>
    <row r="724" spans="1:17" ht="24.95" hidden="1" customHeight="1" x14ac:dyDescent="0.25">
      <c r="A724" s="3">
        <v>3</v>
      </c>
      <c r="B724" s="3" t="s">
        <v>406</v>
      </c>
      <c r="C724" s="3" t="s">
        <v>1179</v>
      </c>
      <c r="I724" s="3">
        <v>32</v>
      </c>
      <c r="J724" s="3">
        <v>11</v>
      </c>
      <c r="K724" s="3">
        <v>1</v>
      </c>
      <c r="L724" s="3">
        <v>11</v>
      </c>
      <c r="M724" s="3">
        <v>8080</v>
      </c>
      <c r="N724" s="3">
        <v>88.88</v>
      </c>
      <c r="O724" s="3">
        <v>6.31</v>
      </c>
      <c r="P724" s="3">
        <v>560.83279999999991</v>
      </c>
      <c r="Q724" s="3">
        <v>8080</v>
      </c>
    </row>
    <row r="725" spans="1:17" ht="24.95" hidden="1" customHeight="1" x14ac:dyDescent="0.25">
      <c r="A725" s="3">
        <v>3</v>
      </c>
      <c r="B725" s="3" t="s">
        <v>406</v>
      </c>
      <c r="C725" s="3" t="s">
        <v>1188</v>
      </c>
      <c r="I725" s="3">
        <v>32</v>
      </c>
      <c r="J725" s="3">
        <v>7</v>
      </c>
      <c r="K725" s="3">
        <v>1</v>
      </c>
      <c r="L725" s="3">
        <v>7</v>
      </c>
      <c r="M725" s="3">
        <v>3310</v>
      </c>
      <c r="N725" s="3">
        <v>23.17</v>
      </c>
      <c r="O725" s="3">
        <v>6.31</v>
      </c>
      <c r="P725" s="3">
        <v>146.20269999999999</v>
      </c>
      <c r="Q725" s="3">
        <v>3310</v>
      </c>
    </row>
    <row r="726" spans="1:17" ht="24.95" hidden="1" customHeight="1" x14ac:dyDescent="0.25">
      <c r="A726" s="3">
        <v>3</v>
      </c>
      <c r="B726" s="3" t="s">
        <v>406</v>
      </c>
      <c r="C726" s="3" t="s">
        <v>1189</v>
      </c>
      <c r="I726" s="3">
        <v>14</v>
      </c>
      <c r="J726" s="3">
        <v>146</v>
      </c>
      <c r="K726" s="3">
        <v>1</v>
      </c>
      <c r="L726" s="3">
        <v>146</v>
      </c>
      <c r="M726" s="3">
        <v>4850</v>
      </c>
      <c r="N726" s="3">
        <v>708.1</v>
      </c>
      <c r="O726" s="3">
        <v>1.21</v>
      </c>
      <c r="P726" s="3">
        <v>856.80100000000004</v>
      </c>
      <c r="Q726" s="3">
        <v>4850</v>
      </c>
    </row>
    <row r="727" spans="1:17" ht="24.95" hidden="1" customHeight="1" x14ac:dyDescent="0.25">
      <c r="A727" s="3">
        <v>3</v>
      </c>
      <c r="B727" s="3" t="s">
        <v>406</v>
      </c>
      <c r="C727" s="3" t="s">
        <v>1190</v>
      </c>
      <c r="I727" s="3">
        <v>14</v>
      </c>
      <c r="J727" s="3">
        <v>146</v>
      </c>
      <c r="K727" s="3">
        <v>1</v>
      </c>
      <c r="L727" s="3">
        <v>146</v>
      </c>
      <c r="M727" s="3">
        <v>8370</v>
      </c>
      <c r="N727" s="3">
        <v>1222.02</v>
      </c>
      <c r="O727" s="3">
        <v>1.21</v>
      </c>
      <c r="P727" s="3">
        <v>1478.6442</v>
      </c>
      <c r="Q727" s="3">
        <v>8370</v>
      </c>
    </row>
    <row r="728" spans="1:17" ht="24.95" hidden="1" customHeight="1" x14ac:dyDescent="0.25">
      <c r="A728" s="3">
        <v>3</v>
      </c>
      <c r="B728" s="3" t="s">
        <v>406</v>
      </c>
      <c r="C728" s="3" t="s">
        <v>1191</v>
      </c>
      <c r="I728" s="3">
        <v>14</v>
      </c>
      <c r="J728" s="3">
        <v>1606</v>
      </c>
      <c r="K728" s="3">
        <v>1</v>
      </c>
      <c r="L728" s="3">
        <v>1606</v>
      </c>
      <c r="M728" s="3">
        <v>2670</v>
      </c>
      <c r="N728" s="3">
        <v>4288.0200000000004</v>
      </c>
      <c r="O728" s="3">
        <v>1.21</v>
      </c>
      <c r="P728" s="3">
        <v>5188.5042000000003</v>
      </c>
      <c r="Q728" s="3">
        <v>2670</v>
      </c>
    </row>
    <row r="729" spans="1:17" ht="24.95" hidden="1" customHeight="1" x14ac:dyDescent="0.25">
      <c r="A729" s="3">
        <v>3</v>
      </c>
      <c r="B729" s="3" t="s">
        <v>406</v>
      </c>
      <c r="C729" s="3" t="s">
        <v>1192</v>
      </c>
      <c r="I729" s="3">
        <v>18</v>
      </c>
      <c r="J729" s="3">
        <v>24</v>
      </c>
      <c r="K729" s="3">
        <v>1</v>
      </c>
      <c r="L729" s="3">
        <v>24</v>
      </c>
      <c r="M729" s="3">
        <v>11700</v>
      </c>
      <c r="N729" s="3">
        <v>280.8</v>
      </c>
      <c r="O729" s="3">
        <v>2</v>
      </c>
      <c r="P729" s="3">
        <v>561.6</v>
      </c>
      <c r="Q729" s="3">
        <v>11700</v>
      </c>
    </row>
    <row r="730" spans="1:17" ht="24.95" hidden="1" customHeight="1" x14ac:dyDescent="0.25">
      <c r="A730" s="3">
        <v>3</v>
      </c>
      <c r="B730" s="3" t="s">
        <v>406</v>
      </c>
      <c r="C730" s="3" t="s">
        <v>1193</v>
      </c>
      <c r="I730" s="3">
        <v>18</v>
      </c>
      <c r="J730" s="3">
        <v>12</v>
      </c>
      <c r="K730" s="3">
        <v>1</v>
      </c>
      <c r="L730" s="3">
        <v>12</v>
      </c>
      <c r="M730" s="3">
        <v>1720</v>
      </c>
      <c r="N730" s="3">
        <v>20.64</v>
      </c>
      <c r="O730" s="3">
        <v>2</v>
      </c>
      <c r="P730" s="3">
        <v>41.28</v>
      </c>
      <c r="Q730" s="3">
        <v>1720</v>
      </c>
    </row>
    <row r="731" spans="1:17" ht="24.95" hidden="1" customHeight="1" x14ac:dyDescent="0.25">
      <c r="A731" s="3">
        <v>3</v>
      </c>
      <c r="B731" s="3" t="s">
        <v>406</v>
      </c>
      <c r="C731" s="3" t="s">
        <v>1194</v>
      </c>
      <c r="I731" s="3">
        <v>14</v>
      </c>
      <c r="J731" s="3">
        <v>444</v>
      </c>
      <c r="K731" s="3">
        <v>1</v>
      </c>
      <c r="L731" s="3">
        <v>444</v>
      </c>
      <c r="M731" s="3">
        <v>3870</v>
      </c>
      <c r="N731" s="3">
        <v>1718.28</v>
      </c>
      <c r="O731" s="3">
        <v>1.21</v>
      </c>
      <c r="P731" s="3">
        <v>2079.1187999999997</v>
      </c>
      <c r="Q731" s="3">
        <v>3870</v>
      </c>
    </row>
    <row r="732" spans="1:17" ht="24.95" hidden="1" customHeight="1" x14ac:dyDescent="0.25">
      <c r="A732" s="3">
        <v>3</v>
      </c>
      <c r="B732" s="3" t="s">
        <v>406</v>
      </c>
      <c r="C732" s="3" t="s">
        <v>1195</v>
      </c>
      <c r="I732" s="3">
        <v>14</v>
      </c>
      <c r="J732" s="3">
        <v>42</v>
      </c>
      <c r="K732" s="3">
        <v>1</v>
      </c>
      <c r="L732" s="3">
        <v>42</v>
      </c>
      <c r="M732" s="3">
        <v>1360</v>
      </c>
      <c r="N732" s="3">
        <v>57.12</v>
      </c>
      <c r="O732" s="3">
        <v>1.21</v>
      </c>
      <c r="P732" s="3">
        <v>69.115200000000002</v>
      </c>
      <c r="Q732" s="3">
        <v>1360</v>
      </c>
    </row>
    <row r="733" spans="1:17" ht="24.95" hidden="1" customHeight="1" x14ac:dyDescent="0.25">
      <c r="A733" s="3">
        <v>3</v>
      </c>
      <c r="B733" s="3" t="s">
        <v>406</v>
      </c>
      <c r="C733" s="3" t="s">
        <v>1196</v>
      </c>
      <c r="I733" s="3">
        <v>14</v>
      </c>
      <c r="J733" s="3">
        <v>66</v>
      </c>
      <c r="K733" s="3">
        <v>1</v>
      </c>
      <c r="L733" s="3">
        <v>66</v>
      </c>
      <c r="M733" s="3">
        <v>11700</v>
      </c>
      <c r="N733" s="3">
        <v>772.2</v>
      </c>
      <c r="O733" s="3">
        <v>1.21</v>
      </c>
      <c r="P733" s="3">
        <v>934.36200000000008</v>
      </c>
      <c r="Q733" s="3">
        <v>11700</v>
      </c>
    </row>
    <row r="734" spans="1:17" ht="24.95" hidden="1" customHeight="1" x14ac:dyDescent="0.25">
      <c r="A734" s="3">
        <v>3</v>
      </c>
      <c r="B734" s="3" t="s">
        <v>406</v>
      </c>
      <c r="C734" s="3" t="s">
        <v>1197</v>
      </c>
      <c r="I734" s="3">
        <v>32</v>
      </c>
      <c r="J734" s="3">
        <v>23</v>
      </c>
      <c r="K734" s="3">
        <v>1</v>
      </c>
      <c r="L734" s="3">
        <v>23</v>
      </c>
      <c r="M734" s="3">
        <v>3590</v>
      </c>
      <c r="N734" s="3">
        <v>82.57</v>
      </c>
      <c r="O734" s="3">
        <v>6.31</v>
      </c>
      <c r="P734" s="3">
        <v>521.0166999999999</v>
      </c>
      <c r="Q734" s="3">
        <v>3590</v>
      </c>
    </row>
    <row r="735" spans="1:17" ht="24.95" hidden="1" customHeight="1" x14ac:dyDescent="0.25">
      <c r="A735" s="3">
        <v>3</v>
      </c>
      <c r="B735" s="3" t="s">
        <v>406</v>
      </c>
      <c r="C735" s="3" t="s">
        <v>1198</v>
      </c>
      <c r="I735" s="3">
        <v>14</v>
      </c>
      <c r="J735" s="3">
        <v>42</v>
      </c>
      <c r="K735" s="3">
        <v>1</v>
      </c>
      <c r="L735" s="3">
        <v>42</v>
      </c>
      <c r="M735" s="3">
        <v>11700</v>
      </c>
      <c r="N735" s="3">
        <v>491.4</v>
      </c>
      <c r="O735" s="3">
        <v>1.21</v>
      </c>
      <c r="P735" s="3">
        <v>594.59399999999994</v>
      </c>
      <c r="Q735" s="3">
        <v>11700</v>
      </c>
    </row>
    <row r="736" spans="1:17" ht="24.95" hidden="1" customHeight="1" x14ac:dyDescent="0.25">
      <c r="A736" s="3">
        <v>3</v>
      </c>
      <c r="B736" s="3" t="s">
        <v>406</v>
      </c>
      <c r="C736" s="3" t="s">
        <v>1199</v>
      </c>
      <c r="I736" s="3">
        <v>14</v>
      </c>
      <c r="J736" s="3">
        <v>12</v>
      </c>
      <c r="K736" s="3">
        <v>1</v>
      </c>
      <c r="L736" s="3">
        <v>12</v>
      </c>
      <c r="M736" s="3">
        <v>4090</v>
      </c>
      <c r="N736" s="3">
        <v>49.08</v>
      </c>
      <c r="O736" s="3">
        <v>1.21</v>
      </c>
      <c r="P736" s="3">
        <v>59.386799999999994</v>
      </c>
      <c r="Q736" s="3">
        <v>4090</v>
      </c>
    </row>
    <row r="737" spans="1:17" ht="24.95" hidden="1" customHeight="1" x14ac:dyDescent="0.25">
      <c r="A737" s="3">
        <v>3</v>
      </c>
      <c r="B737" s="3" t="s">
        <v>406</v>
      </c>
      <c r="C737" s="3" t="s">
        <v>1200</v>
      </c>
      <c r="I737" s="3">
        <v>14</v>
      </c>
      <c r="J737" s="3">
        <v>12</v>
      </c>
      <c r="K737" s="3">
        <v>1</v>
      </c>
      <c r="L737" s="3">
        <v>12</v>
      </c>
      <c r="M737" s="3">
        <v>6220</v>
      </c>
      <c r="N737" s="3">
        <v>74.64</v>
      </c>
      <c r="O737" s="3">
        <v>1.21</v>
      </c>
      <c r="P737" s="3">
        <v>90.314399999999992</v>
      </c>
      <c r="Q737" s="3">
        <v>6220</v>
      </c>
    </row>
    <row r="738" spans="1:17" ht="24.95" hidden="1" customHeight="1" x14ac:dyDescent="0.25">
      <c r="A738" s="3">
        <v>3</v>
      </c>
      <c r="B738" s="3" t="s">
        <v>407</v>
      </c>
      <c r="C738" s="3" t="s">
        <v>1201</v>
      </c>
      <c r="I738" s="3">
        <v>32</v>
      </c>
      <c r="J738" s="3">
        <v>6</v>
      </c>
      <c r="K738" s="3">
        <v>1</v>
      </c>
      <c r="L738" s="3">
        <v>6</v>
      </c>
      <c r="M738" s="3">
        <v>11000</v>
      </c>
      <c r="N738" s="3">
        <v>66</v>
      </c>
      <c r="O738" s="3">
        <v>6.31</v>
      </c>
      <c r="P738" s="3">
        <v>416.46</v>
      </c>
      <c r="Q738" s="3">
        <v>11000</v>
      </c>
    </row>
    <row r="739" spans="1:17" ht="24.95" hidden="1" customHeight="1" x14ac:dyDescent="0.25">
      <c r="A739" s="3">
        <v>3</v>
      </c>
      <c r="B739" s="3" t="s">
        <v>407</v>
      </c>
      <c r="C739" s="3" t="s">
        <v>1202</v>
      </c>
      <c r="I739" s="3">
        <v>32</v>
      </c>
      <c r="J739" s="3">
        <v>5</v>
      </c>
      <c r="K739" s="3">
        <v>1</v>
      </c>
      <c r="L739" s="3">
        <v>5</v>
      </c>
      <c r="M739" s="3">
        <v>9000</v>
      </c>
      <c r="N739" s="3">
        <v>45</v>
      </c>
      <c r="O739" s="3">
        <v>6.31</v>
      </c>
      <c r="P739" s="3">
        <v>283.95</v>
      </c>
      <c r="Q739" s="3">
        <v>9000</v>
      </c>
    </row>
    <row r="740" spans="1:17" ht="24.95" hidden="1" customHeight="1" x14ac:dyDescent="0.25">
      <c r="A740" s="3">
        <v>3</v>
      </c>
      <c r="B740" s="3" t="s">
        <v>407</v>
      </c>
      <c r="C740" s="3" t="s">
        <v>1203</v>
      </c>
      <c r="I740" s="3">
        <v>32</v>
      </c>
      <c r="J740" s="3">
        <v>11</v>
      </c>
      <c r="K740" s="3">
        <v>1</v>
      </c>
      <c r="L740" s="3">
        <v>11</v>
      </c>
      <c r="M740" s="3">
        <v>11700</v>
      </c>
      <c r="N740" s="3">
        <v>128.69999999999999</v>
      </c>
      <c r="O740" s="3">
        <v>6.31</v>
      </c>
      <c r="P740" s="3">
        <v>812.09699999999987</v>
      </c>
      <c r="Q740" s="3">
        <v>11700</v>
      </c>
    </row>
    <row r="741" spans="1:17" ht="24.95" hidden="1" customHeight="1" x14ac:dyDescent="0.25">
      <c r="A741" s="3">
        <v>3</v>
      </c>
      <c r="B741" s="3" t="s">
        <v>407</v>
      </c>
      <c r="C741" s="3" t="s">
        <v>1204</v>
      </c>
      <c r="I741" s="3">
        <v>32</v>
      </c>
      <c r="J741" s="3">
        <v>11</v>
      </c>
      <c r="K741" s="3">
        <v>1</v>
      </c>
      <c r="L741" s="3">
        <v>11</v>
      </c>
      <c r="M741" s="3">
        <v>10140</v>
      </c>
      <c r="N741" s="3">
        <v>111.54</v>
      </c>
      <c r="O741" s="3">
        <v>6.31</v>
      </c>
      <c r="P741" s="3">
        <v>703.81740000000002</v>
      </c>
      <c r="Q741" s="3">
        <v>10140</v>
      </c>
    </row>
    <row r="742" spans="1:17" ht="24.95" hidden="1" customHeight="1" x14ac:dyDescent="0.25">
      <c r="A742" s="3">
        <v>3</v>
      </c>
      <c r="B742" s="3" t="s">
        <v>407</v>
      </c>
      <c r="C742" s="3" t="s">
        <v>1205</v>
      </c>
      <c r="I742" s="3">
        <v>32</v>
      </c>
      <c r="J742" s="3">
        <v>6</v>
      </c>
      <c r="K742" s="3">
        <v>1</v>
      </c>
      <c r="L742" s="3">
        <v>6</v>
      </c>
      <c r="M742" s="3">
        <v>11700</v>
      </c>
      <c r="N742" s="3">
        <v>70.2</v>
      </c>
      <c r="O742" s="3">
        <v>6.31</v>
      </c>
      <c r="P742" s="3">
        <v>442.96199999999999</v>
      </c>
      <c r="Q742" s="3">
        <v>11700</v>
      </c>
    </row>
    <row r="743" spans="1:17" ht="24.95" hidden="1" customHeight="1" x14ac:dyDescent="0.25">
      <c r="A743" s="3">
        <v>3</v>
      </c>
      <c r="B743" s="3" t="s">
        <v>407</v>
      </c>
      <c r="C743" s="3" t="s">
        <v>1206</v>
      </c>
      <c r="I743" s="3">
        <v>32</v>
      </c>
      <c r="J743" s="3">
        <v>5</v>
      </c>
      <c r="K743" s="3">
        <v>1</v>
      </c>
      <c r="L743" s="3">
        <v>5</v>
      </c>
      <c r="M743" s="3">
        <v>6370</v>
      </c>
      <c r="N743" s="3">
        <v>31.85</v>
      </c>
      <c r="O743" s="3">
        <v>6.31</v>
      </c>
      <c r="P743" s="3">
        <v>200.9735</v>
      </c>
      <c r="Q743" s="3">
        <v>6370</v>
      </c>
    </row>
    <row r="744" spans="1:17" ht="24.95" hidden="1" customHeight="1" x14ac:dyDescent="0.25">
      <c r="A744" s="3">
        <v>3</v>
      </c>
      <c r="B744" s="3" t="s">
        <v>407</v>
      </c>
      <c r="C744" s="3" t="s">
        <v>1207</v>
      </c>
      <c r="I744" s="3">
        <v>32</v>
      </c>
      <c r="J744" s="3">
        <v>5</v>
      </c>
      <c r="K744" s="3">
        <v>1</v>
      </c>
      <c r="L744" s="3">
        <v>5</v>
      </c>
      <c r="M744" s="3">
        <v>8180</v>
      </c>
      <c r="N744" s="3">
        <v>40.9</v>
      </c>
      <c r="O744" s="3">
        <v>6.31</v>
      </c>
      <c r="P744" s="3">
        <v>258.07899999999995</v>
      </c>
      <c r="Q744" s="3">
        <v>8180</v>
      </c>
    </row>
    <row r="745" spans="1:17" ht="24.95" hidden="1" customHeight="1" x14ac:dyDescent="0.25">
      <c r="A745" s="3">
        <v>3</v>
      </c>
      <c r="B745" s="3" t="s">
        <v>407</v>
      </c>
      <c r="C745" s="3" t="s">
        <v>1208</v>
      </c>
      <c r="I745" s="3">
        <v>32</v>
      </c>
      <c r="J745" s="3">
        <v>6</v>
      </c>
      <c r="K745" s="3">
        <v>1</v>
      </c>
      <c r="L745" s="3">
        <v>6</v>
      </c>
      <c r="M745" s="3">
        <v>4610</v>
      </c>
      <c r="N745" s="3">
        <v>27.66</v>
      </c>
      <c r="O745" s="3">
        <v>6.31</v>
      </c>
      <c r="P745" s="3">
        <v>174.53459999999998</v>
      </c>
      <c r="Q745" s="3">
        <v>4610</v>
      </c>
    </row>
    <row r="746" spans="1:17" ht="24.95" hidden="1" customHeight="1" x14ac:dyDescent="0.25">
      <c r="A746" s="3">
        <v>3</v>
      </c>
      <c r="B746" s="3" t="s">
        <v>407</v>
      </c>
      <c r="C746" s="3" t="s">
        <v>1209</v>
      </c>
      <c r="I746" s="3">
        <v>32</v>
      </c>
      <c r="J746" s="3">
        <v>11</v>
      </c>
      <c r="K746" s="3">
        <v>1</v>
      </c>
      <c r="L746" s="3">
        <v>11</v>
      </c>
      <c r="M746" s="3">
        <v>3510</v>
      </c>
      <c r="N746" s="3">
        <v>38.61</v>
      </c>
      <c r="O746" s="3">
        <v>6.31</v>
      </c>
      <c r="P746" s="3">
        <v>243.62909999999999</v>
      </c>
      <c r="Q746" s="3">
        <v>3510</v>
      </c>
    </row>
    <row r="747" spans="1:17" ht="24.95" hidden="1" customHeight="1" x14ac:dyDescent="0.25">
      <c r="A747" s="3">
        <v>3</v>
      </c>
      <c r="B747" s="3" t="s">
        <v>407</v>
      </c>
      <c r="C747" s="3" t="s">
        <v>1210</v>
      </c>
      <c r="I747" s="3">
        <v>32</v>
      </c>
      <c r="J747" s="3">
        <v>11</v>
      </c>
      <c r="K747" s="3">
        <v>1</v>
      </c>
      <c r="L747" s="3">
        <v>11</v>
      </c>
      <c r="M747" s="3">
        <v>3325</v>
      </c>
      <c r="N747" s="3">
        <v>36.575000000000003</v>
      </c>
      <c r="O747" s="3">
        <v>6.31</v>
      </c>
      <c r="P747" s="3">
        <v>230.78825000000001</v>
      </c>
      <c r="Q747" s="3">
        <v>3325</v>
      </c>
    </row>
    <row r="748" spans="1:17" ht="24.95" hidden="1" customHeight="1" x14ac:dyDescent="0.25">
      <c r="A748" s="3">
        <v>3</v>
      </c>
      <c r="B748" s="3" t="s">
        <v>407</v>
      </c>
      <c r="C748" s="3" t="s">
        <v>1211</v>
      </c>
      <c r="I748" s="3">
        <v>32</v>
      </c>
      <c r="J748" s="3">
        <v>4</v>
      </c>
      <c r="K748" s="3">
        <v>1</v>
      </c>
      <c r="L748" s="3">
        <v>4</v>
      </c>
      <c r="M748" s="3">
        <v>3060</v>
      </c>
      <c r="N748" s="3">
        <v>12.24</v>
      </c>
      <c r="O748" s="3">
        <v>6.31</v>
      </c>
      <c r="P748" s="3">
        <v>77.234399999999994</v>
      </c>
      <c r="Q748" s="3">
        <v>3060</v>
      </c>
    </row>
    <row r="749" spans="1:17" ht="24.95" hidden="1" customHeight="1" x14ac:dyDescent="0.25">
      <c r="A749" s="3">
        <v>3</v>
      </c>
      <c r="B749" s="3" t="s">
        <v>407</v>
      </c>
      <c r="C749" s="3" t="s">
        <v>1212</v>
      </c>
      <c r="I749" s="3">
        <v>32</v>
      </c>
      <c r="J749" s="3">
        <v>11</v>
      </c>
      <c r="K749" s="3">
        <v>1</v>
      </c>
      <c r="L749" s="3">
        <v>11</v>
      </c>
      <c r="M749" s="3">
        <v>3070</v>
      </c>
      <c r="N749" s="3">
        <v>33.770000000000003</v>
      </c>
      <c r="O749" s="3">
        <v>6.31</v>
      </c>
      <c r="P749" s="3">
        <v>213.08870000000002</v>
      </c>
      <c r="Q749" s="3">
        <v>3070</v>
      </c>
    </row>
    <row r="750" spans="1:17" ht="24.95" hidden="1" customHeight="1" x14ac:dyDescent="0.25">
      <c r="A750" s="3">
        <v>3</v>
      </c>
      <c r="B750" s="3" t="s">
        <v>407</v>
      </c>
      <c r="C750" s="3" t="s">
        <v>1213</v>
      </c>
      <c r="I750" s="3">
        <v>32</v>
      </c>
      <c r="J750" s="3">
        <v>11</v>
      </c>
      <c r="K750" s="3">
        <v>1</v>
      </c>
      <c r="L750" s="3">
        <v>11</v>
      </c>
      <c r="M750" s="3">
        <v>2895</v>
      </c>
      <c r="N750" s="3">
        <v>31.844999999999999</v>
      </c>
      <c r="O750" s="3">
        <v>6.31</v>
      </c>
      <c r="P750" s="3">
        <v>200.94194999999999</v>
      </c>
      <c r="Q750" s="3">
        <v>2895</v>
      </c>
    </row>
    <row r="751" spans="1:17" ht="24.95" hidden="1" customHeight="1" x14ac:dyDescent="0.25">
      <c r="A751" s="3">
        <v>3</v>
      </c>
      <c r="B751" s="3" t="s">
        <v>407</v>
      </c>
      <c r="C751" s="3" t="s">
        <v>1214</v>
      </c>
      <c r="I751" s="3">
        <v>32</v>
      </c>
      <c r="J751" s="3">
        <v>4</v>
      </c>
      <c r="K751" s="3">
        <v>1</v>
      </c>
      <c r="L751" s="3">
        <v>4</v>
      </c>
      <c r="M751" s="3">
        <v>2640</v>
      </c>
      <c r="N751" s="3">
        <v>10.56</v>
      </c>
      <c r="O751" s="3">
        <v>6.31</v>
      </c>
      <c r="P751" s="3">
        <v>66.633600000000001</v>
      </c>
      <c r="Q751" s="3">
        <v>2640</v>
      </c>
    </row>
    <row r="752" spans="1:17" ht="24.95" hidden="1" customHeight="1" x14ac:dyDescent="0.25">
      <c r="A752" s="3">
        <v>3</v>
      </c>
      <c r="B752" s="3" t="s">
        <v>407</v>
      </c>
      <c r="C752" s="3" t="s">
        <v>1215</v>
      </c>
      <c r="I752" s="3">
        <v>18</v>
      </c>
      <c r="J752" s="3">
        <v>46</v>
      </c>
      <c r="K752" s="3">
        <v>1</v>
      </c>
      <c r="L752" s="3">
        <v>46</v>
      </c>
      <c r="M752" s="3">
        <v>6170</v>
      </c>
      <c r="N752" s="3">
        <v>283.82</v>
      </c>
      <c r="O752" s="3">
        <v>2</v>
      </c>
      <c r="P752" s="3">
        <v>567.64</v>
      </c>
      <c r="Q752" s="3">
        <v>6170</v>
      </c>
    </row>
    <row r="753" spans="1:17" ht="24.95" hidden="1" customHeight="1" x14ac:dyDescent="0.25">
      <c r="A753" s="3">
        <v>3</v>
      </c>
      <c r="B753" s="3" t="s">
        <v>407</v>
      </c>
      <c r="C753" s="3" t="s">
        <v>1216</v>
      </c>
      <c r="I753" s="3">
        <v>18</v>
      </c>
      <c r="J753" s="3">
        <v>46</v>
      </c>
      <c r="K753" s="3">
        <v>1</v>
      </c>
      <c r="L753" s="3">
        <v>46</v>
      </c>
      <c r="M753" s="3">
        <v>3010</v>
      </c>
      <c r="N753" s="3">
        <v>138.46</v>
      </c>
      <c r="O753" s="3">
        <v>2</v>
      </c>
      <c r="P753" s="3">
        <v>276.92</v>
      </c>
      <c r="Q753" s="3">
        <v>3010</v>
      </c>
    </row>
    <row r="754" spans="1:17" ht="24.95" hidden="1" customHeight="1" x14ac:dyDescent="0.25">
      <c r="A754" s="3">
        <v>3</v>
      </c>
      <c r="B754" s="3" t="s">
        <v>407</v>
      </c>
      <c r="C754" s="3" t="s">
        <v>1217</v>
      </c>
      <c r="I754" s="3">
        <v>18</v>
      </c>
      <c r="J754" s="3">
        <v>184</v>
      </c>
      <c r="K754" s="3">
        <v>1</v>
      </c>
      <c r="L754" s="3">
        <v>184</v>
      </c>
      <c r="M754" s="3">
        <v>2750</v>
      </c>
      <c r="N754" s="3">
        <v>506</v>
      </c>
      <c r="O754" s="3">
        <v>2</v>
      </c>
      <c r="P754" s="3">
        <v>1012</v>
      </c>
      <c r="Q754" s="3">
        <v>2750</v>
      </c>
    </row>
    <row r="755" spans="1:17" ht="24.95" hidden="1" customHeight="1" x14ac:dyDescent="0.25">
      <c r="A755" s="3">
        <v>3</v>
      </c>
      <c r="B755" s="3" t="s">
        <v>407</v>
      </c>
      <c r="C755" s="3" t="s">
        <v>1218</v>
      </c>
      <c r="I755" s="3">
        <v>18</v>
      </c>
      <c r="J755" s="3">
        <v>12</v>
      </c>
      <c r="K755" s="3">
        <v>1</v>
      </c>
      <c r="L755" s="3">
        <v>12</v>
      </c>
      <c r="M755" s="3">
        <v>6800</v>
      </c>
      <c r="N755" s="3">
        <v>81.599999999999994</v>
      </c>
      <c r="O755" s="3">
        <v>2</v>
      </c>
      <c r="P755" s="3">
        <v>163.19999999999999</v>
      </c>
      <c r="Q755" s="3">
        <v>6800</v>
      </c>
    </row>
    <row r="756" spans="1:17" ht="24.95" hidden="1" customHeight="1" x14ac:dyDescent="0.25">
      <c r="A756" s="3">
        <v>3</v>
      </c>
      <c r="B756" s="3" t="s">
        <v>407</v>
      </c>
      <c r="C756" s="3" t="s">
        <v>1219</v>
      </c>
      <c r="I756" s="3">
        <v>14</v>
      </c>
      <c r="J756" s="3">
        <v>144</v>
      </c>
      <c r="K756" s="3">
        <v>1</v>
      </c>
      <c r="L756" s="3">
        <v>144</v>
      </c>
      <c r="M756" s="3">
        <v>1670</v>
      </c>
      <c r="N756" s="3">
        <v>240.48</v>
      </c>
      <c r="O756" s="3">
        <v>1.21</v>
      </c>
      <c r="P756" s="3">
        <v>290.98079999999999</v>
      </c>
      <c r="Q756" s="3">
        <v>1670</v>
      </c>
    </row>
    <row r="757" spans="1:17" ht="24.95" hidden="1" customHeight="1" x14ac:dyDescent="0.25">
      <c r="A757" s="3">
        <v>3</v>
      </c>
      <c r="B757" s="3" t="s">
        <v>407</v>
      </c>
      <c r="C757" s="3" t="s">
        <v>1220</v>
      </c>
      <c r="I757" s="3">
        <v>32</v>
      </c>
      <c r="J757" s="3">
        <v>17</v>
      </c>
      <c r="K757" s="3">
        <v>1</v>
      </c>
      <c r="L757" s="3">
        <v>17</v>
      </c>
      <c r="M757" s="3">
        <v>1390</v>
      </c>
      <c r="N757" s="3">
        <v>23.63</v>
      </c>
      <c r="O757" s="3">
        <v>6.31</v>
      </c>
      <c r="P757" s="3">
        <v>149.10529999999997</v>
      </c>
      <c r="Q757" s="3">
        <v>1390</v>
      </c>
    </row>
    <row r="758" spans="1:17" ht="24.95" hidden="1" customHeight="1" x14ac:dyDescent="0.25">
      <c r="A758" s="3">
        <v>3</v>
      </c>
      <c r="B758" s="3" t="s">
        <v>407</v>
      </c>
      <c r="C758" s="3" t="s">
        <v>1221</v>
      </c>
      <c r="I758" s="3">
        <v>14</v>
      </c>
      <c r="J758" s="3">
        <v>24</v>
      </c>
      <c r="K758" s="3">
        <v>1</v>
      </c>
      <c r="L758" s="3">
        <v>24</v>
      </c>
      <c r="M758" s="3">
        <v>6800</v>
      </c>
      <c r="N758" s="3">
        <v>163.19999999999999</v>
      </c>
      <c r="O758" s="3">
        <v>1.21</v>
      </c>
      <c r="P758" s="3">
        <v>197.47199999999998</v>
      </c>
      <c r="Q758" s="3">
        <v>6800</v>
      </c>
    </row>
    <row r="759" spans="1:17" ht="24.95" hidden="1" customHeight="1" x14ac:dyDescent="0.25">
      <c r="A759" s="3">
        <v>3</v>
      </c>
      <c r="B759" s="3" t="s">
        <v>408</v>
      </c>
      <c r="C759" s="3" t="s">
        <v>1222</v>
      </c>
      <c r="I759" s="3">
        <v>32</v>
      </c>
      <c r="J759" s="3">
        <v>7</v>
      </c>
      <c r="K759" s="3">
        <v>1</v>
      </c>
      <c r="L759" s="3">
        <v>7</v>
      </c>
      <c r="M759" s="3">
        <v>11700</v>
      </c>
      <c r="N759" s="3">
        <v>81.900000000000006</v>
      </c>
      <c r="O759" s="3">
        <v>6.31</v>
      </c>
      <c r="P759" s="3">
        <v>516.78899999999999</v>
      </c>
      <c r="Q759" s="3">
        <v>11700</v>
      </c>
    </row>
    <row r="760" spans="1:17" ht="24.95" hidden="1" customHeight="1" x14ac:dyDescent="0.25">
      <c r="A760" s="3">
        <v>3</v>
      </c>
      <c r="B760" s="3" t="s">
        <v>408</v>
      </c>
      <c r="C760" s="3" t="s">
        <v>1223</v>
      </c>
      <c r="I760" s="3">
        <v>32</v>
      </c>
      <c r="J760" s="3">
        <v>7</v>
      </c>
      <c r="K760" s="3">
        <v>1</v>
      </c>
      <c r="L760" s="3">
        <v>7</v>
      </c>
      <c r="M760" s="3">
        <v>3420</v>
      </c>
      <c r="N760" s="3">
        <v>23.94</v>
      </c>
      <c r="O760" s="3">
        <v>6.31</v>
      </c>
      <c r="P760" s="3">
        <v>151.06139999999999</v>
      </c>
      <c r="Q760" s="3">
        <v>3420</v>
      </c>
    </row>
    <row r="761" spans="1:17" ht="24.95" hidden="1" customHeight="1" x14ac:dyDescent="0.25">
      <c r="A761" s="3">
        <v>3</v>
      </c>
      <c r="B761" s="3" t="s">
        <v>408</v>
      </c>
      <c r="C761" s="3" t="s">
        <v>1224</v>
      </c>
      <c r="I761" s="3">
        <v>32</v>
      </c>
      <c r="J761" s="3">
        <v>7</v>
      </c>
      <c r="K761" s="3">
        <v>1</v>
      </c>
      <c r="L761" s="3">
        <v>7</v>
      </c>
      <c r="M761" s="3">
        <v>11700</v>
      </c>
      <c r="N761" s="3">
        <v>81.900000000000006</v>
      </c>
      <c r="O761" s="3">
        <v>6.31</v>
      </c>
      <c r="P761" s="3">
        <v>516.78899999999999</v>
      </c>
      <c r="Q761" s="3">
        <v>11700</v>
      </c>
    </row>
    <row r="762" spans="1:17" ht="24.95" hidden="1" customHeight="1" x14ac:dyDescent="0.25">
      <c r="A762" s="3">
        <v>3</v>
      </c>
      <c r="B762" s="3" t="s">
        <v>408</v>
      </c>
      <c r="C762" s="3" t="s">
        <v>1225</v>
      </c>
      <c r="I762" s="3">
        <v>32</v>
      </c>
      <c r="J762" s="3">
        <v>7</v>
      </c>
      <c r="K762" s="3">
        <v>1</v>
      </c>
      <c r="L762" s="3">
        <v>7</v>
      </c>
      <c r="M762" s="3">
        <v>3420</v>
      </c>
      <c r="N762" s="3">
        <v>23.94</v>
      </c>
      <c r="O762" s="3">
        <v>6.31</v>
      </c>
      <c r="P762" s="3">
        <v>151.06139999999999</v>
      </c>
      <c r="Q762" s="3">
        <v>3420</v>
      </c>
    </row>
    <row r="763" spans="1:17" ht="24.95" hidden="1" customHeight="1" x14ac:dyDescent="0.25">
      <c r="A763" s="3">
        <v>3</v>
      </c>
      <c r="B763" s="3" t="s">
        <v>408</v>
      </c>
      <c r="C763" s="3" t="s">
        <v>1226</v>
      </c>
      <c r="I763" s="3">
        <v>32</v>
      </c>
      <c r="J763" s="3">
        <v>6</v>
      </c>
      <c r="K763" s="3">
        <v>1</v>
      </c>
      <c r="L763" s="3">
        <v>6</v>
      </c>
      <c r="M763" s="3">
        <v>11000</v>
      </c>
      <c r="N763" s="3">
        <v>66</v>
      </c>
      <c r="O763" s="3">
        <v>6.31</v>
      </c>
      <c r="P763" s="3">
        <v>416.46</v>
      </c>
      <c r="Q763" s="3">
        <v>11000</v>
      </c>
    </row>
    <row r="764" spans="1:17" ht="24.95" hidden="1" customHeight="1" x14ac:dyDescent="0.25">
      <c r="A764" s="3">
        <v>3</v>
      </c>
      <c r="B764" s="3" t="s">
        <v>408</v>
      </c>
      <c r="C764" s="3" t="s">
        <v>1227</v>
      </c>
      <c r="I764" s="3">
        <v>32</v>
      </c>
      <c r="J764" s="3">
        <v>5</v>
      </c>
      <c r="K764" s="3">
        <v>1</v>
      </c>
      <c r="L764" s="3">
        <v>5</v>
      </c>
      <c r="M764" s="3">
        <v>11000</v>
      </c>
      <c r="N764" s="3">
        <v>55</v>
      </c>
      <c r="O764" s="3">
        <v>6.31</v>
      </c>
      <c r="P764" s="3">
        <v>347.04999999999995</v>
      </c>
      <c r="Q764" s="3">
        <v>11000</v>
      </c>
    </row>
    <row r="765" spans="1:17" ht="24.95" hidden="1" customHeight="1" x14ac:dyDescent="0.25">
      <c r="A765" s="3">
        <v>3</v>
      </c>
      <c r="B765" s="3" t="s">
        <v>408</v>
      </c>
      <c r="C765" s="3" t="s">
        <v>1228</v>
      </c>
      <c r="I765" s="3">
        <v>32</v>
      </c>
      <c r="J765" s="3">
        <v>7</v>
      </c>
      <c r="K765" s="3">
        <v>1</v>
      </c>
      <c r="L765" s="3">
        <v>7</v>
      </c>
      <c r="M765" s="3">
        <v>8730</v>
      </c>
      <c r="N765" s="3">
        <v>61.11</v>
      </c>
      <c r="O765" s="3">
        <v>6.31</v>
      </c>
      <c r="P765" s="3">
        <v>385.60409999999996</v>
      </c>
      <c r="Q765" s="3">
        <v>8730</v>
      </c>
    </row>
    <row r="766" spans="1:17" ht="24.95" hidden="1" customHeight="1" x14ac:dyDescent="0.25">
      <c r="A766" s="3">
        <v>3</v>
      </c>
      <c r="B766" s="3" t="s">
        <v>408</v>
      </c>
      <c r="C766" s="3" t="s">
        <v>1229</v>
      </c>
      <c r="I766" s="3">
        <v>32</v>
      </c>
      <c r="J766" s="3">
        <v>7</v>
      </c>
      <c r="K766" s="3">
        <v>1</v>
      </c>
      <c r="L766" s="3">
        <v>7</v>
      </c>
      <c r="M766" s="3">
        <v>6200</v>
      </c>
      <c r="N766" s="3">
        <v>43.4</v>
      </c>
      <c r="O766" s="3">
        <v>6.31</v>
      </c>
      <c r="P766" s="3">
        <v>273.85399999999998</v>
      </c>
      <c r="Q766" s="3">
        <v>6200</v>
      </c>
    </row>
    <row r="767" spans="1:17" ht="24.95" hidden="1" customHeight="1" x14ac:dyDescent="0.25">
      <c r="A767" s="3">
        <v>3</v>
      </c>
      <c r="B767" s="3" t="s">
        <v>408</v>
      </c>
      <c r="C767" s="3" t="s">
        <v>1230</v>
      </c>
      <c r="I767" s="3">
        <v>32</v>
      </c>
      <c r="J767" s="3">
        <v>7</v>
      </c>
      <c r="K767" s="3">
        <v>1</v>
      </c>
      <c r="L767" s="3">
        <v>7</v>
      </c>
      <c r="M767" s="3">
        <v>6200</v>
      </c>
      <c r="N767" s="3">
        <v>43.4</v>
      </c>
      <c r="O767" s="3">
        <v>6.31</v>
      </c>
      <c r="P767" s="3">
        <v>273.85399999999998</v>
      </c>
      <c r="Q767" s="3">
        <v>6200</v>
      </c>
    </row>
    <row r="768" spans="1:17" ht="24.95" hidden="1" customHeight="1" x14ac:dyDescent="0.25">
      <c r="A768" s="3">
        <v>3</v>
      </c>
      <c r="B768" s="3" t="s">
        <v>408</v>
      </c>
      <c r="C768" s="3" t="s">
        <v>1231</v>
      </c>
      <c r="I768" s="3">
        <v>32</v>
      </c>
      <c r="J768" s="3">
        <v>7</v>
      </c>
      <c r="K768" s="3">
        <v>1</v>
      </c>
      <c r="L768" s="3">
        <v>7</v>
      </c>
      <c r="M768" s="3">
        <v>8730</v>
      </c>
      <c r="N768" s="3">
        <v>61.11</v>
      </c>
      <c r="O768" s="3">
        <v>6.31</v>
      </c>
      <c r="P768" s="3">
        <v>385.60409999999996</v>
      </c>
      <c r="Q768" s="3">
        <v>8730</v>
      </c>
    </row>
    <row r="769" spans="1:17" ht="24.95" hidden="1" customHeight="1" x14ac:dyDescent="0.25">
      <c r="A769" s="3">
        <v>3</v>
      </c>
      <c r="B769" s="3" t="s">
        <v>408</v>
      </c>
      <c r="C769" s="3" t="s">
        <v>1232</v>
      </c>
      <c r="I769" s="3">
        <v>32</v>
      </c>
      <c r="J769" s="3">
        <v>4</v>
      </c>
      <c r="K769" s="3">
        <v>1</v>
      </c>
      <c r="L769" s="3">
        <v>4</v>
      </c>
      <c r="M769" s="3">
        <v>4390</v>
      </c>
      <c r="N769" s="3">
        <v>17.559999999999999</v>
      </c>
      <c r="O769" s="3">
        <v>6.31</v>
      </c>
      <c r="P769" s="3">
        <v>110.80359999999999</v>
      </c>
      <c r="Q769" s="3">
        <v>4390</v>
      </c>
    </row>
    <row r="770" spans="1:17" ht="24.95" hidden="1" customHeight="1" x14ac:dyDescent="0.25">
      <c r="A770" s="3">
        <v>3</v>
      </c>
      <c r="B770" s="3" t="s">
        <v>408</v>
      </c>
      <c r="C770" s="3" t="s">
        <v>1233</v>
      </c>
      <c r="I770" s="3">
        <v>32</v>
      </c>
      <c r="J770" s="3">
        <v>4</v>
      </c>
      <c r="K770" s="3">
        <v>1</v>
      </c>
      <c r="L770" s="3">
        <v>4</v>
      </c>
      <c r="M770" s="3">
        <v>4400</v>
      </c>
      <c r="N770" s="3">
        <v>17.600000000000001</v>
      </c>
      <c r="O770" s="3">
        <v>6.31</v>
      </c>
      <c r="P770" s="3">
        <v>111.056</v>
      </c>
      <c r="Q770" s="3">
        <v>4400</v>
      </c>
    </row>
    <row r="771" spans="1:17" ht="24.95" hidden="1" customHeight="1" x14ac:dyDescent="0.25">
      <c r="A771" s="3">
        <v>3</v>
      </c>
      <c r="B771" s="3" t="s">
        <v>408</v>
      </c>
      <c r="C771" s="3" t="s">
        <v>1234</v>
      </c>
      <c r="I771" s="3">
        <v>14</v>
      </c>
      <c r="J771" s="3">
        <v>62</v>
      </c>
      <c r="K771" s="3">
        <v>1</v>
      </c>
      <c r="L771" s="3">
        <v>62</v>
      </c>
      <c r="M771" s="3">
        <v>8320</v>
      </c>
      <c r="N771" s="3">
        <v>515.84</v>
      </c>
      <c r="O771" s="3">
        <v>1.21</v>
      </c>
      <c r="P771" s="3">
        <v>624.16640000000007</v>
      </c>
      <c r="Q771" s="3">
        <v>8320</v>
      </c>
    </row>
    <row r="772" spans="1:17" ht="24.95" hidden="1" customHeight="1" x14ac:dyDescent="0.25">
      <c r="A772" s="3">
        <v>3</v>
      </c>
      <c r="B772" s="3" t="s">
        <v>408</v>
      </c>
      <c r="C772" s="3" t="s">
        <v>1235</v>
      </c>
      <c r="I772" s="3">
        <v>14</v>
      </c>
      <c r="J772" s="3">
        <v>62</v>
      </c>
      <c r="K772" s="3">
        <v>1</v>
      </c>
      <c r="L772" s="3">
        <v>62</v>
      </c>
      <c r="M772" s="3">
        <v>4800</v>
      </c>
      <c r="N772" s="3">
        <v>297.60000000000002</v>
      </c>
      <c r="O772" s="3">
        <v>1.21</v>
      </c>
      <c r="P772" s="3">
        <v>360.096</v>
      </c>
      <c r="Q772" s="3">
        <v>4800</v>
      </c>
    </row>
    <row r="773" spans="1:17" ht="24.95" hidden="1" customHeight="1" x14ac:dyDescent="0.25">
      <c r="A773" s="3">
        <v>3</v>
      </c>
      <c r="B773" s="3" t="s">
        <v>408</v>
      </c>
      <c r="C773" s="3" t="s">
        <v>1236</v>
      </c>
      <c r="I773" s="3">
        <v>14</v>
      </c>
      <c r="J773" s="3">
        <v>682</v>
      </c>
      <c r="K773" s="3">
        <v>1</v>
      </c>
      <c r="L773" s="3">
        <v>682</v>
      </c>
      <c r="M773" s="3">
        <v>2670</v>
      </c>
      <c r="N773" s="3">
        <v>1820.94</v>
      </c>
      <c r="O773" s="3">
        <v>1.21</v>
      </c>
      <c r="P773" s="3">
        <v>2203.3373999999999</v>
      </c>
      <c r="Q773" s="3">
        <v>2670</v>
      </c>
    </row>
    <row r="774" spans="1:17" ht="24.95" hidden="1" customHeight="1" x14ac:dyDescent="0.25">
      <c r="A774" s="3">
        <v>3</v>
      </c>
      <c r="B774" s="3" t="s">
        <v>408</v>
      </c>
      <c r="C774" s="3" t="s">
        <v>1237</v>
      </c>
      <c r="I774" s="3">
        <v>18</v>
      </c>
      <c r="J774" s="3">
        <v>12</v>
      </c>
      <c r="K774" s="3">
        <v>1</v>
      </c>
      <c r="L774" s="3">
        <v>12</v>
      </c>
      <c r="M774" s="3">
        <v>9400</v>
      </c>
      <c r="N774" s="3">
        <v>112.8</v>
      </c>
      <c r="O774" s="3">
        <v>2</v>
      </c>
      <c r="P774" s="3">
        <v>225.6</v>
      </c>
      <c r="Q774" s="3">
        <v>9400</v>
      </c>
    </row>
    <row r="775" spans="1:17" ht="24.95" hidden="1" customHeight="1" x14ac:dyDescent="0.25">
      <c r="A775" s="3">
        <v>3</v>
      </c>
      <c r="B775" s="3" t="s">
        <v>408</v>
      </c>
      <c r="C775" s="3" t="s">
        <v>1238</v>
      </c>
      <c r="I775" s="3">
        <v>14</v>
      </c>
      <c r="J775" s="3">
        <v>186</v>
      </c>
      <c r="K775" s="3">
        <v>1</v>
      </c>
      <c r="L775" s="3">
        <v>186</v>
      </c>
      <c r="M775" s="3">
        <v>3820</v>
      </c>
      <c r="N775" s="3">
        <v>710.52</v>
      </c>
      <c r="O775" s="3">
        <v>1.21</v>
      </c>
      <c r="P775" s="3">
        <v>859.72919999999999</v>
      </c>
      <c r="Q775" s="3">
        <v>3820</v>
      </c>
    </row>
    <row r="776" spans="1:17" ht="24.95" hidden="1" customHeight="1" x14ac:dyDescent="0.25">
      <c r="A776" s="3">
        <v>3</v>
      </c>
      <c r="B776" s="3" t="s">
        <v>408</v>
      </c>
      <c r="C776" s="3" t="s">
        <v>1239</v>
      </c>
      <c r="I776" s="3">
        <v>32</v>
      </c>
      <c r="J776" s="3">
        <v>4</v>
      </c>
      <c r="K776" s="3">
        <v>1</v>
      </c>
      <c r="L776" s="3">
        <v>4</v>
      </c>
      <c r="M776" s="3">
        <v>3540</v>
      </c>
      <c r="N776" s="3">
        <v>14.16</v>
      </c>
      <c r="O776" s="3">
        <v>6.31</v>
      </c>
      <c r="P776" s="3">
        <v>89.349599999999995</v>
      </c>
      <c r="Q776" s="3">
        <v>3540</v>
      </c>
    </row>
    <row r="777" spans="1:17" ht="24.95" hidden="1" customHeight="1" x14ac:dyDescent="0.25">
      <c r="A777" s="3">
        <v>3</v>
      </c>
      <c r="B777" s="3" t="s">
        <v>408</v>
      </c>
      <c r="C777" s="3" t="s">
        <v>1240</v>
      </c>
      <c r="I777" s="3">
        <v>14</v>
      </c>
      <c r="J777" s="3">
        <v>66</v>
      </c>
      <c r="K777" s="3">
        <v>1</v>
      </c>
      <c r="L777" s="3">
        <v>66</v>
      </c>
      <c r="M777" s="3">
        <v>9400</v>
      </c>
      <c r="N777" s="3">
        <v>620.4</v>
      </c>
      <c r="O777" s="3">
        <v>1.21</v>
      </c>
      <c r="P777" s="3">
        <v>750.68399999999997</v>
      </c>
      <c r="Q777" s="3">
        <v>9400</v>
      </c>
    </row>
    <row r="778" spans="1:17" ht="24.95" hidden="1" customHeight="1" x14ac:dyDescent="0.25">
      <c r="A778" s="3">
        <v>3</v>
      </c>
      <c r="B778" s="3" t="s">
        <v>409</v>
      </c>
      <c r="C778" s="3" t="s">
        <v>1241</v>
      </c>
      <c r="I778" s="3">
        <v>32</v>
      </c>
      <c r="J778" s="3">
        <v>3</v>
      </c>
      <c r="K778" s="3">
        <v>1</v>
      </c>
      <c r="L778" s="3">
        <v>3</v>
      </c>
      <c r="M778" s="3">
        <v>5490</v>
      </c>
      <c r="N778" s="3">
        <v>16.47</v>
      </c>
      <c r="O778" s="3">
        <v>6.31</v>
      </c>
      <c r="P778" s="3">
        <v>103.92569999999999</v>
      </c>
      <c r="Q778" s="3">
        <v>5490</v>
      </c>
    </row>
    <row r="779" spans="1:17" ht="24.95" hidden="1" customHeight="1" x14ac:dyDescent="0.25">
      <c r="A779" s="3">
        <v>3</v>
      </c>
      <c r="B779" s="3" t="s">
        <v>409</v>
      </c>
      <c r="C779" s="3" t="s">
        <v>1242</v>
      </c>
      <c r="I779" s="3">
        <v>32</v>
      </c>
      <c r="J779" s="3">
        <v>3</v>
      </c>
      <c r="K779" s="3">
        <v>1</v>
      </c>
      <c r="L779" s="3">
        <v>3</v>
      </c>
      <c r="M779" s="3">
        <v>11700</v>
      </c>
      <c r="N779" s="3">
        <v>35.1</v>
      </c>
      <c r="O779" s="3">
        <v>6.31</v>
      </c>
      <c r="P779" s="3">
        <v>221.48099999999999</v>
      </c>
      <c r="Q779" s="3">
        <v>11700</v>
      </c>
    </row>
    <row r="780" spans="1:17" ht="24.95" hidden="1" customHeight="1" x14ac:dyDescent="0.25">
      <c r="A780" s="3">
        <v>3</v>
      </c>
      <c r="B780" s="3" t="s">
        <v>409</v>
      </c>
      <c r="C780" s="3" t="s">
        <v>1243</v>
      </c>
      <c r="I780" s="3">
        <v>32</v>
      </c>
      <c r="J780" s="3">
        <v>3</v>
      </c>
      <c r="K780" s="3">
        <v>1</v>
      </c>
      <c r="L780" s="3">
        <v>3</v>
      </c>
      <c r="M780" s="3">
        <v>5490</v>
      </c>
      <c r="N780" s="3">
        <v>16.47</v>
      </c>
      <c r="O780" s="3">
        <v>6.31</v>
      </c>
      <c r="P780" s="3">
        <v>103.92569999999999</v>
      </c>
      <c r="Q780" s="3">
        <v>5490</v>
      </c>
    </row>
    <row r="781" spans="1:17" ht="24.95" hidden="1" customHeight="1" x14ac:dyDescent="0.25">
      <c r="A781" s="3">
        <v>3</v>
      </c>
      <c r="B781" s="3" t="s">
        <v>409</v>
      </c>
      <c r="C781" s="3" t="s">
        <v>1244</v>
      </c>
      <c r="I781" s="3">
        <v>32</v>
      </c>
      <c r="J781" s="3">
        <v>3</v>
      </c>
      <c r="K781" s="3">
        <v>1</v>
      </c>
      <c r="L781" s="3">
        <v>3</v>
      </c>
      <c r="M781" s="3">
        <v>11700</v>
      </c>
      <c r="N781" s="3">
        <v>35.1</v>
      </c>
      <c r="O781" s="3">
        <v>6.31</v>
      </c>
      <c r="P781" s="3">
        <v>221.48099999999999</v>
      </c>
      <c r="Q781" s="3">
        <v>11700</v>
      </c>
    </row>
    <row r="782" spans="1:17" ht="24.95" hidden="1" customHeight="1" x14ac:dyDescent="0.25">
      <c r="A782" s="3">
        <v>3</v>
      </c>
      <c r="B782" s="3" t="s">
        <v>409</v>
      </c>
      <c r="C782" s="3" t="s">
        <v>1245</v>
      </c>
      <c r="I782" s="3">
        <v>32</v>
      </c>
      <c r="J782" s="3">
        <v>6</v>
      </c>
      <c r="K782" s="3">
        <v>1</v>
      </c>
      <c r="L782" s="3">
        <v>6</v>
      </c>
      <c r="M782" s="3">
        <v>11700</v>
      </c>
      <c r="N782" s="3">
        <v>70.2</v>
      </c>
      <c r="O782" s="3">
        <v>6.31</v>
      </c>
      <c r="P782" s="3">
        <v>442.96199999999999</v>
      </c>
      <c r="Q782" s="3">
        <v>11700</v>
      </c>
    </row>
    <row r="783" spans="1:17" ht="24.95" hidden="1" customHeight="1" x14ac:dyDescent="0.25">
      <c r="A783" s="3">
        <v>3</v>
      </c>
      <c r="B783" s="3" t="s">
        <v>409</v>
      </c>
      <c r="C783" s="3" t="s">
        <v>1246</v>
      </c>
      <c r="I783" s="3">
        <v>32</v>
      </c>
      <c r="J783" s="3">
        <v>11</v>
      </c>
      <c r="K783" s="3">
        <v>1</v>
      </c>
      <c r="L783" s="3">
        <v>11</v>
      </c>
      <c r="M783" s="3">
        <v>11700</v>
      </c>
      <c r="N783" s="3">
        <v>128.69999999999999</v>
      </c>
      <c r="O783" s="3">
        <v>6.31</v>
      </c>
      <c r="P783" s="3">
        <v>812.09699999999987</v>
      </c>
      <c r="Q783" s="3">
        <v>11700</v>
      </c>
    </row>
    <row r="784" spans="1:17" ht="24.95" hidden="1" customHeight="1" x14ac:dyDescent="0.25">
      <c r="A784" s="3">
        <v>3</v>
      </c>
      <c r="B784" s="3" t="s">
        <v>409</v>
      </c>
      <c r="C784" s="3" t="s">
        <v>1247</v>
      </c>
      <c r="I784" s="3">
        <v>32</v>
      </c>
      <c r="J784" s="3">
        <v>5</v>
      </c>
      <c r="K784" s="3">
        <v>1</v>
      </c>
      <c r="L784" s="3">
        <v>5</v>
      </c>
      <c r="M784" s="3">
        <v>5160</v>
      </c>
      <c r="N784" s="3">
        <v>25.8</v>
      </c>
      <c r="O784" s="3">
        <v>6.31</v>
      </c>
      <c r="P784" s="3">
        <v>162.798</v>
      </c>
      <c r="Q784" s="3">
        <v>5160</v>
      </c>
    </row>
    <row r="785" spans="1:17" ht="24.95" hidden="1" customHeight="1" x14ac:dyDescent="0.25">
      <c r="A785" s="3">
        <v>3</v>
      </c>
      <c r="B785" s="3" t="s">
        <v>409</v>
      </c>
      <c r="C785" s="3" t="s">
        <v>1248</v>
      </c>
      <c r="I785" s="3">
        <v>32</v>
      </c>
      <c r="J785" s="3">
        <v>5</v>
      </c>
      <c r="K785" s="3">
        <v>1</v>
      </c>
      <c r="L785" s="3">
        <v>5</v>
      </c>
      <c r="M785" s="3">
        <v>10000</v>
      </c>
      <c r="N785" s="3">
        <v>50</v>
      </c>
      <c r="O785" s="3">
        <v>6.31</v>
      </c>
      <c r="P785" s="3">
        <v>315.5</v>
      </c>
      <c r="Q785" s="3">
        <v>10000</v>
      </c>
    </row>
    <row r="786" spans="1:17" ht="24.95" hidden="1" customHeight="1" x14ac:dyDescent="0.25">
      <c r="A786" s="3">
        <v>3</v>
      </c>
      <c r="B786" s="3" t="s">
        <v>409</v>
      </c>
      <c r="C786" s="3" t="s">
        <v>1249</v>
      </c>
      <c r="I786" s="3">
        <v>32</v>
      </c>
      <c r="J786" s="3">
        <v>9</v>
      </c>
      <c r="K786" s="3">
        <v>1</v>
      </c>
      <c r="L786" s="3">
        <v>9</v>
      </c>
      <c r="M786" s="3">
        <v>11700</v>
      </c>
      <c r="N786" s="3">
        <v>105.3</v>
      </c>
      <c r="O786" s="3">
        <v>6.31</v>
      </c>
      <c r="P786" s="3">
        <v>664.44299999999998</v>
      </c>
      <c r="Q786" s="3">
        <v>11700</v>
      </c>
    </row>
    <row r="787" spans="1:17" ht="24.95" hidden="1" customHeight="1" x14ac:dyDescent="0.25">
      <c r="A787" s="3">
        <v>3</v>
      </c>
      <c r="B787" s="3" t="s">
        <v>409</v>
      </c>
      <c r="C787" s="3" t="s">
        <v>1250</v>
      </c>
      <c r="I787" s="3">
        <v>32</v>
      </c>
      <c r="J787" s="3">
        <v>8</v>
      </c>
      <c r="K787" s="3">
        <v>1</v>
      </c>
      <c r="L787" s="3">
        <v>8</v>
      </c>
      <c r="M787" s="3">
        <v>5380</v>
      </c>
      <c r="N787" s="3">
        <v>43.04</v>
      </c>
      <c r="O787" s="3">
        <v>6.31</v>
      </c>
      <c r="P787" s="3">
        <v>271.58239999999995</v>
      </c>
      <c r="Q787" s="3">
        <v>5380</v>
      </c>
    </row>
    <row r="788" spans="1:17" ht="24.95" hidden="1" customHeight="1" x14ac:dyDescent="0.25">
      <c r="A788" s="3">
        <v>3</v>
      </c>
      <c r="B788" s="3" t="s">
        <v>409</v>
      </c>
      <c r="C788" s="3" t="s">
        <v>1251</v>
      </c>
      <c r="I788" s="3">
        <v>32</v>
      </c>
      <c r="J788" s="3">
        <v>9</v>
      </c>
      <c r="K788" s="3">
        <v>1</v>
      </c>
      <c r="L788" s="3">
        <v>9</v>
      </c>
      <c r="M788" s="3">
        <v>5380</v>
      </c>
      <c r="N788" s="3">
        <v>48.42</v>
      </c>
      <c r="O788" s="3">
        <v>6.31</v>
      </c>
      <c r="P788" s="3">
        <v>305.53019999999998</v>
      </c>
      <c r="Q788" s="3">
        <v>5380</v>
      </c>
    </row>
    <row r="789" spans="1:17" ht="24.95" hidden="1" customHeight="1" x14ac:dyDescent="0.25">
      <c r="A789" s="3">
        <v>3</v>
      </c>
      <c r="B789" s="3" t="s">
        <v>409</v>
      </c>
      <c r="C789" s="3" t="s">
        <v>1252</v>
      </c>
      <c r="I789" s="3">
        <v>32</v>
      </c>
      <c r="J789" s="3">
        <v>8</v>
      </c>
      <c r="K789" s="3">
        <v>1</v>
      </c>
      <c r="L789" s="3">
        <v>8</v>
      </c>
      <c r="M789" s="3">
        <v>11700</v>
      </c>
      <c r="N789" s="3">
        <v>93.6</v>
      </c>
      <c r="O789" s="3">
        <v>6.31</v>
      </c>
      <c r="P789" s="3">
        <v>590.61599999999987</v>
      </c>
      <c r="Q789" s="3">
        <v>11700</v>
      </c>
    </row>
    <row r="790" spans="1:17" ht="24.95" hidden="1" customHeight="1" x14ac:dyDescent="0.25">
      <c r="A790" s="3">
        <v>3</v>
      </c>
      <c r="B790" s="3" t="s">
        <v>409</v>
      </c>
      <c r="C790" s="3" t="s">
        <v>1253</v>
      </c>
      <c r="I790" s="3">
        <v>32</v>
      </c>
      <c r="J790" s="3">
        <v>7</v>
      </c>
      <c r="K790" s="3">
        <v>1</v>
      </c>
      <c r="L790" s="3">
        <v>7</v>
      </c>
      <c r="M790" s="3">
        <v>5280</v>
      </c>
      <c r="N790" s="3">
        <v>36.96</v>
      </c>
      <c r="O790" s="3">
        <v>6.31</v>
      </c>
      <c r="P790" s="3">
        <v>233.2176</v>
      </c>
      <c r="Q790" s="3">
        <v>5280</v>
      </c>
    </row>
    <row r="791" spans="1:17" ht="24.95" hidden="1" customHeight="1" x14ac:dyDescent="0.25">
      <c r="A791" s="3">
        <v>3</v>
      </c>
      <c r="B791" s="3" t="s">
        <v>409</v>
      </c>
      <c r="C791" s="3" t="s">
        <v>1254</v>
      </c>
      <c r="I791" s="3">
        <v>32</v>
      </c>
      <c r="J791" s="3">
        <v>7</v>
      </c>
      <c r="K791" s="3">
        <v>1</v>
      </c>
      <c r="L791" s="3">
        <v>7</v>
      </c>
      <c r="M791" s="3">
        <v>11700</v>
      </c>
      <c r="N791" s="3">
        <v>81.900000000000006</v>
      </c>
      <c r="O791" s="3">
        <v>6.31</v>
      </c>
      <c r="P791" s="3">
        <v>516.78899999999999</v>
      </c>
      <c r="Q791" s="3">
        <v>11700</v>
      </c>
    </row>
    <row r="792" spans="1:17" ht="24.95" hidden="1" customHeight="1" x14ac:dyDescent="0.25">
      <c r="A792" s="3">
        <v>3</v>
      </c>
      <c r="B792" s="3" t="s">
        <v>409</v>
      </c>
      <c r="C792" s="3" t="s">
        <v>1255</v>
      </c>
      <c r="I792" s="3">
        <v>32</v>
      </c>
      <c r="J792" s="3">
        <v>6</v>
      </c>
      <c r="K792" s="3">
        <v>1</v>
      </c>
      <c r="L792" s="3">
        <v>6</v>
      </c>
      <c r="M792" s="3">
        <v>5280</v>
      </c>
      <c r="N792" s="3">
        <v>31.68</v>
      </c>
      <c r="O792" s="3">
        <v>6.31</v>
      </c>
      <c r="P792" s="3">
        <v>199.90079999999998</v>
      </c>
      <c r="Q792" s="3">
        <v>5280</v>
      </c>
    </row>
    <row r="793" spans="1:17" ht="24.95" hidden="1" customHeight="1" x14ac:dyDescent="0.25">
      <c r="A793" s="3">
        <v>3</v>
      </c>
      <c r="B793" s="3" t="s">
        <v>409</v>
      </c>
      <c r="C793" s="3" t="s">
        <v>1256</v>
      </c>
      <c r="I793" s="3">
        <v>32</v>
      </c>
      <c r="J793" s="3">
        <v>6</v>
      </c>
      <c r="K793" s="3">
        <v>1</v>
      </c>
      <c r="L793" s="3">
        <v>6</v>
      </c>
      <c r="M793" s="3">
        <v>11700</v>
      </c>
      <c r="N793" s="3">
        <v>70.2</v>
      </c>
      <c r="O793" s="3">
        <v>6.31</v>
      </c>
      <c r="P793" s="3">
        <v>442.96199999999999</v>
      </c>
      <c r="Q793" s="3">
        <v>11700</v>
      </c>
    </row>
    <row r="794" spans="1:17" ht="24.95" hidden="1" customHeight="1" x14ac:dyDescent="0.25">
      <c r="A794" s="3">
        <v>3</v>
      </c>
      <c r="B794" s="3" t="s">
        <v>409</v>
      </c>
      <c r="C794" s="3" t="s">
        <v>1257</v>
      </c>
      <c r="I794" s="3">
        <v>32</v>
      </c>
      <c r="J794" s="3">
        <v>6</v>
      </c>
      <c r="K794" s="3">
        <v>1</v>
      </c>
      <c r="L794" s="3">
        <v>6</v>
      </c>
      <c r="M794" s="3">
        <v>7530</v>
      </c>
      <c r="N794" s="3">
        <v>45.18</v>
      </c>
      <c r="O794" s="3">
        <v>6.31</v>
      </c>
      <c r="P794" s="3">
        <v>285.08580000000001</v>
      </c>
      <c r="Q794" s="3">
        <v>7530</v>
      </c>
    </row>
    <row r="795" spans="1:17" ht="24.95" hidden="1" customHeight="1" x14ac:dyDescent="0.25">
      <c r="A795" s="3">
        <v>3</v>
      </c>
      <c r="B795" s="3" t="s">
        <v>409</v>
      </c>
      <c r="C795" s="3" t="s">
        <v>1258</v>
      </c>
      <c r="I795" s="3">
        <v>32</v>
      </c>
      <c r="J795" s="3">
        <v>3</v>
      </c>
      <c r="K795" s="3">
        <v>1</v>
      </c>
      <c r="L795" s="3">
        <v>3</v>
      </c>
      <c r="M795" s="3">
        <v>10000</v>
      </c>
      <c r="N795" s="3">
        <v>30</v>
      </c>
      <c r="O795" s="3">
        <v>6.31</v>
      </c>
      <c r="P795" s="3">
        <v>189.29999999999998</v>
      </c>
      <c r="Q795" s="3">
        <v>10000</v>
      </c>
    </row>
    <row r="796" spans="1:17" ht="24.95" hidden="1" customHeight="1" x14ac:dyDescent="0.25">
      <c r="A796" s="3">
        <v>3</v>
      </c>
      <c r="B796" s="3" t="s">
        <v>409</v>
      </c>
      <c r="C796" s="3" t="s">
        <v>1259</v>
      </c>
      <c r="I796" s="3">
        <v>32</v>
      </c>
      <c r="J796" s="3">
        <v>3</v>
      </c>
      <c r="K796" s="3">
        <v>1</v>
      </c>
      <c r="L796" s="3">
        <v>3</v>
      </c>
      <c r="M796" s="3">
        <v>9530</v>
      </c>
      <c r="N796" s="3">
        <v>28.59</v>
      </c>
      <c r="O796" s="3">
        <v>6.31</v>
      </c>
      <c r="P796" s="3">
        <v>180.40289999999999</v>
      </c>
      <c r="Q796" s="3">
        <v>9530</v>
      </c>
    </row>
    <row r="797" spans="1:17" ht="24.95" hidden="1" customHeight="1" x14ac:dyDescent="0.25">
      <c r="A797" s="3">
        <v>3</v>
      </c>
      <c r="B797" s="3" t="s">
        <v>409</v>
      </c>
      <c r="C797" s="3" t="s">
        <v>1260</v>
      </c>
      <c r="I797" s="3">
        <v>32</v>
      </c>
      <c r="J797" s="3">
        <v>3</v>
      </c>
      <c r="K797" s="3">
        <v>1</v>
      </c>
      <c r="L797" s="3">
        <v>3</v>
      </c>
      <c r="M797" s="3">
        <v>7770</v>
      </c>
      <c r="N797" s="3">
        <v>23.31</v>
      </c>
      <c r="O797" s="3">
        <v>6.31</v>
      </c>
      <c r="P797" s="3">
        <v>147.08609999999999</v>
      </c>
      <c r="Q797" s="3">
        <v>7770</v>
      </c>
    </row>
    <row r="798" spans="1:17" ht="24.95" hidden="1" customHeight="1" x14ac:dyDescent="0.25">
      <c r="A798" s="3">
        <v>3</v>
      </c>
      <c r="B798" s="3" t="s">
        <v>409</v>
      </c>
      <c r="C798" s="3" t="s">
        <v>1261</v>
      </c>
      <c r="I798" s="3">
        <v>32</v>
      </c>
      <c r="J798" s="3">
        <v>6</v>
      </c>
      <c r="K798" s="3">
        <v>1</v>
      </c>
      <c r="L798" s="3">
        <v>6</v>
      </c>
      <c r="M798" s="3">
        <v>11700</v>
      </c>
      <c r="N798" s="3">
        <v>70.2</v>
      </c>
      <c r="O798" s="3">
        <v>6.31</v>
      </c>
      <c r="P798" s="3">
        <v>442.96199999999999</v>
      </c>
      <c r="Q798" s="3">
        <v>11700</v>
      </c>
    </row>
    <row r="799" spans="1:17" ht="24.95" hidden="1" customHeight="1" x14ac:dyDescent="0.25">
      <c r="A799" s="3">
        <v>3</v>
      </c>
      <c r="B799" s="3" t="s">
        <v>409</v>
      </c>
      <c r="C799" s="3" t="s">
        <v>1262</v>
      </c>
      <c r="I799" s="3">
        <v>32</v>
      </c>
      <c r="J799" s="3">
        <v>5</v>
      </c>
      <c r="K799" s="3">
        <v>1</v>
      </c>
      <c r="L799" s="3">
        <v>5</v>
      </c>
      <c r="M799" s="3">
        <v>11700</v>
      </c>
      <c r="N799" s="3">
        <v>58.5</v>
      </c>
      <c r="O799" s="3">
        <v>6.31</v>
      </c>
      <c r="P799" s="3">
        <v>369.13499999999999</v>
      </c>
      <c r="Q799" s="3">
        <v>11700</v>
      </c>
    </row>
    <row r="800" spans="1:17" ht="24.95" hidden="1" customHeight="1" x14ac:dyDescent="0.25">
      <c r="A800" s="3">
        <v>3</v>
      </c>
      <c r="B800" s="3" t="s">
        <v>409</v>
      </c>
      <c r="C800" s="3" t="s">
        <v>1263</v>
      </c>
      <c r="I800" s="3">
        <v>32</v>
      </c>
      <c r="J800" s="3">
        <v>5</v>
      </c>
      <c r="K800" s="3">
        <v>1</v>
      </c>
      <c r="L800" s="3">
        <v>5</v>
      </c>
      <c r="M800" s="3">
        <v>9290</v>
      </c>
      <c r="N800" s="3">
        <v>46.45</v>
      </c>
      <c r="O800" s="3">
        <v>6.31</v>
      </c>
      <c r="P800" s="3">
        <v>293.09949999999998</v>
      </c>
      <c r="Q800" s="3">
        <v>9290</v>
      </c>
    </row>
    <row r="801" spans="1:17" ht="24.95" hidden="1" customHeight="1" x14ac:dyDescent="0.25">
      <c r="A801" s="3">
        <v>3</v>
      </c>
      <c r="B801" s="3" t="s">
        <v>409</v>
      </c>
      <c r="C801" s="3" t="s">
        <v>1264</v>
      </c>
      <c r="I801" s="3">
        <v>32</v>
      </c>
      <c r="J801" s="3">
        <v>3</v>
      </c>
      <c r="K801" s="3">
        <v>1</v>
      </c>
      <c r="L801" s="3">
        <v>3</v>
      </c>
      <c r="M801" s="3">
        <v>7300</v>
      </c>
      <c r="N801" s="3">
        <v>21.9</v>
      </c>
      <c r="O801" s="3">
        <v>6.31</v>
      </c>
      <c r="P801" s="3">
        <v>138.18899999999999</v>
      </c>
      <c r="Q801" s="3">
        <v>7300</v>
      </c>
    </row>
    <row r="802" spans="1:17" ht="24.95" hidden="1" customHeight="1" x14ac:dyDescent="0.25">
      <c r="A802" s="3">
        <v>3</v>
      </c>
      <c r="B802" s="3" t="s">
        <v>409</v>
      </c>
      <c r="C802" s="3" t="s">
        <v>1265</v>
      </c>
      <c r="I802" s="3">
        <v>32</v>
      </c>
      <c r="J802" s="3">
        <v>17</v>
      </c>
      <c r="K802" s="3">
        <v>1</v>
      </c>
      <c r="L802" s="3">
        <v>17</v>
      </c>
      <c r="M802" s="3">
        <v>5100</v>
      </c>
      <c r="N802" s="3">
        <v>86.7</v>
      </c>
      <c r="O802" s="3">
        <v>6.31</v>
      </c>
      <c r="P802" s="3">
        <v>547.077</v>
      </c>
      <c r="Q802" s="3">
        <v>5100</v>
      </c>
    </row>
    <row r="803" spans="1:17" ht="24.95" hidden="1" customHeight="1" x14ac:dyDescent="0.25">
      <c r="A803" s="3">
        <v>3</v>
      </c>
      <c r="B803" s="3" t="s">
        <v>409</v>
      </c>
      <c r="C803" s="3" t="s">
        <v>1266</v>
      </c>
      <c r="I803" s="3">
        <v>32</v>
      </c>
      <c r="J803" s="3">
        <v>14</v>
      </c>
      <c r="K803" s="3">
        <v>1</v>
      </c>
      <c r="L803" s="3">
        <v>14</v>
      </c>
      <c r="M803" s="3">
        <v>5820</v>
      </c>
      <c r="N803" s="3">
        <v>81.48</v>
      </c>
      <c r="O803" s="3">
        <v>6.31</v>
      </c>
      <c r="P803" s="3">
        <v>514.13879999999995</v>
      </c>
      <c r="Q803" s="3">
        <v>5820</v>
      </c>
    </row>
    <row r="804" spans="1:17" ht="24.95" hidden="1" customHeight="1" x14ac:dyDescent="0.25">
      <c r="A804" s="3">
        <v>3</v>
      </c>
      <c r="B804" s="3" t="s">
        <v>409</v>
      </c>
      <c r="C804" s="3" t="s">
        <v>1267</v>
      </c>
      <c r="I804" s="3">
        <v>32</v>
      </c>
      <c r="J804" s="3">
        <v>3</v>
      </c>
      <c r="K804" s="3">
        <v>1</v>
      </c>
      <c r="L804" s="3">
        <v>3</v>
      </c>
      <c r="M804" s="3">
        <v>6700</v>
      </c>
      <c r="N804" s="3">
        <v>20.100000000000001</v>
      </c>
      <c r="O804" s="3">
        <v>6.31</v>
      </c>
      <c r="P804" s="3">
        <v>126.831</v>
      </c>
      <c r="Q804" s="3">
        <v>6700</v>
      </c>
    </row>
    <row r="805" spans="1:17" ht="24.95" hidden="1" customHeight="1" x14ac:dyDescent="0.25">
      <c r="A805" s="3">
        <v>3</v>
      </c>
      <c r="B805" s="3" t="s">
        <v>409</v>
      </c>
      <c r="C805" s="3" t="s">
        <v>1268</v>
      </c>
      <c r="I805" s="3">
        <v>20</v>
      </c>
      <c r="J805" s="3">
        <v>75</v>
      </c>
      <c r="K805" s="3">
        <v>1</v>
      </c>
      <c r="L805" s="3">
        <v>75</v>
      </c>
      <c r="M805" s="3">
        <v>7370</v>
      </c>
      <c r="N805" s="3">
        <v>552.75</v>
      </c>
      <c r="O805" s="3">
        <v>2.4700000000000002</v>
      </c>
      <c r="P805" s="3">
        <v>1365.2925</v>
      </c>
      <c r="Q805" s="3">
        <v>7370</v>
      </c>
    </row>
    <row r="806" spans="1:17" ht="24.95" hidden="1" customHeight="1" x14ac:dyDescent="0.25">
      <c r="A806" s="3">
        <v>3</v>
      </c>
      <c r="B806" s="3" t="s">
        <v>409</v>
      </c>
      <c r="C806" s="3" t="s">
        <v>1269</v>
      </c>
      <c r="I806" s="3">
        <v>20</v>
      </c>
      <c r="J806" s="3">
        <v>75</v>
      </c>
      <c r="K806" s="3">
        <v>1</v>
      </c>
      <c r="L806" s="3">
        <v>75</v>
      </c>
      <c r="M806" s="3">
        <v>4390</v>
      </c>
      <c r="N806" s="3">
        <v>329.25</v>
      </c>
      <c r="O806" s="3">
        <v>2.4700000000000002</v>
      </c>
      <c r="P806" s="3">
        <v>813.24750000000006</v>
      </c>
      <c r="Q806" s="3">
        <v>4390</v>
      </c>
    </row>
    <row r="807" spans="1:17" ht="24.95" hidden="1" customHeight="1" x14ac:dyDescent="0.25">
      <c r="A807" s="3">
        <v>3</v>
      </c>
      <c r="B807" s="3" t="s">
        <v>409</v>
      </c>
      <c r="C807" s="3" t="s">
        <v>1270</v>
      </c>
      <c r="I807" s="3">
        <v>14</v>
      </c>
      <c r="J807" s="3">
        <v>240</v>
      </c>
      <c r="K807" s="3">
        <v>1</v>
      </c>
      <c r="L807" s="3">
        <v>240</v>
      </c>
      <c r="M807" s="3">
        <v>2870</v>
      </c>
      <c r="N807" s="3">
        <v>688.8</v>
      </c>
      <c r="O807" s="3">
        <v>1.21</v>
      </c>
      <c r="P807" s="3">
        <v>833.44799999999987</v>
      </c>
      <c r="Q807" s="3">
        <v>2870</v>
      </c>
    </row>
    <row r="808" spans="1:17" ht="24.95" hidden="1" customHeight="1" x14ac:dyDescent="0.25">
      <c r="A808" s="3">
        <v>3</v>
      </c>
      <c r="B808" s="3" t="s">
        <v>409</v>
      </c>
      <c r="C808" s="3" t="s">
        <v>1271</v>
      </c>
      <c r="I808" s="3">
        <v>14</v>
      </c>
      <c r="J808" s="3">
        <v>30</v>
      </c>
      <c r="K808" s="3">
        <v>1</v>
      </c>
      <c r="L808" s="3">
        <v>30</v>
      </c>
      <c r="M808" s="3">
        <v>11700</v>
      </c>
      <c r="N808" s="3">
        <v>351</v>
      </c>
      <c r="O808" s="3">
        <v>1.21</v>
      </c>
      <c r="P808" s="3">
        <v>424.71</v>
      </c>
      <c r="Q808" s="3">
        <v>11700</v>
      </c>
    </row>
    <row r="809" spans="1:17" ht="24.95" hidden="1" customHeight="1" x14ac:dyDescent="0.25">
      <c r="A809" s="3">
        <v>3</v>
      </c>
      <c r="B809" s="3" t="s">
        <v>409</v>
      </c>
      <c r="C809" s="3" t="s">
        <v>1272</v>
      </c>
      <c r="I809" s="3">
        <v>14</v>
      </c>
      <c r="J809" s="3">
        <v>24</v>
      </c>
      <c r="K809" s="3">
        <v>1</v>
      </c>
      <c r="L809" s="3">
        <v>24</v>
      </c>
      <c r="M809" s="3">
        <v>11700</v>
      </c>
      <c r="N809" s="3">
        <v>280.8</v>
      </c>
      <c r="O809" s="3">
        <v>1.21</v>
      </c>
      <c r="P809" s="3">
        <v>339.76800000000003</v>
      </c>
      <c r="Q809" s="3">
        <v>11700</v>
      </c>
    </row>
    <row r="810" spans="1:17" ht="24.95" hidden="1" customHeight="1" x14ac:dyDescent="0.25">
      <c r="A810" s="3">
        <v>3</v>
      </c>
      <c r="B810" s="3" t="s">
        <v>409</v>
      </c>
      <c r="C810" s="3" t="s">
        <v>1273</v>
      </c>
      <c r="I810" s="3">
        <v>14</v>
      </c>
      <c r="J810" s="3">
        <v>18</v>
      </c>
      <c r="K810" s="3">
        <v>1</v>
      </c>
      <c r="L810" s="3">
        <v>18</v>
      </c>
      <c r="M810" s="3">
        <v>2130</v>
      </c>
      <c r="N810" s="3">
        <v>38.340000000000003</v>
      </c>
      <c r="O810" s="3">
        <v>1.21</v>
      </c>
      <c r="P810" s="3">
        <v>46.391400000000004</v>
      </c>
      <c r="Q810" s="3">
        <v>2130</v>
      </c>
    </row>
    <row r="811" spans="1:17" ht="24.95" hidden="1" customHeight="1" x14ac:dyDescent="0.25">
      <c r="A811" s="3">
        <v>3</v>
      </c>
      <c r="B811" s="3" t="s">
        <v>409</v>
      </c>
      <c r="C811" s="3" t="s">
        <v>1274</v>
      </c>
      <c r="I811" s="3">
        <v>14</v>
      </c>
      <c r="J811" s="3">
        <v>12</v>
      </c>
      <c r="K811" s="3">
        <v>1</v>
      </c>
      <c r="L811" s="3">
        <v>12</v>
      </c>
      <c r="M811" s="3">
        <v>9570</v>
      </c>
      <c r="N811" s="3">
        <v>114.84</v>
      </c>
      <c r="O811" s="3">
        <v>1.21</v>
      </c>
      <c r="P811" s="3">
        <v>138.9564</v>
      </c>
      <c r="Q811" s="3">
        <v>9570</v>
      </c>
    </row>
    <row r="812" spans="1:17" ht="24.95" hidden="1" customHeight="1" x14ac:dyDescent="0.25">
      <c r="A812" s="3">
        <v>3</v>
      </c>
      <c r="B812" s="3" t="s">
        <v>409</v>
      </c>
      <c r="C812" s="3" t="s">
        <v>1275</v>
      </c>
      <c r="I812" s="3">
        <v>20</v>
      </c>
      <c r="J812" s="3">
        <v>525</v>
      </c>
      <c r="K812" s="3">
        <v>1</v>
      </c>
      <c r="L812" s="3">
        <v>525</v>
      </c>
      <c r="M812" s="3">
        <v>2790</v>
      </c>
      <c r="N812" s="3">
        <v>1464.75</v>
      </c>
      <c r="O812" s="3">
        <v>2.4700000000000002</v>
      </c>
      <c r="P812" s="3">
        <v>3617.9325000000003</v>
      </c>
      <c r="Q812" s="3">
        <v>2790</v>
      </c>
    </row>
    <row r="813" spans="1:17" ht="24.95" hidden="1" customHeight="1" x14ac:dyDescent="0.25">
      <c r="A813" s="3">
        <v>3</v>
      </c>
      <c r="B813" s="3" t="s">
        <v>409</v>
      </c>
      <c r="C813" s="3" t="s">
        <v>1276</v>
      </c>
      <c r="I813" s="3">
        <v>32</v>
      </c>
      <c r="J813" s="3">
        <v>23</v>
      </c>
      <c r="K813" s="3">
        <v>1</v>
      </c>
      <c r="L813" s="3">
        <v>23</v>
      </c>
      <c r="M813" s="3">
        <v>2590</v>
      </c>
      <c r="N813" s="3">
        <v>59.57</v>
      </c>
      <c r="O813" s="3">
        <v>6.31</v>
      </c>
      <c r="P813" s="3">
        <v>375.88669999999996</v>
      </c>
      <c r="Q813" s="3">
        <v>2590</v>
      </c>
    </row>
    <row r="814" spans="1:17" ht="24.95" hidden="1" customHeight="1" x14ac:dyDescent="0.25">
      <c r="A814" s="3">
        <v>3</v>
      </c>
      <c r="B814" s="3" t="s">
        <v>409</v>
      </c>
      <c r="C814" s="3" t="s">
        <v>1277</v>
      </c>
      <c r="I814" s="3">
        <v>18</v>
      </c>
      <c r="J814" s="3">
        <v>12</v>
      </c>
      <c r="K814" s="3">
        <v>1</v>
      </c>
      <c r="L814" s="3">
        <v>12</v>
      </c>
      <c r="M814" s="3">
        <v>2310</v>
      </c>
      <c r="N814" s="3">
        <v>27.72</v>
      </c>
      <c r="O814" s="3">
        <v>2</v>
      </c>
      <c r="P814" s="3">
        <v>55.44</v>
      </c>
      <c r="Q814" s="3">
        <v>2310</v>
      </c>
    </row>
    <row r="815" spans="1:17" ht="24.95" hidden="1" customHeight="1" x14ac:dyDescent="0.25">
      <c r="A815" s="3">
        <v>3</v>
      </c>
      <c r="B815" s="3" t="s">
        <v>409</v>
      </c>
      <c r="C815" s="3" t="s">
        <v>1278</v>
      </c>
      <c r="I815" s="3">
        <v>18</v>
      </c>
      <c r="J815" s="3">
        <v>12</v>
      </c>
      <c r="K815" s="3">
        <v>1</v>
      </c>
      <c r="L815" s="3">
        <v>12</v>
      </c>
      <c r="M815" s="3">
        <v>11700</v>
      </c>
      <c r="N815" s="3">
        <v>140.4</v>
      </c>
      <c r="O815" s="3">
        <v>2</v>
      </c>
      <c r="P815" s="3">
        <v>280.8</v>
      </c>
      <c r="Q815" s="3">
        <v>11700</v>
      </c>
    </row>
    <row r="816" spans="1:17" ht="24.95" hidden="1" customHeight="1" x14ac:dyDescent="0.25">
      <c r="A816" s="3">
        <v>3</v>
      </c>
      <c r="B816" s="3" t="s">
        <v>410</v>
      </c>
      <c r="C816" s="3" t="s">
        <v>1279</v>
      </c>
      <c r="I816" s="3">
        <v>32</v>
      </c>
      <c r="J816" s="3">
        <v>6</v>
      </c>
      <c r="K816" s="3">
        <v>1</v>
      </c>
      <c r="L816" s="3">
        <v>6</v>
      </c>
      <c r="M816" s="3">
        <v>3970</v>
      </c>
      <c r="N816" s="3">
        <v>23.82</v>
      </c>
      <c r="O816" s="3">
        <v>6.31</v>
      </c>
      <c r="P816" s="3">
        <v>150.30419999999998</v>
      </c>
      <c r="Q816" s="3">
        <v>3970</v>
      </c>
    </row>
    <row r="817" spans="1:17" ht="24.95" hidden="1" customHeight="1" x14ac:dyDescent="0.25">
      <c r="A817" s="3">
        <v>3</v>
      </c>
      <c r="B817" s="3" t="s">
        <v>410</v>
      </c>
      <c r="C817" s="3" t="s">
        <v>1280</v>
      </c>
      <c r="I817" s="3">
        <v>32</v>
      </c>
      <c r="J817" s="3">
        <v>6</v>
      </c>
      <c r="K817" s="3">
        <v>1</v>
      </c>
      <c r="L817" s="3">
        <v>6</v>
      </c>
      <c r="M817" s="3">
        <v>11700</v>
      </c>
      <c r="N817" s="3">
        <v>70.2</v>
      </c>
      <c r="O817" s="3">
        <v>6.31</v>
      </c>
      <c r="P817" s="3">
        <v>442.96199999999999</v>
      </c>
      <c r="Q817" s="3">
        <v>11700</v>
      </c>
    </row>
    <row r="818" spans="1:17" ht="24.95" hidden="1" customHeight="1" x14ac:dyDescent="0.25">
      <c r="A818" s="3">
        <v>3</v>
      </c>
      <c r="B818" s="3" t="s">
        <v>410</v>
      </c>
      <c r="C818" s="3" t="s">
        <v>1281</v>
      </c>
      <c r="I818" s="3">
        <v>32</v>
      </c>
      <c r="J818" s="3">
        <v>6</v>
      </c>
      <c r="K818" s="3">
        <v>1</v>
      </c>
      <c r="L818" s="3">
        <v>6</v>
      </c>
      <c r="M818" s="3">
        <v>6700</v>
      </c>
      <c r="N818" s="3">
        <v>40.200000000000003</v>
      </c>
      <c r="O818" s="3">
        <v>6.31</v>
      </c>
      <c r="P818" s="3">
        <v>253.66200000000001</v>
      </c>
      <c r="Q818" s="3">
        <v>6700</v>
      </c>
    </row>
    <row r="819" spans="1:17" ht="24.95" hidden="1" customHeight="1" x14ac:dyDescent="0.25">
      <c r="A819" s="3">
        <v>3</v>
      </c>
      <c r="B819" s="3" t="s">
        <v>410</v>
      </c>
      <c r="C819" s="3" t="s">
        <v>1282</v>
      </c>
      <c r="I819" s="3">
        <v>32</v>
      </c>
      <c r="J819" s="3">
        <v>5</v>
      </c>
      <c r="K819" s="3">
        <v>1</v>
      </c>
      <c r="L819" s="3">
        <v>5</v>
      </c>
      <c r="M819" s="3">
        <v>11700</v>
      </c>
      <c r="N819" s="3">
        <v>58.5</v>
      </c>
      <c r="O819" s="3">
        <v>6.31</v>
      </c>
      <c r="P819" s="3">
        <v>369.13499999999999</v>
      </c>
      <c r="Q819" s="3">
        <v>11700</v>
      </c>
    </row>
    <row r="820" spans="1:17" ht="24.95" hidden="1" customHeight="1" x14ac:dyDescent="0.25">
      <c r="A820" s="3">
        <v>3</v>
      </c>
      <c r="B820" s="3" t="s">
        <v>410</v>
      </c>
      <c r="C820" s="3" t="s">
        <v>1283</v>
      </c>
      <c r="I820" s="3">
        <v>32</v>
      </c>
      <c r="J820" s="3">
        <v>5</v>
      </c>
      <c r="K820" s="3">
        <v>1</v>
      </c>
      <c r="L820" s="3">
        <v>5</v>
      </c>
      <c r="M820" s="3">
        <v>11250</v>
      </c>
      <c r="N820" s="3">
        <v>56.25</v>
      </c>
      <c r="O820" s="3">
        <v>6.31</v>
      </c>
      <c r="P820" s="3">
        <v>354.9375</v>
      </c>
      <c r="Q820" s="3">
        <v>11250</v>
      </c>
    </row>
    <row r="821" spans="1:17" ht="24.95" hidden="1" customHeight="1" x14ac:dyDescent="0.25">
      <c r="A821" s="3">
        <v>3</v>
      </c>
      <c r="B821" s="3" t="s">
        <v>410</v>
      </c>
      <c r="C821" s="3" t="s">
        <v>1284</v>
      </c>
      <c r="I821" s="3">
        <v>32</v>
      </c>
      <c r="J821" s="3">
        <v>11</v>
      </c>
      <c r="K821" s="3">
        <v>1</v>
      </c>
      <c r="L821" s="3">
        <v>11</v>
      </c>
      <c r="M821" s="3">
        <v>11700</v>
      </c>
      <c r="N821" s="3">
        <v>128.69999999999999</v>
      </c>
      <c r="O821" s="3">
        <v>6.31</v>
      </c>
      <c r="P821" s="3">
        <v>812.09699999999987</v>
      </c>
      <c r="Q821" s="3">
        <v>11700</v>
      </c>
    </row>
    <row r="822" spans="1:17" ht="24.95" hidden="1" customHeight="1" x14ac:dyDescent="0.25">
      <c r="A822" s="3">
        <v>3</v>
      </c>
      <c r="B822" s="3" t="s">
        <v>410</v>
      </c>
      <c r="C822" s="3" t="s">
        <v>1285</v>
      </c>
      <c r="I822" s="3">
        <v>32</v>
      </c>
      <c r="J822" s="3">
        <v>6</v>
      </c>
      <c r="K822" s="3">
        <v>1</v>
      </c>
      <c r="L822" s="3">
        <v>6</v>
      </c>
      <c r="M822" s="3">
        <v>2450</v>
      </c>
      <c r="N822" s="3">
        <v>14.7</v>
      </c>
      <c r="O822" s="3">
        <v>6.31</v>
      </c>
      <c r="P822" s="3">
        <v>92.756999999999991</v>
      </c>
      <c r="Q822" s="3">
        <v>2450</v>
      </c>
    </row>
    <row r="823" spans="1:17" ht="24.95" hidden="1" customHeight="1" x14ac:dyDescent="0.25">
      <c r="A823" s="3">
        <v>3</v>
      </c>
      <c r="B823" s="3" t="s">
        <v>410</v>
      </c>
      <c r="C823" s="3" t="s">
        <v>1286</v>
      </c>
      <c r="I823" s="3">
        <v>32</v>
      </c>
      <c r="J823" s="3">
        <v>5</v>
      </c>
      <c r="K823" s="3">
        <v>1</v>
      </c>
      <c r="L823" s="3">
        <v>5</v>
      </c>
      <c r="M823" s="3">
        <v>9250</v>
      </c>
      <c r="N823" s="3">
        <v>46.25</v>
      </c>
      <c r="O823" s="3">
        <v>6.31</v>
      </c>
      <c r="P823" s="3">
        <v>291.83749999999998</v>
      </c>
      <c r="Q823" s="3">
        <v>9250</v>
      </c>
    </row>
    <row r="824" spans="1:17" ht="24.95" hidden="1" customHeight="1" x14ac:dyDescent="0.25">
      <c r="A824" s="3">
        <v>3</v>
      </c>
      <c r="B824" s="3" t="s">
        <v>410</v>
      </c>
      <c r="C824" s="3" t="s">
        <v>1287</v>
      </c>
      <c r="I824" s="3">
        <v>32</v>
      </c>
      <c r="J824" s="3">
        <v>5</v>
      </c>
      <c r="K824" s="3">
        <v>1</v>
      </c>
      <c r="L824" s="3">
        <v>5</v>
      </c>
      <c r="M824" s="3">
        <v>4900</v>
      </c>
      <c r="N824" s="3">
        <v>24.5</v>
      </c>
      <c r="O824" s="3">
        <v>6.31</v>
      </c>
      <c r="P824" s="3">
        <v>154.595</v>
      </c>
      <c r="Q824" s="3">
        <v>4900</v>
      </c>
    </row>
    <row r="825" spans="1:17" ht="24.95" hidden="1" customHeight="1" x14ac:dyDescent="0.25">
      <c r="A825" s="3">
        <v>3</v>
      </c>
      <c r="B825" s="3" t="s">
        <v>410</v>
      </c>
      <c r="C825" s="3" t="s">
        <v>1288</v>
      </c>
      <c r="I825" s="3">
        <v>32</v>
      </c>
      <c r="J825" s="3">
        <v>5</v>
      </c>
      <c r="K825" s="3">
        <v>1</v>
      </c>
      <c r="L825" s="3">
        <v>5</v>
      </c>
      <c r="M825" s="3">
        <v>2500</v>
      </c>
      <c r="N825" s="3">
        <v>12.5</v>
      </c>
      <c r="O825" s="3">
        <v>6.31</v>
      </c>
      <c r="P825" s="3">
        <v>78.875</v>
      </c>
      <c r="Q825" s="3">
        <v>2500</v>
      </c>
    </row>
    <row r="826" spans="1:17" ht="24.95" hidden="1" customHeight="1" x14ac:dyDescent="0.25">
      <c r="A826" s="3">
        <v>3</v>
      </c>
      <c r="B826" s="3" t="s">
        <v>410</v>
      </c>
      <c r="C826" s="3" t="s">
        <v>1289</v>
      </c>
      <c r="I826" s="3">
        <v>32</v>
      </c>
      <c r="J826" s="3">
        <v>6</v>
      </c>
      <c r="K826" s="3">
        <v>1</v>
      </c>
      <c r="L826" s="3">
        <v>6</v>
      </c>
      <c r="M826" s="3">
        <v>9200</v>
      </c>
      <c r="N826" s="3">
        <v>55.2</v>
      </c>
      <c r="O826" s="3">
        <v>6.31</v>
      </c>
      <c r="P826" s="3">
        <v>348.31200000000001</v>
      </c>
      <c r="Q826" s="3">
        <v>9200</v>
      </c>
    </row>
    <row r="827" spans="1:17" ht="24.95" hidden="1" customHeight="1" x14ac:dyDescent="0.25">
      <c r="A827" s="3">
        <v>3</v>
      </c>
      <c r="B827" s="3" t="s">
        <v>410</v>
      </c>
      <c r="C827" s="3" t="s">
        <v>1290</v>
      </c>
      <c r="I827" s="3">
        <v>32</v>
      </c>
      <c r="J827" s="3">
        <v>6</v>
      </c>
      <c r="K827" s="3">
        <v>1</v>
      </c>
      <c r="L827" s="3">
        <v>6</v>
      </c>
      <c r="M827" s="3">
        <v>5000</v>
      </c>
      <c r="N827" s="3">
        <v>30</v>
      </c>
      <c r="O827" s="3">
        <v>6.31</v>
      </c>
      <c r="P827" s="3">
        <v>189.29999999999998</v>
      </c>
      <c r="Q827" s="3">
        <v>5000</v>
      </c>
    </row>
    <row r="828" spans="1:17" ht="24.95" hidden="1" customHeight="1" x14ac:dyDescent="0.25">
      <c r="A828" s="3">
        <v>3</v>
      </c>
      <c r="B828" s="3" t="s">
        <v>410</v>
      </c>
      <c r="C828" s="3" t="s">
        <v>1291</v>
      </c>
      <c r="I828" s="3">
        <v>32</v>
      </c>
      <c r="J828" s="3">
        <v>6</v>
      </c>
      <c r="K828" s="3">
        <v>1</v>
      </c>
      <c r="L828" s="3">
        <v>6</v>
      </c>
      <c r="M828" s="3">
        <v>11000</v>
      </c>
      <c r="N828" s="3">
        <v>66</v>
      </c>
      <c r="O828" s="3">
        <v>6.31</v>
      </c>
      <c r="P828" s="3">
        <v>416.46</v>
      </c>
      <c r="Q828" s="3">
        <v>11000</v>
      </c>
    </row>
    <row r="829" spans="1:17" ht="24.95" hidden="1" customHeight="1" x14ac:dyDescent="0.25">
      <c r="A829" s="3">
        <v>3</v>
      </c>
      <c r="B829" s="3" t="s">
        <v>410</v>
      </c>
      <c r="C829" s="3" t="s">
        <v>1292</v>
      </c>
      <c r="I829" s="3">
        <v>32</v>
      </c>
      <c r="J829" s="3">
        <v>6</v>
      </c>
      <c r="K829" s="3">
        <v>1</v>
      </c>
      <c r="L829" s="3">
        <v>6</v>
      </c>
      <c r="M829" s="3">
        <v>6750</v>
      </c>
      <c r="N829" s="3">
        <v>40.5</v>
      </c>
      <c r="O829" s="3">
        <v>6.31</v>
      </c>
      <c r="P829" s="3">
        <v>255.55499999999998</v>
      </c>
      <c r="Q829" s="3">
        <v>6750</v>
      </c>
    </row>
    <row r="830" spans="1:17" ht="24.95" hidden="1" customHeight="1" x14ac:dyDescent="0.25">
      <c r="A830" s="3">
        <v>3</v>
      </c>
      <c r="B830" s="3" t="s">
        <v>410</v>
      </c>
      <c r="C830" s="3" t="s">
        <v>1293</v>
      </c>
      <c r="I830" s="3">
        <v>32</v>
      </c>
      <c r="J830" s="3">
        <v>5</v>
      </c>
      <c r="K830" s="3">
        <v>1</v>
      </c>
      <c r="L830" s="3">
        <v>5</v>
      </c>
      <c r="M830" s="3">
        <v>8510</v>
      </c>
      <c r="N830" s="3">
        <v>42.55</v>
      </c>
      <c r="O830" s="3">
        <v>6.31</v>
      </c>
      <c r="P830" s="3">
        <v>268.49049999999994</v>
      </c>
      <c r="Q830" s="3">
        <v>8510</v>
      </c>
    </row>
    <row r="831" spans="1:17" ht="24.95" hidden="1" customHeight="1" x14ac:dyDescent="0.25">
      <c r="A831" s="3">
        <v>3</v>
      </c>
      <c r="B831" s="3" t="s">
        <v>410</v>
      </c>
      <c r="C831" s="3" t="s">
        <v>1294</v>
      </c>
      <c r="I831" s="3">
        <v>32</v>
      </c>
      <c r="J831" s="3">
        <v>5</v>
      </c>
      <c r="K831" s="3">
        <v>1</v>
      </c>
      <c r="L831" s="3">
        <v>5</v>
      </c>
      <c r="M831" s="3">
        <v>11000</v>
      </c>
      <c r="N831" s="3">
        <v>55</v>
      </c>
      <c r="O831" s="3">
        <v>6.31</v>
      </c>
      <c r="P831" s="3">
        <v>347.04999999999995</v>
      </c>
      <c r="Q831" s="3">
        <v>11000</v>
      </c>
    </row>
    <row r="832" spans="1:17" ht="24.95" hidden="1" customHeight="1" x14ac:dyDescent="0.25">
      <c r="A832" s="3">
        <v>3</v>
      </c>
      <c r="B832" s="3" t="s">
        <v>410</v>
      </c>
      <c r="C832" s="3" t="s">
        <v>1295</v>
      </c>
      <c r="I832" s="3">
        <v>14</v>
      </c>
      <c r="J832" s="3">
        <v>115</v>
      </c>
      <c r="K832" s="3">
        <v>1</v>
      </c>
      <c r="L832" s="3">
        <v>115</v>
      </c>
      <c r="M832" s="3">
        <v>6170</v>
      </c>
      <c r="N832" s="3">
        <v>709.55</v>
      </c>
      <c r="O832" s="3">
        <v>1.21</v>
      </c>
      <c r="P832" s="3">
        <v>858.55549999999994</v>
      </c>
      <c r="Q832" s="3">
        <v>6170</v>
      </c>
    </row>
    <row r="833" spans="1:17" ht="24.95" hidden="1" customHeight="1" x14ac:dyDescent="0.25">
      <c r="A833" s="3">
        <v>3</v>
      </c>
      <c r="B833" s="3" t="s">
        <v>410</v>
      </c>
      <c r="C833" s="3" t="s">
        <v>1296</v>
      </c>
      <c r="I833" s="3">
        <v>14</v>
      </c>
      <c r="J833" s="3">
        <v>115</v>
      </c>
      <c r="K833" s="3">
        <v>1</v>
      </c>
      <c r="L833" s="3">
        <v>115</v>
      </c>
      <c r="M833" s="3">
        <v>2650</v>
      </c>
      <c r="N833" s="3">
        <v>304.75</v>
      </c>
      <c r="O833" s="3">
        <v>1.21</v>
      </c>
      <c r="P833" s="3">
        <v>368.7475</v>
      </c>
      <c r="Q833" s="3">
        <v>2650</v>
      </c>
    </row>
    <row r="834" spans="1:17" ht="24.95" hidden="1" customHeight="1" x14ac:dyDescent="0.25">
      <c r="A834" s="3">
        <v>3</v>
      </c>
      <c r="B834" s="3" t="s">
        <v>410</v>
      </c>
      <c r="C834" s="3" t="s">
        <v>1297</v>
      </c>
      <c r="I834" s="3">
        <v>14</v>
      </c>
      <c r="J834" s="3">
        <v>460</v>
      </c>
      <c r="K834" s="3">
        <v>1</v>
      </c>
      <c r="L834" s="3">
        <v>460</v>
      </c>
      <c r="M834" s="3">
        <v>2670</v>
      </c>
      <c r="N834" s="3">
        <v>1228.2</v>
      </c>
      <c r="O834" s="3">
        <v>1.21</v>
      </c>
      <c r="P834" s="3">
        <v>1486.1220000000001</v>
      </c>
      <c r="Q834" s="3">
        <v>2670</v>
      </c>
    </row>
    <row r="835" spans="1:17" ht="24.95" hidden="1" customHeight="1" x14ac:dyDescent="0.25">
      <c r="A835" s="3">
        <v>3</v>
      </c>
      <c r="B835" s="3" t="s">
        <v>410</v>
      </c>
      <c r="C835" s="3" t="s">
        <v>1298</v>
      </c>
      <c r="I835" s="3">
        <v>18</v>
      </c>
      <c r="J835" s="3">
        <v>6</v>
      </c>
      <c r="K835" s="3">
        <v>1</v>
      </c>
      <c r="L835" s="3">
        <v>6</v>
      </c>
      <c r="M835" s="3">
        <v>11700</v>
      </c>
      <c r="N835" s="3">
        <v>70.2</v>
      </c>
      <c r="O835" s="3">
        <v>2</v>
      </c>
      <c r="P835" s="3">
        <v>140.4</v>
      </c>
      <c r="Q835" s="3">
        <v>11700</v>
      </c>
    </row>
    <row r="836" spans="1:17" ht="24.95" hidden="1" customHeight="1" x14ac:dyDescent="0.25">
      <c r="A836" s="3">
        <v>3</v>
      </c>
      <c r="B836" s="3" t="s">
        <v>410</v>
      </c>
      <c r="C836" s="3" t="s">
        <v>1299</v>
      </c>
      <c r="I836" s="3">
        <v>18</v>
      </c>
      <c r="J836" s="3">
        <v>6</v>
      </c>
      <c r="K836" s="3">
        <v>1</v>
      </c>
      <c r="L836" s="3">
        <v>6</v>
      </c>
      <c r="M836" s="3">
        <v>7160</v>
      </c>
      <c r="N836" s="3">
        <v>42.96</v>
      </c>
      <c r="O836" s="3">
        <v>2</v>
      </c>
      <c r="P836" s="3">
        <v>85.92</v>
      </c>
      <c r="Q836" s="3">
        <v>7160</v>
      </c>
    </row>
    <row r="837" spans="1:17" ht="24.95" hidden="1" customHeight="1" x14ac:dyDescent="0.25">
      <c r="A837" s="3">
        <v>3</v>
      </c>
      <c r="B837" s="3" t="s">
        <v>410</v>
      </c>
      <c r="C837" s="3" t="s">
        <v>1300</v>
      </c>
      <c r="I837" s="3">
        <v>18</v>
      </c>
      <c r="J837" s="3">
        <v>6</v>
      </c>
      <c r="K837" s="3">
        <v>1</v>
      </c>
      <c r="L837" s="3">
        <v>6</v>
      </c>
      <c r="M837" s="3">
        <v>11700</v>
      </c>
      <c r="N837" s="3">
        <v>70.2</v>
      </c>
      <c r="O837" s="3">
        <v>2</v>
      </c>
      <c r="P837" s="3">
        <v>140.4</v>
      </c>
      <c r="Q837" s="3">
        <v>11700</v>
      </c>
    </row>
    <row r="838" spans="1:17" ht="24.95" hidden="1" customHeight="1" x14ac:dyDescent="0.25">
      <c r="A838" s="3">
        <v>3</v>
      </c>
      <c r="B838" s="3" t="s">
        <v>410</v>
      </c>
      <c r="C838" s="3" t="s">
        <v>1301</v>
      </c>
      <c r="I838" s="3">
        <v>18</v>
      </c>
      <c r="J838" s="3">
        <v>6</v>
      </c>
      <c r="K838" s="3">
        <v>1</v>
      </c>
      <c r="L838" s="3">
        <v>6</v>
      </c>
      <c r="M838" s="3">
        <v>3430</v>
      </c>
      <c r="N838" s="3">
        <v>20.58</v>
      </c>
      <c r="O838" s="3">
        <v>2</v>
      </c>
      <c r="P838" s="3">
        <v>41.16</v>
      </c>
      <c r="Q838" s="3">
        <v>3430</v>
      </c>
    </row>
    <row r="839" spans="1:17" ht="24.95" hidden="1" customHeight="1" x14ac:dyDescent="0.25">
      <c r="A839" s="3">
        <v>3</v>
      </c>
      <c r="B839" s="3" t="s">
        <v>410</v>
      </c>
      <c r="C839" s="3" t="s">
        <v>1302</v>
      </c>
      <c r="I839" s="3">
        <v>18</v>
      </c>
      <c r="J839" s="3">
        <v>6</v>
      </c>
      <c r="K839" s="3">
        <v>1</v>
      </c>
      <c r="L839" s="3">
        <v>6</v>
      </c>
      <c r="M839" s="3">
        <v>4540</v>
      </c>
      <c r="N839" s="3">
        <v>27.24</v>
      </c>
      <c r="O839" s="3">
        <v>2</v>
      </c>
      <c r="P839" s="3">
        <v>54.48</v>
      </c>
      <c r="Q839" s="3">
        <v>4540</v>
      </c>
    </row>
    <row r="840" spans="1:17" ht="24.95" hidden="1" customHeight="1" x14ac:dyDescent="0.25">
      <c r="A840" s="3">
        <v>3</v>
      </c>
      <c r="B840" s="3" t="s">
        <v>410</v>
      </c>
      <c r="C840" s="3" t="s">
        <v>1303</v>
      </c>
      <c r="I840" s="3">
        <v>14</v>
      </c>
      <c r="J840" s="3">
        <v>348</v>
      </c>
      <c r="K840" s="3">
        <v>1</v>
      </c>
      <c r="L840" s="3">
        <v>348</v>
      </c>
      <c r="M840" s="3">
        <v>1670</v>
      </c>
      <c r="N840" s="3">
        <v>581.16</v>
      </c>
      <c r="O840" s="3">
        <v>1.21</v>
      </c>
      <c r="P840" s="3">
        <v>703.20359999999994</v>
      </c>
      <c r="Q840" s="3">
        <v>1670</v>
      </c>
    </row>
    <row r="841" spans="1:17" ht="24.95" hidden="1" customHeight="1" x14ac:dyDescent="0.25">
      <c r="A841" s="3">
        <v>3</v>
      </c>
      <c r="B841" s="3" t="s">
        <v>410</v>
      </c>
      <c r="C841" s="3" t="s">
        <v>1304</v>
      </c>
      <c r="I841" s="3">
        <v>32</v>
      </c>
      <c r="J841" s="3">
        <v>14</v>
      </c>
      <c r="K841" s="3">
        <v>1</v>
      </c>
      <c r="L841" s="3">
        <v>14</v>
      </c>
      <c r="M841" s="3">
        <v>1390</v>
      </c>
      <c r="N841" s="3">
        <v>19.46</v>
      </c>
      <c r="O841" s="3">
        <v>6.31</v>
      </c>
      <c r="P841" s="3">
        <v>122.79259999999999</v>
      </c>
      <c r="Q841" s="3">
        <v>1390</v>
      </c>
    </row>
    <row r="842" spans="1:17" ht="24.95" hidden="1" customHeight="1" x14ac:dyDescent="0.25">
      <c r="A842" s="3">
        <v>3</v>
      </c>
      <c r="B842" s="3" t="s">
        <v>410</v>
      </c>
      <c r="C842" s="3" t="s">
        <v>1305</v>
      </c>
      <c r="I842" s="3">
        <v>14</v>
      </c>
      <c r="J842" s="3">
        <v>12</v>
      </c>
      <c r="K842" s="3">
        <v>1</v>
      </c>
      <c r="L842" s="3">
        <v>12</v>
      </c>
      <c r="M842" s="3">
        <v>11700</v>
      </c>
      <c r="N842" s="3">
        <v>140.4</v>
      </c>
      <c r="O842" s="3">
        <v>1.21</v>
      </c>
      <c r="P842" s="3">
        <v>169.88400000000001</v>
      </c>
      <c r="Q842" s="3">
        <v>11700</v>
      </c>
    </row>
    <row r="843" spans="1:17" ht="24.95" hidden="1" customHeight="1" x14ac:dyDescent="0.25">
      <c r="A843" s="3">
        <v>3</v>
      </c>
      <c r="B843" s="3" t="s">
        <v>410</v>
      </c>
      <c r="C843" s="3" t="s">
        <v>1306</v>
      </c>
      <c r="I843" s="3">
        <v>14</v>
      </c>
      <c r="J843" s="3">
        <v>12</v>
      </c>
      <c r="K843" s="3">
        <v>1</v>
      </c>
      <c r="L843" s="3">
        <v>12</v>
      </c>
      <c r="M843" s="3">
        <v>6980</v>
      </c>
      <c r="N843" s="3">
        <v>83.76</v>
      </c>
      <c r="O843" s="3">
        <v>1.21</v>
      </c>
      <c r="P843" s="3">
        <v>101.34960000000001</v>
      </c>
      <c r="Q843" s="3">
        <v>6980</v>
      </c>
    </row>
    <row r="844" spans="1:17" ht="24.95" hidden="1" customHeight="1" x14ac:dyDescent="0.25">
      <c r="A844" s="3">
        <v>3</v>
      </c>
      <c r="B844" s="3" t="s">
        <v>410</v>
      </c>
      <c r="C844" s="3" t="s">
        <v>1307</v>
      </c>
      <c r="I844" s="3">
        <v>14</v>
      </c>
      <c r="J844" s="3">
        <v>12</v>
      </c>
      <c r="K844" s="3">
        <v>1</v>
      </c>
      <c r="L844" s="3">
        <v>12</v>
      </c>
      <c r="M844" s="3">
        <v>11700</v>
      </c>
      <c r="N844" s="3">
        <v>140.4</v>
      </c>
      <c r="O844" s="3">
        <v>1.21</v>
      </c>
      <c r="P844" s="3">
        <v>169.88400000000001</v>
      </c>
      <c r="Q844" s="3">
        <v>11700</v>
      </c>
    </row>
    <row r="845" spans="1:17" ht="24.95" hidden="1" customHeight="1" x14ac:dyDescent="0.25">
      <c r="A845" s="3">
        <v>3</v>
      </c>
      <c r="B845" s="3" t="s">
        <v>410</v>
      </c>
      <c r="C845" s="3" t="s">
        <v>1308</v>
      </c>
      <c r="I845" s="3">
        <v>14</v>
      </c>
      <c r="J845" s="3">
        <v>12</v>
      </c>
      <c r="K845" s="3">
        <v>1</v>
      </c>
      <c r="L845" s="3">
        <v>12</v>
      </c>
      <c r="M845" s="3">
        <v>2890</v>
      </c>
      <c r="N845" s="3">
        <v>34.68</v>
      </c>
      <c r="O845" s="3">
        <v>1.21</v>
      </c>
      <c r="P845" s="3">
        <v>41.962800000000001</v>
      </c>
      <c r="Q845" s="3">
        <v>2890</v>
      </c>
    </row>
    <row r="846" spans="1:17" ht="24.95" hidden="1" customHeight="1" x14ac:dyDescent="0.25">
      <c r="A846" s="3">
        <v>3</v>
      </c>
      <c r="B846" s="3" t="s">
        <v>410</v>
      </c>
      <c r="C846" s="3" t="s">
        <v>1309</v>
      </c>
      <c r="I846" s="3">
        <v>14</v>
      </c>
      <c r="J846" s="3">
        <v>12</v>
      </c>
      <c r="K846" s="3">
        <v>1</v>
      </c>
      <c r="L846" s="3">
        <v>12</v>
      </c>
      <c r="M846" s="3">
        <v>4720</v>
      </c>
      <c r="N846" s="3">
        <v>56.64</v>
      </c>
      <c r="O846" s="3">
        <v>1.21</v>
      </c>
      <c r="P846" s="3">
        <v>68.534400000000005</v>
      </c>
      <c r="Q846" s="3">
        <v>4720</v>
      </c>
    </row>
    <row r="847" spans="1:17" ht="24.95" hidden="1" customHeight="1" x14ac:dyDescent="0.25">
      <c r="A847" s="3">
        <v>3</v>
      </c>
      <c r="B847" s="3" t="s">
        <v>411</v>
      </c>
      <c r="C847" s="3" t="s">
        <v>1310</v>
      </c>
      <c r="I847" s="3">
        <v>32</v>
      </c>
      <c r="J847" s="3">
        <v>6</v>
      </c>
      <c r="K847" s="3">
        <v>1</v>
      </c>
      <c r="L847" s="3">
        <v>6</v>
      </c>
      <c r="M847" s="3">
        <v>11700</v>
      </c>
      <c r="N847" s="3">
        <v>70.2</v>
      </c>
      <c r="O847" s="3">
        <v>6.31</v>
      </c>
      <c r="P847" s="3">
        <v>442.96199999999999</v>
      </c>
      <c r="Q847" s="3">
        <v>11700</v>
      </c>
    </row>
    <row r="848" spans="1:17" ht="24.95" hidden="1" customHeight="1" x14ac:dyDescent="0.25">
      <c r="A848" s="3">
        <v>3</v>
      </c>
      <c r="B848" s="3" t="s">
        <v>411</v>
      </c>
      <c r="C848" s="3" t="s">
        <v>1311</v>
      </c>
      <c r="I848" s="3">
        <v>32</v>
      </c>
      <c r="J848" s="3">
        <v>6</v>
      </c>
      <c r="K848" s="3">
        <v>1</v>
      </c>
      <c r="L848" s="3">
        <v>6</v>
      </c>
      <c r="M848" s="3">
        <v>10680</v>
      </c>
      <c r="N848" s="3">
        <v>64.08</v>
      </c>
      <c r="O848" s="3">
        <v>6.31</v>
      </c>
      <c r="P848" s="3">
        <v>404.34479999999996</v>
      </c>
      <c r="Q848" s="3">
        <v>10680</v>
      </c>
    </row>
    <row r="849" spans="1:17" ht="24.95" hidden="1" customHeight="1" x14ac:dyDescent="0.25">
      <c r="A849" s="3">
        <v>3</v>
      </c>
      <c r="B849" s="3" t="s">
        <v>411</v>
      </c>
      <c r="C849" s="3" t="s">
        <v>1312</v>
      </c>
      <c r="I849" s="3">
        <v>32</v>
      </c>
      <c r="J849" s="3">
        <v>5</v>
      </c>
      <c r="K849" s="3">
        <v>1</v>
      </c>
      <c r="L849" s="3">
        <v>5</v>
      </c>
      <c r="M849" s="3">
        <v>3120</v>
      </c>
      <c r="N849" s="3">
        <v>15.6</v>
      </c>
      <c r="O849" s="3">
        <v>6.31</v>
      </c>
      <c r="P849" s="3">
        <v>98.435999999999993</v>
      </c>
      <c r="Q849" s="3">
        <v>3120</v>
      </c>
    </row>
    <row r="850" spans="1:17" ht="24.95" hidden="1" customHeight="1" x14ac:dyDescent="0.25">
      <c r="A850" s="3">
        <v>3</v>
      </c>
      <c r="B850" s="3" t="s">
        <v>411</v>
      </c>
      <c r="C850" s="3" t="s">
        <v>1313</v>
      </c>
      <c r="I850" s="3">
        <v>32</v>
      </c>
      <c r="J850" s="3">
        <v>5</v>
      </c>
      <c r="K850" s="3">
        <v>1</v>
      </c>
      <c r="L850" s="3">
        <v>5</v>
      </c>
      <c r="M850" s="3">
        <v>11700</v>
      </c>
      <c r="N850" s="3">
        <v>58.5</v>
      </c>
      <c r="O850" s="3">
        <v>6.31</v>
      </c>
      <c r="P850" s="3">
        <v>369.13499999999999</v>
      </c>
      <c r="Q850" s="3">
        <v>11700</v>
      </c>
    </row>
    <row r="851" spans="1:17" ht="24.95" hidden="1" customHeight="1" x14ac:dyDescent="0.25">
      <c r="A851" s="3">
        <v>3</v>
      </c>
      <c r="B851" s="3" t="s">
        <v>411</v>
      </c>
      <c r="C851" s="3" t="s">
        <v>1314</v>
      </c>
      <c r="I851" s="3">
        <v>32</v>
      </c>
      <c r="J851" s="3">
        <v>5</v>
      </c>
      <c r="K851" s="3">
        <v>1</v>
      </c>
      <c r="L851" s="3">
        <v>5</v>
      </c>
      <c r="M851" s="3">
        <v>9000</v>
      </c>
      <c r="N851" s="3">
        <v>45</v>
      </c>
      <c r="O851" s="3">
        <v>6.31</v>
      </c>
      <c r="P851" s="3">
        <v>283.95</v>
      </c>
      <c r="Q851" s="3">
        <v>9000</v>
      </c>
    </row>
    <row r="852" spans="1:17" ht="24.95" hidden="1" customHeight="1" x14ac:dyDescent="0.25">
      <c r="A852" s="3">
        <v>3</v>
      </c>
      <c r="B852" s="3" t="s">
        <v>411</v>
      </c>
      <c r="C852" s="3" t="s">
        <v>1315</v>
      </c>
      <c r="I852" s="3">
        <v>32</v>
      </c>
      <c r="J852" s="3">
        <v>11</v>
      </c>
      <c r="K852" s="3">
        <v>1</v>
      </c>
      <c r="L852" s="3">
        <v>11</v>
      </c>
      <c r="M852" s="3">
        <v>10570</v>
      </c>
      <c r="N852" s="3">
        <v>116.27</v>
      </c>
      <c r="O852" s="3">
        <v>6.31</v>
      </c>
      <c r="P852" s="3">
        <v>733.66369999999995</v>
      </c>
      <c r="Q852" s="3">
        <v>10570</v>
      </c>
    </row>
    <row r="853" spans="1:17" ht="24.95" hidden="1" customHeight="1" x14ac:dyDescent="0.25">
      <c r="A853" s="3">
        <v>3</v>
      </c>
      <c r="B853" s="3" t="s">
        <v>411</v>
      </c>
      <c r="C853" s="3" t="s">
        <v>1316</v>
      </c>
      <c r="I853" s="3">
        <v>32</v>
      </c>
      <c r="J853" s="3">
        <v>6</v>
      </c>
      <c r="K853" s="3">
        <v>1</v>
      </c>
      <c r="L853" s="3">
        <v>6</v>
      </c>
      <c r="M853" s="3">
        <v>10570</v>
      </c>
      <c r="N853" s="3">
        <v>63.42</v>
      </c>
      <c r="O853" s="3">
        <v>6.31</v>
      </c>
      <c r="P853" s="3">
        <v>400.18020000000001</v>
      </c>
      <c r="Q853" s="3">
        <v>10570</v>
      </c>
    </row>
    <row r="854" spans="1:17" ht="24.95" hidden="1" customHeight="1" x14ac:dyDescent="0.25">
      <c r="A854" s="3">
        <v>3</v>
      </c>
      <c r="B854" s="3" t="s">
        <v>411</v>
      </c>
      <c r="C854" s="3" t="s">
        <v>1317</v>
      </c>
      <c r="I854" s="3">
        <v>32</v>
      </c>
      <c r="J854" s="3">
        <v>2</v>
      </c>
      <c r="K854" s="3">
        <v>1</v>
      </c>
      <c r="L854" s="3">
        <v>2</v>
      </c>
      <c r="M854" s="3">
        <v>3020</v>
      </c>
      <c r="N854" s="3">
        <v>6.04</v>
      </c>
      <c r="O854" s="3">
        <v>6.31</v>
      </c>
      <c r="P854" s="3">
        <v>38.112400000000001</v>
      </c>
      <c r="Q854" s="3">
        <v>3020</v>
      </c>
    </row>
    <row r="855" spans="1:17" ht="24.95" hidden="1" customHeight="1" x14ac:dyDescent="0.25">
      <c r="A855" s="3">
        <v>3</v>
      </c>
      <c r="B855" s="3" t="s">
        <v>411</v>
      </c>
      <c r="C855" s="3" t="s">
        <v>1318</v>
      </c>
      <c r="I855" s="3">
        <v>32</v>
      </c>
      <c r="J855" s="3">
        <v>3</v>
      </c>
      <c r="K855" s="3">
        <v>1</v>
      </c>
      <c r="L855" s="3">
        <v>3</v>
      </c>
      <c r="M855" s="3">
        <v>11700</v>
      </c>
      <c r="N855" s="3">
        <v>35.1</v>
      </c>
      <c r="O855" s="3">
        <v>6.31</v>
      </c>
      <c r="P855" s="3">
        <v>221.48099999999999</v>
      </c>
      <c r="Q855" s="3">
        <v>11700</v>
      </c>
    </row>
    <row r="856" spans="1:17" ht="24.95" hidden="1" customHeight="1" x14ac:dyDescent="0.25">
      <c r="A856" s="3">
        <v>3</v>
      </c>
      <c r="B856" s="3" t="s">
        <v>411</v>
      </c>
      <c r="C856" s="3" t="s">
        <v>1319</v>
      </c>
      <c r="I856" s="3">
        <v>32</v>
      </c>
      <c r="J856" s="3">
        <v>3</v>
      </c>
      <c r="K856" s="3">
        <v>1</v>
      </c>
      <c r="L856" s="3">
        <v>3</v>
      </c>
      <c r="M856" s="3">
        <v>10580</v>
      </c>
      <c r="N856" s="3">
        <v>31.74</v>
      </c>
      <c r="O856" s="3">
        <v>6.31</v>
      </c>
      <c r="P856" s="3">
        <v>200.27939999999998</v>
      </c>
      <c r="Q856" s="3">
        <v>10580</v>
      </c>
    </row>
    <row r="857" spans="1:17" ht="24.95" hidden="1" customHeight="1" x14ac:dyDescent="0.25">
      <c r="A857" s="3">
        <v>3</v>
      </c>
      <c r="B857" s="3" t="s">
        <v>411</v>
      </c>
      <c r="C857" s="3" t="s">
        <v>1320</v>
      </c>
      <c r="I857" s="3">
        <v>32</v>
      </c>
      <c r="J857" s="3">
        <v>2</v>
      </c>
      <c r="K857" s="3">
        <v>1</v>
      </c>
      <c r="L857" s="3">
        <v>2</v>
      </c>
      <c r="M857" s="3">
        <v>9000</v>
      </c>
      <c r="N857" s="3">
        <v>18</v>
      </c>
      <c r="O857" s="3">
        <v>6.31</v>
      </c>
      <c r="P857" s="3">
        <v>113.58</v>
      </c>
      <c r="Q857" s="3">
        <v>9000</v>
      </c>
    </row>
    <row r="858" spans="1:17" ht="24.95" hidden="1" customHeight="1" x14ac:dyDescent="0.25">
      <c r="A858" s="3">
        <v>3</v>
      </c>
      <c r="B858" s="3" t="s">
        <v>411</v>
      </c>
      <c r="C858" s="3" t="s">
        <v>1321</v>
      </c>
      <c r="I858" s="3">
        <v>32</v>
      </c>
      <c r="J858" s="3">
        <v>2</v>
      </c>
      <c r="K858" s="3">
        <v>1</v>
      </c>
      <c r="L858" s="3">
        <v>2</v>
      </c>
      <c r="M858" s="3">
        <v>11700</v>
      </c>
      <c r="N858" s="3">
        <v>23.4</v>
      </c>
      <c r="O858" s="3">
        <v>6.31</v>
      </c>
      <c r="P858" s="3">
        <v>147.65399999999997</v>
      </c>
      <c r="Q858" s="3">
        <v>11700</v>
      </c>
    </row>
    <row r="859" spans="1:17" ht="24.95" hidden="1" customHeight="1" x14ac:dyDescent="0.25">
      <c r="A859" s="3">
        <v>3</v>
      </c>
      <c r="B859" s="3" t="s">
        <v>411</v>
      </c>
      <c r="C859" s="3" t="s">
        <v>1322</v>
      </c>
      <c r="I859" s="3">
        <v>32</v>
      </c>
      <c r="J859" s="3">
        <v>5</v>
      </c>
      <c r="K859" s="3">
        <v>1</v>
      </c>
      <c r="L859" s="3">
        <v>5</v>
      </c>
      <c r="M859" s="3">
        <v>5540</v>
      </c>
      <c r="N859" s="3">
        <v>27.7</v>
      </c>
      <c r="O859" s="3">
        <v>6.31</v>
      </c>
      <c r="P859" s="3">
        <v>174.78699999999998</v>
      </c>
      <c r="Q859" s="3">
        <v>5540</v>
      </c>
    </row>
    <row r="860" spans="1:17" ht="24.95" hidden="1" customHeight="1" x14ac:dyDescent="0.25">
      <c r="A860" s="3">
        <v>3</v>
      </c>
      <c r="B860" s="3" t="s">
        <v>411</v>
      </c>
      <c r="C860" s="3" t="s">
        <v>1323</v>
      </c>
      <c r="I860" s="3">
        <v>32</v>
      </c>
      <c r="J860" s="3">
        <v>5</v>
      </c>
      <c r="K860" s="3">
        <v>1</v>
      </c>
      <c r="L860" s="3">
        <v>5</v>
      </c>
      <c r="M860" s="3">
        <v>11000</v>
      </c>
      <c r="N860" s="3">
        <v>55</v>
      </c>
      <c r="O860" s="3">
        <v>6.31</v>
      </c>
      <c r="P860" s="3">
        <v>347.04999999999995</v>
      </c>
      <c r="Q860" s="3">
        <v>11000</v>
      </c>
    </row>
    <row r="861" spans="1:17" ht="24.95" hidden="1" customHeight="1" x14ac:dyDescent="0.25">
      <c r="A861" s="3">
        <v>3</v>
      </c>
      <c r="B861" s="3" t="s">
        <v>411</v>
      </c>
      <c r="C861" s="3" t="s">
        <v>1324</v>
      </c>
      <c r="I861" s="3">
        <v>32</v>
      </c>
      <c r="J861" s="3">
        <v>5</v>
      </c>
      <c r="K861" s="3">
        <v>1</v>
      </c>
      <c r="L861" s="3">
        <v>5</v>
      </c>
      <c r="M861" s="3">
        <v>6910</v>
      </c>
      <c r="N861" s="3">
        <v>34.549999999999997</v>
      </c>
      <c r="O861" s="3">
        <v>6.31</v>
      </c>
      <c r="P861" s="3">
        <v>218.01049999999998</v>
      </c>
      <c r="Q861" s="3">
        <v>6910</v>
      </c>
    </row>
    <row r="862" spans="1:17" ht="24.95" hidden="1" customHeight="1" x14ac:dyDescent="0.25">
      <c r="A862" s="3">
        <v>3</v>
      </c>
      <c r="B862" s="3" t="s">
        <v>411</v>
      </c>
      <c r="C862" s="3" t="s">
        <v>1325</v>
      </c>
      <c r="I862" s="3">
        <v>32</v>
      </c>
      <c r="J862" s="3">
        <v>6</v>
      </c>
      <c r="K862" s="3">
        <v>1</v>
      </c>
      <c r="L862" s="3">
        <v>6</v>
      </c>
      <c r="M862" s="3">
        <v>5150</v>
      </c>
      <c r="N862" s="3">
        <v>30.9</v>
      </c>
      <c r="O862" s="3">
        <v>6.31</v>
      </c>
      <c r="P862" s="3">
        <v>194.97899999999998</v>
      </c>
      <c r="Q862" s="3">
        <v>5150</v>
      </c>
    </row>
    <row r="863" spans="1:17" ht="24.95" hidden="1" customHeight="1" x14ac:dyDescent="0.25">
      <c r="A863" s="3">
        <v>3</v>
      </c>
      <c r="B863" s="3" t="s">
        <v>411</v>
      </c>
      <c r="C863" s="3" t="s">
        <v>1326</v>
      </c>
      <c r="I863" s="3">
        <v>32</v>
      </c>
      <c r="J863" s="3">
        <v>6</v>
      </c>
      <c r="K863" s="3">
        <v>1</v>
      </c>
      <c r="L863" s="3">
        <v>6</v>
      </c>
      <c r="M863" s="3">
        <v>11000</v>
      </c>
      <c r="N863" s="3">
        <v>66</v>
      </c>
      <c r="O863" s="3">
        <v>6.31</v>
      </c>
      <c r="P863" s="3">
        <v>416.46</v>
      </c>
      <c r="Q863" s="3">
        <v>11000</v>
      </c>
    </row>
    <row r="864" spans="1:17" ht="24.95" hidden="1" customHeight="1" x14ac:dyDescent="0.25">
      <c r="A864" s="3">
        <v>3</v>
      </c>
      <c r="B864" s="3" t="s">
        <v>411</v>
      </c>
      <c r="C864" s="3" t="s">
        <v>1327</v>
      </c>
      <c r="I864" s="3">
        <v>32</v>
      </c>
      <c r="J864" s="3">
        <v>6</v>
      </c>
      <c r="K864" s="3">
        <v>1</v>
      </c>
      <c r="L864" s="3">
        <v>6</v>
      </c>
      <c r="M864" s="3">
        <v>7300</v>
      </c>
      <c r="N864" s="3">
        <v>43.8</v>
      </c>
      <c r="O864" s="3">
        <v>6.31</v>
      </c>
      <c r="P864" s="3">
        <v>276.37799999999999</v>
      </c>
      <c r="Q864" s="3">
        <v>7300</v>
      </c>
    </row>
    <row r="865" spans="1:17" ht="24.95" hidden="1" customHeight="1" x14ac:dyDescent="0.25">
      <c r="A865" s="3">
        <v>3</v>
      </c>
      <c r="B865" s="3" t="s">
        <v>411</v>
      </c>
      <c r="C865" s="3" t="s">
        <v>1328</v>
      </c>
      <c r="I865" s="3">
        <v>14</v>
      </c>
      <c r="J865" s="3">
        <v>100</v>
      </c>
      <c r="K865" s="3">
        <v>1</v>
      </c>
      <c r="L865" s="3">
        <v>100</v>
      </c>
      <c r="M865" s="3">
        <v>6170</v>
      </c>
      <c r="N865" s="3">
        <v>617</v>
      </c>
      <c r="O865" s="3">
        <v>1.21</v>
      </c>
      <c r="P865" s="3">
        <v>746.56999999999994</v>
      </c>
      <c r="Q865" s="3">
        <v>6170</v>
      </c>
    </row>
    <row r="866" spans="1:17" ht="24.95" hidden="1" customHeight="1" x14ac:dyDescent="0.25">
      <c r="A866" s="3">
        <v>3</v>
      </c>
      <c r="B866" s="3" t="s">
        <v>411</v>
      </c>
      <c r="C866" s="3" t="s">
        <v>1329</v>
      </c>
      <c r="I866" s="3">
        <v>14</v>
      </c>
      <c r="J866" s="3">
        <v>100</v>
      </c>
      <c r="K866" s="3">
        <v>1</v>
      </c>
      <c r="L866" s="3">
        <v>100</v>
      </c>
      <c r="M866" s="3">
        <v>2650</v>
      </c>
      <c r="N866" s="3">
        <v>265</v>
      </c>
      <c r="O866" s="3">
        <v>1.21</v>
      </c>
      <c r="P866" s="3">
        <v>320.64999999999998</v>
      </c>
      <c r="Q866" s="3">
        <v>2650</v>
      </c>
    </row>
    <row r="867" spans="1:17" ht="24.95" hidden="1" customHeight="1" x14ac:dyDescent="0.25">
      <c r="A867" s="3">
        <v>3</v>
      </c>
      <c r="B867" s="3" t="s">
        <v>411</v>
      </c>
      <c r="C867" s="3" t="s">
        <v>1330</v>
      </c>
      <c r="I867" s="3">
        <v>14</v>
      </c>
      <c r="J867" s="3">
        <v>400</v>
      </c>
      <c r="K867" s="3">
        <v>1</v>
      </c>
      <c r="L867" s="3">
        <v>400</v>
      </c>
      <c r="M867" s="3">
        <v>2670</v>
      </c>
      <c r="N867" s="3">
        <v>1068</v>
      </c>
      <c r="O867" s="3">
        <v>1.21</v>
      </c>
      <c r="P867" s="3">
        <v>1292.28</v>
      </c>
      <c r="Q867" s="3">
        <v>2670</v>
      </c>
    </row>
    <row r="868" spans="1:17" ht="24.95" hidden="1" customHeight="1" x14ac:dyDescent="0.25">
      <c r="A868" s="3">
        <v>3</v>
      </c>
      <c r="B868" s="3" t="s">
        <v>411</v>
      </c>
      <c r="C868" s="3" t="s">
        <v>1331</v>
      </c>
      <c r="I868" s="3">
        <v>18</v>
      </c>
      <c r="J868" s="3">
        <v>12</v>
      </c>
      <c r="K868" s="3">
        <v>1</v>
      </c>
      <c r="L868" s="3">
        <v>12</v>
      </c>
      <c r="M868" s="3">
        <v>11700</v>
      </c>
      <c r="N868" s="3">
        <v>140.4</v>
      </c>
      <c r="O868" s="3">
        <v>2</v>
      </c>
      <c r="P868" s="3">
        <v>280.8</v>
      </c>
      <c r="Q868" s="3">
        <v>11700</v>
      </c>
    </row>
    <row r="869" spans="1:17" ht="24.95" hidden="1" customHeight="1" x14ac:dyDescent="0.25">
      <c r="A869" s="3">
        <v>3</v>
      </c>
      <c r="B869" s="3" t="s">
        <v>411</v>
      </c>
      <c r="C869" s="3" t="s">
        <v>1332</v>
      </c>
      <c r="I869" s="3">
        <v>18</v>
      </c>
      <c r="J869" s="3">
        <v>12</v>
      </c>
      <c r="K869" s="3">
        <v>1</v>
      </c>
      <c r="L869" s="3">
        <v>12</v>
      </c>
      <c r="M869" s="3">
        <v>6160</v>
      </c>
      <c r="N869" s="3">
        <v>73.92</v>
      </c>
      <c r="O869" s="3">
        <v>2</v>
      </c>
      <c r="P869" s="3">
        <v>147.84</v>
      </c>
      <c r="Q869" s="3">
        <v>6160</v>
      </c>
    </row>
    <row r="870" spans="1:17" ht="24.95" hidden="1" customHeight="1" x14ac:dyDescent="0.25">
      <c r="A870" s="3">
        <v>3</v>
      </c>
      <c r="B870" s="3" t="s">
        <v>411</v>
      </c>
      <c r="C870" s="3" t="s">
        <v>1333</v>
      </c>
      <c r="I870" s="3">
        <v>14</v>
      </c>
      <c r="J870" s="3">
        <v>306</v>
      </c>
      <c r="K870" s="3">
        <v>1</v>
      </c>
      <c r="L870" s="3">
        <v>306</v>
      </c>
      <c r="M870" s="3">
        <v>1670</v>
      </c>
      <c r="N870" s="3">
        <v>511.02</v>
      </c>
      <c r="O870" s="3">
        <v>1.21</v>
      </c>
      <c r="P870" s="3">
        <v>618.33420000000001</v>
      </c>
      <c r="Q870" s="3">
        <v>1670</v>
      </c>
    </row>
    <row r="871" spans="1:17" ht="24.95" hidden="1" customHeight="1" x14ac:dyDescent="0.25">
      <c r="A871" s="3">
        <v>3</v>
      </c>
      <c r="B871" s="3" t="s">
        <v>411</v>
      </c>
      <c r="C871" s="3" t="s">
        <v>1334</v>
      </c>
      <c r="I871" s="3">
        <v>14</v>
      </c>
      <c r="J871" s="3">
        <v>24</v>
      </c>
      <c r="K871" s="3">
        <v>1</v>
      </c>
      <c r="L871" s="3">
        <v>24</v>
      </c>
      <c r="M871" s="3">
        <v>11700</v>
      </c>
      <c r="N871" s="3">
        <v>280.8</v>
      </c>
      <c r="O871" s="3">
        <v>1.21</v>
      </c>
      <c r="P871" s="3">
        <v>339.76800000000003</v>
      </c>
      <c r="Q871" s="3">
        <v>11700</v>
      </c>
    </row>
    <row r="872" spans="1:17" ht="24.95" hidden="1" customHeight="1" x14ac:dyDescent="0.25">
      <c r="A872" s="3">
        <v>3</v>
      </c>
      <c r="B872" s="3" t="s">
        <v>411</v>
      </c>
      <c r="C872" s="3" t="s">
        <v>1335</v>
      </c>
      <c r="I872" s="3">
        <v>14</v>
      </c>
      <c r="J872" s="3">
        <v>24</v>
      </c>
      <c r="K872" s="3">
        <v>1</v>
      </c>
      <c r="L872" s="3">
        <v>24</v>
      </c>
      <c r="M872" s="3">
        <v>5980</v>
      </c>
      <c r="N872" s="3">
        <v>143.52000000000001</v>
      </c>
      <c r="O872" s="3">
        <v>1.21</v>
      </c>
      <c r="P872" s="3">
        <v>173.6592</v>
      </c>
      <c r="Q872" s="3">
        <v>5980</v>
      </c>
    </row>
    <row r="873" spans="1:17" ht="24.95" hidden="1" customHeight="1" x14ac:dyDescent="0.25">
      <c r="A873" s="3">
        <v>3</v>
      </c>
      <c r="B873" s="3" t="s">
        <v>411</v>
      </c>
      <c r="C873" s="3" t="s">
        <v>1336</v>
      </c>
      <c r="I873" s="3">
        <v>32</v>
      </c>
      <c r="J873" s="3">
        <v>18</v>
      </c>
      <c r="K873" s="3">
        <v>1</v>
      </c>
      <c r="L873" s="3">
        <v>18</v>
      </c>
      <c r="M873" s="3">
        <v>1390</v>
      </c>
      <c r="N873" s="3">
        <v>25.02</v>
      </c>
      <c r="O873" s="3">
        <v>6.31</v>
      </c>
      <c r="P873" s="3">
        <v>157.87619999999998</v>
      </c>
      <c r="Q873" s="3">
        <v>1390</v>
      </c>
    </row>
    <row r="874" spans="1:17" ht="24.95" hidden="1" customHeight="1" x14ac:dyDescent="0.25">
      <c r="A874" s="3">
        <v>3</v>
      </c>
      <c r="B874" s="3" t="s">
        <v>412</v>
      </c>
      <c r="C874" s="3" t="s">
        <v>1337</v>
      </c>
      <c r="I874" s="3">
        <v>32</v>
      </c>
      <c r="J874" s="3">
        <v>4</v>
      </c>
      <c r="K874" s="3">
        <v>1</v>
      </c>
      <c r="L874" s="3">
        <v>4</v>
      </c>
      <c r="M874" s="3">
        <v>11700</v>
      </c>
      <c r="N874" s="3">
        <v>46.8</v>
      </c>
      <c r="O874" s="3">
        <v>6.31</v>
      </c>
      <c r="P874" s="3">
        <v>295.30799999999994</v>
      </c>
      <c r="Q874" s="3">
        <v>11700</v>
      </c>
    </row>
    <row r="875" spans="1:17" ht="24.95" hidden="1" customHeight="1" x14ac:dyDescent="0.25">
      <c r="A875" s="3">
        <v>3</v>
      </c>
      <c r="B875" s="3" t="s">
        <v>412</v>
      </c>
      <c r="C875" s="3" t="s">
        <v>1338</v>
      </c>
      <c r="I875" s="3">
        <v>32</v>
      </c>
      <c r="J875" s="3">
        <v>5</v>
      </c>
      <c r="K875" s="3">
        <v>1</v>
      </c>
      <c r="L875" s="3">
        <v>5</v>
      </c>
      <c r="M875" s="3">
        <v>3055</v>
      </c>
      <c r="N875" s="3">
        <v>15.275</v>
      </c>
      <c r="O875" s="3">
        <v>6.31</v>
      </c>
      <c r="P875" s="3">
        <v>96.385249999999999</v>
      </c>
      <c r="Q875" s="3">
        <v>3055</v>
      </c>
    </row>
    <row r="876" spans="1:17" ht="24.95" hidden="1" customHeight="1" x14ac:dyDescent="0.25">
      <c r="A876" s="3">
        <v>3</v>
      </c>
      <c r="B876" s="3" t="s">
        <v>412</v>
      </c>
      <c r="C876" s="3" t="s">
        <v>1339</v>
      </c>
      <c r="I876" s="3">
        <v>32</v>
      </c>
      <c r="J876" s="3">
        <v>5</v>
      </c>
      <c r="K876" s="3">
        <v>1</v>
      </c>
      <c r="L876" s="3">
        <v>5</v>
      </c>
      <c r="M876" s="3">
        <v>9000</v>
      </c>
      <c r="N876" s="3">
        <v>45</v>
      </c>
      <c r="O876" s="3">
        <v>6.31</v>
      </c>
      <c r="P876" s="3">
        <v>283.95</v>
      </c>
      <c r="Q876" s="3">
        <v>9000</v>
      </c>
    </row>
    <row r="877" spans="1:17" ht="24.95" hidden="1" customHeight="1" x14ac:dyDescent="0.25">
      <c r="A877" s="3">
        <v>3</v>
      </c>
      <c r="B877" s="3" t="s">
        <v>412</v>
      </c>
      <c r="C877" s="3" t="s">
        <v>1340</v>
      </c>
      <c r="I877" s="3">
        <v>14</v>
      </c>
      <c r="J877" s="3">
        <v>100</v>
      </c>
      <c r="K877" s="3">
        <v>1</v>
      </c>
      <c r="L877" s="3">
        <v>100</v>
      </c>
      <c r="M877" s="3">
        <v>5870</v>
      </c>
      <c r="N877" s="3">
        <v>587</v>
      </c>
      <c r="O877" s="3">
        <v>1.21</v>
      </c>
      <c r="P877" s="3">
        <v>710.27</v>
      </c>
      <c r="Q877" s="3">
        <v>5870</v>
      </c>
    </row>
    <row r="878" spans="1:17" ht="24.95" hidden="1" customHeight="1" x14ac:dyDescent="0.25">
      <c r="A878" s="3">
        <v>3</v>
      </c>
      <c r="B878" s="3" t="s">
        <v>412</v>
      </c>
      <c r="C878" s="3" t="s">
        <v>1341</v>
      </c>
      <c r="I878" s="3">
        <v>32</v>
      </c>
      <c r="J878" s="3">
        <v>5</v>
      </c>
      <c r="K878" s="3">
        <v>1</v>
      </c>
      <c r="L878" s="3">
        <v>5</v>
      </c>
      <c r="M878" s="3">
        <v>11700</v>
      </c>
      <c r="N878" s="3">
        <v>58.5</v>
      </c>
      <c r="O878" s="3">
        <v>6.31</v>
      </c>
      <c r="P878" s="3">
        <v>369.13499999999999</v>
      </c>
      <c r="Q878" s="3">
        <v>11700</v>
      </c>
    </row>
    <row r="879" spans="1:17" ht="24.95" hidden="1" customHeight="1" x14ac:dyDescent="0.25">
      <c r="A879" s="3">
        <v>3</v>
      </c>
      <c r="B879" s="3" t="s">
        <v>412</v>
      </c>
      <c r="C879" s="3" t="s">
        <v>1342</v>
      </c>
      <c r="I879" s="3">
        <v>32</v>
      </c>
      <c r="J879" s="3">
        <v>4</v>
      </c>
      <c r="K879" s="3">
        <v>1</v>
      </c>
      <c r="L879" s="3">
        <v>4</v>
      </c>
      <c r="M879" s="3">
        <v>10615</v>
      </c>
      <c r="N879" s="3">
        <v>42.46</v>
      </c>
      <c r="O879" s="3">
        <v>6.31</v>
      </c>
      <c r="P879" s="3">
        <v>267.92259999999999</v>
      </c>
      <c r="Q879" s="3">
        <v>10615</v>
      </c>
    </row>
    <row r="880" spans="1:17" ht="24.95" hidden="1" customHeight="1" x14ac:dyDescent="0.25">
      <c r="A880" s="3">
        <v>3</v>
      </c>
      <c r="B880" s="3" t="s">
        <v>412</v>
      </c>
      <c r="C880" s="3" t="s">
        <v>1343</v>
      </c>
      <c r="I880" s="3">
        <v>32</v>
      </c>
      <c r="J880" s="3">
        <v>18</v>
      </c>
      <c r="K880" s="3">
        <v>1</v>
      </c>
      <c r="L880" s="3">
        <v>18</v>
      </c>
      <c r="M880" s="3">
        <v>10695</v>
      </c>
      <c r="N880" s="3">
        <v>192.51</v>
      </c>
      <c r="O880" s="3">
        <v>6.31</v>
      </c>
      <c r="P880" s="3">
        <v>1214.7380999999998</v>
      </c>
      <c r="Q880" s="3">
        <v>10695</v>
      </c>
    </row>
    <row r="881" spans="1:17" ht="24.95" hidden="1" customHeight="1" x14ac:dyDescent="0.25">
      <c r="A881" s="3">
        <v>3</v>
      </c>
      <c r="B881" s="3" t="s">
        <v>412</v>
      </c>
      <c r="C881" s="3" t="s">
        <v>1344</v>
      </c>
      <c r="I881" s="3">
        <v>32</v>
      </c>
      <c r="J881" s="3">
        <v>4</v>
      </c>
      <c r="K881" s="3">
        <v>1</v>
      </c>
      <c r="L881" s="3">
        <v>4</v>
      </c>
      <c r="M881" s="3">
        <v>11700</v>
      </c>
      <c r="N881" s="3">
        <v>46.8</v>
      </c>
      <c r="O881" s="3">
        <v>6.31</v>
      </c>
      <c r="P881" s="3">
        <v>295.30799999999994</v>
      </c>
      <c r="Q881" s="3">
        <v>11700</v>
      </c>
    </row>
    <row r="882" spans="1:17" ht="24.95" hidden="1" customHeight="1" x14ac:dyDescent="0.25">
      <c r="A882" s="3">
        <v>3</v>
      </c>
      <c r="B882" s="3" t="s">
        <v>412</v>
      </c>
      <c r="C882" s="3" t="s">
        <v>1345</v>
      </c>
      <c r="I882" s="3">
        <v>14</v>
      </c>
      <c r="J882" s="3">
        <v>300</v>
      </c>
      <c r="K882" s="3">
        <v>1</v>
      </c>
      <c r="L882" s="3">
        <v>300</v>
      </c>
      <c r="M882" s="3">
        <v>2670</v>
      </c>
      <c r="N882" s="3">
        <v>801</v>
      </c>
      <c r="O882" s="3">
        <v>1.21</v>
      </c>
      <c r="P882" s="3">
        <v>969.20999999999992</v>
      </c>
      <c r="Q882" s="3">
        <v>2670</v>
      </c>
    </row>
    <row r="883" spans="1:17" ht="24.95" hidden="1" customHeight="1" x14ac:dyDescent="0.25">
      <c r="A883" s="3">
        <v>3</v>
      </c>
      <c r="B883" s="3" t="s">
        <v>412</v>
      </c>
      <c r="C883" s="3" t="s">
        <v>1346</v>
      </c>
      <c r="I883" s="3">
        <v>32</v>
      </c>
      <c r="J883" s="3">
        <v>5</v>
      </c>
      <c r="K883" s="3">
        <v>1</v>
      </c>
      <c r="L883" s="3">
        <v>5</v>
      </c>
      <c r="M883" s="3">
        <v>11700</v>
      </c>
      <c r="N883" s="3">
        <v>58.5</v>
      </c>
      <c r="O883" s="3">
        <v>6.31</v>
      </c>
      <c r="P883" s="3">
        <v>369.13499999999999</v>
      </c>
      <c r="Q883" s="3">
        <v>11700</v>
      </c>
    </row>
    <row r="884" spans="1:17" ht="24.95" hidden="1" customHeight="1" x14ac:dyDescent="0.25">
      <c r="A884" s="3">
        <v>3</v>
      </c>
      <c r="B884" s="3" t="s">
        <v>412</v>
      </c>
      <c r="C884" s="3" t="s">
        <v>1347</v>
      </c>
      <c r="I884" s="3">
        <v>32</v>
      </c>
      <c r="J884" s="3">
        <v>5</v>
      </c>
      <c r="K884" s="3">
        <v>1</v>
      </c>
      <c r="L884" s="3">
        <v>5</v>
      </c>
      <c r="M884" s="3">
        <v>5050</v>
      </c>
      <c r="N884" s="3">
        <v>25.25</v>
      </c>
      <c r="O884" s="3">
        <v>6.31</v>
      </c>
      <c r="P884" s="3">
        <v>159.32749999999999</v>
      </c>
      <c r="Q884" s="3">
        <v>5050</v>
      </c>
    </row>
    <row r="885" spans="1:17" ht="24.95" hidden="1" customHeight="1" x14ac:dyDescent="0.25">
      <c r="A885" s="3">
        <v>3</v>
      </c>
      <c r="B885" s="3" t="s">
        <v>412</v>
      </c>
      <c r="C885" s="3" t="s">
        <v>1348</v>
      </c>
      <c r="I885" s="3">
        <v>32</v>
      </c>
      <c r="J885" s="3">
        <v>5</v>
      </c>
      <c r="K885" s="3">
        <v>1</v>
      </c>
      <c r="L885" s="3">
        <v>5</v>
      </c>
      <c r="M885" s="3">
        <v>6960</v>
      </c>
      <c r="N885" s="3">
        <v>34.799999999999997</v>
      </c>
      <c r="O885" s="3">
        <v>6.31</v>
      </c>
      <c r="P885" s="3">
        <v>219.58799999999997</v>
      </c>
      <c r="Q885" s="3">
        <v>6960</v>
      </c>
    </row>
    <row r="886" spans="1:17" ht="24.95" hidden="1" customHeight="1" x14ac:dyDescent="0.25">
      <c r="A886" s="3">
        <v>3</v>
      </c>
      <c r="B886" s="3" t="s">
        <v>412</v>
      </c>
      <c r="C886" s="3" t="s">
        <v>1349</v>
      </c>
      <c r="I886" s="3">
        <v>32</v>
      </c>
      <c r="J886" s="3">
        <v>4</v>
      </c>
      <c r="K886" s="3">
        <v>1</v>
      </c>
      <c r="L886" s="3">
        <v>4</v>
      </c>
      <c r="M886" s="3">
        <v>6820</v>
      </c>
      <c r="N886" s="3">
        <v>27.28</v>
      </c>
      <c r="O886" s="3">
        <v>6.31</v>
      </c>
      <c r="P886" s="3">
        <v>172.13679999999999</v>
      </c>
      <c r="Q886" s="3">
        <v>6820</v>
      </c>
    </row>
    <row r="887" spans="1:17" ht="24.95" hidden="1" customHeight="1" x14ac:dyDescent="0.25">
      <c r="A887" s="3">
        <v>3</v>
      </c>
      <c r="B887" s="3" t="s">
        <v>412</v>
      </c>
      <c r="C887" s="3" t="s">
        <v>1350</v>
      </c>
      <c r="I887" s="3">
        <v>32</v>
      </c>
      <c r="J887" s="3">
        <v>4</v>
      </c>
      <c r="K887" s="3">
        <v>1</v>
      </c>
      <c r="L887" s="3">
        <v>4</v>
      </c>
      <c r="M887" s="3">
        <v>5190</v>
      </c>
      <c r="N887" s="3">
        <v>20.76</v>
      </c>
      <c r="O887" s="3">
        <v>6.31</v>
      </c>
      <c r="P887" s="3">
        <v>130.9956</v>
      </c>
      <c r="Q887" s="3">
        <v>5190</v>
      </c>
    </row>
    <row r="888" spans="1:17" ht="24.95" hidden="1" customHeight="1" x14ac:dyDescent="0.25">
      <c r="A888" s="3">
        <v>3</v>
      </c>
      <c r="B888" s="3" t="s">
        <v>412</v>
      </c>
      <c r="C888" s="3" t="s">
        <v>1351</v>
      </c>
      <c r="I888" s="3">
        <v>32</v>
      </c>
      <c r="J888" s="3">
        <v>2</v>
      </c>
      <c r="K888" s="3">
        <v>1</v>
      </c>
      <c r="L888" s="3">
        <v>2</v>
      </c>
      <c r="M888" s="3">
        <v>3495</v>
      </c>
      <c r="N888" s="3">
        <v>6.99</v>
      </c>
      <c r="O888" s="3">
        <v>6.31</v>
      </c>
      <c r="P888" s="3">
        <v>44.106899999999996</v>
      </c>
      <c r="Q888" s="3">
        <v>3495</v>
      </c>
    </row>
    <row r="889" spans="1:17" ht="24.95" hidden="1" customHeight="1" x14ac:dyDescent="0.25">
      <c r="A889" s="3">
        <v>3</v>
      </c>
      <c r="B889" s="3" t="s">
        <v>412</v>
      </c>
      <c r="C889" s="3" t="s">
        <v>1352</v>
      </c>
      <c r="I889" s="3">
        <v>14</v>
      </c>
      <c r="J889" s="3">
        <v>100</v>
      </c>
      <c r="K889" s="3">
        <v>1</v>
      </c>
      <c r="L889" s="3">
        <v>100</v>
      </c>
      <c r="M889" s="3">
        <v>2350</v>
      </c>
      <c r="N889" s="3">
        <v>235</v>
      </c>
      <c r="O889" s="3">
        <v>1.21</v>
      </c>
      <c r="P889" s="3">
        <v>284.34999999999997</v>
      </c>
      <c r="Q889" s="3">
        <v>2350</v>
      </c>
    </row>
    <row r="890" spans="1:17" ht="24.95" hidden="1" customHeight="1" x14ac:dyDescent="0.25">
      <c r="A890" s="3">
        <v>3</v>
      </c>
      <c r="B890" s="3" t="s">
        <v>412</v>
      </c>
      <c r="C890" s="3" t="s">
        <v>1353</v>
      </c>
      <c r="I890" s="3">
        <v>18</v>
      </c>
      <c r="J890" s="3">
        <v>6</v>
      </c>
      <c r="K890" s="3">
        <v>1</v>
      </c>
      <c r="L890" s="3">
        <v>6</v>
      </c>
      <c r="M890" s="3">
        <v>11700</v>
      </c>
      <c r="N890" s="3">
        <v>70.2</v>
      </c>
      <c r="O890" s="3">
        <v>2</v>
      </c>
      <c r="P890" s="3">
        <v>140.4</v>
      </c>
      <c r="Q890" s="3">
        <v>11700</v>
      </c>
    </row>
    <row r="891" spans="1:17" ht="24.95" hidden="1" customHeight="1" x14ac:dyDescent="0.25">
      <c r="A891" s="3">
        <v>3</v>
      </c>
      <c r="B891" s="3" t="s">
        <v>412</v>
      </c>
      <c r="C891" s="3" t="s">
        <v>1354</v>
      </c>
      <c r="I891" s="3">
        <v>18</v>
      </c>
      <c r="J891" s="3">
        <v>6</v>
      </c>
      <c r="K891" s="3">
        <v>1</v>
      </c>
      <c r="L891" s="3">
        <v>6</v>
      </c>
      <c r="M891" s="3">
        <v>6110</v>
      </c>
      <c r="N891" s="3">
        <v>36.659999999999997</v>
      </c>
      <c r="O891" s="3">
        <v>2</v>
      </c>
      <c r="P891" s="3">
        <v>73.319999999999993</v>
      </c>
      <c r="Q891" s="3">
        <v>6110</v>
      </c>
    </row>
    <row r="892" spans="1:17" ht="24.95" hidden="1" customHeight="1" x14ac:dyDescent="0.25">
      <c r="A892" s="3">
        <v>3</v>
      </c>
      <c r="B892" s="3" t="s">
        <v>412</v>
      </c>
      <c r="C892" s="3" t="s">
        <v>1355</v>
      </c>
      <c r="I892" s="3">
        <v>18</v>
      </c>
      <c r="J892" s="3">
        <v>6</v>
      </c>
      <c r="K892" s="3">
        <v>1</v>
      </c>
      <c r="L892" s="3">
        <v>6</v>
      </c>
      <c r="M892" s="3">
        <v>11700</v>
      </c>
      <c r="N892" s="3">
        <v>70.2</v>
      </c>
      <c r="O892" s="3">
        <v>2</v>
      </c>
      <c r="P892" s="3">
        <v>140.4</v>
      </c>
      <c r="Q892" s="3">
        <v>11700</v>
      </c>
    </row>
    <row r="893" spans="1:17" ht="24.95" hidden="1" customHeight="1" x14ac:dyDescent="0.25">
      <c r="A893" s="3">
        <v>3</v>
      </c>
      <c r="B893" s="3" t="s">
        <v>412</v>
      </c>
      <c r="C893" s="3" t="s">
        <v>1356</v>
      </c>
      <c r="I893" s="3">
        <v>18</v>
      </c>
      <c r="J893" s="3">
        <v>6</v>
      </c>
      <c r="K893" s="3">
        <v>1</v>
      </c>
      <c r="L893" s="3">
        <v>6</v>
      </c>
      <c r="M893" s="3">
        <v>1330</v>
      </c>
      <c r="N893" s="3">
        <v>7.98</v>
      </c>
      <c r="O893" s="3">
        <v>2</v>
      </c>
      <c r="P893" s="3">
        <v>15.96</v>
      </c>
      <c r="Q893" s="3">
        <v>1330</v>
      </c>
    </row>
    <row r="894" spans="1:17" ht="24.95" hidden="1" customHeight="1" x14ac:dyDescent="0.25">
      <c r="A894" s="3">
        <v>3</v>
      </c>
      <c r="B894" s="3" t="s">
        <v>412</v>
      </c>
      <c r="C894" s="3" t="s">
        <v>1357</v>
      </c>
      <c r="I894" s="3">
        <v>18</v>
      </c>
      <c r="J894" s="3">
        <v>6</v>
      </c>
      <c r="K894" s="3">
        <v>1</v>
      </c>
      <c r="L894" s="3">
        <v>6</v>
      </c>
      <c r="M894" s="3">
        <v>5590</v>
      </c>
      <c r="N894" s="3">
        <v>33.54</v>
      </c>
      <c r="O894" s="3">
        <v>2</v>
      </c>
      <c r="P894" s="3">
        <v>67.08</v>
      </c>
      <c r="Q894" s="3">
        <v>5590</v>
      </c>
    </row>
    <row r="895" spans="1:17" ht="24.95" hidden="1" customHeight="1" x14ac:dyDescent="0.25">
      <c r="A895" s="3">
        <v>3</v>
      </c>
      <c r="B895" s="3" t="s">
        <v>412</v>
      </c>
      <c r="C895" s="3" t="s">
        <v>1358</v>
      </c>
      <c r="I895" s="3">
        <v>32</v>
      </c>
      <c r="J895" s="3">
        <v>5</v>
      </c>
      <c r="K895" s="3">
        <v>1</v>
      </c>
      <c r="L895" s="3">
        <v>5</v>
      </c>
      <c r="M895" s="3">
        <v>1090</v>
      </c>
      <c r="N895" s="3">
        <v>5.45</v>
      </c>
      <c r="O895" s="3">
        <v>6.31</v>
      </c>
      <c r="P895" s="3">
        <v>34.389499999999998</v>
      </c>
      <c r="Q895" s="3">
        <v>1090</v>
      </c>
    </row>
    <row r="896" spans="1:17" ht="24.95" hidden="1" customHeight="1" x14ac:dyDescent="0.25">
      <c r="A896" s="3">
        <v>3</v>
      </c>
      <c r="B896" s="3" t="s">
        <v>412</v>
      </c>
      <c r="C896" s="3" t="s">
        <v>1359</v>
      </c>
      <c r="I896" s="3">
        <v>14</v>
      </c>
      <c r="J896" s="3">
        <v>384</v>
      </c>
      <c r="K896" s="3">
        <v>1</v>
      </c>
      <c r="L896" s="3">
        <v>384</v>
      </c>
      <c r="M896" s="3">
        <v>1370</v>
      </c>
      <c r="N896" s="3">
        <v>526.08000000000004</v>
      </c>
      <c r="O896" s="3">
        <v>1.21</v>
      </c>
      <c r="P896" s="3">
        <v>636.55680000000007</v>
      </c>
      <c r="Q896" s="3">
        <v>1370</v>
      </c>
    </row>
    <row r="897" spans="1:17" ht="24.95" hidden="1" customHeight="1" x14ac:dyDescent="0.25">
      <c r="A897" s="3">
        <v>3</v>
      </c>
      <c r="B897" s="3" t="s">
        <v>412</v>
      </c>
      <c r="C897" s="3" t="s">
        <v>1360</v>
      </c>
      <c r="I897" s="3">
        <v>14</v>
      </c>
      <c r="J897" s="3">
        <v>9</v>
      </c>
      <c r="K897" s="3">
        <v>1</v>
      </c>
      <c r="L897" s="3">
        <v>9</v>
      </c>
      <c r="M897" s="3">
        <v>11700</v>
      </c>
      <c r="N897" s="3">
        <v>105.3</v>
      </c>
      <c r="O897" s="3">
        <v>1.21</v>
      </c>
      <c r="P897" s="3">
        <v>127.413</v>
      </c>
      <c r="Q897" s="3">
        <v>11700</v>
      </c>
    </row>
    <row r="898" spans="1:17" ht="24.95" hidden="1" customHeight="1" x14ac:dyDescent="0.25">
      <c r="A898" s="3">
        <v>3</v>
      </c>
      <c r="B898" s="3" t="s">
        <v>412</v>
      </c>
      <c r="C898" s="3" t="s">
        <v>1361</v>
      </c>
      <c r="I898" s="3">
        <v>14</v>
      </c>
      <c r="J898" s="3">
        <v>9</v>
      </c>
      <c r="K898" s="3">
        <v>1</v>
      </c>
      <c r="L898" s="3">
        <v>9</v>
      </c>
      <c r="M898" s="3">
        <v>5770</v>
      </c>
      <c r="N898" s="3">
        <v>51.93</v>
      </c>
      <c r="O898" s="3">
        <v>1.21</v>
      </c>
      <c r="P898" s="3">
        <v>62.835299999999997</v>
      </c>
      <c r="Q898" s="3">
        <v>5770</v>
      </c>
    </row>
    <row r="899" spans="1:17" ht="24.95" hidden="1" customHeight="1" x14ac:dyDescent="0.25">
      <c r="A899" s="3">
        <v>3</v>
      </c>
      <c r="B899" s="3" t="s">
        <v>412</v>
      </c>
      <c r="C899" s="3" t="s">
        <v>1362</v>
      </c>
      <c r="I899" s="3">
        <v>14</v>
      </c>
      <c r="J899" s="3">
        <v>9</v>
      </c>
      <c r="K899" s="3">
        <v>1</v>
      </c>
      <c r="L899" s="3">
        <v>9</v>
      </c>
      <c r="M899" s="3">
        <v>790</v>
      </c>
      <c r="N899" s="3">
        <v>7.11</v>
      </c>
      <c r="O899" s="3">
        <v>1.21</v>
      </c>
      <c r="P899" s="3">
        <v>8.6030999999999995</v>
      </c>
      <c r="Q899" s="3">
        <v>790</v>
      </c>
    </row>
    <row r="900" spans="1:17" ht="24.95" hidden="1" customHeight="1" x14ac:dyDescent="0.25">
      <c r="A900" s="3">
        <v>4</v>
      </c>
      <c r="B900" s="3" t="s">
        <v>412</v>
      </c>
      <c r="C900" s="3" t="s">
        <v>1363</v>
      </c>
      <c r="I900" s="3">
        <v>14</v>
      </c>
      <c r="J900" s="3">
        <v>9</v>
      </c>
      <c r="K900" s="3">
        <v>1</v>
      </c>
      <c r="L900" s="3">
        <v>9</v>
      </c>
      <c r="M900" s="3">
        <v>5930</v>
      </c>
      <c r="N900" s="3">
        <v>53.37</v>
      </c>
      <c r="O900" s="3">
        <v>1.21</v>
      </c>
      <c r="P900" s="3">
        <v>64.577699999999993</v>
      </c>
      <c r="Q900" s="3">
        <v>5930</v>
      </c>
    </row>
    <row r="901" spans="1:17" ht="24.95" hidden="1" customHeight="1" x14ac:dyDescent="0.25">
      <c r="A901" s="3">
        <v>4</v>
      </c>
      <c r="B901" s="3" t="s">
        <v>412</v>
      </c>
      <c r="C901" s="3" t="s">
        <v>1364</v>
      </c>
      <c r="I901" s="3">
        <v>14</v>
      </c>
      <c r="J901" s="3">
        <v>9</v>
      </c>
      <c r="K901" s="3">
        <v>1</v>
      </c>
      <c r="L901" s="3">
        <v>9</v>
      </c>
      <c r="M901" s="3">
        <v>11700</v>
      </c>
      <c r="N901" s="3">
        <v>105.3</v>
      </c>
      <c r="O901" s="3">
        <v>1.21</v>
      </c>
      <c r="P901" s="3">
        <v>127.413</v>
      </c>
      <c r="Q901" s="3">
        <v>11700</v>
      </c>
    </row>
    <row r="902" spans="1:17" ht="24.95" hidden="1" customHeight="1" x14ac:dyDescent="0.25">
      <c r="A902" s="3">
        <v>4</v>
      </c>
      <c r="B902" s="3" t="s">
        <v>413</v>
      </c>
      <c r="C902" s="3" t="s">
        <v>1365</v>
      </c>
      <c r="I902" s="3">
        <v>32</v>
      </c>
      <c r="J902" s="3">
        <v>9</v>
      </c>
      <c r="K902" s="3">
        <v>1</v>
      </c>
      <c r="L902" s="3">
        <v>9</v>
      </c>
      <c r="M902" s="3">
        <v>11700</v>
      </c>
      <c r="N902" s="3">
        <v>105.3</v>
      </c>
      <c r="O902" s="3">
        <v>6.31</v>
      </c>
      <c r="P902" s="3">
        <v>664.44299999999998</v>
      </c>
      <c r="Q902" s="3">
        <v>11700</v>
      </c>
    </row>
    <row r="903" spans="1:17" ht="24.95" hidden="1" customHeight="1" x14ac:dyDescent="0.25">
      <c r="A903" s="3">
        <v>4</v>
      </c>
      <c r="B903" s="3" t="s">
        <v>413</v>
      </c>
      <c r="C903" s="3" t="s">
        <v>1366</v>
      </c>
      <c r="I903" s="3">
        <v>32</v>
      </c>
      <c r="J903" s="3">
        <v>4</v>
      </c>
      <c r="K903" s="3">
        <v>1</v>
      </c>
      <c r="L903" s="3">
        <v>4</v>
      </c>
      <c r="M903" s="3">
        <v>3590</v>
      </c>
      <c r="N903" s="3">
        <v>14.36</v>
      </c>
      <c r="O903" s="3">
        <v>6.31</v>
      </c>
      <c r="P903" s="3">
        <v>90.611599999999996</v>
      </c>
      <c r="Q903" s="3">
        <v>3590</v>
      </c>
    </row>
    <row r="904" spans="1:17" ht="24.95" hidden="1" customHeight="1" x14ac:dyDescent="0.25">
      <c r="A904" s="3">
        <v>4</v>
      </c>
      <c r="B904" s="3" t="s">
        <v>413</v>
      </c>
      <c r="C904" s="3" t="s">
        <v>1367</v>
      </c>
      <c r="I904" s="3">
        <v>32</v>
      </c>
      <c r="J904" s="3">
        <v>5</v>
      </c>
      <c r="K904" s="3">
        <v>1</v>
      </c>
      <c r="L904" s="3">
        <v>5</v>
      </c>
      <c r="M904" s="3">
        <v>3590</v>
      </c>
      <c r="N904" s="3">
        <v>17.95</v>
      </c>
      <c r="O904" s="3">
        <v>6.31</v>
      </c>
      <c r="P904" s="3">
        <v>113.26449999999998</v>
      </c>
      <c r="Q904" s="3">
        <v>3590</v>
      </c>
    </row>
    <row r="905" spans="1:17" ht="24.95" hidden="1" customHeight="1" x14ac:dyDescent="0.25">
      <c r="A905" s="3">
        <v>4</v>
      </c>
      <c r="B905" s="3" t="s">
        <v>413</v>
      </c>
      <c r="C905" s="3" t="s">
        <v>1368</v>
      </c>
      <c r="I905" s="3">
        <v>32</v>
      </c>
      <c r="J905" s="3">
        <v>5</v>
      </c>
      <c r="K905" s="3">
        <v>1</v>
      </c>
      <c r="L905" s="3">
        <v>5</v>
      </c>
      <c r="M905" s="3">
        <v>11700</v>
      </c>
      <c r="N905" s="3">
        <v>58.5</v>
      </c>
      <c r="O905" s="3">
        <v>6.31</v>
      </c>
      <c r="P905" s="3">
        <v>369.13499999999999</v>
      </c>
      <c r="Q905" s="3">
        <v>11700</v>
      </c>
    </row>
    <row r="906" spans="1:17" ht="24.95" hidden="1" customHeight="1" x14ac:dyDescent="0.25">
      <c r="A906" s="3">
        <v>4</v>
      </c>
      <c r="B906" s="3" t="s">
        <v>413</v>
      </c>
      <c r="C906" s="3" t="s">
        <v>1369</v>
      </c>
      <c r="I906" s="3">
        <v>32</v>
      </c>
      <c r="J906" s="3">
        <v>4</v>
      </c>
      <c r="K906" s="3">
        <v>1</v>
      </c>
      <c r="L906" s="3">
        <v>4</v>
      </c>
      <c r="M906" s="3">
        <v>11700</v>
      </c>
      <c r="N906" s="3">
        <v>46.8</v>
      </c>
      <c r="O906" s="3">
        <v>6.31</v>
      </c>
      <c r="P906" s="3">
        <v>295.30799999999994</v>
      </c>
      <c r="Q906" s="3">
        <v>11700</v>
      </c>
    </row>
    <row r="907" spans="1:17" ht="24.95" hidden="1" customHeight="1" x14ac:dyDescent="0.25">
      <c r="A907" s="3">
        <v>4</v>
      </c>
      <c r="B907" s="3" t="s">
        <v>413</v>
      </c>
      <c r="C907" s="3" t="s">
        <v>1370</v>
      </c>
      <c r="I907" s="3">
        <v>32</v>
      </c>
      <c r="J907" s="3">
        <v>2</v>
      </c>
      <c r="K907" s="3">
        <v>1</v>
      </c>
      <c r="L907" s="3">
        <v>2</v>
      </c>
      <c r="M907" s="3">
        <v>11700</v>
      </c>
      <c r="N907" s="3">
        <v>23.4</v>
      </c>
      <c r="O907" s="3">
        <v>6.31</v>
      </c>
      <c r="P907" s="3">
        <v>147.65399999999997</v>
      </c>
      <c r="Q907" s="3">
        <v>11700</v>
      </c>
    </row>
    <row r="908" spans="1:17" ht="24.95" hidden="1" customHeight="1" x14ac:dyDescent="0.25">
      <c r="A908" s="3">
        <v>4</v>
      </c>
      <c r="B908" s="3" t="s">
        <v>413</v>
      </c>
      <c r="C908" s="3" t="s">
        <v>1371</v>
      </c>
      <c r="I908" s="3">
        <v>32</v>
      </c>
      <c r="J908" s="3">
        <v>1</v>
      </c>
      <c r="K908" s="3">
        <v>1</v>
      </c>
      <c r="L908" s="3">
        <v>1</v>
      </c>
      <c r="M908" s="3">
        <v>3490</v>
      </c>
      <c r="N908" s="3">
        <v>3.49</v>
      </c>
      <c r="O908" s="3">
        <v>6.31</v>
      </c>
      <c r="P908" s="3">
        <v>22.021899999999999</v>
      </c>
      <c r="Q908" s="3">
        <v>3490</v>
      </c>
    </row>
    <row r="909" spans="1:17" ht="24.95" hidden="1" customHeight="1" x14ac:dyDescent="0.25">
      <c r="A909" s="3">
        <v>4</v>
      </c>
      <c r="B909" s="3" t="s">
        <v>413</v>
      </c>
      <c r="C909" s="3" t="s">
        <v>1372</v>
      </c>
      <c r="I909" s="3">
        <v>32</v>
      </c>
      <c r="J909" s="3">
        <v>1</v>
      </c>
      <c r="K909" s="3">
        <v>1</v>
      </c>
      <c r="L909" s="3">
        <v>1</v>
      </c>
      <c r="M909" s="3">
        <v>3490</v>
      </c>
      <c r="N909" s="3">
        <v>3.49</v>
      </c>
      <c r="O909" s="3">
        <v>6.31</v>
      </c>
      <c r="P909" s="3">
        <v>22.021899999999999</v>
      </c>
      <c r="Q909" s="3">
        <v>3490</v>
      </c>
    </row>
    <row r="910" spans="1:17" ht="24.95" hidden="1" customHeight="1" x14ac:dyDescent="0.25">
      <c r="A910" s="3">
        <v>4</v>
      </c>
      <c r="B910" s="3" t="s">
        <v>413</v>
      </c>
      <c r="C910" s="3" t="s">
        <v>1373</v>
      </c>
      <c r="I910" s="3">
        <v>32</v>
      </c>
      <c r="J910" s="3">
        <v>1</v>
      </c>
      <c r="K910" s="3">
        <v>1</v>
      </c>
      <c r="L910" s="3">
        <v>1</v>
      </c>
      <c r="M910" s="3">
        <v>11700</v>
      </c>
      <c r="N910" s="3">
        <v>11.7</v>
      </c>
      <c r="O910" s="3">
        <v>6.31</v>
      </c>
      <c r="P910" s="3">
        <v>73.826999999999984</v>
      </c>
      <c r="Q910" s="3">
        <v>11700</v>
      </c>
    </row>
    <row r="911" spans="1:17" ht="24.95" hidden="1" customHeight="1" x14ac:dyDescent="0.25">
      <c r="A911" s="3">
        <v>4</v>
      </c>
      <c r="B911" s="3" t="s">
        <v>413</v>
      </c>
      <c r="C911" s="3" t="s">
        <v>1374</v>
      </c>
      <c r="I911" s="3">
        <v>32</v>
      </c>
      <c r="J911" s="3">
        <v>1</v>
      </c>
      <c r="K911" s="3">
        <v>1</v>
      </c>
      <c r="L911" s="3">
        <v>1</v>
      </c>
      <c r="M911" s="3">
        <v>11700</v>
      </c>
      <c r="N911" s="3">
        <v>11.7</v>
      </c>
      <c r="O911" s="3">
        <v>6.31</v>
      </c>
      <c r="P911" s="3">
        <v>73.826999999999984</v>
      </c>
      <c r="Q911" s="3">
        <v>11700</v>
      </c>
    </row>
    <row r="912" spans="1:17" ht="24.95" hidden="1" customHeight="1" x14ac:dyDescent="0.25">
      <c r="A912" s="3">
        <v>4</v>
      </c>
      <c r="B912" s="3" t="s">
        <v>413</v>
      </c>
      <c r="C912" s="3" t="s">
        <v>1375</v>
      </c>
      <c r="I912" s="3">
        <v>32</v>
      </c>
      <c r="J912" s="3">
        <v>9</v>
      </c>
      <c r="K912" s="3">
        <v>1</v>
      </c>
      <c r="L912" s="3">
        <v>9</v>
      </c>
      <c r="M912" s="3">
        <v>11700</v>
      </c>
      <c r="N912" s="3">
        <v>105.3</v>
      </c>
      <c r="O912" s="3">
        <v>6.31</v>
      </c>
      <c r="P912" s="3">
        <v>664.44299999999998</v>
      </c>
      <c r="Q912" s="3">
        <v>11700</v>
      </c>
    </row>
    <row r="913" spans="1:17" ht="24.95" hidden="1" customHeight="1" x14ac:dyDescent="0.25">
      <c r="A913" s="3">
        <v>4</v>
      </c>
      <c r="B913" s="3" t="s">
        <v>413</v>
      </c>
      <c r="C913" s="3" t="s">
        <v>1376</v>
      </c>
      <c r="I913" s="3">
        <v>32</v>
      </c>
      <c r="J913" s="3">
        <v>4</v>
      </c>
      <c r="K913" s="3">
        <v>1</v>
      </c>
      <c r="L913" s="3">
        <v>4</v>
      </c>
      <c r="M913" s="3">
        <v>6440</v>
      </c>
      <c r="N913" s="3">
        <v>25.76</v>
      </c>
      <c r="O913" s="3">
        <v>6.31</v>
      </c>
      <c r="P913" s="3">
        <v>162.54560000000001</v>
      </c>
      <c r="Q913" s="3">
        <v>6440</v>
      </c>
    </row>
    <row r="914" spans="1:17" ht="24.95" hidden="1" customHeight="1" x14ac:dyDescent="0.25">
      <c r="A914" s="3">
        <v>4</v>
      </c>
      <c r="B914" s="3" t="s">
        <v>413</v>
      </c>
      <c r="C914" s="3" t="s">
        <v>1377</v>
      </c>
      <c r="I914" s="3">
        <v>32</v>
      </c>
      <c r="J914" s="3">
        <v>5</v>
      </c>
      <c r="K914" s="3">
        <v>1</v>
      </c>
      <c r="L914" s="3">
        <v>5</v>
      </c>
      <c r="M914" s="3">
        <v>7090</v>
      </c>
      <c r="N914" s="3">
        <v>35.450000000000003</v>
      </c>
      <c r="O914" s="3">
        <v>6.31</v>
      </c>
      <c r="P914" s="3">
        <v>223.68950000000001</v>
      </c>
      <c r="Q914" s="3">
        <v>7090</v>
      </c>
    </row>
    <row r="915" spans="1:17" ht="24.95" hidden="1" customHeight="1" x14ac:dyDescent="0.25">
      <c r="A915" s="3">
        <v>4</v>
      </c>
      <c r="B915" s="3" t="s">
        <v>413</v>
      </c>
      <c r="C915" s="3" t="s">
        <v>1378</v>
      </c>
      <c r="I915" s="3">
        <v>32</v>
      </c>
      <c r="J915" s="3">
        <v>5</v>
      </c>
      <c r="K915" s="3">
        <v>1</v>
      </c>
      <c r="L915" s="3">
        <v>5</v>
      </c>
      <c r="M915" s="3">
        <v>8200</v>
      </c>
      <c r="N915" s="3">
        <v>41</v>
      </c>
      <c r="O915" s="3">
        <v>6.31</v>
      </c>
      <c r="P915" s="3">
        <v>258.70999999999998</v>
      </c>
      <c r="Q915" s="3">
        <v>8200</v>
      </c>
    </row>
    <row r="916" spans="1:17" ht="24.95" hidden="1" customHeight="1" x14ac:dyDescent="0.25">
      <c r="A916" s="3">
        <v>4</v>
      </c>
      <c r="B916" s="3" t="s">
        <v>413</v>
      </c>
      <c r="C916" s="3" t="s">
        <v>1379</v>
      </c>
      <c r="I916" s="3">
        <v>32</v>
      </c>
      <c r="J916" s="3">
        <v>4</v>
      </c>
      <c r="K916" s="3">
        <v>1</v>
      </c>
      <c r="L916" s="3">
        <v>4</v>
      </c>
      <c r="M916" s="3">
        <v>8850</v>
      </c>
      <c r="N916" s="3">
        <v>35.4</v>
      </c>
      <c r="O916" s="3">
        <v>6.31</v>
      </c>
      <c r="P916" s="3">
        <v>223.37399999999997</v>
      </c>
      <c r="Q916" s="3">
        <v>8850</v>
      </c>
    </row>
    <row r="917" spans="1:17" ht="24.95" hidden="1" customHeight="1" x14ac:dyDescent="0.25">
      <c r="A917" s="3">
        <v>4</v>
      </c>
      <c r="B917" s="3" t="s">
        <v>413</v>
      </c>
      <c r="C917" s="3" t="s">
        <v>1380</v>
      </c>
      <c r="I917" s="3">
        <v>32</v>
      </c>
      <c r="J917" s="3">
        <v>2</v>
      </c>
      <c r="K917" s="3">
        <v>1</v>
      </c>
      <c r="L917" s="3">
        <v>2</v>
      </c>
      <c r="M917" s="3">
        <v>11700</v>
      </c>
      <c r="N917" s="3">
        <v>23.4</v>
      </c>
      <c r="O917" s="3">
        <v>6.31</v>
      </c>
      <c r="P917" s="3">
        <v>147.65399999999997</v>
      </c>
      <c r="Q917" s="3">
        <v>11700</v>
      </c>
    </row>
    <row r="918" spans="1:17" ht="24.95" hidden="1" customHeight="1" x14ac:dyDescent="0.25">
      <c r="A918" s="3">
        <v>4</v>
      </c>
      <c r="B918" s="3" t="s">
        <v>413</v>
      </c>
      <c r="C918" s="3" t="s">
        <v>1381</v>
      </c>
      <c r="I918" s="3">
        <v>32</v>
      </c>
      <c r="J918" s="3">
        <v>1</v>
      </c>
      <c r="K918" s="3">
        <v>1</v>
      </c>
      <c r="L918" s="3">
        <v>1</v>
      </c>
      <c r="M918" s="3">
        <v>6390</v>
      </c>
      <c r="N918" s="3">
        <v>6.39</v>
      </c>
      <c r="O918" s="3">
        <v>6.31</v>
      </c>
      <c r="P918" s="3">
        <v>40.320899999999995</v>
      </c>
      <c r="Q918" s="3">
        <v>6390</v>
      </c>
    </row>
    <row r="919" spans="1:17" ht="24.95" hidden="1" customHeight="1" x14ac:dyDescent="0.25">
      <c r="A919" s="3">
        <v>4</v>
      </c>
      <c r="B919" s="3" t="s">
        <v>413</v>
      </c>
      <c r="C919" s="3" t="s">
        <v>1382</v>
      </c>
      <c r="I919" s="3">
        <v>32</v>
      </c>
      <c r="J919" s="3">
        <v>1</v>
      </c>
      <c r="K919" s="3">
        <v>1</v>
      </c>
      <c r="L919" s="3">
        <v>1</v>
      </c>
      <c r="M919" s="3">
        <v>7040</v>
      </c>
      <c r="N919" s="3">
        <v>7.04</v>
      </c>
      <c r="O919" s="3">
        <v>6.31</v>
      </c>
      <c r="P919" s="3">
        <v>44.422399999999996</v>
      </c>
      <c r="Q919" s="3">
        <v>7040</v>
      </c>
    </row>
    <row r="920" spans="1:17" ht="24.95" hidden="1" customHeight="1" x14ac:dyDescent="0.25">
      <c r="A920" s="3">
        <v>4</v>
      </c>
      <c r="B920" s="3" t="s">
        <v>413</v>
      </c>
      <c r="C920" s="3" t="s">
        <v>1383</v>
      </c>
      <c r="I920" s="3">
        <v>32</v>
      </c>
      <c r="J920" s="3">
        <v>1</v>
      </c>
      <c r="K920" s="3">
        <v>1</v>
      </c>
      <c r="L920" s="3">
        <v>1</v>
      </c>
      <c r="M920" s="3">
        <v>8150</v>
      </c>
      <c r="N920" s="3">
        <v>8.15</v>
      </c>
      <c r="O920" s="3">
        <v>6.31</v>
      </c>
      <c r="P920" s="3">
        <v>51.426499999999997</v>
      </c>
      <c r="Q920" s="3">
        <v>8150</v>
      </c>
    </row>
    <row r="921" spans="1:17" ht="24.95" hidden="1" customHeight="1" x14ac:dyDescent="0.25">
      <c r="A921" s="3">
        <v>4</v>
      </c>
      <c r="B921" s="3" t="s">
        <v>413</v>
      </c>
      <c r="C921" s="3" t="s">
        <v>1384</v>
      </c>
      <c r="I921" s="3">
        <v>32</v>
      </c>
      <c r="J921" s="3">
        <v>1</v>
      </c>
      <c r="K921" s="3">
        <v>1</v>
      </c>
      <c r="L921" s="3">
        <v>1</v>
      </c>
      <c r="M921" s="3">
        <v>8800</v>
      </c>
      <c r="N921" s="3">
        <v>8.8000000000000007</v>
      </c>
      <c r="O921" s="3">
        <v>6.31</v>
      </c>
      <c r="P921" s="3">
        <v>55.527999999999999</v>
      </c>
      <c r="Q921" s="3">
        <v>8800</v>
      </c>
    </row>
    <row r="922" spans="1:17" ht="24.95" hidden="1" customHeight="1" x14ac:dyDescent="0.25">
      <c r="A922" s="3">
        <v>4</v>
      </c>
      <c r="B922" s="3" t="s">
        <v>413</v>
      </c>
      <c r="C922" s="3" t="s">
        <v>1385</v>
      </c>
      <c r="I922" s="3">
        <v>16</v>
      </c>
      <c r="J922" s="3">
        <v>129</v>
      </c>
      <c r="K922" s="3">
        <v>1</v>
      </c>
      <c r="L922" s="3">
        <v>129</v>
      </c>
      <c r="M922" s="3">
        <v>2330</v>
      </c>
      <c r="N922" s="3">
        <v>300.57</v>
      </c>
      <c r="O922" s="3">
        <v>1.58</v>
      </c>
      <c r="P922" s="3">
        <v>474.9006</v>
      </c>
      <c r="Q922" s="3">
        <v>2330</v>
      </c>
    </row>
    <row r="923" spans="1:17" ht="24.95" hidden="1" customHeight="1" x14ac:dyDescent="0.25">
      <c r="A923" s="3">
        <v>4</v>
      </c>
      <c r="B923" s="3" t="s">
        <v>413</v>
      </c>
      <c r="C923" s="3" t="s">
        <v>1386</v>
      </c>
      <c r="I923" s="3">
        <v>16</v>
      </c>
      <c r="J923" s="3">
        <v>129</v>
      </c>
      <c r="K923" s="3">
        <v>1</v>
      </c>
      <c r="L923" s="3">
        <v>129</v>
      </c>
      <c r="M923" s="3">
        <v>5670</v>
      </c>
      <c r="N923" s="3">
        <v>731.43</v>
      </c>
      <c r="O923" s="3">
        <v>1.58</v>
      </c>
      <c r="P923" s="3">
        <v>1155.6594</v>
      </c>
      <c r="Q923" s="3">
        <v>5670</v>
      </c>
    </row>
    <row r="924" spans="1:17" ht="24.95" hidden="1" customHeight="1" x14ac:dyDescent="0.25">
      <c r="A924" s="3">
        <v>4</v>
      </c>
      <c r="B924" s="3" t="s">
        <v>413</v>
      </c>
      <c r="C924" s="3" t="s">
        <v>1387</v>
      </c>
      <c r="I924" s="3">
        <v>16</v>
      </c>
      <c r="J924" s="3">
        <v>387</v>
      </c>
      <c r="K924" s="3">
        <v>1</v>
      </c>
      <c r="L924" s="3">
        <v>387</v>
      </c>
      <c r="M924" s="3">
        <v>2710</v>
      </c>
      <c r="N924" s="3">
        <v>1048.77</v>
      </c>
      <c r="O924" s="3">
        <v>1.58</v>
      </c>
      <c r="P924" s="3">
        <v>1657.0566000000001</v>
      </c>
      <c r="Q924" s="3">
        <v>2710</v>
      </c>
    </row>
    <row r="925" spans="1:17" ht="24.95" hidden="1" customHeight="1" x14ac:dyDescent="0.25">
      <c r="A925" s="3">
        <v>4</v>
      </c>
      <c r="B925" s="3" t="s">
        <v>413</v>
      </c>
      <c r="C925" s="3" t="s">
        <v>1388</v>
      </c>
      <c r="I925" s="3">
        <v>14</v>
      </c>
      <c r="J925" s="3">
        <v>6</v>
      </c>
      <c r="K925" s="3">
        <v>1</v>
      </c>
      <c r="L925" s="3">
        <v>6</v>
      </c>
      <c r="M925" s="3">
        <v>8480</v>
      </c>
      <c r="N925" s="3">
        <v>50.88</v>
      </c>
      <c r="O925" s="3">
        <v>1.21</v>
      </c>
      <c r="P925" s="3">
        <v>61.564799999999998</v>
      </c>
      <c r="Q925" s="3">
        <v>8480</v>
      </c>
    </row>
    <row r="926" spans="1:17" ht="24.95" hidden="1" customHeight="1" x14ac:dyDescent="0.25">
      <c r="A926" s="3">
        <v>4</v>
      </c>
      <c r="B926" s="3" t="s">
        <v>413</v>
      </c>
      <c r="C926" s="3" t="s">
        <v>1389</v>
      </c>
      <c r="I926" s="3">
        <v>14</v>
      </c>
      <c r="J926" s="3">
        <v>6</v>
      </c>
      <c r="K926" s="3">
        <v>1</v>
      </c>
      <c r="L926" s="3">
        <v>6</v>
      </c>
      <c r="M926" s="3">
        <v>11700</v>
      </c>
      <c r="N926" s="3">
        <v>70.2</v>
      </c>
      <c r="O926" s="3">
        <v>1.21</v>
      </c>
      <c r="P926" s="3">
        <v>84.942000000000007</v>
      </c>
      <c r="Q926" s="3">
        <v>11700</v>
      </c>
    </row>
    <row r="927" spans="1:17" ht="24.95" hidden="1" customHeight="1" x14ac:dyDescent="0.25">
      <c r="A927" s="3">
        <v>4</v>
      </c>
      <c r="B927" s="3" t="s">
        <v>413</v>
      </c>
      <c r="C927" s="3" t="s">
        <v>1390</v>
      </c>
      <c r="I927" s="3">
        <v>14</v>
      </c>
      <c r="J927" s="3">
        <v>6</v>
      </c>
      <c r="K927" s="3">
        <v>1</v>
      </c>
      <c r="L927" s="3">
        <v>6</v>
      </c>
      <c r="M927" s="3">
        <v>11700</v>
      </c>
      <c r="N927" s="3">
        <v>70.2</v>
      </c>
      <c r="O927" s="3">
        <v>1.21</v>
      </c>
      <c r="P927" s="3">
        <v>84.942000000000007</v>
      </c>
      <c r="Q927" s="3">
        <v>11700</v>
      </c>
    </row>
    <row r="928" spans="1:17" ht="24.95" hidden="1" customHeight="1" x14ac:dyDescent="0.25">
      <c r="A928" s="3">
        <v>4</v>
      </c>
      <c r="B928" s="3" t="s">
        <v>413</v>
      </c>
      <c r="C928" s="3" t="s">
        <v>1391</v>
      </c>
      <c r="I928" s="3">
        <v>14</v>
      </c>
      <c r="J928" s="3">
        <v>6</v>
      </c>
      <c r="K928" s="3">
        <v>1</v>
      </c>
      <c r="L928" s="3">
        <v>6</v>
      </c>
      <c r="M928" s="3">
        <v>5890</v>
      </c>
      <c r="N928" s="3">
        <v>35.340000000000003</v>
      </c>
      <c r="O928" s="3">
        <v>1.21</v>
      </c>
      <c r="P928" s="3">
        <v>42.761400000000002</v>
      </c>
      <c r="Q928" s="3">
        <v>5890</v>
      </c>
    </row>
    <row r="929" spans="1:17" ht="24.95" hidden="1" customHeight="1" x14ac:dyDescent="0.25">
      <c r="A929" s="3">
        <v>4</v>
      </c>
      <c r="B929" s="3" t="s">
        <v>413</v>
      </c>
      <c r="C929" s="3" t="s">
        <v>1392</v>
      </c>
      <c r="I929" s="3">
        <v>14</v>
      </c>
      <c r="J929" s="3">
        <v>6</v>
      </c>
      <c r="K929" s="3">
        <v>1</v>
      </c>
      <c r="L929" s="3">
        <v>6</v>
      </c>
      <c r="M929" s="3">
        <v>3220</v>
      </c>
      <c r="N929" s="3">
        <v>19.32</v>
      </c>
      <c r="O929" s="3">
        <v>1.21</v>
      </c>
      <c r="P929" s="3">
        <v>23.377199999999998</v>
      </c>
      <c r="Q929" s="3">
        <v>3220</v>
      </c>
    </row>
    <row r="930" spans="1:17" ht="24.95" hidden="1" customHeight="1" x14ac:dyDescent="0.25">
      <c r="A930" s="3">
        <v>4</v>
      </c>
      <c r="B930" s="3" t="s">
        <v>413</v>
      </c>
      <c r="C930" s="3" t="s">
        <v>1393</v>
      </c>
      <c r="I930" s="3">
        <v>10</v>
      </c>
      <c r="J930" s="3">
        <v>198</v>
      </c>
      <c r="K930" s="3">
        <v>1</v>
      </c>
      <c r="L930" s="3">
        <v>198</v>
      </c>
      <c r="M930" s="3">
        <v>1090</v>
      </c>
      <c r="N930" s="3">
        <v>215.82</v>
      </c>
      <c r="O930" s="3">
        <v>0.61699999999999999</v>
      </c>
      <c r="P930" s="3">
        <v>133.16093999999998</v>
      </c>
      <c r="Q930" s="3">
        <v>1090</v>
      </c>
    </row>
    <row r="931" spans="1:17" ht="24.95" hidden="1" customHeight="1" x14ac:dyDescent="0.25">
      <c r="A931" s="3">
        <v>4</v>
      </c>
      <c r="B931" s="3" t="s">
        <v>413</v>
      </c>
      <c r="C931" s="3" t="s">
        <v>1394</v>
      </c>
      <c r="I931" s="3">
        <v>14</v>
      </c>
      <c r="J931" s="3">
        <v>9</v>
      </c>
      <c r="K931" s="3">
        <v>1</v>
      </c>
      <c r="L931" s="3">
        <v>9</v>
      </c>
      <c r="M931" s="3">
        <v>3220</v>
      </c>
      <c r="N931" s="3">
        <v>28.98</v>
      </c>
      <c r="O931" s="3">
        <v>1.21</v>
      </c>
      <c r="P931" s="3">
        <v>35.065800000000003</v>
      </c>
      <c r="Q931" s="3">
        <v>3220</v>
      </c>
    </row>
    <row r="932" spans="1:17" ht="24.95" hidden="1" customHeight="1" x14ac:dyDescent="0.25">
      <c r="A932" s="3">
        <v>4</v>
      </c>
      <c r="B932" s="3" t="s">
        <v>413</v>
      </c>
      <c r="C932" s="3" t="s">
        <v>1395</v>
      </c>
      <c r="I932" s="3">
        <v>14</v>
      </c>
      <c r="J932" s="3">
        <v>9</v>
      </c>
      <c r="K932" s="3">
        <v>1</v>
      </c>
      <c r="L932" s="3">
        <v>9</v>
      </c>
      <c r="M932" s="3">
        <v>5890</v>
      </c>
      <c r="N932" s="3">
        <v>53.01</v>
      </c>
      <c r="O932" s="3">
        <v>1.21</v>
      </c>
      <c r="P932" s="3">
        <v>64.142099999999999</v>
      </c>
      <c r="Q932" s="3">
        <v>5890</v>
      </c>
    </row>
    <row r="933" spans="1:17" ht="24.95" hidden="1" customHeight="1" x14ac:dyDescent="0.25">
      <c r="A933" s="3">
        <v>4</v>
      </c>
      <c r="B933" s="3" t="s">
        <v>413</v>
      </c>
      <c r="C933" s="3" t="s">
        <v>1396</v>
      </c>
      <c r="I933" s="3">
        <v>14</v>
      </c>
      <c r="J933" s="3">
        <v>9</v>
      </c>
      <c r="K933" s="3">
        <v>1</v>
      </c>
      <c r="L933" s="3">
        <v>9</v>
      </c>
      <c r="M933" s="3">
        <v>8480</v>
      </c>
      <c r="N933" s="3">
        <v>76.319999999999993</v>
      </c>
      <c r="O933" s="3">
        <v>1.21</v>
      </c>
      <c r="P933" s="3">
        <v>92.347199999999987</v>
      </c>
      <c r="Q933" s="3">
        <v>8480</v>
      </c>
    </row>
    <row r="934" spans="1:17" ht="24.95" hidden="1" customHeight="1" x14ac:dyDescent="0.25">
      <c r="A934" s="3">
        <v>4</v>
      </c>
      <c r="B934" s="3" t="s">
        <v>413</v>
      </c>
      <c r="C934" s="3" t="s">
        <v>1397</v>
      </c>
      <c r="I934" s="3">
        <v>14</v>
      </c>
      <c r="J934" s="3">
        <v>18</v>
      </c>
      <c r="K934" s="3">
        <v>1</v>
      </c>
      <c r="L934" s="3">
        <v>18</v>
      </c>
      <c r="M934" s="3">
        <v>11700</v>
      </c>
      <c r="N934" s="3">
        <v>210.6</v>
      </c>
      <c r="O934" s="3">
        <v>1.21</v>
      </c>
      <c r="P934" s="3">
        <v>254.82599999999999</v>
      </c>
      <c r="Q934" s="3">
        <v>11700</v>
      </c>
    </row>
    <row r="935" spans="1:17" ht="24.95" hidden="1" customHeight="1" x14ac:dyDescent="0.25">
      <c r="A935" s="3">
        <v>4</v>
      </c>
      <c r="B935" s="3" t="s">
        <v>414</v>
      </c>
      <c r="C935" s="3" t="s">
        <v>1398</v>
      </c>
      <c r="I935" s="3">
        <v>32</v>
      </c>
      <c r="J935" s="3">
        <v>3</v>
      </c>
      <c r="K935" s="3">
        <v>1</v>
      </c>
      <c r="L935" s="3">
        <v>3</v>
      </c>
      <c r="M935" s="3">
        <v>11700</v>
      </c>
      <c r="N935" s="3">
        <v>35.1</v>
      </c>
      <c r="O935" s="3">
        <v>6.31</v>
      </c>
      <c r="P935" s="3">
        <v>221.48099999999999</v>
      </c>
      <c r="Q935" s="3">
        <v>11700</v>
      </c>
    </row>
    <row r="936" spans="1:17" ht="24.95" hidden="1" customHeight="1" x14ac:dyDescent="0.25">
      <c r="A936" s="3">
        <v>4</v>
      </c>
      <c r="B936" s="3" t="s">
        <v>414</v>
      </c>
      <c r="C936" s="3" t="s">
        <v>1399</v>
      </c>
      <c r="I936" s="3">
        <v>32</v>
      </c>
      <c r="J936" s="3">
        <v>3</v>
      </c>
      <c r="K936" s="3">
        <v>1</v>
      </c>
      <c r="L936" s="3">
        <v>3</v>
      </c>
      <c r="M936" s="3">
        <v>3490</v>
      </c>
      <c r="N936" s="3">
        <v>10.47</v>
      </c>
      <c r="O936" s="3">
        <v>6.31</v>
      </c>
      <c r="P936" s="3">
        <v>66.065700000000007</v>
      </c>
      <c r="Q936" s="3">
        <v>3490</v>
      </c>
    </row>
    <row r="937" spans="1:17" ht="24.95" hidden="1" customHeight="1" x14ac:dyDescent="0.25">
      <c r="A937" s="3">
        <v>4</v>
      </c>
      <c r="B937" s="3" t="s">
        <v>414</v>
      </c>
      <c r="C937" s="3" t="s">
        <v>1400</v>
      </c>
      <c r="I937" s="3">
        <v>32</v>
      </c>
      <c r="J937" s="3">
        <v>4</v>
      </c>
      <c r="K937" s="3">
        <v>1</v>
      </c>
      <c r="L937" s="3">
        <v>4</v>
      </c>
      <c r="M937" s="3">
        <v>11700</v>
      </c>
      <c r="N937" s="3">
        <v>46.8</v>
      </c>
      <c r="O937" s="3">
        <v>6.31</v>
      </c>
      <c r="P937" s="3">
        <v>295.30799999999994</v>
      </c>
      <c r="Q937" s="3">
        <v>11700</v>
      </c>
    </row>
    <row r="938" spans="1:17" ht="24.95" hidden="1" customHeight="1" x14ac:dyDescent="0.25">
      <c r="A938" s="3">
        <v>4</v>
      </c>
      <c r="B938" s="3" t="s">
        <v>414</v>
      </c>
      <c r="C938" s="3" t="s">
        <v>1401</v>
      </c>
      <c r="I938" s="3">
        <v>32</v>
      </c>
      <c r="J938" s="3">
        <v>4</v>
      </c>
      <c r="K938" s="3">
        <v>1</v>
      </c>
      <c r="L938" s="3">
        <v>4</v>
      </c>
      <c r="M938" s="3">
        <v>11700</v>
      </c>
      <c r="N938" s="3">
        <v>46.8</v>
      </c>
      <c r="O938" s="3">
        <v>6.31</v>
      </c>
      <c r="P938" s="3">
        <v>295.30799999999994</v>
      </c>
      <c r="Q938" s="3">
        <v>11700</v>
      </c>
    </row>
    <row r="939" spans="1:17" ht="24.95" hidden="1" customHeight="1" x14ac:dyDescent="0.25">
      <c r="A939" s="3">
        <v>4</v>
      </c>
      <c r="B939" s="3" t="s">
        <v>414</v>
      </c>
      <c r="C939" s="3" t="s">
        <v>1402</v>
      </c>
      <c r="I939" s="3">
        <v>32</v>
      </c>
      <c r="J939" s="3">
        <v>4</v>
      </c>
      <c r="K939" s="3">
        <v>1</v>
      </c>
      <c r="L939" s="3">
        <v>4</v>
      </c>
      <c r="M939" s="3">
        <v>3490</v>
      </c>
      <c r="N939" s="3">
        <v>13.96</v>
      </c>
      <c r="O939" s="3">
        <v>6.31</v>
      </c>
      <c r="P939" s="3">
        <v>88.087599999999995</v>
      </c>
      <c r="Q939" s="3">
        <v>3490</v>
      </c>
    </row>
    <row r="940" spans="1:17" ht="24.95" hidden="1" customHeight="1" x14ac:dyDescent="0.25">
      <c r="A940" s="3">
        <v>4</v>
      </c>
      <c r="B940" s="3" t="s">
        <v>414</v>
      </c>
      <c r="C940" s="3" t="s">
        <v>1403</v>
      </c>
      <c r="I940" s="3">
        <v>32</v>
      </c>
      <c r="J940" s="3">
        <v>4</v>
      </c>
      <c r="K940" s="3">
        <v>1</v>
      </c>
      <c r="L940" s="3">
        <v>4</v>
      </c>
      <c r="M940" s="3">
        <v>11700</v>
      </c>
      <c r="N940" s="3">
        <v>46.8</v>
      </c>
      <c r="O940" s="3">
        <v>6.31</v>
      </c>
      <c r="P940" s="3">
        <v>295.30799999999994</v>
      </c>
      <c r="Q940" s="3">
        <v>11700</v>
      </c>
    </row>
    <row r="941" spans="1:17" ht="24.95" hidden="1" customHeight="1" x14ac:dyDescent="0.25">
      <c r="A941" s="3">
        <v>4</v>
      </c>
      <c r="B941" s="3" t="s">
        <v>414</v>
      </c>
      <c r="C941" s="3" t="s">
        <v>1404</v>
      </c>
      <c r="I941" s="3">
        <v>32</v>
      </c>
      <c r="J941" s="3">
        <v>7</v>
      </c>
      <c r="K941" s="3">
        <v>1</v>
      </c>
      <c r="L941" s="3">
        <v>7</v>
      </c>
      <c r="M941" s="3">
        <v>11700</v>
      </c>
      <c r="N941" s="3">
        <v>81.900000000000006</v>
      </c>
      <c r="O941" s="3">
        <v>6.31</v>
      </c>
      <c r="P941" s="3">
        <v>516.78899999999999</v>
      </c>
      <c r="Q941" s="3">
        <v>11700</v>
      </c>
    </row>
    <row r="942" spans="1:17" ht="24.95" hidden="1" customHeight="1" x14ac:dyDescent="0.25">
      <c r="A942" s="3">
        <v>4</v>
      </c>
      <c r="B942" s="3" t="s">
        <v>414</v>
      </c>
      <c r="C942" s="3" t="s">
        <v>1405</v>
      </c>
      <c r="I942" s="3">
        <v>32</v>
      </c>
      <c r="J942" s="3">
        <v>4</v>
      </c>
      <c r="K942" s="3">
        <v>1</v>
      </c>
      <c r="L942" s="3">
        <v>4</v>
      </c>
      <c r="M942" s="3">
        <v>3390</v>
      </c>
      <c r="N942" s="3">
        <v>13.56</v>
      </c>
      <c r="O942" s="3">
        <v>6.31</v>
      </c>
      <c r="P942" s="3">
        <v>85.563599999999994</v>
      </c>
      <c r="Q942" s="3">
        <v>3390</v>
      </c>
    </row>
    <row r="943" spans="1:17" ht="24.95" hidden="1" customHeight="1" x14ac:dyDescent="0.25">
      <c r="A943" s="3">
        <v>4</v>
      </c>
      <c r="B943" s="3" t="s">
        <v>414</v>
      </c>
      <c r="C943" s="3" t="s">
        <v>1406</v>
      </c>
      <c r="I943" s="3">
        <v>32</v>
      </c>
      <c r="J943" s="3">
        <v>3</v>
      </c>
      <c r="K943" s="3">
        <v>1</v>
      </c>
      <c r="L943" s="3">
        <v>3</v>
      </c>
      <c r="M943" s="3">
        <v>3390</v>
      </c>
      <c r="N943" s="3">
        <v>10.17</v>
      </c>
      <c r="O943" s="3">
        <v>6.31</v>
      </c>
      <c r="P943" s="3">
        <v>64.172699999999992</v>
      </c>
      <c r="Q943" s="3">
        <v>3390</v>
      </c>
    </row>
    <row r="944" spans="1:17" ht="24.95" hidden="1" customHeight="1" x14ac:dyDescent="0.25">
      <c r="A944" s="3">
        <v>4</v>
      </c>
      <c r="B944" s="3" t="s">
        <v>414</v>
      </c>
      <c r="C944" s="3" t="s">
        <v>1407</v>
      </c>
      <c r="I944" s="3">
        <v>32</v>
      </c>
      <c r="J944" s="3">
        <v>3</v>
      </c>
      <c r="K944" s="3">
        <v>1</v>
      </c>
      <c r="L944" s="3">
        <v>3</v>
      </c>
      <c r="M944" s="3">
        <v>11700</v>
      </c>
      <c r="N944" s="3">
        <v>35.1</v>
      </c>
      <c r="O944" s="3">
        <v>6.31</v>
      </c>
      <c r="P944" s="3">
        <v>221.48099999999999</v>
      </c>
      <c r="Q944" s="3">
        <v>11700</v>
      </c>
    </row>
    <row r="945" spans="1:17" ht="24.95" hidden="1" customHeight="1" x14ac:dyDescent="0.25">
      <c r="A945" s="3">
        <v>4</v>
      </c>
      <c r="B945" s="3" t="s">
        <v>414</v>
      </c>
      <c r="C945" s="3" t="s">
        <v>1408</v>
      </c>
      <c r="I945" s="3">
        <v>32</v>
      </c>
      <c r="J945" s="3">
        <v>4</v>
      </c>
      <c r="K945" s="3">
        <v>1</v>
      </c>
      <c r="L945" s="3">
        <v>4</v>
      </c>
      <c r="M945" s="3">
        <v>11700</v>
      </c>
      <c r="N945" s="3">
        <v>46.8</v>
      </c>
      <c r="O945" s="3">
        <v>6.31</v>
      </c>
      <c r="P945" s="3">
        <v>295.30799999999994</v>
      </c>
      <c r="Q945" s="3">
        <v>11700</v>
      </c>
    </row>
    <row r="946" spans="1:17" ht="24.95" hidden="1" customHeight="1" x14ac:dyDescent="0.25">
      <c r="A946" s="3">
        <v>4</v>
      </c>
      <c r="B946" s="3" t="s">
        <v>414</v>
      </c>
      <c r="C946" s="3" t="s">
        <v>1409</v>
      </c>
      <c r="I946" s="3">
        <v>32</v>
      </c>
      <c r="J946" s="3">
        <v>7</v>
      </c>
      <c r="K946" s="3">
        <v>1</v>
      </c>
      <c r="L946" s="3">
        <v>7</v>
      </c>
      <c r="M946" s="3">
        <v>11595</v>
      </c>
      <c r="N946" s="3">
        <v>81.165000000000006</v>
      </c>
      <c r="O946" s="3">
        <v>6.31</v>
      </c>
      <c r="P946" s="3">
        <v>512.15115000000003</v>
      </c>
      <c r="Q946" s="3">
        <v>11595</v>
      </c>
    </row>
    <row r="947" spans="1:17" ht="24.95" hidden="1" customHeight="1" x14ac:dyDescent="0.25">
      <c r="A947" s="3">
        <v>4</v>
      </c>
      <c r="B947" s="3" t="s">
        <v>414</v>
      </c>
      <c r="C947" s="3" t="s">
        <v>1410</v>
      </c>
      <c r="I947" s="3">
        <v>32</v>
      </c>
      <c r="J947" s="3">
        <v>4</v>
      </c>
      <c r="K947" s="3">
        <v>1</v>
      </c>
      <c r="L947" s="3">
        <v>4</v>
      </c>
      <c r="M947" s="3">
        <v>11595</v>
      </c>
      <c r="N947" s="3">
        <v>46.38</v>
      </c>
      <c r="O947" s="3">
        <v>6.31</v>
      </c>
      <c r="P947" s="3">
        <v>292.65780000000001</v>
      </c>
      <c r="Q947" s="3">
        <v>11595</v>
      </c>
    </row>
    <row r="948" spans="1:17" ht="24.95" hidden="1" customHeight="1" x14ac:dyDescent="0.25">
      <c r="A948" s="3">
        <v>4</v>
      </c>
      <c r="B948" s="3" t="s">
        <v>414</v>
      </c>
      <c r="C948" s="3" t="s">
        <v>1411</v>
      </c>
      <c r="I948" s="3">
        <v>32</v>
      </c>
      <c r="J948" s="3">
        <v>7</v>
      </c>
      <c r="K948" s="3">
        <v>1</v>
      </c>
      <c r="L948" s="3">
        <v>7</v>
      </c>
      <c r="M948" s="3">
        <v>11700</v>
      </c>
      <c r="N948" s="3">
        <v>81.900000000000006</v>
      </c>
      <c r="O948" s="3">
        <v>6.31</v>
      </c>
      <c r="P948" s="3">
        <v>516.78899999999999</v>
      </c>
      <c r="Q948" s="3">
        <v>11700</v>
      </c>
    </row>
    <row r="949" spans="1:17" ht="24.95" hidden="1" customHeight="1" x14ac:dyDescent="0.25">
      <c r="A949" s="3">
        <v>4</v>
      </c>
      <c r="B949" s="3" t="s">
        <v>414</v>
      </c>
      <c r="C949" s="3" t="s">
        <v>1412</v>
      </c>
      <c r="I949" s="3">
        <v>32</v>
      </c>
      <c r="J949" s="3">
        <v>4</v>
      </c>
      <c r="K949" s="3">
        <v>1</v>
      </c>
      <c r="L949" s="3">
        <v>4</v>
      </c>
      <c r="M949" s="3">
        <v>6565</v>
      </c>
      <c r="N949" s="3">
        <v>26.26</v>
      </c>
      <c r="O949" s="3">
        <v>6.31</v>
      </c>
      <c r="P949" s="3">
        <v>165.70060000000001</v>
      </c>
      <c r="Q949" s="3">
        <v>6565</v>
      </c>
    </row>
    <row r="950" spans="1:17" ht="24.95" hidden="1" customHeight="1" x14ac:dyDescent="0.25">
      <c r="A950" s="3">
        <v>4</v>
      </c>
      <c r="B950" s="3" t="s">
        <v>414</v>
      </c>
      <c r="C950" s="3" t="s">
        <v>1413</v>
      </c>
      <c r="I950" s="3">
        <v>32</v>
      </c>
      <c r="J950" s="3">
        <v>3</v>
      </c>
      <c r="K950" s="3">
        <v>1</v>
      </c>
      <c r="L950" s="3">
        <v>3</v>
      </c>
      <c r="M950" s="3">
        <v>6520</v>
      </c>
      <c r="N950" s="3">
        <v>19.559999999999999</v>
      </c>
      <c r="O950" s="3">
        <v>6.31</v>
      </c>
      <c r="P950" s="3">
        <v>123.42359999999998</v>
      </c>
      <c r="Q950" s="3">
        <v>6520</v>
      </c>
    </row>
    <row r="951" spans="1:17" ht="24.95" hidden="1" customHeight="1" x14ac:dyDescent="0.25">
      <c r="A951" s="3">
        <v>4</v>
      </c>
      <c r="B951" s="3" t="s">
        <v>414</v>
      </c>
      <c r="C951" s="3" t="s">
        <v>1414</v>
      </c>
      <c r="I951" s="3">
        <v>32</v>
      </c>
      <c r="J951" s="3">
        <v>3</v>
      </c>
      <c r="K951" s="3">
        <v>1</v>
      </c>
      <c r="L951" s="3">
        <v>3</v>
      </c>
      <c r="M951" s="3">
        <v>8310</v>
      </c>
      <c r="N951" s="3">
        <v>24.93</v>
      </c>
      <c r="O951" s="3">
        <v>6.31</v>
      </c>
      <c r="P951" s="3">
        <v>157.30829999999997</v>
      </c>
      <c r="Q951" s="3">
        <v>8310</v>
      </c>
    </row>
    <row r="952" spans="1:17" ht="24.95" hidden="1" customHeight="1" x14ac:dyDescent="0.25">
      <c r="A952" s="3">
        <v>4</v>
      </c>
      <c r="B952" s="3" t="s">
        <v>414</v>
      </c>
      <c r="C952" s="3" t="s">
        <v>1415</v>
      </c>
      <c r="I952" s="3">
        <v>32</v>
      </c>
      <c r="J952" s="3">
        <v>4</v>
      </c>
      <c r="K952" s="3">
        <v>1</v>
      </c>
      <c r="L952" s="3">
        <v>4</v>
      </c>
      <c r="M952" s="3">
        <v>8280</v>
      </c>
      <c r="N952" s="3">
        <v>33.119999999999997</v>
      </c>
      <c r="O952" s="3">
        <v>6.31</v>
      </c>
      <c r="P952" s="3">
        <v>208.98719999999997</v>
      </c>
      <c r="Q952" s="3">
        <v>8280</v>
      </c>
    </row>
    <row r="953" spans="1:17" ht="24.95" hidden="1" customHeight="1" x14ac:dyDescent="0.25">
      <c r="A953" s="3">
        <v>4</v>
      </c>
      <c r="B953" s="3" t="s">
        <v>414</v>
      </c>
      <c r="C953" s="3" t="s">
        <v>1416</v>
      </c>
      <c r="I953" s="3">
        <v>32</v>
      </c>
      <c r="J953" s="3">
        <v>7</v>
      </c>
      <c r="K953" s="3">
        <v>1</v>
      </c>
      <c r="L953" s="3">
        <v>7</v>
      </c>
      <c r="M953" s="3">
        <v>7450</v>
      </c>
      <c r="N953" s="3">
        <v>52.15</v>
      </c>
      <c r="O953" s="3">
        <v>6.31</v>
      </c>
      <c r="P953" s="3">
        <v>329.06649999999996</v>
      </c>
      <c r="Q953" s="3">
        <v>7450</v>
      </c>
    </row>
    <row r="954" spans="1:17" ht="24.95" hidden="1" customHeight="1" x14ac:dyDescent="0.25">
      <c r="A954" s="3">
        <v>4</v>
      </c>
      <c r="B954" s="3" t="s">
        <v>414</v>
      </c>
      <c r="C954" s="3" t="s">
        <v>1417</v>
      </c>
      <c r="I954" s="3">
        <v>18</v>
      </c>
      <c r="J954" s="3">
        <v>90</v>
      </c>
      <c r="K954" s="3">
        <v>1</v>
      </c>
      <c r="L954" s="3">
        <v>90</v>
      </c>
      <c r="M954" s="3">
        <v>2710</v>
      </c>
      <c r="N954" s="3">
        <v>243.9</v>
      </c>
      <c r="O954" s="3">
        <v>2</v>
      </c>
      <c r="P954" s="3">
        <v>487.8</v>
      </c>
      <c r="Q954" s="3">
        <v>2710</v>
      </c>
    </row>
    <row r="955" spans="1:17" ht="24.95" hidden="1" customHeight="1" x14ac:dyDescent="0.25">
      <c r="A955" s="3">
        <v>4</v>
      </c>
      <c r="B955" s="3" t="s">
        <v>414</v>
      </c>
      <c r="C955" s="3" t="s">
        <v>1418</v>
      </c>
      <c r="I955" s="3">
        <v>32</v>
      </c>
      <c r="J955" s="3">
        <v>4</v>
      </c>
      <c r="K955" s="3">
        <v>1</v>
      </c>
      <c r="L955" s="3">
        <v>4</v>
      </c>
      <c r="M955" s="3">
        <v>7100</v>
      </c>
      <c r="N955" s="3">
        <v>28.4</v>
      </c>
      <c r="O955" s="3">
        <v>6.31</v>
      </c>
      <c r="P955" s="3">
        <v>179.20399999999998</v>
      </c>
      <c r="Q955" s="3">
        <v>7100</v>
      </c>
    </row>
    <row r="956" spans="1:17" ht="24.95" hidden="1" customHeight="1" x14ac:dyDescent="0.25">
      <c r="A956" s="3">
        <v>4</v>
      </c>
      <c r="B956" s="3" t="s">
        <v>414</v>
      </c>
      <c r="C956" s="3" t="s">
        <v>1419</v>
      </c>
      <c r="I956" s="3">
        <v>18</v>
      </c>
      <c r="J956" s="3">
        <v>90</v>
      </c>
      <c r="K956" s="3">
        <v>1</v>
      </c>
      <c r="L956" s="3">
        <v>90</v>
      </c>
      <c r="M956" s="3">
        <v>5870</v>
      </c>
      <c r="N956" s="3">
        <v>528.29999999999995</v>
      </c>
      <c r="O956" s="3">
        <v>2</v>
      </c>
      <c r="P956" s="3">
        <v>1056.5999999999999</v>
      </c>
      <c r="Q956" s="3">
        <v>5870</v>
      </c>
    </row>
    <row r="957" spans="1:17" ht="24.95" hidden="1" customHeight="1" x14ac:dyDescent="0.25">
      <c r="A957" s="3">
        <v>4</v>
      </c>
      <c r="B957" s="3" t="s">
        <v>414</v>
      </c>
      <c r="C957" s="3" t="s">
        <v>1420</v>
      </c>
      <c r="I957" s="3">
        <v>18</v>
      </c>
      <c r="J957" s="3">
        <v>180</v>
      </c>
      <c r="K957" s="3">
        <v>1</v>
      </c>
      <c r="L957" s="3">
        <v>180</v>
      </c>
      <c r="M957" s="3">
        <v>2750</v>
      </c>
      <c r="N957" s="3">
        <v>495</v>
      </c>
      <c r="O957" s="3">
        <v>2</v>
      </c>
      <c r="P957" s="3">
        <v>990</v>
      </c>
      <c r="Q957" s="3">
        <v>2750</v>
      </c>
    </row>
    <row r="958" spans="1:17" ht="24.95" hidden="1" customHeight="1" x14ac:dyDescent="0.25">
      <c r="A958" s="3">
        <v>4</v>
      </c>
      <c r="B958" s="3" t="s">
        <v>414</v>
      </c>
      <c r="C958" s="3" t="s">
        <v>1421</v>
      </c>
      <c r="I958" s="3">
        <v>18</v>
      </c>
      <c r="J958" s="3">
        <v>6</v>
      </c>
      <c r="K958" s="3">
        <v>1</v>
      </c>
      <c r="L958" s="3">
        <v>6</v>
      </c>
      <c r="M958" s="3">
        <v>3440</v>
      </c>
      <c r="N958" s="3">
        <v>20.64</v>
      </c>
      <c r="O958" s="3">
        <v>2</v>
      </c>
      <c r="P958" s="3">
        <v>41.28</v>
      </c>
      <c r="Q958" s="3">
        <v>3440</v>
      </c>
    </row>
    <row r="959" spans="1:17" ht="24.95" hidden="1" customHeight="1" x14ac:dyDescent="0.25">
      <c r="A959" s="3">
        <v>4</v>
      </c>
      <c r="B959" s="3" t="s">
        <v>414</v>
      </c>
      <c r="C959" s="3" t="s">
        <v>1422</v>
      </c>
      <c r="I959" s="3">
        <v>18</v>
      </c>
      <c r="J959" s="3">
        <v>12</v>
      </c>
      <c r="K959" s="3">
        <v>1</v>
      </c>
      <c r="L959" s="3">
        <v>12</v>
      </c>
      <c r="M959" s="3">
        <v>11700</v>
      </c>
      <c r="N959" s="3">
        <v>140.4</v>
      </c>
      <c r="O959" s="3">
        <v>2</v>
      </c>
      <c r="P959" s="3">
        <v>280.8</v>
      </c>
      <c r="Q959" s="3">
        <v>11700</v>
      </c>
    </row>
    <row r="960" spans="1:17" ht="24.95" hidden="1" customHeight="1" x14ac:dyDescent="0.25">
      <c r="A960" s="3">
        <v>4</v>
      </c>
      <c r="B960" s="3" t="s">
        <v>414</v>
      </c>
      <c r="C960" s="3" t="s">
        <v>1423</v>
      </c>
      <c r="I960" s="3">
        <v>18</v>
      </c>
      <c r="J960" s="3">
        <v>6</v>
      </c>
      <c r="K960" s="3">
        <v>1</v>
      </c>
      <c r="L960" s="3">
        <v>6</v>
      </c>
      <c r="M960" s="3">
        <v>5630</v>
      </c>
      <c r="N960" s="3">
        <v>33.78</v>
      </c>
      <c r="O960" s="3">
        <v>2</v>
      </c>
      <c r="P960" s="3">
        <v>67.56</v>
      </c>
      <c r="Q960" s="3">
        <v>5630</v>
      </c>
    </row>
    <row r="961" spans="1:17" ht="24.95" hidden="1" customHeight="1" x14ac:dyDescent="0.25">
      <c r="A961" s="3">
        <v>4</v>
      </c>
      <c r="B961" s="3" t="s">
        <v>414</v>
      </c>
      <c r="C961" s="3" t="s">
        <v>1424</v>
      </c>
      <c r="I961" s="3">
        <v>18</v>
      </c>
      <c r="J961" s="3">
        <v>6</v>
      </c>
      <c r="K961" s="3">
        <v>1</v>
      </c>
      <c r="L961" s="3">
        <v>6</v>
      </c>
      <c r="M961" s="3">
        <v>8260</v>
      </c>
      <c r="N961" s="3">
        <v>49.56</v>
      </c>
      <c r="O961" s="3">
        <v>2</v>
      </c>
      <c r="P961" s="3">
        <v>99.12</v>
      </c>
      <c r="Q961" s="3">
        <v>8260</v>
      </c>
    </row>
    <row r="962" spans="1:17" ht="24.95" hidden="1" customHeight="1" x14ac:dyDescent="0.25">
      <c r="A962" s="3">
        <v>4</v>
      </c>
      <c r="B962" s="3" t="s">
        <v>414</v>
      </c>
      <c r="C962" s="3" t="s">
        <v>1425</v>
      </c>
      <c r="I962" s="3">
        <v>14</v>
      </c>
      <c r="J962" s="3">
        <v>176</v>
      </c>
      <c r="K962" s="3">
        <v>1</v>
      </c>
      <c r="L962" s="3">
        <v>176</v>
      </c>
      <c r="M962" s="3">
        <v>1370</v>
      </c>
      <c r="N962" s="3">
        <v>241.12</v>
      </c>
      <c r="O962" s="3">
        <v>1.21</v>
      </c>
      <c r="P962" s="3">
        <v>291.7552</v>
      </c>
      <c r="Q962" s="3">
        <v>1370</v>
      </c>
    </row>
    <row r="963" spans="1:17" ht="24.95" hidden="1" customHeight="1" x14ac:dyDescent="0.25">
      <c r="A963" s="3">
        <v>4</v>
      </c>
      <c r="B963" s="3" t="s">
        <v>414</v>
      </c>
      <c r="C963" s="3" t="s">
        <v>1426</v>
      </c>
      <c r="I963" s="3">
        <v>32</v>
      </c>
      <c r="J963" s="3">
        <v>30</v>
      </c>
      <c r="K963" s="3">
        <v>1</v>
      </c>
      <c r="L963" s="3">
        <v>30</v>
      </c>
      <c r="M963" s="3">
        <v>1090</v>
      </c>
      <c r="N963" s="3">
        <v>32.700000000000003</v>
      </c>
      <c r="O963" s="3">
        <v>6.31</v>
      </c>
      <c r="P963" s="3">
        <v>206.33700000000002</v>
      </c>
      <c r="Q963" s="3">
        <v>1090</v>
      </c>
    </row>
    <row r="964" spans="1:17" ht="24.95" hidden="1" customHeight="1" x14ac:dyDescent="0.25">
      <c r="A964" s="3">
        <v>4</v>
      </c>
      <c r="B964" s="3" t="s">
        <v>414</v>
      </c>
      <c r="C964" s="3" t="s">
        <v>1427</v>
      </c>
      <c r="I964" s="3">
        <v>14</v>
      </c>
      <c r="J964" s="3">
        <v>6</v>
      </c>
      <c r="K964" s="3">
        <v>1</v>
      </c>
      <c r="L964" s="3">
        <v>6</v>
      </c>
      <c r="M964" s="3">
        <v>8080</v>
      </c>
      <c r="N964" s="3">
        <v>48.48</v>
      </c>
      <c r="O964" s="3">
        <v>1.21</v>
      </c>
      <c r="P964" s="3">
        <v>58.660799999999995</v>
      </c>
      <c r="Q964" s="3">
        <v>8080</v>
      </c>
    </row>
    <row r="965" spans="1:17" ht="24.95" hidden="1" customHeight="1" x14ac:dyDescent="0.25">
      <c r="A965" s="3">
        <v>4</v>
      </c>
      <c r="B965" s="3" t="s">
        <v>414</v>
      </c>
      <c r="C965" s="3" t="s">
        <v>1428</v>
      </c>
      <c r="I965" s="3">
        <v>14</v>
      </c>
      <c r="J965" s="3">
        <v>6</v>
      </c>
      <c r="K965" s="3">
        <v>1</v>
      </c>
      <c r="L965" s="3">
        <v>6</v>
      </c>
      <c r="M965" s="3">
        <v>11700</v>
      </c>
      <c r="N965" s="3">
        <v>70.2</v>
      </c>
      <c r="O965" s="3">
        <v>1.21</v>
      </c>
      <c r="P965" s="3">
        <v>84.942000000000007</v>
      </c>
      <c r="Q965" s="3">
        <v>11700</v>
      </c>
    </row>
    <row r="966" spans="1:17" ht="24.95" hidden="1" customHeight="1" x14ac:dyDescent="0.25">
      <c r="A966" s="3">
        <v>4</v>
      </c>
      <c r="B966" s="3" t="s">
        <v>414</v>
      </c>
      <c r="C966" s="3" t="s">
        <v>1429</v>
      </c>
      <c r="I966" s="3">
        <v>14</v>
      </c>
      <c r="J966" s="3">
        <v>6</v>
      </c>
      <c r="K966" s="3">
        <v>1</v>
      </c>
      <c r="L966" s="3">
        <v>6</v>
      </c>
      <c r="M966" s="3">
        <v>11700</v>
      </c>
      <c r="N966" s="3">
        <v>70.2</v>
      </c>
      <c r="O966" s="3">
        <v>1.21</v>
      </c>
      <c r="P966" s="3">
        <v>84.942000000000007</v>
      </c>
      <c r="Q966" s="3">
        <v>11700</v>
      </c>
    </row>
    <row r="967" spans="1:17" ht="24.95" hidden="1" customHeight="1" x14ac:dyDescent="0.25">
      <c r="A967" s="3">
        <v>4</v>
      </c>
      <c r="B967" s="3" t="s">
        <v>414</v>
      </c>
      <c r="C967" s="3" t="s">
        <v>1430</v>
      </c>
      <c r="I967" s="3">
        <v>14</v>
      </c>
      <c r="J967" s="3">
        <v>6</v>
      </c>
      <c r="K967" s="3">
        <v>1</v>
      </c>
      <c r="L967" s="3">
        <v>6</v>
      </c>
      <c r="M967" s="3">
        <v>5090</v>
      </c>
      <c r="N967" s="3">
        <v>30.54</v>
      </c>
      <c r="O967" s="3">
        <v>1.21</v>
      </c>
      <c r="P967" s="3">
        <v>36.953399999999995</v>
      </c>
      <c r="Q967" s="3">
        <v>5090</v>
      </c>
    </row>
    <row r="968" spans="1:17" ht="24.95" hidden="1" customHeight="1" x14ac:dyDescent="0.25">
      <c r="A968" s="3">
        <v>4</v>
      </c>
      <c r="B968" s="3" t="s">
        <v>414</v>
      </c>
      <c r="C968" s="3" t="s">
        <v>1431</v>
      </c>
      <c r="I968" s="3">
        <v>14</v>
      </c>
      <c r="J968" s="3">
        <v>6</v>
      </c>
      <c r="K968" s="3">
        <v>1</v>
      </c>
      <c r="L968" s="3">
        <v>6</v>
      </c>
      <c r="M968" s="3">
        <v>3620</v>
      </c>
      <c r="N968" s="3">
        <v>21.72</v>
      </c>
      <c r="O968" s="3">
        <v>1.21</v>
      </c>
      <c r="P968" s="3">
        <v>26.281199999999998</v>
      </c>
      <c r="Q968" s="3">
        <v>3620</v>
      </c>
    </row>
    <row r="969" spans="1:17" ht="24.95" hidden="1" customHeight="1" x14ac:dyDescent="0.25">
      <c r="A969" s="3">
        <v>4</v>
      </c>
      <c r="B969" s="3" t="s">
        <v>415</v>
      </c>
      <c r="C969" s="3" t="s">
        <v>1432</v>
      </c>
      <c r="I969" s="3">
        <v>32</v>
      </c>
      <c r="J969" s="3">
        <v>6</v>
      </c>
      <c r="K969" s="3">
        <v>1</v>
      </c>
      <c r="L969" s="3">
        <v>6</v>
      </c>
      <c r="M969" s="3">
        <v>3615</v>
      </c>
      <c r="N969" s="3">
        <v>21.69</v>
      </c>
      <c r="O969" s="3">
        <v>6.31</v>
      </c>
      <c r="P969" s="3">
        <v>136.8639</v>
      </c>
      <c r="Q969" s="3">
        <v>3615</v>
      </c>
    </row>
    <row r="970" spans="1:17" ht="24.95" hidden="1" customHeight="1" x14ac:dyDescent="0.25">
      <c r="A970" s="3">
        <v>4</v>
      </c>
      <c r="B970" s="3" t="s">
        <v>415</v>
      </c>
      <c r="C970" s="3" t="s">
        <v>1433</v>
      </c>
      <c r="I970" s="3">
        <v>32</v>
      </c>
      <c r="J970" s="3">
        <v>5</v>
      </c>
      <c r="K970" s="3">
        <v>1</v>
      </c>
      <c r="L970" s="3">
        <v>5</v>
      </c>
      <c r="M970" s="3">
        <v>3615</v>
      </c>
      <c r="N970" s="3">
        <v>18.074999999999999</v>
      </c>
      <c r="O970" s="3">
        <v>6.31</v>
      </c>
      <c r="P970" s="3">
        <v>114.05324999999999</v>
      </c>
      <c r="Q970" s="3">
        <v>3615</v>
      </c>
    </row>
    <row r="971" spans="1:17" ht="24.95" hidden="1" customHeight="1" x14ac:dyDescent="0.25">
      <c r="A971" s="3">
        <v>4</v>
      </c>
      <c r="B971" s="3" t="s">
        <v>415</v>
      </c>
      <c r="C971" s="3" t="s">
        <v>1434</v>
      </c>
      <c r="I971" s="3">
        <v>32</v>
      </c>
      <c r="J971" s="3">
        <v>6</v>
      </c>
      <c r="K971" s="3">
        <v>1</v>
      </c>
      <c r="L971" s="3">
        <v>6</v>
      </c>
      <c r="M971" s="3">
        <v>10000</v>
      </c>
      <c r="N971" s="3">
        <v>60</v>
      </c>
      <c r="O971" s="3">
        <v>6.31</v>
      </c>
      <c r="P971" s="3">
        <v>378.59999999999997</v>
      </c>
      <c r="Q971" s="3">
        <v>10000</v>
      </c>
    </row>
    <row r="972" spans="1:17" ht="24.95" hidden="1" customHeight="1" x14ac:dyDescent="0.25">
      <c r="A972" s="3">
        <v>4</v>
      </c>
      <c r="B972" s="3" t="s">
        <v>415</v>
      </c>
      <c r="C972" s="3" t="s">
        <v>1435</v>
      </c>
      <c r="I972" s="3">
        <v>32</v>
      </c>
      <c r="J972" s="3">
        <v>5</v>
      </c>
      <c r="K972" s="3">
        <v>1</v>
      </c>
      <c r="L972" s="3">
        <v>5</v>
      </c>
      <c r="M972" s="3">
        <v>10000</v>
      </c>
      <c r="N972" s="3">
        <v>50</v>
      </c>
      <c r="O972" s="3">
        <v>6.31</v>
      </c>
      <c r="P972" s="3">
        <v>315.5</v>
      </c>
      <c r="Q972" s="3">
        <v>10000</v>
      </c>
    </row>
    <row r="973" spans="1:17" ht="24.95" hidden="1" customHeight="1" x14ac:dyDescent="0.25">
      <c r="A973" s="3">
        <v>4</v>
      </c>
      <c r="B973" s="3" t="s">
        <v>415</v>
      </c>
      <c r="C973" s="3" t="s">
        <v>1436</v>
      </c>
      <c r="I973" s="3">
        <v>32</v>
      </c>
      <c r="J973" s="3">
        <v>5</v>
      </c>
      <c r="K973" s="3">
        <v>1</v>
      </c>
      <c r="L973" s="3">
        <v>5</v>
      </c>
      <c r="M973" s="3">
        <v>3515</v>
      </c>
      <c r="N973" s="3">
        <v>17.574999999999999</v>
      </c>
      <c r="O973" s="3">
        <v>6.31</v>
      </c>
      <c r="P973" s="3">
        <v>110.89824999999999</v>
      </c>
      <c r="Q973" s="3">
        <v>3515</v>
      </c>
    </row>
    <row r="974" spans="1:17" ht="24.95" hidden="1" customHeight="1" x14ac:dyDescent="0.25">
      <c r="A974" s="3">
        <v>4</v>
      </c>
      <c r="B974" s="3" t="s">
        <v>415</v>
      </c>
      <c r="C974" s="3" t="s">
        <v>1437</v>
      </c>
      <c r="I974" s="3">
        <v>32</v>
      </c>
      <c r="J974" s="3">
        <v>6</v>
      </c>
      <c r="K974" s="3">
        <v>1</v>
      </c>
      <c r="L974" s="3">
        <v>6</v>
      </c>
      <c r="M974" s="3">
        <v>3515</v>
      </c>
      <c r="N974" s="3">
        <v>21.09</v>
      </c>
      <c r="O974" s="3">
        <v>6.31</v>
      </c>
      <c r="P974" s="3">
        <v>133.0779</v>
      </c>
      <c r="Q974" s="3">
        <v>3515</v>
      </c>
    </row>
    <row r="975" spans="1:17" ht="24.95" hidden="1" customHeight="1" x14ac:dyDescent="0.25">
      <c r="A975" s="3">
        <v>4</v>
      </c>
      <c r="B975" s="3" t="s">
        <v>415</v>
      </c>
      <c r="C975" s="3" t="s">
        <v>1438</v>
      </c>
      <c r="I975" s="3">
        <v>32</v>
      </c>
      <c r="J975" s="3">
        <v>5</v>
      </c>
      <c r="K975" s="3">
        <v>1</v>
      </c>
      <c r="L975" s="3">
        <v>5</v>
      </c>
      <c r="M975" s="3">
        <v>10000</v>
      </c>
      <c r="N975" s="3">
        <v>50</v>
      </c>
      <c r="O975" s="3">
        <v>6.31</v>
      </c>
      <c r="P975" s="3">
        <v>315.5</v>
      </c>
      <c r="Q975" s="3">
        <v>10000</v>
      </c>
    </row>
    <row r="976" spans="1:17" ht="24.95" hidden="1" customHeight="1" x14ac:dyDescent="0.25">
      <c r="A976" s="3">
        <v>4</v>
      </c>
      <c r="B976" s="3" t="s">
        <v>415</v>
      </c>
      <c r="C976" s="3" t="s">
        <v>1439</v>
      </c>
      <c r="I976" s="3">
        <v>32</v>
      </c>
      <c r="J976" s="3">
        <v>6</v>
      </c>
      <c r="K976" s="3">
        <v>1</v>
      </c>
      <c r="L976" s="3">
        <v>6</v>
      </c>
      <c r="M976" s="3">
        <v>10000</v>
      </c>
      <c r="N976" s="3">
        <v>60</v>
      </c>
      <c r="O976" s="3">
        <v>6.31</v>
      </c>
      <c r="P976" s="3">
        <v>378.59999999999997</v>
      </c>
      <c r="Q976" s="3">
        <v>10000</v>
      </c>
    </row>
    <row r="977" spans="1:17" ht="24.95" hidden="1" customHeight="1" x14ac:dyDescent="0.25">
      <c r="A977" s="3">
        <v>4</v>
      </c>
      <c r="B977" s="3" t="s">
        <v>415</v>
      </c>
      <c r="C977" s="3" t="s">
        <v>1440</v>
      </c>
      <c r="I977" s="3">
        <v>32</v>
      </c>
      <c r="J977" s="3">
        <v>5</v>
      </c>
      <c r="K977" s="3">
        <v>1</v>
      </c>
      <c r="L977" s="3">
        <v>5</v>
      </c>
      <c r="M977" s="3">
        <v>3315</v>
      </c>
      <c r="N977" s="3">
        <v>16.574999999999999</v>
      </c>
      <c r="O977" s="3">
        <v>6.31</v>
      </c>
      <c r="P977" s="3">
        <v>104.58824999999999</v>
      </c>
      <c r="Q977" s="3">
        <v>3315</v>
      </c>
    </row>
    <row r="978" spans="1:17" ht="24.95" hidden="1" customHeight="1" x14ac:dyDescent="0.25">
      <c r="A978" s="3">
        <v>4</v>
      </c>
      <c r="B978" s="3" t="s">
        <v>415</v>
      </c>
      <c r="C978" s="3" t="s">
        <v>1441</v>
      </c>
      <c r="I978" s="3">
        <v>32</v>
      </c>
      <c r="J978" s="3">
        <v>6</v>
      </c>
      <c r="K978" s="3">
        <v>1</v>
      </c>
      <c r="L978" s="3">
        <v>6</v>
      </c>
      <c r="M978" s="3">
        <v>3315</v>
      </c>
      <c r="N978" s="3">
        <v>19.89</v>
      </c>
      <c r="O978" s="3">
        <v>6.31</v>
      </c>
      <c r="P978" s="3">
        <v>125.5059</v>
      </c>
      <c r="Q978" s="3">
        <v>3315</v>
      </c>
    </row>
    <row r="979" spans="1:17" ht="24.95" hidden="1" customHeight="1" x14ac:dyDescent="0.25">
      <c r="A979" s="3">
        <v>4</v>
      </c>
      <c r="B979" s="3" t="s">
        <v>415</v>
      </c>
      <c r="C979" s="3" t="s">
        <v>1442</v>
      </c>
      <c r="I979" s="3">
        <v>32</v>
      </c>
      <c r="J979" s="3">
        <v>6</v>
      </c>
      <c r="K979" s="3">
        <v>1</v>
      </c>
      <c r="L979" s="3">
        <v>6</v>
      </c>
      <c r="M979" s="3">
        <v>3415</v>
      </c>
      <c r="N979" s="3">
        <v>20.49</v>
      </c>
      <c r="O979" s="3">
        <v>6.31</v>
      </c>
      <c r="P979" s="3">
        <v>129.29189999999997</v>
      </c>
      <c r="Q979" s="3">
        <v>3415</v>
      </c>
    </row>
    <row r="980" spans="1:17" ht="24.95" hidden="1" customHeight="1" x14ac:dyDescent="0.25">
      <c r="A980" s="3">
        <v>4</v>
      </c>
      <c r="B980" s="3" t="s">
        <v>415</v>
      </c>
      <c r="C980" s="3" t="s">
        <v>1443</v>
      </c>
      <c r="I980" s="3">
        <v>32</v>
      </c>
      <c r="J980" s="3">
        <v>5</v>
      </c>
      <c r="K980" s="3">
        <v>1</v>
      </c>
      <c r="L980" s="3">
        <v>5</v>
      </c>
      <c r="M980" s="3">
        <v>3415</v>
      </c>
      <c r="N980" s="3">
        <v>17.074999999999999</v>
      </c>
      <c r="O980" s="3">
        <v>6.31</v>
      </c>
      <c r="P980" s="3">
        <v>107.74324999999999</v>
      </c>
      <c r="Q980" s="3">
        <v>3415</v>
      </c>
    </row>
    <row r="981" spans="1:17" ht="24.95" hidden="1" customHeight="1" x14ac:dyDescent="0.25">
      <c r="A981" s="3">
        <v>4</v>
      </c>
      <c r="B981" s="3" t="s">
        <v>415</v>
      </c>
      <c r="C981" s="3" t="s">
        <v>1444</v>
      </c>
      <c r="I981" s="3">
        <v>32</v>
      </c>
      <c r="J981" s="3">
        <v>11</v>
      </c>
      <c r="K981" s="3">
        <v>1</v>
      </c>
      <c r="L981" s="3">
        <v>11</v>
      </c>
      <c r="M981" s="3">
        <v>10000</v>
      </c>
      <c r="N981" s="3">
        <v>110</v>
      </c>
      <c r="O981" s="3">
        <v>6.31</v>
      </c>
      <c r="P981" s="3">
        <v>694.09999999999991</v>
      </c>
      <c r="Q981" s="3">
        <v>10000</v>
      </c>
    </row>
    <row r="982" spans="1:17" ht="24.95" hidden="1" customHeight="1" x14ac:dyDescent="0.25">
      <c r="A982" s="3">
        <v>4</v>
      </c>
      <c r="B982" s="3" t="s">
        <v>415</v>
      </c>
      <c r="C982" s="3" t="s">
        <v>1445</v>
      </c>
      <c r="I982" s="3">
        <v>32</v>
      </c>
      <c r="J982" s="3">
        <v>11</v>
      </c>
      <c r="K982" s="3">
        <v>1</v>
      </c>
      <c r="L982" s="3">
        <v>11</v>
      </c>
      <c r="M982" s="3">
        <v>10000</v>
      </c>
      <c r="N982" s="3">
        <v>110</v>
      </c>
      <c r="O982" s="3">
        <v>6.31</v>
      </c>
      <c r="P982" s="3">
        <v>694.09999999999991</v>
      </c>
      <c r="Q982" s="3">
        <v>10000</v>
      </c>
    </row>
    <row r="983" spans="1:17" ht="24.95" hidden="1" customHeight="1" x14ac:dyDescent="0.25">
      <c r="A983" s="3">
        <v>4</v>
      </c>
      <c r="B983" s="3" t="s">
        <v>415</v>
      </c>
      <c r="C983" s="3" t="s">
        <v>1446</v>
      </c>
      <c r="I983" s="3">
        <v>32</v>
      </c>
      <c r="J983" s="3">
        <v>6</v>
      </c>
      <c r="K983" s="3">
        <v>1</v>
      </c>
      <c r="L983" s="3">
        <v>6</v>
      </c>
      <c r="M983" s="3">
        <v>6220</v>
      </c>
      <c r="N983" s="3">
        <v>37.32</v>
      </c>
      <c r="O983" s="3">
        <v>6.31</v>
      </c>
      <c r="P983" s="3">
        <v>235.48919999999998</v>
      </c>
      <c r="Q983" s="3">
        <v>6220</v>
      </c>
    </row>
    <row r="984" spans="1:17" ht="24.95" hidden="1" customHeight="1" x14ac:dyDescent="0.25">
      <c r="A984" s="3">
        <v>4</v>
      </c>
      <c r="B984" s="3" t="s">
        <v>415</v>
      </c>
      <c r="C984" s="3" t="s">
        <v>1447</v>
      </c>
      <c r="I984" s="3">
        <v>32</v>
      </c>
      <c r="J984" s="3">
        <v>6</v>
      </c>
      <c r="K984" s="3">
        <v>1</v>
      </c>
      <c r="L984" s="3">
        <v>6</v>
      </c>
      <c r="M984" s="3">
        <v>7120</v>
      </c>
      <c r="N984" s="3">
        <v>42.72</v>
      </c>
      <c r="O984" s="3">
        <v>6.31</v>
      </c>
      <c r="P984" s="3">
        <v>269.56319999999999</v>
      </c>
      <c r="Q984" s="3">
        <v>7120</v>
      </c>
    </row>
    <row r="985" spans="1:17" ht="24.95" hidden="1" customHeight="1" x14ac:dyDescent="0.25">
      <c r="A985" s="3">
        <v>4</v>
      </c>
      <c r="B985" s="3" t="s">
        <v>415</v>
      </c>
      <c r="C985" s="3" t="s">
        <v>1448</v>
      </c>
      <c r="I985" s="3">
        <v>32</v>
      </c>
      <c r="J985" s="3">
        <v>5</v>
      </c>
      <c r="K985" s="3">
        <v>1</v>
      </c>
      <c r="L985" s="3">
        <v>5</v>
      </c>
      <c r="M985" s="3">
        <v>5220</v>
      </c>
      <c r="N985" s="3">
        <v>26.1</v>
      </c>
      <c r="O985" s="3">
        <v>6.31</v>
      </c>
      <c r="P985" s="3">
        <v>164.691</v>
      </c>
      <c r="Q985" s="3">
        <v>5220</v>
      </c>
    </row>
    <row r="986" spans="1:17" ht="24.95" hidden="1" customHeight="1" x14ac:dyDescent="0.25">
      <c r="A986" s="3">
        <v>4</v>
      </c>
      <c r="B986" s="3" t="s">
        <v>415</v>
      </c>
      <c r="C986" s="3" t="s">
        <v>1449</v>
      </c>
      <c r="I986" s="3">
        <v>32</v>
      </c>
      <c r="J986" s="3">
        <v>5</v>
      </c>
      <c r="K986" s="3">
        <v>1</v>
      </c>
      <c r="L986" s="3">
        <v>5</v>
      </c>
      <c r="M986" s="3">
        <v>8120</v>
      </c>
      <c r="N986" s="3">
        <v>40.6</v>
      </c>
      <c r="O986" s="3">
        <v>6.31</v>
      </c>
      <c r="P986" s="3">
        <v>256.18599999999998</v>
      </c>
      <c r="Q986" s="3">
        <v>8120</v>
      </c>
    </row>
    <row r="987" spans="1:17" ht="24.95" hidden="1" customHeight="1" x14ac:dyDescent="0.25">
      <c r="A987" s="3">
        <v>4</v>
      </c>
      <c r="B987" s="3" t="s">
        <v>415</v>
      </c>
      <c r="C987" s="3" t="s">
        <v>1450</v>
      </c>
      <c r="I987" s="3">
        <v>32</v>
      </c>
      <c r="J987" s="3">
        <v>11</v>
      </c>
      <c r="K987" s="3">
        <v>1</v>
      </c>
      <c r="L987" s="3">
        <v>11</v>
      </c>
      <c r="M987" s="3">
        <v>3730</v>
      </c>
      <c r="N987" s="3">
        <v>41.03</v>
      </c>
      <c r="O987" s="3">
        <v>6.31</v>
      </c>
      <c r="P987" s="3">
        <v>258.89929999999998</v>
      </c>
      <c r="Q987" s="3">
        <v>3730</v>
      </c>
    </row>
    <row r="988" spans="1:17" ht="24.95" hidden="1" customHeight="1" x14ac:dyDescent="0.25">
      <c r="A988" s="3">
        <v>4</v>
      </c>
      <c r="B988" s="3" t="s">
        <v>415</v>
      </c>
      <c r="C988" s="3" t="s">
        <v>1451</v>
      </c>
      <c r="I988" s="3">
        <v>14</v>
      </c>
      <c r="J988" s="3">
        <v>52</v>
      </c>
      <c r="K988" s="3">
        <v>1</v>
      </c>
      <c r="L988" s="3">
        <v>52</v>
      </c>
      <c r="M988" s="3">
        <v>2950</v>
      </c>
      <c r="N988" s="3">
        <v>153.4</v>
      </c>
      <c r="O988" s="3">
        <v>1.21</v>
      </c>
      <c r="P988" s="3">
        <v>185.614</v>
      </c>
      <c r="Q988" s="3">
        <v>2950</v>
      </c>
    </row>
    <row r="989" spans="1:17" ht="24.95" hidden="1" customHeight="1" x14ac:dyDescent="0.25">
      <c r="A989" s="3">
        <v>4</v>
      </c>
      <c r="B989" s="3" t="s">
        <v>415</v>
      </c>
      <c r="C989" s="3" t="s">
        <v>1452</v>
      </c>
      <c r="I989" s="3">
        <v>14</v>
      </c>
      <c r="J989" s="3">
        <v>52</v>
      </c>
      <c r="K989" s="3">
        <v>1</v>
      </c>
      <c r="L989" s="3">
        <v>52</v>
      </c>
      <c r="M989" s="3">
        <v>6530</v>
      </c>
      <c r="N989" s="3">
        <v>339.56</v>
      </c>
      <c r="O989" s="3">
        <v>1.21</v>
      </c>
      <c r="P989" s="3">
        <v>410.86759999999998</v>
      </c>
      <c r="Q989" s="3">
        <v>6530</v>
      </c>
    </row>
    <row r="990" spans="1:17" ht="24.95" hidden="1" customHeight="1" x14ac:dyDescent="0.25">
      <c r="A990" s="3">
        <v>4</v>
      </c>
      <c r="B990" s="3" t="s">
        <v>415</v>
      </c>
      <c r="C990" s="3" t="s">
        <v>1453</v>
      </c>
      <c r="I990" s="3">
        <v>14</v>
      </c>
      <c r="J990" s="3">
        <v>208</v>
      </c>
      <c r="K990" s="3">
        <v>1</v>
      </c>
      <c r="L990" s="3">
        <v>208</v>
      </c>
      <c r="M990" s="3">
        <v>2670</v>
      </c>
      <c r="N990" s="3">
        <v>555.36</v>
      </c>
      <c r="O990" s="3">
        <v>1.21</v>
      </c>
      <c r="P990" s="3">
        <v>671.98559999999998</v>
      </c>
      <c r="Q990" s="3">
        <v>2670</v>
      </c>
    </row>
    <row r="991" spans="1:17" ht="24.95" hidden="1" customHeight="1" x14ac:dyDescent="0.25">
      <c r="A991" s="3">
        <v>4</v>
      </c>
      <c r="B991" s="3" t="s">
        <v>415</v>
      </c>
      <c r="C991" s="3" t="s">
        <v>1454</v>
      </c>
      <c r="I991" s="3">
        <v>18</v>
      </c>
      <c r="J991" s="3">
        <v>12</v>
      </c>
      <c r="K991" s="3">
        <v>1</v>
      </c>
      <c r="L991" s="3">
        <v>12</v>
      </c>
      <c r="M991" s="3">
        <v>7900</v>
      </c>
      <c r="N991" s="3">
        <v>94.8</v>
      </c>
      <c r="O991" s="3">
        <v>2</v>
      </c>
      <c r="P991" s="3">
        <v>189.6</v>
      </c>
      <c r="Q991" s="3">
        <v>7900</v>
      </c>
    </row>
    <row r="992" spans="1:17" ht="24.95" hidden="1" customHeight="1" x14ac:dyDescent="0.25">
      <c r="A992" s="3">
        <v>4</v>
      </c>
      <c r="B992" s="3" t="s">
        <v>415</v>
      </c>
      <c r="C992" s="3" t="s">
        <v>1455</v>
      </c>
      <c r="I992" s="3">
        <v>14</v>
      </c>
      <c r="J992" s="3">
        <v>162</v>
      </c>
      <c r="K992" s="3">
        <v>1</v>
      </c>
      <c r="L992" s="3">
        <v>162</v>
      </c>
      <c r="M992" s="3">
        <v>1970</v>
      </c>
      <c r="N992" s="3">
        <v>319.14</v>
      </c>
      <c r="O992" s="3">
        <v>1.21</v>
      </c>
      <c r="P992" s="3">
        <v>386.15939999999995</v>
      </c>
      <c r="Q992" s="3">
        <v>1970</v>
      </c>
    </row>
    <row r="993" spans="1:17" ht="24.95" hidden="1" customHeight="1" x14ac:dyDescent="0.25">
      <c r="A993" s="3">
        <v>4</v>
      </c>
      <c r="B993" s="3" t="s">
        <v>415</v>
      </c>
      <c r="C993" s="3" t="s">
        <v>1456</v>
      </c>
      <c r="I993" s="3">
        <v>32</v>
      </c>
      <c r="J993" s="3">
        <v>16</v>
      </c>
      <c r="K993" s="3">
        <v>1</v>
      </c>
      <c r="L993" s="3">
        <v>16</v>
      </c>
      <c r="M993" s="3">
        <v>1690</v>
      </c>
      <c r="N993" s="3">
        <v>27.04</v>
      </c>
      <c r="O993" s="3">
        <v>6.31</v>
      </c>
      <c r="P993" s="3">
        <v>170.62239999999997</v>
      </c>
      <c r="Q993" s="3">
        <v>1690</v>
      </c>
    </row>
    <row r="994" spans="1:17" ht="24.95" hidden="1" customHeight="1" x14ac:dyDescent="0.25">
      <c r="A994" s="3">
        <v>4</v>
      </c>
      <c r="B994" s="3" t="s">
        <v>415</v>
      </c>
      <c r="C994" s="3" t="s">
        <v>1457</v>
      </c>
      <c r="I994" s="3">
        <v>14</v>
      </c>
      <c r="J994" s="3">
        <v>24</v>
      </c>
      <c r="K994" s="3">
        <v>1</v>
      </c>
      <c r="L994" s="3">
        <v>24</v>
      </c>
      <c r="M994" s="3">
        <v>7900</v>
      </c>
      <c r="N994" s="3">
        <v>189.6</v>
      </c>
      <c r="O994" s="3">
        <v>1.21</v>
      </c>
      <c r="P994" s="3">
        <v>229.416</v>
      </c>
      <c r="Q994" s="3">
        <v>7900</v>
      </c>
    </row>
    <row r="995" spans="1:17" ht="24.95" hidden="1" customHeight="1" x14ac:dyDescent="0.25">
      <c r="A995" s="3">
        <v>4</v>
      </c>
      <c r="B995" s="3" t="s">
        <v>416</v>
      </c>
      <c r="C995" s="3" t="s">
        <v>1458</v>
      </c>
      <c r="I995" s="3">
        <v>32</v>
      </c>
      <c r="J995" s="3">
        <v>6</v>
      </c>
      <c r="K995" s="3">
        <v>1</v>
      </c>
      <c r="L995" s="3">
        <v>6</v>
      </c>
      <c r="M995" s="3">
        <v>11700</v>
      </c>
      <c r="N995" s="3">
        <v>70.2</v>
      </c>
      <c r="O995" s="3">
        <v>6.31</v>
      </c>
      <c r="P995" s="3">
        <v>442.96199999999999</v>
      </c>
      <c r="Q995" s="3">
        <v>11700</v>
      </c>
    </row>
    <row r="996" spans="1:17" ht="24.95" hidden="1" customHeight="1" x14ac:dyDescent="0.25">
      <c r="A996" s="3">
        <v>4</v>
      </c>
      <c r="B996" s="3" t="s">
        <v>416</v>
      </c>
      <c r="C996" s="3" t="s">
        <v>1459</v>
      </c>
      <c r="I996" s="3">
        <v>32</v>
      </c>
      <c r="J996" s="3">
        <v>3</v>
      </c>
      <c r="K996" s="3">
        <v>1</v>
      </c>
      <c r="L996" s="3">
        <v>3</v>
      </c>
      <c r="M996" s="3">
        <v>9000</v>
      </c>
      <c r="N996" s="3">
        <v>27</v>
      </c>
      <c r="O996" s="3">
        <v>6.31</v>
      </c>
      <c r="P996" s="3">
        <v>170.36999999999998</v>
      </c>
      <c r="Q996" s="3">
        <v>9000</v>
      </c>
    </row>
    <row r="997" spans="1:17" ht="24.95" hidden="1" customHeight="1" x14ac:dyDescent="0.25">
      <c r="A997" s="3">
        <v>4</v>
      </c>
      <c r="B997" s="3" t="s">
        <v>416</v>
      </c>
      <c r="C997" s="3" t="s">
        <v>1460</v>
      </c>
      <c r="I997" s="3">
        <v>32</v>
      </c>
      <c r="J997" s="3">
        <v>3</v>
      </c>
      <c r="K997" s="3">
        <v>1</v>
      </c>
      <c r="L997" s="3">
        <v>3</v>
      </c>
      <c r="M997" s="3">
        <v>3900</v>
      </c>
      <c r="N997" s="3">
        <v>11.7</v>
      </c>
      <c r="O997" s="3">
        <v>6.31</v>
      </c>
      <c r="P997" s="3">
        <v>73.826999999999984</v>
      </c>
      <c r="Q997" s="3">
        <v>3900</v>
      </c>
    </row>
    <row r="998" spans="1:17" ht="24.95" hidden="1" customHeight="1" x14ac:dyDescent="0.25">
      <c r="A998" s="3">
        <v>4</v>
      </c>
      <c r="B998" s="3" t="s">
        <v>416</v>
      </c>
      <c r="C998" s="3" t="s">
        <v>1461</v>
      </c>
      <c r="I998" s="3">
        <v>32</v>
      </c>
      <c r="J998" s="3">
        <v>1</v>
      </c>
      <c r="K998" s="3">
        <v>1</v>
      </c>
      <c r="L998" s="3">
        <v>1</v>
      </c>
      <c r="M998" s="3">
        <v>3755</v>
      </c>
      <c r="N998" s="3">
        <v>3.7549999999999999</v>
      </c>
      <c r="O998" s="3">
        <v>6.31</v>
      </c>
      <c r="P998" s="3">
        <v>23.694049999999997</v>
      </c>
      <c r="Q998" s="3">
        <v>3755</v>
      </c>
    </row>
    <row r="999" spans="1:17" ht="24.95" hidden="1" customHeight="1" x14ac:dyDescent="0.25">
      <c r="A999" s="3">
        <v>4</v>
      </c>
      <c r="B999" s="3" t="s">
        <v>416</v>
      </c>
      <c r="C999" s="3" t="s">
        <v>1462</v>
      </c>
      <c r="I999" s="3">
        <v>32</v>
      </c>
      <c r="J999" s="3">
        <v>1</v>
      </c>
      <c r="K999" s="3">
        <v>1</v>
      </c>
      <c r="L999" s="3">
        <v>1</v>
      </c>
      <c r="M999" s="3">
        <v>10000</v>
      </c>
      <c r="N999" s="3">
        <v>10</v>
      </c>
      <c r="O999" s="3">
        <v>6.31</v>
      </c>
      <c r="P999" s="3">
        <v>63.099999999999994</v>
      </c>
      <c r="Q999" s="3">
        <v>10000</v>
      </c>
    </row>
    <row r="1000" spans="1:17" ht="24.95" hidden="1" customHeight="1" x14ac:dyDescent="0.25">
      <c r="A1000" s="3">
        <v>4</v>
      </c>
      <c r="B1000" s="3" t="s">
        <v>416</v>
      </c>
      <c r="C1000" s="3" t="s">
        <v>1463</v>
      </c>
      <c r="I1000" s="3">
        <v>32</v>
      </c>
      <c r="J1000" s="3">
        <v>3</v>
      </c>
      <c r="K1000" s="3">
        <v>1</v>
      </c>
      <c r="L1000" s="3">
        <v>3</v>
      </c>
      <c r="M1000" s="3">
        <v>3655</v>
      </c>
      <c r="N1000" s="3">
        <v>10.965</v>
      </c>
      <c r="O1000" s="3">
        <v>6.31</v>
      </c>
      <c r="P1000" s="3">
        <v>69.189149999999998</v>
      </c>
      <c r="Q1000" s="3">
        <v>3655</v>
      </c>
    </row>
    <row r="1001" spans="1:17" ht="24.95" hidden="1" customHeight="1" x14ac:dyDescent="0.25">
      <c r="A1001" s="3">
        <v>4</v>
      </c>
      <c r="B1001" s="3" t="s">
        <v>416</v>
      </c>
      <c r="C1001" s="3" t="s">
        <v>1464</v>
      </c>
      <c r="I1001" s="3">
        <v>32</v>
      </c>
      <c r="J1001" s="3">
        <v>4</v>
      </c>
      <c r="K1001" s="3">
        <v>1</v>
      </c>
      <c r="L1001" s="3">
        <v>4</v>
      </c>
      <c r="M1001" s="3">
        <v>3655</v>
      </c>
      <c r="N1001" s="3">
        <v>14.62</v>
      </c>
      <c r="O1001" s="3">
        <v>6.31</v>
      </c>
      <c r="P1001" s="3">
        <v>92.252199999999988</v>
      </c>
      <c r="Q1001" s="3">
        <v>3655</v>
      </c>
    </row>
    <row r="1002" spans="1:17" ht="24.95" hidden="1" customHeight="1" x14ac:dyDescent="0.25">
      <c r="A1002" s="3">
        <v>4</v>
      </c>
      <c r="B1002" s="3" t="s">
        <v>416</v>
      </c>
      <c r="C1002" s="3" t="s">
        <v>1465</v>
      </c>
      <c r="I1002" s="3">
        <v>32</v>
      </c>
      <c r="J1002" s="3">
        <v>3</v>
      </c>
      <c r="K1002" s="3">
        <v>1</v>
      </c>
      <c r="L1002" s="3">
        <v>3</v>
      </c>
      <c r="M1002" s="3">
        <v>10000</v>
      </c>
      <c r="N1002" s="3">
        <v>30</v>
      </c>
      <c r="O1002" s="3">
        <v>6.31</v>
      </c>
      <c r="P1002" s="3">
        <v>189.29999999999998</v>
      </c>
      <c r="Q1002" s="3">
        <v>10000</v>
      </c>
    </row>
    <row r="1003" spans="1:17" ht="24.95" hidden="1" customHeight="1" x14ac:dyDescent="0.25">
      <c r="A1003" s="3">
        <v>4</v>
      </c>
      <c r="B1003" s="3" t="s">
        <v>416</v>
      </c>
      <c r="C1003" s="3" t="s">
        <v>1466</v>
      </c>
      <c r="I1003" s="3">
        <v>32</v>
      </c>
      <c r="J1003" s="3">
        <v>4</v>
      </c>
      <c r="K1003" s="3">
        <v>1</v>
      </c>
      <c r="L1003" s="3">
        <v>4</v>
      </c>
      <c r="M1003" s="3">
        <v>10000</v>
      </c>
      <c r="N1003" s="3">
        <v>40</v>
      </c>
      <c r="O1003" s="3">
        <v>6.31</v>
      </c>
      <c r="P1003" s="3">
        <v>252.39999999999998</v>
      </c>
      <c r="Q1003" s="3">
        <v>10000</v>
      </c>
    </row>
    <row r="1004" spans="1:17" ht="24.95" hidden="1" customHeight="1" x14ac:dyDescent="0.25">
      <c r="A1004" s="3">
        <v>4</v>
      </c>
      <c r="B1004" s="3" t="s">
        <v>416</v>
      </c>
      <c r="C1004" s="3" t="s">
        <v>1467</v>
      </c>
      <c r="I1004" s="3">
        <v>32</v>
      </c>
      <c r="J1004" s="3">
        <v>3</v>
      </c>
      <c r="K1004" s="3">
        <v>1</v>
      </c>
      <c r="L1004" s="3">
        <v>3</v>
      </c>
      <c r="M1004" s="3">
        <v>5400</v>
      </c>
      <c r="N1004" s="3">
        <v>16.2</v>
      </c>
      <c r="O1004" s="3">
        <v>6.31</v>
      </c>
      <c r="P1004" s="3">
        <v>102.22199999999999</v>
      </c>
      <c r="Q1004" s="3">
        <v>5400</v>
      </c>
    </row>
    <row r="1005" spans="1:17" ht="24.95" hidden="1" customHeight="1" x14ac:dyDescent="0.25">
      <c r="A1005" s="3">
        <v>4</v>
      </c>
      <c r="B1005" s="3" t="s">
        <v>416</v>
      </c>
      <c r="C1005" s="3" t="s">
        <v>1468</v>
      </c>
      <c r="I1005" s="3">
        <v>32</v>
      </c>
      <c r="J1005" s="3">
        <v>1</v>
      </c>
      <c r="K1005" s="3">
        <v>1</v>
      </c>
      <c r="L1005" s="3">
        <v>1</v>
      </c>
      <c r="M1005" s="3">
        <v>8065</v>
      </c>
      <c r="N1005" s="3">
        <v>8.0649999999999995</v>
      </c>
      <c r="O1005" s="3">
        <v>6.31</v>
      </c>
      <c r="P1005" s="3">
        <v>50.890149999999991</v>
      </c>
      <c r="Q1005" s="3">
        <v>8065</v>
      </c>
    </row>
    <row r="1006" spans="1:17" ht="24.95" hidden="1" customHeight="1" x14ac:dyDescent="0.25">
      <c r="A1006" s="3">
        <v>4</v>
      </c>
      <c r="B1006" s="3" t="s">
        <v>416</v>
      </c>
      <c r="C1006" s="3" t="s">
        <v>1469</v>
      </c>
      <c r="I1006" s="3">
        <v>32</v>
      </c>
      <c r="J1006" s="3">
        <v>6</v>
      </c>
      <c r="K1006" s="3">
        <v>1</v>
      </c>
      <c r="L1006" s="3">
        <v>6</v>
      </c>
      <c r="M1006" s="3">
        <v>11700</v>
      </c>
      <c r="N1006" s="3">
        <v>70.2</v>
      </c>
      <c r="O1006" s="3">
        <v>6.31</v>
      </c>
      <c r="P1006" s="3">
        <v>442.96199999999999</v>
      </c>
      <c r="Q1006" s="3">
        <v>11700</v>
      </c>
    </row>
    <row r="1007" spans="1:17" ht="24.95" hidden="1" customHeight="1" x14ac:dyDescent="0.25">
      <c r="A1007" s="3">
        <v>4</v>
      </c>
      <c r="B1007" s="3" t="s">
        <v>416</v>
      </c>
      <c r="C1007" s="3" t="s">
        <v>1470</v>
      </c>
      <c r="I1007" s="3">
        <v>32</v>
      </c>
      <c r="J1007" s="3">
        <v>3</v>
      </c>
      <c r="K1007" s="3">
        <v>1</v>
      </c>
      <c r="L1007" s="3">
        <v>3</v>
      </c>
      <c r="M1007" s="3">
        <v>7160</v>
      </c>
      <c r="N1007" s="3">
        <v>21.48</v>
      </c>
      <c r="O1007" s="3">
        <v>6.31</v>
      </c>
      <c r="P1007" s="3">
        <v>135.53879999999998</v>
      </c>
      <c r="Q1007" s="3">
        <v>7160</v>
      </c>
    </row>
    <row r="1008" spans="1:17" ht="24.95" hidden="1" customHeight="1" x14ac:dyDescent="0.25">
      <c r="A1008" s="3">
        <v>4</v>
      </c>
      <c r="B1008" s="3" t="s">
        <v>416</v>
      </c>
      <c r="C1008" s="3" t="s">
        <v>1471</v>
      </c>
      <c r="I1008" s="3">
        <v>32</v>
      </c>
      <c r="J1008" s="3">
        <v>1</v>
      </c>
      <c r="K1008" s="3">
        <v>1</v>
      </c>
      <c r="L1008" s="3">
        <v>1</v>
      </c>
      <c r="M1008" s="3">
        <v>5400</v>
      </c>
      <c r="N1008" s="3">
        <v>5.4</v>
      </c>
      <c r="O1008" s="3">
        <v>6.31</v>
      </c>
      <c r="P1008" s="3">
        <v>34.073999999999998</v>
      </c>
      <c r="Q1008" s="3">
        <v>5400</v>
      </c>
    </row>
    <row r="1009" spans="1:17" ht="24.95" hidden="1" customHeight="1" x14ac:dyDescent="0.25">
      <c r="A1009" s="3">
        <v>4</v>
      </c>
      <c r="B1009" s="3" t="s">
        <v>416</v>
      </c>
      <c r="C1009" s="3" t="s">
        <v>1472</v>
      </c>
      <c r="I1009" s="3">
        <v>32</v>
      </c>
      <c r="J1009" s="3">
        <v>7</v>
      </c>
      <c r="K1009" s="3">
        <v>1</v>
      </c>
      <c r="L1009" s="3">
        <v>7</v>
      </c>
      <c r="M1009" s="3">
        <v>3705</v>
      </c>
      <c r="N1009" s="3">
        <v>25.934999999999999</v>
      </c>
      <c r="O1009" s="3">
        <v>6.31</v>
      </c>
      <c r="P1009" s="3">
        <v>163.64984999999999</v>
      </c>
      <c r="Q1009" s="3">
        <v>3705</v>
      </c>
    </row>
    <row r="1010" spans="1:17" ht="24.95" hidden="1" customHeight="1" x14ac:dyDescent="0.25">
      <c r="A1010" s="3">
        <v>4</v>
      </c>
      <c r="B1010" s="3" t="s">
        <v>416</v>
      </c>
      <c r="C1010" s="3" t="s">
        <v>1473</v>
      </c>
      <c r="I1010" s="3">
        <v>32</v>
      </c>
      <c r="J1010" s="3">
        <v>4</v>
      </c>
      <c r="K1010" s="3">
        <v>1</v>
      </c>
      <c r="L1010" s="3">
        <v>4</v>
      </c>
      <c r="M1010" s="3">
        <v>5790</v>
      </c>
      <c r="N1010" s="3">
        <v>23.16</v>
      </c>
      <c r="O1010" s="3">
        <v>6.31</v>
      </c>
      <c r="P1010" s="3">
        <v>146.1396</v>
      </c>
      <c r="Q1010" s="3">
        <v>5790</v>
      </c>
    </row>
    <row r="1011" spans="1:17" ht="24.95" hidden="1" customHeight="1" x14ac:dyDescent="0.25">
      <c r="A1011" s="3">
        <v>4</v>
      </c>
      <c r="B1011" s="3" t="s">
        <v>416</v>
      </c>
      <c r="C1011" s="3" t="s">
        <v>1474</v>
      </c>
      <c r="I1011" s="3">
        <v>14</v>
      </c>
      <c r="J1011" s="3">
        <v>52</v>
      </c>
      <c r="K1011" s="3">
        <v>1</v>
      </c>
      <c r="L1011" s="3">
        <v>52</v>
      </c>
      <c r="M1011" s="3">
        <v>5930</v>
      </c>
      <c r="N1011" s="3">
        <v>308.36</v>
      </c>
      <c r="O1011" s="3">
        <v>1.21</v>
      </c>
      <c r="P1011" s="3">
        <v>373.11560000000003</v>
      </c>
      <c r="Q1011" s="3">
        <v>5930</v>
      </c>
    </row>
    <row r="1012" spans="1:17" ht="24.95" hidden="1" customHeight="1" x14ac:dyDescent="0.25">
      <c r="A1012" s="3">
        <v>4</v>
      </c>
      <c r="B1012" s="3" t="s">
        <v>416</v>
      </c>
      <c r="C1012" s="3" t="s">
        <v>1475</v>
      </c>
      <c r="I1012" s="3">
        <v>14</v>
      </c>
      <c r="J1012" s="3">
        <v>52</v>
      </c>
      <c r="K1012" s="3">
        <v>1</v>
      </c>
      <c r="L1012" s="3">
        <v>52</v>
      </c>
      <c r="M1012" s="3">
        <v>2350</v>
      </c>
      <c r="N1012" s="3">
        <v>122.2</v>
      </c>
      <c r="O1012" s="3">
        <v>1.21</v>
      </c>
      <c r="P1012" s="3">
        <v>147.86199999999999</v>
      </c>
      <c r="Q1012" s="3">
        <v>2350</v>
      </c>
    </row>
    <row r="1013" spans="1:17" ht="24.95" hidden="1" customHeight="1" x14ac:dyDescent="0.25">
      <c r="A1013" s="3">
        <v>4</v>
      </c>
      <c r="B1013" s="3" t="s">
        <v>416</v>
      </c>
      <c r="C1013" s="3" t="s">
        <v>1476</v>
      </c>
      <c r="I1013" s="3">
        <v>14</v>
      </c>
      <c r="J1013" s="3">
        <v>104</v>
      </c>
      <c r="K1013" s="3">
        <v>1</v>
      </c>
      <c r="L1013" s="3">
        <v>104</v>
      </c>
      <c r="M1013" s="3">
        <v>2670</v>
      </c>
      <c r="N1013" s="3">
        <v>277.68</v>
      </c>
      <c r="O1013" s="3">
        <v>1.21</v>
      </c>
      <c r="P1013" s="3">
        <v>335.99279999999999</v>
      </c>
      <c r="Q1013" s="3">
        <v>2670</v>
      </c>
    </row>
    <row r="1014" spans="1:17" ht="24.95" hidden="1" customHeight="1" x14ac:dyDescent="0.25">
      <c r="A1014" s="3">
        <v>4</v>
      </c>
      <c r="B1014" s="3" t="s">
        <v>416</v>
      </c>
      <c r="C1014" s="3" t="s">
        <v>1477</v>
      </c>
      <c r="I1014" s="3">
        <v>18</v>
      </c>
      <c r="J1014" s="3">
        <v>12</v>
      </c>
      <c r="K1014" s="3">
        <v>1</v>
      </c>
      <c r="L1014" s="3">
        <v>12</v>
      </c>
      <c r="M1014" s="3">
        <v>8100</v>
      </c>
      <c r="N1014" s="3">
        <v>97.2</v>
      </c>
      <c r="O1014" s="3">
        <v>2</v>
      </c>
      <c r="P1014" s="3">
        <v>194.4</v>
      </c>
      <c r="Q1014" s="3">
        <v>8100</v>
      </c>
    </row>
    <row r="1015" spans="1:17" ht="24.95" hidden="1" customHeight="1" x14ac:dyDescent="0.25">
      <c r="A1015" s="3">
        <v>4</v>
      </c>
      <c r="B1015" s="3" t="s">
        <v>416</v>
      </c>
      <c r="C1015" s="3" t="s">
        <v>1478</v>
      </c>
      <c r="I1015" s="3">
        <v>14</v>
      </c>
      <c r="J1015" s="3">
        <v>162</v>
      </c>
      <c r="K1015" s="3">
        <v>1</v>
      </c>
      <c r="L1015" s="3">
        <v>162</v>
      </c>
      <c r="M1015" s="3">
        <v>1370</v>
      </c>
      <c r="N1015" s="3">
        <v>221.94</v>
      </c>
      <c r="O1015" s="3">
        <v>1.21</v>
      </c>
      <c r="P1015" s="3">
        <v>268.54739999999998</v>
      </c>
      <c r="Q1015" s="3">
        <v>1370</v>
      </c>
    </row>
    <row r="1016" spans="1:17" ht="24.95" hidden="1" customHeight="1" x14ac:dyDescent="0.25">
      <c r="A1016" s="3">
        <v>4</v>
      </c>
      <c r="B1016" s="3" t="s">
        <v>416</v>
      </c>
      <c r="C1016" s="3" t="s">
        <v>1479</v>
      </c>
      <c r="I1016" s="3">
        <v>32</v>
      </c>
      <c r="J1016" s="3">
        <v>10</v>
      </c>
      <c r="K1016" s="3">
        <v>1</v>
      </c>
      <c r="L1016" s="3">
        <v>10</v>
      </c>
      <c r="M1016" s="3">
        <v>1090</v>
      </c>
      <c r="N1016" s="3">
        <v>10.9</v>
      </c>
      <c r="O1016" s="3">
        <v>6.31</v>
      </c>
      <c r="P1016" s="3">
        <v>68.778999999999996</v>
      </c>
      <c r="Q1016" s="3">
        <v>1090</v>
      </c>
    </row>
    <row r="1017" spans="1:17" ht="24.95" hidden="1" customHeight="1" x14ac:dyDescent="0.25">
      <c r="A1017" s="3">
        <v>4</v>
      </c>
      <c r="B1017" s="3" t="s">
        <v>416</v>
      </c>
      <c r="C1017" s="3" t="s">
        <v>1480</v>
      </c>
      <c r="I1017" s="3">
        <v>14</v>
      </c>
      <c r="J1017" s="3">
        <v>12</v>
      </c>
      <c r="K1017" s="3">
        <v>1</v>
      </c>
      <c r="L1017" s="3">
        <v>12</v>
      </c>
      <c r="M1017" s="3">
        <v>8100</v>
      </c>
      <c r="N1017" s="3">
        <v>97.2</v>
      </c>
      <c r="O1017" s="3">
        <v>1.21</v>
      </c>
      <c r="P1017" s="3">
        <v>117.61199999999999</v>
      </c>
      <c r="Q1017" s="3">
        <v>8100</v>
      </c>
    </row>
    <row r="1018" spans="1:17" ht="24.95" hidden="1" customHeight="1" x14ac:dyDescent="0.25">
      <c r="A1018" s="3">
        <v>4</v>
      </c>
      <c r="B1018" s="3" t="s">
        <v>417</v>
      </c>
      <c r="C1018" s="3" t="s">
        <v>1481</v>
      </c>
      <c r="I1018" s="3">
        <v>32</v>
      </c>
      <c r="J1018" s="3">
        <v>6</v>
      </c>
      <c r="K1018" s="3">
        <v>1</v>
      </c>
      <c r="L1018" s="3">
        <v>6</v>
      </c>
      <c r="M1018" s="3">
        <v>3525</v>
      </c>
      <c r="N1018" s="3">
        <v>21.15</v>
      </c>
      <c r="O1018" s="3">
        <v>6.31</v>
      </c>
      <c r="P1018" s="3">
        <v>133.45649999999998</v>
      </c>
      <c r="Q1018" s="3">
        <v>3525</v>
      </c>
    </row>
    <row r="1019" spans="1:17" ht="24.95" hidden="1" customHeight="1" x14ac:dyDescent="0.25">
      <c r="A1019" s="3">
        <v>4</v>
      </c>
      <c r="B1019" s="3" t="s">
        <v>417</v>
      </c>
      <c r="C1019" s="3" t="s">
        <v>1482</v>
      </c>
      <c r="I1019" s="3">
        <v>32</v>
      </c>
      <c r="J1019" s="3">
        <v>5</v>
      </c>
      <c r="K1019" s="3">
        <v>1</v>
      </c>
      <c r="L1019" s="3">
        <v>5</v>
      </c>
      <c r="M1019" s="3">
        <v>3525</v>
      </c>
      <c r="N1019" s="3">
        <v>17.625</v>
      </c>
      <c r="O1019" s="3">
        <v>6.31</v>
      </c>
      <c r="P1019" s="3">
        <v>111.21374999999999</v>
      </c>
      <c r="Q1019" s="3">
        <v>3525</v>
      </c>
    </row>
    <row r="1020" spans="1:17" ht="24.95" hidden="1" customHeight="1" x14ac:dyDescent="0.25">
      <c r="A1020" s="3">
        <v>4</v>
      </c>
      <c r="B1020" s="3" t="s">
        <v>417</v>
      </c>
      <c r="C1020" s="3" t="s">
        <v>1483</v>
      </c>
      <c r="I1020" s="3">
        <v>32</v>
      </c>
      <c r="J1020" s="3">
        <v>6</v>
      </c>
      <c r="K1020" s="3">
        <v>1</v>
      </c>
      <c r="L1020" s="3">
        <v>6</v>
      </c>
      <c r="M1020" s="3">
        <v>10000</v>
      </c>
      <c r="N1020" s="3">
        <v>60</v>
      </c>
      <c r="O1020" s="3">
        <v>6.31</v>
      </c>
      <c r="P1020" s="3">
        <v>378.59999999999997</v>
      </c>
      <c r="Q1020" s="3">
        <v>10000</v>
      </c>
    </row>
    <row r="1021" spans="1:17" ht="24.95" hidden="1" customHeight="1" x14ac:dyDescent="0.25">
      <c r="A1021" s="3">
        <v>4</v>
      </c>
      <c r="B1021" s="3" t="s">
        <v>417</v>
      </c>
      <c r="C1021" s="3" t="s">
        <v>1484</v>
      </c>
      <c r="I1021" s="3">
        <v>32</v>
      </c>
      <c r="J1021" s="3">
        <v>5</v>
      </c>
      <c r="K1021" s="3">
        <v>1</v>
      </c>
      <c r="L1021" s="3">
        <v>5</v>
      </c>
      <c r="M1021" s="3">
        <v>10000</v>
      </c>
      <c r="N1021" s="3">
        <v>50</v>
      </c>
      <c r="O1021" s="3">
        <v>6.31</v>
      </c>
      <c r="P1021" s="3">
        <v>315.5</v>
      </c>
      <c r="Q1021" s="3">
        <v>10000</v>
      </c>
    </row>
    <row r="1022" spans="1:17" ht="24.95" hidden="1" customHeight="1" x14ac:dyDescent="0.25">
      <c r="A1022" s="3">
        <v>4</v>
      </c>
      <c r="B1022" s="3" t="s">
        <v>417</v>
      </c>
      <c r="C1022" s="3" t="s">
        <v>1485</v>
      </c>
      <c r="I1022" s="3">
        <v>32</v>
      </c>
      <c r="J1022" s="3">
        <v>5</v>
      </c>
      <c r="K1022" s="3">
        <v>1</v>
      </c>
      <c r="L1022" s="3">
        <v>5</v>
      </c>
      <c r="M1022" s="3">
        <v>3225</v>
      </c>
      <c r="N1022" s="3">
        <v>16.125</v>
      </c>
      <c r="O1022" s="3">
        <v>6.31</v>
      </c>
      <c r="P1022" s="3">
        <v>101.74874999999999</v>
      </c>
      <c r="Q1022" s="3">
        <v>3225</v>
      </c>
    </row>
    <row r="1023" spans="1:17" ht="24.95" hidden="1" customHeight="1" x14ac:dyDescent="0.25">
      <c r="A1023" s="3">
        <v>4</v>
      </c>
      <c r="B1023" s="3" t="s">
        <v>417</v>
      </c>
      <c r="C1023" s="3" t="s">
        <v>1486</v>
      </c>
      <c r="I1023" s="3">
        <v>32</v>
      </c>
      <c r="J1023" s="3">
        <v>6</v>
      </c>
      <c r="K1023" s="3">
        <v>1</v>
      </c>
      <c r="L1023" s="3">
        <v>6</v>
      </c>
      <c r="M1023" s="3">
        <v>3225</v>
      </c>
      <c r="N1023" s="3">
        <v>19.350000000000001</v>
      </c>
      <c r="O1023" s="3">
        <v>6.31</v>
      </c>
      <c r="P1023" s="3">
        <v>122.0985</v>
      </c>
      <c r="Q1023" s="3">
        <v>3225</v>
      </c>
    </row>
    <row r="1024" spans="1:17" ht="24.95" hidden="1" customHeight="1" x14ac:dyDescent="0.25">
      <c r="A1024" s="3">
        <v>4</v>
      </c>
      <c r="B1024" s="3" t="s">
        <v>417</v>
      </c>
      <c r="C1024" s="3" t="s">
        <v>1487</v>
      </c>
      <c r="I1024" s="3">
        <v>32</v>
      </c>
      <c r="J1024" s="3">
        <v>6</v>
      </c>
      <c r="K1024" s="3">
        <v>1</v>
      </c>
      <c r="L1024" s="3">
        <v>6</v>
      </c>
      <c r="M1024" s="3">
        <v>3325</v>
      </c>
      <c r="N1024" s="3">
        <v>19.95</v>
      </c>
      <c r="O1024" s="3">
        <v>6.31</v>
      </c>
      <c r="P1024" s="3">
        <v>125.88449999999999</v>
      </c>
      <c r="Q1024" s="3">
        <v>3325</v>
      </c>
    </row>
    <row r="1025" spans="1:17" ht="24.95" hidden="1" customHeight="1" x14ac:dyDescent="0.25">
      <c r="A1025" s="3">
        <v>4</v>
      </c>
      <c r="B1025" s="3" t="s">
        <v>417</v>
      </c>
      <c r="C1025" s="3" t="s">
        <v>1488</v>
      </c>
      <c r="I1025" s="3">
        <v>32</v>
      </c>
      <c r="J1025" s="3">
        <v>5</v>
      </c>
      <c r="K1025" s="3">
        <v>1</v>
      </c>
      <c r="L1025" s="3">
        <v>5</v>
      </c>
      <c r="M1025" s="3">
        <v>3325</v>
      </c>
      <c r="N1025" s="3">
        <v>16.625</v>
      </c>
      <c r="O1025" s="3">
        <v>6.31</v>
      </c>
      <c r="P1025" s="3">
        <v>104.90374999999999</v>
      </c>
      <c r="Q1025" s="3">
        <v>3325</v>
      </c>
    </row>
    <row r="1026" spans="1:17" ht="24.95" hidden="1" customHeight="1" x14ac:dyDescent="0.25">
      <c r="A1026" s="3">
        <v>4</v>
      </c>
      <c r="B1026" s="3" t="s">
        <v>417</v>
      </c>
      <c r="C1026" s="3" t="s">
        <v>1489</v>
      </c>
      <c r="I1026" s="3">
        <v>32</v>
      </c>
      <c r="J1026" s="3">
        <v>5</v>
      </c>
      <c r="K1026" s="3">
        <v>1</v>
      </c>
      <c r="L1026" s="3">
        <v>5</v>
      </c>
      <c r="M1026" s="3">
        <v>3425</v>
      </c>
      <c r="N1026" s="3">
        <v>17.125</v>
      </c>
      <c r="O1026" s="3">
        <v>6.31</v>
      </c>
      <c r="P1026" s="3">
        <v>108.05874999999999</v>
      </c>
      <c r="Q1026" s="3">
        <v>3425</v>
      </c>
    </row>
    <row r="1027" spans="1:17" ht="24.95" hidden="1" customHeight="1" x14ac:dyDescent="0.25">
      <c r="A1027" s="3">
        <v>4</v>
      </c>
      <c r="B1027" s="3" t="s">
        <v>417</v>
      </c>
      <c r="C1027" s="3" t="s">
        <v>1490</v>
      </c>
      <c r="I1027" s="3">
        <v>32</v>
      </c>
      <c r="J1027" s="3">
        <v>6</v>
      </c>
      <c r="K1027" s="3">
        <v>1</v>
      </c>
      <c r="L1027" s="3">
        <v>6</v>
      </c>
      <c r="M1027" s="3">
        <v>3425</v>
      </c>
      <c r="N1027" s="3">
        <v>20.55</v>
      </c>
      <c r="O1027" s="3">
        <v>6.31</v>
      </c>
      <c r="P1027" s="3">
        <v>129.6705</v>
      </c>
      <c r="Q1027" s="3">
        <v>3425</v>
      </c>
    </row>
    <row r="1028" spans="1:17" ht="24.95" hidden="1" customHeight="1" x14ac:dyDescent="0.25">
      <c r="A1028" s="3">
        <v>4</v>
      </c>
      <c r="B1028" s="3" t="s">
        <v>417</v>
      </c>
      <c r="C1028" s="3" t="s">
        <v>1491</v>
      </c>
      <c r="I1028" s="3">
        <v>32</v>
      </c>
      <c r="J1028" s="3">
        <v>16</v>
      </c>
      <c r="K1028" s="3">
        <v>1</v>
      </c>
      <c r="L1028" s="3">
        <v>16</v>
      </c>
      <c r="M1028" s="3">
        <v>10000</v>
      </c>
      <c r="N1028" s="3">
        <v>160</v>
      </c>
      <c r="O1028" s="3">
        <v>6.31</v>
      </c>
      <c r="P1028" s="3">
        <v>1009.5999999999999</v>
      </c>
      <c r="Q1028" s="3">
        <v>10000</v>
      </c>
    </row>
    <row r="1029" spans="1:17" ht="24.95" hidden="1" customHeight="1" x14ac:dyDescent="0.25">
      <c r="A1029" s="3">
        <v>4</v>
      </c>
      <c r="B1029" s="3" t="s">
        <v>417</v>
      </c>
      <c r="C1029" s="3" t="s">
        <v>1492</v>
      </c>
      <c r="I1029" s="3">
        <v>32</v>
      </c>
      <c r="J1029" s="3">
        <v>17</v>
      </c>
      <c r="K1029" s="3">
        <v>1</v>
      </c>
      <c r="L1029" s="3">
        <v>17</v>
      </c>
      <c r="M1029" s="3">
        <v>10000</v>
      </c>
      <c r="N1029" s="3">
        <v>170</v>
      </c>
      <c r="O1029" s="3">
        <v>6.31</v>
      </c>
      <c r="P1029" s="3">
        <v>1072.7</v>
      </c>
      <c r="Q1029" s="3">
        <v>10000</v>
      </c>
    </row>
    <row r="1030" spans="1:17" ht="24.95" hidden="1" customHeight="1" x14ac:dyDescent="0.25">
      <c r="A1030" s="3">
        <v>4</v>
      </c>
      <c r="B1030" s="3" t="s">
        <v>417</v>
      </c>
      <c r="C1030" s="3" t="s">
        <v>1493</v>
      </c>
      <c r="I1030" s="3">
        <v>32</v>
      </c>
      <c r="J1030" s="3">
        <v>6</v>
      </c>
      <c r="K1030" s="3">
        <v>1</v>
      </c>
      <c r="L1030" s="3">
        <v>6</v>
      </c>
      <c r="M1030" s="3">
        <v>7855</v>
      </c>
      <c r="N1030" s="3">
        <v>47.13</v>
      </c>
      <c r="O1030" s="3">
        <v>6.31</v>
      </c>
      <c r="P1030" s="3">
        <v>297.39030000000002</v>
      </c>
      <c r="Q1030" s="3">
        <v>7855</v>
      </c>
    </row>
    <row r="1031" spans="1:17" ht="24.95" hidden="1" customHeight="1" x14ac:dyDescent="0.25">
      <c r="A1031" s="3">
        <v>4</v>
      </c>
      <c r="B1031" s="3" t="s">
        <v>417</v>
      </c>
      <c r="C1031" s="3" t="s">
        <v>1494</v>
      </c>
      <c r="I1031" s="3">
        <v>32</v>
      </c>
      <c r="J1031" s="3">
        <v>6</v>
      </c>
      <c r="K1031" s="3">
        <v>1</v>
      </c>
      <c r="L1031" s="3">
        <v>6</v>
      </c>
      <c r="M1031" s="3">
        <v>5460</v>
      </c>
      <c r="N1031" s="3">
        <v>32.76</v>
      </c>
      <c r="O1031" s="3">
        <v>6.31</v>
      </c>
      <c r="P1031" s="3">
        <v>206.71559999999997</v>
      </c>
      <c r="Q1031" s="3">
        <v>5460</v>
      </c>
    </row>
    <row r="1032" spans="1:17" ht="24.95" hidden="1" customHeight="1" x14ac:dyDescent="0.25">
      <c r="A1032" s="3">
        <v>4</v>
      </c>
      <c r="B1032" s="3" t="s">
        <v>417</v>
      </c>
      <c r="C1032" s="3" t="s">
        <v>1495</v>
      </c>
      <c r="I1032" s="3">
        <v>32</v>
      </c>
      <c r="J1032" s="3">
        <v>5</v>
      </c>
      <c r="K1032" s="3">
        <v>1</v>
      </c>
      <c r="L1032" s="3">
        <v>5</v>
      </c>
      <c r="M1032" s="3">
        <v>6115</v>
      </c>
      <c r="N1032" s="3">
        <v>30.574999999999999</v>
      </c>
      <c r="O1032" s="3">
        <v>6.31</v>
      </c>
      <c r="P1032" s="3">
        <v>192.92824999999999</v>
      </c>
      <c r="Q1032" s="3">
        <v>6115</v>
      </c>
    </row>
    <row r="1033" spans="1:17" ht="24.95" hidden="1" customHeight="1" x14ac:dyDescent="0.25">
      <c r="A1033" s="3">
        <v>4</v>
      </c>
      <c r="B1033" s="3" t="s">
        <v>417</v>
      </c>
      <c r="C1033" s="3" t="s">
        <v>1496</v>
      </c>
      <c r="I1033" s="3">
        <v>32</v>
      </c>
      <c r="J1033" s="3">
        <v>5</v>
      </c>
      <c r="K1033" s="3">
        <v>1</v>
      </c>
      <c r="L1033" s="3">
        <v>5</v>
      </c>
      <c r="M1033" s="3">
        <v>7200</v>
      </c>
      <c r="N1033" s="3">
        <v>36</v>
      </c>
      <c r="O1033" s="3">
        <v>6.31</v>
      </c>
      <c r="P1033" s="3">
        <v>227.16</v>
      </c>
      <c r="Q1033" s="3">
        <v>7200</v>
      </c>
    </row>
    <row r="1034" spans="1:17" ht="24.95" hidden="1" customHeight="1" x14ac:dyDescent="0.25">
      <c r="A1034" s="3">
        <v>4</v>
      </c>
      <c r="B1034" s="3" t="s">
        <v>417</v>
      </c>
      <c r="C1034" s="3" t="s">
        <v>1497</v>
      </c>
      <c r="I1034" s="3">
        <v>32</v>
      </c>
      <c r="J1034" s="3">
        <v>11</v>
      </c>
      <c r="K1034" s="3">
        <v>1</v>
      </c>
      <c r="L1034" s="3">
        <v>11</v>
      </c>
      <c r="M1034" s="3">
        <v>4495</v>
      </c>
      <c r="N1034" s="3">
        <v>49.445</v>
      </c>
      <c r="O1034" s="3">
        <v>6.31</v>
      </c>
      <c r="P1034" s="3">
        <v>311.99795</v>
      </c>
      <c r="Q1034" s="3">
        <v>4495</v>
      </c>
    </row>
    <row r="1035" spans="1:17" ht="24.95" hidden="1" customHeight="1" x14ac:dyDescent="0.25">
      <c r="A1035" s="3">
        <v>4</v>
      </c>
      <c r="B1035" s="3" t="s">
        <v>417</v>
      </c>
      <c r="C1035" s="3" t="s">
        <v>1498</v>
      </c>
      <c r="I1035" s="3">
        <v>14</v>
      </c>
      <c r="J1035" s="3">
        <v>55</v>
      </c>
      <c r="K1035" s="3">
        <v>1</v>
      </c>
      <c r="L1035" s="3">
        <v>55</v>
      </c>
      <c r="M1035" s="3">
        <v>2950</v>
      </c>
      <c r="N1035" s="3">
        <v>162.25</v>
      </c>
      <c r="O1035" s="3">
        <v>1.21</v>
      </c>
      <c r="P1035" s="3">
        <v>196.32249999999999</v>
      </c>
      <c r="Q1035" s="3">
        <v>2950</v>
      </c>
    </row>
    <row r="1036" spans="1:17" ht="24.95" hidden="1" customHeight="1" x14ac:dyDescent="0.25">
      <c r="A1036" s="3">
        <v>4</v>
      </c>
      <c r="B1036" s="3" t="s">
        <v>417</v>
      </c>
      <c r="C1036" s="3" t="s">
        <v>1499</v>
      </c>
      <c r="I1036" s="3">
        <v>14</v>
      </c>
      <c r="J1036" s="3">
        <v>55</v>
      </c>
      <c r="K1036" s="3">
        <v>1</v>
      </c>
      <c r="L1036" s="3">
        <v>55</v>
      </c>
      <c r="M1036" s="3">
        <v>6530</v>
      </c>
      <c r="N1036" s="3">
        <v>359.15</v>
      </c>
      <c r="O1036" s="3">
        <v>1.21</v>
      </c>
      <c r="P1036" s="3">
        <v>434.57149999999996</v>
      </c>
      <c r="Q1036" s="3">
        <v>6530</v>
      </c>
    </row>
    <row r="1037" spans="1:17" ht="24.95" hidden="1" customHeight="1" x14ac:dyDescent="0.25">
      <c r="A1037" s="3">
        <v>4</v>
      </c>
      <c r="B1037" s="3" t="s">
        <v>417</v>
      </c>
      <c r="C1037" s="3" t="s">
        <v>1500</v>
      </c>
      <c r="I1037" s="3">
        <v>14</v>
      </c>
      <c r="J1037" s="3">
        <v>220</v>
      </c>
      <c r="K1037" s="3">
        <v>1</v>
      </c>
      <c r="L1037" s="3">
        <v>220</v>
      </c>
      <c r="M1037" s="3">
        <v>2670</v>
      </c>
      <c r="N1037" s="3">
        <v>587.4</v>
      </c>
      <c r="O1037" s="3">
        <v>1.21</v>
      </c>
      <c r="P1037" s="3">
        <v>710.75399999999991</v>
      </c>
      <c r="Q1037" s="3">
        <v>2670</v>
      </c>
    </row>
    <row r="1038" spans="1:17" ht="24.95" hidden="1" customHeight="1" x14ac:dyDescent="0.25">
      <c r="A1038" s="3">
        <v>4</v>
      </c>
      <c r="B1038" s="3" t="s">
        <v>417</v>
      </c>
      <c r="C1038" s="3" t="s">
        <v>1501</v>
      </c>
      <c r="I1038" s="3">
        <v>18</v>
      </c>
      <c r="J1038" s="3">
        <v>12</v>
      </c>
      <c r="K1038" s="3">
        <v>1</v>
      </c>
      <c r="L1038" s="3">
        <v>12</v>
      </c>
      <c r="M1038" s="3">
        <v>7700</v>
      </c>
      <c r="N1038" s="3">
        <v>92.4</v>
      </c>
      <c r="O1038" s="3">
        <v>2</v>
      </c>
      <c r="P1038" s="3">
        <v>184.8</v>
      </c>
      <c r="Q1038" s="3">
        <v>7700</v>
      </c>
    </row>
    <row r="1039" spans="1:17" ht="24.95" hidden="1" customHeight="1" x14ac:dyDescent="0.25">
      <c r="A1039" s="3">
        <v>4</v>
      </c>
      <c r="B1039" s="3" t="s">
        <v>417</v>
      </c>
      <c r="C1039" s="3" t="s">
        <v>1502</v>
      </c>
      <c r="I1039" s="3">
        <v>14</v>
      </c>
      <c r="J1039" s="3">
        <v>174</v>
      </c>
      <c r="K1039" s="3">
        <v>1</v>
      </c>
      <c r="L1039" s="3">
        <v>174</v>
      </c>
      <c r="M1039" s="3">
        <v>1970</v>
      </c>
      <c r="N1039" s="3">
        <v>342.78</v>
      </c>
      <c r="O1039" s="3">
        <v>1.21</v>
      </c>
      <c r="P1039" s="3">
        <v>414.76379999999995</v>
      </c>
      <c r="Q1039" s="3">
        <v>1970</v>
      </c>
    </row>
    <row r="1040" spans="1:17" ht="24.95" hidden="1" customHeight="1" x14ac:dyDescent="0.25">
      <c r="A1040" s="3">
        <v>4</v>
      </c>
      <c r="B1040" s="3" t="s">
        <v>417</v>
      </c>
      <c r="C1040" s="3" t="s">
        <v>1503</v>
      </c>
      <c r="I1040" s="3">
        <v>32</v>
      </c>
      <c r="J1040" s="3">
        <v>17</v>
      </c>
      <c r="K1040" s="3">
        <v>1</v>
      </c>
      <c r="L1040" s="3">
        <v>17</v>
      </c>
      <c r="M1040" s="3">
        <v>1690</v>
      </c>
      <c r="N1040" s="3">
        <v>28.73</v>
      </c>
      <c r="O1040" s="3">
        <v>6.31</v>
      </c>
      <c r="P1040" s="3">
        <v>181.28629999999998</v>
      </c>
      <c r="Q1040" s="3">
        <v>1690</v>
      </c>
    </row>
    <row r="1041" spans="1:17" ht="24.95" hidden="1" customHeight="1" x14ac:dyDescent="0.25">
      <c r="A1041" s="3">
        <v>4</v>
      </c>
      <c r="B1041" s="3" t="s">
        <v>417</v>
      </c>
      <c r="C1041" s="3" t="s">
        <v>1504</v>
      </c>
      <c r="I1041" s="3">
        <v>14</v>
      </c>
      <c r="J1041" s="3">
        <v>24</v>
      </c>
      <c r="K1041" s="3">
        <v>1</v>
      </c>
      <c r="L1041" s="3">
        <v>24</v>
      </c>
      <c r="M1041" s="3">
        <v>7700</v>
      </c>
      <c r="N1041" s="3">
        <v>184.8</v>
      </c>
      <c r="O1041" s="3">
        <v>1.21</v>
      </c>
      <c r="P1041" s="3">
        <v>223.608</v>
      </c>
      <c r="Q1041" s="3">
        <v>7700</v>
      </c>
    </row>
    <row r="1042" spans="1:17" ht="24.95" hidden="1" customHeight="1" x14ac:dyDescent="0.25">
      <c r="A1042" s="3">
        <v>4</v>
      </c>
      <c r="B1042" s="3" t="s">
        <v>418</v>
      </c>
      <c r="C1042" s="3" t="s">
        <v>1505</v>
      </c>
      <c r="I1042" s="3">
        <v>32</v>
      </c>
      <c r="J1042" s="3">
        <v>6</v>
      </c>
      <c r="K1042" s="3">
        <v>1</v>
      </c>
      <c r="L1042" s="3">
        <v>6</v>
      </c>
      <c r="M1042" s="3">
        <v>3580</v>
      </c>
      <c r="N1042" s="3">
        <v>21.48</v>
      </c>
      <c r="O1042" s="3">
        <v>6.31</v>
      </c>
      <c r="P1042" s="3">
        <v>135.53879999999998</v>
      </c>
      <c r="Q1042" s="3">
        <v>3580</v>
      </c>
    </row>
    <row r="1043" spans="1:17" ht="24.95" hidden="1" customHeight="1" x14ac:dyDescent="0.25">
      <c r="A1043" s="3">
        <v>4</v>
      </c>
      <c r="B1043" s="3" t="s">
        <v>418</v>
      </c>
      <c r="C1043" s="3" t="s">
        <v>1506</v>
      </c>
      <c r="I1043" s="3">
        <v>32</v>
      </c>
      <c r="J1043" s="3">
        <v>5</v>
      </c>
      <c r="K1043" s="3">
        <v>1</v>
      </c>
      <c r="L1043" s="3">
        <v>5</v>
      </c>
      <c r="M1043" s="3">
        <v>3580</v>
      </c>
      <c r="N1043" s="3">
        <v>17.899999999999999</v>
      </c>
      <c r="O1043" s="3">
        <v>6.31</v>
      </c>
      <c r="P1043" s="3">
        <v>112.94899999999998</v>
      </c>
      <c r="Q1043" s="3">
        <v>3580</v>
      </c>
    </row>
    <row r="1044" spans="1:17" ht="24.95" hidden="1" customHeight="1" x14ac:dyDescent="0.25">
      <c r="A1044" s="3">
        <v>4</v>
      </c>
      <c r="B1044" s="3" t="s">
        <v>418</v>
      </c>
      <c r="C1044" s="3" t="s">
        <v>1507</v>
      </c>
      <c r="I1044" s="3">
        <v>32</v>
      </c>
      <c r="J1044" s="3">
        <v>5</v>
      </c>
      <c r="K1044" s="3">
        <v>1</v>
      </c>
      <c r="L1044" s="3">
        <v>5</v>
      </c>
      <c r="M1044" s="3">
        <v>10000</v>
      </c>
      <c r="N1044" s="3">
        <v>50</v>
      </c>
      <c r="O1044" s="3">
        <v>6.31</v>
      </c>
      <c r="P1044" s="3">
        <v>315.5</v>
      </c>
      <c r="Q1044" s="3">
        <v>10000</v>
      </c>
    </row>
    <row r="1045" spans="1:17" ht="24.95" hidden="1" customHeight="1" x14ac:dyDescent="0.25">
      <c r="A1045" s="3">
        <v>4</v>
      </c>
      <c r="B1045" s="3" t="s">
        <v>418</v>
      </c>
      <c r="C1045" s="3" t="s">
        <v>1508</v>
      </c>
      <c r="I1045" s="3">
        <v>32</v>
      </c>
      <c r="J1045" s="3">
        <v>6</v>
      </c>
      <c r="K1045" s="3">
        <v>1</v>
      </c>
      <c r="L1045" s="3">
        <v>6</v>
      </c>
      <c r="M1045" s="3">
        <v>10000</v>
      </c>
      <c r="N1045" s="3">
        <v>60</v>
      </c>
      <c r="O1045" s="3">
        <v>6.31</v>
      </c>
      <c r="P1045" s="3">
        <v>378.59999999999997</v>
      </c>
      <c r="Q1045" s="3">
        <v>10000</v>
      </c>
    </row>
    <row r="1046" spans="1:17" ht="24.95" hidden="1" customHeight="1" x14ac:dyDescent="0.25">
      <c r="A1046" s="3">
        <v>4</v>
      </c>
      <c r="B1046" s="3" t="s">
        <v>418</v>
      </c>
      <c r="C1046" s="3" t="s">
        <v>1509</v>
      </c>
      <c r="I1046" s="3">
        <v>32</v>
      </c>
      <c r="J1046" s="3">
        <v>5</v>
      </c>
      <c r="K1046" s="3">
        <v>1</v>
      </c>
      <c r="L1046" s="3">
        <v>5</v>
      </c>
      <c r="M1046" s="3">
        <v>3480</v>
      </c>
      <c r="N1046" s="3">
        <v>17.399999999999999</v>
      </c>
      <c r="O1046" s="3">
        <v>6.31</v>
      </c>
      <c r="P1046" s="3">
        <v>109.79399999999998</v>
      </c>
      <c r="Q1046" s="3">
        <v>3480</v>
      </c>
    </row>
    <row r="1047" spans="1:17" ht="24.95" hidden="1" customHeight="1" x14ac:dyDescent="0.25">
      <c r="A1047" s="3">
        <v>4</v>
      </c>
      <c r="B1047" s="3" t="s">
        <v>418</v>
      </c>
      <c r="C1047" s="3" t="s">
        <v>1510</v>
      </c>
      <c r="I1047" s="3">
        <v>32</v>
      </c>
      <c r="J1047" s="3">
        <v>6</v>
      </c>
      <c r="K1047" s="3">
        <v>1</v>
      </c>
      <c r="L1047" s="3">
        <v>6</v>
      </c>
      <c r="M1047" s="3">
        <v>3480</v>
      </c>
      <c r="N1047" s="3">
        <v>20.88</v>
      </c>
      <c r="O1047" s="3">
        <v>6.31</v>
      </c>
      <c r="P1047" s="3">
        <v>131.75279999999998</v>
      </c>
      <c r="Q1047" s="3">
        <v>3480</v>
      </c>
    </row>
    <row r="1048" spans="1:17" ht="24.95" hidden="1" customHeight="1" x14ac:dyDescent="0.25">
      <c r="A1048" s="3">
        <v>4</v>
      </c>
      <c r="B1048" s="3" t="s">
        <v>418</v>
      </c>
      <c r="C1048" s="3" t="s">
        <v>1511</v>
      </c>
      <c r="I1048" s="3">
        <v>32</v>
      </c>
      <c r="J1048" s="3">
        <v>6</v>
      </c>
      <c r="K1048" s="3">
        <v>1</v>
      </c>
      <c r="L1048" s="3">
        <v>6</v>
      </c>
      <c r="M1048" s="3">
        <v>10000</v>
      </c>
      <c r="N1048" s="3">
        <v>60</v>
      </c>
      <c r="O1048" s="3">
        <v>6.31</v>
      </c>
      <c r="P1048" s="3">
        <v>378.59999999999997</v>
      </c>
      <c r="Q1048" s="3">
        <v>10000</v>
      </c>
    </row>
    <row r="1049" spans="1:17" ht="24.95" hidden="1" customHeight="1" x14ac:dyDescent="0.25">
      <c r="A1049" s="3">
        <v>4</v>
      </c>
      <c r="B1049" s="3" t="s">
        <v>418</v>
      </c>
      <c r="C1049" s="3" t="s">
        <v>1512</v>
      </c>
      <c r="I1049" s="3">
        <v>32</v>
      </c>
      <c r="J1049" s="3">
        <v>5</v>
      </c>
      <c r="K1049" s="3">
        <v>1</v>
      </c>
      <c r="L1049" s="3">
        <v>5</v>
      </c>
      <c r="M1049" s="3">
        <v>10000</v>
      </c>
      <c r="N1049" s="3">
        <v>50</v>
      </c>
      <c r="O1049" s="3">
        <v>6.31</v>
      </c>
      <c r="P1049" s="3">
        <v>315.5</v>
      </c>
      <c r="Q1049" s="3">
        <v>10000</v>
      </c>
    </row>
    <row r="1050" spans="1:17" ht="24.95" hidden="1" customHeight="1" x14ac:dyDescent="0.25">
      <c r="A1050" s="3">
        <v>4</v>
      </c>
      <c r="B1050" s="3" t="s">
        <v>418</v>
      </c>
      <c r="C1050" s="3" t="s">
        <v>1513</v>
      </c>
      <c r="I1050" s="3">
        <v>32</v>
      </c>
      <c r="J1050" s="3">
        <v>5</v>
      </c>
      <c r="K1050" s="3">
        <v>1</v>
      </c>
      <c r="L1050" s="3">
        <v>5</v>
      </c>
      <c r="M1050" s="3">
        <v>10000</v>
      </c>
      <c r="N1050" s="3">
        <v>50</v>
      </c>
      <c r="O1050" s="3">
        <v>6.31</v>
      </c>
      <c r="P1050" s="3">
        <v>315.5</v>
      </c>
      <c r="Q1050" s="3">
        <v>10000</v>
      </c>
    </row>
    <row r="1051" spans="1:17" ht="24.95" hidden="1" customHeight="1" x14ac:dyDescent="0.25">
      <c r="A1051" s="3">
        <v>4</v>
      </c>
      <c r="B1051" s="3" t="s">
        <v>418</v>
      </c>
      <c r="C1051" s="3" t="s">
        <v>1514</v>
      </c>
      <c r="I1051" s="3">
        <v>32</v>
      </c>
      <c r="J1051" s="3">
        <v>6</v>
      </c>
      <c r="K1051" s="3">
        <v>1</v>
      </c>
      <c r="L1051" s="3">
        <v>6</v>
      </c>
      <c r="M1051" s="3">
        <v>3380</v>
      </c>
      <c r="N1051" s="3">
        <v>20.28</v>
      </c>
      <c r="O1051" s="3">
        <v>6.31</v>
      </c>
      <c r="P1051" s="3">
        <v>127.96680000000001</v>
      </c>
      <c r="Q1051" s="3">
        <v>3380</v>
      </c>
    </row>
    <row r="1052" spans="1:17" ht="24.95" hidden="1" customHeight="1" x14ac:dyDescent="0.25">
      <c r="A1052" s="3">
        <v>4</v>
      </c>
      <c r="B1052" s="3" t="s">
        <v>418</v>
      </c>
      <c r="C1052" s="3" t="s">
        <v>1515</v>
      </c>
      <c r="I1052" s="3">
        <v>32</v>
      </c>
      <c r="J1052" s="3">
        <v>5</v>
      </c>
      <c r="K1052" s="3">
        <v>1</v>
      </c>
      <c r="L1052" s="3">
        <v>5</v>
      </c>
      <c r="M1052" s="3">
        <v>3380</v>
      </c>
      <c r="N1052" s="3">
        <v>16.899999999999999</v>
      </c>
      <c r="O1052" s="3">
        <v>6.31</v>
      </c>
      <c r="P1052" s="3">
        <v>106.63899999999998</v>
      </c>
      <c r="Q1052" s="3">
        <v>3380</v>
      </c>
    </row>
    <row r="1053" spans="1:17" ht="24.95" hidden="1" customHeight="1" x14ac:dyDescent="0.25">
      <c r="A1053" s="3">
        <v>4</v>
      </c>
      <c r="B1053" s="3" t="s">
        <v>418</v>
      </c>
      <c r="C1053" s="3" t="s">
        <v>1516</v>
      </c>
      <c r="I1053" s="3">
        <v>32</v>
      </c>
      <c r="J1053" s="3">
        <v>6</v>
      </c>
      <c r="K1053" s="3">
        <v>1</v>
      </c>
      <c r="L1053" s="3">
        <v>6</v>
      </c>
      <c r="M1053" s="3">
        <v>10000</v>
      </c>
      <c r="N1053" s="3">
        <v>60</v>
      </c>
      <c r="O1053" s="3">
        <v>6.31</v>
      </c>
      <c r="P1053" s="3">
        <v>378.59999999999997</v>
      </c>
      <c r="Q1053" s="3">
        <v>10000</v>
      </c>
    </row>
    <row r="1054" spans="1:17" ht="24.95" hidden="1" customHeight="1" x14ac:dyDescent="0.25">
      <c r="A1054" s="3">
        <v>4</v>
      </c>
      <c r="B1054" s="3" t="s">
        <v>418</v>
      </c>
      <c r="C1054" s="3" t="s">
        <v>1517</v>
      </c>
      <c r="I1054" s="3">
        <v>32</v>
      </c>
      <c r="J1054" s="3">
        <v>6</v>
      </c>
      <c r="K1054" s="3">
        <v>1</v>
      </c>
      <c r="L1054" s="3">
        <v>6</v>
      </c>
      <c r="M1054" s="3">
        <v>5850</v>
      </c>
      <c r="N1054" s="3">
        <v>35.1</v>
      </c>
      <c r="O1054" s="3">
        <v>6.31</v>
      </c>
      <c r="P1054" s="3">
        <v>221.48099999999999</v>
      </c>
      <c r="Q1054" s="3">
        <v>5850</v>
      </c>
    </row>
    <row r="1055" spans="1:17" ht="24.95" hidden="1" customHeight="1" x14ac:dyDescent="0.25">
      <c r="A1055" s="3">
        <v>4</v>
      </c>
      <c r="B1055" s="3" t="s">
        <v>418</v>
      </c>
      <c r="C1055" s="3" t="s">
        <v>1518</v>
      </c>
      <c r="I1055" s="3">
        <v>32</v>
      </c>
      <c r="J1055" s="3">
        <v>5</v>
      </c>
      <c r="K1055" s="3">
        <v>1</v>
      </c>
      <c r="L1055" s="3">
        <v>5</v>
      </c>
      <c r="M1055" s="3">
        <v>5465</v>
      </c>
      <c r="N1055" s="3">
        <v>27.324999999999999</v>
      </c>
      <c r="O1055" s="3">
        <v>6.31</v>
      </c>
      <c r="P1055" s="3">
        <v>172.42075</v>
      </c>
      <c r="Q1055" s="3">
        <v>5465</v>
      </c>
    </row>
    <row r="1056" spans="1:17" ht="24.95" hidden="1" customHeight="1" x14ac:dyDescent="0.25">
      <c r="A1056" s="3">
        <v>4</v>
      </c>
      <c r="B1056" s="3" t="s">
        <v>418</v>
      </c>
      <c r="C1056" s="3" t="s">
        <v>1519</v>
      </c>
      <c r="I1056" s="3">
        <v>32</v>
      </c>
      <c r="J1056" s="3">
        <v>5</v>
      </c>
      <c r="K1056" s="3">
        <v>1</v>
      </c>
      <c r="L1056" s="3">
        <v>5</v>
      </c>
      <c r="M1056" s="3">
        <v>7900</v>
      </c>
      <c r="N1056" s="3">
        <v>39.5</v>
      </c>
      <c r="O1056" s="3">
        <v>6.31</v>
      </c>
      <c r="P1056" s="3">
        <v>249.24499999999998</v>
      </c>
      <c r="Q1056" s="3">
        <v>7900</v>
      </c>
    </row>
    <row r="1057" spans="1:17" ht="24.95" hidden="1" customHeight="1" x14ac:dyDescent="0.25">
      <c r="A1057" s="3">
        <v>4</v>
      </c>
      <c r="B1057" s="3" t="s">
        <v>418</v>
      </c>
      <c r="C1057" s="3" t="s">
        <v>1520</v>
      </c>
      <c r="I1057" s="3">
        <v>32</v>
      </c>
      <c r="J1057" s="3">
        <v>6</v>
      </c>
      <c r="K1057" s="3">
        <v>1</v>
      </c>
      <c r="L1057" s="3">
        <v>6</v>
      </c>
      <c r="M1057" s="3">
        <v>7515</v>
      </c>
      <c r="N1057" s="3">
        <v>45.09</v>
      </c>
      <c r="O1057" s="3">
        <v>6.31</v>
      </c>
      <c r="P1057" s="3">
        <v>284.5179</v>
      </c>
      <c r="Q1057" s="3">
        <v>7515</v>
      </c>
    </row>
    <row r="1058" spans="1:17" ht="24.95" hidden="1" customHeight="1" x14ac:dyDescent="0.25">
      <c r="A1058" s="3">
        <v>4</v>
      </c>
      <c r="B1058" s="3" t="s">
        <v>418</v>
      </c>
      <c r="C1058" s="3" t="s">
        <v>1521</v>
      </c>
      <c r="I1058" s="3">
        <v>32</v>
      </c>
      <c r="J1058" s="3">
        <v>6</v>
      </c>
      <c r="K1058" s="3">
        <v>1</v>
      </c>
      <c r="L1058" s="3">
        <v>6</v>
      </c>
      <c r="M1058" s="3">
        <v>3745</v>
      </c>
      <c r="N1058" s="3">
        <v>22.47</v>
      </c>
      <c r="O1058" s="3">
        <v>6.31</v>
      </c>
      <c r="P1058" s="3">
        <v>141.78569999999999</v>
      </c>
      <c r="Q1058" s="3">
        <v>3745</v>
      </c>
    </row>
    <row r="1059" spans="1:17" ht="24.95" hidden="1" customHeight="1" x14ac:dyDescent="0.25">
      <c r="A1059" s="3">
        <v>4</v>
      </c>
      <c r="B1059" s="3" t="s">
        <v>418</v>
      </c>
      <c r="C1059" s="3" t="s">
        <v>1522</v>
      </c>
      <c r="I1059" s="3">
        <v>14</v>
      </c>
      <c r="J1059" s="3">
        <v>52</v>
      </c>
      <c r="K1059" s="3">
        <v>1</v>
      </c>
      <c r="L1059" s="3">
        <v>52</v>
      </c>
      <c r="M1059" s="3">
        <v>6530</v>
      </c>
      <c r="N1059" s="3">
        <v>339.56</v>
      </c>
      <c r="O1059" s="3">
        <v>1.21</v>
      </c>
      <c r="P1059" s="3">
        <v>410.86759999999998</v>
      </c>
      <c r="Q1059" s="3">
        <v>6530</v>
      </c>
    </row>
    <row r="1060" spans="1:17" ht="24.95" hidden="1" customHeight="1" x14ac:dyDescent="0.25">
      <c r="A1060" s="3">
        <v>4</v>
      </c>
      <c r="B1060" s="3" t="s">
        <v>418</v>
      </c>
      <c r="C1060" s="3" t="s">
        <v>1523</v>
      </c>
      <c r="I1060" s="3">
        <v>14</v>
      </c>
      <c r="J1060" s="3">
        <v>52</v>
      </c>
      <c r="K1060" s="3">
        <v>1</v>
      </c>
      <c r="L1060" s="3">
        <v>52</v>
      </c>
      <c r="M1060" s="3">
        <v>2950</v>
      </c>
      <c r="N1060" s="3">
        <v>153.4</v>
      </c>
      <c r="O1060" s="3">
        <v>1.21</v>
      </c>
      <c r="P1060" s="3">
        <v>185.614</v>
      </c>
      <c r="Q1060" s="3">
        <v>2950</v>
      </c>
    </row>
    <row r="1061" spans="1:17" ht="24.95" hidden="1" customHeight="1" x14ac:dyDescent="0.25">
      <c r="A1061" s="3">
        <v>4</v>
      </c>
      <c r="B1061" s="3" t="s">
        <v>418</v>
      </c>
      <c r="C1061" s="3" t="s">
        <v>1524</v>
      </c>
      <c r="I1061" s="3">
        <v>18</v>
      </c>
      <c r="J1061" s="3">
        <v>24</v>
      </c>
      <c r="K1061" s="3">
        <v>1</v>
      </c>
      <c r="L1061" s="3">
        <v>24</v>
      </c>
      <c r="M1061" s="3">
        <v>7900</v>
      </c>
      <c r="N1061" s="3">
        <v>189.6</v>
      </c>
      <c r="O1061" s="3">
        <v>2</v>
      </c>
      <c r="P1061" s="3">
        <v>379.2</v>
      </c>
      <c r="Q1061" s="3">
        <v>7900</v>
      </c>
    </row>
    <row r="1062" spans="1:17" ht="24.95" hidden="1" customHeight="1" x14ac:dyDescent="0.25">
      <c r="A1062" s="3">
        <v>4</v>
      </c>
      <c r="B1062" s="3" t="s">
        <v>418</v>
      </c>
      <c r="C1062" s="3" t="s">
        <v>1525</v>
      </c>
      <c r="I1062" s="3">
        <v>14</v>
      </c>
      <c r="J1062" s="3">
        <v>162</v>
      </c>
      <c r="K1062" s="3">
        <v>1</v>
      </c>
      <c r="L1062" s="3">
        <v>162</v>
      </c>
      <c r="M1062" s="3">
        <v>1970</v>
      </c>
      <c r="N1062" s="3">
        <v>319.14</v>
      </c>
      <c r="O1062" s="3">
        <v>1.21</v>
      </c>
      <c r="P1062" s="3">
        <v>386.15939999999995</v>
      </c>
      <c r="Q1062" s="3">
        <v>1970</v>
      </c>
    </row>
    <row r="1063" spans="1:17" ht="24.95" hidden="1" customHeight="1" x14ac:dyDescent="0.25">
      <c r="A1063" s="3">
        <v>4</v>
      </c>
      <c r="B1063" s="3" t="s">
        <v>418</v>
      </c>
      <c r="C1063" s="3" t="s">
        <v>1526</v>
      </c>
      <c r="I1063" s="3">
        <v>32</v>
      </c>
      <c r="J1063" s="3">
        <v>16</v>
      </c>
      <c r="K1063" s="3">
        <v>1</v>
      </c>
      <c r="L1063" s="3">
        <v>16</v>
      </c>
      <c r="M1063" s="3">
        <v>1690</v>
      </c>
      <c r="N1063" s="3">
        <v>27.04</v>
      </c>
      <c r="O1063" s="3">
        <v>6.31</v>
      </c>
      <c r="P1063" s="3">
        <v>170.62239999999997</v>
      </c>
      <c r="Q1063" s="3">
        <v>1690</v>
      </c>
    </row>
    <row r="1064" spans="1:17" ht="24.95" hidden="1" customHeight="1" x14ac:dyDescent="0.25">
      <c r="A1064" s="3">
        <v>4</v>
      </c>
      <c r="B1064" s="3" t="s">
        <v>418</v>
      </c>
      <c r="C1064" s="3" t="s">
        <v>1527</v>
      </c>
      <c r="I1064" s="3">
        <v>14</v>
      </c>
      <c r="J1064" s="3">
        <v>48</v>
      </c>
      <c r="K1064" s="3">
        <v>1</v>
      </c>
      <c r="L1064" s="3">
        <v>48</v>
      </c>
      <c r="M1064" s="3">
        <v>7900</v>
      </c>
      <c r="N1064" s="3">
        <v>379.2</v>
      </c>
      <c r="O1064" s="3">
        <v>1.21</v>
      </c>
      <c r="P1064" s="3">
        <v>458.83199999999999</v>
      </c>
      <c r="Q1064" s="3">
        <v>7900</v>
      </c>
    </row>
    <row r="1065" spans="1:17" ht="24.95" hidden="1" customHeight="1" x14ac:dyDescent="0.25">
      <c r="A1065" s="3">
        <v>4</v>
      </c>
      <c r="B1065" s="3" t="s">
        <v>418</v>
      </c>
      <c r="C1065" s="3" t="s">
        <v>1528</v>
      </c>
      <c r="I1065" s="3">
        <v>32</v>
      </c>
      <c r="J1065" s="3">
        <v>3</v>
      </c>
      <c r="K1065" s="3">
        <v>1</v>
      </c>
      <c r="L1065" s="3">
        <v>3</v>
      </c>
      <c r="M1065" s="3">
        <v>3280</v>
      </c>
      <c r="N1065" s="3">
        <v>9.84</v>
      </c>
      <c r="O1065" s="3">
        <v>6.31</v>
      </c>
      <c r="P1065" s="3">
        <v>62.090399999999995</v>
      </c>
      <c r="Q1065" s="3">
        <v>3280</v>
      </c>
    </row>
    <row r="1066" spans="1:17" ht="24.95" hidden="1" customHeight="1" x14ac:dyDescent="0.25">
      <c r="A1066" s="3">
        <v>4</v>
      </c>
      <c r="B1066" s="3" t="s">
        <v>418</v>
      </c>
      <c r="C1066" s="3" t="s">
        <v>1529</v>
      </c>
      <c r="I1066" s="3">
        <v>32</v>
      </c>
      <c r="J1066" s="3">
        <v>3</v>
      </c>
      <c r="K1066" s="3">
        <v>1</v>
      </c>
      <c r="L1066" s="3">
        <v>3</v>
      </c>
      <c r="M1066" s="3">
        <v>3300</v>
      </c>
      <c r="N1066" s="3">
        <v>9.9</v>
      </c>
      <c r="O1066" s="3">
        <v>6.31</v>
      </c>
      <c r="P1066" s="3">
        <v>62.469000000000001</v>
      </c>
      <c r="Q1066" s="3">
        <v>3300</v>
      </c>
    </row>
    <row r="1067" spans="1:17" ht="24.95" hidden="1" customHeight="1" x14ac:dyDescent="0.25">
      <c r="A1067" s="3">
        <v>4</v>
      </c>
      <c r="B1067" s="3" t="s">
        <v>418</v>
      </c>
      <c r="C1067" s="3" t="s">
        <v>1530</v>
      </c>
      <c r="I1067" s="3">
        <v>32</v>
      </c>
      <c r="J1067" s="3">
        <v>3</v>
      </c>
      <c r="K1067" s="3">
        <v>1</v>
      </c>
      <c r="L1067" s="3">
        <v>3</v>
      </c>
      <c r="M1067" s="3">
        <v>10000</v>
      </c>
      <c r="N1067" s="3">
        <v>30</v>
      </c>
      <c r="O1067" s="3">
        <v>6.31</v>
      </c>
      <c r="P1067" s="3">
        <v>189.29999999999998</v>
      </c>
      <c r="Q1067" s="3">
        <v>10000</v>
      </c>
    </row>
    <row r="1068" spans="1:17" ht="24.95" hidden="1" customHeight="1" x14ac:dyDescent="0.25">
      <c r="A1068" s="3">
        <v>4</v>
      </c>
      <c r="B1068" s="3" t="s">
        <v>418</v>
      </c>
      <c r="C1068" s="3" t="s">
        <v>1531</v>
      </c>
      <c r="I1068" s="3">
        <v>32</v>
      </c>
      <c r="J1068" s="3">
        <v>3</v>
      </c>
      <c r="K1068" s="3">
        <v>1</v>
      </c>
      <c r="L1068" s="3">
        <v>3</v>
      </c>
      <c r="M1068" s="3">
        <v>10000</v>
      </c>
      <c r="N1068" s="3">
        <v>30</v>
      </c>
      <c r="O1068" s="3">
        <v>6.31</v>
      </c>
      <c r="P1068" s="3">
        <v>189.29999999999998</v>
      </c>
      <c r="Q1068" s="3">
        <v>10000</v>
      </c>
    </row>
    <row r="1069" spans="1:17" ht="24.95" hidden="1" customHeight="1" x14ac:dyDescent="0.25">
      <c r="A1069" s="3">
        <v>4</v>
      </c>
      <c r="B1069" s="3" t="s">
        <v>418</v>
      </c>
      <c r="C1069" s="3" t="s">
        <v>1532</v>
      </c>
      <c r="I1069" s="3">
        <v>14</v>
      </c>
      <c r="J1069" s="3">
        <v>208</v>
      </c>
      <c r="K1069" s="3">
        <v>1</v>
      </c>
      <c r="L1069" s="3">
        <v>208</v>
      </c>
      <c r="M1069" s="3">
        <v>2670</v>
      </c>
      <c r="N1069" s="3">
        <v>555.36</v>
      </c>
      <c r="O1069" s="3">
        <v>1.21</v>
      </c>
      <c r="P1069" s="3">
        <v>671.98559999999998</v>
      </c>
      <c r="Q1069" s="3">
        <v>2670</v>
      </c>
    </row>
    <row r="1070" spans="1:17" ht="24.95" hidden="1" customHeight="1" x14ac:dyDescent="0.25">
      <c r="A1070" s="3">
        <v>4</v>
      </c>
      <c r="B1070" s="3" t="s">
        <v>419</v>
      </c>
      <c r="C1070" s="3" t="s">
        <v>1533</v>
      </c>
      <c r="I1070" s="3">
        <v>32</v>
      </c>
      <c r="J1070" s="3">
        <v>4</v>
      </c>
      <c r="K1070" s="3">
        <v>1</v>
      </c>
      <c r="L1070" s="3">
        <v>4</v>
      </c>
      <c r="M1070" s="3">
        <v>11700</v>
      </c>
      <c r="N1070" s="3">
        <v>46.8</v>
      </c>
      <c r="O1070" s="3">
        <v>6.31</v>
      </c>
      <c r="P1070" s="3">
        <v>295.30799999999994</v>
      </c>
      <c r="Q1070" s="3">
        <v>11700</v>
      </c>
    </row>
    <row r="1071" spans="1:17" ht="24.95" hidden="1" customHeight="1" x14ac:dyDescent="0.25">
      <c r="A1071" s="3">
        <v>4</v>
      </c>
      <c r="B1071" s="3" t="s">
        <v>419</v>
      </c>
      <c r="C1071" s="3" t="s">
        <v>1534</v>
      </c>
      <c r="I1071" s="3">
        <v>32</v>
      </c>
      <c r="J1071" s="3">
        <v>5</v>
      </c>
      <c r="K1071" s="3">
        <v>1</v>
      </c>
      <c r="L1071" s="3">
        <v>5</v>
      </c>
      <c r="M1071" s="3">
        <v>3900</v>
      </c>
      <c r="N1071" s="3">
        <v>19.5</v>
      </c>
      <c r="O1071" s="3">
        <v>6.31</v>
      </c>
      <c r="P1071" s="3">
        <v>123.04499999999999</v>
      </c>
      <c r="Q1071" s="3">
        <v>3900</v>
      </c>
    </row>
    <row r="1072" spans="1:17" ht="24.95" hidden="1" customHeight="1" x14ac:dyDescent="0.25">
      <c r="A1072" s="3">
        <v>4</v>
      </c>
      <c r="B1072" s="3" t="s">
        <v>419</v>
      </c>
      <c r="C1072" s="3" t="s">
        <v>1535</v>
      </c>
      <c r="I1072" s="3">
        <v>32</v>
      </c>
      <c r="J1072" s="3">
        <v>5</v>
      </c>
      <c r="K1072" s="3">
        <v>1</v>
      </c>
      <c r="L1072" s="3">
        <v>5</v>
      </c>
      <c r="M1072" s="3">
        <v>11700</v>
      </c>
      <c r="N1072" s="3">
        <v>58.5</v>
      </c>
      <c r="O1072" s="3">
        <v>6.31</v>
      </c>
      <c r="P1072" s="3">
        <v>369.13499999999999</v>
      </c>
      <c r="Q1072" s="3">
        <v>11700</v>
      </c>
    </row>
    <row r="1073" spans="1:17" ht="24.95" hidden="1" customHeight="1" x14ac:dyDescent="0.25">
      <c r="A1073" s="3">
        <v>4</v>
      </c>
      <c r="B1073" s="3" t="s">
        <v>419</v>
      </c>
      <c r="C1073" s="3" t="s">
        <v>1536</v>
      </c>
      <c r="I1073" s="3">
        <v>32</v>
      </c>
      <c r="J1073" s="3">
        <v>4</v>
      </c>
      <c r="K1073" s="3">
        <v>1</v>
      </c>
      <c r="L1073" s="3">
        <v>4</v>
      </c>
      <c r="M1073" s="3">
        <v>11000</v>
      </c>
      <c r="N1073" s="3">
        <v>44</v>
      </c>
      <c r="O1073" s="3">
        <v>6.31</v>
      </c>
      <c r="P1073" s="3">
        <v>277.64</v>
      </c>
      <c r="Q1073" s="3">
        <v>11000</v>
      </c>
    </row>
    <row r="1074" spans="1:17" ht="24.95" hidden="1" customHeight="1" x14ac:dyDescent="0.25">
      <c r="A1074" s="3">
        <v>4</v>
      </c>
      <c r="B1074" s="3" t="s">
        <v>419</v>
      </c>
      <c r="C1074" s="3" t="s">
        <v>1537</v>
      </c>
      <c r="I1074" s="3">
        <v>32</v>
      </c>
      <c r="J1074" s="3">
        <v>5</v>
      </c>
      <c r="K1074" s="3">
        <v>1</v>
      </c>
      <c r="L1074" s="3">
        <v>5</v>
      </c>
      <c r="M1074" s="3">
        <v>11700</v>
      </c>
      <c r="N1074" s="3">
        <v>58.5</v>
      </c>
      <c r="O1074" s="3">
        <v>6.31</v>
      </c>
      <c r="P1074" s="3">
        <v>369.13499999999999</v>
      </c>
      <c r="Q1074" s="3">
        <v>11700</v>
      </c>
    </row>
    <row r="1075" spans="1:17" ht="24.95" hidden="1" customHeight="1" x14ac:dyDescent="0.25">
      <c r="A1075" s="3">
        <v>4</v>
      </c>
      <c r="B1075" s="3" t="s">
        <v>419</v>
      </c>
      <c r="C1075" s="3" t="s">
        <v>1538</v>
      </c>
      <c r="I1075" s="3">
        <v>32</v>
      </c>
      <c r="J1075" s="3">
        <v>4</v>
      </c>
      <c r="K1075" s="3">
        <v>1</v>
      </c>
      <c r="L1075" s="3">
        <v>4</v>
      </c>
      <c r="M1075" s="3">
        <v>3900</v>
      </c>
      <c r="N1075" s="3">
        <v>15.6</v>
      </c>
      <c r="O1075" s="3">
        <v>6.31</v>
      </c>
      <c r="P1075" s="3">
        <v>98.435999999999993</v>
      </c>
      <c r="Q1075" s="3">
        <v>3900</v>
      </c>
    </row>
    <row r="1076" spans="1:17" ht="24.95" hidden="1" customHeight="1" x14ac:dyDescent="0.25">
      <c r="A1076" s="3">
        <v>4</v>
      </c>
      <c r="B1076" s="3" t="s">
        <v>419</v>
      </c>
      <c r="C1076" s="3" t="s">
        <v>1539</v>
      </c>
      <c r="I1076" s="3">
        <v>32</v>
      </c>
      <c r="J1076" s="3">
        <v>4</v>
      </c>
      <c r="K1076" s="3">
        <v>1</v>
      </c>
      <c r="L1076" s="3">
        <v>4</v>
      </c>
      <c r="M1076" s="3">
        <v>11700</v>
      </c>
      <c r="N1076" s="3">
        <v>46.8</v>
      </c>
      <c r="O1076" s="3">
        <v>6.31</v>
      </c>
      <c r="P1076" s="3">
        <v>295.30799999999994</v>
      </c>
      <c r="Q1076" s="3">
        <v>11700</v>
      </c>
    </row>
    <row r="1077" spans="1:17" ht="24.95" hidden="1" customHeight="1" x14ac:dyDescent="0.25">
      <c r="A1077" s="3">
        <v>4</v>
      </c>
      <c r="B1077" s="3" t="s">
        <v>419</v>
      </c>
      <c r="C1077" s="3" t="s">
        <v>1540</v>
      </c>
      <c r="I1077" s="3">
        <v>32</v>
      </c>
      <c r="J1077" s="3">
        <v>5</v>
      </c>
      <c r="K1077" s="3">
        <v>1</v>
      </c>
      <c r="L1077" s="3">
        <v>5</v>
      </c>
      <c r="M1077" s="3">
        <v>11000</v>
      </c>
      <c r="N1077" s="3">
        <v>55</v>
      </c>
      <c r="O1077" s="3">
        <v>6.31</v>
      </c>
      <c r="P1077" s="3">
        <v>347.04999999999995</v>
      </c>
      <c r="Q1077" s="3">
        <v>11000</v>
      </c>
    </row>
    <row r="1078" spans="1:17" ht="24.95" hidden="1" customHeight="1" x14ac:dyDescent="0.25">
      <c r="A1078" s="3">
        <v>4</v>
      </c>
      <c r="B1078" s="3" t="s">
        <v>419</v>
      </c>
      <c r="C1078" s="3" t="s">
        <v>1541</v>
      </c>
      <c r="I1078" s="3">
        <v>32</v>
      </c>
      <c r="J1078" s="3">
        <v>5</v>
      </c>
      <c r="K1078" s="3">
        <v>1</v>
      </c>
      <c r="L1078" s="3">
        <v>5</v>
      </c>
      <c r="M1078" s="3">
        <v>3545</v>
      </c>
      <c r="N1078" s="3">
        <v>17.725000000000001</v>
      </c>
      <c r="O1078" s="3">
        <v>6.31</v>
      </c>
      <c r="P1078" s="3">
        <v>111.84475</v>
      </c>
      <c r="Q1078" s="3">
        <v>3545</v>
      </c>
    </row>
    <row r="1079" spans="1:17" ht="24.95" hidden="1" customHeight="1" x14ac:dyDescent="0.25">
      <c r="A1079" s="3">
        <v>4</v>
      </c>
      <c r="B1079" s="3" t="s">
        <v>419</v>
      </c>
      <c r="C1079" s="3" t="s">
        <v>1542</v>
      </c>
      <c r="I1079" s="3">
        <v>32</v>
      </c>
      <c r="J1079" s="3">
        <v>4</v>
      </c>
      <c r="K1079" s="3">
        <v>1</v>
      </c>
      <c r="L1079" s="3">
        <v>4</v>
      </c>
      <c r="M1079" s="3">
        <v>3545</v>
      </c>
      <c r="N1079" s="3">
        <v>14.18</v>
      </c>
      <c r="O1079" s="3">
        <v>6.31</v>
      </c>
      <c r="P1079" s="3">
        <v>89.475799999999992</v>
      </c>
      <c r="Q1079" s="3">
        <v>3545</v>
      </c>
    </row>
    <row r="1080" spans="1:17" ht="24.95" hidden="1" customHeight="1" x14ac:dyDescent="0.25">
      <c r="A1080" s="3">
        <v>4</v>
      </c>
      <c r="B1080" s="3" t="s">
        <v>419</v>
      </c>
      <c r="C1080" s="3" t="s">
        <v>1543</v>
      </c>
      <c r="I1080" s="3">
        <v>32</v>
      </c>
      <c r="J1080" s="3">
        <v>4</v>
      </c>
      <c r="K1080" s="3">
        <v>1</v>
      </c>
      <c r="L1080" s="3">
        <v>4</v>
      </c>
      <c r="M1080" s="3">
        <v>10000</v>
      </c>
      <c r="N1080" s="3">
        <v>40</v>
      </c>
      <c r="O1080" s="3">
        <v>6.31</v>
      </c>
      <c r="P1080" s="3">
        <v>252.39999999999998</v>
      </c>
      <c r="Q1080" s="3">
        <v>10000</v>
      </c>
    </row>
    <row r="1081" spans="1:17" ht="24.95" hidden="1" customHeight="1" x14ac:dyDescent="0.25">
      <c r="A1081" s="3">
        <v>4</v>
      </c>
      <c r="B1081" s="3" t="s">
        <v>419</v>
      </c>
      <c r="C1081" s="3" t="s">
        <v>1544</v>
      </c>
      <c r="I1081" s="3">
        <v>32</v>
      </c>
      <c r="J1081" s="3">
        <v>5</v>
      </c>
      <c r="K1081" s="3">
        <v>1</v>
      </c>
      <c r="L1081" s="3">
        <v>5</v>
      </c>
      <c r="M1081" s="3">
        <v>10000</v>
      </c>
      <c r="N1081" s="3">
        <v>50</v>
      </c>
      <c r="O1081" s="3">
        <v>6.31</v>
      </c>
      <c r="P1081" s="3">
        <v>315.5</v>
      </c>
      <c r="Q1081" s="3">
        <v>10000</v>
      </c>
    </row>
    <row r="1082" spans="1:17" ht="24.95" hidden="1" customHeight="1" x14ac:dyDescent="0.25">
      <c r="A1082" s="3">
        <v>4</v>
      </c>
      <c r="B1082" s="3" t="s">
        <v>419</v>
      </c>
      <c r="C1082" s="3" t="s">
        <v>1545</v>
      </c>
      <c r="I1082" s="3">
        <v>32</v>
      </c>
      <c r="J1082" s="3">
        <v>5</v>
      </c>
      <c r="K1082" s="3">
        <v>1</v>
      </c>
      <c r="L1082" s="3">
        <v>5</v>
      </c>
      <c r="M1082" s="3">
        <v>6950</v>
      </c>
      <c r="N1082" s="3">
        <v>34.75</v>
      </c>
      <c r="O1082" s="3">
        <v>6.31</v>
      </c>
      <c r="P1082" s="3">
        <v>219.27249999999998</v>
      </c>
      <c r="Q1082" s="3">
        <v>6950</v>
      </c>
    </row>
    <row r="1083" spans="1:17" ht="24.95" hidden="1" customHeight="1" x14ac:dyDescent="0.25">
      <c r="A1083" s="3">
        <v>4</v>
      </c>
      <c r="B1083" s="3" t="s">
        <v>419</v>
      </c>
      <c r="C1083" s="3" t="s">
        <v>1546</v>
      </c>
      <c r="I1083" s="3">
        <v>32</v>
      </c>
      <c r="J1083" s="3">
        <v>4</v>
      </c>
      <c r="K1083" s="3">
        <v>1</v>
      </c>
      <c r="L1083" s="3">
        <v>4</v>
      </c>
      <c r="M1083" s="3">
        <v>10000</v>
      </c>
      <c r="N1083" s="3">
        <v>40</v>
      </c>
      <c r="O1083" s="3">
        <v>6.31</v>
      </c>
      <c r="P1083" s="3">
        <v>252.39999999999998</v>
      </c>
      <c r="Q1083" s="3">
        <v>10000</v>
      </c>
    </row>
    <row r="1084" spans="1:17" ht="24.95" hidden="1" customHeight="1" x14ac:dyDescent="0.25">
      <c r="A1084" s="3">
        <v>4</v>
      </c>
      <c r="B1084" s="3" t="s">
        <v>419</v>
      </c>
      <c r="C1084" s="3" t="s">
        <v>1547</v>
      </c>
      <c r="I1084" s="3">
        <v>32</v>
      </c>
      <c r="J1084" s="3">
        <v>5</v>
      </c>
      <c r="K1084" s="3">
        <v>1</v>
      </c>
      <c r="L1084" s="3">
        <v>5</v>
      </c>
      <c r="M1084" s="3">
        <v>6850</v>
      </c>
      <c r="N1084" s="3">
        <v>34.25</v>
      </c>
      <c r="O1084" s="3">
        <v>6.31</v>
      </c>
      <c r="P1084" s="3">
        <v>216.11749999999998</v>
      </c>
      <c r="Q1084" s="3">
        <v>6850</v>
      </c>
    </row>
    <row r="1085" spans="1:17" ht="24.95" hidden="1" customHeight="1" x14ac:dyDescent="0.25">
      <c r="A1085" s="3">
        <v>4</v>
      </c>
      <c r="B1085" s="3" t="s">
        <v>419</v>
      </c>
      <c r="C1085" s="3" t="s">
        <v>1548</v>
      </c>
      <c r="I1085" s="3">
        <v>32</v>
      </c>
      <c r="J1085" s="3">
        <v>4</v>
      </c>
      <c r="K1085" s="3">
        <v>1</v>
      </c>
      <c r="L1085" s="3">
        <v>4</v>
      </c>
      <c r="M1085" s="3">
        <v>8610</v>
      </c>
      <c r="N1085" s="3">
        <v>34.44</v>
      </c>
      <c r="O1085" s="3">
        <v>6.31</v>
      </c>
      <c r="P1085" s="3">
        <v>217.31639999999996</v>
      </c>
      <c r="Q1085" s="3">
        <v>8610</v>
      </c>
    </row>
    <row r="1086" spans="1:17" ht="24.95" hidden="1" customHeight="1" x14ac:dyDescent="0.25">
      <c r="A1086" s="3">
        <v>4</v>
      </c>
      <c r="B1086" s="3" t="s">
        <v>419</v>
      </c>
      <c r="C1086" s="3" t="s">
        <v>1549</v>
      </c>
      <c r="I1086" s="3">
        <v>14</v>
      </c>
      <c r="J1086" s="3">
        <v>52</v>
      </c>
      <c r="K1086" s="3">
        <v>1</v>
      </c>
      <c r="L1086" s="3">
        <v>52</v>
      </c>
      <c r="M1086" s="3">
        <v>2350</v>
      </c>
      <c r="N1086" s="3">
        <v>122.2</v>
      </c>
      <c r="O1086" s="3">
        <v>1.21</v>
      </c>
      <c r="P1086" s="3">
        <v>147.86199999999999</v>
      </c>
      <c r="Q1086" s="3">
        <v>2350</v>
      </c>
    </row>
    <row r="1087" spans="1:17" ht="24.95" hidden="1" customHeight="1" x14ac:dyDescent="0.25">
      <c r="A1087" s="3">
        <v>4</v>
      </c>
      <c r="B1087" s="3" t="s">
        <v>419</v>
      </c>
      <c r="C1087" s="3" t="s">
        <v>1550</v>
      </c>
      <c r="I1087" s="3">
        <v>14</v>
      </c>
      <c r="J1087" s="3">
        <v>52</v>
      </c>
      <c r="K1087" s="3">
        <v>1</v>
      </c>
      <c r="L1087" s="3">
        <v>52</v>
      </c>
      <c r="M1087" s="3">
        <v>5930</v>
      </c>
      <c r="N1087" s="3">
        <v>308.36</v>
      </c>
      <c r="O1087" s="3">
        <v>1.21</v>
      </c>
      <c r="P1087" s="3">
        <v>373.11560000000003</v>
      </c>
      <c r="Q1087" s="3">
        <v>5930</v>
      </c>
    </row>
    <row r="1088" spans="1:17" ht="24.95" hidden="1" customHeight="1" x14ac:dyDescent="0.25">
      <c r="A1088" s="3">
        <v>4</v>
      </c>
      <c r="B1088" s="3" t="s">
        <v>419</v>
      </c>
      <c r="C1088" s="3" t="s">
        <v>1551</v>
      </c>
      <c r="I1088" s="3">
        <v>14</v>
      </c>
      <c r="J1088" s="3">
        <v>156</v>
      </c>
      <c r="K1088" s="3">
        <v>1</v>
      </c>
      <c r="L1088" s="3">
        <v>156</v>
      </c>
      <c r="M1088" s="3">
        <v>2670</v>
      </c>
      <c r="N1088" s="3">
        <v>416.52</v>
      </c>
      <c r="O1088" s="3">
        <v>1.21</v>
      </c>
      <c r="P1088" s="3">
        <v>503.98919999999998</v>
      </c>
      <c r="Q1088" s="3">
        <v>2670</v>
      </c>
    </row>
    <row r="1089" spans="1:17" ht="24.95" hidden="1" customHeight="1" x14ac:dyDescent="0.25">
      <c r="A1089" s="3">
        <v>4</v>
      </c>
      <c r="B1089" s="3" t="s">
        <v>419</v>
      </c>
      <c r="C1089" s="3" t="s">
        <v>1552</v>
      </c>
      <c r="I1089" s="3">
        <v>18</v>
      </c>
      <c r="J1089" s="3">
        <v>3</v>
      </c>
      <c r="K1089" s="3">
        <v>1</v>
      </c>
      <c r="L1089" s="3">
        <v>3</v>
      </c>
      <c r="M1089" s="3">
        <v>11700</v>
      </c>
      <c r="N1089" s="3">
        <v>35.1</v>
      </c>
      <c r="O1089" s="3">
        <v>2</v>
      </c>
      <c r="P1089" s="3">
        <v>70.2</v>
      </c>
      <c r="Q1089" s="3">
        <v>11700</v>
      </c>
    </row>
    <row r="1090" spans="1:17" ht="24.95" hidden="1" customHeight="1" x14ac:dyDescent="0.25">
      <c r="A1090" s="3">
        <v>4</v>
      </c>
      <c r="B1090" s="3" t="s">
        <v>419</v>
      </c>
      <c r="C1090" s="3" t="s">
        <v>1553</v>
      </c>
      <c r="I1090" s="3">
        <v>18</v>
      </c>
      <c r="J1090" s="3">
        <v>3</v>
      </c>
      <c r="K1090" s="3">
        <v>1</v>
      </c>
      <c r="L1090" s="3">
        <v>3</v>
      </c>
      <c r="M1090" s="3">
        <v>5850</v>
      </c>
      <c r="N1090" s="3">
        <v>17.55</v>
      </c>
      <c r="O1090" s="3">
        <v>2</v>
      </c>
      <c r="P1090" s="3">
        <v>35.1</v>
      </c>
      <c r="Q1090" s="3">
        <v>5850</v>
      </c>
    </row>
    <row r="1091" spans="1:17" ht="24.95" hidden="1" customHeight="1" x14ac:dyDescent="0.25">
      <c r="A1091" s="3">
        <v>4</v>
      </c>
      <c r="B1091" s="3" t="s">
        <v>419</v>
      </c>
      <c r="C1091" s="3" t="s">
        <v>1554</v>
      </c>
      <c r="I1091" s="3">
        <v>18</v>
      </c>
      <c r="J1091" s="3">
        <v>3</v>
      </c>
      <c r="K1091" s="3">
        <v>1</v>
      </c>
      <c r="L1091" s="3">
        <v>3</v>
      </c>
      <c r="M1091" s="3">
        <v>11700</v>
      </c>
      <c r="N1091" s="3">
        <v>35.1</v>
      </c>
      <c r="O1091" s="3">
        <v>2</v>
      </c>
      <c r="P1091" s="3">
        <v>70.2</v>
      </c>
      <c r="Q1091" s="3">
        <v>11700</v>
      </c>
    </row>
    <row r="1092" spans="1:17" ht="24.95" hidden="1" customHeight="1" x14ac:dyDescent="0.25">
      <c r="A1092" s="3">
        <v>4</v>
      </c>
      <c r="B1092" s="3" t="s">
        <v>419</v>
      </c>
      <c r="C1092" s="3" t="s">
        <v>1555</v>
      </c>
      <c r="I1092" s="3">
        <v>18</v>
      </c>
      <c r="J1092" s="3">
        <v>6</v>
      </c>
      <c r="K1092" s="3">
        <v>1</v>
      </c>
      <c r="L1092" s="3">
        <v>6</v>
      </c>
      <c r="M1092" s="3">
        <v>7900</v>
      </c>
      <c r="N1092" s="3">
        <v>47.4</v>
      </c>
      <c r="O1092" s="3">
        <v>2</v>
      </c>
      <c r="P1092" s="3">
        <v>94.8</v>
      </c>
      <c r="Q1092" s="3">
        <v>7900</v>
      </c>
    </row>
    <row r="1093" spans="1:17" ht="24.95" hidden="1" customHeight="1" x14ac:dyDescent="0.25">
      <c r="A1093" s="3">
        <v>4</v>
      </c>
      <c r="B1093" s="3" t="s">
        <v>419</v>
      </c>
      <c r="C1093" s="3" t="s">
        <v>1556</v>
      </c>
      <c r="I1093" s="3">
        <v>14</v>
      </c>
      <c r="J1093" s="3">
        <v>162</v>
      </c>
      <c r="K1093" s="3">
        <v>1</v>
      </c>
      <c r="L1093" s="3">
        <v>162</v>
      </c>
      <c r="M1093" s="3">
        <v>1370</v>
      </c>
      <c r="N1093" s="3">
        <v>221.94</v>
      </c>
      <c r="O1093" s="3">
        <v>1.21</v>
      </c>
      <c r="P1093" s="3">
        <v>268.54739999999998</v>
      </c>
      <c r="Q1093" s="3">
        <v>1370</v>
      </c>
    </row>
    <row r="1094" spans="1:17" ht="24.95" hidden="1" customHeight="1" x14ac:dyDescent="0.25">
      <c r="A1094" s="3">
        <v>4</v>
      </c>
      <c r="B1094" s="3" t="s">
        <v>419</v>
      </c>
      <c r="C1094" s="3" t="s">
        <v>1557</v>
      </c>
      <c r="I1094" s="3">
        <v>32</v>
      </c>
      <c r="J1094" s="3">
        <v>15</v>
      </c>
      <c r="K1094" s="3">
        <v>1</v>
      </c>
      <c r="L1094" s="3">
        <v>15</v>
      </c>
      <c r="M1094" s="3">
        <v>1090</v>
      </c>
      <c r="N1094" s="3">
        <v>16.350000000000001</v>
      </c>
      <c r="O1094" s="3">
        <v>6.31</v>
      </c>
      <c r="P1094" s="3">
        <v>103.16850000000001</v>
      </c>
      <c r="Q1094" s="3">
        <v>1090</v>
      </c>
    </row>
    <row r="1095" spans="1:17" ht="24.95" hidden="1" customHeight="1" x14ac:dyDescent="0.25">
      <c r="A1095" s="3">
        <v>4</v>
      </c>
      <c r="B1095" s="3" t="s">
        <v>419</v>
      </c>
      <c r="C1095" s="3" t="s">
        <v>1558</v>
      </c>
      <c r="I1095" s="3">
        <v>14</v>
      </c>
      <c r="J1095" s="3">
        <v>18</v>
      </c>
      <c r="K1095" s="3">
        <v>1</v>
      </c>
      <c r="L1095" s="3">
        <v>18</v>
      </c>
      <c r="M1095" s="3">
        <v>11700</v>
      </c>
      <c r="N1095" s="3">
        <v>210.6</v>
      </c>
      <c r="O1095" s="3">
        <v>1.21</v>
      </c>
      <c r="P1095" s="3">
        <v>254.82599999999999</v>
      </c>
      <c r="Q1095" s="3">
        <v>11700</v>
      </c>
    </row>
    <row r="1096" spans="1:17" ht="24.95" hidden="1" customHeight="1" x14ac:dyDescent="0.25">
      <c r="A1096" s="3">
        <v>4</v>
      </c>
      <c r="B1096" s="3" t="s">
        <v>419</v>
      </c>
      <c r="C1096" s="3" t="s">
        <v>1559</v>
      </c>
      <c r="I1096" s="3">
        <v>14</v>
      </c>
      <c r="J1096" s="3">
        <v>9</v>
      </c>
      <c r="K1096" s="3">
        <v>1</v>
      </c>
      <c r="L1096" s="3">
        <v>9</v>
      </c>
      <c r="M1096" s="3">
        <v>5850</v>
      </c>
      <c r="N1096" s="3">
        <v>52.65</v>
      </c>
      <c r="O1096" s="3">
        <v>1.21</v>
      </c>
      <c r="P1096" s="3">
        <v>63.706499999999998</v>
      </c>
      <c r="Q1096" s="3">
        <v>5850</v>
      </c>
    </row>
    <row r="1097" spans="1:17" ht="24.95" hidden="1" customHeight="1" x14ac:dyDescent="0.25">
      <c r="A1097" s="3">
        <v>4</v>
      </c>
      <c r="B1097" s="3" t="s">
        <v>419</v>
      </c>
      <c r="C1097" s="3" t="s">
        <v>1560</v>
      </c>
      <c r="I1097" s="3">
        <v>32</v>
      </c>
      <c r="J1097" s="3">
        <v>2</v>
      </c>
      <c r="K1097" s="3">
        <v>1</v>
      </c>
      <c r="L1097" s="3">
        <v>2</v>
      </c>
      <c r="M1097" s="3">
        <v>3445</v>
      </c>
      <c r="N1097" s="3">
        <v>6.89</v>
      </c>
      <c r="O1097" s="3">
        <v>6.31</v>
      </c>
      <c r="P1097" s="3">
        <v>43.475899999999996</v>
      </c>
      <c r="Q1097" s="3">
        <v>3445</v>
      </c>
    </row>
    <row r="1098" spans="1:17" ht="24.95" hidden="1" customHeight="1" x14ac:dyDescent="0.25">
      <c r="A1098" s="3">
        <v>4</v>
      </c>
      <c r="B1098" s="3" t="s">
        <v>419</v>
      </c>
      <c r="C1098" s="3" t="s">
        <v>1561</v>
      </c>
      <c r="I1098" s="3">
        <v>32</v>
      </c>
      <c r="J1098" s="3">
        <v>3</v>
      </c>
      <c r="K1098" s="3">
        <v>1</v>
      </c>
      <c r="L1098" s="3">
        <v>3</v>
      </c>
      <c r="M1098" s="3">
        <v>3445</v>
      </c>
      <c r="N1098" s="3">
        <v>10.335000000000001</v>
      </c>
      <c r="O1098" s="3">
        <v>6.31</v>
      </c>
      <c r="P1098" s="3">
        <v>65.213850000000008</v>
      </c>
      <c r="Q1098" s="3">
        <v>3445</v>
      </c>
    </row>
    <row r="1099" spans="1:17" ht="24.95" hidden="1" customHeight="1" x14ac:dyDescent="0.25">
      <c r="A1099" s="3">
        <v>4</v>
      </c>
      <c r="B1099" s="3" t="s">
        <v>419</v>
      </c>
      <c r="C1099" s="3" t="s">
        <v>1562</v>
      </c>
      <c r="I1099" s="3">
        <v>32</v>
      </c>
      <c r="J1099" s="3">
        <v>2</v>
      </c>
      <c r="K1099" s="3">
        <v>1</v>
      </c>
      <c r="L1099" s="3">
        <v>2</v>
      </c>
      <c r="M1099" s="3">
        <v>10000</v>
      </c>
      <c r="N1099" s="3">
        <v>20</v>
      </c>
      <c r="O1099" s="3">
        <v>6.31</v>
      </c>
      <c r="P1099" s="3">
        <v>126.19999999999999</v>
      </c>
      <c r="Q1099" s="3">
        <v>10000</v>
      </c>
    </row>
    <row r="1100" spans="1:17" ht="24.95" hidden="1" customHeight="1" x14ac:dyDescent="0.25">
      <c r="A1100" s="3">
        <v>4</v>
      </c>
      <c r="B1100" s="3" t="s">
        <v>419</v>
      </c>
      <c r="C1100" s="3" t="s">
        <v>1563</v>
      </c>
      <c r="I1100" s="3">
        <v>32</v>
      </c>
      <c r="J1100" s="3">
        <v>3</v>
      </c>
      <c r="K1100" s="3">
        <v>1</v>
      </c>
      <c r="L1100" s="3">
        <v>3</v>
      </c>
      <c r="M1100" s="3">
        <v>10000</v>
      </c>
      <c r="N1100" s="3">
        <v>30</v>
      </c>
      <c r="O1100" s="3">
        <v>6.31</v>
      </c>
      <c r="P1100" s="3">
        <v>189.29999999999998</v>
      </c>
      <c r="Q1100" s="3">
        <v>10000</v>
      </c>
    </row>
    <row r="1101" spans="1:17" ht="24.95" hidden="1" customHeight="1" x14ac:dyDescent="0.25">
      <c r="A1101" s="3">
        <v>4</v>
      </c>
      <c r="B1101" s="3" t="s">
        <v>420</v>
      </c>
      <c r="C1101" s="3" t="s">
        <v>1564</v>
      </c>
      <c r="I1101" s="3">
        <v>32</v>
      </c>
      <c r="J1101" s="3">
        <v>6</v>
      </c>
      <c r="K1101" s="3">
        <v>1</v>
      </c>
      <c r="L1101" s="3">
        <v>6</v>
      </c>
      <c r="M1101" s="3">
        <v>4615</v>
      </c>
      <c r="N1101" s="3">
        <v>27.69</v>
      </c>
      <c r="O1101" s="3">
        <v>6.31</v>
      </c>
      <c r="P1101" s="3">
        <v>174.72389999999999</v>
      </c>
      <c r="Q1101" s="3">
        <v>4615</v>
      </c>
    </row>
    <row r="1102" spans="1:17" ht="24.95" hidden="1" customHeight="1" x14ac:dyDescent="0.25">
      <c r="A1102" s="3">
        <v>4</v>
      </c>
      <c r="B1102" s="3" t="s">
        <v>420</v>
      </c>
      <c r="C1102" s="3" t="s">
        <v>1565</v>
      </c>
      <c r="I1102" s="3">
        <v>32</v>
      </c>
      <c r="J1102" s="3">
        <v>6</v>
      </c>
      <c r="K1102" s="3">
        <v>1</v>
      </c>
      <c r="L1102" s="3">
        <v>6</v>
      </c>
      <c r="M1102" s="3">
        <v>5315</v>
      </c>
      <c r="N1102" s="3">
        <v>31.89</v>
      </c>
      <c r="O1102" s="3">
        <v>6.31</v>
      </c>
      <c r="P1102" s="3">
        <v>201.2259</v>
      </c>
      <c r="Q1102" s="3">
        <v>5315</v>
      </c>
    </row>
    <row r="1103" spans="1:17" ht="24.95" hidden="1" customHeight="1" x14ac:dyDescent="0.25">
      <c r="A1103" s="3">
        <v>4</v>
      </c>
      <c r="B1103" s="3" t="s">
        <v>420</v>
      </c>
      <c r="C1103" s="3" t="s">
        <v>1566</v>
      </c>
      <c r="I1103" s="3">
        <v>32</v>
      </c>
      <c r="J1103" s="3">
        <v>6</v>
      </c>
      <c r="K1103" s="3">
        <v>1</v>
      </c>
      <c r="L1103" s="3">
        <v>6</v>
      </c>
      <c r="M1103" s="3">
        <v>11000</v>
      </c>
      <c r="N1103" s="3">
        <v>66</v>
      </c>
      <c r="O1103" s="3">
        <v>6.31</v>
      </c>
      <c r="P1103" s="3">
        <v>416.46</v>
      </c>
      <c r="Q1103" s="3">
        <v>11000</v>
      </c>
    </row>
    <row r="1104" spans="1:17" ht="24.95" hidden="1" customHeight="1" x14ac:dyDescent="0.25">
      <c r="A1104" s="3">
        <v>4</v>
      </c>
      <c r="B1104" s="3" t="s">
        <v>420</v>
      </c>
      <c r="C1104" s="3" t="s">
        <v>1567</v>
      </c>
      <c r="I1104" s="3">
        <v>32</v>
      </c>
      <c r="J1104" s="3">
        <v>6</v>
      </c>
      <c r="K1104" s="3">
        <v>1</v>
      </c>
      <c r="L1104" s="3">
        <v>6</v>
      </c>
      <c r="M1104" s="3">
        <v>11700</v>
      </c>
      <c r="N1104" s="3">
        <v>70.2</v>
      </c>
      <c r="O1104" s="3">
        <v>6.31</v>
      </c>
      <c r="P1104" s="3">
        <v>442.96199999999999</v>
      </c>
      <c r="Q1104" s="3">
        <v>11700</v>
      </c>
    </row>
    <row r="1105" spans="1:17" ht="24.95" hidden="1" customHeight="1" x14ac:dyDescent="0.25">
      <c r="A1105" s="3">
        <v>4</v>
      </c>
      <c r="B1105" s="3" t="s">
        <v>420</v>
      </c>
      <c r="C1105" s="3" t="s">
        <v>1568</v>
      </c>
      <c r="I1105" s="3">
        <v>32</v>
      </c>
      <c r="J1105" s="3">
        <v>9</v>
      </c>
      <c r="K1105" s="3">
        <v>1</v>
      </c>
      <c r="L1105" s="3">
        <v>9</v>
      </c>
      <c r="M1105" s="3">
        <v>11700</v>
      </c>
      <c r="N1105" s="3">
        <v>105.3</v>
      </c>
      <c r="O1105" s="3">
        <v>6.31</v>
      </c>
      <c r="P1105" s="3">
        <v>664.44299999999998</v>
      </c>
      <c r="Q1105" s="3">
        <v>11700</v>
      </c>
    </row>
    <row r="1106" spans="1:17" ht="24.95" hidden="1" customHeight="1" x14ac:dyDescent="0.25">
      <c r="A1106" s="3">
        <v>4</v>
      </c>
      <c r="B1106" s="3" t="s">
        <v>420</v>
      </c>
      <c r="C1106" s="3" t="s">
        <v>1569</v>
      </c>
      <c r="I1106" s="3">
        <v>32</v>
      </c>
      <c r="J1106" s="3">
        <v>6</v>
      </c>
      <c r="K1106" s="3">
        <v>1</v>
      </c>
      <c r="L1106" s="3">
        <v>6</v>
      </c>
      <c r="M1106" s="3">
        <v>4515</v>
      </c>
      <c r="N1106" s="3">
        <v>27.09</v>
      </c>
      <c r="O1106" s="3">
        <v>6.31</v>
      </c>
      <c r="P1106" s="3">
        <v>170.93789999999998</v>
      </c>
      <c r="Q1106" s="3">
        <v>4515</v>
      </c>
    </row>
    <row r="1107" spans="1:17" ht="24.95" hidden="1" customHeight="1" x14ac:dyDescent="0.25">
      <c r="A1107" s="3">
        <v>4</v>
      </c>
      <c r="B1107" s="3" t="s">
        <v>420</v>
      </c>
      <c r="C1107" s="3" t="s">
        <v>1570</v>
      </c>
      <c r="I1107" s="3">
        <v>32</v>
      </c>
      <c r="J1107" s="3">
        <v>6</v>
      </c>
      <c r="K1107" s="3">
        <v>1</v>
      </c>
      <c r="L1107" s="3">
        <v>6</v>
      </c>
      <c r="M1107" s="3">
        <v>5215</v>
      </c>
      <c r="N1107" s="3">
        <v>31.29</v>
      </c>
      <c r="O1107" s="3">
        <v>6.31</v>
      </c>
      <c r="P1107" s="3">
        <v>197.43989999999999</v>
      </c>
      <c r="Q1107" s="3">
        <v>5215</v>
      </c>
    </row>
    <row r="1108" spans="1:17" ht="24.95" hidden="1" customHeight="1" x14ac:dyDescent="0.25">
      <c r="A1108" s="3">
        <v>4</v>
      </c>
      <c r="B1108" s="3" t="s">
        <v>420</v>
      </c>
      <c r="C1108" s="3" t="s">
        <v>1571</v>
      </c>
      <c r="I1108" s="3">
        <v>32</v>
      </c>
      <c r="J1108" s="3">
        <v>6</v>
      </c>
      <c r="K1108" s="3">
        <v>1</v>
      </c>
      <c r="L1108" s="3">
        <v>6</v>
      </c>
      <c r="M1108" s="3">
        <v>11000</v>
      </c>
      <c r="N1108" s="3">
        <v>66</v>
      </c>
      <c r="O1108" s="3">
        <v>6.31</v>
      </c>
      <c r="P1108" s="3">
        <v>416.46</v>
      </c>
      <c r="Q1108" s="3">
        <v>11000</v>
      </c>
    </row>
    <row r="1109" spans="1:17" ht="24.95" hidden="1" customHeight="1" x14ac:dyDescent="0.25">
      <c r="A1109" s="3">
        <v>4</v>
      </c>
      <c r="B1109" s="3" t="s">
        <v>420</v>
      </c>
      <c r="C1109" s="3" t="s">
        <v>1572</v>
      </c>
      <c r="I1109" s="3">
        <v>32</v>
      </c>
      <c r="J1109" s="3">
        <v>6</v>
      </c>
      <c r="K1109" s="3">
        <v>1</v>
      </c>
      <c r="L1109" s="3">
        <v>6</v>
      </c>
      <c r="M1109" s="3">
        <v>11700</v>
      </c>
      <c r="N1109" s="3">
        <v>70.2</v>
      </c>
      <c r="O1109" s="3">
        <v>6.31</v>
      </c>
      <c r="P1109" s="3">
        <v>442.96199999999999</v>
      </c>
      <c r="Q1109" s="3">
        <v>11700</v>
      </c>
    </row>
    <row r="1110" spans="1:17" ht="24.95" hidden="1" customHeight="1" x14ac:dyDescent="0.25">
      <c r="A1110" s="3">
        <v>4</v>
      </c>
      <c r="B1110" s="3" t="s">
        <v>420</v>
      </c>
      <c r="C1110" s="3" t="s">
        <v>1573</v>
      </c>
      <c r="I1110" s="3">
        <v>32</v>
      </c>
      <c r="J1110" s="3">
        <v>9</v>
      </c>
      <c r="K1110" s="3">
        <v>1</v>
      </c>
      <c r="L1110" s="3">
        <v>9</v>
      </c>
      <c r="M1110" s="3">
        <v>11700</v>
      </c>
      <c r="N1110" s="3">
        <v>105.3</v>
      </c>
      <c r="O1110" s="3">
        <v>6.31</v>
      </c>
      <c r="P1110" s="3">
        <v>664.44299999999998</v>
      </c>
      <c r="Q1110" s="3">
        <v>11700</v>
      </c>
    </row>
    <row r="1111" spans="1:17" ht="24.95" hidden="1" customHeight="1" x14ac:dyDescent="0.25">
      <c r="A1111" s="3">
        <v>4</v>
      </c>
      <c r="B1111" s="3" t="s">
        <v>420</v>
      </c>
      <c r="C1111" s="3" t="s">
        <v>1574</v>
      </c>
      <c r="I1111" s="3">
        <v>32</v>
      </c>
      <c r="J1111" s="3">
        <v>3</v>
      </c>
      <c r="K1111" s="3">
        <v>1</v>
      </c>
      <c r="L1111" s="3">
        <v>3</v>
      </c>
      <c r="M1111" s="3">
        <v>4415</v>
      </c>
      <c r="N1111" s="3">
        <v>13.244999999999999</v>
      </c>
      <c r="O1111" s="3">
        <v>6.31</v>
      </c>
      <c r="P1111" s="3">
        <v>83.575949999999992</v>
      </c>
      <c r="Q1111" s="3">
        <v>4415</v>
      </c>
    </row>
    <row r="1112" spans="1:17" ht="24.95" hidden="1" customHeight="1" x14ac:dyDescent="0.25">
      <c r="A1112" s="3">
        <v>4</v>
      </c>
      <c r="B1112" s="3" t="s">
        <v>420</v>
      </c>
      <c r="C1112" s="3" t="s">
        <v>1575</v>
      </c>
      <c r="I1112" s="3">
        <v>32</v>
      </c>
      <c r="J1112" s="3">
        <v>3</v>
      </c>
      <c r="K1112" s="3">
        <v>1</v>
      </c>
      <c r="L1112" s="3">
        <v>3</v>
      </c>
      <c r="M1112" s="3">
        <v>5115</v>
      </c>
      <c r="N1112" s="3">
        <v>15.345000000000001</v>
      </c>
      <c r="O1112" s="3">
        <v>6.31</v>
      </c>
      <c r="P1112" s="3">
        <v>96.826949999999997</v>
      </c>
      <c r="Q1112" s="3">
        <v>5115</v>
      </c>
    </row>
    <row r="1113" spans="1:17" ht="24.95" hidden="1" customHeight="1" x14ac:dyDescent="0.25">
      <c r="A1113" s="3">
        <v>4</v>
      </c>
      <c r="B1113" s="3" t="s">
        <v>420</v>
      </c>
      <c r="C1113" s="3" t="s">
        <v>1576</v>
      </c>
      <c r="I1113" s="3">
        <v>32</v>
      </c>
      <c r="J1113" s="3">
        <v>3</v>
      </c>
      <c r="K1113" s="3">
        <v>1</v>
      </c>
      <c r="L1113" s="3">
        <v>3</v>
      </c>
      <c r="M1113" s="3">
        <v>11000</v>
      </c>
      <c r="N1113" s="3">
        <v>33</v>
      </c>
      <c r="O1113" s="3">
        <v>6.31</v>
      </c>
      <c r="P1113" s="3">
        <v>208.23</v>
      </c>
      <c r="Q1113" s="3">
        <v>11000</v>
      </c>
    </row>
    <row r="1114" spans="1:17" ht="24.95" hidden="1" customHeight="1" x14ac:dyDescent="0.25">
      <c r="A1114" s="3">
        <v>4</v>
      </c>
      <c r="B1114" s="3" t="s">
        <v>420</v>
      </c>
      <c r="C1114" s="3" t="s">
        <v>1577</v>
      </c>
      <c r="I1114" s="3">
        <v>32</v>
      </c>
      <c r="J1114" s="3">
        <v>3</v>
      </c>
      <c r="K1114" s="3">
        <v>1</v>
      </c>
      <c r="L1114" s="3">
        <v>3</v>
      </c>
      <c r="M1114" s="3">
        <v>11700</v>
      </c>
      <c r="N1114" s="3">
        <v>35.1</v>
      </c>
      <c r="O1114" s="3">
        <v>6.31</v>
      </c>
      <c r="P1114" s="3">
        <v>221.48099999999999</v>
      </c>
      <c r="Q1114" s="3">
        <v>11700</v>
      </c>
    </row>
    <row r="1115" spans="1:17" ht="24.95" hidden="1" customHeight="1" x14ac:dyDescent="0.25">
      <c r="A1115" s="3">
        <v>4</v>
      </c>
      <c r="B1115" s="3" t="s">
        <v>420</v>
      </c>
      <c r="C1115" s="3" t="s">
        <v>1578</v>
      </c>
      <c r="I1115" s="3">
        <v>32</v>
      </c>
      <c r="J1115" s="3">
        <v>6</v>
      </c>
      <c r="K1115" s="3">
        <v>1</v>
      </c>
      <c r="L1115" s="3">
        <v>6</v>
      </c>
      <c r="M1115" s="3">
        <v>8220</v>
      </c>
      <c r="N1115" s="3">
        <v>49.32</v>
      </c>
      <c r="O1115" s="3">
        <v>6.31</v>
      </c>
      <c r="P1115" s="3">
        <v>311.20920000000001</v>
      </c>
      <c r="Q1115" s="3">
        <v>8220</v>
      </c>
    </row>
    <row r="1116" spans="1:17" ht="24.95" hidden="1" customHeight="1" x14ac:dyDescent="0.25">
      <c r="A1116" s="3">
        <v>4</v>
      </c>
      <c r="B1116" s="3" t="s">
        <v>420</v>
      </c>
      <c r="C1116" s="3" t="s">
        <v>1579</v>
      </c>
      <c r="I1116" s="3">
        <v>32</v>
      </c>
      <c r="J1116" s="3">
        <v>6</v>
      </c>
      <c r="K1116" s="3">
        <v>1</v>
      </c>
      <c r="L1116" s="3">
        <v>6</v>
      </c>
      <c r="M1116" s="3">
        <v>6355</v>
      </c>
      <c r="N1116" s="3">
        <v>38.130000000000003</v>
      </c>
      <c r="O1116" s="3">
        <v>6.31</v>
      </c>
      <c r="P1116" s="3">
        <v>240.6003</v>
      </c>
      <c r="Q1116" s="3">
        <v>6355</v>
      </c>
    </row>
    <row r="1117" spans="1:17" ht="24.95" hidden="1" customHeight="1" x14ac:dyDescent="0.25">
      <c r="A1117" s="3">
        <v>4</v>
      </c>
      <c r="B1117" s="3" t="s">
        <v>420</v>
      </c>
      <c r="C1117" s="3" t="s">
        <v>1580</v>
      </c>
      <c r="I1117" s="3">
        <v>32</v>
      </c>
      <c r="J1117" s="3">
        <v>6</v>
      </c>
      <c r="K1117" s="3">
        <v>1</v>
      </c>
      <c r="L1117" s="3">
        <v>6</v>
      </c>
      <c r="M1117" s="3">
        <v>10000</v>
      </c>
      <c r="N1117" s="3">
        <v>60</v>
      </c>
      <c r="O1117" s="3">
        <v>6.31</v>
      </c>
      <c r="P1117" s="3">
        <v>378.59999999999997</v>
      </c>
      <c r="Q1117" s="3">
        <v>10000</v>
      </c>
    </row>
    <row r="1118" spans="1:17" ht="24.95" hidden="1" customHeight="1" x14ac:dyDescent="0.25">
      <c r="A1118" s="3">
        <v>4</v>
      </c>
      <c r="B1118" s="3" t="s">
        <v>420</v>
      </c>
      <c r="C1118" s="3" t="s">
        <v>1581</v>
      </c>
      <c r="I1118" s="3">
        <v>32</v>
      </c>
      <c r="J1118" s="3">
        <v>9</v>
      </c>
      <c r="K1118" s="3">
        <v>1</v>
      </c>
      <c r="L1118" s="3">
        <v>9</v>
      </c>
      <c r="M1118" s="3">
        <v>11700</v>
      </c>
      <c r="N1118" s="3">
        <v>105.3</v>
      </c>
      <c r="O1118" s="3">
        <v>6.31</v>
      </c>
      <c r="P1118" s="3">
        <v>664.44299999999998</v>
      </c>
      <c r="Q1118" s="3">
        <v>11700</v>
      </c>
    </row>
    <row r="1119" spans="1:17" ht="24.95" hidden="1" customHeight="1" x14ac:dyDescent="0.25">
      <c r="A1119" s="3">
        <v>4</v>
      </c>
      <c r="B1119" s="3" t="s">
        <v>420</v>
      </c>
      <c r="C1119" s="3" t="s">
        <v>1582</v>
      </c>
      <c r="I1119" s="3">
        <v>32</v>
      </c>
      <c r="J1119" s="3">
        <v>5</v>
      </c>
      <c r="K1119" s="3">
        <v>1</v>
      </c>
      <c r="L1119" s="3">
        <v>5</v>
      </c>
      <c r="M1119" s="3">
        <v>8000</v>
      </c>
      <c r="N1119" s="3">
        <v>40</v>
      </c>
      <c r="O1119" s="3">
        <v>6.31</v>
      </c>
      <c r="P1119" s="3">
        <v>252.39999999999998</v>
      </c>
      <c r="Q1119" s="3">
        <v>8000</v>
      </c>
    </row>
    <row r="1120" spans="1:17" ht="24.95" hidden="1" customHeight="1" x14ac:dyDescent="0.25">
      <c r="A1120" s="3">
        <v>4</v>
      </c>
      <c r="B1120" s="3" t="s">
        <v>420</v>
      </c>
      <c r="C1120" s="3" t="s">
        <v>1583</v>
      </c>
      <c r="I1120" s="3">
        <v>32</v>
      </c>
      <c r="J1120" s="3">
        <v>6</v>
      </c>
      <c r="K1120" s="3">
        <v>1</v>
      </c>
      <c r="L1120" s="3">
        <v>6</v>
      </c>
      <c r="M1120" s="3">
        <v>8135</v>
      </c>
      <c r="N1120" s="3">
        <v>48.81</v>
      </c>
      <c r="O1120" s="3">
        <v>6.31</v>
      </c>
      <c r="P1120" s="3">
        <v>307.99110000000002</v>
      </c>
      <c r="Q1120" s="3">
        <v>8135</v>
      </c>
    </row>
    <row r="1121" spans="1:17" ht="24.95" hidden="1" customHeight="1" x14ac:dyDescent="0.25">
      <c r="A1121" s="3">
        <v>4</v>
      </c>
      <c r="B1121" s="3" t="s">
        <v>420</v>
      </c>
      <c r="C1121" s="3" t="s">
        <v>1584</v>
      </c>
      <c r="I1121" s="3">
        <v>32</v>
      </c>
      <c r="J1121" s="3">
        <v>4</v>
      </c>
      <c r="K1121" s="3">
        <v>1</v>
      </c>
      <c r="L1121" s="3">
        <v>4</v>
      </c>
      <c r="M1121" s="3">
        <v>6695</v>
      </c>
      <c r="N1121" s="3">
        <v>26.78</v>
      </c>
      <c r="O1121" s="3">
        <v>6.31</v>
      </c>
      <c r="P1121" s="3">
        <v>168.98179999999999</v>
      </c>
      <c r="Q1121" s="3">
        <v>6695</v>
      </c>
    </row>
    <row r="1122" spans="1:17" ht="24.95" hidden="1" customHeight="1" x14ac:dyDescent="0.25">
      <c r="A1122" s="3">
        <v>4</v>
      </c>
      <c r="B1122" s="3" t="s">
        <v>420</v>
      </c>
      <c r="C1122" s="3" t="s">
        <v>1585</v>
      </c>
      <c r="I1122" s="3">
        <v>32</v>
      </c>
      <c r="J1122" s="3">
        <v>4</v>
      </c>
      <c r="K1122" s="3">
        <v>1</v>
      </c>
      <c r="L1122" s="3">
        <v>4</v>
      </c>
      <c r="M1122" s="3">
        <v>4220</v>
      </c>
      <c r="N1122" s="3">
        <v>16.88</v>
      </c>
      <c r="O1122" s="3">
        <v>6.31</v>
      </c>
      <c r="P1122" s="3">
        <v>106.51279999999998</v>
      </c>
      <c r="Q1122" s="3">
        <v>4220</v>
      </c>
    </row>
    <row r="1123" spans="1:17" ht="24.95" hidden="1" customHeight="1" x14ac:dyDescent="0.25">
      <c r="A1123" s="3">
        <v>4</v>
      </c>
      <c r="B1123" s="3" t="s">
        <v>420</v>
      </c>
      <c r="C1123" s="3" t="s">
        <v>1586</v>
      </c>
      <c r="I1123" s="3">
        <v>14</v>
      </c>
      <c r="J1123" s="3">
        <v>68</v>
      </c>
      <c r="K1123" s="3">
        <v>1</v>
      </c>
      <c r="L1123" s="3">
        <v>68</v>
      </c>
      <c r="M1123" s="3">
        <v>4350</v>
      </c>
      <c r="N1123" s="3">
        <v>295.8</v>
      </c>
      <c r="O1123" s="3">
        <v>1.21</v>
      </c>
      <c r="P1123" s="3">
        <v>357.91800000000001</v>
      </c>
      <c r="Q1123" s="3">
        <v>4350</v>
      </c>
    </row>
    <row r="1124" spans="1:17" ht="24.95" hidden="1" customHeight="1" x14ac:dyDescent="0.25">
      <c r="A1124" s="3">
        <v>4</v>
      </c>
      <c r="B1124" s="3" t="s">
        <v>420</v>
      </c>
      <c r="C1124" s="3" t="s">
        <v>1587</v>
      </c>
      <c r="I1124" s="3">
        <v>14</v>
      </c>
      <c r="J1124" s="3">
        <v>68</v>
      </c>
      <c r="K1124" s="3">
        <v>1</v>
      </c>
      <c r="L1124" s="3">
        <v>68</v>
      </c>
      <c r="M1124" s="3">
        <v>7930</v>
      </c>
      <c r="N1124" s="3">
        <v>539.24</v>
      </c>
      <c r="O1124" s="3">
        <v>1.21</v>
      </c>
      <c r="P1124" s="3">
        <v>652.48040000000003</v>
      </c>
      <c r="Q1124" s="3">
        <v>7930</v>
      </c>
    </row>
    <row r="1125" spans="1:17" ht="24.95" hidden="1" customHeight="1" x14ac:dyDescent="0.25">
      <c r="A1125" s="3">
        <v>4</v>
      </c>
      <c r="B1125" s="3" t="s">
        <v>420</v>
      </c>
      <c r="C1125" s="3" t="s">
        <v>1588</v>
      </c>
      <c r="I1125" s="3">
        <v>14</v>
      </c>
      <c r="J1125" s="3">
        <v>612</v>
      </c>
      <c r="K1125" s="3">
        <v>1</v>
      </c>
      <c r="L1125" s="3">
        <v>612</v>
      </c>
      <c r="M1125" s="3">
        <v>2670</v>
      </c>
      <c r="N1125" s="3">
        <v>1634.04</v>
      </c>
      <c r="O1125" s="3">
        <v>1.21</v>
      </c>
      <c r="P1125" s="3">
        <v>1977.1884</v>
      </c>
      <c r="Q1125" s="3">
        <v>2670</v>
      </c>
    </row>
    <row r="1126" spans="1:17" ht="24.95" hidden="1" customHeight="1" x14ac:dyDescent="0.25">
      <c r="A1126" s="3">
        <v>4</v>
      </c>
      <c r="B1126" s="3" t="s">
        <v>420</v>
      </c>
      <c r="C1126" s="3" t="s">
        <v>1589</v>
      </c>
      <c r="I1126" s="3">
        <v>18</v>
      </c>
      <c r="J1126" s="3">
        <v>3</v>
      </c>
      <c r="K1126" s="3">
        <v>1</v>
      </c>
      <c r="L1126" s="3">
        <v>3</v>
      </c>
      <c r="M1126" s="3">
        <v>8260</v>
      </c>
      <c r="N1126" s="3">
        <v>24.78</v>
      </c>
      <c r="O1126" s="3">
        <v>2</v>
      </c>
      <c r="P1126" s="3">
        <v>49.56</v>
      </c>
      <c r="Q1126" s="3">
        <v>8260</v>
      </c>
    </row>
    <row r="1127" spans="1:17" ht="24.95" hidden="1" customHeight="1" x14ac:dyDescent="0.25">
      <c r="A1127" s="3">
        <v>4</v>
      </c>
      <c r="B1127" s="3" t="s">
        <v>420</v>
      </c>
      <c r="C1127" s="3" t="s">
        <v>1590</v>
      </c>
      <c r="I1127" s="3">
        <v>18</v>
      </c>
      <c r="J1127" s="3">
        <v>6</v>
      </c>
      <c r="K1127" s="3">
        <v>1</v>
      </c>
      <c r="L1127" s="3">
        <v>6</v>
      </c>
      <c r="M1127" s="3">
        <v>10650</v>
      </c>
      <c r="N1127" s="3">
        <v>63.9</v>
      </c>
      <c r="O1127" s="3">
        <v>2</v>
      </c>
      <c r="P1127" s="3">
        <v>127.8</v>
      </c>
      <c r="Q1127" s="3">
        <v>10650</v>
      </c>
    </row>
    <row r="1128" spans="1:17" ht="24.95" hidden="1" customHeight="1" x14ac:dyDescent="0.25">
      <c r="A1128" s="3">
        <v>4</v>
      </c>
      <c r="B1128" s="3" t="s">
        <v>420</v>
      </c>
      <c r="C1128" s="3" t="s">
        <v>1591</v>
      </c>
      <c r="I1128" s="3">
        <v>18</v>
      </c>
      <c r="J1128" s="3">
        <v>3</v>
      </c>
      <c r="K1128" s="3">
        <v>1</v>
      </c>
      <c r="L1128" s="3">
        <v>3</v>
      </c>
      <c r="M1128" s="3">
        <v>3040</v>
      </c>
      <c r="N1128" s="3">
        <v>9.1199999999999992</v>
      </c>
      <c r="O1128" s="3">
        <v>2</v>
      </c>
      <c r="P1128" s="3">
        <v>18.239999999999998</v>
      </c>
      <c r="Q1128" s="3">
        <v>3040</v>
      </c>
    </row>
    <row r="1129" spans="1:17" ht="24.95" hidden="1" customHeight="1" x14ac:dyDescent="0.25">
      <c r="A1129" s="3">
        <v>4</v>
      </c>
      <c r="B1129" s="3" t="s">
        <v>420</v>
      </c>
      <c r="C1129" s="3" t="s">
        <v>1592</v>
      </c>
      <c r="I1129" s="3">
        <v>14</v>
      </c>
      <c r="J1129" s="3">
        <v>216</v>
      </c>
      <c r="K1129" s="3">
        <v>1</v>
      </c>
      <c r="L1129" s="3">
        <v>216</v>
      </c>
      <c r="M1129" s="3">
        <v>3370</v>
      </c>
      <c r="N1129" s="3">
        <v>727.92</v>
      </c>
      <c r="O1129" s="3">
        <v>1.21</v>
      </c>
      <c r="P1129" s="3">
        <v>880.78319999999997</v>
      </c>
      <c r="Q1129" s="3">
        <v>3370</v>
      </c>
    </row>
    <row r="1130" spans="1:17" ht="24.95" hidden="1" customHeight="1" x14ac:dyDescent="0.25">
      <c r="A1130" s="3">
        <v>4</v>
      </c>
      <c r="B1130" s="3" t="s">
        <v>420</v>
      </c>
      <c r="C1130" s="3" t="s">
        <v>1593</v>
      </c>
      <c r="I1130" s="3">
        <v>32</v>
      </c>
      <c r="J1130" s="3">
        <v>19</v>
      </c>
      <c r="K1130" s="3">
        <v>1</v>
      </c>
      <c r="L1130" s="3">
        <v>19</v>
      </c>
      <c r="M1130" s="3">
        <v>3090</v>
      </c>
      <c r="N1130" s="3">
        <v>58.71</v>
      </c>
      <c r="O1130" s="3">
        <v>6.31</v>
      </c>
      <c r="P1130" s="3">
        <v>370.46009999999995</v>
      </c>
      <c r="Q1130" s="3">
        <v>3090</v>
      </c>
    </row>
    <row r="1131" spans="1:17" ht="24.95" hidden="1" customHeight="1" x14ac:dyDescent="0.25">
      <c r="A1131" s="3">
        <v>4</v>
      </c>
      <c r="B1131" s="3" t="s">
        <v>420</v>
      </c>
      <c r="C1131" s="3" t="s">
        <v>1594</v>
      </c>
      <c r="I1131" s="3">
        <v>14</v>
      </c>
      <c r="J1131" s="3">
        <v>9</v>
      </c>
      <c r="K1131" s="3">
        <v>1</v>
      </c>
      <c r="L1131" s="3">
        <v>9</v>
      </c>
      <c r="M1131" s="3">
        <v>8080</v>
      </c>
      <c r="N1131" s="3">
        <v>72.72</v>
      </c>
      <c r="O1131" s="3">
        <v>1.21</v>
      </c>
      <c r="P1131" s="3">
        <v>87.991199999999992</v>
      </c>
      <c r="Q1131" s="3">
        <v>8080</v>
      </c>
    </row>
    <row r="1132" spans="1:17" ht="24.95" hidden="1" customHeight="1" x14ac:dyDescent="0.25">
      <c r="A1132" s="3">
        <v>4</v>
      </c>
      <c r="B1132" s="3" t="s">
        <v>420</v>
      </c>
      <c r="C1132" s="3" t="s">
        <v>1595</v>
      </c>
      <c r="I1132" s="3">
        <v>14</v>
      </c>
      <c r="J1132" s="3">
        <v>9</v>
      </c>
      <c r="K1132" s="3">
        <v>1</v>
      </c>
      <c r="L1132" s="3">
        <v>9</v>
      </c>
      <c r="M1132" s="3">
        <v>2860</v>
      </c>
      <c r="N1132" s="3">
        <v>25.74</v>
      </c>
      <c r="O1132" s="3">
        <v>1.21</v>
      </c>
      <c r="P1132" s="3">
        <v>31.145399999999999</v>
      </c>
      <c r="Q1132" s="3">
        <v>2860</v>
      </c>
    </row>
    <row r="1133" spans="1:17" ht="24.95" hidden="1" customHeight="1" x14ac:dyDescent="0.25">
      <c r="A1133" s="3">
        <v>4</v>
      </c>
      <c r="B1133" s="3" t="s">
        <v>420</v>
      </c>
      <c r="C1133" s="3" t="s">
        <v>1596</v>
      </c>
      <c r="I1133" s="3">
        <v>14</v>
      </c>
      <c r="J1133" s="3">
        <v>36</v>
      </c>
      <c r="K1133" s="3">
        <v>1</v>
      </c>
      <c r="L1133" s="3">
        <v>36</v>
      </c>
      <c r="M1133" s="3">
        <v>10650</v>
      </c>
      <c r="N1133" s="3">
        <v>383.4</v>
      </c>
      <c r="O1133" s="3">
        <v>1.21</v>
      </c>
      <c r="P1133" s="3">
        <v>463.91399999999999</v>
      </c>
      <c r="Q1133" s="3">
        <v>10650</v>
      </c>
    </row>
    <row r="1134" spans="1:17" ht="24.95" hidden="1" customHeight="1" x14ac:dyDescent="0.25">
      <c r="A1134" s="3">
        <v>4</v>
      </c>
      <c r="B1134" s="3" t="s">
        <v>421</v>
      </c>
      <c r="C1134" s="3" t="s">
        <v>1597</v>
      </c>
      <c r="I1134" s="3">
        <v>32</v>
      </c>
      <c r="J1134" s="3">
        <v>4</v>
      </c>
      <c r="K1134" s="3">
        <v>1</v>
      </c>
      <c r="L1134" s="3">
        <v>4</v>
      </c>
      <c r="M1134" s="3">
        <v>3855</v>
      </c>
      <c r="N1134" s="3">
        <v>15.42</v>
      </c>
      <c r="O1134" s="3">
        <v>6.31</v>
      </c>
      <c r="P1134" s="3">
        <v>97.30019999999999</v>
      </c>
      <c r="Q1134" s="3">
        <v>3855</v>
      </c>
    </row>
    <row r="1135" spans="1:17" ht="24.95" hidden="1" customHeight="1" x14ac:dyDescent="0.25">
      <c r="A1135" s="3">
        <v>4</v>
      </c>
      <c r="B1135" s="3" t="s">
        <v>421</v>
      </c>
      <c r="C1135" s="3" t="s">
        <v>1598</v>
      </c>
      <c r="I1135" s="3">
        <v>32</v>
      </c>
      <c r="J1135" s="3">
        <v>5</v>
      </c>
      <c r="K1135" s="3">
        <v>1</v>
      </c>
      <c r="L1135" s="3">
        <v>5</v>
      </c>
      <c r="M1135" s="3">
        <v>11000</v>
      </c>
      <c r="N1135" s="3">
        <v>55</v>
      </c>
      <c r="O1135" s="3">
        <v>6.31</v>
      </c>
      <c r="P1135" s="3">
        <v>347.04999999999995</v>
      </c>
      <c r="Q1135" s="3">
        <v>11000</v>
      </c>
    </row>
    <row r="1136" spans="1:17" ht="24.95" hidden="1" customHeight="1" x14ac:dyDescent="0.25">
      <c r="A1136" s="3">
        <v>4</v>
      </c>
      <c r="B1136" s="3" t="s">
        <v>421</v>
      </c>
      <c r="C1136" s="3" t="s">
        <v>1599</v>
      </c>
      <c r="I1136" s="3">
        <v>32</v>
      </c>
      <c r="J1136" s="3">
        <v>5</v>
      </c>
      <c r="K1136" s="3">
        <v>1</v>
      </c>
      <c r="L1136" s="3">
        <v>5</v>
      </c>
      <c r="M1136" s="3">
        <v>3805</v>
      </c>
      <c r="N1136" s="3">
        <v>19.024999999999999</v>
      </c>
      <c r="O1136" s="3">
        <v>6.31</v>
      </c>
      <c r="P1136" s="3">
        <v>120.04774999999998</v>
      </c>
      <c r="Q1136" s="3">
        <v>3805</v>
      </c>
    </row>
    <row r="1137" spans="1:17" ht="24.95" hidden="1" customHeight="1" x14ac:dyDescent="0.25">
      <c r="A1137" s="3">
        <v>4</v>
      </c>
      <c r="B1137" s="3" t="s">
        <v>421</v>
      </c>
      <c r="C1137" s="3" t="s">
        <v>1600</v>
      </c>
      <c r="I1137" s="3">
        <v>32</v>
      </c>
      <c r="J1137" s="3">
        <v>4</v>
      </c>
      <c r="K1137" s="3">
        <v>1</v>
      </c>
      <c r="L1137" s="3">
        <v>4</v>
      </c>
      <c r="M1137" s="3">
        <v>11000</v>
      </c>
      <c r="N1137" s="3">
        <v>44</v>
      </c>
      <c r="O1137" s="3">
        <v>6.31</v>
      </c>
      <c r="P1137" s="3">
        <v>277.64</v>
      </c>
      <c r="Q1137" s="3">
        <v>11000</v>
      </c>
    </row>
    <row r="1138" spans="1:17" ht="24.95" hidden="1" customHeight="1" x14ac:dyDescent="0.25">
      <c r="A1138" s="3">
        <v>4</v>
      </c>
      <c r="B1138" s="3" t="s">
        <v>421</v>
      </c>
      <c r="C1138" s="3" t="s">
        <v>1601</v>
      </c>
      <c r="I1138" s="3">
        <v>32</v>
      </c>
      <c r="J1138" s="3">
        <v>4</v>
      </c>
      <c r="K1138" s="3">
        <v>1</v>
      </c>
      <c r="L1138" s="3">
        <v>4</v>
      </c>
      <c r="M1138" s="3">
        <v>6100</v>
      </c>
      <c r="N1138" s="3">
        <v>24.4</v>
      </c>
      <c r="O1138" s="3">
        <v>6.31</v>
      </c>
      <c r="P1138" s="3">
        <v>153.96399999999997</v>
      </c>
      <c r="Q1138" s="3">
        <v>6100</v>
      </c>
    </row>
    <row r="1139" spans="1:17" ht="24.95" hidden="1" customHeight="1" x14ac:dyDescent="0.25">
      <c r="A1139" s="3">
        <v>4</v>
      </c>
      <c r="B1139" s="3" t="s">
        <v>421</v>
      </c>
      <c r="C1139" s="3" t="s">
        <v>1602</v>
      </c>
      <c r="I1139" s="3">
        <v>32</v>
      </c>
      <c r="J1139" s="3">
        <v>5</v>
      </c>
      <c r="K1139" s="3">
        <v>1</v>
      </c>
      <c r="L1139" s="3">
        <v>5</v>
      </c>
      <c r="M1139" s="3">
        <v>7850</v>
      </c>
      <c r="N1139" s="3">
        <v>39.25</v>
      </c>
      <c r="O1139" s="3">
        <v>6.31</v>
      </c>
      <c r="P1139" s="3">
        <v>247.66749999999999</v>
      </c>
      <c r="Q1139" s="3">
        <v>7850</v>
      </c>
    </row>
    <row r="1140" spans="1:17" ht="24.95" hidden="1" customHeight="1" x14ac:dyDescent="0.25">
      <c r="A1140" s="3">
        <v>4</v>
      </c>
      <c r="B1140" s="3" t="s">
        <v>421</v>
      </c>
      <c r="C1140" s="3" t="s">
        <v>1603</v>
      </c>
      <c r="I1140" s="3">
        <v>32</v>
      </c>
      <c r="J1140" s="3">
        <v>9</v>
      </c>
      <c r="K1140" s="3">
        <v>1</v>
      </c>
      <c r="L1140" s="3">
        <v>9</v>
      </c>
      <c r="M1140" s="3">
        <v>4510</v>
      </c>
      <c r="N1140" s="3">
        <v>40.590000000000003</v>
      </c>
      <c r="O1140" s="3">
        <v>6.31</v>
      </c>
      <c r="P1140" s="3">
        <v>256.12290000000002</v>
      </c>
      <c r="Q1140" s="3">
        <v>4510</v>
      </c>
    </row>
    <row r="1141" spans="1:17" ht="24.95" hidden="1" customHeight="1" x14ac:dyDescent="0.25">
      <c r="A1141" s="3">
        <v>4</v>
      </c>
      <c r="B1141" s="3" t="s">
        <v>421</v>
      </c>
      <c r="C1141" s="3" t="s">
        <v>1604</v>
      </c>
      <c r="I1141" s="3">
        <v>32</v>
      </c>
      <c r="J1141" s="3">
        <v>9</v>
      </c>
      <c r="K1141" s="3">
        <v>1</v>
      </c>
      <c r="L1141" s="3">
        <v>9</v>
      </c>
      <c r="M1141" s="3">
        <v>4415</v>
      </c>
      <c r="N1141" s="3">
        <v>39.734999999999999</v>
      </c>
      <c r="O1141" s="3">
        <v>6.31</v>
      </c>
      <c r="P1141" s="3">
        <v>250.72784999999999</v>
      </c>
      <c r="Q1141" s="3">
        <v>4415</v>
      </c>
    </row>
    <row r="1142" spans="1:17" ht="24.95" hidden="1" customHeight="1" x14ac:dyDescent="0.25">
      <c r="A1142" s="3">
        <v>4</v>
      </c>
      <c r="B1142" s="3" t="s">
        <v>421</v>
      </c>
      <c r="C1142" s="3" t="s">
        <v>1605</v>
      </c>
      <c r="I1142" s="3">
        <v>32</v>
      </c>
      <c r="J1142" s="3">
        <v>4</v>
      </c>
      <c r="K1142" s="3">
        <v>1</v>
      </c>
      <c r="L1142" s="3">
        <v>4</v>
      </c>
      <c r="M1142" s="3">
        <v>4305</v>
      </c>
      <c r="N1142" s="3">
        <v>17.22</v>
      </c>
      <c r="O1142" s="3">
        <v>6.31</v>
      </c>
      <c r="P1142" s="3">
        <v>108.65819999999998</v>
      </c>
      <c r="Q1142" s="3">
        <v>4305</v>
      </c>
    </row>
    <row r="1143" spans="1:17" ht="24.95" hidden="1" customHeight="1" x14ac:dyDescent="0.25">
      <c r="A1143" s="3">
        <v>4</v>
      </c>
      <c r="B1143" s="3" t="s">
        <v>421</v>
      </c>
      <c r="C1143" s="3" t="s">
        <v>1606</v>
      </c>
      <c r="I1143" s="3">
        <v>32</v>
      </c>
      <c r="J1143" s="3">
        <v>9</v>
      </c>
      <c r="K1143" s="3">
        <v>1</v>
      </c>
      <c r="L1143" s="3">
        <v>9</v>
      </c>
      <c r="M1143" s="3">
        <v>4210</v>
      </c>
      <c r="N1143" s="3">
        <v>37.89</v>
      </c>
      <c r="O1143" s="3">
        <v>6.31</v>
      </c>
      <c r="P1143" s="3">
        <v>239.08589999999998</v>
      </c>
      <c r="Q1143" s="3">
        <v>4210</v>
      </c>
    </row>
    <row r="1144" spans="1:17" ht="24.95" hidden="1" customHeight="1" x14ac:dyDescent="0.25">
      <c r="A1144" s="3">
        <v>4</v>
      </c>
      <c r="B1144" s="3" t="s">
        <v>421</v>
      </c>
      <c r="C1144" s="3" t="s">
        <v>1607</v>
      </c>
      <c r="I1144" s="3">
        <v>14</v>
      </c>
      <c r="J1144" s="3">
        <v>55</v>
      </c>
      <c r="K1144" s="3">
        <v>1</v>
      </c>
      <c r="L1144" s="3">
        <v>55</v>
      </c>
      <c r="M1144" s="3">
        <v>5930</v>
      </c>
      <c r="N1144" s="3">
        <v>326.14999999999998</v>
      </c>
      <c r="O1144" s="3">
        <v>1.21</v>
      </c>
      <c r="P1144" s="3">
        <v>394.64149999999995</v>
      </c>
      <c r="Q1144" s="3">
        <v>5930</v>
      </c>
    </row>
    <row r="1145" spans="1:17" ht="24.95" hidden="1" customHeight="1" x14ac:dyDescent="0.25">
      <c r="A1145" s="3">
        <v>4</v>
      </c>
      <c r="B1145" s="3" t="s">
        <v>421</v>
      </c>
      <c r="C1145" s="3" t="s">
        <v>1608</v>
      </c>
      <c r="I1145" s="3">
        <v>14</v>
      </c>
      <c r="J1145" s="3">
        <v>55</v>
      </c>
      <c r="K1145" s="3">
        <v>1</v>
      </c>
      <c r="L1145" s="3">
        <v>55</v>
      </c>
      <c r="M1145" s="3">
        <v>2350</v>
      </c>
      <c r="N1145" s="3">
        <v>129.25</v>
      </c>
      <c r="O1145" s="3">
        <v>1.21</v>
      </c>
      <c r="P1145" s="3">
        <v>156.39249999999998</v>
      </c>
      <c r="Q1145" s="3">
        <v>2350</v>
      </c>
    </row>
    <row r="1146" spans="1:17" ht="24.95" hidden="1" customHeight="1" x14ac:dyDescent="0.25">
      <c r="A1146" s="3">
        <v>4</v>
      </c>
      <c r="B1146" s="3" t="s">
        <v>421</v>
      </c>
      <c r="C1146" s="3" t="s">
        <v>1609</v>
      </c>
      <c r="I1146" s="3">
        <v>14</v>
      </c>
      <c r="J1146" s="3">
        <v>165</v>
      </c>
      <c r="K1146" s="3">
        <v>1</v>
      </c>
      <c r="L1146" s="3">
        <v>165</v>
      </c>
      <c r="M1146" s="3">
        <v>2670</v>
      </c>
      <c r="N1146" s="3">
        <v>440.55</v>
      </c>
      <c r="O1146" s="3">
        <v>1.21</v>
      </c>
      <c r="P1146" s="3">
        <v>533.06550000000004</v>
      </c>
      <c r="Q1146" s="3">
        <v>2670</v>
      </c>
    </row>
    <row r="1147" spans="1:17" ht="24.95" hidden="1" customHeight="1" x14ac:dyDescent="0.25">
      <c r="A1147" s="3">
        <v>4</v>
      </c>
      <c r="B1147" s="3" t="s">
        <v>421</v>
      </c>
      <c r="C1147" s="3" t="s">
        <v>1610</v>
      </c>
      <c r="I1147" s="3">
        <v>18</v>
      </c>
      <c r="J1147" s="3">
        <v>12</v>
      </c>
      <c r="K1147" s="3">
        <v>1</v>
      </c>
      <c r="L1147" s="3">
        <v>12</v>
      </c>
      <c r="M1147" s="3">
        <v>8380</v>
      </c>
      <c r="N1147" s="3">
        <v>100.56</v>
      </c>
      <c r="O1147" s="3">
        <v>2</v>
      </c>
      <c r="P1147" s="3">
        <v>201.12</v>
      </c>
      <c r="Q1147" s="3">
        <v>8380</v>
      </c>
    </row>
    <row r="1148" spans="1:17" ht="24.95" hidden="1" customHeight="1" x14ac:dyDescent="0.25">
      <c r="A1148" s="3">
        <v>4</v>
      </c>
      <c r="B1148" s="3" t="s">
        <v>421</v>
      </c>
      <c r="C1148" s="3" t="s">
        <v>1611</v>
      </c>
      <c r="I1148" s="3">
        <v>14</v>
      </c>
      <c r="J1148" s="3">
        <v>168</v>
      </c>
      <c r="K1148" s="3">
        <v>1</v>
      </c>
      <c r="L1148" s="3">
        <v>168</v>
      </c>
      <c r="M1148" s="3">
        <v>1370</v>
      </c>
      <c r="N1148" s="3">
        <v>230.16</v>
      </c>
      <c r="O1148" s="3">
        <v>1.21</v>
      </c>
      <c r="P1148" s="3">
        <v>278.49360000000001</v>
      </c>
      <c r="Q1148" s="3">
        <v>1370</v>
      </c>
    </row>
    <row r="1149" spans="1:17" ht="24.95" hidden="1" customHeight="1" x14ac:dyDescent="0.25">
      <c r="A1149" s="3">
        <v>4</v>
      </c>
      <c r="B1149" s="3" t="s">
        <v>421</v>
      </c>
      <c r="C1149" s="3" t="s">
        <v>1612</v>
      </c>
      <c r="I1149" s="3">
        <v>32</v>
      </c>
      <c r="J1149" s="3">
        <v>20</v>
      </c>
      <c r="K1149" s="3">
        <v>1</v>
      </c>
      <c r="L1149" s="3">
        <v>20</v>
      </c>
      <c r="M1149" s="3">
        <v>1090</v>
      </c>
      <c r="N1149" s="3">
        <v>21.8</v>
      </c>
      <c r="O1149" s="3">
        <v>6.31</v>
      </c>
      <c r="P1149" s="3">
        <v>137.55799999999999</v>
      </c>
      <c r="Q1149" s="3">
        <v>1090</v>
      </c>
    </row>
    <row r="1150" spans="1:17" ht="24.95" hidden="1" customHeight="1" x14ac:dyDescent="0.25">
      <c r="A1150" s="3">
        <v>4</v>
      </c>
      <c r="B1150" s="3" t="s">
        <v>421</v>
      </c>
      <c r="C1150" s="3" t="s">
        <v>1613</v>
      </c>
      <c r="I1150" s="3">
        <v>32</v>
      </c>
      <c r="J1150" s="3">
        <v>1</v>
      </c>
      <c r="K1150" s="3">
        <v>1</v>
      </c>
      <c r="L1150" s="3">
        <v>1</v>
      </c>
      <c r="M1150" s="3">
        <v>3395</v>
      </c>
      <c r="N1150" s="3">
        <v>3.395</v>
      </c>
      <c r="O1150" s="3">
        <v>6.31</v>
      </c>
      <c r="P1150" s="3">
        <v>21.422449999999998</v>
      </c>
      <c r="Q1150" s="3">
        <v>3395</v>
      </c>
    </row>
    <row r="1151" spans="1:17" ht="24.95" hidden="1" customHeight="1" x14ac:dyDescent="0.25">
      <c r="A1151" s="3">
        <v>4</v>
      </c>
      <c r="B1151" s="3" t="s">
        <v>421</v>
      </c>
      <c r="C1151" s="3" t="s">
        <v>1614</v>
      </c>
      <c r="I1151" s="3">
        <v>32</v>
      </c>
      <c r="J1151" s="3">
        <v>2</v>
      </c>
      <c r="K1151" s="3">
        <v>1</v>
      </c>
      <c r="L1151" s="3">
        <v>2</v>
      </c>
      <c r="M1151" s="3">
        <v>3395</v>
      </c>
      <c r="N1151" s="3">
        <v>6.79</v>
      </c>
      <c r="O1151" s="3">
        <v>6.31</v>
      </c>
      <c r="P1151" s="3">
        <v>42.844899999999996</v>
      </c>
      <c r="Q1151" s="3">
        <v>3395</v>
      </c>
    </row>
    <row r="1152" spans="1:17" ht="24.95" hidden="1" customHeight="1" x14ac:dyDescent="0.25">
      <c r="A1152" s="3">
        <v>4</v>
      </c>
      <c r="B1152" s="3" t="s">
        <v>421</v>
      </c>
      <c r="C1152" s="3" t="s">
        <v>1615</v>
      </c>
      <c r="I1152" s="3">
        <v>32</v>
      </c>
      <c r="J1152" s="3">
        <v>2</v>
      </c>
      <c r="K1152" s="3">
        <v>1</v>
      </c>
      <c r="L1152" s="3">
        <v>2</v>
      </c>
      <c r="M1152" s="3">
        <v>11000</v>
      </c>
      <c r="N1152" s="3">
        <v>22</v>
      </c>
      <c r="O1152" s="3">
        <v>6.31</v>
      </c>
      <c r="P1152" s="3">
        <v>138.82</v>
      </c>
      <c r="Q1152" s="3">
        <v>11000</v>
      </c>
    </row>
    <row r="1153" spans="1:17" ht="24.95" hidden="1" customHeight="1" x14ac:dyDescent="0.25">
      <c r="A1153" s="3">
        <v>4</v>
      </c>
      <c r="B1153" s="3" t="s">
        <v>421</v>
      </c>
      <c r="C1153" s="3" t="s">
        <v>1616</v>
      </c>
      <c r="I1153" s="3">
        <v>32</v>
      </c>
      <c r="J1153" s="3">
        <v>1</v>
      </c>
      <c r="K1153" s="3">
        <v>1</v>
      </c>
      <c r="L1153" s="3">
        <v>1</v>
      </c>
      <c r="M1153" s="3">
        <v>11000</v>
      </c>
      <c r="N1153" s="3">
        <v>11</v>
      </c>
      <c r="O1153" s="3">
        <v>6.31</v>
      </c>
      <c r="P1153" s="3">
        <v>69.41</v>
      </c>
      <c r="Q1153" s="3">
        <v>11000</v>
      </c>
    </row>
    <row r="1154" spans="1:17" ht="24.95" hidden="1" customHeight="1" x14ac:dyDescent="0.25">
      <c r="A1154" s="3">
        <v>4</v>
      </c>
      <c r="B1154" s="3" t="s">
        <v>421</v>
      </c>
      <c r="C1154" s="3" t="s">
        <v>1617</v>
      </c>
      <c r="I1154" s="3">
        <v>14</v>
      </c>
      <c r="J1154" s="3">
        <v>18</v>
      </c>
      <c r="K1154" s="3">
        <v>1</v>
      </c>
      <c r="L1154" s="3">
        <v>18</v>
      </c>
      <c r="M1154" s="3">
        <v>8380</v>
      </c>
      <c r="N1154" s="3">
        <v>150.84</v>
      </c>
      <c r="O1154" s="3">
        <v>1.21</v>
      </c>
      <c r="P1154" s="3">
        <v>182.5164</v>
      </c>
      <c r="Q1154" s="3">
        <v>8380</v>
      </c>
    </row>
    <row r="1155" spans="1:17" ht="24.95" hidden="1" customHeight="1" x14ac:dyDescent="0.25">
      <c r="A1155" s="3">
        <v>4</v>
      </c>
      <c r="B1155" s="3" t="s">
        <v>422</v>
      </c>
      <c r="C1155" s="3" t="s">
        <v>1618</v>
      </c>
      <c r="I1155" s="3">
        <v>32</v>
      </c>
      <c r="J1155" s="3">
        <v>7</v>
      </c>
      <c r="K1155" s="3">
        <v>1</v>
      </c>
      <c r="L1155" s="3">
        <v>7</v>
      </c>
      <c r="M1155" s="3">
        <v>11000</v>
      </c>
      <c r="N1155" s="3">
        <v>77</v>
      </c>
      <c r="O1155" s="3">
        <v>6.31</v>
      </c>
      <c r="P1155" s="3">
        <v>485.86999999999995</v>
      </c>
      <c r="Q1155" s="3">
        <v>11000</v>
      </c>
    </row>
    <row r="1156" spans="1:17" ht="24.95" hidden="1" customHeight="1" x14ac:dyDescent="0.25">
      <c r="A1156" s="3">
        <v>4</v>
      </c>
      <c r="B1156" s="3" t="s">
        <v>422</v>
      </c>
      <c r="C1156" s="3" t="s">
        <v>1619</v>
      </c>
      <c r="I1156" s="3">
        <v>32</v>
      </c>
      <c r="J1156" s="3">
        <v>7</v>
      </c>
      <c r="K1156" s="3">
        <v>1</v>
      </c>
      <c r="L1156" s="3">
        <v>7</v>
      </c>
      <c r="M1156" s="3">
        <v>11000</v>
      </c>
      <c r="N1156" s="3">
        <v>77</v>
      </c>
      <c r="O1156" s="3">
        <v>6.31</v>
      </c>
      <c r="P1156" s="3">
        <v>485.86999999999995</v>
      </c>
      <c r="Q1156" s="3">
        <v>11000</v>
      </c>
    </row>
    <row r="1157" spans="1:17" ht="24.95" hidden="1" customHeight="1" x14ac:dyDescent="0.25">
      <c r="A1157" s="3">
        <v>4</v>
      </c>
      <c r="B1157" s="3" t="s">
        <v>422</v>
      </c>
      <c r="C1157" s="3" t="s">
        <v>1620</v>
      </c>
      <c r="I1157" s="3">
        <v>16</v>
      </c>
      <c r="J1157" s="3">
        <v>42</v>
      </c>
      <c r="K1157" s="3">
        <v>1</v>
      </c>
      <c r="L1157" s="3">
        <v>42</v>
      </c>
      <c r="M1157" s="3">
        <v>2030</v>
      </c>
      <c r="N1157" s="3">
        <v>85.26</v>
      </c>
      <c r="O1157" s="3">
        <v>1.58</v>
      </c>
      <c r="P1157" s="3">
        <v>134.71080000000001</v>
      </c>
      <c r="Q1157" s="3">
        <v>2030</v>
      </c>
    </row>
    <row r="1158" spans="1:17" ht="24.95" hidden="1" customHeight="1" x14ac:dyDescent="0.25">
      <c r="A1158" s="3">
        <v>4</v>
      </c>
      <c r="B1158" s="3" t="s">
        <v>422</v>
      </c>
      <c r="C1158" s="3" t="s">
        <v>1621</v>
      </c>
      <c r="I1158" s="3">
        <v>16</v>
      </c>
      <c r="J1158" s="3">
        <v>42</v>
      </c>
      <c r="K1158" s="3">
        <v>1</v>
      </c>
      <c r="L1158" s="3">
        <v>42</v>
      </c>
      <c r="M1158" s="3">
        <v>5370</v>
      </c>
      <c r="N1158" s="3">
        <v>225.54</v>
      </c>
      <c r="O1158" s="3">
        <v>1.58</v>
      </c>
      <c r="P1158" s="3">
        <v>356.35320000000002</v>
      </c>
      <c r="Q1158" s="3">
        <v>5370</v>
      </c>
    </row>
    <row r="1159" spans="1:17" ht="24.95" hidden="1" customHeight="1" x14ac:dyDescent="0.25">
      <c r="A1159" s="3">
        <v>4</v>
      </c>
      <c r="B1159" s="3" t="s">
        <v>422</v>
      </c>
      <c r="C1159" s="3" t="s">
        <v>1622</v>
      </c>
      <c r="I1159" s="3">
        <v>16</v>
      </c>
      <c r="J1159" s="3">
        <v>84</v>
      </c>
      <c r="K1159" s="3">
        <v>1</v>
      </c>
      <c r="L1159" s="3">
        <v>84</v>
      </c>
      <c r="M1159" s="3">
        <v>2710</v>
      </c>
      <c r="N1159" s="3">
        <v>227.64</v>
      </c>
      <c r="O1159" s="3">
        <v>1.58</v>
      </c>
      <c r="P1159" s="3">
        <v>359.6712</v>
      </c>
      <c r="Q1159" s="3">
        <v>2710</v>
      </c>
    </row>
    <row r="1160" spans="1:17" ht="24.95" hidden="1" customHeight="1" x14ac:dyDescent="0.25">
      <c r="A1160" s="3">
        <v>4</v>
      </c>
      <c r="B1160" s="3" t="s">
        <v>422</v>
      </c>
      <c r="C1160" s="3" t="s">
        <v>1623</v>
      </c>
      <c r="I1160" s="3">
        <v>10</v>
      </c>
      <c r="J1160" s="3">
        <v>108</v>
      </c>
      <c r="K1160" s="3">
        <v>1</v>
      </c>
      <c r="L1160" s="3">
        <v>108</v>
      </c>
      <c r="M1160" s="3">
        <v>790</v>
      </c>
      <c r="N1160" s="3">
        <v>85.32</v>
      </c>
      <c r="O1160" s="3">
        <v>0.61699999999999999</v>
      </c>
      <c r="P1160" s="3">
        <v>52.642439999999993</v>
      </c>
      <c r="Q1160" s="3">
        <v>790</v>
      </c>
    </row>
    <row r="1161" spans="1:17" ht="24.95" hidden="1" customHeight="1" x14ac:dyDescent="0.25">
      <c r="A1161" s="3">
        <v>4</v>
      </c>
      <c r="B1161" s="3" t="s">
        <v>422</v>
      </c>
      <c r="C1161" s="3" t="s">
        <v>1624</v>
      </c>
      <c r="I1161" s="3">
        <v>14</v>
      </c>
      <c r="J1161" s="3">
        <v>12</v>
      </c>
      <c r="K1161" s="3">
        <v>1</v>
      </c>
      <c r="L1161" s="3">
        <v>12</v>
      </c>
      <c r="M1161" s="3">
        <v>6500</v>
      </c>
      <c r="N1161" s="3">
        <v>78</v>
      </c>
      <c r="O1161" s="3">
        <v>1.21</v>
      </c>
      <c r="P1161" s="3">
        <v>94.38</v>
      </c>
      <c r="Q1161" s="3">
        <v>6500</v>
      </c>
    </row>
    <row r="1162" spans="1:17" ht="24.95" hidden="1" customHeight="1" x14ac:dyDescent="0.25">
      <c r="A1162" s="3">
        <v>4</v>
      </c>
      <c r="B1162" s="3" t="s">
        <v>422</v>
      </c>
      <c r="C1162" s="3" t="s">
        <v>1625</v>
      </c>
      <c r="I1162" s="3">
        <v>14</v>
      </c>
      <c r="J1162" s="3">
        <v>12</v>
      </c>
      <c r="K1162" s="3">
        <v>1</v>
      </c>
      <c r="L1162" s="3">
        <v>12</v>
      </c>
      <c r="M1162" s="3">
        <v>6500</v>
      </c>
      <c r="N1162" s="3">
        <v>78</v>
      </c>
      <c r="O1162" s="3">
        <v>1.21</v>
      </c>
      <c r="P1162" s="3">
        <v>94.38</v>
      </c>
      <c r="Q1162" s="3">
        <v>6500</v>
      </c>
    </row>
    <row r="1163" spans="1:17" ht="24.95" hidden="1" customHeight="1" x14ac:dyDescent="0.25">
      <c r="A1163" s="3">
        <v>4</v>
      </c>
      <c r="B1163" s="3" t="s">
        <v>423</v>
      </c>
      <c r="C1163" s="3" t="s">
        <v>1626</v>
      </c>
      <c r="I1163" s="3">
        <v>32</v>
      </c>
      <c r="J1163" s="3">
        <v>3</v>
      </c>
      <c r="K1163" s="3">
        <v>1</v>
      </c>
      <c r="L1163" s="3">
        <v>3</v>
      </c>
      <c r="M1163" s="3">
        <v>11700</v>
      </c>
      <c r="N1163" s="3">
        <v>35.1</v>
      </c>
      <c r="O1163" s="3">
        <v>6.31</v>
      </c>
      <c r="P1163" s="3">
        <v>221.48099999999999</v>
      </c>
      <c r="Q1163" s="3">
        <v>11700</v>
      </c>
    </row>
    <row r="1164" spans="1:17" ht="24.95" hidden="1" customHeight="1" x14ac:dyDescent="0.25">
      <c r="A1164" s="3">
        <v>4</v>
      </c>
      <c r="B1164" s="3" t="s">
        <v>423</v>
      </c>
      <c r="C1164" s="3" t="s">
        <v>1627</v>
      </c>
      <c r="I1164" s="3">
        <v>32</v>
      </c>
      <c r="J1164" s="3">
        <v>7</v>
      </c>
      <c r="K1164" s="3">
        <v>1</v>
      </c>
      <c r="L1164" s="3">
        <v>7</v>
      </c>
      <c r="M1164" s="3">
        <v>2540</v>
      </c>
      <c r="N1164" s="3">
        <v>17.78</v>
      </c>
      <c r="O1164" s="3">
        <v>6.31</v>
      </c>
      <c r="P1164" s="3">
        <v>112.1918</v>
      </c>
      <c r="Q1164" s="3">
        <v>2540</v>
      </c>
    </row>
    <row r="1165" spans="1:17" ht="24.95" hidden="1" customHeight="1" x14ac:dyDescent="0.25">
      <c r="A1165" s="3">
        <v>4</v>
      </c>
      <c r="B1165" s="3" t="s">
        <v>423</v>
      </c>
      <c r="C1165" s="3" t="s">
        <v>1628</v>
      </c>
      <c r="I1165" s="3">
        <v>32</v>
      </c>
      <c r="J1165" s="3">
        <v>4</v>
      </c>
      <c r="K1165" s="3">
        <v>1</v>
      </c>
      <c r="L1165" s="3">
        <v>4</v>
      </c>
      <c r="M1165" s="3">
        <v>11700</v>
      </c>
      <c r="N1165" s="3">
        <v>46.8</v>
      </c>
      <c r="O1165" s="3">
        <v>6.31</v>
      </c>
      <c r="P1165" s="3">
        <v>295.30799999999994</v>
      </c>
      <c r="Q1165" s="3">
        <v>11700</v>
      </c>
    </row>
    <row r="1166" spans="1:17" ht="24.95" hidden="1" customHeight="1" x14ac:dyDescent="0.25">
      <c r="A1166" s="3">
        <v>4</v>
      </c>
      <c r="B1166" s="3" t="s">
        <v>423</v>
      </c>
      <c r="C1166" s="3" t="s">
        <v>1629</v>
      </c>
      <c r="I1166" s="3">
        <v>32</v>
      </c>
      <c r="J1166" s="3">
        <v>3</v>
      </c>
      <c r="K1166" s="3">
        <v>1</v>
      </c>
      <c r="L1166" s="3">
        <v>3</v>
      </c>
      <c r="M1166" s="3">
        <v>8000</v>
      </c>
      <c r="N1166" s="3">
        <v>24</v>
      </c>
      <c r="O1166" s="3">
        <v>6.31</v>
      </c>
      <c r="P1166" s="3">
        <v>151.44</v>
      </c>
      <c r="Q1166" s="3">
        <v>8000</v>
      </c>
    </row>
    <row r="1167" spans="1:17" ht="24.95" hidden="1" customHeight="1" x14ac:dyDescent="0.25">
      <c r="A1167" s="3">
        <v>4</v>
      </c>
      <c r="B1167" s="3" t="s">
        <v>423</v>
      </c>
      <c r="C1167" s="3" t="s">
        <v>1630</v>
      </c>
      <c r="I1167" s="3">
        <v>32</v>
      </c>
      <c r="J1167" s="3">
        <v>7</v>
      </c>
      <c r="K1167" s="3">
        <v>1</v>
      </c>
      <c r="L1167" s="3">
        <v>7</v>
      </c>
      <c r="M1167" s="3">
        <v>6240</v>
      </c>
      <c r="N1167" s="3">
        <v>43.68</v>
      </c>
      <c r="O1167" s="3">
        <v>6.31</v>
      </c>
      <c r="P1167" s="3">
        <v>275.62079999999997</v>
      </c>
      <c r="Q1167" s="3">
        <v>6240</v>
      </c>
    </row>
    <row r="1168" spans="1:17" ht="24.95" hidden="1" customHeight="1" x14ac:dyDescent="0.25">
      <c r="A1168" s="3">
        <v>4</v>
      </c>
      <c r="B1168" s="3" t="s">
        <v>423</v>
      </c>
      <c r="C1168" s="3" t="s">
        <v>1631</v>
      </c>
      <c r="I1168" s="3">
        <v>32</v>
      </c>
      <c r="J1168" s="3">
        <v>4</v>
      </c>
      <c r="K1168" s="3">
        <v>1</v>
      </c>
      <c r="L1168" s="3">
        <v>4</v>
      </c>
      <c r="M1168" s="3">
        <v>8000</v>
      </c>
      <c r="N1168" s="3">
        <v>32</v>
      </c>
      <c r="O1168" s="3">
        <v>6.31</v>
      </c>
      <c r="P1168" s="3">
        <v>201.92</v>
      </c>
      <c r="Q1168" s="3">
        <v>8000</v>
      </c>
    </row>
    <row r="1169" spans="1:17" ht="24.95" hidden="1" customHeight="1" x14ac:dyDescent="0.25">
      <c r="A1169" s="3">
        <v>4</v>
      </c>
      <c r="B1169" s="3" t="s">
        <v>423</v>
      </c>
      <c r="C1169" s="3" t="s">
        <v>1632</v>
      </c>
      <c r="I1169" s="3">
        <v>16</v>
      </c>
      <c r="J1169" s="3">
        <v>54</v>
      </c>
      <c r="K1169" s="3">
        <v>1</v>
      </c>
      <c r="L1169" s="3">
        <v>54</v>
      </c>
      <c r="M1169" s="3">
        <v>2030</v>
      </c>
      <c r="N1169" s="3">
        <v>109.62</v>
      </c>
      <c r="O1169" s="3">
        <v>1.58</v>
      </c>
      <c r="P1169" s="3">
        <v>173.1996</v>
      </c>
      <c r="Q1169" s="3">
        <v>2030</v>
      </c>
    </row>
    <row r="1170" spans="1:17" ht="24.95" hidden="1" customHeight="1" x14ac:dyDescent="0.25">
      <c r="A1170" s="3">
        <v>4</v>
      </c>
      <c r="B1170" s="3" t="s">
        <v>423</v>
      </c>
      <c r="C1170" s="3" t="s">
        <v>1633</v>
      </c>
      <c r="I1170" s="3">
        <v>16</v>
      </c>
      <c r="J1170" s="3">
        <v>54</v>
      </c>
      <c r="K1170" s="3">
        <v>1</v>
      </c>
      <c r="L1170" s="3">
        <v>54</v>
      </c>
      <c r="M1170" s="3">
        <v>5370</v>
      </c>
      <c r="N1170" s="3">
        <v>289.98</v>
      </c>
      <c r="O1170" s="3">
        <v>1.58</v>
      </c>
      <c r="P1170" s="3">
        <v>458.16840000000008</v>
      </c>
      <c r="Q1170" s="3">
        <v>5370</v>
      </c>
    </row>
    <row r="1171" spans="1:17" ht="24.95" hidden="1" customHeight="1" x14ac:dyDescent="0.25">
      <c r="A1171" s="3">
        <v>4</v>
      </c>
      <c r="B1171" s="3" t="s">
        <v>423</v>
      </c>
      <c r="C1171" s="3" t="s">
        <v>1634</v>
      </c>
      <c r="I1171" s="3">
        <v>16</v>
      </c>
      <c r="J1171" s="3">
        <v>108</v>
      </c>
      <c r="K1171" s="3">
        <v>1</v>
      </c>
      <c r="L1171" s="3">
        <v>108</v>
      </c>
      <c r="M1171" s="3">
        <v>2710</v>
      </c>
      <c r="N1171" s="3">
        <v>292.68</v>
      </c>
      <c r="O1171" s="3">
        <v>1.58</v>
      </c>
      <c r="P1171" s="3">
        <v>462.43440000000004</v>
      </c>
      <c r="Q1171" s="3">
        <v>2710</v>
      </c>
    </row>
    <row r="1172" spans="1:17" ht="24.95" hidden="1" customHeight="1" x14ac:dyDescent="0.25">
      <c r="A1172" s="3">
        <v>4</v>
      </c>
      <c r="B1172" s="3" t="s">
        <v>423</v>
      </c>
      <c r="C1172" s="3" t="s">
        <v>1635</v>
      </c>
      <c r="I1172" s="3">
        <v>14</v>
      </c>
      <c r="J1172" s="3">
        <v>12</v>
      </c>
      <c r="K1172" s="3">
        <v>1</v>
      </c>
      <c r="L1172" s="3">
        <v>12</v>
      </c>
      <c r="M1172" s="3">
        <v>8300</v>
      </c>
      <c r="N1172" s="3">
        <v>99.6</v>
      </c>
      <c r="O1172" s="3">
        <v>1.21</v>
      </c>
      <c r="P1172" s="3">
        <v>120.51599999999999</v>
      </c>
      <c r="Q1172" s="3">
        <v>8300</v>
      </c>
    </row>
    <row r="1173" spans="1:17" ht="24.95" hidden="1" customHeight="1" x14ac:dyDescent="0.25">
      <c r="A1173" s="3">
        <v>4</v>
      </c>
      <c r="B1173" s="3" t="s">
        <v>423</v>
      </c>
      <c r="C1173" s="3" t="s">
        <v>1636</v>
      </c>
      <c r="I1173" s="3">
        <v>10</v>
      </c>
      <c r="J1173" s="3">
        <v>84</v>
      </c>
      <c r="K1173" s="3">
        <v>1</v>
      </c>
      <c r="L1173" s="3">
        <v>84</v>
      </c>
      <c r="M1173" s="3">
        <v>790</v>
      </c>
      <c r="N1173" s="3">
        <v>66.36</v>
      </c>
      <c r="O1173" s="3">
        <v>0.61699999999999999</v>
      </c>
      <c r="P1173" s="3">
        <v>40.944119999999998</v>
      </c>
      <c r="Q1173" s="3">
        <v>790</v>
      </c>
    </row>
    <row r="1174" spans="1:17" ht="24.95" hidden="1" customHeight="1" x14ac:dyDescent="0.25">
      <c r="A1174" s="3">
        <v>4</v>
      </c>
      <c r="B1174" s="3" t="s">
        <v>423</v>
      </c>
      <c r="C1174" s="3" t="s">
        <v>1637</v>
      </c>
      <c r="I1174" s="3">
        <v>14</v>
      </c>
      <c r="J1174" s="3">
        <v>12</v>
      </c>
      <c r="K1174" s="3">
        <v>1</v>
      </c>
      <c r="L1174" s="3">
        <v>12</v>
      </c>
      <c r="M1174" s="3">
        <v>8300</v>
      </c>
      <c r="N1174" s="3">
        <v>99.6</v>
      </c>
      <c r="O1174" s="3">
        <v>1.21</v>
      </c>
      <c r="P1174" s="3">
        <v>120.51599999999999</v>
      </c>
      <c r="Q1174" s="3">
        <v>8300</v>
      </c>
    </row>
    <row r="1175" spans="1:17" ht="24.95" hidden="1" customHeight="1" x14ac:dyDescent="0.25">
      <c r="A1175" s="3">
        <v>4</v>
      </c>
      <c r="B1175" s="3" t="s">
        <v>424</v>
      </c>
      <c r="C1175" s="3" t="s">
        <v>1638</v>
      </c>
      <c r="I1175" s="3">
        <v>32</v>
      </c>
      <c r="J1175" s="3">
        <v>7</v>
      </c>
      <c r="K1175" s="3">
        <v>1</v>
      </c>
      <c r="L1175" s="3">
        <v>7</v>
      </c>
      <c r="M1175" s="3">
        <v>4445</v>
      </c>
      <c r="N1175" s="3">
        <v>31.114999999999998</v>
      </c>
      <c r="O1175" s="3">
        <v>6.31</v>
      </c>
      <c r="P1175" s="3">
        <v>196.33564999999999</v>
      </c>
      <c r="Q1175" s="3">
        <v>4445</v>
      </c>
    </row>
    <row r="1176" spans="1:17" ht="24.95" hidden="1" customHeight="1" x14ac:dyDescent="0.25">
      <c r="A1176" s="3">
        <v>4</v>
      </c>
      <c r="B1176" s="3" t="s">
        <v>424</v>
      </c>
      <c r="C1176" s="3" t="s">
        <v>1639</v>
      </c>
      <c r="I1176" s="3">
        <v>32</v>
      </c>
      <c r="J1176" s="3">
        <v>8</v>
      </c>
      <c r="K1176" s="3">
        <v>1</v>
      </c>
      <c r="L1176" s="3">
        <v>8</v>
      </c>
      <c r="M1176" s="3">
        <v>4445</v>
      </c>
      <c r="N1176" s="3">
        <v>35.56</v>
      </c>
      <c r="O1176" s="3">
        <v>6.31</v>
      </c>
      <c r="P1176" s="3">
        <v>224.3836</v>
      </c>
      <c r="Q1176" s="3">
        <v>4445</v>
      </c>
    </row>
    <row r="1177" spans="1:17" ht="24.95" hidden="1" customHeight="1" x14ac:dyDescent="0.25">
      <c r="A1177" s="3">
        <v>4</v>
      </c>
      <c r="B1177" s="3" t="s">
        <v>424</v>
      </c>
      <c r="C1177" s="3" t="s">
        <v>1640</v>
      </c>
      <c r="I1177" s="3">
        <v>32</v>
      </c>
      <c r="J1177" s="3">
        <v>8</v>
      </c>
      <c r="K1177" s="3">
        <v>1</v>
      </c>
      <c r="L1177" s="3">
        <v>8</v>
      </c>
      <c r="M1177" s="3">
        <v>11700</v>
      </c>
      <c r="N1177" s="3">
        <v>93.6</v>
      </c>
      <c r="O1177" s="3">
        <v>6.31</v>
      </c>
      <c r="P1177" s="3">
        <v>590.61599999999987</v>
      </c>
      <c r="Q1177" s="3">
        <v>11700</v>
      </c>
    </row>
    <row r="1178" spans="1:17" ht="24.95" hidden="1" customHeight="1" x14ac:dyDescent="0.25">
      <c r="A1178" s="3">
        <v>4</v>
      </c>
      <c r="B1178" s="3" t="s">
        <v>424</v>
      </c>
      <c r="C1178" s="3" t="s">
        <v>1641</v>
      </c>
      <c r="I1178" s="3">
        <v>32</v>
      </c>
      <c r="J1178" s="3">
        <v>7</v>
      </c>
      <c r="K1178" s="3">
        <v>1</v>
      </c>
      <c r="L1178" s="3">
        <v>7</v>
      </c>
      <c r="M1178" s="3">
        <v>11700</v>
      </c>
      <c r="N1178" s="3">
        <v>81.900000000000006</v>
      </c>
      <c r="O1178" s="3">
        <v>6.31</v>
      </c>
      <c r="P1178" s="3">
        <v>516.78899999999999</v>
      </c>
      <c r="Q1178" s="3">
        <v>11700</v>
      </c>
    </row>
    <row r="1179" spans="1:17" ht="24.95" hidden="1" customHeight="1" x14ac:dyDescent="0.25">
      <c r="A1179" s="3">
        <v>4</v>
      </c>
      <c r="B1179" s="3" t="s">
        <v>424</v>
      </c>
      <c r="C1179" s="3" t="s">
        <v>1642</v>
      </c>
      <c r="I1179" s="3">
        <v>32</v>
      </c>
      <c r="J1179" s="3">
        <v>3</v>
      </c>
      <c r="K1179" s="3">
        <v>1</v>
      </c>
      <c r="L1179" s="3">
        <v>3</v>
      </c>
      <c r="M1179" s="3">
        <v>4335</v>
      </c>
      <c r="N1179" s="3">
        <v>13.005000000000001</v>
      </c>
      <c r="O1179" s="3">
        <v>6.31</v>
      </c>
      <c r="P1179" s="3">
        <v>82.061549999999997</v>
      </c>
      <c r="Q1179" s="3">
        <v>4335</v>
      </c>
    </row>
    <row r="1180" spans="1:17" ht="24.95" hidden="1" customHeight="1" x14ac:dyDescent="0.25">
      <c r="A1180" s="3">
        <v>4</v>
      </c>
      <c r="B1180" s="3" t="s">
        <v>424</v>
      </c>
      <c r="C1180" s="3" t="s">
        <v>1643</v>
      </c>
      <c r="I1180" s="3">
        <v>32</v>
      </c>
      <c r="J1180" s="3">
        <v>3</v>
      </c>
      <c r="K1180" s="3">
        <v>1</v>
      </c>
      <c r="L1180" s="3">
        <v>3</v>
      </c>
      <c r="M1180" s="3">
        <v>9390</v>
      </c>
      <c r="N1180" s="3">
        <v>28.17</v>
      </c>
      <c r="O1180" s="3">
        <v>6.31</v>
      </c>
      <c r="P1180" s="3">
        <v>177.7527</v>
      </c>
      <c r="Q1180" s="3">
        <v>9390</v>
      </c>
    </row>
    <row r="1181" spans="1:17" ht="24.95" hidden="1" customHeight="1" x14ac:dyDescent="0.25">
      <c r="A1181" s="3">
        <v>4</v>
      </c>
      <c r="B1181" s="3" t="s">
        <v>424</v>
      </c>
      <c r="C1181" s="3" t="s">
        <v>1644</v>
      </c>
      <c r="I1181" s="3">
        <v>32</v>
      </c>
      <c r="J1181" s="3">
        <v>6</v>
      </c>
      <c r="K1181" s="3">
        <v>1</v>
      </c>
      <c r="L1181" s="3">
        <v>6</v>
      </c>
      <c r="M1181" s="3">
        <v>4345</v>
      </c>
      <c r="N1181" s="3">
        <v>26.07</v>
      </c>
      <c r="O1181" s="3">
        <v>6.31</v>
      </c>
      <c r="P1181" s="3">
        <v>164.5017</v>
      </c>
      <c r="Q1181" s="3">
        <v>4345</v>
      </c>
    </row>
    <row r="1182" spans="1:17" ht="24.95" hidden="1" customHeight="1" x14ac:dyDescent="0.25">
      <c r="A1182" s="3">
        <v>4</v>
      </c>
      <c r="B1182" s="3" t="s">
        <v>424</v>
      </c>
      <c r="C1182" s="3" t="s">
        <v>1645</v>
      </c>
      <c r="I1182" s="3">
        <v>32</v>
      </c>
      <c r="J1182" s="3">
        <v>5</v>
      </c>
      <c r="K1182" s="3">
        <v>1</v>
      </c>
      <c r="L1182" s="3">
        <v>5</v>
      </c>
      <c r="M1182" s="3">
        <v>4345</v>
      </c>
      <c r="N1182" s="3">
        <v>21.725000000000001</v>
      </c>
      <c r="O1182" s="3">
        <v>6.31</v>
      </c>
      <c r="P1182" s="3">
        <v>137.08475000000001</v>
      </c>
      <c r="Q1182" s="3">
        <v>4345</v>
      </c>
    </row>
    <row r="1183" spans="1:17" ht="24.95" hidden="1" customHeight="1" x14ac:dyDescent="0.25">
      <c r="A1183" s="3">
        <v>4</v>
      </c>
      <c r="B1183" s="3" t="s">
        <v>424</v>
      </c>
      <c r="C1183" s="3" t="s">
        <v>1646</v>
      </c>
      <c r="I1183" s="3">
        <v>32</v>
      </c>
      <c r="J1183" s="3">
        <v>5</v>
      </c>
      <c r="K1183" s="3">
        <v>1</v>
      </c>
      <c r="L1183" s="3">
        <v>5</v>
      </c>
      <c r="M1183" s="3">
        <v>11700</v>
      </c>
      <c r="N1183" s="3">
        <v>58.5</v>
      </c>
      <c r="O1183" s="3">
        <v>6.31</v>
      </c>
      <c r="P1183" s="3">
        <v>369.13499999999999</v>
      </c>
      <c r="Q1183" s="3">
        <v>11700</v>
      </c>
    </row>
    <row r="1184" spans="1:17" ht="24.95" hidden="1" customHeight="1" x14ac:dyDescent="0.25">
      <c r="A1184" s="3">
        <v>4</v>
      </c>
      <c r="B1184" s="3" t="s">
        <v>424</v>
      </c>
      <c r="C1184" s="3" t="s">
        <v>1647</v>
      </c>
      <c r="I1184" s="3">
        <v>32</v>
      </c>
      <c r="J1184" s="3">
        <v>6</v>
      </c>
      <c r="K1184" s="3">
        <v>1</v>
      </c>
      <c r="L1184" s="3">
        <v>6</v>
      </c>
      <c r="M1184" s="3">
        <v>11700</v>
      </c>
      <c r="N1184" s="3">
        <v>70.2</v>
      </c>
      <c r="O1184" s="3">
        <v>6.31</v>
      </c>
      <c r="P1184" s="3">
        <v>442.96199999999999</v>
      </c>
      <c r="Q1184" s="3">
        <v>11700</v>
      </c>
    </row>
    <row r="1185" spans="1:17" ht="24.95" hidden="1" customHeight="1" x14ac:dyDescent="0.25">
      <c r="A1185" s="3">
        <v>4</v>
      </c>
      <c r="B1185" s="3" t="s">
        <v>424</v>
      </c>
      <c r="C1185" s="3" t="s">
        <v>1648</v>
      </c>
      <c r="I1185" s="3">
        <v>32</v>
      </c>
      <c r="J1185" s="3">
        <v>7</v>
      </c>
      <c r="K1185" s="3">
        <v>1</v>
      </c>
      <c r="L1185" s="3">
        <v>7</v>
      </c>
      <c r="M1185" s="3">
        <v>10000</v>
      </c>
      <c r="N1185" s="3">
        <v>70</v>
      </c>
      <c r="O1185" s="3">
        <v>6.31</v>
      </c>
      <c r="P1185" s="3">
        <v>441.7</v>
      </c>
      <c r="Q1185" s="3">
        <v>10000</v>
      </c>
    </row>
    <row r="1186" spans="1:17" ht="24.95" hidden="1" customHeight="1" x14ac:dyDescent="0.25">
      <c r="A1186" s="3">
        <v>4</v>
      </c>
      <c r="B1186" s="3" t="s">
        <v>424</v>
      </c>
      <c r="C1186" s="3" t="s">
        <v>1649</v>
      </c>
      <c r="I1186" s="3">
        <v>32</v>
      </c>
      <c r="J1186" s="3">
        <v>8</v>
      </c>
      <c r="K1186" s="3">
        <v>1</v>
      </c>
      <c r="L1186" s="3">
        <v>8</v>
      </c>
      <c r="M1186" s="3">
        <v>8280</v>
      </c>
      <c r="N1186" s="3">
        <v>66.239999999999995</v>
      </c>
      <c r="O1186" s="3">
        <v>6.31</v>
      </c>
      <c r="P1186" s="3">
        <v>417.97439999999995</v>
      </c>
      <c r="Q1186" s="3">
        <v>8280</v>
      </c>
    </row>
    <row r="1187" spans="1:17" ht="24.95" hidden="1" customHeight="1" x14ac:dyDescent="0.25">
      <c r="A1187" s="3">
        <v>4</v>
      </c>
      <c r="B1187" s="3" t="s">
        <v>424</v>
      </c>
      <c r="C1187" s="3" t="s">
        <v>1650</v>
      </c>
      <c r="I1187" s="3">
        <v>32</v>
      </c>
      <c r="J1187" s="3">
        <v>8</v>
      </c>
      <c r="K1187" s="3">
        <v>1</v>
      </c>
      <c r="L1187" s="3">
        <v>8</v>
      </c>
      <c r="M1187" s="3">
        <v>7755</v>
      </c>
      <c r="N1187" s="3">
        <v>62.04</v>
      </c>
      <c r="O1187" s="3">
        <v>6.31</v>
      </c>
      <c r="P1187" s="3">
        <v>391.47239999999999</v>
      </c>
      <c r="Q1187" s="3">
        <v>7755</v>
      </c>
    </row>
    <row r="1188" spans="1:17" ht="24.95" hidden="1" customHeight="1" x14ac:dyDescent="0.25">
      <c r="A1188" s="3">
        <v>4</v>
      </c>
      <c r="B1188" s="3" t="s">
        <v>424</v>
      </c>
      <c r="C1188" s="3" t="s">
        <v>1651</v>
      </c>
      <c r="I1188" s="3">
        <v>32</v>
      </c>
      <c r="J1188" s="3">
        <v>7</v>
      </c>
      <c r="K1188" s="3">
        <v>1</v>
      </c>
      <c r="L1188" s="3">
        <v>7</v>
      </c>
      <c r="M1188" s="3">
        <v>6035</v>
      </c>
      <c r="N1188" s="3">
        <v>42.244999999999997</v>
      </c>
      <c r="O1188" s="3">
        <v>6.31</v>
      </c>
      <c r="P1188" s="3">
        <v>266.56594999999999</v>
      </c>
      <c r="Q1188" s="3">
        <v>6035</v>
      </c>
    </row>
    <row r="1189" spans="1:17" ht="24.95" hidden="1" customHeight="1" x14ac:dyDescent="0.25">
      <c r="A1189" s="3">
        <v>4</v>
      </c>
      <c r="B1189" s="3" t="s">
        <v>424</v>
      </c>
      <c r="C1189" s="3" t="s">
        <v>1652</v>
      </c>
      <c r="I1189" s="3">
        <v>32</v>
      </c>
      <c r="J1189" s="3">
        <v>3</v>
      </c>
      <c r="K1189" s="3">
        <v>1</v>
      </c>
      <c r="L1189" s="3">
        <v>3</v>
      </c>
      <c r="M1189" s="3">
        <v>7795</v>
      </c>
      <c r="N1189" s="3">
        <v>23.385000000000002</v>
      </c>
      <c r="O1189" s="3">
        <v>6.31</v>
      </c>
      <c r="P1189" s="3">
        <v>147.55934999999999</v>
      </c>
      <c r="Q1189" s="3">
        <v>7795</v>
      </c>
    </row>
    <row r="1190" spans="1:17" ht="24.95" hidden="1" customHeight="1" x14ac:dyDescent="0.25">
      <c r="A1190" s="3">
        <v>4</v>
      </c>
      <c r="B1190" s="3" t="s">
        <v>424</v>
      </c>
      <c r="C1190" s="3" t="s">
        <v>1653</v>
      </c>
      <c r="I1190" s="3">
        <v>32</v>
      </c>
      <c r="J1190" s="3">
        <v>3</v>
      </c>
      <c r="K1190" s="3">
        <v>1</v>
      </c>
      <c r="L1190" s="3">
        <v>3</v>
      </c>
      <c r="M1190" s="3">
        <v>5865</v>
      </c>
      <c r="N1190" s="3">
        <v>17.594999999999999</v>
      </c>
      <c r="O1190" s="3">
        <v>6.31</v>
      </c>
      <c r="P1190" s="3">
        <v>111.02444999999999</v>
      </c>
      <c r="Q1190" s="3">
        <v>5865</v>
      </c>
    </row>
    <row r="1191" spans="1:17" ht="24.95" hidden="1" customHeight="1" x14ac:dyDescent="0.25">
      <c r="A1191" s="3">
        <v>4</v>
      </c>
      <c r="B1191" s="3" t="s">
        <v>424</v>
      </c>
      <c r="C1191" s="3" t="s">
        <v>1654</v>
      </c>
      <c r="I1191" s="3">
        <v>32</v>
      </c>
      <c r="J1191" s="3">
        <v>17</v>
      </c>
      <c r="K1191" s="3">
        <v>1</v>
      </c>
      <c r="L1191" s="3">
        <v>17</v>
      </c>
      <c r="M1191" s="3">
        <v>6145</v>
      </c>
      <c r="N1191" s="3">
        <v>104.465</v>
      </c>
      <c r="O1191" s="3">
        <v>6.31</v>
      </c>
      <c r="P1191" s="3">
        <v>659.17414999999994</v>
      </c>
      <c r="Q1191" s="3">
        <v>6145</v>
      </c>
    </row>
    <row r="1192" spans="1:17" ht="24.95" hidden="1" customHeight="1" x14ac:dyDescent="0.25">
      <c r="A1192" s="3">
        <v>4</v>
      </c>
      <c r="B1192" s="3" t="s">
        <v>424</v>
      </c>
      <c r="C1192" s="3" t="s">
        <v>1655</v>
      </c>
      <c r="I1192" s="3">
        <v>32</v>
      </c>
      <c r="J1192" s="3">
        <v>21</v>
      </c>
      <c r="K1192" s="3">
        <v>1</v>
      </c>
      <c r="L1192" s="3">
        <v>21</v>
      </c>
      <c r="M1192" s="3">
        <v>4360</v>
      </c>
      <c r="N1192" s="3">
        <v>91.56</v>
      </c>
      <c r="O1192" s="3">
        <v>6.31</v>
      </c>
      <c r="P1192" s="3">
        <v>577.74360000000001</v>
      </c>
      <c r="Q1192" s="3">
        <v>4360</v>
      </c>
    </row>
    <row r="1193" spans="1:17" ht="24.95" hidden="1" customHeight="1" x14ac:dyDescent="0.25">
      <c r="A1193" s="3">
        <v>4</v>
      </c>
      <c r="B1193" s="3" t="s">
        <v>424</v>
      </c>
      <c r="C1193" s="3" t="s">
        <v>1656</v>
      </c>
      <c r="I1193" s="3">
        <v>14</v>
      </c>
      <c r="J1193" s="3">
        <v>64</v>
      </c>
      <c r="K1193" s="3">
        <v>1</v>
      </c>
      <c r="L1193" s="3">
        <v>64</v>
      </c>
      <c r="M1193" s="3">
        <v>8030</v>
      </c>
      <c r="N1193" s="3">
        <v>513.91999999999996</v>
      </c>
      <c r="O1193" s="3">
        <v>1.21</v>
      </c>
      <c r="P1193" s="3">
        <v>621.84319999999991</v>
      </c>
      <c r="Q1193" s="3">
        <v>8030</v>
      </c>
    </row>
    <row r="1194" spans="1:17" ht="24.95" hidden="1" customHeight="1" x14ac:dyDescent="0.25">
      <c r="A1194" s="3">
        <v>4</v>
      </c>
      <c r="B1194" s="3" t="s">
        <v>424</v>
      </c>
      <c r="C1194" s="3" t="s">
        <v>1657</v>
      </c>
      <c r="I1194" s="3">
        <v>14</v>
      </c>
      <c r="J1194" s="3">
        <v>64</v>
      </c>
      <c r="K1194" s="3">
        <v>1</v>
      </c>
      <c r="L1194" s="3">
        <v>64</v>
      </c>
      <c r="M1194" s="3">
        <v>4450</v>
      </c>
      <c r="N1194" s="3">
        <v>284.8</v>
      </c>
      <c r="O1194" s="3">
        <v>1.21</v>
      </c>
      <c r="P1194" s="3">
        <v>344.608</v>
      </c>
      <c r="Q1194" s="3">
        <v>4450</v>
      </c>
    </row>
    <row r="1195" spans="1:17" ht="24.95" hidden="1" customHeight="1" x14ac:dyDescent="0.25">
      <c r="A1195" s="3">
        <v>4</v>
      </c>
      <c r="B1195" s="3" t="s">
        <v>424</v>
      </c>
      <c r="C1195" s="3" t="s">
        <v>1658</v>
      </c>
      <c r="I1195" s="3">
        <v>14</v>
      </c>
      <c r="J1195" s="3">
        <v>576</v>
      </c>
      <c r="K1195" s="3">
        <v>1</v>
      </c>
      <c r="L1195" s="3">
        <v>576</v>
      </c>
      <c r="M1195" s="3">
        <v>2670</v>
      </c>
      <c r="N1195" s="3">
        <v>1537.92</v>
      </c>
      <c r="O1195" s="3">
        <v>1.21</v>
      </c>
      <c r="P1195" s="3">
        <v>1860.8832</v>
      </c>
      <c r="Q1195" s="3">
        <v>2670</v>
      </c>
    </row>
    <row r="1196" spans="1:17" ht="24.95" hidden="1" customHeight="1" x14ac:dyDescent="0.25">
      <c r="A1196" s="3">
        <v>4</v>
      </c>
      <c r="B1196" s="3" t="s">
        <v>424</v>
      </c>
      <c r="C1196" s="3" t="s">
        <v>1659</v>
      </c>
      <c r="I1196" s="3">
        <v>18</v>
      </c>
      <c r="J1196" s="3">
        <v>12</v>
      </c>
      <c r="K1196" s="3">
        <v>1</v>
      </c>
      <c r="L1196" s="3">
        <v>12</v>
      </c>
      <c r="M1196" s="3">
        <v>11230</v>
      </c>
      <c r="N1196" s="3">
        <v>134.76</v>
      </c>
      <c r="O1196" s="3">
        <v>2</v>
      </c>
      <c r="P1196" s="3">
        <v>269.52</v>
      </c>
      <c r="Q1196" s="3">
        <v>11230</v>
      </c>
    </row>
    <row r="1197" spans="1:17" ht="24.95" hidden="1" customHeight="1" x14ac:dyDescent="0.25">
      <c r="A1197" s="3">
        <v>4</v>
      </c>
      <c r="B1197" s="3" t="s">
        <v>424</v>
      </c>
      <c r="C1197" s="3" t="s">
        <v>1660</v>
      </c>
      <c r="I1197" s="3">
        <v>14</v>
      </c>
      <c r="J1197" s="3">
        <v>168</v>
      </c>
      <c r="K1197" s="3">
        <v>1</v>
      </c>
      <c r="L1197" s="3">
        <v>168</v>
      </c>
      <c r="M1197" s="3">
        <v>3470</v>
      </c>
      <c r="N1197" s="3">
        <v>582.96</v>
      </c>
      <c r="O1197" s="3">
        <v>1.21</v>
      </c>
      <c r="P1197" s="3">
        <v>705.38160000000005</v>
      </c>
      <c r="Q1197" s="3">
        <v>3470</v>
      </c>
    </row>
    <row r="1198" spans="1:17" ht="24.95" hidden="1" customHeight="1" x14ac:dyDescent="0.25">
      <c r="A1198" s="3">
        <v>4</v>
      </c>
      <c r="B1198" s="3" t="s">
        <v>424</v>
      </c>
      <c r="C1198" s="3" t="s">
        <v>1661</v>
      </c>
      <c r="I1198" s="3">
        <v>32</v>
      </c>
      <c r="J1198" s="3">
        <v>7</v>
      </c>
      <c r="K1198" s="3">
        <v>1</v>
      </c>
      <c r="L1198" s="3">
        <v>7</v>
      </c>
      <c r="M1198" s="3">
        <v>3190</v>
      </c>
      <c r="N1198" s="3">
        <v>22.33</v>
      </c>
      <c r="O1198" s="3">
        <v>6.31</v>
      </c>
      <c r="P1198" s="3">
        <v>140.90229999999997</v>
      </c>
      <c r="Q1198" s="3">
        <v>3190</v>
      </c>
    </row>
    <row r="1199" spans="1:17" ht="24.95" hidden="1" customHeight="1" x14ac:dyDescent="0.25">
      <c r="A1199" s="3">
        <v>4</v>
      </c>
      <c r="B1199" s="3" t="s">
        <v>424</v>
      </c>
      <c r="C1199" s="3" t="s">
        <v>1662</v>
      </c>
      <c r="I1199" s="3">
        <v>14</v>
      </c>
      <c r="J1199" s="3">
        <v>54</v>
      </c>
      <c r="K1199" s="3">
        <v>1</v>
      </c>
      <c r="L1199" s="3">
        <v>54</v>
      </c>
      <c r="M1199" s="3">
        <v>11230</v>
      </c>
      <c r="N1199" s="3">
        <v>606.41999999999996</v>
      </c>
      <c r="O1199" s="3">
        <v>1.21</v>
      </c>
      <c r="P1199" s="3">
        <v>733.76819999999998</v>
      </c>
      <c r="Q1199" s="3">
        <v>11230</v>
      </c>
    </row>
    <row r="1200" spans="1:17" ht="24.95" hidden="1" customHeight="1" x14ac:dyDescent="0.25">
      <c r="A1200" s="3">
        <v>5</v>
      </c>
      <c r="B1200" s="3" t="s">
        <v>425</v>
      </c>
      <c r="C1200" s="3" t="s">
        <v>1663</v>
      </c>
      <c r="I1200" s="3">
        <v>32</v>
      </c>
      <c r="J1200" s="3">
        <v>5</v>
      </c>
      <c r="K1200" s="3">
        <v>1</v>
      </c>
      <c r="L1200" s="3">
        <v>5</v>
      </c>
      <c r="M1200" s="3">
        <v>3385</v>
      </c>
      <c r="N1200" s="3">
        <v>16.925000000000001</v>
      </c>
      <c r="O1200" s="3">
        <v>6.31</v>
      </c>
      <c r="P1200" s="3">
        <v>106.79675</v>
      </c>
      <c r="Q1200" s="3">
        <v>3385</v>
      </c>
    </row>
    <row r="1201" spans="1:17" ht="24.95" hidden="1" customHeight="1" x14ac:dyDescent="0.25">
      <c r="A1201" s="3">
        <v>5</v>
      </c>
      <c r="B1201" s="3" t="s">
        <v>425</v>
      </c>
      <c r="C1201" s="3" t="s">
        <v>1664</v>
      </c>
      <c r="I1201" s="3">
        <v>32</v>
      </c>
      <c r="J1201" s="3">
        <v>6</v>
      </c>
      <c r="K1201" s="3">
        <v>1</v>
      </c>
      <c r="L1201" s="3">
        <v>6</v>
      </c>
      <c r="M1201" s="3">
        <v>3385</v>
      </c>
      <c r="N1201" s="3">
        <v>20.309999999999999</v>
      </c>
      <c r="O1201" s="3">
        <v>6.31</v>
      </c>
      <c r="P1201" s="3">
        <v>128.15609999999998</v>
      </c>
      <c r="Q1201" s="3">
        <v>3385</v>
      </c>
    </row>
    <row r="1202" spans="1:17" ht="24.95" hidden="1" customHeight="1" x14ac:dyDescent="0.25">
      <c r="A1202" s="3">
        <v>5</v>
      </c>
      <c r="B1202" s="3" t="s">
        <v>425</v>
      </c>
      <c r="C1202" s="3" t="s">
        <v>1665</v>
      </c>
      <c r="I1202" s="3">
        <v>32</v>
      </c>
      <c r="J1202" s="3">
        <v>6</v>
      </c>
      <c r="K1202" s="3">
        <v>1</v>
      </c>
      <c r="L1202" s="3">
        <v>6</v>
      </c>
      <c r="M1202" s="3">
        <v>10000</v>
      </c>
      <c r="N1202" s="3">
        <v>60</v>
      </c>
      <c r="O1202" s="3">
        <v>6.31</v>
      </c>
      <c r="P1202" s="3">
        <v>378.59999999999997</v>
      </c>
      <c r="Q1202" s="3">
        <v>10000</v>
      </c>
    </row>
    <row r="1203" spans="1:17" ht="24.95" hidden="1" customHeight="1" x14ac:dyDescent="0.25">
      <c r="A1203" s="3">
        <v>5</v>
      </c>
      <c r="B1203" s="3" t="s">
        <v>425</v>
      </c>
      <c r="C1203" s="3" t="s">
        <v>1666</v>
      </c>
      <c r="I1203" s="3">
        <v>32</v>
      </c>
      <c r="J1203" s="3">
        <v>5</v>
      </c>
      <c r="K1203" s="3">
        <v>1</v>
      </c>
      <c r="L1203" s="3">
        <v>5</v>
      </c>
      <c r="M1203" s="3">
        <v>10000</v>
      </c>
      <c r="N1203" s="3">
        <v>50</v>
      </c>
      <c r="O1203" s="3">
        <v>6.31</v>
      </c>
      <c r="P1203" s="3">
        <v>315.5</v>
      </c>
      <c r="Q1203" s="3">
        <v>10000</v>
      </c>
    </row>
    <row r="1204" spans="1:17" ht="24.95" hidden="1" customHeight="1" x14ac:dyDescent="0.25">
      <c r="A1204" s="3">
        <v>5</v>
      </c>
      <c r="B1204" s="3" t="s">
        <v>425</v>
      </c>
      <c r="C1204" s="3" t="s">
        <v>1667</v>
      </c>
      <c r="I1204" s="3">
        <v>32</v>
      </c>
      <c r="J1204" s="3">
        <v>6</v>
      </c>
      <c r="K1204" s="3">
        <v>1</v>
      </c>
      <c r="L1204" s="3">
        <v>6</v>
      </c>
      <c r="M1204" s="3">
        <v>3285</v>
      </c>
      <c r="N1204" s="3">
        <v>19.71</v>
      </c>
      <c r="O1204" s="3">
        <v>6.31</v>
      </c>
      <c r="P1204" s="3">
        <v>124.37009999999999</v>
      </c>
      <c r="Q1204" s="3">
        <v>3285</v>
      </c>
    </row>
    <row r="1205" spans="1:17" ht="24.95" hidden="1" customHeight="1" x14ac:dyDescent="0.25">
      <c r="A1205" s="3">
        <v>5</v>
      </c>
      <c r="B1205" s="3" t="s">
        <v>425</v>
      </c>
      <c r="C1205" s="3" t="s">
        <v>1668</v>
      </c>
      <c r="I1205" s="3">
        <v>32</v>
      </c>
      <c r="J1205" s="3">
        <v>5</v>
      </c>
      <c r="K1205" s="3">
        <v>1</v>
      </c>
      <c r="L1205" s="3">
        <v>5</v>
      </c>
      <c r="M1205" s="3">
        <v>3285</v>
      </c>
      <c r="N1205" s="3">
        <v>16.425000000000001</v>
      </c>
      <c r="O1205" s="3">
        <v>6.31</v>
      </c>
      <c r="P1205" s="3">
        <v>103.64175</v>
      </c>
      <c r="Q1205" s="3">
        <v>3285</v>
      </c>
    </row>
    <row r="1206" spans="1:17" ht="24.95" hidden="1" customHeight="1" x14ac:dyDescent="0.25">
      <c r="A1206" s="3">
        <v>5</v>
      </c>
      <c r="B1206" s="3" t="s">
        <v>425</v>
      </c>
      <c r="C1206" s="3" t="s">
        <v>1669</v>
      </c>
      <c r="I1206" s="3">
        <v>32</v>
      </c>
      <c r="J1206" s="3">
        <v>5</v>
      </c>
      <c r="K1206" s="3">
        <v>1</v>
      </c>
      <c r="L1206" s="3">
        <v>5</v>
      </c>
      <c r="M1206" s="3">
        <v>10000</v>
      </c>
      <c r="N1206" s="3">
        <v>50</v>
      </c>
      <c r="O1206" s="3">
        <v>6.31</v>
      </c>
      <c r="P1206" s="3">
        <v>315.5</v>
      </c>
      <c r="Q1206" s="3">
        <v>10000</v>
      </c>
    </row>
    <row r="1207" spans="1:17" ht="24.95" hidden="1" customHeight="1" x14ac:dyDescent="0.25">
      <c r="A1207" s="3">
        <v>5</v>
      </c>
      <c r="B1207" s="3" t="s">
        <v>425</v>
      </c>
      <c r="C1207" s="3" t="s">
        <v>1670</v>
      </c>
      <c r="I1207" s="3">
        <v>32</v>
      </c>
      <c r="J1207" s="3">
        <v>6</v>
      </c>
      <c r="K1207" s="3">
        <v>1</v>
      </c>
      <c r="L1207" s="3">
        <v>6</v>
      </c>
      <c r="M1207" s="3">
        <v>10000</v>
      </c>
      <c r="N1207" s="3">
        <v>60</v>
      </c>
      <c r="O1207" s="3">
        <v>6.31</v>
      </c>
      <c r="P1207" s="3">
        <v>378.59999999999997</v>
      </c>
      <c r="Q1207" s="3">
        <v>10000</v>
      </c>
    </row>
    <row r="1208" spans="1:17" ht="24.95" hidden="1" customHeight="1" x14ac:dyDescent="0.25">
      <c r="A1208" s="3">
        <v>5</v>
      </c>
      <c r="B1208" s="3" t="s">
        <v>425</v>
      </c>
      <c r="C1208" s="3" t="s">
        <v>1671</v>
      </c>
      <c r="I1208" s="3">
        <v>32</v>
      </c>
      <c r="J1208" s="3">
        <v>1</v>
      </c>
      <c r="K1208" s="3">
        <v>1</v>
      </c>
      <c r="L1208" s="3">
        <v>1</v>
      </c>
      <c r="M1208" s="3">
        <v>3185</v>
      </c>
      <c r="N1208" s="3">
        <v>3.1850000000000001</v>
      </c>
      <c r="O1208" s="3">
        <v>6.31</v>
      </c>
      <c r="P1208" s="3">
        <v>20.097349999999999</v>
      </c>
      <c r="Q1208" s="3">
        <v>3185</v>
      </c>
    </row>
    <row r="1209" spans="1:17" ht="24.95" hidden="1" customHeight="1" x14ac:dyDescent="0.25">
      <c r="A1209" s="3">
        <v>5</v>
      </c>
      <c r="B1209" s="3" t="s">
        <v>425</v>
      </c>
      <c r="C1209" s="3" t="s">
        <v>1672</v>
      </c>
      <c r="I1209" s="3">
        <v>32</v>
      </c>
      <c r="J1209" s="3">
        <v>1</v>
      </c>
      <c r="K1209" s="3">
        <v>1</v>
      </c>
      <c r="L1209" s="3">
        <v>1</v>
      </c>
      <c r="M1209" s="3">
        <v>3185</v>
      </c>
      <c r="N1209" s="3">
        <v>3.1850000000000001</v>
      </c>
      <c r="O1209" s="3">
        <v>6.31</v>
      </c>
      <c r="P1209" s="3">
        <v>20.097349999999999</v>
      </c>
      <c r="Q1209" s="3">
        <v>3185</v>
      </c>
    </row>
    <row r="1210" spans="1:17" ht="24.95" hidden="1" customHeight="1" x14ac:dyDescent="0.25">
      <c r="A1210" s="3">
        <v>5</v>
      </c>
      <c r="B1210" s="3" t="s">
        <v>425</v>
      </c>
      <c r="C1210" s="3" t="s">
        <v>1673</v>
      </c>
      <c r="I1210" s="3">
        <v>32</v>
      </c>
      <c r="J1210" s="3">
        <v>1</v>
      </c>
      <c r="K1210" s="3">
        <v>1</v>
      </c>
      <c r="L1210" s="3">
        <v>1</v>
      </c>
      <c r="M1210" s="3">
        <v>10000</v>
      </c>
      <c r="N1210" s="3">
        <v>10</v>
      </c>
      <c r="O1210" s="3">
        <v>6.31</v>
      </c>
      <c r="P1210" s="3">
        <v>63.099999999999994</v>
      </c>
      <c r="Q1210" s="3">
        <v>10000</v>
      </c>
    </row>
    <row r="1211" spans="1:17" ht="24.95" hidden="1" customHeight="1" x14ac:dyDescent="0.25">
      <c r="A1211" s="3">
        <v>5</v>
      </c>
      <c r="B1211" s="3" t="s">
        <v>425</v>
      </c>
      <c r="C1211" s="3" t="s">
        <v>1674</v>
      </c>
      <c r="I1211" s="3">
        <v>32</v>
      </c>
      <c r="J1211" s="3">
        <v>1</v>
      </c>
      <c r="K1211" s="3">
        <v>1</v>
      </c>
      <c r="L1211" s="3">
        <v>1</v>
      </c>
      <c r="M1211" s="3">
        <v>10000</v>
      </c>
      <c r="N1211" s="3">
        <v>10</v>
      </c>
      <c r="O1211" s="3">
        <v>6.31</v>
      </c>
      <c r="P1211" s="3">
        <v>63.099999999999994</v>
      </c>
      <c r="Q1211" s="3">
        <v>10000</v>
      </c>
    </row>
    <row r="1212" spans="1:17" ht="24.95" hidden="1" customHeight="1" x14ac:dyDescent="0.25">
      <c r="A1212" s="3">
        <v>5</v>
      </c>
      <c r="B1212" s="3" t="s">
        <v>425</v>
      </c>
      <c r="C1212" s="3" t="s">
        <v>1675</v>
      </c>
      <c r="I1212" s="3">
        <v>32</v>
      </c>
      <c r="J1212" s="3">
        <v>6</v>
      </c>
      <c r="K1212" s="3">
        <v>1</v>
      </c>
      <c r="L1212" s="3">
        <v>6</v>
      </c>
      <c r="M1212" s="3">
        <v>5200</v>
      </c>
      <c r="N1212" s="3">
        <v>31.2</v>
      </c>
      <c r="O1212" s="3">
        <v>6.31</v>
      </c>
      <c r="P1212" s="3">
        <v>196.87199999999999</v>
      </c>
      <c r="Q1212" s="3">
        <v>5200</v>
      </c>
    </row>
    <row r="1213" spans="1:17" ht="24.95" hidden="1" customHeight="1" x14ac:dyDescent="0.25">
      <c r="A1213" s="3">
        <v>5</v>
      </c>
      <c r="B1213" s="3" t="s">
        <v>425</v>
      </c>
      <c r="C1213" s="3" t="s">
        <v>1676</v>
      </c>
      <c r="I1213" s="3">
        <v>32</v>
      </c>
      <c r="J1213" s="3">
        <v>5</v>
      </c>
      <c r="K1213" s="3">
        <v>1</v>
      </c>
      <c r="L1213" s="3">
        <v>5</v>
      </c>
      <c r="M1213" s="3">
        <v>6240</v>
      </c>
      <c r="N1213" s="3">
        <v>31.2</v>
      </c>
      <c r="O1213" s="3">
        <v>6.31</v>
      </c>
      <c r="P1213" s="3">
        <v>196.87199999999999</v>
      </c>
      <c r="Q1213" s="3">
        <v>6240</v>
      </c>
    </row>
    <row r="1214" spans="1:17" ht="24.95" hidden="1" customHeight="1" x14ac:dyDescent="0.25">
      <c r="A1214" s="3">
        <v>5</v>
      </c>
      <c r="B1214" s="3" t="s">
        <v>425</v>
      </c>
      <c r="C1214" s="3" t="s">
        <v>1677</v>
      </c>
      <c r="I1214" s="3">
        <v>32</v>
      </c>
      <c r="J1214" s="3">
        <v>5</v>
      </c>
      <c r="K1214" s="3">
        <v>1</v>
      </c>
      <c r="L1214" s="3">
        <v>5</v>
      </c>
      <c r="M1214" s="3">
        <v>7000</v>
      </c>
      <c r="N1214" s="3">
        <v>35</v>
      </c>
      <c r="O1214" s="3">
        <v>6.31</v>
      </c>
      <c r="P1214" s="3">
        <v>220.85</v>
      </c>
      <c r="Q1214" s="3">
        <v>7000</v>
      </c>
    </row>
    <row r="1215" spans="1:17" ht="24.95" hidden="1" customHeight="1" x14ac:dyDescent="0.25">
      <c r="A1215" s="3">
        <v>5</v>
      </c>
      <c r="B1215" s="3" t="s">
        <v>425</v>
      </c>
      <c r="C1215" s="3" t="s">
        <v>1678</v>
      </c>
      <c r="I1215" s="3">
        <v>32</v>
      </c>
      <c r="J1215" s="3">
        <v>6</v>
      </c>
      <c r="K1215" s="3">
        <v>1</v>
      </c>
      <c r="L1215" s="3">
        <v>6</v>
      </c>
      <c r="M1215" s="3">
        <v>8040</v>
      </c>
      <c r="N1215" s="3">
        <v>48.24</v>
      </c>
      <c r="O1215" s="3">
        <v>6.31</v>
      </c>
      <c r="P1215" s="3">
        <v>304.39440000000002</v>
      </c>
      <c r="Q1215" s="3">
        <v>8040</v>
      </c>
    </row>
    <row r="1216" spans="1:17" ht="24.95" hidden="1" customHeight="1" x14ac:dyDescent="0.25">
      <c r="A1216" s="3">
        <v>5</v>
      </c>
      <c r="B1216" s="3" t="s">
        <v>425</v>
      </c>
      <c r="C1216" s="3" t="s">
        <v>1679</v>
      </c>
      <c r="I1216" s="3">
        <v>32</v>
      </c>
      <c r="J1216" s="3">
        <v>11</v>
      </c>
      <c r="K1216" s="3">
        <v>1</v>
      </c>
      <c r="L1216" s="3">
        <v>11</v>
      </c>
      <c r="M1216" s="3">
        <v>3470</v>
      </c>
      <c r="N1216" s="3">
        <v>38.17</v>
      </c>
      <c r="O1216" s="3">
        <v>6.31</v>
      </c>
      <c r="P1216" s="3">
        <v>240.8527</v>
      </c>
      <c r="Q1216" s="3">
        <v>3470</v>
      </c>
    </row>
    <row r="1217" spans="1:17" ht="24.95" hidden="1" customHeight="1" x14ac:dyDescent="0.25">
      <c r="A1217" s="3">
        <v>5</v>
      </c>
      <c r="B1217" s="3" t="s">
        <v>425</v>
      </c>
      <c r="C1217" s="3" t="s">
        <v>1680</v>
      </c>
      <c r="I1217" s="3">
        <v>32</v>
      </c>
      <c r="J1217" s="3">
        <v>2</v>
      </c>
      <c r="K1217" s="3">
        <v>1</v>
      </c>
      <c r="L1217" s="3">
        <v>2</v>
      </c>
      <c r="M1217" s="3">
        <v>3265</v>
      </c>
      <c r="N1217" s="3">
        <v>6.53</v>
      </c>
      <c r="O1217" s="3">
        <v>6.31</v>
      </c>
      <c r="P1217" s="3">
        <v>41.204299999999996</v>
      </c>
      <c r="Q1217" s="3">
        <v>3265</v>
      </c>
    </row>
    <row r="1218" spans="1:17" ht="24.95" hidden="1" customHeight="1" x14ac:dyDescent="0.25">
      <c r="A1218" s="3">
        <v>5</v>
      </c>
      <c r="B1218" s="3" t="s">
        <v>425</v>
      </c>
      <c r="C1218" s="3" t="s">
        <v>1681</v>
      </c>
      <c r="I1218" s="3">
        <v>20</v>
      </c>
      <c r="J1218" s="3">
        <v>54</v>
      </c>
      <c r="K1218" s="3">
        <v>1</v>
      </c>
      <c r="L1218" s="3">
        <v>54</v>
      </c>
      <c r="M1218" s="3">
        <v>3490</v>
      </c>
      <c r="N1218" s="3">
        <v>188.46</v>
      </c>
      <c r="O1218" s="3">
        <v>2.4700000000000002</v>
      </c>
      <c r="P1218" s="3">
        <v>465.49620000000004</v>
      </c>
      <c r="Q1218" s="3">
        <v>3490</v>
      </c>
    </row>
    <row r="1219" spans="1:17" ht="24.95" hidden="1" customHeight="1" x14ac:dyDescent="0.25">
      <c r="A1219" s="3">
        <v>5</v>
      </c>
      <c r="B1219" s="3" t="s">
        <v>425</v>
      </c>
      <c r="C1219" s="3" t="s">
        <v>1682</v>
      </c>
      <c r="I1219" s="3">
        <v>20</v>
      </c>
      <c r="J1219" s="3">
        <v>54</v>
      </c>
      <c r="K1219" s="3">
        <v>1</v>
      </c>
      <c r="L1219" s="3">
        <v>54</v>
      </c>
      <c r="M1219" s="3">
        <v>6530</v>
      </c>
      <c r="N1219" s="3">
        <v>352.62</v>
      </c>
      <c r="O1219" s="3">
        <v>2.4700000000000002</v>
      </c>
      <c r="P1219" s="3">
        <v>870.97140000000013</v>
      </c>
      <c r="Q1219" s="3">
        <v>6530</v>
      </c>
    </row>
    <row r="1220" spans="1:17" ht="24.95" hidden="1" customHeight="1" x14ac:dyDescent="0.25">
      <c r="A1220" s="3">
        <v>5</v>
      </c>
      <c r="B1220" s="3" t="s">
        <v>425</v>
      </c>
      <c r="C1220" s="3" t="s">
        <v>1683</v>
      </c>
      <c r="I1220" s="3">
        <v>20</v>
      </c>
      <c r="J1220" s="3">
        <v>216</v>
      </c>
      <c r="K1220" s="3">
        <v>1</v>
      </c>
      <c r="L1220" s="3">
        <v>216</v>
      </c>
      <c r="M1220" s="3">
        <v>2790</v>
      </c>
      <c r="N1220" s="3">
        <v>602.64</v>
      </c>
      <c r="O1220" s="3">
        <v>2.4700000000000002</v>
      </c>
      <c r="P1220" s="3">
        <v>1488.5208</v>
      </c>
      <c r="Q1220" s="3">
        <v>2790</v>
      </c>
    </row>
    <row r="1221" spans="1:17" ht="24.95" hidden="1" customHeight="1" x14ac:dyDescent="0.25">
      <c r="A1221" s="3">
        <v>5</v>
      </c>
      <c r="B1221" s="3" t="s">
        <v>425</v>
      </c>
      <c r="C1221" s="3" t="s">
        <v>1684</v>
      </c>
      <c r="I1221" s="3">
        <v>18</v>
      </c>
      <c r="J1221" s="3">
        <v>12</v>
      </c>
      <c r="K1221" s="3">
        <v>1</v>
      </c>
      <c r="L1221" s="3">
        <v>12</v>
      </c>
      <c r="M1221" s="3">
        <v>8180</v>
      </c>
      <c r="N1221" s="3">
        <v>98.16</v>
      </c>
      <c r="O1221" s="3">
        <v>2</v>
      </c>
      <c r="P1221" s="3">
        <v>196.32</v>
      </c>
      <c r="Q1221" s="3">
        <v>8180</v>
      </c>
    </row>
    <row r="1222" spans="1:17" ht="24.95" hidden="1" customHeight="1" x14ac:dyDescent="0.25">
      <c r="A1222" s="3">
        <v>5</v>
      </c>
      <c r="B1222" s="3" t="s">
        <v>425</v>
      </c>
      <c r="C1222" s="3" t="s">
        <v>1685</v>
      </c>
      <c r="I1222" s="3">
        <v>14</v>
      </c>
      <c r="J1222" s="3">
        <v>162</v>
      </c>
      <c r="K1222" s="3">
        <v>1</v>
      </c>
      <c r="L1222" s="3">
        <v>162</v>
      </c>
      <c r="M1222" s="3">
        <v>1970</v>
      </c>
      <c r="N1222" s="3">
        <v>319.14</v>
      </c>
      <c r="O1222" s="3">
        <v>1.21</v>
      </c>
      <c r="P1222" s="3">
        <v>386.15939999999995</v>
      </c>
      <c r="Q1222" s="3">
        <v>1970</v>
      </c>
    </row>
    <row r="1223" spans="1:17" ht="24.95" hidden="1" customHeight="1" x14ac:dyDescent="0.25">
      <c r="A1223" s="3">
        <v>5</v>
      </c>
      <c r="B1223" s="3" t="s">
        <v>425</v>
      </c>
      <c r="C1223" s="3" t="s">
        <v>1686</v>
      </c>
      <c r="I1223" s="3">
        <v>14</v>
      </c>
      <c r="J1223" s="3">
        <v>24</v>
      </c>
      <c r="K1223" s="3">
        <v>1</v>
      </c>
      <c r="L1223" s="3">
        <v>24</v>
      </c>
      <c r="M1223" s="3">
        <v>8180</v>
      </c>
      <c r="N1223" s="3">
        <v>196.32</v>
      </c>
      <c r="O1223" s="3">
        <v>1.21</v>
      </c>
      <c r="P1223" s="3">
        <v>237.54719999999998</v>
      </c>
      <c r="Q1223" s="3">
        <v>8180</v>
      </c>
    </row>
    <row r="1224" spans="1:17" ht="24.95" hidden="1" customHeight="1" x14ac:dyDescent="0.25">
      <c r="A1224" s="3">
        <v>5</v>
      </c>
      <c r="B1224" s="3" t="s">
        <v>425</v>
      </c>
      <c r="C1224" s="3" t="s">
        <v>1687</v>
      </c>
      <c r="I1224" s="3">
        <v>32</v>
      </c>
      <c r="J1224" s="3">
        <v>14</v>
      </c>
      <c r="K1224" s="3">
        <v>1</v>
      </c>
      <c r="L1224" s="3">
        <v>14</v>
      </c>
      <c r="M1224" s="3">
        <v>1690</v>
      </c>
      <c r="N1224" s="3">
        <v>23.66</v>
      </c>
      <c r="O1224" s="3">
        <v>6.31</v>
      </c>
      <c r="P1224" s="3">
        <v>149.2946</v>
      </c>
      <c r="Q1224" s="3">
        <v>1690</v>
      </c>
    </row>
    <row r="1225" spans="1:17" ht="24.95" hidden="1" customHeight="1" x14ac:dyDescent="0.25">
      <c r="A1225" s="3">
        <v>5</v>
      </c>
      <c r="B1225" s="3" t="s">
        <v>426</v>
      </c>
      <c r="C1225" s="3" t="s">
        <v>1688</v>
      </c>
      <c r="I1225" s="3">
        <v>32</v>
      </c>
      <c r="J1225" s="3">
        <v>6</v>
      </c>
      <c r="K1225" s="3">
        <v>1</v>
      </c>
      <c r="L1225" s="3">
        <v>6</v>
      </c>
      <c r="M1225" s="3">
        <v>3300</v>
      </c>
      <c r="N1225" s="3">
        <v>19.8</v>
      </c>
      <c r="O1225" s="3">
        <v>6.31</v>
      </c>
      <c r="P1225" s="3">
        <v>124.938</v>
      </c>
      <c r="Q1225" s="3">
        <v>3300</v>
      </c>
    </row>
    <row r="1226" spans="1:17" ht="24.95" hidden="1" customHeight="1" x14ac:dyDescent="0.25">
      <c r="A1226" s="3">
        <v>5</v>
      </c>
      <c r="B1226" s="3" t="s">
        <v>426</v>
      </c>
      <c r="C1226" s="3" t="s">
        <v>1689</v>
      </c>
      <c r="I1226" s="3">
        <v>32</v>
      </c>
      <c r="J1226" s="3">
        <v>5</v>
      </c>
      <c r="K1226" s="3">
        <v>1</v>
      </c>
      <c r="L1226" s="3">
        <v>5</v>
      </c>
      <c r="M1226" s="3">
        <v>3300</v>
      </c>
      <c r="N1226" s="3">
        <v>16.5</v>
      </c>
      <c r="O1226" s="3">
        <v>6.31</v>
      </c>
      <c r="P1226" s="3">
        <v>104.11499999999999</v>
      </c>
      <c r="Q1226" s="3">
        <v>3300</v>
      </c>
    </row>
    <row r="1227" spans="1:17" ht="24.95" hidden="1" customHeight="1" x14ac:dyDescent="0.25">
      <c r="A1227" s="3">
        <v>5</v>
      </c>
      <c r="B1227" s="3" t="s">
        <v>426</v>
      </c>
      <c r="C1227" s="3" t="s">
        <v>1690</v>
      </c>
      <c r="I1227" s="3">
        <v>32</v>
      </c>
      <c r="J1227" s="3">
        <v>5</v>
      </c>
      <c r="K1227" s="3">
        <v>1</v>
      </c>
      <c r="L1227" s="3">
        <v>5</v>
      </c>
      <c r="M1227" s="3">
        <v>11000</v>
      </c>
      <c r="N1227" s="3">
        <v>55</v>
      </c>
      <c r="O1227" s="3">
        <v>6.31</v>
      </c>
      <c r="P1227" s="3">
        <v>347.04999999999995</v>
      </c>
      <c r="Q1227" s="3">
        <v>11000</v>
      </c>
    </row>
    <row r="1228" spans="1:17" ht="24.95" hidden="1" customHeight="1" x14ac:dyDescent="0.25">
      <c r="A1228" s="3">
        <v>5</v>
      </c>
      <c r="B1228" s="3" t="s">
        <v>426</v>
      </c>
      <c r="C1228" s="3" t="s">
        <v>1691</v>
      </c>
      <c r="I1228" s="3">
        <v>32</v>
      </c>
      <c r="J1228" s="3">
        <v>6</v>
      </c>
      <c r="K1228" s="3">
        <v>1</v>
      </c>
      <c r="L1228" s="3">
        <v>6</v>
      </c>
      <c r="M1228" s="3">
        <v>11000</v>
      </c>
      <c r="N1228" s="3">
        <v>66</v>
      </c>
      <c r="O1228" s="3">
        <v>6.31</v>
      </c>
      <c r="P1228" s="3">
        <v>416.46</v>
      </c>
      <c r="Q1228" s="3">
        <v>11000</v>
      </c>
    </row>
    <row r="1229" spans="1:17" ht="24.95" hidden="1" customHeight="1" x14ac:dyDescent="0.25">
      <c r="A1229" s="3">
        <v>5</v>
      </c>
      <c r="B1229" s="3" t="s">
        <v>426</v>
      </c>
      <c r="C1229" s="3" t="s">
        <v>1692</v>
      </c>
      <c r="I1229" s="3">
        <v>32</v>
      </c>
      <c r="J1229" s="3">
        <v>2</v>
      </c>
      <c r="K1229" s="3">
        <v>1</v>
      </c>
      <c r="L1229" s="3">
        <v>2</v>
      </c>
      <c r="M1229" s="3">
        <v>3100</v>
      </c>
      <c r="N1229" s="3">
        <v>6.2</v>
      </c>
      <c r="O1229" s="3">
        <v>6.31</v>
      </c>
      <c r="P1229" s="3">
        <v>39.122</v>
      </c>
      <c r="Q1229" s="3">
        <v>3100</v>
      </c>
    </row>
    <row r="1230" spans="1:17" ht="24.95" hidden="1" customHeight="1" x14ac:dyDescent="0.25">
      <c r="A1230" s="3">
        <v>5</v>
      </c>
      <c r="B1230" s="3" t="s">
        <v>426</v>
      </c>
      <c r="C1230" s="3" t="s">
        <v>1693</v>
      </c>
      <c r="I1230" s="3">
        <v>32</v>
      </c>
      <c r="J1230" s="3">
        <v>2</v>
      </c>
      <c r="K1230" s="3">
        <v>1</v>
      </c>
      <c r="L1230" s="3">
        <v>2</v>
      </c>
      <c r="M1230" s="3">
        <v>3100</v>
      </c>
      <c r="N1230" s="3">
        <v>6.2</v>
      </c>
      <c r="O1230" s="3">
        <v>6.31</v>
      </c>
      <c r="P1230" s="3">
        <v>39.122</v>
      </c>
      <c r="Q1230" s="3">
        <v>3100</v>
      </c>
    </row>
    <row r="1231" spans="1:17" ht="24.95" hidden="1" customHeight="1" x14ac:dyDescent="0.25">
      <c r="A1231" s="3">
        <v>5</v>
      </c>
      <c r="B1231" s="3" t="s">
        <v>426</v>
      </c>
      <c r="C1231" s="3" t="s">
        <v>1694</v>
      </c>
      <c r="I1231" s="3">
        <v>32</v>
      </c>
      <c r="J1231" s="3">
        <v>6</v>
      </c>
      <c r="K1231" s="3">
        <v>1</v>
      </c>
      <c r="L1231" s="3">
        <v>6</v>
      </c>
      <c r="M1231" s="3">
        <v>3200</v>
      </c>
      <c r="N1231" s="3">
        <v>19.2</v>
      </c>
      <c r="O1231" s="3">
        <v>6.31</v>
      </c>
      <c r="P1231" s="3">
        <v>121.15199999999999</v>
      </c>
      <c r="Q1231" s="3">
        <v>3200</v>
      </c>
    </row>
    <row r="1232" spans="1:17" ht="24.95" hidden="1" customHeight="1" x14ac:dyDescent="0.25">
      <c r="A1232" s="3">
        <v>5</v>
      </c>
      <c r="B1232" s="3" t="s">
        <v>426</v>
      </c>
      <c r="C1232" s="3" t="s">
        <v>1695</v>
      </c>
      <c r="I1232" s="3">
        <v>32</v>
      </c>
      <c r="J1232" s="3">
        <v>5</v>
      </c>
      <c r="K1232" s="3">
        <v>1</v>
      </c>
      <c r="L1232" s="3">
        <v>5</v>
      </c>
      <c r="M1232" s="3">
        <v>3200</v>
      </c>
      <c r="N1232" s="3">
        <v>16</v>
      </c>
      <c r="O1232" s="3">
        <v>6.31</v>
      </c>
      <c r="P1232" s="3">
        <v>100.96</v>
      </c>
      <c r="Q1232" s="3">
        <v>3200</v>
      </c>
    </row>
    <row r="1233" spans="1:17" ht="24.95" hidden="1" customHeight="1" x14ac:dyDescent="0.25">
      <c r="A1233" s="3">
        <v>5</v>
      </c>
      <c r="B1233" s="3" t="s">
        <v>426</v>
      </c>
      <c r="C1233" s="3" t="s">
        <v>1696</v>
      </c>
      <c r="I1233" s="3">
        <v>32</v>
      </c>
      <c r="J1233" s="3">
        <v>5</v>
      </c>
      <c r="K1233" s="3">
        <v>1</v>
      </c>
      <c r="L1233" s="3">
        <v>5</v>
      </c>
      <c r="M1233" s="3">
        <v>11000</v>
      </c>
      <c r="N1233" s="3">
        <v>55</v>
      </c>
      <c r="O1233" s="3">
        <v>6.31</v>
      </c>
      <c r="P1233" s="3">
        <v>347.04999999999995</v>
      </c>
      <c r="Q1233" s="3">
        <v>11000</v>
      </c>
    </row>
    <row r="1234" spans="1:17" ht="24.95" hidden="1" customHeight="1" x14ac:dyDescent="0.25">
      <c r="A1234" s="3">
        <v>5</v>
      </c>
      <c r="B1234" s="3" t="s">
        <v>426</v>
      </c>
      <c r="C1234" s="3" t="s">
        <v>1697</v>
      </c>
      <c r="I1234" s="3">
        <v>32</v>
      </c>
      <c r="J1234" s="3">
        <v>2</v>
      </c>
      <c r="K1234" s="3">
        <v>1</v>
      </c>
      <c r="L1234" s="3">
        <v>2</v>
      </c>
      <c r="M1234" s="3">
        <v>11000</v>
      </c>
      <c r="N1234" s="3">
        <v>22</v>
      </c>
      <c r="O1234" s="3">
        <v>6.31</v>
      </c>
      <c r="P1234" s="3">
        <v>138.82</v>
      </c>
      <c r="Q1234" s="3">
        <v>11000</v>
      </c>
    </row>
    <row r="1235" spans="1:17" ht="24.95" hidden="1" customHeight="1" x14ac:dyDescent="0.25">
      <c r="A1235" s="3">
        <v>5</v>
      </c>
      <c r="B1235" s="3" t="s">
        <v>426</v>
      </c>
      <c r="C1235" s="3" t="s">
        <v>1698</v>
      </c>
      <c r="I1235" s="3">
        <v>32</v>
      </c>
      <c r="J1235" s="3">
        <v>2</v>
      </c>
      <c r="K1235" s="3">
        <v>1</v>
      </c>
      <c r="L1235" s="3">
        <v>2</v>
      </c>
      <c r="M1235" s="3">
        <v>11000</v>
      </c>
      <c r="N1235" s="3">
        <v>22</v>
      </c>
      <c r="O1235" s="3">
        <v>6.31</v>
      </c>
      <c r="P1235" s="3">
        <v>138.82</v>
      </c>
      <c r="Q1235" s="3">
        <v>11000</v>
      </c>
    </row>
    <row r="1236" spans="1:17" ht="24.95" hidden="1" customHeight="1" x14ac:dyDescent="0.25">
      <c r="A1236" s="3">
        <v>5</v>
      </c>
      <c r="B1236" s="3" t="s">
        <v>426</v>
      </c>
      <c r="C1236" s="3" t="s">
        <v>1699</v>
      </c>
      <c r="I1236" s="3">
        <v>32</v>
      </c>
      <c r="J1236" s="3">
        <v>6</v>
      </c>
      <c r="K1236" s="3">
        <v>1</v>
      </c>
      <c r="L1236" s="3">
        <v>6</v>
      </c>
      <c r="M1236" s="3">
        <v>11000</v>
      </c>
      <c r="N1236" s="3">
        <v>66</v>
      </c>
      <c r="O1236" s="3">
        <v>6.31</v>
      </c>
      <c r="P1236" s="3">
        <v>416.46</v>
      </c>
      <c r="Q1236" s="3">
        <v>11000</v>
      </c>
    </row>
    <row r="1237" spans="1:17" ht="24.95" hidden="1" customHeight="1" x14ac:dyDescent="0.25">
      <c r="A1237" s="3">
        <v>5</v>
      </c>
      <c r="B1237" s="3" t="s">
        <v>426</v>
      </c>
      <c r="C1237" s="3" t="s">
        <v>1700</v>
      </c>
      <c r="I1237" s="3">
        <v>32</v>
      </c>
      <c r="J1237" s="3">
        <v>6</v>
      </c>
      <c r="K1237" s="3">
        <v>1</v>
      </c>
      <c r="L1237" s="3">
        <v>6</v>
      </c>
      <c r="M1237" s="3">
        <v>6055</v>
      </c>
      <c r="N1237" s="3">
        <v>36.33</v>
      </c>
      <c r="O1237" s="3">
        <v>6.31</v>
      </c>
      <c r="P1237" s="3">
        <v>229.24229999999997</v>
      </c>
      <c r="Q1237" s="3">
        <v>6055</v>
      </c>
    </row>
    <row r="1238" spans="1:17" ht="24.95" hidden="1" customHeight="1" x14ac:dyDescent="0.25">
      <c r="A1238" s="3">
        <v>5</v>
      </c>
      <c r="B1238" s="3" t="s">
        <v>426</v>
      </c>
      <c r="C1238" s="3" t="s">
        <v>1701</v>
      </c>
      <c r="I1238" s="3">
        <v>32</v>
      </c>
      <c r="J1238" s="3">
        <v>5</v>
      </c>
      <c r="K1238" s="3">
        <v>1</v>
      </c>
      <c r="L1238" s="3">
        <v>5</v>
      </c>
      <c r="M1238" s="3">
        <v>6255</v>
      </c>
      <c r="N1238" s="3">
        <v>31.274999999999999</v>
      </c>
      <c r="O1238" s="3">
        <v>6.31</v>
      </c>
      <c r="P1238" s="3">
        <v>197.34524999999999</v>
      </c>
      <c r="Q1238" s="3">
        <v>6255</v>
      </c>
    </row>
    <row r="1239" spans="1:17" ht="24.95" hidden="1" customHeight="1" x14ac:dyDescent="0.25">
      <c r="A1239" s="3">
        <v>5</v>
      </c>
      <c r="B1239" s="3" t="s">
        <v>426</v>
      </c>
      <c r="C1239" s="3" t="s">
        <v>1702</v>
      </c>
      <c r="I1239" s="3">
        <v>32</v>
      </c>
      <c r="J1239" s="3">
        <v>5</v>
      </c>
      <c r="K1239" s="3">
        <v>1</v>
      </c>
      <c r="L1239" s="3">
        <v>5</v>
      </c>
      <c r="M1239" s="3">
        <v>7900</v>
      </c>
      <c r="N1239" s="3">
        <v>39.5</v>
      </c>
      <c r="O1239" s="3">
        <v>6.31</v>
      </c>
      <c r="P1239" s="3">
        <v>249.24499999999998</v>
      </c>
      <c r="Q1239" s="3">
        <v>7900</v>
      </c>
    </row>
    <row r="1240" spans="1:17" ht="24.95" hidden="1" customHeight="1" x14ac:dyDescent="0.25">
      <c r="A1240" s="3">
        <v>5</v>
      </c>
      <c r="B1240" s="3" t="s">
        <v>426</v>
      </c>
      <c r="C1240" s="3" t="s">
        <v>1703</v>
      </c>
      <c r="I1240" s="3">
        <v>32</v>
      </c>
      <c r="J1240" s="3">
        <v>6</v>
      </c>
      <c r="K1240" s="3">
        <v>1</v>
      </c>
      <c r="L1240" s="3">
        <v>6</v>
      </c>
      <c r="M1240" s="3">
        <v>8100</v>
      </c>
      <c r="N1240" s="3">
        <v>48.6</v>
      </c>
      <c r="O1240" s="3">
        <v>6.31</v>
      </c>
      <c r="P1240" s="3">
        <v>306.666</v>
      </c>
      <c r="Q1240" s="3">
        <v>8100</v>
      </c>
    </row>
    <row r="1241" spans="1:17" ht="24.95" hidden="1" customHeight="1" x14ac:dyDescent="0.25">
      <c r="A1241" s="3">
        <v>5</v>
      </c>
      <c r="B1241" s="3" t="s">
        <v>426</v>
      </c>
      <c r="C1241" s="3" t="s">
        <v>1704</v>
      </c>
      <c r="I1241" s="3">
        <v>32</v>
      </c>
      <c r="J1241" s="3">
        <v>11</v>
      </c>
      <c r="K1241" s="3">
        <v>1</v>
      </c>
      <c r="L1241" s="3">
        <v>11</v>
      </c>
      <c r="M1241" s="3">
        <v>4365</v>
      </c>
      <c r="N1241" s="3">
        <v>48.015000000000001</v>
      </c>
      <c r="O1241" s="3">
        <v>6.31</v>
      </c>
      <c r="P1241" s="3">
        <v>302.97465</v>
      </c>
      <c r="Q1241" s="3">
        <v>4365</v>
      </c>
    </row>
    <row r="1242" spans="1:17" ht="24.95" hidden="1" customHeight="1" x14ac:dyDescent="0.25">
      <c r="A1242" s="3">
        <v>5</v>
      </c>
      <c r="B1242" s="3" t="s">
        <v>426</v>
      </c>
      <c r="C1242" s="3" t="s">
        <v>1705</v>
      </c>
      <c r="I1242" s="3">
        <v>32</v>
      </c>
      <c r="J1242" s="3">
        <v>4</v>
      </c>
      <c r="K1242" s="3">
        <v>1</v>
      </c>
      <c r="L1242" s="3">
        <v>4</v>
      </c>
      <c r="M1242" s="3">
        <v>4165</v>
      </c>
      <c r="N1242" s="3">
        <v>16.66</v>
      </c>
      <c r="O1242" s="3">
        <v>6.31</v>
      </c>
      <c r="P1242" s="3">
        <v>105.1246</v>
      </c>
      <c r="Q1242" s="3">
        <v>4165</v>
      </c>
    </row>
    <row r="1243" spans="1:17" ht="24.95" hidden="1" customHeight="1" x14ac:dyDescent="0.25">
      <c r="A1243" s="3">
        <v>5</v>
      </c>
      <c r="B1243" s="3" t="s">
        <v>426</v>
      </c>
      <c r="C1243" s="3" t="s">
        <v>1706</v>
      </c>
      <c r="I1243" s="3">
        <v>25</v>
      </c>
      <c r="J1243" s="3">
        <v>54</v>
      </c>
      <c r="K1243" s="3">
        <v>1</v>
      </c>
      <c r="L1243" s="3">
        <v>54</v>
      </c>
      <c r="M1243" s="3">
        <v>3940</v>
      </c>
      <c r="N1243" s="3">
        <v>212.76</v>
      </c>
      <c r="O1243" s="3">
        <v>3.85</v>
      </c>
      <c r="P1243" s="3">
        <v>819.12599999999998</v>
      </c>
      <c r="Q1243" s="3">
        <v>3940</v>
      </c>
    </row>
    <row r="1244" spans="1:17" ht="24.95" hidden="1" customHeight="1" x14ac:dyDescent="0.25">
      <c r="A1244" s="3">
        <v>5</v>
      </c>
      <c r="B1244" s="3" t="s">
        <v>426</v>
      </c>
      <c r="C1244" s="3" t="s">
        <v>1707</v>
      </c>
      <c r="I1244" s="3">
        <v>25</v>
      </c>
      <c r="J1244" s="3">
        <v>54</v>
      </c>
      <c r="K1244" s="3">
        <v>1</v>
      </c>
      <c r="L1244" s="3">
        <v>54</v>
      </c>
      <c r="M1244" s="3">
        <v>6530</v>
      </c>
      <c r="N1244" s="3">
        <v>352.62</v>
      </c>
      <c r="O1244" s="3">
        <v>3.85</v>
      </c>
      <c r="P1244" s="3">
        <v>1357.587</v>
      </c>
      <c r="Q1244" s="3">
        <v>6530</v>
      </c>
    </row>
    <row r="1245" spans="1:17" ht="24.95" hidden="1" customHeight="1" x14ac:dyDescent="0.25">
      <c r="A1245" s="3">
        <v>5</v>
      </c>
      <c r="B1245" s="3" t="s">
        <v>426</v>
      </c>
      <c r="C1245" s="3" t="s">
        <v>1708</v>
      </c>
      <c r="I1245" s="3">
        <v>25</v>
      </c>
      <c r="J1245" s="3">
        <v>216</v>
      </c>
      <c r="K1245" s="3">
        <v>1</v>
      </c>
      <c r="L1245" s="3">
        <v>216</v>
      </c>
      <c r="M1245" s="3">
        <v>2890</v>
      </c>
      <c r="N1245" s="3">
        <v>624.24</v>
      </c>
      <c r="O1245" s="3">
        <v>3.85</v>
      </c>
      <c r="P1245" s="3">
        <v>2403.3240000000001</v>
      </c>
      <c r="Q1245" s="3">
        <v>2890</v>
      </c>
    </row>
    <row r="1246" spans="1:17" ht="24.95" hidden="1" customHeight="1" x14ac:dyDescent="0.25">
      <c r="A1246" s="3">
        <v>5</v>
      </c>
      <c r="B1246" s="3" t="s">
        <v>426</v>
      </c>
      <c r="C1246" s="3" t="s">
        <v>1709</v>
      </c>
      <c r="I1246" s="3">
        <v>18</v>
      </c>
      <c r="J1246" s="3">
        <v>12</v>
      </c>
      <c r="K1246" s="3">
        <v>1</v>
      </c>
      <c r="L1246" s="3">
        <v>12</v>
      </c>
      <c r="M1246" s="3">
        <v>8190</v>
      </c>
      <c r="N1246" s="3">
        <v>98.28</v>
      </c>
      <c r="O1246" s="3">
        <v>2</v>
      </c>
      <c r="P1246" s="3">
        <v>196.56</v>
      </c>
      <c r="Q1246" s="3">
        <v>8190</v>
      </c>
    </row>
    <row r="1247" spans="1:17" ht="24.95" hidden="1" customHeight="1" x14ac:dyDescent="0.25">
      <c r="A1247" s="3">
        <v>5</v>
      </c>
      <c r="B1247" s="3" t="s">
        <v>426</v>
      </c>
      <c r="C1247" s="3" t="s">
        <v>1710</v>
      </c>
      <c r="I1247" s="3">
        <v>14</v>
      </c>
      <c r="J1247" s="3">
        <v>162</v>
      </c>
      <c r="K1247" s="3">
        <v>1</v>
      </c>
      <c r="L1247" s="3">
        <v>162</v>
      </c>
      <c r="M1247" s="3">
        <v>1970</v>
      </c>
      <c r="N1247" s="3">
        <v>319.14</v>
      </c>
      <c r="O1247" s="3">
        <v>1.21</v>
      </c>
      <c r="P1247" s="3">
        <v>386.15939999999995</v>
      </c>
      <c r="Q1247" s="3">
        <v>1970</v>
      </c>
    </row>
    <row r="1248" spans="1:17" ht="24.95" hidden="1" customHeight="1" x14ac:dyDescent="0.25">
      <c r="A1248" s="3">
        <v>5</v>
      </c>
      <c r="B1248" s="3" t="s">
        <v>426</v>
      </c>
      <c r="C1248" s="3" t="s">
        <v>1711</v>
      </c>
      <c r="I1248" s="3">
        <v>14</v>
      </c>
      <c r="J1248" s="3">
        <v>24</v>
      </c>
      <c r="K1248" s="3">
        <v>1</v>
      </c>
      <c r="L1248" s="3">
        <v>24</v>
      </c>
      <c r="M1248" s="3">
        <v>8190</v>
      </c>
      <c r="N1248" s="3">
        <v>196.56</v>
      </c>
      <c r="O1248" s="3">
        <v>1.21</v>
      </c>
      <c r="P1248" s="3">
        <v>237.83760000000001</v>
      </c>
      <c r="Q1248" s="3">
        <v>8190</v>
      </c>
    </row>
    <row r="1249" spans="1:17" ht="24.95" hidden="1" customHeight="1" x14ac:dyDescent="0.25">
      <c r="A1249" s="3">
        <v>5</v>
      </c>
      <c r="B1249" s="3" t="s">
        <v>426</v>
      </c>
      <c r="C1249" s="3" t="s">
        <v>1712</v>
      </c>
      <c r="I1249" s="3">
        <v>32</v>
      </c>
      <c r="J1249" s="3">
        <v>11</v>
      </c>
      <c r="K1249" s="3">
        <v>1</v>
      </c>
      <c r="L1249" s="3">
        <v>11</v>
      </c>
      <c r="M1249" s="3">
        <v>1690</v>
      </c>
      <c r="N1249" s="3">
        <v>18.59</v>
      </c>
      <c r="O1249" s="3">
        <v>6.31</v>
      </c>
      <c r="P1249" s="3">
        <v>117.30289999999999</v>
      </c>
      <c r="Q1249" s="3">
        <v>1690</v>
      </c>
    </row>
    <row r="1250" spans="1:17" ht="24.95" hidden="1" customHeight="1" x14ac:dyDescent="0.25">
      <c r="A1250" s="3">
        <v>5</v>
      </c>
      <c r="B1250" s="3" t="s">
        <v>427</v>
      </c>
      <c r="C1250" s="3" t="s">
        <v>1713</v>
      </c>
      <c r="I1250" s="3">
        <v>32</v>
      </c>
      <c r="J1250" s="3">
        <v>18</v>
      </c>
      <c r="K1250" s="3">
        <v>1</v>
      </c>
      <c r="L1250" s="3">
        <v>18</v>
      </c>
      <c r="M1250" s="3">
        <v>7020</v>
      </c>
      <c r="N1250" s="3">
        <v>126.36</v>
      </c>
      <c r="O1250" s="3">
        <v>6.31</v>
      </c>
      <c r="P1250" s="3">
        <v>797.33159999999998</v>
      </c>
      <c r="Q1250" s="3">
        <v>7020</v>
      </c>
    </row>
    <row r="1251" spans="1:17" ht="24.95" hidden="1" customHeight="1" x14ac:dyDescent="0.25">
      <c r="A1251" s="3">
        <v>5</v>
      </c>
      <c r="B1251" s="3" t="s">
        <v>427</v>
      </c>
      <c r="C1251" s="3" t="s">
        <v>1714</v>
      </c>
      <c r="I1251" s="3">
        <v>32</v>
      </c>
      <c r="J1251" s="3">
        <v>54</v>
      </c>
      <c r="K1251" s="3">
        <v>1</v>
      </c>
      <c r="L1251" s="3">
        <v>54</v>
      </c>
      <c r="M1251" s="3">
        <v>7020</v>
      </c>
      <c r="N1251" s="3">
        <v>379.08</v>
      </c>
      <c r="O1251" s="3">
        <v>6.31</v>
      </c>
      <c r="P1251" s="3">
        <v>2391.9947999999999</v>
      </c>
      <c r="Q1251" s="3">
        <v>7020</v>
      </c>
    </row>
    <row r="1252" spans="1:17" ht="24.95" hidden="1" customHeight="1" x14ac:dyDescent="0.25">
      <c r="A1252" s="3">
        <v>5</v>
      </c>
      <c r="B1252" s="3" t="s">
        <v>427</v>
      </c>
      <c r="C1252" s="3" t="s">
        <v>1715</v>
      </c>
      <c r="I1252" s="3">
        <v>32</v>
      </c>
      <c r="J1252" s="3">
        <v>18</v>
      </c>
      <c r="K1252" s="3">
        <v>1</v>
      </c>
      <c r="L1252" s="3">
        <v>18</v>
      </c>
      <c r="M1252" s="3">
        <v>11700</v>
      </c>
      <c r="N1252" s="3">
        <v>210.6</v>
      </c>
      <c r="O1252" s="3">
        <v>6.31</v>
      </c>
      <c r="P1252" s="3">
        <v>1328.886</v>
      </c>
      <c r="Q1252" s="3">
        <v>11700</v>
      </c>
    </row>
    <row r="1253" spans="1:17" ht="24.95" hidden="1" customHeight="1" x14ac:dyDescent="0.25">
      <c r="A1253" s="3">
        <v>5</v>
      </c>
      <c r="B1253" s="3" t="s">
        <v>427</v>
      </c>
      <c r="C1253" s="3" t="s">
        <v>1716</v>
      </c>
      <c r="I1253" s="3">
        <v>14</v>
      </c>
      <c r="J1253" s="3">
        <v>40</v>
      </c>
      <c r="K1253" s="3">
        <v>1</v>
      </c>
      <c r="L1253" s="3">
        <v>40</v>
      </c>
      <c r="M1253" s="3">
        <v>2550</v>
      </c>
      <c r="N1253" s="3">
        <v>102</v>
      </c>
      <c r="O1253" s="3">
        <v>1.21</v>
      </c>
      <c r="P1253" s="3">
        <v>123.42</v>
      </c>
      <c r="Q1253" s="3">
        <v>2550</v>
      </c>
    </row>
    <row r="1254" spans="1:17" ht="24.95" hidden="1" customHeight="1" x14ac:dyDescent="0.25">
      <c r="A1254" s="3">
        <v>5</v>
      </c>
      <c r="B1254" s="3" t="s">
        <v>427</v>
      </c>
      <c r="C1254" s="3" t="s">
        <v>1717</v>
      </c>
      <c r="I1254" s="3">
        <v>14</v>
      </c>
      <c r="J1254" s="3">
        <v>40</v>
      </c>
      <c r="K1254" s="3">
        <v>1</v>
      </c>
      <c r="L1254" s="3">
        <v>40</v>
      </c>
      <c r="M1254" s="3">
        <v>6130</v>
      </c>
      <c r="N1254" s="3">
        <v>245.2</v>
      </c>
      <c r="O1254" s="3">
        <v>1.21</v>
      </c>
      <c r="P1254" s="3">
        <v>296.69199999999995</v>
      </c>
      <c r="Q1254" s="3">
        <v>6130</v>
      </c>
    </row>
    <row r="1255" spans="1:17" ht="24.95" hidden="1" customHeight="1" x14ac:dyDescent="0.25">
      <c r="A1255" s="3">
        <v>5</v>
      </c>
      <c r="B1255" s="3" t="s">
        <v>427</v>
      </c>
      <c r="C1255" s="3" t="s">
        <v>1718</v>
      </c>
      <c r="I1255" s="3">
        <v>14</v>
      </c>
      <c r="J1255" s="3">
        <v>120</v>
      </c>
      <c r="K1255" s="3">
        <v>1</v>
      </c>
      <c r="L1255" s="3">
        <v>120</v>
      </c>
      <c r="M1255" s="3">
        <v>2670</v>
      </c>
      <c r="N1255" s="3">
        <v>320.39999999999998</v>
      </c>
      <c r="O1255" s="3">
        <v>1.21</v>
      </c>
      <c r="P1255" s="3">
        <v>387.68399999999997</v>
      </c>
      <c r="Q1255" s="3">
        <v>2670</v>
      </c>
    </row>
    <row r="1256" spans="1:17" ht="24.95" hidden="1" customHeight="1" x14ac:dyDescent="0.25">
      <c r="A1256" s="3">
        <v>5</v>
      </c>
      <c r="B1256" s="3" t="s">
        <v>427</v>
      </c>
      <c r="C1256" s="3" t="s">
        <v>1719</v>
      </c>
      <c r="I1256" s="3">
        <v>18</v>
      </c>
      <c r="J1256" s="3">
        <v>24</v>
      </c>
      <c r="K1256" s="3">
        <v>1</v>
      </c>
      <c r="L1256" s="3">
        <v>24</v>
      </c>
      <c r="M1256" s="3">
        <v>3020</v>
      </c>
      <c r="N1256" s="3">
        <v>72.48</v>
      </c>
      <c r="O1256" s="3">
        <v>2</v>
      </c>
      <c r="P1256" s="3">
        <v>144.96</v>
      </c>
      <c r="Q1256" s="3">
        <v>3020</v>
      </c>
    </row>
    <row r="1257" spans="1:17" ht="24.95" hidden="1" customHeight="1" x14ac:dyDescent="0.25">
      <c r="A1257" s="3">
        <v>5</v>
      </c>
      <c r="B1257" s="3" t="s">
        <v>427</v>
      </c>
      <c r="C1257" s="3" t="s">
        <v>1720</v>
      </c>
      <c r="I1257" s="3">
        <v>14</v>
      </c>
      <c r="J1257" s="3">
        <v>120</v>
      </c>
      <c r="K1257" s="3">
        <v>1</v>
      </c>
      <c r="L1257" s="3">
        <v>120</v>
      </c>
      <c r="M1257" s="3">
        <v>1570</v>
      </c>
      <c r="N1257" s="3">
        <v>188.4</v>
      </c>
      <c r="O1257" s="3">
        <v>1.21</v>
      </c>
      <c r="P1257" s="3">
        <v>227.964</v>
      </c>
      <c r="Q1257" s="3">
        <v>1570</v>
      </c>
    </row>
    <row r="1258" spans="1:17" ht="24.95" hidden="1" customHeight="1" x14ac:dyDescent="0.25">
      <c r="A1258" s="3">
        <v>5</v>
      </c>
      <c r="B1258" s="3" t="s">
        <v>427</v>
      </c>
      <c r="C1258" s="3" t="s">
        <v>1721</v>
      </c>
      <c r="I1258" s="3">
        <v>32</v>
      </c>
      <c r="J1258" s="3">
        <v>8</v>
      </c>
      <c r="K1258" s="3">
        <v>1</v>
      </c>
      <c r="L1258" s="3">
        <v>8</v>
      </c>
      <c r="M1258" s="3">
        <v>1290</v>
      </c>
      <c r="N1258" s="3">
        <v>10.32</v>
      </c>
      <c r="O1258" s="3">
        <v>6.31</v>
      </c>
      <c r="P1258" s="3">
        <v>65.119199999999992</v>
      </c>
      <c r="Q1258" s="3">
        <v>1290</v>
      </c>
    </row>
    <row r="1259" spans="1:17" ht="24.95" hidden="1" customHeight="1" x14ac:dyDescent="0.25">
      <c r="A1259" s="3">
        <v>5</v>
      </c>
      <c r="B1259" s="3" t="s">
        <v>427</v>
      </c>
      <c r="C1259" s="3" t="s">
        <v>1722</v>
      </c>
      <c r="I1259" s="3">
        <v>14</v>
      </c>
      <c r="J1259" s="3">
        <v>60</v>
      </c>
      <c r="K1259" s="3">
        <v>1</v>
      </c>
      <c r="L1259" s="3">
        <v>60</v>
      </c>
      <c r="M1259" s="3">
        <v>3020</v>
      </c>
      <c r="N1259" s="3">
        <v>181.2</v>
      </c>
      <c r="O1259" s="3">
        <v>1.21</v>
      </c>
      <c r="P1259" s="3">
        <v>219.25199999999998</v>
      </c>
      <c r="Q1259" s="3">
        <v>3020</v>
      </c>
    </row>
    <row r="1260" spans="1:17" ht="24.95" hidden="1" customHeight="1" x14ac:dyDescent="0.25">
      <c r="A1260" s="3">
        <v>5</v>
      </c>
      <c r="B1260" s="3" t="s">
        <v>428</v>
      </c>
      <c r="C1260" s="3" t="s">
        <v>1723</v>
      </c>
      <c r="I1260" s="3">
        <v>20</v>
      </c>
      <c r="J1260" s="3">
        <v>114</v>
      </c>
      <c r="K1260" s="3">
        <v>1</v>
      </c>
      <c r="L1260" s="3">
        <v>114</v>
      </c>
      <c r="M1260" s="3">
        <v>2760</v>
      </c>
      <c r="N1260" s="3">
        <v>314.64</v>
      </c>
      <c r="O1260" s="3">
        <v>2.4700000000000002</v>
      </c>
      <c r="P1260" s="3">
        <v>777.16079999999999</v>
      </c>
      <c r="Q1260" s="3">
        <v>2760</v>
      </c>
    </row>
    <row r="1261" spans="1:17" ht="24.95" hidden="1" customHeight="1" x14ac:dyDescent="0.25">
      <c r="A1261" s="3">
        <v>5</v>
      </c>
      <c r="B1261" s="3" t="s">
        <v>428</v>
      </c>
      <c r="C1261" s="3" t="s">
        <v>1724</v>
      </c>
      <c r="I1261" s="3">
        <v>10</v>
      </c>
      <c r="J1261" s="3">
        <v>342</v>
      </c>
      <c r="K1261" s="3">
        <v>1</v>
      </c>
      <c r="L1261" s="3">
        <v>342</v>
      </c>
      <c r="M1261" s="3">
        <v>690</v>
      </c>
      <c r="N1261" s="3">
        <v>235.98</v>
      </c>
      <c r="O1261" s="3">
        <v>0.61699999999999999</v>
      </c>
      <c r="P1261" s="3">
        <v>145.59966</v>
      </c>
      <c r="Q1261" s="3">
        <v>690</v>
      </c>
    </row>
    <row r="1262" spans="1:17" ht="24.95" hidden="1" customHeight="1" x14ac:dyDescent="0.25">
      <c r="A1262" s="3">
        <v>5</v>
      </c>
      <c r="B1262" s="3" t="s">
        <v>429</v>
      </c>
      <c r="C1262" s="3" t="s">
        <v>1725</v>
      </c>
      <c r="I1262" s="3">
        <v>25</v>
      </c>
      <c r="J1262" s="3">
        <v>2</v>
      </c>
      <c r="K1262" s="3">
        <v>1</v>
      </c>
      <c r="L1262" s="3">
        <v>2</v>
      </c>
      <c r="M1262" s="3">
        <v>2500</v>
      </c>
      <c r="N1262" s="3">
        <v>5</v>
      </c>
      <c r="O1262" s="3">
        <v>3.85</v>
      </c>
      <c r="P1262" s="3">
        <v>19.25</v>
      </c>
      <c r="Q1262" s="3">
        <v>2500</v>
      </c>
    </row>
    <row r="1263" spans="1:17" ht="24.95" hidden="1" customHeight="1" x14ac:dyDescent="0.25">
      <c r="A1263" s="3">
        <v>5</v>
      </c>
      <c r="B1263" s="3" t="s">
        <v>429</v>
      </c>
      <c r="C1263" s="3" t="s">
        <v>1726</v>
      </c>
      <c r="I1263" s="3">
        <v>25</v>
      </c>
      <c r="J1263" s="3">
        <v>2</v>
      </c>
      <c r="K1263" s="3">
        <v>1</v>
      </c>
      <c r="L1263" s="3">
        <v>2</v>
      </c>
      <c r="M1263" s="3">
        <v>11700</v>
      </c>
      <c r="N1263" s="3">
        <v>23.4</v>
      </c>
      <c r="O1263" s="3">
        <v>3.85</v>
      </c>
      <c r="P1263" s="3">
        <v>90.09</v>
      </c>
      <c r="Q1263" s="3">
        <v>11700</v>
      </c>
    </row>
    <row r="1264" spans="1:17" ht="24.95" hidden="1" customHeight="1" x14ac:dyDescent="0.25">
      <c r="A1264" s="3">
        <v>5</v>
      </c>
      <c r="B1264" s="3" t="s">
        <v>429</v>
      </c>
      <c r="C1264" s="3" t="s">
        <v>1727</v>
      </c>
      <c r="I1264" s="3">
        <v>25</v>
      </c>
      <c r="J1264" s="3">
        <v>2</v>
      </c>
      <c r="K1264" s="3">
        <v>1</v>
      </c>
      <c r="L1264" s="3">
        <v>2</v>
      </c>
      <c r="M1264" s="3">
        <v>9750</v>
      </c>
      <c r="N1264" s="3">
        <v>19.5</v>
      </c>
      <c r="O1264" s="3">
        <v>3.85</v>
      </c>
      <c r="P1264" s="3">
        <v>75.075000000000003</v>
      </c>
      <c r="Q1264" s="3">
        <v>9750</v>
      </c>
    </row>
    <row r="1265" spans="1:17" ht="24.95" hidden="1" customHeight="1" x14ac:dyDescent="0.25">
      <c r="A1265" s="3">
        <v>5</v>
      </c>
      <c r="B1265" s="3" t="s">
        <v>429</v>
      </c>
      <c r="C1265" s="3" t="s">
        <v>1728</v>
      </c>
      <c r="I1265" s="3">
        <v>25</v>
      </c>
      <c r="J1265" s="3">
        <v>3</v>
      </c>
      <c r="K1265" s="3">
        <v>1</v>
      </c>
      <c r="L1265" s="3">
        <v>3</v>
      </c>
      <c r="M1265" s="3">
        <v>11700</v>
      </c>
      <c r="N1265" s="3">
        <v>35.1</v>
      </c>
      <c r="O1265" s="3">
        <v>3.85</v>
      </c>
      <c r="P1265" s="3">
        <v>135.13500000000002</v>
      </c>
      <c r="Q1265" s="3">
        <v>11700</v>
      </c>
    </row>
    <row r="1266" spans="1:17" ht="24.95" hidden="1" customHeight="1" x14ac:dyDescent="0.25">
      <c r="A1266" s="3">
        <v>5</v>
      </c>
      <c r="B1266" s="3" t="s">
        <v>429</v>
      </c>
      <c r="C1266" s="3" t="s">
        <v>1729</v>
      </c>
      <c r="I1266" s="3">
        <v>25</v>
      </c>
      <c r="J1266" s="3">
        <v>3</v>
      </c>
      <c r="K1266" s="3">
        <v>1</v>
      </c>
      <c r="L1266" s="3">
        <v>3</v>
      </c>
      <c r="M1266" s="3">
        <v>11120</v>
      </c>
      <c r="N1266" s="3">
        <v>33.36</v>
      </c>
      <c r="O1266" s="3">
        <v>3.85</v>
      </c>
      <c r="P1266" s="3">
        <v>128.43600000000001</v>
      </c>
      <c r="Q1266" s="3">
        <v>11120</v>
      </c>
    </row>
    <row r="1267" spans="1:17" ht="24.95" hidden="1" customHeight="1" x14ac:dyDescent="0.25">
      <c r="A1267" s="3">
        <v>5</v>
      </c>
      <c r="B1267" s="3" t="s">
        <v>429</v>
      </c>
      <c r="C1267" s="3" t="s">
        <v>1730</v>
      </c>
      <c r="I1267" s="3">
        <v>32</v>
      </c>
      <c r="J1267" s="3">
        <v>2</v>
      </c>
      <c r="K1267" s="3">
        <v>1</v>
      </c>
      <c r="L1267" s="3">
        <v>2</v>
      </c>
      <c r="M1267" s="3">
        <v>11700</v>
      </c>
      <c r="N1267" s="3">
        <v>23.4</v>
      </c>
      <c r="O1267" s="3">
        <v>6.31</v>
      </c>
      <c r="P1267" s="3">
        <v>147.65399999999997</v>
      </c>
      <c r="Q1267" s="3">
        <v>11700</v>
      </c>
    </row>
    <row r="1268" spans="1:17" ht="24.95" hidden="1" customHeight="1" x14ac:dyDescent="0.25">
      <c r="A1268" s="3">
        <v>5</v>
      </c>
      <c r="B1268" s="3" t="s">
        <v>429</v>
      </c>
      <c r="C1268" s="3" t="s">
        <v>1731</v>
      </c>
      <c r="I1268" s="3">
        <v>32</v>
      </c>
      <c r="J1268" s="3">
        <v>1</v>
      </c>
      <c r="K1268" s="3">
        <v>1</v>
      </c>
      <c r="L1268" s="3">
        <v>1</v>
      </c>
      <c r="M1268" s="3">
        <v>11700</v>
      </c>
      <c r="N1268" s="3">
        <v>11.7</v>
      </c>
      <c r="O1268" s="3">
        <v>6.31</v>
      </c>
      <c r="P1268" s="3">
        <v>73.826999999999984</v>
      </c>
      <c r="Q1268" s="3">
        <v>11700</v>
      </c>
    </row>
    <row r="1269" spans="1:17" ht="24.95" hidden="1" customHeight="1" x14ac:dyDescent="0.25">
      <c r="A1269" s="3">
        <v>5</v>
      </c>
      <c r="B1269" s="3" t="s">
        <v>429</v>
      </c>
      <c r="C1269" s="3" t="s">
        <v>1732</v>
      </c>
      <c r="I1269" s="3">
        <v>32</v>
      </c>
      <c r="J1269" s="3">
        <v>2</v>
      </c>
      <c r="K1269" s="3">
        <v>1</v>
      </c>
      <c r="L1269" s="3">
        <v>2</v>
      </c>
      <c r="M1269" s="3">
        <v>8320</v>
      </c>
      <c r="N1269" s="3">
        <v>16.64</v>
      </c>
      <c r="O1269" s="3">
        <v>6.31</v>
      </c>
      <c r="P1269" s="3">
        <v>104.9984</v>
      </c>
      <c r="Q1269" s="3">
        <v>8320</v>
      </c>
    </row>
    <row r="1270" spans="1:17" ht="24.95" hidden="1" customHeight="1" x14ac:dyDescent="0.25">
      <c r="A1270" s="3">
        <v>5</v>
      </c>
      <c r="B1270" s="3" t="s">
        <v>429</v>
      </c>
      <c r="C1270" s="3" t="s">
        <v>1733</v>
      </c>
      <c r="I1270" s="3">
        <v>32</v>
      </c>
      <c r="J1270" s="3">
        <v>2</v>
      </c>
      <c r="K1270" s="3">
        <v>1</v>
      </c>
      <c r="L1270" s="3">
        <v>2</v>
      </c>
      <c r="M1270" s="3">
        <v>5440</v>
      </c>
      <c r="N1270" s="3">
        <v>10.88</v>
      </c>
      <c r="O1270" s="3">
        <v>6.31</v>
      </c>
      <c r="P1270" s="3">
        <v>68.652799999999999</v>
      </c>
      <c r="Q1270" s="3">
        <v>5440</v>
      </c>
    </row>
    <row r="1271" spans="1:17" ht="24.95" hidden="1" customHeight="1" x14ac:dyDescent="0.25">
      <c r="A1271" s="3">
        <v>5</v>
      </c>
      <c r="B1271" s="3" t="s">
        <v>429</v>
      </c>
      <c r="C1271" s="3" t="s">
        <v>1734</v>
      </c>
      <c r="I1271" s="3">
        <v>32</v>
      </c>
      <c r="J1271" s="3">
        <v>1</v>
      </c>
      <c r="K1271" s="3">
        <v>1</v>
      </c>
      <c r="L1271" s="3">
        <v>1</v>
      </c>
      <c r="M1271" s="3">
        <v>6500</v>
      </c>
      <c r="N1271" s="3">
        <v>6.5</v>
      </c>
      <c r="O1271" s="3">
        <v>6.31</v>
      </c>
      <c r="P1271" s="3">
        <v>41.015000000000001</v>
      </c>
      <c r="Q1271" s="3">
        <v>6500</v>
      </c>
    </row>
    <row r="1272" spans="1:17" ht="24.95" hidden="1" customHeight="1" x14ac:dyDescent="0.25">
      <c r="A1272" s="3">
        <v>5</v>
      </c>
      <c r="B1272" s="3" t="s">
        <v>429</v>
      </c>
      <c r="C1272" s="3" t="s">
        <v>1735</v>
      </c>
      <c r="I1272" s="3">
        <v>32</v>
      </c>
      <c r="J1272" s="3">
        <v>1</v>
      </c>
      <c r="K1272" s="3">
        <v>1</v>
      </c>
      <c r="L1272" s="3">
        <v>1</v>
      </c>
      <c r="M1272" s="3">
        <v>7260</v>
      </c>
      <c r="N1272" s="3">
        <v>7.26</v>
      </c>
      <c r="O1272" s="3">
        <v>6.31</v>
      </c>
      <c r="P1272" s="3">
        <v>45.810599999999994</v>
      </c>
      <c r="Q1272" s="3">
        <v>7260</v>
      </c>
    </row>
    <row r="1273" spans="1:17" ht="24.95" hidden="1" customHeight="1" x14ac:dyDescent="0.25">
      <c r="A1273" s="3">
        <v>5</v>
      </c>
      <c r="B1273" s="3" t="s">
        <v>429</v>
      </c>
      <c r="C1273" s="3" t="s">
        <v>1736</v>
      </c>
      <c r="I1273" s="3">
        <v>32</v>
      </c>
      <c r="J1273" s="3">
        <v>2</v>
      </c>
      <c r="K1273" s="3">
        <v>1</v>
      </c>
      <c r="L1273" s="3">
        <v>2</v>
      </c>
      <c r="M1273" s="3">
        <v>4830</v>
      </c>
      <c r="N1273" s="3">
        <v>9.66</v>
      </c>
      <c r="O1273" s="3">
        <v>6.31</v>
      </c>
      <c r="P1273" s="3">
        <v>60.954599999999999</v>
      </c>
      <c r="Q1273" s="3">
        <v>4830</v>
      </c>
    </row>
    <row r="1274" spans="1:17" ht="24.95" hidden="1" customHeight="1" x14ac:dyDescent="0.25">
      <c r="A1274" s="3">
        <v>5</v>
      </c>
      <c r="B1274" s="3" t="s">
        <v>429</v>
      </c>
      <c r="C1274" s="3" t="s">
        <v>1737</v>
      </c>
      <c r="I1274" s="3">
        <v>32</v>
      </c>
      <c r="J1274" s="3">
        <v>2</v>
      </c>
      <c r="K1274" s="3">
        <v>1</v>
      </c>
      <c r="L1274" s="3">
        <v>2</v>
      </c>
      <c r="M1274" s="3">
        <v>6950</v>
      </c>
      <c r="N1274" s="3">
        <v>13.9</v>
      </c>
      <c r="O1274" s="3">
        <v>6.31</v>
      </c>
      <c r="P1274" s="3">
        <v>87.709000000000003</v>
      </c>
      <c r="Q1274" s="3">
        <v>6950</v>
      </c>
    </row>
    <row r="1275" spans="1:17" ht="24.95" hidden="1" customHeight="1" x14ac:dyDescent="0.25">
      <c r="A1275" s="3">
        <v>5</v>
      </c>
      <c r="B1275" s="3" t="s">
        <v>429</v>
      </c>
      <c r="C1275" s="3" t="s">
        <v>1738</v>
      </c>
      <c r="I1275" s="3">
        <v>32</v>
      </c>
      <c r="J1275" s="3">
        <v>2</v>
      </c>
      <c r="K1275" s="3">
        <v>1</v>
      </c>
      <c r="L1275" s="3">
        <v>2</v>
      </c>
      <c r="M1275" s="3">
        <v>4400</v>
      </c>
      <c r="N1275" s="3">
        <v>8.8000000000000007</v>
      </c>
      <c r="O1275" s="3">
        <v>6.31</v>
      </c>
      <c r="P1275" s="3">
        <v>55.527999999999999</v>
      </c>
      <c r="Q1275" s="3">
        <v>4400</v>
      </c>
    </row>
    <row r="1276" spans="1:17" ht="24.95" hidden="1" customHeight="1" x14ac:dyDescent="0.25">
      <c r="A1276" s="3">
        <v>5</v>
      </c>
      <c r="B1276" s="3" t="s">
        <v>429</v>
      </c>
      <c r="C1276" s="3" t="s">
        <v>1739</v>
      </c>
      <c r="I1276" s="3">
        <v>32</v>
      </c>
      <c r="J1276" s="3">
        <v>2</v>
      </c>
      <c r="K1276" s="3">
        <v>1</v>
      </c>
      <c r="L1276" s="3">
        <v>2</v>
      </c>
      <c r="M1276" s="3">
        <v>3380</v>
      </c>
      <c r="N1276" s="3">
        <v>6.76</v>
      </c>
      <c r="O1276" s="3">
        <v>6.31</v>
      </c>
      <c r="P1276" s="3">
        <v>42.655599999999993</v>
      </c>
      <c r="Q1276" s="3">
        <v>3380</v>
      </c>
    </row>
    <row r="1277" spans="1:17" ht="24.95" hidden="1" customHeight="1" x14ac:dyDescent="0.25">
      <c r="A1277" s="3">
        <v>5</v>
      </c>
      <c r="B1277" s="3" t="s">
        <v>429</v>
      </c>
      <c r="C1277" s="3" t="s">
        <v>1740</v>
      </c>
      <c r="I1277" s="3">
        <v>10</v>
      </c>
      <c r="J1277" s="3">
        <v>110</v>
      </c>
      <c r="K1277" s="3">
        <v>1</v>
      </c>
      <c r="L1277" s="3">
        <v>110</v>
      </c>
      <c r="M1277" s="3">
        <v>1760</v>
      </c>
      <c r="N1277" s="3">
        <v>193.6</v>
      </c>
      <c r="O1277" s="3">
        <v>0.61699999999999999</v>
      </c>
      <c r="P1277" s="3">
        <v>119.4512</v>
      </c>
      <c r="Q1277" s="3">
        <v>1760</v>
      </c>
    </row>
    <row r="1278" spans="1:17" ht="24.95" hidden="1" customHeight="1" x14ac:dyDescent="0.25">
      <c r="A1278" s="3">
        <v>5</v>
      </c>
      <c r="B1278" s="3" t="s">
        <v>429</v>
      </c>
      <c r="C1278" s="3" t="s">
        <v>1741</v>
      </c>
      <c r="I1278" s="3">
        <v>10</v>
      </c>
      <c r="J1278" s="3">
        <v>110</v>
      </c>
      <c r="K1278" s="3">
        <v>1</v>
      </c>
      <c r="L1278" s="3">
        <v>110</v>
      </c>
      <c r="M1278" s="3">
        <v>690</v>
      </c>
      <c r="N1278" s="3">
        <v>75.900000000000006</v>
      </c>
      <c r="O1278" s="3">
        <v>0.61699999999999999</v>
      </c>
      <c r="P1278" s="3">
        <v>46.830300000000001</v>
      </c>
      <c r="Q1278" s="3">
        <v>690</v>
      </c>
    </row>
    <row r="1279" spans="1:17" ht="24.95" hidden="1" customHeight="1" x14ac:dyDescent="0.25">
      <c r="A1279" s="3">
        <v>5</v>
      </c>
      <c r="B1279" s="3" t="s">
        <v>430</v>
      </c>
      <c r="C1279" s="3" t="s">
        <v>1742</v>
      </c>
      <c r="I1279" s="3">
        <v>32</v>
      </c>
      <c r="J1279" s="3">
        <v>4</v>
      </c>
      <c r="K1279" s="3">
        <v>1</v>
      </c>
      <c r="L1279" s="3">
        <v>4</v>
      </c>
      <c r="M1279" s="3">
        <v>2680</v>
      </c>
      <c r="N1279" s="3">
        <v>10.72</v>
      </c>
      <c r="O1279" s="3">
        <v>6.31</v>
      </c>
      <c r="P1279" s="3">
        <v>67.643199999999993</v>
      </c>
      <c r="Q1279" s="3">
        <v>2680</v>
      </c>
    </row>
    <row r="1280" spans="1:17" ht="24.95" hidden="1" customHeight="1" x14ac:dyDescent="0.25">
      <c r="A1280" s="3">
        <v>5</v>
      </c>
      <c r="B1280" s="3" t="s">
        <v>430</v>
      </c>
      <c r="C1280" s="3" t="s">
        <v>1743</v>
      </c>
      <c r="I1280" s="3">
        <v>32</v>
      </c>
      <c r="J1280" s="3">
        <v>4</v>
      </c>
      <c r="K1280" s="3">
        <v>1</v>
      </c>
      <c r="L1280" s="3">
        <v>4</v>
      </c>
      <c r="M1280" s="3">
        <v>11700</v>
      </c>
      <c r="N1280" s="3">
        <v>46.8</v>
      </c>
      <c r="O1280" s="3">
        <v>6.31</v>
      </c>
      <c r="P1280" s="3">
        <v>295.30799999999994</v>
      </c>
      <c r="Q1280" s="3">
        <v>11700</v>
      </c>
    </row>
    <row r="1281" spans="1:17" ht="24.95" hidden="1" customHeight="1" x14ac:dyDescent="0.25">
      <c r="A1281" s="3">
        <v>5</v>
      </c>
      <c r="B1281" s="3" t="s">
        <v>430</v>
      </c>
      <c r="C1281" s="3" t="s">
        <v>1744</v>
      </c>
      <c r="I1281" s="3">
        <v>32</v>
      </c>
      <c r="J1281" s="3">
        <v>3</v>
      </c>
      <c r="K1281" s="3">
        <v>1</v>
      </c>
      <c r="L1281" s="3">
        <v>3</v>
      </c>
      <c r="M1281" s="3">
        <v>11700</v>
      </c>
      <c r="N1281" s="3">
        <v>35.1</v>
      </c>
      <c r="O1281" s="3">
        <v>6.31</v>
      </c>
      <c r="P1281" s="3">
        <v>221.48099999999999</v>
      </c>
      <c r="Q1281" s="3">
        <v>11700</v>
      </c>
    </row>
    <row r="1282" spans="1:17" ht="24.95" hidden="1" customHeight="1" x14ac:dyDescent="0.25">
      <c r="A1282" s="3">
        <v>5</v>
      </c>
      <c r="B1282" s="3" t="s">
        <v>430</v>
      </c>
      <c r="C1282" s="3" t="s">
        <v>1745</v>
      </c>
      <c r="I1282" s="3">
        <v>32</v>
      </c>
      <c r="J1282" s="3">
        <v>3</v>
      </c>
      <c r="K1282" s="3">
        <v>1</v>
      </c>
      <c r="L1282" s="3">
        <v>3</v>
      </c>
      <c r="M1282" s="3">
        <v>2680</v>
      </c>
      <c r="N1282" s="3">
        <v>8.0399999999999991</v>
      </c>
      <c r="O1282" s="3">
        <v>6.31</v>
      </c>
      <c r="P1282" s="3">
        <v>50.732399999999991</v>
      </c>
      <c r="Q1282" s="3">
        <v>2680</v>
      </c>
    </row>
    <row r="1283" spans="1:17" ht="24.95" hidden="1" customHeight="1" x14ac:dyDescent="0.25">
      <c r="A1283" s="3">
        <v>7</v>
      </c>
      <c r="B1283" s="3" t="s">
        <v>430</v>
      </c>
      <c r="C1283" s="3" t="s">
        <v>1746</v>
      </c>
      <c r="I1283" s="3">
        <v>28</v>
      </c>
      <c r="J1283" s="3">
        <v>4</v>
      </c>
      <c r="K1283" s="3">
        <v>1</v>
      </c>
      <c r="L1283" s="3">
        <v>4</v>
      </c>
      <c r="M1283" s="3">
        <v>11700</v>
      </c>
      <c r="N1283" s="3">
        <v>46.8</v>
      </c>
      <c r="O1283" s="3">
        <v>4.84</v>
      </c>
      <c r="P1283" s="3">
        <v>226.51199999999997</v>
      </c>
      <c r="Q1283" s="3">
        <v>11700</v>
      </c>
    </row>
    <row r="1284" spans="1:17" ht="24.95" hidden="1" customHeight="1" x14ac:dyDescent="0.25">
      <c r="A1284" s="3">
        <v>5</v>
      </c>
      <c r="B1284" s="3" t="s">
        <v>430</v>
      </c>
      <c r="C1284" s="3" t="s">
        <v>1747</v>
      </c>
      <c r="I1284" s="3">
        <v>32</v>
      </c>
      <c r="J1284" s="3">
        <v>2</v>
      </c>
      <c r="K1284" s="3">
        <v>1</v>
      </c>
      <c r="L1284" s="3">
        <v>2</v>
      </c>
      <c r="M1284" s="3">
        <v>7610</v>
      </c>
      <c r="N1284" s="3">
        <v>15.22</v>
      </c>
      <c r="O1284" s="3">
        <v>6.31</v>
      </c>
      <c r="P1284" s="3">
        <v>96.038200000000003</v>
      </c>
      <c r="Q1284" s="3">
        <v>7610</v>
      </c>
    </row>
    <row r="1285" spans="1:17" ht="24.95" hidden="1" customHeight="1" x14ac:dyDescent="0.25">
      <c r="A1285" s="3">
        <v>5</v>
      </c>
      <c r="B1285" s="3" t="s">
        <v>430</v>
      </c>
      <c r="C1285" s="3" t="s">
        <v>1748</v>
      </c>
      <c r="I1285" s="3">
        <v>32</v>
      </c>
      <c r="J1285" s="3">
        <v>2</v>
      </c>
      <c r="K1285" s="3">
        <v>1</v>
      </c>
      <c r="L1285" s="3">
        <v>2</v>
      </c>
      <c r="M1285" s="3">
        <v>6940</v>
      </c>
      <c r="N1285" s="3">
        <v>13.88</v>
      </c>
      <c r="O1285" s="3">
        <v>6.31</v>
      </c>
      <c r="P1285" s="3">
        <v>87.582800000000006</v>
      </c>
      <c r="Q1285" s="3">
        <v>6940</v>
      </c>
    </row>
    <row r="1286" spans="1:17" ht="24.95" hidden="1" customHeight="1" x14ac:dyDescent="0.25">
      <c r="A1286" s="3">
        <v>5</v>
      </c>
      <c r="B1286" s="3" t="s">
        <v>430</v>
      </c>
      <c r="C1286" s="3" t="s">
        <v>1749</v>
      </c>
      <c r="I1286" s="3">
        <v>32</v>
      </c>
      <c r="J1286" s="3">
        <v>2</v>
      </c>
      <c r="K1286" s="3">
        <v>1</v>
      </c>
      <c r="L1286" s="3">
        <v>2</v>
      </c>
      <c r="M1286" s="3">
        <v>5850</v>
      </c>
      <c r="N1286" s="3">
        <v>11.7</v>
      </c>
      <c r="O1286" s="3">
        <v>6.31</v>
      </c>
      <c r="P1286" s="3">
        <v>73.826999999999984</v>
      </c>
      <c r="Q1286" s="3">
        <v>5850</v>
      </c>
    </row>
    <row r="1287" spans="1:17" ht="24.95" hidden="1" customHeight="1" x14ac:dyDescent="0.25">
      <c r="A1287" s="3">
        <v>5</v>
      </c>
      <c r="B1287" s="3" t="s">
        <v>430</v>
      </c>
      <c r="C1287" s="3" t="s">
        <v>1750</v>
      </c>
      <c r="I1287" s="3">
        <v>32</v>
      </c>
      <c r="J1287" s="3">
        <v>2</v>
      </c>
      <c r="K1287" s="3">
        <v>1</v>
      </c>
      <c r="L1287" s="3">
        <v>2</v>
      </c>
      <c r="M1287" s="3">
        <v>8700</v>
      </c>
      <c r="N1287" s="3">
        <v>17.399999999999999</v>
      </c>
      <c r="O1287" s="3">
        <v>6.31</v>
      </c>
      <c r="P1287" s="3">
        <v>109.79399999999998</v>
      </c>
      <c r="Q1287" s="3">
        <v>8700</v>
      </c>
    </row>
    <row r="1288" spans="1:17" ht="24.95" hidden="1" customHeight="1" x14ac:dyDescent="0.25">
      <c r="A1288" s="3">
        <v>5</v>
      </c>
      <c r="B1288" s="3" t="s">
        <v>430</v>
      </c>
      <c r="C1288" s="3" t="s">
        <v>1751</v>
      </c>
      <c r="I1288" s="3">
        <v>32</v>
      </c>
      <c r="J1288" s="3">
        <v>3</v>
      </c>
      <c r="K1288" s="3">
        <v>1</v>
      </c>
      <c r="L1288" s="3">
        <v>3</v>
      </c>
      <c r="M1288" s="3">
        <v>4430</v>
      </c>
      <c r="N1288" s="3">
        <v>13.29</v>
      </c>
      <c r="O1288" s="3">
        <v>6.31</v>
      </c>
      <c r="P1288" s="3">
        <v>83.859899999999996</v>
      </c>
      <c r="Q1288" s="3">
        <v>4430</v>
      </c>
    </row>
    <row r="1289" spans="1:17" ht="24.95" hidden="1" customHeight="1" x14ac:dyDescent="0.25">
      <c r="A1289" s="3">
        <v>5</v>
      </c>
      <c r="B1289" s="3" t="s">
        <v>430</v>
      </c>
      <c r="C1289" s="3" t="s">
        <v>1752</v>
      </c>
      <c r="I1289" s="3">
        <v>32</v>
      </c>
      <c r="J1289" s="3">
        <v>4</v>
      </c>
      <c r="K1289" s="3">
        <v>1</v>
      </c>
      <c r="L1289" s="3">
        <v>4</v>
      </c>
      <c r="M1289" s="3">
        <v>3630</v>
      </c>
      <c r="N1289" s="3">
        <v>14.52</v>
      </c>
      <c r="O1289" s="3">
        <v>6.31</v>
      </c>
      <c r="P1289" s="3">
        <v>91.621199999999988</v>
      </c>
      <c r="Q1289" s="3">
        <v>3630</v>
      </c>
    </row>
    <row r="1290" spans="1:17" ht="24.95" hidden="1" customHeight="1" x14ac:dyDescent="0.25">
      <c r="A1290" s="3">
        <v>5</v>
      </c>
      <c r="B1290" s="3" t="s">
        <v>430</v>
      </c>
      <c r="C1290" s="3" t="s">
        <v>1753</v>
      </c>
      <c r="I1290" s="3">
        <v>32</v>
      </c>
      <c r="J1290" s="3">
        <v>3</v>
      </c>
      <c r="K1290" s="3">
        <v>1</v>
      </c>
      <c r="L1290" s="3">
        <v>3</v>
      </c>
      <c r="M1290" s="3">
        <v>5580</v>
      </c>
      <c r="N1290" s="3">
        <v>16.739999999999998</v>
      </c>
      <c r="O1290" s="3">
        <v>6.31</v>
      </c>
      <c r="P1290" s="3">
        <v>105.62939999999999</v>
      </c>
      <c r="Q1290" s="3">
        <v>5580</v>
      </c>
    </row>
    <row r="1291" spans="1:17" ht="24.95" hidden="1" customHeight="1" x14ac:dyDescent="0.25">
      <c r="A1291" s="3">
        <v>5</v>
      </c>
      <c r="B1291" s="3" t="s">
        <v>430</v>
      </c>
      <c r="C1291" s="3" t="s">
        <v>1754</v>
      </c>
      <c r="I1291" s="3">
        <v>32</v>
      </c>
      <c r="J1291" s="3">
        <v>4</v>
      </c>
      <c r="K1291" s="3">
        <v>1</v>
      </c>
      <c r="L1291" s="3">
        <v>4</v>
      </c>
      <c r="M1291" s="3">
        <v>4730</v>
      </c>
      <c r="N1291" s="3">
        <v>18.920000000000002</v>
      </c>
      <c r="O1291" s="3">
        <v>6.31</v>
      </c>
      <c r="P1291" s="3">
        <v>119.3852</v>
      </c>
      <c r="Q1291" s="3">
        <v>4730</v>
      </c>
    </row>
    <row r="1292" spans="1:17" ht="24.95" hidden="1" customHeight="1" x14ac:dyDescent="0.25">
      <c r="A1292" s="3">
        <v>5</v>
      </c>
      <c r="B1292" s="3" t="s">
        <v>430</v>
      </c>
      <c r="C1292" s="3" t="s">
        <v>1755</v>
      </c>
      <c r="I1292" s="3">
        <v>10</v>
      </c>
      <c r="J1292" s="3">
        <v>64</v>
      </c>
      <c r="K1292" s="3">
        <v>1</v>
      </c>
      <c r="L1292" s="3">
        <v>64</v>
      </c>
      <c r="M1292" s="3">
        <v>2160</v>
      </c>
      <c r="N1292" s="3">
        <v>138.24</v>
      </c>
      <c r="O1292" s="3">
        <v>0.61699999999999999</v>
      </c>
      <c r="P1292" s="3">
        <v>85.294080000000008</v>
      </c>
      <c r="Q1292" s="3">
        <v>2160</v>
      </c>
    </row>
    <row r="1293" spans="1:17" ht="24.95" hidden="1" customHeight="1" x14ac:dyDescent="0.25">
      <c r="A1293" s="3">
        <v>5</v>
      </c>
      <c r="B1293" s="3" t="s">
        <v>430</v>
      </c>
      <c r="C1293" s="3" t="s">
        <v>1756</v>
      </c>
      <c r="I1293" s="3">
        <v>10</v>
      </c>
      <c r="J1293" s="3">
        <v>128</v>
      </c>
      <c r="K1293" s="3">
        <v>1</v>
      </c>
      <c r="L1293" s="3">
        <v>128</v>
      </c>
      <c r="M1293" s="3">
        <v>690</v>
      </c>
      <c r="N1293" s="3">
        <v>88.32</v>
      </c>
      <c r="O1293" s="3">
        <v>0.61699999999999999</v>
      </c>
      <c r="P1293" s="3">
        <v>54.493439999999993</v>
      </c>
      <c r="Q1293" s="3">
        <v>690</v>
      </c>
    </row>
    <row r="1294" spans="1:17" ht="24.95" hidden="1" customHeight="1" x14ac:dyDescent="0.25">
      <c r="A1294" s="3">
        <v>5</v>
      </c>
      <c r="B1294" s="3" t="s">
        <v>430</v>
      </c>
      <c r="C1294" s="3" t="s">
        <v>1757</v>
      </c>
      <c r="I1294" s="3">
        <v>32</v>
      </c>
      <c r="J1294" s="3">
        <v>9</v>
      </c>
      <c r="K1294" s="3">
        <v>1</v>
      </c>
      <c r="L1294" s="3">
        <v>9</v>
      </c>
      <c r="M1294" s="3">
        <v>490</v>
      </c>
      <c r="N1294" s="3">
        <v>4.41</v>
      </c>
      <c r="O1294" s="3">
        <v>6.31</v>
      </c>
      <c r="P1294" s="3">
        <v>27.827099999999998</v>
      </c>
      <c r="Q1294" s="3">
        <v>490</v>
      </c>
    </row>
    <row r="1295" spans="1:17" ht="24.95" hidden="1" customHeight="1" x14ac:dyDescent="0.25">
      <c r="A1295" s="3">
        <v>5</v>
      </c>
      <c r="B1295" s="3" t="s">
        <v>431</v>
      </c>
      <c r="C1295" s="3" t="s">
        <v>1758</v>
      </c>
      <c r="I1295" s="3">
        <v>25</v>
      </c>
      <c r="J1295" s="3">
        <v>2</v>
      </c>
      <c r="K1295" s="3">
        <v>1</v>
      </c>
      <c r="L1295" s="3">
        <v>2</v>
      </c>
      <c r="M1295" s="3">
        <v>3600</v>
      </c>
      <c r="N1295" s="3">
        <v>7.2</v>
      </c>
      <c r="O1295" s="3">
        <v>3.85</v>
      </c>
      <c r="P1295" s="3">
        <v>27.720000000000002</v>
      </c>
      <c r="Q1295" s="3">
        <v>3600</v>
      </c>
    </row>
    <row r="1296" spans="1:17" ht="24.95" hidden="1" customHeight="1" x14ac:dyDescent="0.25">
      <c r="A1296" s="3">
        <v>5</v>
      </c>
      <c r="B1296" s="3" t="s">
        <v>431</v>
      </c>
      <c r="C1296" s="3" t="s">
        <v>1759</v>
      </c>
      <c r="I1296" s="3">
        <v>25</v>
      </c>
      <c r="J1296" s="3">
        <v>2</v>
      </c>
      <c r="K1296" s="3">
        <v>1</v>
      </c>
      <c r="L1296" s="3">
        <v>2</v>
      </c>
      <c r="M1296" s="3">
        <v>11700</v>
      </c>
      <c r="N1296" s="3">
        <v>23.4</v>
      </c>
      <c r="O1296" s="3">
        <v>3.85</v>
      </c>
      <c r="P1296" s="3">
        <v>90.09</v>
      </c>
      <c r="Q1296" s="3">
        <v>11700</v>
      </c>
    </row>
    <row r="1297" spans="1:17" ht="24.95" hidden="1" customHeight="1" x14ac:dyDescent="0.25">
      <c r="A1297" s="3">
        <v>5</v>
      </c>
      <c r="B1297" s="3" t="s">
        <v>431</v>
      </c>
      <c r="C1297" s="3" t="s">
        <v>1760</v>
      </c>
      <c r="I1297" s="3">
        <v>25</v>
      </c>
      <c r="J1297" s="3">
        <v>2</v>
      </c>
      <c r="K1297" s="3">
        <v>1</v>
      </c>
      <c r="L1297" s="3">
        <v>2</v>
      </c>
      <c r="M1297" s="3">
        <v>8650</v>
      </c>
      <c r="N1297" s="3">
        <v>17.3</v>
      </c>
      <c r="O1297" s="3">
        <v>3.85</v>
      </c>
      <c r="P1297" s="3">
        <v>66.605000000000004</v>
      </c>
      <c r="Q1297" s="3">
        <v>8650</v>
      </c>
    </row>
    <row r="1298" spans="1:17" ht="24.95" hidden="1" customHeight="1" x14ac:dyDescent="0.25">
      <c r="A1298" s="3">
        <v>5</v>
      </c>
      <c r="B1298" s="3" t="s">
        <v>431</v>
      </c>
      <c r="C1298" s="3" t="s">
        <v>1761</v>
      </c>
      <c r="I1298" s="3">
        <v>25</v>
      </c>
      <c r="J1298" s="3">
        <v>3</v>
      </c>
      <c r="K1298" s="3">
        <v>1</v>
      </c>
      <c r="L1298" s="3">
        <v>3</v>
      </c>
      <c r="M1298" s="3">
        <v>11120</v>
      </c>
      <c r="N1298" s="3">
        <v>33.36</v>
      </c>
      <c r="O1298" s="3">
        <v>3.85</v>
      </c>
      <c r="P1298" s="3">
        <v>128.43600000000001</v>
      </c>
      <c r="Q1298" s="3">
        <v>11120</v>
      </c>
    </row>
    <row r="1299" spans="1:17" ht="24.95" hidden="1" customHeight="1" x14ac:dyDescent="0.25">
      <c r="A1299" s="3">
        <v>5</v>
      </c>
      <c r="B1299" s="3" t="s">
        <v>431</v>
      </c>
      <c r="C1299" s="3" t="s">
        <v>1762</v>
      </c>
      <c r="I1299" s="3">
        <v>25</v>
      </c>
      <c r="J1299" s="3">
        <v>3</v>
      </c>
      <c r="K1299" s="3">
        <v>1</v>
      </c>
      <c r="L1299" s="3">
        <v>3</v>
      </c>
      <c r="M1299" s="3">
        <v>11700</v>
      </c>
      <c r="N1299" s="3">
        <v>35.1</v>
      </c>
      <c r="O1299" s="3">
        <v>3.85</v>
      </c>
      <c r="P1299" s="3">
        <v>135.13500000000002</v>
      </c>
      <c r="Q1299" s="3">
        <v>11700</v>
      </c>
    </row>
    <row r="1300" spans="1:17" ht="24.95" hidden="1" customHeight="1" x14ac:dyDescent="0.25">
      <c r="A1300" s="3">
        <v>5</v>
      </c>
      <c r="B1300" s="3" t="s">
        <v>431</v>
      </c>
      <c r="C1300" s="3" t="s">
        <v>1763</v>
      </c>
      <c r="I1300" s="3">
        <v>20</v>
      </c>
      <c r="J1300" s="3">
        <v>1</v>
      </c>
      <c r="K1300" s="3">
        <v>1</v>
      </c>
      <c r="L1300" s="3">
        <v>1</v>
      </c>
      <c r="M1300" s="3">
        <v>10500</v>
      </c>
      <c r="N1300" s="3">
        <v>10.5</v>
      </c>
      <c r="O1300" s="3">
        <v>2.4700000000000002</v>
      </c>
      <c r="P1300" s="3">
        <v>25.935000000000002</v>
      </c>
      <c r="Q1300" s="3">
        <v>10500</v>
      </c>
    </row>
    <row r="1301" spans="1:17" ht="24.95" hidden="1" customHeight="1" x14ac:dyDescent="0.25">
      <c r="A1301" s="3">
        <v>5</v>
      </c>
      <c r="B1301" s="3" t="s">
        <v>431</v>
      </c>
      <c r="C1301" s="3" t="s">
        <v>1764</v>
      </c>
      <c r="I1301" s="3">
        <v>20</v>
      </c>
      <c r="J1301" s="3">
        <v>1</v>
      </c>
      <c r="K1301" s="3">
        <v>1</v>
      </c>
      <c r="L1301" s="3">
        <v>1</v>
      </c>
      <c r="M1301" s="3">
        <v>11700</v>
      </c>
      <c r="N1301" s="3">
        <v>11.7</v>
      </c>
      <c r="O1301" s="3">
        <v>2.4700000000000002</v>
      </c>
      <c r="P1301" s="3">
        <v>28.899000000000001</v>
      </c>
      <c r="Q1301" s="3">
        <v>11700</v>
      </c>
    </row>
    <row r="1302" spans="1:17" ht="24.95" hidden="1" customHeight="1" x14ac:dyDescent="0.25">
      <c r="A1302" s="3">
        <v>5</v>
      </c>
      <c r="B1302" s="3" t="s">
        <v>431</v>
      </c>
      <c r="C1302" s="3" t="s">
        <v>1765</v>
      </c>
      <c r="I1302" s="3">
        <v>20</v>
      </c>
      <c r="J1302" s="3">
        <v>1</v>
      </c>
      <c r="K1302" s="3">
        <v>1</v>
      </c>
      <c r="L1302" s="3">
        <v>1</v>
      </c>
      <c r="M1302" s="3">
        <v>11700</v>
      </c>
      <c r="N1302" s="3">
        <v>11.7</v>
      </c>
      <c r="O1302" s="3">
        <v>2.4700000000000002</v>
      </c>
      <c r="P1302" s="3">
        <v>28.899000000000001</v>
      </c>
      <c r="Q1302" s="3">
        <v>11700</v>
      </c>
    </row>
    <row r="1303" spans="1:17" ht="24.95" hidden="1" customHeight="1" x14ac:dyDescent="0.25">
      <c r="A1303" s="3">
        <v>5</v>
      </c>
      <c r="B1303" s="3" t="s">
        <v>431</v>
      </c>
      <c r="C1303" s="3" t="s">
        <v>1766</v>
      </c>
      <c r="I1303" s="3">
        <v>20</v>
      </c>
      <c r="J1303" s="3">
        <v>1</v>
      </c>
      <c r="K1303" s="3">
        <v>1</v>
      </c>
      <c r="L1303" s="3">
        <v>1</v>
      </c>
      <c r="M1303" s="3">
        <v>10500</v>
      </c>
      <c r="N1303" s="3">
        <v>10.5</v>
      </c>
      <c r="O1303" s="3">
        <v>2.4700000000000002</v>
      </c>
      <c r="P1303" s="3">
        <v>25.935000000000002</v>
      </c>
      <c r="Q1303" s="3">
        <v>10500</v>
      </c>
    </row>
    <row r="1304" spans="1:17" ht="24.95" hidden="1" customHeight="1" x14ac:dyDescent="0.25">
      <c r="A1304" s="3">
        <v>5</v>
      </c>
      <c r="B1304" s="3" t="s">
        <v>431</v>
      </c>
      <c r="C1304" s="3" t="s">
        <v>1767</v>
      </c>
      <c r="I1304" s="3">
        <v>32</v>
      </c>
      <c r="J1304" s="3">
        <v>2</v>
      </c>
      <c r="K1304" s="3">
        <v>1</v>
      </c>
      <c r="L1304" s="3">
        <v>2</v>
      </c>
      <c r="M1304" s="3">
        <v>8190</v>
      </c>
      <c r="N1304" s="3">
        <v>16.38</v>
      </c>
      <c r="O1304" s="3">
        <v>6.31</v>
      </c>
      <c r="P1304" s="3">
        <v>103.35779999999998</v>
      </c>
      <c r="Q1304" s="3">
        <v>8190</v>
      </c>
    </row>
    <row r="1305" spans="1:17" ht="24.95" hidden="1" customHeight="1" x14ac:dyDescent="0.25">
      <c r="A1305" s="3">
        <v>5</v>
      </c>
      <c r="B1305" s="3" t="s">
        <v>431</v>
      </c>
      <c r="C1305" s="3" t="s">
        <v>1768</v>
      </c>
      <c r="I1305" s="3">
        <v>32</v>
      </c>
      <c r="J1305" s="3">
        <v>2</v>
      </c>
      <c r="K1305" s="3">
        <v>1</v>
      </c>
      <c r="L1305" s="3">
        <v>2</v>
      </c>
      <c r="M1305" s="3">
        <v>11700</v>
      </c>
      <c r="N1305" s="3">
        <v>23.4</v>
      </c>
      <c r="O1305" s="3">
        <v>6.31</v>
      </c>
      <c r="P1305" s="3">
        <v>147.65399999999997</v>
      </c>
      <c r="Q1305" s="3">
        <v>11700</v>
      </c>
    </row>
    <row r="1306" spans="1:17" ht="24.95" hidden="1" customHeight="1" x14ac:dyDescent="0.25">
      <c r="A1306" s="3">
        <v>5</v>
      </c>
      <c r="B1306" s="3" t="s">
        <v>431</v>
      </c>
      <c r="C1306" s="3" t="s">
        <v>1769</v>
      </c>
      <c r="I1306" s="3">
        <v>32</v>
      </c>
      <c r="J1306" s="3">
        <v>2</v>
      </c>
      <c r="K1306" s="3">
        <v>1</v>
      </c>
      <c r="L1306" s="3">
        <v>2</v>
      </c>
      <c r="M1306" s="3">
        <v>5350</v>
      </c>
      <c r="N1306" s="3">
        <v>10.7</v>
      </c>
      <c r="O1306" s="3">
        <v>6.31</v>
      </c>
      <c r="P1306" s="3">
        <v>67.516999999999996</v>
      </c>
      <c r="Q1306" s="3">
        <v>5350</v>
      </c>
    </row>
    <row r="1307" spans="1:17" ht="24.95" hidden="1" customHeight="1" x14ac:dyDescent="0.25">
      <c r="A1307" s="3">
        <v>5</v>
      </c>
      <c r="B1307" s="3" t="s">
        <v>431</v>
      </c>
      <c r="C1307" s="3" t="s">
        <v>1770</v>
      </c>
      <c r="I1307" s="3">
        <v>32</v>
      </c>
      <c r="J1307" s="3">
        <v>1</v>
      </c>
      <c r="K1307" s="3">
        <v>1</v>
      </c>
      <c r="L1307" s="3">
        <v>1</v>
      </c>
      <c r="M1307" s="3">
        <v>6350</v>
      </c>
      <c r="N1307" s="3">
        <v>6.35</v>
      </c>
      <c r="O1307" s="3">
        <v>6.31</v>
      </c>
      <c r="P1307" s="3">
        <v>40.068499999999993</v>
      </c>
      <c r="Q1307" s="3">
        <v>6350</v>
      </c>
    </row>
    <row r="1308" spans="1:17" ht="24.95" hidden="1" customHeight="1" x14ac:dyDescent="0.25">
      <c r="A1308" s="3">
        <v>5</v>
      </c>
      <c r="B1308" s="3" t="s">
        <v>431</v>
      </c>
      <c r="C1308" s="3" t="s">
        <v>1771</v>
      </c>
      <c r="I1308" s="3">
        <v>32</v>
      </c>
      <c r="J1308" s="3">
        <v>1</v>
      </c>
      <c r="K1308" s="3">
        <v>1</v>
      </c>
      <c r="L1308" s="3">
        <v>1</v>
      </c>
      <c r="M1308" s="3">
        <v>11700</v>
      </c>
      <c r="N1308" s="3">
        <v>11.7</v>
      </c>
      <c r="O1308" s="3">
        <v>6.31</v>
      </c>
      <c r="P1308" s="3">
        <v>73.826999999999984</v>
      </c>
      <c r="Q1308" s="3">
        <v>11700</v>
      </c>
    </row>
    <row r="1309" spans="1:17" ht="24.95" hidden="1" customHeight="1" x14ac:dyDescent="0.25">
      <c r="A1309" s="3">
        <v>5</v>
      </c>
      <c r="B1309" s="3" t="s">
        <v>431</v>
      </c>
      <c r="C1309" s="3" t="s">
        <v>1772</v>
      </c>
      <c r="I1309" s="3">
        <v>32</v>
      </c>
      <c r="J1309" s="3">
        <v>1</v>
      </c>
      <c r="K1309" s="3">
        <v>1</v>
      </c>
      <c r="L1309" s="3">
        <v>1</v>
      </c>
      <c r="M1309" s="3">
        <v>7190</v>
      </c>
      <c r="N1309" s="3">
        <v>7.19</v>
      </c>
      <c r="O1309" s="3">
        <v>6.31</v>
      </c>
      <c r="P1309" s="3">
        <v>45.368899999999996</v>
      </c>
      <c r="Q1309" s="3">
        <v>7190</v>
      </c>
    </row>
    <row r="1310" spans="1:17" ht="24.95" hidden="1" customHeight="1" x14ac:dyDescent="0.25">
      <c r="A1310" s="3">
        <v>5</v>
      </c>
      <c r="B1310" s="3" t="s">
        <v>431</v>
      </c>
      <c r="C1310" s="3" t="s">
        <v>1773</v>
      </c>
      <c r="I1310" s="3">
        <v>32</v>
      </c>
      <c r="J1310" s="3">
        <v>2</v>
      </c>
      <c r="K1310" s="3">
        <v>1</v>
      </c>
      <c r="L1310" s="3">
        <v>2</v>
      </c>
      <c r="M1310" s="3">
        <v>4780</v>
      </c>
      <c r="N1310" s="3">
        <v>9.56</v>
      </c>
      <c r="O1310" s="3">
        <v>6.31</v>
      </c>
      <c r="P1310" s="3">
        <v>60.323599999999999</v>
      </c>
      <c r="Q1310" s="3">
        <v>4780</v>
      </c>
    </row>
    <row r="1311" spans="1:17" ht="24.95" hidden="1" customHeight="1" x14ac:dyDescent="0.25">
      <c r="A1311" s="3">
        <v>5</v>
      </c>
      <c r="B1311" s="3" t="s">
        <v>431</v>
      </c>
      <c r="C1311" s="3" t="s">
        <v>1774</v>
      </c>
      <c r="I1311" s="3">
        <v>32</v>
      </c>
      <c r="J1311" s="3">
        <v>2</v>
      </c>
      <c r="K1311" s="3">
        <v>1</v>
      </c>
      <c r="L1311" s="3">
        <v>2</v>
      </c>
      <c r="M1311" s="3">
        <v>7150</v>
      </c>
      <c r="N1311" s="3">
        <v>14.3</v>
      </c>
      <c r="O1311" s="3">
        <v>6.31</v>
      </c>
      <c r="P1311" s="3">
        <v>90.233000000000004</v>
      </c>
      <c r="Q1311" s="3">
        <v>7150</v>
      </c>
    </row>
    <row r="1312" spans="1:17" ht="24.95" hidden="1" customHeight="1" x14ac:dyDescent="0.25">
      <c r="A1312" s="3">
        <v>5</v>
      </c>
      <c r="B1312" s="3" t="s">
        <v>431</v>
      </c>
      <c r="C1312" s="3" t="s">
        <v>1775</v>
      </c>
      <c r="I1312" s="3">
        <v>32</v>
      </c>
      <c r="J1312" s="3">
        <v>2</v>
      </c>
      <c r="K1312" s="3">
        <v>1</v>
      </c>
      <c r="L1312" s="3">
        <v>2</v>
      </c>
      <c r="M1312" s="3">
        <v>4130</v>
      </c>
      <c r="N1312" s="3">
        <v>8.26</v>
      </c>
      <c r="O1312" s="3">
        <v>6.31</v>
      </c>
      <c r="P1312" s="3">
        <v>52.120599999999996</v>
      </c>
      <c r="Q1312" s="3">
        <v>4130</v>
      </c>
    </row>
    <row r="1313" spans="1:17" ht="24.95" hidden="1" customHeight="1" x14ac:dyDescent="0.25">
      <c r="A1313" s="3">
        <v>5</v>
      </c>
      <c r="B1313" s="3" t="s">
        <v>431</v>
      </c>
      <c r="C1313" s="3" t="s">
        <v>1776</v>
      </c>
      <c r="I1313" s="3">
        <v>10</v>
      </c>
      <c r="J1313" s="3">
        <v>112</v>
      </c>
      <c r="K1313" s="3">
        <v>1</v>
      </c>
      <c r="L1313" s="3">
        <v>112</v>
      </c>
      <c r="M1313" s="3">
        <v>2160</v>
      </c>
      <c r="N1313" s="3">
        <v>241.92</v>
      </c>
      <c r="O1313" s="3">
        <v>0.61699999999999999</v>
      </c>
      <c r="P1313" s="3">
        <v>149.26463999999999</v>
      </c>
      <c r="Q1313" s="3">
        <v>2160</v>
      </c>
    </row>
    <row r="1314" spans="1:17" ht="24.95" hidden="1" customHeight="1" x14ac:dyDescent="0.25">
      <c r="A1314" s="3">
        <v>5</v>
      </c>
      <c r="B1314" s="3" t="s">
        <v>431</v>
      </c>
      <c r="C1314" s="3" t="s">
        <v>1777</v>
      </c>
      <c r="I1314" s="3">
        <v>10</v>
      </c>
      <c r="J1314" s="3">
        <v>112</v>
      </c>
      <c r="K1314" s="3">
        <v>1</v>
      </c>
      <c r="L1314" s="3">
        <v>112</v>
      </c>
      <c r="M1314" s="3">
        <v>690</v>
      </c>
      <c r="N1314" s="3">
        <v>77.28</v>
      </c>
      <c r="O1314" s="3">
        <v>0.61699999999999999</v>
      </c>
      <c r="P1314" s="3">
        <v>47.681759999999997</v>
      </c>
      <c r="Q1314" s="3">
        <v>690</v>
      </c>
    </row>
    <row r="1315" spans="1:17" ht="24.95" hidden="1" customHeight="1" x14ac:dyDescent="0.25">
      <c r="A1315" s="3">
        <v>5</v>
      </c>
      <c r="B1315" s="3" t="s">
        <v>432</v>
      </c>
      <c r="C1315" s="3" t="s">
        <v>1778</v>
      </c>
      <c r="I1315" s="3">
        <v>32</v>
      </c>
      <c r="J1315" s="3">
        <v>2</v>
      </c>
      <c r="K1315" s="3">
        <v>1</v>
      </c>
      <c r="L1315" s="3">
        <v>2</v>
      </c>
      <c r="M1315" s="3">
        <v>10650</v>
      </c>
      <c r="N1315" s="3">
        <v>21.3</v>
      </c>
      <c r="O1315" s="3">
        <v>6.31</v>
      </c>
      <c r="P1315" s="3">
        <v>134.40299999999999</v>
      </c>
      <c r="Q1315" s="3">
        <v>10650</v>
      </c>
    </row>
    <row r="1316" spans="1:17" ht="24.95" hidden="1" customHeight="1" x14ac:dyDescent="0.25">
      <c r="A1316" s="3">
        <v>5</v>
      </c>
      <c r="B1316" s="3" t="s">
        <v>432</v>
      </c>
      <c r="C1316" s="3" t="s">
        <v>1779</v>
      </c>
      <c r="I1316" s="3">
        <v>32</v>
      </c>
      <c r="J1316" s="3">
        <v>2</v>
      </c>
      <c r="K1316" s="3">
        <v>1</v>
      </c>
      <c r="L1316" s="3">
        <v>2</v>
      </c>
      <c r="M1316" s="3">
        <v>11700</v>
      </c>
      <c r="N1316" s="3">
        <v>23.4</v>
      </c>
      <c r="O1316" s="3">
        <v>6.31</v>
      </c>
      <c r="P1316" s="3">
        <v>147.65399999999997</v>
      </c>
      <c r="Q1316" s="3">
        <v>11700</v>
      </c>
    </row>
    <row r="1317" spans="1:17" ht="24.95" hidden="1" customHeight="1" x14ac:dyDescent="0.25">
      <c r="A1317" s="3">
        <v>5</v>
      </c>
      <c r="B1317" s="3" t="s">
        <v>432</v>
      </c>
      <c r="C1317" s="3" t="s">
        <v>1780</v>
      </c>
      <c r="I1317" s="3">
        <v>32</v>
      </c>
      <c r="J1317" s="3">
        <v>2</v>
      </c>
      <c r="K1317" s="3">
        <v>1</v>
      </c>
      <c r="L1317" s="3">
        <v>2</v>
      </c>
      <c r="M1317" s="3">
        <v>3240</v>
      </c>
      <c r="N1317" s="3">
        <v>6.48</v>
      </c>
      <c r="O1317" s="3">
        <v>6.31</v>
      </c>
      <c r="P1317" s="3">
        <v>40.888800000000003</v>
      </c>
      <c r="Q1317" s="3">
        <v>3240</v>
      </c>
    </row>
    <row r="1318" spans="1:17" ht="24.95" hidden="1" customHeight="1" x14ac:dyDescent="0.25">
      <c r="A1318" s="3">
        <v>5</v>
      </c>
      <c r="B1318" s="3" t="s">
        <v>432</v>
      </c>
      <c r="C1318" s="3" t="s">
        <v>1781</v>
      </c>
      <c r="I1318" s="3">
        <v>32</v>
      </c>
      <c r="J1318" s="3">
        <v>2</v>
      </c>
      <c r="K1318" s="3">
        <v>1</v>
      </c>
      <c r="L1318" s="3">
        <v>2</v>
      </c>
      <c r="M1318" s="3">
        <v>2790</v>
      </c>
      <c r="N1318" s="3">
        <v>5.58</v>
      </c>
      <c r="O1318" s="3">
        <v>6.31</v>
      </c>
      <c r="P1318" s="3">
        <v>35.209800000000001</v>
      </c>
      <c r="Q1318" s="3">
        <v>2790</v>
      </c>
    </row>
    <row r="1319" spans="1:17" ht="24.95" hidden="1" customHeight="1" x14ac:dyDescent="0.25">
      <c r="A1319" s="3">
        <v>5</v>
      </c>
      <c r="B1319" s="3" t="s">
        <v>432</v>
      </c>
      <c r="C1319" s="3" t="s">
        <v>1782</v>
      </c>
      <c r="I1319" s="3">
        <v>32</v>
      </c>
      <c r="J1319" s="3">
        <v>2</v>
      </c>
      <c r="K1319" s="3">
        <v>1</v>
      </c>
      <c r="L1319" s="3">
        <v>2</v>
      </c>
      <c r="M1319" s="3">
        <v>11100</v>
      </c>
      <c r="N1319" s="3">
        <v>22.2</v>
      </c>
      <c r="O1319" s="3">
        <v>6.31</v>
      </c>
      <c r="P1319" s="3">
        <v>140.08199999999999</v>
      </c>
      <c r="Q1319" s="3">
        <v>11100</v>
      </c>
    </row>
    <row r="1320" spans="1:17" ht="24.95" hidden="1" customHeight="1" x14ac:dyDescent="0.25">
      <c r="A1320" s="3">
        <v>5</v>
      </c>
      <c r="B1320" s="3" t="s">
        <v>432</v>
      </c>
      <c r="C1320" s="3" t="s">
        <v>1783</v>
      </c>
      <c r="I1320" s="3">
        <v>32</v>
      </c>
      <c r="J1320" s="3">
        <v>2</v>
      </c>
      <c r="K1320" s="3">
        <v>1</v>
      </c>
      <c r="L1320" s="3">
        <v>2</v>
      </c>
      <c r="M1320" s="3">
        <v>11700</v>
      </c>
      <c r="N1320" s="3">
        <v>23.4</v>
      </c>
      <c r="O1320" s="3">
        <v>6.31</v>
      </c>
      <c r="P1320" s="3">
        <v>147.65399999999997</v>
      </c>
      <c r="Q1320" s="3">
        <v>11700</v>
      </c>
    </row>
    <row r="1321" spans="1:17" ht="24.95" hidden="1" customHeight="1" x14ac:dyDescent="0.25">
      <c r="A1321" s="3">
        <v>5</v>
      </c>
      <c r="B1321" s="3" t="s">
        <v>432</v>
      </c>
      <c r="C1321" s="3" t="s">
        <v>1784</v>
      </c>
      <c r="I1321" s="3">
        <v>32</v>
      </c>
      <c r="J1321" s="3">
        <v>3</v>
      </c>
      <c r="K1321" s="3">
        <v>1</v>
      </c>
      <c r="L1321" s="3">
        <v>3</v>
      </c>
      <c r="M1321" s="3">
        <v>11700</v>
      </c>
      <c r="N1321" s="3">
        <v>35.1</v>
      </c>
      <c r="O1321" s="3">
        <v>6.31</v>
      </c>
      <c r="P1321" s="3">
        <v>221.48099999999999</v>
      </c>
      <c r="Q1321" s="3">
        <v>11700</v>
      </c>
    </row>
    <row r="1322" spans="1:17" ht="24.95" hidden="1" customHeight="1" x14ac:dyDescent="0.25">
      <c r="A1322" s="3">
        <v>5</v>
      </c>
      <c r="B1322" s="3" t="s">
        <v>432</v>
      </c>
      <c r="C1322" s="3" t="s">
        <v>1785</v>
      </c>
      <c r="I1322" s="3">
        <v>32</v>
      </c>
      <c r="J1322" s="3">
        <v>3</v>
      </c>
      <c r="K1322" s="3">
        <v>1</v>
      </c>
      <c r="L1322" s="3">
        <v>3</v>
      </c>
      <c r="M1322" s="3">
        <v>1990</v>
      </c>
      <c r="N1322" s="3">
        <v>5.97</v>
      </c>
      <c r="O1322" s="3">
        <v>6.31</v>
      </c>
      <c r="P1322" s="3">
        <v>37.670699999999997</v>
      </c>
      <c r="Q1322" s="3">
        <v>1990</v>
      </c>
    </row>
    <row r="1323" spans="1:17" ht="24.95" hidden="1" customHeight="1" x14ac:dyDescent="0.25">
      <c r="A1323" s="3">
        <v>5</v>
      </c>
      <c r="B1323" s="3" t="s">
        <v>432</v>
      </c>
      <c r="C1323" s="3" t="s">
        <v>1786</v>
      </c>
      <c r="I1323" s="3">
        <v>32</v>
      </c>
      <c r="J1323" s="3">
        <v>4</v>
      </c>
      <c r="K1323" s="3">
        <v>1</v>
      </c>
      <c r="L1323" s="3">
        <v>4</v>
      </c>
      <c r="M1323" s="3">
        <v>11700</v>
      </c>
      <c r="N1323" s="3">
        <v>46.8</v>
      </c>
      <c r="O1323" s="3">
        <v>6.31</v>
      </c>
      <c r="P1323" s="3">
        <v>295.30799999999994</v>
      </c>
      <c r="Q1323" s="3">
        <v>11700</v>
      </c>
    </row>
    <row r="1324" spans="1:17" ht="24.95" hidden="1" customHeight="1" x14ac:dyDescent="0.25">
      <c r="A1324" s="3">
        <v>5</v>
      </c>
      <c r="B1324" s="3" t="s">
        <v>432</v>
      </c>
      <c r="C1324" s="3" t="s">
        <v>1787</v>
      </c>
      <c r="I1324" s="3">
        <v>32</v>
      </c>
      <c r="J1324" s="3">
        <v>4</v>
      </c>
      <c r="K1324" s="3">
        <v>1</v>
      </c>
      <c r="L1324" s="3">
        <v>4</v>
      </c>
      <c r="M1324" s="3">
        <v>1990</v>
      </c>
      <c r="N1324" s="3">
        <v>7.96</v>
      </c>
      <c r="O1324" s="3">
        <v>6.31</v>
      </c>
      <c r="P1324" s="3">
        <v>50.227599999999995</v>
      </c>
      <c r="Q1324" s="3">
        <v>1990</v>
      </c>
    </row>
    <row r="1325" spans="1:17" ht="24.95" hidden="1" customHeight="1" x14ac:dyDescent="0.25">
      <c r="A1325" s="3">
        <v>5</v>
      </c>
      <c r="B1325" s="3" t="s">
        <v>432</v>
      </c>
      <c r="C1325" s="3" t="s">
        <v>1788</v>
      </c>
      <c r="I1325" s="3">
        <v>32</v>
      </c>
      <c r="J1325" s="3">
        <v>2</v>
      </c>
      <c r="K1325" s="3">
        <v>1</v>
      </c>
      <c r="L1325" s="3">
        <v>2</v>
      </c>
      <c r="M1325" s="3">
        <v>4530</v>
      </c>
      <c r="N1325" s="3">
        <v>9.06</v>
      </c>
      <c r="O1325" s="3">
        <v>6.31</v>
      </c>
      <c r="P1325" s="3">
        <v>57.168599999999998</v>
      </c>
      <c r="Q1325" s="3">
        <v>4530</v>
      </c>
    </row>
    <row r="1326" spans="1:17" ht="24.95" hidden="1" customHeight="1" x14ac:dyDescent="0.25">
      <c r="A1326" s="3">
        <v>5</v>
      </c>
      <c r="B1326" s="3" t="s">
        <v>432</v>
      </c>
      <c r="C1326" s="3" t="s">
        <v>1789</v>
      </c>
      <c r="I1326" s="3">
        <v>32</v>
      </c>
      <c r="J1326" s="3">
        <v>2</v>
      </c>
      <c r="K1326" s="3">
        <v>1</v>
      </c>
      <c r="L1326" s="3">
        <v>2</v>
      </c>
      <c r="M1326" s="3">
        <v>11700</v>
      </c>
      <c r="N1326" s="3">
        <v>23.4</v>
      </c>
      <c r="O1326" s="3">
        <v>6.31</v>
      </c>
      <c r="P1326" s="3">
        <v>147.65399999999997</v>
      </c>
      <c r="Q1326" s="3">
        <v>11700</v>
      </c>
    </row>
    <row r="1327" spans="1:17" ht="24.95" hidden="1" customHeight="1" x14ac:dyDescent="0.25">
      <c r="A1327" s="3">
        <v>5</v>
      </c>
      <c r="B1327" s="3" t="s">
        <v>432</v>
      </c>
      <c r="C1327" s="3" t="s">
        <v>1790</v>
      </c>
      <c r="I1327" s="3">
        <v>32</v>
      </c>
      <c r="J1327" s="3">
        <v>2</v>
      </c>
      <c r="K1327" s="3">
        <v>1</v>
      </c>
      <c r="L1327" s="3">
        <v>2</v>
      </c>
      <c r="M1327" s="3">
        <v>9360</v>
      </c>
      <c r="N1327" s="3">
        <v>18.72</v>
      </c>
      <c r="O1327" s="3">
        <v>6.31</v>
      </c>
      <c r="P1327" s="3">
        <v>118.12319999999998</v>
      </c>
      <c r="Q1327" s="3">
        <v>9360</v>
      </c>
    </row>
    <row r="1328" spans="1:17" ht="24.95" hidden="1" customHeight="1" x14ac:dyDescent="0.25">
      <c r="A1328" s="3">
        <v>5</v>
      </c>
      <c r="B1328" s="3" t="s">
        <v>432</v>
      </c>
      <c r="C1328" s="3" t="s">
        <v>1791</v>
      </c>
      <c r="I1328" s="3">
        <v>32</v>
      </c>
      <c r="J1328" s="3">
        <v>2</v>
      </c>
      <c r="K1328" s="3">
        <v>1</v>
      </c>
      <c r="L1328" s="3">
        <v>2</v>
      </c>
      <c r="M1328" s="3">
        <v>6290</v>
      </c>
      <c r="N1328" s="3">
        <v>12.58</v>
      </c>
      <c r="O1328" s="3">
        <v>6.31</v>
      </c>
      <c r="P1328" s="3">
        <v>79.379799999999989</v>
      </c>
      <c r="Q1328" s="3">
        <v>6290</v>
      </c>
    </row>
    <row r="1329" spans="1:17" ht="24.95" hidden="1" customHeight="1" x14ac:dyDescent="0.25">
      <c r="A1329" s="3">
        <v>5</v>
      </c>
      <c r="B1329" s="3" t="s">
        <v>432</v>
      </c>
      <c r="C1329" s="3" t="s">
        <v>1792</v>
      </c>
      <c r="I1329" s="3">
        <v>32</v>
      </c>
      <c r="J1329" s="3">
        <v>2</v>
      </c>
      <c r="K1329" s="3">
        <v>1</v>
      </c>
      <c r="L1329" s="3">
        <v>2</v>
      </c>
      <c r="M1329" s="3">
        <v>11700</v>
      </c>
      <c r="N1329" s="3">
        <v>23.4</v>
      </c>
      <c r="O1329" s="3">
        <v>6.31</v>
      </c>
      <c r="P1329" s="3">
        <v>147.65399999999997</v>
      </c>
      <c r="Q1329" s="3">
        <v>11700</v>
      </c>
    </row>
    <row r="1330" spans="1:17" ht="24.95" hidden="1" customHeight="1" x14ac:dyDescent="0.25">
      <c r="A1330" s="3">
        <v>5</v>
      </c>
      <c r="B1330" s="3" t="s">
        <v>432</v>
      </c>
      <c r="C1330" s="3" t="s">
        <v>1793</v>
      </c>
      <c r="I1330" s="3">
        <v>32</v>
      </c>
      <c r="J1330" s="3">
        <v>2</v>
      </c>
      <c r="K1330" s="3">
        <v>1</v>
      </c>
      <c r="L1330" s="3">
        <v>2</v>
      </c>
      <c r="M1330" s="3">
        <v>7600</v>
      </c>
      <c r="N1330" s="3">
        <v>15.2</v>
      </c>
      <c r="O1330" s="3">
        <v>6.31</v>
      </c>
      <c r="P1330" s="3">
        <v>95.911999999999992</v>
      </c>
      <c r="Q1330" s="3">
        <v>7600</v>
      </c>
    </row>
    <row r="1331" spans="1:17" ht="24.95" hidden="1" customHeight="1" x14ac:dyDescent="0.25">
      <c r="A1331" s="3">
        <v>5</v>
      </c>
      <c r="B1331" s="3" t="s">
        <v>432</v>
      </c>
      <c r="C1331" s="3" t="s">
        <v>1794</v>
      </c>
      <c r="I1331" s="3">
        <v>32</v>
      </c>
      <c r="J1331" s="3">
        <v>3</v>
      </c>
      <c r="K1331" s="3">
        <v>1</v>
      </c>
      <c r="L1331" s="3">
        <v>3</v>
      </c>
      <c r="M1331" s="3">
        <v>7550</v>
      </c>
      <c r="N1331" s="3">
        <v>22.65</v>
      </c>
      <c r="O1331" s="3">
        <v>6.31</v>
      </c>
      <c r="P1331" s="3">
        <v>142.92149999999998</v>
      </c>
      <c r="Q1331" s="3">
        <v>7550</v>
      </c>
    </row>
    <row r="1332" spans="1:17" ht="24.95" hidden="1" customHeight="1" x14ac:dyDescent="0.25">
      <c r="A1332" s="3">
        <v>5</v>
      </c>
      <c r="B1332" s="3" t="s">
        <v>432</v>
      </c>
      <c r="C1332" s="3" t="s">
        <v>1795</v>
      </c>
      <c r="I1332" s="3">
        <v>32</v>
      </c>
      <c r="J1332" s="3">
        <v>7</v>
      </c>
      <c r="K1332" s="3">
        <v>1</v>
      </c>
      <c r="L1332" s="3">
        <v>7</v>
      </c>
      <c r="M1332" s="3">
        <v>5925</v>
      </c>
      <c r="N1332" s="3">
        <v>41.475000000000001</v>
      </c>
      <c r="O1332" s="3">
        <v>6.31</v>
      </c>
      <c r="P1332" s="3">
        <v>261.70724999999999</v>
      </c>
      <c r="Q1332" s="3">
        <v>5925</v>
      </c>
    </row>
    <row r="1333" spans="1:17" ht="24.95" hidden="1" customHeight="1" x14ac:dyDescent="0.25">
      <c r="A1333" s="3">
        <v>5</v>
      </c>
      <c r="B1333" s="3" t="s">
        <v>432</v>
      </c>
      <c r="C1333" s="3" t="s">
        <v>1796</v>
      </c>
      <c r="I1333" s="3">
        <v>32</v>
      </c>
      <c r="J1333" s="3">
        <v>3</v>
      </c>
      <c r="K1333" s="3">
        <v>1</v>
      </c>
      <c r="L1333" s="3">
        <v>3</v>
      </c>
      <c r="M1333" s="3">
        <v>5380</v>
      </c>
      <c r="N1333" s="3">
        <v>16.14</v>
      </c>
      <c r="O1333" s="3">
        <v>6.31</v>
      </c>
      <c r="P1333" s="3">
        <v>101.8434</v>
      </c>
      <c r="Q1333" s="3">
        <v>5380</v>
      </c>
    </row>
    <row r="1334" spans="1:17" ht="24.95" hidden="1" customHeight="1" x14ac:dyDescent="0.25">
      <c r="A1334" s="3">
        <v>5</v>
      </c>
      <c r="B1334" s="3" t="s">
        <v>432</v>
      </c>
      <c r="C1334" s="3" t="s">
        <v>1797</v>
      </c>
      <c r="I1334" s="3">
        <v>32</v>
      </c>
      <c r="J1334" s="3">
        <v>4</v>
      </c>
      <c r="K1334" s="3">
        <v>1</v>
      </c>
      <c r="L1334" s="3">
        <v>4</v>
      </c>
      <c r="M1334" s="3">
        <v>4330</v>
      </c>
      <c r="N1334" s="3">
        <v>17.32</v>
      </c>
      <c r="O1334" s="3">
        <v>6.31</v>
      </c>
      <c r="P1334" s="3">
        <v>109.28919999999999</v>
      </c>
      <c r="Q1334" s="3">
        <v>4330</v>
      </c>
    </row>
    <row r="1335" spans="1:17" ht="24.95" hidden="1" customHeight="1" x14ac:dyDescent="0.25">
      <c r="A1335" s="3">
        <v>5</v>
      </c>
      <c r="B1335" s="3" t="s">
        <v>432</v>
      </c>
      <c r="C1335" s="3" t="s">
        <v>1798</v>
      </c>
      <c r="I1335" s="3">
        <v>10</v>
      </c>
      <c r="J1335" s="3">
        <v>105</v>
      </c>
      <c r="K1335" s="3">
        <v>1</v>
      </c>
      <c r="L1335" s="3">
        <v>105</v>
      </c>
      <c r="M1335" s="3">
        <v>2560</v>
      </c>
      <c r="N1335" s="3">
        <v>268.8</v>
      </c>
      <c r="O1335" s="3">
        <v>0.61699999999999999</v>
      </c>
      <c r="P1335" s="3">
        <v>165.84960000000001</v>
      </c>
      <c r="Q1335" s="3">
        <v>2560</v>
      </c>
    </row>
    <row r="1336" spans="1:17" ht="24.95" hidden="1" customHeight="1" x14ac:dyDescent="0.25">
      <c r="A1336" s="3">
        <v>5</v>
      </c>
      <c r="B1336" s="3" t="s">
        <v>432</v>
      </c>
      <c r="C1336" s="3" t="s">
        <v>1799</v>
      </c>
      <c r="I1336" s="3">
        <v>10</v>
      </c>
      <c r="J1336" s="3">
        <v>210</v>
      </c>
      <c r="K1336" s="3">
        <v>1</v>
      </c>
      <c r="L1336" s="3">
        <v>210</v>
      </c>
      <c r="M1336" s="3">
        <v>890</v>
      </c>
      <c r="N1336" s="3">
        <v>186.9</v>
      </c>
      <c r="O1336" s="3">
        <v>0.61699999999999999</v>
      </c>
      <c r="P1336" s="3">
        <v>115.3173</v>
      </c>
      <c r="Q1336" s="3">
        <v>890</v>
      </c>
    </row>
    <row r="1337" spans="1:17" ht="24.95" hidden="1" customHeight="1" x14ac:dyDescent="0.25">
      <c r="A1337" s="3">
        <v>5</v>
      </c>
      <c r="B1337" s="3" t="s">
        <v>432</v>
      </c>
      <c r="C1337" s="3" t="s">
        <v>1800</v>
      </c>
      <c r="I1337" s="3">
        <v>12</v>
      </c>
      <c r="J1337" s="3">
        <v>2</v>
      </c>
      <c r="K1337" s="3">
        <v>1</v>
      </c>
      <c r="L1337" s="3">
        <v>2</v>
      </c>
      <c r="M1337" s="3">
        <v>11700</v>
      </c>
      <c r="N1337" s="3">
        <v>23.4</v>
      </c>
      <c r="O1337" s="3">
        <v>0.88800000000000001</v>
      </c>
      <c r="P1337" s="3">
        <v>20.779199999999999</v>
      </c>
      <c r="Q1337" s="3">
        <v>11700</v>
      </c>
    </row>
    <row r="1338" spans="1:17" ht="24.95" hidden="1" customHeight="1" x14ac:dyDescent="0.25">
      <c r="A1338" s="3">
        <v>5</v>
      </c>
      <c r="B1338" s="3" t="s">
        <v>432</v>
      </c>
      <c r="C1338" s="3" t="s">
        <v>1801</v>
      </c>
      <c r="I1338" s="3">
        <v>12</v>
      </c>
      <c r="J1338" s="3">
        <v>2</v>
      </c>
      <c r="K1338" s="3">
        <v>1</v>
      </c>
      <c r="L1338" s="3">
        <v>2</v>
      </c>
      <c r="M1338" s="3">
        <v>9280</v>
      </c>
      <c r="N1338" s="3">
        <v>18.559999999999999</v>
      </c>
      <c r="O1338" s="3">
        <v>0.88800000000000001</v>
      </c>
      <c r="P1338" s="3">
        <v>16.481279999999998</v>
      </c>
      <c r="Q1338" s="3">
        <v>9280</v>
      </c>
    </row>
    <row r="1339" spans="1:17" ht="24.95" hidden="1" customHeight="1" x14ac:dyDescent="0.25">
      <c r="A1339" s="3">
        <v>5</v>
      </c>
      <c r="B1339" s="3" t="s">
        <v>432</v>
      </c>
      <c r="C1339" s="3" t="s">
        <v>1802</v>
      </c>
      <c r="I1339" s="3">
        <v>8</v>
      </c>
      <c r="J1339" s="3">
        <v>68</v>
      </c>
      <c r="K1339" s="3">
        <v>1</v>
      </c>
      <c r="L1339" s="3">
        <v>68</v>
      </c>
      <c r="M1339" s="3">
        <v>650</v>
      </c>
      <c r="N1339" s="3">
        <v>44.2</v>
      </c>
      <c r="O1339" s="3">
        <v>0.39500000000000002</v>
      </c>
      <c r="P1339" s="3">
        <v>17.459000000000003</v>
      </c>
      <c r="Q1339" s="3">
        <v>650</v>
      </c>
    </row>
    <row r="1340" spans="1:17" ht="24.95" hidden="1" customHeight="1" x14ac:dyDescent="0.25">
      <c r="A1340" s="3">
        <v>5</v>
      </c>
      <c r="B1340" s="3" t="s">
        <v>432</v>
      </c>
      <c r="C1340" s="3" t="s">
        <v>1803</v>
      </c>
      <c r="I1340" s="3">
        <v>32</v>
      </c>
      <c r="J1340" s="3">
        <v>12</v>
      </c>
      <c r="K1340" s="3">
        <v>1</v>
      </c>
      <c r="L1340" s="3">
        <v>12</v>
      </c>
      <c r="M1340" s="3">
        <v>490</v>
      </c>
      <c r="N1340" s="3">
        <v>5.88</v>
      </c>
      <c r="O1340" s="3">
        <v>6.31</v>
      </c>
      <c r="P1340" s="3">
        <v>37.102799999999995</v>
      </c>
      <c r="Q1340" s="3">
        <v>490</v>
      </c>
    </row>
    <row r="1341" spans="1:17" ht="24.95" hidden="1" customHeight="1" x14ac:dyDescent="0.25">
      <c r="A1341" s="3">
        <v>5</v>
      </c>
      <c r="B1341" s="3" t="s">
        <v>433</v>
      </c>
      <c r="C1341" s="3" t="s">
        <v>1804</v>
      </c>
      <c r="I1341" s="3">
        <v>32</v>
      </c>
      <c r="J1341" s="3">
        <v>3</v>
      </c>
      <c r="K1341" s="3">
        <v>1</v>
      </c>
      <c r="L1341" s="3">
        <v>3</v>
      </c>
      <c r="M1341" s="3">
        <v>3100</v>
      </c>
      <c r="N1341" s="3">
        <v>9.3000000000000007</v>
      </c>
      <c r="O1341" s="3">
        <v>6.31</v>
      </c>
      <c r="P1341" s="3">
        <v>58.683</v>
      </c>
      <c r="Q1341" s="3">
        <v>3100</v>
      </c>
    </row>
    <row r="1342" spans="1:17" ht="24.95" hidden="1" customHeight="1" x14ac:dyDescent="0.25">
      <c r="A1342" s="3">
        <v>5</v>
      </c>
      <c r="B1342" s="3" t="s">
        <v>433</v>
      </c>
      <c r="C1342" s="3" t="s">
        <v>1805</v>
      </c>
      <c r="I1342" s="3">
        <v>32</v>
      </c>
      <c r="J1342" s="3">
        <v>3</v>
      </c>
      <c r="K1342" s="3">
        <v>1</v>
      </c>
      <c r="L1342" s="3">
        <v>3</v>
      </c>
      <c r="M1342" s="3">
        <v>11700</v>
      </c>
      <c r="N1342" s="3">
        <v>35.1</v>
      </c>
      <c r="O1342" s="3">
        <v>6.31</v>
      </c>
      <c r="P1342" s="3">
        <v>221.48099999999999</v>
      </c>
      <c r="Q1342" s="3">
        <v>11700</v>
      </c>
    </row>
    <row r="1343" spans="1:17" ht="24.95" hidden="1" customHeight="1" x14ac:dyDescent="0.25">
      <c r="A1343" s="3">
        <v>5</v>
      </c>
      <c r="B1343" s="3" t="s">
        <v>433</v>
      </c>
      <c r="C1343" s="3" t="s">
        <v>1806</v>
      </c>
      <c r="I1343" s="3">
        <v>32</v>
      </c>
      <c r="J1343" s="3">
        <v>2</v>
      </c>
      <c r="K1343" s="3">
        <v>1</v>
      </c>
      <c r="L1343" s="3">
        <v>2</v>
      </c>
      <c r="M1343" s="3">
        <v>3100</v>
      </c>
      <c r="N1343" s="3">
        <v>6.2</v>
      </c>
      <c r="O1343" s="3">
        <v>6.31</v>
      </c>
      <c r="P1343" s="3">
        <v>39.122</v>
      </c>
      <c r="Q1343" s="3">
        <v>3100</v>
      </c>
    </row>
    <row r="1344" spans="1:17" ht="24.95" hidden="1" customHeight="1" x14ac:dyDescent="0.25">
      <c r="A1344" s="3">
        <v>5</v>
      </c>
      <c r="B1344" s="3" t="s">
        <v>433</v>
      </c>
      <c r="C1344" s="3" t="s">
        <v>1807</v>
      </c>
      <c r="I1344" s="3">
        <v>32</v>
      </c>
      <c r="J1344" s="3">
        <v>2</v>
      </c>
      <c r="K1344" s="3">
        <v>1</v>
      </c>
      <c r="L1344" s="3">
        <v>2</v>
      </c>
      <c r="M1344" s="3">
        <v>11700</v>
      </c>
      <c r="N1344" s="3">
        <v>23.4</v>
      </c>
      <c r="O1344" s="3">
        <v>6.31</v>
      </c>
      <c r="P1344" s="3">
        <v>147.65399999999997</v>
      </c>
      <c r="Q1344" s="3">
        <v>11700</v>
      </c>
    </row>
    <row r="1345" spans="1:17" ht="24.95" hidden="1" customHeight="1" x14ac:dyDescent="0.25">
      <c r="A1345" s="3">
        <v>5</v>
      </c>
      <c r="B1345" s="3" t="s">
        <v>433</v>
      </c>
      <c r="C1345" s="3" t="s">
        <v>1808</v>
      </c>
      <c r="I1345" s="3">
        <v>32</v>
      </c>
      <c r="J1345" s="3">
        <v>2</v>
      </c>
      <c r="K1345" s="3">
        <v>1</v>
      </c>
      <c r="L1345" s="3">
        <v>2</v>
      </c>
      <c r="M1345" s="3">
        <v>6700</v>
      </c>
      <c r="N1345" s="3">
        <v>13.4</v>
      </c>
      <c r="O1345" s="3">
        <v>6.31</v>
      </c>
      <c r="P1345" s="3">
        <v>84.554000000000002</v>
      </c>
      <c r="Q1345" s="3">
        <v>6700</v>
      </c>
    </row>
    <row r="1346" spans="1:17" ht="24.95" hidden="1" customHeight="1" x14ac:dyDescent="0.25">
      <c r="A1346" s="3">
        <v>5</v>
      </c>
      <c r="B1346" s="3" t="s">
        <v>433</v>
      </c>
      <c r="C1346" s="3" t="s">
        <v>1809</v>
      </c>
      <c r="I1346" s="3">
        <v>32</v>
      </c>
      <c r="J1346" s="3">
        <v>1</v>
      </c>
      <c r="K1346" s="3">
        <v>1</v>
      </c>
      <c r="L1346" s="3">
        <v>1</v>
      </c>
      <c r="M1346" s="3">
        <v>8600</v>
      </c>
      <c r="N1346" s="3">
        <v>8.6</v>
      </c>
      <c r="O1346" s="3">
        <v>6.31</v>
      </c>
      <c r="P1346" s="3">
        <v>54.265999999999991</v>
      </c>
      <c r="Q1346" s="3">
        <v>8600</v>
      </c>
    </row>
    <row r="1347" spans="1:17" ht="24.95" hidden="1" customHeight="1" x14ac:dyDescent="0.25">
      <c r="A1347" s="3">
        <v>5</v>
      </c>
      <c r="B1347" s="3" t="s">
        <v>433</v>
      </c>
      <c r="C1347" s="3" t="s">
        <v>1810</v>
      </c>
      <c r="I1347" s="3">
        <v>32</v>
      </c>
      <c r="J1347" s="3">
        <v>1</v>
      </c>
      <c r="K1347" s="3">
        <v>1</v>
      </c>
      <c r="L1347" s="3">
        <v>1</v>
      </c>
      <c r="M1347" s="3">
        <v>7420</v>
      </c>
      <c r="N1347" s="3">
        <v>7.42</v>
      </c>
      <c r="O1347" s="3">
        <v>6.31</v>
      </c>
      <c r="P1347" s="3">
        <v>46.8202</v>
      </c>
      <c r="Q1347" s="3">
        <v>7420</v>
      </c>
    </row>
    <row r="1348" spans="1:17" ht="24.95" hidden="1" customHeight="1" x14ac:dyDescent="0.25">
      <c r="A1348" s="3">
        <v>5</v>
      </c>
      <c r="B1348" s="3" t="s">
        <v>433</v>
      </c>
      <c r="C1348" s="3" t="s">
        <v>1811</v>
      </c>
      <c r="I1348" s="3">
        <v>32</v>
      </c>
      <c r="J1348" s="3">
        <v>2</v>
      </c>
      <c r="K1348" s="3">
        <v>1</v>
      </c>
      <c r="L1348" s="3">
        <v>2</v>
      </c>
      <c r="M1348" s="3">
        <v>9320</v>
      </c>
      <c r="N1348" s="3">
        <v>18.64</v>
      </c>
      <c r="O1348" s="3">
        <v>6.31</v>
      </c>
      <c r="P1348" s="3">
        <v>117.61839999999999</v>
      </c>
      <c r="Q1348" s="3">
        <v>9320</v>
      </c>
    </row>
    <row r="1349" spans="1:17" ht="24.95" hidden="1" customHeight="1" x14ac:dyDescent="0.25">
      <c r="A1349" s="3">
        <v>5</v>
      </c>
      <c r="B1349" s="3" t="s">
        <v>433</v>
      </c>
      <c r="C1349" s="3" t="s">
        <v>1812</v>
      </c>
      <c r="I1349" s="3">
        <v>32</v>
      </c>
      <c r="J1349" s="3">
        <v>2</v>
      </c>
      <c r="K1349" s="3">
        <v>1</v>
      </c>
      <c r="L1349" s="3">
        <v>2</v>
      </c>
      <c r="M1349" s="3">
        <v>5940</v>
      </c>
      <c r="N1349" s="3">
        <v>11.88</v>
      </c>
      <c r="O1349" s="3">
        <v>6.31</v>
      </c>
      <c r="P1349" s="3">
        <v>74.962800000000001</v>
      </c>
      <c r="Q1349" s="3">
        <v>5940</v>
      </c>
    </row>
    <row r="1350" spans="1:17" ht="24.95" hidden="1" customHeight="1" x14ac:dyDescent="0.25">
      <c r="A1350" s="3">
        <v>5</v>
      </c>
      <c r="B1350" s="3" t="s">
        <v>433</v>
      </c>
      <c r="C1350" s="3" t="s">
        <v>1813</v>
      </c>
      <c r="I1350" s="3">
        <v>32</v>
      </c>
      <c r="J1350" s="3">
        <v>2</v>
      </c>
      <c r="K1350" s="3">
        <v>1</v>
      </c>
      <c r="L1350" s="3">
        <v>2</v>
      </c>
      <c r="M1350" s="3">
        <v>5000</v>
      </c>
      <c r="N1350" s="3">
        <v>10</v>
      </c>
      <c r="O1350" s="3">
        <v>6.31</v>
      </c>
      <c r="P1350" s="3">
        <v>63.099999999999994</v>
      </c>
      <c r="Q1350" s="3">
        <v>5000</v>
      </c>
    </row>
    <row r="1351" spans="1:17" ht="24.95" hidden="1" customHeight="1" x14ac:dyDescent="0.25">
      <c r="A1351" s="3">
        <v>5</v>
      </c>
      <c r="B1351" s="3" t="s">
        <v>433</v>
      </c>
      <c r="C1351" s="3" t="s">
        <v>1814</v>
      </c>
      <c r="I1351" s="3">
        <v>10</v>
      </c>
      <c r="J1351" s="3">
        <v>72</v>
      </c>
      <c r="K1351" s="3">
        <v>1</v>
      </c>
      <c r="L1351" s="3">
        <v>72</v>
      </c>
      <c r="M1351" s="3">
        <v>1960</v>
      </c>
      <c r="N1351" s="3">
        <v>141.12</v>
      </c>
      <c r="O1351" s="3">
        <v>0.61699999999999999</v>
      </c>
      <c r="P1351" s="3">
        <v>87.071039999999996</v>
      </c>
      <c r="Q1351" s="3">
        <v>1960</v>
      </c>
    </row>
    <row r="1352" spans="1:17" ht="24.95" hidden="1" customHeight="1" x14ac:dyDescent="0.25">
      <c r="A1352" s="3">
        <v>5</v>
      </c>
      <c r="B1352" s="3" t="s">
        <v>433</v>
      </c>
      <c r="C1352" s="3" t="s">
        <v>1815</v>
      </c>
      <c r="I1352" s="3">
        <v>10</v>
      </c>
      <c r="J1352" s="3">
        <v>72</v>
      </c>
      <c r="K1352" s="3">
        <v>1</v>
      </c>
      <c r="L1352" s="3">
        <v>72</v>
      </c>
      <c r="M1352" s="3">
        <v>690</v>
      </c>
      <c r="N1352" s="3">
        <v>49.68</v>
      </c>
      <c r="O1352" s="3">
        <v>0.61699999999999999</v>
      </c>
      <c r="P1352" s="3">
        <v>30.652560000000001</v>
      </c>
      <c r="Q1352" s="3">
        <v>690</v>
      </c>
    </row>
    <row r="1353" spans="1:17" ht="24.95" hidden="1" customHeight="1" x14ac:dyDescent="0.25">
      <c r="A1353" s="3">
        <v>5</v>
      </c>
      <c r="B1353" s="3" t="s">
        <v>434</v>
      </c>
      <c r="C1353" s="3" t="s">
        <v>1816</v>
      </c>
      <c r="I1353" s="3">
        <v>25</v>
      </c>
      <c r="J1353" s="3">
        <v>4</v>
      </c>
      <c r="K1353" s="3">
        <v>1</v>
      </c>
      <c r="L1353" s="3">
        <v>4</v>
      </c>
      <c r="M1353" s="3">
        <v>11125</v>
      </c>
      <c r="N1353" s="3">
        <v>44.5</v>
      </c>
      <c r="O1353" s="3">
        <v>3.85</v>
      </c>
      <c r="P1353" s="3">
        <v>171.32500000000002</v>
      </c>
      <c r="Q1353" s="3">
        <v>11125</v>
      </c>
    </row>
    <row r="1354" spans="1:17" ht="24.95" hidden="1" customHeight="1" x14ac:dyDescent="0.25">
      <c r="A1354" s="3">
        <v>5</v>
      </c>
      <c r="B1354" s="3" t="s">
        <v>434</v>
      </c>
      <c r="C1354" s="3" t="s">
        <v>1817</v>
      </c>
      <c r="I1354" s="3">
        <v>25</v>
      </c>
      <c r="J1354" s="3">
        <v>4</v>
      </c>
      <c r="K1354" s="3">
        <v>1</v>
      </c>
      <c r="L1354" s="3">
        <v>4</v>
      </c>
      <c r="M1354" s="3">
        <v>11700</v>
      </c>
      <c r="N1354" s="3">
        <v>46.8</v>
      </c>
      <c r="O1354" s="3">
        <v>3.85</v>
      </c>
      <c r="P1354" s="3">
        <v>180.18</v>
      </c>
      <c r="Q1354" s="3">
        <v>11700</v>
      </c>
    </row>
    <row r="1355" spans="1:17" ht="24.95" hidden="1" customHeight="1" x14ac:dyDescent="0.25">
      <c r="A1355" s="3">
        <v>5</v>
      </c>
      <c r="B1355" s="3" t="s">
        <v>434</v>
      </c>
      <c r="C1355" s="3" t="s">
        <v>1818</v>
      </c>
      <c r="I1355" s="3">
        <v>25</v>
      </c>
      <c r="J1355" s="3">
        <v>5</v>
      </c>
      <c r="K1355" s="3">
        <v>1</v>
      </c>
      <c r="L1355" s="3">
        <v>5</v>
      </c>
      <c r="M1355" s="3">
        <v>9325</v>
      </c>
      <c r="N1355" s="3">
        <v>46.625</v>
      </c>
      <c r="O1355" s="3">
        <v>3.85</v>
      </c>
      <c r="P1355" s="3">
        <v>179.50624999999999</v>
      </c>
      <c r="Q1355" s="3">
        <v>9325</v>
      </c>
    </row>
    <row r="1356" spans="1:17" ht="24.95" hidden="1" customHeight="1" x14ac:dyDescent="0.25">
      <c r="A1356" s="3">
        <v>5</v>
      </c>
      <c r="B1356" s="3" t="s">
        <v>434</v>
      </c>
      <c r="C1356" s="3" t="s">
        <v>1819</v>
      </c>
      <c r="I1356" s="3">
        <v>25</v>
      </c>
      <c r="J1356" s="3">
        <v>5</v>
      </c>
      <c r="K1356" s="3">
        <v>1</v>
      </c>
      <c r="L1356" s="3">
        <v>5</v>
      </c>
      <c r="M1356" s="3">
        <v>2925</v>
      </c>
      <c r="N1356" s="3">
        <v>14.625</v>
      </c>
      <c r="O1356" s="3">
        <v>3.85</v>
      </c>
      <c r="P1356" s="3">
        <v>56.306249999999999</v>
      </c>
      <c r="Q1356" s="3">
        <v>2925</v>
      </c>
    </row>
    <row r="1357" spans="1:17" ht="24.95" hidden="1" customHeight="1" x14ac:dyDescent="0.25">
      <c r="A1357" s="3">
        <v>5</v>
      </c>
      <c r="B1357" s="3" t="s">
        <v>434</v>
      </c>
      <c r="C1357" s="3" t="s">
        <v>1820</v>
      </c>
      <c r="I1357" s="3">
        <v>25</v>
      </c>
      <c r="J1357" s="3">
        <v>5</v>
      </c>
      <c r="K1357" s="3">
        <v>1</v>
      </c>
      <c r="L1357" s="3">
        <v>5</v>
      </c>
      <c r="M1357" s="3">
        <v>11700</v>
      </c>
      <c r="N1357" s="3">
        <v>58.5</v>
      </c>
      <c r="O1357" s="3">
        <v>3.85</v>
      </c>
      <c r="P1357" s="3">
        <v>225.22499999999999</v>
      </c>
      <c r="Q1357" s="3">
        <v>11700</v>
      </c>
    </row>
    <row r="1358" spans="1:17" ht="24.95" hidden="1" customHeight="1" x14ac:dyDescent="0.25">
      <c r="A1358" s="3">
        <v>5</v>
      </c>
      <c r="B1358" s="3" t="s">
        <v>434</v>
      </c>
      <c r="C1358" s="3" t="s">
        <v>1821</v>
      </c>
      <c r="I1358" s="3">
        <v>32</v>
      </c>
      <c r="J1358" s="3">
        <v>2</v>
      </c>
      <c r="K1358" s="3">
        <v>1</v>
      </c>
      <c r="L1358" s="3">
        <v>2</v>
      </c>
      <c r="M1358" s="3">
        <v>7490</v>
      </c>
      <c r="N1358" s="3">
        <v>14.98</v>
      </c>
      <c r="O1358" s="3">
        <v>6.31</v>
      </c>
      <c r="P1358" s="3">
        <v>94.523799999999994</v>
      </c>
      <c r="Q1358" s="3">
        <v>7490</v>
      </c>
    </row>
    <row r="1359" spans="1:17" ht="24.95" hidden="1" customHeight="1" x14ac:dyDescent="0.25">
      <c r="A1359" s="3">
        <v>5</v>
      </c>
      <c r="B1359" s="3" t="s">
        <v>434</v>
      </c>
      <c r="C1359" s="3" t="s">
        <v>1822</v>
      </c>
      <c r="I1359" s="3">
        <v>32</v>
      </c>
      <c r="J1359" s="3">
        <v>2</v>
      </c>
      <c r="K1359" s="3">
        <v>1</v>
      </c>
      <c r="L1359" s="3">
        <v>2</v>
      </c>
      <c r="M1359" s="3">
        <v>8670</v>
      </c>
      <c r="N1359" s="3">
        <v>17.34</v>
      </c>
      <c r="O1359" s="3">
        <v>6.31</v>
      </c>
      <c r="P1359" s="3">
        <v>109.41539999999999</v>
      </c>
      <c r="Q1359" s="3">
        <v>8670</v>
      </c>
    </row>
    <row r="1360" spans="1:17" ht="24.95" hidden="1" customHeight="1" x14ac:dyDescent="0.25">
      <c r="A1360" s="3">
        <v>5</v>
      </c>
      <c r="B1360" s="3" t="s">
        <v>434</v>
      </c>
      <c r="C1360" s="3" t="s">
        <v>1823</v>
      </c>
      <c r="I1360" s="3">
        <v>32</v>
      </c>
      <c r="J1360" s="3">
        <v>3</v>
      </c>
      <c r="K1360" s="3">
        <v>1</v>
      </c>
      <c r="L1360" s="3">
        <v>3</v>
      </c>
      <c r="M1360" s="3">
        <v>6900</v>
      </c>
      <c r="N1360" s="3">
        <v>20.7</v>
      </c>
      <c r="O1360" s="3">
        <v>6.31</v>
      </c>
      <c r="P1360" s="3">
        <v>130.61699999999999</v>
      </c>
      <c r="Q1360" s="3">
        <v>6900</v>
      </c>
    </row>
    <row r="1361" spans="1:17" ht="24.95" hidden="1" customHeight="1" x14ac:dyDescent="0.25">
      <c r="A1361" s="3">
        <v>5</v>
      </c>
      <c r="B1361" s="3" t="s">
        <v>434</v>
      </c>
      <c r="C1361" s="3" t="s">
        <v>1824</v>
      </c>
      <c r="I1361" s="3">
        <v>32</v>
      </c>
      <c r="J1361" s="3">
        <v>3</v>
      </c>
      <c r="K1361" s="3">
        <v>1</v>
      </c>
      <c r="L1361" s="3">
        <v>3</v>
      </c>
      <c r="M1361" s="3">
        <v>9260</v>
      </c>
      <c r="N1361" s="3">
        <v>27.78</v>
      </c>
      <c r="O1361" s="3">
        <v>6.31</v>
      </c>
      <c r="P1361" s="3">
        <v>175.29179999999999</v>
      </c>
      <c r="Q1361" s="3">
        <v>9260</v>
      </c>
    </row>
    <row r="1362" spans="1:17" ht="24.95" hidden="1" customHeight="1" x14ac:dyDescent="0.25">
      <c r="A1362" s="3">
        <v>5</v>
      </c>
      <c r="B1362" s="3" t="s">
        <v>434</v>
      </c>
      <c r="C1362" s="3" t="s">
        <v>1825</v>
      </c>
      <c r="I1362" s="3">
        <v>32</v>
      </c>
      <c r="J1362" s="3">
        <v>5</v>
      </c>
      <c r="K1362" s="3">
        <v>1</v>
      </c>
      <c r="L1362" s="3">
        <v>5</v>
      </c>
      <c r="M1362" s="3">
        <v>11700</v>
      </c>
      <c r="N1362" s="3">
        <v>58.5</v>
      </c>
      <c r="O1362" s="3">
        <v>6.31</v>
      </c>
      <c r="P1362" s="3">
        <v>369.13499999999999</v>
      </c>
      <c r="Q1362" s="3">
        <v>11700</v>
      </c>
    </row>
    <row r="1363" spans="1:17" ht="24.95" hidden="1" customHeight="1" x14ac:dyDescent="0.25">
      <c r="A1363" s="3">
        <v>5</v>
      </c>
      <c r="B1363" s="3" t="s">
        <v>434</v>
      </c>
      <c r="C1363" s="3" t="s">
        <v>1826</v>
      </c>
      <c r="I1363" s="3">
        <v>32</v>
      </c>
      <c r="J1363" s="3">
        <v>4</v>
      </c>
      <c r="K1363" s="3">
        <v>1</v>
      </c>
      <c r="L1363" s="3">
        <v>4</v>
      </c>
      <c r="M1363" s="3">
        <v>6140</v>
      </c>
      <c r="N1363" s="3">
        <v>24.56</v>
      </c>
      <c r="O1363" s="3">
        <v>6.31</v>
      </c>
      <c r="P1363" s="3">
        <v>154.97359999999998</v>
      </c>
      <c r="Q1363" s="3">
        <v>6140</v>
      </c>
    </row>
    <row r="1364" spans="1:17" ht="24.95" hidden="1" customHeight="1" x14ac:dyDescent="0.25">
      <c r="A1364" s="3">
        <v>5</v>
      </c>
      <c r="B1364" s="3" t="s">
        <v>434</v>
      </c>
      <c r="C1364" s="3" t="s">
        <v>1827</v>
      </c>
      <c r="I1364" s="3">
        <v>32</v>
      </c>
      <c r="J1364" s="3">
        <v>5</v>
      </c>
      <c r="K1364" s="3">
        <v>1</v>
      </c>
      <c r="L1364" s="3">
        <v>5</v>
      </c>
      <c r="M1364" s="3">
        <v>4710</v>
      </c>
      <c r="N1364" s="3">
        <v>23.55</v>
      </c>
      <c r="O1364" s="3">
        <v>6.31</v>
      </c>
      <c r="P1364" s="3">
        <v>148.60049999999998</v>
      </c>
      <c r="Q1364" s="3">
        <v>4710</v>
      </c>
    </row>
    <row r="1365" spans="1:17" ht="24.95" hidden="1" customHeight="1" x14ac:dyDescent="0.25">
      <c r="A1365" s="3">
        <v>5</v>
      </c>
      <c r="B1365" s="3" t="s">
        <v>434</v>
      </c>
      <c r="C1365" s="3" t="s">
        <v>1828</v>
      </c>
      <c r="I1365" s="3">
        <v>32</v>
      </c>
      <c r="J1365" s="3">
        <v>4</v>
      </c>
      <c r="K1365" s="3">
        <v>1</v>
      </c>
      <c r="L1365" s="3">
        <v>4</v>
      </c>
      <c r="M1365" s="3">
        <v>7100</v>
      </c>
      <c r="N1365" s="3">
        <v>28.4</v>
      </c>
      <c r="O1365" s="3">
        <v>6.31</v>
      </c>
      <c r="P1365" s="3">
        <v>179.20399999999998</v>
      </c>
      <c r="Q1365" s="3">
        <v>7100</v>
      </c>
    </row>
    <row r="1366" spans="1:17" ht="24.95" hidden="1" customHeight="1" x14ac:dyDescent="0.25">
      <c r="A1366" s="3">
        <v>5</v>
      </c>
      <c r="B1366" s="3" t="s">
        <v>434</v>
      </c>
      <c r="C1366" s="3" t="s">
        <v>1829</v>
      </c>
      <c r="I1366" s="3">
        <v>32</v>
      </c>
      <c r="J1366" s="3">
        <v>5</v>
      </c>
      <c r="K1366" s="3">
        <v>1</v>
      </c>
      <c r="L1366" s="3">
        <v>5</v>
      </c>
      <c r="M1366" s="3">
        <v>5500</v>
      </c>
      <c r="N1366" s="3">
        <v>27.5</v>
      </c>
      <c r="O1366" s="3">
        <v>6.31</v>
      </c>
      <c r="P1366" s="3">
        <v>173.52499999999998</v>
      </c>
      <c r="Q1366" s="3">
        <v>5500</v>
      </c>
    </row>
    <row r="1367" spans="1:17" ht="24.95" hidden="1" customHeight="1" x14ac:dyDescent="0.25">
      <c r="A1367" s="3">
        <v>5</v>
      </c>
      <c r="B1367" s="3" t="s">
        <v>434</v>
      </c>
      <c r="C1367" s="3" t="s">
        <v>1830</v>
      </c>
      <c r="I1367" s="3">
        <v>32</v>
      </c>
      <c r="J1367" s="3">
        <v>4</v>
      </c>
      <c r="K1367" s="3">
        <v>1</v>
      </c>
      <c r="L1367" s="3">
        <v>4</v>
      </c>
      <c r="M1367" s="3">
        <v>5440</v>
      </c>
      <c r="N1367" s="3">
        <v>21.76</v>
      </c>
      <c r="O1367" s="3">
        <v>6.31</v>
      </c>
      <c r="P1367" s="3">
        <v>137.3056</v>
      </c>
      <c r="Q1367" s="3">
        <v>5440</v>
      </c>
    </row>
    <row r="1368" spans="1:17" ht="24.95" hidden="1" customHeight="1" x14ac:dyDescent="0.25">
      <c r="A1368" s="3">
        <v>5</v>
      </c>
      <c r="B1368" s="3" t="s">
        <v>434</v>
      </c>
      <c r="C1368" s="3" t="s">
        <v>1831</v>
      </c>
      <c r="I1368" s="3">
        <v>32</v>
      </c>
      <c r="J1368" s="3">
        <v>5</v>
      </c>
      <c r="K1368" s="3">
        <v>1</v>
      </c>
      <c r="L1368" s="3">
        <v>5</v>
      </c>
      <c r="M1368" s="3">
        <v>4210</v>
      </c>
      <c r="N1368" s="3">
        <v>21.05</v>
      </c>
      <c r="O1368" s="3">
        <v>6.31</v>
      </c>
      <c r="P1368" s="3">
        <v>132.82550000000001</v>
      </c>
      <c r="Q1368" s="3">
        <v>4210</v>
      </c>
    </row>
    <row r="1369" spans="1:17" ht="24.95" hidden="1" customHeight="1" x14ac:dyDescent="0.25">
      <c r="A1369" s="3">
        <v>5</v>
      </c>
      <c r="B1369" s="3" t="s">
        <v>435</v>
      </c>
      <c r="C1369" s="3" t="s">
        <v>1832</v>
      </c>
      <c r="I1369" s="3">
        <v>25</v>
      </c>
      <c r="J1369" s="3">
        <v>3</v>
      </c>
      <c r="K1369" s="3">
        <v>1</v>
      </c>
      <c r="L1369" s="3">
        <v>3</v>
      </c>
      <c r="M1369" s="3">
        <v>11700</v>
      </c>
      <c r="N1369" s="3">
        <v>35.1</v>
      </c>
      <c r="O1369" s="3">
        <v>3.85</v>
      </c>
      <c r="P1369" s="3">
        <v>135.13500000000002</v>
      </c>
      <c r="Q1369" s="3">
        <v>11700</v>
      </c>
    </row>
    <row r="1370" spans="1:17" ht="24.95" hidden="1" customHeight="1" x14ac:dyDescent="0.25">
      <c r="A1370" s="3">
        <v>5</v>
      </c>
      <c r="B1370" s="3" t="s">
        <v>435</v>
      </c>
      <c r="C1370" s="3" t="s">
        <v>1833</v>
      </c>
      <c r="I1370" s="3">
        <v>25</v>
      </c>
      <c r="J1370" s="3">
        <v>3</v>
      </c>
      <c r="K1370" s="3">
        <v>1</v>
      </c>
      <c r="L1370" s="3">
        <v>3</v>
      </c>
      <c r="M1370" s="3">
        <v>11700</v>
      </c>
      <c r="N1370" s="3">
        <v>35.1</v>
      </c>
      <c r="O1370" s="3">
        <v>3.85</v>
      </c>
      <c r="P1370" s="3">
        <v>135.13500000000002</v>
      </c>
      <c r="Q1370" s="3">
        <v>11700</v>
      </c>
    </row>
    <row r="1371" spans="1:17" ht="24.95" hidden="1" customHeight="1" x14ac:dyDescent="0.25">
      <c r="A1371" s="3">
        <v>5</v>
      </c>
      <c r="B1371" s="3" t="s">
        <v>435</v>
      </c>
      <c r="C1371" s="3" t="s">
        <v>1834</v>
      </c>
      <c r="I1371" s="3">
        <v>25</v>
      </c>
      <c r="J1371" s="3">
        <v>3</v>
      </c>
      <c r="K1371" s="3">
        <v>1</v>
      </c>
      <c r="L1371" s="3">
        <v>3</v>
      </c>
      <c r="M1371" s="3">
        <v>2290</v>
      </c>
      <c r="N1371" s="3">
        <v>6.87</v>
      </c>
      <c r="O1371" s="3">
        <v>3.85</v>
      </c>
      <c r="P1371" s="3">
        <v>26.4495</v>
      </c>
      <c r="Q1371" s="3">
        <v>2290</v>
      </c>
    </row>
    <row r="1372" spans="1:17" ht="24.95" hidden="1" customHeight="1" x14ac:dyDescent="0.25">
      <c r="A1372" s="3">
        <v>5</v>
      </c>
      <c r="B1372" s="3" t="s">
        <v>435</v>
      </c>
      <c r="C1372" s="3" t="s">
        <v>1835</v>
      </c>
      <c r="I1372" s="3">
        <v>25</v>
      </c>
      <c r="J1372" s="3">
        <v>3</v>
      </c>
      <c r="K1372" s="3">
        <v>1</v>
      </c>
      <c r="L1372" s="3">
        <v>3</v>
      </c>
      <c r="M1372" s="3">
        <v>7985</v>
      </c>
      <c r="N1372" s="3">
        <v>23.954999999999998</v>
      </c>
      <c r="O1372" s="3">
        <v>3.85</v>
      </c>
      <c r="P1372" s="3">
        <v>92.226749999999996</v>
      </c>
      <c r="Q1372" s="3">
        <v>7985</v>
      </c>
    </row>
    <row r="1373" spans="1:17" ht="24.95" hidden="1" customHeight="1" x14ac:dyDescent="0.25">
      <c r="A1373" s="3">
        <v>5</v>
      </c>
      <c r="B1373" s="3" t="s">
        <v>435</v>
      </c>
      <c r="C1373" s="3" t="s">
        <v>1836</v>
      </c>
      <c r="I1373" s="3">
        <v>32</v>
      </c>
      <c r="J1373" s="3">
        <v>2</v>
      </c>
      <c r="K1373" s="3">
        <v>1</v>
      </c>
      <c r="L1373" s="3">
        <v>2</v>
      </c>
      <c r="M1373" s="3">
        <v>11700</v>
      </c>
      <c r="N1373" s="3">
        <v>23.4</v>
      </c>
      <c r="O1373" s="3">
        <v>6.31</v>
      </c>
      <c r="P1373" s="3">
        <v>147.65399999999997</v>
      </c>
      <c r="Q1373" s="3">
        <v>11700</v>
      </c>
    </row>
    <row r="1374" spans="1:17" ht="24.95" hidden="1" customHeight="1" x14ac:dyDescent="0.25">
      <c r="A1374" s="3">
        <v>5</v>
      </c>
      <c r="B1374" s="3" t="s">
        <v>435</v>
      </c>
      <c r="C1374" s="3" t="s">
        <v>1837</v>
      </c>
      <c r="I1374" s="3">
        <v>32</v>
      </c>
      <c r="J1374" s="3">
        <v>2</v>
      </c>
      <c r="K1374" s="3">
        <v>1</v>
      </c>
      <c r="L1374" s="3">
        <v>2</v>
      </c>
      <c r="M1374" s="3">
        <v>11700</v>
      </c>
      <c r="N1374" s="3">
        <v>23.4</v>
      </c>
      <c r="O1374" s="3">
        <v>6.31</v>
      </c>
      <c r="P1374" s="3">
        <v>147.65399999999997</v>
      </c>
      <c r="Q1374" s="3">
        <v>11700</v>
      </c>
    </row>
    <row r="1375" spans="1:17" ht="24.95" hidden="1" customHeight="1" x14ac:dyDescent="0.25">
      <c r="A1375" s="3">
        <v>5</v>
      </c>
      <c r="B1375" s="3" t="s">
        <v>435</v>
      </c>
      <c r="C1375" s="3" t="s">
        <v>1838</v>
      </c>
      <c r="I1375" s="3">
        <v>32</v>
      </c>
      <c r="J1375" s="3">
        <v>2</v>
      </c>
      <c r="K1375" s="3">
        <v>1</v>
      </c>
      <c r="L1375" s="3">
        <v>2</v>
      </c>
      <c r="M1375" s="3">
        <v>10340</v>
      </c>
      <c r="N1375" s="3">
        <v>20.68</v>
      </c>
      <c r="O1375" s="3">
        <v>6.31</v>
      </c>
      <c r="P1375" s="3">
        <v>130.49079999999998</v>
      </c>
      <c r="Q1375" s="3">
        <v>10340</v>
      </c>
    </row>
    <row r="1376" spans="1:17" ht="24.95" hidden="1" customHeight="1" x14ac:dyDescent="0.25">
      <c r="A1376" s="3">
        <v>5</v>
      </c>
      <c r="B1376" s="3" t="s">
        <v>435</v>
      </c>
      <c r="C1376" s="3" t="s">
        <v>1839</v>
      </c>
      <c r="I1376" s="3">
        <v>32</v>
      </c>
      <c r="J1376" s="3">
        <v>2</v>
      </c>
      <c r="K1376" s="3">
        <v>1</v>
      </c>
      <c r="L1376" s="3">
        <v>2</v>
      </c>
      <c r="M1376" s="3">
        <v>11700</v>
      </c>
      <c r="N1376" s="3">
        <v>23.4</v>
      </c>
      <c r="O1376" s="3">
        <v>6.31</v>
      </c>
      <c r="P1376" s="3">
        <v>147.65399999999997</v>
      </c>
      <c r="Q1376" s="3">
        <v>11700</v>
      </c>
    </row>
    <row r="1377" spans="1:17" ht="24.95" hidden="1" customHeight="1" x14ac:dyDescent="0.25">
      <c r="A1377" s="3">
        <v>5</v>
      </c>
      <c r="B1377" s="3" t="s">
        <v>435</v>
      </c>
      <c r="C1377" s="3" t="s">
        <v>1840</v>
      </c>
      <c r="I1377" s="3">
        <v>32</v>
      </c>
      <c r="J1377" s="3">
        <v>2</v>
      </c>
      <c r="K1377" s="3">
        <v>1</v>
      </c>
      <c r="L1377" s="3">
        <v>2</v>
      </c>
      <c r="M1377" s="3">
        <v>6600</v>
      </c>
      <c r="N1377" s="3">
        <v>13.2</v>
      </c>
      <c r="O1377" s="3">
        <v>6.31</v>
      </c>
      <c r="P1377" s="3">
        <v>83.291999999999987</v>
      </c>
      <c r="Q1377" s="3">
        <v>6600</v>
      </c>
    </row>
    <row r="1378" spans="1:17" ht="24.95" hidden="1" customHeight="1" x14ac:dyDescent="0.25">
      <c r="A1378" s="3">
        <v>5</v>
      </c>
      <c r="B1378" s="3" t="s">
        <v>435</v>
      </c>
      <c r="C1378" s="3" t="s">
        <v>1841</v>
      </c>
      <c r="I1378" s="3">
        <v>32</v>
      </c>
      <c r="J1378" s="3">
        <v>2</v>
      </c>
      <c r="K1378" s="3">
        <v>1</v>
      </c>
      <c r="L1378" s="3">
        <v>2</v>
      </c>
      <c r="M1378" s="3">
        <v>11700</v>
      </c>
      <c r="N1378" s="3">
        <v>23.4</v>
      </c>
      <c r="O1378" s="3">
        <v>6.31</v>
      </c>
      <c r="P1378" s="3">
        <v>147.65399999999997</v>
      </c>
      <c r="Q1378" s="3">
        <v>11700</v>
      </c>
    </row>
    <row r="1379" spans="1:17" ht="24.95" hidden="1" customHeight="1" x14ac:dyDescent="0.25">
      <c r="A1379" s="3">
        <v>5</v>
      </c>
      <c r="B1379" s="3" t="s">
        <v>435</v>
      </c>
      <c r="C1379" s="3" t="s">
        <v>1842</v>
      </c>
      <c r="I1379" s="3">
        <v>32</v>
      </c>
      <c r="J1379" s="3">
        <v>2</v>
      </c>
      <c r="K1379" s="3">
        <v>1</v>
      </c>
      <c r="L1379" s="3">
        <v>2</v>
      </c>
      <c r="M1379" s="3">
        <v>5180</v>
      </c>
      <c r="N1379" s="3">
        <v>10.36</v>
      </c>
      <c r="O1379" s="3">
        <v>6.31</v>
      </c>
      <c r="P1379" s="3">
        <v>65.371599999999987</v>
      </c>
      <c r="Q1379" s="3">
        <v>5180</v>
      </c>
    </row>
    <row r="1380" spans="1:17" ht="24.95" hidden="1" customHeight="1" x14ac:dyDescent="0.25">
      <c r="A1380" s="3">
        <v>5</v>
      </c>
      <c r="B1380" s="3" t="s">
        <v>435</v>
      </c>
      <c r="C1380" s="3" t="s">
        <v>1843</v>
      </c>
      <c r="I1380" s="3">
        <v>32</v>
      </c>
      <c r="J1380" s="3">
        <v>1</v>
      </c>
      <c r="K1380" s="3">
        <v>1</v>
      </c>
      <c r="L1380" s="3">
        <v>1</v>
      </c>
      <c r="M1380" s="3">
        <v>8360</v>
      </c>
      <c r="N1380" s="3">
        <v>8.36</v>
      </c>
      <c r="O1380" s="3">
        <v>6.31</v>
      </c>
      <c r="P1380" s="3">
        <v>52.751599999999996</v>
      </c>
      <c r="Q1380" s="3">
        <v>8360</v>
      </c>
    </row>
    <row r="1381" spans="1:17" ht="24.95" hidden="1" customHeight="1" x14ac:dyDescent="0.25">
      <c r="A1381" s="3">
        <v>5</v>
      </c>
      <c r="B1381" s="3" t="s">
        <v>435</v>
      </c>
      <c r="C1381" s="3" t="s">
        <v>1844</v>
      </c>
      <c r="I1381" s="3">
        <v>32</v>
      </c>
      <c r="J1381" s="3">
        <v>1</v>
      </c>
      <c r="K1381" s="3">
        <v>1</v>
      </c>
      <c r="L1381" s="3">
        <v>1</v>
      </c>
      <c r="M1381" s="3">
        <v>11700</v>
      </c>
      <c r="N1381" s="3">
        <v>11.7</v>
      </c>
      <c r="O1381" s="3">
        <v>6.31</v>
      </c>
      <c r="P1381" s="3">
        <v>73.826999999999984</v>
      </c>
      <c r="Q1381" s="3">
        <v>11700</v>
      </c>
    </row>
    <row r="1382" spans="1:17" ht="24.95" hidden="1" customHeight="1" x14ac:dyDescent="0.25">
      <c r="A1382" s="3">
        <v>5</v>
      </c>
      <c r="B1382" s="3" t="s">
        <v>435</v>
      </c>
      <c r="C1382" s="3" t="s">
        <v>1845</v>
      </c>
      <c r="I1382" s="3">
        <v>32</v>
      </c>
      <c r="J1382" s="3">
        <v>1</v>
      </c>
      <c r="K1382" s="3">
        <v>1</v>
      </c>
      <c r="L1382" s="3">
        <v>1</v>
      </c>
      <c r="M1382" s="3">
        <v>8180</v>
      </c>
      <c r="N1382" s="3">
        <v>8.18</v>
      </c>
      <c r="O1382" s="3">
        <v>6.31</v>
      </c>
      <c r="P1382" s="3">
        <v>51.615799999999993</v>
      </c>
      <c r="Q1382" s="3">
        <v>8180</v>
      </c>
    </row>
    <row r="1383" spans="1:17" ht="24.95" hidden="1" customHeight="1" x14ac:dyDescent="0.25">
      <c r="A1383" s="3">
        <v>5</v>
      </c>
      <c r="B1383" s="3" t="s">
        <v>435</v>
      </c>
      <c r="C1383" s="3" t="s">
        <v>1846</v>
      </c>
      <c r="I1383" s="3">
        <v>32</v>
      </c>
      <c r="J1383" s="3">
        <v>1</v>
      </c>
      <c r="K1383" s="3">
        <v>1</v>
      </c>
      <c r="L1383" s="3">
        <v>1</v>
      </c>
      <c r="M1383" s="3">
        <v>6940</v>
      </c>
      <c r="N1383" s="3">
        <v>6.94</v>
      </c>
      <c r="O1383" s="3">
        <v>6.31</v>
      </c>
      <c r="P1383" s="3">
        <v>43.791400000000003</v>
      </c>
      <c r="Q1383" s="3">
        <v>6940</v>
      </c>
    </row>
    <row r="1384" spans="1:17" ht="24.95" hidden="1" customHeight="1" x14ac:dyDescent="0.25">
      <c r="A1384" s="3">
        <v>5</v>
      </c>
      <c r="B1384" s="3" t="s">
        <v>435</v>
      </c>
      <c r="C1384" s="3" t="s">
        <v>1847</v>
      </c>
      <c r="I1384" s="3">
        <v>32</v>
      </c>
      <c r="J1384" s="3">
        <v>2</v>
      </c>
      <c r="K1384" s="3">
        <v>1</v>
      </c>
      <c r="L1384" s="3">
        <v>2</v>
      </c>
      <c r="M1384" s="3">
        <v>7150</v>
      </c>
      <c r="N1384" s="3">
        <v>14.3</v>
      </c>
      <c r="O1384" s="3">
        <v>6.31</v>
      </c>
      <c r="P1384" s="3">
        <v>90.233000000000004</v>
      </c>
      <c r="Q1384" s="3">
        <v>7150</v>
      </c>
    </row>
    <row r="1385" spans="1:17" ht="24.95" hidden="1" customHeight="1" x14ac:dyDescent="0.25">
      <c r="A1385" s="3">
        <v>5</v>
      </c>
      <c r="B1385" s="3" t="s">
        <v>435</v>
      </c>
      <c r="C1385" s="3" t="s">
        <v>1848</v>
      </c>
      <c r="I1385" s="3">
        <v>32</v>
      </c>
      <c r="J1385" s="3">
        <v>3</v>
      </c>
      <c r="K1385" s="3">
        <v>1</v>
      </c>
      <c r="L1385" s="3">
        <v>3</v>
      </c>
      <c r="M1385" s="3">
        <v>5500</v>
      </c>
      <c r="N1385" s="3">
        <v>16.5</v>
      </c>
      <c r="O1385" s="3">
        <v>6.31</v>
      </c>
      <c r="P1385" s="3">
        <v>104.11499999999999</v>
      </c>
      <c r="Q1385" s="3">
        <v>5500</v>
      </c>
    </row>
    <row r="1386" spans="1:17" ht="24.95" hidden="1" customHeight="1" x14ac:dyDescent="0.25">
      <c r="A1386" s="3">
        <v>5</v>
      </c>
      <c r="B1386" s="3" t="s">
        <v>435</v>
      </c>
      <c r="C1386" s="3" t="s">
        <v>1849</v>
      </c>
      <c r="I1386" s="3">
        <v>10</v>
      </c>
      <c r="J1386" s="3">
        <v>186</v>
      </c>
      <c r="K1386" s="3">
        <v>1</v>
      </c>
      <c r="L1386" s="3">
        <v>186</v>
      </c>
      <c r="M1386" s="3">
        <v>1960</v>
      </c>
      <c r="N1386" s="3">
        <v>364.56</v>
      </c>
      <c r="O1386" s="3">
        <v>0.61699999999999999</v>
      </c>
      <c r="P1386" s="3">
        <v>224.93351999999999</v>
      </c>
      <c r="Q1386" s="3">
        <v>1960</v>
      </c>
    </row>
    <row r="1387" spans="1:17" ht="24.95" hidden="1" customHeight="1" x14ac:dyDescent="0.25">
      <c r="A1387" s="3">
        <v>5</v>
      </c>
      <c r="B1387" s="3" t="s">
        <v>435</v>
      </c>
      <c r="C1387" s="3" t="s">
        <v>1850</v>
      </c>
      <c r="I1387" s="3">
        <v>10</v>
      </c>
      <c r="J1387" s="3">
        <v>159</v>
      </c>
      <c r="K1387" s="3">
        <v>1</v>
      </c>
      <c r="L1387" s="3">
        <v>159</v>
      </c>
      <c r="M1387" s="3">
        <v>690</v>
      </c>
      <c r="N1387" s="3">
        <v>109.71</v>
      </c>
      <c r="O1387" s="3">
        <v>0.61699999999999999</v>
      </c>
      <c r="P1387" s="3">
        <v>67.691069999999996</v>
      </c>
      <c r="Q1387" s="3">
        <v>690</v>
      </c>
    </row>
    <row r="1388" spans="1:17" ht="24.95" hidden="1" customHeight="1" x14ac:dyDescent="0.25">
      <c r="A1388" s="3">
        <v>5</v>
      </c>
      <c r="B1388" s="3" t="s">
        <v>435</v>
      </c>
      <c r="C1388" s="3" t="s">
        <v>1851</v>
      </c>
      <c r="I1388" s="3">
        <v>32</v>
      </c>
      <c r="J1388" s="3">
        <v>4</v>
      </c>
      <c r="K1388" s="3">
        <v>1</v>
      </c>
      <c r="L1388" s="3">
        <v>4</v>
      </c>
      <c r="M1388" s="3">
        <v>390</v>
      </c>
      <c r="N1388" s="3">
        <v>1.56</v>
      </c>
      <c r="O1388" s="3">
        <v>6.31</v>
      </c>
      <c r="P1388" s="3">
        <v>9.8436000000000003</v>
      </c>
      <c r="Q1388" s="3">
        <v>390</v>
      </c>
    </row>
    <row r="1389" spans="1:17" ht="24.95" hidden="1" customHeight="1" x14ac:dyDescent="0.25">
      <c r="A1389" s="3">
        <v>5</v>
      </c>
      <c r="B1389" s="3" t="s">
        <v>436</v>
      </c>
      <c r="C1389" s="3" t="s">
        <v>1852</v>
      </c>
      <c r="I1389" s="3">
        <v>25</v>
      </c>
      <c r="J1389" s="3">
        <v>5</v>
      </c>
      <c r="K1389" s="3">
        <v>1</v>
      </c>
      <c r="L1389" s="3">
        <v>5</v>
      </c>
      <c r="M1389" s="3">
        <v>9600</v>
      </c>
      <c r="N1389" s="3">
        <v>48</v>
      </c>
      <c r="O1389" s="3">
        <v>3.85</v>
      </c>
      <c r="P1389" s="3">
        <v>184.8</v>
      </c>
      <c r="Q1389" s="3">
        <v>9600</v>
      </c>
    </row>
    <row r="1390" spans="1:17" ht="24.95" hidden="1" customHeight="1" x14ac:dyDescent="0.25">
      <c r="A1390" s="3">
        <v>5</v>
      </c>
      <c r="B1390" s="3" t="s">
        <v>436</v>
      </c>
      <c r="C1390" s="3" t="s">
        <v>1853</v>
      </c>
      <c r="I1390" s="3">
        <v>32</v>
      </c>
      <c r="J1390" s="3">
        <v>2</v>
      </c>
      <c r="K1390" s="3">
        <v>1</v>
      </c>
      <c r="L1390" s="3">
        <v>2</v>
      </c>
      <c r="M1390" s="3">
        <v>8000</v>
      </c>
      <c r="N1390" s="3">
        <v>16</v>
      </c>
      <c r="O1390" s="3">
        <v>6.31</v>
      </c>
      <c r="P1390" s="3">
        <v>100.96</v>
      </c>
      <c r="Q1390" s="3">
        <v>8000</v>
      </c>
    </row>
    <row r="1391" spans="1:17" ht="24.95" hidden="1" customHeight="1" x14ac:dyDescent="0.25">
      <c r="A1391" s="3">
        <v>5</v>
      </c>
      <c r="B1391" s="3" t="s">
        <v>436</v>
      </c>
      <c r="C1391" s="3" t="s">
        <v>1854</v>
      </c>
      <c r="I1391" s="3">
        <v>32</v>
      </c>
      <c r="J1391" s="3">
        <v>1</v>
      </c>
      <c r="K1391" s="3">
        <v>1</v>
      </c>
      <c r="L1391" s="3">
        <v>1</v>
      </c>
      <c r="M1391" s="3">
        <v>8010</v>
      </c>
      <c r="N1391" s="3">
        <v>8.01</v>
      </c>
      <c r="O1391" s="3">
        <v>6.31</v>
      </c>
      <c r="P1391" s="3">
        <v>50.543099999999995</v>
      </c>
      <c r="Q1391" s="3">
        <v>8010</v>
      </c>
    </row>
    <row r="1392" spans="1:17" ht="24.95" hidden="1" customHeight="1" x14ac:dyDescent="0.25">
      <c r="A1392" s="3">
        <v>5</v>
      </c>
      <c r="B1392" s="3" t="s">
        <v>436</v>
      </c>
      <c r="C1392" s="3" t="s">
        <v>1855</v>
      </c>
      <c r="I1392" s="3">
        <v>32</v>
      </c>
      <c r="J1392" s="3">
        <v>1</v>
      </c>
      <c r="K1392" s="3">
        <v>1</v>
      </c>
      <c r="L1392" s="3">
        <v>1</v>
      </c>
      <c r="M1392" s="3">
        <v>6240</v>
      </c>
      <c r="N1392" s="3">
        <v>6.24</v>
      </c>
      <c r="O1392" s="3">
        <v>6.31</v>
      </c>
      <c r="P1392" s="3">
        <v>39.374400000000001</v>
      </c>
      <c r="Q1392" s="3">
        <v>6240</v>
      </c>
    </row>
    <row r="1393" spans="1:17" ht="24.95" hidden="1" customHeight="1" x14ac:dyDescent="0.25">
      <c r="A1393" s="3">
        <v>5</v>
      </c>
      <c r="B1393" s="3" t="s">
        <v>436</v>
      </c>
      <c r="C1393" s="3" t="s">
        <v>1856</v>
      </c>
      <c r="I1393" s="3">
        <v>32</v>
      </c>
      <c r="J1393" s="3">
        <v>2</v>
      </c>
      <c r="K1393" s="3">
        <v>1</v>
      </c>
      <c r="L1393" s="3">
        <v>2</v>
      </c>
      <c r="M1393" s="3">
        <v>6250</v>
      </c>
      <c r="N1393" s="3">
        <v>12.5</v>
      </c>
      <c r="O1393" s="3">
        <v>6.31</v>
      </c>
      <c r="P1393" s="3">
        <v>78.875</v>
      </c>
      <c r="Q1393" s="3">
        <v>6250</v>
      </c>
    </row>
    <row r="1394" spans="1:17" ht="24.95" hidden="1" customHeight="1" x14ac:dyDescent="0.25">
      <c r="A1394" s="3">
        <v>5</v>
      </c>
      <c r="B1394" s="3" t="s">
        <v>436</v>
      </c>
      <c r="C1394" s="3" t="s">
        <v>1857</v>
      </c>
      <c r="I1394" s="3">
        <v>25</v>
      </c>
      <c r="J1394" s="3">
        <v>2</v>
      </c>
      <c r="K1394" s="3">
        <v>1</v>
      </c>
      <c r="L1394" s="3">
        <v>2</v>
      </c>
      <c r="M1394" s="3">
        <v>5180</v>
      </c>
      <c r="N1394" s="3">
        <v>10.36</v>
      </c>
      <c r="O1394" s="3">
        <v>3.85</v>
      </c>
      <c r="P1394" s="3">
        <v>39.885999999999996</v>
      </c>
      <c r="Q1394" s="3">
        <v>5180</v>
      </c>
    </row>
    <row r="1395" spans="1:17" ht="24.95" hidden="1" customHeight="1" x14ac:dyDescent="0.25">
      <c r="A1395" s="3">
        <v>5</v>
      </c>
      <c r="B1395" s="3" t="s">
        <v>436</v>
      </c>
      <c r="C1395" s="3" t="s">
        <v>1858</v>
      </c>
      <c r="I1395" s="3">
        <v>25</v>
      </c>
      <c r="J1395" s="3">
        <v>3</v>
      </c>
      <c r="K1395" s="3">
        <v>1</v>
      </c>
      <c r="L1395" s="3">
        <v>3</v>
      </c>
      <c r="M1395" s="3">
        <v>4200</v>
      </c>
      <c r="N1395" s="3">
        <v>12.6</v>
      </c>
      <c r="O1395" s="3">
        <v>3.85</v>
      </c>
      <c r="P1395" s="3">
        <v>48.51</v>
      </c>
      <c r="Q1395" s="3">
        <v>4200</v>
      </c>
    </row>
    <row r="1396" spans="1:17" ht="24.95" hidden="1" customHeight="1" x14ac:dyDescent="0.25">
      <c r="A1396" s="3">
        <v>5</v>
      </c>
      <c r="B1396" s="3" t="s">
        <v>436</v>
      </c>
      <c r="C1396" s="3" t="s">
        <v>1859</v>
      </c>
      <c r="I1396" s="3">
        <v>25</v>
      </c>
      <c r="J1396" s="3">
        <v>2</v>
      </c>
      <c r="K1396" s="3">
        <v>1</v>
      </c>
      <c r="L1396" s="3">
        <v>2</v>
      </c>
      <c r="M1396" s="3">
        <v>5130</v>
      </c>
      <c r="N1396" s="3">
        <v>10.26</v>
      </c>
      <c r="O1396" s="3">
        <v>3.85</v>
      </c>
      <c r="P1396" s="3">
        <v>39.500999999999998</v>
      </c>
      <c r="Q1396" s="3">
        <v>5130</v>
      </c>
    </row>
    <row r="1397" spans="1:17" ht="24.95" hidden="1" customHeight="1" x14ac:dyDescent="0.25">
      <c r="A1397" s="3">
        <v>5</v>
      </c>
      <c r="B1397" s="3" t="s">
        <v>436</v>
      </c>
      <c r="C1397" s="3" t="s">
        <v>1860</v>
      </c>
      <c r="I1397" s="3">
        <v>10</v>
      </c>
      <c r="J1397" s="3">
        <v>45</v>
      </c>
      <c r="K1397" s="3">
        <v>1</v>
      </c>
      <c r="L1397" s="3">
        <v>45</v>
      </c>
      <c r="M1397" s="3">
        <v>2160</v>
      </c>
      <c r="N1397" s="3">
        <v>97.2</v>
      </c>
      <c r="O1397" s="3">
        <v>0.61699999999999999</v>
      </c>
      <c r="P1397" s="3">
        <v>59.9724</v>
      </c>
      <c r="Q1397" s="3">
        <v>2160</v>
      </c>
    </row>
    <row r="1398" spans="1:17" ht="24.95" hidden="1" customHeight="1" x14ac:dyDescent="0.25">
      <c r="A1398" s="3">
        <v>5</v>
      </c>
      <c r="B1398" s="3" t="s">
        <v>436</v>
      </c>
      <c r="C1398" s="3" t="s">
        <v>1861</v>
      </c>
      <c r="I1398" s="3">
        <v>10</v>
      </c>
      <c r="J1398" s="3">
        <v>45</v>
      </c>
      <c r="K1398" s="3">
        <v>1</v>
      </c>
      <c r="L1398" s="3">
        <v>45</v>
      </c>
      <c r="M1398" s="3">
        <v>690</v>
      </c>
      <c r="N1398" s="3">
        <v>31.05</v>
      </c>
      <c r="O1398" s="3">
        <v>0.61699999999999999</v>
      </c>
      <c r="P1398" s="3">
        <v>19.15785</v>
      </c>
      <c r="Q1398" s="3">
        <v>690</v>
      </c>
    </row>
    <row r="1399" spans="1:17" ht="24.95" hidden="1" customHeight="1" x14ac:dyDescent="0.25">
      <c r="A1399" s="3">
        <v>5</v>
      </c>
      <c r="B1399" s="3" t="s">
        <v>437</v>
      </c>
      <c r="C1399" s="3" t="s">
        <v>1862</v>
      </c>
      <c r="I1399" s="3">
        <v>32</v>
      </c>
      <c r="J1399" s="3">
        <v>5</v>
      </c>
      <c r="K1399" s="3">
        <v>1</v>
      </c>
      <c r="L1399" s="3">
        <v>5</v>
      </c>
      <c r="M1399" s="3">
        <v>9195</v>
      </c>
      <c r="N1399" s="3">
        <v>45.975000000000001</v>
      </c>
      <c r="O1399" s="3">
        <v>6.31</v>
      </c>
      <c r="P1399" s="3">
        <v>290.10224999999997</v>
      </c>
      <c r="Q1399" s="3">
        <v>9195</v>
      </c>
    </row>
    <row r="1400" spans="1:17" ht="24.95" hidden="1" customHeight="1" x14ac:dyDescent="0.25">
      <c r="A1400" s="3">
        <v>5</v>
      </c>
      <c r="B1400" s="3" t="s">
        <v>437</v>
      </c>
      <c r="C1400" s="3" t="s">
        <v>1863</v>
      </c>
      <c r="I1400" s="3">
        <v>32</v>
      </c>
      <c r="J1400" s="3">
        <v>4</v>
      </c>
      <c r="K1400" s="3">
        <v>1</v>
      </c>
      <c r="L1400" s="3">
        <v>4</v>
      </c>
      <c r="M1400" s="3">
        <v>5510</v>
      </c>
      <c r="N1400" s="3">
        <v>22.04</v>
      </c>
      <c r="O1400" s="3">
        <v>6.31</v>
      </c>
      <c r="P1400" s="3">
        <v>139.07239999999999</v>
      </c>
      <c r="Q1400" s="3">
        <v>5510</v>
      </c>
    </row>
    <row r="1401" spans="1:17" ht="24.95" hidden="1" customHeight="1" x14ac:dyDescent="0.25">
      <c r="A1401" s="3">
        <v>5</v>
      </c>
      <c r="B1401" s="3" t="s">
        <v>437</v>
      </c>
      <c r="C1401" s="3" t="s">
        <v>1864</v>
      </c>
      <c r="I1401" s="3">
        <v>32</v>
      </c>
      <c r="J1401" s="3">
        <v>5</v>
      </c>
      <c r="K1401" s="3">
        <v>1</v>
      </c>
      <c r="L1401" s="3">
        <v>5</v>
      </c>
      <c r="M1401" s="3">
        <v>11085</v>
      </c>
      <c r="N1401" s="3">
        <v>55.424999999999997</v>
      </c>
      <c r="O1401" s="3">
        <v>6.31</v>
      </c>
      <c r="P1401" s="3">
        <v>349.73174999999998</v>
      </c>
      <c r="Q1401" s="3">
        <v>11085</v>
      </c>
    </row>
    <row r="1402" spans="1:17" ht="24.95" hidden="1" customHeight="1" x14ac:dyDescent="0.25">
      <c r="A1402" s="3">
        <v>5</v>
      </c>
      <c r="B1402" s="3" t="s">
        <v>437</v>
      </c>
      <c r="C1402" s="3" t="s">
        <v>1865</v>
      </c>
      <c r="I1402" s="3">
        <v>32</v>
      </c>
      <c r="J1402" s="3">
        <v>4</v>
      </c>
      <c r="K1402" s="3">
        <v>1</v>
      </c>
      <c r="L1402" s="3">
        <v>4</v>
      </c>
      <c r="M1402" s="3">
        <v>6015</v>
      </c>
      <c r="N1402" s="3">
        <v>24.06</v>
      </c>
      <c r="O1402" s="3">
        <v>6.31</v>
      </c>
      <c r="P1402" s="3">
        <v>151.81859999999998</v>
      </c>
      <c r="Q1402" s="3">
        <v>6015</v>
      </c>
    </row>
    <row r="1403" spans="1:17" ht="24.95" hidden="1" customHeight="1" x14ac:dyDescent="0.25">
      <c r="A1403" s="3">
        <v>5</v>
      </c>
      <c r="B1403" s="3" t="s">
        <v>437</v>
      </c>
      <c r="C1403" s="3" t="s">
        <v>1866</v>
      </c>
      <c r="I1403" s="3">
        <v>10</v>
      </c>
      <c r="J1403" s="3">
        <v>68</v>
      </c>
      <c r="K1403" s="3">
        <v>1</v>
      </c>
      <c r="L1403" s="3">
        <v>68</v>
      </c>
      <c r="M1403" s="3">
        <v>2560</v>
      </c>
      <c r="N1403" s="3">
        <v>174.08</v>
      </c>
      <c r="O1403" s="3">
        <v>0.61699999999999999</v>
      </c>
      <c r="P1403" s="3">
        <v>107.40736000000001</v>
      </c>
      <c r="Q1403" s="3">
        <v>2560</v>
      </c>
    </row>
    <row r="1404" spans="1:17" ht="24.95" hidden="1" customHeight="1" x14ac:dyDescent="0.25">
      <c r="A1404" s="3">
        <v>5</v>
      </c>
      <c r="B1404" s="3" t="s">
        <v>437</v>
      </c>
      <c r="C1404" s="3" t="s">
        <v>1867</v>
      </c>
      <c r="I1404" s="3">
        <v>10</v>
      </c>
      <c r="J1404" s="3">
        <v>204</v>
      </c>
      <c r="K1404" s="3">
        <v>1</v>
      </c>
      <c r="L1404" s="3">
        <v>204</v>
      </c>
      <c r="M1404" s="3">
        <v>690</v>
      </c>
      <c r="N1404" s="3">
        <v>140.76</v>
      </c>
      <c r="O1404" s="3">
        <v>0.61699999999999999</v>
      </c>
      <c r="P1404" s="3">
        <v>86.848919999999993</v>
      </c>
      <c r="Q1404" s="3">
        <v>690</v>
      </c>
    </row>
    <row r="1405" spans="1:17" ht="24.95" hidden="1" customHeight="1" x14ac:dyDescent="0.25">
      <c r="A1405" s="3">
        <v>5</v>
      </c>
      <c r="B1405" s="3" t="s">
        <v>438</v>
      </c>
      <c r="C1405" s="3" t="s">
        <v>1868</v>
      </c>
      <c r="I1405" s="3">
        <v>32</v>
      </c>
      <c r="J1405" s="3">
        <v>5</v>
      </c>
      <c r="K1405" s="3">
        <v>1</v>
      </c>
      <c r="L1405" s="3">
        <v>5</v>
      </c>
      <c r="M1405" s="3">
        <v>9245</v>
      </c>
      <c r="N1405" s="3">
        <v>46.225000000000001</v>
      </c>
      <c r="O1405" s="3">
        <v>6.31</v>
      </c>
      <c r="P1405" s="3">
        <v>291.67975000000001</v>
      </c>
      <c r="Q1405" s="3">
        <v>9245</v>
      </c>
    </row>
    <row r="1406" spans="1:17" ht="24.95" hidden="1" customHeight="1" x14ac:dyDescent="0.25">
      <c r="A1406" s="3">
        <v>5</v>
      </c>
      <c r="B1406" s="3" t="s">
        <v>438</v>
      </c>
      <c r="C1406" s="3" t="s">
        <v>1869</v>
      </c>
      <c r="I1406" s="3">
        <v>25</v>
      </c>
      <c r="J1406" s="3">
        <v>2</v>
      </c>
      <c r="K1406" s="3">
        <v>1</v>
      </c>
      <c r="L1406" s="3">
        <v>2</v>
      </c>
      <c r="M1406" s="3">
        <v>8915</v>
      </c>
      <c r="N1406" s="3">
        <v>17.829999999999998</v>
      </c>
      <c r="O1406" s="3">
        <v>3.85</v>
      </c>
      <c r="P1406" s="3">
        <v>68.645499999999998</v>
      </c>
      <c r="Q1406" s="3">
        <v>8915</v>
      </c>
    </row>
    <row r="1407" spans="1:17" ht="24.95" hidden="1" customHeight="1" x14ac:dyDescent="0.25">
      <c r="A1407" s="3">
        <v>5</v>
      </c>
      <c r="B1407" s="3" t="s">
        <v>438</v>
      </c>
      <c r="C1407" s="3" t="s">
        <v>1870</v>
      </c>
      <c r="I1407" s="3">
        <v>32</v>
      </c>
      <c r="J1407" s="3">
        <v>3</v>
      </c>
      <c r="K1407" s="3">
        <v>1</v>
      </c>
      <c r="L1407" s="3">
        <v>3</v>
      </c>
      <c r="M1407" s="3">
        <v>4465</v>
      </c>
      <c r="N1407" s="3">
        <v>13.395</v>
      </c>
      <c r="O1407" s="3">
        <v>6.31</v>
      </c>
      <c r="P1407" s="3">
        <v>84.522449999999992</v>
      </c>
      <c r="Q1407" s="3">
        <v>4465</v>
      </c>
    </row>
    <row r="1408" spans="1:17" ht="24.95" hidden="1" customHeight="1" x14ac:dyDescent="0.25">
      <c r="A1408" s="3">
        <v>5</v>
      </c>
      <c r="B1408" s="3" t="s">
        <v>438</v>
      </c>
      <c r="C1408" s="3" t="s">
        <v>1871</v>
      </c>
      <c r="I1408" s="3">
        <v>32</v>
      </c>
      <c r="J1408" s="3">
        <v>5</v>
      </c>
      <c r="K1408" s="3">
        <v>1</v>
      </c>
      <c r="L1408" s="3">
        <v>5</v>
      </c>
      <c r="M1408" s="3">
        <v>11085</v>
      </c>
      <c r="N1408" s="3">
        <v>55.424999999999997</v>
      </c>
      <c r="O1408" s="3">
        <v>6.31</v>
      </c>
      <c r="P1408" s="3">
        <v>349.73174999999998</v>
      </c>
      <c r="Q1408" s="3">
        <v>11085</v>
      </c>
    </row>
    <row r="1409" spans="1:17" ht="24.95" hidden="1" customHeight="1" x14ac:dyDescent="0.25">
      <c r="A1409" s="3">
        <v>5</v>
      </c>
      <c r="B1409" s="3" t="s">
        <v>438</v>
      </c>
      <c r="C1409" s="3" t="s">
        <v>1872</v>
      </c>
      <c r="I1409" s="3">
        <v>10</v>
      </c>
      <c r="J1409" s="3">
        <v>67</v>
      </c>
      <c r="K1409" s="3">
        <v>1</v>
      </c>
      <c r="L1409" s="3">
        <v>67</v>
      </c>
      <c r="M1409" s="3">
        <v>2160</v>
      </c>
      <c r="N1409" s="3">
        <v>144.72</v>
      </c>
      <c r="O1409" s="3">
        <v>0.61699999999999999</v>
      </c>
      <c r="P1409" s="3">
        <v>89.292239999999993</v>
      </c>
      <c r="Q1409" s="3">
        <v>2160</v>
      </c>
    </row>
    <row r="1410" spans="1:17" ht="24.95" hidden="1" customHeight="1" x14ac:dyDescent="0.25">
      <c r="A1410" s="3">
        <v>5</v>
      </c>
      <c r="B1410" s="3" t="s">
        <v>438</v>
      </c>
      <c r="C1410" s="3" t="s">
        <v>1873</v>
      </c>
      <c r="I1410" s="3">
        <v>10</v>
      </c>
      <c r="J1410" s="3">
        <v>67</v>
      </c>
      <c r="K1410" s="3">
        <v>1</v>
      </c>
      <c r="L1410" s="3">
        <v>67</v>
      </c>
      <c r="M1410" s="3">
        <v>690</v>
      </c>
      <c r="N1410" s="3">
        <v>46.23</v>
      </c>
      <c r="O1410" s="3">
        <v>0.61699999999999999</v>
      </c>
      <c r="P1410" s="3">
        <v>28.523909999999997</v>
      </c>
      <c r="Q1410" s="3">
        <v>690</v>
      </c>
    </row>
    <row r="1411" spans="1:17" ht="24.95" hidden="1" customHeight="1" x14ac:dyDescent="0.25">
      <c r="A1411" s="3">
        <v>5</v>
      </c>
      <c r="B1411" s="3" t="s">
        <v>438</v>
      </c>
      <c r="C1411" s="3" t="s">
        <v>1874</v>
      </c>
      <c r="I1411" s="3">
        <v>32</v>
      </c>
      <c r="J1411" s="3">
        <v>2</v>
      </c>
      <c r="K1411" s="3">
        <v>1</v>
      </c>
      <c r="L1411" s="3">
        <v>2</v>
      </c>
      <c r="M1411" s="3">
        <v>390</v>
      </c>
      <c r="N1411" s="3">
        <v>0.78</v>
      </c>
      <c r="O1411" s="3">
        <v>6.31</v>
      </c>
      <c r="P1411" s="3">
        <v>4.9218000000000002</v>
      </c>
      <c r="Q1411" s="3">
        <v>390</v>
      </c>
    </row>
    <row r="1412" spans="1:17" ht="24.95" hidden="1" customHeight="1" x14ac:dyDescent="0.25">
      <c r="A1412" s="3">
        <v>5</v>
      </c>
      <c r="B1412" s="3" t="s">
        <v>439</v>
      </c>
      <c r="C1412" s="3" t="s">
        <v>1875</v>
      </c>
      <c r="I1412" s="3">
        <v>32</v>
      </c>
      <c r="J1412" s="3">
        <v>5</v>
      </c>
      <c r="K1412" s="3">
        <v>1</v>
      </c>
      <c r="L1412" s="3">
        <v>5</v>
      </c>
      <c r="M1412" s="3">
        <v>9255</v>
      </c>
      <c r="N1412" s="3">
        <v>46.274999999999999</v>
      </c>
      <c r="O1412" s="3">
        <v>6.31</v>
      </c>
      <c r="P1412" s="3">
        <v>291.99525</v>
      </c>
      <c r="Q1412" s="3">
        <v>9255</v>
      </c>
    </row>
    <row r="1413" spans="1:17" ht="24.95" hidden="1" customHeight="1" x14ac:dyDescent="0.25">
      <c r="A1413" s="3">
        <v>5</v>
      </c>
      <c r="B1413" s="3" t="s">
        <v>439</v>
      </c>
      <c r="C1413" s="3" t="s">
        <v>1876</v>
      </c>
      <c r="I1413" s="3">
        <v>32</v>
      </c>
      <c r="J1413" s="3">
        <v>5</v>
      </c>
      <c r="K1413" s="3">
        <v>1</v>
      </c>
      <c r="L1413" s="3">
        <v>5</v>
      </c>
      <c r="M1413" s="3">
        <v>9255</v>
      </c>
      <c r="N1413" s="3">
        <v>46.274999999999999</v>
      </c>
      <c r="O1413" s="3">
        <v>6.31</v>
      </c>
      <c r="P1413" s="3">
        <v>291.99525</v>
      </c>
      <c r="Q1413" s="3">
        <v>9255</v>
      </c>
    </row>
    <row r="1414" spans="1:17" ht="24.95" hidden="1" customHeight="1" x14ac:dyDescent="0.25">
      <c r="A1414" s="3">
        <v>5</v>
      </c>
      <c r="B1414" s="3" t="s">
        <v>439</v>
      </c>
      <c r="C1414" s="3" t="s">
        <v>1877</v>
      </c>
      <c r="I1414" s="3">
        <v>10</v>
      </c>
      <c r="J1414" s="3">
        <v>69</v>
      </c>
      <c r="K1414" s="3">
        <v>1</v>
      </c>
      <c r="L1414" s="3">
        <v>69</v>
      </c>
      <c r="M1414" s="3">
        <v>2160</v>
      </c>
      <c r="N1414" s="3">
        <v>149.04</v>
      </c>
      <c r="O1414" s="3">
        <v>0.61699999999999999</v>
      </c>
      <c r="P1414" s="3">
        <v>91.957679999999996</v>
      </c>
      <c r="Q1414" s="3">
        <v>2160</v>
      </c>
    </row>
    <row r="1415" spans="1:17" ht="24.95" hidden="1" customHeight="1" x14ac:dyDescent="0.25">
      <c r="A1415" s="3">
        <v>5</v>
      </c>
      <c r="B1415" s="3" t="s">
        <v>439</v>
      </c>
      <c r="C1415" s="3" t="s">
        <v>1878</v>
      </c>
      <c r="I1415" s="3">
        <v>10</v>
      </c>
      <c r="J1415" s="3">
        <v>67</v>
      </c>
      <c r="K1415" s="3">
        <v>1</v>
      </c>
      <c r="L1415" s="3">
        <v>67</v>
      </c>
      <c r="M1415" s="3">
        <v>690</v>
      </c>
      <c r="N1415" s="3">
        <v>46.23</v>
      </c>
      <c r="O1415" s="3">
        <v>0.61699999999999999</v>
      </c>
      <c r="P1415" s="3">
        <v>28.523909999999997</v>
      </c>
      <c r="Q1415" s="3">
        <v>690</v>
      </c>
    </row>
    <row r="1416" spans="1:17" ht="24.95" hidden="1" customHeight="1" x14ac:dyDescent="0.25">
      <c r="A1416" s="3">
        <v>5</v>
      </c>
      <c r="B1416" s="3" t="s">
        <v>440</v>
      </c>
      <c r="C1416" s="3" t="s">
        <v>1879</v>
      </c>
      <c r="I1416" s="3">
        <v>25</v>
      </c>
      <c r="J1416" s="3">
        <v>2</v>
      </c>
      <c r="K1416" s="3">
        <v>1</v>
      </c>
      <c r="L1416" s="3">
        <v>2</v>
      </c>
      <c r="M1416" s="3">
        <v>4690</v>
      </c>
      <c r="N1416" s="3">
        <v>9.3800000000000008</v>
      </c>
      <c r="O1416" s="3">
        <v>3.85</v>
      </c>
      <c r="P1416" s="3">
        <v>36.113000000000007</v>
      </c>
      <c r="Q1416" s="3">
        <v>4690</v>
      </c>
    </row>
    <row r="1417" spans="1:17" ht="24.95" hidden="1" customHeight="1" x14ac:dyDescent="0.25">
      <c r="A1417" s="3">
        <v>5</v>
      </c>
      <c r="B1417" s="3" t="s">
        <v>440</v>
      </c>
      <c r="C1417" s="3" t="s">
        <v>1880</v>
      </c>
      <c r="I1417" s="3">
        <v>25</v>
      </c>
      <c r="J1417" s="3">
        <v>2</v>
      </c>
      <c r="K1417" s="3">
        <v>1</v>
      </c>
      <c r="L1417" s="3">
        <v>2</v>
      </c>
      <c r="M1417" s="3">
        <v>10980</v>
      </c>
      <c r="N1417" s="3">
        <v>21.96</v>
      </c>
      <c r="O1417" s="3">
        <v>3.85</v>
      </c>
      <c r="P1417" s="3">
        <v>84.546000000000006</v>
      </c>
      <c r="Q1417" s="3">
        <v>10980</v>
      </c>
    </row>
    <row r="1418" spans="1:17" ht="24.95" hidden="1" customHeight="1" x14ac:dyDescent="0.25">
      <c r="A1418" s="3">
        <v>5</v>
      </c>
      <c r="B1418" s="3" t="s">
        <v>440</v>
      </c>
      <c r="C1418" s="3" t="s">
        <v>1881</v>
      </c>
      <c r="I1418" s="3">
        <v>25</v>
      </c>
      <c r="J1418" s="3">
        <v>2</v>
      </c>
      <c r="K1418" s="3">
        <v>1</v>
      </c>
      <c r="L1418" s="3">
        <v>2</v>
      </c>
      <c r="M1418" s="3">
        <v>7745</v>
      </c>
      <c r="N1418" s="3">
        <v>15.49</v>
      </c>
      <c r="O1418" s="3">
        <v>3.85</v>
      </c>
      <c r="P1418" s="3">
        <v>59.636500000000005</v>
      </c>
      <c r="Q1418" s="3">
        <v>7745</v>
      </c>
    </row>
    <row r="1419" spans="1:17" ht="24.95" hidden="1" customHeight="1" x14ac:dyDescent="0.25">
      <c r="A1419" s="3">
        <v>5</v>
      </c>
      <c r="B1419" s="3" t="s">
        <v>440</v>
      </c>
      <c r="C1419" s="3" t="s">
        <v>1882</v>
      </c>
      <c r="I1419" s="3">
        <v>25</v>
      </c>
      <c r="J1419" s="3">
        <v>2</v>
      </c>
      <c r="K1419" s="3">
        <v>1</v>
      </c>
      <c r="L1419" s="3">
        <v>2</v>
      </c>
      <c r="M1419" s="3">
        <v>7905</v>
      </c>
      <c r="N1419" s="3">
        <v>15.81</v>
      </c>
      <c r="O1419" s="3">
        <v>3.85</v>
      </c>
      <c r="P1419" s="3">
        <v>60.868500000000004</v>
      </c>
      <c r="Q1419" s="3">
        <v>7905</v>
      </c>
    </row>
    <row r="1420" spans="1:17" ht="24.95" hidden="1" customHeight="1" x14ac:dyDescent="0.25">
      <c r="A1420" s="3">
        <v>5</v>
      </c>
      <c r="B1420" s="3" t="s">
        <v>440</v>
      </c>
      <c r="C1420" s="3" t="s">
        <v>1883</v>
      </c>
      <c r="I1420" s="3">
        <v>25</v>
      </c>
      <c r="J1420" s="3">
        <v>2</v>
      </c>
      <c r="K1420" s="3">
        <v>1</v>
      </c>
      <c r="L1420" s="3">
        <v>2</v>
      </c>
      <c r="M1420" s="3">
        <v>11000</v>
      </c>
      <c r="N1420" s="3">
        <v>22</v>
      </c>
      <c r="O1420" s="3">
        <v>3.85</v>
      </c>
      <c r="P1420" s="3">
        <v>84.7</v>
      </c>
      <c r="Q1420" s="3">
        <v>11000</v>
      </c>
    </row>
    <row r="1421" spans="1:17" ht="24.95" hidden="1" customHeight="1" x14ac:dyDescent="0.25">
      <c r="A1421" s="3">
        <v>5</v>
      </c>
      <c r="B1421" s="3" t="s">
        <v>440</v>
      </c>
      <c r="C1421" s="3" t="s">
        <v>1884</v>
      </c>
      <c r="I1421" s="3">
        <v>10</v>
      </c>
      <c r="J1421" s="3">
        <v>268</v>
      </c>
      <c r="K1421" s="3">
        <v>1</v>
      </c>
      <c r="L1421" s="3">
        <v>268</v>
      </c>
      <c r="M1421" s="3">
        <v>890</v>
      </c>
      <c r="N1421" s="3">
        <v>238.52</v>
      </c>
      <c r="O1421" s="3">
        <v>0.61699999999999999</v>
      </c>
      <c r="P1421" s="3">
        <v>147.16684000000001</v>
      </c>
      <c r="Q1421" s="3">
        <v>890</v>
      </c>
    </row>
    <row r="1422" spans="1:17" ht="24.95" hidden="1" customHeight="1" x14ac:dyDescent="0.25">
      <c r="A1422" s="3">
        <v>5</v>
      </c>
      <c r="B1422" s="3" t="s">
        <v>440</v>
      </c>
      <c r="C1422" s="3" t="s">
        <v>1885</v>
      </c>
      <c r="I1422" s="3">
        <v>20</v>
      </c>
      <c r="J1422" s="3">
        <v>6</v>
      </c>
      <c r="K1422" s="3">
        <v>1</v>
      </c>
      <c r="L1422" s="3">
        <v>6</v>
      </c>
      <c r="M1422" s="3">
        <v>7900</v>
      </c>
      <c r="N1422" s="3">
        <v>47.4</v>
      </c>
      <c r="O1422" s="3">
        <v>2.4700000000000002</v>
      </c>
      <c r="P1422" s="3">
        <v>117.078</v>
      </c>
      <c r="Q1422" s="3">
        <v>7900</v>
      </c>
    </row>
    <row r="1423" spans="1:17" ht="24.95" hidden="1" customHeight="1" x14ac:dyDescent="0.25">
      <c r="A1423" s="3">
        <v>5</v>
      </c>
      <c r="B1423" s="3" t="s">
        <v>440</v>
      </c>
      <c r="C1423" s="3" t="s">
        <v>1886</v>
      </c>
      <c r="I1423" s="3">
        <v>25</v>
      </c>
      <c r="J1423" s="3">
        <v>2</v>
      </c>
      <c r="K1423" s="3">
        <v>1</v>
      </c>
      <c r="L1423" s="3">
        <v>2</v>
      </c>
      <c r="M1423" s="3">
        <v>6240</v>
      </c>
      <c r="N1423" s="3">
        <v>12.48</v>
      </c>
      <c r="O1423" s="3">
        <v>3.85</v>
      </c>
      <c r="P1423" s="3">
        <v>48.048000000000002</v>
      </c>
      <c r="Q1423" s="3">
        <v>6240</v>
      </c>
    </row>
    <row r="1424" spans="1:17" ht="24.95" hidden="1" customHeight="1" x14ac:dyDescent="0.25">
      <c r="A1424" s="3">
        <v>5</v>
      </c>
      <c r="B1424" s="3" t="s">
        <v>440</v>
      </c>
      <c r="C1424" s="3" t="s">
        <v>1887</v>
      </c>
      <c r="I1424" s="3">
        <v>25</v>
      </c>
      <c r="J1424" s="3">
        <v>2</v>
      </c>
      <c r="K1424" s="3">
        <v>1</v>
      </c>
      <c r="L1424" s="3">
        <v>2</v>
      </c>
      <c r="M1424" s="3">
        <v>8600</v>
      </c>
      <c r="N1424" s="3">
        <v>17.2</v>
      </c>
      <c r="O1424" s="3">
        <v>3.85</v>
      </c>
      <c r="P1424" s="3">
        <v>66.22</v>
      </c>
      <c r="Q1424" s="3">
        <v>8600</v>
      </c>
    </row>
    <row r="1425" spans="1:17" ht="24.95" hidden="1" customHeight="1" x14ac:dyDescent="0.25">
      <c r="A1425" s="3">
        <v>5</v>
      </c>
      <c r="B1425" s="3" t="s">
        <v>440</v>
      </c>
      <c r="C1425" s="3" t="s">
        <v>1888</v>
      </c>
      <c r="I1425" s="3">
        <v>25</v>
      </c>
      <c r="J1425" s="3">
        <v>2</v>
      </c>
      <c r="K1425" s="3">
        <v>1</v>
      </c>
      <c r="L1425" s="3">
        <v>2</v>
      </c>
      <c r="M1425" s="3">
        <v>9690</v>
      </c>
      <c r="N1425" s="3">
        <v>19.38</v>
      </c>
      <c r="O1425" s="3">
        <v>3.85</v>
      </c>
      <c r="P1425" s="3">
        <v>74.613</v>
      </c>
      <c r="Q1425" s="3">
        <v>9690</v>
      </c>
    </row>
    <row r="1426" spans="1:17" ht="24.95" hidden="1" customHeight="1" x14ac:dyDescent="0.25">
      <c r="A1426" s="3">
        <v>5</v>
      </c>
      <c r="B1426" s="3" t="s">
        <v>440</v>
      </c>
      <c r="C1426" s="3" t="s">
        <v>1889</v>
      </c>
      <c r="I1426" s="3">
        <v>25</v>
      </c>
      <c r="J1426" s="3">
        <v>2</v>
      </c>
      <c r="K1426" s="3">
        <v>1</v>
      </c>
      <c r="L1426" s="3">
        <v>2</v>
      </c>
      <c r="M1426" s="3">
        <v>6900</v>
      </c>
      <c r="N1426" s="3">
        <v>13.8</v>
      </c>
      <c r="O1426" s="3">
        <v>3.85</v>
      </c>
      <c r="P1426" s="3">
        <v>53.13</v>
      </c>
      <c r="Q1426" s="3">
        <v>6900</v>
      </c>
    </row>
    <row r="1427" spans="1:17" ht="24.95" hidden="1" customHeight="1" x14ac:dyDescent="0.25">
      <c r="A1427" s="3">
        <v>5</v>
      </c>
      <c r="B1427" s="3" t="s">
        <v>440</v>
      </c>
      <c r="C1427" s="3" t="s">
        <v>1890</v>
      </c>
      <c r="I1427" s="3">
        <v>25</v>
      </c>
      <c r="J1427" s="3">
        <v>2</v>
      </c>
      <c r="K1427" s="3">
        <v>1</v>
      </c>
      <c r="L1427" s="3">
        <v>2</v>
      </c>
      <c r="M1427" s="3">
        <v>7680</v>
      </c>
      <c r="N1427" s="3">
        <v>15.36</v>
      </c>
      <c r="O1427" s="3">
        <v>3.85</v>
      </c>
      <c r="P1427" s="3">
        <v>59.135999999999996</v>
      </c>
      <c r="Q1427" s="3">
        <v>7680</v>
      </c>
    </row>
    <row r="1428" spans="1:17" ht="24.95" hidden="1" customHeight="1" x14ac:dyDescent="0.25">
      <c r="A1428" s="3">
        <v>5</v>
      </c>
      <c r="B1428" s="3" t="s">
        <v>440</v>
      </c>
      <c r="C1428" s="3" t="s">
        <v>1891</v>
      </c>
      <c r="I1428" s="3">
        <v>25</v>
      </c>
      <c r="J1428" s="3">
        <v>2</v>
      </c>
      <c r="K1428" s="3">
        <v>1</v>
      </c>
      <c r="L1428" s="3">
        <v>2</v>
      </c>
      <c r="M1428" s="3">
        <v>6205</v>
      </c>
      <c r="N1428" s="3">
        <v>12.41</v>
      </c>
      <c r="O1428" s="3">
        <v>3.85</v>
      </c>
      <c r="P1428" s="3">
        <v>47.778500000000001</v>
      </c>
      <c r="Q1428" s="3">
        <v>6205</v>
      </c>
    </row>
    <row r="1429" spans="1:17" ht="24.95" hidden="1" customHeight="1" x14ac:dyDescent="0.25">
      <c r="A1429" s="3">
        <v>5</v>
      </c>
      <c r="B1429" s="3" t="s">
        <v>440</v>
      </c>
      <c r="C1429" s="3" t="s">
        <v>1892</v>
      </c>
      <c r="I1429" s="3">
        <v>25</v>
      </c>
      <c r="J1429" s="3">
        <v>2</v>
      </c>
      <c r="K1429" s="3">
        <v>1</v>
      </c>
      <c r="L1429" s="3">
        <v>2</v>
      </c>
      <c r="M1429" s="3">
        <v>7610</v>
      </c>
      <c r="N1429" s="3">
        <v>15.22</v>
      </c>
      <c r="O1429" s="3">
        <v>3.85</v>
      </c>
      <c r="P1429" s="3">
        <v>58.597000000000001</v>
      </c>
      <c r="Q1429" s="3">
        <v>7610</v>
      </c>
    </row>
    <row r="1430" spans="1:17" ht="24.95" hidden="1" customHeight="1" x14ac:dyDescent="0.25">
      <c r="A1430" s="3">
        <v>5</v>
      </c>
      <c r="B1430" s="3" t="s">
        <v>440</v>
      </c>
      <c r="C1430" s="3" t="s">
        <v>1893</v>
      </c>
      <c r="I1430" s="3">
        <v>25</v>
      </c>
      <c r="J1430" s="3">
        <v>2</v>
      </c>
      <c r="K1430" s="3">
        <v>1</v>
      </c>
      <c r="L1430" s="3">
        <v>2</v>
      </c>
      <c r="M1430" s="3">
        <v>8545</v>
      </c>
      <c r="N1430" s="3">
        <v>17.09</v>
      </c>
      <c r="O1430" s="3">
        <v>3.85</v>
      </c>
      <c r="P1430" s="3">
        <v>65.796499999999995</v>
      </c>
      <c r="Q1430" s="3">
        <v>8545</v>
      </c>
    </row>
    <row r="1431" spans="1:17" ht="24.95" hidden="1" customHeight="1" x14ac:dyDescent="0.25">
      <c r="A1431" s="3">
        <v>5</v>
      </c>
      <c r="B1431" s="3" t="s">
        <v>440</v>
      </c>
      <c r="C1431" s="3" t="s">
        <v>1894</v>
      </c>
      <c r="I1431" s="3">
        <v>25</v>
      </c>
      <c r="J1431" s="3">
        <v>2</v>
      </c>
      <c r="K1431" s="3">
        <v>1</v>
      </c>
      <c r="L1431" s="3">
        <v>2</v>
      </c>
      <c r="M1431" s="3">
        <v>10980</v>
      </c>
      <c r="N1431" s="3">
        <v>21.96</v>
      </c>
      <c r="O1431" s="3">
        <v>3.85</v>
      </c>
      <c r="P1431" s="3">
        <v>84.546000000000006</v>
      </c>
      <c r="Q1431" s="3">
        <v>10980</v>
      </c>
    </row>
    <row r="1432" spans="1:17" ht="24.95" hidden="1" customHeight="1" x14ac:dyDescent="0.25">
      <c r="A1432" s="3">
        <v>5</v>
      </c>
      <c r="B1432" s="3" t="s">
        <v>440</v>
      </c>
      <c r="C1432" s="3" t="s">
        <v>1895</v>
      </c>
      <c r="I1432" s="3">
        <v>32</v>
      </c>
      <c r="J1432" s="3">
        <v>2</v>
      </c>
      <c r="K1432" s="3">
        <v>1</v>
      </c>
      <c r="L1432" s="3">
        <v>2</v>
      </c>
      <c r="M1432" s="3">
        <v>4050</v>
      </c>
      <c r="N1432" s="3">
        <v>8.1</v>
      </c>
      <c r="O1432" s="3">
        <v>6.31</v>
      </c>
      <c r="P1432" s="3">
        <v>51.110999999999997</v>
      </c>
      <c r="Q1432" s="3">
        <v>4050</v>
      </c>
    </row>
    <row r="1433" spans="1:17" ht="24.95" hidden="1" customHeight="1" x14ac:dyDescent="0.25">
      <c r="A1433" s="3">
        <v>5</v>
      </c>
      <c r="B1433" s="3" t="s">
        <v>440</v>
      </c>
      <c r="C1433" s="3" t="s">
        <v>1896</v>
      </c>
      <c r="I1433" s="3">
        <v>10</v>
      </c>
      <c r="J1433" s="3">
        <v>158</v>
      </c>
      <c r="K1433" s="3">
        <v>1</v>
      </c>
      <c r="L1433" s="3">
        <v>158</v>
      </c>
      <c r="M1433" s="3">
        <v>2560</v>
      </c>
      <c r="N1433" s="3">
        <v>404.48</v>
      </c>
      <c r="O1433" s="3">
        <v>0.61699999999999999</v>
      </c>
      <c r="P1433" s="3">
        <v>249.56416000000002</v>
      </c>
      <c r="Q1433" s="3">
        <v>2560</v>
      </c>
    </row>
    <row r="1434" spans="1:17" ht="24.95" hidden="1" customHeight="1" x14ac:dyDescent="0.25">
      <c r="A1434" s="3">
        <v>5</v>
      </c>
      <c r="B1434" s="3" t="s">
        <v>440</v>
      </c>
      <c r="C1434" s="3" t="s">
        <v>1897</v>
      </c>
      <c r="I1434" s="3">
        <v>32</v>
      </c>
      <c r="J1434" s="3">
        <v>3</v>
      </c>
      <c r="K1434" s="3">
        <v>1</v>
      </c>
      <c r="L1434" s="3">
        <v>3</v>
      </c>
      <c r="M1434" s="3">
        <v>5100</v>
      </c>
      <c r="N1434" s="3">
        <v>15.3</v>
      </c>
      <c r="O1434" s="3">
        <v>6.31</v>
      </c>
      <c r="P1434" s="3">
        <v>96.542999999999992</v>
      </c>
      <c r="Q1434" s="3">
        <v>5100</v>
      </c>
    </row>
    <row r="1435" spans="1:17" ht="24.95" hidden="1" customHeight="1" x14ac:dyDescent="0.25">
      <c r="A1435" s="3">
        <v>5</v>
      </c>
      <c r="B1435" s="3" t="s">
        <v>440</v>
      </c>
      <c r="C1435" s="3" t="s">
        <v>1898</v>
      </c>
      <c r="I1435" s="3">
        <v>12</v>
      </c>
      <c r="J1435" s="3">
        <v>2</v>
      </c>
      <c r="K1435" s="3">
        <v>1</v>
      </c>
      <c r="L1435" s="3">
        <v>2</v>
      </c>
      <c r="M1435" s="3">
        <v>11700</v>
      </c>
      <c r="N1435" s="3">
        <v>23.4</v>
      </c>
      <c r="O1435" s="3">
        <v>0.88800000000000001</v>
      </c>
      <c r="P1435" s="3">
        <v>20.779199999999999</v>
      </c>
      <c r="Q1435" s="3">
        <v>11700</v>
      </c>
    </row>
    <row r="1436" spans="1:17" ht="24.95" hidden="1" customHeight="1" x14ac:dyDescent="0.25">
      <c r="A1436" s="3">
        <v>5</v>
      </c>
      <c r="B1436" s="3" t="s">
        <v>440</v>
      </c>
      <c r="C1436" s="3" t="s">
        <v>1899</v>
      </c>
      <c r="I1436" s="3">
        <v>12</v>
      </c>
      <c r="J1436" s="3">
        <v>2</v>
      </c>
      <c r="K1436" s="3">
        <v>1</v>
      </c>
      <c r="L1436" s="3">
        <v>2</v>
      </c>
      <c r="M1436" s="3">
        <v>11430</v>
      </c>
      <c r="N1436" s="3">
        <v>22.86</v>
      </c>
      <c r="O1436" s="3">
        <v>0.88800000000000001</v>
      </c>
      <c r="P1436" s="3">
        <v>20.299679999999999</v>
      </c>
      <c r="Q1436" s="3">
        <v>11430</v>
      </c>
    </row>
    <row r="1437" spans="1:17" ht="24.95" hidden="1" customHeight="1" x14ac:dyDescent="0.25">
      <c r="A1437" s="3">
        <v>5</v>
      </c>
      <c r="B1437" s="3" t="s">
        <v>440</v>
      </c>
      <c r="C1437" s="3" t="s">
        <v>1900</v>
      </c>
      <c r="I1437" s="3">
        <v>14</v>
      </c>
      <c r="J1437" s="3">
        <v>67</v>
      </c>
      <c r="K1437" s="3">
        <v>1</v>
      </c>
      <c r="L1437" s="3">
        <v>67</v>
      </c>
      <c r="M1437" s="3">
        <v>970</v>
      </c>
      <c r="N1437" s="3">
        <v>64.989999999999995</v>
      </c>
      <c r="O1437" s="3">
        <v>1.21</v>
      </c>
      <c r="P1437" s="3">
        <v>78.637899999999988</v>
      </c>
      <c r="Q1437" s="3">
        <v>970</v>
      </c>
    </row>
    <row r="1438" spans="1:17" ht="24.95" hidden="1" customHeight="1" x14ac:dyDescent="0.25">
      <c r="A1438" s="3">
        <v>5</v>
      </c>
      <c r="B1438" s="3" t="s">
        <v>441</v>
      </c>
      <c r="C1438" s="3" t="s">
        <v>1901</v>
      </c>
      <c r="I1438" s="3">
        <v>18</v>
      </c>
      <c r="J1438" s="3">
        <v>4</v>
      </c>
      <c r="K1438" s="3">
        <v>2</v>
      </c>
      <c r="L1438" s="3">
        <v>8</v>
      </c>
      <c r="M1438" s="3">
        <v>3265</v>
      </c>
      <c r="N1438" s="3">
        <v>26.12</v>
      </c>
      <c r="O1438" s="3">
        <v>2</v>
      </c>
      <c r="P1438" s="3">
        <v>52.24</v>
      </c>
      <c r="Q1438" s="3">
        <v>3265</v>
      </c>
    </row>
    <row r="1439" spans="1:17" ht="24.95" hidden="1" customHeight="1" x14ac:dyDescent="0.25">
      <c r="A1439" s="3">
        <v>5</v>
      </c>
      <c r="B1439" s="3" t="s">
        <v>441</v>
      </c>
      <c r="C1439" s="3" t="s">
        <v>1902</v>
      </c>
      <c r="I1439" s="3">
        <v>18</v>
      </c>
      <c r="J1439" s="3">
        <v>1</v>
      </c>
      <c r="K1439" s="3">
        <v>2</v>
      </c>
      <c r="L1439" s="3">
        <v>2</v>
      </c>
      <c r="M1439" s="3">
        <v>3860</v>
      </c>
      <c r="N1439" s="3">
        <v>7.72</v>
      </c>
      <c r="O1439" s="3">
        <v>2</v>
      </c>
      <c r="P1439" s="3">
        <v>15.44</v>
      </c>
      <c r="Q1439" s="3">
        <v>3860</v>
      </c>
    </row>
    <row r="1440" spans="1:17" ht="24.95" hidden="1" customHeight="1" x14ac:dyDescent="0.25">
      <c r="A1440" s="3">
        <v>5</v>
      </c>
      <c r="B1440" s="3" t="s">
        <v>441</v>
      </c>
      <c r="C1440" s="3" t="s">
        <v>1903</v>
      </c>
      <c r="I1440" s="3">
        <v>18</v>
      </c>
      <c r="J1440" s="3">
        <v>1</v>
      </c>
      <c r="K1440" s="3">
        <v>2</v>
      </c>
      <c r="L1440" s="3">
        <v>2</v>
      </c>
      <c r="M1440" s="3">
        <v>3950</v>
      </c>
      <c r="N1440" s="3">
        <v>7.9</v>
      </c>
      <c r="O1440" s="3">
        <v>2</v>
      </c>
      <c r="P1440" s="3">
        <v>15.8</v>
      </c>
      <c r="Q1440" s="3">
        <v>3950</v>
      </c>
    </row>
    <row r="1441" spans="1:17" ht="24.95" hidden="1" customHeight="1" x14ac:dyDescent="0.25">
      <c r="A1441" s="3">
        <v>5</v>
      </c>
      <c r="B1441" s="3" t="s">
        <v>441</v>
      </c>
      <c r="C1441" s="3" t="s">
        <v>1904</v>
      </c>
      <c r="I1441" s="3">
        <v>22</v>
      </c>
      <c r="J1441" s="3">
        <v>1</v>
      </c>
      <c r="K1441" s="3">
        <v>2</v>
      </c>
      <c r="L1441" s="3">
        <v>2</v>
      </c>
      <c r="M1441" s="3">
        <v>4180</v>
      </c>
      <c r="N1441" s="3">
        <v>8.36</v>
      </c>
      <c r="O1441" s="3">
        <v>2.98</v>
      </c>
      <c r="P1441" s="3">
        <v>24.912799999999997</v>
      </c>
      <c r="Q1441" s="3">
        <v>4180</v>
      </c>
    </row>
    <row r="1442" spans="1:17" ht="24.95" hidden="1" customHeight="1" x14ac:dyDescent="0.25">
      <c r="A1442" s="3">
        <v>5</v>
      </c>
      <c r="B1442" s="3" t="s">
        <v>441</v>
      </c>
      <c r="C1442" s="3" t="s">
        <v>1905</v>
      </c>
      <c r="I1442" s="3">
        <v>22</v>
      </c>
      <c r="J1442" s="3">
        <v>1</v>
      </c>
      <c r="K1442" s="3">
        <v>2</v>
      </c>
      <c r="L1442" s="3">
        <v>2</v>
      </c>
      <c r="M1442" s="3">
        <v>4270</v>
      </c>
      <c r="N1442" s="3">
        <v>8.5399999999999991</v>
      </c>
      <c r="O1442" s="3">
        <v>2.98</v>
      </c>
      <c r="P1442" s="3">
        <v>25.449199999999998</v>
      </c>
      <c r="Q1442" s="3">
        <v>4270</v>
      </c>
    </row>
    <row r="1443" spans="1:17" ht="24.95" hidden="1" customHeight="1" x14ac:dyDescent="0.25">
      <c r="A1443" s="3">
        <v>5</v>
      </c>
      <c r="B1443" s="3" t="s">
        <v>441</v>
      </c>
      <c r="C1443" s="3" t="s">
        <v>1906</v>
      </c>
      <c r="I1443" s="3">
        <v>22</v>
      </c>
      <c r="J1443" s="3">
        <v>4</v>
      </c>
      <c r="K1443" s="3">
        <v>2</v>
      </c>
      <c r="L1443" s="3">
        <v>8</v>
      </c>
      <c r="M1443" s="3">
        <v>3425</v>
      </c>
      <c r="N1443" s="3">
        <v>27.4</v>
      </c>
      <c r="O1443" s="3">
        <v>2.98</v>
      </c>
      <c r="P1443" s="3">
        <v>81.652000000000001</v>
      </c>
      <c r="Q1443" s="3">
        <v>3425</v>
      </c>
    </row>
    <row r="1444" spans="1:17" ht="24.95" hidden="1" customHeight="1" x14ac:dyDescent="0.25">
      <c r="A1444" s="3">
        <v>5</v>
      </c>
      <c r="B1444" s="3" t="s">
        <v>441</v>
      </c>
      <c r="C1444" s="3" t="s">
        <v>1907</v>
      </c>
      <c r="I1444" s="3">
        <v>10</v>
      </c>
      <c r="J1444" s="3">
        <v>49</v>
      </c>
      <c r="K1444" s="3">
        <v>2</v>
      </c>
      <c r="L1444" s="3">
        <v>98</v>
      </c>
      <c r="M1444" s="3">
        <v>1520</v>
      </c>
      <c r="N1444" s="3">
        <v>148.96</v>
      </c>
      <c r="O1444" s="3">
        <v>0.61699999999999999</v>
      </c>
      <c r="P1444" s="3">
        <v>91.908320000000003</v>
      </c>
      <c r="Q1444" s="3">
        <v>1520</v>
      </c>
    </row>
    <row r="1445" spans="1:17" ht="24.95" hidden="1" customHeight="1" x14ac:dyDescent="0.25">
      <c r="A1445" s="3">
        <v>5</v>
      </c>
      <c r="B1445" s="3" t="s">
        <v>442</v>
      </c>
      <c r="C1445" s="3" t="s">
        <v>1908</v>
      </c>
      <c r="I1445" s="3">
        <v>18</v>
      </c>
      <c r="J1445" s="3">
        <v>1</v>
      </c>
      <c r="K1445" s="3">
        <v>2</v>
      </c>
      <c r="L1445" s="3">
        <v>2</v>
      </c>
      <c r="M1445" s="3">
        <v>3860</v>
      </c>
      <c r="N1445" s="3">
        <v>7.72</v>
      </c>
      <c r="O1445" s="3">
        <v>2</v>
      </c>
      <c r="P1445" s="3">
        <v>15.44</v>
      </c>
      <c r="Q1445" s="3">
        <v>3860</v>
      </c>
    </row>
    <row r="1446" spans="1:17" ht="24.95" hidden="1" customHeight="1" x14ac:dyDescent="0.25">
      <c r="A1446" s="3">
        <v>5</v>
      </c>
      <c r="B1446" s="3" t="s">
        <v>442</v>
      </c>
      <c r="C1446" s="3" t="s">
        <v>1909</v>
      </c>
      <c r="I1446" s="3">
        <v>18</v>
      </c>
      <c r="J1446" s="3">
        <v>1</v>
      </c>
      <c r="K1446" s="3">
        <v>2</v>
      </c>
      <c r="L1446" s="3">
        <v>2</v>
      </c>
      <c r="M1446" s="3">
        <v>3950</v>
      </c>
      <c r="N1446" s="3">
        <v>7.9</v>
      </c>
      <c r="O1446" s="3">
        <v>2</v>
      </c>
      <c r="P1446" s="3">
        <v>15.8</v>
      </c>
      <c r="Q1446" s="3">
        <v>3950</v>
      </c>
    </row>
    <row r="1447" spans="1:17" ht="24.95" hidden="1" customHeight="1" x14ac:dyDescent="0.25">
      <c r="A1447" s="3">
        <v>5</v>
      </c>
      <c r="B1447" s="3" t="s">
        <v>442</v>
      </c>
      <c r="C1447" s="3" t="s">
        <v>1910</v>
      </c>
      <c r="I1447" s="3">
        <v>18</v>
      </c>
      <c r="J1447" s="3">
        <v>4</v>
      </c>
      <c r="K1447" s="3">
        <v>2</v>
      </c>
      <c r="L1447" s="3">
        <v>8</v>
      </c>
      <c r="M1447" s="3">
        <v>3215</v>
      </c>
      <c r="N1447" s="3">
        <v>25.72</v>
      </c>
      <c r="O1447" s="3">
        <v>2</v>
      </c>
      <c r="P1447" s="3">
        <v>51.44</v>
      </c>
      <c r="Q1447" s="3">
        <v>3215</v>
      </c>
    </row>
    <row r="1448" spans="1:17" ht="24.95" hidden="1" customHeight="1" x14ac:dyDescent="0.25">
      <c r="A1448" s="3">
        <v>5</v>
      </c>
      <c r="B1448" s="3" t="s">
        <v>442</v>
      </c>
      <c r="C1448" s="3" t="s">
        <v>1911</v>
      </c>
      <c r="I1448" s="3">
        <v>22</v>
      </c>
      <c r="J1448" s="3">
        <v>1</v>
      </c>
      <c r="K1448" s="3">
        <v>2</v>
      </c>
      <c r="L1448" s="3">
        <v>2</v>
      </c>
      <c r="M1448" s="3">
        <v>4180</v>
      </c>
      <c r="N1448" s="3">
        <v>8.36</v>
      </c>
      <c r="O1448" s="3">
        <v>2.98</v>
      </c>
      <c r="P1448" s="3">
        <v>24.912799999999997</v>
      </c>
      <c r="Q1448" s="3">
        <v>4180</v>
      </c>
    </row>
    <row r="1449" spans="1:17" ht="24.95" hidden="1" customHeight="1" x14ac:dyDescent="0.25">
      <c r="A1449" s="3">
        <v>5</v>
      </c>
      <c r="B1449" s="3" t="s">
        <v>442</v>
      </c>
      <c r="C1449" s="3" t="s">
        <v>1912</v>
      </c>
      <c r="I1449" s="3">
        <v>22</v>
      </c>
      <c r="J1449" s="3">
        <v>1</v>
      </c>
      <c r="K1449" s="3">
        <v>2</v>
      </c>
      <c r="L1449" s="3">
        <v>2</v>
      </c>
      <c r="M1449" s="3">
        <v>4270</v>
      </c>
      <c r="N1449" s="3">
        <v>8.5399999999999991</v>
      </c>
      <c r="O1449" s="3">
        <v>2.98</v>
      </c>
      <c r="P1449" s="3">
        <v>25.449199999999998</v>
      </c>
      <c r="Q1449" s="3">
        <v>4270</v>
      </c>
    </row>
    <row r="1450" spans="1:17" ht="24.95" hidden="1" customHeight="1" x14ac:dyDescent="0.25">
      <c r="A1450" s="3">
        <v>5</v>
      </c>
      <c r="B1450" s="3" t="s">
        <v>442</v>
      </c>
      <c r="C1450" s="3" t="s">
        <v>1913</v>
      </c>
      <c r="I1450" s="3">
        <v>22</v>
      </c>
      <c r="J1450" s="3">
        <v>4</v>
      </c>
      <c r="K1450" s="3">
        <v>2</v>
      </c>
      <c r="L1450" s="3">
        <v>8</v>
      </c>
      <c r="M1450" s="3">
        <v>3375</v>
      </c>
      <c r="N1450" s="3">
        <v>27</v>
      </c>
      <c r="O1450" s="3">
        <v>2.98</v>
      </c>
      <c r="P1450" s="3">
        <v>80.459999999999994</v>
      </c>
      <c r="Q1450" s="3">
        <v>3375</v>
      </c>
    </row>
    <row r="1451" spans="1:17" ht="24.95" hidden="1" customHeight="1" x14ac:dyDescent="0.25">
      <c r="A1451" s="3">
        <v>5</v>
      </c>
      <c r="B1451" s="3" t="s">
        <v>442</v>
      </c>
      <c r="C1451" s="3" t="s">
        <v>1914</v>
      </c>
      <c r="I1451" s="3">
        <v>10</v>
      </c>
      <c r="J1451" s="3">
        <v>40</v>
      </c>
      <c r="K1451" s="3">
        <v>2</v>
      </c>
      <c r="L1451" s="3">
        <v>80</v>
      </c>
      <c r="M1451" s="3">
        <v>1520</v>
      </c>
      <c r="N1451" s="3">
        <v>121.6</v>
      </c>
      <c r="O1451" s="3">
        <v>0.61699999999999999</v>
      </c>
      <c r="P1451" s="3">
        <v>75.027199999999993</v>
      </c>
      <c r="Q1451" s="3">
        <v>1520</v>
      </c>
    </row>
    <row r="1452" spans="1:17" ht="24.95" hidden="1" customHeight="1" x14ac:dyDescent="0.25">
      <c r="A1452" s="3">
        <v>5</v>
      </c>
      <c r="B1452" s="3" t="s">
        <v>443</v>
      </c>
      <c r="C1452" s="3" t="s">
        <v>1915</v>
      </c>
      <c r="I1452" s="3">
        <v>25</v>
      </c>
      <c r="J1452" s="3">
        <v>4</v>
      </c>
      <c r="K1452" s="3">
        <v>1</v>
      </c>
      <c r="L1452" s="3">
        <v>4</v>
      </c>
      <c r="M1452" s="3">
        <v>7825</v>
      </c>
      <c r="N1452" s="3">
        <v>31.3</v>
      </c>
      <c r="O1452" s="3">
        <v>3.85</v>
      </c>
      <c r="P1452" s="3">
        <v>120.50500000000001</v>
      </c>
      <c r="Q1452" s="3">
        <v>7825</v>
      </c>
    </row>
    <row r="1453" spans="1:17" ht="24.95" hidden="1" customHeight="1" x14ac:dyDescent="0.25">
      <c r="A1453" s="3">
        <v>5</v>
      </c>
      <c r="B1453" s="3" t="s">
        <v>443</v>
      </c>
      <c r="C1453" s="3" t="s">
        <v>1916</v>
      </c>
      <c r="I1453" s="3">
        <v>25</v>
      </c>
      <c r="J1453" s="3">
        <v>4</v>
      </c>
      <c r="K1453" s="3">
        <v>1</v>
      </c>
      <c r="L1453" s="3">
        <v>4</v>
      </c>
      <c r="M1453" s="3">
        <v>11000</v>
      </c>
      <c r="N1453" s="3">
        <v>44</v>
      </c>
      <c r="O1453" s="3">
        <v>3.85</v>
      </c>
      <c r="P1453" s="3">
        <v>169.4</v>
      </c>
      <c r="Q1453" s="3">
        <v>11000</v>
      </c>
    </row>
    <row r="1454" spans="1:17" ht="24.95" hidden="1" customHeight="1" x14ac:dyDescent="0.25">
      <c r="A1454" s="3">
        <v>5</v>
      </c>
      <c r="B1454" s="3" t="s">
        <v>443</v>
      </c>
      <c r="C1454" s="3" t="s">
        <v>1917</v>
      </c>
      <c r="I1454" s="3">
        <v>25</v>
      </c>
      <c r="J1454" s="3">
        <v>2</v>
      </c>
      <c r="K1454" s="3">
        <v>1</v>
      </c>
      <c r="L1454" s="3">
        <v>2</v>
      </c>
      <c r="M1454" s="3">
        <v>11000</v>
      </c>
      <c r="N1454" s="3">
        <v>22</v>
      </c>
      <c r="O1454" s="3">
        <v>3.85</v>
      </c>
      <c r="P1454" s="3">
        <v>84.7</v>
      </c>
      <c r="Q1454" s="3">
        <v>11000</v>
      </c>
    </row>
    <row r="1455" spans="1:17" ht="24.95" hidden="1" customHeight="1" x14ac:dyDescent="0.25">
      <c r="A1455" s="3">
        <v>5</v>
      </c>
      <c r="B1455" s="3" t="s">
        <v>443</v>
      </c>
      <c r="C1455" s="3" t="s">
        <v>1918</v>
      </c>
      <c r="I1455" s="3">
        <v>25</v>
      </c>
      <c r="J1455" s="3">
        <v>2</v>
      </c>
      <c r="K1455" s="3">
        <v>1</v>
      </c>
      <c r="L1455" s="3">
        <v>2</v>
      </c>
      <c r="M1455" s="3">
        <v>4650</v>
      </c>
      <c r="N1455" s="3">
        <v>9.3000000000000007</v>
      </c>
      <c r="O1455" s="3">
        <v>3.85</v>
      </c>
      <c r="P1455" s="3">
        <v>35.805000000000007</v>
      </c>
      <c r="Q1455" s="3">
        <v>4650</v>
      </c>
    </row>
    <row r="1456" spans="1:17" ht="24.95" hidden="1" customHeight="1" x14ac:dyDescent="0.25">
      <c r="A1456" s="3">
        <v>5</v>
      </c>
      <c r="B1456" s="3" t="s">
        <v>443</v>
      </c>
      <c r="C1456" s="3" t="s">
        <v>1919</v>
      </c>
      <c r="I1456" s="3">
        <v>25</v>
      </c>
      <c r="J1456" s="3">
        <v>3</v>
      </c>
      <c r="K1456" s="3">
        <v>1</v>
      </c>
      <c r="L1456" s="3">
        <v>3</v>
      </c>
      <c r="M1456" s="3">
        <v>8000</v>
      </c>
      <c r="N1456" s="3">
        <v>24</v>
      </c>
      <c r="O1456" s="3">
        <v>3.85</v>
      </c>
      <c r="P1456" s="3">
        <v>92.4</v>
      </c>
      <c r="Q1456" s="3">
        <v>8000</v>
      </c>
    </row>
    <row r="1457" spans="1:17" ht="24.95" hidden="1" customHeight="1" x14ac:dyDescent="0.25">
      <c r="A1457" s="3">
        <v>5</v>
      </c>
      <c r="B1457" s="3" t="s">
        <v>443</v>
      </c>
      <c r="C1457" s="3" t="s">
        <v>1920</v>
      </c>
      <c r="I1457" s="3">
        <v>25</v>
      </c>
      <c r="J1457" s="3">
        <v>3</v>
      </c>
      <c r="K1457" s="3">
        <v>1</v>
      </c>
      <c r="L1457" s="3">
        <v>3</v>
      </c>
      <c r="M1457" s="3">
        <v>8000</v>
      </c>
      <c r="N1457" s="3">
        <v>24</v>
      </c>
      <c r="O1457" s="3">
        <v>3.85</v>
      </c>
      <c r="P1457" s="3">
        <v>92.4</v>
      </c>
      <c r="Q1457" s="3">
        <v>8000</v>
      </c>
    </row>
    <row r="1458" spans="1:17" ht="24.95" hidden="1" customHeight="1" x14ac:dyDescent="0.25">
      <c r="A1458" s="3">
        <v>5</v>
      </c>
      <c r="B1458" s="3" t="s">
        <v>443</v>
      </c>
      <c r="C1458" s="3" t="s">
        <v>1921</v>
      </c>
      <c r="I1458" s="3">
        <v>25</v>
      </c>
      <c r="J1458" s="3">
        <v>2</v>
      </c>
      <c r="K1458" s="3">
        <v>1</v>
      </c>
      <c r="L1458" s="3">
        <v>2</v>
      </c>
      <c r="M1458" s="3">
        <v>5320</v>
      </c>
      <c r="N1458" s="3">
        <v>10.64</v>
      </c>
      <c r="O1458" s="3">
        <v>3.85</v>
      </c>
      <c r="P1458" s="3">
        <v>40.964000000000006</v>
      </c>
      <c r="Q1458" s="3">
        <v>5320</v>
      </c>
    </row>
    <row r="1459" spans="1:17" ht="24.95" hidden="1" customHeight="1" x14ac:dyDescent="0.25">
      <c r="A1459" s="3">
        <v>5</v>
      </c>
      <c r="B1459" s="3" t="s">
        <v>443</v>
      </c>
      <c r="C1459" s="3" t="s">
        <v>1922</v>
      </c>
      <c r="I1459" s="3">
        <v>25</v>
      </c>
      <c r="J1459" s="3">
        <v>4</v>
      </c>
      <c r="K1459" s="3">
        <v>1</v>
      </c>
      <c r="L1459" s="3">
        <v>4</v>
      </c>
      <c r="M1459" s="3">
        <v>8000</v>
      </c>
      <c r="N1459" s="3">
        <v>32</v>
      </c>
      <c r="O1459" s="3">
        <v>3.85</v>
      </c>
      <c r="P1459" s="3">
        <v>123.2</v>
      </c>
      <c r="Q1459" s="3">
        <v>8000</v>
      </c>
    </row>
    <row r="1460" spans="1:17" ht="24.95" hidden="1" customHeight="1" x14ac:dyDescent="0.25">
      <c r="A1460" s="3">
        <v>5</v>
      </c>
      <c r="B1460" s="3" t="s">
        <v>443</v>
      </c>
      <c r="C1460" s="3" t="s">
        <v>1923</v>
      </c>
      <c r="I1460" s="3">
        <v>25</v>
      </c>
      <c r="J1460" s="3">
        <v>2</v>
      </c>
      <c r="K1460" s="3">
        <v>1</v>
      </c>
      <c r="L1460" s="3">
        <v>2</v>
      </c>
      <c r="M1460" s="3">
        <v>9460</v>
      </c>
      <c r="N1460" s="3">
        <v>18.920000000000002</v>
      </c>
      <c r="O1460" s="3">
        <v>3.85</v>
      </c>
      <c r="P1460" s="3">
        <v>72.842000000000013</v>
      </c>
      <c r="Q1460" s="3">
        <v>9460</v>
      </c>
    </row>
    <row r="1461" spans="1:17" ht="24.95" hidden="1" customHeight="1" x14ac:dyDescent="0.25">
      <c r="A1461" s="3">
        <v>5</v>
      </c>
      <c r="B1461" s="3" t="s">
        <v>443</v>
      </c>
      <c r="C1461" s="3" t="s">
        <v>1924</v>
      </c>
      <c r="I1461" s="3">
        <v>25</v>
      </c>
      <c r="J1461" s="3">
        <v>2</v>
      </c>
      <c r="K1461" s="3">
        <v>1</v>
      </c>
      <c r="L1461" s="3">
        <v>2</v>
      </c>
      <c r="M1461" s="3">
        <v>5000</v>
      </c>
      <c r="N1461" s="3">
        <v>10</v>
      </c>
      <c r="O1461" s="3">
        <v>3.85</v>
      </c>
      <c r="P1461" s="3">
        <v>38.5</v>
      </c>
      <c r="Q1461" s="3">
        <v>5000</v>
      </c>
    </row>
    <row r="1462" spans="1:17" ht="24.95" hidden="1" customHeight="1" x14ac:dyDescent="0.25">
      <c r="A1462" s="3">
        <v>5</v>
      </c>
      <c r="B1462" s="3" t="s">
        <v>443</v>
      </c>
      <c r="C1462" s="3" t="s">
        <v>1925</v>
      </c>
      <c r="I1462" s="3">
        <v>32</v>
      </c>
      <c r="J1462" s="3">
        <v>32</v>
      </c>
      <c r="K1462" s="3">
        <v>1</v>
      </c>
      <c r="L1462" s="3">
        <v>32</v>
      </c>
      <c r="M1462" s="3">
        <v>490</v>
      </c>
      <c r="N1462" s="3">
        <v>15.68</v>
      </c>
      <c r="O1462" s="3">
        <v>6.31</v>
      </c>
      <c r="P1462" s="3">
        <v>98.940799999999996</v>
      </c>
      <c r="Q1462" s="3">
        <v>490</v>
      </c>
    </row>
    <row r="1463" spans="1:17" ht="24.95" hidden="1" customHeight="1" x14ac:dyDescent="0.25">
      <c r="A1463" s="3">
        <v>5</v>
      </c>
      <c r="B1463" s="3" t="s">
        <v>443</v>
      </c>
      <c r="C1463" s="3" t="s">
        <v>1926</v>
      </c>
      <c r="I1463" s="3">
        <v>25</v>
      </c>
      <c r="J1463" s="3">
        <v>2</v>
      </c>
      <c r="K1463" s="3">
        <v>1</v>
      </c>
      <c r="L1463" s="3">
        <v>2</v>
      </c>
      <c r="M1463" s="3">
        <v>6380</v>
      </c>
      <c r="N1463" s="3">
        <v>12.76</v>
      </c>
      <c r="O1463" s="3">
        <v>3.85</v>
      </c>
      <c r="P1463" s="3">
        <v>49.125999999999998</v>
      </c>
      <c r="Q1463" s="3">
        <v>6380</v>
      </c>
    </row>
    <row r="1464" spans="1:17" ht="24.95" hidden="1" customHeight="1" x14ac:dyDescent="0.25">
      <c r="A1464" s="3">
        <v>5</v>
      </c>
      <c r="B1464" s="3" t="s">
        <v>443</v>
      </c>
      <c r="C1464" s="3" t="s">
        <v>1927</v>
      </c>
      <c r="I1464" s="3">
        <v>25</v>
      </c>
      <c r="J1464" s="3">
        <v>4</v>
      </c>
      <c r="K1464" s="3">
        <v>1</v>
      </c>
      <c r="L1464" s="3">
        <v>4</v>
      </c>
      <c r="M1464" s="3">
        <v>6700</v>
      </c>
      <c r="N1464" s="3">
        <v>26.8</v>
      </c>
      <c r="O1464" s="3">
        <v>3.85</v>
      </c>
      <c r="P1464" s="3">
        <v>103.18</v>
      </c>
      <c r="Q1464" s="3">
        <v>6700</v>
      </c>
    </row>
    <row r="1465" spans="1:17" ht="24.95" hidden="1" customHeight="1" x14ac:dyDescent="0.25">
      <c r="A1465" s="3">
        <v>5</v>
      </c>
      <c r="B1465" s="3" t="s">
        <v>443</v>
      </c>
      <c r="C1465" s="3" t="s">
        <v>1928</v>
      </c>
      <c r="I1465" s="3">
        <v>25</v>
      </c>
      <c r="J1465" s="3">
        <v>6</v>
      </c>
      <c r="K1465" s="3">
        <v>1</v>
      </c>
      <c r="L1465" s="3">
        <v>6</v>
      </c>
      <c r="M1465" s="3">
        <v>3650</v>
      </c>
      <c r="N1465" s="3">
        <v>21.9</v>
      </c>
      <c r="O1465" s="3">
        <v>3.85</v>
      </c>
      <c r="P1465" s="3">
        <v>84.314999999999998</v>
      </c>
      <c r="Q1465" s="3">
        <v>3650</v>
      </c>
    </row>
    <row r="1466" spans="1:17" ht="24.95" hidden="1" customHeight="1" x14ac:dyDescent="0.25">
      <c r="A1466" s="3">
        <v>5</v>
      </c>
      <c r="B1466" s="3" t="s">
        <v>443</v>
      </c>
      <c r="C1466" s="3" t="s">
        <v>1929</v>
      </c>
      <c r="I1466" s="3">
        <v>25</v>
      </c>
      <c r="J1466" s="3">
        <v>8</v>
      </c>
      <c r="K1466" s="3">
        <v>1</v>
      </c>
      <c r="L1466" s="3">
        <v>8</v>
      </c>
      <c r="M1466" s="3">
        <v>3000</v>
      </c>
      <c r="N1466" s="3">
        <v>24</v>
      </c>
      <c r="O1466" s="3">
        <v>3.85</v>
      </c>
      <c r="P1466" s="3">
        <v>92.4</v>
      </c>
      <c r="Q1466" s="3">
        <v>3000</v>
      </c>
    </row>
    <row r="1467" spans="1:17" ht="24.95" hidden="1" customHeight="1" x14ac:dyDescent="0.25">
      <c r="A1467" s="3">
        <v>5</v>
      </c>
      <c r="B1467" s="3" t="s">
        <v>443</v>
      </c>
      <c r="C1467" s="3" t="s">
        <v>1930</v>
      </c>
      <c r="I1467" s="3">
        <v>25</v>
      </c>
      <c r="J1467" s="3">
        <v>6</v>
      </c>
      <c r="K1467" s="3">
        <v>1</v>
      </c>
      <c r="L1467" s="3">
        <v>6</v>
      </c>
      <c r="M1467" s="3">
        <v>5000</v>
      </c>
      <c r="N1467" s="3">
        <v>30</v>
      </c>
      <c r="O1467" s="3">
        <v>3.85</v>
      </c>
      <c r="P1467" s="3">
        <v>115.5</v>
      </c>
      <c r="Q1467" s="3">
        <v>5000</v>
      </c>
    </row>
    <row r="1468" spans="1:17" ht="24.95" hidden="1" customHeight="1" x14ac:dyDescent="0.25">
      <c r="A1468" s="3">
        <v>5</v>
      </c>
      <c r="B1468" s="3" t="s">
        <v>443</v>
      </c>
      <c r="C1468" s="3" t="s">
        <v>1931</v>
      </c>
      <c r="I1468" s="3">
        <v>32</v>
      </c>
      <c r="J1468" s="3">
        <v>3</v>
      </c>
      <c r="K1468" s="3">
        <v>1</v>
      </c>
      <c r="L1468" s="3">
        <v>3</v>
      </c>
      <c r="M1468" s="3">
        <v>490</v>
      </c>
      <c r="N1468" s="3">
        <v>1.47</v>
      </c>
      <c r="O1468" s="3">
        <v>6.31</v>
      </c>
      <c r="P1468" s="3">
        <v>9.2756999999999987</v>
      </c>
      <c r="Q1468" s="3">
        <v>490</v>
      </c>
    </row>
    <row r="1469" spans="1:17" ht="24.95" hidden="1" customHeight="1" x14ac:dyDescent="0.25">
      <c r="A1469" s="3">
        <v>5</v>
      </c>
      <c r="B1469" s="3" t="s">
        <v>443</v>
      </c>
      <c r="C1469" s="3" t="s">
        <v>1932</v>
      </c>
      <c r="I1469" s="3">
        <v>10</v>
      </c>
      <c r="J1469" s="3">
        <v>262</v>
      </c>
      <c r="K1469" s="3">
        <v>1</v>
      </c>
      <c r="L1469" s="3">
        <v>262</v>
      </c>
      <c r="M1469" s="3">
        <v>690</v>
      </c>
      <c r="N1469" s="3">
        <v>180.78</v>
      </c>
      <c r="O1469" s="3">
        <v>0.61699999999999999</v>
      </c>
      <c r="P1469" s="3">
        <v>111.54125999999999</v>
      </c>
      <c r="Q1469" s="3">
        <v>690</v>
      </c>
    </row>
    <row r="1470" spans="1:17" ht="24.95" hidden="1" customHeight="1" x14ac:dyDescent="0.25">
      <c r="A1470" s="3">
        <v>5</v>
      </c>
      <c r="B1470" s="3" t="s">
        <v>443</v>
      </c>
      <c r="C1470" s="3" t="s">
        <v>1933</v>
      </c>
      <c r="I1470" s="3">
        <v>10</v>
      </c>
      <c r="J1470" s="3">
        <v>131</v>
      </c>
      <c r="K1470" s="3">
        <v>1</v>
      </c>
      <c r="L1470" s="3">
        <v>131</v>
      </c>
      <c r="M1470" s="3">
        <v>2160</v>
      </c>
      <c r="N1470" s="3">
        <v>282.95999999999998</v>
      </c>
      <c r="O1470" s="3">
        <v>0.61699999999999999</v>
      </c>
      <c r="P1470" s="3">
        <v>174.58631999999997</v>
      </c>
      <c r="Q1470" s="3">
        <v>2160</v>
      </c>
    </row>
    <row r="1471" spans="1:17" ht="24.95" hidden="1" customHeight="1" x14ac:dyDescent="0.25">
      <c r="A1471" s="3">
        <v>5</v>
      </c>
      <c r="B1471" s="3" t="s">
        <v>444</v>
      </c>
      <c r="C1471" s="3" t="s">
        <v>1934</v>
      </c>
      <c r="I1471" s="3">
        <v>32</v>
      </c>
      <c r="J1471" s="3">
        <v>2</v>
      </c>
      <c r="K1471" s="3">
        <v>1</v>
      </c>
      <c r="L1471" s="3">
        <v>2</v>
      </c>
      <c r="M1471" s="3">
        <v>11700</v>
      </c>
      <c r="N1471" s="3">
        <v>23.4</v>
      </c>
      <c r="O1471" s="3">
        <v>6.31</v>
      </c>
      <c r="P1471" s="3">
        <v>147.65399999999997</v>
      </c>
      <c r="Q1471" s="3">
        <v>11700</v>
      </c>
    </row>
    <row r="1472" spans="1:17" ht="24.95" hidden="1" customHeight="1" x14ac:dyDescent="0.25">
      <c r="A1472" s="3">
        <v>5</v>
      </c>
      <c r="B1472" s="3" t="s">
        <v>444</v>
      </c>
      <c r="C1472" s="3" t="s">
        <v>1935</v>
      </c>
      <c r="I1472" s="3">
        <v>32</v>
      </c>
      <c r="J1472" s="3">
        <v>2</v>
      </c>
      <c r="K1472" s="3">
        <v>1</v>
      </c>
      <c r="L1472" s="3">
        <v>2</v>
      </c>
      <c r="M1472" s="3">
        <v>5850</v>
      </c>
      <c r="N1472" s="3">
        <v>11.7</v>
      </c>
      <c r="O1472" s="3">
        <v>6.31</v>
      </c>
      <c r="P1472" s="3">
        <v>73.826999999999984</v>
      </c>
      <c r="Q1472" s="3">
        <v>5850</v>
      </c>
    </row>
    <row r="1473" spans="1:17" ht="24.95" hidden="1" customHeight="1" x14ac:dyDescent="0.25">
      <c r="A1473" s="3">
        <v>5</v>
      </c>
      <c r="B1473" s="3" t="s">
        <v>444</v>
      </c>
      <c r="C1473" s="3" t="s">
        <v>1936</v>
      </c>
      <c r="I1473" s="3">
        <v>32</v>
      </c>
      <c r="J1473" s="3">
        <v>2</v>
      </c>
      <c r="K1473" s="3">
        <v>1</v>
      </c>
      <c r="L1473" s="3">
        <v>2</v>
      </c>
      <c r="M1473" s="3">
        <v>10290</v>
      </c>
      <c r="N1473" s="3">
        <v>20.58</v>
      </c>
      <c r="O1473" s="3">
        <v>6.31</v>
      </c>
      <c r="P1473" s="3">
        <v>129.85979999999998</v>
      </c>
      <c r="Q1473" s="3">
        <v>10290</v>
      </c>
    </row>
    <row r="1474" spans="1:17" ht="24.95" hidden="1" customHeight="1" x14ac:dyDescent="0.25">
      <c r="A1474" s="3">
        <v>5</v>
      </c>
      <c r="B1474" s="3" t="s">
        <v>444</v>
      </c>
      <c r="C1474" s="3" t="s">
        <v>1937</v>
      </c>
      <c r="I1474" s="3">
        <v>32</v>
      </c>
      <c r="J1474" s="3">
        <v>2</v>
      </c>
      <c r="K1474" s="3">
        <v>1</v>
      </c>
      <c r="L1474" s="3">
        <v>2</v>
      </c>
      <c r="M1474" s="3">
        <v>3270</v>
      </c>
      <c r="N1474" s="3">
        <v>6.54</v>
      </c>
      <c r="O1474" s="3">
        <v>6.31</v>
      </c>
      <c r="P1474" s="3">
        <v>41.267399999999995</v>
      </c>
      <c r="Q1474" s="3">
        <v>3270</v>
      </c>
    </row>
    <row r="1475" spans="1:17" ht="24.95" hidden="1" customHeight="1" x14ac:dyDescent="0.25">
      <c r="A1475" s="3">
        <v>5</v>
      </c>
      <c r="B1475" s="3" t="s">
        <v>444</v>
      </c>
      <c r="C1475" s="3" t="s">
        <v>1938</v>
      </c>
      <c r="I1475" s="3">
        <v>32</v>
      </c>
      <c r="J1475" s="3">
        <v>2</v>
      </c>
      <c r="K1475" s="3">
        <v>1</v>
      </c>
      <c r="L1475" s="3">
        <v>2</v>
      </c>
      <c r="M1475" s="3">
        <v>6580</v>
      </c>
      <c r="N1475" s="3">
        <v>13.16</v>
      </c>
      <c r="O1475" s="3">
        <v>6.31</v>
      </c>
      <c r="P1475" s="3">
        <v>83.039599999999993</v>
      </c>
      <c r="Q1475" s="3">
        <v>6580</v>
      </c>
    </row>
    <row r="1476" spans="1:17" ht="24.95" hidden="1" customHeight="1" x14ac:dyDescent="0.25">
      <c r="A1476" s="3">
        <v>5</v>
      </c>
      <c r="B1476" s="3" t="s">
        <v>444</v>
      </c>
      <c r="C1476" s="3" t="s">
        <v>1939</v>
      </c>
      <c r="I1476" s="3">
        <v>32</v>
      </c>
      <c r="J1476" s="3">
        <v>2</v>
      </c>
      <c r="K1476" s="3">
        <v>1</v>
      </c>
      <c r="L1476" s="3">
        <v>2</v>
      </c>
      <c r="M1476" s="3">
        <v>11000</v>
      </c>
      <c r="N1476" s="3">
        <v>22</v>
      </c>
      <c r="O1476" s="3">
        <v>6.31</v>
      </c>
      <c r="P1476" s="3">
        <v>138.82</v>
      </c>
      <c r="Q1476" s="3">
        <v>11000</v>
      </c>
    </row>
    <row r="1477" spans="1:17" ht="24.95" hidden="1" customHeight="1" x14ac:dyDescent="0.25">
      <c r="A1477" s="3">
        <v>5</v>
      </c>
      <c r="B1477" s="3" t="s">
        <v>444</v>
      </c>
      <c r="C1477" s="3" t="s">
        <v>1940</v>
      </c>
      <c r="I1477" s="3">
        <v>32</v>
      </c>
      <c r="J1477" s="3">
        <v>2</v>
      </c>
      <c r="K1477" s="3">
        <v>1</v>
      </c>
      <c r="L1477" s="3">
        <v>2</v>
      </c>
      <c r="M1477" s="3">
        <v>8430</v>
      </c>
      <c r="N1477" s="3">
        <v>16.86</v>
      </c>
      <c r="O1477" s="3">
        <v>6.31</v>
      </c>
      <c r="P1477" s="3">
        <v>106.38659999999999</v>
      </c>
      <c r="Q1477" s="3">
        <v>8430</v>
      </c>
    </row>
    <row r="1478" spans="1:17" ht="24.95" hidden="1" customHeight="1" x14ac:dyDescent="0.25">
      <c r="A1478" s="3">
        <v>5</v>
      </c>
      <c r="B1478" s="3" t="s">
        <v>444</v>
      </c>
      <c r="C1478" s="3" t="s">
        <v>1941</v>
      </c>
      <c r="I1478" s="3">
        <v>32</v>
      </c>
      <c r="J1478" s="3">
        <v>3</v>
      </c>
      <c r="K1478" s="3">
        <v>1</v>
      </c>
      <c r="L1478" s="3">
        <v>3</v>
      </c>
      <c r="M1478" s="3">
        <v>7900</v>
      </c>
      <c r="N1478" s="3">
        <v>23.7</v>
      </c>
      <c r="O1478" s="3">
        <v>6.31</v>
      </c>
      <c r="P1478" s="3">
        <v>149.547</v>
      </c>
      <c r="Q1478" s="3">
        <v>7900</v>
      </c>
    </row>
    <row r="1479" spans="1:17" ht="24.95" hidden="1" customHeight="1" x14ac:dyDescent="0.25">
      <c r="A1479" s="3">
        <v>5</v>
      </c>
      <c r="B1479" s="3" t="s">
        <v>444</v>
      </c>
      <c r="C1479" s="3" t="s">
        <v>1942</v>
      </c>
      <c r="I1479" s="3">
        <v>32</v>
      </c>
      <c r="J1479" s="3">
        <v>3</v>
      </c>
      <c r="K1479" s="3">
        <v>1</v>
      </c>
      <c r="L1479" s="3">
        <v>3</v>
      </c>
      <c r="M1479" s="3">
        <v>7900</v>
      </c>
      <c r="N1479" s="3">
        <v>23.7</v>
      </c>
      <c r="O1479" s="3">
        <v>6.31</v>
      </c>
      <c r="P1479" s="3">
        <v>149.547</v>
      </c>
      <c r="Q1479" s="3">
        <v>7900</v>
      </c>
    </row>
    <row r="1480" spans="1:17" ht="24.95" hidden="1" customHeight="1" x14ac:dyDescent="0.25">
      <c r="A1480" s="3">
        <v>5</v>
      </c>
      <c r="B1480" s="3" t="s">
        <v>444</v>
      </c>
      <c r="C1480" s="3" t="s">
        <v>1943</v>
      </c>
      <c r="I1480" s="3">
        <v>25</v>
      </c>
      <c r="J1480" s="3">
        <v>2</v>
      </c>
      <c r="K1480" s="3">
        <v>1</v>
      </c>
      <c r="L1480" s="3">
        <v>2</v>
      </c>
      <c r="M1480" s="3">
        <v>7900</v>
      </c>
      <c r="N1480" s="3">
        <v>15.8</v>
      </c>
      <c r="O1480" s="3">
        <v>3.85</v>
      </c>
      <c r="P1480" s="3">
        <v>60.830000000000005</v>
      </c>
      <c r="Q1480" s="3">
        <v>7900</v>
      </c>
    </row>
    <row r="1481" spans="1:17" ht="24.95" hidden="1" customHeight="1" x14ac:dyDescent="0.25">
      <c r="A1481" s="3">
        <v>5</v>
      </c>
      <c r="B1481" s="3" t="s">
        <v>444</v>
      </c>
      <c r="C1481" s="3" t="s">
        <v>1944</v>
      </c>
      <c r="I1481" s="3">
        <v>25</v>
      </c>
      <c r="J1481" s="3">
        <v>2</v>
      </c>
      <c r="K1481" s="3">
        <v>1</v>
      </c>
      <c r="L1481" s="3">
        <v>2</v>
      </c>
      <c r="M1481" s="3">
        <v>7900</v>
      </c>
      <c r="N1481" s="3">
        <v>15.8</v>
      </c>
      <c r="O1481" s="3">
        <v>3.85</v>
      </c>
      <c r="P1481" s="3">
        <v>60.830000000000005</v>
      </c>
      <c r="Q1481" s="3">
        <v>7900</v>
      </c>
    </row>
    <row r="1482" spans="1:17" ht="24.95" hidden="1" customHeight="1" x14ac:dyDescent="0.25">
      <c r="A1482" s="3">
        <v>5</v>
      </c>
      <c r="B1482" s="3" t="s">
        <v>444</v>
      </c>
      <c r="C1482" s="3" t="s">
        <v>1945</v>
      </c>
      <c r="I1482" s="3">
        <v>32</v>
      </c>
      <c r="J1482" s="3">
        <v>2</v>
      </c>
      <c r="K1482" s="3">
        <v>1</v>
      </c>
      <c r="L1482" s="3">
        <v>2</v>
      </c>
      <c r="M1482" s="3">
        <v>7160</v>
      </c>
      <c r="N1482" s="3">
        <v>14.32</v>
      </c>
      <c r="O1482" s="3">
        <v>6.31</v>
      </c>
      <c r="P1482" s="3">
        <v>90.359200000000001</v>
      </c>
      <c r="Q1482" s="3">
        <v>7160</v>
      </c>
    </row>
    <row r="1483" spans="1:17" ht="24.95" hidden="1" customHeight="1" x14ac:dyDescent="0.25">
      <c r="A1483" s="3">
        <v>5</v>
      </c>
      <c r="B1483" s="3" t="s">
        <v>444</v>
      </c>
      <c r="C1483" s="3" t="s">
        <v>1946</v>
      </c>
      <c r="I1483" s="3">
        <v>32</v>
      </c>
      <c r="J1483" s="3">
        <v>2</v>
      </c>
      <c r="K1483" s="3">
        <v>1</v>
      </c>
      <c r="L1483" s="3">
        <v>2</v>
      </c>
      <c r="M1483" s="3">
        <v>6600</v>
      </c>
      <c r="N1483" s="3">
        <v>13.2</v>
      </c>
      <c r="O1483" s="3">
        <v>6.31</v>
      </c>
      <c r="P1483" s="3">
        <v>83.291999999999987</v>
      </c>
      <c r="Q1483" s="3">
        <v>6600</v>
      </c>
    </row>
    <row r="1484" spans="1:17" ht="24.95" hidden="1" customHeight="1" x14ac:dyDescent="0.25">
      <c r="A1484" s="3">
        <v>5</v>
      </c>
      <c r="B1484" s="3" t="s">
        <v>444</v>
      </c>
      <c r="C1484" s="3" t="s">
        <v>1947</v>
      </c>
      <c r="I1484" s="3">
        <v>32</v>
      </c>
      <c r="J1484" s="3">
        <v>2</v>
      </c>
      <c r="K1484" s="3">
        <v>1</v>
      </c>
      <c r="L1484" s="3">
        <v>2</v>
      </c>
      <c r="M1484" s="3">
        <v>10550</v>
      </c>
      <c r="N1484" s="3">
        <v>21.1</v>
      </c>
      <c r="O1484" s="3">
        <v>6.31</v>
      </c>
      <c r="P1484" s="3">
        <v>133.14099999999999</v>
      </c>
      <c r="Q1484" s="3">
        <v>10550</v>
      </c>
    </row>
    <row r="1485" spans="1:17" ht="24.95" hidden="1" customHeight="1" x14ac:dyDescent="0.25">
      <c r="A1485" s="3">
        <v>5</v>
      </c>
      <c r="B1485" s="3" t="s">
        <v>444</v>
      </c>
      <c r="C1485" s="3" t="s">
        <v>1948</v>
      </c>
      <c r="I1485" s="3">
        <v>32</v>
      </c>
      <c r="J1485" s="3">
        <v>2</v>
      </c>
      <c r="K1485" s="3">
        <v>1</v>
      </c>
      <c r="L1485" s="3">
        <v>2</v>
      </c>
      <c r="M1485" s="3">
        <v>4970</v>
      </c>
      <c r="N1485" s="3">
        <v>9.94</v>
      </c>
      <c r="O1485" s="3">
        <v>6.31</v>
      </c>
      <c r="P1485" s="3">
        <v>62.721399999999996</v>
      </c>
      <c r="Q1485" s="3">
        <v>4970</v>
      </c>
    </row>
    <row r="1486" spans="1:17" ht="24.95" hidden="1" customHeight="1" x14ac:dyDescent="0.25">
      <c r="A1486" s="3">
        <v>5</v>
      </c>
      <c r="B1486" s="3" t="s">
        <v>444</v>
      </c>
      <c r="C1486" s="3" t="s">
        <v>1949</v>
      </c>
      <c r="I1486" s="3">
        <v>32</v>
      </c>
      <c r="J1486" s="3">
        <v>2</v>
      </c>
      <c r="K1486" s="3">
        <v>1</v>
      </c>
      <c r="L1486" s="3">
        <v>2</v>
      </c>
      <c r="M1486" s="3">
        <v>6730</v>
      </c>
      <c r="N1486" s="3">
        <v>13.46</v>
      </c>
      <c r="O1486" s="3">
        <v>6.31</v>
      </c>
      <c r="P1486" s="3">
        <v>84.932599999999994</v>
      </c>
      <c r="Q1486" s="3">
        <v>6730</v>
      </c>
    </row>
    <row r="1487" spans="1:17" ht="24.95" hidden="1" customHeight="1" x14ac:dyDescent="0.25">
      <c r="A1487" s="3">
        <v>5</v>
      </c>
      <c r="B1487" s="3" t="s">
        <v>444</v>
      </c>
      <c r="C1487" s="3" t="s">
        <v>1950</v>
      </c>
      <c r="I1487" s="3">
        <v>32</v>
      </c>
      <c r="J1487" s="3">
        <v>2</v>
      </c>
      <c r="K1487" s="3">
        <v>1</v>
      </c>
      <c r="L1487" s="3">
        <v>2</v>
      </c>
      <c r="M1487" s="3">
        <v>7030</v>
      </c>
      <c r="N1487" s="3">
        <v>14.06</v>
      </c>
      <c r="O1487" s="3">
        <v>6.31</v>
      </c>
      <c r="P1487" s="3">
        <v>88.718599999999995</v>
      </c>
      <c r="Q1487" s="3">
        <v>7030</v>
      </c>
    </row>
    <row r="1488" spans="1:17" ht="24.95" hidden="1" customHeight="1" x14ac:dyDescent="0.25">
      <c r="A1488" s="3">
        <v>5</v>
      </c>
      <c r="B1488" s="3" t="s">
        <v>444</v>
      </c>
      <c r="C1488" s="3" t="s">
        <v>1951</v>
      </c>
      <c r="I1488" s="3">
        <v>32</v>
      </c>
      <c r="J1488" s="3">
        <v>2</v>
      </c>
      <c r="K1488" s="3">
        <v>1</v>
      </c>
      <c r="L1488" s="3">
        <v>2</v>
      </c>
      <c r="M1488" s="3">
        <v>10120</v>
      </c>
      <c r="N1488" s="3">
        <v>20.239999999999998</v>
      </c>
      <c r="O1488" s="3">
        <v>6.31</v>
      </c>
      <c r="P1488" s="3">
        <v>127.71439999999998</v>
      </c>
      <c r="Q1488" s="3">
        <v>10120</v>
      </c>
    </row>
    <row r="1489" spans="1:17" ht="24.95" hidden="1" customHeight="1" x14ac:dyDescent="0.25">
      <c r="A1489" s="3">
        <v>5</v>
      </c>
      <c r="B1489" s="3" t="s">
        <v>444</v>
      </c>
      <c r="C1489" s="3" t="s">
        <v>1952</v>
      </c>
      <c r="I1489" s="3">
        <v>32</v>
      </c>
      <c r="J1489" s="3">
        <v>2</v>
      </c>
      <c r="K1489" s="3">
        <v>1</v>
      </c>
      <c r="L1489" s="3">
        <v>2</v>
      </c>
      <c r="M1489" s="3">
        <v>5400</v>
      </c>
      <c r="N1489" s="3">
        <v>10.8</v>
      </c>
      <c r="O1489" s="3">
        <v>6.31</v>
      </c>
      <c r="P1489" s="3">
        <v>68.147999999999996</v>
      </c>
      <c r="Q1489" s="3">
        <v>5400</v>
      </c>
    </row>
    <row r="1490" spans="1:17" ht="24.95" hidden="1" customHeight="1" x14ac:dyDescent="0.25">
      <c r="A1490" s="3">
        <v>5</v>
      </c>
      <c r="B1490" s="3" t="s">
        <v>444</v>
      </c>
      <c r="C1490" s="3" t="s">
        <v>1953</v>
      </c>
      <c r="I1490" s="3">
        <v>32</v>
      </c>
      <c r="J1490" s="3">
        <v>3</v>
      </c>
      <c r="K1490" s="3">
        <v>1</v>
      </c>
      <c r="L1490" s="3">
        <v>3</v>
      </c>
      <c r="M1490" s="3">
        <v>3930</v>
      </c>
      <c r="N1490" s="3">
        <v>11.79</v>
      </c>
      <c r="O1490" s="3">
        <v>6.31</v>
      </c>
      <c r="P1490" s="3">
        <v>74.394899999999993</v>
      </c>
      <c r="Q1490" s="3">
        <v>3930</v>
      </c>
    </row>
    <row r="1491" spans="1:17" ht="24.95" hidden="1" customHeight="1" x14ac:dyDescent="0.25">
      <c r="A1491" s="3">
        <v>5</v>
      </c>
      <c r="B1491" s="3" t="s">
        <v>444</v>
      </c>
      <c r="C1491" s="3" t="s">
        <v>1954</v>
      </c>
      <c r="I1491" s="3">
        <v>32</v>
      </c>
      <c r="J1491" s="3">
        <v>4</v>
      </c>
      <c r="K1491" s="3">
        <v>1</v>
      </c>
      <c r="L1491" s="3">
        <v>4</v>
      </c>
      <c r="M1491" s="3">
        <v>3280</v>
      </c>
      <c r="N1491" s="3">
        <v>13.12</v>
      </c>
      <c r="O1491" s="3">
        <v>6.31</v>
      </c>
      <c r="P1491" s="3">
        <v>82.787199999999984</v>
      </c>
      <c r="Q1491" s="3">
        <v>3280</v>
      </c>
    </row>
    <row r="1492" spans="1:17" ht="24.95" hidden="1" customHeight="1" x14ac:dyDescent="0.25">
      <c r="A1492" s="3">
        <v>5</v>
      </c>
      <c r="B1492" s="3" t="s">
        <v>444</v>
      </c>
      <c r="C1492" s="3" t="s">
        <v>1955</v>
      </c>
      <c r="I1492" s="3">
        <v>25</v>
      </c>
      <c r="J1492" s="3">
        <v>3</v>
      </c>
      <c r="K1492" s="3">
        <v>1</v>
      </c>
      <c r="L1492" s="3">
        <v>3</v>
      </c>
      <c r="M1492" s="3">
        <v>5100</v>
      </c>
      <c r="N1492" s="3">
        <v>15.3</v>
      </c>
      <c r="O1492" s="3">
        <v>3.85</v>
      </c>
      <c r="P1492" s="3">
        <v>58.905000000000001</v>
      </c>
      <c r="Q1492" s="3">
        <v>5100</v>
      </c>
    </row>
    <row r="1493" spans="1:17" ht="24.95" hidden="1" customHeight="1" x14ac:dyDescent="0.25">
      <c r="A1493" s="3">
        <v>5</v>
      </c>
      <c r="B1493" s="3" t="s">
        <v>444</v>
      </c>
      <c r="C1493" s="3" t="s">
        <v>1956</v>
      </c>
      <c r="I1493" s="3">
        <v>32</v>
      </c>
      <c r="J1493" s="3">
        <v>3</v>
      </c>
      <c r="K1493" s="3">
        <v>1</v>
      </c>
      <c r="L1493" s="3">
        <v>3</v>
      </c>
      <c r="M1493" s="3">
        <v>5100</v>
      </c>
      <c r="N1493" s="3">
        <v>15.3</v>
      </c>
      <c r="O1493" s="3">
        <v>6.31</v>
      </c>
      <c r="P1493" s="3">
        <v>96.542999999999992</v>
      </c>
      <c r="Q1493" s="3">
        <v>5100</v>
      </c>
    </row>
    <row r="1494" spans="1:17" ht="24.95" hidden="1" customHeight="1" x14ac:dyDescent="0.25">
      <c r="A1494" s="3">
        <v>5</v>
      </c>
      <c r="B1494" s="3" t="s">
        <v>444</v>
      </c>
      <c r="C1494" s="3" t="s">
        <v>1957</v>
      </c>
      <c r="I1494" s="3">
        <v>10</v>
      </c>
      <c r="J1494" s="3">
        <v>94</v>
      </c>
      <c r="K1494" s="3">
        <v>1</v>
      </c>
      <c r="L1494" s="3">
        <v>94</v>
      </c>
      <c r="M1494" s="3">
        <v>2560</v>
      </c>
      <c r="N1494" s="3">
        <v>240.64</v>
      </c>
      <c r="O1494" s="3">
        <v>0.61699999999999999</v>
      </c>
      <c r="P1494" s="3">
        <v>148.47487999999998</v>
      </c>
      <c r="Q1494" s="3">
        <v>2560</v>
      </c>
    </row>
    <row r="1495" spans="1:17" ht="24.95" hidden="1" customHeight="1" x14ac:dyDescent="0.25">
      <c r="A1495" s="3">
        <v>5</v>
      </c>
      <c r="B1495" s="3" t="s">
        <v>444</v>
      </c>
      <c r="C1495" s="3" t="s">
        <v>1958</v>
      </c>
      <c r="I1495" s="3">
        <v>10</v>
      </c>
      <c r="J1495" s="3">
        <v>188</v>
      </c>
      <c r="K1495" s="3">
        <v>1</v>
      </c>
      <c r="L1495" s="3">
        <v>188</v>
      </c>
      <c r="M1495" s="3">
        <v>890</v>
      </c>
      <c r="N1495" s="3">
        <v>167.32</v>
      </c>
      <c r="O1495" s="3">
        <v>0.61699999999999999</v>
      </c>
      <c r="P1495" s="3">
        <v>103.23643999999999</v>
      </c>
      <c r="Q1495" s="3">
        <v>890</v>
      </c>
    </row>
    <row r="1496" spans="1:17" ht="24.95" hidden="1" customHeight="1" x14ac:dyDescent="0.25">
      <c r="A1496" s="3">
        <v>5</v>
      </c>
      <c r="B1496" s="3" t="s">
        <v>444</v>
      </c>
      <c r="C1496" s="3" t="s">
        <v>1959</v>
      </c>
      <c r="I1496" s="3">
        <v>12</v>
      </c>
      <c r="J1496" s="3">
        <v>2</v>
      </c>
      <c r="K1496" s="3">
        <v>1</v>
      </c>
      <c r="L1496" s="3">
        <v>2</v>
      </c>
      <c r="M1496" s="3">
        <v>11700</v>
      </c>
      <c r="N1496" s="3">
        <v>23.4</v>
      </c>
      <c r="O1496" s="3">
        <v>0.88800000000000001</v>
      </c>
      <c r="P1496" s="3">
        <v>20.779199999999999</v>
      </c>
      <c r="Q1496" s="3">
        <v>11700</v>
      </c>
    </row>
    <row r="1497" spans="1:17" ht="24.95" hidden="1" customHeight="1" x14ac:dyDescent="0.25">
      <c r="A1497" s="3">
        <v>5</v>
      </c>
      <c r="B1497" s="3" t="s">
        <v>444</v>
      </c>
      <c r="C1497" s="3" t="s">
        <v>1960</v>
      </c>
      <c r="I1497" s="3">
        <v>12</v>
      </c>
      <c r="J1497" s="3">
        <v>2</v>
      </c>
      <c r="K1497" s="3">
        <v>1</v>
      </c>
      <c r="L1497" s="3">
        <v>2</v>
      </c>
      <c r="M1497" s="3">
        <v>11430</v>
      </c>
      <c r="N1497" s="3">
        <v>22.86</v>
      </c>
      <c r="O1497" s="3">
        <v>0.88800000000000001</v>
      </c>
      <c r="P1497" s="3">
        <v>20.299679999999999</v>
      </c>
      <c r="Q1497" s="3">
        <v>11430</v>
      </c>
    </row>
    <row r="1498" spans="1:17" ht="24.95" hidden="1" customHeight="1" x14ac:dyDescent="0.25">
      <c r="A1498" s="3">
        <v>5</v>
      </c>
      <c r="B1498" s="3" t="s">
        <v>444</v>
      </c>
      <c r="C1498" s="3" t="s">
        <v>1961</v>
      </c>
      <c r="I1498" s="3">
        <v>14</v>
      </c>
      <c r="J1498" s="3">
        <v>74</v>
      </c>
      <c r="K1498" s="3">
        <v>1</v>
      </c>
      <c r="L1498" s="3">
        <v>74</v>
      </c>
      <c r="M1498" s="3">
        <v>770</v>
      </c>
      <c r="N1498" s="3">
        <v>56.98</v>
      </c>
      <c r="O1498" s="3">
        <v>1.21</v>
      </c>
      <c r="P1498" s="3">
        <v>68.945799999999991</v>
      </c>
      <c r="Q1498" s="3">
        <v>770</v>
      </c>
    </row>
    <row r="1499" spans="1:17" ht="24.95" hidden="1" customHeight="1" x14ac:dyDescent="0.25">
      <c r="A1499" s="3">
        <v>5</v>
      </c>
      <c r="B1499" s="3" t="s">
        <v>445</v>
      </c>
      <c r="C1499" s="3" t="s">
        <v>1962</v>
      </c>
      <c r="I1499" s="3">
        <v>25</v>
      </c>
      <c r="J1499" s="3">
        <v>2</v>
      </c>
      <c r="K1499" s="3">
        <v>1</v>
      </c>
      <c r="L1499" s="3">
        <v>2</v>
      </c>
      <c r="M1499" s="3">
        <v>11000</v>
      </c>
      <c r="N1499" s="3">
        <v>22</v>
      </c>
      <c r="O1499" s="3">
        <v>3.85</v>
      </c>
      <c r="P1499" s="3">
        <v>84.7</v>
      </c>
      <c r="Q1499" s="3">
        <v>11000</v>
      </c>
    </row>
    <row r="1500" spans="1:17" ht="24.95" hidden="1" customHeight="1" x14ac:dyDescent="0.25">
      <c r="A1500" s="3">
        <v>5</v>
      </c>
      <c r="B1500" s="3" t="s">
        <v>445</v>
      </c>
      <c r="C1500" s="3" t="s">
        <v>1963</v>
      </c>
      <c r="I1500" s="3">
        <v>25</v>
      </c>
      <c r="J1500" s="3">
        <v>2</v>
      </c>
      <c r="K1500" s="3">
        <v>1</v>
      </c>
      <c r="L1500" s="3">
        <v>2</v>
      </c>
      <c r="M1500" s="3">
        <v>11700</v>
      </c>
      <c r="N1500" s="3">
        <v>23.4</v>
      </c>
      <c r="O1500" s="3">
        <v>3.85</v>
      </c>
      <c r="P1500" s="3">
        <v>90.09</v>
      </c>
      <c r="Q1500" s="3">
        <v>11700</v>
      </c>
    </row>
    <row r="1501" spans="1:17" ht="24.95" hidden="1" customHeight="1" x14ac:dyDescent="0.25">
      <c r="A1501" s="3">
        <v>5</v>
      </c>
      <c r="B1501" s="3" t="s">
        <v>445</v>
      </c>
      <c r="C1501" s="3" t="s">
        <v>1964</v>
      </c>
      <c r="I1501" s="3">
        <v>25</v>
      </c>
      <c r="J1501" s="3">
        <v>2</v>
      </c>
      <c r="K1501" s="3">
        <v>1</v>
      </c>
      <c r="L1501" s="3">
        <v>2</v>
      </c>
      <c r="M1501" s="3">
        <v>2090</v>
      </c>
      <c r="N1501" s="3">
        <v>4.18</v>
      </c>
      <c r="O1501" s="3">
        <v>3.85</v>
      </c>
      <c r="P1501" s="3">
        <v>16.093</v>
      </c>
      <c r="Q1501" s="3">
        <v>2090</v>
      </c>
    </row>
    <row r="1502" spans="1:17" ht="24.95" hidden="1" customHeight="1" x14ac:dyDescent="0.25">
      <c r="A1502" s="3">
        <v>5</v>
      </c>
      <c r="B1502" s="3" t="s">
        <v>445</v>
      </c>
      <c r="C1502" s="3" t="s">
        <v>1965</v>
      </c>
      <c r="I1502" s="3">
        <v>25</v>
      </c>
      <c r="J1502" s="3">
        <v>2</v>
      </c>
      <c r="K1502" s="3">
        <v>1</v>
      </c>
      <c r="L1502" s="3">
        <v>2</v>
      </c>
      <c r="M1502" s="3">
        <v>3900</v>
      </c>
      <c r="N1502" s="3">
        <v>7.8</v>
      </c>
      <c r="O1502" s="3">
        <v>3.85</v>
      </c>
      <c r="P1502" s="3">
        <v>30.03</v>
      </c>
      <c r="Q1502" s="3">
        <v>3900</v>
      </c>
    </row>
    <row r="1503" spans="1:17" ht="24.95" hidden="1" customHeight="1" x14ac:dyDescent="0.25">
      <c r="A1503" s="3">
        <v>5</v>
      </c>
      <c r="B1503" s="3" t="s">
        <v>445</v>
      </c>
      <c r="C1503" s="3" t="s">
        <v>1966</v>
      </c>
      <c r="I1503" s="3">
        <v>25</v>
      </c>
      <c r="J1503" s="3">
        <v>2</v>
      </c>
      <c r="K1503" s="3">
        <v>1</v>
      </c>
      <c r="L1503" s="3">
        <v>2</v>
      </c>
      <c r="M1503" s="3">
        <v>9190</v>
      </c>
      <c r="N1503" s="3">
        <v>18.38</v>
      </c>
      <c r="O1503" s="3">
        <v>3.85</v>
      </c>
      <c r="P1503" s="3">
        <v>70.762999999999991</v>
      </c>
      <c r="Q1503" s="3">
        <v>9190</v>
      </c>
    </row>
    <row r="1504" spans="1:17" ht="24.95" hidden="1" customHeight="1" x14ac:dyDescent="0.25">
      <c r="A1504" s="3">
        <v>5</v>
      </c>
      <c r="B1504" s="3" t="s">
        <v>445</v>
      </c>
      <c r="C1504" s="3" t="s">
        <v>1967</v>
      </c>
      <c r="I1504" s="3">
        <v>25</v>
      </c>
      <c r="J1504" s="3">
        <v>2</v>
      </c>
      <c r="K1504" s="3">
        <v>1</v>
      </c>
      <c r="L1504" s="3">
        <v>2</v>
      </c>
      <c r="M1504" s="3">
        <v>11700</v>
      </c>
      <c r="N1504" s="3">
        <v>23.4</v>
      </c>
      <c r="O1504" s="3">
        <v>3.85</v>
      </c>
      <c r="P1504" s="3">
        <v>90.09</v>
      </c>
      <c r="Q1504" s="3">
        <v>11700</v>
      </c>
    </row>
    <row r="1505" spans="1:17" ht="24.95" hidden="1" customHeight="1" x14ac:dyDescent="0.25">
      <c r="A1505" s="3">
        <v>5</v>
      </c>
      <c r="B1505" s="3" t="s">
        <v>445</v>
      </c>
      <c r="C1505" s="3" t="s">
        <v>1968</v>
      </c>
      <c r="I1505" s="3">
        <v>20</v>
      </c>
      <c r="J1505" s="3">
        <v>3</v>
      </c>
      <c r="K1505" s="3">
        <v>1</v>
      </c>
      <c r="L1505" s="3">
        <v>3</v>
      </c>
      <c r="M1505" s="3">
        <v>11700</v>
      </c>
      <c r="N1505" s="3">
        <v>35.1</v>
      </c>
      <c r="O1505" s="3">
        <v>2.4700000000000002</v>
      </c>
      <c r="P1505" s="3">
        <v>86.697000000000017</v>
      </c>
      <c r="Q1505" s="3">
        <v>11700</v>
      </c>
    </row>
    <row r="1506" spans="1:17" ht="24.95" hidden="1" customHeight="1" x14ac:dyDescent="0.25">
      <c r="A1506" s="3">
        <v>5</v>
      </c>
      <c r="B1506" s="3" t="s">
        <v>445</v>
      </c>
      <c r="C1506" s="3" t="s">
        <v>1969</v>
      </c>
      <c r="I1506" s="3">
        <v>20</v>
      </c>
      <c r="J1506" s="3">
        <v>3</v>
      </c>
      <c r="K1506" s="3">
        <v>1</v>
      </c>
      <c r="L1506" s="3">
        <v>3</v>
      </c>
      <c r="M1506" s="3">
        <v>2150</v>
      </c>
      <c r="N1506" s="3">
        <v>6.45</v>
      </c>
      <c r="O1506" s="3">
        <v>2.4700000000000002</v>
      </c>
      <c r="P1506" s="3">
        <v>15.931500000000002</v>
      </c>
      <c r="Q1506" s="3">
        <v>2150</v>
      </c>
    </row>
    <row r="1507" spans="1:17" ht="24.95" hidden="1" customHeight="1" x14ac:dyDescent="0.25">
      <c r="A1507" s="3">
        <v>5</v>
      </c>
      <c r="B1507" s="3" t="s">
        <v>445</v>
      </c>
      <c r="C1507" s="3" t="s">
        <v>1970</v>
      </c>
      <c r="I1507" s="3">
        <v>25</v>
      </c>
      <c r="J1507" s="3">
        <v>2</v>
      </c>
      <c r="K1507" s="3">
        <v>1</v>
      </c>
      <c r="L1507" s="3">
        <v>2</v>
      </c>
      <c r="M1507" s="3">
        <v>5850</v>
      </c>
      <c r="N1507" s="3">
        <v>11.7</v>
      </c>
      <c r="O1507" s="3">
        <v>3.85</v>
      </c>
      <c r="P1507" s="3">
        <v>45.045000000000002</v>
      </c>
      <c r="Q1507" s="3">
        <v>5850</v>
      </c>
    </row>
    <row r="1508" spans="1:17" ht="24.95" hidden="1" customHeight="1" x14ac:dyDescent="0.25">
      <c r="A1508" s="3">
        <v>5</v>
      </c>
      <c r="B1508" s="3" t="s">
        <v>445</v>
      </c>
      <c r="C1508" s="3" t="s">
        <v>1971</v>
      </c>
      <c r="I1508" s="3">
        <v>25</v>
      </c>
      <c r="J1508" s="3">
        <v>2</v>
      </c>
      <c r="K1508" s="3">
        <v>1</v>
      </c>
      <c r="L1508" s="3">
        <v>2</v>
      </c>
      <c r="M1508" s="3">
        <v>4450</v>
      </c>
      <c r="N1508" s="3">
        <v>8.9</v>
      </c>
      <c r="O1508" s="3">
        <v>3.85</v>
      </c>
      <c r="P1508" s="3">
        <v>34.265000000000001</v>
      </c>
      <c r="Q1508" s="3">
        <v>4450</v>
      </c>
    </row>
    <row r="1509" spans="1:17" ht="24.95" hidden="1" customHeight="1" x14ac:dyDescent="0.25">
      <c r="A1509" s="3">
        <v>5</v>
      </c>
      <c r="B1509" s="3" t="s">
        <v>445</v>
      </c>
      <c r="C1509" s="3" t="s">
        <v>1972</v>
      </c>
      <c r="I1509" s="3">
        <v>25</v>
      </c>
      <c r="J1509" s="3">
        <v>2</v>
      </c>
      <c r="K1509" s="3">
        <v>1</v>
      </c>
      <c r="L1509" s="3">
        <v>2</v>
      </c>
      <c r="M1509" s="3">
        <v>8650</v>
      </c>
      <c r="N1509" s="3">
        <v>17.3</v>
      </c>
      <c r="O1509" s="3">
        <v>3.85</v>
      </c>
      <c r="P1509" s="3">
        <v>66.605000000000004</v>
      </c>
      <c r="Q1509" s="3">
        <v>8650</v>
      </c>
    </row>
    <row r="1510" spans="1:17" ht="24.95" hidden="1" customHeight="1" x14ac:dyDescent="0.25">
      <c r="A1510" s="3">
        <v>5</v>
      </c>
      <c r="B1510" s="3" t="s">
        <v>445</v>
      </c>
      <c r="C1510" s="3" t="s">
        <v>1973</v>
      </c>
      <c r="I1510" s="3">
        <v>25</v>
      </c>
      <c r="J1510" s="3">
        <v>4</v>
      </c>
      <c r="K1510" s="3">
        <v>1</v>
      </c>
      <c r="L1510" s="3">
        <v>4</v>
      </c>
      <c r="M1510" s="3">
        <v>11700</v>
      </c>
      <c r="N1510" s="3">
        <v>46.8</v>
      </c>
      <c r="O1510" s="3">
        <v>3.85</v>
      </c>
      <c r="P1510" s="3">
        <v>180.18</v>
      </c>
      <c r="Q1510" s="3">
        <v>11700</v>
      </c>
    </row>
    <row r="1511" spans="1:17" ht="24.95" hidden="1" customHeight="1" x14ac:dyDescent="0.25">
      <c r="A1511" s="3">
        <v>5</v>
      </c>
      <c r="B1511" s="3" t="s">
        <v>445</v>
      </c>
      <c r="C1511" s="3" t="s">
        <v>1974</v>
      </c>
      <c r="I1511" s="3">
        <v>25</v>
      </c>
      <c r="J1511" s="3">
        <v>2</v>
      </c>
      <c r="K1511" s="3">
        <v>1</v>
      </c>
      <c r="L1511" s="3">
        <v>2</v>
      </c>
      <c r="M1511" s="3">
        <v>7250</v>
      </c>
      <c r="N1511" s="3">
        <v>14.5</v>
      </c>
      <c r="O1511" s="3">
        <v>3.85</v>
      </c>
      <c r="P1511" s="3">
        <v>55.825000000000003</v>
      </c>
      <c r="Q1511" s="3">
        <v>7250</v>
      </c>
    </row>
    <row r="1512" spans="1:17" ht="24.95" hidden="1" customHeight="1" x14ac:dyDescent="0.25">
      <c r="A1512" s="3">
        <v>5</v>
      </c>
      <c r="B1512" s="3" t="s">
        <v>445</v>
      </c>
      <c r="C1512" s="3" t="s">
        <v>1975</v>
      </c>
      <c r="I1512" s="3">
        <v>20</v>
      </c>
      <c r="J1512" s="3">
        <v>3</v>
      </c>
      <c r="K1512" s="3">
        <v>1</v>
      </c>
      <c r="L1512" s="3">
        <v>3</v>
      </c>
      <c r="M1512" s="3">
        <v>7250</v>
      </c>
      <c r="N1512" s="3">
        <v>21.75</v>
      </c>
      <c r="O1512" s="3">
        <v>2.4700000000000002</v>
      </c>
      <c r="P1512" s="3">
        <v>53.722500000000004</v>
      </c>
      <c r="Q1512" s="3">
        <v>7250</v>
      </c>
    </row>
    <row r="1513" spans="1:17" ht="24.95" hidden="1" customHeight="1" x14ac:dyDescent="0.25">
      <c r="A1513" s="3">
        <v>5</v>
      </c>
      <c r="B1513" s="3" t="s">
        <v>445</v>
      </c>
      <c r="C1513" s="3" t="s">
        <v>1976</v>
      </c>
      <c r="I1513" s="3">
        <v>10</v>
      </c>
      <c r="J1513" s="3">
        <v>117</v>
      </c>
      <c r="K1513" s="3">
        <v>1</v>
      </c>
      <c r="L1513" s="3">
        <v>117</v>
      </c>
      <c r="M1513" s="3">
        <v>2560</v>
      </c>
      <c r="N1513" s="3">
        <v>299.52</v>
      </c>
      <c r="O1513" s="3">
        <v>0.61699999999999999</v>
      </c>
      <c r="P1513" s="3">
        <v>184.80383999999998</v>
      </c>
      <c r="Q1513" s="3">
        <v>2560</v>
      </c>
    </row>
    <row r="1514" spans="1:17" ht="24.95" hidden="1" customHeight="1" x14ac:dyDescent="0.25">
      <c r="A1514" s="3">
        <v>5</v>
      </c>
      <c r="B1514" s="3" t="s">
        <v>445</v>
      </c>
      <c r="C1514" s="3" t="s">
        <v>1977</v>
      </c>
      <c r="I1514" s="3">
        <v>10</v>
      </c>
      <c r="J1514" s="3">
        <v>234</v>
      </c>
      <c r="K1514" s="3">
        <v>1</v>
      </c>
      <c r="L1514" s="3">
        <v>234</v>
      </c>
      <c r="M1514" s="3">
        <v>890</v>
      </c>
      <c r="N1514" s="3">
        <v>208.26</v>
      </c>
      <c r="O1514" s="3">
        <v>0.61699999999999999</v>
      </c>
      <c r="P1514" s="3">
        <v>128.49642</v>
      </c>
      <c r="Q1514" s="3">
        <v>890</v>
      </c>
    </row>
    <row r="1515" spans="1:17" ht="24.95" hidden="1" customHeight="1" x14ac:dyDescent="0.25">
      <c r="A1515" s="3">
        <v>5</v>
      </c>
      <c r="B1515" s="3" t="s">
        <v>445</v>
      </c>
      <c r="C1515" s="3" t="s">
        <v>1978</v>
      </c>
      <c r="I1515" s="3">
        <v>12</v>
      </c>
      <c r="J1515" s="3">
        <v>2</v>
      </c>
      <c r="K1515" s="3">
        <v>1</v>
      </c>
      <c r="L1515" s="3">
        <v>2</v>
      </c>
      <c r="M1515" s="3">
        <v>11700</v>
      </c>
      <c r="N1515" s="3">
        <v>23.4</v>
      </c>
      <c r="O1515" s="3">
        <v>0.88800000000000001</v>
      </c>
      <c r="P1515" s="3">
        <v>20.779199999999999</v>
      </c>
      <c r="Q1515" s="3">
        <v>11700</v>
      </c>
    </row>
    <row r="1516" spans="1:17" ht="24.95" hidden="1" customHeight="1" x14ac:dyDescent="0.25">
      <c r="A1516" s="3">
        <v>5</v>
      </c>
      <c r="B1516" s="3" t="s">
        <v>445</v>
      </c>
      <c r="C1516" s="3" t="s">
        <v>1979</v>
      </c>
      <c r="I1516" s="3">
        <v>12</v>
      </c>
      <c r="J1516" s="3">
        <v>2</v>
      </c>
      <c r="K1516" s="3">
        <v>1</v>
      </c>
      <c r="L1516" s="3">
        <v>2</v>
      </c>
      <c r="M1516" s="3">
        <v>9590</v>
      </c>
      <c r="N1516" s="3">
        <v>19.18</v>
      </c>
      <c r="O1516" s="3">
        <v>0.88800000000000001</v>
      </c>
      <c r="P1516" s="3">
        <v>17.031839999999999</v>
      </c>
      <c r="Q1516" s="3">
        <v>9590</v>
      </c>
    </row>
    <row r="1517" spans="1:17" ht="24.95" hidden="1" customHeight="1" x14ac:dyDescent="0.25">
      <c r="A1517" s="3">
        <v>5</v>
      </c>
      <c r="B1517" s="3" t="s">
        <v>445</v>
      </c>
      <c r="C1517" s="3" t="s">
        <v>1980</v>
      </c>
      <c r="I1517" s="3">
        <v>14</v>
      </c>
      <c r="J1517" s="3">
        <v>61</v>
      </c>
      <c r="K1517" s="3">
        <v>1</v>
      </c>
      <c r="L1517" s="3">
        <v>61</v>
      </c>
      <c r="M1517" s="3">
        <v>770</v>
      </c>
      <c r="N1517" s="3">
        <v>46.97</v>
      </c>
      <c r="O1517" s="3">
        <v>1.21</v>
      </c>
      <c r="P1517" s="3">
        <v>56.8337</v>
      </c>
      <c r="Q1517" s="3">
        <v>770</v>
      </c>
    </row>
    <row r="1518" spans="1:17" ht="24.95" hidden="1" customHeight="1" x14ac:dyDescent="0.25">
      <c r="A1518" s="3">
        <v>5</v>
      </c>
      <c r="B1518" s="3" t="s">
        <v>446</v>
      </c>
      <c r="C1518" s="3" t="s">
        <v>1981</v>
      </c>
      <c r="I1518" s="3">
        <v>25</v>
      </c>
      <c r="J1518" s="3">
        <v>3</v>
      </c>
      <c r="K1518" s="3">
        <v>1</v>
      </c>
      <c r="L1518" s="3">
        <v>3</v>
      </c>
      <c r="M1518" s="3">
        <v>11700</v>
      </c>
      <c r="N1518" s="3">
        <v>35.1</v>
      </c>
      <c r="O1518" s="3">
        <v>3.85</v>
      </c>
      <c r="P1518" s="3">
        <v>135.13500000000002</v>
      </c>
      <c r="Q1518" s="3">
        <v>11700</v>
      </c>
    </row>
    <row r="1519" spans="1:17" ht="24.95" hidden="1" customHeight="1" x14ac:dyDescent="0.25">
      <c r="A1519" s="3">
        <v>5</v>
      </c>
      <c r="B1519" s="3" t="s">
        <v>446</v>
      </c>
      <c r="C1519" s="3" t="s">
        <v>1982</v>
      </c>
      <c r="I1519" s="3">
        <v>25</v>
      </c>
      <c r="J1519" s="3">
        <v>3</v>
      </c>
      <c r="K1519" s="3">
        <v>1</v>
      </c>
      <c r="L1519" s="3">
        <v>3</v>
      </c>
      <c r="M1519" s="3">
        <v>5850</v>
      </c>
      <c r="N1519" s="3">
        <v>17.55</v>
      </c>
      <c r="O1519" s="3">
        <v>3.85</v>
      </c>
      <c r="P1519" s="3">
        <v>67.56750000000001</v>
      </c>
      <c r="Q1519" s="3">
        <v>5850</v>
      </c>
    </row>
    <row r="1520" spans="1:17" ht="24.95" hidden="1" customHeight="1" x14ac:dyDescent="0.25">
      <c r="A1520" s="3">
        <v>5</v>
      </c>
      <c r="B1520" s="3" t="s">
        <v>446</v>
      </c>
      <c r="C1520" s="3" t="s">
        <v>1983</v>
      </c>
      <c r="I1520" s="3">
        <v>25</v>
      </c>
      <c r="J1520" s="3">
        <v>3</v>
      </c>
      <c r="K1520" s="3">
        <v>1</v>
      </c>
      <c r="L1520" s="3">
        <v>3</v>
      </c>
      <c r="M1520" s="3">
        <v>9420</v>
      </c>
      <c r="N1520" s="3">
        <v>28.26</v>
      </c>
      <c r="O1520" s="3">
        <v>3.85</v>
      </c>
      <c r="P1520" s="3">
        <v>108.801</v>
      </c>
      <c r="Q1520" s="3">
        <v>9420</v>
      </c>
    </row>
    <row r="1521" spans="1:17" ht="24.95" hidden="1" customHeight="1" x14ac:dyDescent="0.25">
      <c r="A1521" s="3">
        <v>5</v>
      </c>
      <c r="B1521" s="3" t="s">
        <v>446</v>
      </c>
      <c r="C1521" s="3" t="s">
        <v>1984</v>
      </c>
      <c r="I1521" s="3">
        <v>25</v>
      </c>
      <c r="J1521" s="3">
        <v>3</v>
      </c>
      <c r="K1521" s="3">
        <v>1</v>
      </c>
      <c r="L1521" s="3">
        <v>3</v>
      </c>
      <c r="M1521" s="3">
        <v>11000</v>
      </c>
      <c r="N1521" s="3">
        <v>33</v>
      </c>
      <c r="O1521" s="3">
        <v>3.85</v>
      </c>
      <c r="P1521" s="3">
        <v>127.05</v>
      </c>
      <c r="Q1521" s="3">
        <v>11000</v>
      </c>
    </row>
    <row r="1522" spans="1:17" ht="24.95" hidden="1" customHeight="1" x14ac:dyDescent="0.25">
      <c r="A1522" s="3">
        <v>5</v>
      </c>
      <c r="B1522" s="3" t="s">
        <v>446</v>
      </c>
      <c r="C1522" s="3" t="s">
        <v>1985</v>
      </c>
      <c r="I1522" s="3">
        <v>25</v>
      </c>
      <c r="J1522" s="3">
        <v>2</v>
      </c>
      <c r="K1522" s="3">
        <v>1</v>
      </c>
      <c r="L1522" s="3">
        <v>2</v>
      </c>
      <c r="M1522" s="3">
        <v>2460</v>
      </c>
      <c r="N1522" s="3">
        <v>4.92</v>
      </c>
      <c r="O1522" s="3">
        <v>3.85</v>
      </c>
      <c r="P1522" s="3">
        <v>18.942</v>
      </c>
      <c r="Q1522" s="3">
        <v>2460</v>
      </c>
    </row>
    <row r="1523" spans="1:17" ht="24.95" hidden="1" customHeight="1" x14ac:dyDescent="0.25">
      <c r="A1523" s="3">
        <v>5</v>
      </c>
      <c r="B1523" s="3" t="s">
        <v>446</v>
      </c>
      <c r="C1523" s="3" t="s">
        <v>1986</v>
      </c>
      <c r="I1523" s="3">
        <v>25</v>
      </c>
      <c r="J1523" s="3">
        <v>2</v>
      </c>
      <c r="K1523" s="3">
        <v>1</v>
      </c>
      <c r="L1523" s="3">
        <v>2</v>
      </c>
      <c r="M1523" s="3">
        <v>6220</v>
      </c>
      <c r="N1523" s="3">
        <v>12.44</v>
      </c>
      <c r="O1523" s="3">
        <v>3.85</v>
      </c>
      <c r="P1523" s="3">
        <v>47.893999999999998</v>
      </c>
      <c r="Q1523" s="3">
        <v>6220</v>
      </c>
    </row>
    <row r="1524" spans="1:17" ht="24.95" hidden="1" customHeight="1" x14ac:dyDescent="0.25">
      <c r="A1524" s="3">
        <v>5</v>
      </c>
      <c r="B1524" s="3" t="s">
        <v>446</v>
      </c>
      <c r="C1524" s="3" t="s">
        <v>1987</v>
      </c>
      <c r="I1524" s="3">
        <v>25</v>
      </c>
      <c r="J1524" s="3">
        <v>2</v>
      </c>
      <c r="K1524" s="3">
        <v>1</v>
      </c>
      <c r="L1524" s="3">
        <v>2</v>
      </c>
      <c r="M1524" s="3">
        <v>9370</v>
      </c>
      <c r="N1524" s="3">
        <v>18.739999999999998</v>
      </c>
      <c r="O1524" s="3">
        <v>3.85</v>
      </c>
      <c r="P1524" s="3">
        <v>72.149000000000001</v>
      </c>
      <c r="Q1524" s="3">
        <v>9370</v>
      </c>
    </row>
    <row r="1525" spans="1:17" ht="24.95" hidden="1" customHeight="1" x14ac:dyDescent="0.25">
      <c r="A1525" s="3">
        <v>5</v>
      </c>
      <c r="B1525" s="3" t="s">
        <v>446</v>
      </c>
      <c r="C1525" s="3" t="s">
        <v>1988</v>
      </c>
      <c r="I1525" s="3">
        <v>25</v>
      </c>
      <c r="J1525" s="3">
        <v>2</v>
      </c>
      <c r="K1525" s="3">
        <v>1</v>
      </c>
      <c r="L1525" s="3">
        <v>2</v>
      </c>
      <c r="M1525" s="3">
        <v>11700</v>
      </c>
      <c r="N1525" s="3">
        <v>23.4</v>
      </c>
      <c r="O1525" s="3">
        <v>3.85</v>
      </c>
      <c r="P1525" s="3">
        <v>90.09</v>
      </c>
      <c r="Q1525" s="3">
        <v>11700</v>
      </c>
    </row>
    <row r="1526" spans="1:17" ht="24.95" hidden="1" customHeight="1" x14ac:dyDescent="0.25">
      <c r="A1526" s="3">
        <v>5</v>
      </c>
      <c r="B1526" s="3" t="s">
        <v>446</v>
      </c>
      <c r="C1526" s="3" t="s">
        <v>1989</v>
      </c>
      <c r="I1526" s="3">
        <v>25</v>
      </c>
      <c r="J1526" s="3">
        <v>2</v>
      </c>
      <c r="K1526" s="3">
        <v>1</v>
      </c>
      <c r="L1526" s="3">
        <v>2</v>
      </c>
      <c r="M1526" s="3">
        <v>7560</v>
      </c>
      <c r="N1526" s="3">
        <v>15.12</v>
      </c>
      <c r="O1526" s="3">
        <v>3.85</v>
      </c>
      <c r="P1526" s="3">
        <v>58.211999999999996</v>
      </c>
      <c r="Q1526" s="3">
        <v>7560</v>
      </c>
    </row>
    <row r="1527" spans="1:17" ht="24.95" hidden="1" customHeight="1" x14ac:dyDescent="0.25">
      <c r="A1527" s="3">
        <v>5</v>
      </c>
      <c r="B1527" s="3" t="s">
        <v>446</v>
      </c>
      <c r="C1527" s="3" t="s">
        <v>1981</v>
      </c>
      <c r="I1527" s="3">
        <v>25</v>
      </c>
      <c r="J1527" s="3">
        <v>2</v>
      </c>
      <c r="K1527" s="3">
        <v>1</v>
      </c>
      <c r="L1527" s="3">
        <v>2</v>
      </c>
      <c r="M1527" s="3">
        <v>2910</v>
      </c>
      <c r="N1527" s="3">
        <v>5.82</v>
      </c>
      <c r="O1527" s="3">
        <v>3.85</v>
      </c>
      <c r="P1527" s="3">
        <v>22.407</v>
      </c>
      <c r="Q1527" s="3">
        <v>2910</v>
      </c>
    </row>
    <row r="1528" spans="1:17" ht="24.95" hidden="1" customHeight="1" x14ac:dyDescent="0.25">
      <c r="A1528" s="3">
        <v>5</v>
      </c>
      <c r="B1528" s="3" t="s">
        <v>446</v>
      </c>
      <c r="C1528" s="3" t="s">
        <v>1990</v>
      </c>
      <c r="I1528" s="3">
        <v>25</v>
      </c>
      <c r="J1528" s="3">
        <v>3</v>
      </c>
      <c r="K1528" s="3">
        <v>1</v>
      </c>
      <c r="L1528" s="3">
        <v>3</v>
      </c>
      <c r="M1528" s="3">
        <v>8100</v>
      </c>
      <c r="N1528" s="3">
        <v>24.3</v>
      </c>
      <c r="O1528" s="3">
        <v>3.85</v>
      </c>
      <c r="P1528" s="3">
        <v>93.555000000000007</v>
      </c>
      <c r="Q1528" s="3">
        <v>8100</v>
      </c>
    </row>
    <row r="1529" spans="1:17" ht="24.95" hidden="1" customHeight="1" x14ac:dyDescent="0.25">
      <c r="A1529" s="3">
        <v>5</v>
      </c>
      <c r="B1529" s="3" t="s">
        <v>446</v>
      </c>
      <c r="C1529" s="3" t="s">
        <v>1991</v>
      </c>
      <c r="I1529" s="3">
        <v>20</v>
      </c>
      <c r="J1529" s="3">
        <v>2</v>
      </c>
      <c r="K1529" s="3">
        <v>1</v>
      </c>
      <c r="L1529" s="3">
        <v>2</v>
      </c>
      <c r="M1529" s="3">
        <v>10230</v>
      </c>
      <c r="N1529" s="3">
        <v>20.46</v>
      </c>
      <c r="O1529" s="3">
        <v>2.4700000000000002</v>
      </c>
      <c r="P1529" s="3">
        <v>50.536200000000008</v>
      </c>
      <c r="Q1529" s="3">
        <v>10230</v>
      </c>
    </row>
    <row r="1530" spans="1:17" ht="24.95" hidden="1" customHeight="1" x14ac:dyDescent="0.25">
      <c r="A1530" s="3">
        <v>5</v>
      </c>
      <c r="B1530" s="3" t="s">
        <v>446</v>
      </c>
      <c r="C1530" s="3" t="s">
        <v>1992</v>
      </c>
      <c r="I1530" s="3">
        <v>20</v>
      </c>
      <c r="J1530" s="3">
        <v>2</v>
      </c>
      <c r="K1530" s="3">
        <v>1</v>
      </c>
      <c r="L1530" s="3">
        <v>2</v>
      </c>
      <c r="M1530" s="3">
        <v>5850</v>
      </c>
      <c r="N1530" s="3">
        <v>11.7</v>
      </c>
      <c r="O1530" s="3">
        <v>2.4700000000000002</v>
      </c>
      <c r="P1530" s="3">
        <v>28.899000000000001</v>
      </c>
      <c r="Q1530" s="3">
        <v>5850</v>
      </c>
    </row>
    <row r="1531" spans="1:17" ht="24.95" hidden="1" customHeight="1" x14ac:dyDescent="0.25">
      <c r="A1531" s="3">
        <v>5</v>
      </c>
      <c r="B1531" s="3" t="s">
        <v>446</v>
      </c>
      <c r="C1531" s="3" t="s">
        <v>1993</v>
      </c>
      <c r="I1531" s="3">
        <v>20</v>
      </c>
      <c r="J1531" s="3">
        <v>2</v>
      </c>
      <c r="K1531" s="3">
        <v>1</v>
      </c>
      <c r="L1531" s="3">
        <v>2</v>
      </c>
      <c r="M1531" s="3">
        <v>11220</v>
      </c>
      <c r="N1531" s="3">
        <v>22.44</v>
      </c>
      <c r="O1531" s="3">
        <v>2.4700000000000002</v>
      </c>
      <c r="P1531" s="3">
        <v>55.426800000000007</v>
      </c>
      <c r="Q1531" s="3">
        <v>11220</v>
      </c>
    </row>
    <row r="1532" spans="1:17" ht="24.95" hidden="1" customHeight="1" x14ac:dyDescent="0.25">
      <c r="A1532" s="3">
        <v>5</v>
      </c>
      <c r="B1532" s="3" t="s">
        <v>446</v>
      </c>
      <c r="C1532" s="3" t="s">
        <v>1994</v>
      </c>
      <c r="I1532" s="3">
        <v>32</v>
      </c>
      <c r="J1532" s="3">
        <v>2</v>
      </c>
      <c r="K1532" s="3">
        <v>1</v>
      </c>
      <c r="L1532" s="3">
        <v>2</v>
      </c>
      <c r="M1532" s="3">
        <v>6280</v>
      </c>
      <c r="N1532" s="3">
        <v>12.56</v>
      </c>
      <c r="O1532" s="3">
        <v>6.31</v>
      </c>
      <c r="P1532" s="3">
        <v>79.253599999999992</v>
      </c>
      <c r="Q1532" s="3">
        <v>6280</v>
      </c>
    </row>
    <row r="1533" spans="1:17" ht="24.95" hidden="1" customHeight="1" x14ac:dyDescent="0.25">
      <c r="A1533" s="3">
        <v>5</v>
      </c>
      <c r="B1533" s="3" t="s">
        <v>446</v>
      </c>
      <c r="C1533" s="3" t="s">
        <v>1995</v>
      </c>
      <c r="I1533" s="3">
        <v>32</v>
      </c>
      <c r="J1533" s="3">
        <v>2</v>
      </c>
      <c r="K1533" s="3">
        <v>1</v>
      </c>
      <c r="L1533" s="3">
        <v>2</v>
      </c>
      <c r="M1533" s="3">
        <v>11700</v>
      </c>
      <c r="N1533" s="3">
        <v>23.4</v>
      </c>
      <c r="O1533" s="3">
        <v>6.31</v>
      </c>
      <c r="P1533" s="3">
        <v>147.65399999999997</v>
      </c>
      <c r="Q1533" s="3">
        <v>11700</v>
      </c>
    </row>
    <row r="1534" spans="1:17" ht="24.95" hidden="1" customHeight="1" x14ac:dyDescent="0.25">
      <c r="A1534" s="3">
        <v>5</v>
      </c>
      <c r="B1534" s="3" t="s">
        <v>446</v>
      </c>
      <c r="C1534" s="3" t="s">
        <v>1996</v>
      </c>
      <c r="I1534" s="3">
        <v>32</v>
      </c>
      <c r="J1534" s="3">
        <v>2</v>
      </c>
      <c r="K1534" s="3">
        <v>1</v>
      </c>
      <c r="L1534" s="3">
        <v>2</v>
      </c>
      <c r="M1534" s="3">
        <v>7960</v>
      </c>
      <c r="N1534" s="3">
        <v>15.92</v>
      </c>
      <c r="O1534" s="3">
        <v>6.31</v>
      </c>
      <c r="P1534" s="3">
        <v>100.45519999999999</v>
      </c>
      <c r="Q1534" s="3">
        <v>7960</v>
      </c>
    </row>
    <row r="1535" spans="1:17" ht="24.95" hidden="1" customHeight="1" x14ac:dyDescent="0.25">
      <c r="A1535" s="3">
        <v>5</v>
      </c>
      <c r="B1535" s="3" t="s">
        <v>446</v>
      </c>
      <c r="C1535" s="3" t="s">
        <v>1997</v>
      </c>
      <c r="I1535" s="3">
        <v>32</v>
      </c>
      <c r="J1535" s="3">
        <v>2</v>
      </c>
      <c r="K1535" s="3">
        <v>1</v>
      </c>
      <c r="L1535" s="3">
        <v>2</v>
      </c>
      <c r="M1535" s="3">
        <v>11700</v>
      </c>
      <c r="N1535" s="3">
        <v>23.4</v>
      </c>
      <c r="O1535" s="3">
        <v>6.31</v>
      </c>
      <c r="P1535" s="3">
        <v>147.65399999999997</v>
      </c>
      <c r="Q1535" s="3">
        <v>11700</v>
      </c>
    </row>
    <row r="1536" spans="1:17" ht="24.95" hidden="1" customHeight="1" x14ac:dyDescent="0.25">
      <c r="A1536" s="3">
        <v>5</v>
      </c>
      <c r="B1536" s="3" t="s">
        <v>446</v>
      </c>
      <c r="C1536" s="3" t="s">
        <v>1998</v>
      </c>
      <c r="I1536" s="3">
        <v>32</v>
      </c>
      <c r="J1536" s="3">
        <v>2</v>
      </c>
      <c r="K1536" s="3">
        <v>1</v>
      </c>
      <c r="L1536" s="3">
        <v>2</v>
      </c>
      <c r="M1536" s="3">
        <v>5900</v>
      </c>
      <c r="N1536" s="3">
        <v>11.8</v>
      </c>
      <c r="O1536" s="3">
        <v>6.31</v>
      </c>
      <c r="P1536" s="3">
        <v>74.457999999999998</v>
      </c>
      <c r="Q1536" s="3">
        <v>5900</v>
      </c>
    </row>
    <row r="1537" spans="1:17" ht="24.95" hidden="1" customHeight="1" x14ac:dyDescent="0.25">
      <c r="A1537" s="3">
        <v>5</v>
      </c>
      <c r="B1537" s="3" t="s">
        <v>446</v>
      </c>
      <c r="C1537" s="3" t="s">
        <v>1999</v>
      </c>
      <c r="I1537" s="3">
        <v>32</v>
      </c>
      <c r="J1537" s="3">
        <v>1</v>
      </c>
      <c r="K1537" s="3">
        <v>1</v>
      </c>
      <c r="L1537" s="3">
        <v>1</v>
      </c>
      <c r="M1537" s="3">
        <v>7740</v>
      </c>
      <c r="N1537" s="3">
        <v>7.74</v>
      </c>
      <c r="O1537" s="3">
        <v>6.31</v>
      </c>
      <c r="P1537" s="3">
        <v>48.839399999999998</v>
      </c>
      <c r="Q1537" s="3">
        <v>7740</v>
      </c>
    </row>
    <row r="1538" spans="1:17" ht="24.95" hidden="1" customHeight="1" x14ac:dyDescent="0.25">
      <c r="A1538" s="3">
        <v>5</v>
      </c>
      <c r="B1538" s="3" t="s">
        <v>446</v>
      </c>
      <c r="C1538" s="3" t="s">
        <v>2000</v>
      </c>
      <c r="I1538" s="3">
        <v>32</v>
      </c>
      <c r="J1538" s="3">
        <v>1</v>
      </c>
      <c r="K1538" s="3">
        <v>1</v>
      </c>
      <c r="L1538" s="3">
        <v>1</v>
      </c>
      <c r="M1538" s="3">
        <v>8030</v>
      </c>
      <c r="N1538" s="3">
        <v>8.0299999999999994</v>
      </c>
      <c r="O1538" s="3">
        <v>6.31</v>
      </c>
      <c r="P1538" s="3">
        <v>50.669299999999993</v>
      </c>
      <c r="Q1538" s="3">
        <v>8030</v>
      </c>
    </row>
    <row r="1539" spans="1:17" ht="24.95" hidden="1" customHeight="1" x14ac:dyDescent="0.25">
      <c r="A1539" s="3">
        <v>5</v>
      </c>
      <c r="B1539" s="3" t="s">
        <v>446</v>
      </c>
      <c r="C1539" s="3" t="s">
        <v>2001</v>
      </c>
      <c r="I1539" s="3">
        <v>32</v>
      </c>
      <c r="J1539" s="3">
        <v>1</v>
      </c>
      <c r="K1539" s="3">
        <v>1</v>
      </c>
      <c r="L1539" s="3">
        <v>1</v>
      </c>
      <c r="M1539" s="3">
        <v>11700</v>
      </c>
      <c r="N1539" s="3">
        <v>11.7</v>
      </c>
      <c r="O1539" s="3">
        <v>6.31</v>
      </c>
      <c r="P1539" s="3">
        <v>73.826999999999984</v>
      </c>
      <c r="Q1539" s="3">
        <v>11700</v>
      </c>
    </row>
    <row r="1540" spans="1:17" ht="24.95" hidden="1" customHeight="1" x14ac:dyDescent="0.25">
      <c r="A1540" s="3">
        <v>5</v>
      </c>
      <c r="B1540" s="3" t="s">
        <v>446</v>
      </c>
      <c r="C1540" s="3" t="s">
        <v>2002</v>
      </c>
      <c r="I1540" s="3">
        <v>32</v>
      </c>
      <c r="J1540" s="3">
        <v>1</v>
      </c>
      <c r="K1540" s="3">
        <v>1</v>
      </c>
      <c r="L1540" s="3">
        <v>1</v>
      </c>
      <c r="M1540" s="3">
        <v>8020</v>
      </c>
      <c r="N1540" s="3">
        <v>8.02</v>
      </c>
      <c r="O1540" s="3">
        <v>6.31</v>
      </c>
      <c r="P1540" s="3">
        <v>50.606199999999994</v>
      </c>
      <c r="Q1540" s="3">
        <v>8020</v>
      </c>
    </row>
    <row r="1541" spans="1:17" ht="24.95" hidden="1" customHeight="1" x14ac:dyDescent="0.25">
      <c r="A1541" s="3">
        <v>5</v>
      </c>
      <c r="B1541" s="3" t="s">
        <v>446</v>
      </c>
      <c r="C1541" s="3" t="s">
        <v>1994</v>
      </c>
      <c r="I1541" s="3">
        <v>32</v>
      </c>
      <c r="J1541" s="3">
        <v>1</v>
      </c>
      <c r="K1541" s="3">
        <v>1</v>
      </c>
      <c r="L1541" s="3">
        <v>1</v>
      </c>
      <c r="M1541" s="3">
        <v>8040</v>
      </c>
      <c r="N1541" s="3">
        <v>8.0399999999999991</v>
      </c>
      <c r="O1541" s="3">
        <v>6.31</v>
      </c>
      <c r="P1541" s="3">
        <v>50.732399999999991</v>
      </c>
      <c r="Q1541" s="3">
        <v>8040</v>
      </c>
    </row>
    <row r="1542" spans="1:17" ht="24.95" hidden="1" customHeight="1" x14ac:dyDescent="0.25">
      <c r="A1542" s="3">
        <v>5</v>
      </c>
      <c r="B1542" s="3" t="s">
        <v>446</v>
      </c>
      <c r="C1542" s="3" t="s">
        <v>2003</v>
      </c>
      <c r="I1542" s="3">
        <v>32</v>
      </c>
      <c r="J1542" s="3">
        <v>2</v>
      </c>
      <c r="K1542" s="3">
        <v>1</v>
      </c>
      <c r="L1542" s="3">
        <v>2</v>
      </c>
      <c r="M1542" s="3">
        <v>4940</v>
      </c>
      <c r="N1542" s="3">
        <v>9.8800000000000008</v>
      </c>
      <c r="O1542" s="3">
        <v>6.31</v>
      </c>
      <c r="P1542" s="3">
        <v>62.342800000000004</v>
      </c>
      <c r="Q1542" s="3">
        <v>4940</v>
      </c>
    </row>
    <row r="1543" spans="1:17" ht="24.95" hidden="1" customHeight="1" x14ac:dyDescent="0.25">
      <c r="A1543" s="3">
        <v>5</v>
      </c>
      <c r="B1543" s="3" t="s">
        <v>446</v>
      </c>
      <c r="C1543" s="3" t="s">
        <v>2004</v>
      </c>
      <c r="I1543" s="3">
        <v>32</v>
      </c>
      <c r="J1543" s="3">
        <v>2</v>
      </c>
      <c r="K1543" s="3">
        <v>1</v>
      </c>
      <c r="L1543" s="3">
        <v>2</v>
      </c>
      <c r="M1543" s="3">
        <v>5800</v>
      </c>
      <c r="N1543" s="3">
        <v>11.6</v>
      </c>
      <c r="O1543" s="3">
        <v>6.31</v>
      </c>
      <c r="P1543" s="3">
        <v>73.195999999999998</v>
      </c>
      <c r="Q1543" s="3">
        <v>5800</v>
      </c>
    </row>
    <row r="1544" spans="1:17" ht="24.95" hidden="1" customHeight="1" x14ac:dyDescent="0.25">
      <c r="A1544" s="3">
        <v>5</v>
      </c>
      <c r="B1544" s="3" t="s">
        <v>446</v>
      </c>
      <c r="C1544" s="3" t="s">
        <v>2005</v>
      </c>
      <c r="I1544" s="3">
        <v>32</v>
      </c>
      <c r="J1544" s="3">
        <v>3</v>
      </c>
      <c r="K1544" s="3">
        <v>1</v>
      </c>
      <c r="L1544" s="3">
        <v>3</v>
      </c>
      <c r="M1544" s="3">
        <v>4600</v>
      </c>
      <c r="N1544" s="3">
        <v>13.8</v>
      </c>
      <c r="O1544" s="3">
        <v>6.31</v>
      </c>
      <c r="P1544" s="3">
        <v>87.078000000000003</v>
      </c>
      <c r="Q1544" s="3">
        <v>4600</v>
      </c>
    </row>
    <row r="1545" spans="1:17" ht="24.95" hidden="1" customHeight="1" x14ac:dyDescent="0.25">
      <c r="A1545" s="3">
        <v>5</v>
      </c>
      <c r="B1545" s="3" t="s">
        <v>446</v>
      </c>
      <c r="C1545" s="3" t="s">
        <v>2006</v>
      </c>
      <c r="I1545" s="3">
        <v>32</v>
      </c>
      <c r="J1545" s="3">
        <v>3</v>
      </c>
      <c r="K1545" s="3">
        <v>1</v>
      </c>
      <c r="L1545" s="3">
        <v>3</v>
      </c>
      <c r="M1545" s="3">
        <v>4600</v>
      </c>
      <c r="N1545" s="3">
        <v>13.8</v>
      </c>
      <c r="O1545" s="3">
        <v>6.31</v>
      </c>
      <c r="P1545" s="3">
        <v>87.078000000000003</v>
      </c>
      <c r="Q1545" s="3">
        <v>4600</v>
      </c>
    </row>
    <row r="1546" spans="1:17" ht="24.95" hidden="1" customHeight="1" x14ac:dyDescent="0.25">
      <c r="A1546" s="3">
        <v>5</v>
      </c>
      <c r="B1546" s="3" t="s">
        <v>446</v>
      </c>
      <c r="C1546" s="3" t="s">
        <v>2007</v>
      </c>
      <c r="I1546" s="3">
        <v>32</v>
      </c>
      <c r="J1546" s="3">
        <v>2</v>
      </c>
      <c r="K1546" s="3">
        <v>1</v>
      </c>
      <c r="L1546" s="3">
        <v>2</v>
      </c>
      <c r="M1546" s="3">
        <v>6000</v>
      </c>
      <c r="N1546" s="3">
        <v>12</v>
      </c>
      <c r="O1546" s="3">
        <v>6.31</v>
      </c>
      <c r="P1546" s="3">
        <v>75.72</v>
      </c>
      <c r="Q1546" s="3">
        <v>6000</v>
      </c>
    </row>
    <row r="1547" spans="1:17" ht="24.95" hidden="1" customHeight="1" x14ac:dyDescent="0.25">
      <c r="A1547" s="3">
        <v>5</v>
      </c>
      <c r="B1547" s="3" t="s">
        <v>446</v>
      </c>
      <c r="C1547" s="3" t="s">
        <v>2008</v>
      </c>
      <c r="I1547" s="3">
        <v>32</v>
      </c>
      <c r="J1547" s="3">
        <v>2</v>
      </c>
      <c r="K1547" s="3">
        <v>1</v>
      </c>
      <c r="L1547" s="3">
        <v>2</v>
      </c>
      <c r="M1547" s="3">
        <v>4700</v>
      </c>
      <c r="N1547" s="3">
        <v>9.4</v>
      </c>
      <c r="O1547" s="3">
        <v>6.31</v>
      </c>
      <c r="P1547" s="3">
        <v>59.314</v>
      </c>
      <c r="Q1547" s="3">
        <v>4700</v>
      </c>
    </row>
    <row r="1548" spans="1:17" ht="24.95" hidden="1" customHeight="1" x14ac:dyDescent="0.25">
      <c r="A1548" s="3">
        <v>5</v>
      </c>
      <c r="B1548" s="3" t="s">
        <v>446</v>
      </c>
      <c r="C1548" s="3" t="s">
        <v>2009</v>
      </c>
      <c r="I1548" s="3">
        <v>32</v>
      </c>
      <c r="J1548" s="3">
        <v>2</v>
      </c>
      <c r="K1548" s="3">
        <v>1</v>
      </c>
      <c r="L1548" s="3">
        <v>2</v>
      </c>
      <c r="M1548" s="3">
        <v>5850</v>
      </c>
      <c r="N1548" s="3">
        <v>11.7</v>
      </c>
      <c r="O1548" s="3">
        <v>6.31</v>
      </c>
      <c r="P1548" s="3">
        <v>73.826999999999984</v>
      </c>
      <c r="Q1548" s="3">
        <v>5850</v>
      </c>
    </row>
    <row r="1549" spans="1:17" ht="24.95" hidden="1" customHeight="1" x14ac:dyDescent="0.25">
      <c r="A1549" s="3">
        <v>5</v>
      </c>
      <c r="B1549" s="3" t="s">
        <v>446</v>
      </c>
      <c r="C1549" s="3" t="s">
        <v>2010</v>
      </c>
      <c r="I1549" s="3">
        <v>32</v>
      </c>
      <c r="J1549" s="3">
        <v>2</v>
      </c>
      <c r="K1549" s="3">
        <v>1</v>
      </c>
      <c r="L1549" s="3">
        <v>2</v>
      </c>
      <c r="M1549" s="3">
        <v>5140</v>
      </c>
      <c r="N1549" s="3">
        <v>10.28</v>
      </c>
      <c r="O1549" s="3">
        <v>6.31</v>
      </c>
      <c r="P1549" s="3">
        <v>64.866799999999998</v>
      </c>
      <c r="Q1549" s="3">
        <v>5140</v>
      </c>
    </row>
    <row r="1550" spans="1:17" ht="24.95" hidden="1" customHeight="1" x14ac:dyDescent="0.25">
      <c r="A1550" s="3">
        <v>5</v>
      </c>
      <c r="B1550" s="3" t="s">
        <v>446</v>
      </c>
      <c r="C1550" s="3" t="s">
        <v>2011</v>
      </c>
      <c r="I1550" s="3">
        <v>10</v>
      </c>
      <c r="J1550" s="3">
        <v>179</v>
      </c>
      <c r="K1550" s="3">
        <v>1</v>
      </c>
      <c r="L1550" s="3">
        <v>179</v>
      </c>
      <c r="M1550" s="3">
        <v>2160</v>
      </c>
      <c r="N1550" s="3">
        <v>386.64</v>
      </c>
      <c r="O1550" s="3">
        <v>0.61699999999999999</v>
      </c>
      <c r="P1550" s="3">
        <v>238.55687999999998</v>
      </c>
      <c r="Q1550" s="3">
        <v>2160</v>
      </c>
    </row>
    <row r="1551" spans="1:17" ht="24.95" hidden="1" customHeight="1" x14ac:dyDescent="0.25">
      <c r="A1551" s="3">
        <v>5</v>
      </c>
      <c r="B1551" s="3" t="s">
        <v>446</v>
      </c>
      <c r="C1551" s="3" t="s">
        <v>2012</v>
      </c>
      <c r="I1551" s="3">
        <v>10</v>
      </c>
      <c r="J1551" s="3">
        <v>179</v>
      </c>
      <c r="K1551" s="3">
        <v>1</v>
      </c>
      <c r="L1551" s="3">
        <v>179</v>
      </c>
      <c r="M1551" s="3">
        <v>690</v>
      </c>
      <c r="N1551" s="3">
        <v>123.51</v>
      </c>
      <c r="O1551" s="3">
        <v>0.61699999999999999</v>
      </c>
      <c r="P1551" s="3">
        <v>76.205669999999998</v>
      </c>
      <c r="Q1551" s="3">
        <v>690</v>
      </c>
    </row>
    <row r="1552" spans="1:17" ht="24.95" hidden="1" customHeight="1" x14ac:dyDescent="0.25">
      <c r="A1552" s="3">
        <v>5</v>
      </c>
      <c r="B1552" s="3" t="s">
        <v>446</v>
      </c>
      <c r="C1552" s="3" t="s">
        <v>2013</v>
      </c>
      <c r="I1552" s="3">
        <v>32</v>
      </c>
      <c r="J1552" s="3">
        <v>10</v>
      </c>
      <c r="K1552" s="3">
        <v>1</v>
      </c>
      <c r="L1552" s="3">
        <v>10</v>
      </c>
      <c r="M1552" s="3">
        <v>390</v>
      </c>
      <c r="N1552" s="3">
        <v>3.9</v>
      </c>
      <c r="O1552" s="3">
        <v>6.31</v>
      </c>
      <c r="P1552" s="3">
        <v>24.608999999999998</v>
      </c>
      <c r="Q1552" s="3">
        <v>390</v>
      </c>
    </row>
    <row r="1553" spans="1:17" ht="24.95" hidden="1" customHeight="1" x14ac:dyDescent="0.25">
      <c r="A1553" s="3">
        <v>5</v>
      </c>
      <c r="B1553" s="3" t="s">
        <v>447</v>
      </c>
      <c r="C1553" s="3" t="s">
        <v>2014</v>
      </c>
      <c r="I1553" s="3">
        <v>20</v>
      </c>
      <c r="J1553" s="3">
        <v>3</v>
      </c>
      <c r="K1553" s="3">
        <v>1</v>
      </c>
      <c r="L1553" s="3">
        <v>3</v>
      </c>
      <c r="M1553" s="3">
        <v>7400</v>
      </c>
      <c r="N1553" s="3">
        <v>22.2</v>
      </c>
      <c r="O1553" s="3">
        <v>2.4700000000000002</v>
      </c>
      <c r="P1553" s="3">
        <v>54.834000000000003</v>
      </c>
      <c r="Q1553" s="3">
        <v>7400</v>
      </c>
    </row>
    <row r="1554" spans="1:17" ht="24.95" hidden="1" customHeight="1" x14ac:dyDescent="0.25">
      <c r="A1554" s="3">
        <v>5</v>
      </c>
      <c r="B1554" s="3" t="s">
        <v>447</v>
      </c>
      <c r="C1554" s="3" t="s">
        <v>2015</v>
      </c>
      <c r="I1554" s="3">
        <v>20</v>
      </c>
      <c r="J1554" s="3">
        <v>3</v>
      </c>
      <c r="K1554" s="3">
        <v>1</v>
      </c>
      <c r="L1554" s="3">
        <v>3</v>
      </c>
      <c r="M1554" s="3">
        <v>11700</v>
      </c>
      <c r="N1554" s="3">
        <v>35.1</v>
      </c>
      <c r="O1554" s="3">
        <v>2.4700000000000002</v>
      </c>
      <c r="P1554" s="3">
        <v>86.697000000000017</v>
      </c>
      <c r="Q1554" s="3">
        <v>11700</v>
      </c>
    </row>
    <row r="1555" spans="1:17" ht="24.95" hidden="1" customHeight="1" x14ac:dyDescent="0.25">
      <c r="A1555" s="3">
        <v>5</v>
      </c>
      <c r="B1555" s="3" t="s">
        <v>447</v>
      </c>
      <c r="C1555" s="3" t="s">
        <v>2016</v>
      </c>
      <c r="I1555" s="3">
        <v>20</v>
      </c>
      <c r="J1555" s="3">
        <v>2</v>
      </c>
      <c r="K1555" s="3">
        <v>1</v>
      </c>
      <c r="L1555" s="3">
        <v>2</v>
      </c>
      <c r="M1555" s="3">
        <v>10850</v>
      </c>
      <c r="N1555" s="3">
        <v>21.7</v>
      </c>
      <c r="O1555" s="3">
        <v>2.4700000000000002</v>
      </c>
      <c r="P1555" s="3">
        <v>53.599000000000004</v>
      </c>
      <c r="Q1555" s="3">
        <v>10850</v>
      </c>
    </row>
    <row r="1556" spans="1:17" ht="24.95" hidden="1" customHeight="1" x14ac:dyDescent="0.25">
      <c r="A1556" s="3">
        <v>5</v>
      </c>
      <c r="B1556" s="3" t="s">
        <v>447</v>
      </c>
      <c r="C1556" s="3" t="s">
        <v>2017</v>
      </c>
      <c r="I1556" s="3">
        <v>20</v>
      </c>
      <c r="J1556" s="3">
        <v>2</v>
      </c>
      <c r="K1556" s="3">
        <v>1</v>
      </c>
      <c r="L1556" s="3">
        <v>2</v>
      </c>
      <c r="M1556" s="3">
        <v>8700</v>
      </c>
      <c r="N1556" s="3">
        <v>17.399999999999999</v>
      </c>
      <c r="O1556" s="3">
        <v>2.4700000000000002</v>
      </c>
      <c r="P1556" s="3">
        <v>42.978000000000002</v>
      </c>
      <c r="Q1556" s="3">
        <v>8700</v>
      </c>
    </row>
    <row r="1557" spans="1:17" ht="24.95" hidden="1" customHeight="1" x14ac:dyDescent="0.25">
      <c r="A1557" s="3">
        <v>5</v>
      </c>
      <c r="B1557" s="3" t="s">
        <v>447</v>
      </c>
      <c r="C1557" s="3" t="s">
        <v>2018</v>
      </c>
      <c r="I1557" s="3">
        <v>20</v>
      </c>
      <c r="J1557" s="3">
        <v>2</v>
      </c>
      <c r="K1557" s="3">
        <v>1</v>
      </c>
      <c r="L1557" s="3">
        <v>2</v>
      </c>
      <c r="M1557" s="3">
        <v>11700</v>
      </c>
      <c r="N1557" s="3">
        <v>23.4</v>
      </c>
      <c r="O1557" s="3">
        <v>2.4700000000000002</v>
      </c>
      <c r="P1557" s="3">
        <v>57.798000000000002</v>
      </c>
      <c r="Q1557" s="3">
        <v>11700</v>
      </c>
    </row>
    <row r="1558" spans="1:17" ht="24.95" hidden="1" customHeight="1" x14ac:dyDescent="0.25">
      <c r="A1558" s="3">
        <v>5</v>
      </c>
      <c r="B1558" s="3" t="s">
        <v>447</v>
      </c>
      <c r="C1558" s="3" t="s">
        <v>2019</v>
      </c>
      <c r="I1558" s="3">
        <v>20</v>
      </c>
      <c r="J1558" s="3">
        <v>3</v>
      </c>
      <c r="K1558" s="3">
        <v>1</v>
      </c>
      <c r="L1558" s="3">
        <v>3</v>
      </c>
      <c r="M1558" s="3">
        <v>10600</v>
      </c>
      <c r="N1558" s="3">
        <v>31.8</v>
      </c>
      <c r="O1558" s="3">
        <v>2.4700000000000002</v>
      </c>
      <c r="P1558" s="3">
        <v>78.546000000000006</v>
      </c>
      <c r="Q1558" s="3">
        <v>10600</v>
      </c>
    </row>
    <row r="1559" spans="1:17" ht="24.95" hidden="1" customHeight="1" x14ac:dyDescent="0.25">
      <c r="A1559" s="3">
        <v>5</v>
      </c>
      <c r="B1559" s="3" t="s">
        <v>447</v>
      </c>
      <c r="C1559" s="3" t="s">
        <v>2020</v>
      </c>
      <c r="I1559" s="3">
        <v>20</v>
      </c>
      <c r="J1559" s="3">
        <v>3</v>
      </c>
      <c r="K1559" s="3">
        <v>1</v>
      </c>
      <c r="L1559" s="3">
        <v>3</v>
      </c>
      <c r="M1559" s="3">
        <v>7400</v>
      </c>
      <c r="N1559" s="3">
        <v>22.2</v>
      </c>
      <c r="O1559" s="3">
        <v>2.4700000000000002</v>
      </c>
      <c r="P1559" s="3">
        <v>54.834000000000003</v>
      </c>
      <c r="Q1559" s="3">
        <v>7400</v>
      </c>
    </row>
    <row r="1560" spans="1:17" ht="24.95" hidden="1" customHeight="1" x14ac:dyDescent="0.25">
      <c r="A1560" s="3">
        <v>5</v>
      </c>
      <c r="B1560" s="3" t="s">
        <v>447</v>
      </c>
      <c r="C1560" s="3" t="s">
        <v>2021</v>
      </c>
      <c r="I1560" s="3">
        <v>20</v>
      </c>
      <c r="J1560" s="3">
        <v>2</v>
      </c>
      <c r="K1560" s="3">
        <v>1</v>
      </c>
      <c r="L1560" s="3">
        <v>2</v>
      </c>
      <c r="M1560" s="3">
        <v>5850</v>
      </c>
      <c r="N1560" s="3">
        <v>11.7</v>
      </c>
      <c r="O1560" s="3">
        <v>2.4700000000000002</v>
      </c>
      <c r="P1560" s="3">
        <v>28.899000000000001</v>
      </c>
      <c r="Q1560" s="3">
        <v>5850</v>
      </c>
    </row>
    <row r="1561" spans="1:17" ht="24.95" hidden="1" customHeight="1" x14ac:dyDescent="0.25">
      <c r="A1561" s="3">
        <v>5</v>
      </c>
      <c r="B1561" s="3" t="s">
        <v>447</v>
      </c>
      <c r="C1561" s="3" t="s">
        <v>2022</v>
      </c>
      <c r="I1561" s="3">
        <v>20</v>
      </c>
      <c r="J1561" s="3">
        <v>3</v>
      </c>
      <c r="K1561" s="3">
        <v>1</v>
      </c>
      <c r="L1561" s="3">
        <v>3</v>
      </c>
      <c r="M1561" s="3">
        <v>4100</v>
      </c>
      <c r="N1561" s="3">
        <v>12.3</v>
      </c>
      <c r="O1561" s="3">
        <v>2.4700000000000002</v>
      </c>
      <c r="P1561" s="3">
        <v>30.381000000000004</v>
      </c>
      <c r="Q1561" s="3">
        <v>4100</v>
      </c>
    </row>
    <row r="1562" spans="1:17" ht="24.95" hidden="1" customHeight="1" x14ac:dyDescent="0.25">
      <c r="A1562" s="3">
        <v>5</v>
      </c>
      <c r="B1562" s="3" t="s">
        <v>447</v>
      </c>
      <c r="C1562" s="3" t="s">
        <v>2023</v>
      </c>
      <c r="I1562" s="3">
        <v>20</v>
      </c>
      <c r="J1562" s="3">
        <v>2</v>
      </c>
      <c r="K1562" s="3">
        <v>1</v>
      </c>
      <c r="L1562" s="3">
        <v>2</v>
      </c>
      <c r="M1562" s="3">
        <v>5900</v>
      </c>
      <c r="N1562" s="3">
        <v>11.8</v>
      </c>
      <c r="O1562" s="3">
        <v>2.4700000000000002</v>
      </c>
      <c r="P1562" s="3">
        <v>29.146000000000004</v>
      </c>
      <c r="Q1562" s="3">
        <v>5900</v>
      </c>
    </row>
    <row r="1563" spans="1:17" ht="24.95" hidden="1" customHeight="1" x14ac:dyDescent="0.25">
      <c r="A1563" s="3">
        <v>5</v>
      </c>
      <c r="B1563" s="3" t="s">
        <v>447</v>
      </c>
      <c r="C1563" s="3" t="s">
        <v>2024</v>
      </c>
      <c r="I1563" s="3">
        <v>20</v>
      </c>
      <c r="J1563" s="3">
        <v>2</v>
      </c>
      <c r="K1563" s="3">
        <v>1</v>
      </c>
      <c r="L1563" s="3">
        <v>2</v>
      </c>
      <c r="M1563" s="3">
        <v>7650</v>
      </c>
      <c r="N1563" s="3">
        <v>15.3</v>
      </c>
      <c r="O1563" s="3">
        <v>2.4700000000000002</v>
      </c>
      <c r="P1563" s="3">
        <v>37.791000000000004</v>
      </c>
      <c r="Q1563" s="3">
        <v>7650</v>
      </c>
    </row>
    <row r="1564" spans="1:17" ht="24.95" hidden="1" customHeight="1" x14ac:dyDescent="0.25">
      <c r="A1564" s="3">
        <v>5</v>
      </c>
      <c r="B1564" s="3" t="s">
        <v>447</v>
      </c>
      <c r="C1564" s="3" t="s">
        <v>2025</v>
      </c>
      <c r="I1564" s="3">
        <v>20</v>
      </c>
      <c r="J1564" s="3">
        <v>2</v>
      </c>
      <c r="K1564" s="3">
        <v>1</v>
      </c>
      <c r="L1564" s="3">
        <v>2</v>
      </c>
      <c r="M1564" s="3">
        <v>11000</v>
      </c>
      <c r="N1564" s="3">
        <v>22</v>
      </c>
      <c r="O1564" s="3">
        <v>2.4700000000000002</v>
      </c>
      <c r="P1564" s="3">
        <v>54.34</v>
      </c>
      <c r="Q1564" s="3">
        <v>11000</v>
      </c>
    </row>
    <row r="1565" spans="1:17" ht="24.95" hidden="1" customHeight="1" x14ac:dyDescent="0.25">
      <c r="A1565" s="3">
        <v>5</v>
      </c>
      <c r="B1565" s="3" t="s">
        <v>447</v>
      </c>
      <c r="C1565" s="3" t="s">
        <v>2026</v>
      </c>
      <c r="I1565" s="3">
        <v>20</v>
      </c>
      <c r="J1565" s="3">
        <v>2</v>
      </c>
      <c r="K1565" s="3">
        <v>1</v>
      </c>
      <c r="L1565" s="3">
        <v>2</v>
      </c>
      <c r="M1565" s="3">
        <v>5850</v>
      </c>
      <c r="N1565" s="3">
        <v>11.7</v>
      </c>
      <c r="O1565" s="3">
        <v>2.4700000000000002</v>
      </c>
      <c r="P1565" s="3">
        <v>28.899000000000001</v>
      </c>
      <c r="Q1565" s="3">
        <v>5850</v>
      </c>
    </row>
    <row r="1566" spans="1:17" ht="24.95" hidden="1" customHeight="1" x14ac:dyDescent="0.25">
      <c r="A1566" s="3">
        <v>5</v>
      </c>
      <c r="B1566" s="3" t="s">
        <v>447</v>
      </c>
      <c r="C1566" s="3" t="s">
        <v>2027</v>
      </c>
      <c r="I1566" s="3">
        <v>20</v>
      </c>
      <c r="J1566" s="3">
        <v>3</v>
      </c>
      <c r="K1566" s="3">
        <v>1</v>
      </c>
      <c r="L1566" s="3">
        <v>3</v>
      </c>
      <c r="M1566" s="3">
        <v>4100</v>
      </c>
      <c r="N1566" s="3">
        <v>12.3</v>
      </c>
      <c r="O1566" s="3">
        <v>2.4700000000000002</v>
      </c>
      <c r="P1566" s="3">
        <v>30.381000000000004</v>
      </c>
      <c r="Q1566" s="3">
        <v>4100</v>
      </c>
    </row>
    <row r="1567" spans="1:17" ht="24.95" hidden="1" customHeight="1" x14ac:dyDescent="0.25">
      <c r="A1567" s="3">
        <v>5</v>
      </c>
      <c r="B1567" s="3" t="s">
        <v>447</v>
      </c>
      <c r="C1567" s="3" t="s">
        <v>2028</v>
      </c>
      <c r="I1567" s="3">
        <v>20</v>
      </c>
      <c r="J1567" s="3">
        <v>3</v>
      </c>
      <c r="K1567" s="3">
        <v>1</v>
      </c>
      <c r="L1567" s="3">
        <v>3</v>
      </c>
      <c r="M1567" s="3">
        <v>11000</v>
      </c>
      <c r="N1567" s="3">
        <v>33</v>
      </c>
      <c r="O1567" s="3">
        <v>2.4700000000000002</v>
      </c>
      <c r="P1567" s="3">
        <v>81.510000000000005</v>
      </c>
      <c r="Q1567" s="3">
        <v>11000</v>
      </c>
    </row>
    <row r="1568" spans="1:17" ht="24.95" hidden="1" customHeight="1" x14ac:dyDescent="0.25">
      <c r="A1568" s="3">
        <v>5</v>
      </c>
      <c r="B1568" s="3" t="s">
        <v>447</v>
      </c>
      <c r="C1568" s="3" t="s">
        <v>2029</v>
      </c>
      <c r="I1568" s="3">
        <v>20</v>
      </c>
      <c r="J1568" s="3">
        <v>2</v>
      </c>
      <c r="K1568" s="3">
        <v>1</v>
      </c>
      <c r="L1568" s="3">
        <v>2</v>
      </c>
      <c r="M1568" s="3">
        <v>7600</v>
      </c>
      <c r="N1568" s="3">
        <v>15.2</v>
      </c>
      <c r="O1568" s="3">
        <v>2.4700000000000002</v>
      </c>
      <c r="P1568" s="3">
        <v>37.544000000000004</v>
      </c>
      <c r="Q1568" s="3">
        <v>7600</v>
      </c>
    </row>
    <row r="1569" spans="1:17" ht="24.95" hidden="1" customHeight="1" x14ac:dyDescent="0.25">
      <c r="A1569" s="3">
        <v>5</v>
      </c>
      <c r="B1569" s="3" t="s">
        <v>447</v>
      </c>
      <c r="C1569" s="3" t="s">
        <v>2030</v>
      </c>
      <c r="I1569" s="3">
        <v>20</v>
      </c>
      <c r="J1569" s="3">
        <v>3</v>
      </c>
      <c r="K1569" s="3">
        <v>1</v>
      </c>
      <c r="L1569" s="3">
        <v>3</v>
      </c>
      <c r="M1569" s="3">
        <v>7600</v>
      </c>
      <c r="N1569" s="3">
        <v>22.8</v>
      </c>
      <c r="O1569" s="3">
        <v>2.4700000000000002</v>
      </c>
      <c r="P1569" s="3">
        <v>56.31600000000001</v>
      </c>
      <c r="Q1569" s="3">
        <v>7600</v>
      </c>
    </row>
    <row r="1570" spans="1:17" ht="24.95" hidden="1" customHeight="1" x14ac:dyDescent="0.25">
      <c r="A1570" s="3">
        <v>5</v>
      </c>
      <c r="B1570" s="3" t="s">
        <v>447</v>
      </c>
      <c r="C1570" s="3" t="s">
        <v>2022</v>
      </c>
      <c r="I1570" s="3">
        <v>20</v>
      </c>
      <c r="J1570" s="3">
        <v>3</v>
      </c>
      <c r="K1570" s="3">
        <v>1</v>
      </c>
      <c r="L1570" s="3">
        <v>3</v>
      </c>
      <c r="M1570" s="3">
        <v>11200</v>
      </c>
      <c r="N1570" s="3">
        <v>33.6</v>
      </c>
      <c r="O1570" s="3">
        <v>2.4700000000000002</v>
      </c>
      <c r="P1570" s="3">
        <v>82.992000000000004</v>
      </c>
      <c r="Q1570" s="3">
        <v>11200</v>
      </c>
    </row>
    <row r="1571" spans="1:17" ht="24.95" hidden="1" customHeight="1" x14ac:dyDescent="0.25">
      <c r="A1571" s="3">
        <v>5</v>
      </c>
      <c r="B1571" s="3" t="s">
        <v>447</v>
      </c>
      <c r="C1571" s="3" t="s">
        <v>2031</v>
      </c>
      <c r="I1571" s="3">
        <v>10</v>
      </c>
      <c r="J1571" s="3">
        <v>208</v>
      </c>
      <c r="K1571" s="3">
        <v>1</v>
      </c>
      <c r="L1571" s="3">
        <v>208</v>
      </c>
      <c r="M1571" s="3">
        <v>1960</v>
      </c>
      <c r="N1571" s="3">
        <v>407.68</v>
      </c>
      <c r="O1571" s="3">
        <v>0.61699999999999999</v>
      </c>
      <c r="P1571" s="3">
        <v>251.53855999999999</v>
      </c>
      <c r="Q1571" s="3">
        <v>1960</v>
      </c>
    </row>
    <row r="1572" spans="1:17" ht="24.95" hidden="1" customHeight="1" x14ac:dyDescent="0.25">
      <c r="A1572" s="3">
        <v>5</v>
      </c>
      <c r="B1572" s="3" t="s">
        <v>447</v>
      </c>
      <c r="C1572" s="3" t="s">
        <v>2032</v>
      </c>
      <c r="I1572" s="3">
        <v>10</v>
      </c>
      <c r="J1572" s="3">
        <v>106</v>
      </c>
      <c r="K1572" s="3">
        <v>1</v>
      </c>
      <c r="L1572" s="3">
        <v>106</v>
      </c>
      <c r="M1572" s="3">
        <v>690</v>
      </c>
      <c r="N1572" s="3">
        <v>73.14</v>
      </c>
      <c r="O1572" s="3">
        <v>0.61699999999999999</v>
      </c>
      <c r="P1572" s="3">
        <v>45.127380000000002</v>
      </c>
      <c r="Q1572" s="3">
        <v>690</v>
      </c>
    </row>
    <row r="1573" spans="1:17" ht="24.95" hidden="1" customHeight="1" x14ac:dyDescent="0.25">
      <c r="A1573" s="3">
        <v>5</v>
      </c>
      <c r="B1573" s="3" t="s">
        <v>448</v>
      </c>
      <c r="C1573" s="3" t="s">
        <v>2033</v>
      </c>
      <c r="I1573" s="3">
        <v>32</v>
      </c>
      <c r="J1573" s="3">
        <v>5</v>
      </c>
      <c r="K1573" s="3">
        <v>4</v>
      </c>
      <c r="L1573" s="3">
        <v>20</v>
      </c>
      <c r="M1573" s="3">
        <v>9245</v>
      </c>
      <c r="N1573" s="3">
        <v>184.9</v>
      </c>
      <c r="O1573" s="3">
        <v>6.31</v>
      </c>
      <c r="P1573" s="3">
        <v>1166.7190000000001</v>
      </c>
      <c r="Q1573" s="3">
        <v>9245</v>
      </c>
    </row>
    <row r="1574" spans="1:17" ht="24.95" hidden="1" customHeight="1" x14ac:dyDescent="0.25">
      <c r="A1574" s="3">
        <v>5</v>
      </c>
      <c r="B1574" s="3" t="s">
        <v>448</v>
      </c>
      <c r="C1574" s="3" t="s">
        <v>2034</v>
      </c>
      <c r="I1574" s="3">
        <v>32</v>
      </c>
      <c r="J1574" s="3">
        <v>3</v>
      </c>
      <c r="K1574" s="3">
        <v>4</v>
      </c>
      <c r="L1574" s="3">
        <v>12</v>
      </c>
      <c r="M1574" s="3">
        <v>9195</v>
      </c>
      <c r="N1574" s="3">
        <v>110.34</v>
      </c>
      <c r="O1574" s="3">
        <v>6.31</v>
      </c>
      <c r="P1574" s="3">
        <v>696.24540000000002</v>
      </c>
      <c r="Q1574" s="3">
        <v>9195</v>
      </c>
    </row>
    <row r="1575" spans="1:17" ht="24.95" hidden="1" customHeight="1" x14ac:dyDescent="0.25">
      <c r="A1575" s="3">
        <v>5</v>
      </c>
      <c r="B1575" s="3" t="s">
        <v>448</v>
      </c>
      <c r="C1575" s="3" t="s">
        <v>2035</v>
      </c>
      <c r="I1575" s="3">
        <v>32</v>
      </c>
      <c r="J1575" s="3">
        <v>3</v>
      </c>
      <c r="K1575" s="3">
        <v>4</v>
      </c>
      <c r="L1575" s="3">
        <v>12</v>
      </c>
      <c r="M1575" s="3">
        <v>9245</v>
      </c>
      <c r="N1575" s="3">
        <v>110.94</v>
      </c>
      <c r="O1575" s="3">
        <v>6.31</v>
      </c>
      <c r="P1575" s="3">
        <v>700.03139999999996</v>
      </c>
      <c r="Q1575" s="3">
        <v>9245</v>
      </c>
    </row>
    <row r="1576" spans="1:17" ht="24.95" hidden="1" customHeight="1" x14ac:dyDescent="0.25">
      <c r="A1576" s="3">
        <v>5</v>
      </c>
      <c r="B1576" s="3" t="s">
        <v>448</v>
      </c>
      <c r="C1576" s="3" t="s">
        <v>2036</v>
      </c>
      <c r="I1576" s="3">
        <v>32</v>
      </c>
      <c r="J1576" s="3">
        <v>2</v>
      </c>
      <c r="K1576" s="3">
        <v>4</v>
      </c>
      <c r="L1576" s="3">
        <v>8</v>
      </c>
      <c r="M1576" s="3">
        <v>4915</v>
      </c>
      <c r="N1576" s="3">
        <v>39.32</v>
      </c>
      <c r="O1576" s="3">
        <v>6.31</v>
      </c>
      <c r="P1576" s="3">
        <v>248.10919999999999</v>
      </c>
      <c r="Q1576" s="3">
        <v>4915</v>
      </c>
    </row>
    <row r="1577" spans="1:17" ht="24.95" hidden="1" customHeight="1" x14ac:dyDescent="0.25">
      <c r="A1577" s="3">
        <v>5</v>
      </c>
      <c r="B1577" s="3" t="s">
        <v>448</v>
      </c>
      <c r="C1577" s="3" t="s">
        <v>2037</v>
      </c>
      <c r="I1577" s="3">
        <v>32</v>
      </c>
      <c r="J1577" s="3">
        <v>5</v>
      </c>
      <c r="K1577" s="3">
        <v>4</v>
      </c>
      <c r="L1577" s="3">
        <v>20</v>
      </c>
      <c r="M1577" s="3">
        <v>4465</v>
      </c>
      <c r="N1577" s="3">
        <v>89.3</v>
      </c>
      <c r="O1577" s="3">
        <v>6.31</v>
      </c>
      <c r="P1577" s="3">
        <v>563.48299999999995</v>
      </c>
      <c r="Q1577" s="3">
        <v>4465</v>
      </c>
    </row>
    <row r="1578" spans="1:17" ht="24.95" hidden="1" customHeight="1" x14ac:dyDescent="0.25">
      <c r="A1578" s="3">
        <v>5</v>
      </c>
      <c r="B1578" s="3" t="s">
        <v>448</v>
      </c>
      <c r="C1578" s="3" t="s">
        <v>2038</v>
      </c>
      <c r="I1578" s="3">
        <v>10</v>
      </c>
      <c r="J1578" s="3">
        <v>62</v>
      </c>
      <c r="K1578" s="3">
        <v>4</v>
      </c>
      <c r="L1578" s="3">
        <v>248</v>
      </c>
      <c r="M1578" s="3">
        <v>2160</v>
      </c>
      <c r="N1578" s="3">
        <v>535.67999999999995</v>
      </c>
      <c r="O1578" s="3">
        <v>0.61699999999999999</v>
      </c>
      <c r="P1578" s="3">
        <v>330.51455999999996</v>
      </c>
      <c r="Q1578" s="3">
        <v>2160</v>
      </c>
    </row>
    <row r="1579" spans="1:17" ht="24.95" hidden="1" customHeight="1" x14ac:dyDescent="0.25">
      <c r="A1579" s="3">
        <v>5</v>
      </c>
      <c r="B1579" s="3" t="s">
        <v>448</v>
      </c>
      <c r="C1579" s="3" t="s">
        <v>2039</v>
      </c>
      <c r="I1579" s="3">
        <v>10</v>
      </c>
      <c r="J1579" s="3">
        <v>62</v>
      </c>
      <c r="K1579" s="3">
        <v>4</v>
      </c>
      <c r="L1579" s="3">
        <v>248</v>
      </c>
      <c r="M1579" s="3">
        <v>690</v>
      </c>
      <c r="N1579" s="3">
        <v>171.12</v>
      </c>
      <c r="O1579" s="3">
        <v>0.61699999999999999</v>
      </c>
      <c r="P1579" s="3">
        <v>105.58104</v>
      </c>
      <c r="Q1579" s="3">
        <v>690</v>
      </c>
    </row>
    <row r="1580" spans="1:17" ht="24.95" hidden="1" customHeight="1" x14ac:dyDescent="0.25">
      <c r="A1580" s="3">
        <v>5</v>
      </c>
      <c r="B1580" s="3" t="s">
        <v>448</v>
      </c>
      <c r="C1580" s="3" t="s">
        <v>2040</v>
      </c>
      <c r="I1580" s="3">
        <v>32</v>
      </c>
      <c r="J1580" s="3">
        <v>7</v>
      </c>
      <c r="K1580" s="3">
        <v>4</v>
      </c>
      <c r="L1580" s="3">
        <v>28</v>
      </c>
      <c r="M1580" s="3">
        <v>490</v>
      </c>
      <c r="N1580" s="3">
        <v>13.72</v>
      </c>
      <c r="O1580" s="3">
        <v>6.31</v>
      </c>
      <c r="P1580" s="3">
        <v>86.5732</v>
      </c>
      <c r="Q1580" s="3">
        <v>490</v>
      </c>
    </row>
    <row r="1581" spans="1:17" ht="24.95" hidden="1" customHeight="1" x14ac:dyDescent="0.25">
      <c r="A1581" s="3">
        <v>5</v>
      </c>
      <c r="B1581" s="3" t="s">
        <v>449</v>
      </c>
      <c r="C1581" s="3" t="s">
        <v>2041</v>
      </c>
      <c r="I1581" s="3">
        <v>32</v>
      </c>
      <c r="J1581" s="3">
        <v>7</v>
      </c>
      <c r="K1581" s="3">
        <v>1</v>
      </c>
      <c r="L1581" s="3">
        <v>7</v>
      </c>
      <c r="M1581" s="3">
        <v>4120</v>
      </c>
      <c r="N1581" s="3">
        <v>28.84</v>
      </c>
      <c r="O1581" s="3">
        <v>6.31</v>
      </c>
      <c r="P1581" s="3">
        <v>181.98039999999997</v>
      </c>
      <c r="Q1581" s="3">
        <v>4120</v>
      </c>
    </row>
    <row r="1582" spans="1:17" ht="24.95" hidden="1" customHeight="1" x14ac:dyDescent="0.25">
      <c r="A1582" s="3">
        <v>5</v>
      </c>
      <c r="B1582" s="3" t="s">
        <v>449</v>
      </c>
      <c r="C1582" s="3" t="s">
        <v>2042</v>
      </c>
      <c r="I1582" s="3">
        <v>32</v>
      </c>
      <c r="J1582" s="3">
        <v>7</v>
      </c>
      <c r="K1582" s="3">
        <v>1</v>
      </c>
      <c r="L1582" s="3">
        <v>7</v>
      </c>
      <c r="M1582" s="3">
        <v>11700</v>
      </c>
      <c r="N1582" s="3">
        <v>81.900000000000006</v>
      </c>
      <c r="O1582" s="3">
        <v>6.31</v>
      </c>
      <c r="P1582" s="3">
        <v>516.78899999999999</v>
      </c>
      <c r="Q1582" s="3">
        <v>11700</v>
      </c>
    </row>
    <row r="1583" spans="1:17" ht="24.95" hidden="1" customHeight="1" x14ac:dyDescent="0.25">
      <c r="A1583" s="3">
        <v>5</v>
      </c>
      <c r="B1583" s="3" t="s">
        <v>449</v>
      </c>
      <c r="C1583" s="3" t="s">
        <v>2043</v>
      </c>
      <c r="I1583" s="3">
        <v>32</v>
      </c>
      <c r="J1583" s="3">
        <v>7</v>
      </c>
      <c r="K1583" s="3">
        <v>1</v>
      </c>
      <c r="L1583" s="3">
        <v>7</v>
      </c>
      <c r="M1583" s="3">
        <v>6840</v>
      </c>
      <c r="N1583" s="3">
        <v>47.88</v>
      </c>
      <c r="O1583" s="3">
        <v>6.31</v>
      </c>
      <c r="P1583" s="3">
        <v>302.12279999999998</v>
      </c>
      <c r="Q1583" s="3">
        <v>6840</v>
      </c>
    </row>
    <row r="1584" spans="1:17" ht="24.95" hidden="1" customHeight="1" x14ac:dyDescent="0.25">
      <c r="A1584" s="3">
        <v>5</v>
      </c>
      <c r="B1584" s="3" t="s">
        <v>449</v>
      </c>
      <c r="C1584" s="3" t="s">
        <v>2044</v>
      </c>
      <c r="I1584" s="3">
        <v>32</v>
      </c>
      <c r="J1584" s="3">
        <v>7</v>
      </c>
      <c r="K1584" s="3">
        <v>1</v>
      </c>
      <c r="L1584" s="3">
        <v>7</v>
      </c>
      <c r="M1584" s="3">
        <v>9000</v>
      </c>
      <c r="N1584" s="3">
        <v>63</v>
      </c>
      <c r="O1584" s="3">
        <v>6.31</v>
      </c>
      <c r="P1584" s="3">
        <v>397.53</v>
      </c>
      <c r="Q1584" s="3">
        <v>9000</v>
      </c>
    </row>
    <row r="1585" spans="1:17" ht="24.95" hidden="1" customHeight="1" x14ac:dyDescent="0.25">
      <c r="A1585" s="3">
        <v>5</v>
      </c>
      <c r="B1585" s="3" t="s">
        <v>449</v>
      </c>
      <c r="C1585" s="3" t="s">
        <v>2045</v>
      </c>
      <c r="I1585" s="3">
        <v>14</v>
      </c>
      <c r="J1585" s="3">
        <v>12</v>
      </c>
      <c r="K1585" s="3">
        <v>1</v>
      </c>
      <c r="L1585" s="3">
        <v>12</v>
      </c>
      <c r="M1585" s="3">
        <v>9900</v>
      </c>
      <c r="N1585" s="3">
        <v>118.8</v>
      </c>
      <c r="O1585" s="3">
        <v>1.21</v>
      </c>
      <c r="P1585" s="3">
        <v>143.74799999999999</v>
      </c>
      <c r="Q1585" s="3">
        <v>9900</v>
      </c>
    </row>
    <row r="1586" spans="1:17" ht="24.95" hidden="1" customHeight="1" x14ac:dyDescent="0.25">
      <c r="A1586" s="3">
        <v>5</v>
      </c>
      <c r="B1586" s="3" t="s">
        <v>449</v>
      </c>
      <c r="C1586" s="3" t="s">
        <v>2046</v>
      </c>
      <c r="I1586" s="3">
        <v>16</v>
      </c>
      <c r="J1586" s="3">
        <v>65</v>
      </c>
      <c r="K1586" s="3">
        <v>1</v>
      </c>
      <c r="L1586" s="3">
        <v>65</v>
      </c>
      <c r="M1586" s="3">
        <v>2030</v>
      </c>
      <c r="N1586" s="3">
        <v>131.94999999999999</v>
      </c>
      <c r="O1586" s="3">
        <v>1.58</v>
      </c>
      <c r="P1586" s="3">
        <v>208.48099999999999</v>
      </c>
      <c r="Q1586" s="3">
        <v>2030</v>
      </c>
    </row>
    <row r="1587" spans="1:17" ht="24.95" hidden="1" customHeight="1" x14ac:dyDescent="0.25">
      <c r="A1587" s="3">
        <v>5</v>
      </c>
      <c r="B1587" s="3" t="s">
        <v>449</v>
      </c>
      <c r="C1587" s="3" t="s">
        <v>2047</v>
      </c>
      <c r="I1587" s="3">
        <v>16</v>
      </c>
      <c r="J1587" s="3">
        <v>65</v>
      </c>
      <c r="K1587" s="3">
        <v>1</v>
      </c>
      <c r="L1587" s="3">
        <v>65</v>
      </c>
      <c r="M1587" s="3">
        <v>5370</v>
      </c>
      <c r="N1587" s="3">
        <v>349.05</v>
      </c>
      <c r="O1587" s="3">
        <v>1.58</v>
      </c>
      <c r="P1587" s="3">
        <v>551.49900000000002</v>
      </c>
      <c r="Q1587" s="3">
        <v>5370</v>
      </c>
    </row>
    <row r="1588" spans="1:17" ht="24.95" hidden="1" customHeight="1" x14ac:dyDescent="0.25">
      <c r="A1588" s="3">
        <v>5</v>
      </c>
      <c r="B1588" s="3" t="s">
        <v>449</v>
      </c>
      <c r="C1588" s="3" t="s">
        <v>2048</v>
      </c>
      <c r="I1588" s="3">
        <v>16</v>
      </c>
      <c r="J1588" s="3">
        <v>130</v>
      </c>
      <c r="K1588" s="3">
        <v>1</v>
      </c>
      <c r="L1588" s="3">
        <v>130</v>
      </c>
      <c r="M1588" s="3">
        <v>2710</v>
      </c>
      <c r="N1588" s="3">
        <v>352.3</v>
      </c>
      <c r="O1588" s="3">
        <v>1.58</v>
      </c>
      <c r="P1588" s="3">
        <v>556.63400000000001</v>
      </c>
      <c r="Q1588" s="3">
        <v>2710</v>
      </c>
    </row>
    <row r="1589" spans="1:17" ht="24.95" hidden="1" customHeight="1" x14ac:dyDescent="0.25">
      <c r="A1589" s="3">
        <v>5</v>
      </c>
      <c r="B1589" s="3" t="s">
        <v>449</v>
      </c>
      <c r="C1589" s="3" t="s">
        <v>2049</v>
      </c>
      <c r="I1589" s="3">
        <v>14</v>
      </c>
      <c r="J1589" s="3">
        <v>12</v>
      </c>
      <c r="K1589" s="3">
        <v>1</v>
      </c>
      <c r="L1589" s="3">
        <v>12</v>
      </c>
      <c r="M1589" s="3">
        <v>9900</v>
      </c>
      <c r="N1589" s="3">
        <v>118.8</v>
      </c>
      <c r="O1589" s="3">
        <v>1.21</v>
      </c>
      <c r="P1589" s="3">
        <v>143.74799999999999</v>
      </c>
      <c r="Q1589" s="3">
        <v>9900</v>
      </c>
    </row>
    <row r="1590" spans="1:17" ht="24.95" hidden="1" customHeight="1" x14ac:dyDescent="0.25">
      <c r="A1590" s="3">
        <v>5</v>
      </c>
      <c r="B1590" s="3" t="s">
        <v>449</v>
      </c>
      <c r="C1590" s="3" t="s">
        <v>2050</v>
      </c>
      <c r="I1590" s="3">
        <v>10</v>
      </c>
      <c r="J1590" s="3">
        <v>102</v>
      </c>
      <c r="K1590" s="3">
        <v>1</v>
      </c>
      <c r="L1590" s="3">
        <v>102</v>
      </c>
      <c r="M1590" s="3">
        <v>790</v>
      </c>
      <c r="N1590" s="3">
        <v>80.58</v>
      </c>
      <c r="O1590" s="3">
        <v>0.61699999999999999</v>
      </c>
      <c r="P1590" s="3">
        <v>49.717860000000002</v>
      </c>
      <c r="Q1590" s="3">
        <v>790</v>
      </c>
    </row>
    <row r="1591" spans="1:17" ht="24.95" hidden="1" customHeight="1" x14ac:dyDescent="0.25">
      <c r="A1591" s="3">
        <v>5</v>
      </c>
      <c r="B1591" s="3" t="s">
        <v>450</v>
      </c>
      <c r="C1591" s="3" t="s">
        <v>2051</v>
      </c>
      <c r="I1591" s="3">
        <v>20</v>
      </c>
      <c r="J1591" s="3">
        <v>4</v>
      </c>
      <c r="K1591" s="3">
        <v>1</v>
      </c>
      <c r="L1591" s="3">
        <v>4</v>
      </c>
      <c r="M1591" s="3">
        <v>3950</v>
      </c>
      <c r="N1591" s="3">
        <v>15.8</v>
      </c>
      <c r="O1591" s="3">
        <v>2.4700000000000002</v>
      </c>
      <c r="P1591" s="3">
        <v>39.026000000000003</v>
      </c>
      <c r="Q1591" s="3">
        <v>3950</v>
      </c>
    </row>
    <row r="1592" spans="1:17" ht="24.95" hidden="1" customHeight="1" x14ac:dyDescent="0.25">
      <c r="A1592" s="3">
        <v>5</v>
      </c>
      <c r="B1592" s="3" t="s">
        <v>450</v>
      </c>
      <c r="C1592" s="3" t="s">
        <v>2052</v>
      </c>
      <c r="I1592" s="3">
        <v>20</v>
      </c>
      <c r="J1592" s="3">
        <v>4</v>
      </c>
      <c r="K1592" s="3">
        <v>1</v>
      </c>
      <c r="L1592" s="3">
        <v>4</v>
      </c>
      <c r="M1592" s="3">
        <v>3950</v>
      </c>
      <c r="N1592" s="3">
        <v>15.8</v>
      </c>
      <c r="O1592" s="3">
        <v>2.4700000000000002</v>
      </c>
      <c r="P1592" s="3">
        <v>39.026000000000003</v>
      </c>
      <c r="Q1592" s="3">
        <v>3950</v>
      </c>
    </row>
    <row r="1593" spans="1:17" ht="24.95" hidden="1" customHeight="1" x14ac:dyDescent="0.25">
      <c r="A1593" s="3">
        <v>5</v>
      </c>
      <c r="B1593" s="3" t="s">
        <v>450</v>
      </c>
      <c r="C1593" s="3" t="s">
        <v>2053</v>
      </c>
      <c r="I1593" s="3">
        <v>10</v>
      </c>
      <c r="J1593" s="3">
        <v>62</v>
      </c>
      <c r="K1593" s="3">
        <v>1</v>
      </c>
      <c r="L1593" s="3">
        <v>62</v>
      </c>
      <c r="M1593" s="3">
        <v>1180</v>
      </c>
      <c r="N1593" s="3">
        <v>73.16</v>
      </c>
      <c r="O1593" s="3">
        <v>0.61699999999999999</v>
      </c>
      <c r="P1593" s="3">
        <v>45.139719999999997</v>
      </c>
      <c r="Q1593" s="3">
        <v>1180</v>
      </c>
    </row>
    <row r="1594" spans="1:17" ht="24.95" hidden="1" customHeight="1" x14ac:dyDescent="0.25">
      <c r="A1594" s="3">
        <v>5</v>
      </c>
      <c r="B1594" s="3" t="s">
        <v>451</v>
      </c>
      <c r="C1594" s="3" t="s">
        <v>2054</v>
      </c>
      <c r="I1594" s="3">
        <v>20</v>
      </c>
      <c r="J1594" s="3">
        <v>2</v>
      </c>
      <c r="K1594" s="3">
        <v>1</v>
      </c>
      <c r="L1594" s="3">
        <v>2</v>
      </c>
      <c r="M1594" s="3">
        <v>6130</v>
      </c>
      <c r="N1594" s="3">
        <v>12.26</v>
      </c>
      <c r="O1594" s="3">
        <v>2.4700000000000002</v>
      </c>
      <c r="P1594" s="3">
        <v>30.282200000000003</v>
      </c>
      <c r="Q1594" s="3">
        <v>6130</v>
      </c>
    </row>
    <row r="1595" spans="1:17" ht="24.95" hidden="1" customHeight="1" x14ac:dyDescent="0.25">
      <c r="A1595" s="3">
        <v>5</v>
      </c>
      <c r="B1595" s="3" t="s">
        <v>451</v>
      </c>
      <c r="C1595" s="3" t="s">
        <v>2055</v>
      </c>
      <c r="I1595" s="3">
        <v>20</v>
      </c>
      <c r="J1595" s="3">
        <v>2</v>
      </c>
      <c r="K1595" s="3">
        <v>1</v>
      </c>
      <c r="L1595" s="3">
        <v>2</v>
      </c>
      <c r="M1595" s="3">
        <v>6130</v>
      </c>
      <c r="N1595" s="3">
        <v>12.26</v>
      </c>
      <c r="O1595" s="3">
        <v>2.4700000000000002</v>
      </c>
      <c r="P1595" s="3">
        <v>30.282200000000003</v>
      </c>
      <c r="Q1595" s="3">
        <v>6130</v>
      </c>
    </row>
    <row r="1596" spans="1:17" ht="24.95" hidden="1" customHeight="1" x14ac:dyDescent="0.25">
      <c r="A1596" s="3">
        <v>5</v>
      </c>
      <c r="B1596" s="3" t="s">
        <v>452</v>
      </c>
      <c r="C1596" s="3" t="s">
        <v>2056</v>
      </c>
      <c r="I1596" s="3">
        <v>32</v>
      </c>
      <c r="J1596" s="3">
        <v>10</v>
      </c>
      <c r="K1596" s="3">
        <v>1</v>
      </c>
      <c r="L1596" s="3">
        <v>10</v>
      </c>
      <c r="M1596" s="3">
        <v>11700</v>
      </c>
      <c r="N1596" s="3">
        <v>117</v>
      </c>
      <c r="O1596" s="3">
        <v>6.31</v>
      </c>
      <c r="P1596" s="3">
        <v>738.27</v>
      </c>
      <c r="Q1596" s="3">
        <v>11700</v>
      </c>
    </row>
    <row r="1597" spans="1:17" ht="24.95" hidden="1" customHeight="1" x14ac:dyDescent="0.25">
      <c r="A1597" s="3">
        <v>5</v>
      </c>
      <c r="B1597" s="3" t="s">
        <v>452</v>
      </c>
      <c r="C1597" s="3" t="s">
        <v>2057</v>
      </c>
      <c r="I1597" s="3">
        <v>32</v>
      </c>
      <c r="J1597" s="3">
        <v>11</v>
      </c>
      <c r="K1597" s="3">
        <v>1</v>
      </c>
      <c r="L1597" s="3">
        <v>11</v>
      </c>
      <c r="M1597" s="3">
        <v>9685</v>
      </c>
      <c r="N1597" s="3">
        <v>106.535</v>
      </c>
      <c r="O1597" s="3">
        <v>6.31</v>
      </c>
      <c r="P1597" s="3">
        <v>672.23584999999991</v>
      </c>
      <c r="Q1597" s="3">
        <v>9685</v>
      </c>
    </row>
    <row r="1598" spans="1:17" ht="24.95" hidden="1" customHeight="1" x14ac:dyDescent="0.25">
      <c r="A1598" s="3">
        <v>5</v>
      </c>
      <c r="B1598" s="3" t="s">
        <v>452</v>
      </c>
      <c r="C1598" s="3" t="s">
        <v>2058</v>
      </c>
      <c r="I1598" s="3">
        <v>32</v>
      </c>
      <c r="J1598" s="3">
        <v>11</v>
      </c>
      <c r="K1598" s="3">
        <v>1</v>
      </c>
      <c r="L1598" s="3">
        <v>11</v>
      </c>
      <c r="M1598" s="3">
        <v>11700</v>
      </c>
      <c r="N1598" s="3">
        <v>128.69999999999999</v>
      </c>
      <c r="O1598" s="3">
        <v>6.31</v>
      </c>
      <c r="P1598" s="3">
        <v>812.09699999999987</v>
      </c>
      <c r="Q1598" s="3">
        <v>11700</v>
      </c>
    </row>
    <row r="1599" spans="1:17" ht="24.95" hidden="1" customHeight="1" x14ac:dyDescent="0.25">
      <c r="A1599" s="3">
        <v>5</v>
      </c>
      <c r="B1599" s="3" t="s">
        <v>452</v>
      </c>
      <c r="C1599" s="3" t="s">
        <v>2059</v>
      </c>
      <c r="I1599" s="3">
        <v>32</v>
      </c>
      <c r="J1599" s="3">
        <v>10</v>
      </c>
      <c r="K1599" s="3">
        <v>1</v>
      </c>
      <c r="L1599" s="3">
        <v>10</v>
      </c>
      <c r="M1599" s="3">
        <v>9685</v>
      </c>
      <c r="N1599" s="3">
        <v>96.85</v>
      </c>
      <c r="O1599" s="3">
        <v>6.31</v>
      </c>
      <c r="P1599" s="3">
        <v>611.12349999999992</v>
      </c>
      <c r="Q1599" s="3">
        <v>9685</v>
      </c>
    </row>
    <row r="1600" spans="1:17" ht="24.95" hidden="1" customHeight="1" x14ac:dyDescent="0.25">
      <c r="A1600" s="3">
        <v>6</v>
      </c>
      <c r="B1600" s="3" t="s">
        <v>452</v>
      </c>
      <c r="C1600" s="3" t="s">
        <v>2060</v>
      </c>
      <c r="I1600" s="3">
        <v>32</v>
      </c>
      <c r="J1600" s="3">
        <v>11</v>
      </c>
      <c r="K1600" s="3">
        <v>1</v>
      </c>
      <c r="L1600" s="3">
        <v>11</v>
      </c>
      <c r="M1600" s="3">
        <v>9585</v>
      </c>
      <c r="N1600" s="3">
        <v>105.435</v>
      </c>
      <c r="O1600" s="3">
        <v>6.31</v>
      </c>
      <c r="P1600" s="3">
        <v>665.29485</v>
      </c>
      <c r="Q1600" s="3">
        <v>9585</v>
      </c>
    </row>
    <row r="1601" spans="1:17" ht="24.95" hidden="1" customHeight="1" x14ac:dyDescent="0.25">
      <c r="A1601" s="3">
        <v>6</v>
      </c>
      <c r="B1601" s="3" t="s">
        <v>452</v>
      </c>
      <c r="C1601" s="3" t="s">
        <v>2061</v>
      </c>
      <c r="I1601" s="3">
        <v>32</v>
      </c>
      <c r="J1601" s="3">
        <v>11</v>
      </c>
      <c r="K1601" s="3">
        <v>1</v>
      </c>
      <c r="L1601" s="3">
        <v>11</v>
      </c>
      <c r="M1601" s="3">
        <v>11700</v>
      </c>
      <c r="N1601" s="3">
        <v>128.69999999999999</v>
      </c>
      <c r="O1601" s="3">
        <v>6.31</v>
      </c>
      <c r="P1601" s="3">
        <v>812.09699999999987</v>
      </c>
      <c r="Q1601" s="3">
        <v>11700</v>
      </c>
    </row>
    <row r="1602" spans="1:17" ht="24.95" hidden="1" customHeight="1" x14ac:dyDescent="0.25">
      <c r="A1602" s="3">
        <v>6</v>
      </c>
      <c r="B1602" s="3" t="s">
        <v>452</v>
      </c>
      <c r="C1602" s="3" t="s">
        <v>2062</v>
      </c>
      <c r="I1602" s="3">
        <v>32</v>
      </c>
      <c r="J1602" s="3">
        <v>10</v>
      </c>
      <c r="K1602" s="3">
        <v>1</v>
      </c>
      <c r="L1602" s="3">
        <v>10</v>
      </c>
      <c r="M1602" s="3">
        <v>11700</v>
      </c>
      <c r="N1602" s="3">
        <v>117</v>
      </c>
      <c r="O1602" s="3">
        <v>6.31</v>
      </c>
      <c r="P1602" s="3">
        <v>738.27</v>
      </c>
      <c r="Q1602" s="3">
        <v>11700</v>
      </c>
    </row>
    <row r="1603" spans="1:17" ht="24.95" hidden="1" customHeight="1" x14ac:dyDescent="0.25">
      <c r="A1603" s="3">
        <v>6</v>
      </c>
      <c r="B1603" s="3" t="s">
        <v>452</v>
      </c>
      <c r="C1603" s="3" t="s">
        <v>2063</v>
      </c>
      <c r="I1603" s="3">
        <v>32</v>
      </c>
      <c r="J1603" s="3">
        <v>10</v>
      </c>
      <c r="K1603" s="3">
        <v>1</v>
      </c>
      <c r="L1603" s="3">
        <v>10</v>
      </c>
      <c r="M1603" s="3">
        <v>9585</v>
      </c>
      <c r="N1603" s="3">
        <v>95.85</v>
      </c>
      <c r="O1603" s="3">
        <v>6.31</v>
      </c>
      <c r="P1603" s="3">
        <v>604.81349999999998</v>
      </c>
      <c r="Q1603" s="3">
        <v>9585</v>
      </c>
    </row>
    <row r="1604" spans="1:17" ht="24.95" hidden="1" customHeight="1" x14ac:dyDescent="0.25">
      <c r="A1604" s="3">
        <v>6</v>
      </c>
      <c r="B1604" s="3" t="s">
        <v>452</v>
      </c>
      <c r="C1604" s="3" t="s">
        <v>2064</v>
      </c>
      <c r="I1604" s="3">
        <v>32</v>
      </c>
      <c r="J1604" s="3">
        <v>4</v>
      </c>
      <c r="K1604" s="3">
        <v>1</v>
      </c>
      <c r="L1604" s="3">
        <v>4</v>
      </c>
      <c r="M1604" s="3">
        <v>10285</v>
      </c>
      <c r="N1604" s="3">
        <v>41.14</v>
      </c>
      <c r="O1604" s="3">
        <v>6.31</v>
      </c>
      <c r="P1604" s="3">
        <v>259.59339999999997</v>
      </c>
      <c r="Q1604" s="3">
        <v>10285</v>
      </c>
    </row>
    <row r="1605" spans="1:17" ht="24.95" hidden="1" customHeight="1" x14ac:dyDescent="0.25">
      <c r="A1605" s="3">
        <v>6</v>
      </c>
      <c r="B1605" s="3" t="s">
        <v>452</v>
      </c>
      <c r="C1605" s="3" t="s">
        <v>2065</v>
      </c>
      <c r="I1605" s="3">
        <v>32</v>
      </c>
      <c r="J1605" s="3">
        <v>10</v>
      </c>
      <c r="K1605" s="3">
        <v>1</v>
      </c>
      <c r="L1605" s="3">
        <v>10</v>
      </c>
      <c r="M1605" s="3">
        <v>11220</v>
      </c>
      <c r="N1605" s="3">
        <v>112.2</v>
      </c>
      <c r="O1605" s="3">
        <v>6.31</v>
      </c>
      <c r="P1605" s="3">
        <v>707.98199999999997</v>
      </c>
      <c r="Q1605" s="3">
        <v>11220</v>
      </c>
    </row>
    <row r="1606" spans="1:17" ht="24.95" hidden="1" customHeight="1" x14ac:dyDescent="0.25">
      <c r="A1606" s="3">
        <v>6</v>
      </c>
      <c r="B1606" s="3" t="s">
        <v>452</v>
      </c>
      <c r="C1606" s="3" t="s">
        <v>2066</v>
      </c>
      <c r="I1606" s="3">
        <v>32</v>
      </c>
      <c r="J1606" s="3">
        <v>11</v>
      </c>
      <c r="K1606" s="3">
        <v>1</v>
      </c>
      <c r="L1606" s="3">
        <v>11</v>
      </c>
      <c r="M1606" s="3">
        <v>5575</v>
      </c>
      <c r="N1606" s="3">
        <v>61.325000000000003</v>
      </c>
      <c r="O1606" s="3">
        <v>6.31</v>
      </c>
      <c r="P1606" s="3">
        <v>386.96075000000002</v>
      </c>
      <c r="Q1606" s="3">
        <v>5575</v>
      </c>
    </row>
    <row r="1607" spans="1:17" ht="24.95" hidden="1" customHeight="1" x14ac:dyDescent="0.25">
      <c r="A1607" s="3">
        <v>6</v>
      </c>
      <c r="B1607" s="3" t="s">
        <v>452</v>
      </c>
      <c r="C1607" s="3" t="s">
        <v>2067</v>
      </c>
      <c r="I1607" s="3">
        <v>32</v>
      </c>
      <c r="J1607" s="3">
        <v>11</v>
      </c>
      <c r="K1607" s="3">
        <v>1</v>
      </c>
      <c r="L1607" s="3">
        <v>11</v>
      </c>
      <c r="M1607" s="3">
        <v>5485</v>
      </c>
      <c r="N1607" s="3">
        <v>60.335000000000001</v>
      </c>
      <c r="O1607" s="3">
        <v>6.31</v>
      </c>
      <c r="P1607" s="3">
        <v>380.71384999999998</v>
      </c>
      <c r="Q1607" s="3">
        <v>5485</v>
      </c>
    </row>
    <row r="1608" spans="1:17" ht="24.95" hidden="1" customHeight="1" x14ac:dyDescent="0.25">
      <c r="A1608" s="3">
        <v>6</v>
      </c>
      <c r="B1608" s="3" t="s">
        <v>452</v>
      </c>
      <c r="C1608" s="3" t="s">
        <v>2068</v>
      </c>
      <c r="I1608" s="3">
        <v>32</v>
      </c>
      <c r="J1608" s="3">
        <v>10</v>
      </c>
      <c r="K1608" s="3">
        <v>1</v>
      </c>
      <c r="L1608" s="3">
        <v>10</v>
      </c>
      <c r="M1608" s="3">
        <v>7245</v>
      </c>
      <c r="N1608" s="3">
        <v>72.45</v>
      </c>
      <c r="O1608" s="3">
        <v>6.31</v>
      </c>
      <c r="P1608" s="3">
        <v>457.15949999999998</v>
      </c>
      <c r="Q1608" s="3">
        <v>7245</v>
      </c>
    </row>
    <row r="1609" spans="1:17" ht="24.95" hidden="1" customHeight="1" x14ac:dyDescent="0.25">
      <c r="A1609" s="3">
        <v>6</v>
      </c>
      <c r="B1609" s="3" t="s">
        <v>452</v>
      </c>
      <c r="C1609" s="3" t="s">
        <v>2069</v>
      </c>
      <c r="I1609" s="3">
        <v>32</v>
      </c>
      <c r="J1609" s="3">
        <v>10</v>
      </c>
      <c r="K1609" s="3">
        <v>1</v>
      </c>
      <c r="L1609" s="3">
        <v>10</v>
      </c>
      <c r="M1609" s="3">
        <v>8180</v>
      </c>
      <c r="N1609" s="3">
        <v>81.8</v>
      </c>
      <c r="O1609" s="3">
        <v>6.31</v>
      </c>
      <c r="P1609" s="3">
        <v>516.1579999999999</v>
      </c>
      <c r="Q1609" s="3">
        <v>8180</v>
      </c>
    </row>
    <row r="1610" spans="1:17" ht="24.95" hidden="1" customHeight="1" x14ac:dyDescent="0.25">
      <c r="A1610" s="3">
        <v>6</v>
      </c>
      <c r="B1610" s="3" t="s">
        <v>452</v>
      </c>
      <c r="C1610" s="3" t="s">
        <v>2070</v>
      </c>
      <c r="I1610" s="3">
        <v>32</v>
      </c>
      <c r="J1610" s="3">
        <v>10</v>
      </c>
      <c r="K1610" s="3">
        <v>1</v>
      </c>
      <c r="L1610" s="3">
        <v>10</v>
      </c>
      <c r="M1610" s="3">
        <v>7335</v>
      </c>
      <c r="N1610" s="3">
        <v>73.349999999999994</v>
      </c>
      <c r="O1610" s="3">
        <v>6.31</v>
      </c>
      <c r="P1610" s="3">
        <v>462.83849999999995</v>
      </c>
      <c r="Q1610" s="3">
        <v>7335</v>
      </c>
    </row>
    <row r="1611" spans="1:17" ht="24.95" hidden="1" customHeight="1" x14ac:dyDescent="0.25">
      <c r="A1611" s="3">
        <v>6</v>
      </c>
      <c r="B1611" s="3" t="s">
        <v>452</v>
      </c>
      <c r="C1611" s="3" t="s">
        <v>2071</v>
      </c>
      <c r="I1611" s="3">
        <v>32</v>
      </c>
      <c r="J1611" s="3">
        <v>11</v>
      </c>
      <c r="K1611" s="3">
        <v>1</v>
      </c>
      <c r="L1611" s="3">
        <v>11</v>
      </c>
      <c r="M1611" s="3">
        <v>11700</v>
      </c>
      <c r="N1611" s="3">
        <v>128.69999999999999</v>
      </c>
      <c r="O1611" s="3">
        <v>6.31</v>
      </c>
      <c r="P1611" s="3">
        <v>812.09699999999987</v>
      </c>
      <c r="Q1611" s="3">
        <v>11700</v>
      </c>
    </row>
    <row r="1612" spans="1:17" ht="24.95" hidden="1" customHeight="1" x14ac:dyDescent="0.25">
      <c r="A1612" s="3">
        <v>6</v>
      </c>
      <c r="B1612" s="3" t="s">
        <v>452</v>
      </c>
      <c r="C1612" s="3" t="s">
        <v>2072</v>
      </c>
      <c r="I1612" s="3">
        <v>32</v>
      </c>
      <c r="J1612" s="3">
        <v>4</v>
      </c>
      <c r="K1612" s="3">
        <v>1</v>
      </c>
      <c r="L1612" s="3">
        <v>4</v>
      </c>
      <c r="M1612" s="3">
        <v>4700</v>
      </c>
      <c r="N1612" s="3">
        <v>18.8</v>
      </c>
      <c r="O1612" s="3">
        <v>6.31</v>
      </c>
      <c r="P1612" s="3">
        <v>118.628</v>
      </c>
      <c r="Q1612" s="3">
        <v>4700</v>
      </c>
    </row>
    <row r="1613" spans="1:17" ht="24.95" hidden="1" customHeight="1" x14ac:dyDescent="0.25">
      <c r="A1613" s="3">
        <v>6</v>
      </c>
      <c r="B1613" s="3" t="s">
        <v>452</v>
      </c>
      <c r="C1613" s="3" t="s">
        <v>2073</v>
      </c>
      <c r="I1613" s="3">
        <v>16</v>
      </c>
      <c r="J1613" s="3">
        <v>105</v>
      </c>
      <c r="K1613" s="3">
        <v>1</v>
      </c>
      <c r="L1613" s="3">
        <v>105</v>
      </c>
      <c r="M1613" s="3">
        <v>7870</v>
      </c>
      <c r="N1613" s="3">
        <v>826.35</v>
      </c>
      <c r="O1613" s="3">
        <v>1.58</v>
      </c>
      <c r="P1613" s="3">
        <v>1305.633</v>
      </c>
      <c r="Q1613" s="3">
        <v>7870</v>
      </c>
    </row>
    <row r="1614" spans="1:17" ht="24.95" hidden="1" customHeight="1" x14ac:dyDescent="0.25">
      <c r="A1614" s="3">
        <v>6</v>
      </c>
      <c r="B1614" s="3" t="s">
        <v>452</v>
      </c>
      <c r="C1614" s="3" t="s">
        <v>2074</v>
      </c>
      <c r="I1614" s="3">
        <v>16</v>
      </c>
      <c r="J1614" s="3">
        <v>105</v>
      </c>
      <c r="K1614" s="3">
        <v>1</v>
      </c>
      <c r="L1614" s="3">
        <v>105</v>
      </c>
      <c r="M1614" s="3">
        <v>4530</v>
      </c>
      <c r="N1614" s="3">
        <v>475.65</v>
      </c>
      <c r="O1614" s="3">
        <v>1.58</v>
      </c>
      <c r="P1614" s="3">
        <v>751.52700000000004</v>
      </c>
      <c r="Q1614" s="3">
        <v>4530</v>
      </c>
    </row>
    <row r="1615" spans="1:17" ht="24.95" hidden="1" customHeight="1" x14ac:dyDescent="0.25">
      <c r="A1615" s="3">
        <v>6</v>
      </c>
      <c r="B1615" s="3" t="s">
        <v>452</v>
      </c>
      <c r="C1615" s="3" t="s">
        <v>2075</v>
      </c>
      <c r="I1615" s="3">
        <v>16</v>
      </c>
      <c r="J1615" s="3">
        <v>945</v>
      </c>
      <c r="K1615" s="3">
        <v>1</v>
      </c>
      <c r="L1615" s="3">
        <v>945</v>
      </c>
      <c r="M1615" s="3">
        <v>2710</v>
      </c>
      <c r="N1615" s="3">
        <v>2560.9499999999998</v>
      </c>
      <c r="O1615" s="3">
        <v>1.58</v>
      </c>
      <c r="P1615" s="3">
        <v>4046.3009999999999</v>
      </c>
      <c r="Q1615" s="3">
        <v>2710</v>
      </c>
    </row>
    <row r="1616" spans="1:17" ht="24.95" hidden="1" customHeight="1" x14ac:dyDescent="0.25">
      <c r="A1616" s="3">
        <v>6</v>
      </c>
      <c r="B1616" s="3" t="s">
        <v>452</v>
      </c>
      <c r="C1616" s="3" t="s">
        <v>2076</v>
      </c>
      <c r="I1616" s="3">
        <v>18</v>
      </c>
      <c r="J1616" s="3">
        <v>12</v>
      </c>
      <c r="K1616" s="3">
        <v>1</v>
      </c>
      <c r="L1616" s="3">
        <v>12</v>
      </c>
      <c r="M1616" s="3">
        <v>11700</v>
      </c>
      <c r="N1616" s="3">
        <v>140.4</v>
      </c>
      <c r="O1616" s="3">
        <v>2</v>
      </c>
      <c r="P1616" s="3">
        <v>280.8</v>
      </c>
      <c r="Q1616" s="3">
        <v>11700</v>
      </c>
    </row>
    <row r="1617" spans="1:17" ht="24.95" hidden="1" customHeight="1" x14ac:dyDescent="0.25">
      <c r="A1617" s="3">
        <v>6</v>
      </c>
      <c r="B1617" s="3" t="s">
        <v>452</v>
      </c>
      <c r="C1617" s="3" t="s">
        <v>2076</v>
      </c>
      <c r="I1617" s="3">
        <v>18</v>
      </c>
      <c r="J1617" s="3">
        <v>12</v>
      </c>
      <c r="K1617" s="3">
        <v>1</v>
      </c>
      <c r="L1617" s="3">
        <v>12</v>
      </c>
      <c r="M1617" s="3">
        <v>5810</v>
      </c>
      <c r="N1617" s="3">
        <v>69.72</v>
      </c>
      <c r="O1617" s="3">
        <v>2</v>
      </c>
      <c r="P1617" s="3">
        <v>139.44</v>
      </c>
      <c r="Q1617" s="3">
        <v>5810</v>
      </c>
    </row>
    <row r="1618" spans="1:17" ht="24.95" hidden="1" customHeight="1" x14ac:dyDescent="0.25">
      <c r="A1618" s="3">
        <v>6</v>
      </c>
      <c r="B1618" s="3" t="s">
        <v>452</v>
      </c>
      <c r="C1618" s="3" t="s">
        <v>2077</v>
      </c>
      <c r="I1618" s="3">
        <v>14</v>
      </c>
      <c r="J1618" s="3">
        <v>318</v>
      </c>
      <c r="K1618" s="3">
        <v>1</v>
      </c>
      <c r="L1618" s="3">
        <v>318</v>
      </c>
      <c r="M1618" s="3">
        <v>3370</v>
      </c>
      <c r="N1618" s="3">
        <v>1071.6600000000001</v>
      </c>
      <c r="O1618" s="3">
        <v>1.21</v>
      </c>
      <c r="P1618" s="3">
        <v>1296.7086000000002</v>
      </c>
      <c r="Q1618" s="3">
        <v>3370</v>
      </c>
    </row>
    <row r="1619" spans="1:17" ht="24.95" hidden="1" customHeight="1" x14ac:dyDescent="0.25">
      <c r="A1619" s="3">
        <v>6</v>
      </c>
      <c r="B1619" s="3" t="s">
        <v>452</v>
      </c>
      <c r="C1619" s="3" t="s">
        <v>2078</v>
      </c>
      <c r="I1619" s="3">
        <v>32</v>
      </c>
      <c r="J1619" s="3">
        <v>21</v>
      </c>
      <c r="K1619" s="3">
        <v>1</v>
      </c>
      <c r="L1619" s="3">
        <v>21</v>
      </c>
      <c r="M1619" s="3">
        <v>3090</v>
      </c>
      <c r="N1619" s="3">
        <v>64.89</v>
      </c>
      <c r="O1619" s="3">
        <v>6.31</v>
      </c>
      <c r="P1619" s="3">
        <v>409.45589999999999</v>
      </c>
      <c r="Q1619" s="3">
        <v>3090</v>
      </c>
    </row>
    <row r="1620" spans="1:17" ht="24.95" hidden="1" customHeight="1" x14ac:dyDescent="0.25">
      <c r="A1620" s="3">
        <v>6</v>
      </c>
      <c r="B1620" s="3" t="s">
        <v>452</v>
      </c>
      <c r="C1620" s="3" t="s">
        <v>2079</v>
      </c>
      <c r="I1620" s="3">
        <v>14</v>
      </c>
      <c r="J1620" s="3">
        <v>54</v>
      </c>
      <c r="K1620" s="3">
        <v>1</v>
      </c>
      <c r="L1620" s="3">
        <v>54</v>
      </c>
      <c r="M1620" s="3">
        <v>11700</v>
      </c>
      <c r="N1620" s="3">
        <v>631.79999999999995</v>
      </c>
      <c r="O1620" s="3">
        <v>1.21</v>
      </c>
      <c r="P1620" s="3">
        <v>764.47799999999995</v>
      </c>
      <c r="Q1620" s="3">
        <v>11700</v>
      </c>
    </row>
    <row r="1621" spans="1:17" ht="24.95" hidden="1" customHeight="1" x14ac:dyDescent="0.25">
      <c r="A1621" s="3">
        <v>6</v>
      </c>
      <c r="B1621" s="3" t="s">
        <v>452</v>
      </c>
      <c r="C1621" s="3" t="s">
        <v>2080</v>
      </c>
      <c r="I1621" s="3">
        <v>14</v>
      </c>
      <c r="J1621" s="3">
        <v>54</v>
      </c>
      <c r="K1621" s="3">
        <v>1</v>
      </c>
      <c r="L1621" s="3">
        <v>54</v>
      </c>
      <c r="M1621" s="3">
        <v>5630</v>
      </c>
      <c r="N1621" s="3">
        <v>304.02</v>
      </c>
      <c r="O1621" s="3">
        <v>1.21</v>
      </c>
      <c r="P1621" s="3">
        <v>367.86419999999998</v>
      </c>
      <c r="Q1621" s="3">
        <v>5630</v>
      </c>
    </row>
    <row r="1622" spans="1:17" ht="24.95" hidden="1" customHeight="1" x14ac:dyDescent="0.25">
      <c r="A1622" s="3">
        <v>6</v>
      </c>
      <c r="B1622" s="3" t="s">
        <v>453</v>
      </c>
      <c r="C1622" s="3" t="s">
        <v>2081</v>
      </c>
      <c r="I1622" s="3">
        <v>32</v>
      </c>
      <c r="J1622" s="3">
        <v>10</v>
      </c>
      <c r="K1622" s="3">
        <v>1</v>
      </c>
      <c r="L1622" s="3">
        <v>10</v>
      </c>
      <c r="M1622" s="3">
        <v>11700</v>
      </c>
      <c r="N1622" s="3">
        <v>117</v>
      </c>
      <c r="O1622" s="3">
        <v>6.31</v>
      </c>
      <c r="P1622" s="3">
        <v>738.27</v>
      </c>
      <c r="Q1622" s="3">
        <v>11700</v>
      </c>
    </row>
    <row r="1623" spans="1:17" ht="24.95" hidden="1" customHeight="1" x14ac:dyDescent="0.25">
      <c r="A1623" s="3">
        <v>6</v>
      </c>
      <c r="B1623" s="3" t="s">
        <v>453</v>
      </c>
      <c r="C1623" s="3" t="s">
        <v>2082</v>
      </c>
      <c r="I1623" s="3">
        <v>32</v>
      </c>
      <c r="J1623" s="3">
        <v>10</v>
      </c>
      <c r="K1623" s="3">
        <v>1</v>
      </c>
      <c r="L1623" s="3">
        <v>10</v>
      </c>
      <c r="M1623" s="3">
        <v>7725</v>
      </c>
      <c r="N1623" s="3">
        <v>77.25</v>
      </c>
      <c r="O1623" s="3">
        <v>6.31</v>
      </c>
      <c r="P1623" s="3">
        <v>487.44749999999999</v>
      </c>
      <c r="Q1623" s="3">
        <v>7725</v>
      </c>
    </row>
    <row r="1624" spans="1:17" ht="24.95" hidden="1" customHeight="1" x14ac:dyDescent="0.25">
      <c r="A1624" s="3">
        <v>6</v>
      </c>
      <c r="B1624" s="3" t="s">
        <v>453</v>
      </c>
      <c r="C1624" s="3" t="s">
        <v>2083</v>
      </c>
      <c r="I1624" s="3">
        <v>32</v>
      </c>
      <c r="J1624" s="3">
        <v>10</v>
      </c>
      <c r="K1624" s="3">
        <v>1</v>
      </c>
      <c r="L1624" s="3">
        <v>10</v>
      </c>
      <c r="M1624" s="3">
        <v>11700</v>
      </c>
      <c r="N1624" s="3">
        <v>117</v>
      </c>
      <c r="O1624" s="3">
        <v>6.31</v>
      </c>
      <c r="P1624" s="3">
        <v>738.27</v>
      </c>
      <c r="Q1624" s="3">
        <v>11700</v>
      </c>
    </row>
    <row r="1625" spans="1:17" ht="24.95" hidden="1" customHeight="1" x14ac:dyDescent="0.25">
      <c r="A1625" s="3">
        <v>6</v>
      </c>
      <c r="B1625" s="3" t="s">
        <v>453</v>
      </c>
      <c r="C1625" s="3" t="s">
        <v>2084</v>
      </c>
      <c r="I1625" s="3">
        <v>32</v>
      </c>
      <c r="J1625" s="3">
        <v>11</v>
      </c>
      <c r="K1625" s="3">
        <v>1</v>
      </c>
      <c r="L1625" s="3">
        <v>11</v>
      </c>
      <c r="M1625" s="3">
        <v>9425</v>
      </c>
      <c r="N1625" s="3">
        <v>103.675</v>
      </c>
      <c r="O1625" s="3">
        <v>6.31</v>
      </c>
      <c r="P1625" s="3">
        <v>654.1892499999999</v>
      </c>
      <c r="Q1625" s="3">
        <v>9425</v>
      </c>
    </row>
    <row r="1626" spans="1:17" ht="24.95" hidden="1" customHeight="1" x14ac:dyDescent="0.25">
      <c r="A1626" s="3">
        <v>6</v>
      </c>
      <c r="B1626" s="3" t="s">
        <v>453</v>
      </c>
      <c r="C1626" s="3" t="s">
        <v>2085</v>
      </c>
      <c r="I1626" s="3">
        <v>32</v>
      </c>
      <c r="J1626" s="3">
        <v>11</v>
      </c>
      <c r="K1626" s="3">
        <v>1</v>
      </c>
      <c r="L1626" s="3">
        <v>11</v>
      </c>
      <c r="M1626" s="3">
        <v>11700</v>
      </c>
      <c r="N1626" s="3">
        <v>128.69999999999999</v>
      </c>
      <c r="O1626" s="3">
        <v>6.31</v>
      </c>
      <c r="P1626" s="3">
        <v>812.09699999999987</v>
      </c>
      <c r="Q1626" s="3">
        <v>11700</v>
      </c>
    </row>
    <row r="1627" spans="1:17" ht="24.95" hidden="1" customHeight="1" x14ac:dyDescent="0.25">
      <c r="A1627" s="3">
        <v>6</v>
      </c>
      <c r="B1627" s="3" t="s">
        <v>453</v>
      </c>
      <c r="C1627" s="3" t="s">
        <v>2086</v>
      </c>
      <c r="I1627" s="3">
        <v>32</v>
      </c>
      <c r="J1627" s="3">
        <v>11</v>
      </c>
      <c r="K1627" s="3">
        <v>1</v>
      </c>
      <c r="L1627" s="3">
        <v>11</v>
      </c>
      <c r="M1627" s="3">
        <v>10000</v>
      </c>
      <c r="N1627" s="3">
        <v>110</v>
      </c>
      <c r="O1627" s="3">
        <v>6.31</v>
      </c>
      <c r="P1627" s="3">
        <v>694.09999999999991</v>
      </c>
      <c r="Q1627" s="3">
        <v>10000</v>
      </c>
    </row>
    <row r="1628" spans="1:17" ht="24.95" hidden="1" customHeight="1" x14ac:dyDescent="0.25">
      <c r="A1628" s="3">
        <v>6</v>
      </c>
      <c r="B1628" s="3" t="s">
        <v>453</v>
      </c>
      <c r="C1628" s="3" t="s">
        <v>2087</v>
      </c>
      <c r="I1628" s="3">
        <v>32</v>
      </c>
      <c r="J1628" s="3">
        <v>6</v>
      </c>
      <c r="K1628" s="3">
        <v>1</v>
      </c>
      <c r="L1628" s="3">
        <v>6</v>
      </c>
      <c r="M1628" s="3">
        <v>11720</v>
      </c>
      <c r="N1628" s="3">
        <v>70.319999999999993</v>
      </c>
      <c r="O1628" s="3">
        <v>6.31</v>
      </c>
      <c r="P1628" s="3">
        <v>443.71919999999994</v>
      </c>
      <c r="Q1628" s="3">
        <v>11720</v>
      </c>
    </row>
    <row r="1629" spans="1:17" ht="24.95" hidden="1" customHeight="1" x14ac:dyDescent="0.25">
      <c r="A1629" s="3">
        <v>6</v>
      </c>
      <c r="B1629" s="3" t="s">
        <v>453</v>
      </c>
      <c r="C1629" s="3" t="s">
        <v>2088</v>
      </c>
      <c r="I1629" s="3">
        <v>32</v>
      </c>
      <c r="J1629" s="3">
        <v>6</v>
      </c>
      <c r="K1629" s="3">
        <v>1</v>
      </c>
      <c r="L1629" s="3">
        <v>6</v>
      </c>
      <c r="M1629" s="3">
        <v>11700</v>
      </c>
      <c r="N1629" s="3">
        <v>70.2</v>
      </c>
      <c r="O1629" s="3">
        <v>6.31</v>
      </c>
      <c r="P1629" s="3">
        <v>442.96199999999999</v>
      </c>
      <c r="Q1629" s="3">
        <v>11700</v>
      </c>
    </row>
    <row r="1630" spans="1:17" ht="24.95" hidden="1" customHeight="1" x14ac:dyDescent="0.25">
      <c r="A1630" s="3">
        <v>6</v>
      </c>
      <c r="B1630" s="3" t="s">
        <v>453</v>
      </c>
      <c r="C1630" s="3" t="s">
        <v>2089</v>
      </c>
      <c r="I1630" s="3">
        <v>32</v>
      </c>
      <c r="J1630" s="3">
        <v>6</v>
      </c>
      <c r="K1630" s="3">
        <v>1</v>
      </c>
      <c r="L1630" s="3">
        <v>6</v>
      </c>
      <c r="M1630" s="3">
        <v>8760</v>
      </c>
      <c r="N1630" s="3">
        <v>52.56</v>
      </c>
      <c r="O1630" s="3">
        <v>6.31</v>
      </c>
      <c r="P1630" s="3">
        <v>331.65359999999998</v>
      </c>
      <c r="Q1630" s="3">
        <v>8760</v>
      </c>
    </row>
    <row r="1631" spans="1:17" ht="24.95" hidden="1" customHeight="1" x14ac:dyDescent="0.25">
      <c r="A1631" s="3">
        <v>6</v>
      </c>
      <c r="B1631" s="3" t="s">
        <v>453</v>
      </c>
      <c r="C1631" s="3" t="s">
        <v>2090</v>
      </c>
      <c r="I1631" s="3">
        <v>32</v>
      </c>
      <c r="J1631" s="3">
        <v>6</v>
      </c>
      <c r="K1631" s="3">
        <v>1</v>
      </c>
      <c r="L1631" s="3">
        <v>6</v>
      </c>
      <c r="M1631" s="3">
        <v>8740</v>
      </c>
      <c r="N1631" s="3">
        <v>52.44</v>
      </c>
      <c r="O1631" s="3">
        <v>6.31</v>
      </c>
      <c r="P1631" s="3">
        <v>330.89639999999997</v>
      </c>
      <c r="Q1631" s="3">
        <v>8740</v>
      </c>
    </row>
    <row r="1632" spans="1:17" ht="24.95" hidden="1" customHeight="1" x14ac:dyDescent="0.25">
      <c r="A1632" s="3">
        <v>6</v>
      </c>
      <c r="B1632" s="3" t="s">
        <v>453</v>
      </c>
      <c r="C1632" s="3" t="s">
        <v>2091</v>
      </c>
      <c r="I1632" s="3">
        <v>32</v>
      </c>
      <c r="J1632" s="3">
        <v>6</v>
      </c>
      <c r="K1632" s="3">
        <v>1</v>
      </c>
      <c r="L1632" s="3">
        <v>6</v>
      </c>
      <c r="M1632" s="3">
        <v>10885</v>
      </c>
      <c r="N1632" s="3">
        <v>65.31</v>
      </c>
      <c r="O1632" s="3">
        <v>6.31</v>
      </c>
      <c r="P1632" s="3">
        <v>412.10609999999997</v>
      </c>
      <c r="Q1632" s="3">
        <v>10885</v>
      </c>
    </row>
    <row r="1633" spans="1:17" ht="24.95" hidden="1" customHeight="1" x14ac:dyDescent="0.25">
      <c r="A1633" s="3">
        <v>6</v>
      </c>
      <c r="B1633" s="3" t="s">
        <v>453</v>
      </c>
      <c r="C1633" s="3" t="s">
        <v>2092</v>
      </c>
      <c r="I1633" s="3">
        <v>32</v>
      </c>
      <c r="J1633" s="3">
        <v>11</v>
      </c>
      <c r="K1633" s="3">
        <v>1</v>
      </c>
      <c r="L1633" s="3">
        <v>11</v>
      </c>
      <c r="M1633" s="3">
        <v>11700</v>
      </c>
      <c r="N1633" s="3">
        <v>128.69999999999999</v>
      </c>
      <c r="O1633" s="3">
        <v>6.31</v>
      </c>
      <c r="P1633" s="3">
        <v>812.09699999999987</v>
      </c>
      <c r="Q1633" s="3">
        <v>11700</v>
      </c>
    </row>
    <row r="1634" spans="1:17" ht="24.95" hidden="1" customHeight="1" x14ac:dyDescent="0.25">
      <c r="A1634" s="3">
        <v>6</v>
      </c>
      <c r="B1634" s="3" t="s">
        <v>453</v>
      </c>
      <c r="C1634" s="3" t="s">
        <v>2093</v>
      </c>
      <c r="I1634" s="3">
        <v>32</v>
      </c>
      <c r="J1634" s="3">
        <v>11</v>
      </c>
      <c r="K1634" s="3">
        <v>1</v>
      </c>
      <c r="L1634" s="3">
        <v>11</v>
      </c>
      <c r="M1634" s="3">
        <v>8160</v>
      </c>
      <c r="N1634" s="3">
        <v>89.76</v>
      </c>
      <c r="O1634" s="3">
        <v>6.31</v>
      </c>
      <c r="P1634" s="3">
        <v>566.38559999999995</v>
      </c>
      <c r="Q1634" s="3">
        <v>8160</v>
      </c>
    </row>
    <row r="1635" spans="1:17" ht="24.95" hidden="1" customHeight="1" x14ac:dyDescent="0.25">
      <c r="A1635" s="3">
        <v>6</v>
      </c>
      <c r="B1635" s="3" t="s">
        <v>453</v>
      </c>
      <c r="C1635" s="3" t="s">
        <v>2094</v>
      </c>
      <c r="I1635" s="3">
        <v>32</v>
      </c>
      <c r="J1635" s="3">
        <v>11</v>
      </c>
      <c r="K1635" s="3">
        <v>1</v>
      </c>
      <c r="L1635" s="3">
        <v>11</v>
      </c>
      <c r="M1635" s="3">
        <v>5595</v>
      </c>
      <c r="N1635" s="3">
        <v>61.545000000000002</v>
      </c>
      <c r="O1635" s="3">
        <v>6.31</v>
      </c>
      <c r="P1635" s="3">
        <v>388.34895</v>
      </c>
      <c r="Q1635" s="3">
        <v>5595</v>
      </c>
    </row>
    <row r="1636" spans="1:17" ht="24.95" hidden="1" customHeight="1" x14ac:dyDescent="0.25">
      <c r="A1636" s="3">
        <v>6</v>
      </c>
      <c r="B1636" s="3" t="s">
        <v>453</v>
      </c>
      <c r="C1636" s="3" t="s">
        <v>2095</v>
      </c>
      <c r="I1636" s="3">
        <v>32</v>
      </c>
      <c r="J1636" s="3">
        <v>11</v>
      </c>
      <c r="K1636" s="3">
        <v>1</v>
      </c>
      <c r="L1636" s="3">
        <v>11</v>
      </c>
      <c r="M1636" s="3">
        <v>7155</v>
      </c>
      <c r="N1636" s="3">
        <v>78.704999999999998</v>
      </c>
      <c r="O1636" s="3">
        <v>6.31</v>
      </c>
      <c r="P1636" s="3">
        <v>496.62854999999996</v>
      </c>
      <c r="Q1636" s="3">
        <v>7155</v>
      </c>
    </row>
    <row r="1637" spans="1:17" ht="24.95" hidden="1" customHeight="1" x14ac:dyDescent="0.25">
      <c r="A1637" s="3">
        <v>6</v>
      </c>
      <c r="B1637" s="3" t="s">
        <v>453</v>
      </c>
      <c r="C1637" s="3" t="s">
        <v>2096</v>
      </c>
      <c r="I1637" s="3">
        <v>32</v>
      </c>
      <c r="J1637" s="3">
        <v>10</v>
      </c>
      <c r="K1637" s="3">
        <v>1</v>
      </c>
      <c r="L1637" s="3">
        <v>10</v>
      </c>
      <c r="M1637" s="3">
        <v>5375</v>
      </c>
      <c r="N1637" s="3">
        <v>53.75</v>
      </c>
      <c r="O1637" s="3">
        <v>6.31</v>
      </c>
      <c r="P1637" s="3">
        <v>339.16249999999997</v>
      </c>
      <c r="Q1637" s="3">
        <v>5375</v>
      </c>
    </row>
    <row r="1638" spans="1:17" ht="24.95" hidden="1" customHeight="1" x14ac:dyDescent="0.25">
      <c r="A1638" s="3">
        <v>6</v>
      </c>
      <c r="B1638" s="3" t="s">
        <v>453</v>
      </c>
      <c r="C1638" s="3" t="s">
        <v>2097</v>
      </c>
      <c r="I1638" s="3">
        <v>32</v>
      </c>
      <c r="J1638" s="3">
        <v>10</v>
      </c>
      <c r="K1638" s="3">
        <v>1</v>
      </c>
      <c r="L1638" s="3">
        <v>10</v>
      </c>
      <c r="M1638" s="3">
        <v>11700</v>
      </c>
      <c r="N1638" s="3">
        <v>117</v>
      </c>
      <c r="O1638" s="3">
        <v>6.31</v>
      </c>
      <c r="P1638" s="3">
        <v>738.27</v>
      </c>
      <c r="Q1638" s="3">
        <v>11700</v>
      </c>
    </row>
    <row r="1639" spans="1:17" ht="24.95" hidden="1" customHeight="1" x14ac:dyDescent="0.25">
      <c r="A1639" s="3">
        <v>6</v>
      </c>
      <c r="B1639" s="3" t="s">
        <v>453</v>
      </c>
      <c r="C1639" s="3" t="s">
        <v>2098</v>
      </c>
      <c r="I1639" s="3">
        <v>32</v>
      </c>
      <c r="J1639" s="3">
        <v>10</v>
      </c>
      <c r="K1639" s="3">
        <v>1</v>
      </c>
      <c r="L1639" s="3">
        <v>10</v>
      </c>
      <c r="M1639" s="3">
        <v>8180</v>
      </c>
      <c r="N1639" s="3">
        <v>81.8</v>
      </c>
      <c r="O1639" s="3">
        <v>6.31</v>
      </c>
      <c r="P1639" s="3">
        <v>516.1579999999999</v>
      </c>
      <c r="Q1639" s="3">
        <v>8180</v>
      </c>
    </row>
    <row r="1640" spans="1:17" ht="24.95" hidden="1" customHeight="1" x14ac:dyDescent="0.25">
      <c r="A1640" s="3">
        <v>6</v>
      </c>
      <c r="B1640" s="3" t="s">
        <v>453</v>
      </c>
      <c r="C1640" s="3" t="s">
        <v>2099</v>
      </c>
      <c r="I1640" s="3">
        <v>32</v>
      </c>
      <c r="J1640" s="3">
        <v>10</v>
      </c>
      <c r="K1640" s="3">
        <v>1</v>
      </c>
      <c r="L1640" s="3">
        <v>10</v>
      </c>
      <c r="M1640" s="3">
        <v>7355</v>
      </c>
      <c r="N1640" s="3">
        <v>73.55</v>
      </c>
      <c r="O1640" s="3">
        <v>6.31</v>
      </c>
      <c r="P1640" s="3">
        <v>464.10049999999995</v>
      </c>
      <c r="Q1640" s="3">
        <v>7355</v>
      </c>
    </row>
    <row r="1641" spans="1:17" ht="24.95" hidden="1" customHeight="1" x14ac:dyDescent="0.25">
      <c r="A1641" s="3">
        <v>6</v>
      </c>
      <c r="B1641" s="3" t="s">
        <v>453</v>
      </c>
      <c r="C1641" s="3" t="s">
        <v>2100</v>
      </c>
      <c r="I1641" s="3">
        <v>32</v>
      </c>
      <c r="J1641" s="3">
        <v>4</v>
      </c>
      <c r="K1641" s="3">
        <v>1</v>
      </c>
      <c r="L1641" s="3">
        <v>4</v>
      </c>
      <c r="M1641" s="3">
        <v>3425</v>
      </c>
      <c r="N1641" s="3">
        <v>13.7</v>
      </c>
      <c r="O1641" s="3">
        <v>6.31</v>
      </c>
      <c r="P1641" s="3">
        <v>86.446999999999989</v>
      </c>
      <c r="Q1641" s="3">
        <v>3425</v>
      </c>
    </row>
    <row r="1642" spans="1:17" ht="24.95" hidden="1" customHeight="1" x14ac:dyDescent="0.25">
      <c r="A1642" s="3">
        <v>6</v>
      </c>
      <c r="B1642" s="3" t="s">
        <v>453</v>
      </c>
      <c r="C1642" s="3" t="s">
        <v>2101</v>
      </c>
      <c r="I1642" s="3">
        <v>32</v>
      </c>
      <c r="J1642" s="3">
        <v>2</v>
      </c>
      <c r="K1642" s="3">
        <v>1</v>
      </c>
      <c r="L1642" s="3">
        <v>2</v>
      </c>
      <c r="M1642" s="3">
        <v>4675</v>
      </c>
      <c r="N1642" s="3">
        <v>9.35</v>
      </c>
      <c r="O1642" s="3">
        <v>6.31</v>
      </c>
      <c r="P1642" s="3">
        <v>58.998499999999993</v>
      </c>
      <c r="Q1642" s="3">
        <v>4675</v>
      </c>
    </row>
    <row r="1643" spans="1:17" ht="24.95" hidden="1" customHeight="1" x14ac:dyDescent="0.25">
      <c r="A1643" s="3">
        <v>6</v>
      </c>
      <c r="B1643" s="3" t="s">
        <v>453</v>
      </c>
      <c r="C1643" s="3" t="s">
        <v>2102</v>
      </c>
      <c r="I1643" s="3">
        <v>32</v>
      </c>
      <c r="J1643" s="3">
        <v>2</v>
      </c>
      <c r="K1643" s="3">
        <v>1</v>
      </c>
      <c r="L1643" s="3">
        <v>2</v>
      </c>
      <c r="M1643" s="3">
        <v>4600</v>
      </c>
      <c r="N1643" s="3">
        <v>9.1999999999999993</v>
      </c>
      <c r="O1643" s="3">
        <v>6.31</v>
      </c>
      <c r="P1643" s="3">
        <v>58.051999999999992</v>
      </c>
      <c r="Q1643" s="3">
        <v>4600</v>
      </c>
    </row>
    <row r="1644" spans="1:17" ht="24.95" hidden="1" customHeight="1" x14ac:dyDescent="0.25">
      <c r="A1644" s="3">
        <v>6</v>
      </c>
      <c r="B1644" s="3" t="s">
        <v>453</v>
      </c>
      <c r="C1644" s="3" t="s">
        <v>2103</v>
      </c>
      <c r="I1644" s="3">
        <v>32</v>
      </c>
      <c r="J1644" s="3">
        <v>2</v>
      </c>
      <c r="K1644" s="3">
        <v>1</v>
      </c>
      <c r="L1644" s="3">
        <v>2</v>
      </c>
      <c r="M1644" s="3">
        <v>3900</v>
      </c>
      <c r="N1644" s="3">
        <v>7.8</v>
      </c>
      <c r="O1644" s="3">
        <v>6.31</v>
      </c>
      <c r="P1644" s="3">
        <v>49.217999999999996</v>
      </c>
      <c r="Q1644" s="3">
        <v>3900</v>
      </c>
    </row>
    <row r="1645" spans="1:17" ht="24.95" hidden="1" customHeight="1" x14ac:dyDescent="0.25">
      <c r="A1645" s="3">
        <v>6</v>
      </c>
      <c r="B1645" s="3" t="s">
        <v>453</v>
      </c>
      <c r="C1645" s="3" t="s">
        <v>2104</v>
      </c>
      <c r="I1645" s="3">
        <v>20</v>
      </c>
      <c r="J1645" s="3">
        <v>155</v>
      </c>
      <c r="K1645" s="3">
        <v>1</v>
      </c>
      <c r="L1645" s="3">
        <v>155</v>
      </c>
      <c r="M1645" s="3">
        <v>7870</v>
      </c>
      <c r="N1645" s="3">
        <v>1219.8499999999999</v>
      </c>
      <c r="O1645" s="3">
        <v>2.4700000000000002</v>
      </c>
      <c r="P1645" s="3">
        <v>3013.0295000000001</v>
      </c>
      <c r="Q1645" s="3">
        <v>7870</v>
      </c>
    </row>
    <row r="1646" spans="1:17" ht="24.95" hidden="1" customHeight="1" x14ac:dyDescent="0.25">
      <c r="A1646" s="3">
        <v>6</v>
      </c>
      <c r="B1646" s="3" t="s">
        <v>453</v>
      </c>
      <c r="C1646" s="3" t="s">
        <v>2105</v>
      </c>
      <c r="I1646" s="3">
        <v>20</v>
      </c>
      <c r="J1646" s="3">
        <v>155</v>
      </c>
      <c r="K1646" s="3">
        <v>1</v>
      </c>
      <c r="L1646" s="3">
        <v>155</v>
      </c>
      <c r="M1646" s="3">
        <v>4890</v>
      </c>
      <c r="N1646" s="3">
        <v>757.95</v>
      </c>
      <c r="O1646" s="3">
        <v>2.4700000000000002</v>
      </c>
      <c r="P1646" s="3">
        <v>1872.1365000000003</v>
      </c>
      <c r="Q1646" s="3">
        <v>4890</v>
      </c>
    </row>
    <row r="1647" spans="1:17" ht="24.95" hidden="1" customHeight="1" x14ac:dyDescent="0.25">
      <c r="A1647" s="3">
        <v>6</v>
      </c>
      <c r="B1647" s="3" t="s">
        <v>453</v>
      </c>
      <c r="C1647" s="3" t="s">
        <v>2106</v>
      </c>
      <c r="I1647" s="3">
        <v>20</v>
      </c>
      <c r="J1647" s="3">
        <v>1395</v>
      </c>
      <c r="K1647" s="3">
        <v>1</v>
      </c>
      <c r="L1647" s="3">
        <v>1395</v>
      </c>
      <c r="M1647" s="3">
        <v>2790</v>
      </c>
      <c r="N1647" s="3">
        <v>3892.05</v>
      </c>
      <c r="O1647" s="3">
        <v>2.4700000000000002</v>
      </c>
      <c r="P1647" s="3">
        <v>9613.3635000000013</v>
      </c>
      <c r="Q1647" s="3">
        <v>2790</v>
      </c>
    </row>
    <row r="1648" spans="1:17" ht="24.95" hidden="1" customHeight="1" x14ac:dyDescent="0.25">
      <c r="A1648" s="3">
        <v>6</v>
      </c>
      <c r="B1648" s="3" t="s">
        <v>453</v>
      </c>
      <c r="C1648" s="3" t="s">
        <v>2107</v>
      </c>
      <c r="I1648" s="3">
        <v>18</v>
      </c>
      <c r="J1648" s="3">
        <v>12</v>
      </c>
      <c r="K1648" s="3">
        <v>1</v>
      </c>
      <c r="L1648" s="3">
        <v>12</v>
      </c>
      <c r="M1648" s="3">
        <v>3120</v>
      </c>
      <c r="N1648" s="3">
        <v>37.44</v>
      </c>
      <c r="O1648" s="3">
        <v>2</v>
      </c>
      <c r="P1648" s="3">
        <v>74.88</v>
      </c>
      <c r="Q1648" s="3">
        <v>3120</v>
      </c>
    </row>
    <row r="1649" spans="1:17" ht="24.95" hidden="1" customHeight="1" x14ac:dyDescent="0.25">
      <c r="A1649" s="3">
        <v>6</v>
      </c>
      <c r="B1649" s="3" t="s">
        <v>453</v>
      </c>
      <c r="C1649" s="3" t="s">
        <v>2108</v>
      </c>
      <c r="I1649" s="3">
        <v>18</v>
      </c>
      <c r="J1649" s="3">
        <v>24</v>
      </c>
      <c r="K1649" s="3">
        <v>1</v>
      </c>
      <c r="L1649" s="3">
        <v>24</v>
      </c>
      <c r="M1649" s="3">
        <v>11700</v>
      </c>
      <c r="N1649" s="3">
        <v>280.8</v>
      </c>
      <c r="O1649" s="3">
        <v>2</v>
      </c>
      <c r="P1649" s="3">
        <v>561.6</v>
      </c>
      <c r="Q1649" s="3">
        <v>11700</v>
      </c>
    </row>
    <row r="1650" spans="1:17" ht="24.95" hidden="1" customHeight="1" x14ac:dyDescent="0.25">
      <c r="A1650" s="3">
        <v>6</v>
      </c>
      <c r="B1650" s="3" t="s">
        <v>453</v>
      </c>
      <c r="C1650" s="3" t="s">
        <v>2109</v>
      </c>
      <c r="I1650" s="3">
        <v>14</v>
      </c>
      <c r="J1650" s="3">
        <v>456</v>
      </c>
      <c r="K1650" s="3">
        <v>1</v>
      </c>
      <c r="L1650" s="3">
        <v>456</v>
      </c>
      <c r="M1650" s="3">
        <v>3370</v>
      </c>
      <c r="N1650" s="3">
        <v>1536.72</v>
      </c>
      <c r="O1650" s="3">
        <v>1.21</v>
      </c>
      <c r="P1650" s="3">
        <v>1859.4312</v>
      </c>
      <c r="Q1650" s="3">
        <v>3370</v>
      </c>
    </row>
    <row r="1651" spans="1:17" ht="24.95" hidden="1" customHeight="1" x14ac:dyDescent="0.25">
      <c r="A1651" s="3">
        <v>6</v>
      </c>
      <c r="B1651" s="3" t="s">
        <v>453</v>
      </c>
      <c r="C1651" s="3" t="s">
        <v>2110</v>
      </c>
      <c r="I1651" s="3">
        <v>32</v>
      </c>
      <c r="J1651" s="3">
        <v>16</v>
      </c>
      <c r="K1651" s="3">
        <v>1</v>
      </c>
      <c r="L1651" s="3">
        <v>16</v>
      </c>
      <c r="M1651" s="3">
        <v>3090</v>
      </c>
      <c r="N1651" s="3">
        <v>49.44</v>
      </c>
      <c r="O1651" s="3">
        <v>6.31</v>
      </c>
      <c r="P1651" s="3">
        <v>311.96639999999996</v>
      </c>
      <c r="Q1651" s="3">
        <v>3090</v>
      </c>
    </row>
    <row r="1652" spans="1:17" ht="24.95" hidden="1" customHeight="1" x14ac:dyDescent="0.25">
      <c r="A1652" s="3">
        <v>6</v>
      </c>
      <c r="B1652" s="3" t="s">
        <v>453</v>
      </c>
      <c r="C1652" s="3" t="s">
        <v>2111</v>
      </c>
      <c r="I1652" s="3">
        <v>14</v>
      </c>
      <c r="J1652" s="3">
        <v>54</v>
      </c>
      <c r="K1652" s="3">
        <v>1</v>
      </c>
      <c r="L1652" s="3">
        <v>54</v>
      </c>
      <c r="M1652" s="3">
        <v>2760</v>
      </c>
      <c r="N1652" s="3">
        <v>149.04</v>
      </c>
      <c r="O1652" s="3">
        <v>1.21</v>
      </c>
      <c r="P1652" s="3">
        <v>180.33839999999998</v>
      </c>
      <c r="Q1652" s="3">
        <v>2760</v>
      </c>
    </row>
    <row r="1653" spans="1:17" ht="24.95" hidden="1" customHeight="1" x14ac:dyDescent="0.25">
      <c r="A1653" s="3">
        <v>6</v>
      </c>
      <c r="B1653" s="3" t="s">
        <v>453</v>
      </c>
      <c r="C1653" s="3" t="s">
        <v>2112</v>
      </c>
      <c r="I1653" s="3">
        <v>14</v>
      </c>
      <c r="J1653" s="3">
        <v>108</v>
      </c>
      <c r="K1653" s="3">
        <v>1</v>
      </c>
      <c r="L1653" s="3">
        <v>108</v>
      </c>
      <c r="M1653" s="3">
        <v>11700</v>
      </c>
      <c r="N1653" s="3">
        <v>1263.5999999999999</v>
      </c>
      <c r="O1653" s="3">
        <v>1.21</v>
      </c>
      <c r="P1653" s="3">
        <v>1528.9559999999999</v>
      </c>
      <c r="Q1653" s="3">
        <v>11700</v>
      </c>
    </row>
    <row r="1654" spans="1:17" ht="24.95" hidden="1" customHeight="1" x14ac:dyDescent="0.25">
      <c r="A1654" s="3">
        <v>6</v>
      </c>
      <c r="B1654" s="3" t="s">
        <v>454</v>
      </c>
      <c r="C1654" s="3" t="s">
        <v>2113</v>
      </c>
      <c r="I1654" s="3">
        <v>32</v>
      </c>
      <c r="J1654" s="3">
        <v>9</v>
      </c>
      <c r="K1654" s="3">
        <v>1</v>
      </c>
      <c r="L1654" s="3">
        <v>9</v>
      </c>
      <c r="M1654" s="3">
        <v>11700</v>
      </c>
      <c r="N1654" s="3">
        <v>105.3</v>
      </c>
      <c r="O1654" s="3">
        <v>6.31</v>
      </c>
      <c r="P1654" s="3">
        <v>664.44299999999998</v>
      </c>
      <c r="Q1654" s="3">
        <v>11700</v>
      </c>
    </row>
    <row r="1655" spans="1:17" ht="24.95" hidden="1" customHeight="1" x14ac:dyDescent="0.25">
      <c r="A1655" s="3">
        <v>6</v>
      </c>
      <c r="B1655" s="3" t="s">
        <v>454</v>
      </c>
      <c r="C1655" s="3" t="s">
        <v>2114</v>
      </c>
      <c r="I1655" s="3">
        <v>32</v>
      </c>
      <c r="J1655" s="3">
        <v>9</v>
      </c>
      <c r="K1655" s="3">
        <v>1</v>
      </c>
      <c r="L1655" s="3">
        <v>9</v>
      </c>
      <c r="M1655" s="3">
        <v>11700</v>
      </c>
      <c r="N1655" s="3">
        <v>105.3</v>
      </c>
      <c r="O1655" s="3">
        <v>6.31</v>
      </c>
      <c r="P1655" s="3">
        <v>664.44299999999998</v>
      </c>
      <c r="Q1655" s="3">
        <v>11700</v>
      </c>
    </row>
    <row r="1656" spans="1:17" ht="24.95" hidden="1" customHeight="1" x14ac:dyDescent="0.25">
      <c r="A1656" s="3">
        <v>6</v>
      </c>
      <c r="B1656" s="3" t="s">
        <v>454</v>
      </c>
      <c r="C1656" s="3" t="s">
        <v>2115</v>
      </c>
      <c r="I1656" s="3">
        <v>32</v>
      </c>
      <c r="J1656" s="3">
        <v>8</v>
      </c>
      <c r="K1656" s="3">
        <v>1</v>
      </c>
      <c r="L1656" s="3">
        <v>8</v>
      </c>
      <c r="M1656" s="3">
        <v>11700</v>
      </c>
      <c r="N1656" s="3">
        <v>93.6</v>
      </c>
      <c r="O1656" s="3">
        <v>6.31</v>
      </c>
      <c r="P1656" s="3">
        <v>590.61599999999987</v>
      </c>
      <c r="Q1656" s="3">
        <v>11700</v>
      </c>
    </row>
    <row r="1657" spans="1:17" ht="24.95" hidden="1" customHeight="1" x14ac:dyDescent="0.25">
      <c r="A1657" s="3">
        <v>6</v>
      </c>
      <c r="B1657" s="3" t="s">
        <v>454</v>
      </c>
      <c r="C1657" s="3" t="s">
        <v>2116</v>
      </c>
      <c r="I1657" s="3">
        <v>32</v>
      </c>
      <c r="J1657" s="3">
        <v>9</v>
      </c>
      <c r="K1657" s="3">
        <v>1</v>
      </c>
      <c r="L1657" s="3">
        <v>9</v>
      </c>
      <c r="M1657" s="3">
        <v>9520</v>
      </c>
      <c r="N1657" s="3">
        <v>85.68</v>
      </c>
      <c r="O1657" s="3">
        <v>6.31</v>
      </c>
      <c r="P1657" s="3">
        <v>540.64080000000001</v>
      </c>
      <c r="Q1657" s="3">
        <v>9520</v>
      </c>
    </row>
    <row r="1658" spans="1:17" ht="24.95" hidden="1" customHeight="1" x14ac:dyDescent="0.25">
      <c r="A1658" s="3">
        <v>6</v>
      </c>
      <c r="B1658" s="3" t="s">
        <v>454</v>
      </c>
      <c r="C1658" s="3" t="s">
        <v>2117</v>
      </c>
      <c r="I1658" s="3">
        <v>32</v>
      </c>
      <c r="J1658" s="3">
        <v>8</v>
      </c>
      <c r="K1658" s="3">
        <v>1</v>
      </c>
      <c r="L1658" s="3">
        <v>8</v>
      </c>
      <c r="M1658" s="3">
        <v>11295</v>
      </c>
      <c r="N1658" s="3">
        <v>90.36</v>
      </c>
      <c r="O1658" s="3">
        <v>6.31</v>
      </c>
      <c r="P1658" s="3">
        <v>570.17160000000001</v>
      </c>
      <c r="Q1658" s="3">
        <v>11295</v>
      </c>
    </row>
    <row r="1659" spans="1:17" ht="24.95" hidden="1" customHeight="1" x14ac:dyDescent="0.25">
      <c r="A1659" s="3">
        <v>6</v>
      </c>
      <c r="B1659" s="3" t="s">
        <v>454</v>
      </c>
      <c r="C1659" s="3" t="s">
        <v>2113</v>
      </c>
      <c r="I1659" s="3">
        <v>32</v>
      </c>
      <c r="J1659" s="3">
        <v>8</v>
      </c>
      <c r="K1659" s="3">
        <v>1</v>
      </c>
      <c r="L1659" s="3">
        <v>8</v>
      </c>
      <c r="M1659" s="3">
        <v>9940</v>
      </c>
      <c r="N1659" s="3">
        <v>79.52</v>
      </c>
      <c r="O1659" s="3">
        <v>6.31</v>
      </c>
      <c r="P1659" s="3">
        <v>501.77119999999996</v>
      </c>
      <c r="Q1659" s="3">
        <v>9940</v>
      </c>
    </row>
    <row r="1660" spans="1:17" ht="24.95" hidden="1" customHeight="1" x14ac:dyDescent="0.25">
      <c r="A1660" s="3">
        <v>6</v>
      </c>
      <c r="B1660" s="3" t="s">
        <v>454</v>
      </c>
      <c r="C1660" s="3" t="s">
        <v>2118</v>
      </c>
      <c r="I1660" s="3">
        <v>32</v>
      </c>
      <c r="J1660" s="3">
        <v>8</v>
      </c>
      <c r="K1660" s="3">
        <v>1</v>
      </c>
      <c r="L1660" s="3">
        <v>8</v>
      </c>
      <c r="M1660" s="3">
        <v>9420</v>
      </c>
      <c r="N1660" s="3">
        <v>75.36</v>
      </c>
      <c r="O1660" s="3">
        <v>6.31</v>
      </c>
      <c r="P1660" s="3">
        <v>475.52159999999998</v>
      </c>
      <c r="Q1660" s="3">
        <v>9420</v>
      </c>
    </row>
    <row r="1661" spans="1:17" ht="24.95" hidden="1" customHeight="1" x14ac:dyDescent="0.25">
      <c r="A1661" s="3">
        <v>6</v>
      </c>
      <c r="B1661" s="3" t="s">
        <v>454</v>
      </c>
      <c r="C1661" s="3" t="s">
        <v>2119</v>
      </c>
      <c r="I1661" s="3">
        <v>32</v>
      </c>
      <c r="J1661" s="3">
        <v>9</v>
      </c>
      <c r="K1661" s="3">
        <v>1</v>
      </c>
      <c r="L1661" s="3">
        <v>9</v>
      </c>
      <c r="M1661" s="3">
        <v>9890</v>
      </c>
      <c r="N1661" s="3">
        <v>89.01</v>
      </c>
      <c r="O1661" s="3">
        <v>6.31</v>
      </c>
      <c r="P1661" s="3">
        <v>561.65309999999999</v>
      </c>
      <c r="Q1661" s="3">
        <v>9890</v>
      </c>
    </row>
    <row r="1662" spans="1:17" ht="24.95" hidden="1" customHeight="1" x14ac:dyDescent="0.25">
      <c r="A1662" s="3">
        <v>6</v>
      </c>
      <c r="B1662" s="3" t="s">
        <v>454</v>
      </c>
      <c r="C1662" s="3" t="s">
        <v>2120</v>
      </c>
      <c r="I1662" s="3">
        <v>32</v>
      </c>
      <c r="J1662" s="3">
        <v>8</v>
      </c>
      <c r="K1662" s="3">
        <v>1</v>
      </c>
      <c r="L1662" s="3">
        <v>8</v>
      </c>
      <c r="M1662" s="3">
        <v>11700</v>
      </c>
      <c r="N1662" s="3">
        <v>93.6</v>
      </c>
      <c r="O1662" s="3">
        <v>6.31</v>
      </c>
      <c r="P1662" s="3">
        <v>590.61599999999987</v>
      </c>
      <c r="Q1662" s="3">
        <v>11700</v>
      </c>
    </row>
    <row r="1663" spans="1:17" ht="24.95" hidden="1" customHeight="1" x14ac:dyDescent="0.25">
      <c r="A1663" s="3">
        <v>6</v>
      </c>
      <c r="B1663" s="3" t="s">
        <v>454</v>
      </c>
      <c r="C1663" s="3" t="s">
        <v>2121</v>
      </c>
      <c r="I1663" s="3">
        <v>32</v>
      </c>
      <c r="J1663" s="3">
        <v>9</v>
      </c>
      <c r="K1663" s="3">
        <v>1</v>
      </c>
      <c r="L1663" s="3">
        <v>9</v>
      </c>
      <c r="M1663" s="3">
        <v>11245</v>
      </c>
      <c r="N1663" s="3">
        <v>101.205</v>
      </c>
      <c r="O1663" s="3">
        <v>6.31</v>
      </c>
      <c r="P1663" s="3">
        <v>638.60354999999993</v>
      </c>
      <c r="Q1663" s="3">
        <v>11245</v>
      </c>
    </row>
    <row r="1664" spans="1:17" ht="24.95" hidden="1" customHeight="1" x14ac:dyDescent="0.25">
      <c r="A1664" s="3">
        <v>6</v>
      </c>
      <c r="B1664" s="3" t="s">
        <v>454</v>
      </c>
      <c r="C1664" s="3" t="s">
        <v>2122</v>
      </c>
      <c r="I1664" s="3">
        <v>32</v>
      </c>
      <c r="J1664" s="3">
        <v>8</v>
      </c>
      <c r="K1664" s="3">
        <v>1</v>
      </c>
      <c r="L1664" s="3">
        <v>8</v>
      </c>
      <c r="M1664" s="3">
        <v>11700</v>
      </c>
      <c r="N1664" s="3">
        <v>93.6</v>
      </c>
      <c r="O1664" s="3">
        <v>6.31</v>
      </c>
      <c r="P1664" s="3">
        <v>590.61599999999987</v>
      </c>
      <c r="Q1664" s="3">
        <v>11700</v>
      </c>
    </row>
    <row r="1665" spans="1:17" ht="24.95" hidden="1" customHeight="1" x14ac:dyDescent="0.25">
      <c r="A1665" s="3">
        <v>6</v>
      </c>
      <c r="B1665" s="3" t="s">
        <v>454</v>
      </c>
      <c r="C1665" s="3" t="s">
        <v>2123</v>
      </c>
      <c r="I1665" s="3">
        <v>32</v>
      </c>
      <c r="J1665" s="3">
        <v>9</v>
      </c>
      <c r="K1665" s="3">
        <v>1</v>
      </c>
      <c r="L1665" s="3">
        <v>9</v>
      </c>
      <c r="M1665" s="3">
        <v>11700</v>
      </c>
      <c r="N1665" s="3">
        <v>105.3</v>
      </c>
      <c r="O1665" s="3">
        <v>6.31</v>
      </c>
      <c r="P1665" s="3">
        <v>664.44299999999998</v>
      </c>
      <c r="Q1665" s="3">
        <v>11700</v>
      </c>
    </row>
    <row r="1666" spans="1:17" ht="24.95" hidden="1" customHeight="1" x14ac:dyDescent="0.25">
      <c r="A1666" s="3">
        <v>6</v>
      </c>
      <c r="B1666" s="3" t="s">
        <v>454</v>
      </c>
      <c r="C1666" s="3" t="s">
        <v>2124</v>
      </c>
      <c r="I1666" s="3">
        <v>32</v>
      </c>
      <c r="J1666" s="3">
        <v>8</v>
      </c>
      <c r="K1666" s="3">
        <v>1</v>
      </c>
      <c r="L1666" s="3">
        <v>8</v>
      </c>
      <c r="M1666" s="3">
        <v>10980</v>
      </c>
      <c r="N1666" s="3">
        <v>87.84</v>
      </c>
      <c r="O1666" s="3">
        <v>6.31</v>
      </c>
      <c r="P1666" s="3">
        <v>554.2704</v>
      </c>
      <c r="Q1666" s="3">
        <v>10980</v>
      </c>
    </row>
    <row r="1667" spans="1:17" ht="24.95" hidden="1" customHeight="1" x14ac:dyDescent="0.25">
      <c r="A1667" s="3">
        <v>6</v>
      </c>
      <c r="B1667" s="3" t="s">
        <v>454</v>
      </c>
      <c r="C1667" s="3" t="s">
        <v>2125</v>
      </c>
      <c r="I1667" s="3">
        <v>32</v>
      </c>
      <c r="J1667" s="3">
        <v>8</v>
      </c>
      <c r="K1667" s="3">
        <v>1</v>
      </c>
      <c r="L1667" s="3">
        <v>8</v>
      </c>
      <c r="M1667" s="3">
        <v>5850</v>
      </c>
      <c r="N1667" s="3">
        <v>46.8</v>
      </c>
      <c r="O1667" s="3">
        <v>6.31</v>
      </c>
      <c r="P1667" s="3">
        <v>295.30799999999994</v>
      </c>
      <c r="Q1667" s="3">
        <v>5850</v>
      </c>
    </row>
    <row r="1668" spans="1:17" ht="24.95" hidden="1" customHeight="1" x14ac:dyDescent="0.25">
      <c r="A1668" s="3">
        <v>6</v>
      </c>
      <c r="B1668" s="3" t="s">
        <v>454</v>
      </c>
      <c r="C1668" s="3" t="s">
        <v>2126</v>
      </c>
      <c r="I1668" s="3">
        <v>32</v>
      </c>
      <c r="J1668" s="3">
        <v>9</v>
      </c>
      <c r="K1668" s="3">
        <v>1</v>
      </c>
      <c r="L1668" s="3">
        <v>9</v>
      </c>
      <c r="M1668" s="3">
        <v>6920</v>
      </c>
      <c r="N1668" s="3">
        <v>62.28</v>
      </c>
      <c r="O1668" s="3">
        <v>6.31</v>
      </c>
      <c r="P1668" s="3">
        <v>392.98679999999996</v>
      </c>
      <c r="Q1668" s="3">
        <v>6920</v>
      </c>
    </row>
    <row r="1669" spans="1:17" ht="24.95" hidden="1" customHeight="1" x14ac:dyDescent="0.25">
      <c r="A1669" s="3">
        <v>6</v>
      </c>
      <c r="B1669" s="3" t="s">
        <v>454</v>
      </c>
      <c r="C1669" s="3" t="s">
        <v>2127</v>
      </c>
      <c r="I1669" s="3">
        <v>32</v>
      </c>
      <c r="J1669" s="3">
        <v>9</v>
      </c>
      <c r="K1669" s="3">
        <v>1</v>
      </c>
      <c r="L1669" s="3">
        <v>9</v>
      </c>
      <c r="M1669" s="3">
        <v>7660</v>
      </c>
      <c r="N1669" s="3">
        <v>68.94</v>
      </c>
      <c r="O1669" s="3">
        <v>6.31</v>
      </c>
      <c r="P1669" s="3">
        <v>435.01139999999998</v>
      </c>
      <c r="Q1669" s="3">
        <v>7660</v>
      </c>
    </row>
    <row r="1670" spans="1:17" ht="24.95" hidden="1" customHeight="1" x14ac:dyDescent="0.25">
      <c r="A1670" s="3">
        <v>6</v>
      </c>
      <c r="B1670" s="3" t="s">
        <v>454</v>
      </c>
      <c r="C1670" s="3" t="s">
        <v>2128</v>
      </c>
      <c r="I1670" s="3">
        <v>32</v>
      </c>
      <c r="J1670" s="3">
        <v>8</v>
      </c>
      <c r="K1670" s="3">
        <v>1</v>
      </c>
      <c r="L1670" s="3">
        <v>8</v>
      </c>
      <c r="M1670" s="3">
        <v>8680</v>
      </c>
      <c r="N1670" s="3">
        <v>69.44</v>
      </c>
      <c r="O1670" s="3">
        <v>6.31</v>
      </c>
      <c r="P1670" s="3">
        <v>438.16639999999995</v>
      </c>
      <c r="Q1670" s="3">
        <v>8680</v>
      </c>
    </row>
    <row r="1671" spans="1:17" ht="24.95" hidden="1" customHeight="1" x14ac:dyDescent="0.25">
      <c r="A1671" s="3">
        <v>6</v>
      </c>
      <c r="B1671" s="3" t="s">
        <v>454</v>
      </c>
      <c r="C1671" s="3" t="s">
        <v>2129</v>
      </c>
      <c r="I1671" s="3">
        <v>32</v>
      </c>
      <c r="J1671" s="3">
        <v>9</v>
      </c>
      <c r="K1671" s="3">
        <v>1</v>
      </c>
      <c r="L1671" s="3">
        <v>9</v>
      </c>
      <c r="M1671" s="3">
        <v>8020</v>
      </c>
      <c r="N1671" s="3">
        <v>72.180000000000007</v>
      </c>
      <c r="O1671" s="3">
        <v>6.31</v>
      </c>
      <c r="P1671" s="3">
        <v>455.45580000000001</v>
      </c>
      <c r="Q1671" s="3">
        <v>8020</v>
      </c>
    </row>
    <row r="1672" spans="1:17" ht="24.95" hidden="1" customHeight="1" x14ac:dyDescent="0.25">
      <c r="A1672" s="3">
        <v>6</v>
      </c>
      <c r="B1672" s="3" t="s">
        <v>454</v>
      </c>
      <c r="C1672" s="3" t="s">
        <v>2130</v>
      </c>
      <c r="I1672" s="3">
        <v>32</v>
      </c>
      <c r="J1672" s="3">
        <v>8</v>
      </c>
      <c r="K1672" s="3">
        <v>1</v>
      </c>
      <c r="L1672" s="3">
        <v>8</v>
      </c>
      <c r="M1672" s="3">
        <v>8070</v>
      </c>
      <c r="N1672" s="3">
        <v>64.56</v>
      </c>
      <c r="O1672" s="3">
        <v>6.31</v>
      </c>
      <c r="P1672" s="3">
        <v>407.37360000000001</v>
      </c>
      <c r="Q1672" s="3">
        <v>8070</v>
      </c>
    </row>
    <row r="1673" spans="1:17" ht="24.95" hidden="1" customHeight="1" x14ac:dyDescent="0.25">
      <c r="A1673" s="3">
        <v>6</v>
      </c>
      <c r="B1673" s="3" t="s">
        <v>454</v>
      </c>
      <c r="C1673" s="3" t="s">
        <v>2131</v>
      </c>
      <c r="I1673" s="3">
        <v>32</v>
      </c>
      <c r="J1673" s="3">
        <v>8</v>
      </c>
      <c r="K1673" s="3">
        <v>1</v>
      </c>
      <c r="L1673" s="3">
        <v>8</v>
      </c>
      <c r="M1673" s="3">
        <v>11700</v>
      </c>
      <c r="N1673" s="3">
        <v>93.6</v>
      </c>
      <c r="O1673" s="3">
        <v>6.31</v>
      </c>
      <c r="P1673" s="3">
        <v>590.61599999999987</v>
      </c>
      <c r="Q1673" s="3">
        <v>11700</v>
      </c>
    </row>
    <row r="1674" spans="1:17" ht="24.95" hidden="1" customHeight="1" x14ac:dyDescent="0.25">
      <c r="A1674" s="3">
        <v>6</v>
      </c>
      <c r="B1674" s="3" t="s">
        <v>454</v>
      </c>
      <c r="C1674" s="3" t="s">
        <v>2132</v>
      </c>
      <c r="I1674" s="3">
        <v>32</v>
      </c>
      <c r="J1674" s="3">
        <v>9</v>
      </c>
      <c r="K1674" s="3">
        <v>1</v>
      </c>
      <c r="L1674" s="3">
        <v>9</v>
      </c>
      <c r="M1674" s="3">
        <v>11700</v>
      </c>
      <c r="N1674" s="3">
        <v>105.3</v>
      </c>
      <c r="O1674" s="3">
        <v>6.31</v>
      </c>
      <c r="P1674" s="3">
        <v>664.44299999999998</v>
      </c>
      <c r="Q1674" s="3">
        <v>11700</v>
      </c>
    </row>
    <row r="1675" spans="1:17" ht="24.95" hidden="1" customHeight="1" x14ac:dyDescent="0.25">
      <c r="A1675" s="3">
        <v>6</v>
      </c>
      <c r="B1675" s="3" t="s">
        <v>454</v>
      </c>
      <c r="C1675" s="3" t="s">
        <v>2133</v>
      </c>
      <c r="I1675" s="3">
        <v>32</v>
      </c>
      <c r="J1675" s="3">
        <v>10</v>
      </c>
      <c r="K1675" s="3">
        <v>1</v>
      </c>
      <c r="L1675" s="3">
        <v>10</v>
      </c>
      <c r="M1675" s="3">
        <v>4780</v>
      </c>
      <c r="N1675" s="3">
        <v>47.8</v>
      </c>
      <c r="O1675" s="3">
        <v>6.31</v>
      </c>
      <c r="P1675" s="3">
        <v>301.61799999999994</v>
      </c>
      <c r="Q1675" s="3">
        <v>4780</v>
      </c>
    </row>
    <row r="1676" spans="1:17" ht="24.95" hidden="1" customHeight="1" x14ac:dyDescent="0.25">
      <c r="A1676" s="3">
        <v>6</v>
      </c>
      <c r="B1676" s="3" t="s">
        <v>454</v>
      </c>
      <c r="C1676" s="3" t="s">
        <v>2134</v>
      </c>
      <c r="I1676" s="3">
        <v>32</v>
      </c>
      <c r="J1676" s="3">
        <v>17</v>
      </c>
      <c r="K1676" s="3">
        <v>1</v>
      </c>
      <c r="L1676" s="3">
        <v>17</v>
      </c>
      <c r="M1676" s="3">
        <v>4775</v>
      </c>
      <c r="N1676" s="3">
        <v>81.174999999999997</v>
      </c>
      <c r="O1676" s="3">
        <v>6.31</v>
      </c>
      <c r="P1676" s="3">
        <v>512.21424999999999</v>
      </c>
      <c r="Q1676" s="3">
        <v>4775</v>
      </c>
    </row>
    <row r="1677" spans="1:17" ht="24.95" hidden="1" customHeight="1" x14ac:dyDescent="0.25">
      <c r="A1677" s="3">
        <v>6</v>
      </c>
      <c r="B1677" s="3" t="s">
        <v>454</v>
      </c>
      <c r="C1677" s="3" t="s">
        <v>2135</v>
      </c>
      <c r="I1677" s="3">
        <v>32</v>
      </c>
      <c r="J1677" s="3">
        <v>17</v>
      </c>
      <c r="K1677" s="3">
        <v>1</v>
      </c>
      <c r="L1677" s="3">
        <v>17</v>
      </c>
      <c r="M1677" s="3">
        <v>4470</v>
      </c>
      <c r="N1677" s="3">
        <v>75.989999999999995</v>
      </c>
      <c r="O1677" s="3">
        <v>6.31</v>
      </c>
      <c r="P1677" s="3">
        <v>479.49689999999993</v>
      </c>
      <c r="Q1677" s="3">
        <v>4470</v>
      </c>
    </row>
    <row r="1678" spans="1:17" ht="24.95" hidden="1" customHeight="1" x14ac:dyDescent="0.25">
      <c r="A1678" s="3">
        <v>6</v>
      </c>
      <c r="B1678" s="3" t="s">
        <v>454</v>
      </c>
      <c r="C1678" s="3" t="s">
        <v>2136</v>
      </c>
      <c r="I1678" s="3">
        <v>32</v>
      </c>
      <c r="J1678" s="3">
        <v>17</v>
      </c>
      <c r="K1678" s="3">
        <v>1</v>
      </c>
      <c r="L1678" s="3">
        <v>17</v>
      </c>
      <c r="M1678" s="3">
        <v>4465</v>
      </c>
      <c r="N1678" s="3">
        <v>75.905000000000001</v>
      </c>
      <c r="O1678" s="3">
        <v>6.31</v>
      </c>
      <c r="P1678" s="3">
        <v>478.96054999999996</v>
      </c>
      <c r="Q1678" s="3">
        <v>4465</v>
      </c>
    </row>
    <row r="1679" spans="1:17" ht="24.95" hidden="1" customHeight="1" x14ac:dyDescent="0.25">
      <c r="A1679" s="3">
        <v>6</v>
      </c>
      <c r="B1679" s="3" t="s">
        <v>454</v>
      </c>
      <c r="C1679" s="3" t="s">
        <v>2137</v>
      </c>
      <c r="I1679" s="3">
        <v>32</v>
      </c>
      <c r="J1679" s="3">
        <v>4</v>
      </c>
      <c r="K1679" s="3">
        <v>1</v>
      </c>
      <c r="L1679" s="3">
        <v>4</v>
      </c>
      <c r="M1679" s="3">
        <v>4430</v>
      </c>
      <c r="N1679" s="3">
        <v>17.72</v>
      </c>
      <c r="O1679" s="3">
        <v>6.31</v>
      </c>
      <c r="P1679" s="3">
        <v>111.81319999999998</v>
      </c>
      <c r="Q1679" s="3">
        <v>4430</v>
      </c>
    </row>
    <row r="1680" spans="1:17" ht="24.95" hidden="1" customHeight="1" x14ac:dyDescent="0.25">
      <c r="A1680" s="3">
        <v>6</v>
      </c>
      <c r="B1680" s="3" t="s">
        <v>454</v>
      </c>
      <c r="C1680" s="3" t="s">
        <v>2138</v>
      </c>
      <c r="I1680" s="3">
        <v>22</v>
      </c>
      <c r="J1680" s="3">
        <v>155</v>
      </c>
      <c r="K1680" s="3">
        <v>1</v>
      </c>
      <c r="L1680" s="3">
        <v>155</v>
      </c>
      <c r="M1680" s="3">
        <v>7370</v>
      </c>
      <c r="N1680" s="3">
        <v>1142.3499999999999</v>
      </c>
      <c r="O1680" s="3">
        <v>2.98</v>
      </c>
      <c r="P1680" s="3">
        <v>3404.2029999999995</v>
      </c>
      <c r="Q1680" s="3">
        <v>7370</v>
      </c>
    </row>
    <row r="1681" spans="1:17" ht="24.95" hidden="1" customHeight="1" x14ac:dyDescent="0.25">
      <c r="A1681" s="3">
        <v>6</v>
      </c>
      <c r="B1681" s="3" t="s">
        <v>454</v>
      </c>
      <c r="C1681" s="3" t="s">
        <v>2139</v>
      </c>
      <c r="I1681" s="3">
        <v>22</v>
      </c>
      <c r="J1681" s="3">
        <v>155</v>
      </c>
      <c r="K1681" s="3">
        <v>1</v>
      </c>
      <c r="L1681" s="3">
        <v>155</v>
      </c>
      <c r="M1681" s="3">
        <v>4570</v>
      </c>
      <c r="N1681" s="3">
        <v>708.35</v>
      </c>
      <c r="O1681" s="3">
        <v>2.98</v>
      </c>
      <c r="P1681" s="3">
        <v>2110.8830000000003</v>
      </c>
      <c r="Q1681" s="3">
        <v>4570</v>
      </c>
    </row>
    <row r="1682" spans="1:17" ht="24.95" hidden="1" customHeight="1" x14ac:dyDescent="0.25">
      <c r="A1682" s="3">
        <v>6</v>
      </c>
      <c r="B1682" s="3" t="s">
        <v>454</v>
      </c>
      <c r="C1682" s="3" t="s">
        <v>2140</v>
      </c>
      <c r="I1682" s="3">
        <v>22</v>
      </c>
      <c r="J1682" s="3">
        <v>1395</v>
      </c>
      <c r="K1682" s="3">
        <v>1</v>
      </c>
      <c r="L1682" s="3">
        <v>1395</v>
      </c>
      <c r="M1682" s="3">
        <v>2830</v>
      </c>
      <c r="N1682" s="3">
        <v>3947.85</v>
      </c>
      <c r="O1682" s="3">
        <v>2.98</v>
      </c>
      <c r="P1682" s="3">
        <v>11764.592999999999</v>
      </c>
      <c r="Q1682" s="3">
        <v>2830</v>
      </c>
    </row>
    <row r="1683" spans="1:17" ht="24.95" hidden="1" customHeight="1" x14ac:dyDescent="0.25">
      <c r="A1683" s="3">
        <v>6</v>
      </c>
      <c r="B1683" s="3" t="s">
        <v>454</v>
      </c>
      <c r="C1683" s="3" t="s">
        <v>2141</v>
      </c>
      <c r="I1683" s="3">
        <v>14</v>
      </c>
      <c r="J1683" s="3">
        <v>12</v>
      </c>
      <c r="K1683" s="3">
        <v>1</v>
      </c>
      <c r="L1683" s="3">
        <v>12</v>
      </c>
      <c r="M1683" s="3">
        <v>3840</v>
      </c>
      <c r="N1683" s="3">
        <v>46.08</v>
      </c>
      <c r="O1683" s="3">
        <v>1.21</v>
      </c>
      <c r="P1683" s="3">
        <v>55.756799999999998</v>
      </c>
      <c r="Q1683" s="3">
        <v>3840</v>
      </c>
    </row>
    <row r="1684" spans="1:17" ht="24.95" hidden="1" customHeight="1" x14ac:dyDescent="0.25">
      <c r="A1684" s="3">
        <v>6</v>
      </c>
      <c r="B1684" s="3" t="s">
        <v>454</v>
      </c>
      <c r="C1684" s="3" t="s">
        <v>2142</v>
      </c>
      <c r="I1684" s="3">
        <v>14</v>
      </c>
      <c r="J1684" s="3">
        <v>6</v>
      </c>
      <c r="K1684" s="3">
        <v>1</v>
      </c>
      <c r="L1684" s="3">
        <v>6</v>
      </c>
      <c r="M1684" s="3">
        <v>11700</v>
      </c>
      <c r="N1684" s="3">
        <v>70.2</v>
      </c>
      <c r="O1684" s="3">
        <v>1.21</v>
      </c>
      <c r="P1684" s="3">
        <v>84.942000000000007</v>
      </c>
      <c r="Q1684" s="3">
        <v>11700</v>
      </c>
    </row>
    <row r="1685" spans="1:17" ht="24.95" hidden="1" customHeight="1" x14ac:dyDescent="0.25">
      <c r="A1685" s="3">
        <v>6</v>
      </c>
      <c r="B1685" s="3" t="s">
        <v>454</v>
      </c>
      <c r="C1685" s="3" t="s">
        <v>2143</v>
      </c>
      <c r="I1685" s="3">
        <v>14</v>
      </c>
      <c r="J1685" s="3">
        <v>6</v>
      </c>
      <c r="K1685" s="3">
        <v>1</v>
      </c>
      <c r="L1685" s="3">
        <v>6</v>
      </c>
      <c r="M1685" s="3">
        <v>11700</v>
      </c>
      <c r="N1685" s="3">
        <v>70.2</v>
      </c>
      <c r="O1685" s="3">
        <v>1.21</v>
      </c>
      <c r="P1685" s="3">
        <v>84.942000000000007</v>
      </c>
      <c r="Q1685" s="3">
        <v>11700</v>
      </c>
    </row>
    <row r="1686" spans="1:17" ht="24.95" hidden="1" customHeight="1" x14ac:dyDescent="0.25">
      <c r="A1686" s="3">
        <v>6</v>
      </c>
      <c r="B1686" s="3" t="s">
        <v>454</v>
      </c>
      <c r="C1686" s="3" t="s">
        <v>2144</v>
      </c>
      <c r="I1686" s="3">
        <v>14</v>
      </c>
      <c r="J1686" s="3">
        <v>6</v>
      </c>
      <c r="K1686" s="3">
        <v>1</v>
      </c>
      <c r="L1686" s="3">
        <v>6</v>
      </c>
      <c r="M1686" s="3">
        <v>11700</v>
      </c>
      <c r="N1686" s="3">
        <v>70.2</v>
      </c>
      <c r="O1686" s="3">
        <v>1.21</v>
      </c>
      <c r="P1686" s="3">
        <v>84.942000000000007</v>
      </c>
      <c r="Q1686" s="3">
        <v>11700</v>
      </c>
    </row>
    <row r="1687" spans="1:17" ht="24.95" hidden="1" customHeight="1" x14ac:dyDescent="0.25">
      <c r="A1687" s="3">
        <v>6</v>
      </c>
      <c r="B1687" s="3" t="s">
        <v>454</v>
      </c>
      <c r="C1687" s="3" t="s">
        <v>2145</v>
      </c>
      <c r="I1687" s="3">
        <v>14</v>
      </c>
      <c r="J1687" s="3">
        <v>6</v>
      </c>
      <c r="K1687" s="3">
        <v>1</v>
      </c>
      <c r="L1687" s="3">
        <v>6</v>
      </c>
      <c r="M1687" s="3">
        <v>11700</v>
      </c>
      <c r="N1687" s="3">
        <v>70.2</v>
      </c>
      <c r="O1687" s="3">
        <v>1.21</v>
      </c>
      <c r="P1687" s="3">
        <v>84.942000000000007</v>
      </c>
      <c r="Q1687" s="3">
        <v>11700</v>
      </c>
    </row>
    <row r="1688" spans="1:17" ht="24.95" hidden="1" customHeight="1" x14ac:dyDescent="0.25">
      <c r="A1688" s="3">
        <v>6</v>
      </c>
      <c r="B1688" s="3" t="s">
        <v>454</v>
      </c>
      <c r="C1688" s="3" t="s">
        <v>2146</v>
      </c>
      <c r="I1688" s="3">
        <v>14</v>
      </c>
      <c r="J1688" s="3">
        <v>450</v>
      </c>
      <c r="K1688" s="3">
        <v>1</v>
      </c>
      <c r="L1688" s="3">
        <v>450</v>
      </c>
      <c r="M1688" s="3">
        <v>2670</v>
      </c>
      <c r="N1688" s="3">
        <v>1201.5</v>
      </c>
      <c r="O1688" s="3">
        <v>1.21</v>
      </c>
      <c r="P1688" s="3">
        <v>1453.8150000000001</v>
      </c>
      <c r="Q1688" s="3">
        <v>2670</v>
      </c>
    </row>
    <row r="1689" spans="1:17" ht="24.95" hidden="1" customHeight="1" x14ac:dyDescent="0.25">
      <c r="A1689" s="3">
        <v>6</v>
      </c>
      <c r="B1689" s="3" t="s">
        <v>454</v>
      </c>
      <c r="C1689" s="3" t="s">
        <v>2147</v>
      </c>
      <c r="I1689" s="3">
        <v>32</v>
      </c>
      <c r="J1689" s="3">
        <v>23</v>
      </c>
      <c r="K1689" s="3">
        <v>1</v>
      </c>
      <c r="L1689" s="3">
        <v>23</v>
      </c>
      <c r="M1689" s="3">
        <v>2590</v>
      </c>
      <c r="N1689" s="3">
        <v>59.57</v>
      </c>
      <c r="O1689" s="3">
        <v>6.31</v>
      </c>
      <c r="P1689" s="3">
        <v>375.88669999999996</v>
      </c>
      <c r="Q1689" s="3">
        <v>2590</v>
      </c>
    </row>
    <row r="1690" spans="1:17" ht="24.95" hidden="1" customHeight="1" x14ac:dyDescent="0.25">
      <c r="A1690" s="3">
        <v>6</v>
      </c>
      <c r="B1690" s="3" t="s">
        <v>454</v>
      </c>
      <c r="C1690" s="3" t="s">
        <v>2148</v>
      </c>
      <c r="I1690" s="3">
        <v>14</v>
      </c>
      <c r="J1690" s="3">
        <v>21</v>
      </c>
      <c r="K1690" s="3">
        <v>1</v>
      </c>
      <c r="L1690" s="3">
        <v>21</v>
      </c>
      <c r="M1690" s="3">
        <v>11700</v>
      </c>
      <c r="N1690" s="3">
        <v>245.7</v>
      </c>
      <c r="O1690" s="3">
        <v>1.21</v>
      </c>
      <c r="P1690" s="3">
        <v>297.29699999999997</v>
      </c>
      <c r="Q1690" s="3">
        <v>11700</v>
      </c>
    </row>
    <row r="1691" spans="1:17" ht="24.95" hidden="1" customHeight="1" x14ac:dyDescent="0.25">
      <c r="A1691" s="3">
        <v>6</v>
      </c>
      <c r="B1691" s="3" t="s">
        <v>454</v>
      </c>
      <c r="C1691" s="3" t="s">
        <v>2149</v>
      </c>
      <c r="I1691" s="3">
        <v>14</v>
      </c>
      <c r="J1691" s="3">
        <v>21</v>
      </c>
      <c r="K1691" s="3">
        <v>1</v>
      </c>
      <c r="L1691" s="3">
        <v>21</v>
      </c>
      <c r="M1691" s="3">
        <v>11700</v>
      </c>
      <c r="N1691" s="3">
        <v>245.7</v>
      </c>
      <c r="O1691" s="3">
        <v>1.21</v>
      </c>
      <c r="P1691" s="3">
        <v>297.29699999999997</v>
      </c>
      <c r="Q1691" s="3">
        <v>11700</v>
      </c>
    </row>
    <row r="1692" spans="1:17" ht="24.95" hidden="1" customHeight="1" x14ac:dyDescent="0.25">
      <c r="A1692" s="3">
        <v>6</v>
      </c>
      <c r="B1692" s="3" t="s">
        <v>454</v>
      </c>
      <c r="C1692" s="3" t="s">
        <v>2150</v>
      </c>
      <c r="I1692" s="3">
        <v>14</v>
      </c>
      <c r="J1692" s="3">
        <v>21</v>
      </c>
      <c r="K1692" s="3">
        <v>1</v>
      </c>
      <c r="L1692" s="3">
        <v>21</v>
      </c>
      <c r="M1692" s="3">
        <v>11700</v>
      </c>
      <c r="N1692" s="3">
        <v>245.7</v>
      </c>
      <c r="O1692" s="3">
        <v>1.21</v>
      </c>
      <c r="P1692" s="3">
        <v>297.29699999999997</v>
      </c>
      <c r="Q1692" s="3">
        <v>11700</v>
      </c>
    </row>
    <row r="1693" spans="1:17" ht="24.95" hidden="1" customHeight="1" x14ac:dyDescent="0.25">
      <c r="A1693" s="3">
        <v>6</v>
      </c>
      <c r="B1693" s="3" t="s">
        <v>454</v>
      </c>
      <c r="C1693" s="3" t="s">
        <v>2151</v>
      </c>
      <c r="I1693" s="3">
        <v>14</v>
      </c>
      <c r="J1693" s="3">
        <v>21</v>
      </c>
      <c r="K1693" s="3">
        <v>1</v>
      </c>
      <c r="L1693" s="3">
        <v>21</v>
      </c>
      <c r="M1693" s="3">
        <v>11700</v>
      </c>
      <c r="N1693" s="3">
        <v>245.7</v>
      </c>
      <c r="O1693" s="3">
        <v>1.21</v>
      </c>
      <c r="P1693" s="3">
        <v>297.29699999999997</v>
      </c>
      <c r="Q1693" s="3">
        <v>11700</v>
      </c>
    </row>
    <row r="1694" spans="1:17" ht="24.95" hidden="1" customHeight="1" x14ac:dyDescent="0.25">
      <c r="A1694" s="3">
        <v>6</v>
      </c>
      <c r="B1694" s="3" t="s">
        <v>454</v>
      </c>
      <c r="C1694" s="3" t="s">
        <v>2152</v>
      </c>
      <c r="I1694" s="3">
        <v>14</v>
      </c>
      <c r="J1694" s="3">
        <v>42</v>
      </c>
      <c r="K1694" s="3">
        <v>1</v>
      </c>
      <c r="L1694" s="3">
        <v>42</v>
      </c>
      <c r="M1694" s="3">
        <v>3480</v>
      </c>
      <c r="N1694" s="3">
        <v>146.16</v>
      </c>
      <c r="O1694" s="3">
        <v>1.21</v>
      </c>
      <c r="P1694" s="3">
        <v>176.8536</v>
      </c>
      <c r="Q1694" s="3">
        <v>3480</v>
      </c>
    </row>
    <row r="1695" spans="1:17" ht="24.95" hidden="1" customHeight="1" x14ac:dyDescent="0.25">
      <c r="A1695" s="3">
        <v>6</v>
      </c>
      <c r="B1695" s="3" t="s">
        <v>430</v>
      </c>
      <c r="C1695" s="3" t="s">
        <v>1742</v>
      </c>
      <c r="I1695" s="3">
        <v>32</v>
      </c>
      <c r="J1695" s="3">
        <v>13</v>
      </c>
      <c r="K1695" s="3">
        <v>1</v>
      </c>
      <c r="L1695" s="3">
        <v>13</v>
      </c>
      <c r="M1695" s="3">
        <v>11700</v>
      </c>
      <c r="N1695" s="3">
        <v>152.1</v>
      </c>
      <c r="O1695" s="3">
        <v>6.31</v>
      </c>
      <c r="P1695" s="3">
        <v>959.75099999999986</v>
      </c>
      <c r="Q1695" s="3">
        <v>11700</v>
      </c>
    </row>
    <row r="1696" spans="1:17" ht="24.95" hidden="1" customHeight="1" x14ac:dyDescent="0.25">
      <c r="A1696" s="3">
        <v>6</v>
      </c>
      <c r="B1696" s="3" t="s">
        <v>430</v>
      </c>
      <c r="C1696" s="3" t="s">
        <v>1743</v>
      </c>
      <c r="I1696" s="3">
        <v>32</v>
      </c>
      <c r="J1696" s="3">
        <v>13</v>
      </c>
      <c r="K1696" s="3">
        <v>1</v>
      </c>
      <c r="L1696" s="3">
        <v>13</v>
      </c>
      <c r="M1696" s="3">
        <v>6430</v>
      </c>
      <c r="N1696" s="3">
        <v>83.59</v>
      </c>
      <c r="O1696" s="3">
        <v>6.31</v>
      </c>
      <c r="P1696" s="3">
        <v>527.4529</v>
      </c>
      <c r="Q1696" s="3">
        <v>6430</v>
      </c>
    </row>
    <row r="1697" spans="1:17" ht="24.95" hidden="1" customHeight="1" x14ac:dyDescent="0.25">
      <c r="A1697" s="3">
        <v>6</v>
      </c>
      <c r="B1697" s="3" t="s">
        <v>430</v>
      </c>
      <c r="C1697" s="3" t="s">
        <v>1744</v>
      </c>
      <c r="I1697" s="3">
        <v>32</v>
      </c>
      <c r="J1697" s="3">
        <v>13</v>
      </c>
      <c r="K1697" s="3">
        <v>1</v>
      </c>
      <c r="L1697" s="3">
        <v>13</v>
      </c>
      <c r="M1697" s="3">
        <v>7800</v>
      </c>
      <c r="N1697" s="3">
        <v>101.4</v>
      </c>
      <c r="O1697" s="3">
        <v>6.31</v>
      </c>
      <c r="P1697" s="3">
        <v>639.83399999999995</v>
      </c>
      <c r="Q1697" s="3">
        <v>7800</v>
      </c>
    </row>
    <row r="1698" spans="1:17" ht="24.95" hidden="1" customHeight="1" x14ac:dyDescent="0.25">
      <c r="A1698" s="3">
        <v>6</v>
      </c>
      <c r="B1698" s="3" t="s">
        <v>430</v>
      </c>
      <c r="C1698" s="3" t="s">
        <v>1745</v>
      </c>
      <c r="I1698" s="3">
        <v>32</v>
      </c>
      <c r="J1698" s="3">
        <v>2</v>
      </c>
      <c r="K1698" s="3">
        <v>1</v>
      </c>
      <c r="L1698" s="3">
        <v>2</v>
      </c>
      <c r="M1698" s="3">
        <v>6400</v>
      </c>
      <c r="N1698" s="3">
        <v>12.8</v>
      </c>
      <c r="O1698" s="3">
        <v>6.31</v>
      </c>
      <c r="P1698" s="3">
        <v>80.768000000000001</v>
      </c>
      <c r="Q1698" s="3">
        <v>6400</v>
      </c>
    </row>
    <row r="1699" spans="1:17" ht="24.95" hidden="1" customHeight="1" x14ac:dyDescent="0.25">
      <c r="A1699" s="3">
        <v>6</v>
      </c>
      <c r="B1699" s="3" t="s">
        <v>430</v>
      </c>
      <c r="C1699" s="3" t="s">
        <v>2153</v>
      </c>
      <c r="I1699" s="3">
        <v>32</v>
      </c>
      <c r="J1699" s="3">
        <v>13</v>
      </c>
      <c r="K1699" s="3">
        <v>1</v>
      </c>
      <c r="L1699" s="3">
        <v>13</v>
      </c>
      <c r="M1699" s="3">
        <v>11700</v>
      </c>
      <c r="N1699" s="3">
        <v>152.1</v>
      </c>
      <c r="O1699" s="3">
        <v>6.31</v>
      </c>
      <c r="P1699" s="3">
        <v>959.75099999999986</v>
      </c>
      <c r="Q1699" s="3">
        <v>11700</v>
      </c>
    </row>
    <row r="1700" spans="1:17" ht="24.95" hidden="1" customHeight="1" x14ac:dyDescent="0.25">
      <c r="A1700" s="3">
        <v>6</v>
      </c>
      <c r="B1700" s="3" t="s">
        <v>430</v>
      </c>
      <c r="C1700" s="3" t="s">
        <v>2154</v>
      </c>
      <c r="I1700" s="3">
        <v>32</v>
      </c>
      <c r="J1700" s="3">
        <v>13</v>
      </c>
      <c r="K1700" s="3">
        <v>1</v>
      </c>
      <c r="L1700" s="3">
        <v>13</v>
      </c>
      <c r="M1700" s="3">
        <v>11700</v>
      </c>
      <c r="N1700" s="3">
        <v>152.1</v>
      </c>
      <c r="O1700" s="3">
        <v>6.31</v>
      </c>
      <c r="P1700" s="3">
        <v>959.75099999999986</v>
      </c>
      <c r="Q1700" s="3">
        <v>11700</v>
      </c>
    </row>
    <row r="1701" spans="1:17" ht="24.95" hidden="1" customHeight="1" x14ac:dyDescent="0.25">
      <c r="A1701" s="3">
        <v>6</v>
      </c>
      <c r="B1701" s="3" t="s">
        <v>430</v>
      </c>
      <c r="C1701" s="3" t="s">
        <v>2155</v>
      </c>
      <c r="I1701" s="3">
        <v>32</v>
      </c>
      <c r="J1701" s="3">
        <v>11</v>
      </c>
      <c r="K1701" s="3">
        <v>1</v>
      </c>
      <c r="L1701" s="3">
        <v>11</v>
      </c>
      <c r="M1701" s="3">
        <v>11700</v>
      </c>
      <c r="N1701" s="3">
        <v>128.69999999999999</v>
      </c>
      <c r="O1701" s="3">
        <v>6.31</v>
      </c>
      <c r="P1701" s="3">
        <v>812.09699999999987</v>
      </c>
      <c r="Q1701" s="3">
        <v>11700</v>
      </c>
    </row>
    <row r="1702" spans="1:17" ht="24.95" hidden="1" customHeight="1" x14ac:dyDescent="0.25">
      <c r="A1702" s="3">
        <v>6</v>
      </c>
      <c r="B1702" s="3" t="s">
        <v>430</v>
      </c>
      <c r="C1702" s="3" t="s">
        <v>2156</v>
      </c>
      <c r="I1702" s="3">
        <v>32</v>
      </c>
      <c r="J1702" s="3">
        <v>11</v>
      </c>
      <c r="K1702" s="3">
        <v>1</v>
      </c>
      <c r="L1702" s="3">
        <v>11</v>
      </c>
      <c r="M1702" s="3">
        <v>5850</v>
      </c>
      <c r="N1702" s="3">
        <v>64.349999999999994</v>
      </c>
      <c r="O1702" s="3">
        <v>6.31</v>
      </c>
      <c r="P1702" s="3">
        <v>406.04849999999993</v>
      </c>
      <c r="Q1702" s="3">
        <v>5850</v>
      </c>
    </row>
    <row r="1703" spans="1:17" ht="24.95" hidden="1" customHeight="1" x14ac:dyDescent="0.25">
      <c r="A1703" s="3">
        <v>6</v>
      </c>
      <c r="B1703" s="3" t="s">
        <v>430</v>
      </c>
      <c r="C1703" s="3" t="s">
        <v>2157</v>
      </c>
      <c r="I1703" s="3">
        <v>32</v>
      </c>
      <c r="J1703" s="3">
        <v>11</v>
      </c>
      <c r="K1703" s="3">
        <v>1</v>
      </c>
      <c r="L1703" s="3">
        <v>11</v>
      </c>
      <c r="M1703" s="3">
        <v>11700</v>
      </c>
      <c r="N1703" s="3">
        <v>128.69999999999999</v>
      </c>
      <c r="O1703" s="3">
        <v>6.31</v>
      </c>
      <c r="P1703" s="3">
        <v>812.09699999999987</v>
      </c>
      <c r="Q1703" s="3">
        <v>11700</v>
      </c>
    </row>
    <row r="1704" spans="1:17" ht="24.95" hidden="1" customHeight="1" x14ac:dyDescent="0.25">
      <c r="A1704" s="3">
        <v>6</v>
      </c>
      <c r="B1704" s="3" t="s">
        <v>430</v>
      </c>
      <c r="C1704" s="3" t="s">
        <v>1742</v>
      </c>
      <c r="I1704" s="3">
        <v>32</v>
      </c>
      <c r="J1704" s="3">
        <v>11</v>
      </c>
      <c r="K1704" s="3">
        <v>1</v>
      </c>
      <c r="L1704" s="3">
        <v>11</v>
      </c>
      <c r="M1704" s="3">
        <v>3900</v>
      </c>
      <c r="N1704" s="3">
        <v>42.9</v>
      </c>
      <c r="O1704" s="3">
        <v>6.31</v>
      </c>
      <c r="P1704" s="3">
        <v>270.69899999999996</v>
      </c>
      <c r="Q1704" s="3">
        <v>3900</v>
      </c>
    </row>
    <row r="1705" spans="1:17" ht="24.95" hidden="1" customHeight="1" x14ac:dyDescent="0.25">
      <c r="A1705" s="3">
        <v>6</v>
      </c>
      <c r="B1705" s="3" t="s">
        <v>430</v>
      </c>
      <c r="C1705" s="3" t="s">
        <v>2158</v>
      </c>
      <c r="I1705" s="3">
        <v>32</v>
      </c>
      <c r="J1705" s="3">
        <v>12</v>
      </c>
      <c r="K1705" s="3">
        <v>1</v>
      </c>
      <c r="L1705" s="3">
        <v>12</v>
      </c>
      <c r="M1705" s="3">
        <v>12120</v>
      </c>
      <c r="N1705" s="3">
        <v>145.44</v>
      </c>
      <c r="O1705" s="3">
        <v>6.31</v>
      </c>
      <c r="P1705" s="3">
        <v>917.7263999999999</v>
      </c>
      <c r="Q1705" s="3">
        <v>12120</v>
      </c>
    </row>
    <row r="1706" spans="1:17" ht="24.95" hidden="1" customHeight="1" x14ac:dyDescent="0.25">
      <c r="A1706" s="3">
        <v>6</v>
      </c>
      <c r="B1706" s="3" t="s">
        <v>430</v>
      </c>
      <c r="C1706" s="3" t="s">
        <v>2159</v>
      </c>
      <c r="I1706" s="3">
        <v>32</v>
      </c>
      <c r="J1706" s="3">
        <v>12</v>
      </c>
      <c r="K1706" s="3">
        <v>1</v>
      </c>
      <c r="L1706" s="3">
        <v>12</v>
      </c>
      <c r="M1706" s="3">
        <v>6625</v>
      </c>
      <c r="N1706" s="3">
        <v>79.5</v>
      </c>
      <c r="O1706" s="3">
        <v>6.31</v>
      </c>
      <c r="P1706" s="3">
        <v>501.64499999999998</v>
      </c>
      <c r="Q1706" s="3">
        <v>6625</v>
      </c>
    </row>
    <row r="1707" spans="1:17" ht="24.95" hidden="1" customHeight="1" x14ac:dyDescent="0.25">
      <c r="A1707" s="3">
        <v>6</v>
      </c>
      <c r="B1707" s="3" t="s">
        <v>430</v>
      </c>
      <c r="C1707" s="3" t="s">
        <v>2160</v>
      </c>
      <c r="I1707" s="3">
        <v>32</v>
      </c>
      <c r="J1707" s="3">
        <v>12</v>
      </c>
      <c r="K1707" s="3">
        <v>1</v>
      </c>
      <c r="L1707" s="3">
        <v>12</v>
      </c>
      <c r="M1707" s="3">
        <v>11700</v>
      </c>
      <c r="N1707" s="3">
        <v>140.4</v>
      </c>
      <c r="O1707" s="3">
        <v>6.31</v>
      </c>
      <c r="P1707" s="3">
        <v>885.92399999999998</v>
      </c>
      <c r="Q1707" s="3">
        <v>11700</v>
      </c>
    </row>
    <row r="1708" spans="1:17" ht="24.95" hidden="1" customHeight="1" x14ac:dyDescent="0.25">
      <c r="A1708" s="3">
        <v>6</v>
      </c>
      <c r="B1708" s="3" t="s">
        <v>430</v>
      </c>
      <c r="C1708" s="3" t="s">
        <v>2161</v>
      </c>
      <c r="I1708" s="3">
        <v>32</v>
      </c>
      <c r="J1708" s="3">
        <v>12</v>
      </c>
      <c r="K1708" s="3">
        <v>1</v>
      </c>
      <c r="L1708" s="3">
        <v>12</v>
      </c>
      <c r="M1708" s="3">
        <v>11700</v>
      </c>
      <c r="N1708" s="3">
        <v>140.4</v>
      </c>
      <c r="O1708" s="3">
        <v>6.31</v>
      </c>
      <c r="P1708" s="3">
        <v>885.92399999999998</v>
      </c>
      <c r="Q1708" s="3">
        <v>11700</v>
      </c>
    </row>
    <row r="1709" spans="1:17" ht="24.95" hidden="1" customHeight="1" x14ac:dyDescent="0.25">
      <c r="A1709" s="3">
        <v>6</v>
      </c>
      <c r="B1709" s="3" t="s">
        <v>430</v>
      </c>
      <c r="C1709" s="3" t="s">
        <v>2162</v>
      </c>
      <c r="I1709" s="3">
        <v>32</v>
      </c>
      <c r="J1709" s="3">
        <v>12</v>
      </c>
      <c r="K1709" s="3">
        <v>1</v>
      </c>
      <c r="L1709" s="3">
        <v>12</v>
      </c>
      <c r="M1709" s="3">
        <v>6600</v>
      </c>
      <c r="N1709" s="3">
        <v>79.2</v>
      </c>
      <c r="O1709" s="3">
        <v>6.31</v>
      </c>
      <c r="P1709" s="3">
        <v>499.75200000000001</v>
      </c>
      <c r="Q1709" s="3">
        <v>6600</v>
      </c>
    </row>
    <row r="1710" spans="1:17" ht="24.95" hidden="1" customHeight="1" x14ac:dyDescent="0.25">
      <c r="A1710" s="3">
        <v>6</v>
      </c>
      <c r="B1710" s="3" t="s">
        <v>430</v>
      </c>
      <c r="C1710" s="3" t="s">
        <v>2163</v>
      </c>
      <c r="I1710" s="3">
        <v>32</v>
      </c>
      <c r="J1710" s="3">
        <v>12</v>
      </c>
      <c r="K1710" s="3">
        <v>1</v>
      </c>
      <c r="L1710" s="3">
        <v>12</v>
      </c>
      <c r="M1710" s="3">
        <v>11700</v>
      </c>
      <c r="N1710" s="3">
        <v>140.4</v>
      </c>
      <c r="O1710" s="3">
        <v>6.31</v>
      </c>
      <c r="P1710" s="3">
        <v>885.92399999999998</v>
      </c>
      <c r="Q1710" s="3">
        <v>11700</v>
      </c>
    </row>
    <row r="1711" spans="1:17" ht="24.95" hidden="1" customHeight="1" x14ac:dyDescent="0.25">
      <c r="A1711" s="3">
        <v>6</v>
      </c>
      <c r="B1711" s="3" t="s">
        <v>430</v>
      </c>
      <c r="C1711" s="3" t="s">
        <v>2164</v>
      </c>
      <c r="I1711" s="3">
        <v>32</v>
      </c>
      <c r="J1711" s="3">
        <v>10</v>
      </c>
      <c r="K1711" s="3">
        <v>1</v>
      </c>
      <c r="L1711" s="3">
        <v>10</v>
      </c>
      <c r="M1711" s="3">
        <v>8400</v>
      </c>
      <c r="N1711" s="3">
        <v>84</v>
      </c>
      <c r="O1711" s="3">
        <v>6.31</v>
      </c>
      <c r="P1711" s="3">
        <v>530.04</v>
      </c>
      <c r="Q1711" s="3">
        <v>8400</v>
      </c>
    </row>
    <row r="1712" spans="1:17" ht="24.95" hidden="1" customHeight="1" x14ac:dyDescent="0.25">
      <c r="A1712" s="3">
        <v>6</v>
      </c>
      <c r="B1712" s="3" t="s">
        <v>430</v>
      </c>
      <c r="C1712" s="3" t="s">
        <v>2165</v>
      </c>
      <c r="I1712" s="3">
        <v>32</v>
      </c>
      <c r="J1712" s="3">
        <v>10</v>
      </c>
      <c r="K1712" s="3">
        <v>1</v>
      </c>
      <c r="L1712" s="3">
        <v>10</v>
      </c>
      <c r="M1712" s="3">
        <v>9915</v>
      </c>
      <c r="N1712" s="3">
        <v>99.15</v>
      </c>
      <c r="O1712" s="3">
        <v>6.31</v>
      </c>
      <c r="P1712" s="3">
        <v>625.63649999999996</v>
      </c>
      <c r="Q1712" s="3">
        <v>9915</v>
      </c>
    </row>
    <row r="1713" spans="1:17" ht="24.95" hidden="1" customHeight="1" x14ac:dyDescent="0.25">
      <c r="A1713" s="3">
        <v>6</v>
      </c>
      <c r="B1713" s="3" t="s">
        <v>430</v>
      </c>
      <c r="C1713" s="3" t="s">
        <v>2166</v>
      </c>
      <c r="I1713" s="3">
        <v>32</v>
      </c>
      <c r="J1713" s="3">
        <v>10</v>
      </c>
      <c r="K1713" s="3">
        <v>1</v>
      </c>
      <c r="L1713" s="3">
        <v>10</v>
      </c>
      <c r="M1713" s="3">
        <v>11700</v>
      </c>
      <c r="N1713" s="3">
        <v>117</v>
      </c>
      <c r="O1713" s="3">
        <v>6.31</v>
      </c>
      <c r="P1713" s="3">
        <v>738.27</v>
      </c>
      <c r="Q1713" s="3">
        <v>11700</v>
      </c>
    </row>
    <row r="1714" spans="1:17" ht="24.95" hidden="1" customHeight="1" x14ac:dyDescent="0.25">
      <c r="A1714" s="3">
        <v>6</v>
      </c>
      <c r="B1714" s="3" t="s">
        <v>430</v>
      </c>
      <c r="C1714" s="3" t="s">
        <v>1743</v>
      </c>
      <c r="I1714" s="3">
        <v>32</v>
      </c>
      <c r="J1714" s="3">
        <v>13</v>
      </c>
      <c r="K1714" s="3">
        <v>1</v>
      </c>
      <c r="L1714" s="3">
        <v>13</v>
      </c>
      <c r="M1714" s="3">
        <v>9420</v>
      </c>
      <c r="N1714" s="3">
        <v>122.46</v>
      </c>
      <c r="O1714" s="3">
        <v>6.31</v>
      </c>
      <c r="P1714" s="3">
        <v>772.72259999999994</v>
      </c>
      <c r="Q1714" s="3">
        <v>9420</v>
      </c>
    </row>
    <row r="1715" spans="1:17" ht="24.95" hidden="1" customHeight="1" x14ac:dyDescent="0.25">
      <c r="A1715" s="3">
        <v>6</v>
      </c>
      <c r="B1715" s="3" t="s">
        <v>430</v>
      </c>
      <c r="C1715" s="3" t="s">
        <v>2167</v>
      </c>
      <c r="I1715" s="3">
        <v>32</v>
      </c>
      <c r="J1715" s="3">
        <v>2</v>
      </c>
      <c r="K1715" s="3">
        <v>1</v>
      </c>
      <c r="L1715" s="3">
        <v>2</v>
      </c>
      <c r="M1715" s="3">
        <v>4705</v>
      </c>
      <c r="N1715" s="3">
        <v>9.41</v>
      </c>
      <c r="O1715" s="3">
        <v>6.31</v>
      </c>
      <c r="P1715" s="3">
        <v>59.377099999999999</v>
      </c>
      <c r="Q1715" s="3">
        <v>4705</v>
      </c>
    </row>
    <row r="1716" spans="1:17" ht="24.95" hidden="1" customHeight="1" x14ac:dyDescent="0.25">
      <c r="A1716" s="3">
        <v>6</v>
      </c>
      <c r="B1716" s="3" t="s">
        <v>430</v>
      </c>
      <c r="C1716" s="3" t="s">
        <v>2168</v>
      </c>
      <c r="I1716" s="3">
        <v>32</v>
      </c>
      <c r="J1716" s="3">
        <v>13</v>
      </c>
      <c r="K1716" s="3">
        <v>1</v>
      </c>
      <c r="L1716" s="3">
        <v>13</v>
      </c>
      <c r="M1716" s="3">
        <v>12120</v>
      </c>
      <c r="N1716" s="3">
        <v>157.56</v>
      </c>
      <c r="O1716" s="3">
        <v>6.31</v>
      </c>
      <c r="P1716" s="3">
        <v>994.20359999999994</v>
      </c>
      <c r="Q1716" s="3">
        <v>12120</v>
      </c>
    </row>
    <row r="1717" spans="1:17" ht="24.95" hidden="1" customHeight="1" x14ac:dyDescent="0.25">
      <c r="A1717" s="3">
        <v>6</v>
      </c>
      <c r="B1717" s="3" t="s">
        <v>430</v>
      </c>
      <c r="C1717" s="3" t="s">
        <v>2169</v>
      </c>
      <c r="I1717" s="3">
        <v>32</v>
      </c>
      <c r="J1717" s="3">
        <v>13</v>
      </c>
      <c r="K1717" s="3">
        <v>1</v>
      </c>
      <c r="L1717" s="3">
        <v>13</v>
      </c>
      <c r="M1717" s="3">
        <v>8000</v>
      </c>
      <c r="N1717" s="3">
        <v>104</v>
      </c>
      <c r="O1717" s="3">
        <v>6.31</v>
      </c>
      <c r="P1717" s="3">
        <v>656.24</v>
      </c>
      <c r="Q1717" s="3">
        <v>8000</v>
      </c>
    </row>
    <row r="1718" spans="1:17" ht="24.95" hidden="1" customHeight="1" x14ac:dyDescent="0.25">
      <c r="A1718" s="3">
        <v>6</v>
      </c>
      <c r="B1718" s="3" t="s">
        <v>430</v>
      </c>
      <c r="C1718" s="3" t="s">
        <v>2170</v>
      </c>
      <c r="I1718" s="3">
        <v>32</v>
      </c>
      <c r="J1718" s="3">
        <v>12</v>
      </c>
      <c r="K1718" s="3">
        <v>1</v>
      </c>
      <c r="L1718" s="3">
        <v>12</v>
      </c>
      <c r="M1718" s="3">
        <v>9145</v>
      </c>
      <c r="N1718" s="3">
        <v>109.74</v>
      </c>
      <c r="O1718" s="3">
        <v>6.31</v>
      </c>
      <c r="P1718" s="3">
        <v>692.45939999999996</v>
      </c>
      <c r="Q1718" s="3">
        <v>9145</v>
      </c>
    </row>
    <row r="1719" spans="1:17" ht="24.95" hidden="1" customHeight="1" x14ac:dyDescent="0.25">
      <c r="A1719" s="3">
        <v>6</v>
      </c>
      <c r="B1719" s="3" t="s">
        <v>430</v>
      </c>
      <c r="C1719" s="3" t="s">
        <v>2171</v>
      </c>
      <c r="I1719" s="3">
        <v>32</v>
      </c>
      <c r="J1719" s="3">
        <v>12</v>
      </c>
      <c r="K1719" s="3">
        <v>1</v>
      </c>
      <c r="L1719" s="3">
        <v>12</v>
      </c>
      <c r="M1719" s="3">
        <v>11000</v>
      </c>
      <c r="N1719" s="3">
        <v>132</v>
      </c>
      <c r="O1719" s="3">
        <v>6.31</v>
      </c>
      <c r="P1719" s="3">
        <v>832.92</v>
      </c>
      <c r="Q1719" s="3">
        <v>11000</v>
      </c>
    </row>
    <row r="1720" spans="1:17" ht="24.95" hidden="1" customHeight="1" x14ac:dyDescent="0.25">
      <c r="A1720" s="3">
        <v>6</v>
      </c>
      <c r="B1720" s="3" t="s">
        <v>430</v>
      </c>
      <c r="C1720" s="3" t="s">
        <v>2172</v>
      </c>
      <c r="I1720" s="3">
        <v>32</v>
      </c>
      <c r="J1720" s="3">
        <v>25</v>
      </c>
      <c r="K1720" s="3">
        <v>1</v>
      </c>
      <c r="L1720" s="3">
        <v>25</v>
      </c>
      <c r="M1720" s="3">
        <v>9000</v>
      </c>
      <c r="N1720" s="3">
        <v>225</v>
      </c>
      <c r="O1720" s="3">
        <v>6.31</v>
      </c>
      <c r="P1720" s="3">
        <v>1419.75</v>
      </c>
      <c r="Q1720" s="3">
        <v>9000</v>
      </c>
    </row>
    <row r="1721" spans="1:17" ht="24.95" hidden="1" customHeight="1" x14ac:dyDescent="0.25">
      <c r="A1721" s="3">
        <v>6</v>
      </c>
      <c r="B1721" s="3" t="s">
        <v>430</v>
      </c>
      <c r="C1721" s="3" t="s">
        <v>2173</v>
      </c>
      <c r="I1721" s="3">
        <v>32</v>
      </c>
      <c r="J1721" s="3">
        <v>6</v>
      </c>
      <c r="K1721" s="3">
        <v>1</v>
      </c>
      <c r="L1721" s="3">
        <v>6</v>
      </c>
      <c r="M1721" s="3">
        <v>8800</v>
      </c>
      <c r="N1721" s="3">
        <v>52.8</v>
      </c>
      <c r="O1721" s="3">
        <v>6.31</v>
      </c>
      <c r="P1721" s="3">
        <v>333.16799999999995</v>
      </c>
      <c r="Q1721" s="3">
        <v>8800</v>
      </c>
    </row>
    <row r="1722" spans="1:17" ht="24.95" hidden="1" customHeight="1" x14ac:dyDescent="0.25">
      <c r="A1722" s="3">
        <v>6</v>
      </c>
      <c r="B1722" s="3" t="s">
        <v>430</v>
      </c>
      <c r="C1722" s="3" t="s">
        <v>2174</v>
      </c>
      <c r="I1722" s="3">
        <v>32</v>
      </c>
      <c r="J1722" s="3">
        <v>6</v>
      </c>
      <c r="K1722" s="3">
        <v>1</v>
      </c>
      <c r="L1722" s="3">
        <v>6</v>
      </c>
      <c r="M1722" s="3">
        <v>10000</v>
      </c>
      <c r="N1722" s="3">
        <v>60</v>
      </c>
      <c r="O1722" s="3">
        <v>6.31</v>
      </c>
      <c r="P1722" s="3">
        <v>378.59999999999997</v>
      </c>
      <c r="Q1722" s="3">
        <v>10000</v>
      </c>
    </row>
    <row r="1723" spans="1:17" ht="24.95" hidden="1" customHeight="1" x14ac:dyDescent="0.25">
      <c r="A1723" s="3">
        <v>6</v>
      </c>
      <c r="B1723" s="3" t="s">
        <v>430</v>
      </c>
      <c r="C1723" s="3" t="s">
        <v>2175</v>
      </c>
      <c r="I1723" s="3">
        <v>32</v>
      </c>
      <c r="J1723" s="3">
        <v>6</v>
      </c>
      <c r="K1723" s="3">
        <v>1</v>
      </c>
      <c r="L1723" s="3">
        <v>6</v>
      </c>
      <c r="M1723" s="3">
        <v>11700</v>
      </c>
      <c r="N1723" s="3">
        <v>70.2</v>
      </c>
      <c r="O1723" s="3">
        <v>6.31</v>
      </c>
      <c r="P1723" s="3">
        <v>442.96199999999999</v>
      </c>
      <c r="Q1723" s="3">
        <v>11700</v>
      </c>
    </row>
    <row r="1724" spans="1:17" ht="24.95" hidden="1" customHeight="1" x14ac:dyDescent="0.25">
      <c r="A1724" s="3">
        <v>6</v>
      </c>
      <c r="B1724" s="3" t="s">
        <v>430</v>
      </c>
      <c r="C1724" s="3" t="s">
        <v>2176</v>
      </c>
      <c r="I1724" s="3">
        <v>32</v>
      </c>
      <c r="J1724" s="3">
        <v>6</v>
      </c>
      <c r="K1724" s="3">
        <v>1</v>
      </c>
      <c r="L1724" s="3">
        <v>6</v>
      </c>
      <c r="M1724" s="3">
        <v>7100</v>
      </c>
      <c r="N1724" s="3">
        <v>42.6</v>
      </c>
      <c r="O1724" s="3">
        <v>6.31</v>
      </c>
      <c r="P1724" s="3">
        <v>268.80599999999998</v>
      </c>
      <c r="Q1724" s="3">
        <v>7100</v>
      </c>
    </row>
    <row r="1725" spans="1:17" ht="24.95" hidden="1" customHeight="1" x14ac:dyDescent="0.25">
      <c r="A1725" s="3">
        <v>6</v>
      </c>
      <c r="B1725" s="3" t="s">
        <v>430</v>
      </c>
      <c r="C1725" s="3" t="s">
        <v>2177</v>
      </c>
      <c r="I1725" s="3">
        <v>32</v>
      </c>
      <c r="J1725" s="3">
        <v>12</v>
      </c>
      <c r="K1725" s="3">
        <v>1</v>
      </c>
      <c r="L1725" s="3">
        <v>12</v>
      </c>
      <c r="M1725" s="3">
        <v>7275</v>
      </c>
      <c r="N1725" s="3">
        <v>87.3</v>
      </c>
      <c r="O1725" s="3">
        <v>6.31</v>
      </c>
      <c r="P1725" s="3">
        <v>550.86299999999994</v>
      </c>
      <c r="Q1725" s="3">
        <v>7275</v>
      </c>
    </row>
    <row r="1726" spans="1:17" ht="24.95" hidden="1" customHeight="1" x14ac:dyDescent="0.25">
      <c r="A1726" s="3">
        <v>6</v>
      </c>
      <c r="B1726" s="3" t="s">
        <v>430</v>
      </c>
      <c r="C1726" s="3" t="s">
        <v>2178</v>
      </c>
      <c r="I1726" s="3">
        <v>32</v>
      </c>
      <c r="J1726" s="3">
        <v>12</v>
      </c>
      <c r="K1726" s="3">
        <v>1</v>
      </c>
      <c r="L1726" s="3">
        <v>12</v>
      </c>
      <c r="M1726" s="3">
        <v>8030</v>
      </c>
      <c r="N1726" s="3">
        <v>96.36</v>
      </c>
      <c r="O1726" s="3">
        <v>6.31</v>
      </c>
      <c r="P1726" s="3">
        <v>608.03159999999991</v>
      </c>
      <c r="Q1726" s="3">
        <v>8030</v>
      </c>
    </row>
    <row r="1727" spans="1:17" ht="24.95" hidden="1" customHeight="1" x14ac:dyDescent="0.25">
      <c r="A1727" s="3">
        <v>6</v>
      </c>
      <c r="B1727" s="3" t="s">
        <v>430</v>
      </c>
      <c r="C1727" s="3" t="s">
        <v>2179</v>
      </c>
      <c r="I1727" s="3">
        <v>32</v>
      </c>
      <c r="J1727" s="3">
        <v>12</v>
      </c>
      <c r="K1727" s="3">
        <v>1</v>
      </c>
      <c r="L1727" s="3">
        <v>12</v>
      </c>
      <c r="M1727" s="3">
        <v>11700</v>
      </c>
      <c r="N1727" s="3">
        <v>140.4</v>
      </c>
      <c r="O1727" s="3">
        <v>6.31</v>
      </c>
      <c r="P1727" s="3">
        <v>885.92399999999998</v>
      </c>
      <c r="Q1727" s="3">
        <v>11700</v>
      </c>
    </row>
    <row r="1728" spans="1:17" ht="24.95" hidden="1" customHeight="1" x14ac:dyDescent="0.25">
      <c r="A1728" s="3">
        <v>6</v>
      </c>
      <c r="B1728" s="3" t="s">
        <v>430</v>
      </c>
      <c r="C1728" s="3" t="s">
        <v>2180</v>
      </c>
      <c r="I1728" s="3">
        <v>32</v>
      </c>
      <c r="J1728" s="3">
        <v>12</v>
      </c>
      <c r="K1728" s="3">
        <v>1</v>
      </c>
      <c r="L1728" s="3">
        <v>12</v>
      </c>
      <c r="M1728" s="3">
        <v>8050</v>
      </c>
      <c r="N1728" s="3">
        <v>96.6</v>
      </c>
      <c r="O1728" s="3">
        <v>6.31</v>
      </c>
      <c r="P1728" s="3">
        <v>609.54599999999994</v>
      </c>
      <c r="Q1728" s="3">
        <v>8050</v>
      </c>
    </row>
    <row r="1729" spans="1:17" ht="24.95" hidden="1" customHeight="1" x14ac:dyDescent="0.25">
      <c r="A1729" s="3">
        <v>6</v>
      </c>
      <c r="B1729" s="3" t="s">
        <v>430</v>
      </c>
      <c r="C1729" s="3" t="s">
        <v>2181</v>
      </c>
      <c r="I1729" s="3">
        <v>32</v>
      </c>
      <c r="J1729" s="3">
        <v>12</v>
      </c>
      <c r="K1729" s="3">
        <v>1</v>
      </c>
      <c r="L1729" s="3">
        <v>12</v>
      </c>
      <c r="M1729" s="3">
        <v>11700</v>
      </c>
      <c r="N1729" s="3">
        <v>140.4</v>
      </c>
      <c r="O1729" s="3">
        <v>6.31</v>
      </c>
      <c r="P1729" s="3">
        <v>885.92399999999998</v>
      </c>
      <c r="Q1729" s="3">
        <v>11700</v>
      </c>
    </row>
    <row r="1730" spans="1:17" ht="24.95" hidden="1" customHeight="1" x14ac:dyDescent="0.25">
      <c r="A1730" s="3">
        <v>6</v>
      </c>
      <c r="B1730" s="3" t="s">
        <v>430</v>
      </c>
      <c r="C1730" s="3" t="s">
        <v>2182</v>
      </c>
      <c r="I1730" s="3">
        <v>32</v>
      </c>
      <c r="J1730" s="3">
        <v>12</v>
      </c>
      <c r="K1730" s="3">
        <v>1</v>
      </c>
      <c r="L1730" s="3">
        <v>12</v>
      </c>
      <c r="M1730" s="3">
        <v>8120</v>
      </c>
      <c r="N1730" s="3">
        <v>97.44</v>
      </c>
      <c r="O1730" s="3">
        <v>6.31</v>
      </c>
      <c r="P1730" s="3">
        <v>614.8463999999999</v>
      </c>
      <c r="Q1730" s="3">
        <v>8120</v>
      </c>
    </row>
    <row r="1731" spans="1:17" ht="24.95" hidden="1" customHeight="1" x14ac:dyDescent="0.25">
      <c r="A1731" s="3">
        <v>6</v>
      </c>
      <c r="B1731" s="3" t="s">
        <v>430</v>
      </c>
      <c r="C1731" s="3" t="s">
        <v>2183</v>
      </c>
      <c r="I1731" s="3">
        <v>32</v>
      </c>
      <c r="J1731" s="3">
        <v>12</v>
      </c>
      <c r="K1731" s="3">
        <v>1</v>
      </c>
      <c r="L1731" s="3">
        <v>12</v>
      </c>
      <c r="M1731" s="3">
        <v>10000</v>
      </c>
      <c r="N1731" s="3">
        <v>120</v>
      </c>
      <c r="O1731" s="3">
        <v>6.31</v>
      </c>
      <c r="P1731" s="3">
        <v>757.19999999999993</v>
      </c>
      <c r="Q1731" s="3">
        <v>10000</v>
      </c>
    </row>
    <row r="1732" spans="1:17" ht="24.95" hidden="1" customHeight="1" x14ac:dyDescent="0.25">
      <c r="A1732" s="3">
        <v>6</v>
      </c>
      <c r="B1732" s="3" t="s">
        <v>430</v>
      </c>
      <c r="C1732" s="3" t="s">
        <v>2184</v>
      </c>
      <c r="I1732" s="3">
        <v>32</v>
      </c>
      <c r="J1732" s="3">
        <v>12</v>
      </c>
      <c r="K1732" s="3">
        <v>1</v>
      </c>
      <c r="L1732" s="3">
        <v>12</v>
      </c>
      <c r="M1732" s="3">
        <v>8890</v>
      </c>
      <c r="N1732" s="3">
        <v>106.68</v>
      </c>
      <c r="O1732" s="3">
        <v>6.31</v>
      </c>
      <c r="P1732" s="3">
        <v>673.1508</v>
      </c>
      <c r="Q1732" s="3">
        <v>8890</v>
      </c>
    </row>
    <row r="1733" spans="1:17" ht="24.95" hidden="1" customHeight="1" x14ac:dyDescent="0.25">
      <c r="A1733" s="3">
        <v>6</v>
      </c>
      <c r="B1733" s="3" t="s">
        <v>430</v>
      </c>
      <c r="C1733" s="3" t="s">
        <v>2185</v>
      </c>
      <c r="I1733" s="3">
        <v>32</v>
      </c>
      <c r="J1733" s="3">
        <v>12</v>
      </c>
      <c r="K1733" s="3">
        <v>1</v>
      </c>
      <c r="L1733" s="3">
        <v>12</v>
      </c>
      <c r="M1733" s="3">
        <v>11000</v>
      </c>
      <c r="N1733" s="3">
        <v>132</v>
      </c>
      <c r="O1733" s="3">
        <v>6.31</v>
      </c>
      <c r="P1733" s="3">
        <v>832.92</v>
      </c>
      <c r="Q1733" s="3">
        <v>11000</v>
      </c>
    </row>
    <row r="1734" spans="1:17" ht="24.95" hidden="1" customHeight="1" x14ac:dyDescent="0.25">
      <c r="A1734" s="3">
        <v>6</v>
      </c>
      <c r="B1734" s="3" t="s">
        <v>430</v>
      </c>
      <c r="C1734" s="3" t="s">
        <v>2177</v>
      </c>
      <c r="I1734" s="3">
        <v>32</v>
      </c>
      <c r="J1734" s="3">
        <v>12</v>
      </c>
      <c r="K1734" s="3">
        <v>1</v>
      </c>
      <c r="L1734" s="3">
        <v>12</v>
      </c>
      <c r="M1734" s="3">
        <v>6720</v>
      </c>
      <c r="N1734" s="3">
        <v>80.64</v>
      </c>
      <c r="O1734" s="3">
        <v>6.31</v>
      </c>
      <c r="P1734" s="3">
        <v>508.83839999999998</v>
      </c>
      <c r="Q1734" s="3">
        <v>6720</v>
      </c>
    </row>
    <row r="1735" spans="1:17" ht="24.95" hidden="1" customHeight="1" x14ac:dyDescent="0.25">
      <c r="A1735" s="3">
        <v>6</v>
      </c>
      <c r="B1735" s="3" t="s">
        <v>430</v>
      </c>
      <c r="C1735" s="3" t="s">
        <v>2186</v>
      </c>
      <c r="I1735" s="3">
        <v>32</v>
      </c>
      <c r="J1735" s="3">
        <v>13</v>
      </c>
      <c r="K1735" s="3">
        <v>1</v>
      </c>
      <c r="L1735" s="3">
        <v>13</v>
      </c>
      <c r="M1735" s="3">
        <v>5515</v>
      </c>
      <c r="N1735" s="3">
        <v>71.694999999999993</v>
      </c>
      <c r="O1735" s="3">
        <v>6.31</v>
      </c>
      <c r="P1735" s="3">
        <v>452.39544999999993</v>
      </c>
      <c r="Q1735" s="3">
        <v>5515</v>
      </c>
    </row>
    <row r="1736" spans="1:17" ht="24.95" hidden="1" customHeight="1" x14ac:dyDescent="0.25">
      <c r="A1736" s="3">
        <v>6</v>
      </c>
      <c r="B1736" s="3" t="s">
        <v>430</v>
      </c>
      <c r="C1736" s="3" t="s">
        <v>2187</v>
      </c>
      <c r="I1736" s="3">
        <v>32</v>
      </c>
      <c r="J1736" s="3">
        <v>13</v>
      </c>
      <c r="K1736" s="3">
        <v>1</v>
      </c>
      <c r="L1736" s="3">
        <v>13</v>
      </c>
      <c r="M1736" s="3">
        <v>11700</v>
      </c>
      <c r="N1736" s="3">
        <v>152.1</v>
      </c>
      <c r="O1736" s="3">
        <v>6.31</v>
      </c>
      <c r="P1736" s="3">
        <v>959.75099999999986</v>
      </c>
      <c r="Q1736" s="3">
        <v>11700</v>
      </c>
    </row>
    <row r="1737" spans="1:17" ht="24.95" hidden="1" customHeight="1" x14ac:dyDescent="0.25">
      <c r="A1737" s="3">
        <v>6</v>
      </c>
      <c r="B1737" s="3" t="s">
        <v>430</v>
      </c>
      <c r="C1737" s="3" t="s">
        <v>2188</v>
      </c>
      <c r="I1737" s="3">
        <v>32</v>
      </c>
      <c r="J1737" s="3">
        <v>13</v>
      </c>
      <c r="K1737" s="3">
        <v>1</v>
      </c>
      <c r="L1737" s="3">
        <v>13</v>
      </c>
      <c r="M1737" s="3">
        <v>8030</v>
      </c>
      <c r="N1737" s="3">
        <v>104.39</v>
      </c>
      <c r="O1737" s="3">
        <v>6.31</v>
      </c>
      <c r="P1737" s="3">
        <v>658.70089999999993</v>
      </c>
      <c r="Q1737" s="3">
        <v>8030</v>
      </c>
    </row>
    <row r="1738" spans="1:17" ht="24.95" hidden="1" customHeight="1" x14ac:dyDescent="0.25">
      <c r="A1738" s="3">
        <v>6</v>
      </c>
      <c r="B1738" s="3" t="s">
        <v>430</v>
      </c>
      <c r="C1738" s="3" t="s">
        <v>2189</v>
      </c>
      <c r="I1738" s="3">
        <v>32</v>
      </c>
      <c r="J1738" s="3">
        <v>13</v>
      </c>
      <c r="K1738" s="3">
        <v>1</v>
      </c>
      <c r="L1738" s="3">
        <v>13</v>
      </c>
      <c r="M1738" s="3">
        <v>11700</v>
      </c>
      <c r="N1738" s="3">
        <v>152.1</v>
      </c>
      <c r="O1738" s="3">
        <v>6.31</v>
      </c>
      <c r="P1738" s="3">
        <v>959.75099999999986</v>
      </c>
      <c r="Q1738" s="3">
        <v>11700</v>
      </c>
    </row>
    <row r="1739" spans="1:17" ht="24.95" hidden="1" customHeight="1" x14ac:dyDescent="0.25">
      <c r="A1739" s="3">
        <v>6</v>
      </c>
      <c r="B1739" s="3" t="s">
        <v>430</v>
      </c>
      <c r="C1739" s="3" t="s">
        <v>2190</v>
      </c>
      <c r="I1739" s="3">
        <v>32</v>
      </c>
      <c r="J1739" s="3">
        <v>13</v>
      </c>
      <c r="K1739" s="3">
        <v>1</v>
      </c>
      <c r="L1739" s="3">
        <v>13</v>
      </c>
      <c r="M1739" s="3">
        <v>7990</v>
      </c>
      <c r="N1739" s="3">
        <v>103.87</v>
      </c>
      <c r="O1739" s="3">
        <v>6.31</v>
      </c>
      <c r="P1739" s="3">
        <v>655.41970000000003</v>
      </c>
      <c r="Q1739" s="3">
        <v>7990</v>
      </c>
    </row>
    <row r="1740" spans="1:17" ht="24.95" hidden="1" customHeight="1" x14ac:dyDescent="0.25">
      <c r="A1740" s="3">
        <v>6</v>
      </c>
      <c r="B1740" s="3" t="s">
        <v>430</v>
      </c>
      <c r="C1740" s="3" t="s">
        <v>2191</v>
      </c>
      <c r="I1740" s="3">
        <v>32</v>
      </c>
      <c r="J1740" s="3">
        <v>13</v>
      </c>
      <c r="K1740" s="3">
        <v>1</v>
      </c>
      <c r="L1740" s="3">
        <v>13</v>
      </c>
      <c r="M1740" s="3">
        <v>11700</v>
      </c>
      <c r="N1740" s="3">
        <v>152.1</v>
      </c>
      <c r="O1740" s="3">
        <v>6.31</v>
      </c>
      <c r="P1740" s="3">
        <v>959.75099999999986</v>
      </c>
      <c r="Q1740" s="3">
        <v>11700</v>
      </c>
    </row>
    <row r="1741" spans="1:17" ht="24.95" hidden="1" customHeight="1" x14ac:dyDescent="0.25">
      <c r="A1741" s="3">
        <v>6</v>
      </c>
      <c r="B1741" s="3" t="s">
        <v>430</v>
      </c>
      <c r="C1741" s="3" t="s">
        <v>2192</v>
      </c>
      <c r="I1741" s="3">
        <v>32</v>
      </c>
      <c r="J1741" s="3">
        <v>13</v>
      </c>
      <c r="K1741" s="3">
        <v>1</v>
      </c>
      <c r="L1741" s="3">
        <v>13</v>
      </c>
      <c r="M1741" s="3">
        <v>10000</v>
      </c>
      <c r="N1741" s="3">
        <v>130</v>
      </c>
      <c r="O1741" s="3">
        <v>6.31</v>
      </c>
      <c r="P1741" s="3">
        <v>820.3</v>
      </c>
      <c r="Q1741" s="3">
        <v>10000</v>
      </c>
    </row>
    <row r="1742" spans="1:17" ht="24.95" hidden="1" customHeight="1" x14ac:dyDescent="0.25">
      <c r="A1742" s="3">
        <v>6</v>
      </c>
      <c r="B1742" s="3" t="s">
        <v>430</v>
      </c>
      <c r="C1742" s="3" t="s">
        <v>2193</v>
      </c>
      <c r="I1742" s="3">
        <v>32</v>
      </c>
      <c r="J1742" s="3">
        <v>13</v>
      </c>
      <c r="K1742" s="3">
        <v>1</v>
      </c>
      <c r="L1742" s="3">
        <v>13</v>
      </c>
      <c r="M1742" s="3">
        <v>10000</v>
      </c>
      <c r="N1742" s="3">
        <v>130</v>
      </c>
      <c r="O1742" s="3">
        <v>6.31</v>
      </c>
      <c r="P1742" s="3">
        <v>820.3</v>
      </c>
      <c r="Q1742" s="3">
        <v>10000</v>
      </c>
    </row>
    <row r="1743" spans="1:17" ht="24.95" hidden="1" customHeight="1" x14ac:dyDescent="0.25">
      <c r="A1743" s="3">
        <v>6</v>
      </c>
      <c r="B1743" s="3" t="s">
        <v>430</v>
      </c>
      <c r="C1743" s="3" t="s">
        <v>2194</v>
      </c>
      <c r="I1743" s="3">
        <v>32</v>
      </c>
      <c r="J1743" s="3">
        <v>13</v>
      </c>
      <c r="K1743" s="3">
        <v>1</v>
      </c>
      <c r="L1743" s="3">
        <v>13</v>
      </c>
      <c r="M1743" s="3">
        <v>5850</v>
      </c>
      <c r="N1743" s="3">
        <v>76.05</v>
      </c>
      <c r="O1743" s="3">
        <v>6.31</v>
      </c>
      <c r="P1743" s="3">
        <v>479.87549999999993</v>
      </c>
      <c r="Q1743" s="3">
        <v>5850</v>
      </c>
    </row>
    <row r="1744" spans="1:17" ht="24.95" hidden="1" customHeight="1" x14ac:dyDescent="0.25">
      <c r="A1744" s="3">
        <v>6</v>
      </c>
      <c r="B1744" s="3" t="s">
        <v>430</v>
      </c>
      <c r="C1744" s="3" t="s">
        <v>2178</v>
      </c>
      <c r="I1744" s="3">
        <v>32</v>
      </c>
      <c r="J1744" s="3">
        <v>2</v>
      </c>
      <c r="K1744" s="3">
        <v>1</v>
      </c>
      <c r="L1744" s="3">
        <v>2</v>
      </c>
      <c r="M1744" s="3">
        <v>9865</v>
      </c>
      <c r="N1744" s="3">
        <v>19.73</v>
      </c>
      <c r="O1744" s="3">
        <v>6.31</v>
      </c>
      <c r="P1744" s="3">
        <v>124.49629999999999</v>
      </c>
      <c r="Q1744" s="3">
        <v>9865</v>
      </c>
    </row>
    <row r="1745" spans="1:17" ht="24.95" hidden="1" customHeight="1" x14ac:dyDescent="0.25">
      <c r="A1745" s="3">
        <v>6</v>
      </c>
      <c r="B1745" s="3" t="s">
        <v>430</v>
      </c>
      <c r="C1745" s="3" t="s">
        <v>2195</v>
      </c>
      <c r="I1745" s="3">
        <v>32</v>
      </c>
      <c r="J1745" s="3">
        <v>13</v>
      </c>
      <c r="K1745" s="3">
        <v>1</v>
      </c>
      <c r="L1745" s="3">
        <v>13</v>
      </c>
      <c r="M1745" s="3">
        <v>9000</v>
      </c>
      <c r="N1745" s="3">
        <v>117</v>
      </c>
      <c r="O1745" s="3">
        <v>6.31</v>
      </c>
      <c r="P1745" s="3">
        <v>738.27</v>
      </c>
      <c r="Q1745" s="3">
        <v>9000</v>
      </c>
    </row>
    <row r="1746" spans="1:17" ht="24.95" hidden="1" customHeight="1" x14ac:dyDescent="0.25">
      <c r="A1746" s="3">
        <v>6</v>
      </c>
      <c r="B1746" s="3" t="s">
        <v>430</v>
      </c>
      <c r="C1746" s="3" t="s">
        <v>2196</v>
      </c>
      <c r="I1746" s="3">
        <v>32</v>
      </c>
      <c r="J1746" s="3">
        <v>2</v>
      </c>
      <c r="K1746" s="3">
        <v>1</v>
      </c>
      <c r="L1746" s="3">
        <v>2</v>
      </c>
      <c r="M1746" s="3">
        <v>8105</v>
      </c>
      <c r="N1746" s="3">
        <v>16.21</v>
      </c>
      <c r="O1746" s="3">
        <v>6.31</v>
      </c>
      <c r="P1746" s="3">
        <v>102.2851</v>
      </c>
      <c r="Q1746" s="3">
        <v>8105</v>
      </c>
    </row>
    <row r="1747" spans="1:17" ht="24.95" hidden="1" customHeight="1" x14ac:dyDescent="0.25">
      <c r="A1747" s="3">
        <v>6</v>
      </c>
      <c r="B1747" s="3" t="s">
        <v>430</v>
      </c>
      <c r="C1747" s="3" t="s">
        <v>1753</v>
      </c>
      <c r="I1747" s="3">
        <v>32</v>
      </c>
      <c r="J1747" s="3">
        <v>25</v>
      </c>
      <c r="K1747" s="3">
        <v>1</v>
      </c>
      <c r="L1747" s="3">
        <v>25</v>
      </c>
      <c r="M1747" s="3">
        <v>6490</v>
      </c>
      <c r="N1747" s="3">
        <v>162.25</v>
      </c>
      <c r="O1747" s="3">
        <v>6.31</v>
      </c>
      <c r="P1747" s="3">
        <v>1023.7974999999999</v>
      </c>
      <c r="Q1747" s="3">
        <v>6490</v>
      </c>
    </row>
    <row r="1748" spans="1:17" ht="24.95" hidden="1" customHeight="1" x14ac:dyDescent="0.25">
      <c r="A1748" s="3">
        <v>6</v>
      </c>
      <c r="B1748" s="3" t="s">
        <v>430</v>
      </c>
      <c r="C1748" s="3" t="s">
        <v>1754</v>
      </c>
      <c r="I1748" s="3">
        <v>32</v>
      </c>
      <c r="J1748" s="3">
        <v>13</v>
      </c>
      <c r="K1748" s="3">
        <v>1</v>
      </c>
      <c r="L1748" s="3">
        <v>13</v>
      </c>
      <c r="M1748" s="3">
        <v>6190</v>
      </c>
      <c r="N1748" s="3">
        <v>80.47</v>
      </c>
      <c r="O1748" s="3">
        <v>6.31</v>
      </c>
      <c r="P1748" s="3">
        <v>507.76569999999998</v>
      </c>
      <c r="Q1748" s="3">
        <v>6190</v>
      </c>
    </row>
    <row r="1749" spans="1:17" ht="24.95" hidden="1" customHeight="1" x14ac:dyDescent="0.25">
      <c r="A1749" s="3">
        <v>6</v>
      </c>
      <c r="B1749" s="3" t="s">
        <v>430</v>
      </c>
      <c r="C1749" s="3" t="s">
        <v>1755</v>
      </c>
      <c r="I1749" s="3">
        <v>32</v>
      </c>
      <c r="J1749" s="3">
        <v>6</v>
      </c>
      <c r="K1749" s="3">
        <v>1</v>
      </c>
      <c r="L1749" s="3">
        <v>6</v>
      </c>
      <c r="M1749" s="3">
        <v>5150</v>
      </c>
      <c r="N1749" s="3">
        <v>30.9</v>
      </c>
      <c r="O1749" s="3">
        <v>6.31</v>
      </c>
      <c r="P1749" s="3">
        <v>194.97899999999998</v>
      </c>
      <c r="Q1749" s="3">
        <v>5150</v>
      </c>
    </row>
    <row r="1750" spans="1:17" ht="24.95" hidden="1" customHeight="1" x14ac:dyDescent="0.25">
      <c r="A1750" s="3">
        <v>6</v>
      </c>
      <c r="B1750" s="3" t="s">
        <v>430</v>
      </c>
      <c r="C1750" s="3" t="s">
        <v>1756</v>
      </c>
      <c r="I1750" s="3">
        <v>32</v>
      </c>
      <c r="J1750" s="3">
        <v>10</v>
      </c>
      <c r="K1750" s="3">
        <v>1</v>
      </c>
      <c r="L1750" s="3">
        <v>10</v>
      </c>
      <c r="M1750" s="3">
        <v>5050</v>
      </c>
      <c r="N1750" s="3">
        <v>50.5</v>
      </c>
      <c r="O1750" s="3">
        <v>6.31</v>
      </c>
      <c r="P1750" s="3">
        <v>318.65499999999997</v>
      </c>
      <c r="Q1750" s="3">
        <v>5050</v>
      </c>
    </row>
    <row r="1751" spans="1:17" ht="24.95" hidden="1" customHeight="1" x14ac:dyDescent="0.25">
      <c r="A1751" s="3">
        <v>6</v>
      </c>
      <c r="B1751" s="3" t="s">
        <v>430</v>
      </c>
      <c r="C1751" s="3" t="s">
        <v>2197</v>
      </c>
      <c r="I1751" s="3">
        <v>32</v>
      </c>
      <c r="J1751" s="3">
        <v>11</v>
      </c>
      <c r="K1751" s="3">
        <v>1</v>
      </c>
      <c r="L1751" s="3">
        <v>11</v>
      </c>
      <c r="M1751" s="3">
        <v>6950</v>
      </c>
      <c r="N1751" s="3">
        <v>76.45</v>
      </c>
      <c r="O1751" s="3">
        <v>6.31</v>
      </c>
      <c r="P1751" s="3">
        <v>482.39949999999999</v>
      </c>
      <c r="Q1751" s="3">
        <v>6950</v>
      </c>
    </row>
    <row r="1752" spans="1:17" ht="24.95" hidden="1" customHeight="1" x14ac:dyDescent="0.25">
      <c r="A1752" s="3">
        <v>6</v>
      </c>
      <c r="B1752" s="3" t="s">
        <v>430</v>
      </c>
      <c r="C1752" s="3" t="s">
        <v>2198</v>
      </c>
      <c r="I1752" s="3">
        <v>32</v>
      </c>
      <c r="J1752" s="3">
        <v>11</v>
      </c>
      <c r="K1752" s="3">
        <v>1</v>
      </c>
      <c r="L1752" s="3">
        <v>11</v>
      </c>
      <c r="M1752" s="3">
        <v>9000</v>
      </c>
      <c r="N1752" s="3">
        <v>99</v>
      </c>
      <c r="O1752" s="3">
        <v>6.31</v>
      </c>
      <c r="P1752" s="3">
        <v>624.68999999999994</v>
      </c>
      <c r="Q1752" s="3">
        <v>9000</v>
      </c>
    </row>
    <row r="1753" spans="1:17" ht="24.95" hidden="1" customHeight="1" x14ac:dyDescent="0.25">
      <c r="A1753" s="3">
        <v>6</v>
      </c>
      <c r="B1753" s="3" t="s">
        <v>430</v>
      </c>
      <c r="C1753" s="3" t="s">
        <v>2199</v>
      </c>
      <c r="I1753" s="3">
        <v>32</v>
      </c>
      <c r="J1753" s="3">
        <v>11</v>
      </c>
      <c r="K1753" s="3">
        <v>1</v>
      </c>
      <c r="L1753" s="3">
        <v>11</v>
      </c>
      <c r="M1753" s="3">
        <v>11000</v>
      </c>
      <c r="N1753" s="3">
        <v>121</v>
      </c>
      <c r="O1753" s="3">
        <v>6.31</v>
      </c>
      <c r="P1753" s="3">
        <v>763.51</v>
      </c>
      <c r="Q1753" s="3">
        <v>11000</v>
      </c>
    </row>
    <row r="1754" spans="1:17" ht="24.95" hidden="1" customHeight="1" x14ac:dyDescent="0.25">
      <c r="A1754" s="3">
        <v>6</v>
      </c>
      <c r="B1754" s="3" t="s">
        <v>430</v>
      </c>
      <c r="C1754" s="3" t="s">
        <v>2200</v>
      </c>
      <c r="I1754" s="3">
        <v>32</v>
      </c>
      <c r="J1754" s="3">
        <v>11</v>
      </c>
      <c r="K1754" s="3">
        <v>1</v>
      </c>
      <c r="L1754" s="3">
        <v>11</v>
      </c>
      <c r="M1754" s="3">
        <v>6670</v>
      </c>
      <c r="N1754" s="3">
        <v>73.37</v>
      </c>
      <c r="O1754" s="3">
        <v>6.31</v>
      </c>
      <c r="P1754" s="3">
        <v>462.96469999999999</v>
      </c>
      <c r="Q1754" s="3">
        <v>6670</v>
      </c>
    </row>
    <row r="1755" spans="1:17" ht="24.95" hidden="1" customHeight="1" x14ac:dyDescent="0.25">
      <c r="A1755" s="3">
        <v>6</v>
      </c>
      <c r="B1755" s="3" t="s">
        <v>430</v>
      </c>
      <c r="C1755" s="3" t="s">
        <v>2201</v>
      </c>
      <c r="I1755" s="3">
        <v>32</v>
      </c>
      <c r="J1755" s="3">
        <v>10</v>
      </c>
      <c r="K1755" s="3">
        <v>1</v>
      </c>
      <c r="L1755" s="3">
        <v>10</v>
      </c>
      <c r="M1755" s="3">
        <v>8770</v>
      </c>
      <c r="N1755" s="3">
        <v>87.7</v>
      </c>
      <c r="O1755" s="3">
        <v>6.31</v>
      </c>
      <c r="P1755" s="3">
        <v>553.38699999999994</v>
      </c>
      <c r="Q1755" s="3">
        <v>8770</v>
      </c>
    </row>
    <row r="1756" spans="1:17" ht="24.95" hidden="1" customHeight="1" x14ac:dyDescent="0.25">
      <c r="A1756" s="3">
        <v>6</v>
      </c>
      <c r="B1756" s="3" t="s">
        <v>430</v>
      </c>
      <c r="C1756" s="3" t="s">
        <v>2202</v>
      </c>
      <c r="I1756" s="3">
        <v>32</v>
      </c>
      <c r="J1756" s="3">
        <v>10</v>
      </c>
      <c r="K1756" s="3">
        <v>1</v>
      </c>
      <c r="L1756" s="3">
        <v>10</v>
      </c>
      <c r="M1756" s="3">
        <v>10000</v>
      </c>
      <c r="N1756" s="3">
        <v>100</v>
      </c>
      <c r="O1756" s="3">
        <v>6.31</v>
      </c>
      <c r="P1756" s="3">
        <v>631</v>
      </c>
      <c r="Q1756" s="3">
        <v>10000</v>
      </c>
    </row>
    <row r="1757" spans="1:17" ht="24.95" hidden="1" customHeight="1" x14ac:dyDescent="0.25">
      <c r="A1757" s="3">
        <v>6</v>
      </c>
      <c r="B1757" s="3" t="s">
        <v>430</v>
      </c>
      <c r="C1757" s="3" t="s">
        <v>2203</v>
      </c>
      <c r="I1757" s="3">
        <v>32</v>
      </c>
      <c r="J1757" s="3">
        <v>10</v>
      </c>
      <c r="K1757" s="3">
        <v>1</v>
      </c>
      <c r="L1757" s="3">
        <v>10</v>
      </c>
      <c r="M1757" s="3">
        <v>5850</v>
      </c>
      <c r="N1757" s="3">
        <v>58.5</v>
      </c>
      <c r="O1757" s="3">
        <v>6.31</v>
      </c>
      <c r="P1757" s="3">
        <v>369.13499999999999</v>
      </c>
      <c r="Q1757" s="3">
        <v>5850</v>
      </c>
    </row>
    <row r="1758" spans="1:17" ht="24.95" hidden="1" customHeight="1" x14ac:dyDescent="0.25">
      <c r="A1758" s="3">
        <v>6</v>
      </c>
      <c r="B1758" s="3" t="s">
        <v>430</v>
      </c>
      <c r="C1758" s="3" t="s">
        <v>2204</v>
      </c>
      <c r="I1758" s="3">
        <v>32</v>
      </c>
      <c r="J1758" s="3">
        <v>10</v>
      </c>
      <c r="K1758" s="3">
        <v>1</v>
      </c>
      <c r="L1758" s="3">
        <v>10</v>
      </c>
      <c r="M1758" s="3">
        <v>9000</v>
      </c>
      <c r="N1758" s="3">
        <v>90</v>
      </c>
      <c r="O1758" s="3">
        <v>6.31</v>
      </c>
      <c r="P1758" s="3">
        <v>567.9</v>
      </c>
      <c r="Q1758" s="3">
        <v>9000</v>
      </c>
    </row>
    <row r="1759" spans="1:17" ht="24.95" hidden="1" customHeight="1" x14ac:dyDescent="0.25">
      <c r="A1759" s="3">
        <v>6</v>
      </c>
      <c r="B1759" s="3" t="s">
        <v>430</v>
      </c>
      <c r="C1759" s="3" t="s">
        <v>2205</v>
      </c>
      <c r="I1759" s="3">
        <v>32</v>
      </c>
      <c r="J1759" s="3">
        <v>4</v>
      </c>
      <c r="K1759" s="3">
        <v>1</v>
      </c>
      <c r="L1759" s="3">
        <v>4</v>
      </c>
      <c r="M1759" s="3">
        <v>6875</v>
      </c>
      <c r="N1759" s="3">
        <v>27.5</v>
      </c>
      <c r="O1759" s="3">
        <v>6.31</v>
      </c>
      <c r="P1759" s="3">
        <v>173.52499999999998</v>
      </c>
      <c r="Q1759" s="3">
        <v>6875</v>
      </c>
    </row>
    <row r="1760" spans="1:17" ht="24.95" hidden="1" customHeight="1" x14ac:dyDescent="0.25">
      <c r="A1760" s="3">
        <v>6</v>
      </c>
      <c r="B1760" s="3" t="s">
        <v>430</v>
      </c>
      <c r="C1760" s="3" t="s">
        <v>2206</v>
      </c>
      <c r="I1760" s="3">
        <v>20</v>
      </c>
      <c r="J1760" s="3">
        <v>308</v>
      </c>
      <c r="K1760" s="3">
        <v>1</v>
      </c>
      <c r="L1760" s="3">
        <v>308</v>
      </c>
      <c r="M1760" s="3">
        <v>5640</v>
      </c>
      <c r="N1760" s="3">
        <v>1737.12</v>
      </c>
      <c r="O1760" s="3">
        <v>2.4700000000000002</v>
      </c>
      <c r="P1760" s="3">
        <v>4290.6864000000005</v>
      </c>
      <c r="Q1760" s="3">
        <v>5640</v>
      </c>
    </row>
    <row r="1761" spans="1:17" ht="24.95" hidden="1" customHeight="1" x14ac:dyDescent="0.25">
      <c r="A1761" s="3">
        <v>6</v>
      </c>
      <c r="B1761" s="3" t="s">
        <v>430</v>
      </c>
      <c r="C1761" s="3" t="s">
        <v>2207</v>
      </c>
      <c r="I1761" s="3">
        <v>20</v>
      </c>
      <c r="J1761" s="3">
        <v>308</v>
      </c>
      <c r="K1761" s="3">
        <v>1</v>
      </c>
      <c r="L1761" s="3">
        <v>308</v>
      </c>
      <c r="M1761" s="3">
        <v>8620</v>
      </c>
      <c r="N1761" s="3">
        <v>2654.96</v>
      </c>
      <c r="O1761" s="3">
        <v>2.4700000000000002</v>
      </c>
      <c r="P1761" s="3">
        <v>6557.7512000000006</v>
      </c>
      <c r="Q1761" s="3">
        <v>8620</v>
      </c>
    </row>
    <row r="1762" spans="1:17" ht="24.95" hidden="1" customHeight="1" x14ac:dyDescent="0.25">
      <c r="A1762" s="3">
        <v>6</v>
      </c>
      <c r="B1762" s="3" t="s">
        <v>430</v>
      </c>
      <c r="C1762" s="3" t="s">
        <v>2208</v>
      </c>
      <c r="I1762" s="3">
        <v>20</v>
      </c>
      <c r="J1762" s="3">
        <v>4585</v>
      </c>
      <c r="K1762" s="3">
        <v>1</v>
      </c>
      <c r="L1762" s="3">
        <v>4585</v>
      </c>
      <c r="M1762" s="3">
        <v>2790</v>
      </c>
      <c r="N1762" s="3">
        <v>12792.15</v>
      </c>
      <c r="O1762" s="3">
        <v>2.4700000000000002</v>
      </c>
      <c r="P1762" s="3">
        <v>31596.610500000003</v>
      </c>
      <c r="Q1762" s="3">
        <v>2790</v>
      </c>
    </row>
    <row r="1763" spans="1:17" ht="24.95" hidden="1" customHeight="1" x14ac:dyDescent="0.25">
      <c r="A1763" s="3">
        <v>6</v>
      </c>
      <c r="B1763" s="3" t="s">
        <v>430</v>
      </c>
      <c r="C1763" s="3" t="s">
        <v>2209</v>
      </c>
      <c r="I1763" s="3">
        <v>18</v>
      </c>
      <c r="J1763" s="3">
        <v>6</v>
      </c>
      <c r="K1763" s="3">
        <v>1</v>
      </c>
      <c r="L1763" s="3">
        <v>6</v>
      </c>
      <c r="M1763" s="3">
        <v>11700</v>
      </c>
      <c r="N1763" s="3">
        <v>70.2</v>
      </c>
      <c r="O1763" s="3">
        <v>2</v>
      </c>
      <c r="P1763" s="3">
        <v>140.4</v>
      </c>
      <c r="Q1763" s="3">
        <v>11700</v>
      </c>
    </row>
    <row r="1764" spans="1:17" ht="24.95" hidden="1" customHeight="1" x14ac:dyDescent="0.25">
      <c r="A1764" s="3">
        <v>6</v>
      </c>
      <c r="B1764" s="3" t="s">
        <v>430</v>
      </c>
      <c r="C1764" s="3" t="s">
        <v>2210</v>
      </c>
      <c r="I1764" s="3">
        <v>18</v>
      </c>
      <c r="J1764" s="3">
        <v>18</v>
      </c>
      <c r="K1764" s="3">
        <v>1</v>
      </c>
      <c r="L1764" s="3">
        <v>18</v>
      </c>
      <c r="M1764" s="3">
        <v>11700</v>
      </c>
      <c r="N1764" s="3">
        <v>210.6</v>
      </c>
      <c r="O1764" s="3">
        <v>2</v>
      </c>
      <c r="P1764" s="3">
        <v>421.2</v>
      </c>
      <c r="Q1764" s="3">
        <v>11700</v>
      </c>
    </row>
    <row r="1765" spans="1:17" ht="24.95" hidden="1" customHeight="1" x14ac:dyDescent="0.25">
      <c r="A1765" s="3">
        <v>6</v>
      </c>
      <c r="B1765" s="3" t="s">
        <v>430</v>
      </c>
      <c r="C1765" s="3" t="s">
        <v>2211</v>
      </c>
      <c r="I1765" s="3">
        <v>18</v>
      </c>
      <c r="J1765" s="3">
        <v>9</v>
      </c>
      <c r="K1765" s="3">
        <v>1</v>
      </c>
      <c r="L1765" s="3">
        <v>9</v>
      </c>
      <c r="M1765" s="3">
        <v>11700</v>
      </c>
      <c r="N1765" s="3">
        <v>105.3</v>
      </c>
      <c r="O1765" s="3">
        <v>2</v>
      </c>
      <c r="P1765" s="3">
        <v>210.6</v>
      </c>
      <c r="Q1765" s="3">
        <v>11700</v>
      </c>
    </row>
    <row r="1766" spans="1:17" ht="24.95" hidden="1" customHeight="1" x14ac:dyDescent="0.25">
      <c r="A1766" s="3">
        <v>6</v>
      </c>
      <c r="B1766" s="3" t="s">
        <v>430</v>
      </c>
      <c r="C1766" s="3" t="s">
        <v>2212</v>
      </c>
      <c r="I1766" s="3">
        <v>18</v>
      </c>
      <c r="J1766" s="3">
        <v>9</v>
      </c>
      <c r="K1766" s="3">
        <v>1</v>
      </c>
      <c r="L1766" s="3">
        <v>9</v>
      </c>
      <c r="M1766" s="3">
        <v>11700</v>
      </c>
      <c r="N1766" s="3">
        <v>105.3</v>
      </c>
      <c r="O1766" s="3">
        <v>2</v>
      </c>
      <c r="P1766" s="3">
        <v>210.6</v>
      </c>
      <c r="Q1766" s="3">
        <v>11700</v>
      </c>
    </row>
    <row r="1767" spans="1:17" ht="24.95" hidden="1" customHeight="1" x14ac:dyDescent="0.25">
      <c r="A1767" s="3">
        <v>6</v>
      </c>
      <c r="B1767" s="3" t="s">
        <v>430</v>
      </c>
      <c r="C1767" s="3" t="s">
        <v>2213</v>
      </c>
      <c r="I1767" s="3">
        <v>18</v>
      </c>
      <c r="J1767" s="3">
        <v>3</v>
      </c>
      <c r="K1767" s="3">
        <v>1</v>
      </c>
      <c r="L1767" s="3">
        <v>3</v>
      </c>
      <c r="M1767" s="3">
        <v>11700</v>
      </c>
      <c r="N1767" s="3">
        <v>35.1</v>
      </c>
      <c r="O1767" s="3">
        <v>2</v>
      </c>
      <c r="P1767" s="3">
        <v>70.2</v>
      </c>
      <c r="Q1767" s="3">
        <v>11700</v>
      </c>
    </row>
    <row r="1768" spans="1:17" ht="24.95" hidden="1" customHeight="1" x14ac:dyDescent="0.25">
      <c r="A1768" s="3">
        <v>6</v>
      </c>
      <c r="B1768" s="3" t="s">
        <v>430</v>
      </c>
      <c r="C1768" s="3" t="s">
        <v>2214</v>
      </c>
      <c r="I1768" s="3">
        <v>18</v>
      </c>
      <c r="J1768" s="3">
        <v>3</v>
      </c>
      <c r="K1768" s="3">
        <v>1</v>
      </c>
      <c r="L1768" s="3">
        <v>3</v>
      </c>
      <c r="M1768" s="3">
        <v>11700</v>
      </c>
      <c r="N1768" s="3">
        <v>35.1</v>
      </c>
      <c r="O1768" s="3">
        <v>2</v>
      </c>
      <c r="P1768" s="3">
        <v>70.2</v>
      </c>
      <c r="Q1768" s="3">
        <v>11700</v>
      </c>
    </row>
    <row r="1769" spans="1:17" ht="24.95" hidden="1" customHeight="1" x14ac:dyDescent="0.25">
      <c r="A1769" s="3">
        <v>6</v>
      </c>
      <c r="B1769" s="3" t="s">
        <v>430</v>
      </c>
      <c r="C1769" s="3" t="s">
        <v>2215</v>
      </c>
      <c r="I1769" s="3">
        <v>18</v>
      </c>
      <c r="J1769" s="3">
        <v>3</v>
      </c>
      <c r="K1769" s="3">
        <v>1</v>
      </c>
      <c r="L1769" s="3">
        <v>3</v>
      </c>
      <c r="M1769" s="3">
        <v>8360</v>
      </c>
      <c r="N1769" s="3">
        <v>25.08</v>
      </c>
      <c r="O1769" s="3">
        <v>2</v>
      </c>
      <c r="P1769" s="3">
        <v>50.16</v>
      </c>
      <c r="Q1769" s="3">
        <v>8360</v>
      </c>
    </row>
    <row r="1770" spans="1:17" ht="24.95" hidden="1" customHeight="1" x14ac:dyDescent="0.25">
      <c r="A1770" s="3">
        <v>6</v>
      </c>
      <c r="B1770" s="3" t="s">
        <v>430</v>
      </c>
      <c r="C1770" s="3" t="s">
        <v>2216</v>
      </c>
      <c r="I1770" s="3">
        <v>18</v>
      </c>
      <c r="J1770" s="3">
        <v>3</v>
      </c>
      <c r="K1770" s="3">
        <v>1</v>
      </c>
      <c r="L1770" s="3">
        <v>3</v>
      </c>
      <c r="M1770" s="3">
        <v>5830</v>
      </c>
      <c r="N1770" s="3">
        <v>17.489999999999998</v>
      </c>
      <c r="O1770" s="3">
        <v>2</v>
      </c>
      <c r="P1770" s="3">
        <v>34.979999999999997</v>
      </c>
      <c r="Q1770" s="3">
        <v>5830</v>
      </c>
    </row>
    <row r="1771" spans="1:17" ht="24.95" hidden="1" customHeight="1" x14ac:dyDescent="0.25">
      <c r="A1771" s="3">
        <v>6</v>
      </c>
      <c r="B1771" s="3" t="s">
        <v>430</v>
      </c>
      <c r="C1771" s="3" t="s">
        <v>2217</v>
      </c>
      <c r="I1771" s="3">
        <v>18</v>
      </c>
      <c r="J1771" s="3">
        <v>3</v>
      </c>
      <c r="K1771" s="3">
        <v>1</v>
      </c>
      <c r="L1771" s="3">
        <v>3</v>
      </c>
      <c r="M1771" s="3">
        <v>11700</v>
      </c>
      <c r="N1771" s="3">
        <v>35.1</v>
      </c>
      <c r="O1771" s="3">
        <v>2</v>
      </c>
      <c r="P1771" s="3">
        <v>70.2</v>
      </c>
      <c r="Q1771" s="3">
        <v>11700</v>
      </c>
    </row>
    <row r="1772" spans="1:17" ht="24.95" hidden="1" customHeight="1" x14ac:dyDescent="0.25">
      <c r="A1772" s="3">
        <v>6</v>
      </c>
      <c r="B1772" s="3" t="s">
        <v>430</v>
      </c>
      <c r="C1772" s="3" t="s">
        <v>2209</v>
      </c>
      <c r="I1772" s="3">
        <v>18</v>
      </c>
      <c r="J1772" s="3">
        <v>3</v>
      </c>
      <c r="K1772" s="3">
        <v>1</v>
      </c>
      <c r="L1772" s="3">
        <v>3</v>
      </c>
      <c r="M1772" s="3">
        <v>11700</v>
      </c>
      <c r="N1772" s="3">
        <v>35.1</v>
      </c>
      <c r="O1772" s="3">
        <v>2</v>
      </c>
      <c r="P1772" s="3">
        <v>70.2</v>
      </c>
      <c r="Q1772" s="3">
        <v>11700</v>
      </c>
    </row>
    <row r="1773" spans="1:17" ht="24.95" hidden="1" customHeight="1" x14ac:dyDescent="0.25">
      <c r="A1773" s="3">
        <v>6</v>
      </c>
      <c r="B1773" s="3" t="s">
        <v>430</v>
      </c>
      <c r="C1773" s="3" t="s">
        <v>2218</v>
      </c>
      <c r="I1773" s="3">
        <v>18</v>
      </c>
      <c r="J1773" s="3">
        <v>3</v>
      </c>
      <c r="K1773" s="3">
        <v>1</v>
      </c>
      <c r="L1773" s="3">
        <v>3</v>
      </c>
      <c r="M1773" s="3">
        <v>11700</v>
      </c>
      <c r="N1773" s="3">
        <v>35.1</v>
      </c>
      <c r="O1773" s="3">
        <v>2</v>
      </c>
      <c r="P1773" s="3">
        <v>70.2</v>
      </c>
      <c r="Q1773" s="3">
        <v>11700</v>
      </c>
    </row>
    <row r="1774" spans="1:17" ht="24.95" hidden="1" customHeight="1" x14ac:dyDescent="0.25">
      <c r="A1774" s="3">
        <v>6</v>
      </c>
      <c r="B1774" s="3" t="s">
        <v>430</v>
      </c>
      <c r="C1774" s="3" t="s">
        <v>2219</v>
      </c>
      <c r="I1774" s="3">
        <v>18</v>
      </c>
      <c r="J1774" s="3">
        <v>3</v>
      </c>
      <c r="K1774" s="3">
        <v>1</v>
      </c>
      <c r="L1774" s="3">
        <v>3</v>
      </c>
      <c r="M1774" s="3">
        <v>11700</v>
      </c>
      <c r="N1774" s="3">
        <v>35.1</v>
      </c>
      <c r="O1774" s="3">
        <v>2</v>
      </c>
      <c r="P1774" s="3">
        <v>70.2</v>
      </c>
      <c r="Q1774" s="3">
        <v>11700</v>
      </c>
    </row>
    <row r="1775" spans="1:17" ht="24.95" hidden="1" customHeight="1" x14ac:dyDescent="0.25">
      <c r="A1775" s="3">
        <v>6</v>
      </c>
      <c r="B1775" s="3" t="s">
        <v>430</v>
      </c>
      <c r="C1775" s="3" t="s">
        <v>2220</v>
      </c>
      <c r="I1775" s="3">
        <v>18</v>
      </c>
      <c r="J1775" s="3">
        <v>3</v>
      </c>
      <c r="K1775" s="3">
        <v>1</v>
      </c>
      <c r="L1775" s="3">
        <v>3</v>
      </c>
      <c r="M1775" s="3">
        <v>11700</v>
      </c>
      <c r="N1775" s="3">
        <v>35.1</v>
      </c>
      <c r="O1775" s="3">
        <v>2</v>
      </c>
      <c r="P1775" s="3">
        <v>70.2</v>
      </c>
      <c r="Q1775" s="3">
        <v>11700</v>
      </c>
    </row>
    <row r="1776" spans="1:17" ht="24.95" hidden="1" customHeight="1" x14ac:dyDescent="0.25">
      <c r="A1776" s="3">
        <v>6</v>
      </c>
      <c r="B1776" s="3" t="s">
        <v>430</v>
      </c>
      <c r="C1776" s="3" t="s">
        <v>2221</v>
      </c>
      <c r="I1776" s="3">
        <v>18</v>
      </c>
      <c r="J1776" s="3">
        <v>3</v>
      </c>
      <c r="K1776" s="3">
        <v>1</v>
      </c>
      <c r="L1776" s="3">
        <v>3</v>
      </c>
      <c r="M1776" s="3">
        <v>11700</v>
      </c>
      <c r="N1776" s="3">
        <v>35.1</v>
      </c>
      <c r="O1776" s="3">
        <v>2</v>
      </c>
      <c r="P1776" s="3">
        <v>70.2</v>
      </c>
      <c r="Q1776" s="3">
        <v>11700</v>
      </c>
    </row>
    <row r="1777" spans="1:17" ht="24.95" hidden="1" customHeight="1" x14ac:dyDescent="0.25">
      <c r="A1777" s="3">
        <v>6</v>
      </c>
      <c r="B1777" s="3" t="s">
        <v>430</v>
      </c>
      <c r="C1777" s="3" t="s">
        <v>2222</v>
      </c>
      <c r="I1777" s="3">
        <v>18</v>
      </c>
      <c r="J1777" s="3">
        <v>3</v>
      </c>
      <c r="K1777" s="3">
        <v>1</v>
      </c>
      <c r="L1777" s="3">
        <v>3</v>
      </c>
      <c r="M1777" s="3">
        <v>3340</v>
      </c>
      <c r="N1777" s="3">
        <v>10.02</v>
      </c>
      <c r="O1777" s="3">
        <v>2</v>
      </c>
      <c r="P1777" s="3">
        <v>20.04</v>
      </c>
      <c r="Q1777" s="3">
        <v>3340</v>
      </c>
    </row>
    <row r="1778" spans="1:17" ht="24.95" hidden="1" customHeight="1" x14ac:dyDescent="0.25">
      <c r="A1778" s="3">
        <v>6</v>
      </c>
      <c r="B1778" s="3" t="s">
        <v>430</v>
      </c>
      <c r="C1778" s="3" t="s">
        <v>2223</v>
      </c>
      <c r="I1778" s="3">
        <v>18</v>
      </c>
      <c r="J1778" s="3">
        <v>3</v>
      </c>
      <c r="K1778" s="3">
        <v>1</v>
      </c>
      <c r="L1778" s="3">
        <v>3</v>
      </c>
      <c r="M1778" s="3">
        <v>8640</v>
      </c>
      <c r="N1778" s="3">
        <v>25.92</v>
      </c>
      <c r="O1778" s="3">
        <v>2</v>
      </c>
      <c r="P1778" s="3">
        <v>51.84</v>
      </c>
      <c r="Q1778" s="3">
        <v>8640</v>
      </c>
    </row>
    <row r="1779" spans="1:17" ht="24.95" hidden="1" customHeight="1" x14ac:dyDescent="0.25">
      <c r="A1779" s="3">
        <v>6</v>
      </c>
      <c r="B1779" s="3" t="s">
        <v>430</v>
      </c>
      <c r="C1779" s="3" t="s">
        <v>2224</v>
      </c>
      <c r="I1779" s="3">
        <v>18</v>
      </c>
      <c r="J1779" s="3">
        <v>3</v>
      </c>
      <c r="K1779" s="3">
        <v>1</v>
      </c>
      <c r="L1779" s="3">
        <v>3</v>
      </c>
      <c r="M1779" s="3">
        <v>6390</v>
      </c>
      <c r="N1779" s="3">
        <v>19.170000000000002</v>
      </c>
      <c r="O1779" s="3">
        <v>2</v>
      </c>
      <c r="P1779" s="3">
        <v>38.340000000000003</v>
      </c>
      <c r="Q1779" s="3">
        <v>6390</v>
      </c>
    </row>
    <row r="1780" spans="1:17" ht="24.95" hidden="1" customHeight="1" x14ac:dyDescent="0.25">
      <c r="A1780" s="3">
        <v>6</v>
      </c>
      <c r="B1780" s="3" t="s">
        <v>430</v>
      </c>
      <c r="C1780" s="3" t="s">
        <v>2225</v>
      </c>
      <c r="I1780" s="3">
        <v>18</v>
      </c>
      <c r="J1780" s="3">
        <v>6</v>
      </c>
      <c r="K1780" s="3">
        <v>1</v>
      </c>
      <c r="L1780" s="3">
        <v>6</v>
      </c>
      <c r="M1780" s="3">
        <v>10410</v>
      </c>
      <c r="N1780" s="3">
        <v>62.46</v>
      </c>
      <c r="O1780" s="3">
        <v>2</v>
      </c>
      <c r="P1780" s="3">
        <v>124.92</v>
      </c>
      <c r="Q1780" s="3">
        <v>10410</v>
      </c>
    </row>
    <row r="1781" spans="1:17" ht="24.95" hidden="1" customHeight="1" x14ac:dyDescent="0.25">
      <c r="A1781" s="3">
        <v>6</v>
      </c>
      <c r="B1781" s="3" t="s">
        <v>430</v>
      </c>
      <c r="C1781" s="3" t="s">
        <v>2226</v>
      </c>
      <c r="I1781" s="3">
        <v>18</v>
      </c>
      <c r="J1781" s="3">
        <v>3</v>
      </c>
      <c r="K1781" s="3">
        <v>1</v>
      </c>
      <c r="L1781" s="3">
        <v>3</v>
      </c>
      <c r="M1781" s="3">
        <v>3060</v>
      </c>
      <c r="N1781" s="3">
        <v>9.18</v>
      </c>
      <c r="O1781" s="3">
        <v>2</v>
      </c>
      <c r="P1781" s="3">
        <v>18.36</v>
      </c>
      <c r="Q1781" s="3">
        <v>3060</v>
      </c>
    </row>
    <row r="1782" spans="1:17" ht="24.95" hidden="1" customHeight="1" x14ac:dyDescent="0.25">
      <c r="A1782" s="3">
        <v>6</v>
      </c>
      <c r="B1782" s="3" t="s">
        <v>430</v>
      </c>
      <c r="C1782" s="3" t="s">
        <v>2227</v>
      </c>
      <c r="I1782" s="3">
        <v>14</v>
      </c>
      <c r="J1782" s="3">
        <v>936</v>
      </c>
      <c r="K1782" s="3">
        <v>1</v>
      </c>
      <c r="L1782" s="3">
        <v>936</v>
      </c>
      <c r="M1782" s="3">
        <v>4120</v>
      </c>
      <c r="N1782" s="3">
        <v>3856.32</v>
      </c>
      <c r="O1782" s="3">
        <v>1.21</v>
      </c>
      <c r="P1782" s="3">
        <v>4666.1472000000003</v>
      </c>
      <c r="Q1782" s="3">
        <v>4120</v>
      </c>
    </row>
    <row r="1783" spans="1:17" ht="24.95" hidden="1" customHeight="1" x14ac:dyDescent="0.25">
      <c r="A1783" s="3">
        <v>6</v>
      </c>
      <c r="B1783" s="3" t="s">
        <v>430</v>
      </c>
      <c r="C1783" s="3" t="s">
        <v>2228</v>
      </c>
      <c r="I1783" s="3">
        <v>14</v>
      </c>
      <c r="J1783" s="3">
        <v>27</v>
      </c>
      <c r="K1783" s="3">
        <v>1</v>
      </c>
      <c r="L1783" s="3">
        <v>27</v>
      </c>
      <c r="M1783" s="3">
        <v>3490</v>
      </c>
      <c r="N1783" s="3">
        <v>94.23</v>
      </c>
      <c r="O1783" s="3">
        <v>1.21</v>
      </c>
      <c r="P1783" s="3">
        <v>114.0183</v>
      </c>
      <c r="Q1783" s="3">
        <v>3490</v>
      </c>
    </row>
    <row r="1784" spans="1:17" ht="24.95" hidden="1" customHeight="1" x14ac:dyDescent="0.25">
      <c r="A1784" s="3">
        <v>6</v>
      </c>
      <c r="B1784" s="3" t="s">
        <v>430</v>
      </c>
      <c r="C1784" s="3" t="s">
        <v>2229</v>
      </c>
      <c r="I1784" s="3">
        <v>14</v>
      </c>
      <c r="J1784" s="3">
        <v>39</v>
      </c>
      <c r="K1784" s="3">
        <v>1</v>
      </c>
      <c r="L1784" s="3">
        <v>39</v>
      </c>
      <c r="M1784" s="3">
        <v>11700</v>
      </c>
      <c r="N1784" s="3">
        <v>456.3</v>
      </c>
      <c r="O1784" s="3">
        <v>1.21</v>
      </c>
      <c r="P1784" s="3">
        <v>552.12300000000005</v>
      </c>
      <c r="Q1784" s="3">
        <v>11700</v>
      </c>
    </row>
    <row r="1785" spans="1:17" ht="24.95" hidden="1" customHeight="1" x14ac:dyDescent="0.25">
      <c r="A1785" s="3">
        <v>6</v>
      </c>
      <c r="B1785" s="3" t="s">
        <v>430</v>
      </c>
      <c r="C1785" s="3" t="s">
        <v>2230</v>
      </c>
      <c r="I1785" s="3">
        <v>14</v>
      </c>
      <c r="J1785" s="3">
        <v>27</v>
      </c>
      <c r="K1785" s="3">
        <v>1</v>
      </c>
      <c r="L1785" s="3">
        <v>27</v>
      </c>
      <c r="M1785" s="3">
        <v>11700</v>
      </c>
      <c r="N1785" s="3">
        <v>315.89999999999998</v>
      </c>
      <c r="O1785" s="3">
        <v>1.21</v>
      </c>
      <c r="P1785" s="3">
        <v>382.23899999999998</v>
      </c>
      <c r="Q1785" s="3">
        <v>11700</v>
      </c>
    </row>
    <row r="1786" spans="1:17" ht="24.95" hidden="1" customHeight="1" x14ac:dyDescent="0.25">
      <c r="A1786" s="3">
        <v>6</v>
      </c>
      <c r="B1786" s="3" t="s">
        <v>430</v>
      </c>
      <c r="C1786" s="3" t="s">
        <v>2231</v>
      </c>
      <c r="I1786" s="3">
        <v>14</v>
      </c>
      <c r="J1786" s="3">
        <v>27</v>
      </c>
      <c r="K1786" s="3">
        <v>1</v>
      </c>
      <c r="L1786" s="3">
        <v>27</v>
      </c>
      <c r="M1786" s="3">
        <v>11700</v>
      </c>
      <c r="N1786" s="3">
        <v>315.89999999999998</v>
      </c>
      <c r="O1786" s="3">
        <v>1.21</v>
      </c>
      <c r="P1786" s="3">
        <v>382.23899999999998</v>
      </c>
      <c r="Q1786" s="3">
        <v>11700</v>
      </c>
    </row>
    <row r="1787" spans="1:17" ht="24.95" hidden="1" customHeight="1" x14ac:dyDescent="0.25">
      <c r="A1787" s="3">
        <v>6</v>
      </c>
      <c r="B1787" s="3" t="s">
        <v>430</v>
      </c>
      <c r="C1787" s="3" t="s">
        <v>2232</v>
      </c>
      <c r="I1787" s="3">
        <v>14</v>
      </c>
      <c r="J1787" s="3">
        <v>27</v>
      </c>
      <c r="K1787" s="3">
        <v>1</v>
      </c>
      <c r="L1787" s="3">
        <v>27</v>
      </c>
      <c r="M1787" s="3">
        <v>11700</v>
      </c>
      <c r="N1787" s="3">
        <v>315.89999999999998</v>
      </c>
      <c r="O1787" s="3">
        <v>1.21</v>
      </c>
      <c r="P1787" s="3">
        <v>382.23899999999998</v>
      </c>
      <c r="Q1787" s="3">
        <v>11700</v>
      </c>
    </row>
    <row r="1788" spans="1:17" ht="24.95" hidden="1" customHeight="1" x14ac:dyDescent="0.25">
      <c r="A1788" s="3">
        <v>6</v>
      </c>
      <c r="B1788" s="3" t="s">
        <v>430</v>
      </c>
      <c r="C1788" s="3" t="s">
        <v>2233</v>
      </c>
      <c r="I1788" s="3">
        <v>14</v>
      </c>
      <c r="J1788" s="3">
        <v>27</v>
      </c>
      <c r="K1788" s="3">
        <v>1</v>
      </c>
      <c r="L1788" s="3">
        <v>27</v>
      </c>
      <c r="M1788" s="3">
        <v>11700</v>
      </c>
      <c r="N1788" s="3">
        <v>315.89999999999998</v>
      </c>
      <c r="O1788" s="3">
        <v>1.21</v>
      </c>
      <c r="P1788" s="3">
        <v>382.23899999999998</v>
      </c>
      <c r="Q1788" s="3">
        <v>11700</v>
      </c>
    </row>
    <row r="1789" spans="1:17" ht="24.95" hidden="1" customHeight="1" x14ac:dyDescent="0.25">
      <c r="A1789" s="3">
        <v>6</v>
      </c>
      <c r="B1789" s="3" t="s">
        <v>430</v>
      </c>
      <c r="C1789" s="3" t="s">
        <v>2234</v>
      </c>
      <c r="I1789" s="3">
        <v>14</v>
      </c>
      <c r="J1789" s="3">
        <v>27</v>
      </c>
      <c r="K1789" s="3">
        <v>1</v>
      </c>
      <c r="L1789" s="3">
        <v>27</v>
      </c>
      <c r="M1789" s="3">
        <v>11700</v>
      </c>
      <c r="N1789" s="3">
        <v>315.89999999999998</v>
      </c>
      <c r="O1789" s="3">
        <v>1.21</v>
      </c>
      <c r="P1789" s="3">
        <v>382.23899999999998</v>
      </c>
      <c r="Q1789" s="3">
        <v>11700</v>
      </c>
    </row>
    <row r="1790" spans="1:17" ht="24.95" hidden="1" customHeight="1" x14ac:dyDescent="0.25">
      <c r="A1790" s="3">
        <v>6</v>
      </c>
      <c r="B1790" s="3" t="s">
        <v>430</v>
      </c>
      <c r="C1790" s="3" t="s">
        <v>2235</v>
      </c>
      <c r="I1790" s="3">
        <v>14</v>
      </c>
      <c r="J1790" s="3">
        <v>27</v>
      </c>
      <c r="K1790" s="3">
        <v>1</v>
      </c>
      <c r="L1790" s="3">
        <v>27</v>
      </c>
      <c r="M1790" s="3">
        <v>4420</v>
      </c>
      <c r="N1790" s="3">
        <v>119.34</v>
      </c>
      <c r="O1790" s="3">
        <v>1.21</v>
      </c>
      <c r="P1790" s="3">
        <v>144.4014</v>
      </c>
      <c r="Q1790" s="3">
        <v>4420</v>
      </c>
    </row>
    <row r="1791" spans="1:17" ht="24.95" hidden="1" customHeight="1" x14ac:dyDescent="0.25">
      <c r="A1791" s="3">
        <v>6</v>
      </c>
      <c r="B1791" s="3" t="s">
        <v>430</v>
      </c>
      <c r="C1791" s="3" t="s">
        <v>2236</v>
      </c>
      <c r="I1791" s="3">
        <v>14</v>
      </c>
      <c r="J1791" s="3">
        <v>33</v>
      </c>
      <c r="K1791" s="3">
        <v>1</v>
      </c>
      <c r="L1791" s="3">
        <v>33</v>
      </c>
      <c r="M1791" s="3">
        <v>11700</v>
      </c>
      <c r="N1791" s="3">
        <v>386.1</v>
      </c>
      <c r="O1791" s="3">
        <v>1.21</v>
      </c>
      <c r="P1791" s="3">
        <v>467.18100000000004</v>
      </c>
      <c r="Q1791" s="3">
        <v>11700</v>
      </c>
    </row>
    <row r="1792" spans="1:17" ht="24.95" hidden="1" customHeight="1" x14ac:dyDescent="0.25">
      <c r="A1792" s="3">
        <v>6</v>
      </c>
      <c r="B1792" s="3" t="s">
        <v>430</v>
      </c>
      <c r="C1792" s="3" t="s">
        <v>2228</v>
      </c>
      <c r="I1792" s="3">
        <v>14</v>
      </c>
      <c r="J1792" s="3">
        <v>39</v>
      </c>
      <c r="K1792" s="3">
        <v>1</v>
      </c>
      <c r="L1792" s="3">
        <v>39</v>
      </c>
      <c r="M1792" s="3">
        <v>11700</v>
      </c>
      <c r="N1792" s="3">
        <v>456.3</v>
      </c>
      <c r="O1792" s="3">
        <v>1.21</v>
      </c>
      <c r="P1792" s="3">
        <v>552.12300000000005</v>
      </c>
      <c r="Q1792" s="3">
        <v>11700</v>
      </c>
    </row>
    <row r="1793" spans="1:17" ht="24.95" hidden="1" customHeight="1" x14ac:dyDescent="0.25">
      <c r="A1793" s="3">
        <v>6</v>
      </c>
      <c r="B1793" s="3" t="s">
        <v>430</v>
      </c>
      <c r="C1793" s="3" t="s">
        <v>2237</v>
      </c>
      <c r="I1793" s="3">
        <v>14</v>
      </c>
      <c r="J1793" s="3">
        <v>39</v>
      </c>
      <c r="K1793" s="3">
        <v>1</v>
      </c>
      <c r="L1793" s="3">
        <v>39</v>
      </c>
      <c r="M1793" s="3">
        <v>11700</v>
      </c>
      <c r="N1793" s="3">
        <v>456.3</v>
      </c>
      <c r="O1793" s="3">
        <v>1.21</v>
      </c>
      <c r="P1793" s="3">
        <v>552.12300000000005</v>
      </c>
      <c r="Q1793" s="3">
        <v>11700</v>
      </c>
    </row>
    <row r="1794" spans="1:17" ht="24.95" hidden="1" customHeight="1" x14ac:dyDescent="0.25">
      <c r="A1794" s="3">
        <v>6</v>
      </c>
      <c r="B1794" s="3" t="s">
        <v>430</v>
      </c>
      <c r="C1794" s="3" t="s">
        <v>2238</v>
      </c>
      <c r="I1794" s="3">
        <v>14</v>
      </c>
      <c r="J1794" s="3">
        <v>39</v>
      </c>
      <c r="K1794" s="3">
        <v>1</v>
      </c>
      <c r="L1794" s="3">
        <v>39</v>
      </c>
      <c r="M1794" s="3">
        <v>11700</v>
      </c>
      <c r="N1794" s="3">
        <v>456.3</v>
      </c>
      <c r="O1794" s="3">
        <v>1.21</v>
      </c>
      <c r="P1794" s="3">
        <v>552.12300000000005</v>
      </c>
      <c r="Q1794" s="3">
        <v>11700</v>
      </c>
    </row>
    <row r="1795" spans="1:17" ht="24.95" hidden="1" customHeight="1" x14ac:dyDescent="0.25">
      <c r="A1795" s="3">
        <v>6</v>
      </c>
      <c r="B1795" s="3" t="s">
        <v>430</v>
      </c>
      <c r="C1795" s="3" t="s">
        <v>2239</v>
      </c>
      <c r="I1795" s="3">
        <v>14</v>
      </c>
      <c r="J1795" s="3">
        <v>27</v>
      </c>
      <c r="K1795" s="3">
        <v>1</v>
      </c>
      <c r="L1795" s="3">
        <v>27</v>
      </c>
      <c r="M1795" s="3">
        <v>11700</v>
      </c>
      <c r="N1795" s="3">
        <v>315.89999999999998</v>
      </c>
      <c r="O1795" s="3">
        <v>1.21</v>
      </c>
      <c r="P1795" s="3">
        <v>382.23899999999998</v>
      </c>
      <c r="Q1795" s="3">
        <v>11700</v>
      </c>
    </row>
    <row r="1796" spans="1:17" ht="24.95" hidden="1" customHeight="1" x14ac:dyDescent="0.25">
      <c r="A1796" s="3">
        <v>6</v>
      </c>
      <c r="B1796" s="3" t="s">
        <v>430</v>
      </c>
      <c r="C1796" s="3" t="s">
        <v>2240</v>
      </c>
      <c r="I1796" s="3">
        <v>14</v>
      </c>
      <c r="J1796" s="3">
        <v>27</v>
      </c>
      <c r="K1796" s="3">
        <v>1</v>
      </c>
      <c r="L1796" s="3">
        <v>27</v>
      </c>
      <c r="M1796" s="3">
        <v>11700</v>
      </c>
      <c r="N1796" s="3">
        <v>315.89999999999998</v>
      </c>
      <c r="O1796" s="3">
        <v>1.21</v>
      </c>
      <c r="P1796" s="3">
        <v>382.23899999999998</v>
      </c>
      <c r="Q1796" s="3">
        <v>11700</v>
      </c>
    </row>
    <row r="1797" spans="1:17" ht="24.95" hidden="1" customHeight="1" x14ac:dyDescent="0.25">
      <c r="A1797" s="3">
        <v>6</v>
      </c>
      <c r="B1797" s="3" t="s">
        <v>430</v>
      </c>
      <c r="C1797" s="3" t="s">
        <v>2241</v>
      </c>
      <c r="I1797" s="3">
        <v>14</v>
      </c>
      <c r="J1797" s="3">
        <v>27</v>
      </c>
      <c r="K1797" s="3">
        <v>1</v>
      </c>
      <c r="L1797" s="3">
        <v>27</v>
      </c>
      <c r="M1797" s="3">
        <v>7280</v>
      </c>
      <c r="N1797" s="3">
        <v>196.56</v>
      </c>
      <c r="O1797" s="3">
        <v>1.21</v>
      </c>
      <c r="P1797" s="3">
        <v>237.83760000000001</v>
      </c>
      <c r="Q1797" s="3">
        <v>7280</v>
      </c>
    </row>
    <row r="1798" spans="1:17" ht="24.95" hidden="1" customHeight="1" x14ac:dyDescent="0.25">
      <c r="A1798" s="3">
        <v>6</v>
      </c>
      <c r="B1798" s="3" t="s">
        <v>430</v>
      </c>
      <c r="C1798" s="3" t="s">
        <v>2242</v>
      </c>
      <c r="I1798" s="3">
        <v>14</v>
      </c>
      <c r="J1798" s="3">
        <v>6</v>
      </c>
      <c r="K1798" s="3">
        <v>1</v>
      </c>
      <c r="L1798" s="3">
        <v>6</v>
      </c>
      <c r="M1798" s="3">
        <v>7920</v>
      </c>
      <c r="N1798" s="3">
        <v>47.52</v>
      </c>
      <c r="O1798" s="3">
        <v>1.21</v>
      </c>
      <c r="P1798" s="3">
        <v>57.499200000000002</v>
      </c>
      <c r="Q1798" s="3">
        <v>7920</v>
      </c>
    </row>
    <row r="1799" spans="1:17" ht="24.95" hidden="1" customHeight="1" x14ac:dyDescent="0.25">
      <c r="A1799" s="3">
        <v>6</v>
      </c>
      <c r="B1799" s="3" t="s">
        <v>430</v>
      </c>
      <c r="C1799" s="3" t="s">
        <v>2243</v>
      </c>
      <c r="I1799" s="3">
        <v>14</v>
      </c>
      <c r="J1799" s="3">
        <v>6</v>
      </c>
      <c r="K1799" s="3">
        <v>1</v>
      </c>
      <c r="L1799" s="3">
        <v>6</v>
      </c>
      <c r="M1799" s="3">
        <v>11700</v>
      </c>
      <c r="N1799" s="3">
        <v>70.2</v>
      </c>
      <c r="O1799" s="3">
        <v>1.21</v>
      </c>
      <c r="P1799" s="3">
        <v>84.942000000000007</v>
      </c>
      <c r="Q1799" s="3">
        <v>11700</v>
      </c>
    </row>
    <row r="1800" spans="1:17" ht="24.95" hidden="1" customHeight="1" x14ac:dyDescent="0.25">
      <c r="A1800" s="3">
        <v>6</v>
      </c>
      <c r="B1800" s="3" t="s">
        <v>430</v>
      </c>
      <c r="C1800" s="3" t="s">
        <v>2244</v>
      </c>
      <c r="I1800" s="3">
        <v>14</v>
      </c>
      <c r="J1800" s="3">
        <v>6</v>
      </c>
      <c r="K1800" s="3">
        <v>1</v>
      </c>
      <c r="L1800" s="3">
        <v>6</v>
      </c>
      <c r="M1800" s="3">
        <v>4770</v>
      </c>
      <c r="N1800" s="3">
        <v>28.62</v>
      </c>
      <c r="O1800" s="3">
        <v>1.21</v>
      </c>
      <c r="P1800" s="3">
        <v>34.630200000000002</v>
      </c>
      <c r="Q1800" s="3">
        <v>4770</v>
      </c>
    </row>
    <row r="1801" spans="1:17" ht="24.95" hidden="1" customHeight="1" x14ac:dyDescent="0.25">
      <c r="A1801" s="3">
        <v>6</v>
      </c>
      <c r="B1801" s="3" t="s">
        <v>430</v>
      </c>
      <c r="C1801" s="3" t="s">
        <v>2245</v>
      </c>
      <c r="I1801" s="3">
        <v>14</v>
      </c>
      <c r="J1801" s="3">
        <v>12</v>
      </c>
      <c r="K1801" s="3">
        <v>1</v>
      </c>
      <c r="L1801" s="3">
        <v>12</v>
      </c>
      <c r="M1801" s="3">
        <v>10230</v>
      </c>
      <c r="N1801" s="3">
        <v>122.76</v>
      </c>
      <c r="O1801" s="3">
        <v>1.21</v>
      </c>
      <c r="P1801" s="3">
        <v>148.53960000000001</v>
      </c>
      <c r="Q1801" s="3">
        <v>10230</v>
      </c>
    </row>
    <row r="1802" spans="1:17" ht="24.95" hidden="1" customHeight="1" x14ac:dyDescent="0.25">
      <c r="A1802" s="3">
        <v>6</v>
      </c>
      <c r="B1802" s="3" t="s">
        <v>430</v>
      </c>
      <c r="C1802" s="3" t="s">
        <v>2229</v>
      </c>
      <c r="I1802" s="3">
        <v>14</v>
      </c>
      <c r="J1802" s="3">
        <v>6</v>
      </c>
      <c r="K1802" s="3">
        <v>1</v>
      </c>
      <c r="L1802" s="3">
        <v>6</v>
      </c>
      <c r="M1802" s="3">
        <v>3780</v>
      </c>
      <c r="N1802" s="3">
        <v>22.68</v>
      </c>
      <c r="O1802" s="3">
        <v>1.21</v>
      </c>
      <c r="P1802" s="3">
        <v>27.442799999999998</v>
      </c>
      <c r="Q1802" s="3">
        <v>3780</v>
      </c>
    </row>
    <row r="1803" spans="1:17" ht="24.95" hidden="1" customHeight="1" x14ac:dyDescent="0.25">
      <c r="A1803" s="3">
        <v>6</v>
      </c>
      <c r="B1803" s="3" t="s">
        <v>430</v>
      </c>
      <c r="C1803" s="3" t="s">
        <v>2246</v>
      </c>
      <c r="I1803" s="3">
        <v>32</v>
      </c>
      <c r="J1803" s="3">
        <v>11</v>
      </c>
      <c r="K1803" s="3">
        <v>1</v>
      </c>
      <c r="L1803" s="3">
        <v>11</v>
      </c>
      <c r="M1803" s="3">
        <v>3240</v>
      </c>
      <c r="N1803" s="3">
        <v>35.64</v>
      </c>
      <c r="O1803" s="3">
        <v>6.31</v>
      </c>
      <c r="P1803" s="3">
        <v>224.88839999999999</v>
      </c>
      <c r="Q1803" s="3">
        <v>3240</v>
      </c>
    </row>
    <row r="1804" spans="1:17" ht="24.95" hidden="1" customHeight="1" x14ac:dyDescent="0.25">
      <c r="A1804" s="3">
        <v>6</v>
      </c>
      <c r="B1804" s="3" t="s">
        <v>430</v>
      </c>
      <c r="C1804" s="3" t="s">
        <v>2247</v>
      </c>
      <c r="I1804" s="3">
        <v>32</v>
      </c>
      <c r="J1804" s="3">
        <v>48</v>
      </c>
      <c r="K1804" s="3">
        <v>1</v>
      </c>
      <c r="L1804" s="3">
        <v>48</v>
      </c>
      <c r="M1804" s="3">
        <v>3840</v>
      </c>
      <c r="N1804" s="3">
        <v>184.32</v>
      </c>
      <c r="O1804" s="3">
        <v>6.31</v>
      </c>
      <c r="P1804" s="3">
        <v>1163.0591999999999</v>
      </c>
      <c r="Q1804" s="3">
        <v>3840</v>
      </c>
    </row>
    <row r="1805" spans="1:17" ht="24.95" hidden="1" customHeight="1" x14ac:dyDescent="0.25">
      <c r="A1805" s="3">
        <v>6</v>
      </c>
      <c r="B1805" s="3" t="s">
        <v>430</v>
      </c>
      <c r="C1805" s="3" t="s">
        <v>2248</v>
      </c>
      <c r="I1805" s="3">
        <v>20</v>
      </c>
      <c r="J1805" s="3">
        <v>133</v>
      </c>
      <c r="K1805" s="3">
        <v>1</v>
      </c>
      <c r="L1805" s="3">
        <v>133</v>
      </c>
      <c r="M1805" s="3">
        <v>8020</v>
      </c>
      <c r="N1805" s="3">
        <v>1066.6600000000001</v>
      </c>
      <c r="O1805" s="3">
        <v>2.4700000000000002</v>
      </c>
      <c r="P1805" s="3">
        <v>2634.6502000000005</v>
      </c>
      <c r="Q1805" s="3">
        <v>8020</v>
      </c>
    </row>
    <row r="1806" spans="1:17" ht="24.95" hidden="1" customHeight="1" x14ac:dyDescent="0.25">
      <c r="A1806" s="3">
        <v>6</v>
      </c>
      <c r="B1806" s="3" t="s">
        <v>430</v>
      </c>
      <c r="C1806" s="3" t="s">
        <v>2249</v>
      </c>
      <c r="I1806" s="3">
        <v>32</v>
      </c>
      <c r="J1806" s="3">
        <v>6</v>
      </c>
      <c r="K1806" s="3">
        <v>1</v>
      </c>
      <c r="L1806" s="3">
        <v>6</v>
      </c>
      <c r="M1806" s="3">
        <v>9000</v>
      </c>
      <c r="N1806" s="3">
        <v>54</v>
      </c>
      <c r="O1806" s="3">
        <v>6.31</v>
      </c>
      <c r="P1806" s="3">
        <v>340.73999999999995</v>
      </c>
      <c r="Q1806" s="3">
        <v>9000</v>
      </c>
    </row>
    <row r="1807" spans="1:17" ht="24.95" hidden="1" customHeight="1" x14ac:dyDescent="0.25">
      <c r="A1807" s="3">
        <v>6</v>
      </c>
      <c r="B1807" s="3" t="s">
        <v>430</v>
      </c>
      <c r="C1807" s="3" t="s">
        <v>2250</v>
      </c>
      <c r="I1807" s="3">
        <v>20</v>
      </c>
      <c r="J1807" s="3">
        <v>133</v>
      </c>
      <c r="K1807" s="3">
        <v>1</v>
      </c>
      <c r="L1807" s="3">
        <v>133</v>
      </c>
      <c r="M1807" s="3">
        <v>5040</v>
      </c>
      <c r="N1807" s="3">
        <v>670.32</v>
      </c>
      <c r="O1807" s="3">
        <v>2.4700000000000002</v>
      </c>
      <c r="P1807" s="3">
        <v>1655.6904000000002</v>
      </c>
      <c r="Q1807" s="3">
        <v>5040</v>
      </c>
    </row>
    <row r="1808" spans="1:17" ht="24.95" hidden="1" customHeight="1" x14ac:dyDescent="0.25">
      <c r="A1808" s="3">
        <v>6</v>
      </c>
      <c r="B1808" s="3" t="s">
        <v>430</v>
      </c>
      <c r="C1808" s="3" t="s">
        <v>2251</v>
      </c>
      <c r="I1808" s="3">
        <v>14</v>
      </c>
      <c r="J1808" s="3">
        <v>408</v>
      </c>
      <c r="K1808" s="3">
        <v>1</v>
      </c>
      <c r="L1808" s="3">
        <v>408</v>
      </c>
      <c r="M1808" s="3">
        <v>3520</v>
      </c>
      <c r="N1808" s="3">
        <v>1436.16</v>
      </c>
      <c r="O1808" s="3">
        <v>1.21</v>
      </c>
      <c r="P1808" s="3">
        <v>1737.7536</v>
      </c>
      <c r="Q1808" s="3">
        <v>3520</v>
      </c>
    </row>
    <row r="1809" spans="1:17" ht="24.95" hidden="1" customHeight="1" x14ac:dyDescent="0.25">
      <c r="A1809" s="3">
        <v>6</v>
      </c>
      <c r="B1809" s="3" t="s">
        <v>431</v>
      </c>
      <c r="C1809" s="3" t="s">
        <v>1758</v>
      </c>
      <c r="I1809" s="3">
        <v>32</v>
      </c>
      <c r="J1809" s="3">
        <v>11</v>
      </c>
      <c r="K1809" s="3">
        <v>1</v>
      </c>
      <c r="L1809" s="3">
        <v>11</v>
      </c>
      <c r="M1809" s="3">
        <v>11700</v>
      </c>
      <c r="N1809" s="3">
        <v>128.69999999999999</v>
      </c>
      <c r="O1809" s="3">
        <v>6.31</v>
      </c>
      <c r="P1809" s="3">
        <v>812.09699999999987</v>
      </c>
      <c r="Q1809" s="3">
        <v>11700</v>
      </c>
    </row>
    <row r="1810" spans="1:17" ht="24.95" hidden="1" customHeight="1" x14ac:dyDescent="0.25">
      <c r="A1810" s="3">
        <v>6</v>
      </c>
      <c r="B1810" s="3" t="s">
        <v>431</v>
      </c>
      <c r="C1810" s="3" t="s">
        <v>1759</v>
      </c>
      <c r="I1810" s="3">
        <v>32</v>
      </c>
      <c r="J1810" s="3">
        <v>11</v>
      </c>
      <c r="K1810" s="3">
        <v>1</v>
      </c>
      <c r="L1810" s="3">
        <v>11</v>
      </c>
      <c r="M1810" s="3">
        <v>11700</v>
      </c>
      <c r="N1810" s="3">
        <v>128.69999999999999</v>
      </c>
      <c r="O1810" s="3">
        <v>6.31</v>
      </c>
      <c r="P1810" s="3">
        <v>812.09699999999987</v>
      </c>
      <c r="Q1810" s="3">
        <v>11700</v>
      </c>
    </row>
    <row r="1811" spans="1:17" ht="24.95" hidden="1" customHeight="1" x14ac:dyDescent="0.25">
      <c r="A1811" s="3">
        <v>6</v>
      </c>
      <c r="B1811" s="3" t="s">
        <v>431</v>
      </c>
      <c r="C1811" s="3" t="s">
        <v>2252</v>
      </c>
      <c r="I1811" s="3">
        <v>32</v>
      </c>
      <c r="J1811" s="3">
        <v>11</v>
      </c>
      <c r="K1811" s="3">
        <v>1</v>
      </c>
      <c r="L1811" s="3">
        <v>11</v>
      </c>
      <c r="M1811" s="3">
        <v>9000</v>
      </c>
      <c r="N1811" s="3">
        <v>99</v>
      </c>
      <c r="O1811" s="3">
        <v>6.31</v>
      </c>
      <c r="P1811" s="3">
        <v>624.68999999999994</v>
      </c>
      <c r="Q1811" s="3">
        <v>9000</v>
      </c>
    </row>
    <row r="1812" spans="1:17" ht="24.95" hidden="1" customHeight="1" x14ac:dyDescent="0.25">
      <c r="A1812" s="3">
        <v>6</v>
      </c>
      <c r="B1812" s="3" t="s">
        <v>431</v>
      </c>
      <c r="C1812" s="3" t="s">
        <v>2253</v>
      </c>
      <c r="I1812" s="3">
        <v>32</v>
      </c>
      <c r="J1812" s="3">
        <v>11</v>
      </c>
      <c r="K1812" s="3">
        <v>1</v>
      </c>
      <c r="L1812" s="3">
        <v>11</v>
      </c>
      <c r="M1812" s="3">
        <v>5850</v>
      </c>
      <c r="N1812" s="3">
        <v>64.349999999999994</v>
      </c>
      <c r="O1812" s="3">
        <v>6.31</v>
      </c>
      <c r="P1812" s="3">
        <v>406.04849999999993</v>
      </c>
      <c r="Q1812" s="3">
        <v>5850</v>
      </c>
    </row>
    <row r="1813" spans="1:17" ht="24.95" hidden="1" customHeight="1" x14ac:dyDescent="0.25">
      <c r="A1813" s="3">
        <v>6</v>
      </c>
      <c r="B1813" s="3" t="s">
        <v>431</v>
      </c>
      <c r="C1813" s="3" t="s">
        <v>2254</v>
      </c>
      <c r="I1813" s="3">
        <v>32</v>
      </c>
      <c r="J1813" s="3">
        <v>10</v>
      </c>
      <c r="K1813" s="3">
        <v>1</v>
      </c>
      <c r="L1813" s="3">
        <v>10</v>
      </c>
      <c r="M1813" s="3">
        <v>9920</v>
      </c>
      <c r="N1813" s="3">
        <v>99.2</v>
      </c>
      <c r="O1813" s="3">
        <v>6.31</v>
      </c>
      <c r="P1813" s="3">
        <v>625.952</v>
      </c>
      <c r="Q1813" s="3">
        <v>9920</v>
      </c>
    </row>
    <row r="1814" spans="1:17" ht="24.95" hidden="1" customHeight="1" x14ac:dyDescent="0.25">
      <c r="A1814" s="3">
        <v>6</v>
      </c>
      <c r="B1814" s="3" t="s">
        <v>431</v>
      </c>
      <c r="C1814" s="3" t="s">
        <v>2255</v>
      </c>
      <c r="I1814" s="3">
        <v>32</v>
      </c>
      <c r="J1814" s="3">
        <v>10</v>
      </c>
      <c r="K1814" s="3">
        <v>1</v>
      </c>
      <c r="L1814" s="3">
        <v>10</v>
      </c>
      <c r="M1814" s="3">
        <v>11700</v>
      </c>
      <c r="N1814" s="3">
        <v>117</v>
      </c>
      <c r="O1814" s="3">
        <v>6.31</v>
      </c>
      <c r="P1814" s="3">
        <v>738.27</v>
      </c>
      <c r="Q1814" s="3">
        <v>11700</v>
      </c>
    </row>
    <row r="1815" spans="1:17" ht="24.95" hidden="1" customHeight="1" x14ac:dyDescent="0.25">
      <c r="A1815" s="3">
        <v>6</v>
      </c>
      <c r="B1815" s="3" t="s">
        <v>431</v>
      </c>
      <c r="C1815" s="3" t="s">
        <v>1758</v>
      </c>
      <c r="I1815" s="3">
        <v>32</v>
      </c>
      <c r="J1815" s="3">
        <v>10</v>
      </c>
      <c r="K1815" s="3">
        <v>1</v>
      </c>
      <c r="L1815" s="3">
        <v>10</v>
      </c>
      <c r="M1815" s="3">
        <v>7275</v>
      </c>
      <c r="N1815" s="3">
        <v>72.75</v>
      </c>
      <c r="O1815" s="3">
        <v>6.31</v>
      </c>
      <c r="P1815" s="3">
        <v>459.05249999999995</v>
      </c>
      <c r="Q1815" s="3">
        <v>7275</v>
      </c>
    </row>
    <row r="1816" spans="1:17" ht="24.95" hidden="1" customHeight="1" x14ac:dyDescent="0.25">
      <c r="A1816" s="3">
        <v>6</v>
      </c>
      <c r="B1816" s="3" t="s">
        <v>431</v>
      </c>
      <c r="C1816" s="3" t="s">
        <v>2256</v>
      </c>
      <c r="I1816" s="3">
        <v>32</v>
      </c>
      <c r="J1816" s="3">
        <v>10</v>
      </c>
      <c r="K1816" s="3">
        <v>1</v>
      </c>
      <c r="L1816" s="3">
        <v>10</v>
      </c>
      <c r="M1816" s="3">
        <v>11700</v>
      </c>
      <c r="N1816" s="3">
        <v>117</v>
      </c>
      <c r="O1816" s="3">
        <v>6.31</v>
      </c>
      <c r="P1816" s="3">
        <v>738.27</v>
      </c>
      <c r="Q1816" s="3">
        <v>11700</v>
      </c>
    </row>
    <row r="1817" spans="1:17" ht="24.95" hidden="1" customHeight="1" x14ac:dyDescent="0.25">
      <c r="A1817" s="3">
        <v>6</v>
      </c>
      <c r="B1817" s="3" t="s">
        <v>431</v>
      </c>
      <c r="C1817" s="3" t="s">
        <v>2257</v>
      </c>
      <c r="I1817" s="3">
        <v>32</v>
      </c>
      <c r="J1817" s="3">
        <v>10</v>
      </c>
      <c r="K1817" s="3">
        <v>1</v>
      </c>
      <c r="L1817" s="3">
        <v>10</v>
      </c>
      <c r="M1817" s="3">
        <v>11700</v>
      </c>
      <c r="N1817" s="3">
        <v>117</v>
      </c>
      <c r="O1817" s="3">
        <v>6.31</v>
      </c>
      <c r="P1817" s="3">
        <v>738.27</v>
      </c>
      <c r="Q1817" s="3">
        <v>11700</v>
      </c>
    </row>
    <row r="1818" spans="1:17" ht="24.95" hidden="1" customHeight="1" x14ac:dyDescent="0.25">
      <c r="A1818" s="3">
        <v>6</v>
      </c>
      <c r="B1818" s="3" t="s">
        <v>431</v>
      </c>
      <c r="C1818" s="3" t="s">
        <v>2258</v>
      </c>
      <c r="I1818" s="3">
        <v>32</v>
      </c>
      <c r="J1818" s="3">
        <v>10</v>
      </c>
      <c r="K1818" s="3">
        <v>1</v>
      </c>
      <c r="L1818" s="3">
        <v>10</v>
      </c>
      <c r="M1818" s="3">
        <v>11525</v>
      </c>
      <c r="N1818" s="3">
        <v>115.25</v>
      </c>
      <c r="O1818" s="3">
        <v>6.31</v>
      </c>
      <c r="P1818" s="3">
        <v>727.22749999999996</v>
      </c>
      <c r="Q1818" s="3">
        <v>11525</v>
      </c>
    </row>
    <row r="1819" spans="1:17" ht="24.95" hidden="1" customHeight="1" x14ac:dyDescent="0.25">
      <c r="A1819" s="3">
        <v>6</v>
      </c>
      <c r="B1819" s="3" t="s">
        <v>431</v>
      </c>
      <c r="C1819" s="3" t="s">
        <v>2259</v>
      </c>
      <c r="I1819" s="3">
        <v>32</v>
      </c>
      <c r="J1819" s="3">
        <v>11</v>
      </c>
      <c r="K1819" s="3">
        <v>1</v>
      </c>
      <c r="L1819" s="3">
        <v>11</v>
      </c>
      <c r="M1819" s="3">
        <v>11700</v>
      </c>
      <c r="N1819" s="3">
        <v>128.69999999999999</v>
      </c>
      <c r="O1819" s="3">
        <v>6.31</v>
      </c>
      <c r="P1819" s="3">
        <v>812.09699999999987</v>
      </c>
      <c r="Q1819" s="3">
        <v>11700</v>
      </c>
    </row>
    <row r="1820" spans="1:17" ht="24.95" hidden="1" customHeight="1" x14ac:dyDescent="0.25">
      <c r="A1820" s="3">
        <v>6</v>
      </c>
      <c r="B1820" s="3" t="s">
        <v>431</v>
      </c>
      <c r="C1820" s="3" t="s">
        <v>2260</v>
      </c>
      <c r="I1820" s="3">
        <v>32</v>
      </c>
      <c r="J1820" s="3">
        <v>11</v>
      </c>
      <c r="K1820" s="3">
        <v>1</v>
      </c>
      <c r="L1820" s="3">
        <v>11</v>
      </c>
      <c r="M1820" s="3">
        <v>7600</v>
      </c>
      <c r="N1820" s="3">
        <v>83.6</v>
      </c>
      <c r="O1820" s="3">
        <v>6.31</v>
      </c>
      <c r="P1820" s="3">
        <v>527.51599999999996</v>
      </c>
      <c r="Q1820" s="3">
        <v>7600</v>
      </c>
    </row>
    <row r="1821" spans="1:17" ht="24.95" hidden="1" customHeight="1" x14ac:dyDescent="0.25">
      <c r="A1821" s="3">
        <v>6</v>
      </c>
      <c r="B1821" s="3" t="s">
        <v>431</v>
      </c>
      <c r="C1821" s="3" t="s">
        <v>2261</v>
      </c>
      <c r="I1821" s="3">
        <v>32</v>
      </c>
      <c r="J1821" s="3">
        <v>11</v>
      </c>
      <c r="K1821" s="3">
        <v>1</v>
      </c>
      <c r="L1821" s="3">
        <v>11</v>
      </c>
      <c r="M1821" s="3">
        <v>7710</v>
      </c>
      <c r="N1821" s="3">
        <v>84.81</v>
      </c>
      <c r="O1821" s="3">
        <v>6.31</v>
      </c>
      <c r="P1821" s="3">
        <v>535.15109999999993</v>
      </c>
      <c r="Q1821" s="3">
        <v>7710</v>
      </c>
    </row>
    <row r="1822" spans="1:17" ht="24.95" hidden="1" customHeight="1" x14ac:dyDescent="0.25">
      <c r="A1822" s="3">
        <v>6</v>
      </c>
      <c r="B1822" s="3" t="s">
        <v>431</v>
      </c>
      <c r="C1822" s="3" t="s">
        <v>2262</v>
      </c>
      <c r="I1822" s="3">
        <v>32</v>
      </c>
      <c r="J1822" s="3">
        <v>10</v>
      </c>
      <c r="K1822" s="3">
        <v>1</v>
      </c>
      <c r="L1822" s="3">
        <v>10</v>
      </c>
      <c r="M1822" s="3">
        <v>11700</v>
      </c>
      <c r="N1822" s="3">
        <v>117</v>
      </c>
      <c r="O1822" s="3">
        <v>6.31</v>
      </c>
      <c r="P1822" s="3">
        <v>738.27</v>
      </c>
      <c r="Q1822" s="3">
        <v>11700</v>
      </c>
    </row>
    <row r="1823" spans="1:17" ht="24.95" hidden="1" customHeight="1" x14ac:dyDescent="0.25">
      <c r="A1823" s="3">
        <v>6</v>
      </c>
      <c r="B1823" s="3" t="s">
        <v>431</v>
      </c>
      <c r="C1823" s="3" t="s">
        <v>2263</v>
      </c>
      <c r="I1823" s="3">
        <v>32</v>
      </c>
      <c r="J1823" s="3">
        <v>10</v>
      </c>
      <c r="K1823" s="3">
        <v>1</v>
      </c>
      <c r="L1823" s="3">
        <v>10</v>
      </c>
      <c r="M1823" s="3">
        <v>9000</v>
      </c>
      <c r="N1823" s="3">
        <v>90</v>
      </c>
      <c r="O1823" s="3">
        <v>6.31</v>
      </c>
      <c r="P1823" s="3">
        <v>567.9</v>
      </c>
      <c r="Q1823" s="3">
        <v>9000</v>
      </c>
    </row>
    <row r="1824" spans="1:17" ht="24.95" hidden="1" customHeight="1" x14ac:dyDescent="0.25">
      <c r="A1824" s="3">
        <v>6</v>
      </c>
      <c r="B1824" s="3" t="s">
        <v>431</v>
      </c>
      <c r="C1824" s="3" t="s">
        <v>2264</v>
      </c>
      <c r="I1824" s="3">
        <v>32</v>
      </c>
      <c r="J1824" s="3">
        <v>11</v>
      </c>
      <c r="K1824" s="3">
        <v>1</v>
      </c>
      <c r="L1824" s="3">
        <v>11</v>
      </c>
      <c r="M1824" s="3">
        <v>11700</v>
      </c>
      <c r="N1824" s="3">
        <v>128.69999999999999</v>
      </c>
      <c r="O1824" s="3">
        <v>6.31</v>
      </c>
      <c r="P1824" s="3">
        <v>812.09699999999987</v>
      </c>
      <c r="Q1824" s="3">
        <v>11700</v>
      </c>
    </row>
    <row r="1825" spans="1:17" ht="24.95" hidden="1" customHeight="1" x14ac:dyDescent="0.25">
      <c r="A1825" s="3">
        <v>6</v>
      </c>
      <c r="B1825" s="3" t="s">
        <v>431</v>
      </c>
      <c r="C1825" s="3" t="s">
        <v>2265</v>
      </c>
      <c r="I1825" s="3">
        <v>32</v>
      </c>
      <c r="J1825" s="3">
        <v>11</v>
      </c>
      <c r="K1825" s="3">
        <v>1</v>
      </c>
      <c r="L1825" s="3">
        <v>11</v>
      </c>
      <c r="M1825" s="3">
        <v>7150</v>
      </c>
      <c r="N1825" s="3">
        <v>78.650000000000006</v>
      </c>
      <c r="O1825" s="3">
        <v>6.31</v>
      </c>
      <c r="P1825" s="3">
        <v>496.28149999999999</v>
      </c>
      <c r="Q1825" s="3">
        <v>7150</v>
      </c>
    </row>
    <row r="1826" spans="1:17" ht="24.95" hidden="1" customHeight="1" x14ac:dyDescent="0.25">
      <c r="A1826" s="3">
        <v>6</v>
      </c>
      <c r="B1826" s="3" t="s">
        <v>431</v>
      </c>
      <c r="C1826" s="3" t="s">
        <v>1763</v>
      </c>
      <c r="I1826" s="3">
        <v>32</v>
      </c>
      <c r="J1826" s="3">
        <v>11</v>
      </c>
      <c r="K1826" s="3">
        <v>1</v>
      </c>
      <c r="L1826" s="3">
        <v>11</v>
      </c>
      <c r="M1826" s="3">
        <v>11700</v>
      </c>
      <c r="N1826" s="3">
        <v>128.69999999999999</v>
      </c>
      <c r="O1826" s="3">
        <v>6.31</v>
      </c>
      <c r="P1826" s="3">
        <v>812.09699999999987</v>
      </c>
      <c r="Q1826" s="3">
        <v>11700</v>
      </c>
    </row>
    <row r="1827" spans="1:17" ht="24.95" hidden="1" customHeight="1" x14ac:dyDescent="0.25">
      <c r="A1827" s="3">
        <v>6</v>
      </c>
      <c r="B1827" s="3" t="s">
        <v>431</v>
      </c>
      <c r="C1827" s="3" t="s">
        <v>2266</v>
      </c>
      <c r="I1827" s="3">
        <v>32</v>
      </c>
      <c r="J1827" s="3">
        <v>10</v>
      </c>
      <c r="K1827" s="3">
        <v>1</v>
      </c>
      <c r="L1827" s="3">
        <v>10</v>
      </c>
      <c r="M1827" s="3">
        <v>9850</v>
      </c>
      <c r="N1827" s="3">
        <v>98.5</v>
      </c>
      <c r="O1827" s="3">
        <v>6.31</v>
      </c>
      <c r="P1827" s="3">
        <v>621.53499999999997</v>
      </c>
      <c r="Q1827" s="3">
        <v>9850</v>
      </c>
    </row>
    <row r="1828" spans="1:17" ht="24.95" hidden="1" customHeight="1" x14ac:dyDescent="0.25">
      <c r="A1828" s="3">
        <v>6</v>
      </c>
      <c r="B1828" s="3" t="s">
        <v>431</v>
      </c>
      <c r="C1828" s="3" t="s">
        <v>1771</v>
      </c>
      <c r="I1828" s="3">
        <v>32</v>
      </c>
      <c r="J1828" s="3">
        <v>10</v>
      </c>
      <c r="K1828" s="3">
        <v>1</v>
      </c>
      <c r="L1828" s="3">
        <v>10</v>
      </c>
      <c r="M1828" s="3">
        <v>11700</v>
      </c>
      <c r="N1828" s="3">
        <v>117</v>
      </c>
      <c r="O1828" s="3">
        <v>6.31</v>
      </c>
      <c r="P1828" s="3">
        <v>738.27</v>
      </c>
      <c r="Q1828" s="3">
        <v>11700</v>
      </c>
    </row>
    <row r="1829" spans="1:17" ht="24.95" hidden="1" customHeight="1" x14ac:dyDescent="0.25">
      <c r="A1829" s="3">
        <v>6</v>
      </c>
      <c r="B1829" s="3" t="s">
        <v>431</v>
      </c>
      <c r="C1829" s="3" t="s">
        <v>2267</v>
      </c>
      <c r="I1829" s="3">
        <v>32</v>
      </c>
      <c r="J1829" s="3">
        <v>11</v>
      </c>
      <c r="K1829" s="3">
        <v>1</v>
      </c>
      <c r="L1829" s="3">
        <v>11</v>
      </c>
      <c r="M1829" s="3">
        <v>11700</v>
      </c>
      <c r="N1829" s="3">
        <v>128.69999999999999</v>
      </c>
      <c r="O1829" s="3">
        <v>6.31</v>
      </c>
      <c r="P1829" s="3">
        <v>812.09699999999987</v>
      </c>
      <c r="Q1829" s="3">
        <v>11700</v>
      </c>
    </row>
    <row r="1830" spans="1:17" ht="24.95" hidden="1" customHeight="1" x14ac:dyDescent="0.25">
      <c r="A1830" s="3">
        <v>6</v>
      </c>
      <c r="B1830" s="3" t="s">
        <v>431</v>
      </c>
      <c r="C1830" s="3" t="s">
        <v>2268</v>
      </c>
      <c r="I1830" s="3">
        <v>32</v>
      </c>
      <c r="J1830" s="3">
        <v>11</v>
      </c>
      <c r="K1830" s="3">
        <v>1</v>
      </c>
      <c r="L1830" s="3">
        <v>11</v>
      </c>
      <c r="M1830" s="3">
        <v>9460</v>
      </c>
      <c r="N1830" s="3">
        <v>104.06</v>
      </c>
      <c r="O1830" s="3">
        <v>6.31</v>
      </c>
      <c r="P1830" s="3">
        <v>656.61860000000001</v>
      </c>
      <c r="Q1830" s="3">
        <v>9460</v>
      </c>
    </row>
    <row r="1831" spans="1:17" ht="24.95" hidden="1" customHeight="1" x14ac:dyDescent="0.25">
      <c r="A1831" s="3">
        <v>6</v>
      </c>
      <c r="B1831" s="3" t="s">
        <v>431</v>
      </c>
      <c r="C1831" s="3" t="s">
        <v>1767</v>
      </c>
      <c r="I1831" s="3">
        <v>32</v>
      </c>
      <c r="J1831" s="3">
        <v>10</v>
      </c>
      <c r="K1831" s="3">
        <v>1</v>
      </c>
      <c r="L1831" s="3">
        <v>10</v>
      </c>
      <c r="M1831" s="3">
        <v>9460</v>
      </c>
      <c r="N1831" s="3">
        <v>94.6</v>
      </c>
      <c r="O1831" s="3">
        <v>6.31</v>
      </c>
      <c r="P1831" s="3">
        <v>596.92599999999993</v>
      </c>
      <c r="Q1831" s="3">
        <v>9460</v>
      </c>
    </row>
    <row r="1832" spans="1:17" ht="24.95" hidden="1" customHeight="1" x14ac:dyDescent="0.25">
      <c r="A1832" s="3">
        <v>6</v>
      </c>
      <c r="B1832" s="3" t="s">
        <v>431</v>
      </c>
      <c r="C1832" s="3" t="s">
        <v>2269</v>
      </c>
      <c r="I1832" s="3">
        <v>32</v>
      </c>
      <c r="J1832" s="3">
        <v>11</v>
      </c>
      <c r="K1832" s="3">
        <v>1</v>
      </c>
      <c r="L1832" s="3">
        <v>11</v>
      </c>
      <c r="M1832" s="3">
        <v>11000</v>
      </c>
      <c r="N1832" s="3">
        <v>121</v>
      </c>
      <c r="O1832" s="3">
        <v>6.31</v>
      </c>
      <c r="P1832" s="3">
        <v>763.51</v>
      </c>
      <c r="Q1832" s="3">
        <v>11000</v>
      </c>
    </row>
    <row r="1833" spans="1:17" ht="24.95" hidden="1" customHeight="1" x14ac:dyDescent="0.25">
      <c r="A1833" s="3">
        <v>6</v>
      </c>
      <c r="B1833" s="3" t="s">
        <v>431</v>
      </c>
      <c r="C1833" s="3" t="s">
        <v>1773</v>
      </c>
      <c r="I1833" s="3">
        <v>32</v>
      </c>
      <c r="J1833" s="3">
        <v>14</v>
      </c>
      <c r="K1833" s="3">
        <v>1</v>
      </c>
      <c r="L1833" s="3">
        <v>14</v>
      </c>
      <c r="M1833" s="3">
        <v>9660</v>
      </c>
      <c r="N1833" s="3">
        <v>135.24</v>
      </c>
      <c r="O1833" s="3">
        <v>6.31</v>
      </c>
      <c r="P1833" s="3">
        <v>853.36440000000005</v>
      </c>
      <c r="Q1833" s="3">
        <v>9660</v>
      </c>
    </row>
    <row r="1834" spans="1:17" ht="24.95" hidden="1" customHeight="1" x14ac:dyDescent="0.25">
      <c r="A1834" s="3">
        <v>6</v>
      </c>
      <c r="B1834" s="3" t="s">
        <v>431</v>
      </c>
      <c r="C1834" s="3" t="s">
        <v>2270</v>
      </c>
      <c r="I1834" s="3">
        <v>32</v>
      </c>
      <c r="J1834" s="3">
        <v>2</v>
      </c>
      <c r="K1834" s="3">
        <v>1</v>
      </c>
      <c r="L1834" s="3">
        <v>2</v>
      </c>
      <c r="M1834" s="3">
        <v>9940</v>
      </c>
      <c r="N1834" s="3">
        <v>19.88</v>
      </c>
      <c r="O1834" s="3">
        <v>6.31</v>
      </c>
      <c r="P1834" s="3">
        <v>125.44279999999999</v>
      </c>
      <c r="Q1834" s="3">
        <v>9940</v>
      </c>
    </row>
    <row r="1835" spans="1:17" ht="24.95" hidden="1" customHeight="1" x14ac:dyDescent="0.25">
      <c r="A1835" s="3">
        <v>6</v>
      </c>
      <c r="B1835" s="3" t="s">
        <v>431</v>
      </c>
      <c r="C1835" s="3" t="s">
        <v>2271</v>
      </c>
      <c r="I1835" s="3">
        <v>32</v>
      </c>
      <c r="J1835" s="3">
        <v>2</v>
      </c>
      <c r="K1835" s="3">
        <v>1</v>
      </c>
      <c r="L1835" s="3">
        <v>2</v>
      </c>
      <c r="M1835" s="3">
        <v>11700</v>
      </c>
      <c r="N1835" s="3">
        <v>23.4</v>
      </c>
      <c r="O1835" s="3">
        <v>6.31</v>
      </c>
      <c r="P1835" s="3">
        <v>147.65399999999997</v>
      </c>
      <c r="Q1835" s="3">
        <v>11700</v>
      </c>
    </row>
    <row r="1836" spans="1:17" ht="24.95" hidden="1" customHeight="1" x14ac:dyDescent="0.25">
      <c r="A1836" s="3">
        <v>6</v>
      </c>
      <c r="B1836" s="3" t="s">
        <v>431</v>
      </c>
      <c r="C1836" s="3" t="s">
        <v>2272</v>
      </c>
      <c r="I1836" s="3">
        <v>32</v>
      </c>
      <c r="J1836" s="3">
        <v>2</v>
      </c>
      <c r="K1836" s="3">
        <v>1</v>
      </c>
      <c r="L1836" s="3">
        <v>2</v>
      </c>
      <c r="M1836" s="3">
        <v>6560</v>
      </c>
      <c r="N1836" s="3">
        <v>13.12</v>
      </c>
      <c r="O1836" s="3">
        <v>6.31</v>
      </c>
      <c r="P1836" s="3">
        <v>82.787199999999984</v>
      </c>
      <c r="Q1836" s="3">
        <v>6560</v>
      </c>
    </row>
    <row r="1837" spans="1:17" ht="24.95" hidden="1" customHeight="1" x14ac:dyDescent="0.25">
      <c r="A1837" s="3">
        <v>6</v>
      </c>
      <c r="B1837" s="3" t="s">
        <v>431</v>
      </c>
      <c r="C1837" s="3" t="s">
        <v>2273</v>
      </c>
      <c r="I1837" s="3">
        <v>32</v>
      </c>
      <c r="J1837" s="3">
        <v>2</v>
      </c>
      <c r="K1837" s="3">
        <v>1</v>
      </c>
      <c r="L1837" s="3">
        <v>2</v>
      </c>
      <c r="M1837" s="3">
        <v>6730</v>
      </c>
      <c r="N1837" s="3">
        <v>13.46</v>
      </c>
      <c r="O1837" s="3">
        <v>6.31</v>
      </c>
      <c r="P1837" s="3">
        <v>84.932599999999994</v>
      </c>
      <c r="Q1837" s="3">
        <v>6730</v>
      </c>
    </row>
    <row r="1838" spans="1:17" ht="24.95" hidden="1" customHeight="1" x14ac:dyDescent="0.25">
      <c r="A1838" s="3">
        <v>6</v>
      </c>
      <c r="B1838" s="3" t="s">
        <v>431</v>
      </c>
      <c r="C1838" s="3" t="s">
        <v>2274</v>
      </c>
      <c r="I1838" s="3">
        <v>32</v>
      </c>
      <c r="J1838" s="3">
        <v>2</v>
      </c>
      <c r="K1838" s="3">
        <v>1</v>
      </c>
      <c r="L1838" s="3">
        <v>2</v>
      </c>
      <c r="M1838" s="3">
        <v>11700</v>
      </c>
      <c r="N1838" s="3">
        <v>23.4</v>
      </c>
      <c r="O1838" s="3">
        <v>6.31</v>
      </c>
      <c r="P1838" s="3">
        <v>147.65399999999997</v>
      </c>
      <c r="Q1838" s="3">
        <v>11700</v>
      </c>
    </row>
    <row r="1839" spans="1:17" ht="24.95" hidden="1" customHeight="1" x14ac:dyDescent="0.25">
      <c r="A1839" s="3">
        <v>6</v>
      </c>
      <c r="B1839" s="3" t="s">
        <v>431</v>
      </c>
      <c r="C1839" s="3" t="s">
        <v>2275</v>
      </c>
      <c r="I1839" s="3">
        <v>32</v>
      </c>
      <c r="J1839" s="3">
        <v>2</v>
      </c>
      <c r="K1839" s="3">
        <v>1</v>
      </c>
      <c r="L1839" s="3">
        <v>2</v>
      </c>
      <c r="M1839" s="3">
        <v>6560</v>
      </c>
      <c r="N1839" s="3">
        <v>13.12</v>
      </c>
      <c r="O1839" s="3">
        <v>6.31</v>
      </c>
      <c r="P1839" s="3">
        <v>82.787199999999984</v>
      </c>
      <c r="Q1839" s="3">
        <v>6560</v>
      </c>
    </row>
    <row r="1840" spans="1:17" ht="24.95" hidden="1" customHeight="1" x14ac:dyDescent="0.25">
      <c r="A1840" s="3">
        <v>6</v>
      </c>
      <c r="B1840" s="3" t="s">
        <v>431</v>
      </c>
      <c r="C1840" s="3" t="s">
        <v>2276</v>
      </c>
      <c r="I1840" s="3">
        <v>32</v>
      </c>
      <c r="J1840" s="3">
        <v>2</v>
      </c>
      <c r="K1840" s="3">
        <v>1</v>
      </c>
      <c r="L1840" s="3">
        <v>2</v>
      </c>
      <c r="M1840" s="3">
        <v>11700</v>
      </c>
      <c r="N1840" s="3">
        <v>23.4</v>
      </c>
      <c r="O1840" s="3">
        <v>6.31</v>
      </c>
      <c r="P1840" s="3">
        <v>147.65399999999997</v>
      </c>
      <c r="Q1840" s="3">
        <v>11700</v>
      </c>
    </row>
    <row r="1841" spans="1:17" ht="24.95" hidden="1" customHeight="1" x14ac:dyDescent="0.25">
      <c r="A1841" s="3">
        <v>6</v>
      </c>
      <c r="B1841" s="3" t="s">
        <v>431</v>
      </c>
      <c r="C1841" s="3" t="s">
        <v>2277</v>
      </c>
      <c r="I1841" s="3">
        <v>32</v>
      </c>
      <c r="J1841" s="3">
        <v>2</v>
      </c>
      <c r="K1841" s="3">
        <v>1</v>
      </c>
      <c r="L1841" s="3">
        <v>2</v>
      </c>
      <c r="M1841" s="3">
        <v>4970</v>
      </c>
      <c r="N1841" s="3">
        <v>9.94</v>
      </c>
      <c r="O1841" s="3">
        <v>6.31</v>
      </c>
      <c r="P1841" s="3">
        <v>62.721399999999996</v>
      </c>
      <c r="Q1841" s="3">
        <v>4970</v>
      </c>
    </row>
    <row r="1842" spans="1:17" ht="24.95" hidden="1" customHeight="1" x14ac:dyDescent="0.25">
      <c r="A1842" s="3">
        <v>6</v>
      </c>
      <c r="B1842" s="3" t="s">
        <v>431</v>
      </c>
      <c r="C1842" s="3" t="s">
        <v>2278</v>
      </c>
      <c r="I1842" s="3">
        <v>32</v>
      </c>
      <c r="J1842" s="3">
        <v>11</v>
      </c>
      <c r="K1842" s="3">
        <v>1</v>
      </c>
      <c r="L1842" s="3">
        <v>11</v>
      </c>
      <c r="M1842" s="3">
        <v>5245</v>
      </c>
      <c r="N1842" s="3">
        <v>57.695</v>
      </c>
      <c r="O1842" s="3">
        <v>6.31</v>
      </c>
      <c r="P1842" s="3">
        <v>364.05545000000001</v>
      </c>
      <c r="Q1842" s="3">
        <v>5245</v>
      </c>
    </row>
    <row r="1843" spans="1:17" ht="24.95" hidden="1" customHeight="1" x14ac:dyDescent="0.25">
      <c r="A1843" s="3">
        <v>6</v>
      </c>
      <c r="B1843" s="3" t="s">
        <v>431</v>
      </c>
      <c r="C1843" s="3" t="s">
        <v>2279</v>
      </c>
      <c r="I1843" s="3">
        <v>32</v>
      </c>
      <c r="J1843" s="3">
        <v>11</v>
      </c>
      <c r="K1843" s="3">
        <v>1</v>
      </c>
      <c r="L1843" s="3">
        <v>11</v>
      </c>
      <c r="M1843" s="3">
        <v>11700</v>
      </c>
      <c r="N1843" s="3">
        <v>128.69999999999999</v>
      </c>
      <c r="O1843" s="3">
        <v>6.31</v>
      </c>
      <c r="P1843" s="3">
        <v>812.09699999999987</v>
      </c>
      <c r="Q1843" s="3">
        <v>11700</v>
      </c>
    </row>
    <row r="1844" spans="1:17" ht="24.95" hidden="1" customHeight="1" x14ac:dyDescent="0.25">
      <c r="A1844" s="3">
        <v>6</v>
      </c>
      <c r="B1844" s="3" t="s">
        <v>431</v>
      </c>
      <c r="C1844" s="3" t="s">
        <v>2280</v>
      </c>
      <c r="I1844" s="3">
        <v>32</v>
      </c>
      <c r="J1844" s="3">
        <v>11</v>
      </c>
      <c r="K1844" s="3">
        <v>1</v>
      </c>
      <c r="L1844" s="3">
        <v>11</v>
      </c>
      <c r="M1844" s="3">
        <v>8180</v>
      </c>
      <c r="N1844" s="3">
        <v>89.98</v>
      </c>
      <c r="O1844" s="3">
        <v>6.31</v>
      </c>
      <c r="P1844" s="3">
        <v>567.77379999999994</v>
      </c>
      <c r="Q1844" s="3">
        <v>8180</v>
      </c>
    </row>
    <row r="1845" spans="1:17" ht="24.95" hidden="1" customHeight="1" x14ac:dyDescent="0.25">
      <c r="A1845" s="3">
        <v>6</v>
      </c>
      <c r="B1845" s="3" t="s">
        <v>431</v>
      </c>
      <c r="C1845" s="3" t="s">
        <v>2281</v>
      </c>
      <c r="I1845" s="3">
        <v>32</v>
      </c>
      <c r="J1845" s="3">
        <v>11</v>
      </c>
      <c r="K1845" s="3">
        <v>1</v>
      </c>
      <c r="L1845" s="3">
        <v>11</v>
      </c>
      <c r="M1845" s="3">
        <v>11700</v>
      </c>
      <c r="N1845" s="3">
        <v>128.69999999999999</v>
      </c>
      <c r="O1845" s="3">
        <v>6.31</v>
      </c>
      <c r="P1845" s="3">
        <v>812.09699999999987</v>
      </c>
      <c r="Q1845" s="3">
        <v>11700</v>
      </c>
    </row>
    <row r="1846" spans="1:17" ht="24.95" hidden="1" customHeight="1" x14ac:dyDescent="0.25">
      <c r="A1846" s="3">
        <v>6</v>
      </c>
      <c r="B1846" s="3" t="s">
        <v>431</v>
      </c>
      <c r="C1846" s="3" t="s">
        <v>2282</v>
      </c>
      <c r="I1846" s="3">
        <v>32</v>
      </c>
      <c r="J1846" s="3">
        <v>11</v>
      </c>
      <c r="K1846" s="3">
        <v>1</v>
      </c>
      <c r="L1846" s="3">
        <v>11</v>
      </c>
      <c r="M1846" s="3">
        <v>8180</v>
      </c>
      <c r="N1846" s="3">
        <v>89.98</v>
      </c>
      <c r="O1846" s="3">
        <v>6.31</v>
      </c>
      <c r="P1846" s="3">
        <v>567.77379999999994</v>
      </c>
      <c r="Q1846" s="3">
        <v>8180</v>
      </c>
    </row>
    <row r="1847" spans="1:17" ht="24.95" hidden="1" customHeight="1" x14ac:dyDescent="0.25">
      <c r="A1847" s="3">
        <v>6</v>
      </c>
      <c r="B1847" s="3" t="s">
        <v>431</v>
      </c>
      <c r="C1847" s="3" t="s">
        <v>2283</v>
      </c>
      <c r="I1847" s="3">
        <v>32</v>
      </c>
      <c r="J1847" s="3">
        <v>11</v>
      </c>
      <c r="K1847" s="3">
        <v>1</v>
      </c>
      <c r="L1847" s="3">
        <v>11</v>
      </c>
      <c r="M1847" s="3">
        <v>11700</v>
      </c>
      <c r="N1847" s="3">
        <v>128.69999999999999</v>
      </c>
      <c r="O1847" s="3">
        <v>6.31</v>
      </c>
      <c r="P1847" s="3">
        <v>812.09699999999987</v>
      </c>
      <c r="Q1847" s="3">
        <v>11700</v>
      </c>
    </row>
    <row r="1848" spans="1:17" ht="24.95" hidden="1" customHeight="1" x14ac:dyDescent="0.25">
      <c r="A1848" s="3">
        <v>6</v>
      </c>
      <c r="B1848" s="3" t="s">
        <v>431</v>
      </c>
      <c r="C1848" s="3" t="s">
        <v>2284</v>
      </c>
      <c r="I1848" s="3">
        <v>32</v>
      </c>
      <c r="J1848" s="3">
        <v>11</v>
      </c>
      <c r="K1848" s="3">
        <v>1</v>
      </c>
      <c r="L1848" s="3">
        <v>11</v>
      </c>
      <c r="M1848" s="3">
        <v>8090</v>
      </c>
      <c r="N1848" s="3">
        <v>88.99</v>
      </c>
      <c r="O1848" s="3">
        <v>6.31</v>
      </c>
      <c r="P1848" s="3">
        <v>561.52689999999996</v>
      </c>
      <c r="Q1848" s="3">
        <v>8090</v>
      </c>
    </row>
    <row r="1849" spans="1:17" ht="24.95" hidden="1" customHeight="1" x14ac:dyDescent="0.25">
      <c r="A1849" s="3">
        <v>6</v>
      </c>
      <c r="B1849" s="3" t="s">
        <v>431</v>
      </c>
      <c r="C1849" s="3" t="s">
        <v>2285</v>
      </c>
      <c r="I1849" s="3">
        <v>32</v>
      </c>
      <c r="J1849" s="3">
        <v>10</v>
      </c>
      <c r="K1849" s="3">
        <v>1</v>
      </c>
      <c r="L1849" s="3">
        <v>10</v>
      </c>
      <c r="M1849" s="3">
        <v>7005</v>
      </c>
      <c r="N1849" s="3">
        <v>70.05</v>
      </c>
      <c r="O1849" s="3">
        <v>6.31</v>
      </c>
      <c r="P1849" s="3">
        <v>442.01549999999997</v>
      </c>
      <c r="Q1849" s="3">
        <v>7005</v>
      </c>
    </row>
    <row r="1850" spans="1:17" ht="24.95" hidden="1" customHeight="1" x14ac:dyDescent="0.25">
      <c r="A1850" s="3">
        <v>6</v>
      </c>
      <c r="B1850" s="3" t="s">
        <v>431</v>
      </c>
      <c r="C1850" s="3" t="s">
        <v>2286</v>
      </c>
      <c r="I1850" s="3">
        <v>32</v>
      </c>
      <c r="J1850" s="3">
        <v>10</v>
      </c>
      <c r="K1850" s="3">
        <v>1</v>
      </c>
      <c r="L1850" s="3">
        <v>10</v>
      </c>
      <c r="M1850" s="3">
        <v>11700</v>
      </c>
      <c r="N1850" s="3">
        <v>117</v>
      </c>
      <c r="O1850" s="3">
        <v>6.31</v>
      </c>
      <c r="P1850" s="3">
        <v>738.27</v>
      </c>
      <c r="Q1850" s="3">
        <v>11700</v>
      </c>
    </row>
    <row r="1851" spans="1:17" ht="24.95" hidden="1" customHeight="1" x14ac:dyDescent="0.25">
      <c r="A1851" s="3">
        <v>6</v>
      </c>
      <c r="B1851" s="3" t="s">
        <v>431</v>
      </c>
      <c r="C1851" s="3" t="s">
        <v>2278</v>
      </c>
      <c r="I1851" s="3">
        <v>32</v>
      </c>
      <c r="J1851" s="3">
        <v>10</v>
      </c>
      <c r="K1851" s="3">
        <v>1</v>
      </c>
      <c r="L1851" s="3">
        <v>10</v>
      </c>
      <c r="M1851" s="3">
        <v>8180</v>
      </c>
      <c r="N1851" s="3">
        <v>81.8</v>
      </c>
      <c r="O1851" s="3">
        <v>6.31</v>
      </c>
      <c r="P1851" s="3">
        <v>516.1579999999999</v>
      </c>
      <c r="Q1851" s="3">
        <v>8180</v>
      </c>
    </row>
    <row r="1852" spans="1:17" ht="24.95" hidden="1" customHeight="1" x14ac:dyDescent="0.25">
      <c r="A1852" s="3">
        <v>6</v>
      </c>
      <c r="B1852" s="3" t="s">
        <v>431</v>
      </c>
      <c r="C1852" s="3" t="s">
        <v>2287</v>
      </c>
      <c r="I1852" s="3">
        <v>32</v>
      </c>
      <c r="J1852" s="3">
        <v>10</v>
      </c>
      <c r="K1852" s="3">
        <v>1</v>
      </c>
      <c r="L1852" s="3">
        <v>10</v>
      </c>
      <c r="M1852" s="3">
        <v>11700</v>
      </c>
      <c r="N1852" s="3">
        <v>117</v>
      </c>
      <c r="O1852" s="3">
        <v>6.31</v>
      </c>
      <c r="P1852" s="3">
        <v>738.27</v>
      </c>
      <c r="Q1852" s="3">
        <v>11700</v>
      </c>
    </row>
    <row r="1853" spans="1:17" ht="24.95" hidden="1" customHeight="1" x14ac:dyDescent="0.25">
      <c r="A1853" s="3">
        <v>6</v>
      </c>
      <c r="B1853" s="3" t="s">
        <v>431</v>
      </c>
      <c r="C1853" s="3" t="s">
        <v>2288</v>
      </c>
      <c r="I1853" s="3">
        <v>32</v>
      </c>
      <c r="J1853" s="3">
        <v>10</v>
      </c>
      <c r="K1853" s="3">
        <v>1</v>
      </c>
      <c r="L1853" s="3">
        <v>10</v>
      </c>
      <c r="M1853" s="3">
        <v>8180</v>
      </c>
      <c r="N1853" s="3">
        <v>81.8</v>
      </c>
      <c r="O1853" s="3">
        <v>6.31</v>
      </c>
      <c r="P1853" s="3">
        <v>516.1579999999999</v>
      </c>
      <c r="Q1853" s="3">
        <v>8180</v>
      </c>
    </row>
    <row r="1854" spans="1:17" ht="24.95" hidden="1" customHeight="1" x14ac:dyDescent="0.25">
      <c r="A1854" s="3">
        <v>6</v>
      </c>
      <c r="B1854" s="3" t="s">
        <v>431</v>
      </c>
      <c r="C1854" s="3" t="s">
        <v>2289</v>
      </c>
      <c r="I1854" s="3">
        <v>32</v>
      </c>
      <c r="J1854" s="3">
        <v>10</v>
      </c>
      <c r="K1854" s="3">
        <v>1</v>
      </c>
      <c r="L1854" s="3">
        <v>10</v>
      </c>
      <c r="M1854" s="3">
        <v>9850</v>
      </c>
      <c r="N1854" s="3">
        <v>98.5</v>
      </c>
      <c r="O1854" s="3">
        <v>6.31</v>
      </c>
      <c r="P1854" s="3">
        <v>621.53499999999997</v>
      </c>
      <c r="Q1854" s="3">
        <v>9850</v>
      </c>
    </row>
    <row r="1855" spans="1:17" ht="24.95" hidden="1" customHeight="1" x14ac:dyDescent="0.25">
      <c r="A1855" s="3">
        <v>6</v>
      </c>
      <c r="B1855" s="3" t="s">
        <v>431</v>
      </c>
      <c r="C1855" s="3" t="s">
        <v>2290</v>
      </c>
      <c r="I1855" s="3">
        <v>32</v>
      </c>
      <c r="J1855" s="3">
        <v>10</v>
      </c>
      <c r="K1855" s="3">
        <v>1</v>
      </c>
      <c r="L1855" s="3">
        <v>10</v>
      </c>
      <c r="M1855" s="3">
        <v>8180</v>
      </c>
      <c r="N1855" s="3">
        <v>81.8</v>
      </c>
      <c r="O1855" s="3">
        <v>6.31</v>
      </c>
      <c r="P1855" s="3">
        <v>516.1579999999999</v>
      </c>
      <c r="Q1855" s="3">
        <v>8180</v>
      </c>
    </row>
    <row r="1856" spans="1:17" ht="24.95" hidden="1" customHeight="1" x14ac:dyDescent="0.25">
      <c r="A1856" s="3">
        <v>6</v>
      </c>
      <c r="B1856" s="3" t="s">
        <v>431</v>
      </c>
      <c r="C1856" s="3" t="s">
        <v>2291</v>
      </c>
      <c r="I1856" s="3">
        <v>32</v>
      </c>
      <c r="J1856" s="3">
        <v>21</v>
      </c>
      <c r="K1856" s="3">
        <v>1</v>
      </c>
      <c r="L1856" s="3">
        <v>21</v>
      </c>
      <c r="M1856" s="3">
        <v>4725</v>
      </c>
      <c r="N1856" s="3">
        <v>99.224999999999994</v>
      </c>
      <c r="O1856" s="3">
        <v>6.31</v>
      </c>
      <c r="P1856" s="3">
        <v>626.10974999999996</v>
      </c>
      <c r="Q1856" s="3">
        <v>4725</v>
      </c>
    </row>
    <row r="1857" spans="1:17" ht="24.95" hidden="1" customHeight="1" x14ac:dyDescent="0.25">
      <c r="A1857" s="3">
        <v>6</v>
      </c>
      <c r="B1857" s="3" t="s">
        <v>431</v>
      </c>
      <c r="C1857" s="3" t="s">
        <v>2292</v>
      </c>
      <c r="I1857" s="3">
        <v>32</v>
      </c>
      <c r="J1857" s="3">
        <v>6</v>
      </c>
      <c r="K1857" s="3">
        <v>1</v>
      </c>
      <c r="L1857" s="3">
        <v>6</v>
      </c>
      <c r="M1857" s="3">
        <v>4675</v>
      </c>
      <c r="N1857" s="3">
        <v>28.05</v>
      </c>
      <c r="O1857" s="3">
        <v>6.31</v>
      </c>
      <c r="P1857" s="3">
        <v>176.99549999999999</v>
      </c>
      <c r="Q1857" s="3">
        <v>4675</v>
      </c>
    </row>
    <row r="1858" spans="1:17" ht="24.95" hidden="1" customHeight="1" x14ac:dyDescent="0.25">
      <c r="A1858" s="3">
        <v>6</v>
      </c>
      <c r="B1858" s="3" t="s">
        <v>431</v>
      </c>
      <c r="C1858" s="3" t="s">
        <v>2293</v>
      </c>
      <c r="I1858" s="3">
        <v>32</v>
      </c>
      <c r="J1858" s="3">
        <v>21</v>
      </c>
      <c r="K1858" s="3">
        <v>1</v>
      </c>
      <c r="L1858" s="3">
        <v>21</v>
      </c>
      <c r="M1858" s="3">
        <v>4700</v>
      </c>
      <c r="N1858" s="3">
        <v>98.7</v>
      </c>
      <c r="O1858" s="3">
        <v>6.31</v>
      </c>
      <c r="P1858" s="3">
        <v>622.79700000000003</v>
      </c>
      <c r="Q1858" s="3">
        <v>4700</v>
      </c>
    </row>
    <row r="1859" spans="1:17" ht="24.95" hidden="1" customHeight="1" x14ac:dyDescent="0.25">
      <c r="A1859" s="3">
        <v>6</v>
      </c>
      <c r="B1859" s="3" t="s">
        <v>431</v>
      </c>
      <c r="C1859" s="3" t="s">
        <v>1777</v>
      </c>
      <c r="I1859" s="3">
        <v>32</v>
      </c>
      <c r="J1859" s="3">
        <v>21</v>
      </c>
      <c r="K1859" s="3">
        <v>1</v>
      </c>
      <c r="L1859" s="3">
        <v>21</v>
      </c>
      <c r="M1859" s="3">
        <v>4425</v>
      </c>
      <c r="N1859" s="3">
        <v>92.924999999999997</v>
      </c>
      <c r="O1859" s="3">
        <v>6.31</v>
      </c>
      <c r="P1859" s="3">
        <v>586.35674999999992</v>
      </c>
      <c r="Q1859" s="3">
        <v>4425</v>
      </c>
    </row>
    <row r="1860" spans="1:17" ht="24.95" hidden="1" customHeight="1" x14ac:dyDescent="0.25">
      <c r="A1860" s="3">
        <v>6</v>
      </c>
      <c r="B1860" s="3" t="s">
        <v>431</v>
      </c>
      <c r="C1860" s="3" t="s">
        <v>2294</v>
      </c>
      <c r="I1860" s="3">
        <v>32</v>
      </c>
      <c r="J1860" s="3">
        <v>14</v>
      </c>
      <c r="K1860" s="3">
        <v>1</v>
      </c>
      <c r="L1860" s="3">
        <v>14</v>
      </c>
      <c r="M1860" s="3">
        <v>4100</v>
      </c>
      <c r="N1860" s="3">
        <v>57.4</v>
      </c>
      <c r="O1860" s="3">
        <v>6.31</v>
      </c>
      <c r="P1860" s="3">
        <v>362.19399999999996</v>
      </c>
      <c r="Q1860" s="3">
        <v>4100</v>
      </c>
    </row>
    <row r="1861" spans="1:17" ht="24.95" hidden="1" customHeight="1" x14ac:dyDescent="0.25">
      <c r="A1861" s="3">
        <v>6</v>
      </c>
      <c r="B1861" s="3" t="s">
        <v>431</v>
      </c>
      <c r="C1861" s="3" t="s">
        <v>2295</v>
      </c>
      <c r="I1861" s="3">
        <v>32</v>
      </c>
      <c r="J1861" s="3">
        <v>21</v>
      </c>
      <c r="K1861" s="3">
        <v>1</v>
      </c>
      <c r="L1861" s="3">
        <v>21</v>
      </c>
      <c r="M1861" s="3">
        <v>4400</v>
      </c>
      <c r="N1861" s="3">
        <v>92.4</v>
      </c>
      <c r="O1861" s="3">
        <v>6.31</v>
      </c>
      <c r="P1861" s="3">
        <v>583.04399999999998</v>
      </c>
      <c r="Q1861" s="3">
        <v>4400</v>
      </c>
    </row>
    <row r="1862" spans="1:17" ht="24.95" hidden="1" customHeight="1" x14ac:dyDescent="0.25">
      <c r="A1862" s="3">
        <v>6</v>
      </c>
      <c r="B1862" s="3" t="s">
        <v>431</v>
      </c>
      <c r="C1862" s="3" t="s">
        <v>2296</v>
      </c>
      <c r="I1862" s="3">
        <v>32</v>
      </c>
      <c r="J1862" s="3">
        <v>6</v>
      </c>
      <c r="K1862" s="3">
        <v>1</v>
      </c>
      <c r="L1862" s="3">
        <v>6</v>
      </c>
      <c r="M1862" s="3">
        <v>4550</v>
      </c>
      <c r="N1862" s="3">
        <v>27.3</v>
      </c>
      <c r="O1862" s="3">
        <v>6.31</v>
      </c>
      <c r="P1862" s="3">
        <v>172.26300000000001</v>
      </c>
      <c r="Q1862" s="3">
        <v>4550</v>
      </c>
    </row>
    <row r="1863" spans="1:17" ht="24.95" hidden="1" customHeight="1" x14ac:dyDescent="0.25">
      <c r="A1863" s="3">
        <v>6</v>
      </c>
      <c r="B1863" s="3" t="s">
        <v>431</v>
      </c>
      <c r="C1863" s="3" t="s">
        <v>2297</v>
      </c>
      <c r="I1863" s="3">
        <v>32</v>
      </c>
      <c r="J1863" s="3">
        <v>15</v>
      </c>
      <c r="K1863" s="3">
        <v>1</v>
      </c>
      <c r="L1863" s="3">
        <v>15</v>
      </c>
      <c r="M1863" s="3">
        <v>6360</v>
      </c>
      <c r="N1863" s="3">
        <v>95.4</v>
      </c>
      <c r="O1863" s="3">
        <v>6.31</v>
      </c>
      <c r="P1863" s="3">
        <v>601.97400000000005</v>
      </c>
      <c r="Q1863" s="3">
        <v>6360</v>
      </c>
    </row>
    <row r="1864" spans="1:17" ht="24.95" hidden="1" customHeight="1" x14ac:dyDescent="0.25">
      <c r="A1864" s="3">
        <v>6</v>
      </c>
      <c r="B1864" s="3" t="s">
        <v>431</v>
      </c>
      <c r="C1864" s="3" t="s">
        <v>2298</v>
      </c>
      <c r="I1864" s="3">
        <v>25</v>
      </c>
      <c r="J1864" s="3">
        <v>104</v>
      </c>
      <c r="K1864" s="3">
        <v>1</v>
      </c>
      <c r="L1864" s="3">
        <v>104</v>
      </c>
      <c r="M1864" s="3">
        <v>5340</v>
      </c>
      <c r="N1864" s="3">
        <v>555.36</v>
      </c>
      <c r="O1864" s="3">
        <v>3.85</v>
      </c>
      <c r="P1864" s="3">
        <v>2138.136</v>
      </c>
      <c r="Q1864" s="3">
        <v>5340</v>
      </c>
    </row>
    <row r="1865" spans="1:17" ht="24.95" hidden="1" customHeight="1" x14ac:dyDescent="0.25">
      <c r="A1865" s="3">
        <v>6</v>
      </c>
      <c r="B1865" s="3" t="s">
        <v>431</v>
      </c>
      <c r="C1865" s="3" t="s">
        <v>2299</v>
      </c>
      <c r="I1865" s="3">
        <v>25</v>
      </c>
      <c r="J1865" s="3">
        <v>104</v>
      </c>
      <c r="K1865" s="3">
        <v>1</v>
      </c>
      <c r="L1865" s="3">
        <v>104</v>
      </c>
      <c r="M1865" s="3">
        <v>7870</v>
      </c>
      <c r="N1865" s="3">
        <v>818.48</v>
      </c>
      <c r="O1865" s="3">
        <v>3.85</v>
      </c>
      <c r="P1865" s="3">
        <v>3151.1480000000001</v>
      </c>
      <c r="Q1865" s="3">
        <v>7870</v>
      </c>
    </row>
    <row r="1866" spans="1:17" ht="24.95" hidden="1" customHeight="1" x14ac:dyDescent="0.25">
      <c r="A1866" s="3">
        <v>6</v>
      </c>
      <c r="B1866" s="3" t="s">
        <v>431</v>
      </c>
      <c r="C1866" s="3" t="s">
        <v>2300</v>
      </c>
      <c r="I1866" s="3">
        <v>25</v>
      </c>
      <c r="J1866" s="3">
        <v>936</v>
      </c>
      <c r="K1866" s="3">
        <v>1</v>
      </c>
      <c r="L1866" s="3">
        <v>936</v>
      </c>
      <c r="M1866" s="3">
        <v>2890</v>
      </c>
      <c r="N1866" s="3">
        <v>2705.04</v>
      </c>
      <c r="O1866" s="3">
        <v>3.85</v>
      </c>
      <c r="P1866" s="3">
        <v>10414.404</v>
      </c>
      <c r="Q1866" s="3">
        <v>2890</v>
      </c>
    </row>
    <row r="1867" spans="1:17" ht="24.95" hidden="1" customHeight="1" x14ac:dyDescent="0.25">
      <c r="A1867" s="3">
        <v>6</v>
      </c>
      <c r="B1867" s="3" t="s">
        <v>431</v>
      </c>
      <c r="C1867" s="3" t="s">
        <v>2301</v>
      </c>
      <c r="I1867" s="3">
        <v>20</v>
      </c>
      <c r="J1867" s="3">
        <v>217</v>
      </c>
      <c r="K1867" s="3">
        <v>1</v>
      </c>
      <c r="L1867" s="3">
        <v>217</v>
      </c>
      <c r="M1867" s="3">
        <v>4890</v>
      </c>
      <c r="N1867" s="3">
        <v>1061.1300000000001</v>
      </c>
      <c r="O1867" s="3">
        <v>2.4700000000000002</v>
      </c>
      <c r="P1867" s="3">
        <v>2620.9911000000006</v>
      </c>
      <c r="Q1867" s="3">
        <v>4890</v>
      </c>
    </row>
    <row r="1868" spans="1:17" ht="24.95" hidden="1" customHeight="1" x14ac:dyDescent="0.25">
      <c r="A1868" s="3">
        <v>6</v>
      </c>
      <c r="B1868" s="3" t="s">
        <v>431</v>
      </c>
      <c r="C1868" s="3" t="s">
        <v>2302</v>
      </c>
      <c r="I1868" s="3">
        <v>20</v>
      </c>
      <c r="J1868" s="3">
        <v>217</v>
      </c>
      <c r="K1868" s="3">
        <v>1</v>
      </c>
      <c r="L1868" s="3">
        <v>217</v>
      </c>
      <c r="M1868" s="3">
        <v>7870</v>
      </c>
      <c r="N1868" s="3">
        <v>1707.79</v>
      </c>
      <c r="O1868" s="3">
        <v>2.4700000000000002</v>
      </c>
      <c r="P1868" s="3">
        <v>4218.2413000000006</v>
      </c>
      <c r="Q1868" s="3">
        <v>7870</v>
      </c>
    </row>
    <row r="1869" spans="1:17" ht="24.95" hidden="1" customHeight="1" x14ac:dyDescent="0.25">
      <c r="A1869" s="3">
        <v>6</v>
      </c>
      <c r="B1869" s="3" t="s">
        <v>431</v>
      </c>
      <c r="C1869" s="3" t="s">
        <v>2303</v>
      </c>
      <c r="I1869" s="3">
        <v>20</v>
      </c>
      <c r="J1869" s="3">
        <v>1953</v>
      </c>
      <c r="K1869" s="3">
        <v>1</v>
      </c>
      <c r="L1869" s="3">
        <v>1953</v>
      </c>
      <c r="M1869" s="3">
        <v>2790</v>
      </c>
      <c r="N1869" s="3">
        <v>5448.87</v>
      </c>
      <c r="O1869" s="3">
        <v>2.4700000000000002</v>
      </c>
      <c r="P1869" s="3">
        <v>13458.708900000001</v>
      </c>
      <c r="Q1869" s="3">
        <v>2790</v>
      </c>
    </row>
    <row r="1870" spans="1:17" ht="24.95" hidden="1" customHeight="1" x14ac:dyDescent="0.25">
      <c r="A1870" s="3">
        <v>6</v>
      </c>
      <c r="B1870" s="3" t="s">
        <v>431</v>
      </c>
      <c r="C1870" s="3" t="s">
        <v>2304</v>
      </c>
      <c r="I1870" s="3">
        <v>18</v>
      </c>
      <c r="J1870" s="3">
        <v>6</v>
      </c>
      <c r="K1870" s="3">
        <v>1</v>
      </c>
      <c r="L1870" s="3">
        <v>6</v>
      </c>
      <c r="M1870" s="3">
        <v>11700</v>
      </c>
      <c r="N1870" s="3">
        <v>70.2</v>
      </c>
      <c r="O1870" s="3">
        <v>2</v>
      </c>
      <c r="P1870" s="3">
        <v>140.4</v>
      </c>
      <c r="Q1870" s="3">
        <v>11700</v>
      </c>
    </row>
    <row r="1871" spans="1:17" ht="24.95" hidden="1" customHeight="1" x14ac:dyDescent="0.25">
      <c r="A1871" s="3">
        <v>6</v>
      </c>
      <c r="B1871" s="3" t="s">
        <v>431</v>
      </c>
      <c r="C1871" s="3" t="s">
        <v>2305</v>
      </c>
      <c r="I1871" s="3">
        <v>18</v>
      </c>
      <c r="J1871" s="3">
        <v>6</v>
      </c>
      <c r="K1871" s="3">
        <v>1</v>
      </c>
      <c r="L1871" s="3">
        <v>6</v>
      </c>
      <c r="M1871" s="3">
        <v>11700</v>
      </c>
      <c r="N1871" s="3">
        <v>70.2</v>
      </c>
      <c r="O1871" s="3">
        <v>2</v>
      </c>
      <c r="P1871" s="3">
        <v>140.4</v>
      </c>
      <c r="Q1871" s="3">
        <v>11700</v>
      </c>
    </row>
    <row r="1872" spans="1:17" ht="24.95" hidden="1" customHeight="1" x14ac:dyDescent="0.25">
      <c r="A1872" s="3">
        <v>6</v>
      </c>
      <c r="B1872" s="3" t="s">
        <v>431</v>
      </c>
      <c r="C1872" s="3" t="s">
        <v>2306</v>
      </c>
      <c r="I1872" s="3">
        <v>18</v>
      </c>
      <c r="J1872" s="3">
        <v>6</v>
      </c>
      <c r="K1872" s="3">
        <v>1</v>
      </c>
      <c r="L1872" s="3">
        <v>6</v>
      </c>
      <c r="M1872" s="3">
        <v>11700</v>
      </c>
      <c r="N1872" s="3">
        <v>70.2</v>
      </c>
      <c r="O1872" s="3">
        <v>2</v>
      </c>
      <c r="P1872" s="3">
        <v>140.4</v>
      </c>
      <c r="Q1872" s="3">
        <v>11700</v>
      </c>
    </row>
    <row r="1873" spans="1:17" ht="24.95" hidden="1" customHeight="1" x14ac:dyDescent="0.25">
      <c r="A1873" s="3">
        <v>6</v>
      </c>
      <c r="B1873" s="3" t="s">
        <v>431</v>
      </c>
      <c r="C1873" s="3" t="s">
        <v>2307</v>
      </c>
      <c r="I1873" s="3">
        <v>18</v>
      </c>
      <c r="J1873" s="3">
        <v>6</v>
      </c>
      <c r="K1873" s="3">
        <v>1</v>
      </c>
      <c r="L1873" s="3">
        <v>6</v>
      </c>
      <c r="M1873" s="3">
        <v>11700</v>
      </c>
      <c r="N1873" s="3">
        <v>70.2</v>
      </c>
      <c r="O1873" s="3">
        <v>2</v>
      </c>
      <c r="P1873" s="3">
        <v>140.4</v>
      </c>
      <c r="Q1873" s="3">
        <v>11700</v>
      </c>
    </row>
    <row r="1874" spans="1:17" ht="24.95" hidden="1" customHeight="1" x14ac:dyDescent="0.25">
      <c r="A1874" s="3">
        <v>6</v>
      </c>
      <c r="B1874" s="3" t="s">
        <v>431</v>
      </c>
      <c r="C1874" s="3" t="s">
        <v>2308</v>
      </c>
      <c r="I1874" s="3">
        <v>18</v>
      </c>
      <c r="J1874" s="3">
        <v>6</v>
      </c>
      <c r="K1874" s="3">
        <v>1</v>
      </c>
      <c r="L1874" s="3">
        <v>6</v>
      </c>
      <c r="M1874" s="3">
        <v>9640</v>
      </c>
      <c r="N1874" s="3">
        <v>57.84</v>
      </c>
      <c r="O1874" s="3">
        <v>2</v>
      </c>
      <c r="P1874" s="3">
        <v>115.68</v>
      </c>
      <c r="Q1874" s="3">
        <v>9640</v>
      </c>
    </row>
    <row r="1875" spans="1:17" ht="24.95" hidden="1" customHeight="1" x14ac:dyDescent="0.25">
      <c r="A1875" s="3">
        <v>6</v>
      </c>
      <c r="B1875" s="3" t="s">
        <v>431</v>
      </c>
      <c r="C1875" s="3" t="s">
        <v>2309</v>
      </c>
      <c r="I1875" s="3">
        <v>18</v>
      </c>
      <c r="J1875" s="3">
        <v>6</v>
      </c>
      <c r="K1875" s="3">
        <v>1</v>
      </c>
      <c r="L1875" s="3">
        <v>6</v>
      </c>
      <c r="M1875" s="3">
        <v>8390</v>
      </c>
      <c r="N1875" s="3">
        <v>50.34</v>
      </c>
      <c r="O1875" s="3">
        <v>2</v>
      </c>
      <c r="P1875" s="3">
        <v>100.68</v>
      </c>
      <c r="Q1875" s="3">
        <v>8390</v>
      </c>
    </row>
    <row r="1876" spans="1:17" ht="24.95" hidden="1" customHeight="1" x14ac:dyDescent="0.25">
      <c r="A1876" s="3">
        <v>6</v>
      </c>
      <c r="B1876" s="3" t="s">
        <v>431</v>
      </c>
      <c r="C1876" s="3" t="s">
        <v>2310</v>
      </c>
      <c r="I1876" s="3">
        <v>18</v>
      </c>
      <c r="J1876" s="3">
        <v>6</v>
      </c>
      <c r="K1876" s="3">
        <v>1</v>
      </c>
      <c r="L1876" s="3">
        <v>6</v>
      </c>
      <c r="M1876" s="3">
        <v>11700</v>
      </c>
      <c r="N1876" s="3">
        <v>70.2</v>
      </c>
      <c r="O1876" s="3">
        <v>2</v>
      </c>
      <c r="P1876" s="3">
        <v>140.4</v>
      </c>
      <c r="Q1876" s="3">
        <v>11700</v>
      </c>
    </row>
    <row r="1877" spans="1:17" ht="24.95" hidden="1" customHeight="1" x14ac:dyDescent="0.25">
      <c r="A1877" s="3">
        <v>6</v>
      </c>
      <c r="B1877" s="3" t="s">
        <v>431</v>
      </c>
      <c r="C1877" s="3" t="s">
        <v>2311</v>
      </c>
      <c r="I1877" s="3">
        <v>18</v>
      </c>
      <c r="J1877" s="3">
        <v>6</v>
      </c>
      <c r="K1877" s="3">
        <v>1</v>
      </c>
      <c r="L1877" s="3">
        <v>6</v>
      </c>
      <c r="M1877" s="3">
        <v>11700</v>
      </c>
      <c r="N1877" s="3">
        <v>70.2</v>
      </c>
      <c r="O1877" s="3">
        <v>2</v>
      </c>
      <c r="P1877" s="3">
        <v>140.4</v>
      </c>
      <c r="Q1877" s="3">
        <v>11700</v>
      </c>
    </row>
    <row r="1878" spans="1:17" ht="24.95" hidden="1" customHeight="1" x14ac:dyDescent="0.25">
      <c r="A1878" s="3">
        <v>6</v>
      </c>
      <c r="B1878" s="3" t="s">
        <v>431</v>
      </c>
      <c r="C1878" s="3" t="s">
        <v>2312</v>
      </c>
      <c r="I1878" s="3">
        <v>18</v>
      </c>
      <c r="J1878" s="3">
        <v>6</v>
      </c>
      <c r="K1878" s="3">
        <v>1</v>
      </c>
      <c r="L1878" s="3">
        <v>6</v>
      </c>
      <c r="M1878" s="3">
        <v>11700</v>
      </c>
      <c r="N1878" s="3">
        <v>70.2</v>
      </c>
      <c r="O1878" s="3">
        <v>2</v>
      </c>
      <c r="P1878" s="3">
        <v>140.4</v>
      </c>
      <c r="Q1878" s="3">
        <v>11700</v>
      </c>
    </row>
    <row r="1879" spans="1:17" ht="24.95" hidden="1" customHeight="1" x14ac:dyDescent="0.25">
      <c r="A1879" s="3">
        <v>6</v>
      </c>
      <c r="B1879" s="3" t="s">
        <v>431</v>
      </c>
      <c r="C1879" s="3" t="s">
        <v>2304</v>
      </c>
      <c r="I1879" s="3">
        <v>18</v>
      </c>
      <c r="J1879" s="3">
        <v>6</v>
      </c>
      <c r="K1879" s="3">
        <v>1</v>
      </c>
      <c r="L1879" s="3">
        <v>6</v>
      </c>
      <c r="M1879" s="3">
        <v>11700</v>
      </c>
      <c r="N1879" s="3">
        <v>70.2</v>
      </c>
      <c r="O1879" s="3">
        <v>2</v>
      </c>
      <c r="P1879" s="3">
        <v>140.4</v>
      </c>
      <c r="Q1879" s="3">
        <v>11700</v>
      </c>
    </row>
    <row r="1880" spans="1:17" ht="24.95" hidden="1" customHeight="1" x14ac:dyDescent="0.25">
      <c r="A1880" s="3">
        <v>6</v>
      </c>
      <c r="B1880" s="3" t="s">
        <v>431</v>
      </c>
      <c r="C1880" s="3" t="s">
        <v>2313</v>
      </c>
      <c r="I1880" s="3">
        <v>18</v>
      </c>
      <c r="J1880" s="3">
        <v>6</v>
      </c>
      <c r="K1880" s="3">
        <v>1</v>
      </c>
      <c r="L1880" s="3">
        <v>6</v>
      </c>
      <c r="M1880" s="3">
        <v>2060</v>
      </c>
      <c r="N1880" s="3">
        <v>12.36</v>
      </c>
      <c r="O1880" s="3">
        <v>2</v>
      </c>
      <c r="P1880" s="3">
        <v>24.72</v>
      </c>
      <c r="Q1880" s="3">
        <v>2060</v>
      </c>
    </row>
    <row r="1881" spans="1:17" ht="24.95" hidden="1" customHeight="1" x14ac:dyDescent="0.25">
      <c r="A1881" s="3">
        <v>6</v>
      </c>
      <c r="B1881" s="3" t="s">
        <v>431</v>
      </c>
      <c r="C1881" s="3" t="s">
        <v>2314</v>
      </c>
      <c r="I1881" s="3">
        <v>14</v>
      </c>
      <c r="J1881" s="3">
        <v>948</v>
      </c>
      <c r="K1881" s="3">
        <v>1</v>
      </c>
      <c r="L1881" s="3">
        <v>948</v>
      </c>
      <c r="M1881" s="3">
        <v>3370</v>
      </c>
      <c r="N1881" s="3">
        <v>3194.76</v>
      </c>
      <c r="O1881" s="3">
        <v>1.21</v>
      </c>
      <c r="P1881" s="3">
        <v>3865.6596</v>
      </c>
      <c r="Q1881" s="3">
        <v>3370</v>
      </c>
    </row>
    <row r="1882" spans="1:17" ht="24.95" hidden="1" customHeight="1" x14ac:dyDescent="0.25">
      <c r="A1882" s="3">
        <v>6</v>
      </c>
      <c r="B1882" s="3" t="s">
        <v>431</v>
      </c>
      <c r="C1882" s="3" t="s">
        <v>2315</v>
      </c>
      <c r="I1882" s="3">
        <v>32</v>
      </c>
      <c r="J1882" s="3">
        <v>69</v>
      </c>
      <c r="K1882" s="3">
        <v>1</v>
      </c>
      <c r="L1882" s="3">
        <v>69</v>
      </c>
      <c r="M1882" s="3">
        <v>3090</v>
      </c>
      <c r="N1882" s="3">
        <v>213.21</v>
      </c>
      <c r="O1882" s="3">
        <v>6.31</v>
      </c>
      <c r="P1882" s="3">
        <v>1345.3551</v>
      </c>
      <c r="Q1882" s="3">
        <v>3090</v>
      </c>
    </row>
    <row r="1883" spans="1:17" ht="24.95" hidden="1" customHeight="1" x14ac:dyDescent="0.25">
      <c r="A1883" s="3">
        <v>6</v>
      </c>
      <c r="B1883" s="3" t="s">
        <v>431</v>
      </c>
      <c r="C1883" s="3" t="s">
        <v>2316</v>
      </c>
      <c r="I1883" s="3">
        <v>14</v>
      </c>
      <c r="J1883" s="3">
        <v>30</v>
      </c>
      <c r="K1883" s="3">
        <v>1</v>
      </c>
      <c r="L1883" s="3">
        <v>30</v>
      </c>
      <c r="M1883" s="3">
        <v>11700</v>
      </c>
      <c r="N1883" s="3">
        <v>351</v>
      </c>
      <c r="O1883" s="3">
        <v>1.21</v>
      </c>
      <c r="P1883" s="3">
        <v>424.71</v>
      </c>
      <c r="Q1883" s="3">
        <v>11700</v>
      </c>
    </row>
    <row r="1884" spans="1:17" ht="24.95" hidden="1" customHeight="1" x14ac:dyDescent="0.25">
      <c r="A1884" s="3">
        <v>6</v>
      </c>
      <c r="B1884" s="3" t="s">
        <v>431</v>
      </c>
      <c r="C1884" s="3" t="s">
        <v>2317</v>
      </c>
      <c r="I1884" s="3">
        <v>14</v>
      </c>
      <c r="J1884" s="3">
        <v>30</v>
      </c>
      <c r="K1884" s="3">
        <v>1</v>
      </c>
      <c r="L1884" s="3">
        <v>30</v>
      </c>
      <c r="M1884" s="3">
        <v>11700</v>
      </c>
      <c r="N1884" s="3">
        <v>351</v>
      </c>
      <c r="O1884" s="3">
        <v>1.21</v>
      </c>
      <c r="P1884" s="3">
        <v>424.71</v>
      </c>
      <c r="Q1884" s="3">
        <v>11700</v>
      </c>
    </row>
    <row r="1885" spans="1:17" ht="24.95" hidden="1" customHeight="1" x14ac:dyDescent="0.25">
      <c r="A1885" s="3">
        <v>6</v>
      </c>
      <c r="B1885" s="3" t="s">
        <v>431</v>
      </c>
      <c r="C1885" s="3" t="s">
        <v>2318</v>
      </c>
      <c r="I1885" s="3">
        <v>14</v>
      </c>
      <c r="J1885" s="3">
        <v>30</v>
      </c>
      <c r="K1885" s="3">
        <v>1</v>
      </c>
      <c r="L1885" s="3">
        <v>30</v>
      </c>
      <c r="M1885" s="3">
        <v>11700</v>
      </c>
      <c r="N1885" s="3">
        <v>351</v>
      </c>
      <c r="O1885" s="3">
        <v>1.21</v>
      </c>
      <c r="P1885" s="3">
        <v>424.71</v>
      </c>
      <c r="Q1885" s="3">
        <v>11700</v>
      </c>
    </row>
    <row r="1886" spans="1:17" ht="24.95" hidden="1" customHeight="1" x14ac:dyDescent="0.25">
      <c r="A1886" s="3">
        <v>6</v>
      </c>
      <c r="B1886" s="3" t="s">
        <v>431</v>
      </c>
      <c r="C1886" s="3" t="s">
        <v>2319</v>
      </c>
      <c r="I1886" s="3">
        <v>14</v>
      </c>
      <c r="J1886" s="3">
        <v>30</v>
      </c>
      <c r="K1886" s="3">
        <v>1</v>
      </c>
      <c r="L1886" s="3">
        <v>30</v>
      </c>
      <c r="M1886" s="3">
        <v>11700</v>
      </c>
      <c r="N1886" s="3">
        <v>351</v>
      </c>
      <c r="O1886" s="3">
        <v>1.21</v>
      </c>
      <c r="P1886" s="3">
        <v>424.71</v>
      </c>
      <c r="Q1886" s="3">
        <v>11700</v>
      </c>
    </row>
    <row r="1887" spans="1:17" ht="24.95" hidden="1" customHeight="1" x14ac:dyDescent="0.25">
      <c r="A1887" s="3">
        <v>6</v>
      </c>
      <c r="B1887" s="3" t="s">
        <v>431</v>
      </c>
      <c r="C1887" s="3" t="s">
        <v>2320</v>
      </c>
      <c r="I1887" s="3">
        <v>14</v>
      </c>
      <c r="J1887" s="3">
        <v>30</v>
      </c>
      <c r="K1887" s="3">
        <v>1</v>
      </c>
      <c r="L1887" s="3">
        <v>30</v>
      </c>
      <c r="M1887" s="3">
        <v>8920</v>
      </c>
      <c r="N1887" s="3">
        <v>267.60000000000002</v>
      </c>
      <c r="O1887" s="3">
        <v>1.21</v>
      </c>
      <c r="P1887" s="3">
        <v>323.79599999999999</v>
      </c>
      <c r="Q1887" s="3">
        <v>8920</v>
      </c>
    </row>
    <row r="1888" spans="1:17" ht="24.95" hidden="1" customHeight="1" x14ac:dyDescent="0.25">
      <c r="A1888" s="3">
        <v>6</v>
      </c>
      <c r="B1888" s="3" t="s">
        <v>431</v>
      </c>
      <c r="C1888" s="3" t="s">
        <v>2321</v>
      </c>
      <c r="I1888" s="3">
        <v>14</v>
      </c>
      <c r="J1888" s="3">
        <v>24</v>
      </c>
      <c r="K1888" s="3">
        <v>1</v>
      </c>
      <c r="L1888" s="3">
        <v>24</v>
      </c>
      <c r="M1888" s="3">
        <v>11700</v>
      </c>
      <c r="N1888" s="3">
        <v>280.8</v>
      </c>
      <c r="O1888" s="3">
        <v>1.21</v>
      </c>
      <c r="P1888" s="3">
        <v>339.76800000000003</v>
      </c>
      <c r="Q1888" s="3">
        <v>11700</v>
      </c>
    </row>
    <row r="1889" spans="1:17" ht="24.95" hidden="1" customHeight="1" x14ac:dyDescent="0.25">
      <c r="A1889" s="3">
        <v>6</v>
      </c>
      <c r="B1889" s="3" t="s">
        <v>431</v>
      </c>
      <c r="C1889" s="3" t="s">
        <v>2322</v>
      </c>
      <c r="I1889" s="3">
        <v>14</v>
      </c>
      <c r="J1889" s="3">
        <v>24</v>
      </c>
      <c r="K1889" s="3">
        <v>1</v>
      </c>
      <c r="L1889" s="3">
        <v>24</v>
      </c>
      <c r="M1889" s="3">
        <v>11700</v>
      </c>
      <c r="N1889" s="3">
        <v>280.8</v>
      </c>
      <c r="O1889" s="3">
        <v>1.21</v>
      </c>
      <c r="P1889" s="3">
        <v>339.76800000000003</v>
      </c>
      <c r="Q1889" s="3">
        <v>11700</v>
      </c>
    </row>
    <row r="1890" spans="1:17" ht="24.95" hidden="1" customHeight="1" x14ac:dyDescent="0.25">
      <c r="A1890" s="3">
        <v>6</v>
      </c>
      <c r="B1890" s="3" t="s">
        <v>431</v>
      </c>
      <c r="C1890" s="3" t="s">
        <v>2323</v>
      </c>
      <c r="I1890" s="3">
        <v>14</v>
      </c>
      <c r="J1890" s="3">
        <v>24</v>
      </c>
      <c r="K1890" s="3">
        <v>1</v>
      </c>
      <c r="L1890" s="3">
        <v>24</v>
      </c>
      <c r="M1890" s="3">
        <v>11700</v>
      </c>
      <c r="N1890" s="3">
        <v>280.8</v>
      </c>
      <c r="O1890" s="3">
        <v>1.21</v>
      </c>
      <c r="P1890" s="3">
        <v>339.76800000000003</v>
      </c>
      <c r="Q1890" s="3">
        <v>11700</v>
      </c>
    </row>
    <row r="1891" spans="1:17" ht="24.95" hidden="1" customHeight="1" x14ac:dyDescent="0.25">
      <c r="A1891" s="3">
        <v>6</v>
      </c>
      <c r="B1891" s="3" t="s">
        <v>431</v>
      </c>
      <c r="C1891" s="3" t="s">
        <v>2324</v>
      </c>
      <c r="I1891" s="3">
        <v>14</v>
      </c>
      <c r="J1891" s="3">
        <v>24</v>
      </c>
      <c r="K1891" s="3">
        <v>1</v>
      </c>
      <c r="L1891" s="3">
        <v>24</v>
      </c>
      <c r="M1891" s="3">
        <v>11700</v>
      </c>
      <c r="N1891" s="3">
        <v>280.8</v>
      </c>
      <c r="O1891" s="3">
        <v>1.21</v>
      </c>
      <c r="P1891" s="3">
        <v>339.76800000000003</v>
      </c>
      <c r="Q1891" s="3">
        <v>11700</v>
      </c>
    </row>
    <row r="1892" spans="1:17" ht="24.95" hidden="1" customHeight="1" x14ac:dyDescent="0.25">
      <c r="A1892" s="3">
        <v>6</v>
      </c>
      <c r="B1892" s="3" t="s">
        <v>431</v>
      </c>
      <c r="C1892" s="3" t="s">
        <v>2316</v>
      </c>
      <c r="I1892" s="3">
        <v>14</v>
      </c>
      <c r="J1892" s="3">
        <v>24</v>
      </c>
      <c r="K1892" s="3">
        <v>1</v>
      </c>
      <c r="L1892" s="3">
        <v>24</v>
      </c>
      <c r="M1892" s="3">
        <v>2780</v>
      </c>
      <c r="N1892" s="3">
        <v>66.72</v>
      </c>
      <c r="O1892" s="3">
        <v>1.21</v>
      </c>
      <c r="P1892" s="3">
        <v>80.731200000000001</v>
      </c>
      <c r="Q1892" s="3">
        <v>2780</v>
      </c>
    </row>
    <row r="1893" spans="1:17" ht="24.95" hidden="1" customHeight="1" x14ac:dyDescent="0.25">
      <c r="A1893" s="3">
        <v>6</v>
      </c>
      <c r="B1893" s="3" t="s">
        <v>431</v>
      </c>
      <c r="C1893" s="3" t="s">
        <v>2325</v>
      </c>
      <c r="I1893" s="3">
        <v>14</v>
      </c>
      <c r="J1893" s="3">
        <v>24</v>
      </c>
      <c r="K1893" s="3">
        <v>1</v>
      </c>
      <c r="L1893" s="3">
        <v>24</v>
      </c>
      <c r="M1893" s="3">
        <v>6770</v>
      </c>
      <c r="N1893" s="3">
        <v>162.47999999999999</v>
      </c>
      <c r="O1893" s="3">
        <v>1.21</v>
      </c>
      <c r="P1893" s="3">
        <v>196.60079999999999</v>
      </c>
      <c r="Q1893" s="3">
        <v>6770</v>
      </c>
    </row>
    <row r="1894" spans="1:17" ht="24.95" hidden="1" customHeight="1" x14ac:dyDescent="0.25">
      <c r="A1894" s="3">
        <v>6</v>
      </c>
      <c r="B1894" s="3" t="s">
        <v>455</v>
      </c>
      <c r="C1894" s="3" t="s">
        <v>2326</v>
      </c>
      <c r="I1894" s="3">
        <v>32</v>
      </c>
      <c r="J1894" s="3">
        <v>10</v>
      </c>
      <c r="K1894" s="3">
        <v>1</v>
      </c>
      <c r="L1894" s="3">
        <v>10</v>
      </c>
      <c r="M1894" s="3">
        <v>9565</v>
      </c>
      <c r="N1894" s="3">
        <v>95.65</v>
      </c>
      <c r="O1894" s="3">
        <v>6.31</v>
      </c>
      <c r="P1894" s="3">
        <v>603.55150000000003</v>
      </c>
      <c r="Q1894" s="3">
        <v>9565</v>
      </c>
    </row>
    <row r="1895" spans="1:17" ht="24.95" hidden="1" customHeight="1" x14ac:dyDescent="0.25">
      <c r="A1895" s="3">
        <v>6</v>
      </c>
      <c r="B1895" s="3" t="s">
        <v>455</v>
      </c>
      <c r="C1895" s="3" t="s">
        <v>2327</v>
      </c>
      <c r="I1895" s="3">
        <v>32</v>
      </c>
      <c r="J1895" s="3">
        <v>10</v>
      </c>
      <c r="K1895" s="3">
        <v>1</v>
      </c>
      <c r="L1895" s="3">
        <v>10</v>
      </c>
      <c r="M1895" s="3">
        <v>11700</v>
      </c>
      <c r="N1895" s="3">
        <v>117</v>
      </c>
      <c r="O1895" s="3">
        <v>6.31</v>
      </c>
      <c r="P1895" s="3">
        <v>738.27</v>
      </c>
      <c r="Q1895" s="3">
        <v>11700</v>
      </c>
    </row>
    <row r="1896" spans="1:17" ht="24.95" hidden="1" customHeight="1" x14ac:dyDescent="0.25">
      <c r="A1896" s="3">
        <v>6</v>
      </c>
      <c r="B1896" s="3" t="s">
        <v>455</v>
      </c>
      <c r="C1896" s="3" t="s">
        <v>2328</v>
      </c>
      <c r="I1896" s="3">
        <v>32</v>
      </c>
      <c r="J1896" s="3">
        <v>10</v>
      </c>
      <c r="K1896" s="3">
        <v>1</v>
      </c>
      <c r="L1896" s="3">
        <v>10</v>
      </c>
      <c r="M1896" s="3">
        <v>10000</v>
      </c>
      <c r="N1896" s="3">
        <v>100</v>
      </c>
      <c r="O1896" s="3">
        <v>6.31</v>
      </c>
      <c r="P1896" s="3">
        <v>631</v>
      </c>
      <c r="Q1896" s="3">
        <v>10000</v>
      </c>
    </row>
    <row r="1897" spans="1:17" ht="24.95" hidden="1" customHeight="1" x14ac:dyDescent="0.25">
      <c r="A1897" s="3">
        <v>6</v>
      </c>
      <c r="B1897" s="3" t="s">
        <v>455</v>
      </c>
      <c r="C1897" s="3" t="s">
        <v>2329</v>
      </c>
      <c r="I1897" s="3">
        <v>32</v>
      </c>
      <c r="J1897" s="3">
        <v>11</v>
      </c>
      <c r="K1897" s="3">
        <v>1</v>
      </c>
      <c r="L1897" s="3">
        <v>11</v>
      </c>
      <c r="M1897" s="3">
        <v>11700</v>
      </c>
      <c r="N1897" s="3">
        <v>128.69999999999999</v>
      </c>
      <c r="O1897" s="3">
        <v>6.31</v>
      </c>
      <c r="P1897" s="3">
        <v>812.09699999999987</v>
      </c>
      <c r="Q1897" s="3">
        <v>11700</v>
      </c>
    </row>
    <row r="1898" spans="1:17" ht="24.95" hidden="1" customHeight="1" x14ac:dyDescent="0.25">
      <c r="A1898" s="3">
        <v>6</v>
      </c>
      <c r="B1898" s="3" t="s">
        <v>455</v>
      </c>
      <c r="C1898" s="3" t="s">
        <v>2330</v>
      </c>
      <c r="I1898" s="3">
        <v>32</v>
      </c>
      <c r="J1898" s="3">
        <v>11</v>
      </c>
      <c r="K1898" s="3">
        <v>1</v>
      </c>
      <c r="L1898" s="3">
        <v>11</v>
      </c>
      <c r="M1898" s="3">
        <v>7825</v>
      </c>
      <c r="N1898" s="3">
        <v>86.075000000000003</v>
      </c>
      <c r="O1898" s="3">
        <v>6.31</v>
      </c>
      <c r="P1898" s="3">
        <v>543.13324999999998</v>
      </c>
      <c r="Q1898" s="3">
        <v>7825</v>
      </c>
    </row>
    <row r="1899" spans="1:17" ht="24.95" hidden="1" customHeight="1" x14ac:dyDescent="0.25">
      <c r="A1899" s="3">
        <v>6</v>
      </c>
      <c r="B1899" s="3" t="s">
        <v>455</v>
      </c>
      <c r="C1899" s="3" t="s">
        <v>2331</v>
      </c>
      <c r="I1899" s="3">
        <v>32</v>
      </c>
      <c r="J1899" s="3">
        <v>11</v>
      </c>
      <c r="K1899" s="3">
        <v>1</v>
      </c>
      <c r="L1899" s="3">
        <v>11</v>
      </c>
      <c r="M1899" s="3">
        <v>11700</v>
      </c>
      <c r="N1899" s="3">
        <v>128.69999999999999</v>
      </c>
      <c r="O1899" s="3">
        <v>6.31</v>
      </c>
      <c r="P1899" s="3">
        <v>812.09699999999987</v>
      </c>
      <c r="Q1899" s="3">
        <v>11700</v>
      </c>
    </row>
    <row r="1900" spans="1:17" ht="24.95" hidden="1" customHeight="1" x14ac:dyDescent="0.25">
      <c r="A1900" s="3">
        <v>6</v>
      </c>
      <c r="B1900" s="3" t="s">
        <v>455</v>
      </c>
      <c r="C1900" s="3" t="s">
        <v>2332</v>
      </c>
      <c r="I1900" s="3">
        <v>32</v>
      </c>
      <c r="J1900" s="3">
        <v>7</v>
      </c>
      <c r="K1900" s="3">
        <v>1</v>
      </c>
      <c r="L1900" s="3">
        <v>7</v>
      </c>
      <c r="M1900" s="3">
        <v>11700</v>
      </c>
      <c r="N1900" s="3">
        <v>81.900000000000006</v>
      </c>
      <c r="O1900" s="3">
        <v>6.31</v>
      </c>
      <c r="P1900" s="3">
        <v>516.78899999999999</v>
      </c>
      <c r="Q1900" s="3">
        <v>11700</v>
      </c>
    </row>
    <row r="1901" spans="1:17" ht="24.95" hidden="1" customHeight="1" x14ac:dyDescent="0.25">
      <c r="A1901" s="3">
        <v>6</v>
      </c>
      <c r="B1901" s="3" t="s">
        <v>455</v>
      </c>
      <c r="C1901" s="3" t="s">
        <v>2333</v>
      </c>
      <c r="I1901" s="3">
        <v>32</v>
      </c>
      <c r="J1901" s="3">
        <v>7</v>
      </c>
      <c r="K1901" s="3">
        <v>1</v>
      </c>
      <c r="L1901" s="3">
        <v>7</v>
      </c>
      <c r="M1901" s="3">
        <v>11335</v>
      </c>
      <c r="N1901" s="3">
        <v>79.344999999999999</v>
      </c>
      <c r="O1901" s="3">
        <v>6.31</v>
      </c>
      <c r="P1901" s="3">
        <v>500.66694999999999</v>
      </c>
      <c r="Q1901" s="3">
        <v>11335</v>
      </c>
    </row>
    <row r="1902" spans="1:17" ht="24.95" hidden="1" customHeight="1" x14ac:dyDescent="0.25">
      <c r="A1902" s="3">
        <v>6</v>
      </c>
      <c r="B1902" s="3" t="s">
        <v>455</v>
      </c>
      <c r="C1902" s="3" t="s">
        <v>2334</v>
      </c>
      <c r="I1902" s="3">
        <v>32</v>
      </c>
      <c r="J1902" s="3">
        <v>7</v>
      </c>
      <c r="K1902" s="3">
        <v>1</v>
      </c>
      <c r="L1902" s="3">
        <v>7</v>
      </c>
      <c r="M1902" s="3">
        <v>8635</v>
      </c>
      <c r="N1902" s="3">
        <v>60.445</v>
      </c>
      <c r="O1902" s="3">
        <v>6.31</v>
      </c>
      <c r="P1902" s="3">
        <v>381.40794999999997</v>
      </c>
      <c r="Q1902" s="3">
        <v>8635</v>
      </c>
    </row>
    <row r="1903" spans="1:17" ht="24.95" hidden="1" customHeight="1" x14ac:dyDescent="0.25">
      <c r="A1903" s="3">
        <v>6</v>
      </c>
      <c r="B1903" s="3" t="s">
        <v>455</v>
      </c>
      <c r="C1903" s="3" t="s">
        <v>2335</v>
      </c>
      <c r="I1903" s="3">
        <v>32</v>
      </c>
      <c r="J1903" s="3">
        <v>7</v>
      </c>
      <c r="K1903" s="3">
        <v>1</v>
      </c>
      <c r="L1903" s="3">
        <v>7</v>
      </c>
      <c r="M1903" s="3">
        <v>9000</v>
      </c>
      <c r="N1903" s="3">
        <v>63</v>
      </c>
      <c r="O1903" s="3">
        <v>6.31</v>
      </c>
      <c r="P1903" s="3">
        <v>397.53</v>
      </c>
      <c r="Q1903" s="3">
        <v>9000</v>
      </c>
    </row>
    <row r="1904" spans="1:17" ht="24.95" hidden="1" customHeight="1" x14ac:dyDescent="0.25">
      <c r="A1904" s="3">
        <v>6</v>
      </c>
      <c r="B1904" s="3" t="s">
        <v>455</v>
      </c>
      <c r="C1904" s="3" t="s">
        <v>2336</v>
      </c>
      <c r="I1904" s="3">
        <v>32</v>
      </c>
      <c r="J1904" s="3">
        <v>7</v>
      </c>
      <c r="K1904" s="3">
        <v>1</v>
      </c>
      <c r="L1904" s="3">
        <v>7</v>
      </c>
      <c r="M1904" s="3">
        <v>10425</v>
      </c>
      <c r="N1904" s="3">
        <v>72.974999999999994</v>
      </c>
      <c r="O1904" s="3">
        <v>6.31</v>
      </c>
      <c r="P1904" s="3">
        <v>460.47224999999992</v>
      </c>
      <c r="Q1904" s="3">
        <v>10425</v>
      </c>
    </row>
    <row r="1905" spans="1:17" ht="24.95" hidden="1" customHeight="1" x14ac:dyDescent="0.25">
      <c r="A1905" s="3">
        <v>6</v>
      </c>
      <c r="B1905" s="3" t="s">
        <v>455</v>
      </c>
      <c r="C1905" s="3" t="s">
        <v>2337</v>
      </c>
      <c r="I1905" s="3">
        <v>32</v>
      </c>
      <c r="J1905" s="3">
        <v>6</v>
      </c>
      <c r="K1905" s="3">
        <v>1</v>
      </c>
      <c r="L1905" s="3">
        <v>6</v>
      </c>
      <c r="M1905" s="3">
        <v>10425</v>
      </c>
      <c r="N1905" s="3">
        <v>62.55</v>
      </c>
      <c r="O1905" s="3">
        <v>6.31</v>
      </c>
      <c r="P1905" s="3">
        <v>394.69049999999999</v>
      </c>
      <c r="Q1905" s="3">
        <v>10425</v>
      </c>
    </row>
    <row r="1906" spans="1:17" ht="24.95" hidden="1" customHeight="1" x14ac:dyDescent="0.25">
      <c r="A1906" s="3">
        <v>6</v>
      </c>
      <c r="B1906" s="3" t="s">
        <v>455</v>
      </c>
      <c r="C1906" s="3" t="s">
        <v>2338</v>
      </c>
      <c r="I1906" s="3">
        <v>32</v>
      </c>
      <c r="J1906" s="3">
        <v>11</v>
      </c>
      <c r="K1906" s="3">
        <v>1</v>
      </c>
      <c r="L1906" s="3">
        <v>11</v>
      </c>
      <c r="M1906" s="3">
        <v>5850</v>
      </c>
      <c r="N1906" s="3">
        <v>64.349999999999994</v>
      </c>
      <c r="O1906" s="3">
        <v>6.31</v>
      </c>
      <c r="P1906" s="3">
        <v>406.04849999999993</v>
      </c>
      <c r="Q1906" s="3">
        <v>5850</v>
      </c>
    </row>
    <row r="1907" spans="1:17" ht="24.95" hidden="1" customHeight="1" x14ac:dyDescent="0.25">
      <c r="A1907" s="3">
        <v>6</v>
      </c>
      <c r="B1907" s="3" t="s">
        <v>455</v>
      </c>
      <c r="C1907" s="3" t="s">
        <v>2339</v>
      </c>
      <c r="I1907" s="3">
        <v>32</v>
      </c>
      <c r="J1907" s="3">
        <v>11</v>
      </c>
      <c r="K1907" s="3">
        <v>1</v>
      </c>
      <c r="L1907" s="3">
        <v>11</v>
      </c>
      <c r="M1907" s="3">
        <v>11700</v>
      </c>
      <c r="N1907" s="3">
        <v>128.69999999999999</v>
      </c>
      <c r="O1907" s="3">
        <v>6.31</v>
      </c>
      <c r="P1907" s="3">
        <v>812.09699999999987</v>
      </c>
      <c r="Q1907" s="3">
        <v>11700</v>
      </c>
    </row>
    <row r="1908" spans="1:17" ht="24.95" hidden="1" customHeight="1" x14ac:dyDescent="0.25">
      <c r="A1908" s="3">
        <v>6</v>
      </c>
      <c r="B1908" s="3" t="s">
        <v>455</v>
      </c>
      <c r="C1908" s="3" t="s">
        <v>2340</v>
      </c>
      <c r="I1908" s="3">
        <v>32</v>
      </c>
      <c r="J1908" s="3">
        <v>11</v>
      </c>
      <c r="K1908" s="3">
        <v>1</v>
      </c>
      <c r="L1908" s="3">
        <v>11</v>
      </c>
      <c r="M1908" s="3">
        <v>7740</v>
      </c>
      <c r="N1908" s="3">
        <v>85.14</v>
      </c>
      <c r="O1908" s="3">
        <v>6.31</v>
      </c>
      <c r="P1908" s="3">
        <v>537.23339999999996</v>
      </c>
      <c r="Q1908" s="3">
        <v>7740</v>
      </c>
    </row>
    <row r="1909" spans="1:17" ht="24.95" hidden="1" customHeight="1" x14ac:dyDescent="0.25">
      <c r="A1909" s="3">
        <v>6</v>
      </c>
      <c r="B1909" s="3" t="s">
        <v>455</v>
      </c>
      <c r="C1909" s="3" t="s">
        <v>2341</v>
      </c>
      <c r="I1909" s="3">
        <v>32</v>
      </c>
      <c r="J1909" s="3">
        <v>11</v>
      </c>
      <c r="K1909" s="3">
        <v>1</v>
      </c>
      <c r="L1909" s="3">
        <v>11</v>
      </c>
      <c r="M1909" s="3">
        <v>7600</v>
      </c>
      <c r="N1909" s="3">
        <v>83.6</v>
      </c>
      <c r="O1909" s="3">
        <v>6.31</v>
      </c>
      <c r="P1909" s="3">
        <v>527.51599999999996</v>
      </c>
      <c r="Q1909" s="3">
        <v>7600</v>
      </c>
    </row>
    <row r="1910" spans="1:17" ht="24.95" hidden="1" customHeight="1" x14ac:dyDescent="0.25">
      <c r="A1910" s="3">
        <v>6</v>
      </c>
      <c r="B1910" s="3" t="s">
        <v>455</v>
      </c>
      <c r="C1910" s="3" t="s">
        <v>2342</v>
      </c>
      <c r="I1910" s="3">
        <v>32</v>
      </c>
      <c r="J1910" s="3">
        <v>10</v>
      </c>
      <c r="K1910" s="3">
        <v>1</v>
      </c>
      <c r="L1910" s="3">
        <v>10</v>
      </c>
      <c r="M1910" s="3">
        <v>7610</v>
      </c>
      <c r="N1910" s="3">
        <v>76.099999999999994</v>
      </c>
      <c r="O1910" s="3">
        <v>6.31</v>
      </c>
      <c r="P1910" s="3">
        <v>480.19099999999992</v>
      </c>
      <c r="Q1910" s="3">
        <v>7610</v>
      </c>
    </row>
    <row r="1911" spans="1:17" ht="24.95" hidden="1" customHeight="1" x14ac:dyDescent="0.25">
      <c r="A1911" s="3">
        <v>6</v>
      </c>
      <c r="B1911" s="3" t="s">
        <v>455</v>
      </c>
      <c r="C1911" s="3" t="s">
        <v>2343</v>
      </c>
      <c r="I1911" s="3">
        <v>32</v>
      </c>
      <c r="J1911" s="3">
        <v>10</v>
      </c>
      <c r="K1911" s="3">
        <v>1</v>
      </c>
      <c r="L1911" s="3">
        <v>10</v>
      </c>
      <c r="M1911" s="3">
        <v>8180</v>
      </c>
      <c r="N1911" s="3">
        <v>81.8</v>
      </c>
      <c r="O1911" s="3">
        <v>6.31</v>
      </c>
      <c r="P1911" s="3">
        <v>516.1579999999999</v>
      </c>
      <c r="Q1911" s="3">
        <v>8180</v>
      </c>
    </row>
    <row r="1912" spans="1:17" ht="24.95" hidden="1" customHeight="1" x14ac:dyDescent="0.25">
      <c r="A1912" s="3">
        <v>6</v>
      </c>
      <c r="B1912" s="3" t="s">
        <v>455</v>
      </c>
      <c r="C1912" s="3" t="s">
        <v>2344</v>
      </c>
      <c r="I1912" s="3">
        <v>32</v>
      </c>
      <c r="J1912" s="3">
        <v>10</v>
      </c>
      <c r="K1912" s="3">
        <v>1</v>
      </c>
      <c r="L1912" s="3">
        <v>10</v>
      </c>
      <c r="M1912" s="3">
        <v>11260</v>
      </c>
      <c r="N1912" s="3">
        <v>112.6</v>
      </c>
      <c r="O1912" s="3">
        <v>6.31</v>
      </c>
      <c r="P1912" s="3">
        <v>710.50599999999997</v>
      </c>
      <c r="Q1912" s="3">
        <v>11260</v>
      </c>
    </row>
    <row r="1913" spans="1:17" ht="24.95" hidden="1" customHeight="1" x14ac:dyDescent="0.25">
      <c r="A1913" s="3">
        <v>6</v>
      </c>
      <c r="B1913" s="3" t="s">
        <v>455</v>
      </c>
      <c r="C1913" s="3" t="s">
        <v>2345</v>
      </c>
      <c r="I1913" s="3">
        <v>32</v>
      </c>
      <c r="J1913" s="3">
        <v>10</v>
      </c>
      <c r="K1913" s="3">
        <v>1</v>
      </c>
      <c r="L1913" s="3">
        <v>10</v>
      </c>
      <c r="M1913" s="3">
        <v>5840</v>
      </c>
      <c r="N1913" s="3">
        <v>58.4</v>
      </c>
      <c r="O1913" s="3">
        <v>6.31</v>
      </c>
      <c r="P1913" s="3">
        <v>368.50399999999996</v>
      </c>
      <c r="Q1913" s="3">
        <v>5840</v>
      </c>
    </row>
    <row r="1914" spans="1:17" ht="24.95" hidden="1" customHeight="1" x14ac:dyDescent="0.25">
      <c r="A1914" s="3">
        <v>6</v>
      </c>
      <c r="B1914" s="3" t="s">
        <v>455</v>
      </c>
      <c r="C1914" s="3" t="s">
        <v>2346</v>
      </c>
      <c r="I1914" s="3">
        <v>32</v>
      </c>
      <c r="J1914" s="3">
        <v>10</v>
      </c>
      <c r="K1914" s="3">
        <v>1</v>
      </c>
      <c r="L1914" s="3">
        <v>10</v>
      </c>
      <c r="M1914" s="3">
        <v>4300</v>
      </c>
      <c r="N1914" s="3">
        <v>43</v>
      </c>
      <c r="O1914" s="3">
        <v>6.31</v>
      </c>
      <c r="P1914" s="3">
        <v>271.33</v>
      </c>
      <c r="Q1914" s="3">
        <v>4300</v>
      </c>
    </row>
    <row r="1915" spans="1:17" ht="24.95" hidden="1" customHeight="1" x14ac:dyDescent="0.25">
      <c r="A1915" s="3">
        <v>6</v>
      </c>
      <c r="B1915" s="3" t="s">
        <v>455</v>
      </c>
      <c r="C1915" s="3" t="s">
        <v>2347</v>
      </c>
      <c r="I1915" s="3">
        <v>32</v>
      </c>
      <c r="J1915" s="3">
        <v>10</v>
      </c>
      <c r="K1915" s="3">
        <v>1</v>
      </c>
      <c r="L1915" s="3">
        <v>10</v>
      </c>
      <c r="M1915" s="3">
        <v>4300</v>
      </c>
      <c r="N1915" s="3">
        <v>43</v>
      </c>
      <c r="O1915" s="3">
        <v>6.31</v>
      </c>
      <c r="P1915" s="3">
        <v>271.33</v>
      </c>
      <c r="Q1915" s="3">
        <v>4300</v>
      </c>
    </row>
    <row r="1916" spans="1:17" ht="24.95" hidden="1" customHeight="1" x14ac:dyDescent="0.25">
      <c r="A1916" s="3">
        <v>6</v>
      </c>
      <c r="B1916" s="3" t="s">
        <v>455</v>
      </c>
      <c r="C1916" s="3" t="s">
        <v>2348</v>
      </c>
      <c r="I1916" s="3">
        <v>16</v>
      </c>
      <c r="J1916" s="3">
        <v>149</v>
      </c>
      <c r="K1916" s="3">
        <v>1</v>
      </c>
      <c r="L1916" s="3">
        <v>149</v>
      </c>
      <c r="M1916" s="3">
        <v>4730</v>
      </c>
      <c r="N1916" s="3">
        <v>704.77</v>
      </c>
      <c r="O1916" s="3">
        <v>1.58</v>
      </c>
      <c r="P1916" s="3">
        <v>1113.5365999999999</v>
      </c>
      <c r="Q1916" s="3">
        <v>4730</v>
      </c>
    </row>
    <row r="1917" spans="1:17" ht="24.95" hidden="1" customHeight="1" x14ac:dyDescent="0.25">
      <c r="A1917" s="3">
        <v>6</v>
      </c>
      <c r="B1917" s="3" t="s">
        <v>455</v>
      </c>
      <c r="C1917" s="3" t="s">
        <v>2349</v>
      </c>
      <c r="I1917" s="3">
        <v>16</v>
      </c>
      <c r="J1917" s="3">
        <v>149</v>
      </c>
      <c r="K1917" s="3">
        <v>1</v>
      </c>
      <c r="L1917" s="3">
        <v>149</v>
      </c>
      <c r="M1917" s="3">
        <v>8070</v>
      </c>
      <c r="N1917" s="3">
        <v>1202.43</v>
      </c>
      <c r="O1917" s="3">
        <v>1.58</v>
      </c>
      <c r="P1917" s="3">
        <v>1899.8394000000003</v>
      </c>
      <c r="Q1917" s="3">
        <v>8070</v>
      </c>
    </row>
    <row r="1918" spans="1:17" ht="24.95" hidden="1" customHeight="1" x14ac:dyDescent="0.25">
      <c r="A1918" s="3">
        <v>6</v>
      </c>
      <c r="B1918" s="3" t="s">
        <v>455</v>
      </c>
      <c r="C1918" s="3" t="s">
        <v>2350</v>
      </c>
      <c r="I1918" s="3">
        <v>16</v>
      </c>
      <c r="J1918" s="3">
        <v>1341</v>
      </c>
      <c r="K1918" s="3">
        <v>1</v>
      </c>
      <c r="L1918" s="3">
        <v>1341</v>
      </c>
      <c r="M1918" s="3">
        <v>2710</v>
      </c>
      <c r="N1918" s="3">
        <v>3634.11</v>
      </c>
      <c r="O1918" s="3">
        <v>1.58</v>
      </c>
      <c r="P1918" s="3">
        <v>5741.8938000000007</v>
      </c>
      <c r="Q1918" s="3">
        <v>2710</v>
      </c>
    </row>
    <row r="1919" spans="1:17" ht="24.95" hidden="1" customHeight="1" x14ac:dyDescent="0.25">
      <c r="A1919" s="3">
        <v>6</v>
      </c>
      <c r="B1919" s="3" t="s">
        <v>455</v>
      </c>
      <c r="C1919" s="3" t="s">
        <v>2351</v>
      </c>
      <c r="I1919" s="3">
        <v>18</v>
      </c>
      <c r="J1919" s="3">
        <v>6</v>
      </c>
      <c r="K1919" s="3">
        <v>1</v>
      </c>
      <c r="L1919" s="3">
        <v>6</v>
      </c>
      <c r="M1919" s="3">
        <v>11700</v>
      </c>
      <c r="N1919" s="3">
        <v>70.2</v>
      </c>
      <c r="O1919" s="3">
        <v>2</v>
      </c>
      <c r="P1919" s="3">
        <v>140.4</v>
      </c>
      <c r="Q1919" s="3">
        <v>11700</v>
      </c>
    </row>
    <row r="1920" spans="1:17" ht="24.95" hidden="1" customHeight="1" x14ac:dyDescent="0.25">
      <c r="A1920" s="3">
        <v>6</v>
      </c>
      <c r="B1920" s="3" t="s">
        <v>455</v>
      </c>
      <c r="C1920" s="3" t="s">
        <v>2352</v>
      </c>
      <c r="I1920" s="3">
        <v>18</v>
      </c>
      <c r="J1920" s="3">
        <v>6</v>
      </c>
      <c r="K1920" s="3">
        <v>1</v>
      </c>
      <c r="L1920" s="3">
        <v>6</v>
      </c>
      <c r="M1920" s="3">
        <v>11700</v>
      </c>
      <c r="N1920" s="3">
        <v>70.2</v>
      </c>
      <c r="O1920" s="3">
        <v>2</v>
      </c>
      <c r="P1920" s="3">
        <v>140.4</v>
      </c>
      <c r="Q1920" s="3">
        <v>11700</v>
      </c>
    </row>
    <row r="1921" spans="1:17" ht="24.95" hidden="1" customHeight="1" x14ac:dyDescent="0.25">
      <c r="A1921" s="3">
        <v>6</v>
      </c>
      <c r="B1921" s="3" t="s">
        <v>455</v>
      </c>
      <c r="C1921" s="3" t="s">
        <v>2353</v>
      </c>
      <c r="I1921" s="3">
        <v>18</v>
      </c>
      <c r="J1921" s="3">
        <v>6</v>
      </c>
      <c r="K1921" s="3">
        <v>1</v>
      </c>
      <c r="L1921" s="3">
        <v>6</v>
      </c>
      <c r="M1921" s="3">
        <v>2220</v>
      </c>
      <c r="N1921" s="3">
        <v>13.32</v>
      </c>
      <c r="O1921" s="3">
        <v>2</v>
      </c>
      <c r="P1921" s="3">
        <v>26.64</v>
      </c>
      <c r="Q1921" s="3">
        <v>2220</v>
      </c>
    </row>
    <row r="1922" spans="1:17" ht="24.95" hidden="1" customHeight="1" x14ac:dyDescent="0.25">
      <c r="A1922" s="3">
        <v>6</v>
      </c>
      <c r="B1922" s="3" t="s">
        <v>455</v>
      </c>
      <c r="C1922" s="3" t="s">
        <v>2354</v>
      </c>
      <c r="I1922" s="3">
        <v>18</v>
      </c>
      <c r="J1922" s="3">
        <v>6</v>
      </c>
      <c r="K1922" s="3">
        <v>1</v>
      </c>
      <c r="L1922" s="3">
        <v>6</v>
      </c>
      <c r="M1922" s="3">
        <v>4440</v>
      </c>
      <c r="N1922" s="3">
        <v>26.64</v>
      </c>
      <c r="O1922" s="3">
        <v>2</v>
      </c>
      <c r="P1922" s="3">
        <v>53.28</v>
      </c>
      <c r="Q1922" s="3">
        <v>4440</v>
      </c>
    </row>
    <row r="1923" spans="1:17" ht="24.95" hidden="1" customHeight="1" x14ac:dyDescent="0.25">
      <c r="A1923" s="3">
        <v>6</v>
      </c>
      <c r="B1923" s="3" t="s">
        <v>455</v>
      </c>
      <c r="C1923" s="3" t="s">
        <v>2355</v>
      </c>
      <c r="I1923" s="3">
        <v>18</v>
      </c>
      <c r="J1923" s="3">
        <v>6</v>
      </c>
      <c r="K1923" s="3">
        <v>1</v>
      </c>
      <c r="L1923" s="3">
        <v>6</v>
      </c>
      <c r="M1923" s="3">
        <v>11700</v>
      </c>
      <c r="N1923" s="3">
        <v>70.2</v>
      </c>
      <c r="O1923" s="3">
        <v>2</v>
      </c>
      <c r="P1923" s="3">
        <v>140.4</v>
      </c>
      <c r="Q1923" s="3">
        <v>11700</v>
      </c>
    </row>
    <row r="1924" spans="1:17" ht="24.95" hidden="1" customHeight="1" x14ac:dyDescent="0.25">
      <c r="A1924" s="3">
        <v>6</v>
      </c>
      <c r="B1924" s="3" t="s">
        <v>455</v>
      </c>
      <c r="C1924" s="3" t="s">
        <v>2356</v>
      </c>
      <c r="I1924" s="3">
        <v>18</v>
      </c>
      <c r="J1924" s="3">
        <v>6</v>
      </c>
      <c r="K1924" s="3">
        <v>1</v>
      </c>
      <c r="L1924" s="3">
        <v>6</v>
      </c>
      <c r="M1924" s="3">
        <v>9480</v>
      </c>
      <c r="N1924" s="3">
        <v>56.88</v>
      </c>
      <c r="O1924" s="3">
        <v>2</v>
      </c>
      <c r="P1924" s="3">
        <v>113.76</v>
      </c>
      <c r="Q1924" s="3">
        <v>9480</v>
      </c>
    </row>
    <row r="1925" spans="1:17" ht="24.95" hidden="1" customHeight="1" x14ac:dyDescent="0.25">
      <c r="A1925" s="3">
        <v>6</v>
      </c>
      <c r="B1925" s="3" t="s">
        <v>455</v>
      </c>
      <c r="C1925" s="3" t="s">
        <v>2357</v>
      </c>
      <c r="I1925" s="3">
        <v>14</v>
      </c>
      <c r="J1925" s="3">
        <v>480</v>
      </c>
      <c r="K1925" s="3">
        <v>1</v>
      </c>
      <c r="L1925" s="3">
        <v>480</v>
      </c>
      <c r="M1925" s="3">
        <v>3570</v>
      </c>
      <c r="N1925" s="3">
        <v>1713.6</v>
      </c>
      <c r="O1925" s="3">
        <v>1.21</v>
      </c>
      <c r="P1925" s="3">
        <v>2073.4559999999997</v>
      </c>
      <c r="Q1925" s="3">
        <v>3570</v>
      </c>
    </row>
    <row r="1926" spans="1:17" ht="24.95" hidden="1" customHeight="1" x14ac:dyDescent="0.25">
      <c r="A1926" s="3">
        <v>6</v>
      </c>
      <c r="B1926" s="3" t="s">
        <v>455</v>
      </c>
      <c r="C1926" s="3" t="s">
        <v>2358</v>
      </c>
      <c r="I1926" s="3">
        <v>32</v>
      </c>
      <c r="J1926" s="3">
        <v>17</v>
      </c>
      <c r="K1926" s="3">
        <v>1</v>
      </c>
      <c r="L1926" s="3">
        <v>17</v>
      </c>
      <c r="M1926" s="3">
        <v>3290</v>
      </c>
      <c r="N1926" s="3">
        <v>55.93</v>
      </c>
      <c r="O1926" s="3">
        <v>6.31</v>
      </c>
      <c r="P1926" s="3">
        <v>352.91829999999999</v>
      </c>
      <c r="Q1926" s="3">
        <v>3290</v>
      </c>
    </row>
    <row r="1927" spans="1:17" ht="24.95" hidden="1" customHeight="1" x14ac:dyDescent="0.25">
      <c r="A1927" s="3">
        <v>6</v>
      </c>
      <c r="B1927" s="3" t="s">
        <v>455</v>
      </c>
      <c r="C1927" s="3" t="s">
        <v>2359</v>
      </c>
      <c r="I1927" s="3">
        <v>14</v>
      </c>
      <c r="J1927" s="3">
        <v>27</v>
      </c>
      <c r="K1927" s="3">
        <v>1</v>
      </c>
      <c r="L1927" s="3">
        <v>27</v>
      </c>
      <c r="M1927" s="3">
        <v>3720</v>
      </c>
      <c r="N1927" s="3">
        <v>100.44</v>
      </c>
      <c r="O1927" s="3">
        <v>1.21</v>
      </c>
      <c r="P1927" s="3">
        <v>121.5324</v>
      </c>
      <c r="Q1927" s="3">
        <v>3720</v>
      </c>
    </row>
    <row r="1928" spans="1:17" ht="24.95" hidden="1" customHeight="1" x14ac:dyDescent="0.25">
      <c r="A1928" s="3">
        <v>6</v>
      </c>
      <c r="B1928" s="3" t="s">
        <v>455</v>
      </c>
      <c r="C1928" s="3" t="s">
        <v>2360</v>
      </c>
      <c r="I1928" s="3">
        <v>14</v>
      </c>
      <c r="J1928" s="3">
        <v>27</v>
      </c>
      <c r="K1928" s="3">
        <v>1</v>
      </c>
      <c r="L1928" s="3">
        <v>27</v>
      </c>
      <c r="M1928" s="3">
        <v>11700</v>
      </c>
      <c r="N1928" s="3">
        <v>315.89999999999998</v>
      </c>
      <c r="O1928" s="3">
        <v>1.21</v>
      </c>
      <c r="P1928" s="3">
        <v>382.23899999999998</v>
      </c>
      <c r="Q1928" s="3">
        <v>11700</v>
      </c>
    </row>
    <row r="1929" spans="1:17" ht="24.95" hidden="1" customHeight="1" x14ac:dyDescent="0.25">
      <c r="A1929" s="3">
        <v>6</v>
      </c>
      <c r="B1929" s="3" t="s">
        <v>455</v>
      </c>
      <c r="C1929" s="3" t="s">
        <v>2361</v>
      </c>
      <c r="I1929" s="3">
        <v>14</v>
      </c>
      <c r="J1929" s="3">
        <v>27</v>
      </c>
      <c r="K1929" s="3">
        <v>1</v>
      </c>
      <c r="L1929" s="3">
        <v>27</v>
      </c>
      <c r="M1929" s="3">
        <v>9840</v>
      </c>
      <c r="N1929" s="3">
        <v>265.68</v>
      </c>
      <c r="O1929" s="3">
        <v>1.21</v>
      </c>
      <c r="P1929" s="3">
        <v>321.47280000000001</v>
      </c>
      <c r="Q1929" s="3">
        <v>9840</v>
      </c>
    </row>
    <row r="1930" spans="1:17" ht="24.95" hidden="1" customHeight="1" x14ac:dyDescent="0.25">
      <c r="A1930" s="3">
        <v>6</v>
      </c>
      <c r="B1930" s="3" t="s">
        <v>455</v>
      </c>
      <c r="C1930" s="3" t="s">
        <v>2362</v>
      </c>
      <c r="I1930" s="3">
        <v>14</v>
      </c>
      <c r="J1930" s="3">
        <v>27</v>
      </c>
      <c r="K1930" s="3">
        <v>1</v>
      </c>
      <c r="L1930" s="3">
        <v>27</v>
      </c>
      <c r="M1930" s="3">
        <v>11700</v>
      </c>
      <c r="N1930" s="3">
        <v>315.89999999999998</v>
      </c>
      <c r="O1930" s="3">
        <v>1.21</v>
      </c>
      <c r="P1930" s="3">
        <v>382.23899999999998</v>
      </c>
      <c r="Q1930" s="3">
        <v>11700</v>
      </c>
    </row>
    <row r="1931" spans="1:17" ht="24.95" hidden="1" customHeight="1" x14ac:dyDescent="0.25">
      <c r="A1931" s="3">
        <v>6</v>
      </c>
      <c r="B1931" s="3" t="s">
        <v>455</v>
      </c>
      <c r="C1931" s="3" t="s">
        <v>2363</v>
      </c>
      <c r="I1931" s="3">
        <v>14</v>
      </c>
      <c r="J1931" s="3">
        <v>27</v>
      </c>
      <c r="K1931" s="3">
        <v>1</v>
      </c>
      <c r="L1931" s="3">
        <v>27</v>
      </c>
      <c r="M1931" s="3">
        <v>11700</v>
      </c>
      <c r="N1931" s="3">
        <v>315.89999999999998</v>
      </c>
      <c r="O1931" s="3">
        <v>1.21</v>
      </c>
      <c r="P1931" s="3">
        <v>382.23899999999998</v>
      </c>
      <c r="Q1931" s="3">
        <v>11700</v>
      </c>
    </row>
    <row r="1932" spans="1:17" ht="24.95" hidden="1" customHeight="1" x14ac:dyDescent="0.25">
      <c r="A1932" s="3">
        <v>6</v>
      </c>
      <c r="B1932" s="3" t="s">
        <v>455</v>
      </c>
      <c r="C1932" s="3" t="s">
        <v>2364</v>
      </c>
      <c r="I1932" s="3">
        <v>14</v>
      </c>
      <c r="J1932" s="3">
        <v>27</v>
      </c>
      <c r="K1932" s="3">
        <v>1</v>
      </c>
      <c r="L1932" s="3">
        <v>27</v>
      </c>
      <c r="M1932" s="3">
        <v>1860</v>
      </c>
      <c r="N1932" s="3">
        <v>50.22</v>
      </c>
      <c r="O1932" s="3">
        <v>1.21</v>
      </c>
      <c r="P1932" s="3">
        <v>60.766199999999998</v>
      </c>
      <c r="Q1932" s="3">
        <v>1860</v>
      </c>
    </row>
    <row r="1933" spans="1:17" ht="24.95" hidden="1" customHeight="1" x14ac:dyDescent="0.25">
      <c r="A1933" s="3">
        <v>6</v>
      </c>
      <c r="B1933" s="3" t="s">
        <v>456</v>
      </c>
      <c r="C1933" s="3" t="s">
        <v>2365</v>
      </c>
      <c r="I1933" s="3">
        <v>32</v>
      </c>
      <c r="J1933" s="3">
        <v>10</v>
      </c>
      <c r="K1933" s="3">
        <v>1</v>
      </c>
      <c r="L1933" s="3">
        <v>10</v>
      </c>
      <c r="M1933" s="3">
        <v>9700</v>
      </c>
      <c r="N1933" s="3">
        <v>97</v>
      </c>
      <c r="O1933" s="3">
        <v>6.31</v>
      </c>
      <c r="P1933" s="3">
        <v>612.06999999999994</v>
      </c>
      <c r="Q1933" s="3">
        <v>9700</v>
      </c>
    </row>
    <row r="1934" spans="1:17" ht="24.95" hidden="1" customHeight="1" x14ac:dyDescent="0.25">
      <c r="A1934" s="3">
        <v>6</v>
      </c>
      <c r="B1934" s="3" t="s">
        <v>456</v>
      </c>
      <c r="C1934" s="3" t="s">
        <v>2366</v>
      </c>
      <c r="I1934" s="3">
        <v>32</v>
      </c>
      <c r="J1934" s="3">
        <v>10</v>
      </c>
      <c r="K1934" s="3">
        <v>1</v>
      </c>
      <c r="L1934" s="3">
        <v>10</v>
      </c>
      <c r="M1934" s="3">
        <v>11700</v>
      </c>
      <c r="N1934" s="3">
        <v>117</v>
      </c>
      <c r="O1934" s="3">
        <v>6.31</v>
      </c>
      <c r="P1934" s="3">
        <v>738.27</v>
      </c>
      <c r="Q1934" s="3">
        <v>11700</v>
      </c>
    </row>
    <row r="1935" spans="1:17" ht="24.95" hidden="1" customHeight="1" x14ac:dyDescent="0.25">
      <c r="A1935" s="3">
        <v>6</v>
      </c>
      <c r="B1935" s="3" t="s">
        <v>456</v>
      </c>
      <c r="C1935" s="3" t="s">
        <v>2367</v>
      </c>
      <c r="I1935" s="3">
        <v>32</v>
      </c>
      <c r="J1935" s="3">
        <v>10</v>
      </c>
      <c r="K1935" s="3">
        <v>1</v>
      </c>
      <c r="L1935" s="3">
        <v>10</v>
      </c>
      <c r="M1935" s="3">
        <v>9900</v>
      </c>
      <c r="N1935" s="3">
        <v>99</v>
      </c>
      <c r="O1935" s="3">
        <v>6.31</v>
      </c>
      <c r="P1935" s="3">
        <v>624.68999999999994</v>
      </c>
      <c r="Q1935" s="3">
        <v>9900</v>
      </c>
    </row>
    <row r="1936" spans="1:17" ht="24.95" hidden="1" customHeight="1" x14ac:dyDescent="0.25">
      <c r="A1936" s="3">
        <v>6</v>
      </c>
      <c r="B1936" s="3" t="s">
        <v>456</v>
      </c>
      <c r="C1936" s="3" t="s">
        <v>2368</v>
      </c>
      <c r="I1936" s="3">
        <v>32</v>
      </c>
      <c r="J1936" s="3">
        <v>11</v>
      </c>
      <c r="K1936" s="3">
        <v>1</v>
      </c>
      <c r="L1936" s="3">
        <v>11</v>
      </c>
      <c r="M1936" s="3">
        <v>11700</v>
      </c>
      <c r="N1936" s="3">
        <v>128.69999999999999</v>
      </c>
      <c r="O1936" s="3">
        <v>6.31</v>
      </c>
      <c r="P1936" s="3">
        <v>812.09699999999987</v>
      </c>
      <c r="Q1936" s="3">
        <v>11700</v>
      </c>
    </row>
    <row r="1937" spans="1:17" ht="24.95" hidden="1" customHeight="1" x14ac:dyDescent="0.25">
      <c r="A1937" s="3">
        <v>6</v>
      </c>
      <c r="B1937" s="3" t="s">
        <v>456</v>
      </c>
      <c r="C1937" s="3" t="s">
        <v>2369</v>
      </c>
      <c r="I1937" s="3">
        <v>32</v>
      </c>
      <c r="J1937" s="3">
        <v>11</v>
      </c>
      <c r="K1937" s="3">
        <v>1</v>
      </c>
      <c r="L1937" s="3">
        <v>11</v>
      </c>
      <c r="M1937" s="3">
        <v>7900</v>
      </c>
      <c r="N1937" s="3">
        <v>86.9</v>
      </c>
      <c r="O1937" s="3">
        <v>6.31</v>
      </c>
      <c r="P1937" s="3">
        <v>548.33900000000006</v>
      </c>
      <c r="Q1937" s="3">
        <v>7900</v>
      </c>
    </row>
    <row r="1938" spans="1:17" ht="24.95" hidden="1" customHeight="1" x14ac:dyDescent="0.25">
      <c r="A1938" s="3">
        <v>6</v>
      </c>
      <c r="B1938" s="3" t="s">
        <v>456</v>
      </c>
      <c r="C1938" s="3" t="s">
        <v>2370</v>
      </c>
      <c r="I1938" s="3">
        <v>32</v>
      </c>
      <c r="J1938" s="3">
        <v>11</v>
      </c>
      <c r="K1938" s="3">
        <v>1</v>
      </c>
      <c r="L1938" s="3">
        <v>11</v>
      </c>
      <c r="M1938" s="3">
        <v>11700</v>
      </c>
      <c r="N1938" s="3">
        <v>128.69999999999999</v>
      </c>
      <c r="O1938" s="3">
        <v>6.31</v>
      </c>
      <c r="P1938" s="3">
        <v>812.09699999999987</v>
      </c>
      <c r="Q1938" s="3">
        <v>11700</v>
      </c>
    </row>
    <row r="1939" spans="1:17" ht="24.95" hidden="1" customHeight="1" x14ac:dyDescent="0.25">
      <c r="A1939" s="3">
        <v>6</v>
      </c>
      <c r="B1939" s="3" t="s">
        <v>456</v>
      </c>
      <c r="C1939" s="3" t="s">
        <v>2371</v>
      </c>
      <c r="I1939" s="3">
        <v>32</v>
      </c>
      <c r="J1939" s="3">
        <v>10</v>
      </c>
      <c r="K1939" s="3">
        <v>1</v>
      </c>
      <c r="L1939" s="3">
        <v>10</v>
      </c>
      <c r="M1939" s="3">
        <v>9600</v>
      </c>
      <c r="N1939" s="3">
        <v>96</v>
      </c>
      <c r="O1939" s="3">
        <v>6.31</v>
      </c>
      <c r="P1939" s="3">
        <v>605.76</v>
      </c>
      <c r="Q1939" s="3">
        <v>9600</v>
      </c>
    </row>
    <row r="1940" spans="1:17" ht="24.95" hidden="1" customHeight="1" x14ac:dyDescent="0.25">
      <c r="A1940" s="3">
        <v>6</v>
      </c>
      <c r="B1940" s="3" t="s">
        <v>456</v>
      </c>
      <c r="C1940" s="3" t="s">
        <v>2372</v>
      </c>
      <c r="I1940" s="3">
        <v>32</v>
      </c>
      <c r="J1940" s="3">
        <v>10</v>
      </c>
      <c r="K1940" s="3">
        <v>1</v>
      </c>
      <c r="L1940" s="3">
        <v>10</v>
      </c>
      <c r="M1940" s="3">
        <v>11700</v>
      </c>
      <c r="N1940" s="3">
        <v>117</v>
      </c>
      <c r="O1940" s="3">
        <v>6.31</v>
      </c>
      <c r="P1940" s="3">
        <v>738.27</v>
      </c>
      <c r="Q1940" s="3">
        <v>11700</v>
      </c>
    </row>
    <row r="1941" spans="1:17" ht="24.95" hidden="1" customHeight="1" x14ac:dyDescent="0.25">
      <c r="A1941" s="3">
        <v>6</v>
      </c>
      <c r="B1941" s="3" t="s">
        <v>456</v>
      </c>
      <c r="C1941" s="3" t="s">
        <v>2373</v>
      </c>
      <c r="I1941" s="3">
        <v>32</v>
      </c>
      <c r="J1941" s="3">
        <v>10</v>
      </c>
      <c r="K1941" s="3">
        <v>1</v>
      </c>
      <c r="L1941" s="3">
        <v>10</v>
      </c>
      <c r="M1941" s="3">
        <v>9900</v>
      </c>
      <c r="N1941" s="3">
        <v>99</v>
      </c>
      <c r="O1941" s="3">
        <v>6.31</v>
      </c>
      <c r="P1941" s="3">
        <v>624.68999999999994</v>
      </c>
      <c r="Q1941" s="3">
        <v>9900</v>
      </c>
    </row>
    <row r="1942" spans="1:17" ht="24.95" hidden="1" customHeight="1" x14ac:dyDescent="0.25">
      <c r="A1942" s="3">
        <v>6</v>
      </c>
      <c r="B1942" s="3" t="s">
        <v>456</v>
      </c>
      <c r="C1942" s="3" t="s">
        <v>2374</v>
      </c>
      <c r="I1942" s="3">
        <v>32</v>
      </c>
      <c r="J1942" s="3">
        <v>11</v>
      </c>
      <c r="K1942" s="3">
        <v>1</v>
      </c>
      <c r="L1942" s="3">
        <v>11</v>
      </c>
      <c r="M1942" s="3">
        <v>11700</v>
      </c>
      <c r="N1942" s="3">
        <v>128.69999999999999</v>
      </c>
      <c r="O1942" s="3">
        <v>6.31</v>
      </c>
      <c r="P1942" s="3">
        <v>812.09699999999987</v>
      </c>
      <c r="Q1942" s="3">
        <v>11700</v>
      </c>
    </row>
    <row r="1943" spans="1:17" ht="24.95" hidden="1" customHeight="1" x14ac:dyDescent="0.25">
      <c r="A1943" s="3">
        <v>6</v>
      </c>
      <c r="B1943" s="3" t="s">
        <v>456</v>
      </c>
      <c r="C1943" s="3" t="s">
        <v>2375</v>
      </c>
      <c r="I1943" s="3">
        <v>32</v>
      </c>
      <c r="J1943" s="3">
        <v>11</v>
      </c>
      <c r="K1943" s="3">
        <v>1</v>
      </c>
      <c r="L1943" s="3">
        <v>11</v>
      </c>
      <c r="M1943" s="3">
        <v>7800</v>
      </c>
      <c r="N1943" s="3">
        <v>85.8</v>
      </c>
      <c r="O1943" s="3">
        <v>6.31</v>
      </c>
      <c r="P1943" s="3">
        <v>541.39799999999991</v>
      </c>
      <c r="Q1943" s="3">
        <v>7800</v>
      </c>
    </row>
    <row r="1944" spans="1:17" ht="24.95" hidden="1" customHeight="1" x14ac:dyDescent="0.25">
      <c r="A1944" s="3">
        <v>6</v>
      </c>
      <c r="B1944" s="3" t="s">
        <v>456</v>
      </c>
      <c r="C1944" s="3" t="s">
        <v>2376</v>
      </c>
      <c r="I1944" s="3">
        <v>32</v>
      </c>
      <c r="J1944" s="3">
        <v>11</v>
      </c>
      <c r="K1944" s="3">
        <v>1</v>
      </c>
      <c r="L1944" s="3">
        <v>11</v>
      </c>
      <c r="M1944" s="3">
        <v>11700</v>
      </c>
      <c r="N1944" s="3">
        <v>128.69999999999999</v>
      </c>
      <c r="O1944" s="3">
        <v>6.31</v>
      </c>
      <c r="P1944" s="3">
        <v>812.09699999999987</v>
      </c>
      <c r="Q1944" s="3">
        <v>11700</v>
      </c>
    </row>
    <row r="1945" spans="1:17" ht="24.95" hidden="1" customHeight="1" x14ac:dyDescent="0.25">
      <c r="A1945" s="3">
        <v>6</v>
      </c>
      <c r="B1945" s="3" t="s">
        <v>456</v>
      </c>
      <c r="C1945" s="3" t="s">
        <v>2377</v>
      </c>
      <c r="I1945" s="3">
        <v>32</v>
      </c>
      <c r="J1945" s="3">
        <v>21</v>
      </c>
      <c r="K1945" s="3">
        <v>1</v>
      </c>
      <c r="L1945" s="3">
        <v>21</v>
      </c>
      <c r="M1945" s="3">
        <v>10400</v>
      </c>
      <c r="N1945" s="3">
        <v>218.4</v>
      </c>
      <c r="O1945" s="3">
        <v>6.31</v>
      </c>
      <c r="P1945" s="3">
        <v>1378.104</v>
      </c>
      <c r="Q1945" s="3">
        <v>10400</v>
      </c>
    </row>
    <row r="1946" spans="1:17" ht="24.95" hidden="1" customHeight="1" x14ac:dyDescent="0.25">
      <c r="A1946" s="3">
        <v>6</v>
      </c>
      <c r="B1946" s="3" t="s">
        <v>456</v>
      </c>
      <c r="C1946" s="3" t="s">
        <v>2378</v>
      </c>
      <c r="I1946" s="3">
        <v>32</v>
      </c>
      <c r="J1946" s="3">
        <v>6</v>
      </c>
      <c r="K1946" s="3">
        <v>1</v>
      </c>
      <c r="L1946" s="3">
        <v>6</v>
      </c>
      <c r="M1946" s="3">
        <v>10400</v>
      </c>
      <c r="N1946" s="3">
        <v>62.4</v>
      </c>
      <c r="O1946" s="3">
        <v>6.31</v>
      </c>
      <c r="P1946" s="3">
        <v>393.74399999999997</v>
      </c>
      <c r="Q1946" s="3">
        <v>10400</v>
      </c>
    </row>
    <row r="1947" spans="1:17" ht="24.95" hidden="1" customHeight="1" x14ac:dyDescent="0.25">
      <c r="A1947" s="3">
        <v>6</v>
      </c>
      <c r="B1947" s="3" t="s">
        <v>456</v>
      </c>
      <c r="C1947" s="3" t="s">
        <v>2379</v>
      </c>
      <c r="I1947" s="3">
        <v>32</v>
      </c>
      <c r="J1947" s="3">
        <v>16</v>
      </c>
      <c r="K1947" s="3">
        <v>1</v>
      </c>
      <c r="L1947" s="3">
        <v>16</v>
      </c>
      <c r="M1947" s="3">
        <v>9360</v>
      </c>
      <c r="N1947" s="3">
        <v>149.76</v>
      </c>
      <c r="O1947" s="3">
        <v>6.31</v>
      </c>
      <c r="P1947" s="3">
        <v>944.98559999999986</v>
      </c>
      <c r="Q1947" s="3">
        <v>9360</v>
      </c>
    </row>
    <row r="1948" spans="1:17" ht="24.95" hidden="1" customHeight="1" x14ac:dyDescent="0.25">
      <c r="A1948" s="3">
        <v>6</v>
      </c>
      <c r="B1948" s="3" t="s">
        <v>456</v>
      </c>
      <c r="C1948" s="3" t="s">
        <v>2380</v>
      </c>
      <c r="I1948" s="3">
        <v>32</v>
      </c>
      <c r="J1948" s="3">
        <v>6</v>
      </c>
      <c r="K1948" s="3">
        <v>1</v>
      </c>
      <c r="L1948" s="3">
        <v>6</v>
      </c>
      <c r="M1948" s="3">
        <v>10380</v>
      </c>
      <c r="N1948" s="3">
        <v>62.28</v>
      </c>
      <c r="O1948" s="3">
        <v>6.31</v>
      </c>
      <c r="P1948" s="3">
        <v>392.98679999999996</v>
      </c>
      <c r="Q1948" s="3">
        <v>10380</v>
      </c>
    </row>
    <row r="1949" spans="1:17" ht="24.95" hidden="1" customHeight="1" x14ac:dyDescent="0.25">
      <c r="A1949" s="3">
        <v>6</v>
      </c>
      <c r="B1949" s="3" t="s">
        <v>456</v>
      </c>
      <c r="C1949" s="3" t="s">
        <v>2381</v>
      </c>
      <c r="I1949" s="3">
        <v>32</v>
      </c>
      <c r="J1949" s="3">
        <v>10</v>
      </c>
      <c r="K1949" s="3">
        <v>1</v>
      </c>
      <c r="L1949" s="3">
        <v>10</v>
      </c>
      <c r="M1949" s="3">
        <v>7480</v>
      </c>
      <c r="N1949" s="3">
        <v>74.8</v>
      </c>
      <c r="O1949" s="3">
        <v>6.31</v>
      </c>
      <c r="P1949" s="3">
        <v>471.98799999999994</v>
      </c>
      <c r="Q1949" s="3">
        <v>7480</v>
      </c>
    </row>
    <row r="1950" spans="1:17" ht="24.95" hidden="1" customHeight="1" x14ac:dyDescent="0.25">
      <c r="A1950" s="3">
        <v>6</v>
      </c>
      <c r="B1950" s="3" t="s">
        <v>456</v>
      </c>
      <c r="C1950" s="3" t="s">
        <v>2382</v>
      </c>
      <c r="I1950" s="3">
        <v>32</v>
      </c>
      <c r="J1950" s="3">
        <v>10</v>
      </c>
      <c r="K1950" s="3">
        <v>1</v>
      </c>
      <c r="L1950" s="3">
        <v>10</v>
      </c>
      <c r="M1950" s="3">
        <v>7820</v>
      </c>
      <c r="N1950" s="3">
        <v>78.2</v>
      </c>
      <c r="O1950" s="3">
        <v>6.31</v>
      </c>
      <c r="P1950" s="3">
        <v>493.44200000000001</v>
      </c>
      <c r="Q1950" s="3">
        <v>7820</v>
      </c>
    </row>
    <row r="1951" spans="1:17" ht="24.95" hidden="1" customHeight="1" x14ac:dyDescent="0.25">
      <c r="A1951" s="3">
        <v>6</v>
      </c>
      <c r="B1951" s="3" t="s">
        <v>456</v>
      </c>
      <c r="C1951" s="3" t="s">
        <v>2383</v>
      </c>
      <c r="I1951" s="3">
        <v>32</v>
      </c>
      <c r="J1951" s="3">
        <v>10</v>
      </c>
      <c r="K1951" s="3">
        <v>1</v>
      </c>
      <c r="L1951" s="3">
        <v>10</v>
      </c>
      <c r="M1951" s="3">
        <v>11700</v>
      </c>
      <c r="N1951" s="3">
        <v>117</v>
      </c>
      <c r="O1951" s="3">
        <v>6.31</v>
      </c>
      <c r="P1951" s="3">
        <v>738.27</v>
      </c>
      <c r="Q1951" s="3">
        <v>11700</v>
      </c>
    </row>
    <row r="1952" spans="1:17" ht="24.95" hidden="1" customHeight="1" x14ac:dyDescent="0.25">
      <c r="A1952" s="3">
        <v>6</v>
      </c>
      <c r="B1952" s="3" t="s">
        <v>456</v>
      </c>
      <c r="C1952" s="3" t="s">
        <v>2384</v>
      </c>
      <c r="I1952" s="3">
        <v>32</v>
      </c>
      <c r="J1952" s="3">
        <v>10</v>
      </c>
      <c r="K1952" s="3">
        <v>1</v>
      </c>
      <c r="L1952" s="3">
        <v>10</v>
      </c>
      <c r="M1952" s="3">
        <v>5850</v>
      </c>
      <c r="N1952" s="3">
        <v>58.5</v>
      </c>
      <c r="O1952" s="3">
        <v>6.31</v>
      </c>
      <c r="P1952" s="3">
        <v>369.13499999999999</v>
      </c>
      <c r="Q1952" s="3">
        <v>5850</v>
      </c>
    </row>
    <row r="1953" spans="1:17" ht="24.95" hidden="1" customHeight="1" x14ac:dyDescent="0.25">
      <c r="A1953" s="3">
        <v>6</v>
      </c>
      <c r="B1953" s="3" t="s">
        <v>456</v>
      </c>
      <c r="C1953" s="3" t="s">
        <v>2385</v>
      </c>
      <c r="I1953" s="3">
        <v>32</v>
      </c>
      <c r="J1953" s="3">
        <v>11</v>
      </c>
      <c r="K1953" s="3">
        <v>1</v>
      </c>
      <c r="L1953" s="3">
        <v>11</v>
      </c>
      <c r="M1953" s="3">
        <v>5720</v>
      </c>
      <c r="N1953" s="3">
        <v>62.92</v>
      </c>
      <c r="O1953" s="3">
        <v>6.31</v>
      </c>
      <c r="P1953" s="3">
        <v>397.02519999999998</v>
      </c>
      <c r="Q1953" s="3">
        <v>5720</v>
      </c>
    </row>
    <row r="1954" spans="1:17" ht="24.95" hidden="1" customHeight="1" x14ac:dyDescent="0.25">
      <c r="A1954" s="3">
        <v>6</v>
      </c>
      <c r="B1954" s="3" t="s">
        <v>456</v>
      </c>
      <c r="C1954" s="3" t="s">
        <v>2386</v>
      </c>
      <c r="I1954" s="3">
        <v>32</v>
      </c>
      <c r="J1954" s="3">
        <v>11</v>
      </c>
      <c r="K1954" s="3">
        <v>1</v>
      </c>
      <c r="L1954" s="3">
        <v>11</v>
      </c>
      <c r="M1954" s="3">
        <v>11700</v>
      </c>
      <c r="N1954" s="3">
        <v>128.69999999999999</v>
      </c>
      <c r="O1954" s="3">
        <v>6.31</v>
      </c>
      <c r="P1954" s="3">
        <v>812.09699999999987</v>
      </c>
      <c r="Q1954" s="3">
        <v>11700</v>
      </c>
    </row>
    <row r="1955" spans="1:17" ht="24.95" hidden="1" customHeight="1" x14ac:dyDescent="0.25">
      <c r="A1955" s="3">
        <v>6</v>
      </c>
      <c r="B1955" s="3" t="s">
        <v>456</v>
      </c>
      <c r="C1955" s="3" t="s">
        <v>2387</v>
      </c>
      <c r="I1955" s="3">
        <v>32</v>
      </c>
      <c r="J1955" s="3">
        <v>11</v>
      </c>
      <c r="K1955" s="3">
        <v>1</v>
      </c>
      <c r="L1955" s="3">
        <v>11</v>
      </c>
      <c r="M1955" s="3">
        <v>7800</v>
      </c>
      <c r="N1955" s="3">
        <v>85.8</v>
      </c>
      <c r="O1955" s="3">
        <v>6.31</v>
      </c>
      <c r="P1955" s="3">
        <v>541.39799999999991</v>
      </c>
      <c r="Q1955" s="3">
        <v>7800</v>
      </c>
    </row>
    <row r="1956" spans="1:17" ht="24.95" hidden="1" customHeight="1" x14ac:dyDescent="0.25">
      <c r="A1956" s="3">
        <v>6</v>
      </c>
      <c r="B1956" s="3" t="s">
        <v>456</v>
      </c>
      <c r="C1956" s="3" t="s">
        <v>2388</v>
      </c>
      <c r="I1956" s="3">
        <v>32</v>
      </c>
      <c r="J1956" s="3">
        <v>11</v>
      </c>
      <c r="K1956" s="3">
        <v>1</v>
      </c>
      <c r="L1956" s="3">
        <v>11</v>
      </c>
      <c r="M1956" s="3">
        <v>7630</v>
      </c>
      <c r="N1956" s="3">
        <v>83.93</v>
      </c>
      <c r="O1956" s="3">
        <v>6.31</v>
      </c>
      <c r="P1956" s="3">
        <v>529.59829999999999</v>
      </c>
      <c r="Q1956" s="3">
        <v>7630</v>
      </c>
    </row>
    <row r="1957" spans="1:17" ht="24.95" hidden="1" customHeight="1" x14ac:dyDescent="0.25">
      <c r="A1957" s="3">
        <v>6</v>
      </c>
      <c r="B1957" s="3" t="s">
        <v>456</v>
      </c>
      <c r="C1957" s="3" t="s">
        <v>2389</v>
      </c>
      <c r="I1957" s="3">
        <v>32</v>
      </c>
      <c r="J1957" s="3">
        <v>18</v>
      </c>
      <c r="K1957" s="3">
        <v>1</v>
      </c>
      <c r="L1957" s="3">
        <v>18</v>
      </c>
      <c r="M1957" s="3">
        <v>4950</v>
      </c>
      <c r="N1957" s="3">
        <v>89.1</v>
      </c>
      <c r="O1957" s="3">
        <v>6.31</v>
      </c>
      <c r="P1957" s="3">
        <v>562.22099999999989</v>
      </c>
      <c r="Q1957" s="3">
        <v>4950</v>
      </c>
    </row>
    <row r="1958" spans="1:17" ht="24.95" hidden="1" customHeight="1" x14ac:dyDescent="0.25">
      <c r="A1958" s="3">
        <v>6</v>
      </c>
      <c r="B1958" s="3" t="s">
        <v>456</v>
      </c>
      <c r="C1958" s="3" t="s">
        <v>2390</v>
      </c>
      <c r="I1958" s="3">
        <v>32</v>
      </c>
      <c r="J1958" s="3">
        <v>21</v>
      </c>
      <c r="K1958" s="3">
        <v>1</v>
      </c>
      <c r="L1958" s="3">
        <v>21</v>
      </c>
      <c r="M1958" s="3">
        <v>4900</v>
      </c>
      <c r="N1958" s="3">
        <v>102.9</v>
      </c>
      <c r="O1958" s="3">
        <v>6.31</v>
      </c>
      <c r="P1958" s="3">
        <v>649.29899999999998</v>
      </c>
      <c r="Q1958" s="3">
        <v>4900</v>
      </c>
    </row>
    <row r="1959" spans="1:17" ht="24.95" hidden="1" customHeight="1" x14ac:dyDescent="0.25">
      <c r="A1959" s="3">
        <v>6</v>
      </c>
      <c r="B1959" s="3" t="s">
        <v>456</v>
      </c>
      <c r="C1959" s="3" t="s">
        <v>2391</v>
      </c>
      <c r="I1959" s="3">
        <v>32</v>
      </c>
      <c r="J1959" s="3">
        <v>2</v>
      </c>
      <c r="K1959" s="3">
        <v>1</v>
      </c>
      <c r="L1959" s="3">
        <v>2</v>
      </c>
      <c r="M1959" s="3">
        <v>4600</v>
      </c>
      <c r="N1959" s="3">
        <v>9.1999999999999993</v>
      </c>
      <c r="O1959" s="3">
        <v>6.31</v>
      </c>
      <c r="P1959" s="3">
        <v>58.051999999999992</v>
      </c>
      <c r="Q1959" s="3">
        <v>4600</v>
      </c>
    </row>
    <row r="1960" spans="1:17" ht="24.95" hidden="1" customHeight="1" x14ac:dyDescent="0.25">
      <c r="A1960" s="3">
        <v>6</v>
      </c>
      <c r="B1960" s="3" t="s">
        <v>456</v>
      </c>
      <c r="C1960" s="3" t="s">
        <v>2392</v>
      </c>
      <c r="I1960" s="3">
        <v>20</v>
      </c>
      <c r="J1960" s="3">
        <v>137</v>
      </c>
      <c r="K1960" s="3">
        <v>1</v>
      </c>
      <c r="L1960" s="3">
        <v>137</v>
      </c>
      <c r="M1960" s="3">
        <v>4890</v>
      </c>
      <c r="N1960" s="3">
        <v>669.93</v>
      </c>
      <c r="O1960" s="3">
        <v>2.4700000000000002</v>
      </c>
      <c r="P1960" s="3">
        <v>1654.7271000000001</v>
      </c>
      <c r="Q1960" s="3">
        <v>4890</v>
      </c>
    </row>
    <row r="1961" spans="1:17" ht="24.95" hidden="1" customHeight="1" x14ac:dyDescent="0.25">
      <c r="A1961" s="3">
        <v>6</v>
      </c>
      <c r="B1961" s="3" t="s">
        <v>456</v>
      </c>
      <c r="C1961" s="3" t="s">
        <v>2393</v>
      </c>
      <c r="I1961" s="3">
        <v>20</v>
      </c>
      <c r="J1961" s="3">
        <v>137</v>
      </c>
      <c r="K1961" s="3">
        <v>1</v>
      </c>
      <c r="L1961" s="3">
        <v>137</v>
      </c>
      <c r="M1961" s="3">
        <v>7870</v>
      </c>
      <c r="N1961" s="3">
        <v>1078.19</v>
      </c>
      <c r="O1961" s="3">
        <v>2.4700000000000002</v>
      </c>
      <c r="P1961" s="3">
        <v>2663.1293000000005</v>
      </c>
      <c r="Q1961" s="3">
        <v>7870</v>
      </c>
    </row>
    <row r="1962" spans="1:17" ht="24.95" hidden="1" customHeight="1" x14ac:dyDescent="0.25">
      <c r="A1962" s="3">
        <v>6</v>
      </c>
      <c r="B1962" s="3" t="s">
        <v>456</v>
      </c>
      <c r="C1962" s="3" t="s">
        <v>2394</v>
      </c>
      <c r="I1962" s="3">
        <v>20</v>
      </c>
      <c r="J1962" s="3">
        <v>1233</v>
      </c>
      <c r="K1962" s="3">
        <v>1</v>
      </c>
      <c r="L1962" s="3">
        <v>1233</v>
      </c>
      <c r="M1962" s="3">
        <v>2790</v>
      </c>
      <c r="N1962" s="3">
        <v>3440.07</v>
      </c>
      <c r="O1962" s="3">
        <v>2.4700000000000002</v>
      </c>
      <c r="P1962" s="3">
        <v>8496.9729000000007</v>
      </c>
      <c r="Q1962" s="3">
        <v>2790</v>
      </c>
    </row>
    <row r="1963" spans="1:17" ht="24.95" hidden="1" customHeight="1" x14ac:dyDescent="0.25">
      <c r="A1963" s="3">
        <v>6</v>
      </c>
      <c r="B1963" s="3" t="s">
        <v>456</v>
      </c>
      <c r="C1963" s="3" t="s">
        <v>2395</v>
      </c>
      <c r="I1963" s="3">
        <v>18</v>
      </c>
      <c r="J1963" s="3">
        <v>6</v>
      </c>
      <c r="K1963" s="3">
        <v>1</v>
      </c>
      <c r="L1963" s="3">
        <v>6</v>
      </c>
      <c r="M1963" s="3">
        <v>11700</v>
      </c>
      <c r="N1963" s="3">
        <v>70.2</v>
      </c>
      <c r="O1963" s="3">
        <v>2</v>
      </c>
      <c r="P1963" s="3">
        <v>140.4</v>
      </c>
      <c r="Q1963" s="3">
        <v>11700</v>
      </c>
    </row>
    <row r="1964" spans="1:17" ht="24.95" hidden="1" customHeight="1" x14ac:dyDescent="0.25">
      <c r="A1964" s="3">
        <v>6</v>
      </c>
      <c r="B1964" s="3" t="s">
        <v>456</v>
      </c>
      <c r="C1964" s="3" t="s">
        <v>2396</v>
      </c>
      <c r="I1964" s="3">
        <v>18</v>
      </c>
      <c r="J1964" s="3">
        <v>6</v>
      </c>
      <c r="K1964" s="3">
        <v>1</v>
      </c>
      <c r="L1964" s="3">
        <v>6</v>
      </c>
      <c r="M1964" s="3">
        <v>11700</v>
      </c>
      <c r="N1964" s="3">
        <v>70.2</v>
      </c>
      <c r="O1964" s="3">
        <v>2</v>
      </c>
      <c r="P1964" s="3">
        <v>140.4</v>
      </c>
      <c r="Q1964" s="3">
        <v>11700</v>
      </c>
    </row>
    <row r="1965" spans="1:17" ht="24.95" hidden="1" customHeight="1" x14ac:dyDescent="0.25">
      <c r="A1965" s="3">
        <v>6</v>
      </c>
      <c r="B1965" s="3" t="s">
        <v>456</v>
      </c>
      <c r="C1965" s="3" t="s">
        <v>2397</v>
      </c>
      <c r="I1965" s="3">
        <v>18</v>
      </c>
      <c r="J1965" s="3">
        <v>6</v>
      </c>
      <c r="K1965" s="3">
        <v>1</v>
      </c>
      <c r="L1965" s="3">
        <v>6</v>
      </c>
      <c r="M1965" s="3">
        <v>1420</v>
      </c>
      <c r="N1965" s="3">
        <v>8.52</v>
      </c>
      <c r="O1965" s="3">
        <v>2</v>
      </c>
      <c r="P1965" s="3">
        <v>17.04</v>
      </c>
      <c r="Q1965" s="3">
        <v>1420</v>
      </c>
    </row>
    <row r="1966" spans="1:17" ht="24.95" hidden="1" customHeight="1" x14ac:dyDescent="0.25">
      <c r="A1966" s="3">
        <v>6</v>
      </c>
      <c r="B1966" s="3" t="s">
        <v>456</v>
      </c>
      <c r="C1966" s="3" t="s">
        <v>2398</v>
      </c>
      <c r="I1966" s="3">
        <v>18</v>
      </c>
      <c r="J1966" s="3">
        <v>6</v>
      </c>
      <c r="K1966" s="3">
        <v>1</v>
      </c>
      <c r="L1966" s="3">
        <v>6</v>
      </c>
      <c r="M1966" s="3">
        <v>2840</v>
      </c>
      <c r="N1966" s="3">
        <v>17.04</v>
      </c>
      <c r="O1966" s="3">
        <v>2</v>
      </c>
      <c r="P1966" s="3">
        <v>34.08</v>
      </c>
      <c r="Q1966" s="3">
        <v>2840</v>
      </c>
    </row>
    <row r="1967" spans="1:17" ht="24.95" hidden="1" customHeight="1" x14ac:dyDescent="0.25">
      <c r="A1967" s="3">
        <v>6</v>
      </c>
      <c r="B1967" s="3" t="s">
        <v>456</v>
      </c>
      <c r="C1967" s="3" t="s">
        <v>2399</v>
      </c>
      <c r="I1967" s="3">
        <v>18</v>
      </c>
      <c r="J1967" s="3">
        <v>6</v>
      </c>
      <c r="K1967" s="3">
        <v>1</v>
      </c>
      <c r="L1967" s="3">
        <v>6</v>
      </c>
      <c r="M1967" s="3">
        <v>11700</v>
      </c>
      <c r="N1967" s="3">
        <v>70.2</v>
      </c>
      <c r="O1967" s="3">
        <v>2</v>
      </c>
      <c r="P1967" s="3">
        <v>140.4</v>
      </c>
      <c r="Q1967" s="3">
        <v>11700</v>
      </c>
    </row>
    <row r="1968" spans="1:17" ht="24.95" hidden="1" customHeight="1" x14ac:dyDescent="0.25">
      <c r="A1968" s="3">
        <v>6</v>
      </c>
      <c r="B1968" s="3" t="s">
        <v>456</v>
      </c>
      <c r="C1968" s="3" t="s">
        <v>2400</v>
      </c>
      <c r="I1968" s="3">
        <v>18</v>
      </c>
      <c r="J1968" s="3">
        <v>6</v>
      </c>
      <c r="K1968" s="3">
        <v>1</v>
      </c>
      <c r="L1968" s="3">
        <v>6</v>
      </c>
      <c r="M1968" s="3">
        <v>10280</v>
      </c>
      <c r="N1968" s="3">
        <v>61.68</v>
      </c>
      <c r="O1968" s="3">
        <v>2</v>
      </c>
      <c r="P1968" s="3">
        <v>123.36</v>
      </c>
      <c r="Q1968" s="3">
        <v>10280</v>
      </c>
    </row>
    <row r="1969" spans="1:17" ht="24.95" hidden="1" customHeight="1" x14ac:dyDescent="0.25">
      <c r="A1969" s="3">
        <v>6</v>
      </c>
      <c r="B1969" s="3" t="s">
        <v>456</v>
      </c>
      <c r="C1969" s="3" t="s">
        <v>2401</v>
      </c>
      <c r="I1969" s="3">
        <v>14</v>
      </c>
      <c r="J1969" s="3">
        <v>414</v>
      </c>
      <c r="K1969" s="3">
        <v>1</v>
      </c>
      <c r="L1969" s="3">
        <v>414</v>
      </c>
      <c r="M1969" s="3">
        <v>3370</v>
      </c>
      <c r="N1969" s="3">
        <v>1395.18</v>
      </c>
      <c r="O1969" s="3">
        <v>1.21</v>
      </c>
      <c r="P1969" s="3">
        <v>1688.1677999999999</v>
      </c>
      <c r="Q1969" s="3">
        <v>3370</v>
      </c>
    </row>
    <row r="1970" spans="1:17" ht="24.95" hidden="1" customHeight="1" x14ac:dyDescent="0.25">
      <c r="A1970" s="3">
        <v>6</v>
      </c>
      <c r="B1970" s="3" t="s">
        <v>456</v>
      </c>
      <c r="C1970" s="3" t="s">
        <v>2402</v>
      </c>
      <c r="I1970" s="3">
        <v>32</v>
      </c>
      <c r="J1970" s="3">
        <v>24</v>
      </c>
      <c r="K1970" s="3">
        <v>1</v>
      </c>
      <c r="L1970" s="3">
        <v>24</v>
      </c>
      <c r="M1970" s="3">
        <v>3090</v>
      </c>
      <c r="N1970" s="3">
        <v>74.16</v>
      </c>
      <c r="O1970" s="3">
        <v>6.31</v>
      </c>
      <c r="P1970" s="3">
        <v>467.94959999999998</v>
      </c>
      <c r="Q1970" s="3">
        <v>3090</v>
      </c>
    </row>
    <row r="1971" spans="1:17" ht="24.95" hidden="1" customHeight="1" x14ac:dyDescent="0.25">
      <c r="A1971" s="3">
        <v>6</v>
      </c>
      <c r="B1971" s="3" t="s">
        <v>456</v>
      </c>
      <c r="C1971" s="3" t="s">
        <v>2403</v>
      </c>
      <c r="I1971" s="3">
        <v>14</v>
      </c>
      <c r="J1971" s="3">
        <v>30</v>
      </c>
      <c r="K1971" s="3">
        <v>1</v>
      </c>
      <c r="L1971" s="3">
        <v>30</v>
      </c>
      <c r="M1971" s="3">
        <v>11700</v>
      </c>
      <c r="N1971" s="3">
        <v>351</v>
      </c>
      <c r="O1971" s="3">
        <v>1.21</v>
      </c>
      <c r="P1971" s="3">
        <v>424.71</v>
      </c>
      <c r="Q1971" s="3">
        <v>11700</v>
      </c>
    </row>
    <row r="1972" spans="1:17" ht="24.95" hidden="1" customHeight="1" x14ac:dyDescent="0.25">
      <c r="A1972" s="3">
        <v>6</v>
      </c>
      <c r="B1972" s="3" t="s">
        <v>456</v>
      </c>
      <c r="C1972" s="3" t="s">
        <v>2404</v>
      </c>
      <c r="I1972" s="3">
        <v>14</v>
      </c>
      <c r="J1972" s="3">
        <v>30</v>
      </c>
      <c r="K1972" s="3">
        <v>1</v>
      </c>
      <c r="L1972" s="3">
        <v>30</v>
      </c>
      <c r="M1972" s="3">
        <v>11700</v>
      </c>
      <c r="N1972" s="3">
        <v>351</v>
      </c>
      <c r="O1972" s="3">
        <v>1.21</v>
      </c>
      <c r="P1972" s="3">
        <v>424.71</v>
      </c>
      <c r="Q1972" s="3">
        <v>11700</v>
      </c>
    </row>
    <row r="1973" spans="1:17" ht="24.95" hidden="1" customHeight="1" x14ac:dyDescent="0.25">
      <c r="A1973" s="3">
        <v>6</v>
      </c>
      <c r="B1973" s="3" t="s">
        <v>456</v>
      </c>
      <c r="C1973" s="3" t="s">
        <v>2405</v>
      </c>
      <c r="I1973" s="3">
        <v>14</v>
      </c>
      <c r="J1973" s="3">
        <v>30</v>
      </c>
      <c r="K1973" s="3">
        <v>1</v>
      </c>
      <c r="L1973" s="3">
        <v>30</v>
      </c>
      <c r="M1973" s="3">
        <v>1060</v>
      </c>
      <c r="N1973" s="3">
        <v>31.8</v>
      </c>
      <c r="O1973" s="3">
        <v>1.21</v>
      </c>
      <c r="P1973" s="3">
        <v>38.478000000000002</v>
      </c>
      <c r="Q1973" s="3">
        <v>1060</v>
      </c>
    </row>
    <row r="1974" spans="1:17" ht="24.95" hidden="1" customHeight="1" x14ac:dyDescent="0.25">
      <c r="A1974" s="3">
        <v>6</v>
      </c>
      <c r="B1974" s="3" t="s">
        <v>456</v>
      </c>
      <c r="C1974" s="3" t="s">
        <v>2406</v>
      </c>
      <c r="I1974" s="3">
        <v>14</v>
      </c>
      <c r="J1974" s="3">
        <v>24</v>
      </c>
      <c r="K1974" s="3">
        <v>1</v>
      </c>
      <c r="L1974" s="3">
        <v>24</v>
      </c>
      <c r="M1974" s="3">
        <v>2120</v>
      </c>
      <c r="N1974" s="3">
        <v>50.88</v>
      </c>
      <c r="O1974" s="3">
        <v>1.21</v>
      </c>
      <c r="P1974" s="3">
        <v>61.564799999999998</v>
      </c>
      <c r="Q1974" s="3">
        <v>2120</v>
      </c>
    </row>
    <row r="1975" spans="1:17" ht="24.95" hidden="1" customHeight="1" x14ac:dyDescent="0.25">
      <c r="A1975" s="3">
        <v>6</v>
      </c>
      <c r="B1975" s="3" t="s">
        <v>456</v>
      </c>
      <c r="C1975" s="3" t="s">
        <v>2407</v>
      </c>
      <c r="I1975" s="3">
        <v>14</v>
      </c>
      <c r="J1975" s="3">
        <v>24</v>
      </c>
      <c r="K1975" s="3">
        <v>1</v>
      </c>
      <c r="L1975" s="3">
        <v>24</v>
      </c>
      <c r="M1975" s="3">
        <v>11700</v>
      </c>
      <c r="N1975" s="3">
        <v>280.8</v>
      </c>
      <c r="O1975" s="3">
        <v>1.21</v>
      </c>
      <c r="P1975" s="3">
        <v>339.76800000000003</v>
      </c>
      <c r="Q1975" s="3">
        <v>11700</v>
      </c>
    </row>
    <row r="1976" spans="1:17" ht="24.95" hidden="1" customHeight="1" x14ac:dyDescent="0.25">
      <c r="A1976" s="3">
        <v>6</v>
      </c>
      <c r="B1976" s="3" t="s">
        <v>456</v>
      </c>
      <c r="C1976" s="3" t="s">
        <v>2408</v>
      </c>
      <c r="I1976" s="3">
        <v>14</v>
      </c>
      <c r="J1976" s="3">
        <v>24</v>
      </c>
      <c r="K1976" s="3">
        <v>1</v>
      </c>
      <c r="L1976" s="3">
        <v>24</v>
      </c>
      <c r="M1976" s="3">
        <v>10640</v>
      </c>
      <c r="N1976" s="3">
        <v>255.36</v>
      </c>
      <c r="O1976" s="3">
        <v>1.21</v>
      </c>
      <c r="P1976" s="3">
        <v>308.98560000000003</v>
      </c>
      <c r="Q1976" s="3">
        <v>10640</v>
      </c>
    </row>
    <row r="1977" spans="1:17" ht="24.95" hidden="1" customHeight="1" x14ac:dyDescent="0.25">
      <c r="A1977" s="3">
        <v>6</v>
      </c>
      <c r="B1977" s="3" t="s">
        <v>457</v>
      </c>
      <c r="C1977" s="3" t="s">
        <v>2409</v>
      </c>
      <c r="I1977" s="3">
        <v>32</v>
      </c>
      <c r="J1977" s="3">
        <v>4</v>
      </c>
      <c r="K1977" s="3">
        <v>1</v>
      </c>
      <c r="L1977" s="3">
        <v>4</v>
      </c>
      <c r="M1977" s="3">
        <v>11700</v>
      </c>
      <c r="N1977" s="3">
        <v>46.8</v>
      </c>
      <c r="O1977" s="3">
        <v>6.31</v>
      </c>
      <c r="P1977" s="3">
        <v>295.30799999999994</v>
      </c>
      <c r="Q1977" s="3">
        <v>11700</v>
      </c>
    </row>
    <row r="1978" spans="1:17" ht="24.95" hidden="1" customHeight="1" x14ac:dyDescent="0.25">
      <c r="A1978" s="3">
        <v>6</v>
      </c>
      <c r="B1978" s="3" t="s">
        <v>457</v>
      </c>
      <c r="C1978" s="3" t="s">
        <v>2410</v>
      </c>
      <c r="I1978" s="3">
        <v>32</v>
      </c>
      <c r="J1978" s="3">
        <v>5</v>
      </c>
      <c r="K1978" s="3">
        <v>1</v>
      </c>
      <c r="L1978" s="3">
        <v>5</v>
      </c>
      <c r="M1978" s="3">
        <v>4520</v>
      </c>
      <c r="N1978" s="3">
        <v>22.6</v>
      </c>
      <c r="O1978" s="3">
        <v>6.31</v>
      </c>
      <c r="P1978" s="3">
        <v>142.60599999999999</v>
      </c>
      <c r="Q1978" s="3">
        <v>4520</v>
      </c>
    </row>
    <row r="1979" spans="1:17" ht="24.95" hidden="1" customHeight="1" x14ac:dyDescent="0.25">
      <c r="A1979" s="3">
        <v>6</v>
      </c>
      <c r="B1979" s="3" t="s">
        <v>457</v>
      </c>
      <c r="C1979" s="3" t="s">
        <v>2411</v>
      </c>
      <c r="I1979" s="3">
        <v>32</v>
      </c>
      <c r="J1979" s="3">
        <v>5</v>
      </c>
      <c r="K1979" s="3">
        <v>1</v>
      </c>
      <c r="L1979" s="3">
        <v>5</v>
      </c>
      <c r="M1979" s="3">
        <v>11700</v>
      </c>
      <c r="N1979" s="3">
        <v>58.5</v>
      </c>
      <c r="O1979" s="3">
        <v>6.31</v>
      </c>
      <c r="P1979" s="3">
        <v>369.13499999999999</v>
      </c>
      <c r="Q1979" s="3">
        <v>11700</v>
      </c>
    </row>
    <row r="1980" spans="1:17" ht="24.95" hidden="1" customHeight="1" x14ac:dyDescent="0.25">
      <c r="A1980" s="3">
        <v>6</v>
      </c>
      <c r="B1980" s="3" t="s">
        <v>457</v>
      </c>
      <c r="C1980" s="3" t="s">
        <v>2412</v>
      </c>
      <c r="I1980" s="3">
        <v>32</v>
      </c>
      <c r="J1980" s="3">
        <v>4</v>
      </c>
      <c r="K1980" s="3">
        <v>1</v>
      </c>
      <c r="L1980" s="3">
        <v>4</v>
      </c>
      <c r="M1980" s="3">
        <v>11700</v>
      </c>
      <c r="N1980" s="3">
        <v>46.8</v>
      </c>
      <c r="O1980" s="3">
        <v>6.31</v>
      </c>
      <c r="P1980" s="3">
        <v>295.30799999999994</v>
      </c>
      <c r="Q1980" s="3">
        <v>11700</v>
      </c>
    </row>
    <row r="1981" spans="1:17" ht="24.95" hidden="1" customHeight="1" x14ac:dyDescent="0.25">
      <c r="A1981" s="3">
        <v>6</v>
      </c>
      <c r="B1981" s="3" t="s">
        <v>457</v>
      </c>
      <c r="C1981" s="3" t="s">
        <v>2413</v>
      </c>
      <c r="I1981" s="3">
        <v>32</v>
      </c>
      <c r="J1981" s="3">
        <v>4</v>
      </c>
      <c r="K1981" s="3">
        <v>1</v>
      </c>
      <c r="L1981" s="3">
        <v>4</v>
      </c>
      <c r="M1981" s="3">
        <v>4520</v>
      </c>
      <c r="N1981" s="3">
        <v>18.079999999999998</v>
      </c>
      <c r="O1981" s="3">
        <v>6.31</v>
      </c>
      <c r="P1981" s="3">
        <v>114.08479999999999</v>
      </c>
      <c r="Q1981" s="3">
        <v>4520</v>
      </c>
    </row>
    <row r="1982" spans="1:17" ht="24.95" hidden="1" customHeight="1" x14ac:dyDescent="0.25">
      <c r="A1982" s="3">
        <v>6</v>
      </c>
      <c r="B1982" s="3" t="s">
        <v>457</v>
      </c>
      <c r="C1982" s="3" t="s">
        <v>2414</v>
      </c>
      <c r="I1982" s="3">
        <v>32</v>
      </c>
      <c r="J1982" s="3">
        <v>5</v>
      </c>
      <c r="K1982" s="3">
        <v>1</v>
      </c>
      <c r="L1982" s="3">
        <v>5</v>
      </c>
      <c r="M1982" s="3">
        <v>11700</v>
      </c>
      <c r="N1982" s="3">
        <v>58.5</v>
      </c>
      <c r="O1982" s="3">
        <v>6.31</v>
      </c>
      <c r="P1982" s="3">
        <v>369.13499999999999</v>
      </c>
      <c r="Q1982" s="3">
        <v>11700</v>
      </c>
    </row>
    <row r="1983" spans="1:17" ht="24.95" hidden="1" customHeight="1" x14ac:dyDescent="0.25">
      <c r="A1983" s="3">
        <v>6</v>
      </c>
      <c r="B1983" s="3" t="s">
        <v>457</v>
      </c>
      <c r="C1983" s="3" t="s">
        <v>2415</v>
      </c>
      <c r="I1983" s="3">
        <v>32</v>
      </c>
      <c r="J1983" s="3">
        <v>5</v>
      </c>
      <c r="K1983" s="3">
        <v>1</v>
      </c>
      <c r="L1983" s="3">
        <v>5</v>
      </c>
      <c r="M1983" s="3">
        <v>11700</v>
      </c>
      <c r="N1983" s="3">
        <v>58.5</v>
      </c>
      <c r="O1983" s="3">
        <v>6.31</v>
      </c>
      <c r="P1983" s="3">
        <v>369.13499999999999</v>
      </c>
      <c r="Q1983" s="3">
        <v>11700</v>
      </c>
    </row>
    <row r="1984" spans="1:17" ht="24.95" hidden="1" customHeight="1" x14ac:dyDescent="0.25">
      <c r="A1984" s="3">
        <v>6</v>
      </c>
      <c r="B1984" s="3" t="s">
        <v>457</v>
      </c>
      <c r="C1984" s="3" t="s">
        <v>2416</v>
      </c>
      <c r="I1984" s="3">
        <v>32</v>
      </c>
      <c r="J1984" s="3">
        <v>5</v>
      </c>
      <c r="K1984" s="3">
        <v>1</v>
      </c>
      <c r="L1984" s="3">
        <v>5</v>
      </c>
      <c r="M1984" s="3">
        <v>4520</v>
      </c>
      <c r="N1984" s="3">
        <v>22.6</v>
      </c>
      <c r="O1984" s="3">
        <v>6.31</v>
      </c>
      <c r="P1984" s="3">
        <v>142.60599999999999</v>
      </c>
      <c r="Q1984" s="3">
        <v>4520</v>
      </c>
    </row>
    <row r="1985" spans="1:17" ht="24.95" hidden="1" customHeight="1" x14ac:dyDescent="0.25">
      <c r="A1985" s="3">
        <v>6</v>
      </c>
      <c r="B1985" s="3" t="s">
        <v>457</v>
      </c>
      <c r="C1985" s="3" t="s">
        <v>2417</v>
      </c>
      <c r="I1985" s="3">
        <v>32</v>
      </c>
      <c r="J1985" s="3">
        <v>4</v>
      </c>
      <c r="K1985" s="3">
        <v>1</v>
      </c>
      <c r="L1985" s="3">
        <v>4</v>
      </c>
      <c r="M1985" s="3">
        <v>11700</v>
      </c>
      <c r="N1985" s="3">
        <v>46.8</v>
      </c>
      <c r="O1985" s="3">
        <v>6.31</v>
      </c>
      <c r="P1985" s="3">
        <v>295.30799999999994</v>
      </c>
      <c r="Q1985" s="3">
        <v>11700</v>
      </c>
    </row>
    <row r="1986" spans="1:17" ht="24.95" hidden="1" customHeight="1" x14ac:dyDescent="0.25">
      <c r="A1986" s="3">
        <v>6</v>
      </c>
      <c r="B1986" s="3" t="s">
        <v>457</v>
      </c>
      <c r="C1986" s="3" t="s">
        <v>2418</v>
      </c>
      <c r="I1986" s="3">
        <v>32</v>
      </c>
      <c r="J1986" s="3">
        <v>5</v>
      </c>
      <c r="K1986" s="3">
        <v>1</v>
      </c>
      <c r="L1986" s="3">
        <v>5</v>
      </c>
      <c r="M1986" s="3">
        <v>8145</v>
      </c>
      <c r="N1986" s="3">
        <v>40.725000000000001</v>
      </c>
      <c r="O1986" s="3">
        <v>6.31</v>
      </c>
      <c r="P1986" s="3">
        <v>256.97474999999997</v>
      </c>
      <c r="Q1986" s="3">
        <v>8145</v>
      </c>
    </row>
    <row r="1987" spans="1:17" ht="24.95" hidden="1" customHeight="1" x14ac:dyDescent="0.25">
      <c r="A1987" s="3">
        <v>6</v>
      </c>
      <c r="B1987" s="3" t="s">
        <v>457</v>
      </c>
      <c r="C1987" s="3" t="s">
        <v>2419</v>
      </c>
      <c r="I1987" s="3">
        <v>32</v>
      </c>
      <c r="J1987" s="3">
        <v>5</v>
      </c>
      <c r="K1987" s="3">
        <v>1</v>
      </c>
      <c r="L1987" s="3">
        <v>5</v>
      </c>
      <c r="M1987" s="3">
        <v>11700</v>
      </c>
      <c r="N1987" s="3">
        <v>58.5</v>
      </c>
      <c r="O1987" s="3">
        <v>6.31</v>
      </c>
      <c r="P1987" s="3">
        <v>369.13499999999999</v>
      </c>
      <c r="Q1987" s="3">
        <v>11700</v>
      </c>
    </row>
    <row r="1988" spans="1:17" ht="24.95" hidden="1" customHeight="1" x14ac:dyDescent="0.25">
      <c r="A1988" s="3">
        <v>6</v>
      </c>
      <c r="B1988" s="3" t="s">
        <v>457</v>
      </c>
      <c r="C1988" s="3" t="s">
        <v>2420</v>
      </c>
      <c r="I1988" s="3">
        <v>32</v>
      </c>
      <c r="J1988" s="3">
        <v>4</v>
      </c>
      <c r="K1988" s="3">
        <v>1</v>
      </c>
      <c r="L1988" s="3">
        <v>4</v>
      </c>
      <c r="M1988" s="3">
        <v>6385</v>
      </c>
      <c r="N1988" s="3">
        <v>25.54</v>
      </c>
      <c r="O1988" s="3">
        <v>6.31</v>
      </c>
      <c r="P1988" s="3">
        <v>161.1574</v>
      </c>
      <c r="Q1988" s="3">
        <v>6385</v>
      </c>
    </row>
    <row r="1989" spans="1:17" ht="24.95" hidden="1" customHeight="1" x14ac:dyDescent="0.25">
      <c r="A1989" s="3">
        <v>6</v>
      </c>
      <c r="B1989" s="3" t="s">
        <v>457</v>
      </c>
      <c r="C1989" s="3" t="s">
        <v>2421</v>
      </c>
      <c r="I1989" s="3">
        <v>32</v>
      </c>
      <c r="J1989" s="3">
        <v>4</v>
      </c>
      <c r="K1989" s="3">
        <v>1</v>
      </c>
      <c r="L1989" s="3">
        <v>4</v>
      </c>
      <c r="M1989" s="3">
        <v>8055</v>
      </c>
      <c r="N1989" s="3">
        <v>32.22</v>
      </c>
      <c r="O1989" s="3">
        <v>6.31</v>
      </c>
      <c r="P1989" s="3">
        <v>203.30819999999997</v>
      </c>
      <c r="Q1989" s="3">
        <v>8055</v>
      </c>
    </row>
    <row r="1990" spans="1:17" ht="24.95" hidden="1" customHeight="1" x14ac:dyDescent="0.25">
      <c r="A1990" s="3">
        <v>6</v>
      </c>
      <c r="B1990" s="3" t="s">
        <v>457</v>
      </c>
      <c r="C1990" s="3" t="s">
        <v>2422</v>
      </c>
      <c r="I1990" s="3">
        <v>32</v>
      </c>
      <c r="J1990" s="3">
        <v>9</v>
      </c>
      <c r="K1990" s="3">
        <v>1</v>
      </c>
      <c r="L1990" s="3">
        <v>9</v>
      </c>
      <c r="M1990" s="3">
        <v>4795</v>
      </c>
      <c r="N1990" s="3">
        <v>43.155000000000001</v>
      </c>
      <c r="O1990" s="3">
        <v>6.31</v>
      </c>
      <c r="P1990" s="3">
        <v>272.30804999999998</v>
      </c>
      <c r="Q1990" s="3">
        <v>4795</v>
      </c>
    </row>
    <row r="1991" spans="1:17" ht="24.95" hidden="1" customHeight="1" x14ac:dyDescent="0.25">
      <c r="A1991" s="3">
        <v>6</v>
      </c>
      <c r="B1991" s="3" t="s">
        <v>457</v>
      </c>
      <c r="C1991" s="3" t="s">
        <v>2423</v>
      </c>
      <c r="I1991" s="3">
        <v>32</v>
      </c>
      <c r="J1991" s="3">
        <v>7</v>
      </c>
      <c r="K1991" s="3">
        <v>1</v>
      </c>
      <c r="L1991" s="3">
        <v>7</v>
      </c>
      <c r="M1991" s="3">
        <v>3645</v>
      </c>
      <c r="N1991" s="3">
        <v>25.515000000000001</v>
      </c>
      <c r="O1991" s="3">
        <v>6.31</v>
      </c>
      <c r="P1991" s="3">
        <v>160.99965</v>
      </c>
      <c r="Q1991" s="3">
        <v>3645</v>
      </c>
    </row>
    <row r="1992" spans="1:17" ht="24.95" hidden="1" customHeight="1" x14ac:dyDescent="0.25">
      <c r="A1992" s="3">
        <v>6</v>
      </c>
      <c r="B1992" s="3" t="s">
        <v>457</v>
      </c>
      <c r="C1992" s="3" t="s">
        <v>2424</v>
      </c>
      <c r="I1992" s="3">
        <v>32</v>
      </c>
      <c r="J1992" s="3">
        <v>2</v>
      </c>
      <c r="K1992" s="3">
        <v>1</v>
      </c>
      <c r="L1992" s="3">
        <v>2</v>
      </c>
      <c r="M1992" s="3">
        <v>7450</v>
      </c>
      <c r="N1992" s="3">
        <v>14.9</v>
      </c>
      <c r="O1992" s="3">
        <v>6.31</v>
      </c>
      <c r="P1992" s="3">
        <v>94.018999999999991</v>
      </c>
      <c r="Q1992" s="3">
        <v>7450</v>
      </c>
    </row>
    <row r="1993" spans="1:17" ht="24.95" hidden="1" customHeight="1" x14ac:dyDescent="0.25">
      <c r="A1993" s="3">
        <v>6</v>
      </c>
      <c r="B1993" s="3" t="s">
        <v>457</v>
      </c>
      <c r="C1993" s="3" t="s">
        <v>2425</v>
      </c>
      <c r="I1993" s="3">
        <v>32</v>
      </c>
      <c r="J1993" s="3">
        <v>2</v>
      </c>
      <c r="K1993" s="3">
        <v>1</v>
      </c>
      <c r="L1993" s="3">
        <v>2</v>
      </c>
      <c r="M1993" s="3">
        <v>3245</v>
      </c>
      <c r="N1993" s="3">
        <v>6.49</v>
      </c>
      <c r="O1993" s="3">
        <v>6.31</v>
      </c>
      <c r="P1993" s="3">
        <v>40.951900000000002</v>
      </c>
      <c r="Q1993" s="3">
        <v>3245</v>
      </c>
    </row>
    <row r="1994" spans="1:17" ht="24.95" hidden="1" customHeight="1" x14ac:dyDescent="0.25">
      <c r="A1994" s="3">
        <v>6</v>
      </c>
      <c r="B1994" s="3" t="s">
        <v>457</v>
      </c>
      <c r="C1994" s="3" t="s">
        <v>2426</v>
      </c>
      <c r="I1994" s="3">
        <v>14</v>
      </c>
      <c r="J1994" s="3">
        <v>52</v>
      </c>
      <c r="K1994" s="3">
        <v>1</v>
      </c>
      <c r="L1994" s="3">
        <v>52</v>
      </c>
      <c r="M1994" s="3">
        <v>2350</v>
      </c>
      <c r="N1994" s="3">
        <v>122.2</v>
      </c>
      <c r="O1994" s="3">
        <v>1.21</v>
      </c>
      <c r="P1994" s="3">
        <v>147.86199999999999</v>
      </c>
      <c r="Q1994" s="3">
        <v>2350</v>
      </c>
    </row>
    <row r="1995" spans="1:17" ht="24.95" hidden="1" customHeight="1" x14ac:dyDescent="0.25">
      <c r="A1995" s="3">
        <v>6</v>
      </c>
      <c r="B1995" s="3" t="s">
        <v>457</v>
      </c>
      <c r="C1995" s="3" t="s">
        <v>2427</v>
      </c>
      <c r="I1995" s="3">
        <v>14</v>
      </c>
      <c r="J1995" s="3">
        <v>52</v>
      </c>
      <c r="K1995" s="3">
        <v>1</v>
      </c>
      <c r="L1995" s="3">
        <v>52</v>
      </c>
      <c r="M1995" s="3">
        <v>5870</v>
      </c>
      <c r="N1995" s="3">
        <v>305.24</v>
      </c>
      <c r="O1995" s="3">
        <v>1.21</v>
      </c>
      <c r="P1995" s="3">
        <v>369.34039999999999</v>
      </c>
      <c r="Q1995" s="3">
        <v>5870</v>
      </c>
    </row>
    <row r="1996" spans="1:17" ht="24.95" hidden="1" customHeight="1" x14ac:dyDescent="0.25">
      <c r="A1996" s="3">
        <v>6</v>
      </c>
      <c r="B1996" s="3" t="s">
        <v>457</v>
      </c>
      <c r="C1996" s="3" t="s">
        <v>2428</v>
      </c>
      <c r="I1996" s="3">
        <v>14</v>
      </c>
      <c r="J1996" s="3">
        <v>156</v>
      </c>
      <c r="K1996" s="3">
        <v>1</v>
      </c>
      <c r="L1996" s="3">
        <v>156</v>
      </c>
      <c r="M1996" s="3">
        <v>2670</v>
      </c>
      <c r="N1996" s="3">
        <v>416.52</v>
      </c>
      <c r="O1996" s="3">
        <v>1.21</v>
      </c>
      <c r="P1996" s="3">
        <v>503.98919999999998</v>
      </c>
      <c r="Q1996" s="3">
        <v>2670</v>
      </c>
    </row>
    <row r="1997" spans="1:17" ht="24.95" hidden="1" customHeight="1" x14ac:dyDescent="0.25">
      <c r="A1997" s="3">
        <v>6</v>
      </c>
      <c r="B1997" s="3" t="s">
        <v>457</v>
      </c>
      <c r="C1997" s="3" t="s">
        <v>2429</v>
      </c>
      <c r="I1997" s="3">
        <v>18</v>
      </c>
      <c r="J1997" s="3">
        <v>6</v>
      </c>
      <c r="K1997" s="3">
        <v>1</v>
      </c>
      <c r="L1997" s="3">
        <v>6</v>
      </c>
      <c r="M1997" s="3">
        <v>7900</v>
      </c>
      <c r="N1997" s="3">
        <v>47.4</v>
      </c>
      <c r="O1997" s="3">
        <v>2</v>
      </c>
      <c r="P1997" s="3">
        <v>94.8</v>
      </c>
      <c r="Q1997" s="3">
        <v>7900</v>
      </c>
    </row>
    <row r="1998" spans="1:17" ht="24.95" hidden="1" customHeight="1" x14ac:dyDescent="0.25">
      <c r="A1998" s="3">
        <v>6</v>
      </c>
      <c r="B1998" s="3" t="s">
        <v>457</v>
      </c>
      <c r="C1998" s="3" t="s">
        <v>2430</v>
      </c>
      <c r="I1998" s="3">
        <v>18</v>
      </c>
      <c r="J1998" s="3">
        <v>3</v>
      </c>
      <c r="K1998" s="3">
        <v>1</v>
      </c>
      <c r="L1998" s="3">
        <v>3</v>
      </c>
      <c r="M1998" s="3">
        <v>3800</v>
      </c>
      <c r="N1998" s="3">
        <v>11.4</v>
      </c>
      <c r="O1998" s="3">
        <v>2</v>
      </c>
      <c r="P1998" s="3">
        <v>22.8</v>
      </c>
      <c r="Q1998" s="3">
        <v>3800</v>
      </c>
    </row>
    <row r="1999" spans="1:17" ht="24.95" hidden="1" customHeight="1" x14ac:dyDescent="0.25">
      <c r="A1999" s="3">
        <v>6</v>
      </c>
      <c r="B1999" s="3" t="s">
        <v>457</v>
      </c>
      <c r="C1999" s="3" t="s">
        <v>2431</v>
      </c>
      <c r="I1999" s="3">
        <v>18</v>
      </c>
      <c r="J1999" s="3">
        <v>6</v>
      </c>
      <c r="K1999" s="3">
        <v>1</v>
      </c>
      <c r="L1999" s="3">
        <v>6</v>
      </c>
      <c r="M1999" s="3">
        <v>11700</v>
      </c>
      <c r="N1999" s="3">
        <v>70.2</v>
      </c>
      <c r="O1999" s="3">
        <v>2</v>
      </c>
      <c r="P1999" s="3">
        <v>140.4</v>
      </c>
      <c r="Q1999" s="3">
        <v>11700</v>
      </c>
    </row>
    <row r="2000" spans="1:17" ht="24.95" hidden="1" customHeight="1" x14ac:dyDescent="0.25">
      <c r="A2000" s="3">
        <v>7</v>
      </c>
      <c r="B2000" s="3" t="s">
        <v>457</v>
      </c>
      <c r="C2000" s="3" t="s">
        <v>2432</v>
      </c>
      <c r="I2000" s="3">
        <v>14</v>
      </c>
      <c r="J2000" s="3">
        <v>156</v>
      </c>
      <c r="K2000" s="3">
        <v>1</v>
      </c>
      <c r="L2000" s="3">
        <v>156</v>
      </c>
      <c r="M2000" s="3">
        <v>1370</v>
      </c>
      <c r="N2000" s="3">
        <v>213.72</v>
      </c>
      <c r="O2000" s="3">
        <v>1.21</v>
      </c>
      <c r="P2000" s="3">
        <v>258.60120000000001</v>
      </c>
      <c r="Q2000" s="3">
        <v>1370</v>
      </c>
    </row>
    <row r="2001" spans="1:17" ht="24.95" hidden="1" customHeight="1" x14ac:dyDescent="0.25">
      <c r="A2001" s="3">
        <v>7</v>
      </c>
      <c r="B2001" s="3" t="s">
        <v>457</v>
      </c>
      <c r="C2001" s="3" t="s">
        <v>2433</v>
      </c>
      <c r="I2001" s="3">
        <v>32</v>
      </c>
      <c r="J2001" s="3">
        <v>18</v>
      </c>
      <c r="K2001" s="3">
        <v>1</v>
      </c>
      <c r="L2001" s="3">
        <v>18</v>
      </c>
      <c r="M2001" s="3">
        <v>1090</v>
      </c>
      <c r="N2001" s="3">
        <v>19.62</v>
      </c>
      <c r="O2001" s="3">
        <v>6.31</v>
      </c>
      <c r="P2001" s="3">
        <v>123.8022</v>
      </c>
      <c r="Q2001" s="3">
        <v>1090</v>
      </c>
    </row>
    <row r="2002" spans="1:17" ht="24.95" hidden="1" customHeight="1" x14ac:dyDescent="0.25">
      <c r="A2002" s="3">
        <v>7</v>
      </c>
      <c r="B2002" s="3" t="s">
        <v>457</v>
      </c>
      <c r="C2002" s="3" t="s">
        <v>2434</v>
      </c>
      <c r="I2002" s="3">
        <v>14</v>
      </c>
      <c r="J2002" s="3">
        <v>18</v>
      </c>
      <c r="K2002" s="3">
        <v>1</v>
      </c>
      <c r="L2002" s="3">
        <v>18</v>
      </c>
      <c r="M2002" s="3">
        <v>11700</v>
      </c>
      <c r="N2002" s="3">
        <v>210.6</v>
      </c>
      <c r="O2002" s="3">
        <v>1.21</v>
      </c>
      <c r="P2002" s="3">
        <v>254.82599999999999</v>
      </c>
      <c r="Q2002" s="3">
        <v>11700</v>
      </c>
    </row>
    <row r="2003" spans="1:17" ht="24.95" hidden="1" customHeight="1" x14ac:dyDescent="0.25">
      <c r="A2003" s="3">
        <v>7</v>
      </c>
      <c r="B2003" s="3" t="s">
        <v>457</v>
      </c>
      <c r="C2003" s="3" t="s">
        <v>2435</v>
      </c>
      <c r="I2003" s="3">
        <v>14</v>
      </c>
      <c r="J2003" s="3">
        <v>9</v>
      </c>
      <c r="K2003" s="3">
        <v>1</v>
      </c>
      <c r="L2003" s="3">
        <v>9</v>
      </c>
      <c r="M2003" s="3">
        <v>5850</v>
      </c>
      <c r="N2003" s="3">
        <v>52.65</v>
      </c>
      <c r="O2003" s="3">
        <v>1.21</v>
      </c>
      <c r="P2003" s="3">
        <v>63.706499999999998</v>
      </c>
      <c r="Q2003" s="3">
        <v>5850</v>
      </c>
    </row>
    <row r="2004" spans="1:17" ht="24.95" hidden="1" customHeight="1" x14ac:dyDescent="0.25">
      <c r="A2004" s="3">
        <v>7</v>
      </c>
      <c r="B2004" s="3" t="s">
        <v>458</v>
      </c>
      <c r="C2004" s="3" t="s">
        <v>2436</v>
      </c>
      <c r="I2004" s="3">
        <v>32</v>
      </c>
      <c r="J2004" s="3">
        <v>4</v>
      </c>
      <c r="K2004" s="3">
        <v>1</v>
      </c>
      <c r="L2004" s="3">
        <v>4</v>
      </c>
      <c r="M2004" s="3">
        <v>6295</v>
      </c>
      <c r="N2004" s="3">
        <v>25.18</v>
      </c>
      <c r="O2004" s="3">
        <v>6.31</v>
      </c>
      <c r="P2004" s="3">
        <v>158.88579999999999</v>
      </c>
      <c r="Q2004" s="3">
        <v>6295</v>
      </c>
    </row>
    <row r="2005" spans="1:17" ht="24.95" hidden="1" customHeight="1" x14ac:dyDescent="0.25">
      <c r="A2005" s="3">
        <v>7</v>
      </c>
      <c r="B2005" s="3" t="s">
        <v>458</v>
      </c>
      <c r="C2005" s="3" t="s">
        <v>2437</v>
      </c>
      <c r="I2005" s="3">
        <v>32</v>
      </c>
      <c r="J2005" s="3">
        <v>5</v>
      </c>
      <c r="K2005" s="3">
        <v>1</v>
      </c>
      <c r="L2005" s="3">
        <v>5</v>
      </c>
      <c r="M2005" s="3">
        <v>11700</v>
      </c>
      <c r="N2005" s="3">
        <v>58.5</v>
      </c>
      <c r="O2005" s="3">
        <v>6.31</v>
      </c>
      <c r="P2005" s="3">
        <v>369.13499999999999</v>
      </c>
      <c r="Q2005" s="3">
        <v>11700</v>
      </c>
    </row>
    <row r="2006" spans="1:17" ht="24.95" hidden="1" customHeight="1" x14ac:dyDescent="0.25">
      <c r="A2006" s="3">
        <v>7</v>
      </c>
      <c r="B2006" s="3" t="s">
        <v>458</v>
      </c>
      <c r="C2006" s="3" t="s">
        <v>2438</v>
      </c>
      <c r="I2006" s="3">
        <v>32</v>
      </c>
      <c r="J2006" s="3">
        <v>4</v>
      </c>
      <c r="K2006" s="3">
        <v>1</v>
      </c>
      <c r="L2006" s="3">
        <v>4</v>
      </c>
      <c r="M2006" s="3">
        <v>10000</v>
      </c>
      <c r="N2006" s="3">
        <v>40</v>
      </c>
      <c r="O2006" s="3">
        <v>6.31</v>
      </c>
      <c r="P2006" s="3">
        <v>252.39999999999998</v>
      </c>
      <c r="Q2006" s="3">
        <v>10000</v>
      </c>
    </row>
    <row r="2007" spans="1:17" ht="24.95" hidden="1" customHeight="1" x14ac:dyDescent="0.25">
      <c r="A2007" s="3">
        <v>7</v>
      </c>
      <c r="B2007" s="3" t="s">
        <v>458</v>
      </c>
      <c r="C2007" s="3" t="s">
        <v>2439</v>
      </c>
      <c r="I2007" s="3">
        <v>32</v>
      </c>
      <c r="J2007" s="3">
        <v>6</v>
      </c>
      <c r="K2007" s="3">
        <v>1</v>
      </c>
      <c r="L2007" s="3">
        <v>6</v>
      </c>
      <c r="M2007" s="3">
        <v>11700</v>
      </c>
      <c r="N2007" s="3">
        <v>70.2</v>
      </c>
      <c r="O2007" s="3">
        <v>6.31</v>
      </c>
      <c r="P2007" s="3">
        <v>442.96199999999999</v>
      </c>
      <c r="Q2007" s="3">
        <v>11700</v>
      </c>
    </row>
    <row r="2008" spans="1:17" ht="24.95" hidden="1" customHeight="1" x14ac:dyDescent="0.25">
      <c r="A2008" s="3">
        <v>7</v>
      </c>
      <c r="B2008" s="3" t="s">
        <v>458</v>
      </c>
      <c r="C2008" s="3" t="s">
        <v>2440</v>
      </c>
      <c r="I2008" s="3">
        <v>32</v>
      </c>
      <c r="J2008" s="3">
        <v>6</v>
      </c>
      <c r="K2008" s="3">
        <v>1</v>
      </c>
      <c r="L2008" s="3">
        <v>6</v>
      </c>
      <c r="M2008" s="3">
        <v>5375</v>
      </c>
      <c r="N2008" s="3">
        <v>32.25</v>
      </c>
      <c r="O2008" s="3">
        <v>6.31</v>
      </c>
      <c r="P2008" s="3">
        <v>203.49749999999997</v>
      </c>
      <c r="Q2008" s="3">
        <v>5375</v>
      </c>
    </row>
    <row r="2009" spans="1:17" ht="24.95" hidden="1" customHeight="1" x14ac:dyDescent="0.25">
      <c r="A2009" s="3">
        <v>7</v>
      </c>
      <c r="B2009" s="3" t="s">
        <v>458</v>
      </c>
      <c r="C2009" s="3" t="s">
        <v>2441</v>
      </c>
      <c r="I2009" s="3">
        <v>32</v>
      </c>
      <c r="J2009" s="3">
        <v>6</v>
      </c>
      <c r="K2009" s="3">
        <v>1</v>
      </c>
      <c r="L2009" s="3">
        <v>6</v>
      </c>
      <c r="M2009" s="3">
        <v>11700</v>
      </c>
      <c r="N2009" s="3">
        <v>70.2</v>
      </c>
      <c r="O2009" s="3">
        <v>6.31</v>
      </c>
      <c r="P2009" s="3">
        <v>442.96199999999999</v>
      </c>
      <c r="Q2009" s="3">
        <v>11700</v>
      </c>
    </row>
    <row r="2010" spans="1:17" ht="24.95" hidden="1" customHeight="1" x14ac:dyDescent="0.25">
      <c r="A2010" s="3">
        <v>7</v>
      </c>
      <c r="B2010" s="3" t="s">
        <v>458</v>
      </c>
      <c r="C2010" s="3" t="s">
        <v>2442</v>
      </c>
      <c r="I2010" s="3">
        <v>32</v>
      </c>
      <c r="J2010" s="3">
        <v>6</v>
      </c>
      <c r="K2010" s="3">
        <v>1</v>
      </c>
      <c r="L2010" s="3">
        <v>6</v>
      </c>
      <c r="M2010" s="3">
        <v>5375</v>
      </c>
      <c r="N2010" s="3">
        <v>32.25</v>
      </c>
      <c r="O2010" s="3">
        <v>6.31</v>
      </c>
      <c r="P2010" s="3">
        <v>203.49749999999997</v>
      </c>
      <c r="Q2010" s="3">
        <v>5375</v>
      </c>
    </row>
    <row r="2011" spans="1:17" ht="24.95" hidden="1" customHeight="1" x14ac:dyDescent="0.25">
      <c r="A2011" s="3">
        <v>7</v>
      </c>
      <c r="B2011" s="3" t="s">
        <v>458</v>
      </c>
      <c r="C2011" s="3" t="s">
        <v>2443</v>
      </c>
      <c r="I2011" s="3">
        <v>32</v>
      </c>
      <c r="J2011" s="3">
        <v>4</v>
      </c>
      <c r="K2011" s="3">
        <v>1</v>
      </c>
      <c r="L2011" s="3">
        <v>4</v>
      </c>
      <c r="M2011" s="3">
        <v>11670</v>
      </c>
      <c r="N2011" s="3">
        <v>46.68</v>
      </c>
      <c r="O2011" s="3">
        <v>6.31</v>
      </c>
      <c r="P2011" s="3">
        <v>294.55079999999998</v>
      </c>
      <c r="Q2011" s="3">
        <v>11670</v>
      </c>
    </row>
    <row r="2012" spans="1:17" ht="24.95" hidden="1" customHeight="1" x14ac:dyDescent="0.25">
      <c r="A2012" s="3">
        <v>7</v>
      </c>
      <c r="B2012" s="3" t="s">
        <v>458</v>
      </c>
      <c r="C2012" s="3" t="s">
        <v>2444</v>
      </c>
      <c r="I2012" s="3">
        <v>32</v>
      </c>
      <c r="J2012" s="3">
        <v>5</v>
      </c>
      <c r="K2012" s="3">
        <v>1</v>
      </c>
      <c r="L2012" s="3">
        <v>5</v>
      </c>
      <c r="M2012" s="3">
        <v>6295</v>
      </c>
      <c r="N2012" s="3">
        <v>31.475000000000001</v>
      </c>
      <c r="O2012" s="3">
        <v>6.31</v>
      </c>
      <c r="P2012" s="3">
        <v>198.60724999999999</v>
      </c>
      <c r="Q2012" s="3">
        <v>6295</v>
      </c>
    </row>
    <row r="2013" spans="1:17" ht="24.95" hidden="1" customHeight="1" x14ac:dyDescent="0.25">
      <c r="A2013" s="3">
        <v>7</v>
      </c>
      <c r="B2013" s="3" t="s">
        <v>458</v>
      </c>
      <c r="C2013" s="3" t="s">
        <v>2445</v>
      </c>
      <c r="I2013" s="3">
        <v>32</v>
      </c>
      <c r="J2013" s="3">
        <v>5</v>
      </c>
      <c r="K2013" s="3">
        <v>1</v>
      </c>
      <c r="L2013" s="3">
        <v>5</v>
      </c>
      <c r="M2013" s="3">
        <v>9900</v>
      </c>
      <c r="N2013" s="3">
        <v>49.5</v>
      </c>
      <c r="O2013" s="3">
        <v>6.31</v>
      </c>
      <c r="P2013" s="3">
        <v>312.34499999999997</v>
      </c>
      <c r="Q2013" s="3">
        <v>9900</v>
      </c>
    </row>
    <row r="2014" spans="1:17" ht="24.95" hidden="1" customHeight="1" x14ac:dyDescent="0.25">
      <c r="A2014" s="3">
        <v>7</v>
      </c>
      <c r="B2014" s="3" t="s">
        <v>458</v>
      </c>
      <c r="C2014" s="3" t="s">
        <v>2446</v>
      </c>
      <c r="I2014" s="3">
        <v>32</v>
      </c>
      <c r="J2014" s="3">
        <v>6</v>
      </c>
      <c r="K2014" s="3">
        <v>1</v>
      </c>
      <c r="L2014" s="3">
        <v>6</v>
      </c>
      <c r="M2014" s="3">
        <v>5275</v>
      </c>
      <c r="N2014" s="3">
        <v>31.65</v>
      </c>
      <c r="O2014" s="3">
        <v>6.31</v>
      </c>
      <c r="P2014" s="3">
        <v>199.71149999999997</v>
      </c>
      <c r="Q2014" s="3">
        <v>5275</v>
      </c>
    </row>
    <row r="2015" spans="1:17" ht="24.95" hidden="1" customHeight="1" x14ac:dyDescent="0.25">
      <c r="A2015" s="3">
        <v>7</v>
      </c>
      <c r="B2015" s="3" t="s">
        <v>458</v>
      </c>
      <c r="C2015" s="3" t="s">
        <v>2447</v>
      </c>
      <c r="I2015" s="3">
        <v>32</v>
      </c>
      <c r="J2015" s="3">
        <v>6</v>
      </c>
      <c r="K2015" s="3">
        <v>1</v>
      </c>
      <c r="L2015" s="3">
        <v>6</v>
      </c>
      <c r="M2015" s="3">
        <v>11700</v>
      </c>
      <c r="N2015" s="3">
        <v>70.2</v>
      </c>
      <c r="O2015" s="3">
        <v>6.31</v>
      </c>
      <c r="P2015" s="3">
        <v>442.96199999999999</v>
      </c>
      <c r="Q2015" s="3">
        <v>11700</v>
      </c>
    </row>
    <row r="2016" spans="1:17" ht="24.95" hidden="1" customHeight="1" x14ac:dyDescent="0.25">
      <c r="A2016" s="3">
        <v>7</v>
      </c>
      <c r="B2016" s="3" t="s">
        <v>458</v>
      </c>
      <c r="C2016" s="3" t="s">
        <v>2448</v>
      </c>
      <c r="I2016" s="3">
        <v>32</v>
      </c>
      <c r="J2016" s="3">
        <v>6</v>
      </c>
      <c r="K2016" s="3">
        <v>1</v>
      </c>
      <c r="L2016" s="3">
        <v>6</v>
      </c>
      <c r="M2016" s="3">
        <v>5275</v>
      </c>
      <c r="N2016" s="3">
        <v>31.65</v>
      </c>
      <c r="O2016" s="3">
        <v>6.31</v>
      </c>
      <c r="P2016" s="3">
        <v>199.71149999999997</v>
      </c>
      <c r="Q2016" s="3">
        <v>5275</v>
      </c>
    </row>
    <row r="2017" spans="1:17" ht="24.95" hidden="1" customHeight="1" x14ac:dyDescent="0.25">
      <c r="A2017" s="3">
        <v>7</v>
      </c>
      <c r="B2017" s="3" t="s">
        <v>458</v>
      </c>
      <c r="C2017" s="3" t="s">
        <v>2449</v>
      </c>
      <c r="I2017" s="3">
        <v>32</v>
      </c>
      <c r="J2017" s="3">
        <v>6</v>
      </c>
      <c r="K2017" s="3">
        <v>1</v>
      </c>
      <c r="L2017" s="3">
        <v>6</v>
      </c>
      <c r="M2017" s="3">
        <v>11700</v>
      </c>
      <c r="N2017" s="3">
        <v>70.2</v>
      </c>
      <c r="O2017" s="3">
        <v>6.31</v>
      </c>
      <c r="P2017" s="3">
        <v>442.96199999999999</v>
      </c>
      <c r="Q2017" s="3">
        <v>11700</v>
      </c>
    </row>
    <row r="2018" spans="1:17" ht="24.95" hidden="1" customHeight="1" x14ac:dyDescent="0.25">
      <c r="A2018" s="3">
        <v>7</v>
      </c>
      <c r="B2018" s="3" t="s">
        <v>458</v>
      </c>
      <c r="C2018" s="3" t="s">
        <v>2450</v>
      </c>
      <c r="I2018" s="3">
        <v>32</v>
      </c>
      <c r="J2018" s="3">
        <v>4</v>
      </c>
      <c r="K2018" s="3">
        <v>1</v>
      </c>
      <c r="L2018" s="3">
        <v>4</v>
      </c>
      <c r="M2018" s="3">
        <v>6290</v>
      </c>
      <c r="N2018" s="3">
        <v>25.16</v>
      </c>
      <c r="O2018" s="3">
        <v>6.31</v>
      </c>
      <c r="P2018" s="3">
        <v>158.75959999999998</v>
      </c>
      <c r="Q2018" s="3">
        <v>6290</v>
      </c>
    </row>
    <row r="2019" spans="1:17" ht="24.95" hidden="1" customHeight="1" x14ac:dyDescent="0.25">
      <c r="A2019" s="3">
        <v>7</v>
      </c>
      <c r="B2019" s="3" t="s">
        <v>458</v>
      </c>
      <c r="C2019" s="3" t="s">
        <v>2451</v>
      </c>
      <c r="I2019" s="3">
        <v>32</v>
      </c>
      <c r="J2019" s="3">
        <v>4</v>
      </c>
      <c r="K2019" s="3">
        <v>1</v>
      </c>
      <c r="L2019" s="3">
        <v>4</v>
      </c>
      <c r="M2019" s="3">
        <v>9805</v>
      </c>
      <c r="N2019" s="3">
        <v>39.22</v>
      </c>
      <c r="O2019" s="3">
        <v>6.31</v>
      </c>
      <c r="P2019" s="3">
        <v>247.47819999999999</v>
      </c>
      <c r="Q2019" s="3">
        <v>9805</v>
      </c>
    </row>
    <row r="2020" spans="1:17" ht="24.95" hidden="1" customHeight="1" x14ac:dyDescent="0.25">
      <c r="A2020" s="3">
        <v>7</v>
      </c>
      <c r="B2020" s="3" t="s">
        <v>458</v>
      </c>
      <c r="C2020" s="3" t="s">
        <v>2452</v>
      </c>
      <c r="I2020" s="3">
        <v>32</v>
      </c>
      <c r="J2020" s="3">
        <v>6</v>
      </c>
      <c r="K2020" s="3">
        <v>1</v>
      </c>
      <c r="L2020" s="3">
        <v>6</v>
      </c>
      <c r="M2020" s="3">
        <v>5175</v>
      </c>
      <c r="N2020" s="3">
        <v>31.05</v>
      </c>
      <c r="O2020" s="3">
        <v>6.31</v>
      </c>
      <c r="P2020" s="3">
        <v>195.9255</v>
      </c>
      <c r="Q2020" s="3">
        <v>5175</v>
      </c>
    </row>
    <row r="2021" spans="1:17" ht="24.95" hidden="1" customHeight="1" x14ac:dyDescent="0.25">
      <c r="A2021" s="3">
        <v>7</v>
      </c>
      <c r="B2021" s="3" t="s">
        <v>458</v>
      </c>
      <c r="C2021" s="3" t="s">
        <v>2453</v>
      </c>
      <c r="I2021" s="3">
        <v>32</v>
      </c>
      <c r="J2021" s="3">
        <v>6</v>
      </c>
      <c r="K2021" s="3">
        <v>1</v>
      </c>
      <c r="L2021" s="3">
        <v>6</v>
      </c>
      <c r="M2021" s="3">
        <v>11700</v>
      </c>
      <c r="N2021" s="3">
        <v>70.2</v>
      </c>
      <c r="O2021" s="3">
        <v>6.31</v>
      </c>
      <c r="P2021" s="3">
        <v>442.96199999999999</v>
      </c>
      <c r="Q2021" s="3">
        <v>11700</v>
      </c>
    </row>
    <row r="2022" spans="1:17" ht="24.95" hidden="1" customHeight="1" x14ac:dyDescent="0.25">
      <c r="A2022" s="3">
        <v>7</v>
      </c>
      <c r="B2022" s="3" t="s">
        <v>458</v>
      </c>
      <c r="C2022" s="3" t="s">
        <v>2454</v>
      </c>
      <c r="I2022" s="3">
        <v>32</v>
      </c>
      <c r="J2022" s="3">
        <v>6</v>
      </c>
      <c r="K2022" s="3">
        <v>1</v>
      </c>
      <c r="L2022" s="3">
        <v>6</v>
      </c>
      <c r="M2022" s="3">
        <v>5175</v>
      </c>
      <c r="N2022" s="3">
        <v>31.05</v>
      </c>
      <c r="O2022" s="3">
        <v>6.31</v>
      </c>
      <c r="P2022" s="3">
        <v>195.9255</v>
      </c>
      <c r="Q2022" s="3">
        <v>5175</v>
      </c>
    </row>
    <row r="2023" spans="1:17" ht="24.95" hidden="1" customHeight="1" x14ac:dyDescent="0.25">
      <c r="A2023" s="3">
        <v>7</v>
      </c>
      <c r="B2023" s="3" t="s">
        <v>458</v>
      </c>
      <c r="C2023" s="3" t="s">
        <v>2455</v>
      </c>
      <c r="I2023" s="3">
        <v>32</v>
      </c>
      <c r="J2023" s="3">
        <v>5</v>
      </c>
      <c r="K2023" s="3">
        <v>1</v>
      </c>
      <c r="L2023" s="3">
        <v>5</v>
      </c>
      <c r="M2023" s="3">
        <v>11570</v>
      </c>
      <c r="N2023" s="3">
        <v>57.85</v>
      </c>
      <c r="O2023" s="3">
        <v>6.31</v>
      </c>
      <c r="P2023" s="3">
        <v>365.0335</v>
      </c>
      <c r="Q2023" s="3">
        <v>11570</v>
      </c>
    </row>
    <row r="2024" spans="1:17" ht="24.95" hidden="1" customHeight="1" x14ac:dyDescent="0.25">
      <c r="A2024" s="3">
        <v>7</v>
      </c>
      <c r="B2024" s="3" t="s">
        <v>458</v>
      </c>
      <c r="C2024" s="3" t="s">
        <v>2456</v>
      </c>
      <c r="I2024" s="3">
        <v>32</v>
      </c>
      <c r="J2024" s="3">
        <v>6</v>
      </c>
      <c r="K2024" s="3">
        <v>1</v>
      </c>
      <c r="L2024" s="3">
        <v>6</v>
      </c>
      <c r="M2024" s="3">
        <v>11700</v>
      </c>
      <c r="N2024" s="3">
        <v>70.2</v>
      </c>
      <c r="O2024" s="3">
        <v>6.31</v>
      </c>
      <c r="P2024" s="3">
        <v>442.96199999999999</v>
      </c>
      <c r="Q2024" s="3">
        <v>11700</v>
      </c>
    </row>
    <row r="2025" spans="1:17" ht="24.95" hidden="1" customHeight="1" x14ac:dyDescent="0.25">
      <c r="A2025" s="3">
        <v>7</v>
      </c>
      <c r="B2025" s="3" t="s">
        <v>458</v>
      </c>
      <c r="C2025" s="3" t="s">
        <v>2457</v>
      </c>
      <c r="I2025" s="3">
        <v>32</v>
      </c>
      <c r="J2025" s="3">
        <v>6</v>
      </c>
      <c r="K2025" s="3">
        <v>1</v>
      </c>
      <c r="L2025" s="3">
        <v>6</v>
      </c>
      <c r="M2025" s="3">
        <v>8850</v>
      </c>
      <c r="N2025" s="3">
        <v>53.1</v>
      </c>
      <c r="O2025" s="3">
        <v>6.31</v>
      </c>
      <c r="P2025" s="3">
        <v>335.06099999999998</v>
      </c>
      <c r="Q2025" s="3">
        <v>8850</v>
      </c>
    </row>
    <row r="2026" spans="1:17" ht="24.95" hidden="1" customHeight="1" x14ac:dyDescent="0.25">
      <c r="A2026" s="3">
        <v>7</v>
      </c>
      <c r="B2026" s="3" t="s">
        <v>458</v>
      </c>
      <c r="C2026" s="3" t="s">
        <v>2458</v>
      </c>
      <c r="I2026" s="3">
        <v>32</v>
      </c>
      <c r="J2026" s="3">
        <v>6</v>
      </c>
      <c r="K2026" s="3">
        <v>1</v>
      </c>
      <c r="L2026" s="3">
        <v>6</v>
      </c>
      <c r="M2026" s="3">
        <v>8030</v>
      </c>
      <c r="N2026" s="3">
        <v>48.18</v>
      </c>
      <c r="O2026" s="3">
        <v>6.31</v>
      </c>
      <c r="P2026" s="3">
        <v>304.01579999999996</v>
      </c>
      <c r="Q2026" s="3">
        <v>8030</v>
      </c>
    </row>
    <row r="2027" spans="1:17" ht="24.95" hidden="1" customHeight="1" x14ac:dyDescent="0.25">
      <c r="A2027" s="3">
        <v>7</v>
      </c>
      <c r="B2027" s="3" t="s">
        <v>458</v>
      </c>
      <c r="C2027" s="3" t="s">
        <v>2459</v>
      </c>
      <c r="I2027" s="3">
        <v>32</v>
      </c>
      <c r="J2027" s="3">
        <v>6</v>
      </c>
      <c r="K2027" s="3">
        <v>1</v>
      </c>
      <c r="L2027" s="3">
        <v>6</v>
      </c>
      <c r="M2027" s="3">
        <v>10625</v>
      </c>
      <c r="N2027" s="3">
        <v>63.75</v>
      </c>
      <c r="O2027" s="3">
        <v>6.31</v>
      </c>
      <c r="P2027" s="3">
        <v>402.26249999999999</v>
      </c>
      <c r="Q2027" s="3">
        <v>10625</v>
      </c>
    </row>
    <row r="2028" spans="1:17" ht="24.95" hidden="1" customHeight="1" x14ac:dyDescent="0.25">
      <c r="A2028" s="3">
        <v>7</v>
      </c>
      <c r="B2028" s="3" t="s">
        <v>458</v>
      </c>
      <c r="C2028" s="3" t="s">
        <v>2460</v>
      </c>
      <c r="I2028" s="3">
        <v>32</v>
      </c>
      <c r="J2028" s="3">
        <v>6</v>
      </c>
      <c r="K2028" s="3">
        <v>1</v>
      </c>
      <c r="L2028" s="3">
        <v>6</v>
      </c>
      <c r="M2028" s="3">
        <v>6270</v>
      </c>
      <c r="N2028" s="3">
        <v>37.619999999999997</v>
      </c>
      <c r="O2028" s="3">
        <v>6.31</v>
      </c>
      <c r="P2028" s="3">
        <v>237.38219999999998</v>
      </c>
      <c r="Q2028" s="3">
        <v>6270</v>
      </c>
    </row>
    <row r="2029" spans="1:17" ht="24.95" hidden="1" customHeight="1" x14ac:dyDescent="0.25">
      <c r="A2029" s="3">
        <v>7</v>
      </c>
      <c r="B2029" s="3" t="s">
        <v>458</v>
      </c>
      <c r="C2029" s="3" t="s">
        <v>2461</v>
      </c>
      <c r="I2029" s="3">
        <v>32</v>
      </c>
      <c r="J2029" s="3">
        <v>5</v>
      </c>
      <c r="K2029" s="3">
        <v>1</v>
      </c>
      <c r="L2029" s="3">
        <v>5</v>
      </c>
      <c r="M2029" s="3">
        <v>8030</v>
      </c>
      <c r="N2029" s="3">
        <v>40.15</v>
      </c>
      <c r="O2029" s="3">
        <v>6.31</v>
      </c>
      <c r="P2029" s="3">
        <v>253.34649999999996</v>
      </c>
      <c r="Q2029" s="3">
        <v>8030</v>
      </c>
    </row>
    <row r="2030" spans="1:17" ht="24.95" hidden="1" customHeight="1" x14ac:dyDescent="0.25">
      <c r="A2030" s="3">
        <v>7</v>
      </c>
      <c r="B2030" s="3" t="s">
        <v>458</v>
      </c>
      <c r="C2030" s="3" t="s">
        <v>2462</v>
      </c>
      <c r="I2030" s="3">
        <v>32</v>
      </c>
      <c r="J2030" s="3">
        <v>4</v>
      </c>
      <c r="K2030" s="3">
        <v>1</v>
      </c>
      <c r="L2030" s="3">
        <v>4</v>
      </c>
      <c r="M2030" s="3">
        <v>8455</v>
      </c>
      <c r="N2030" s="3">
        <v>33.82</v>
      </c>
      <c r="O2030" s="3">
        <v>6.31</v>
      </c>
      <c r="P2030" s="3">
        <v>213.40419999999997</v>
      </c>
      <c r="Q2030" s="3">
        <v>8455</v>
      </c>
    </row>
    <row r="2031" spans="1:17" ht="24.95" hidden="1" customHeight="1" x14ac:dyDescent="0.25">
      <c r="A2031" s="3">
        <v>7</v>
      </c>
      <c r="B2031" s="3" t="s">
        <v>458</v>
      </c>
      <c r="C2031" s="3" t="s">
        <v>2463</v>
      </c>
      <c r="I2031" s="3">
        <v>32</v>
      </c>
      <c r="J2031" s="3">
        <v>4</v>
      </c>
      <c r="K2031" s="3">
        <v>1</v>
      </c>
      <c r="L2031" s="3">
        <v>4</v>
      </c>
      <c r="M2031" s="3">
        <v>6270</v>
      </c>
      <c r="N2031" s="3">
        <v>25.08</v>
      </c>
      <c r="O2031" s="3">
        <v>6.31</v>
      </c>
      <c r="P2031" s="3">
        <v>158.25479999999999</v>
      </c>
      <c r="Q2031" s="3">
        <v>6270</v>
      </c>
    </row>
    <row r="2032" spans="1:17" ht="24.95" hidden="1" customHeight="1" x14ac:dyDescent="0.25">
      <c r="A2032" s="3">
        <v>7</v>
      </c>
      <c r="B2032" s="3" t="s">
        <v>458</v>
      </c>
      <c r="C2032" s="3" t="s">
        <v>2464</v>
      </c>
      <c r="I2032" s="3">
        <v>32</v>
      </c>
      <c r="J2032" s="3">
        <v>2</v>
      </c>
      <c r="K2032" s="3">
        <v>1</v>
      </c>
      <c r="L2032" s="3">
        <v>2</v>
      </c>
      <c r="M2032" s="3">
        <v>6755</v>
      </c>
      <c r="N2032" s="3">
        <v>13.51</v>
      </c>
      <c r="O2032" s="3">
        <v>6.31</v>
      </c>
      <c r="P2032" s="3">
        <v>85.248099999999994</v>
      </c>
      <c r="Q2032" s="3">
        <v>6755</v>
      </c>
    </row>
    <row r="2033" spans="1:17" ht="24.95" hidden="1" customHeight="1" x14ac:dyDescent="0.25">
      <c r="A2033" s="3">
        <v>7</v>
      </c>
      <c r="B2033" s="3" t="s">
        <v>458</v>
      </c>
      <c r="C2033" s="3" t="s">
        <v>2465</v>
      </c>
      <c r="I2033" s="3">
        <v>14</v>
      </c>
      <c r="J2033" s="3">
        <v>66</v>
      </c>
      <c r="K2033" s="3">
        <v>1</v>
      </c>
      <c r="L2033" s="3">
        <v>66</v>
      </c>
      <c r="M2033" s="3">
        <v>7870</v>
      </c>
      <c r="N2033" s="3">
        <v>519.41999999999996</v>
      </c>
      <c r="O2033" s="3">
        <v>1.21</v>
      </c>
      <c r="P2033" s="3">
        <v>628.49819999999988</v>
      </c>
      <c r="Q2033" s="3">
        <v>7870</v>
      </c>
    </row>
    <row r="2034" spans="1:17" ht="24.95" hidden="1" customHeight="1" x14ac:dyDescent="0.25">
      <c r="A2034" s="3">
        <v>7</v>
      </c>
      <c r="B2034" s="3" t="s">
        <v>458</v>
      </c>
      <c r="C2034" s="3" t="s">
        <v>2466</v>
      </c>
      <c r="I2034" s="3">
        <v>14</v>
      </c>
      <c r="J2034" s="3">
        <v>66</v>
      </c>
      <c r="K2034" s="3">
        <v>1</v>
      </c>
      <c r="L2034" s="3">
        <v>66</v>
      </c>
      <c r="M2034" s="3">
        <v>4350</v>
      </c>
      <c r="N2034" s="3">
        <v>287.10000000000002</v>
      </c>
      <c r="O2034" s="3">
        <v>1.21</v>
      </c>
      <c r="P2034" s="3">
        <v>347.39100000000002</v>
      </c>
      <c r="Q2034" s="3">
        <v>4350</v>
      </c>
    </row>
    <row r="2035" spans="1:17" ht="24.95" hidden="1" customHeight="1" x14ac:dyDescent="0.25">
      <c r="A2035" s="3">
        <v>7</v>
      </c>
      <c r="B2035" s="3" t="s">
        <v>458</v>
      </c>
      <c r="C2035" s="3" t="s">
        <v>2467</v>
      </c>
      <c r="I2035" s="3">
        <v>14</v>
      </c>
      <c r="J2035" s="3">
        <v>594</v>
      </c>
      <c r="K2035" s="3">
        <v>1</v>
      </c>
      <c r="L2035" s="3">
        <v>594</v>
      </c>
      <c r="M2035" s="3">
        <v>2670</v>
      </c>
      <c r="N2035" s="3">
        <v>1585.98</v>
      </c>
      <c r="O2035" s="3">
        <v>1.21</v>
      </c>
      <c r="P2035" s="3">
        <v>1919.0357999999999</v>
      </c>
      <c r="Q2035" s="3">
        <v>2670</v>
      </c>
    </row>
    <row r="2036" spans="1:17" ht="24.95" hidden="1" customHeight="1" x14ac:dyDescent="0.25">
      <c r="A2036" s="3">
        <v>7</v>
      </c>
      <c r="B2036" s="3" t="s">
        <v>458</v>
      </c>
      <c r="C2036" s="3" t="s">
        <v>2468</v>
      </c>
      <c r="I2036" s="3">
        <v>18</v>
      </c>
      <c r="J2036" s="3">
        <v>6</v>
      </c>
      <c r="K2036" s="3">
        <v>1</v>
      </c>
      <c r="L2036" s="3">
        <v>6</v>
      </c>
      <c r="M2036" s="3">
        <v>10850</v>
      </c>
      <c r="N2036" s="3">
        <v>65.099999999999994</v>
      </c>
      <c r="O2036" s="3">
        <v>2</v>
      </c>
      <c r="P2036" s="3">
        <v>130.19999999999999</v>
      </c>
      <c r="Q2036" s="3">
        <v>10850</v>
      </c>
    </row>
    <row r="2037" spans="1:17" ht="24.95" hidden="1" customHeight="1" x14ac:dyDescent="0.25">
      <c r="A2037" s="3">
        <v>7</v>
      </c>
      <c r="B2037" s="3" t="s">
        <v>458</v>
      </c>
      <c r="C2037" s="3" t="s">
        <v>2469</v>
      </c>
      <c r="I2037" s="3">
        <v>18</v>
      </c>
      <c r="J2037" s="3">
        <v>3</v>
      </c>
      <c r="K2037" s="3">
        <v>1</v>
      </c>
      <c r="L2037" s="3">
        <v>3</v>
      </c>
      <c r="M2037" s="3">
        <v>5470</v>
      </c>
      <c r="N2037" s="3">
        <v>16.41</v>
      </c>
      <c r="O2037" s="3">
        <v>2</v>
      </c>
      <c r="P2037" s="3">
        <v>32.82</v>
      </c>
      <c r="Q2037" s="3">
        <v>5470</v>
      </c>
    </row>
    <row r="2038" spans="1:17" ht="24.95" hidden="1" customHeight="1" x14ac:dyDescent="0.25">
      <c r="A2038" s="3">
        <v>7</v>
      </c>
      <c r="B2038" s="3" t="s">
        <v>458</v>
      </c>
      <c r="C2038" s="3" t="s">
        <v>2470</v>
      </c>
      <c r="I2038" s="3">
        <v>18</v>
      </c>
      <c r="J2038" s="3">
        <v>3</v>
      </c>
      <c r="K2038" s="3">
        <v>1</v>
      </c>
      <c r="L2038" s="3">
        <v>3</v>
      </c>
      <c r="M2038" s="3">
        <v>8460</v>
      </c>
      <c r="N2038" s="3">
        <v>25.38</v>
      </c>
      <c r="O2038" s="3">
        <v>2</v>
      </c>
      <c r="P2038" s="3">
        <v>50.76</v>
      </c>
      <c r="Q2038" s="3">
        <v>8460</v>
      </c>
    </row>
    <row r="2039" spans="1:17" ht="24.95" hidden="1" customHeight="1" x14ac:dyDescent="0.25">
      <c r="A2039" s="3">
        <v>7</v>
      </c>
      <c r="B2039" s="3" t="s">
        <v>458</v>
      </c>
      <c r="C2039" s="3" t="s">
        <v>2471</v>
      </c>
      <c r="I2039" s="3">
        <v>14</v>
      </c>
      <c r="J2039" s="3">
        <v>162</v>
      </c>
      <c r="K2039" s="3">
        <v>1</v>
      </c>
      <c r="L2039" s="3">
        <v>162</v>
      </c>
      <c r="M2039" s="3">
        <v>3370</v>
      </c>
      <c r="N2039" s="3">
        <v>545.94000000000005</v>
      </c>
      <c r="O2039" s="3">
        <v>1.21</v>
      </c>
      <c r="P2039" s="3">
        <v>660.5874</v>
      </c>
      <c r="Q2039" s="3">
        <v>3370</v>
      </c>
    </row>
    <row r="2040" spans="1:17" ht="24.95" hidden="1" customHeight="1" x14ac:dyDescent="0.25">
      <c r="A2040" s="3">
        <v>7</v>
      </c>
      <c r="B2040" s="3" t="s">
        <v>458</v>
      </c>
      <c r="C2040" s="3" t="s">
        <v>2472</v>
      </c>
      <c r="I2040" s="3">
        <v>14</v>
      </c>
      <c r="J2040" s="3">
        <v>36</v>
      </c>
      <c r="K2040" s="3">
        <v>1</v>
      </c>
      <c r="L2040" s="3">
        <v>36</v>
      </c>
      <c r="M2040" s="3">
        <v>10850</v>
      </c>
      <c r="N2040" s="3">
        <v>390.6</v>
      </c>
      <c r="O2040" s="3">
        <v>1.21</v>
      </c>
      <c r="P2040" s="3">
        <v>472.62600000000003</v>
      </c>
      <c r="Q2040" s="3">
        <v>10850</v>
      </c>
    </row>
    <row r="2041" spans="1:17" ht="24.95" hidden="1" customHeight="1" x14ac:dyDescent="0.25">
      <c r="A2041" s="3">
        <v>7</v>
      </c>
      <c r="B2041" s="3" t="s">
        <v>458</v>
      </c>
      <c r="C2041" s="3" t="s">
        <v>2473</v>
      </c>
      <c r="I2041" s="3">
        <v>14</v>
      </c>
      <c r="J2041" s="3">
        <v>9</v>
      </c>
      <c r="K2041" s="3">
        <v>1</v>
      </c>
      <c r="L2041" s="3">
        <v>9</v>
      </c>
      <c r="M2041" s="3">
        <v>3060</v>
      </c>
      <c r="N2041" s="3">
        <v>27.54</v>
      </c>
      <c r="O2041" s="3">
        <v>1.21</v>
      </c>
      <c r="P2041" s="3">
        <v>33.323399999999999</v>
      </c>
      <c r="Q2041" s="3">
        <v>3060</v>
      </c>
    </row>
    <row r="2042" spans="1:17" ht="24.95" hidden="1" customHeight="1" x14ac:dyDescent="0.25">
      <c r="A2042" s="3">
        <v>7</v>
      </c>
      <c r="B2042" s="3" t="s">
        <v>458</v>
      </c>
      <c r="C2042" s="3" t="s">
        <v>2474</v>
      </c>
      <c r="I2042" s="3">
        <v>14</v>
      </c>
      <c r="J2042" s="3">
        <v>9</v>
      </c>
      <c r="K2042" s="3">
        <v>1</v>
      </c>
      <c r="L2042" s="3">
        <v>9</v>
      </c>
      <c r="M2042" s="3">
        <v>8280</v>
      </c>
      <c r="N2042" s="3">
        <v>74.52</v>
      </c>
      <c r="O2042" s="3">
        <v>1.21</v>
      </c>
      <c r="P2042" s="3">
        <v>90.169199999999989</v>
      </c>
      <c r="Q2042" s="3">
        <v>8280</v>
      </c>
    </row>
    <row r="2043" spans="1:17" ht="24.95" hidden="1" customHeight="1" x14ac:dyDescent="0.25">
      <c r="A2043" s="3">
        <v>7</v>
      </c>
      <c r="B2043" s="3" t="s">
        <v>458</v>
      </c>
      <c r="C2043" s="3" t="s">
        <v>2475</v>
      </c>
      <c r="I2043" s="3">
        <v>32</v>
      </c>
      <c r="J2043" s="3">
        <v>6</v>
      </c>
      <c r="K2043" s="3">
        <v>1</v>
      </c>
      <c r="L2043" s="3">
        <v>6</v>
      </c>
      <c r="M2043" s="3">
        <v>5075</v>
      </c>
      <c r="N2043" s="3">
        <v>30.45</v>
      </c>
      <c r="O2043" s="3">
        <v>6.31</v>
      </c>
      <c r="P2043" s="3">
        <v>192.13949999999997</v>
      </c>
      <c r="Q2043" s="3">
        <v>5075</v>
      </c>
    </row>
    <row r="2044" spans="1:17" ht="24.95" hidden="1" customHeight="1" x14ac:dyDescent="0.25">
      <c r="A2044" s="3">
        <v>7</v>
      </c>
      <c r="B2044" s="3" t="s">
        <v>458</v>
      </c>
      <c r="C2044" s="3" t="s">
        <v>2476</v>
      </c>
      <c r="I2044" s="3">
        <v>32</v>
      </c>
      <c r="J2044" s="3">
        <v>6</v>
      </c>
      <c r="K2044" s="3">
        <v>1</v>
      </c>
      <c r="L2044" s="3">
        <v>6</v>
      </c>
      <c r="M2044" s="3">
        <v>11700</v>
      </c>
      <c r="N2044" s="3">
        <v>70.2</v>
      </c>
      <c r="O2044" s="3">
        <v>6.31</v>
      </c>
      <c r="P2044" s="3">
        <v>442.96199999999999</v>
      </c>
      <c r="Q2044" s="3">
        <v>11700</v>
      </c>
    </row>
    <row r="2045" spans="1:17" ht="24.95" hidden="1" customHeight="1" x14ac:dyDescent="0.25">
      <c r="A2045" s="3">
        <v>7</v>
      </c>
      <c r="B2045" s="3" t="s">
        <v>458</v>
      </c>
      <c r="C2045" s="3" t="s">
        <v>2477</v>
      </c>
      <c r="I2045" s="3">
        <v>32</v>
      </c>
      <c r="J2045" s="3">
        <v>6</v>
      </c>
      <c r="K2045" s="3">
        <v>1</v>
      </c>
      <c r="L2045" s="3">
        <v>6</v>
      </c>
      <c r="M2045" s="3">
        <v>5075</v>
      </c>
      <c r="N2045" s="3">
        <v>30.45</v>
      </c>
      <c r="O2045" s="3">
        <v>6.31</v>
      </c>
      <c r="P2045" s="3">
        <v>192.13949999999997</v>
      </c>
      <c r="Q2045" s="3">
        <v>5075</v>
      </c>
    </row>
    <row r="2046" spans="1:17" ht="24.95" hidden="1" customHeight="1" x14ac:dyDescent="0.25">
      <c r="A2046" s="3">
        <v>7</v>
      </c>
      <c r="B2046" s="3" t="s">
        <v>458</v>
      </c>
      <c r="C2046" s="3" t="s">
        <v>2478</v>
      </c>
      <c r="I2046" s="3">
        <v>32</v>
      </c>
      <c r="J2046" s="3">
        <v>6</v>
      </c>
      <c r="K2046" s="3">
        <v>1</v>
      </c>
      <c r="L2046" s="3">
        <v>6</v>
      </c>
      <c r="M2046" s="3">
        <v>11700</v>
      </c>
      <c r="N2046" s="3">
        <v>70.2</v>
      </c>
      <c r="O2046" s="3">
        <v>6.31</v>
      </c>
      <c r="P2046" s="3">
        <v>442.96199999999999</v>
      </c>
      <c r="Q2046" s="3">
        <v>11700</v>
      </c>
    </row>
    <row r="2047" spans="1:17" ht="24.95" hidden="1" customHeight="1" x14ac:dyDescent="0.25">
      <c r="A2047" s="3">
        <v>7</v>
      </c>
      <c r="B2047" s="3" t="s">
        <v>458</v>
      </c>
      <c r="C2047" s="3" t="s">
        <v>2479</v>
      </c>
      <c r="I2047" s="3">
        <v>32</v>
      </c>
      <c r="J2047" s="3">
        <v>10</v>
      </c>
      <c r="K2047" s="3">
        <v>1</v>
      </c>
      <c r="L2047" s="3">
        <v>10</v>
      </c>
      <c r="M2047" s="3">
        <v>3090</v>
      </c>
      <c r="N2047" s="3">
        <v>30.9</v>
      </c>
      <c r="O2047" s="3">
        <v>6.31</v>
      </c>
      <c r="P2047" s="3">
        <v>194.97899999999998</v>
      </c>
      <c r="Q2047" s="3">
        <v>3090</v>
      </c>
    </row>
    <row r="2048" spans="1:17" ht="24.95" hidden="1" customHeight="1" x14ac:dyDescent="0.25">
      <c r="A2048" s="3">
        <v>7</v>
      </c>
      <c r="B2048" s="3" t="s">
        <v>459</v>
      </c>
      <c r="C2048" s="3" t="s">
        <v>2480</v>
      </c>
      <c r="I2048" s="3">
        <v>32</v>
      </c>
      <c r="J2048" s="3">
        <v>6</v>
      </c>
      <c r="K2048" s="3">
        <v>1</v>
      </c>
      <c r="L2048" s="3">
        <v>6</v>
      </c>
      <c r="M2048" s="3">
        <v>4670</v>
      </c>
      <c r="N2048" s="3">
        <v>28.02</v>
      </c>
      <c r="O2048" s="3">
        <v>6.31</v>
      </c>
      <c r="P2048" s="3">
        <v>176.80619999999999</v>
      </c>
      <c r="Q2048" s="3">
        <v>4670</v>
      </c>
    </row>
    <row r="2049" spans="1:17" ht="24.95" hidden="1" customHeight="1" x14ac:dyDescent="0.25">
      <c r="A2049" s="3">
        <v>7</v>
      </c>
      <c r="B2049" s="3" t="s">
        <v>459</v>
      </c>
      <c r="C2049" s="3" t="s">
        <v>2481</v>
      </c>
      <c r="I2049" s="3">
        <v>32</v>
      </c>
      <c r="J2049" s="3">
        <v>6</v>
      </c>
      <c r="K2049" s="3">
        <v>1</v>
      </c>
      <c r="L2049" s="3">
        <v>6</v>
      </c>
      <c r="M2049" s="3">
        <v>11700</v>
      </c>
      <c r="N2049" s="3">
        <v>70.2</v>
      </c>
      <c r="O2049" s="3">
        <v>6.31</v>
      </c>
      <c r="P2049" s="3">
        <v>442.96199999999999</v>
      </c>
      <c r="Q2049" s="3">
        <v>11700</v>
      </c>
    </row>
    <row r="2050" spans="1:17" ht="24.95" hidden="1" customHeight="1" x14ac:dyDescent="0.25">
      <c r="A2050" s="3">
        <v>7</v>
      </c>
      <c r="B2050" s="3" t="s">
        <v>459</v>
      </c>
      <c r="C2050" s="3" t="s">
        <v>2482</v>
      </c>
      <c r="I2050" s="3">
        <v>32</v>
      </c>
      <c r="J2050" s="3">
        <v>6</v>
      </c>
      <c r="K2050" s="3">
        <v>1</v>
      </c>
      <c r="L2050" s="3">
        <v>6</v>
      </c>
      <c r="M2050" s="3">
        <v>11700</v>
      </c>
      <c r="N2050" s="3">
        <v>70.2</v>
      </c>
      <c r="O2050" s="3">
        <v>6.31</v>
      </c>
      <c r="P2050" s="3">
        <v>442.96199999999999</v>
      </c>
      <c r="Q2050" s="3">
        <v>11700</v>
      </c>
    </row>
    <row r="2051" spans="1:17" ht="24.95" hidden="1" customHeight="1" x14ac:dyDescent="0.25">
      <c r="A2051" s="3">
        <v>7</v>
      </c>
      <c r="B2051" s="3" t="s">
        <v>459</v>
      </c>
      <c r="C2051" s="3" t="s">
        <v>2483</v>
      </c>
      <c r="I2051" s="3">
        <v>32</v>
      </c>
      <c r="J2051" s="3">
        <v>7</v>
      </c>
      <c r="K2051" s="3">
        <v>1</v>
      </c>
      <c r="L2051" s="3">
        <v>7</v>
      </c>
      <c r="M2051" s="3">
        <v>11700</v>
      </c>
      <c r="N2051" s="3">
        <v>81.900000000000006</v>
      </c>
      <c r="O2051" s="3">
        <v>6.31</v>
      </c>
      <c r="P2051" s="3">
        <v>516.78899999999999</v>
      </c>
      <c r="Q2051" s="3">
        <v>11700</v>
      </c>
    </row>
    <row r="2052" spans="1:17" ht="24.95" hidden="1" customHeight="1" x14ac:dyDescent="0.25">
      <c r="A2052" s="3">
        <v>7</v>
      </c>
      <c r="B2052" s="3" t="s">
        <v>459</v>
      </c>
      <c r="C2052" s="3" t="s">
        <v>2484</v>
      </c>
      <c r="I2052" s="3">
        <v>32</v>
      </c>
      <c r="J2052" s="3">
        <v>7</v>
      </c>
      <c r="K2052" s="3">
        <v>1</v>
      </c>
      <c r="L2052" s="3">
        <v>7</v>
      </c>
      <c r="M2052" s="3">
        <v>11700</v>
      </c>
      <c r="N2052" s="3">
        <v>81.900000000000006</v>
      </c>
      <c r="O2052" s="3">
        <v>6.31</v>
      </c>
      <c r="P2052" s="3">
        <v>516.78899999999999</v>
      </c>
      <c r="Q2052" s="3">
        <v>11700</v>
      </c>
    </row>
    <row r="2053" spans="1:17" ht="24.95" hidden="1" customHeight="1" x14ac:dyDescent="0.25">
      <c r="A2053" s="3">
        <v>7</v>
      </c>
      <c r="B2053" s="3" t="s">
        <v>459</v>
      </c>
      <c r="C2053" s="3" t="s">
        <v>2485</v>
      </c>
      <c r="I2053" s="3">
        <v>32</v>
      </c>
      <c r="J2053" s="3">
        <v>7</v>
      </c>
      <c r="K2053" s="3">
        <v>1</v>
      </c>
      <c r="L2053" s="3">
        <v>7</v>
      </c>
      <c r="M2053" s="3">
        <v>4670</v>
      </c>
      <c r="N2053" s="3">
        <v>32.69</v>
      </c>
      <c r="O2053" s="3">
        <v>6.31</v>
      </c>
      <c r="P2053" s="3">
        <v>206.27389999999997</v>
      </c>
      <c r="Q2053" s="3">
        <v>4670</v>
      </c>
    </row>
    <row r="2054" spans="1:17" ht="24.95" hidden="1" customHeight="1" x14ac:dyDescent="0.25">
      <c r="A2054" s="3">
        <v>7</v>
      </c>
      <c r="B2054" s="3" t="s">
        <v>459</v>
      </c>
      <c r="C2054" s="3" t="s">
        <v>2486</v>
      </c>
      <c r="I2054" s="3">
        <v>32</v>
      </c>
      <c r="J2054" s="3">
        <v>6</v>
      </c>
      <c r="K2054" s="3">
        <v>1</v>
      </c>
      <c r="L2054" s="3">
        <v>6</v>
      </c>
      <c r="M2054" s="3">
        <v>4570</v>
      </c>
      <c r="N2054" s="3">
        <v>27.42</v>
      </c>
      <c r="O2054" s="3">
        <v>6.31</v>
      </c>
      <c r="P2054" s="3">
        <v>173.02019999999999</v>
      </c>
      <c r="Q2054" s="3">
        <v>4570</v>
      </c>
    </row>
    <row r="2055" spans="1:17" ht="24.95" hidden="1" customHeight="1" x14ac:dyDescent="0.25">
      <c r="A2055" s="3">
        <v>7</v>
      </c>
      <c r="B2055" s="3" t="s">
        <v>459</v>
      </c>
      <c r="C2055" s="3" t="s">
        <v>2487</v>
      </c>
      <c r="I2055" s="3">
        <v>32</v>
      </c>
      <c r="J2055" s="3">
        <v>6</v>
      </c>
      <c r="K2055" s="3">
        <v>1</v>
      </c>
      <c r="L2055" s="3">
        <v>6</v>
      </c>
      <c r="M2055" s="3">
        <v>11700</v>
      </c>
      <c r="N2055" s="3">
        <v>70.2</v>
      </c>
      <c r="O2055" s="3">
        <v>6.31</v>
      </c>
      <c r="P2055" s="3">
        <v>442.96199999999999</v>
      </c>
      <c r="Q2055" s="3">
        <v>11700</v>
      </c>
    </row>
    <row r="2056" spans="1:17" ht="24.95" hidden="1" customHeight="1" x14ac:dyDescent="0.25">
      <c r="A2056" s="3">
        <v>7</v>
      </c>
      <c r="B2056" s="3" t="s">
        <v>459</v>
      </c>
      <c r="C2056" s="3" t="s">
        <v>2488</v>
      </c>
      <c r="I2056" s="3">
        <v>32</v>
      </c>
      <c r="J2056" s="3">
        <v>6</v>
      </c>
      <c r="K2056" s="3">
        <v>1</v>
      </c>
      <c r="L2056" s="3">
        <v>6</v>
      </c>
      <c r="M2056" s="3">
        <v>11700</v>
      </c>
      <c r="N2056" s="3">
        <v>70.2</v>
      </c>
      <c r="O2056" s="3">
        <v>6.31</v>
      </c>
      <c r="P2056" s="3">
        <v>442.96199999999999</v>
      </c>
      <c r="Q2056" s="3">
        <v>11700</v>
      </c>
    </row>
    <row r="2057" spans="1:17" ht="24.95" hidden="1" customHeight="1" x14ac:dyDescent="0.25">
      <c r="A2057" s="3">
        <v>7</v>
      </c>
      <c r="B2057" s="3" t="s">
        <v>459</v>
      </c>
      <c r="C2057" s="3" t="s">
        <v>2489</v>
      </c>
      <c r="I2057" s="3">
        <v>32</v>
      </c>
      <c r="J2057" s="3">
        <v>7</v>
      </c>
      <c r="K2057" s="3">
        <v>1</v>
      </c>
      <c r="L2057" s="3">
        <v>7</v>
      </c>
      <c r="M2057" s="3">
        <v>11700</v>
      </c>
      <c r="N2057" s="3">
        <v>81.900000000000006</v>
      </c>
      <c r="O2057" s="3">
        <v>6.31</v>
      </c>
      <c r="P2057" s="3">
        <v>516.78899999999999</v>
      </c>
      <c r="Q2057" s="3">
        <v>11700</v>
      </c>
    </row>
    <row r="2058" spans="1:17" ht="24.95" hidden="1" customHeight="1" x14ac:dyDescent="0.25">
      <c r="A2058" s="3">
        <v>7</v>
      </c>
      <c r="B2058" s="3" t="s">
        <v>459</v>
      </c>
      <c r="C2058" s="3" t="s">
        <v>2490</v>
      </c>
      <c r="I2058" s="3">
        <v>32</v>
      </c>
      <c r="J2058" s="3">
        <v>7</v>
      </c>
      <c r="K2058" s="3">
        <v>1</v>
      </c>
      <c r="L2058" s="3">
        <v>7</v>
      </c>
      <c r="M2058" s="3">
        <v>4570</v>
      </c>
      <c r="N2058" s="3">
        <v>31.99</v>
      </c>
      <c r="O2058" s="3">
        <v>6.31</v>
      </c>
      <c r="P2058" s="3">
        <v>201.85689999999997</v>
      </c>
      <c r="Q2058" s="3">
        <v>4570</v>
      </c>
    </row>
    <row r="2059" spans="1:17" ht="24.95" hidden="1" customHeight="1" x14ac:dyDescent="0.25">
      <c r="A2059" s="3">
        <v>7</v>
      </c>
      <c r="B2059" s="3" t="s">
        <v>459</v>
      </c>
      <c r="C2059" s="3" t="s">
        <v>2491</v>
      </c>
      <c r="I2059" s="3">
        <v>32</v>
      </c>
      <c r="J2059" s="3">
        <v>6</v>
      </c>
      <c r="K2059" s="3">
        <v>1</v>
      </c>
      <c r="L2059" s="3">
        <v>6</v>
      </c>
      <c r="M2059" s="3">
        <v>4470</v>
      </c>
      <c r="N2059" s="3">
        <v>26.82</v>
      </c>
      <c r="O2059" s="3">
        <v>6.31</v>
      </c>
      <c r="P2059" s="3">
        <v>169.23419999999999</v>
      </c>
      <c r="Q2059" s="3">
        <v>4470</v>
      </c>
    </row>
    <row r="2060" spans="1:17" ht="24.95" hidden="1" customHeight="1" x14ac:dyDescent="0.25">
      <c r="A2060" s="3">
        <v>7</v>
      </c>
      <c r="B2060" s="3" t="s">
        <v>459</v>
      </c>
      <c r="C2060" s="3" t="s">
        <v>2492</v>
      </c>
      <c r="I2060" s="3">
        <v>32</v>
      </c>
      <c r="J2060" s="3">
        <v>6</v>
      </c>
      <c r="K2060" s="3">
        <v>1</v>
      </c>
      <c r="L2060" s="3">
        <v>6</v>
      </c>
      <c r="M2060" s="3">
        <v>11700</v>
      </c>
      <c r="N2060" s="3">
        <v>70.2</v>
      </c>
      <c r="O2060" s="3">
        <v>6.31</v>
      </c>
      <c r="P2060" s="3">
        <v>442.96199999999999</v>
      </c>
      <c r="Q2060" s="3">
        <v>11700</v>
      </c>
    </row>
    <row r="2061" spans="1:17" ht="24.95" hidden="1" customHeight="1" x14ac:dyDescent="0.25">
      <c r="A2061" s="3">
        <v>7</v>
      </c>
      <c r="B2061" s="3" t="s">
        <v>459</v>
      </c>
      <c r="C2061" s="3" t="s">
        <v>2493</v>
      </c>
      <c r="I2061" s="3">
        <v>32</v>
      </c>
      <c r="J2061" s="3">
        <v>6</v>
      </c>
      <c r="K2061" s="3">
        <v>1</v>
      </c>
      <c r="L2061" s="3">
        <v>6</v>
      </c>
      <c r="M2061" s="3">
        <v>11700</v>
      </c>
      <c r="N2061" s="3">
        <v>70.2</v>
      </c>
      <c r="O2061" s="3">
        <v>6.31</v>
      </c>
      <c r="P2061" s="3">
        <v>442.96199999999999</v>
      </c>
      <c r="Q2061" s="3">
        <v>11700</v>
      </c>
    </row>
    <row r="2062" spans="1:17" ht="24.95" hidden="1" customHeight="1" x14ac:dyDescent="0.25">
      <c r="A2062" s="3">
        <v>7</v>
      </c>
      <c r="B2062" s="3" t="s">
        <v>459</v>
      </c>
      <c r="C2062" s="3" t="s">
        <v>2486</v>
      </c>
      <c r="I2062" s="3">
        <v>32</v>
      </c>
      <c r="J2062" s="3">
        <v>7</v>
      </c>
      <c r="K2062" s="3">
        <v>1</v>
      </c>
      <c r="L2062" s="3">
        <v>7</v>
      </c>
      <c r="M2062" s="3">
        <v>11700</v>
      </c>
      <c r="N2062" s="3">
        <v>81.900000000000006</v>
      </c>
      <c r="O2062" s="3">
        <v>6.31</v>
      </c>
      <c r="P2062" s="3">
        <v>516.78899999999999</v>
      </c>
      <c r="Q2062" s="3">
        <v>11700</v>
      </c>
    </row>
    <row r="2063" spans="1:17" ht="24.95" hidden="1" customHeight="1" x14ac:dyDescent="0.25">
      <c r="A2063" s="3">
        <v>7</v>
      </c>
      <c r="B2063" s="3" t="s">
        <v>459</v>
      </c>
      <c r="C2063" s="3" t="s">
        <v>2494</v>
      </c>
      <c r="I2063" s="3">
        <v>32</v>
      </c>
      <c r="J2063" s="3">
        <v>7</v>
      </c>
      <c r="K2063" s="3">
        <v>1</v>
      </c>
      <c r="L2063" s="3">
        <v>7</v>
      </c>
      <c r="M2063" s="3">
        <v>11700</v>
      </c>
      <c r="N2063" s="3">
        <v>81.900000000000006</v>
      </c>
      <c r="O2063" s="3">
        <v>6.31</v>
      </c>
      <c r="P2063" s="3">
        <v>516.78899999999999</v>
      </c>
      <c r="Q2063" s="3">
        <v>11700</v>
      </c>
    </row>
    <row r="2064" spans="1:17" ht="24.95" hidden="1" customHeight="1" x14ac:dyDescent="0.25">
      <c r="A2064" s="3">
        <v>7</v>
      </c>
      <c r="B2064" s="3" t="s">
        <v>459</v>
      </c>
      <c r="C2064" s="3" t="s">
        <v>2495</v>
      </c>
      <c r="I2064" s="3">
        <v>32</v>
      </c>
      <c r="J2064" s="3">
        <v>7</v>
      </c>
      <c r="K2064" s="3">
        <v>1</v>
      </c>
      <c r="L2064" s="3">
        <v>7</v>
      </c>
      <c r="M2064" s="3">
        <v>4470</v>
      </c>
      <c r="N2064" s="3">
        <v>31.29</v>
      </c>
      <c r="O2064" s="3">
        <v>6.31</v>
      </c>
      <c r="P2064" s="3">
        <v>197.43989999999999</v>
      </c>
      <c r="Q2064" s="3">
        <v>4470</v>
      </c>
    </row>
    <row r="2065" spans="1:17" ht="24.95" hidden="1" customHeight="1" x14ac:dyDescent="0.25">
      <c r="A2065" s="3">
        <v>7</v>
      </c>
      <c r="B2065" s="3" t="s">
        <v>459</v>
      </c>
      <c r="C2065" s="3" t="s">
        <v>2496</v>
      </c>
      <c r="I2065" s="3">
        <v>32</v>
      </c>
      <c r="J2065" s="3">
        <v>7</v>
      </c>
      <c r="K2065" s="3">
        <v>1</v>
      </c>
      <c r="L2065" s="3">
        <v>7</v>
      </c>
      <c r="M2065" s="3">
        <v>11700</v>
      </c>
      <c r="N2065" s="3">
        <v>81.900000000000006</v>
      </c>
      <c r="O2065" s="3">
        <v>6.31</v>
      </c>
      <c r="P2065" s="3">
        <v>516.78899999999999</v>
      </c>
      <c r="Q2065" s="3">
        <v>11700</v>
      </c>
    </row>
    <row r="2066" spans="1:17" ht="24.95" hidden="1" customHeight="1" x14ac:dyDescent="0.25">
      <c r="A2066" s="3">
        <v>7</v>
      </c>
      <c r="B2066" s="3" t="s">
        <v>459</v>
      </c>
      <c r="C2066" s="3" t="s">
        <v>2497</v>
      </c>
      <c r="I2066" s="3">
        <v>32</v>
      </c>
      <c r="J2066" s="3">
        <v>7</v>
      </c>
      <c r="K2066" s="3">
        <v>1</v>
      </c>
      <c r="L2066" s="3">
        <v>7</v>
      </c>
      <c r="M2066" s="3">
        <v>6240</v>
      </c>
      <c r="N2066" s="3">
        <v>43.68</v>
      </c>
      <c r="O2066" s="3">
        <v>6.31</v>
      </c>
      <c r="P2066" s="3">
        <v>275.62079999999997</v>
      </c>
      <c r="Q2066" s="3">
        <v>6240</v>
      </c>
    </row>
    <row r="2067" spans="1:17" ht="24.95" hidden="1" customHeight="1" x14ac:dyDescent="0.25">
      <c r="A2067" s="3">
        <v>7</v>
      </c>
      <c r="B2067" s="3" t="s">
        <v>459</v>
      </c>
      <c r="C2067" s="3" t="s">
        <v>2498</v>
      </c>
      <c r="I2067" s="3">
        <v>32</v>
      </c>
      <c r="J2067" s="3">
        <v>7</v>
      </c>
      <c r="K2067" s="3">
        <v>1</v>
      </c>
      <c r="L2067" s="3">
        <v>7</v>
      </c>
      <c r="M2067" s="3">
        <v>8330</v>
      </c>
      <c r="N2067" s="3">
        <v>58.31</v>
      </c>
      <c r="O2067" s="3">
        <v>6.31</v>
      </c>
      <c r="P2067" s="3">
        <v>367.93610000000001</v>
      </c>
      <c r="Q2067" s="3">
        <v>8330</v>
      </c>
    </row>
    <row r="2068" spans="1:17" ht="24.95" hidden="1" customHeight="1" x14ac:dyDescent="0.25">
      <c r="A2068" s="3">
        <v>7</v>
      </c>
      <c r="B2068" s="3" t="s">
        <v>459</v>
      </c>
      <c r="C2068" s="3" t="s">
        <v>2499</v>
      </c>
      <c r="I2068" s="3">
        <v>32</v>
      </c>
      <c r="J2068" s="3">
        <v>7</v>
      </c>
      <c r="K2068" s="3">
        <v>1</v>
      </c>
      <c r="L2068" s="3">
        <v>7</v>
      </c>
      <c r="M2068" s="3">
        <v>8330</v>
      </c>
      <c r="N2068" s="3">
        <v>58.31</v>
      </c>
      <c r="O2068" s="3">
        <v>6.31</v>
      </c>
      <c r="P2068" s="3">
        <v>367.93610000000001</v>
      </c>
      <c r="Q2068" s="3">
        <v>8330</v>
      </c>
    </row>
    <row r="2069" spans="1:17" ht="24.95" hidden="1" customHeight="1" x14ac:dyDescent="0.25">
      <c r="A2069" s="3">
        <v>7</v>
      </c>
      <c r="B2069" s="3" t="s">
        <v>459</v>
      </c>
      <c r="C2069" s="3" t="s">
        <v>2500</v>
      </c>
      <c r="I2069" s="3">
        <v>32</v>
      </c>
      <c r="J2069" s="3">
        <v>7</v>
      </c>
      <c r="K2069" s="3">
        <v>1</v>
      </c>
      <c r="L2069" s="3">
        <v>7</v>
      </c>
      <c r="M2069" s="3">
        <v>6270</v>
      </c>
      <c r="N2069" s="3">
        <v>43.89</v>
      </c>
      <c r="O2069" s="3">
        <v>6.31</v>
      </c>
      <c r="P2069" s="3">
        <v>276.94589999999999</v>
      </c>
      <c r="Q2069" s="3">
        <v>6270</v>
      </c>
    </row>
    <row r="2070" spans="1:17" ht="24.95" hidden="1" customHeight="1" x14ac:dyDescent="0.25">
      <c r="A2070" s="3">
        <v>7</v>
      </c>
      <c r="B2070" s="3" t="s">
        <v>459</v>
      </c>
      <c r="C2070" s="3" t="s">
        <v>2501</v>
      </c>
      <c r="I2070" s="3">
        <v>32</v>
      </c>
      <c r="J2070" s="3">
        <v>6</v>
      </c>
      <c r="K2070" s="3">
        <v>1</v>
      </c>
      <c r="L2070" s="3">
        <v>6</v>
      </c>
      <c r="M2070" s="3">
        <v>8000</v>
      </c>
      <c r="N2070" s="3">
        <v>48</v>
      </c>
      <c r="O2070" s="3">
        <v>6.31</v>
      </c>
      <c r="P2070" s="3">
        <v>302.88</v>
      </c>
      <c r="Q2070" s="3">
        <v>8000</v>
      </c>
    </row>
    <row r="2071" spans="1:17" ht="24.95" hidden="1" customHeight="1" x14ac:dyDescent="0.25">
      <c r="A2071" s="3">
        <v>7</v>
      </c>
      <c r="B2071" s="3" t="s">
        <v>459</v>
      </c>
      <c r="C2071" s="3" t="s">
        <v>2502</v>
      </c>
      <c r="I2071" s="3">
        <v>32</v>
      </c>
      <c r="J2071" s="3">
        <v>6</v>
      </c>
      <c r="K2071" s="3">
        <v>1</v>
      </c>
      <c r="L2071" s="3">
        <v>6</v>
      </c>
      <c r="M2071" s="3">
        <v>11700</v>
      </c>
      <c r="N2071" s="3">
        <v>70.2</v>
      </c>
      <c r="O2071" s="3">
        <v>6.31</v>
      </c>
      <c r="P2071" s="3">
        <v>442.96199999999999</v>
      </c>
      <c r="Q2071" s="3">
        <v>11700</v>
      </c>
    </row>
    <row r="2072" spans="1:17" ht="24.95" hidden="1" customHeight="1" x14ac:dyDescent="0.25">
      <c r="A2072" s="3">
        <v>7</v>
      </c>
      <c r="B2072" s="3" t="s">
        <v>459</v>
      </c>
      <c r="C2072" s="3" t="s">
        <v>2503</v>
      </c>
      <c r="I2072" s="3">
        <v>32</v>
      </c>
      <c r="J2072" s="3">
        <v>6</v>
      </c>
      <c r="K2072" s="3">
        <v>1</v>
      </c>
      <c r="L2072" s="3">
        <v>6</v>
      </c>
      <c r="M2072" s="3">
        <v>8030</v>
      </c>
      <c r="N2072" s="3">
        <v>48.18</v>
      </c>
      <c r="O2072" s="3">
        <v>6.31</v>
      </c>
      <c r="P2072" s="3">
        <v>304.01579999999996</v>
      </c>
      <c r="Q2072" s="3">
        <v>8030</v>
      </c>
    </row>
    <row r="2073" spans="1:17" ht="24.95" hidden="1" customHeight="1" x14ac:dyDescent="0.25">
      <c r="A2073" s="3">
        <v>7</v>
      </c>
      <c r="B2073" s="3" t="s">
        <v>459</v>
      </c>
      <c r="C2073" s="3" t="s">
        <v>2504</v>
      </c>
      <c r="I2073" s="3">
        <v>32</v>
      </c>
      <c r="J2073" s="3">
        <v>2</v>
      </c>
      <c r="K2073" s="3">
        <v>1</v>
      </c>
      <c r="L2073" s="3">
        <v>2</v>
      </c>
      <c r="M2073" s="3">
        <v>4790</v>
      </c>
      <c r="N2073" s="3">
        <v>9.58</v>
      </c>
      <c r="O2073" s="3">
        <v>6.31</v>
      </c>
      <c r="P2073" s="3">
        <v>60.449799999999996</v>
      </c>
      <c r="Q2073" s="3">
        <v>4790</v>
      </c>
    </row>
    <row r="2074" spans="1:17" ht="24.95" hidden="1" customHeight="1" x14ac:dyDescent="0.25">
      <c r="A2074" s="3">
        <v>7</v>
      </c>
      <c r="B2074" s="3" t="s">
        <v>459</v>
      </c>
      <c r="C2074" s="3" t="s">
        <v>2505</v>
      </c>
      <c r="I2074" s="3">
        <v>32</v>
      </c>
      <c r="J2074" s="3">
        <v>13</v>
      </c>
      <c r="K2074" s="3">
        <v>1</v>
      </c>
      <c r="L2074" s="3">
        <v>13</v>
      </c>
      <c r="M2074" s="3">
        <v>7450</v>
      </c>
      <c r="N2074" s="3">
        <v>96.85</v>
      </c>
      <c r="O2074" s="3">
        <v>6.31</v>
      </c>
      <c r="P2074" s="3">
        <v>611.12349999999992</v>
      </c>
      <c r="Q2074" s="3">
        <v>7450</v>
      </c>
    </row>
    <row r="2075" spans="1:17" ht="24.95" hidden="1" customHeight="1" x14ac:dyDescent="0.25">
      <c r="A2075" s="3">
        <v>7</v>
      </c>
      <c r="B2075" s="3" t="s">
        <v>459</v>
      </c>
      <c r="C2075" s="3" t="s">
        <v>2506</v>
      </c>
      <c r="I2075" s="3">
        <v>16</v>
      </c>
      <c r="J2075" s="3">
        <v>118</v>
      </c>
      <c r="K2075" s="3">
        <v>1</v>
      </c>
      <c r="L2075" s="3">
        <v>118</v>
      </c>
      <c r="M2075" s="3">
        <v>3130</v>
      </c>
      <c r="N2075" s="3">
        <v>369.34</v>
      </c>
      <c r="O2075" s="3">
        <v>1.58</v>
      </c>
      <c r="P2075" s="3">
        <v>583.55719999999997</v>
      </c>
      <c r="Q2075" s="3">
        <v>3130</v>
      </c>
    </row>
    <row r="2076" spans="1:17" ht="24.95" hidden="1" customHeight="1" x14ac:dyDescent="0.25">
      <c r="A2076" s="3">
        <v>7</v>
      </c>
      <c r="B2076" s="3" t="s">
        <v>459</v>
      </c>
      <c r="C2076" s="3" t="s">
        <v>2507</v>
      </c>
      <c r="I2076" s="3">
        <v>16</v>
      </c>
      <c r="J2076" s="3">
        <v>118</v>
      </c>
      <c r="K2076" s="3">
        <v>1</v>
      </c>
      <c r="L2076" s="3">
        <v>118</v>
      </c>
      <c r="M2076" s="3">
        <v>6470</v>
      </c>
      <c r="N2076" s="3">
        <v>763.46</v>
      </c>
      <c r="O2076" s="3">
        <v>1.58</v>
      </c>
      <c r="P2076" s="3">
        <v>1206.2668000000001</v>
      </c>
      <c r="Q2076" s="3">
        <v>6470</v>
      </c>
    </row>
    <row r="2077" spans="1:17" ht="24.95" hidden="1" customHeight="1" x14ac:dyDescent="0.25">
      <c r="A2077" s="3">
        <v>7</v>
      </c>
      <c r="B2077" s="3" t="s">
        <v>459</v>
      </c>
      <c r="C2077" s="3" t="s">
        <v>2508</v>
      </c>
      <c r="I2077" s="3">
        <v>16</v>
      </c>
      <c r="J2077" s="3">
        <v>590</v>
      </c>
      <c r="K2077" s="3">
        <v>1</v>
      </c>
      <c r="L2077" s="3">
        <v>590</v>
      </c>
      <c r="M2077" s="3">
        <v>2710</v>
      </c>
      <c r="N2077" s="3">
        <v>1598.9</v>
      </c>
      <c r="O2077" s="3">
        <v>1.58</v>
      </c>
      <c r="P2077" s="3">
        <v>2526.2620000000002</v>
      </c>
      <c r="Q2077" s="3">
        <v>2710</v>
      </c>
    </row>
    <row r="2078" spans="1:17" ht="24.95" hidden="1" customHeight="1" x14ac:dyDescent="0.25">
      <c r="A2078" s="3">
        <v>7</v>
      </c>
      <c r="B2078" s="3" t="s">
        <v>459</v>
      </c>
      <c r="C2078" s="3" t="s">
        <v>2509</v>
      </c>
      <c r="I2078" s="3">
        <v>18</v>
      </c>
      <c r="J2078" s="3">
        <v>6</v>
      </c>
      <c r="K2078" s="3">
        <v>1</v>
      </c>
      <c r="L2078" s="3">
        <v>6</v>
      </c>
      <c r="M2078" s="3">
        <v>11700</v>
      </c>
      <c r="N2078" s="3">
        <v>70.2</v>
      </c>
      <c r="O2078" s="3">
        <v>2</v>
      </c>
      <c r="P2078" s="3">
        <v>140.4</v>
      </c>
      <c r="Q2078" s="3">
        <v>11700</v>
      </c>
    </row>
    <row r="2079" spans="1:17" ht="24.95" hidden="1" customHeight="1" x14ac:dyDescent="0.25">
      <c r="A2079" s="3">
        <v>7</v>
      </c>
      <c r="B2079" s="3" t="s">
        <v>459</v>
      </c>
      <c r="C2079" s="3" t="s">
        <v>2510</v>
      </c>
      <c r="I2079" s="3">
        <v>18</v>
      </c>
      <c r="J2079" s="3">
        <v>6</v>
      </c>
      <c r="K2079" s="3">
        <v>1</v>
      </c>
      <c r="L2079" s="3">
        <v>6</v>
      </c>
      <c r="M2079" s="3">
        <v>8460</v>
      </c>
      <c r="N2079" s="3">
        <v>50.76</v>
      </c>
      <c r="O2079" s="3">
        <v>2</v>
      </c>
      <c r="P2079" s="3">
        <v>101.52</v>
      </c>
      <c r="Q2079" s="3">
        <v>8460</v>
      </c>
    </row>
    <row r="2080" spans="1:17" ht="24.95" hidden="1" customHeight="1" x14ac:dyDescent="0.25">
      <c r="A2080" s="3">
        <v>7</v>
      </c>
      <c r="B2080" s="3" t="s">
        <v>459</v>
      </c>
      <c r="C2080" s="3" t="s">
        <v>2511</v>
      </c>
      <c r="I2080" s="3">
        <v>18</v>
      </c>
      <c r="J2080" s="3">
        <v>6</v>
      </c>
      <c r="K2080" s="3">
        <v>1</v>
      </c>
      <c r="L2080" s="3">
        <v>6</v>
      </c>
      <c r="M2080" s="3">
        <v>11700</v>
      </c>
      <c r="N2080" s="3">
        <v>70.2</v>
      </c>
      <c r="O2080" s="3">
        <v>2</v>
      </c>
      <c r="P2080" s="3">
        <v>140.4</v>
      </c>
      <c r="Q2080" s="3">
        <v>11700</v>
      </c>
    </row>
    <row r="2081" spans="1:17" ht="24.95" hidden="1" customHeight="1" x14ac:dyDescent="0.25">
      <c r="A2081" s="3">
        <v>7</v>
      </c>
      <c r="B2081" s="3" t="s">
        <v>459</v>
      </c>
      <c r="C2081" s="3" t="s">
        <v>2512</v>
      </c>
      <c r="I2081" s="3">
        <v>18</v>
      </c>
      <c r="J2081" s="3">
        <v>6</v>
      </c>
      <c r="K2081" s="3">
        <v>1</v>
      </c>
      <c r="L2081" s="3">
        <v>6</v>
      </c>
      <c r="M2081" s="3">
        <v>6030</v>
      </c>
      <c r="N2081" s="3">
        <v>36.18</v>
      </c>
      <c r="O2081" s="3">
        <v>2</v>
      </c>
      <c r="P2081" s="3">
        <v>72.36</v>
      </c>
      <c r="Q2081" s="3">
        <v>6030</v>
      </c>
    </row>
    <row r="2082" spans="1:17" ht="24.95" hidden="1" customHeight="1" x14ac:dyDescent="0.25">
      <c r="A2082" s="3">
        <v>7</v>
      </c>
      <c r="B2082" s="3" t="s">
        <v>459</v>
      </c>
      <c r="C2082" s="3" t="s">
        <v>2513</v>
      </c>
      <c r="I2082" s="3">
        <v>18</v>
      </c>
      <c r="J2082" s="3">
        <v>6</v>
      </c>
      <c r="K2082" s="3">
        <v>1</v>
      </c>
      <c r="L2082" s="3">
        <v>6</v>
      </c>
      <c r="M2082" s="3">
        <v>3240</v>
      </c>
      <c r="N2082" s="3">
        <v>19.440000000000001</v>
      </c>
      <c r="O2082" s="3">
        <v>2</v>
      </c>
      <c r="P2082" s="3">
        <v>38.880000000000003</v>
      </c>
      <c r="Q2082" s="3">
        <v>3240</v>
      </c>
    </row>
    <row r="2083" spans="1:17" ht="24.95" hidden="1" customHeight="1" x14ac:dyDescent="0.25">
      <c r="A2083" s="3">
        <v>7</v>
      </c>
      <c r="B2083" s="3" t="s">
        <v>459</v>
      </c>
      <c r="C2083" s="3" t="s">
        <v>2514</v>
      </c>
      <c r="I2083" s="3">
        <v>14</v>
      </c>
      <c r="J2083" s="3">
        <v>360</v>
      </c>
      <c r="K2083" s="3">
        <v>1</v>
      </c>
      <c r="L2083" s="3">
        <v>360</v>
      </c>
      <c r="M2083" s="3">
        <v>1970</v>
      </c>
      <c r="N2083" s="3">
        <v>709.2</v>
      </c>
      <c r="O2083" s="3">
        <v>1.21</v>
      </c>
      <c r="P2083" s="3">
        <v>858.13200000000006</v>
      </c>
      <c r="Q2083" s="3">
        <v>1970</v>
      </c>
    </row>
    <row r="2084" spans="1:17" ht="24.95" hidden="1" customHeight="1" x14ac:dyDescent="0.25">
      <c r="A2084" s="3">
        <v>7</v>
      </c>
      <c r="B2084" s="3" t="s">
        <v>459</v>
      </c>
      <c r="C2084" s="3" t="s">
        <v>2515</v>
      </c>
      <c r="I2084" s="3">
        <v>32</v>
      </c>
      <c r="J2084" s="3">
        <v>36</v>
      </c>
      <c r="K2084" s="3">
        <v>1</v>
      </c>
      <c r="L2084" s="3">
        <v>36</v>
      </c>
      <c r="M2084" s="3">
        <v>1690</v>
      </c>
      <c r="N2084" s="3">
        <v>60.84</v>
      </c>
      <c r="O2084" s="3">
        <v>6.31</v>
      </c>
      <c r="P2084" s="3">
        <v>383.90039999999999</v>
      </c>
      <c r="Q2084" s="3">
        <v>1690</v>
      </c>
    </row>
    <row r="2085" spans="1:17" ht="24.95" hidden="1" customHeight="1" x14ac:dyDescent="0.25">
      <c r="A2085" s="3">
        <v>7</v>
      </c>
      <c r="B2085" s="3" t="s">
        <v>459</v>
      </c>
      <c r="C2085" s="3" t="s">
        <v>2516</v>
      </c>
      <c r="I2085" s="3">
        <v>14</v>
      </c>
      <c r="J2085" s="3">
        <v>15</v>
      </c>
      <c r="K2085" s="3">
        <v>1</v>
      </c>
      <c r="L2085" s="3">
        <v>15</v>
      </c>
      <c r="M2085" s="3">
        <v>11700</v>
      </c>
      <c r="N2085" s="3">
        <v>175.5</v>
      </c>
      <c r="O2085" s="3">
        <v>1.21</v>
      </c>
      <c r="P2085" s="3">
        <v>212.35499999999999</v>
      </c>
      <c r="Q2085" s="3">
        <v>11700</v>
      </c>
    </row>
    <row r="2086" spans="1:17" ht="24.95" hidden="1" customHeight="1" x14ac:dyDescent="0.25">
      <c r="A2086" s="3">
        <v>7</v>
      </c>
      <c r="B2086" s="3" t="s">
        <v>459</v>
      </c>
      <c r="C2086" s="3" t="s">
        <v>2517</v>
      </c>
      <c r="I2086" s="3">
        <v>14</v>
      </c>
      <c r="J2086" s="3">
        <v>15</v>
      </c>
      <c r="K2086" s="3">
        <v>1</v>
      </c>
      <c r="L2086" s="3">
        <v>15</v>
      </c>
      <c r="M2086" s="3">
        <v>8280</v>
      </c>
      <c r="N2086" s="3">
        <v>124.2</v>
      </c>
      <c r="O2086" s="3">
        <v>1.21</v>
      </c>
      <c r="P2086" s="3">
        <v>150.28200000000001</v>
      </c>
      <c r="Q2086" s="3">
        <v>8280</v>
      </c>
    </row>
    <row r="2087" spans="1:17" ht="24.95" hidden="1" customHeight="1" x14ac:dyDescent="0.25">
      <c r="A2087" s="3">
        <v>7</v>
      </c>
      <c r="B2087" s="3" t="s">
        <v>459</v>
      </c>
      <c r="C2087" s="3" t="s">
        <v>2518</v>
      </c>
      <c r="I2087" s="3">
        <v>14</v>
      </c>
      <c r="J2087" s="3">
        <v>15</v>
      </c>
      <c r="K2087" s="3">
        <v>1</v>
      </c>
      <c r="L2087" s="3">
        <v>15</v>
      </c>
      <c r="M2087" s="3">
        <v>11700</v>
      </c>
      <c r="N2087" s="3">
        <v>175.5</v>
      </c>
      <c r="O2087" s="3">
        <v>1.21</v>
      </c>
      <c r="P2087" s="3">
        <v>212.35499999999999</v>
      </c>
      <c r="Q2087" s="3">
        <v>11700</v>
      </c>
    </row>
    <row r="2088" spans="1:17" ht="24.95" hidden="1" customHeight="1" x14ac:dyDescent="0.25">
      <c r="A2088" s="3">
        <v>7</v>
      </c>
      <c r="B2088" s="3" t="s">
        <v>459</v>
      </c>
      <c r="C2088" s="3" t="s">
        <v>2519</v>
      </c>
      <c r="I2088" s="3">
        <v>14</v>
      </c>
      <c r="J2088" s="3">
        <v>15</v>
      </c>
      <c r="K2088" s="3">
        <v>1</v>
      </c>
      <c r="L2088" s="3">
        <v>15</v>
      </c>
      <c r="M2088" s="3">
        <v>5490</v>
      </c>
      <c r="N2088" s="3">
        <v>82.35</v>
      </c>
      <c r="O2088" s="3">
        <v>1.21</v>
      </c>
      <c r="P2088" s="3">
        <v>99.643499999999989</v>
      </c>
      <c r="Q2088" s="3">
        <v>5490</v>
      </c>
    </row>
    <row r="2089" spans="1:17" ht="24.95" hidden="1" customHeight="1" x14ac:dyDescent="0.25">
      <c r="A2089" s="3">
        <v>7</v>
      </c>
      <c r="B2089" s="3" t="s">
        <v>459</v>
      </c>
      <c r="C2089" s="3" t="s">
        <v>2520</v>
      </c>
      <c r="I2089" s="3">
        <v>14</v>
      </c>
      <c r="J2089" s="3">
        <v>15</v>
      </c>
      <c r="K2089" s="3">
        <v>1</v>
      </c>
      <c r="L2089" s="3">
        <v>15</v>
      </c>
      <c r="M2089" s="3">
        <v>3420</v>
      </c>
      <c r="N2089" s="3">
        <v>51.3</v>
      </c>
      <c r="O2089" s="3">
        <v>1.21</v>
      </c>
      <c r="P2089" s="3">
        <v>62.072999999999993</v>
      </c>
      <c r="Q2089" s="3">
        <v>3420</v>
      </c>
    </row>
    <row r="2090" spans="1:17" ht="24.95" hidden="1" customHeight="1" x14ac:dyDescent="0.25">
      <c r="A2090" s="3">
        <v>7</v>
      </c>
      <c r="B2090" s="3" t="s">
        <v>459</v>
      </c>
      <c r="C2090" s="3" t="s">
        <v>2521</v>
      </c>
      <c r="I2090" s="3">
        <v>32</v>
      </c>
      <c r="J2090" s="3">
        <v>3</v>
      </c>
      <c r="K2090" s="3">
        <v>1</v>
      </c>
      <c r="L2090" s="3">
        <v>3</v>
      </c>
      <c r="M2090" s="3">
        <v>8400</v>
      </c>
      <c r="N2090" s="3">
        <v>25.2</v>
      </c>
      <c r="O2090" s="3">
        <v>6.31</v>
      </c>
      <c r="P2090" s="3">
        <v>159.01199999999997</v>
      </c>
      <c r="Q2090" s="3">
        <v>8400</v>
      </c>
    </row>
    <row r="2091" spans="1:17" ht="24.95" hidden="1" customHeight="1" x14ac:dyDescent="0.25">
      <c r="A2091" s="3">
        <v>7</v>
      </c>
      <c r="B2091" s="3" t="s">
        <v>459</v>
      </c>
      <c r="C2091" s="3" t="s">
        <v>2522</v>
      </c>
      <c r="I2091" s="3">
        <v>32</v>
      </c>
      <c r="J2091" s="3">
        <v>4</v>
      </c>
      <c r="K2091" s="3">
        <v>1</v>
      </c>
      <c r="L2091" s="3">
        <v>4</v>
      </c>
      <c r="M2091" s="3">
        <v>10000</v>
      </c>
      <c r="N2091" s="3">
        <v>40</v>
      </c>
      <c r="O2091" s="3">
        <v>6.31</v>
      </c>
      <c r="P2091" s="3">
        <v>252.39999999999998</v>
      </c>
      <c r="Q2091" s="3">
        <v>10000</v>
      </c>
    </row>
    <row r="2092" spans="1:17" ht="24.95" hidden="1" customHeight="1" x14ac:dyDescent="0.25">
      <c r="A2092" s="3">
        <v>7</v>
      </c>
      <c r="B2092" s="3" t="s">
        <v>459</v>
      </c>
      <c r="C2092" s="3" t="s">
        <v>2523</v>
      </c>
      <c r="I2092" s="3">
        <v>32</v>
      </c>
      <c r="J2092" s="3">
        <v>3</v>
      </c>
      <c r="K2092" s="3">
        <v>1</v>
      </c>
      <c r="L2092" s="3">
        <v>3</v>
      </c>
      <c r="M2092" s="3">
        <v>4900</v>
      </c>
      <c r="N2092" s="3">
        <v>14.7</v>
      </c>
      <c r="O2092" s="3">
        <v>6.31</v>
      </c>
      <c r="P2092" s="3">
        <v>92.756999999999991</v>
      </c>
      <c r="Q2092" s="3">
        <v>4900</v>
      </c>
    </row>
    <row r="2093" spans="1:17" ht="24.95" hidden="1" customHeight="1" x14ac:dyDescent="0.25">
      <c r="A2093" s="3">
        <v>7</v>
      </c>
      <c r="B2093" s="3" t="s">
        <v>459</v>
      </c>
      <c r="C2093" s="3" t="s">
        <v>2524</v>
      </c>
      <c r="I2093" s="3">
        <v>32</v>
      </c>
      <c r="J2093" s="3">
        <v>4</v>
      </c>
      <c r="K2093" s="3">
        <v>1</v>
      </c>
      <c r="L2093" s="3">
        <v>4</v>
      </c>
      <c r="M2093" s="3">
        <v>3300</v>
      </c>
      <c r="N2093" s="3">
        <v>13.2</v>
      </c>
      <c r="O2093" s="3">
        <v>6.31</v>
      </c>
      <c r="P2093" s="3">
        <v>83.291999999999987</v>
      </c>
      <c r="Q2093" s="3">
        <v>3300</v>
      </c>
    </row>
    <row r="2094" spans="1:17" ht="24.95" hidden="1" customHeight="1" x14ac:dyDescent="0.25">
      <c r="A2094" s="3">
        <v>7</v>
      </c>
      <c r="B2094" s="3" t="s">
        <v>459</v>
      </c>
      <c r="C2094" s="3" t="s">
        <v>2525</v>
      </c>
      <c r="I2094" s="3">
        <v>32</v>
      </c>
      <c r="J2094" s="3">
        <v>1</v>
      </c>
      <c r="K2094" s="3">
        <v>1</v>
      </c>
      <c r="L2094" s="3">
        <v>1</v>
      </c>
      <c r="M2094" s="3">
        <v>9925</v>
      </c>
      <c r="N2094" s="3">
        <v>9.9250000000000007</v>
      </c>
      <c r="O2094" s="3">
        <v>6.31</v>
      </c>
      <c r="P2094" s="3">
        <v>62.626750000000001</v>
      </c>
      <c r="Q2094" s="3">
        <v>9925</v>
      </c>
    </row>
    <row r="2095" spans="1:17" ht="24.95" hidden="1" customHeight="1" x14ac:dyDescent="0.25">
      <c r="A2095" s="3">
        <v>7</v>
      </c>
      <c r="B2095" s="3" t="s">
        <v>459</v>
      </c>
      <c r="C2095" s="3" t="s">
        <v>2526</v>
      </c>
      <c r="I2095" s="3">
        <v>32</v>
      </c>
      <c r="J2095" s="3">
        <v>1</v>
      </c>
      <c r="K2095" s="3">
        <v>1</v>
      </c>
      <c r="L2095" s="3">
        <v>1</v>
      </c>
      <c r="M2095" s="3">
        <v>1775</v>
      </c>
      <c r="N2095" s="3">
        <v>1.7749999999999999</v>
      </c>
      <c r="O2095" s="3">
        <v>6.31</v>
      </c>
      <c r="P2095" s="3">
        <v>11.200249999999999</v>
      </c>
      <c r="Q2095" s="3">
        <v>1775</v>
      </c>
    </row>
    <row r="2096" spans="1:17" ht="24.95" hidden="1" customHeight="1" x14ac:dyDescent="0.25">
      <c r="A2096" s="3">
        <v>7</v>
      </c>
      <c r="B2096" s="3" t="s">
        <v>459</v>
      </c>
      <c r="C2096" s="3" t="s">
        <v>2527</v>
      </c>
      <c r="I2096" s="3">
        <v>32</v>
      </c>
      <c r="J2096" s="3">
        <v>1</v>
      </c>
      <c r="K2096" s="3">
        <v>1</v>
      </c>
      <c r="L2096" s="3">
        <v>1</v>
      </c>
      <c r="M2096" s="3">
        <v>11700</v>
      </c>
      <c r="N2096" s="3">
        <v>11.7</v>
      </c>
      <c r="O2096" s="3">
        <v>6.31</v>
      </c>
      <c r="P2096" s="3">
        <v>73.826999999999984</v>
      </c>
      <c r="Q2096" s="3">
        <v>11700</v>
      </c>
    </row>
    <row r="2097" spans="1:17" ht="24.95" hidden="1" customHeight="1" x14ac:dyDescent="0.25">
      <c r="A2097" s="3">
        <v>7</v>
      </c>
      <c r="B2097" s="3" t="s">
        <v>459</v>
      </c>
      <c r="C2097" s="3" t="s">
        <v>2528</v>
      </c>
      <c r="I2097" s="3">
        <v>32</v>
      </c>
      <c r="J2097" s="3">
        <v>1</v>
      </c>
      <c r="K2097" s="3">
        <v>1</v>
      </c>
      <c r="L2097" s="3">
        <v>1</v>
      </c>
      <c r="M2097" s="3">
        <v>3550</v>
      </c>
      <c r="N2097" s="3">
        <v>3.55</v>
      </c>
      <c r="O2097" s="3">
        <v>6.31</v>
      </c>
      <c r="P2097" s="3">
        <v>22.400499999999997</v>
      </c>
      <c r="Q2097" s="3">
        <v>3550</v>
      </c>
    </row>
    <row r="2098" spans="1:17" ht="24.95" hidden="1" customHeight="1" x14ac:dyDescent="0.25">
      <c r="A2098" s="3">
        <v>7</v>
      </c>
      <c r="B2098" s="3" t="s">
        <v>460</v>
      </c>
      <c r="C2098" s="3" t="s">
        <v>2529</v>
      </c>
      <c r="I2098" s="3">
        <v>32</v>
      </c>
      <c r="J2098" s="3">
        <v>6</v>
      </c>
      <c r="K2098" s="3">
        <v>2</v>
      </c>
      <c r="L2098" s="3">
        <v>12</v>
      </c>
      <c r="M2098" s="3">
        <v>11700</v>
      </c>
      <c r="N2098" s="3">
        <v>140.4</v>
      </c>
      <c r="O2098" s="3">
        <v>6.31</v>
      </c>
      <c r="P2098" s="3">
        <v>885.92399999999998</v>
      </c>
      <c r="Q2098" s="3">
        <v>11700</v>
      </c>
    </row>
    <row r="2099" spans="1:17" ht="24.95" hidden="1" customHeight="1" x14ac:dyDescent="0.25">
      <c r="A2099" s="3">
        <v>7</v>
      </c>
      <c r="B2099" s="3" t="s">
        <v>460</v>
      </c>
      <c r="C2099" s="3" t="s">
        <v>2530</v>
      </c>
      <c r="I2099" s="3">
        <v>32</v>
      </c>
      <c r="J2099" s="3">
        <v>6</v>
      </c>
      <c r="K2099" s="3">
        <v>2</v>
      </c>
      <c r="L2099" s="3">
        <v>12</v>
      </c>
      <c r="M2099" s="3">
        <v>5380</v>
      </c>
      <c r="N2099" s="3">
        <v>64.56</v>
      </c>
      <c r="O2099" s="3">
        <v>6.31</v>
      </c>
      <c r="P2099" s="3">
        <v>407.37360000000001</v>
      </c>
      <c r="Q2099" s="3">
        <v>5380</v>
      </c>
    </row>
    <row r="2100" spans="1:17" ht="24.95" hidden="1" customHeight="1" x14ac:dyDescent="0.25">
      <c r="A2100" s="3">
        <v>7</v>
      </c>
      <c r="B2100" s="3" t="s">
        <v>460</v>
      </c>
      <c r="C2100" s="3" t="s">
        <v>2531</v>
      </c>
      <c r="I2100" s="3">
        <v>32</v>
      </c>
      <c r="J2100" s="3">
        <v>7</v>
      </c>
      <c r="K2100" s="3">
        <v>2</v>
      </c>
      <c r="L2100" s="3">
        <v>14</v>
      </c>
      <c r="M2100" s="3">
        <v>5380</v>
      </c>
      <c r="N2100" s="3">
        <v>75.319999999999993</v>
      </c>
      <c r="O2100" s="3">
        <v>6.31</v>
      </c>
      <c r="P2100" s="3">
        <v>475.26919999999996</v>
      </c>
      <c r="Q2100" s="3">
        <v>5380</v>
      </c>
    </row>
    <row r="2101" spans="1:17" ht="24.95" hidden="1" customHeight="1" x14ac:dyDescent="0.25">
      <c r="A2101" s="3">
        <v>7</v>
      </c>
      <c r="B2101" s="3" t="s">
        <v>460</v>
      </c>
      <c r="C2101" s="3" t="s">
        <v>2532</v>
      </c>
      <c r="I2101" s="3">
        <v>32</v>
      </c>
      <c r="J2101" s="3">
        <v>7</v>
      </c>
      <c r="K2101" s="3">
        <v>2</v>
      </c>
      <c r="L2101" s="3">
        <v>14</v>
      </c>
      <c r="M2101" s="3">
        <v>11700</v>
      </c>
      <c r="N2101" s="3">
        <v>163.80000000000001</v>
      </c>
      <c r="O2101" s="3">
        <v>6.31</v>
      </c>
      <c r="P2101" s="3">
        <v>1033.578</v>
      </c>
      <c r="Q2101" s="3">
        <v>11700</v>
      </c>
    </row>
    <row r="2102" spans="1:17" ht="24.95" hidden="1" customHeight="1" x14ac:dyDescent="0.25">
      <c r="A2102" s="3">
        <v>7</v>
      </c>
      <c r="B2102" s="3" t="s">
        <v>460</v>
      </c>
      <c r="C2102" s="3" t="s">
        <v>2533</v>
      </c>
      <c r="I2102" s="3">
        <v>32</v>
      </c>
      <c r="J2102" s="3">
        <v>7</v>
      </c>
      <c r="K2102" s="3">
        <v>2</v>
      </c>
      <c r="L2102" s="3">
        <v>14</v>
      </c>
      <c r="M2102" s="3">
        <v>11700</v>
      </c>
      <c r="N2102" s="3">
        <v>163.80000000000001</v>
      </c>
      <c r="O2102" s="3">
        <v>6.31</v>
      </c>
      <c r="P2102" s="3">
        <v>1033.578</v>
      </c>
      <c r="Q2102" s="3">
        <v>11700</v>
      </c>
    </row>
    <row r="2103" spans="1:17" ht="24.95" hidden="1" customHeight="1" x14ac:dyDescent="0.25">
      <c r="A2103" s="3">
        <v>7</v>
      </c>
      <c r="B2103" s="3" t="s">
        <v>460</v>
      </c>
      <c r="C2103" s="3" t="s">
        <v>2534</v>
      </c>
      <c r="I2103" s="3">
        <v>32</v>
      </c>
      <c r="J2103" s="3">
        <v>7</v>
      </c>
      <c r="K2103" s="3">
        <v>2</v>
      </c>
      <c r="L2103" s="3">
        <v>14</v>
      </c>
      <c r="M2103" s="3">
        <v>5280</v>
      </c>
      <c r="N2103" s="3">
        <v>73.92</v>
      </c>
      <c r="O2103" s="3">
        <v>6.31</v>
      </c>
      <c r="P2103" s="3">
        <v>466.43520000000001</v>
      </c>
      <c r="Q2103" s="3">
        <v>5280</v>
      </c>
    </row>
    <row r="2104" spans="1:17" ht="24.95" hidden="1" customHeight="1" x14ac:dyDescent="0.25">
      <c r="A2104" s="3">
        <v>7</v>
      </c>
      <c r="B2104" s="3" t="s">
        <v>460</v>
      </c>
      <c r="C2104" s="3" t="s">
        <v>2535</v>
      </c>
      <c r="I2104" s="3">
        <v>32</v>
      </c>
      <c r="J2104" s="3">
        <v>6</v>
      </c>
      <c r="K2104" s="3">
        <v>2</v>
      </c>
      <c r="L2104" s="3">
        <v>12</v>
      </c>
      <c r="M2104" s="3">
        <v>5280</v>
      </c>
      <c r="N2104" s="3">
        <v>63.36</v>
      </c>
      <c r="O2104" s="3">
        <v>6.31</v>
      </c>
      <c r="P2104" s="3">
        <v>399.80159999999995</v>
      </c>
      <c r="Q2104" s="3">
        <v>5280</v>
      </c>
    </row>
    <row r="2105" spans="1:17" ht="24.95" hidden="1" customHeight="1" x14ac:dyDescent="0.25">
      <c r="A2105" s="3">
        <v>7</v>
      </c>
      <c r="B2105" s="3" t="s">
        <v>460</v>
      </c>
      <c r="C2105" s="3" t="s">
        <v>2536</v>
      </c>
      <c r="I2105" s="3">
        <v>32</v>
      </c>
      <c r="J2105" s="3">
        <v>6</v>
      </c>
      <c r="K2105" s="3">
        <v>2</v>
      </c>
      <c r="L2105" s="3">
        <v>12</v>
      </c>
      <c r="M2105" s="3">
        <v>11700</v>
      </c>
      <c r="N2105" s="3">
        <v>140.4</v>
      </c>
      <c r="O2105" s="3">
        <v>6.31</v>
      </c>
      <c r="P2105" s="3">
        <v>885.92399999999998</v>
      </c>
      <c r="Q2105" s="3">
        <v>11700</v>
      </c>
    </row>
    <row r="2106" spans="1:17" ht="24.95" hidden="1" customHeight="1" x14ac:dyDescent="0.25">
      <c r="A2106" s="3">
        <v>7</v>
      </c>
      <c r="B2106" s="3" t="s">
        <v>460</v>
      </c>
      <c r="C2106" s="3" t="s">
        <v>2537</v>
      </c>
      <c r="I2106" s="3">
        <v>32</v>
      </c>
      <c r="J2106" s="3">
        <v>6</v>
      </c>
      <c r="K2106" s="3">
        <v>2</v>
      </c>
      <c r="L2106" s="3">
        <v>12</v>
      </c>
      <c r="M2106" s="3">
        <v>11700</v>
      </c>
      <c r="N2106" s="3">
        <v>140.4</v>
      </c>
      <c r="O2106" s="3">
        <v>6.31</v>
      </c>
      <c r="P2106" s="3">
        <v>885.92399999999998</v>
      </c>
      <c r="Q2106" s="3">
        <v>11700</v>
      </c>
    </row>
    <row r="2107" spans="1:17" ht="24.95" hidden="1" customHeight="1" x14ac:dyDescent="0.25">
      <c r="A2107" s="3">
        <v>7</v>
      </c>
      <c r="B2107" s="3" t="s">
        <v>460</v>
      </c>
      <c r="C2107" s="3" t="s">
        <v>2538</v>
      </c>
      <c r="I2107" s="3">
        <v>32</v>
      </c>
      <c r="J2107" s="3">
        <v>6</v>
      </c>
      <c r="K2107" s="3">
        <v>2</v>
      </c>
      <c r="L2107" s="3">
        <v>12</v>
      </c>
      <c r="M2107" s="3">
        <v>5180</v>
      </c>
      <c r="N2107" s="3">
        <v>62.16</v>
      </c>
      <c r="O2107" s="3">
        <v>6.31</v>
      </c>
      <c r="P2107" s="3">
        <v>392.22959999999995</v>
      </c>
      <c r="Q2107" s="3">
        <v>5180</v>
      </c>
    </row>
    <row r="2108" spans="1:17" ht="24.95" hidden="1" customHeight="1" x14ac:dyDescent="0.25">
      <c r="A2108" s="3">
        <v>7</v>
      </c>
      <c r="B2108" s="3" t="s">
        <v>460</v>
      </c>
      <c r="C2108" s="3" t="s">
        <v>2539</v>
      </c>
      <c r="I2108" s="3">
        <v>32</v>
      </c>
      <c r="J2108" s="3">
        <v>7</v>
      </c>
      <c r="K2108" s="3">
        <v>2</v>
      </c>
      <c r="L2108" s="3">
        <v>14</v>
      </c>
      <c r="M2108" s="3">
        <v>5180</v>
      </c>
      <c r="N2108" s="3">
        <v>72.52</v>
      </c>
      <c r="O2108" s="3">
        <v>6.31</v>
      </c>
      <c r="P2108" s="3">
        <v>457.60119999999995</v>
      </c>
      <c r="Q2108" s="3">
        <v>5180</v>
      </c>
    </row>
    <row r="2109" spans="1:17" ht="24.95" hidden="1" customHeight="1" x14ac:dyDescent="0.25">
      <c r="A2109" s="3">
        <v>7</v>
      </c>
      <c r="B2109" s="3" t="s">
        <v>460</v>
      </c>
      <c r="C2109" s="3" t="s">
        <v>2540</v>
      </c>
      <c r="I2109" s="3">
        <v>32</v>
      </c>
      <c r="J2109" s="3">
        <v>7</v>
      </c>
      <c r="K2109" s="3">
        <v>2</v>
      </c>
      <c r="L2109" s="3">
        <v>14</v>
      </c>
      <c r="M2109" s="3">
        <v>11700</v>
      </c>
      <c r="N2109" s="3">
        <v>163.80000000000001</v>
      </c>
      <c r="O2109" s="3">
        <v>6.31</v>
      </c>
      <c r="P2109" s="3">
        <v>1033.578</v>
      </c>
      <c r="Q2109" s="3">
        <v>11700</v>
      </c>
    </row>
    <row r="2110" spans="1:17" ht="24.95" hidden="1" customHeight="1" x14ac:dyDescent="0.25">
      <c r="A2110" s="3">
        <v>7</v>
      </c>
      <c r="B2110" s="3" t="s">
        <v>460</v>
      </c>
      <c r="C2110" s="3" t="s">
        <v>2541</v>
      </c>
      <c r="I2110" s="3">
        <v>32</v>
      </c>
      <c r="J2110" s="3">
        <v>7</v>
      </c>
      <c r="K2110" s="3">
        <v>2</v>
      </c>
      <c r="L2110" s="3">
        <v>14</v>
      </c>
      <c r="M2110" s="3">
        <v>8290</v>
      </c>
      <c r="N2110" s="3">
        <v>116.06</v>
      </c>
      <c r="O2110" s="3">
        <v>6.31</v>
      </c>
      <c r="P2110" s="3">
        <v>732.33859999999993</v>
      </c>
      <c r="Q2110" s="3">
        <v>8290</v>
      </c>
    </row>
    <row r="2111" spans="1:17" ht="24.95" hidden="1" customHeight="1" x14ac:dyDescent="0.25">
      <c r="A2111" s="3">
        <v>7</v>
      </c>
      <c r="B2111" s="3" t="s">
        <v>460</v>
      </c>
      <c r="C2111" s="3" t="s">
        <v>2542</v>
      </c>
      <c r="I2111" s="3">
        <v>32</v>
      </c>
      <c r="J2111" s="3">
        <v>7</v>
      </c>
      <c r="K2111" s="3">
        <v>2</v>
      </c>
      <c r="L2111" s="3">
        <v>14</v>
      </c>
      <c r="M2111" s="3">
        <v>8630</v>
      </c>
      <c r="N2111" s="3">
        <v>120.82</v>
      </c>
      <c r="O2111" s="3">
        <v>6.31</v>
      </c>
      <c r="P2111" s="3">
        <v>762.37419999999986</v>
      </c>
      <c r="Q2111" s="3">
        <v>8630</v>
      </c>
    </row>
    <row r="2112" spans="1:17" ht="24.95" hidden="1" customHeight="1" x14ac:dyDescent="0.25">
      <c r="A2112" s="3">
        <v>7</v>
      </c>
      <c r="B2112" s="3" t="s">
        <v>460</v>
      </c>
      <c r="C2112" s="3" t="s">
        <v>2543</v>
      </c>
      <c r="I2112" s="3">
        <v>32</v>
      </c>
      <c r="J2112" s="3">
        <v>6</v>
      </c>
      <c r="K2112" s="3">
        <v>2</v>
      </c>
      <c r="L2112" s="3">
        <v>12</v>
      </c>
      <c r="M2112" s="3">
        <v>10450</v>
      </c>
      <c r="N2112" s="3">
        <v>125.4</v>
      </c>
      <c r="O2112" s="3">
        <v>6.31</v>
      </c>
      <c r="P2112" s="3">
        <v>791.274</v>
      </c>
      <c r="Q2112" s="3">
        <v>10450</v>
      </c>
    </row>
    <row r="2113" spans="1:17" ht="24.95" hidden="1" customHeight="1" x14ac:dyDescent="0.25">
      <c r="A2113" s="3">
        <v>7</v>
      </c>
      <c r="B2113" s="3" t="s">
        <v>460</v>
      </c>
      <c r="C2113" s="3" t="s">
        <v>2544</v>
      </c>
      <c r="I2113" s="3">
        <v>32</v>
      </c>
      <c r="J2113" s="3">
        <v>6</v>
      </c>
      <c r="K2113" s="3">
        <v>2</v>
      </c>
      <c r="L2113" s="3">
        <v>12</v>
      </c>
      <c r="M2113" s="3">
        <v>6470</v>
      </c>
      <c r="N2113" s="3">
        <v>77.64</v>
      </c>
      <c r="O2113" s="3">
        <v>6.31</v>
      </c>
      <c r="P2113" s="3">
        <v>489.90839999999997</v>
      </c>
      <c r="Q2113" s="3">
        <v>6470</v>
      </c>
    </row>
    <row r="2114" spans="1:17" ht="24.95" hidden="1" customHeight="1" x14ac:dyDescent="0.25">
      <c r="A2114" s="3">
        <v>7</v>
      </c>
      <c r="B2114" s="3" t="s">
        <v>460</v>
      </c>
      <c r="C2114" s="3" t="s">
        <v>2545</v>
      </c>
      <c r="I2114" s="3">
        <v>32</v>
      </c>
      <c r="J2114" s="3">
        <v>13</v>
      </c>
      <c r="K2114" s="3">
        <v>2</v>
      </c>
      <c r="L2114" s="3">
        <v>26</v>
      </c>
      <c r="M2114" s="3">
        <v>6690</v>
      </c>
      <c r="N2114" s="3">
        <v>173.94</v>
      </c>
      <c r="O2114" s="3">
        <v>6.31</v>
      </c>
      <c r="P2114" s="3">
        <v>1097.5613999999998</v>
      </c>
      <c r="Q2114" s="3">
        <v>6690</v>
      </c>
    </row>
    <row r="2115" spans="1:17" ht="24.95" hidden="1" customHeight="1" x14ac:dyDescent="0.25">
      <c r="A2115" s="3">
        <v>7</v>
      </c>
      <c r="B2115" s="3" t="s">
        <v>460</v>
      </c>
      <c r="C2115" s="3" t="s">
        <v>2546</v>
      </c>
      <c r="I2115" s="3">
        <v>16</v>
      </c>
      <c r="J2115" s="3">
        <v>51</v>
      </c>
      <c r="K2115" s="3">
        <v>2</v>
      </c>
      <c r="L2115" s="3">
        <v>102</v>
      </c>
      <c r="M2115" s="3">
        <v>3130</v>
      </c>
      <c r="N2115" s="3">
        <v>319.26</v>
      </c>
      <c r="O2115" s="3">
        <v>1.58</v>
      </c>
      <c r="P2115" s="3">
        <v>504.43080000000003</v>
      </c>
      <c r="Q2115" s="3">
        <v>3130</v>
      </c>
    </row>
    <row r="2116" spans="1:17" ht="24.95" hidden="1" customHeight="1" x14ac:dyDescent="0.25">
      <c r="A2116" s="3">
        <v>7</v>
      </c>
      <c r="B2116" s="3" t="s">
        <v>460</v>
      </c>
      <c r="C2116" s="3" t="s">
        <v>2547</v>
      </c>
      <c r="I2116" s="3">
        <v>16</v>
      </c>
      <c r="J2116" s="3">
        <v>51</v>
      </c>
      <c r="K2116" s="3">
        <v>2</v>
      </c>
      <c r="L2116" s="3">
        <v>102</v>
      </c>
      <c r="M2116" s="3">
        <v>6470</v>
      </c>
      <c r="N2116" s="3">
        <v>659.94</v>
      </c>
      <c r="O2116" s="3">
        <v>1.58</v>
      </c>
      <c r="P2116" s="3">
        <v>1042.7052000000001</v>
      </c>
      <c r="Q2116" s="3">
        <v>6470</v>
      </c>
    </row>
    <row r="2117" spans="1:17" ht="24.95" hidden="1" customHeight="1" x14ac:dyDescent="0.25">
      <c r="A2117" s="3">
        <v>7</v>
      </c>
      <c r="B2117" s="3" t="s">
        <v>460</v>
      </c>
      <c r="C2117" s="3" t="s">
        <v>2548</v>
      </c>
      <c r="I2117" s="3">
        <v>18</v>
      </c>
      <c r="J2117" s="3">
        <v>12</v>
      </c>
      <c r="K2117" s="3">
        <v>2</v>
      </c>
      <c r="L2117" s="3">
        <v>24</v>
      </c>
      <c r="M2117" s="3">
        <v>10650</v>
      </c>
      <c r="N2117" s="3">
        <v>255.6</v>
      </c>
      <c r="O2117" s="3">
        <v>2</v>
      </c>
      <c r="P2117" s="3">
        <v>511.2</v>
      </c>
      <c r="Q2117" s="3">
        <v>10650</v>
      </c>
    </row>
    <row r="2118" spans="1:17" ht="24.95" hidden="1" customHeight="1" x14ac:dyDescent="0.25">
      <c r="A2118" s="3">
        <v>7</v>
      </c>
      <c r="B2118" s="3" t="s">
        <v>460</v>
      </c>
      <c r="C2118" s="3" t="s">
        <v>2549</v>
      </c>
      <c r="I2118" s="3">
        <v>16</v>
      </c>
      <c r="J2118" s="3">
        <v>255</v>
      </c>
      <c r="K2118" s="3">
        <v>2</v>
      </c>
      <c r="L2118" s="3">
        <v>510</v>
      </c>
      <c r="M2118" s="3">
        <v>2710</v>
      </c>
      <c r="N2118" s="3">
        <v>1382.1</v>
      </c>
      <c r="O2118" s="3">
        <v>1.58</v>
      </c>
      <c r="P2118" s="3">
        <v>2183.7179999999998</v>
      </c>
      <c r="Q2118" s="3">
        <v>2710</v>
      </c>
    </row>
    <row r="2119" spans="1:17" ht="24.95" hidden="1" customHeight="1" x14ac:dyDescent="0.25">
      <c r="A2119" s="3">
        <v>7</v>
      </c>
      <c r="B2119" s="3" t="s">
        <v>460</v>
      </c>
      <c r="C2119" s="3" t="s">
        <v>2550</v>
      </c>
      <c r="I2119" s="3">
        <v>14</v>
      </c>
      <c r="J2119" s="3">
        <v>30</v>
      </c>
      <c r="K2119" s="3">
        <v>2</v>
      </c>
      <c r="L2119" s="3">
        <v>60</v>
      </c>
      <c r="M2119" s="3">
        <v>10650</v>
      </c>
      <c r="N2119" s="3">
        <v>639</v>
      </c>
      <c r="O2119" s="3">
        <v>1.21</v>
      </c>
      <c r="P2119" s="3">
        <v>773.18999999999994</v>
      </c>
      <c r="Q2119" s="3">
        <v>10650</v>
      </c>
    </row>
    <row r="2120" spans="1:17" ht="24.95" hidden="1" customHeight="1" x14ac:dyDescent="0.25">
      <c r="A2120" s="3">
        <v>7</v>
      </c>
      <c r="B2120" s="3" t="s">
        <v>460</v>
      </c>
      <c r="C2120" s="3" t="s">
        <v>2551</v>
      </c>
      <c r="I2120" s="3">
        <v>32</v>
      </c>
      <c r="J2120" s="3">
        <v>7</v>
      </c>
      <c r="K2120" s="3">
        <v>2</v>
      </c>
      <c r="L2120" s="3">
        <v>14</v>
      </c>
      <c r="M2120" s="3">
        <v>5080</v>
      </c>
      <c r="N2120" s="3">
        <v>71.12</v>
      </c>
      <c r="O2120" s="3">
        <v>6.31</v>
      </c>
      <c r="P2120" s="3">
        <v>448.7672</v>
      </c>
      <c r="Q2120" s="3">
        <v>5080</v>
      </c>
    </row>
    <row r="2121" spans="1:17" ht="24.95" hidden="1" customHeight="1" x14ac:dyDescent="0.25">
      <c r="A2121" s="3">
        <v>7</v>
      </c>
      <c r="B2121" s="3" t="s">
        <v>460</v>
      </c>
      <c r="C2121" s="3" t="s">
        <v>2552</v>
      </c>
      <c r="I2121" s="3">
        <v>32</v>
      </c>
      <c r="J2121" s="3">
        <v>6</v>
      </c>
      <c r="K2121" s="3">
        <v>2</v>
      </c>
      <c r="L2121" s="3">
        <v>12</v>
      </c>
      <c r="M2121" s="3">
        <v>5080</v>
      </c>
      <c r="N2121" s="3">
        <v>60.96</v>
      </c>
      <c r="O2121" s="3">
        <v>6.31</v>
      </c>
      <c r="P2121" s="3">
        <v>384.6576</v>
      </c>
      <c r="Q2121" s="3">
        <v>5080</v>
      </c>
    </row>
    <row r="2122" spans="1:17" ht="24.95" hidden="1" customHeight="1" x14ac:dyDescent="0.25">
      <c r="A2122" s="3">
        <v>7</v>
      </c>
      <c r="B2122" s="3" t="s">
        <v>460</v>
      </c>
      <c r="C2122" s="3" t="s">
        <v>2553</v>
      </c>
      <c r="I2122" s="3">
        <v>32</v>
      </c>
      <c r="J2122" s="3">
        <v>7</v>
      </c>
      <c r="K2122" s="3">
        <v>2</v>
      </c>
      <c r="L2122" s="3">
        <v>14</v>
      </c>
      <c r="M2122" s="3">
        <v>11700</v>
      </c>
      <c r="N2122" s="3">
        <v>163.80000000000001</v>
      </c>
      <c r="O2122" s="3">
        <v>6.31</v>
      </c>
      <c r="P2122" s="3">
        <v>1033.578</v>
      </c>
      <c r="Q2122" s="3">
        <v>11700</v>
      </c>
    </row>
    <row r="2123" spans="1:17" ht="24.95" hidden="1" customHeight="1" x14ac:dyDescent="0.25">
      <c r="A2123" s="3">
        <v>7</v>
      </c>
      <c r="B2123" s="3" t="s">
        <v>460</v>
      </c>
      <c r="C2123" s="3" t="s">
        <v>2554</v>
      </c>
      <c r="I2123" s="3">
        <v>32</v>
      </c>
      <c r="J2123" s="3">
        <v>18</v>
      </c>
      <c r="K2123" s="3">
        <v>2</v>
      </c>
      <c r="L2123" s="3">
        <v>36</v>
      </c>
      <c r="M2123" s="3">
        <v>1690</v>
      </c>
      <c r="N2123" s="3">
        <v>60.84</v>
      </c>
      <c r="O2123" s="3">
        <v>6.31</v>
      </c>
      <c r="P2123" s="3">
        <v>383.90039999999999</v>
      </c>
      <c r="Q2123" s="3">
        <v>1690</v>
      </c>
    </row>
    <row r="2124" spans="1:17" ht="24.95" hidden="1" customHeight="1" x14ac:dyDescent="0.25">
      <c r="A2124" s="3">
        <v>7</v>
      </c>
      <c r="B2124" s="3" t="s">
        <v>460</v>
      </c>
      <c r="C2124" s="3" t="s">
        <v>2555</v>
      </c>
      <c r="I2124" s="3">
        <v>32</v>
      </c>
      <c r="J2124" s="3">
        <v>6</v>
      </c>
      <c r="K2124" s="3">
        <v>2</v>
      </c>
      <c r="L2124" s="3">
        <v>12</v>
      </c>
      <c r="M2124" s="3">
        <v>11700</v>
      </c>
      <c r="N2124" s="3">
        <v>140.4</v>
      </c>
      <c r="O2124" s="3">
        <v>6.31</v>
      </c>
      <c r="P2124" s="3">
        <v>885.92399999999998</v>
      </c>
      <c r="Q2124" s="3">
        <v>11700</v>
      </c>
    </row>
    <row r="2125" spans="1:17" ht="24.95" hidden="1" customHeight="1" x14ac:dyDescent="0.25">
      <c r="A2125" s="3">
        <v>7</v>
      </c>
      <c r="B2125" s="3" t="s">
        <v>460</v>
      </c>
      <c r="C2125" s="3" t="s">
        <v>2556</v>
      </c>
      <c r="I2125" s="3">
        <v>14</v>
      </c>
      <c r="J2125" s="3">
        <v>198</v>
      </c>
      <c r="K2125" s="3">
        <v>2</v>
      </c>
      <c r="L2125" s="3">
        <v>396</v>
      </c>
      <c r="M2125" s="3">
        <v>1970</v>
      </c>
      <c r="N2125" s="3">
        <v>780.12</v>
      </c>
      <c r="O2125" s="3">
        <v>1.21</v>
      </c>
      <c r="P2125" s="3">
        <v>943.9452</v>
      </c>
      <c r="Q2125" s="3">
        <v>1970</v>
      </c>
    </row>
    <row r="2126" spans="1:17" ht="24.95" hidden="1" customHeight="1" x14ac:dyDescent="0.25">
      <c r="A2126" s="3">
        <v>7</v>
      </c>
      <c r="B2126" s="3" t="s">
        <v>461</v>
      </c>
      <c r="C2126" s="3" t="s">
        <v>2557</v>
      </c>
      <c r="I2126" s="3">
        <v>32</v>
      </c>
      <c r="J2126" s="3">
        <v>5</v>
      </c>
      <c r="K2126" s="3">
        <v>1</v>
      </c>
      <c r="L2126" s="3">
        <v>5</v>
      </c>
      <c r="M2126" s="3">
        <v>11700</v>
      </c>
      <c r="N2126" s="3">
        <v>58.5</v>
      </c>
      <c r="O2126" s="3">
        <v>6.31</v>
      </c>
      <c r="P2126" s="3">
        <v>369.13499999999999</v>
      </c>
      <c r="Q2126" s="3">
        <v>11700</v>
      </c>
    </row>
    <row r="2127" spans="1:17" ht="24.95" hidden="1" customHeight="1" x14ac:dyDescent="0.25">
      <c r="A2127" s="3">
        <v>7</v>
      </c>
      <c r="B2127" s="3" t="s">
        <v>461</v>
      </c>
      <c r="C2127" s="3" t="s">
        <v>2558</v>
      </c>
      <c r="I2127" s="3">
        <v>32</v>
      </c>
      <c r="J2127" s="3">
        <v>5</v>
      </c>
      <c r="K2127" s="3">
        <v>1</v>
      </c>
      <c r="L2127" s="3">
        <v>5</v>
      </c>
      <c r="M2127" s="3">
        <v>4640</v>
      </c>
      <c r="N2127" s="3">
        <v>23.2</v>
      </c>
      <c r="O2127" s="3">
        <v>6.31</v>
      </c>
      <c r="P2127" s="3">
        <v>146.392</v>
      </c>
      <c r="Q2127" s="3">
        <v>4640</v>
      </c>
    </row>
    <row r="2128" spans="1:17" ht="24.95" hidden="1" customHeight="1" x14ac:dyDescent="0.25">
      <c r="A2128" s="3">
        <v>7</v>
      </c>
      <c r="B2128" s="3" t="s">
        <v>461</v>
      </c>
      <c r="C2128" s="3" t="s">
        <v>2559</v>
      </c>
      <c r="I2128" s="3">
        <v>32</v>
      </c>
      <c r="J2128" s="3">
        <v>4</v>
      </c>
      <c r="K2128" s="3">
        <v>1</v>
      </c>
      <c r="L2128" s="3">
        <v>4</v>
      </c>
      <c r="M2128" s="3">
        <v>4640</v>
      </c>
      <c r="N2128" s="3">
        <v>18.559999999999999</v>
      </c>
      <c r="O2128" s="3">
        <v>6.31</v>
      </c>
      <c r="P2128" s="3">
        <v>117.11359999999999</v>
      </c>
      <c r="Q2128" s="3">
        <v>4640</v>
      </c>
    </row>
    <row r="2129" spans="1:17" ht="24.95" hidden="1" customHeight="1" x14ac:dyDescent="0.25">
      <c r="A2129" s="3">
        <v>7</v>
      </c>
      <c r="B2129" s="3" t="s">
        <v>461</v>
      </c>
      <c r="C2129" s="3" t="s">
        <v>2560</v>
      </c>
      <c r="I2129" s="3">
        <v>32</v>
      </c>
      <c r="J2129" s="3">
        <v>5</v>
      </c>
      <c r="K2129" s="3">
        <v>1</v>
      </c>
      <c r="L2129" s="3">
        <v>5</v>
      </c>
      <c r="M2129" s="3">
        <v>11700</v>
      </c>
      <c r="N2129" s="3">
        <v>58.5</v>
      </c>
      <c r="O2129" s="3">
        <v>6.31</v>
      </c>
      <c r="P2129" s="3">
        <v>369.13499999999999</v>
      </c>
      <c r="Q2129" s="3">
        <v>11700</v>
      </c>
    </row>
    <row r="2130" spans="1:17" ht="24.95" hidden="1" customHeight="1" x14ac:dyDescent="0.25">
      <c r="A2130" s="3">
        <v>7</v>
      </c>
      <c r="B2130" s="3" t="s">
        <v>461</v>
      </c>
      <c r="C2130" s="3" t="s">
        <v>2561</v>
      </c>
      <c r="I2130" s="3">
        <v>32</v>
      </c>
      <c r="J2130" s="3">
        <v>4</v>
      </c>
      <c r="K2130" s="3">
        <v>1</v>
      </c>
      <c r="L2130" s="3">
        <v>4</v>
      </c>
      <c r="M2130" s="3">
        <v>11700</v>
      </c>
      <c r="N2130" s="3">
        <v>46.8</v>
      </c>
      <c r="O2130" s="3">
        <v>6.31</v>
      </c>
      <c r="P2130" s="3">
        <v>295.30799999999994</v>
      </c>
      <c r="Q2130" s="3">
        <v>11700</v>
      </c>
    </row>
    <row r="2131" spans="1:17" ht="24.95" hidden="1" customHeight="1" x14ac:dyDescent="0.25">
      <c r="A2131" s="3">
        <v>7</v>
      </c>
      <c r="B2131" s="3" t="s">
        <v>461</v>
      </c>
      <c r="C2131" s="3" t="s">
        <v>2562</v>
      </c>
      <c r="I2131" s="3">
        <v>32</v>
      </c>
      <c r="J2131" s="3">
        <v>4</v>
      </c>
      <c r="K2131" s="3">
        <v>1</v>
      </c>
      <c r="L2131" s="3">
        <v>4</v>
      </c>
      <c r="M2131" s="3">
        <v>11700</v>
      </c>
      <c r="N2131" s="3">
        <v>46.8</v>
      </c>
      <c r="O2131" s="3">
        <v>6.31</v>
      </c>
      <c r="P2131" s="3">
        <v>295.30799999999994</v>
      </c>
      <c r="Q2131" s="3">
        <v>11700</v>
      </c>
    </row>
    <row r="2132" spans="1:17" ht="24.95" hidden="1" customHeight="1" x14ac:dyDescent="0.25">
      <c r="A2132" s="3">
        <v>7</v>
      </c>
      <c r="B2132" s="3" t="s">
        <v>461</v>
      </c>
      <c r="C2132" s="3" t="s">
        <v>2563</v>
      </c>
      <c r="I2132" s="3">
        <v>32</v>
      </c>
      <c r="J2132" s="3">
        <v>10</v>
      </c>
      <c r="K2132" s="3">
        <v>1</v>
      </c>
      <c r="L2132" s="3">
        <v>10</v>
      </c>
      <c r="M2132" s="3">
        <v>11700</v>
      </c>
      <c r="N2132" s="3">
        <v>117</v>
      </c>
      <c r="O2132" s="3">
        <v>6.31</v>
      </c>
      <c r="P2132" s="3">
        <v>738.27</v>
      </c>
      <c r="Q2132" s="3">
        <v>11700</v>
      </c>
    </row>
    <row r="2133" spans="1:17" ht="24.95" hidden="1" customHeight="1" x14ac:dyDescent="0.25">
      <c r="A2133" s="3">
        <v>7</v>
      </c>
      <c r="B2133" s="3" t="s">
        <v>461</v>
      </c>
      <c r="C2133" s="3" t="s">
        <v>2564</v>
      </c>
      <c r="I2133" s="3">
        <v>32</v>
      </c>
      <c r="J2133" s="3">
        <v>5</v>
      </c>
      <c r="K2133" s="3">
        <v>1</v>
      </c>
      <c r="L2133" s="3">
        <v>5</v>
      </c>
      <c r="M2133" s="3">
        <v>11700</v>
      </c>
      <c r="N2133" s="3">
        <v>58.5</v>
      </c>
      <c r="O2133" s="3">
        <v>6.31</v>
      </c>
      <c r="P2133" s="3">
        <v>369.13499999999999</v>
      </c>
      <c r="Q2133" s="3">
        <v>11700</v>
      </c>
    </row>
    <row r="2134" spans="1:17" ht="24.95" hidden="1" customHeight="1" x14ac:dyDescent="0.25">
      <c r="A2134" s="3">
        <v>7</v>
      </c>
      <c r="B2134" s="3" t="s">
        <v>461</v>
      </c>
      <c r="C2134" s="3" t="s">
        <v>2565</v>
      </c>
      <c r="I2134" s="3">
        <v>32</v>
      </c>
      <c r="J2134" s="3">
        <v>4</v>
      </c>
      <c r="K2134" s="3">
        <v>1</v>
      </c>
      <c r="L2134" s="3">
        <v>4</v>
      </c>
      <c r="M2134" s="3">
        <v>11700</v>
      </c>
      <c r="N2134" s="3">
        <v>46.8</v>
      </c>
      <c r="O2134" s="3">
        <v>6.31</v>
      </c>
      <c r="P2134" s="3">
        <v>295.30799999999994</v>
      </c>
      <c r="Q2134" s="3">
        <v>11700</v>
      </c>
    </row>
    <row r="2135" spans="1:17" ht="24.95" hidden="1" customHeight="1" x14ac:dyDescent="0.25">
      <c r="A2135" s="3">
        <v>7</v>
      </c>
      <c r="B2135" s="3" t="s">
        <v>461</v>
      </c>
      <c r="C2135" s="3" t="s">
        <v>2566</v>
      </c>
      <c r="I2135" s="3">
        <v>32</v>
      </c>
      <c r="J2135" s="3">
        <v>5</v>
      </c>
      <c r="K2135" s="3">
        <v>1</v>
      </c>
      <c r="L2135" s="3">
        <v>5</v>
      </c>
      <c r="M2135" s="3">
        <v>11700</v>
      </c>
      <c r="N2135" s="3">
        <v>58.5</v>
      </c>
      <c r="O2135" s="3">
        <v>6.31</v>
      </c>
      <c r="P2135" s="3">
        <v>369.13499999999999</v>
      </c>
      <c r="Q2135" s="3">
        <v>11700</v>
      </c>
    </row>
    <row r="2136" spans="1:17" ht="24.95" hidden="1" customHeight="1" x14ac:dyDescent="0.25">
      <c r="A2136" s="3">
        <v>7</v>
      </c>
      <c r="B2136" s="3" t="s">
        <v>461</v>
      </c>
      <c r="C2136" s="3" t="s">
        <v>2567</v>
      </c>
      <c r="I2136" s="3">
        <v>32</v>
      </c>
      <c r="J2136" s="3">
        <v>5</v>
      </c>
      <c r="K2136" s="3">
        <v>1</v>
      </c>
      <c r="L2136" s="3">
        <v>5</v>
      </c>
      <c r="M2136" s="3">
        <v>11700</v>
      </c>
      <c r="N2136" s="3">
        <v>58.5</v>
      </c>
      <c r="O2136" s="3">
        <v>6.31</v>
      </c>
      <c r="P2136" s="3">
        <v>369.13499999999999</v>
      </c>
      <c r="Q2136" s="3">
        <v>11700</v>
      </c>
    </row>
    <row r="2137" spans="1:17" ht="24.95" hidden="1" customHeight="1" x14ac:dyDescent="0.25">
      <c r="A2137" s="3">
        <v>7</v>
      </c>
      <c r="B2137" s="3" t="s">
        <v>461</v>
      </c>
      <c r="C2137" s="3" t="s">
        <v>2568</v>
      </c>
      <c r="I2137" s="3">
        <v>32</v>
      </c>
      <c r="J2137" s="3">
        <v>9</v>
      </c>
      <c r="K2137" s="3">
        <v>1</v>
      </c>
      <c r="L2137" s="3">
        <v>9</v>
      </c>
      <c r="M2137" s="3">
        <v>11700</v>
      </c>
      <c r="N2137" s="3">
        <v>105.3</v>
      </c>
      <c r="O2137" s="3">
        <v>6.31</v>
      </c>
      <c r="P2137" s="3">
        <v>664.44299999999998</v>
      </c>
      <c r="Q2137" s="3">
        <v>11700</v>
      </c>
    </row>
    <row r="2138" spans="1:17" ht="24.95" hidden="1" customHeight="1" x14ac:dyDescent="0.25">
      <c r="A2138" s="3">
        <v>7</v>
      </c>
      <c r="B2138" s="3" t="s">
        <v>461</v>
      </c>
      <c r="C2138" s="3" t="s">
        <v>2569</v>
      </c>
      <c r="I2138" s="3">
        <v>32</v>
      </c>
      <c r="J2138" s="3">
        <v>5</v>
      </c>
      <c r="K2138" s="3">
        <v>1</v>
      </c>
      <c r="L2138" s="3">
        <v>5</v>
      </c>
      <c r="M2138" s="3">
        <v>4550</v>
      </c>
      <c r="N2138" s="3">
        <v>22.75</v>
      </c>
      <c r="O2138" s="3">
        <v>6.31</v>
      </c>
      <c r="P2138" s="3">
        <v>143.55249999999998</v>
      </c>
      <c r="Q2138" s="3">
        <v>4550</v>
      </c>
    </row>
    <row r="2139" spans="1:17" ht="24.95" hidden="1" customHeight="1" x14ac:dyDescent="0.25">
      <c r="A2139" s="3">
        <v>7</v>
      </c>
      <c r="B2139" s="3" t="s">
        <v>461</v>
      </c>
      <c r="C2139" s="3" t="s">
        <v>2570</v>
      </c>
      <c r="I2139" s="3">
        <v>32</v>
      </c>
      <c r="J2139" s="3">
        <v>4</v>
      </c>
      <c r="K2139" s="3">
        <v>1</v>
      </c>
      <c r="L2139" s="3">
        <v>4</v>
      </c>
      <c r="M2139" s="3">
        <v>4550</v>
      </c>
      <c r="N2139" s="3">
        <v>18.2</v>
      </c>
      <c r="O2139" s="3">
        <v>6.31</v>
      </c>
      <c r="P2139" s="3">
        <v>114.84199999999998</v>
      </c>
      <c r="Q2139" s="3">
        <v>4550</v>
      </c>
    </row>
    <row r="2140" spans="1:17" ht="24.95" hidden="1" customHeight="1" x14ac:dyDescent="0.25">
      <c r="A2140" s="3">
        <v>7</v>
      </c>
      <c r="B2140" s="3" t="s">
        <v>461</v>
      </c>
      <c r="C2140" s="3" t="s">
        <v>2571</v>
      </c>
      <c r="I2140" s="3">
        <v>32</v>
      </c>
      <c r="J2140" s="3">
        <v>5</v>
      </c>
      <c r="K2140" s="3">
        <v>1</v>
      </c>
      <c r="L2140" s="3">
        <v>5</v>
      </c>
      <c r="M2140" s="3">
        <v>4450</v>
      </c>
      <c r="N2140" s="3">
        <v>22.25</v>
      </c>
      <c r="O2140" s="3">
        <v>6.31</v>
      </c>
      <c r="P2140" s="3">
        <v>140.39749999999998</v>
      </c>
      <c r="Q2140" s="3">
        <v>4450</v>
      </c>
    </row>
    <row r="2141" spans="1:17" ht="24.95" hidden="1" customHeight="1" x14ac:dyDescent="0.25">
      <c r="A2141" s="3">
        <v>7</v>
      </c>
      <c r="B2141" s="3" t="s">
        <v>461</v>
      </c>
      <c r="C2141" s="3" t="s">
        <v>2563</v>
      </c>
      <c r="I2141" s="3">
        <v>32</v>
      </c>
      <c r="J2141" s="3">
        <v>5</v>
      </c>
      <c r="K2141" s="3">
        <v>1</v>
      </c>
      <c r="L2141" s="3">
        <v>5</v>
      </c>
      <c r="M2141" s="3">
        <v>4450</v>
      </c>
      <c r="N2141" s="3">
        <v>22.25</v>
      </c>
      <c r="O2141" s="3">
        <v>6.31</v>
      </c>
      <c r="P2141" s="3">
        <v>140.39749999999998</v>
      </c>
      <c r="Q2141" s="3">
        <v>4450</v>
      </c>
    </row>
    <row r="2142" spans="1:17" ht="24.95" hidden="1" customHeight="1" x14ac:dyDescent="0.25">
      <c r="A2142" s="3">
        <v>7</v>
      </c>
      <c r="B2142" s="3" t="s">
        <v>461</v>
      </c>
      <c r="C2142" s="3" t="s">
        <v>2572</v>
      </c>
      <c r="I2142" s="3">
        <v>32</v>
      </c>
      <c r="J2142" s="3">
        <v>5</v>
      </c>
      <c r="K2142" s="3">
        <v>1</v>
      </c>
      <c r="L2142" s="3">
        <v>5</v>
      </c>
      <c r="M2142" s="3">
        <v>8865</v>
      </c>
      <c r="N2142" s="3">
        <v>44.325000000000003</v>
      </c>
      <c r="O2142" s="3">
        <v>6.31</v>
      </c>
      <c r="P2142" s="3">
        <v>279.69074999999998</v>
      </c>
      <c r="Q2142" s="3">
        <v>8865</v>
      </c>
    </row>
    <row r="2143" spans="1:17" ht="24.95" hidden="1" customHeight="1" x14ac:dyDescent="0.25">
      <c r="A2143" s="3">
        <v>7</v>
      </c>
      <c r="B2143" s="3" t="s">
        <v>461</v>
      </c>
      <c r="C2143" s="3" t="s">
        <v>2573</v>
      </c>
      <c r="I2143" s="3">
        <v>32</v>
      </c>
      <c r="J2143" s="3">
        <v>4</v>
      </c>
      <c r="K2143" s="3">
        <v>1</v>
      </c>
      <c r="L2143" s="3">
        <v>4</v>
      </c>
      <c r="M2143" s="3">
        <v>7095</v>
      </c>
      <c r="N2143" s="3">
        <v>28.38</v>
      </c>
      <c r="O2143" s="3">
        <v>6.31</v>
      </c>
      <c r="P2143" s="3">
        <v>179.0778</v>
      </c>
      <c r="Q2143" s="3">
        <v>7095</v>
      </c>
    </row>
    <row r="2144" spans="1:17" ht="24.95" hidden="1" customHeight="1" x14ac:dyDescent="0.25">
      <c r="A2144" s="3">
        <v>7</v>
      </c>
      <c r="B2144" s="3" t="s">
        <v>461</v>
      </c>
      <c r="C2144" s="3" t="s">
        <v>2574</v>
      </c>
      <c r="I2144" s="3">
        <v>32</v>
      </c>
      <c r="J2144" s="3">
        <v>5</v>
      </c>
      <c r="K2144" s="3">
        <v>1</v>
      </c>
      <c r="L2144" s="3">
        <v>5</v>
      </c>
      <c r="M2144" s="3">
        <v>7150</v>
      </c>
      <c r="N2144" s="3">
        <v>35.75</v>
      </c>
      <c r="O2144" s="3">
        <v>6.31</v>
      </c>
      <c r="P2144" s="3">
        <v>225.58249999999998</v>
      </c>
      <c r="Q2144" s="3">
        <v>7150</v>
      </c>
    </row>
    <row r="2145" spans="1:17" ht="24.95" hidden="1" customHeight="1" x14ac:dyDescent="0.25">
      <c r="A2145" s="3">
        <v>7</v>
      </c>
      <c r="B2145" s="3" t="s">
        <v>461</v>
      </c>
      <c r="C2145" s="3" t="s">
        <v>2575</v>
      </c>
      <c r="I2145" s="3">
        <v>32</v>
      </c>
      <c r="J2145" s="3">
        <v>9</v>
      </c>
      <c r="K2145" s="3">
        <v>1</v>
      </c>
      <c r="L2145" s="3">
        <v>9</v>
      </c>
      <c r="M2145" s="3">
        <v>11700</v>
      </c>
      <c r="N2145" s="3">
        <v>105.3</v>
      </c>
      <c r="O2145" s="3">
        <v>6.31</v>
      </c>
      <c r="P2145" s="3">
        <v>664.44299999999998</v>
      </c>
      <c r="Q2145" s="3">
        <v>11700</v>
      </c>
    </row>
    <row r="2146" spans="1:17" ht="24.95" hidden="1" customHeight="1" x14ac:dyDescent="0.25">
      <c r="A2146" s="3">
        <v>7</v>
      </c>
      <c r="B2146" s="3" t="s">
        <v>461</v>
      </c>
      <c r="C2146" s="3" t="s">
        <v>2576</v>
      </c>
      <c r="I2146" s="3">
        <v>32</v>
      </c>
      <c r="J2146" s="3">
        <v>4</v>
      </c>
      <c r="K2146" s="3">
        <v>1</v>
      </c>
      <c r="L2146" s="3">
        <v>4</v>
      </c>
      <c r="M2146" s="3">
        <v>8920</v>
      </c>
      <c r="N2146" s="3">
        <v>35.68</v>
      </c>
      <c r="O2146" s="3">
        <v>6.31</v>
      </c>
      <c r="P2146" s="3">
        <v>225.14079999999998</v>
      </c>
      <c r="Q2146" s="3">
        <v>8920</v>
      </c>
    </row>
    <row r="2147" spans="1:17" ht="24.95" hidden="1" customHeight="1" x14ac:dyDescent="0.25">
      <c r="A2147" s="3">
        <v>7</v>
      </c>
      <c r="B2147" s="3" t="s">
        <v>461</v>
      </c>
      <c r="C2147" s="3" t="s">
        <v>2577</v>
      </c>
      <c r="I2147" s="3">
        <v>32</v>
      </c>
      <c r="J2147" s="3">
        <v>9</v>
      </c>
      <c r="K2147" s="3">
        <v>1</v>
      </c>
      <c r="L2147" s="3">
        <v>9</v>
      </c>
      <c r="M2147" s="3">
        <v>7350</v>
      </c>
      <c r="N2147" s="3">
        <v>66.150000000000006</v>
      </c>
      <c r="O2147" s="3">
        <v>6.31</v>
      </c>
      <c r="P2147" s="3">
        <v>417.40649999999999</v>
      </c>
      <c r="Q2147" s="3">
        <v>7350</v>
      </c>
    </row>
    <row r="2148" spans="1:17" ht="24.95" hidden="1" customHeight="1" x14ac:dyDescent="0.25">
      <c r="A2148" s="3">
        <v>7</v>
      </c>
      <c r="B2148" s="3" t="s">
        <v>461</v>
      </c>
      <c r="C2148" s="3" t="s">
        <v>2578</v>
      </c>
      <c r="I2148" s="3">
        <v>32</v>
      </c>
      <c r="J2148" s="3">
        <v>3</v>
      </c>
      <c r="K2148" s="3">
        <v>1</v>
      </c>
      <c r="L2148" s="3">
        <v>3</v>
      </c>
      <c r="M2148" s="3">
        <v>7100</v>
      </c>
      <c r="N2148" s="3">
        <v>21.3</v>
      </c>
      <c r="O2148" s="3">
        <v>6.31</v>
      </c>
      <c r="P2148" s="3">
        <v>134.40299999999999</v>
      </c>
      <c r="Q2148" s="3">
        <v>7100</v>
      </c>
    </row>
    <row r="2149" spans="1:17" ht="24.95" hidden="1" customHeight="1" x14ac:dyDescent="0.25">
      <c r="A2149" s="3">
        <v>7</v>
      </c>
      <c r="B2149" s="3" t="s">
        <v>461</v>
      </c>
      <c r="C2149" s="3" t="s">
        <v>2579</v>
      </c>
      <c r="I2149" s="3">
        <v>16</v>
      </c>
      <c r="J2149" s="3">
        <v>117</v>
      </c>
      <c r="K2149" s="3">
        <v>1</v>
      </c>
      <c r="L2149" s="3">
        <v>117</v>
      </c>
      <c r="M2149" s="3">
        <v>5870</v>
      </c>
      <c r="N2149" s="3">
        <v>686.79</v>
      </c>
      <c r="O2149" s="3">
        <v>1.58</v>
      </c>
      <c r="P2149" s="3">
        <v>1085.1281999999999</v>
      </c>
      <c r="Q2149" s="3">
        <v>5870</v>
      </c>
    </row>
    <row r="2150" spans="1:17" ht="24.95" hidden="1" customHeight="1" x14ac:dyDescent="0.25">
      <c r="A2150" s="3">
        <v>7</v>
      </c>
      <c r="B2150" s="3" t="s">
        <v>461</v>
      </c>
      <c r="C2150" s="3" t="s">
        <v>2580</v>
      </c>
      <c r="I2150" s="3">
        <v>16</v>
      </c>
      <c r="J2150" s="3">
        <v>117</v>
      </c>
      <c r="K2150" s="3">
        <v>1</v>
      </c>
      <c r="L2150" s="3">
        <v>117</v>
      </c>
      <c r="M2150" s="3">
        <v>2530</v>
      </c>
      <c r="N2150" s="3">
        <v>296.01</v>
      </c>
      <c r="O2150" s="3">
        <v>1.58</v>
      </c>
      <c r="P2150" s="3">
        <v>467.69580000000002</v>
      </c>
      <c r="Q2150" s="3">
        <v>2530</v>
      </c>
    </row>
    <row r="2151" spans="1:17" ht="24.95" hidden="1" customHeight="1" x14ac:dyDescent="0.25">
      <c r="A2151" s="3">
        <v>7</v>
      </c>
      <c r="B2151" s="3" t="s">
        <v>461</v>
      </c>
      <c r="C2151" s="3" t="s">
        <v>2581</v>
      </c>
      <c r="I2151" s="3">
        <v>16</v>
      </c>
      <c r="J2151" s="3">
        <v>351</v>
      </c>
      <c r="K2151" s="3">
        <v>1</v>
      </c>
      <c r="L2151" s="3">
        <v>351</v>
      </c>
      <c r="M2151" s="3">
        <v>2710</v>
      </c>
      <c r="N2151" s="3">
        <v>951.21</v>
      </c>
      <c r="O2151" s="3">
        <v>1.58</v>
      </c>
      <c r="P2151" s="3">
        <v>1502.9118000000001</v>
      </c>
      <c r="Q2151" s="3">
        <v>2710</v>
      </c>
    </row>
    <row r="2152" spans="1:17" ht="24.95" hidden="1" customHeight="1" x14ac:dyDescent="0.25">
      <c r="A2152" s="3">
        <v>7</v>
      </c>
      <c r="B2152" s="3" t="s">
        <v>461</v>
      </c>
      <c r="C2152" s="3" t="s">
        <v>2582</v>
      </c>
      <c r="I2152" s="3">
        <v>18</v>
      </c>
      <c r="J2152" s="3">
        <v>6</v>
      </c>
      <c r="K2152" s="3">
        <v>1</v>
      </c>
      <c r="L2152" s="3">
        <v>6</v>
      </c>
      <c r="M2152" s="3">
        <v>8260</v>
      </c>
      <c r="N2152" s="3">
        <v>49.56</v>
      </c>
      <c r="O2152" s="3">
        <v>2</v>
      </c>
      <c r="P2152" s="3">
        <v>99.12</v>
      </c>
      <c r="Q2152" s="3">
        <v>8260</v>
      </c>
    </row>
    <row r="2153" spans="1:17" ht="24.95" hidden="1" customHeight="1" x14ac:dyDescent="0.25">
      <c r="A2153" s="3">
        <v>7</v>
      </c>
      <c r="B2153" s="3" t="s">
        <v>461</v>
      </c>
      <c r="C2153" s="3" t="s">
        <v>2583</v>
      </c>
      <c r="I2153" s="3">
        <v>18</v>
      </c>
      <c r="J2153" s="3">
        <v>6</v>
      </c>
      <c r="K2153" s="3">
        <v>1</v>
      </c>
      <c r="L2153" s="3">
        <v>6</v>
      </c>
      <c r="M2153" s="3">
        <v>11700</v>
      </c>
      <c r="N2153" s="3">
        <v>70.2</v>
      </c>
      <c r="O2153" s="3">
        <v>2</v>
      </c>
      <c r="P2153" s="3">
        <v>140.4</v>
      </c>
      <c r="Q2153" s="3">
        <v>11700</v>
      </c>
    </row>
    <row r="2154" spans="1:17" ht="24.95" hidden="1" customHeight="1" x14ac:dyDescent="0.25">
      <c r="A2154" s="3">
        <v>7</v>
      </c>
      <c r="B2154" s="3" t="s">
        <v>461</v>
      </c>
      <c r="C2154" s="3" t="s">
        <v>2584</v>
      </c>
      <c r="I2154" s="3">
        <v>18</v>
      </c>
      <c r="J2154" s="3">
        <v>6</v>
      </c>
      <c r="K2154" s="3">
        <v>1</v>
      </c>
      <c r="L2154" s="3">
        <v>6</v>
      </c>
      <c r="M2154" s="3">
        <v>5630</v>
      </c>
      <c r="N2154" s="3">
        <v>33.78</v>
      </c>
      <c r="O2154" s="3">
        <v>2</v>
      </c>
      <c r="P2154" s="3">
        <v>67.56</v>
      </c>
      <c r="Q2154" s="3">
        <v>5630</v>
      </c>
    </row>
    <row r="2155" spans="1:17" ht="24.95" hidden="1" customHeight="1" x14ac:dyDescent="0.25">
      <c r="A2155" s="3">
        <v>7</v>
      </c>
      <c r="B2155" s="3" t="s">
        <v>461</v>
      </c>
      <c r="C2155" s="3" t="s">
        <v>2585</v>
      </c>
      <c r="I2155" s="3">
        <v>18</v>
      </c>
      <c r="J2155" s="3">
        <v>6</v>
      </c>
      <c r="K2155" s="3">
        <v>1</v>
      </c>
      <c r="L2155" s="3">
        <v>6</v>
      </c>
      <c r="M2155" s="3">
        <v>11700</v>
      </c>
      <c r="N2155" s="3">
        <v>70.2</v>
      </c>
      <c r="O2155" s="3">
        <v>2</v>
      </c>
      <c r="P2155" s="3">
        <v>140.4</v>
      </c>
      <c r="Q2155" s="3">
        <v>11700</v>
      </c>
    </row>
    <row r="2156" spans="1:17" ht="24.95" hidden="1" customHeight="1" x14ac:dyDescent="0.25">
      <c r="A2156" s="3">
        <v>7</v>
      </c>
      <c r="B2156" s="3" t="s">
        <v>461</v>
      </c>
      <c r="C2156" s="3" t="s">
        <v>2586</v>
      </c>
      <c r="I2156" s="3">
        <v>18</v>
      </c>
      <c r="J2156" s="3">
        <v>6</v>
      </c>
      <c r="K2156" s="3">
        <v>1</v>
      </c>
      <c r="L2156" s="3">
        <v>6</v>
      </c>
      <c r="M2156" s="3">
        <v>3440</v>
      </c>
      <c r="N2156" s="3">
        <v>20.64</v>
      </c>
      <c r="O2156" s="3">
        <v>2</v>
      </c>
      <c r="P2156" s="3">
        <v>41.28</v>
      </c>
      <c r="Q2156" s="3">
        <v>3440</v>
      </c>
    </row>
    <row r="2157" spans="1:17" ht="24.95" hidden="1" customHeight="1" x14ac:dyDescent="0.25">
      <c r="A2157" s="3">
        <v>7</v>
      </c>
      <c r="B2157" s="3" t="s">
        <v>461</v>
      </c>
      <c r="C2157" s="3" t="s">
        <v>2587</v>
      </c>
      <c r="I2157" s="3">
        <v>14</v>
      </c>
      <c r="J2157" s="3">
        <v>354</v>
      </c>
      <c r="K2157" s="3">
        <v>1</v>
      </c>
      <c r="L2157" s="3">
        <v>354</v>
      </c>
      <c r="M2157" s="3">
        <v>1370</v>
      </c>
      <c r="N2157" s="3">
        <v>484.98</v>
      </c>
      <c r="O2157" s="3">
        <v>1.21</v>
      </c>
      <c r="P2157" s="3">
        <v>586.82579999999996</v>
      </c>
      <c r="Q2157" s="3">
        <v>1370</v>
      </c>
    </row>
    <row r="2158" spans="1:17" ht="24.95" hidden="1" customHeight="1" x14ac:dyDescent="0.25">
      <c r="A2158" s="3">
        <v>7</v>
      </c>
      <c r="B2158" s="3" t="s">
        <v>461</v>
      </c>
      <c r="C2158" s="3" t="s">
        <v>2588</v>
      </c>
      <c r="I2158" s="3">
        <v>14</v>
      </c>
      <c r="J2158" s="3">
        <v>9</v>
      </c>
      <c r="K2158" s="3">
        <v>1</v>
      </c>
      <c r="L2158" s="3">
        <v>9</v>
      </c>
      <c r="M2158" s="3">
        <v>8080</v>
      </c>
      <c r="N2158" s="3">
        <v>72.72</v>
      </c>
      <c r="O2158" s="3">
        <v>1.21</v>
      </c>
      <c r="P2158" s="3">
        <v>87.991199999999992</v>
      </c>
      <c r="Q2158" s="3">
        <v>8080</v>
      </c>
    </row>
    <row r="2159" spans="1:17" ht="24.95" hidden="1" customHeight="1" x14ac:dyDescent="0.25">
      <c r="A2159" s="3">
        <v>7</v>
      </c>
      <c r="B2159" s="3" t="s">
        <v>461</v>
      </c>
      <c r="C2159" s="3" t="s">
        <v>2589</v>
      </c>
      <c r="I2159" s="3">
        <v>14</v>
      </c>
      <c r="J2159" s="3">
        <v>9</v>
      </c>
      <c r="K2159" s="3">
        <v>1</v>
      </c>
      <c r="L2159" s="3">
        <v>9</v>
      </c>
      <c r="M2159" s="3">
        <v>11700</v>
      </c>
      <c r="N2159" s="3">
        <v>105.3</v>
      </c>
      <c r="O2159" s="3">
        <v>1.21</v>
      </c>
      <c r="P2159" s="3">
        <v>127.413</v>
      </c>
      <c r="Q2159" s="3">
        <v>11700</v>
      </c>
    </row>
    <row r="2160" spans="1:17" ht="24.95" hidden="1" customHeight="1" x14ac:dyDescent="0.25">
      <c r="A2160" s="3">
        <v>7</v>
      </c>
      <c r="B2160" s="3" t="s">
        <v>461</v>
      </c>
      <c r="C2160" s="3" t="s">
        <v>2590</v>
      </c>
      <c r="I2160" s="3">
        <v>14</v>
      </c>
      <c r="J2160" s="3">
        <v>9</v>
      </c>
      <c r="K2160" s="3">
        <v>1</v>
      </c>
      <c r="L2160" s="3">
        <v>9</v>
      </c>
      <c r="M2160" s="3">
        <v>11700</v>
      </c>
      <c r="N2160" s="3">
        <v>105.3</v>
      </c>
      <c r="O2160" s="3">
        <v>1.21</v>
      </c>
      <c r="P2160" s="3">
        <v>127.413</v>
      </c>
      <c r="Q2160" s="3">
        <v>11700</v>
      </c>
    </row>
    <row r="2161" spans="1:17" ht="24.95" hidden="1" customHeight="1" x14ac:dyDescent="0.25">
      <c r="A2161" s="3">
        <v>7</v>
      </c>
      <c r="B2161" s="3" t="s">
        <v>461</v>
      </c>
      <c r="C2161" s="3" t="s">
        <v>2591</v>
      </c>
      <c r="I2161" s="3">
        <v>14</v>
      </c>
      <c r="J2161" s="3">
        <v>9</v>
      </c>
      <c r="K2161" s="3">
        <v>1</v>
      </c>
      <c r="L2161" s="3">
        <v>9</v>
      </c>
      <c r="M2161" s="3">
        <v>5090</v>
      </c>
      <c r="N2161" s="3">
        <v>45.81</v>
      </c>
      <c r="O2161" s="3">
        <v>1.21</v>
      </c>
      <c r="P2161" s="3">
        <v>55.430100000000003</v>
      </c>
      <c r="Q2161" s="3">
        <v>5090</v>
      </c>
    </row>
    <row r="2162" spans="1:17" ht="24.95" hidden="1" customHeight="1" x14ac:dyDescent="0.25">
      <c r="A2162" s="3">
        <v>7</v>
      </c>
      <c r="B2162" s="3" t="s">
        <v>461</v>
      </c>
      <c r="C2162" s="3" t="s">
        <v>2592</v>
      </c>
      <c r="I2162" s="3">
        <v>14</v>
      </c>
      <c r="J2162" s="3">
        <v>9</v>
      </c>
      <c r="K2162" s="3">
        <v>1</v>
      </c>
      <c r="L2162" s="3">
        <v>9</v>
      </c>
      <c r="M2162" s="3">
        <v>3620</v>
      </c>
      <c r="N2162" s="3">
        <v>32.58</v>
      </c>
      <c r="O2162" s="3">
        <v>1.21</v>
      </c>
      <c r="P2162" s="3">
        <v>39.421799999999998</v>
      </c>
      <c r="Q2162" s="3">
        <v>3620</v>
      </c>
    </row>
    <row r="2163" spans="1:17" ht="24.95" hidden="1" customHeight="1" x14ac:dyDescent="0.25">
      <c r="A2163" s="3">
        <v>7</v>
      </c>
      <c r="B2163" s="3" t="s">
        <v>461</v>
      </c>
      <c r="C2163" s="3" t="s">
        <v>2593</v>
      </c>
      <c r="I2163" s="3">
        <v>32</v>
      </c>
      <c r="J2163" s="3">
        <v>34</v>
      </c>
      <c r="K2163" s="3">
        <v>1</v>
      </c>
      <c r="L2163" s="3">
        <v>34</v>
      </c>
      <c r="M2163" s="3">
        <v>1090</v>
      </c>
      <c r="N2163" s="3">
        <v>37.06</v>
      </c>
      <c r="O2163" s="3">
        <v>6.31</v>
      </c>
      <c r="P2163" s="3">
        <v>233.8486</v>
      </c>
      <c r="Q2163" s="3">
        <v>1090</v>
      </c>
    </row>
    <row r="2164" spans="1:17" ht="24.95" hidden="1" customHeight="1" x14ac:dyDescent="0.25">
      <c r="A2164" s="3">
        <v>7</v>
      </c>
      <c r="B2164" s="3" t="s">
        <v>462</v>
      </c>
      <c r="C2164" s="3" t="s">
        <v>2594</v>
      </c>
      <c r="I2164" s="3">
        <v>32</v>
      </c>
      <c r="J2164" s="3">
        <v>9</v>
      </c>
      <c r="K2164" s="3">
        <v>1</v>
      </c>
      <c r="L2164" s="3">
        <v>9</v>
      </c>
      <c r="M2164" s="3">
        <v>11700</v>
      </c>
      <c r="N2164" s="3">
        <v>105.3</v>
      </c>
      <c r="O2164" s="3">
        <v>6.31</v>
      </c>
      <c r="P2164" s="3">
        <v>664.44299999999998</v>
      </c>
      <c r="Q2164" s="3">
        <v>11700</v>
      </c>
    </row>
    <row r="2165" spans="1:17" ht="24.95" hidden="1" customHeight="1" x14ac:dyDescent="0.25">
      <c r="A2165" s="3">
        <v>7</v>
      </c>
      <c r="B2165" s="3" t="s">
        <v>462</v>
      </c>
      <c r="C2165" s="3" t="s">
        <v>2595</v>
      </c>
      <c r="I2165" s="3">
        <v>32</v>
      </c>
      <c r="J2165" s="3">
        <v>5</v>
      </c>
      <c r="K2165" s="3">
        <v>1</v>
      </c>
      <c r="L2165" s="3">
        <v>5</v>
      </c>
      <c r="M2165" s="3">
        <v>4640</v>
      </c>
      <c r="N2165" s="3">
        <v>23.2</v>
      </c>
      <c r="O2165" s="3">
        <v>6.31</v>
      </c>
      <c r="P2165" s="3">
        <v>146.392</v>
      </c>
      <c r="Q2165" s="3">
        <v>4640</v>
      </c>
    </row>
    <row r="2166" spans="1:17" ht="24.95" hidden="1" customHeight="1" x14ac:dyDescent="0.25">
      <c r="A2166" s="3">
        <v>7</v>
      </c>
      <c r="B2166" s="3" t="s">
        <v>462</v>
      </c>
      <c r="C2166" s="3" t="s">
        <v>2596</v>
      </c>
      <c r="I2166" s="3">
        <v>32</v>
      </c>
      <c r="J2166" s="3">
        <v>4</v>
      </c>
      <c r="K2166" s="3">
        <v>1</v>
      </c>
      <c r="L2166" s="3">
        <v>4</v>
      </c>
      <c r="M2166" s="3">
        <v>4640</v>
      </c>
      <c r="N2166" s="3">
        <v>18.559999999999999</v>
      </c>
      <c r="O2166" s="3">
        <v>6.31</v>
      </c>
      <c r="P2166" s="3">
        <v>117.11359999999999</v>
      </c>
      <c r="Q2166" s="3">
        <v>4640</v>
      </c>
    </row>
    <row r="2167" spans="1:17" ht="24.95" hidden="1" customHeight="1" x14ac:dyDescent="0.25">
      <c r="A2167" s="3">
        <v>7</v>
      </c>
      <c r="B2167" s="3" t="s">
        <v>462</v>
      </c>
      <c r="C2167" s="3" t="s">
        <v>2597</v>
      </c>
      <c r="I2167" s="3">
        <v>32</v>
      </c>
      <c r="J2167" s="3">
        <v>5</v>
      </c>
      <c r="K2167" s="3">
        <v>1</v>
      </c>
      <c r="L2167" s="3">
        <v>5</v>
      </c>
      <c r="M2167" s="3">
        <v>11700</v>
      </c>
      <c r="N2167" s="3">
        <v>58.5</v>
      </c>
      <c r="O2167" s="3">
        <v>6.31</v>
      </c>
      <c r="P2167" s="3">
        <v>369.13499999999999</v>
      </c>
      <c r="Q2167" s="3">
        <v>11700</v>
      </c>
    </row>
    <row r="2168" spans="1:17" ht="24.95" hidden="1" customHeight="1" x14ac:dyDescent="0.25">
      <c r="A2168" s="3">
        <v>7</v>
      </c>
      <c r="B2168" s="3" t="s">
        <v>462</v>
      </c>
      <c r="C2168" s="3" t="s">
        <v>2598</v>
      </c>
      <c r="I2168" s="3">
        <v>32</v>
      </c>
      <c r="J2168" s="3">
        <v>4</v>
      </c>
      <c r="K2168" s="3">
        <v>1</v>
      </c>
      <c r="L2168" s="3">
        <v>4</v>
      </c>
      <c r="M2168" s="3">
        <v>11700</v>
      </c>
      <c r="N2168" s="3">
        <v>46.8</v>
      </c>
      <c r="O2168" s="3">
        <v>6.31</v>
      </c>
      <c r="P2168" s="3">
        <v>295.30799999999994</v>
      </c>
      <c r="Q2168" s="3">
        <v>11700</v>
      </c>
    </row>
    <row r="2169" spans="1:17" ht="24.95" hidden="1" customHeight="1" x14ac:dyDescent="0.25">
      <c r="A2169" s="3">
        <v>7</v>
      </c>
      <c r="B2169" s="3" t="s">
        <v>462</v>
      </c>
      <c r="C2169" s="3" t="s">
        <v>2599</v>
      </c>
      <c r="I2169" s="3">
        <v>32</v>
      </c>
      <c r="J2169" s="3">
        <v>18</v>
      </c>
      <c r="K2169" s="3">
        <v>1</v>
      </c>
      <c r="L2169" s="3">
        <v>18</v>
      </c>
      <c r="M2169" s="3">
        <v>11700</v>
      </c>
      <c r="N2169" s="3">
        <v>210.6</v>
      </c>
      <c r="O2169" s="3">
        <v>6.31</v>
      </c>
      <c r="P2169" s="3">
        <v>1328.886</v>
      </c>
      <c r="Q2169" s="3">
        <v>11700</v>
      </c>
    </row>
    <row r="2170" spans="1:17" ht="24.95" hidden="1" customHeight="1" x14ac:dyDescent="0.25">
      <c r="A2170" s="3">
        <v>7</v>
      </c>
      <c r="B2170" s="3" t="s">
        <v>462</v>
      </c>
      <c r="C2170" s="3" t="s">
        <v>2600</v>
      </c>
      <c r="I2170" s="3">
        <v>32</v>
      </c>
      <c r="J2170" s="3">
        <v>5</v>
      </c>
      <c r="K2170" s="3">
        <v>1</v>
      </c>
      <c r="L2170" s="3">
        <v>5</v>
      </c>
      <c r="M2170" s="3">
        <v>4580</v>
      </c>
      <c r="N2170" s="3">
        <v>22.9</v>
      </c>
      <c r="O2170" s="3">
        <v>6.31</v>
      </c>
      <c r="P2170" s="3">
        <v>144.499</v>
      </c>
      <c r="Q2170" s="3">
        <v>4580</v>
      </c>
    </row>
    <row r="2171" spans="1:17" ht="24.95" hidden="1" customHeight="1" x14ac:dyDescent="0.25">
      <c r="A2171" s="3">
        <v>7</v>
      </c>
      <c r="B2171" s="3" t="s">
        <v>462</v>
      </c>
      <c r="C2171" s="3" t="s">
        <v>2601</v>
      </c>
      <c r="I2171" s="3">
        <v>32</v>
      </c>
      <c r="J2171" s="3">
        <v>4</v>
      </c>
      <c r="K2171" s="3">
        <v>1</v>
      </c>
      <c r="L2171" s="3">
        <v>4</v>
      </c>
      <c r="M2171" s="3">
        <v>4580</v>
      </c>
      <c r="N2171" s="3">
        <v>18.32</v>
      </c>
      <c r="O2171" s="3">
        <v>6.31</v>
      </c>
      <c r="P2171" s="3">
        <v>115.5992</v>
      </c>
      <c r="Q2171" s="3">
        <v>4580</v>
      </c>
    </row>
    <row r="2172" spans="1:17" ht="24.95" hidden="1" customHeight="1" x14ac:dyDescent="0.25">
      <c r="A2172" s="3">
        <v>7</v>
      </c>
      <c r="B2172" s="3" t="s">
        <v>462</v>
      </c>
      <c r="C2172" s="3" t="s">
        <v>2602</v>
      </c>
      <c r="I2172" s="3">
        <v>32</v>
      </c>
      <c r="J2172" s="3">
        <v>9</v>
      </c>
      <c r="K2172" s="3">
        <v>1</v>
      </c>
      <c r="L2172" s="3">
        <v>9</v>
      </c>
      <c r="M2172" s="3">
        <v>11700</v>
      </c>
      <c r="N2172" s="3">
        <v>105.3</v>
      </c>
      <c r="O2172" s="3">
        <v>6.31</v>
      </c>
      <c r="P2172" s="3">
        <v>664.44299999999998</v>
      </c>
      <c r="Q2172" s="3">
        <v>11700</v>
      </c>
    </row>
    <row r="2173" spans="1:17" ht="24.95" hidden="1" customHeight="1" x14ac:dyDescent="0.25">
      <c r="A2173" s="3">
        <v>7</v>
      </c>
      <c r="B2173" s="3" t="s">
        <v>462</v>
      </c>
      <c r="C2173" s="3" t="s">
        <v>2603</v>
      </c>
      <c r="I2173" s="3">
        <v>32</v>
      </c>
      <c r="J2173" s="3">
        <v>9</v>
      </c>
      <c r="K2173" s="3">
        <v>1</v>
      </c>
      <c r="L2173" s="3">
        <v>9</v>
      </c>
      <c r="M2173" s="3">
        <v>11700</v>
      </c>
      <c r="N2173" s="3">
        <v>105.3</v>
      </c>
      <c r="O2173" s="3">
        <v>6.31</v>
      </c>
      <c r="P2173" s="3">
        <v>664.44299999999998</v>
      </c>
      <c r="Q2173" s="3">
        <v>11700</v>
      </c>
    </row>
    <row r="2174" spans="1:17" ht="24.95" hidden="1" customHeight="1" x14ac:dyDescent="0.25">
      <c r="A2174" s="3">
        <v>7</v>
      </c>
      <c r="B2174" s="3" t="s">
        <v>462</v>
      </c>
      <c r="C2174" s="3" t="s">
        <v>2604</v>
      </c>
      <c r="I2174" s="3">
        <v>32</v>
      </c>
      <c r="J2174" s="3">
        <v>4</v>
      </c>
      <c r="K2174" s="3">
        <v>1</v>
      </c>
      <c r="L2174" s="3">
        <v>4</v>
      </c>
      <c r="M2174" s="3">
        <v>4480</v>
      </c>
      <c r="N2174" s="3">
        <v>17.920000000000002</v>
      </c>
      <c r="O2174" s="3">
        <v>6.31</v>
      </c>
      <c r="P2174" s="3">
        <v>113.07520000000001</v>
      </c>
      <c r="Q2174" s="3">
        <v>4480</v>
      </c>
    </row>
    <row r="2175" spans="1:17" ht="24.95" hidden="1" customHeight="1" x14ac:dyDescent="0.25">
      <c r="A2175" s="3">
        <v>7</v>
      </c>
      <c r="B2175" s="3" t="s">
        <v>462</v>
      </c>
      <c r="C2175" s="3" t="s">
        <v>2605</v>
      </c>
      <c r="I2175" s="3">
        <v>32</v>
      </c>
      <c r="J2175" s="3">
        <v>5</v>
      </c>
      <c r="K2175" s="3">
        <v>1</v>
      </c>
      <c r="L2175" s="3">
        <v>5</v>
      </c>
      <c r="M2175" s="3">
        <v>4480</v>
      </c>
      <c r="N2175" s="3">
        <v>22.4</v>
      </c>
      <c r="O2175" s="3">
        <v>6.31</v>
      </c>
      <c r="P2175" s="3">
        <v>141.34399999999999</v>
      </c>
      <c r="Q2175" s="3">
        <v>4480</v>
      </c>
    </row>
    <row r="2176" spans="1:17" ht="24.95" hidden="1" customHeight="1" x14ac:dyDescent="0.25">
      <c r="A2176" s="3">
        <v>7</v>
      </c>
      <c r="B2176" s="3" t="s">
        <v>462</v>
      </c>
      <c r="C2176" s="3" t="s">
        <v>2606</v>
      </c>
      <c r="I2176" s="3">
        <v>32</v>
      </c>
      <c r="J2176" s="3">
        <v>5</v>
      </c>
      <c r="K2176" s="3">
        <v>1</v>
      </c>
      <c r="L2176" s="3">
        <v>5</v>
      </c>
      <c r="M2176" s="3">
        <v>8980</v>
      </c>
      <c r="N2176" s="3">
        <v>44.9</v>
      </c>
      <c r="O2176" s="3">
        <v>6.31</v>
      </c>
      <c r="P2176" s="3">
        <v>283.31899999999996</v>
      </c>
      <c r="Q2176" s="3">
        <v>8980</v>
      </c>
    </row>
    <row r="2177" spans="1:17" ht="24.95" hidden="1" customHeight="1" x14ac:dyDescent="0.25">
      <c r="A2177" s="3">
        <v>7</v>
      </c>
      <c r="B2177" s="3" t="s">
        <v>462</v>
      </c>
      <c r="C2177" s="3" t="s">
        <v>2607</v>
      </c>
      <c r="I2177" s="3">
        <v>32</v>
      </c>
      <c r="J2177" s="3">
        <v>4</v>
      </c>
      <c r="K2177" s="3">
        <v>1</v>
      </c>
      <c r="L2177" s="3">
        <v>4</v>
      </c>
      <c r="M2177" s="3">
        <v>7210</v>
      </c>
      <c r="N2177" s="3">
        <v>28.84</v>
      </c>
      <c r="O2177" s="3">
        <v>6.31</v>
      </c>
      <c r="P2177" s="3">
        <v>181.98039999999997</v>
      </c>
      <c r="Q2177" s="3">
        <v>7210</v>
      </c>
    </row>
    <row r="2178" spans="1:17" ht="24.95" hidden="1" customHeight="1" x14ac:dyDescent="0.25">
      <c r="A2178" s="3">
        <v>7</v>
      </c>
      <c r="B2178" s="3" t="s">
        <v>462</v>
      </c>
      <c r="C2178" s="3" t="s">
        <v>2608</v>
      </c>
      <c r="I2178" s="3">
        <v>32</v>
      </c>
      <c r="J2178" s="3">
        <v>5</v>
      </c>
      <c r="K2178" s="3">
        <v>1</v>
      </c>
      <c r="L2178" s="3">
        <v>5</v>
      </c>
      <c r="M2178" s="3">
        <v>7150</v>
      </c>
      <c r="N2178" s="3">
        <v>35.75</v>
      </c>
      <c r="O2178" s="3">
        <v>6.31</v>
      </c>
      <c r="P2178" s="3">
        <v>225.58249999999998</v>
      </c>
      <c r="Q2178" s="3">
        <v>7150</v>
      </c>
    </row>
    <row r="2179" spans="1:17" ht="24.95" hidden="1" customHeight="1" x14ac:dyDescent="0.25">
      <c r="A2179" s="3">
        <v>7</v>
      </c>
      <c r="B2179" s="3" t="s">
        <v>462</v>
      </c>
      <c r="C2179" s="3" t="s">
        <v>2609</v>
      </c>
      <c r="I2179" s="3">
        <v>32</v>
      </c>
      <c r="J2179" s="3">
        <v>5</v>
      </c>
      <c r="K2179" s="3">
        <v>1</v>
      </c>
      <c r="L2179" s="3">
        <v>5</v>
      </c>
      <c r="M2179" s="3">
        <v>11680</v>
      </c>
      <c r="N2179" s="3">
        <v>58.4</v>
      </c>
      <c r="O2179" s="3">
        <v>6.31</v>
      </c>
      <c r="P2179" s="3">
        <v>368.50399999999996</v>
      </c>
      <c r="Q2179" s="3">
        <v>11680</v>
      </c>
    </row>
    <row r="2180" spans="1:17" ht="24.95" hidden="1" customHeight="1" x14ac:dyDescent="0.25">
      <c r="A2180" s="3">
        <v>7</v>
      </c>
      <c r="B2180" s="3" t="s">
        <v>462</v>
      </c>
      <c r="C2180" s="3" t="s">
        <v>2610</v>
      </c>
      <c r="I2180" s="3">
        <v>32</v>
      </c>
      <c r="J2180" s="3">
        <v>4</v>
      </c>
      <c r="K2180" s="3">
        <v>1</v>
      </c>
      <c r="L2180" s="3">
        <v>4</v>
      </c>
      <c r="M2180" s="3">
        <v>11700</v>
      </c>
      <c r="N2180" s="3">
        <v>46.8</v>
      </c>
      <c r="O2180" s="3">
        <v>6.31</v>
      </c>
      <c r="P2180" s="3">
        <v>295.30799999999994</v>
      </c>
      <c r="Q2180" s="3">
        <v>11700</v>
      </c>
    </row>
    <row r="2181" spans="1:17" ht="24.95" hidden="1" customHeight="1" x14ac:dyDescent="0.25">
      <c r="A2181" s="3">
        <v>7</v>
      </c>
      <c r="B2181" s="3" t="s">
        <v>462</v>
      </c>
      <c r="C2181" s="3" t="s">
        <v>2611</v>
      </c>
      <c r="I2181" s="3">
        <v>32</v>
      </c>
      <c r="J2181" s="3">
        <v>4</v>
      </c>
      <c r="K2181" s="3">
        <v>1</v>
      </c>
      <c r="L2181" s="3">
        <v>4</v>
      </c>
      <c r="M2181" s="3">
        <v>8920</v>
      </c>
      <c r="N2181" s="3">
        <v>35.68</v>
      </c>
      <c r="O2181" s="3">
        <v>6.31</v>
      </c>
      <c r="P2181" s="3">
        <v>225.14079999999998</v>
      </c>
      <c r="Q2181" s="3">
        <v>8920</v>
      </c>
    </row>
    <row r="2182" spans="1:17" ht="24.95" hidden="1" customHeight="1" x14ac:dyDescent="0.25">
      <c r="A2182" s="3">
        <v>7</v>
      </c>
      <c r="B2182" s="3" t="s">
        <v>462</v>
      </c>
      <c r="C2182" s="3" t="s">
        <v>2612</v>
      </c>
      <c r="I2182" s="3">
        <v>32</v>
      </c>
      <c r="J2182" s="3">
        <v>9</v>
      </c>
      <c r="K2182" s="3">
        <v>1</v>
      </c>
      <c r="L2182" s="3">
        <v>9</v>
      </c>
      <c r="M2182" s="3">
        <v>7400</v>
      </c>
      <c r="N2182" s="3">
        <v>66.599999999999994</v>
      </c>
      <c r="O2182" s="3">
        <v>6.31</v>
      </c>
      <c r="P2182" s="3">
        <v>420.24599999999992</v>
      </c>
      <c r="Q2182" s="3">
        <v>7400</v>
      </c>
    </row>
    <row r="2183" spans="1:17" ht="24.95" hidden="1" customHeight="1" x14ac:dyDescent="0.25">
      <c r="A2183" s="3">
        <v>7</v>
      </c>
      <c r="B2183" s="3" t="s">
        <v>462</v>
      </c>
      <c r="C2183" s="3" t="s">
        <v>2613</v>
      </c>
      <c r="I2183" s="3">
        <v>32</v>
      </c>
      <c r="J2183" s="3">
        <v>3</v>
      </c>
      <c r="K2183" s="3">
        <v>1</v>
      </c>
      <c r="L2183" s="3">
        <v>3</v>
      </c>
      <c r="M2183" s="3">
        <v>7100</v>
      </c>
      <c r="N2183" s="3">
        <v>21.3</v>
      </c>
      <c r="O2183" s="3">
        <v>6.31</v>
      </c>
      <c r="P2183" s="3">
        <v>134.40299999999999</v>
      </c>
      <c r="Q2183" s="3">
        <v>7100</v>
      </c>
    </row>
    <row r="2184" spans="1:17" ht="24.95" hidden="1" customHeight="1" x14ac:dyDescent="0.25">
      <c r="A2184" s="3">
        <v>7</v>
      </c>
      <c r="B2184" s="3" t="s">
        <v>462</v>
      </c>
      <c r="C2184" s="3" t="s">
        <v>2614</v>
      </c>
      <c r="I2184" s="3">
        <v>22</v>
      </c>
      <c r="J2184" s="3">
        <v>117</v>
      </c>
      <c r="K2184" s="3">
        <v>1</v>
      </c>
      <c r="L2184" s="3">
        <v>117</v>
      </c>
      <c r="M2184" s="3">
        <v>3070</v>
      </c>
      <c r="N2184" s="3">
        <v>359.19</v>
      </c>
      <c r="O2184" s="3">
        <v>2.98</v>
      </c>
      <c r="P2184" s="3">
        <v>1070.3861999999999</v>
      </c>
      <c r="Q2184" s="3">
        <v>3070</v>
      </c>
    </row>
    <row r="2185" spans="1:17" ht="24.95" hidden="1" customHeight="1" x14ac:dyDescent="0.25">
      <c r="A2185" s="3">
        <v>7</v>
      </c>
      <c r="B2185" s="3" t="s">
        <v>462</v>
      </c>
      <c r="C2185" s="3" t="s">
        <v>2615</v>
      </c>
      <c r="I2185" s="3">
        <v>22</v>
      </c>
      <c r="J2185" s="3">
        <v>117</v>
      </c>
      <c r="K2185" s="3">
        <v>1</v>
      </c>
      <c r="L2185" s="3">
        <v>117</v>
      </c>
      <c r="M2185" s="3">
        <v>5870</v>
      </c>
      <c r="N2185" s="3">
        <v>686.79</v>
      </c>
      <c r="O2185" s="3">
        <v>2.98</v>
      </c>
      <c r="P2185" s="3">
        <v>2046.6342</v>
      </c>
      <c r="Q2185" s="3">
        <v>5870</v>
      </c>
    </row>
    <row r="2186" spans="1:17" ht="24.95" hidden="1" customHeight="1" x14ac:dyDescent="0.25">
      <c r="A2186" s="3">
        <v>7</v>
      </c>
      <c r="B2186" s="3" t="s">
        <v>462</v>
      </c>
      <c r="C2186" s="3" t="s">
        <v>2616</v>
      </c>
      <c r="I2186" s="3">
        <v>22</v>
      </c>
      <c r="J2186" s="3">
        <v>351</v>
      </c>
      <c r="K2186" s="3">
        <v>1</v>
      </c>
      <c r="L2186" s="3">
        <v>351</v>
      </c>
      <c r="M2186" s="3">
        <v>2830</v>
      </c>
      <c r="N2186" s="3">
        <v>993.33</v>
      </c>
      <c r="O2186" s="3">
        <v>2.98</v>
      </c>
      <c r="P2186" s="3">
        <v>2960.1233999999999</v>
      </c>
      <c r="Q2186" s="3">
        <v>2830</v>
      </c>
    </row>
    <row r="2187" spans="1:17" ht="24.95" hidden="1" customHeight="1" x14ac:dyDescent="0.25">
      <c r="A2187" s="3">
        <v>7</v>
      </c>
      <c r="B2187" s="3" t="s">
        <v>462</v>
      </c>
      <c r="C2187" s="3" t="s">
        <v>2617</v>
      </c>
      <c r="I2187" s="3">
        <v>18</v>
      </c>
      <c r="J2187" s="3">
        <v>6</v>
      </c>
      <c r="K2187" s="3">
        <v>1</v>
      </c>
      <c r="L2187" s="3">
        <v>6</v>
      </c>
      <c r="M2187" s="3">
        <v>8260</v>
      </c>
      <c r="N2187" s="3">
        <v>49.56</v>
      </c>
      <c r="O2187" s="3">
        <v>2</v>
      </c>
      <c r="P2187" s="3">
        <v>99.12</v>
      </c>
      <c r="Q2187" s="3">
        <v>8260</v>
      </c>
    </row>
    <row r="2188" spans="1:17" ht="24.95" hidden="1" customHeight="1" x14ac:dyDescent="0.25">
      <c r="A2188" s="3">
        <v>7</v>
      </c>
      <c r="B2188" s="3" t="s">
        <v>462</v>
      </c>
      <c r="C2188" s="3" t="s">
        <v>2618</v>
      </c>
      <c r="I2188" s="3">
        <v>18</v>
      </c>
      <c r="J2188" s="3">
        <v>6</v>
      </c>
      <c r="K2188" s="3">
        <v>1</v>
      </c>
      <c r="L2188" s="3">
        <v>6</v>
      </c>
      <c r="M2188" s="3">
        <v>11700</v>
      </c>
      <c r="N2188" s="3">
        <v>70.2</v>
      </c>
      <c r="O2188" s="3">
        <v>2</v>
      </c>
      <c r="P2188" s="3">
        <v>140.4</v>
      </c>
      <c r="Q2188" s="3">
        <v>11700</v>
      </c>
    </row>
    <row r="2189" spans="1:17" ht="24.95" hidden="1" customHeight="1" x14ac:dyDescent="0.25">
      <c r="A2189" s="3">
        <v>7</v>
      </c>
      <c r="B2189" s="3" t="s">
        <v>462</v>
      </c>
      <c r="C2189" s="3" t="s">
        <v>2619</v>
      </c>
      <c r="I2189" s="3">
        <v>18</v>
      </c>
      <c r="J2189" s="3">
        <v>6</v>
      </c>
      <c r="K2189" s="3">
        <v>1</v>
      </c>
      <c r="L2189" s="3">
        <v>6</v>
      </c>
      <c r="M2189" s="3">
        <v>5630</v>
      </c>
      <c r="N2189" s="3">
        <v>33.78</v>
      </c>
      <c r="O2189" s="3">
        <v>2</v>
      </c>
      <c r="P2189" s="3">
        <v>67.56</v>
      </c>
      <c r="Q2189" s="3">
        <v>5630</v>
      </c>
    </row>
    <row r="2190" spans="1:17" ht="24.95" hidden="1" customHeight="1" x14ac:dyDescent="0.25">
      <c r="A2190" s="3">
        <v>7</v>
      </c>
      <c r="B2190" s="3" t="s">
        <v>462</v>
      </c>
      <c r="C2190" s="3" t="s">
        <v>2620</v>
      </c>
      <c r="I2190" s="3">
        <v>18</v>
      </c>
      <c r="J2190" s="3">
        <v>6</v>
      </c>
      <c r="K2190" s="3">
        <v>1</v>
      </c>
      <c r="L2190" s="3">
        <v>6</v>
      </c>
      <c r="M2190" s="3">
        <v>11700</v>
      </c>
      <c r="N2190" s="3">
        <v>70.2</v>
      </c>
      <c r="O2190" s="3">
        <v>2</v>
      </c>
      <c r="P2190" s="3">
        <v>140.4</v>
      </c>
      <c r="Q2190" s="3">
        <v>11700</v>
      </c>
    </row>
    <row r="2191" spans="1:17" ht="24.95" hidden="1" customHeight="1" x14ac:dyDescent="0.25">
      <c r="A2191" s="3">
        <v>7</v>
      </c>
      <c r="B2191" s="3" t="s">
        <v>462</v>
      </c>
      <c r="C2191" s="3" t="s">
        <v>2621</v>
      </c>
      <c r="I2191" s="3">
        <v>18</v>
      </c>
      <c r="J2191" s="3">
        <v>6</v>
      </c>
      <c r="K2191" s="3">
        <v>1</v>
      </c>
      <c r="L2191" s="3">
        <v>6</v>
      </c>
      <c r="M2191" s="3">
        <v>3440</v>
      </c>
      <c r="N2191" s="3">
        <v>20.64</v>
      </c>
      <c r="O2191" s="3">
        <v>2</v>
      </c>
      <c r="P2191" s="3">
        <v>41.28</v>
      </c>
      <c r="Q2191" s="3">
        <v>3440</v>
      </c>
    </row>
    <row r="2192" spans="1:17" ht="24.95" hidden="1" customHeight="1" x14ac:dyDescent="0.25">
      <c r="A2192" s="3">
        <v>7</v>
      </c>
      <c r="B2192" s="3" t="s">
        <v>462</v>
      </c>
      <c r="C2192" s="3" t="s">
        <v>2622</v>
      </c>
      <c r="I2192" s="3">
        <v>14</v>
      </c>
      <c r="J2192" s="3">
        <v>354</v>
      </c>
      <c r="K2192" s="3">
        <v>1</v>
      </c>
      <c r="L2192" s="3">
        <v>354</v>
      </c>
      <c r="M2192" s="3">
        <v>1370</v>
      </c>
      <c r="N2192" s="3">
        <v>484.98</v>
      </c>
      <c r="O2192" s="3">
        <v>1.21</v>
      </c>
      <c r="P2192" s="3">
        <v>586.82579999999996</v>
      </c>
      <c r="Q2192" s="3">
        <v>1370</v>
      </c>
    </row>
    <row r="2193" spans="1:17" ht="24.95" hidden="1" customHeight="1" x14ac:dyDescent="0.25">
      <c r="A2193" s="3">
        <v>7</v>
      </c>
      <c r="B2193" s="3" t="s">
        <v>462</v>
      </c>
      <c r="C2193" s="3" t="s">
        <v>2623</v>
      </c>
      <c r="I2193" s="3">
        <v>32</v>
      </c>
      <c r="J2193" s="3">
        <v>34</v>
      </c>
      <c r="K2193" s="3">
        <v>1</v>
      </c>
      <c r="L2193" s="3">
        <v>34</v>
      </c>
      <c r="M2193" s="3">
        <v>1090</v>
      </c>
      <c r="N2193" s="3">
        <v>37.06</v>
      </c>
      <c r="O2193" s="3">
        <v>6.31</v>
      </c>
      <c r="P2193" s="3">
        <v>233.8486</v>
      </c>
      <c r="Q2193" s="3">
        <v>1090</v>
      </c>
    </row>
    <row r="2194" spans="1:17" ht="24.95" hidden="1" customHeight="1" x14ac:dyDescent="0.25">
      <c r="A2194" s="3">
        <v>7</v>
      </c>
      <c r="B2194" s="3" t="s">
        <v>462</v>
      </c>
      <c r="C2194" s="3" t="s">
        <v>2624</v>
      </c>
      <c r="I2194" s="3">
        <v>14</v>
      </c>
      <c r="J2194" s="3">
        <v>9</v>
      </c>
      <c r="K2194" s="3">
        <v>1</v>
      </c>
      <c r="L2194" s="3">
        <v>9</v>
      </c>
      <c r="M2194" s="3">
        <v>8080</v>
      </c>
      <c r="N2194" s="3">
        <v>72.72</v>
      </c>
      <c r="O2194" s="3">
        <v>1.21</v>
      </c>
      <c r="P2194" s="3">
        <v>87.991199999999992</v>
      </c>
      <c r="Q2194" s="3">
        <v>8080</v>
      </c>
    </row>
    <row r="2195" spans="1:17" ht="24.95" hidden="1" customHeight="1" x14ac:dyDescent="0.25">
      <c r="A2195" s="3">
        <v>7</v>
      </c>
      <c r="B2195" s="3" t="s">
        <v>462</v>
      </c>
      <c r="C2195" s="3" t="s">
        <v>2625</v>
      </c>
      <c r="I2195" s="3">
        <v>14</v>
      </c>
      <c r="J2195" s="3">
        <v>9</v>
      </c>
      <c r="K2195" s="3">
        <v>1</v>
      </c>
      <c r="L2195" s="3">
        <v>9</v>
      </c>
      <c r="M2195" s="3">
        <v>11700</v>
      </c>
      <c r="N2195" s="3">
        <v>105.3</v>
      </c>
      <c r="O2195" s="3">
        <v>1.21</v>
      </c>
      <c r="P2195" s="3">
        <v>127.413</v>
      </c>
      <c r="Q2195" s="3">
        <v>11700</v>
      </c>
    </row>
    <row r="2196" spans="1:17" ht="24.95" hidden="1" customHeight="1" x14ac:dyDescent="0.25">
      <c r="A2196" s="3">
        <v>7</v>
      </c>
      <c r="B2196" s="3" t="s">
        <v>462</v>
      </c>
      <c r="C2196" s="3" t="s">
        <v>2626</v>
      </c>
      <c r="I2196" s="3">
        <v>14</v>
      </c>
      <c r="J2196" s="3">
        <v>9</v>
      </c>
      <c r="K2196" s="3">
        <v>1</v>
      </c>
      <c r="L2196" s="3">
        <v>9</v>
      </c>
      <c r="M2196" s="3">
        <v>11700</v>
      </c>
      <c r="N2196" s="3">
        <v>105.3</v>
      </c>
      <c r="O2196" s="3">
        <v>1.21</v>
      </c>
      <c r="P2196" s="3">
        <v>127.413</v>
      </c>
      <c r="Q2196" s="3">
        <v>11700</v>
      </c>
    </row>
    <row r="2197" spans="1:17" ht="24.95" hidden="1" customHeight="1" x14ac:dyDescent="0.25">
      <c r="A2197" s="3">
        <v>7</v>
      </c>
      <c r="B2197" s="3" t="s">
        <v>462</v>
      </c>
      <c r="C2197" s="3" t="s">
        <v>2627</v>
      </c>
      <c r="I2197" s="3">
        <v>14</v>
      </c>
      <c r="J2197" s="3">
        <v>9</v>
      </c>
      <c r="K2197" s="3">
        <v>1</v>
      </c>
      <c r="L2197" s="3">
        <v>9</v>
      </c>
      <c r="M2197" s="3">
        <v>5090</v>
      </c>
      <c r="N2197" s="3">
        <v>45.81</v>
      </c>
      <c r="O2197" s="3">
        <v>1.21</v>
      </c>
      <c r="P2197" s="3">
        <v>55.430100000000003</v>
      </c>
      <c r="Q2197" s="3">
        <v>5090</v>
      </c>
    </row>
    <row r="2198" spans="1:17" ht="24.95" hidden="1" customHeight="1" x14ac:dyDescent="0.25">
      <c r="A2198" s="3">
        <v>7</v>
      </c>
      <c r="B2198" s="3" t="s">
        <v>462</v>
      </c>
      <c r="C2198" s="3" t="s">
        <v>2628</v>
      </c>
      <c r="I2198" s="3">
        <v>14</v>
      </c>
      <c r="J2198" s="3">
        <v>9</v>
      </c>
      <c r="K2198" s="3">
        <v>1</v>
      </c>
      <c r="L2198" s="3">
        <v>9</v>
      </c>
      <c r="M2198" s="3">
        <v>3620</v>
      </c>
      <c r="N2198" s="3">
        <v>32.58</v>
      </c>
      <c r="O2198" s="3">
        <v>1.21</v>
      </c>
      <c r="P2198" s="3">
        <v>39.421799999999998</v>
      </c>
      <c r="Q2198" s="3">
        <v>3620</v>
      </c>
    </row>
    <row r="2199" spans="1:17" ht="24.95" hidden="1" customHeight="1" x14ac:dyDescent="0.25">
      <c r="A2199" s="3">
        <v>7</v>
      </c>
      <c r="B2199" s="3" t="s">
        <v>463</v>
      </c>
      <c r="C2199" s="3" t="s">
        <v>2629</v>
      </c>
      <c r="I2199" s="3">
        <v>14</v>
      </c>
      <c r="J2199" s="3">
        <v>12</v>
      </c>
      <c r="K2199" s="3">
        <v>1</v>
      </c>
      <c r="L2199" s="3">
        <v>12</v>
      </c>
      <c r="M2199" s="3">
        <v>7900</v>
      </c>
      <c r="N2199" s="3">
        <v>94.8</v>
      </c>
      <c r="O2199" s="3">
        <v>1.21</v>
      </c>
      <c r="P2199" s="3">
        <v>114.708</v>
      </c>
      <c r="Q2199" s="3">
        <v>7900</v>
      </c>
    </row>
    <row r="2200" spans="1:17" ht="24.95" hidden="1" customHeight="1" x14ac:dyDescent="0.25">
      <c r="A2200" s="3">
        <v>8</v>
      </c>
      <c r="B2200" s="3" t="s">
        <v>463</v>
      </c>
      <c r="C2200" s="3" t="s">
        <v>2630</v>
      </c>
      <c r="I2200" s="3">
        <v>32</v>
      </c>
      <c r="J2200" s="3">
        <v>4</v>
      </c>
      <c r="K2200" s="3">
        <v>1</v>
      </c>
      <c r="L2200" s="3">
        <v>4</v>
      </c>
      <c r="M2200" s="3">
        <v>10000</v>
      </c>
      <c r="N2200" s="3">
        <v>40</v>
      </c>
      <c r="O2200" s="3">
        <v>6.31</v>
      </c>
      <c r="P2200" s="3">
        <v>252.39999999999998</v>
      </c>
      <c r="Q2200" s="3">
        <f>ROUND(M2200,-1)</f>
        <v>10000</v>
      </c>
    </row>
    <row r="2201" spans="1:17" ht="24.95" hidden="1" customHeight="1" x14ac:dyDescent="0.25">
      <c r="A2201" s="3">
        <v>8</v>
      </c>
      <c r="B2201" s="3" t="s">
        <v>463</v>
      </c>
      <c r="C2201" s="3" t="s">
        <v>2631</v>
      </c>
      <c r="I2201" s="3">
        <v>32</v>
      </c>
      <c r="J2201" s="3">
        <v>3</v>
      </c>
      <c r="K2201" s="3">
        <v>1</v>
      </c>
      <c r="L2201" s="3">
        <v>3</v>
      </c>
      <c r="M2201" s="3">
        <v>10000</v>
      </c>
      <c r="N2201" s="3">
        <v>30</v>
      </c>
      <c r="O2201" s="3">
        <v>6.31</v>
      </c>
      <c r="P2201" s="3">
        <v>189.29999999999998</v>
      </c>
      <c r="Q2201" s="3">
        <f t="shared" ref="Q2201:Q2255" si="0">ROUND(M2201,-1)</f>
        <v>10000</v>
      </c>
    </row>
    <row r="2202" spans="1:17" ht="24.95" hidden="1" customHeight="1" x14ac:dyDescent="0.25">
      <c r="A2202" s="3">
        <v>8</v>
      </c>
      <c r="B2202" s="3" t="s">
        <v>463</v>
      </c>
      <c r="C2202" s="3" t="s">
        <v>2632</v>
      </c>
      <c r="I2202" s="3">
        <v>32</v>
      </c>
      <c r="J2202" s="3">
        <v>4</v>
      </c>
      <c r="K2202" s="3">
        <v>1</v>
      </c>
      <c r="L2202" s="3">
        <v>4</v>
      </c>
      <c r="M2202" s="3">
        <v>3510</v>
      </c>
      <c r="N2202" s="3">
        <v>14.04</v>
      </c>
      <c r="O2202" s="3">
        <v>6.31</v>
      </c>
      <c r="P2202" s="3">
        <v>88.592399999999984</v>
      </c>
      <c r="Q2202" s="3">
        <f t="shared" si="0"/>
        <v>3510</v>
      </c>
    </row>
    <row r="2203" spans="1:17" ht="24.95" hidden="1" customHeight="1" x14ac:dyDescent="0.25">
      <c r="A2203" s="3">
        <v>8</v>
      </c>
      <c r="B2203" s="3" t="s">
        <v>463</v>
      </c>
      <c r="C2203" s="3" t="s">
        <v>2633</v>
      </c>
      <c r="I2203" s="3">
        <v>32</v>
      </c>
      <c r="J2203" s="3">
        <v>3</v>
      </c>
      <c r="K2203" s="3">
        <v>1</v>
      </c>
      <c r="L2203" s="3">
        <v>3</v>
      </c>
      <c r="M2203" s="3">
        <v>3170</v>
      </c>
      <c r="N2203" s="3">
        <v>9.51</v>
      </c>
      <c r="O2203" s="3">
        <v>6.31</v>
      </c>
      <c r="P2203" s="3">
        <v>60.008099999999992</v>
      </c>
      <c r="Q2203" s="3">
        <f t="shared" si="0"/>
        <v>3170</v>
      </c>
    </row>
    <row r="2204" spans="1:17" ht="24.95" hidden="1" customHeight="1" x14ac:dyDescent="0.25">
      <c r="A2204" s="3">
        <v>8</v>
      </c>
      <c r="B2204" s="3" t="s">
        <v>463</v>
      </c>
      <c r="C2204" s="3" t="s">
        <v>2634</v>
      </c>
      <c r="I2204" s="3">
        <v>32</v>
      </c>
      <c r="J2204" s="3">
        <v>3</v>
      </c>
      <c r="K2204" s="3">
        <v>1</v>
      </c>
      <c r="L2204" s="3">
        <v>3</v>
      </c>
      <c r="M2204" s="3">
        <v>3510</v>
      </c>
      <c r="N2204" s="3">
        <v>10.53</v>
      </c>
      <c r="O2204" s="3">
        <v>6.31</v>
      </c>
      <c r="P2204" s="3">
        <v>66.444299999999998</v>
      </c>
      <c r="Q2204" s="3">
        <f t="shared" si="0"/>
        <v>3510</v>
      </c>
    </row>
    <row r="2205" spans="1:17" ht="24.95" hidden="1" customHeight="1" x14ac:dyDescent="0.25">
      <c r="A2205" s="3">
        <v>8</v>
      </c>
      <c r="B2205" s="3" t="s">
        <v>463</v>
      </c>
      <c r="C2205" s="3" t="s">
        <v>2635</v>
      </c>
      <c r="I2205" s="3">
        <v>32</v>
      </c>
      <c r="J2205" s="3">
        <v>4</v>
      </c>
      <c r="K2205" s="3">
        <v>1</v>
      </c>
      <c r="L2205" s="3">
        <v>4</v>
      </c>
      <c r="M2205" s="3">
        <v>10000</v>
      </c>
      <c r="N2205" s="3">
        <v>40</v>
      </c>
      <c r="O2205" s="3">
        <v>6.31</v>
      </c>
      <c r="P2205" s="3">
        <v>252.39999999999998</v>
      </c>
      <c r="Q2205" s="3">
        <f t="shared" si="0"/>
        <v>10000</v>
      </c>
    </row>
    <row r="2206" spans="1:17" ht="24.95" hidden="1" customHeight="1" x14ac:dyDescent="0.25">
      <c r="A2206" s="3">
        <v>8</v>
      </c>
      <c r="B2206" s="3" t="s">
        <v>463</v>
      </c>
      <c r="C2206" s="3" t="s">
        <v>2636</v>
      </c>
      <c r="I2206" s="3">
        <v>32</v>
      </c>
      <c r="J2206" s="3">
        <v>4</v>
      </c>
      <c r="K2206" s="3">
        <v>1</v>
      </c>
      <c r="L2206" s="3">
        <v>4</v>
      </c>
      <c r="M2206" s="3">
        <v>3170</v>
      </c>
      <c r="N2206" s="3">
        <v>12.68</v>
      </c>
      <c r="O2206" s="3">
        <v>6.31</v>
      </c>
      <c r="P2206" s="3">
        <v>80.010799999999989</v>
      </c>
      <c r="Q2206" s="3">
        <f t="shared" si="0"/>
        <v>3170</v>
      </c>
    </row>
    <row r="2207" spans="1:17" ht="24.95" hidden="1" customHeight="1" x14ac:dyDescent="0.25">
      <c r="A2207" s="3">
        <v>8</v>
      </c>
      <c r="B2207" s="3" t="s">
        <v>463</v>
      </c>
      <c r="C2207" s="3" t="s">
        <v>2637</v>
      </c>
      <c r="I2207" s="3">
        <v>32</v>
      </c>
      <c r="J2207" s="3">
        <v>3</v>
      </c>
      <c r="K2207" s="3">
        <v>1</v>
      </c>
      <c r="L2207" s="3">
        <v>3</v>
      </c>
      <c r="M2207" s="3">
        <v>10000</v>
      </c>
      <c r="N2207" s="3">
        <v>30</v>
      </c>
      <c r="O2207" s="3">
        <v>6.31</v>
      </c>
      <c r="P2207" s="3">
        <v>189.29999999999998</v>
      </c>
      <c r="Q2207" s="3">
        <f t="shared" si="0"/>
        <v>10000</v>
      </c>
    </row>
    <row r="2208" spans="1:17" ht="24.95" hidden="1" customHeight="1" x14ac:dyDescent="0.25">
      <c r="A2208" s="3">
        <v>8</v>
      </c>
      <c r="B2208" s="3" t="s">
        <v>463</v>
      </c>
      <c r="C2208" s="3" t="s">
        <v>2638</v>
      </c>
      <c r="I2208" s="3">
        <v>32</v>
      </c>
      <c r="J2208" s="3">
        <v>3</v>
      </c>
      <c r="K2208" s="3">
        <v>1</v>
      </c>
      <c r="L2208" s="3">
        <v>3</v>
      </c>
      <c r="M2208" s="3">
        <v>7065</v>
      </c>
      <c r="N2208" s="3">
        <v>21.195</v>
      </c>
      <c r="O2208" s="3">
        <v>6.31</v>
      </c>
      <c r="P2208" s="3">
        <v>133.74044999999998</v>
      </c>
      <c r="Q2208" s="3">
        <f t="shared" si="0"/>
        <v>7070</v>
      </c>
    </row>
    <row r="2209" spans="1:17" ht="24.95" hidden="1" customHeight="1" x14ac:dyDescent="0.25">
      <c r="A2209" s="3">
        <v>8</v>
      </c>
      <c r="B2209" s="3" t="s">
        <v>463</v>
      </c>
      <c r="C2209" s="3" t="s">
        <v>2639</v>
      </c>
      <c r="I2209" s="3">
        <v>32</v>
      </c>
      <c r="J2209" s="3">
        <v>4</v>
      </c>
      <c r="K2209" s="3">
        <v>1</v>
      </c>
      <c r="L2209" s="3">
        <v>4</v>
      </c>
      <c r="M2209" s="3">
        <v>5305</v>
      </c>
      <c r="N2209" s="3">
        <v>21.22</v>
      </c>
      <c r="O2209" s="3">
        <v>6.31</v>
      </c>
      <c r="P2209" s="3">
        <v>133.89819999999997</v>
      </c>
      <c r="Q2209" s="3">
        <f t="shared" si="0"/>
        <v>5310</v>
      </c>
    </row>
    <row r="2210" spans="1:17" ht="24.95" hidden="1" customHeight="1" x14ac:dyDescent="0.25">
      <c r="A2210" s="3">
        <v>8</v>
      </c>
      <c r="B2210" s="3" t="s">
        <v>463</v>
      </c>
      <c r="C2210" s="3" t="s">
        <v>2640</v>
      </c>
      <c r="I2210" s="3">
        <v>32</v>
      </c>
      <c r="J2210" s="3">
        <v>4</v>
      </c>
      <c r="K2210" s="3">
        <v>1</v>
      </c>
      <c r="L2210" s="3">
        <v>4</v>
      </c>
      <c r="M2210" s="3">
        <v>8055</v>
      </c>
      <c r="N2210" s="3">
        <v>32.22</v>
      </c>
      <c r="O2210" s="3">
        <v>6.31</v>
      </c>
      <c r="P2210" s="3">
        <v>203.30819999999997</v>
      </c>
      <c r="Q2210" s="3">
        <f t="shared" si="0"/>
        <v>8060</v>
      </c>
    </row>
    <row r="2211" spans="1:17" ht="24.95" hidden="1" customHeight="1" x14ac:dyDescent="0.25">
      <c r="A2211" s="3">
        <v>8</v>
      </c>
      <c r="B2211" s="3" t="s">
        <v>463</v>
      </c>
      <c r="C2211" s="3" t="s">
        <v>2641</v>
      </c>
      <c r="I2211" s="3">
        <v>32</v>
      </c>
      <c r="J2211" s="3">
        <v>3</v>
      </c>
      <c r="K2211" s="3">
        <v>1</v>
      </c>
      <c r="L2211" s="3">
        <v>3</v>
      </c>
      <c r="M2211" s="3">
        <v>6295</v>
      </c>
      <c r="N2211" s="3">
        <v>18.885000000000002</v>
      </c>
      <c r="O2211" s="3">
        <v>6.31</v>
      </c>
      <c r="P2211" s="3">
        <v>119.16435</v>
      </c>
      <c r="Q2211" s="3">
        <f t="shared" si="0"/>
        <v>6300</v>
      </c>
    </row>
    <row r="2212" spans="1:17" ht="24.95" hidden="1" customHeight="1" x14ac:dyDescent="0.25">
      <c r="A2212" s="3">
        <v>8</v>
      </c>
      <c r="B2212" s="3" t="s">
        <v>463</v>
      </c>
      <c r="C2212" s="3" t="s">
        <v>2642</v>
      </c>
      <c r="I2212" s="3">
        <v>32</v>
      </c>
      <c r="J2212" s="3">
        <v>7</v>
      </c>
      <c r="K2212" s="3">
        <v>1</v>
      </c>
      <c r="L2212" s="3">
        <v>7</v>
      </c>
      <c r="M2212" s="3">
        <v>4300</v>
      </c>
      <c r="N2212" s="3">
        <v>30.1</v>
      </c>
      <c r="O2212" s="3">
        <v>6.31</v>
      </c>
      <c r="P2212" s="3">
        <v>189.93099999999998</v>
      </c>
      <c r="Q2212" s="3">
        <f t="shared" si="0"/>
        <v>4300</v>
      </c>
    </row>
    <row r="2213" spans="1:17" ht="24.95" hidden="1" customHeight="1" x14ac:dyDescent="0.25">
      <c r="A2213" s="3">
        <v>8</v>
      </c>
      <c r="B2213" s="3" t="s">
        <v>463</v>
      </c>
      <c r="C2213" s="3" t="s">
        <v>2643</v>
      </c>
      <c r="I2213" s="3">
        <v>32</v>
      </c>
      <c r="J2213" s="3">
        <v>7</v>
      </c>
      <c r="K2213" s="3">
        <v>1</v>
      </c>
      <c r="L2213" s="3">
        <v>7</v>
      </c>
      <c r="M2213" s="3">
        <v>3645</v>
      </c>
      <c r="N2213" s="3">
        <v>25.515000000000001</v>
      </c>
      <c r="O2213" s="3">
        <v>6.31</v>
      </c>
      <c r="P2213" s="3">
        <v>160.99965</v>
      </c>
      <c r="Q2213" s="3">
        <f t="shared" si="0"/>
        <v>3650</v>
      </c>
    </row>
    <row r="2214" spans="1:17" ht="24.95" hidden="1" customHeight="1" x14ac:dyDescent="0.25">
      <c r="A2214" s="3">
        <v>8</v>
      </c>
      <c r="B2214" s="3" t="s">
        <v>463</v>
      </c>
      <c r="C2214" s="3" t="s">
        <v>2644</v>
      </c>
      <c r="I2214" s="3">
        <v>32</v>
      </c>
      <c r="J2214" s="3">
        <v>7</v>
      </c>
      <c r="K2214" s="3">
        <v>1</v>
      </c>
      <c r="L2214" s="3">
        <v>7</v>
      </c>
      <c r="M2214" s="3">
        <v>3445</v>
      </c>
      <c r="N2214" s="3">
        <v>24.114999999999998</v>
      </c>
      <c r="O2214" s="3">
        <v>6.31</v>
      </c>
      <c r="P2214" s="3">
        <v>152.16564999999997</v>
      </c>
      <c r="Q2214" s="3">
        <f t="shared" si="0"/>
        <v>3450</v>
      </c>
    </row>
    <row r="2215" spans="1:17" ht="24.95" hidden="1" customHeight="1" x14ac:dyDescent="0.25">
      <c r="A2215" s="3">
        <v>8</v>
      </c>
      <c r="B2215" s="3" t="s">
        <v>463</v>
      </c>
      <c r="C2215" s="3" t="s">
        <v>2645</v>
      </c>
      <c r="I2215" s="3">
        <v>14</v>
      </c>
      <c r="J2215" s="3">
        <v>52</v>
      </c>
      <c r="K2215" s="3">
        <v>1</v>
      </c>
      <c r="L2215" s="3">
        <v>52</v>
      </c>
      <c r="M2215" s="3">
        <v>2350</v>
      </c>
      <c r="N2215" s="3">
        <v>122.2</v>
      </c>
      <c r="O2215" s="3">
        <v>1.21</v>
      </c>
      <c r="P2215" s="3">
        <v>147.86199999999999</v>
      </c>
      <c r="Q2215" s="3">
        <f t="shared" si="0"/>
        <v>2350</v>
      </c>
    </row>
    <row r="2216" spans="1:17" ht="24.95" hidden="1" customHeight="1" x14ac:dyDescent="0.25">
      <c r="A2216" s="3">
        <v>8</v>
      </c>
      <c r="B2216" s="3" t="s">
        <v>463</v>
      </c>
      <c r="C2216" s="3" t="s">
        <v>2646</v>
      </c>
      <c r="I2216" s="3">
        <v>14</v>
      </c>
      <c r="J2216" s="3">
        <v>52</v>
      </c>
      <c r="K2216" s="3">
        <v>1</v>
      </c>
      <c r="L2216" s="3">
        <v>52</v>
      </c>
      <c r="M2216" s="3">
        <v>5870</v>
      </c>
      <c r="N2216" s="3">
        <v>305.24</v>
      </c>
      <c r="O2216" s="3">
        <v>1.21</v>
      </c>
      <c r="P2216" s="3">
        <v>369.34039999999999</v>
      </c>
      <c r="Q2216" s="3">
        <f t="shared" si="0"/>
        <v>5870</v>
      </c>
    </row>
    <row r="2217" spans="1:17" ht="24.95" hidden="1" customHeight="1" x14ac:dyDescent="0.25">
      <c r="A2217" s="3">
        <v>8</v>
      </c>
      <c r="B2217" s="3" t="s">
        <v>463</v>
      </c>
      <c r="C2217" s="3" t="s">
        <v>2647</v>
      </c>
      <c r="I2217" s="3">
        <v>14</v>
      </c>
      <c r="J2217" s="3">
        <v>104</v>
      </c>
      <c r="K2217" s="3">
        <v>1</v>
      </c>
      <c r="L2217" s="3">
        <v>104</v>
      </c>
      <c r="M2217" s="3">
        <v>2670</v>
      </c>
      <c r="N2217" s="3">
        <v>277.68</v>
      </c>
      <c r="O2217" s="3">
        <v>1.21</v>
      </c>
      <c r="P2217" s="3">
        <v>335.99279999999999</v>
      </c>
      <c r="Q2217" s="3">
        <f t="shared" si="0"/>
        <v>2670</v>
      </c>
    </row>
    <row r="2218" spans="1:17" ht="24.95" hidden="1" customHeight="1" x14ac:dyDescent="0.25">
      <c r="A2218" s="3">
        <v>8</v>
      </c>
      <c r="B2218" s="3" t="s">
        <v>463</v>
      </c>
      <c r="C2218" s="3" t="s">
        <v>2648</v>
      </c>
      <c r="I2218" s="3">
        <v>18</v>
      </c>
      <c r="J2218" s="3">
        <v>12</v>
      </c>
      <c r="K2218" s="3">
        <v>1</v>
      </c>
      <c r="L2218" s="3">
        <v>12</v>
      </c>
      <c r="M2218" s="3">
        <v>7900</v>
      </c>
      <c r="N2218" s="3">
        <v>94.8</v>
      </c>
      <c r="O2218" s="3">
        <v>2</v>
      </c>
      <c r="P2218" s="3">
        <v>189.6</v>
      </c>
      <c r="Q2218" s="3">
        <f t="shared" si="0"/>
        <v>7900</v>
      </c>
    </row>
    <row r="2219" spans="1:17" ht="24.95" hidden="1" customHeight="1" x14ac:dyDescent="0.25">
      <c r="A2219" s="3">
        <v>8</v>
      </c>
      <c r="B2219" s="3" t="s">
        <v>463</v>
      </c>
      <c r="C2219" s="3" t="s">
        <v>2649</v>
      </c>
      <c r="I2219" s="3">
        <v>14</v>
      </c>
      <c r="J2219" s="3">
        <v>156</v>
      </c>
      <c r="K2219" s="3">
        <v>1</v>
      </c>
      <c r="L2219" s="3">
        <v>156</v>
      </c>
      <c r="M2219" s="3">
        <v>1370</v>
      </c>
      <c r="N2219" s="3">
        <v>213.72</v>
      </c>
      <c r="O2219" s="3">
        <v>1.21</v>
      </c>
      <c r="P2219" s="3">
        <v>258.60120000000001</v>
      </c>
      <c r="Q2219" s="3">
        <f t="shared" si="0"/>
        <v>1370</v>
      </c>
    </row>
    <row r="2220" spans="1:17" ht="24.95" hidden="1" customHeight="1" x14ac:dyDescent="0.25">
      <c r="A2220" s="3">
        <v>8</v>
      </c>
      <c r="B2220" s="3" t="s">
        <v>463</v>
      </c>
      <c r="C2220" s="3" t="s">
        <v>2650</v>
      </c>
      <c r="I2220" s="3">
        <v>32</v>
      </c>
      <c r="J2220" s="3">
        <v>13</v>
      </c>
      <c r="K2220" s="3">
        <v>1</v>
      </c>
      <c r="L2220" s="3">
        <v>13</v>
      </c>
      <c r="M2220" s="3">
        <v>1090</v>
      </c>
      <c r="N2220" s="3">
        <v>14.17</v>
      </c>
      <c r="O2220" s="3">
        <v>6.31</v>
      </c>
      <c r="P2220" s="3">
        <v>89.412700000000001</v>
      </c>
      <c r="Q2220" s="3">
        <f t="shared" si="0"/>
        <v>1090</v>
      </c>
    </row>
    <row r="2221" spans="1:17" ht="24.95" hidden="1" customHeight="1" x14ac:dyDescent="0.25">
      <c r="A2221" s="3">
        <v>8</v>
      </c>
      <c r="B2221" s="3" t="s">
        <v>463</v>
      </c>
      <c r="C2221" s="3" t="s">
        <v>2651</v>
      </c>
      <c r="I2221" s="3">
        <v>32</v>
      </c>
      <c r="J2221" s="3">
        <v>5</v>
      </c>
      <c r="K2221" s="3">
        <v>1</v>
      </c>
      <c r="L2221" s="3">
        <v>5</v>
      </c>
      <c r="M2221" s="3">
        <v>3225</v>
      </c>
      <c r="N2221" s="3">
        <v>16.125</v>
      </c>
      <c r="O2221" s="3">
        <v>6.31</v>
      </c>
      <c r="P2221" s="3">
        <v>101.74874999999999</v>
      </c>
      <c r="Q2221" s="3">
        <f t="shared" si="0"/>
        <v>3230</v>
      </c>
    </row>
    <row r="2222" spans="1:17" ht="24.95" hidden="1" customHeight="1" x14ac:dyDescent="0.25">
      <c r="A2222" s="3">
        <v>8</v>
      </c>
      <c r="B2222" s="3" t="s">
        <v>464</v>
      </c>
      <c r="C2222" s="3" t="s">
        <v>2652</v>
      </c>
      <c r="I2222" s="3">
        <v>32</v>
      </c>
      <c r="J2222" s="3">
        <v>7</v>
      </c>
      <c r="K2222" s="3">
        <v>1</v>
      </c>
      <c r="L2222" s="3">
        <v>7</v>
      </c>
      <c r="M2222" s="3">
        <v>5475</v>
      </c>
      <c r="N2222" s="3">
        <v>38.325000000000003</v>
      </c>
      <c r="O2222" s="3">
        <v>6.31</v>
      </c>
      <c r="P2222" s="3">
        <v>241.83074999999999</v>
      </c>
      <c r="Q2222" s="3">
        <f t="shared" si="0"/>
        <v>5480</v>
      </c>
    </row>
    <row r="2223" spans="1:17" ht="24.95" hidden="1" customHeight="1" x14ac:dyDescent="0.25">
      <c r="A2223" s="3">
        <v>8</v>
      </c>
      <c r="B2223" s="3" t="s">
        <v>464</v>
      </c>
      <c r="C2223" s="3" t="s">
        <v>2653</v>
      </c>
      <c r="I2223" s="3">
        <v>32</v>
      </c>
      <c r="J2223" s="3">
        <v>6</v>
      </c>
      <c r="K2223" s="3">
        <v>1</v>
      </c>
      <c r="L2223" s="3">
        <v>6</v>
      </c>
      <c r="M2223" s="3">
        <v>11700</v>
      </c>
      <c r="N2223" s="3">
        <v>70.2</v>
      </c>
      <c r="O2223" s="3">
        <v>6.31</v>
      </c>
      <c r="P2223" s="3">
        <v>442.96199999999999</v>
      </c>
      <c r="Q2223" s="3">
        <f t="shared" si="0"/>
        <v>11700</v>
      </c>
    </row>
    <row r="2224" spans="1:17" ht="24.95" hidden="1" customHeight="1" x14ac:dyDescent="0.25">
      <c r="A2224" s="3">
        <v>8</v>
      </c>
      <c r="B2224" s="3" t="s">
        <v>464</v>
      </c>
      <c r="C2224" s="3" t="s">
        <v>2654</v>
      </c>
      <c r="I2224" s="3">
        <v>32</v>
      </c>
      <c r="J2224" s="3">
        <v>6</v>
      </c>
      <c r="K2224" s="3">
        <v>1</v>
      </c>
      <c r="L2224" s="3">
        <v>6</v>
      </c>
      <c r="M2224" s="3">
        <v>5480</v>
      </c>
      <c r="N2224" s="3">
        <v>32.880000000000003</v>
      </c>
      <c r="O2224" s="3">
        <v>6.31</v>
      </c>
      <c r="P2224" s="3">
        <v>207.47280000000001</v>
      </c>
      <c r="Q2224" s="3">
        <f t="shared" si="0"/>
        <v>5480</v>
      </c>
    </row>
    <row r="2225" spans="1:17" ht="24.95" hidden="1" customHeight="1" x14ac:dyDescent="0.25">
      <c r="A2225" s="3">
        <v>8</v>
      </c>
      <c r="B2225" s="3" t="s">
        <v>464</v>
      </c>
      <c r="C2225" s="3" t="s">
        <v>2655</v>
      </c>
      <c r="I2225" s="3">
        <v>32</v>
      </c>
      <c r="J2225" s="3">
        <v>7</v>
      </c>
      <c r="K2225" s="3">
        <v>1</v>
      </c>
      <c r="L2225" s="3">
        <v>7</v>
      </c>
      <c r="M2225" s="3">
        <v>11700</v>
      </c>
      <c r="N2225" s="3">
        <v>81.935000000000002</v>
      </c>
      <c r="O2225" s="3">
        <v>6.31</v>
      </c>
      <c r="P2225" s="3">
        <v>517.00985000000003</v>
      </c>
      <c r="Q2225" s="3">
        <f t="shared" si="0"/>
        <v>11700</v>
      </c>
    </row>
    <row r="2226" spans="1:17" ht="24.95" hidden="1" customHeight="1" x14ac:dyDescent="0.25">
      <c r="A2226" s="3">
        <v>8</v>
      </c>
      <c r="B2226" s="3" t="s">
        <v>464</v>
      </c>
      <c r="C2226" s="3" t="s">
        <v>2656</v>
      </c>
      <c r="I2226" s="3">
        <v>32</v>
      </c>
      <c r="J2226" s="3">
        <v>7</v>
      </c>
      <c r="K2226" s="3">
        <v>1</v>
      </c>
      <c r="L2226" s="3">
        <v>7</v>
      </c>
      <c r="M2226" s="3">
        <v>5340</v>
      </c>
      <c r="N2226" s="3">
        <v>37.380000000000003</v>
      </c>
      <c r="O2226" s="3">
        <v>6.31</v>
      </c>
      <c r="P2226" s="3">
        <v>235.86779999999999</v>
      </c>
      <c r="Q2226" s="3">
        <f t="shared" si="0"/>
        <v>5340</v>
      </c>
    </row>
    <row r="2227" spans="1:17" ht="24.95" hidden="1" customHeight="1" x14ac:dyDescent="0.25">
      <c r="A2227" s="3">
        <v>8</v>
      </c>
      <c r="B2227" s="3" t="s">
        <v>464</v>
      </c>
      <c r="C2227" s="3" t="s">
        <v>2657</v>
      </c>
      <c r="I2227" s="3">
        <v>32</v>
      </c>
      <c r="J2227" s="3">
        <v>6</v>
      </c>
      <c r="K2227" s="3">
        <v>1</v>
      </c>
      <c r="L2227" s="3">
        <v>6</v>
      </c>
      <c r="M2227" s="3">
        <v>5340</v>
      </c>
      <c r="N2227" s="3">
        <v>32.04</v>
      </c>
      <c r="O2227" s="3">
        <v>6.31</v>
      </c>
      <c r="P2227" s="3">
        <v>202.17239999999998</v>
      </c>
      <c r="Q2227" s="3">
        <f t="shared" si="0"/>
        <v>5340</v>
      </c>
    </row>
    <row r="2228" spans="1:17" ht="24.95" hidden="1" customHeight="1" x14ac:dyDescent="0.25">
      <c r="A2228" s="3">
        <v>8</v>
      </c>
      <c r="B2228" s="3" t="s">
        <v>464</v>
      </c>
      <c r="C2228" s="3" t="s">
        <v>2658</v>
      </c>
      <c r="I2228" s="3">
        <v>32</v>
      </c>
      <c r="J2228" s="3">
        <v>7</v>
      </c>
      <c r="K2228" s="3">
        <v>1</v>
      </c>
      <c r="L2228" s="3">
        <v>7</v>
      </c>
      <c r="M2228" s="3">
        <v>11700</v>
      </c>
      <c r="N2228" s="3">
        <v>81.900000000000006</v>
      </c>
      <c r="O2228" s="3">
        <v>6.31</v>
      </c>
      <c r="P2228" s="3">
        <v>516.78899999999999</v>
      </c>
      <c r="Q2228" s="3">
        <f t="shared" si="0"/>
        <v>11700</v>
      </c>
    </row>
    <row r="2229" spans="1:17" ht="24.95" hidden="1" customHeight="1" x14ac:dyDescent="0.25">
      <c r="A2229" s="3">
        <v>8</v>
      </c>
      <c r="B2229" s="3" t="s">
        <v>464</v>
      </c>
      <c r="C2229" s="3" t="s">
        <v>2659</v>
      </c>
      <c r="I2229" s="3">
        <v>32</v>
      </c>
      <c r="J2229" s="3">
        <v>6</v>
      </c>
      <c r="K2229" s="3">
        <v>1</v>
      </c>
      <c r="L2229" s="3">
        <v>6</v>
      </c>
      <c r="M2229" s="3">
        <v>11700</v>
      </c>
      <c r="N2229" s="3">
        <v>70.2</v>
      </c>
      <c r="O2229" s="3">
        <v>6.31</v>
      </c>
      <c r="P2229" s="3">
        <v>442.96199999999999</v>
      </c>
      <c r="Q2229" s="3">
        <f t="shared" si="0"/>
        <v>11700</v>
      </c>
    </row>
    <row r="2230" spans="1:17" ht="24.95" hidden="1" customHeight="1" x14ac:dyDescent="0.25">
      <c r="A2230" s="3">
        <v>8</v>
      </c>
      <c r="B2230" s="3" t="s">
        <v>464</v>
      </c>
      <c r="C2230" s="3" t="s">
        <v>2660</v>
      </c>
      <c r="I2230" s="3">
        <v>32</v>
      </c>
      <c r="J2230" s="3">
        <v>6</v>
      </c>
      <c r="K2230" s="3">
        <v>1</v>
      </c>
      <c r="L2230" s="3">
        <v>6</v>
      </c>
      <c r="M2230" s="3">
        <v>5200</v>
      </c>
      <c r="N2230" s="3">
        <v>31.2</v>
      </c>
      <c r="O2230" s="3">
        <v>6.31</v>
      </c>
      <c r="P2230" s="3">
        <v>196.87199999999999</v>
      </c>
      <c r="Q2230" s="3">
        <f t="shared" si="0"/>
        <v>5200</v>
      </c>
    </row>
    <row r="2231" spans="1:17" ht="24.95" hidden="1" customHeight="1" x14ac:dyDescent="0.25">
      <c r="A2231" s="3">
        <v>8</v>
      </c>
      <c r="B2231" s="3" t="s">
        <v>464</v>
      </c>
      <c r="C2231" s="3" t="s">
        <v>2661</v>
      </c>
      <c r="I2231" s="3">
        <v>32</v>
      </c>
      <c r="J2231" s="3">
        <v>7</v>
      </c>
      <c r="K2231" s="3">
        <v>1</v>
      </c>
      <c r="L2231" s="3">
        <v>7</v>
      </c>
      <c r="M2231" s="3">
        <v>5200</v>
      </c>
      <c r="N2231" s="3">
        <v>36.4</v>
      </c>
      <c r="O2231" s="3">
        <v>6.31</v>
      </c>
      <c r="P2231" s="3">
        <v>229.68399999999997</v>
      </c>
      <c r="Q2231" s="3">
        <f t="shared" si="0"/>
        <v>5200</v>
      </c>
    </row>
    <row r="2232" spans="1:17" ht="24.95" hidden="1" customHeight="1" x14ac:dyDescent="0.25">
      <c r="A2232" s="3">
        <v>8</v>
      </c>
      <c r="B2232" s="3" t="s">
        <v>464</v>
      </c>
      <c r="C2232" s="3" t="s">
        <v>2662</v>
      </c>
      <c r="I2232" s="3">
        <v>32</v>
      </c>
      <c r="J2232" s="3">
        <v>6</v>
      </c>
      <c r="K2232" s="3">
        <v>1</v>
      </c>
      <c r="L2232" s="3">
        <v>6</v>
      </c>
      <c r="M2232" s="3">
        <v>11700</v>
      </c>
      <c r="N2232" s="3">
        <v>70.2</v>
      </c>
      <c r="O2232" s="3">
        <v>6.31</v>
      </c>
      <c r="P2232" s="3">
        <v>442.96199999999999</v>
      </c>
      <c r="Q2232" s="3">
        <f t="shared" si="0"/>
        <v>11700</v>
      </c>
    </row>
    <row r="2233" spans="1:17" ht="24.95" hidden="1" customHeight="1" x14ac:dyDescent="0.25">
      <c r="A2233" s="3">
        <v>8</v>
      </c>
      <c r="B2233" s="3" t="s">
        <v>464</v>
      </c>
      <c r="C2233" s="3" t="s">
        <v>2663</v>
      </c>
      <c r="I2233" s="3">
        <v>32</v>
      </c>
      <c r="J2233" s="3">
        <v>7</v>
      </c>
      <c r="K2233" s="3">
        <v>1</v>
      </c>
      <c r="L2233" s="3">
        <v>7</v>
      </c>
      <c r="M2233" s="3">
        <v>11700</v>
      </c>
      <c r="N2233" s="3">
        <v>81.900000000000006</v>
      </c>
      <c r="O2233" s="3">
        <v>6.31</v>
      </c>
      <c r="P2233" s="3">
        <v>516.78899999999999</v>
      </c>
      <c r="Q2233" s="3">
        <f t="shared" si="0"/>
        <v>11700</v>
      </c>
    </row>
    <row r="2234" spans="1:17" ht="24.95" hidden="1" customHeight="1" x14ac:dyDescent="0.25">
      <c r="A2234" s="3">
        <v>8</v>
      </c>
      <c r="B2234" s="3" t="s">
        <v>464</v>
      </c>
      <c r="C2234" s="3" t="s">
        <v>2664</v>
      </c>
      <c r="I2234" s="3">
        <v>32</v>
      </c>
      <c r="J2234" s="3">
        <v>7</v>
      </c>
      <c r="K2234" s="3">
        <v>1</v>
      </c>
      <c r="L2234" s="3">
        <v>7</v>
      </c>
      <c r="M2234" s="3">
        <v>8510</v>
      </c>
      <c r="N2234" s="3">
        <v>59.57</v>
      </c>
      <c r="O2234" s="3">
        <v>6.31</v>
      </c>
      <c r="P2234" s="3">
        <v>375.88669999999996</v>
      </c>
      <c r="Q2234" s="3">
        <f t="shared" si="0"/>
        <v>8510</v>
      </c>
    </row>
    <row r="2235" spans="1:17" ht="24.95" hidden="1" customHeight="1" x14ac:dyDescent="0.25">
      <c r="A2235" s="3">
        <v>8</v>
      </c>
      <c r="B2235" s="3" t="s">
        <v>464</v>
      </c>
      <c r="C2235" s="3" t="s">
        <v>2665</v>
      </c>
      <c r="I2235" s="3">
        <v>32</v>
      </c>
      <c r="J2235" s="3">
        <v>6</v>
      </c>
      <c r="K2235" s="3">
        <v>1</v>
      </c>
      <c r="L2235" s="3">
        <v>6</v>
      </c>
      <c r="M2235" s="3">
        <v>6570</v>
      </c>
      <c r="N2235" s="3">
        <v>39.42</v>
      </c>
      <c r="O2235" s="3">
        <v>6.31</v>
      </c>
      <c r="P2235" s="3">
        <v>248.74019999999999</v>
      </c>
      <c r="Q2235" s="3">
        <f t="shared" si="0"/>
        <v>6570</v>
      </c>
    </row>
    <row r="2236" spans="1:17" ht="24.95" hidden="1" customHeight="1" x14ac:dyDescent="0.25">
      <c r="A2236" s="3">
        <v>8</v>
      </c>
      <c r="B2236" s="3" t="s">
        <v>464</v>
      </c>
      <c r="C2236" s="3" t="s">
        <v>2666</v>
      </c>
      <c r="I2236" s="3">
        <v>32</v>
      </c>
      <c r="J2236" s="3">
        <v>6</v>
      </c>
      <c r="K2236" s="3">
        <v>1</v>
      </c>
      <c r="L2236" s="3">
        <v>6</v>
      </c>
      <c r="M2236" s="3">
        <v>10270</v>
      </c>
      <c r="N2236" s="3">
        <v>61.62</v>
      </c>
      <c r="O2236" s="3">
        <v>6.31</v>
      </c>
      <c r="P2236" s="3">
        <v>388.82219999999995</v>
      </c>
      <c r="Q2236" s="3">
        <f t="shared" si="0"/>
        <v>10270</v>
      </c>
    </row>
    <row r="2237" spans="1:17" ht="24.95" hidden="1" customHeight="1" x14ac:dyDescent="0.25">
      <c r="A2237" s="3">
        <v>8</v>
      </c>
      <c r="B2237" s="3" t="s">
        <v>464</v>
      </c>
      <c r="C2237" s="3" t="s">
        <v>2667</v>
      </c>
      <c r="I2237" s="3">
        <v>32</v>
      </c>
      <c r="J2237" s="3">
        <v>7</v>
      </c>
      <c r="K2237" s="3">
        <v>1</v>
      </c>
      <c r="L2237" s="3">
        <v>7</v>
      </c>
      <c r="M2237" s="3">
        <v>8330</v>
      </c>
      <c r="N2237" s="3">
        <v>58.31</v>
      </c>
      <c r="O2237" s="3">
        <v>6.31</v>
      </c>
      <c r="P2237" s="3">
        <v>367.93610000000001</v>
      </c>
      <c r="Q2237" s="3">
        <f t="shared" si="0"/>
        <v>8330</v>
      </c>
    </row>
    <row r="2238" spans="1:17" ht="24.95" hidden="1" customHeight="1" x14ac:dyDescent="0.25">
      <c r="A2238" s="3">
        <v>8</v>
      </c>
      <c r="B2238" s="3" t="s">
        <v>464</v>
      </c>
      <c r="C2238" s="3" t="s">
        <v>2668</v>
      </c>
      <c r="I2238" s="3">
        <v>32</v>
      </c>
      <c r="J2238" s="3">
        <v>13</v>
      </c>
      <c r="K2238" s="3">
        <v>1</v>
      </c>
      <c r="L2238" s="3">
        <v>13</v>
      </c>
      <c r="M2238" s="3">
        <v>6635</v>
      </c>
      <c r="N2238" s="3">
        <v>86.254999999999995</v>
      </c>
      <c r="O2238" s="3">
        <v>6.31</v>
      </c>
      <c r="P2238" s="3">
        <v>544.26904999999999</v>
      </c>
      <c r="Q2238" s="3">
        <f t="shared" si="0"/>
        <v>6640</v>
      </c>
    </row>
    <row r="2239" spans="1:17" ht="24.95" hidden="1" customHeight="1" x14ac:dyDescent="0.25">
      <c r="A2239" s="3">
        <v>8</v>
      </c>
      <c r="B2239" s="3" t="s">
        <v>464</v>
      </c>
      <c r="C2239" s="3" t="s">
        <v>2669</v>
      </c>
      <c r="I2239" s="3">
        <v>14</v>
      </c>
      <c r="J2239" s="3">
        <v>52</v>
      </c>
      <c r="K2239" s="3">
        <v>1</v>
      </c>
      <c r="L2239" s="3">
        <v>52</v>
      </c>
      <c r="M2239" s="3">
        <v>3150</v>
      </c>
      <c r="N2239" s="3">
        <v>163.80000000000001</v>
      </c>
      <c r="O2239" s="3">
        <v>1.21</v>
      </c>
      <c r="P2239" s="3">
        <v>198.19800000000001</v>
      </c>
      <c r="Q2239" s="3">
        <f t="shared" si="0"/>
        <v>3150</v>
      </c>
    </row>
    <row r="2240" spans="1:17" ht="24.95" hidden="1" customHeight="1" x14ac:dyDescent="0.25">
      <c r="A2240" s="3">
        <v>8</v>
      </c>
      <c r="B2240" s="3" t="s">
        <v>464</v>
      </c>
      <c r="C2240" s="3" t="s">
        <v>2670</v>
      </c>
      <c r="I2240" s="3">
        <v>14</v>
      </c>
      <c r="J2240" s="3">
        <v>52</v>
      </c>
      <c r="K2240" s="3">
        <v>1</v>
      </c>
      <c r="L2240" s="3">
        <v>52</v>
      </c>
      <c r="M2240" s="3">
        <v>6670</v>
      </c>
      <c r="N2240" s="3">
        <v>346.84</v>
      </c>
      <c r="O2240" s="3">
        <v>1.21</v>
      </c>
      <c r="P2240" s="3">
        <v>419.67639999999994</v>
      </c>
      <c r="Q2240" s="3">
        <f t="shared" si="0"/>
        <v>6670</v>
      </c>
    </row>
    <row r="2241" spans="1:17" ht="24.95" hidden="1" customHeight="1" x14ac:dyDescent="0.25">
      <c r="A2241" s="3">
        <v>8</v>
      </c>
      <c r="B2241" s="3" t="s">
        <v>464</v>
      </c>
      <c r="C2241" s="3" t="s">
        <v>2671</v>
      </c>
      <c r="I2241" s="3">
        <v>14</v>
      </c>
      <c r="J2241" s="3">
        <v>260</v>
      </c>
      <c r="K2241" s="3">
        <v>1</v>
      </c>
      <c r="L2241" s="3">
        <v>260</v>
      </c>
      <c r="M2241" s="3">
        <v>2670</v>
      </c>
      <c r="N2241" s="3">
        <v>694.2</v>
      </c>
      <c r="O2241" s="3">
        <v>1.21</v>
      </c>
      <c r="P2241" s="3">
        <v>839.98200000000008</v>
      </c>
      <c r="Q2241" s="3">
        <f t="shared" si="0"/>
        <v>2670</v>
      </c>
    </row>
    <row r="2242" spans="1:17" ht="24.95" hidden="1" customHeight="1" x14ac:dyDescent="0.25">
      <c r="A2242" s="3">
        <v>8</v>
      </c>
      <c r="B2242" s="3" t="s">
        <v>464</v>
      </c>
      <c r="C2242" s="3" t="s">
        <v>2672</v>
      </c>
      <c r="I2242" s="3">
        <v>18</v>
      </c>
      <c r="J2242" s="3">
        <v>12</v>
      </c>
      <c r="K2242" s="3">
        <v>1</v>
      </c>
      <c r="L2242" s="3">
        <v>12</v>
      </c>
      <c r="M2242" s="3">
        <v>10650</v>
      </c>
      <c r="N2242" s="3">
        <v>127.8</v>
      </c>
      <c r="O2242" s="3">
        <v>2</v>
      </c>
      <c r="P2242" s="3">
        <v>255.6</v>
      </c>
      <c r="Q2242" s="3">
        <f t="shared" si="0"/>
        <v>10650</v>
      </c>
    </row>
    <row r="2243" spans="1:17" ht="24.95" hidden="1" customHeight="1" x14ac:dyDescent="0.25">
      <c r="A2243" s="3">
        <v>8</v>
      </c>
      <c r="B2243" s="3" t="s">
        <v>464</v>
      </c>
      <c r="C2243" s="3" t="s">
        <v>2673</v>
      </c>
      <c r="I2243" s="3">
        <v>14</v>
      </c>
      <c r="J2243" s="3">
        <v>156</v>
      </c>
      <c r="K2243" s="3">
        <v>1</v>
      </c>
      <c r="L2243" s="3">
        <v>156</v>
      </c>
      <c r="M2243" s="3">
        <v>2170</v>
      </c>
      <c r="N2243" s="3">
        <v>338.52</v>
      </c>
      <c r="O2243" s="3">
        <v>1.21</v>
      </c>
      <c r="P2243" s="3">
        <v>409.60919999999999</v>
      </c>
      <c r="Q2243" s="3">
        <f t="shared" si="0"/>
        <v>2170</v>
      </c>
    </row>
    <row r="2244" spans="1:17" ht="24.95" hidden="1" customHeight="1" x14ac:dyDescent="0.25">
      <c r="A2244" s="3">
        <v>8</v>
      </c>
      <c r="B2244" s="3" t="s">
        <v>464</v>
      </c>
      <c r="C2244" s="3" t="s">
        <v>2674</v>
      </c>
      <c r="I2244" s="3">
        <v>32</v>
      </c>
      <c r="J2244" s="3">
        <v>13</v>
      </c>
      <c r="K2244" s="3">
        <v>1</v>
      </c>
      <c r="L2244" s="3">
        <v>13</v>
      </c>
      <c r="M2244" s="3">
        <v>1890</v>
      </c>
      <c r="N2244" s="3">
        <v>24.57</v>
      </c>
      <c r="O2244" s="3">
        <v>6.31</v>
      </c>
      <c r="P2244" s="3">
        <v>155.0367</v>
      </c>
      <c r="Q2244" s="3">
        <f t="shared" si="0"/>
        <v>1890</v>
      </c>
    </row>
    <row r="2245" spans="1:17" ht="24.95" hidden="1" customHeight="1" x14ac:dyDescent="0.25">
      <c r="A2245" s="3">
        <v>8</v>
      </c>
      <c r="B2245" s="3" t="s">
        <v>464</v>
      </c>
      <c r="C2245" s="3" t="s">
        <v>2675</v>
      </c>
      <c r="I2245" s="3">
        <v>14</v>
      </c>
      <c r="J2245" s="3">
        <v>30</v>
      </c>
      <c r="K2245" s="3">
        <v>1</v>
      </c>
      <c r="L2245" s="3">
        <v>30</v>
      </c>
      <c r="M2245" s="3">
        <v>10650</v>
      </c>
      <c r="N2245" s="3">
        <v>319.5</v>
      </c>
      <c r="O2245" s="3">
        <v>1.21</v>
      </c>
      <c r="P2245" s="3">
        <v>386.59499999999997</v>
      </c>
      <c r="Q2245" s="3">
        <f t="shared" si="0"/>
        <v>10650</v>
      </c>
    </row>
    <row r="2246" spans="1:17" ht="24.95" hidden="1" customHeight="1" x14ac:dyDescent="0.25">
      <c r="A2246" s="3">
        <v>8</v>
      </c>
      <c r="B2246" s="3" t="s">
        <v>464</v>
      </c>
      <c r="C2246" s="3" t="s">
        <v>2676</v>
      </c>
      <c r="I2246" s="3">
        <v>32</v>
      </c>
      <c r="J2246" s="3">
        <v>3</v>
      </c>
      <c r="K2246" s="3">
        <v>1</v>
      </c>
      <c r="L2246" s="3">
        <v>3</v>
      </c>
      <c r="M2246" s="3">
        <v>5060</v>
      </c>
      <c r="N2246" s="3">
        <v>15.18</v>
      </c>
      <c r="O2246" s="3">
        <v>6.31</v>
      </c>
      <c r="P2246" s="3">
        <v>95.785799999999995</v>
      </c>
      <c r="Q2246" s="3">
        <f t="shared" si="0"/>
        <v>5060</v>
      </c>
    </row>
    <row r="2247" spans="1:17" ht="24.95" hidden="1" customHeight="1" x14ac:dyDescent="0.25">
      <c r="A2247" s="3">
        <v>8</v>
      </c>
      <c r="B2247" s="3" t="s">
        <v>464</v>
      </c>
      <c r="C2247" s="3" t="s">
        <v>2677</v>
      </c>
      <c r="I2247" s="3">
        <v>32</v>
      </c>
      <c r="J2247" s="3">
        <v>4</v>
      </c>
      <c r="K2247" s="3">
        <v>1</v>
      </c>
      <c r="L2247" s="3">
        <v>4</v>
      </c>
      <c r="M2247" s="3">
        <v>5060</v>
      </c>
      <c r="N2247" s="3">
        <v>20.239999999999998</v>
      </c>
      <c r="O2247" s="3">
        <v>6.31</v>
      </c>
      <c r="P2247" s="3">
        <v>127.71439999999998</v>
      </c>
      <c r="Q2247" s="3">
        <f t="shared" si="0"/>
        <v>5060</v>
      </c>
    </row>
    <row r="2248" spans="1:17" ht="24.95" hidden="1" customHeight="1" x14ac:dyDescent="0.25">
      <c r="A2248" s="3">
        <v>8</v>
      </c>
      <c r="B2248" s="3" t="s">
        <v>464</v>
      </c>
      <c r="C2248" s="3" t="s">
        <v>2678</v>
      </c>
      <c r="I2248" s="3">
        <v>32</v>
      </c>
      <c r="J2248" s="3">
        <v>3</v>
      </c>
      <c r="K2248" s="3">
        <v>1</v>
      </c>
      <c r="L2248" s="3">
        <v>3</v>
      </c>
      <c r="M2248" s="3">
        <v>11700</v>
      </c>
      <c r="N2248" s="3">
        <v>35.1</v>
      </c>
      <c r="O2248" s="3">
        <v>6.31</v>
      </c>
      <c r="P2248" s="3">
        <v>221.48099999999999</v>
      </c>
      <c r="Q2248" s="3">
        <f t="shared" si="0"/>
        <v>11700</v>
      </c>
    </row>
    <row r="2249" spans="1:17" ht="24.95" hidden="1" customHeight="1" x14ac:dyDescent="0.25">
      <c r="A2249" s="3">
        <v>8</v>
      </c>
      <c r="B2249" s="3" t="s">
        <v>464</v>
      </c>
      <c r="C2249" s="3" t="s">
        <v>2679</v>
      </c>
      <c r="I2249" s="3">
        <v>32</v>
      </c>
      <c r="J2249" s="3">
        <v>4</v>
      </c>
      <c r="K2249" s="3">
        <v>1</v>
      </c>
      <c r="L2249" s="3">
        <v>4</v>
      </c>
      <c r="M2249" s="3">
        <v>11700</v>
      </c>
      <c r="N2249" s="3">
        <v>46.8</v>
      </c>
      <c r="O2249" s="3">
        <v>6.31</v>
      </c>
      <c r="P2249" s="3">
        <v>295.30799999999994</v>
      </c>
      <c r="Q2249" s="3">
        <f t="shared" si="0"/>
        <v>11700</v>
      </c>
    </row>
    <row r="2250" spans="1:17" ht="24.95" hidden="1" customHeight="1" x14ac:dyDescent="0.25">
      <c r="A2250" s="3">
        <v>8</v>
      </c>
      <c r="B2250" s="3" t="s">
        <v>465</v>
      </c>
      <c r="C2250" s="3" t="s">
        <v>2680</v>
      </c>
      <c r="I2250" s="3">
        <v>32</v>
      </c>
      <c r="J2250" s="3">
        <v>7</v>
      </c>
      <c r="K2250" s="3">
        <v>1</v>
      </c>
      <c r="L2250" s="3">
        <v>7</v>
      </c>
      <c r="M2250" s="3">
        <v>11000</v>
      </c>
      <c r="N2250" s="3">
        <v>77</v>
      </c>
      <c r="O2250" s="3">
        <v>6.31</v>
      </c>
      <c r="P2250" s="3">
        <v>485.86999999999995</v>
      </c>
      <c r="Q2250" s="3">
        <f t="shared" si="0"/>
        <v>11000</v>
      </c>
    </row>
    <row r="2251" spans="1:17" ht="24.95" hidden="1" customHeight="1" x14ac:dyDescent="0.25">
      <c r="A2251" s="3">
        <v>8</v>
      </c>
      <c r="B2251" s="3" t="s">
        <v>465</v>
      </c>
      <c r="C2251" s="3" t="s">
        <v>2681</v>
      </c>
      <c r="I2251" s="3">
        <v>32</v>
      </c>
      <c r="J2251" s="3">
        <v>7</v>
      </c>
      <c r="K2251" s="3">
        <v>1</v>
      </c>
      <c r="L2251" s="3">
        <v>7</v>
      </c>
      <c r="M2251" s="3">
        <v>11000</v>
      </c>
      <c r="N2251" s="3">
        <v>77</v>
      </c>
      <c r="O2251" s="3">
        <v>6.31</v>
      </c>
      <c r="P2251" s="3">
        <v>485.86999999999995</v>
      </c>
      <c r="Q2251" s="3">
        <f t="shared" si="0"/>
        <v>11000</v>
      </c>
    </row>
    <row r="2252" spans="1:17" ht="24.95" hidden="1" customHeight="1" x14ac:dyDescent="0.25">
      <c r="A2252" s="3">
        <v>8</v>
      </c>
      <c r="B2252" s="3" t="s">
        <v>465</v>
      </c>
      <c r="C2252" s="3" t="s">
        <v>2682</v>
      </c>
      <c r="I2252" s="3">
        <v>16</v>
      </c>
      <c r="J2252" s="3">
        <v>42</v>
      </c>
      <c r="K2252" s="3">
        <v>1</v>
      </c>
      <c r="L2252" s="3">
        <v>42</v>
      </c>
      <c r="M2252" s="3">
        <v>2030</v>
      </c>
      <c r="N2252" s="3">
        <v>85.26</v>
      </c>
      <c r="O2252" s="3">
        <v>1.58</v>
      </c>
      <c r="P2252" s="3">
        <v>134.71080000000001</v>
      </c>
      <c r="Q2252" s="3">
        <f t="shared" si="0"/>
        <v>2030</v>
      </c>
    </row>
    <row r="2253" spans="1:17" ht="24.95" hidden="1" customHeight="1" x14ac:dyDescent="0.25">
      <c r="A2253" s="3">
        <v>8</v>
      </c>
      <c r="B2253" s="3" t="s">
        <v>465</v>
      </c>
      <c r="C2253" s="3" t="s">
        <v>2683</v>
      </c>
      <c r="I2253" s="3">
        <v>16</v>
      </c>
      <c r="J2253" s="3">
        <v>42</v>
      </c>
      <c r="K2253" s="3">
        <v>1</v>
      </c>
      <c r="L2253" s="3">
        <v>42</v>
      </c>
      <c r="M2253" s="3">
        <v>5370</v>
      </c>
      <c r="N2253" s="3">
        <v>225.54</v>
      </c>
      <c r="O2253" s="3">
        <v>1.58</v>
      </c>
      <c r="P2253" s="3">
        <v>356.35320000000002</v>
      </c>
      <c r="Q2253" s="3">
        <f t="shared" si="0"/>
        <v>5370</v>
      </c>
    </row>
    <row r="2254" spans="1:17" ht="24.95" hidden="1" customHeight="1" x14ac:dyDescent="0.25">
      <c r="A2254" s="3">
        <v>8</v>
      </c>
      <c r="B2254" s="3" t="s">
        <v>465</v>
      </c>
      <c r="C2254" s="3" t="s">
        <v>2684</v>
      </c>
      <c r="I2254" s="3">
        <v>16</v>
      </c>
      <c r="J2254" s="3">
        <v>84</v>
      </c>
      <c r="K2254" s="3">
        <v>1</v>
      </c>
      <c r="L2254" s="3">
        <v>84</v>
      </c>
      <c r="M2254" s="3">
        <v>2710</v>
      </c>
      <c r="N2254" s="3">
        <v>227.64</v>
      </c>
      <c r="O2254" s="3">
        <v>1.58</v>
      </c>
      <c r="P2254" s="3">
        <v>359.6712</v>
      </c>
      <c r="Q2254" s="3">
        <f t="shared" si="0"/>
        <v>2710</v>
      </c>
    </row>
    <row r="2255" spans="1:17" ht="24.95" hidden="1" customHeight="1" x14ac:dyDescent="0.25">
      <c r="A2255" s="3">
        <v>8</v>
      </c>
      <c r="B2255" s="3" t="s">
        <v>465</v>
      </c>
      <c r="C2255" s="3" t="s">
        <v>2685</v>
      </c>
      <c r="I2255" s="3">
        <v>14</v>
      </c>
      <c r="J2255" s="3">
        <v>12</v>
      </c>
      <c r="K2255" s="3">
        <v>1</v>
      </c>
      <c r="L2255" s="3">
        <v>12</v>
      </c>
      <c r="M2255" s="3">
        <v>6500</v>
      </c>
      <c r="N2255" s="3">
        <v>78</v>
      </c>
      <c r="O2255" s="3">
        <v>1.21</v>
      </c>
      <c r="P2255" s="3">
        <v>94.38</v>
      </c>
      <c r="Q2255" s="3">
        <f t="shared" si="0"/>
        <v>6500</v>
      </c>
    </row>
    <row r="2256" spans="1:17" ht="24.95" hidden="1" customHeight="1" x14ac:dyDescent="0.25">
      <c r="A2256" s="3">
        <v>9</v>
      </c>
      <c r="B2256" s="3" t="s">
        <v>465</v>
      </c>
      <c r="C2256" s="3" t="s">
        <v>2686</v>
      </c>
      <c r="I2256" s="3">
        <v>10</v>
      </c>
      <c r="J2256" s="3">
        <v>66</v>
      </c>
      <c r="K2256" s="3">
        <v>1</v>
      </c>
      <c r="L2256" s="3">
        <v>66</v>
      </c>
      <c r="M2256" s="3">
        <v>790</v>
      </c>
      <c r="N2256" s="3">
        <v>52.14</v>
      </c>
      <c r="O2256" s="3">
        <v>0.61699999999999999</v>
      </c>
      <c r="P2256" s="3">
        <v>32.170380000000002</v>
      </c>
      <c r="Q2256" s="3">
        <v>790</v>
      </c>
    </row>
    <row r="2257" spans="1:17" ht="24.95" hidden="1" customHeight="1" x14ac:dyDescent="0.25">
      <c r="A2257" s="3">
        <v>8</v>
      </c>
      <c r="B2257" s="3" t="s">
        <v>465</v>
      </c>
      <c r="C2257" s="3" t="s">
        <v>2687</v>
      </c>
      <c r="I2257" s="3">
        <v>14</v>
      </c>
      <c r="J2257" s="3">
        <v>12</v>
      </c>
      <c r="K2257" s="3">
        <v>1</v>
      </c>
      <c r="L2257" s="3">
        <v>12</v>
      </c>
      <c r="M2257" s="3">
        <v>6500</v>
      </c>
      <c r="N2257" s="3">
        <v>78</v>
      </c>
      <c r="O2257" s="3">
        <v>1.21</v>
      </c>
      <c r="P2257" s="3">
        <v>94.38</v>
      </c>
      <c r="Q2257" s="3">
        <f t="shared" ref="Q2257:Q2262" si="1">ROUND(M2257,-1)</f>
        <v>6500</v>
      </c>
    </row>
    <row r="2258" spans="1:17" ht="24.95" hidden="1" customHeight="1" x14ac:dyDescent="0.25">
      <c r="A2258" s="3">
        <v>8</v>
      </c>
      <c r="B2258" s="3" t="s">
        <v>466</v>
      </c>
      <c r="C2258" s="3" t="s">
        <v>2688</v>
      </c>
      <c r="I2258" s="3">
        <v>32</v>
      </c>
      <c r="J2258" s="3">
        <v>7</v>
      </c>
      <c r="K2258" s="3">
        <v>2</v>
      </c>
      <c r="L2258" s="3">
        <v>14</v>
      </c>
      <c r="M2258" s="3">
        <v>11000</v>
      </c>
      <c r="N2258" s="3">
        <v>154</v>
      </c>
      <c r="O2258" s="3">
        <v>6.31</v>
      </c>
      <c r="P2258" s="3">
        <v>971.7399999999999</v>
      </c>
      <c r="Q2258" s="3">
        <f t="shared" si="1"/>
        <v>11000</v>
      </c>
    </row>
    <row r="2259" spans="1:17" ht="24.95" hidden="1" customHeight="1" x14ac:dyDescent="0.25">
      <c r="A2259" s="3">
        <v>8</v>
      </c>
      <c r="B2259" s="3" t="s">
        <v>466</v>
      </c>
      <c r="C2259" s="3" t="s">
        <v>2689</v>
      </c>
      <c r="I2259" s="3">
        <v>32</v>
      </c>
      <c r="J2259" s="3">
        <v>7</v>
      </c>
      <c r="K2259" s="3">
        <v>2</v>
      </c>
      <c r="L2259" s="3">
        <v>14</v>
      </c>
      <c r="M2259" s="3">
        <v>11000</v>
      </c>
      <c r="N2259" s="3">
        <v>154</v>
      </c>
      <c r="O2259" s="3">
        <v>6.31</v>
      </c>
      <c r="P2259" s="3">
        <v>971.7399999999999</v>
      </c>
      <c r="Q2259" s="3">
        <f t="shared" si="1"/>
        <v>11000</v>
      </c>
    </row>
    <row r="2260" spans="1:17" ht="24.95" hidden="1" customHeight="1" x14ac:dyDescent="0.25">
      <c r="A2260" s="3">
        <v>10</v>
      </c>
      <c r="B2260" s="3" t="s">
        <v>466</v>
      </c>
      <c r="C2260" s="3" t="s">
        <v>2690</v>
      </c>
      <c r="I2260" s="3">
        <v>16</v>
      </c>
      <c r="J2260" s="3">
        <v>42</v>
      </c>
      <c r="K2260" s="3">
        <v>2</v>
      </c>
      <c r="L2260" s="3">
        <v>84</v>
      </c>
      <c r="M2260" s="3">
        <v>2030</v>
      </c>
      <c r="N2260" s="3">
        <v>170.52</v>
      </c>
      <c r="O2260" s="3">
        <v>1.58</v>
      </c>
      <c r="P2260" s="3">
        <v>269.42160000000001</v>
      </c>
      <c r="Q2260" s="3">
        <f t="shared" si="1"/>
        <v>2030</v>
      </c>
    </row>
    <row r="2261" spans="1:17" ht="24.95" hidden="1" customHeight="1" x14ac:dyDescent="0.25">
      <c r="A2261" s="3">
        <v>10</v>
      </c>
      <c r="B2261" s="3" t="s">
        <v>466</v>
      </c>
      <c r="C2261" s="3" t="s">
        <v>2691</v>
      </c>
      <c r="I2261" s="3">
        <v>16</v>
      </c>
      <c r="J2261" s="3">
        <v>42</v>
      </c>
      <c r="K2261" s="3">
        <v>2</v>
      </c>
      <c r="L2261" s="3">
        <v>84</v>
      </c>
      <c r="M2261" s="3">
        <v>5370</v>
      </c>
      <c r="N2261" s="3">
        <v>451.08</v>
      </c>
      <c r="O2261" s="3">
        <v>1.58</v>
      </c>
      <c r="P2261" s="3">
        <v>712.70640000000003</v>
      </c>
      <c r="Q2261" s="3">
        <f t="shared" si="1"/>
        <v>5370</v>
      </c>
    </row>
    <row r="2262" spans="1:17" ht="24.95" hidden="1" customHeight="1" x14ac:dyDescent="0.25">
      <c r="A2262" s="3">
        <v>10</v>
      </c>
      <c r="B2262" s="3" t="s">
        <v>466</v>
      </c>
      <c r="C2262" s="3" t="s">
        <v>2692</v>
      </c>
      <c r="I2262" s="3">
        <v>16</v>
      </c>
      <c r="J2262" s="3">
        <v>84</v>
      </c>
      <c r="K2262" s="3">
        <v>2</v>
      </c>
      <c r="L2262" s="3">
        <v>168</v>
      </c>
      <c r="M2262" s="3">
        <v>2710</v>
      </c>
      <c r="N2262" s="3">
        <v>455.28</v>
      </c>
      <c r="O2262" s="3">
        <v>1.58</v>
      </c>
      <c r="P2262" s="3">
        <v>719.3424</v>
      </c>
      <c r="Q2262" s="3">
        <f t="shared" si="1"/>
        <v>2710</v>
      </c>
    </row>
    <row r="2263" spans="1:17" ht="24.95" hidden="1" customHeight="1" x14ac:dyDescent="0.25">
      <c r="A2263" s="3">
        <v>9</v>
      </c>
      <c r="B2263" s="3" t="s">
        <v>466</v>
      </c>
      <c r="C2263" s="3" t="s">
        <v>2693</v>
      </c>
      <c r="I2263" s="3">
        <v>10</v>
      </c>
      <c r="J2263" s="3">
        <v>66</v>
      </c>
      <c r="K2263" s="3">
        <v>2</v>
      </c>
      <c r="L2263" s="3">
        <v>132</v>
      </c>
      <c r="M2263" s="3">
        <v>790</v>
      </c>
      <c r="N2263" s="3">
        <v>104.28</v>
      </c>
      <c r="O2263" s="3">
        <v>0.61699999999999999</v>
      </c>
      <c r="P2263" s="3">
        <v>64.340760000000003</v>
      </c>
      <c r="Q2263" s="3">
        <v>790</v>
      </c>
    </row>
    <row r="2264" spans="1:17" ht="24.95" hidden="1" customHeight="1" x14ac:dyDescent="0.25">
      <c r="A2264" s="3">
        <v>10</v>
      </c>
      <c r="B2264" s="3" t="s">
        <v>466</v>
      </c>
      <c r="C2264" s="3" t="s">
        <v>2694</v>
      </c>
      <c r="I2264" s="3">
        <v>14</v>
      </c>
      <c r="J2264" s="3">
        <v>24</v>
      </c>
      <c r="K2264" s="3">
        <v>2</v>
      </c>
      <c r="L2264" s="3">
        <v>48</v>
      </c>
      <c r="M2264" s="3">
        <v>6500</v>
      </c>
      <c r="N2264" s="3">
        <v>312</v>
      </c>
      <c r="O2264" s="3">
        <v>1.21</v>
      </c>
      <c r="P2264" s="3">
        <v>377.52</v>
      </c>
      <c r="Q2264" s="3">
        <f t="shared" ref="Q2264:Q2307" si="2">ROUND(M2264,-1)</f>
        <v>6500</v>
      </c>
    </row>
    <row r="2265" spans="1:17" ht="24.95" hidden="1" customHeight="1" x14ac:dyDescent="0.25">
      <c r="A2265" s="3">
        <v>10</v>
      </c>
      <c r="B2265" s="3" t="s">
        <v>467</v>
      </c>
      <c r="C2265" s="3" t="s">
        <v>2695</v>
      </c>
      <c r="I2265" s="3">
        <v>32</v>
      </c>
      <c r="J2265" s="3">
        <v>7</v>
      </c>
      <c r="K2265" s="3">
        <v>1</v>
      </c>
      <c r="L2265" s="3">
        <v>7</v>
      </c>
      <c r="M2265" s="3">
        <v>3120</v>
      </c>
      <c r="N2265" s="3">
        <v>21.84</v>
      </c>
      <c r="O2265" s="3">
        <v>6.31</v>
      </c>
      <c r="P2265" s="3">
        <v>137.81039999999999</v>
      </c>
      <c r="Q2265" s="3">
        <f t="shared" si="2"/>
        <v>3120</v>
      </c>
    </row>
    <row r="2266" spans="1:17" ht="24.95" hidden="1" customHeight="1" x14ac:dyDescent="0.25">
      <c r="A2266" s="3">
        <v>10</v>
      </c>
      <c r="B2266" s="3" t="s">
        <v>467</v>
      </c>
      <c r="C2266" s="3" t="s">
        <v>2696</v>
      </c>
      <c r="I2266" s="3">
        <v>32</v>
      </c>
      <c r="J2266" s="3">
        <v>6</v>
      </c>
      <c r="K2266" s="3">
        <v>1</v>
      </c>
      <c r="L2266" s="3">
        <v>6</v>
      </c>
      <c r="M2266" s="3">
        <v>3120</v>
      </c>
      <c r="N2266" s="3">
        <v>18.72</v>
      </c>
      <c r="O2266" s="3">
        <v>6.31</v>
      </c>
      <c r="P2266" s="3">
        <v>118.12319999999998</v>
      </c>
      <c r="Q2266" s="3">
        <f t="shared" si="2"/>
        <v>3120</v>
      </c>
    </row>
    <row r="2267" spans="1:17" ht="24.95" hidden="1" customHeight="1" x14ac:dyDescent="0.25">
      <c r="A2267" s="3">
        <v>10</v>
      </c>
      <c r="B2267" s="3" t="s">
        <v>467</v>
      </c>
      <c r="C2267" s="3" t="s">
        <v>2697</v>
      </c>
      <c r="I2267" s="3">
        <v>32</v>
      </c>
      <c r="J2267" s="3">
        <v>7</v>
      </c>
      <c r="K2267" s="3">
        <v>1</v>
      </c>
      <c r="L2267" s="3">
        <v>7</v>
      </c>
      <c r="M2267" s="3">
        <v>11700</v>
      </c>
      <c r="N2267" s="3">
        <v>81.900000000000006</v>
      </c>
      <c r="O2267" s="3">
        <v>6.31</v>
      </c>
      <c r="P2267" s="3">
        <v>516.78899999999999</v>
      </c>
      <c r="Q2267" s="3">
        <f t="shared" si="2"/>
        <v>11700</v>
      </c>
    </row>
    <row r="2268" spans="1:17" ht="24.95" hidden="1" customHeight="1" x14ac:dyDescent="0.25">
      <c r="A2268" s="3">
        <v>10</v>
      </c>
      <c r="B2268" s="3" t="s">
        <v>467</v>
      </c>
      <c r="C2268" s="3" t="s">
        <v>2698</v>
      </c>
      <c r="I2268" s="3">
        <v>32</v>
      </c>
      <c r="J2268" s="3">
        <v>6</v>
      </c>
      <c r="K2268" s="3">
        <v>1</v>
      </c>
      <c r="L2268" s="3">
        <v>6</v>
      </c>
      <c r="M2268" s="3">
        <v>11700</v>
      </c>
      <c r="N2268" s="3">
        <v>70.2</v>
      </c>
      <c r="O2268" s="3">
        <v>6.31</v>
      </c>
      <c r="P2268" s="3">
        <v>442.96199999999999</v>
      </c>
      <c r="Q2268" s="3">
        <f t="shared" si="2"/>
        <v>11700</v>
      </c>
    </row>
    <row r="2269" spans="1:17" ht="24.95" hidden="1" customHeight="1" x14ac:dyDescent="0.25">
      <c r="A2269" s="3">
        <v>10</v>
      </c>
      <c r="B2269" s="3" t="s">
        <v>467</v>
      </c>
      <c r="C2269" s="3" t="s">
        <v>2699</v>
      </c>
      <c r="I2269" s="3">
        <v>32</v>
      </c>
      <c r="J2269" s="3">
        <v>6</v>
      </c>
      <c r="K2269" s="3">
        <v>1</v>
      </c>
      <c r="L2269" s="3">
        <v>6</v>
      </c>
      <c r="M2269" s="3">
        <v>2850</v>
      </c>
      <c r="N2269" s="3">
        <v>17.100000000000001</v>
      </c>
      <c r="O2269" s="3">
        <v>6.31</v>
      </c>
      <c r="P2269" s="3">
        <v>107.901</v>
      </c>
      <c r="Q2269" s="3">
        <f t="shared" si="2"/>
        <v>2850</v>
      </c>
    </row>
    <row r="2270" spans="1:17" ht="24.95" hidden="1" customHeight="1" x14ac:dyDescent="0.25">
      <c r="A2270" s="3">
        <v>10</v>
      </c>
      <c r="B2270" s="3" t="s">
        <v>467</v>
      </c>
      <c r="C2270" s="3" t="s">
        <v>2700</v>
      </c>
      <c r="I2270" s="3">
        <v>32</v>
      </c>
      <c r="J2270" s="3">
        <v>7</v>
      </c>
      <c r="K2270" s="3">
        <v>1</v>
      </c>
      <c r="L2270" s="3">
        <v>7</v>
      </c>
      <c r="M2270" s="3">
        <v>2850</v>
      </c>
      <c r="N2270" s="3">
        <v>19.95</v>
      </c>
      <c r="O2270" s="3">
        <v>6.31</v>
      </c>
      <c r="P2270" s="3">
        <v>125.88449999999999</v>
      </c>
      <c r="Q2270" s="3">
        <f t="shared" si="2"/>
        <v>2850</v>
      </c>
    </row>
    <row r="2271" spans="1:17" ht="24.95" hidden="1" customHeight="1" x14ac:dyDescent="0.25">
      <c r="A2271" s="3">
        <v>10</v>
      </c>
      <c r="B2271" s="3" t="s">
        <v>467</v>
      </c>
      <c r="C2271" s="3" t="s">
        <v>2701</v>
      </c>
      <c r="I2271" s="3">
        <v>32</v>
      </c>
      <c r="J2271" s="3">
        <v>6</v>
      </c>
      <c r="K2271" s="3">
        <v>1</v>
      </c>
      <c r="L2271" s="3">
        <v>6</v>
      </c>
      <c r="M2271" s="3">
        <v>11700</v>
      </c>
      <c r="N2271" s="3">
        <v>70.2</v>
      </c>
      <c r="O2271" s="3">
        <v>6.31</v>
      </c>
      <c r="P2271" s="3">
        <v>442.96199999999999</v>
      </c>
      <c r="Q2271" s="3">
        <f t="shared" si="2"/>
        <v>11700</v>
      </c>
    </row>
    <row r="2272" spans="1:17" ht="24.95" hidden="1" customHeight="1" x14ac:dyDescent="0.25">
      <c r="A2272" s="3">
        <v>10</v>
      </c>
      <c r="B2272" s="3" t="s">
        <v>467</v>
      </c>
      <c r="C2272" s="3" t="s">
        <v>2702</v>
      </c>
      <c r="I2272" s="3">
        <v>32</v>
      </c>
      <c r="J2272" s="3">
        <v>7</v>
      </c>
      <c r="K2272" s="3">
        <v>1</v>
      </c>
      <c r="L2272" s="3">
        <v>7</v>
      </c>
      <c r="M2272" s="3">
        <v>11700</v>
      </c>
      <c r="N2272" s="3">
        <v>81.900000000000006</v>
      </c>
      <c r="O2272" s="3">
        <v>6.31</v>
      </c>
      <c r="P2272" s="3">
        <v>516.78899999999999</v>
      </c>
      <c r="Q2272" s="3">
        <f t="shared" si="2"/>
        <v>11700</v>
      </c>
    </row>
    <row r="2273" spans="1:17" ht="24.95" hidden="1" customHeight="1" x14ac:dyDescent="0.25">
      <c r="A2273" s="3">
        <v>10</v>
      </c>
      <c r="B2273" s="3" t="s">
        <v>467</v>
      </c>
      <c r="C2273" s="3" t="s">
        <v>2703</v>
      </c>
      <c r="I2273" s="3">
        <v>32</v>
      </c>
      <c r="J2273" s="3">
        <v>7</v>
      </c>
      <c r="K2273" s="3">
        <v>1</v>
      </c>
      <c r="L2273" s="3">
        <v>7</v>
      </c>
      <c r="M2273" s="3">
        <v>2750</v>
      </c>
      <c r="N2273" s="3">
        <v>19.25</v>
      </c>
      <c r="O2273" s="3">
        <v>6.31</v>
      </c>
      <c r="P2273" s="3">
        <v>121.46749999999999</v>
      </c>
      <c r="Q2273" s="3">
        <f t="shared" si="2"/>
        <v>2750</v>
      </c>
    </row>
    <row r="2274" spans="1:17" ht="24.95" hidden="1" customHeight="1" x14ac:dyDescent="0.25">
      <c r="A2274" s="3">
        <v>10</v>
      </c>
      <c r="B2274" s="3" t="s">
        <v>467</v>
      </c>
      <c r="C2274" s="3" t="s">
        <v>2704</v>
      </c>
      <c r="I2274" s="3">
        <v>32</v>
      </c>
      <c r="J2274" s="3">
        <v>6</v>
      </c>
      <c r="K2274" s="3">
        <v>1</v>
      </c>
      <c r="L2274" s="3">
        <v>6</v>
      </c>
      <c r="M2274" s="3">
        <v>2750</v>
      </c>
      <c r="N2274" s="3">
        <v>16.5</v>
      </c>
      <c r="O2274" s="3">
        <v>6.31</v>
      </c>
      <c r="P2274" s="3">
        <v>104.11499999999999</v>
      </c>
      <c r="Q2274" s="3">
        <f t="shared" si="2"/>
        <v>2750</v>
      </c>
    </row>
    <row r="2275" spans="1:17" ht="24.95" hidden="1" customHeight="1" x14ac:dyDescent="0.25">
      <c r="A2275" s="3">
        <v>10</v>
      </c>
      <c r="B2275" s="3" t="s">
        <v>467</v>
      </c>
      <c r="C2275" s="3" t="s">
        <v>2705</v>
      </c>
      <c r="I2275" s="3">
        <v>32</v>
      </c>
      <c r="J2275" s="3">
        <v>7</v>
      </c>
      <c r="K2275" s="3">
        <v>1</v>
      </c>
      <c r="L2275" s="3">
        <v>7</v>
      </c>
      <c r="M2275" s="3">
        <v>11700</v>
      </c>
      <c r="N2275" s="3">
        <v>81.900000000000006</v>
      </c>
      <c r="O2275" s="3">
        <v>6.31</v>
      </c>
      <c r="P2275" s="3">
        <v>516.78899999999999</v>
      </c>
      <c r="Q2275" s="3">
        <f t="shared" si="2"/>
        <v>11700</v>
      </c>
    </row>
    <row r="2276" spans="1:17" ht="24.95" hidden="1" customHeight="1" x14ac:dyDescent="0.25">
      <c r="A2276" s="3">
        <v>10</v>
      </c>
      <c r="B2276" s="3" t="s">
        <v>467</v>
      </c>
      <c r="C2276" s="3" t="s">
        <v>2706</v>
      </c>
      <c r="I2276" s="3">
        <v>32</v>
      </c>
      <c r="J2276" s="3">
        <v>6</v>
      </c>
      <c r="K2276" s="3">
        <v>1</v>
      </c>
      <c r="L2276" s="3">
        <v>6</v>
      </c>
      <c r="M2276" s="3">
        <v>11700</v>
      </c>
      <c r="N2276" s="3">
        <v>70.2</v>
      </c>
      <c r="O2276" s="3">
        <v>6.31</v>
      </c>
      <c r="P2276" s="3">
        <v>442.96199999999999</v>
      </c>
      <c r="Q2276" s="3">
        <f t="shared" si="2"/>
        <v>11700</v>
      </c>
    </row>
    <row r="2277" spans="1:17" ht="24.95" hidden="1" customHeight="1" x14ac:dyDescent="0.25">
      <c r="A2277" s="3">
        <v>10</v>
      </c>
      <c r="B2277" s="3" t="s">
        <v>467</v>
      </c>
      <c r="C2277" s="3" t="s">
        <v>2707</v>
      </c>
      <c r="I2277" s="3">
        <v>32</v>
      </c>
      <c r="J2277" s="3">
        <v>6</v>
      </c>
      <c r="K2277" s="3">
        <v>1</v>
      </c>
      <c r="L2277" s="3">
        <v>6</v>
      </c>
      <c r="M2277" s="3">
        <v>5300</v>
      </c>
      <c r="N2277" s="3">
        <v>31.8</v>
      </c>
      <c r="O2277" s="3">
        <v>6.31</v>
      </c>
      <c r="P2277" s="3">
        <v>200.65799999999999</v>
      </c>
      <c r="Q2277" s="3">
        <f t="shared" si="2"/>
        <v>5300</v>
      </c>
    </row>
    <row r="2278" spans="1:17" ht="24.95" hidden="1" customHeight="1" x14ac:dyDescent="0.25">
      <c r="A2278" s="3">
        <v>10</v>
      </c>
      <c r="B2278" s="3" t="s">
        <v>467</v>
      </c>
      <c r="C2278" s="3" t="s">
        <v>2708</v>
      </c>
      <c r="I2278" s="3">
        <v>32</v>
      </c>
      <c r="J2278" s="3">
        <v>7</v>
      </c>
      <c r="K2278" s="3">
        <v>1</v>
      </c>
      <c r="L2278" s="3">
        <v>7</v>
      </c>
      <c r="M2278" s="3">
        <v>7140</v>
      </c>
      <c r="N2278" s="3">
        <v>49.98</v>
      </c>
      <c r="O2278" s="3">
        <v>6.31</v>
      </c>
      <c r="P2278" s="3">
        <v>315.37379999999996</v>
      </c>
      <c r="Q2278" s="3">
        <f t="shared" si="2"/>
        <v>7140</v>
      </c>
    </row>
    <row r="2279" spans="1:17" ht="24.95" hidden="1" customHeight="1" x14ac:dyDescent="0.25">
      <c r="A2279" s="3">
        <v>10</v>
      </c>
      <c r="B2279" s="3" t="s">
        <v>467</v>
      </c>
      <c r="C2279" s="3" t="s">
        <v>2709</v>
      </c>
      <c r="I2279" s="3">
        <v>32</v>
      </c>
      <c r="J2279" s="3">
        <v>7</v>
      </c>
      <c r="K2279" s="3">
        <v>1</v>
      </c>
      <c r="L2279" s="3">
        <v>7</v>
      </c>
      <c r="M2279" s="3">
        <v>7100</v>
      </c>
      <c r="N2279" s="3">
        <v>49.7</v>
      </c>
      <c r="O2279" s="3">
        <v>6.31</v>
      </c>
      <c r="P2279" s="3">
        <v>313.60699999999997</v>
      </c>
      <c r="Q2279" s="3">
        <f t="shared" si="2"/>
        <v>7100</v>
      </c>
    </row>
    <row r="2280" spans="1:17" ht="24.95" hidden="1" customHeight="1" x14ac:dyDescent="0.25">
      <c r="A2280" s="3">
        <v>10</v>
      </c>
      <c r="B2280" s="3" t="s">
        <v>467</v>
      </c>
      <c r="C2280" s="3" t="s">
        <v>2710</v>
      </c>
      <c r="I2280" s="3">
        <v>32</v>
      </c>
      <c r="J2280" s="3">
        <v>6</v>
      </c>
      <c r="K2280" s="3">
        <v>1</v>
      </c>
      <c r="L2280" s="3">
        <v>6</v>
      </c>
      <c r="M2280" s="3">
        <v>8940</v>
      </c>
      <c r="N2280" s="3">
        <v>53.64</v>
      </c>
      <c r="O2280" s="3">
        <v>6.31</v>
      </c>
      <c r="P2280" s="3">
        <v>338.46839999999997</v>
      </c>
      <c r="Q2280" s="3">
        <f t="shared" si="2"/>
        <v>8940</v>
      </c>
    </row>
    <row r="2281" spans="1:17" ht="24.95" hidden="1" customHeight="1" x14ac:dyDescent="0.25">
      <c r="A2281" s="3">
        <v>10</v>
      </c>
      <c r="B2281" s="3" t="s">
        <v>467</v>
      </c>
      <c r="C2281" s="3" t="s">
        <v>2711</v>
      </c>
      <c r="I2281" s="3">
        <v>14</v>
      </c>
      <c r="J2281" s="3">
        <v>58</v>
      </c>
      <c r="K2281" s="3">
        <v>1</v>
      </c>
      <c r="L2281" s="3">
        <v>58</v>
      </c>
      <c r="M2281" s="3">
        <v>2950</v>
      </c>
      <c r="N2281" s="3">
        <v>171.1</v>
      </c>
      <c r="O2281" s="3">
        <v>1.21</v>
      </c>
      <c r="P2281" s="3">
        <v>207.03099999999998</v>
      </c>
      <c r="Q2281" s="3">
        <f t="shared" si="2"/>
        <v>2950</v>
      </c>
    </row>
    <row r="2282" spans="1:17" ht="24.95" hidden="1" customHeight="1" x14ac:dyDescent="0.25">
      <c r="A2282" s="3">
        <v>10</v>
      </c>
      <c r="B2282" s="3" t="s">
        <v>467</v>
      </c>
      <c r="C2282" s="3" t="s">
        <v>2712</v>
      </c>
      <c r="I2282" s="3">
        <v>14</v>
      </c>
      <c r="J2282" s="3">
        <v>58</v>
      </c>
      <c r="K2282" s="3">
        <v>1</v>
      </c>
      <c r="L2282" s="3">
        <v>58</v>
      </c>
      <c r="M2282" s="3">
        <v>6470</v>
      </c>
      <c r="N2282" s="3">
        <v>375.26</v>
      </c>
      <c r="O2282" s="3">
        <v>1.21</v>
      </c>
      <c r="P2282" s="3">
        <v>454.06459999999998</v>
      </c>
      <c r="Q2282" s="3">
        <f t="shared" si="2"/>
        <v>6470</v>
      </c>
    </row>
    <row r="2283" spans="1:17" ht="24.95" hidden="1" customHeight="1" x14ac:dyDescent="0.25">
      <c r="A2283" s="3">
        <v>10</v>
      </c>
      <c r="B2283" s="3" t="s">
        <v>467</v>
      </c>
      <c r="C2283" s="3" t="s">
        <v>2713</v>
      </c>
      <c r="I2283" s="3">
        <v>14</v>
      </c>
      <c r="J2283" s="3">
        <v>290</v>
      </c>
      <c r="K2283" s="3">
        <v>1</v>
      </c>
      <c r="L2283" s="3">
        <v>290</v>
      </c>
      <c r="M2283" s="3">
        <v>2670</v>
      </c>
      <c r="N2283" s="3">
        <v>774.3</v>
      </c>
      <c r="O2283" s="3">
        <v>1.21</v>
      </c>
      <c r="P2283" s="3">
        <v>936.90299999999991</v>
      </c>
      <c r="Q2283" s="3">
        <f t="shared" si="2"/>
        <v>2670</v>
      </c>
    </row>
    <row r="2284" spans="1:17" ht="24.95" hidden="1" customHeight="1" x14ac:dyDescent="0.25">
      <c r="A2284" s="3">
        <v>13</v>
      </c>
      <c r="B2284" s="3" t="s">
        <v>467</v>
      </c>
      <c r="C2284" s="3" t="s">
        <v>2714</v>
      </c>
      <c r="I2284" s="3">
        <v>18</v>
      </c>
      <c r="J2284" s="3">
        <v>12</v>
      </c>
      <c r="K2284" s="3">
        <v>1</v>
      </c>
      <c r="L2284" s="3">
        <v>12</v>
      </c>
      <c r="M2284" s="3">
        <v>8800</v>
      </c>
      <c r="N2284" s="3">
        <v>105.6</v>
      </c>
      <c r="O2284" s="3">
        <v>2</v>
      </c>
      <c r="P2284" s="3">
        <v>211.2</v>
      </c>
      <c r="Q2284" s="3">
        <f t="shared" si="2"/>
        <v>8800</v>
      </c>
    </row>
    <row r="2285" spans="1:17" ht="24.95" hidden="1" customHeight="1" x14ac:dyDescent="0.25">
      <c r="A2285" s="3">
        <v>12</v>
      </c>
      <c r="B2285" s="3" t="s">
        <v>467</v>
      </c>
      <c r="C2285" s="3" t="s">
        <v>2715</v>
      </c>
      <c r="I2285" s="3">
        <v>14</v>
      </c>
      <c r="J2285" s="3">
        <v>174</v>
      </c>
      <c r="K2285" s="3">
        <v>1</v>
      </c>
      <c r="L2285" s="3">
        <v>174</v>
      </c>
      <c r="M2285" s="3">
        <v>1970</v>
      </c>
      <c r="N2285" s="3">
        <v>342.78</v>
      </c>
      <c r="O2285" s="3">
        <v>1.21</v>
      </c>
      <c r="P2285" s="3">
        <v>414.76379999999995</v>
      </c>
      <c r="Q2285" s="3">
        <f t="shared" si="2"/>
        <v>1970</v>
      </c>
    </row>
    <row r="2286" spans="1:17" ht="24.95" hidden="1" customHeight="1" x14ac:dyDescent="0.25">
      <c r="A2286" s="3">
        <v>11</v>
      </c>
      <c r="B2286" s="3" t="s">
        <v>467</v>
      </c>
      <c r="C2286" s="3" t="s">
        <v>2716</v>
      </c>
      <c r="I2286" s="3">
        <v>32</v>
      </c>
      <c r="J2286" s="3">
        <v>15</v>
      </c>
      <c r="K2286" s="3">
        <v>1</v>
      </c>
      <c r="L2286" s="3">
        <v>15</v>
      </c>
      <c r="M2286" s="3">
        <v>1690</v>
      </c>
      <c r="N2286" s="3">
        <v>25.35</v>
      </c>
      <c r="O2286" s="3">
        <v>6.31</v>
      </c>
      <c r="P2286" s="3">
        <v>159.95849999999999</v>
      </c>
      <c r="Q2286" s="3">
        <f t="shared" si="2"/>
        <v>1690</v>
      </c>
    </row>
    <row r="2287" spans="1:17" ht="24.95" hidden="1" customHeight="1" x14ac:dyDescent="0.25">
      <c r="A2287" s="3">
        <v>12</v>
      </c>
      <c r="B2287" s="3" t="s">
        <v>467</v>
      </c>
      <c r="C2287" s="3" t="s">
        <v>2717</v>
      </c>
      <c r="I2287" s="3">
        <v>14</v>
      </c>
      <c r="J2287" s="3">
        <v>30</v>
      </c>
      <c r="K2287" s="3">
        <v>1</v>
      </c>
      <c r="L2287" s="3">
        <v>30</v>
      </c>
      <c r="M2287" s="3">
        <v>8800</v>
      </c>
      <c r="N2287" s="3">
        <v>264</v>
      </c>
      <c r="O2287" s="3">
        <v>1.21</v>
      </c>
      <c r="P2287" s="3">
        <v>319.44</v>
      </c>
      <c r="Q2287" s="3">
        <f t="shared" si="2"/>
        <v>8800</v>
      </c>
    </row>
    <row r="2288" spans="1:17" ht="24.95" hidden="1" customHeight="1" x14ac:dyDescent="0.25">
      <c r="A2288" s="3">
        <v>11</v>
      </c>
      <c r="B2288" s="3" t="s">
        <v>467</v>
      </c>
      <c r="C2288" s="3" t="s">
        <v>2718</v>
      </c>
      <c r="I2288" s="3">
        <v>32</v>
      </c>
      <c r="J2288" s="3">
        <v>3</v>
      </c>
      <c r="K2288" s="3">
        <v>1</v>
      </c>
      <c r="L2288" s="3">
        <v>3</v>
      </c>
      <c r="M2288" s="3">
        <v>5320</v>
      </c>
      <c r="N2288" s="3">
        <v>15.96</v>
      </c>
      <c r="O2288" s="3">
        <v>6.31</v>
      </c>
      <c r="P2288" s="3">
        <v>100.7076</v>
      </c>
      <c r="Q2288" s="3">
        <f t="shared" si="2"/>
        <v>5320</v>
      </c>
    </row>
    <row r="2289" spans="1:17" ht="24.95" hidden="1" customHeight="1" x14ac:dyDescent="0.25">
      <c r="A2289" s="3">
        <v>11</v>
      </c>
      <c r="B2289" s="3" t="s">
        <v>467</v>
      </c>
      <c r="C2289" s="3" t="s">
        <v>2719</v>
      </c>
      <c r="I2289" s="3">
        <v>32</v>
      </c>
      <c r="J2289" s="3">
        <v>4</v>
      </c>
      <c r="K2289" s="3">
        <v>1</v>
      </c>
      <c r="L2289" s="3">
        <v>4</v>
      </c>
      <c r="M2289" s="3">
        <v>2660</v>
      </c>
      <c r="N2289" s="3">
        <v>10.64</v>
      </c>
      <c r="O2289" s="3">
        <v>6.31</v>
      </c>
      <c r="P2289" s="3">
        <v>67.138400000000004</v>
      </c>
      <c r="Q2289" s="3">
        <f t="shared" si="2"/>
        <v>2660</v>
      </c>
    </row>
    <row r="2290" spans="1:17" ht="24.95" hidden="1" customHeight="1" x14ac:dyDescent="0.25">
      <c r="A2290" s="3">
        <v>11</v>
      </c>
      <c r="B2290" s="3" t="s">
        <v>467</v>
      </c>
      <c r="C2290" s="3" t="s">
        <v>2720</v>
      </c>
      <c r="I2290" s="3">
        <v>32</v>
      </c>
      <c r="J2290" s="3">
        <v>3</v>
      </c>
      <c r="K2290" s="3">
        <v>1</v>
      </c>
      <c r="L2290" s="3">
        <v>3</v>
      </c>
      <c r="M2290" s="3">
        <v>9040</v>
      </c>
      <c r="N2290" s="3">
        <v>27.12</v>
      </c>
      <c r="O2290" s="3">
        <v>6.31</v>
      </c>
      <c r="P2290" s="3">
        <v>171.12719999999999</v>
      </c>
      <c r="Q2290" s="3">
        <f t="shared" si="2"/>
        <v>9040</v>
      </c>
    </row>
    <row r="2291" spans="1:17" ht="24.95" hidden="1" customHeight="1" x14ac:dyDescent="0.25">
      <c r="A2291" s="3">
        <v>11</v>
      </c>
      <c r="B2291" s="3" t="s">
        <v>467</v>
      </c>
      <c r="C2291" s="3" t="s">
        <v>2721</v>
      </c>
      <c r="I2291" s="3">
        <v>32</v>
      </c>
      <c r="J2291" s="3">
        <v>4</v>
      </c>
      <c r="K2291" s="3">
        <v>1</v>
      </c>
      <c r="L2291" s="3">
        <v>4</v>
      </c>
      <c r="M2291" s="3">
        <v>11700</v>
      </c>
      <c r="N2291" s="3">
        <v>46.8</v>
      </c>
      <c r="O2291" s="3">
        <v>6.31</v>
      </c>
      <c r="P2291" s="3">
        <v>295.30799999999994</v>
      </c>
      <c r="Q2291" s="3">
        <f t="shared" si="2"/>
        <v>11700</v>
      </c>
    </row>
    <row r="2292" spans="1:17" ht="24.95" hidden="1" customHeight="1" x14ac:dyDescent="0.25">
      <c r="A2292" s="3">
        <v>11</v>
      </c>
      <c r="B2292" s="3" t="s">
        <v>468</v>
      </c>
      <c r="C2292" s="3" t="s">
        <v>2722</v>
      </c>
      <c r="I2292" s="3">
        <v>32</v>
      </c>
      <c r="J2292" s="3">
        <v>9</v>
      </c>
      <c r="K2292" s="3">
        <v>1</v>
      </c>
      <c r="L2292" s="3">
        <v>9</v>
      </c>
      <c r="M2292" s="3">
        <v>11300</v>
      </c>
      <c r="N2292" s="3">
        <v>101.655</v>
      </c>
      <c r="O2292" s="3">
        <v>6.31</v>
      </c>
      <c r="P2292" s="3">
        <v>641.44304999999997</v>
      </c>
      <c r="Q2292" s="3">
        <f t="shared" si="2"/>
        <v>11300</v>
      </c>
    </row>
    <row r="2293" spans="1:17" ht="24.95" hidden="1" customHeight="1" x14ac:dyDescent="0.25">
      <c r="A2293" s="3">
        <v>11</v>
      </c>
      <c r="B2293" s="3" t="s">
        <v>468</v>
      </c>
      <c r="C2293" s="3" t="s">
        <v>2723</v>
      </c>
      <c r="I2293" s="3">
        <v>32</v>
      </c>
      <c r="J2293" s="3">
        <v>9</v>
      </c>
      <c r="K2293" s="3">
        <v>1</v>
      </c>
      <c r="L2293" s="3">
        <v>9</v>
      </c>
      <c r="M2293" s="3">
        <v>11200</v>
      </c>
      <c r="N2293" s="3">
        <v>100.755</v>
      </c>
      <c r="O2293" s="3">
        <v>6.31</v>
      </c>
      <c r="P2293" s="3">
        <v>635.76404999999988</v>
      </c>
      <c r="Q2293" s="3">
        <f t="shared" si="2"/>
        <v>11200</v>
      </c>
    </row>
    <row r="2294" spans="1:17" ht="24.95" hidden="1" customHeight="1" x14ac:dyDescent="0.25">
      <c r="A2294" s="3">
        <v>11</v>
      </c>
      <c r="B2294" s="3" t="s">
        <v>468</v>
      </c>
      <c r="C2294" s="3" t="s">
        <v>2724</v>
      </c>
      <c r="I2294" s="3">
        <v>32</v>
      </c>
      <c r="J2294" s="3">
        <v>9</v>
      </c>
      <c r="K2294" s="3">
        <v>1</v>
      </c>
      <c r="L2294" s="3">
        <v>9</v>
      </c>
      <c r="M2294" s="3">
        <v>11260</v>
      </c>
      <c r="N2294" s="3">
        <v>101.295</v>
      </c>
      <c r="O2294" s="3">
        <v>6.31</v>
      </c>
      <c r="P2294" s="3">
        <v>639.17144999999994</v>
      </c>
      <c r="Q2294" s="3">
        <f t="shared" si="2"/>
        <v>11260</v>
      </c>
    </row>
    <row r="2295" spans="1:17" ht="24.95" hidden="1" customHeight="1" x14ac:dyDescent="0.25">
      <c r="A2295" s="3">
        <v>11</v>
      </c>
      <c r="B2295" s="3" t="s">
        <v>468</v>
      </c>
      <c r="C2295" s="3" t="s">
        <v>2725</v>
      </c>
      <c r="I2295" s="3">
        <v>32</v>
      </c>
      <c r="J2295" s="3">
        <v>5</v>
      </c>
      <c r="K2295" s="3">
        <v>1</v>
      </c>
      <c r="L2295" s="3">
        <v>5</v>
      </c>
      <c r="M2295" s="3">
        <v>11160</v>
      </c>
      <c r="N2295" s="3">
        <v>55.774999999999999</v>
      </c>
      <c r="O2295" s="3">
        <v>6.31</v>
      </c>
      <c r="P2295" s="3">
        <v>351.94024999999999</v>
      </c>
      <c r="Q2295" s="3">
        <f t="shared" si="2"/>
        <v>11160</v>
      </c>
    </row>
    <row r="2296" spans="1:17" ht="24.95" hidden="1" customHeight="1" x14ac:dyDescent="0.25">
      <c r="A2296" s="3">
        <v>12</v>
      </c>
      <c r="B2296" s="3" t="s">
        <v>468</v>
      </c>
      <c r="C2296" s="3" t="s">
        <v>2726</v>
      </c>
      <c r="I2296" s="3">
        <v>14</v>
      </c>
      <c r="J2296" s="3">
        <v>26</v>
      </c>
      <c r="K2296" s="3">
        <v>1</v>
      </c>
      <c r="L2296" s="3">
        <v>26</v>
      </c>
      <c r="M2296" s="3">
        <v>2350</v>
      </c>
      <c r="N2296" s="3">
        <v>61.1</v>
      </c>
      <c r="O2296" s="3">
        <v>1.21</v>
      </c>
      <c r="P2296" s="3">
        <v>73.930999999999997</v>
      </c>
      <c r="Q2296" s="3">
        <f t="shared" si="2"/>
        <v>2350</v>
      </c>
    </row>
    <row r="2297" spans="1:17" ht="24.95" hidden="1" customHeight="1" x14ac:dyDescent="0.25">
      <c r="A2297" s="3">
        <v>12</v>
      </c>
      <c r="B2297" s="3" t="s">
        <v>468</v>
      </c>
      <c r="C2297" s="3" t="s">
        <v>2727</v>
      </c>
      <c r="I2297" s="3">
        <v>14</v>
      </c>
      <c r="J2297" s="3">
        <v>26</v>
      </c>
      <c r="K2297" s="3">
        <v>1</v>
      </c>
      <c r="L2297" s="3">
        <v>26</v>
      </c>
      <c r="M2297" s="3">
        <v>5870</v>
      </c>
      <c r="N2297" s="3">
        <v>152.62</v>
      </c>
      <c r="O2297" s="3">
        <v>1.21</v>
      </c>
      <c r="P2297" s="3">
        <v>184.67019999999999</v>
      </c>
      <c r="Q2297" s="3">
        <f t="shared" si="2"/>
        <v>5870</v>
      </c>
    </row>
    <row r="2298" spans="1:17" ht="24.95" hidden="1" customHeight="1" x14ac:dyDescent="0.25">
      <c r="A2298" s="3">
        <v>12</v>
      </c>
      <c r="B2298" s="3" t="s">
        <v>468</v>
      </c>
      <c r="C2298" s="3" t="s">
        <v>2728</v>
      </c>
      <c r="I2298" s="3">
        <v>14</v>
      </c>
      <c r="J2298" s="3">
        <v>78</v>
      </c>
      <c r="K2298" s="3">
        <v>1</v>
      </c>
      <c r="L2298" s="3">
        <v>78</v>
      </c>
      <c r="M2298" s="3">
        <v>2670</v>
      </c>
      <c r="N2298" s="3">
        <v>208.26</v>
      </c>
      <c r="O2298" s="3">
        <v>1.21</v>
      </c>
      <c r="P2298" s="3">
        <v>251.99459999999999</v>
      </c>
      <c r="Q2298" s="3">
        <f t="shared" si="2"/>
        <v>2670</v>
      </c>
    </row>
    <row r="2299" spans="1:17" ht="24.95" hidden="1" customHeight="1" x14ac:dyDescent="0.25">
      <c r="A2299" s="3">
        <v>13</v>
      </c>
      <c r="B2299" s="3" t="s">
        <v>468</v>
      </c>
      <c r="C2299" s="3" t="s">
        <v>2729</v>
      </c>
      <c r="I2299" s="3">
        <v>18</v>
      </c>
      <c r="J2299" s="3">
        <v>12</v>
      </c>
      <c r="K2299" s="3">
        <v>1</v>
      </c>
      <c r="L2299" s="3">
        <v>12</v>
      </c>
      <c r="M2299" s="3">
        <v>4100</v>
      </c>
      <c r="N2299" s="3">
        <v>49.2</v>
      </c>
      <c r="O2299" s="3">
        <v>2</v>
      </c>
      <c r="P2299" s="3">
        <v>98.4</v>
      </c>
      <c r="Q2299" s="3">
        <f t="shared" si="2"/>
        <v>4100</v>
      </c>
    </row>
    <row r="2300" spans="1:17" ht="24.95" hidden="1" customHeight="1" x14ac:dyDescent="0.25">
      <c r="A2300" s="3">
        <v>12</v>
      </c>
      <c r="B2300" s="3" t="s">
        <v>468</v>
      </c>
      <c r="C2300" s="3" t="s">
        <v>2730</v>
      </c>
      <c r="I2300" s="3">
        <v>14</v>
      </c>
      <c r="J2300" s="3">
        <v>78</v>
      </c>
      <c r="K2300" s="3">
        <v>1</v>
      </c>
      <c r="L2300" s="3">
        <v>78</v>
      </c>
      <c r="M2300" s="3">
        <v>1370</v>
      </c>
      <c r="N2300" s="3">
        <v>106.86</v>
      </c>
      <c r="O2300" s="3">
        <v>1.21</v>
      </c>
      <c r="P2300" s="3">
        <v>129.3006</v>
      </c>
      <c r="Q2300" s="3">
        <f t="shared" si="2"/>
        <v>1370</v>
      </c>
    </row>
    <row r="2301" spans="1:17" ht="24.95" hidden="1" customHeight="1" x14ac:dyDescent="0.25">
      <c r="A2301" s="3">
        <v>11</v>
      </c>
      <c r="B2301" s="3" t="s">
        <v>468</v>
      </c>
      <c r="C2301" s="3" t="s">
        <v>2731</v>
      </c>
      <c r="I2301" s="3">
        <v>32</v>
      </c>
      <c r="J2301" s="3">
        <v>9</v>
      </c>
      <c r="K2301" s="3">
        <v>1</v>
      </c>
      <c r="L2301" s="3">
        <v>9</v>
      </c>
      <c r="M2301" s="3">
        <v>1090</v>
      </c>
      <c r="N2301" s="3">
        <v>9.81</v>
      </c>
      <c r="O2301" s="3">
        <v>6.31</v>
      </c>
      <c r="P2301" s="3">
        <v>61.9011</v>
      </c>
      <c r="Q2301" s="3">
        <f t="shared" si="2"/>
        <v>1090</v>
      </c>
    </row>
    <row r="2302" spans="1:17" ht="24.95" hidden="1" customHeight="1" x14ac:dyDescent="0.25">
      <c r="A2302" s="3">
        <v>12</v>
      </c>
      <c r="B2302" s="3" t="s">
        <v>468</v>
      </c>
      <c r="C2302" s="3" t="s">
        <v>2732</v>
      </c>
      <c r="I2302" s="3">
        <v>14</v>
      </c>
      <c r="J2302" s="3">
        <v>18</v>
      </c>
      <c r="K2302" s="3">
        <v>1</v>
      </c>
      <c r="L2302" s="3">
        <v>18</v>
      </c>
      <c r="M2302" s="3">
        <v>4100</v>
      </c>
      <c r="N2302" s="3">
        <v>73.8</v>
      </c>
      <c r="O2302" s="3">
        <v>1.21</v>
      </c>
      <c r="P2302" s="3">
        <v>89.297999999999988</v>
      </c>
      <c r="Q2302" s="3">
        <f t="shared" si="2"/>
        <v>4100</v>
      </c>
    </row>
    <row r="2303" spans="1:17" ht="24.95" hidden="1" customHeight="1" x14ac:dyDescent="0.25">
      <c r="A2303" s="3">
        <v>11</v>
      </c>
      <c r="B2303" s="3" t="s">
        <v>468</v>
      </c>
      <c r="C2303" s="3" t="s">
        <v>2733</v>
      </c>
      <c r="I2303" s="3">
        <v>32</v>
      </c>
      <c r="J2303" s="3">
        <v>5</v>
      </c>
      <c r="K2303" s="3">
        <v>1</v>
      </c>
      <c r="L2303" s="3">
        <v>5</v>
      </c>
      <c r="M2303" s="3">
        <v>11100</v>
      </c>
      <c r="N2303" s="3">
        <v>55.475000000000001</v>
      </c>
      <c r="O2303" s="3">
        <v>6.31</v>
      </c>
      <c r="P2303" s="3">
        <v>350.04724999999996</v>
      </c>
      <c r="Q2303" s="3">
        <f t="shared" si="2"/>
        <v>11100</v>
      </c>
    </row>
    <row r="2304" spans="1:17" ht="24.95" customHeight="1" x14ac:dyDescent="0.25">
      <c r="A2304" s="3">
        <v>14</v>
      </c>
      <c r="B2304" s="3" t="s">
        <v>469</v>
      </c>
      <c r="C2304" s="3" t="s">
        <v>2734</v>
      </c>
      <c r="I2304" s="3">
        <v>25</v>
      </c>
      <c r="J2304" s="3">
        <v>3</v>
      </c>
      <c r="K2304" s="3">
        <v>1</v>
      </c>
      <c r="L2304" s="3">
        <v>3</v>
      </c>
      <c r="M2304" s="3">
        <v>11700</v>
      </c>
      <c r="N2304" s="3">
        <v>35.1</v>
      </c>
      <c r="O2304" s="3">
        <v>3.85</v>
      </c>
      <c r="P2304" s="3">
        <v>135.13500000000002</v>
      </c>
      <c r="Q2304" s="3">
        <f t="shared" si="2"/>
        <v>11700</v>
      </c>
    </row>
    <row r="2305" spans="1:17" ht="24.95" customHeight="1" x14ac:dyDescent="0.25">
      <c r="A2305" s="3">
        <v>14</v>
      </c>
      <c r="B2305" s="3" t="s">
        <v>469</v>
      </c>
      <c r="C2305" s="3" t="s">
        <v>2735</v>
      </c>
      <c r="I2305" s="3">
        <v>25</v>
      </c>
      <c r="J2305" s="3">
        <v>2</v>
      </c>
      <c r="K2305" s="3">
        <v>1</v>
      </c>
      <c r="L2305" s="3">
        <v>2</v>
      </c>
      <c r="M2305" s="3">
        <v>11700</v>
      </c>
      <c r="N2305" s="3">
        <v>23.4</v>
      </c>
      <c r="O2305" s="3">
        <v>3.85</v>
      </c>
      <c r="P2305" s="3">
        <v>90.09</v>
      </c>
      <c r="Q2305" s="3">
        <f t="shared" si="2"/>
        <v>11700</v>
      </c>
    </row>
    <row r="2306" spans="1:17" ht="24.95" customHeight="1" x14ac:dyDescent="0.25">
      <c r="A2306" s="3">
        <v>14</v>
      </c>
      <c r="B2306" s="3" t="s">
        <v>469</v>
      </c>
      <c r="C2306" s="3" t="s">
        <v>2736</v>
      </c>
      <c r="I2306" s="3">
        <v>25</v>
      </c>
      <c r="J2306" s="3">
        <v>3</v>
      </c>
      <c r="K2306" s="3">
        <v>1</v>
      </c>
      <c r="L2306" s="3">
        <v>3</v>
      </c>
      <c r="M2306" s="3">
        <v>11700</v>
      </c>
      <c r="N2306" s="3">
        <v>35.1</v>
      </c>
      <c r="O2306" s="3">
        <v>3.85</v>
      </c>
      <c r="P2306" s="3">
        <v>135.13500000000002</v>
      </c>
      <c r="Q2306" s="3">
        <f t="shared" si="2"/>
        <v>11700</v>
      </c>
    </row>
    <row r="2307" spans="1:17" ht="24.95" customHeight="1" x14ac:dyDescent="0.25">
      <c r="A2307" s="3">
        <v>14</v>
      </c>
      <c r="B2307" s="3" t="s">
        <v>469</v>
      </c>
      <c r="C2307" s="3" t="s">
        <v>2737</v>
      </c>
      <c r="I2307" s="3">
        <v>25</v>
      </c>
      <c r="J2307" s="3">
        <v>2</v>
      </c>
      <c r="K2307" s="3">
        <v>1</v>
      </c>
      <c r="L2307" s="3">
        <v>2</v>
      </c>
      <c r="M2307" s="3">
        <v>11700</v>
      </c>
      <c r="N2307" s="3">
        <v>23.4</v>
      </c>
      <c r="O2307" s="3">
        <v>3.85</v>
      </c>
      <c r="P2307" s="3">
        <v>90.09</v>
      </c>
      <c r="Q2307" s="3">
        <f t="shared" si="2"/>
        <v>11700</v>
      </c>
    </row>
    <row r="2308" spans="1:17" ht="24.95" hidden="1" customHeight="1" x14ac:dyDescent="0.25">
      <c r="A2308" s="3">
        <v>9</v>
      </c>
      <c r="B2308" s="3" t="s">
        <v>469</v>
      </c>
      <c r="C2308" s="3" t="s">
        <v>2738</v>
      </c>
      <c r="I2308" s="3">
        <v>10</v>
      </c>
      <c r="J2308" s="3">
        <v>65</v>
      </c>
      <c r="K2308" s="3">
        <v>1</v>
      </c>
      <c r="L2308" s="3">
        <v>65</v>
      </c>
      <c r="M2308" s="3">
        <v>9900</v>
      </c>
      <c r="N2308" s="3">
        <v>127.4</v>
      </c>
      <c r="O2308" s="3">
        <v>0.61699999999999999</v>
      </c>
      <c r="P2308" s="3">
        <v>78.605800000000002</v>
      </c>
      <c r="Q2308" s="3">
        <v>1960</v>
      </c>
    </row>
    <row r="2309" spans="1:17" ht="24.95" hidden="1" customHeight="1" x14ac:dyDescent="0.25">
      <c r="A2309" s="3">
        <v>12</v>
      </c>
      <c r="B2309" s="3" t="s">
        <v>469</v>
      </c>
      <c r="C2309" s="3" t="s">
        <v>2739</v>
      </c>
      <c r="I2309" s="3">
        <v>14</v>
      </c>
      <c r="J2309" s="3">
        <v>2</v>
      </c>
      <c r="K2309" s="3">
        <v>1</v>
      </c>
      <c r="L2309" s="3">
        <v>2</v>
      </c>
      <c r="M2309" s="3">
        <v>350</v>
      </c>
      <c r="N2309" s="3">
        <v>19.8</v>
      </c>
      <c r="O2309" s="3">
        <v>1.21</v>
      </c>
      <c r="P2309" s="3">
        <v>23.957999999999998</v>
      </c>
      <c r="Q2309" s="3">
        <f t="shared" ref="Q2309:Q2338" si="3">ROUND(M2309,-1)</f>
        <v>350</v>
      </c>
    </row>
    <row r="2310" spans="1:17" ht="24.95" hidden="1" customHeight="1" x14ac:dyDescent="0.25">
      <c r="A2310" s="3">
        <v>13</v>
      </c>
      <c r="B2310" s="3" t="s">
        <v>469</v>
      </c>
      <c r="C2310" s="3" t="s">
        <v>2740</v>
      </c>
      <c r="I2310" s="3">
        <v>8</v>
      </c>
      <c r="J2310" s="3">
        <v>22</v>
      </c>
      <c r="K2310" s="3">
        <v>1</v>
      </c>
      <c r="L2310" s="3">
        <v>22</v>
      </c>
      <c r="M2310" s="3">
        <v>3900</v>
      </c>
      <c r="N2310" s="3">
        <v>7.7</v>
      </c>
      <c r="O2310" s="3">
        <v>0.39500000000000002</v>
      </c>
      <c r="P2310" s="3">
        <v>3.0415000000000001</v>
      </c>
      <c r="Q2310" s="3">
        <f t="shared" si="3"/>
        <v>3900</v>
      </c>
    </row>
    <row r="2311" spans="1:17" ht="24.95" hidden="1" customHeight="1" x14ac:dyDescent="0.25">
      <c r="A2311" s="3">
        <v>11</v>
      </c>
      <c r="B2311" s="3" t="s">
        <v>470</v>
      </c>
      <c r="C2311" s="3" t="s">
        <v>2741</v>
      </c>
      <c r="I2311" s="3">
        <v>32</v>
      </c>
      <c r="J2311" s="3">
        <v>6</v>
      </c>
      <c r="K2311" s="3">
        <v>1</v>
      </c>
      <c r="L2311" s="3">
        <v>6</v>
      </c>
      <c r="M2311" s="3">
        <v>11700</v>
      </c>
      <c r="N2311" s="3">
        <v>23.4</v>
      </c>
      <c r="O2311" s="3">
        <v>6.31</v>
      </c>
      <c r="P2311" s="3">
        <v>147.65399999999997</v>
      </c>
      <c r="Q2311" s="3">
        <f t="shared" si="3"/>
        <v>11700</v>
      </c>
    </row>
    <row r="2312" spans="1:17" ht="24.95" hidden="1" customHeight="1" x14ac:dyDescent="0.25">
      <c r="A2312" s="3">
        <v>11</v>
      </c>
      <c r="B2312" s="3" t="s">
        <v>470</v>
      </c>
      <c r="C2312" s="3" t="s">
        <v>2742</v>
      </c>
      <c r="I2312" s="3">
        <v>32</v>
      </c>
      <c r="J2312" s="3">
        <v>7</v>
      </c>
      <c r="K2312" s="3">
        <v>1</v>
      </c>
      <c r="L2312" s="3">
        <v>7</v>
      </c>
      <c r="M2312" s="3">
        <v>11700</v>
      </c>
      <c r="N2312" s="3">
        <v>81.900000000000006</v>
      </c>
      <c r="O2312" s="3">
        <v>6.31</v>
      </c>
      <c r="P2312" s="3">
        <v>516.78899999999999</v>
      </c>
      <c r="Q2312" s="3">
        <f t="shared" si="3"/>
        <v>11700</v>
      </c>
    </row>
    <row r="2313" spans="1:17" ht="24.95" hidden="1" customHeight="1" x14ac:dyDescent="0.25">
      <c r="A2313" s="3">
        <v>11</v>
      </c>
      <c r="B2313" s="3" t="s">
        <v>470</v>
      </c>
      <c r="C2313" s="3" t="s">
        <v>2743</v>
      </c>
      <c r="I2313" s="3">
        <v>32</v>
      </c>
      <c r="J2313" s="3">
        <v>6</v>
      </c>
      <c r="K2313" s="3">
        <v>1</v>
      </c>
      <c r="L2313" s="3">
        <v>6</v>
      </c>
      <c r="M2313" s="3">
        <v>3750</v>
      </c>
      <c r="N2313" s="3">
        <v>70.2</v>
      </c>
      <c r="O2313" s="3">
        <v>6.31</v>
      </c>
      <c r="P2313" s="3">
        <v>442.96199999999999</v>
      </c>
      <c r="Q2313" s="3">
        <f t="shared" si="3"/>
        <v>3750</v>
      </c>
    </row>
    <row r="2314" spans="1:17" ht="24.95" hidden="1" customHeight="1" x14ac:dyDescent="0.25">
      <c r="A2314" s="3">
        <v>11</v>
      </c>
      <c r="B2314" s="3" t="s">
        <v>470</v>
      </c>
      <c r="C2314" s="3" t="s">
        <v>2744</v>
      </c>
      <c r="I2314" s="3">
        <v>32</v>
      </c>
      <c r="J2314" s="3">
        <v>7</v>
      </c>
      <c r="K2314" s="3">
        <v>1</v>
      </c>
      <c r="L2314" s="3">
        <v>7</v>
      </c>
      <c r="M2314" s="3">
        <v>6380</v>
      </c>
      <c r="N2314" s="3">
        <v>26.25</v>
      </c>
      <c r="O2314" s="3">
        <v>6.31</v>
      </c>
      <c r="P2314" s="3">
        <v>165.63749999999999</v>
      </c>
      <c r="Q2314" s="3">
        <f t="shared" si="3"/>
        <v>6380</v>
      </c>
    </row>
    <row r="2315" spans="1:17" ht="24.95" hidden="1" customHeight="1" x14ac:dyDescent="0.25">
      <c r="A2315" s="3">
        <v>11</v>
      </c>
      <c r="B2315" s="3" t="s">
        <v>470</v>
      </c>
      <c r="C2315" s="3" t="s">
        <v>2745</v>
      </c>
      <c r="I2315" s="3">
        <v>32</v>
      </c>
      <c r="J2315" s="3">
        <v>6</v>
      </c>
      <c r="K2315" s="3">
        <v>1</v>
      </c>
      <c r="L2315" s="3">
        <v>6</v>
      </c>
      <c r="M2315" s="3">
        <v>8140</v>
      </c>
      <c r="N2315" s="3">
        <v>38.28</v>
      </c>
      <c r="O2315" s="3">
        <v>6.31</v>
      </c>
      <c r="P2315" s="3">
        <v>241.54679999999999</v>
      </c>
      <c r="Q2315" s="3">
        <f t="shared" si="3"/>
        <v>8140</v>
      </c>
    </row>
    <row r="2316" spans="1:17" ht="24.95" hidden="1" customHeight="1" x14ac:dyDescent="0.25">
      <c r="A2316" s="3">
        <v>11</v>
      </c>
      <c r="B2316" s="3" t="s">
        <v>470</v>
      </c>
      <c r="C2316" s="3" t="s">
        <v>2746</v>
      </c>
      <c r="I2316" s="3">
        <v>32</v>
      </c>
      <c r="J2316" s="3">
        <v>7</v>
      </c>
      <c r="K2316" s="3">
        <v>1</v>
      </c>
      <c r="L2316" s="3">
        <v>7</v>
      </c>
      <c r="M2316" s="3">
        <v>4940</v>
      </c>
      <c r="N2316" s="3">
        <v>56.98</v>
      </c>
      <c r="O2316" s="3">
        <v>6.31</v>
      </c>
      <c r="P2316" s="3">
        <v>359.54379999999998</v>
      </c>
      <c r="Q2316" s="3">
        <f t="shared" si="3"/>
        <v>4940</v>
      </c>
    </row>
    <row r="2317" spans="1:17" ht="24.95" hidden="1" customHeight="1" x14ac:dyDescent="0.25">
      <c r="A2317" s="3">
        <v>11</v>
      </c>
      <c r="B2317" s="3" t="s">
        <v>470</v>
      </c>
      <c r="C2317" s="3" t="s">
        <v>2747</v>
      </c>
      <c r="I2317" s="3">
        <v>32</v>
      </c>
      <c r="J2317" s="3">
        <v>2</v>
      </c>
      <c r="K2317" s="3">
        <v>1</v>
      </c>
      <c r="L2317" s="3">
        <v>2</v>
      </c>
      <c r="M2317" s="3">
        <v>3710</v>
      </c>
      <c r="N2317" s="3">
        <v>9.8800000000000008</v>
      </c>
      <c r="O2317" s="3">
        <v>6.31</v>
      </c>
      <c r="P2317" s="3">
        <v>62.342800000000004</v>
      </c>
      <c r="Q2317" s="3">
        <f t="shared" si="3"/>
        <v>3710</v>
      </c>
    </row>
    <row r="2318" spans="1:17" ht="24.95" hidden="1" customHeight="1" x14ac:dyDescent="0.25">
      <c r="A2318" s="3">
        <v>11</v>
      </c>
      <c r="B2318" s="3" t="s">
        <v>470</v>
      </c>
      <c r="C2318" s="3" t="s">
        <v>2748</v>
      </c>
      <c r="I2318" s="3">
        <v>32</v>
      </c>
      <c r="J2318" s="3">
        <v>6</v>
      </c>
      <c r="K2318" s="3">
        <v>1</v>
      </c>
      <c r="L2318" s="3">
        <v>6</v>
      </c>
      <c r="M2318" s="3">
        <v>3490</v>
      </c>
      <c r="N2318" s="3">
        <v>22.26</v>
      </c>
      <c r="O2318" s="3">
        <v>6.31</v>
      </c>
      <c r="P2318" s="3">
        <v>140.4606</v>
      </c>
      <c r="Q2318" s="3">
        <f t="shared" si="3"/>
        <v>3490</v>
      </c>
    </row>
    <row r="2319" spans="1:17" ht="24.95" hidden="1" customHeight="1" x14ac:dyDescent="0.25">
      <c r="A2319" s="3">
        <v>13</v>
      </c>
      <c r="B2319" s="3" t="s">
        <v>470</v>
      </c>
      <c r="C2319" s="3" t="s">
        <v>2749</v>
      </c>
      <c r="I2319" s="3">
        <v>20</v>
      </c>
      <c r="J2319" s="3">
        <v>57</v>
      </c>
      <c r="K2319" s="3">
        <v>1</v>
      </c>
      <c r="L2319" s="3">
        <v>57</v>
      </c>
      <c r="M2319" s="3">
        <v>6470</v>
      </c>
      <c r="N2319" s="3">
        <v>198.93</v>
      </c>
      <c r="O2319" s="3">
        <v>2.4700000000000002</v>
      </c>
      <c r="P2319" s="3">
        <v>491.35710000000006</v>
      </c>
      <c r="Q2319" s="3">
        <f t="shared" si="3"/>
        <v>6470</v>
      </c>
    </row>
    <row r="2320" spans="1:17" ht="24.95" hidden="1" customHeight="1" x14ac:dyDescent="0.25">
      <c r="A2320" s="3">
        <v>13</v>
      </c>
      <c r="B2320" s="3" t="s">
        <v>470</v>
      </c>
      <c r="C2320" s="3" t="s">
        <v>2750</v>
      </c>
      <c r="I2320" s="3">
        <v>20</v>
      </c>
      <c r="J2320" s="3">
        <v>57</v>
      </c>
      <c r="K2320" s="3">
        <v>1</v>
      </c>
      <c r="L2320" s="3">
        <v>57</v>
      </c>
      <c r="M2320" s="3">
        <v>2790</v>
      </c>
      <c r="N2320" s="3">
        <v>368.79</v>
      </c>
      <c r="O2320" s="3">
        <v>2.4700000000000002</v>
      </c>
      <c r="P2320" s="3">
        <v>910.9113000000001</v>
      </c>
      <c r="Q2320" s="3">
        <f t="shared" si="3"/>
        <v>2790</v>
      </c>
    </row>
    <row r="2321" spans="1:17" ht="24.95" hidden="1" customHeight="1" x14ac:dyDescent="0.25">
      <c r="A2321" s="3">
        <v>13</v>
      </c>
      <c r="B2321" s="3" t="s">
        <v>470</v>
      </c>
      <c r="C2321" s="3" t="s">
        <v>2751</v>
      </c>
      <c r="I2321" s="3">
        <v>20</v>
      </c>
      <c r="J2321" s="3">
        <v>285</v>
      </c>
      <c r="K2321" s="3">
        <v>1</v>
      </c>
      <c r="L2321" s="3">
        <v>285</v>
      </c>
      <c r="M2321" s="3">
        <v>8110</v>
      </c>
      <c r="N2321" s="3">
        <v>795.15</v>
      </c>
      <c r="O2321" s="3">
        <v>2.4700000000000002</v>
      </c>
      <c r="P2321" s="3">
        <v>1964.0205000000001</v>
      </c>
      <c r="Q2321" s="3">
        <f t="shared" si="3"/>
        <v>8110</v>
      </c>
    </row>
    <row r="2322" spans="1:17" ht="24.95" hidden="1" customHeight="1" x14ac:dyDescent="0.25">
      <c r="A2322" s="3">
        <v>13</v>
      </c>
      <c r="B2322" s="3" t="s">
        <v>470</v>
      </c>
      <c r="C2322" s="3" t="s">
        <v>2752</v>
      </c>
      <c r="I2322" s="3">
        <v>18</v>
      </c>
      <c r="J2322" s="3">
        <v>12</v>
      </c>
      <c r="K2322" s="3">
        <v>1</v>
      </c>
      <c r="L2322" s="3">
        <v>12</v>
      </c>
      <c r="M2322" s="3">
        <v>1970</v>
      </c>
      <c r="N2322" s="3">
        <v>97.32</v>
      </c>
      <c r="O2322" s="3">
        <v>2</v>
      </c>
      <c r="P2322" s="3">
        <v>194.64</v>
      </c>
      <c r="Q2322" s="3">
        <f t="shared" si="3"/>
        <v>1970</v>
      </c>
    </row>
    <row r="2323" spans="1:17" ht="24.95" hidden="1" customHeight="1" x14ac:dyDescent="0.25">
      <c r="A2323" s="3">
        <v>12</v>
      </c>
      <c r="B2323" s="3" t="s">
        <v>470</v>
      </c>
      <c r="C2323" s="3" t="s">
        <v>2753</v>
      </c>
      <c r="I2323" s="3">
        <v>14</v>
      </c>
      <c r="J2323" s="3">
        <v>180</v>
      </c>
      <c r="K2323" s="3">
        <v>1</v>
      </c>
      <c r="L2323" s="3">
        <v>180</v>
      </c>
      <c r="M2323" s="3">
        <v>1690</v>
      </c>
      <c r="N2323" s="3">
        <v>354.6</v>
      </c>
      <c r="O2323" s="3">
        <v>1.21</v>
      </c>
      <c r="P2323" s="3">
        <v>429.06600000000003</v>
      </c>
      <c r="Q2323" s="3">
        <f t="shared" si="3"/>
        <v>1690</v>
      </c>
    </row>
    <row r="2324" spans="1:17" ht="24.95" hidden="1" customHeight="1" x14ac:dyDescent="0.25">
      <c r="A2324" s="3">
        <v>11</v>
      </c>
      <c r="B2324" s="3" t="s">
        <v>470</v>
      </c>
      <c r="C2324" s="3" t="s">
        <v>2754</v>
      </c>
      <c r="I2324" s="3">
        <v>32</v>
      </c>
      <c r="J2324" s="3">
        <v>14</v>
      </c>
      <c r="K2324" s="3">
        <v>1</v>
      </c>
      <c r="L2324" s="3">
        <v>14</v>
      </c>
      <c r="M2324" s="3">
        <v>6270</v>
      </c>
      <c r="N2324" s="3">
        <v>23.66</v>
      </c>
      <c r="O2324" s="3">
        <v>6.31</v>
      </c>
      <c r="P2324" s="3">
        <v>149.2946</v>
      </c>
      <c r="Q2324" s="3">
        <f t="shared" si="3"/>
        <v>6270</v>
      </c>
    </row>
    <row r="2325" spans="1:17" ht="24.95" hidden="1" customHeight="1" x14ac:dyDescent="0.25">
      <c r="A2325" s="3">
        <v>12</v>
      </c>
      <c r="B2325" s="3" t="s">
        <v>470</v>
      </c>
      <c r="C2325" s="3" t="s">
        <v>2755</v>
      </c>
      <c r="I2325" s="3">
        <v>14</v>
      </c>
      <c r="J2325" s="3">
        <v>15</v>
      </c>
      <c r="K2325" s="3">
        <v>1</v>
      </c>
      <c r="L2325" s="3">
        <v>15</v>
      </c>
      <c r="M2325" s="3">
        <v>1390</v>
      </c>
      <c r="N2325" s="3">
        <v>94.05</v>
      </c>
      <c r="O2325" s="3">
        <v>1.21</v>
      </c>
      <c r="P2325" s="3">
        <v>113.8005</v>
      </c>
      <c r="Q2325" s="3">
        <f t="shared" si="3"/>
        <v>1390</v>
      </c>
    </row>
    <row r="2326" spans="1:17" ht="24.95" hidden="1" customHeight="1" x14ac:dyDescent="0.25">
      <c r="A2326" s="3">
        <v>12</v>
      </c>
      <c r="B2326" s="3" t="s">
        <v>470</v>
      </c>
      <c r="C2326" s="3" t="s">
        <v>2756</v>
      </c>
      <c r="I2326" s="3">
        <v>14</v>
      </c>
      <c r="J2326" s="3">
        <v>15</v>
      </c>
      <c r="K2326" s="3">
        <v>1</v>
      </c>
      <c r="L2326" s="3">
        <v>15</v>
      </c>
      <c r="M2326" s="3">
        <v>9000</v>
      </c>
      <c r="N2326" s="3">
        <v>20.85</v>
      </c>
      <c r="O2326" s="3">
        <v>1.21</v>
      </c>
      <c r="P2326" s="3">
        <v>25.2285</v>
      </c>
      <c r="Q2326" s="3">
        <f t="shared" si="3"/>
        <v>9000</v>
      </c>
    </row>
    <row r="2327" spans="1:17" ht="24.95" hidden="1" customHeight="1" x14ac:dyDescent="0.25">
      <c r="A2327" s="3">
        <v>11</v>
      </c>
      <c r="B2327" s="3" t="s">
        <v>471</v>
      </c>
      <c r="C2327" s="3" t="s">
        <v>2757</v>
      </c>
      <c r="I2327" s="3">
        <v>32</v>
      </c>
      <c r="J2327" s="3">
        <v>10</v>
      </c>
      <c r="K2327" s="3">
        <v>1</v>
      </c>
      <c r="L2327" s="3">
        <v>10</v>
      </c>
      <c r="M2327" s="3">
        <v>11700</v>
      </c>
      <c r="N2327" s="3">
        <v>90</v>
      </c>
      <c r="O2327" s="3">
        <v>6.31</v>
      </c>
      <c r="P2327" s="3">
        <v>567.9</v>
      </c>
      <c r="Q2327" s="3">
        <f t="shared" si="3"/>
        <v>11700</v>
      </c>
    </row>
    <row r="2328" spans="1:17" ht="24.95" hidden="1" customHeight="1" x14ac:dyDescent="0.25">
      <c r="A2328" s="3">
        <v>11</v>
      </c>
      <c r="B2328" s="3" t="s">
        <v>471</v>
      </c>
      <c r="C2328" s="3" t="s">
        <v>2758</v>
      </c>
      <c r="I2328" s="3">
        <v>32</v>
      </c>
      <c r="J2328" s="3">
        <v>6</v>
      </c>
      <c r="K2328" s="3">
        <v>1</v>
      </c>
      <c r="L2328" s="3">
        <v>6</v>
      </c>
      <c r="M2328" s="3">
        <v>11700</v>
      </c>
      <c r="N2328" s="3">
        <v>70.2</v>
      </c>
      <c r="O2328" s="3">
        <v>6.31</v>
      </c>
      <c r="P2328" s="3">
        <v>442.96199999999999</v>
      </c>
      <c r="Q2328" s="3">
        <f t="shared" si="3"/>
        <v>11700</v>
      </c>
    </row>
    <row r="2329" spans="1:17" ht="24.95" hidden="1" customHeight="1" x14ac:dyDescent="0.25">
      <c r="A2329" s="3">
        <v>11</v>
      </c>
      <c r="B2329" s="3" t="s">
        <v>471</v>
      </c>
      <c r="C2329" s="3" t="s">
        <v>2759</v>
      </c>
      <c r="I2329" s="3">
        <v>32</v>
      </c>
      <c r="J2329" s="3">
        <v>11</v>
      </c>
      <c r="K2329" s="3">
        <v>1</v>
      </c>
      <c r="L2329" s="3">
        <v>11</v>
      </c>
      <c r="M2329" s="3">
        <v>6690</v>
      </c>
      <c r="N2329" s="3">
        <v>128.69999999999999</v>
      </c>
      <c r="O2329" s="3">
        <v>6.31</v>
      </c>
      <c r="P2329" s="3">
        <v>812.09699999999987</v>
      </c>
      <c r="Q2329" s="3">
        <f t="shared" si="3"/>
        <v>6690</v>
      </c>
    </row>
    <row r="2330" spans="1:17" ht="24.95" hidden="1" customHeight="1" x14ac:dyDescent="0.25">
      <c r="A2330" s="3">
        <v>11</v>
      </c>
      <c r="B2330" s="3" t="s">
        <v>471</v>
      </c>
      <c r="C2330" s="3" t="s">
        <v>2760</v>
      </c>
      <c r="I2330" s="3">
        <v>32</v>
      </c>
      <c r="J2330" s="3">
        <v>4</v>
      </c>
      <c r="K2330" s="3">
        <v>1</v>
      </c>
      <c r="L2330" s="3">
        <v>4</v>
      </c>
      <c r="M2330" s="3">
        <v>4690</v>
      </c>
      <c r="N2330" s="3">
        <v>26.76</v>
      </c>
      <c r="O2330" s="3">
        <v>6.31</v>
      </c>
      <c r="P2330" s="3">
        <v>168.85560000000001</v>
      </c>
      <c r="Q2330" s="3">
        <f t="shared" si="3"/>
        <v>4690</v>
      </c>
    </row>
    <row r="2331" spans="1:17" ht="24.95" hidden="1" customHeight="1" x14ac:dyDescent="0.25">
      <c r="A2331" s="3">
        <v>11</v>
      </c>
      <c r="B2331" s="3" t="s">
        <v>471</v>
      </c>
      <c r="C2331" s="3" t="s">
        <v>2761</v>
      </c>
      <c r="I2331" s="3">
        <v>32</v>
      </c>
      <c r="J2331" s="3">
        <v>5</v>
      </c>
      <c r="K2331" s="3">
        <v>1</v>
      </c>
      <c r="L2331" s="3">
        <v>5</v>
      </c>
      <c r="M2331" s="3">
        <v>11000</v>
      </c>
      <c r="N2331" s="3">
        <v>23.45</v>
      </c>
      <c r="O2331" s="3">
        <v>6.31</v>
      </c>
      <c r="P2331" s="3">
        <v>147.96949999999998</v>
      </c>
      <c r="Q2331" s="3">
        <f t="shared" si="3"/>
        <v>11000</v>
      </c>
    </row>
    <row r="2332" spans="1:17" ht="24.95" hidden="1" customHeight="1" x14ac:dyDescent="0.25">
      <c r="A2332" s="3">
        <v>11</v>
      </c>
      <c r="B2332" s="3" t="s">
        <v>471</v>
      </c>
      <c r="C2332" s="3" t="s">
        <v>2762</v>
      </c>
      <c r="I2332" s="3">
        <v>32</v>
      </c>
      <c r="J2332" s="3">
        <v>11</v>
      </c>
      <c r="K2332" s="3">
        <v>1</v>
      </c>
      <c r="L2332" s="3">
        <v>11</v>
      </c>
      <c r="M2332" s="3">
        <v>11700</v>
      </c>
      <c r="N2332" s="3">
        <v>121</v>
      </c>
      <c r="O2332" s="3">
        <v>6.31</v>
      </c>
      <c r="P2332" s="3">
        <v>763.51</v>
      </c>
      <c r="Q2332" s="3">
        <f t="shared" si="3"/>
        <v>11700</v>
      </c>
    </row>
    <row r="2333" spans="1:17" ht="24.95" hidden="1" customHeight="1" x14ac:dyDescent="0.25">
      <c r="A2333" s="3">
        <v>11</v>
      </c>
      <c r="B2333" s="3" t="s">
        <v>471</v>
      </c>
      <c r="C2333" s="3" t="s">
        <v>2763</v>
      </c>
      <c r="I2333" s="3">
        <v>32</v>
      </c>
      <c r="J2333" s="3">
        <v>10</v>
      </c>
      <c r="K2333" s="3">
        <v>1</v>
      </c>
      <c r="L2333" s="3">
        <v>10</v>
      </c>
      <c r="M2333" s="3">
        <v>5850</v>
      </c>
      <c r="N2333" s="3">
        <v>117</v>
      </c>
      <c r="O2333" s="3">
        <v>6.31</v>
      </c>
      <c r="P2333" s="3">
        <v>738.27</v>
      </c>
      <c r="Q2333" s="3">
        <f t="shared" si="3"/>
        <v>5850</v>
      </c>
    </row>
    <row r="2334" spans="1:17" ht="24.95" hidden="1" customHeight="1" x14ac:dyDescent="0.25">
      <c r="A2334" s="3">
        <v>11</v>
      </c>
      <c r="B2334" s="3" t="s">
        <v>471</v>
      </c>
      <c r="C2334" s="3" t="s">
        <v>2764</v>
      </c>
      <c r="I2334" s="3">
        <v>32</v>
      </c>
      <c r="J2334" s="3">
        <v>6</v>
      </c>
      <c r="K2334" s="3">
        <v>1</v>
      </c>
      <c r="L2334" s="3">
        <v>6</v>
      </c>
      <c r="M2334" s="3">
        <v>9000</v>
      </c>
      <c r="N2334" s="3">
        <v>35.1</v>
      </c>
      <c r="O2334" s="3">
        <v>6.31</v>
      </c>
      <c r="P2334" s="3">
        <v>221.48099999999999</v>
      </c>
      <c r="Q2334" s="3">
        <f t="shared" si="3"/>
        <v>9000</v>
      </c>
    </row>
    <row r="2335" spans="1:17" ht="24.95" hidden="1" customHeight="1" x14ac:dyDescent="0.25">
      <c r="A2335" s="3">
        <v>11</v>
      </c>
      <c r="B2335" s="3" t="s">
        <v>471</v>
      </c>
      <c r="C2335" s="3" t="s">
        <v>2765</v>
      </c>
      <c r="I2335" s="3">
        <v>32</v>
      </c>
      <c r="J2335" s="3">
        <v>11</v>
      </c>
      <c r="K2335" s="3">
        <v>1</v>
      </c>
      <c r="L2335" s="3">
        <v>11</v>
      </c>
      <c r="M2335" s="3">
        <v>11700</v>
      </c>
      <c r="N2335" s="3">
        <v>99</v>
      </c>
      <c r="O2335" s="3">
        <v>6.31</v>
      </c>
      <c r="P2335" s="3">
        <v>624.68999999999994</v>
      </c>
      <c r="Q2335" s="3">
        <f t="shared" si="3"/>
        <v>11700</v>
      </c>
    </row>
    <row r="2336" spans="1:17" ht="24.95" hidden="1" customHeight="1" x14ac:dyDescent="0.25">
      <c r="A2336" s="3">
        <v>11</v>
      </c>
      <c r="B2336" s="3" t="s">
        <v>471</v>
      </c>
      <c r="C2336" s="3" t="s">
        <v>2766</v>
      </c>
      <c r="I2336" s="3">
        <v>32</v>
      </c>
      <c r="J2336" s="3">
        <v>6</v>
      </c>
      <c r="K2336" s="3">
        <v>1</v>
      </c>
      <c r="L2336" s="3">
        <v>6</v>
      </c>
      <c r="M2336" s="3">
        <v>11700</v>
      </c>
      <c r="N2336" s="3">
        <v>70.2</v>
      </c>
      <c r="O2336" s="3">
        <v>6.31</v>
      </c>
      <c r="P2336" s="3">
        <v>442.96199999999999</v>
      </c>
      <c r="Q2336" s="3">
        <f t="shared" si="3"/>
        <v>11700</v>
      </c>
    </row>
    <row r="2337" spans="1:17" ht="24.95" hidden="1" customHeight="1" x14ac:dyDescent="0.25">
      <c r="A2337" s="3">
        <v>11</v>
      </c>
      <c r="B2337" s="3" t="s">
        <v>471</v>
      </c>
      <c r="C2337" s="3" t="s">
        <v>2767</v>
      </c>
      <c r="I2337" s="3">
        <v>32</v>
      </c>
      <c r="J2337" s="3">
        <v>10</v>
      </c>
      <c r="K2337" s="3">
        <v>1</v>
      </c>
      <c r="L2337" s="3">
        <v>10</v>
      </c>
      <c r="M2337" s="3">
        <v>6550</v>
      </c>
      <c r="N2337" s="3">
        <v>117</v>
      </c>
      <c r="O2337" s="3">
        <v>6.31</v>
      </c>
      <c r="P2337" s="3">
        <v>738.27</v>
      </c>
      <c r="Q2337" s="3">
        <f t="shared" si="3"/>
        <v>6550</v>
      </c>
    </row>
    <row r="2338" spans="1:17" ht="24.95" hidden="1" customHeight="1" x14ac:dyDescent="0.25">
      <c r="A2338" s="3">
        <v>11</v>
      </c>
      <c r="B2338" s="3" t="s">
        <v>471</v>
      </c>
      <c r="C2338" s="3" t="s">
        <v>2768</v>
      </c>
      <c r="I2338" s="3">
        <v>32</v>
      </c>
      <c r="J2338" s="3">
        <v>5</v>
      </c>
      <c r="K2338" s="3">
        <v>1</v>
      </c>
      <c r="L2338" s="3">
        <v>5</v>
      </c>
      <c r="M2338" s="3">
        <v>6550</v>
      </c>
      <c r="N2338" s="3">
        <v>32.75</v>
      </c>
      <c r="O2338" s="3">
        <v>6.31</v>
      </c>
      <c r="P2338" s="3">
        <v>206.65249999999997</v>
      </c>
      <c r="Q2338" s="3">
        <f t="shared" si="3"/>
        <v>6550</v>
      </c>
    </row>
    <row r="2339" spans="1:17" ht="24.95" hidden="1" customHeight="1" x14ac:dyDescent="0.25">
      <c r="A2339" s="3">
        <v>9</v>
      </c>
      <c r="B2339" s="3" t="s">
        <v>471</v>
      </c>
      <c r="C2339" s="3" t="s">
        <v>2769</v>
      </c>
      <c r="I2339" s="3">
        <v>32</v>
      </c>
      <c r="J2339" s="3">
        <v>4</v>
      </c>
      <c r="K2339" s="3">
        <v>1</v>
      </c>
      <c r="L2339" s="3">
        <v>4</v>
      </c>
      <c r="M2339" s="3">
        <v>4550</v>
      </c>
      <c r="N2339" s="3">
        <v>18.2</v>
      </c>
      <c r="O2339" s="3">
        <v>6.31</v>
      </c>
      <c r="P2339" s="3">
        <v>114.84199999999998</v>
      </c>
      <c r="Q2339" s="3">
        <v>4550</v>
      </c>
    </row>
    <row r="2340" spans="1:17" ht="24.95" hidden="1" customHeight="1" x14ac:dyDescent="0.25">
      <c r="A2340" s="3">
        <v>9</v>
      </c>
      <c r="B2340" s="3" t="s">
        <v>471</v>
      </c>
      <c r="C2340" s="3" t="s">
        <v>2770</v>
      </c>
      <c r="I2340" s="3">
        <v>32</v>
      </c>
      <c r="J2340" s="3">
        <v>10</v>
      </c>
      <c r="K2340" s="3">
        <v>1</v>
      </c>
      <c r="L2340" s="3">
        <v>10</v>
      </c>
      <c r="M2340" s="3">
        <v>11000</v>
      </c>
      <c r="N2340" s="3">
        <v>110</v>
      </c>
      <c r="O2340" s="3">
        <v>6.31</v>
      </c>
      <c r="P2340" s="3">
        <v>694.09999999999991</v>
      </c>
      <c r="Q2340" s="3">
        <v>11000</v>
      </c>
    </row>
    <row r="2341" spans="1:17" ht="24.95" hidden="1" customHeight="1" x14ac:dyDescent="0.25">
      <c r="A2341" s="3">
        <v>9</v>
      </c>
      <c r="B2341" s="3" t="s">
        <v>471</v>
      </c>
      <c r="C2341" s="3" t="s">
        <v>2771</v>
      </c>
      <c r="I2341" s="3">
        <v>32</v>
      </c>
      <c r="J2341" s="3">
        <v>11</v>
      </c>
      <c r="K2341" s="3">
        <v>1</v>
      </c>
      <c r="L2341" s="3">
        <v>11</v>
      </c>
      <c r="M2341" s="3">
        <v>11700</v>
      </c>
      <c r="N2341" s="3">
        <v>128.69999999999999</v>
      </c>
      <c r="O2341" s="3">
        <v>6.31</v>
      </c>
      <c r="P2341" s="3">
        <v>812.09699999999987</v>
      </c>
      <c r="Q2341" s="3">
        <v>11700</v>
      </c>
    </row>
    <row r="2342" spans="1:17" ht="24.95" hidden="1" customHeight="1" x14ac:dyDescent="0.25">
      <c r="A2342" s="3">
        <v>9</v>
      </c>
      <c r="B2342" s="3" t="s">
        <v>471</v>
      </c>
      <c r="C2342" s="3" t="s">
        <v>2772</v>
      </c>
      <c r="I2342" s="3">
        <v>32</v>
      </c>
      <c r="J2342" s="3">
        <v>6</v>
      </c>
      <c r="K2342" s="3">
        <v>1</v>
      </c>
      <c r="L2342" s="3">
        <v>6</v>
      </c>
      <c r="M2342" s="3">
        <v>5850</v>
      </c>
      <c r="N2342" s="3">
        <v>35.1</v>
      </c>
      <c r="O2342" s="3">
        <v>6.31</v>
      </c>
      <c r="P2342" s="3">
        <v>221.48099999999999</v>
      </c>
      <c r="Q2342" s="3">
        <v>5850</v>
      </c>
    </row>
    <row r="2343" spans="1:17" ht="24.95" hidden="1" customHeight="1" x14ac:dyDescent="0.25">
      <c r="A2343" s="3">
        <v>9</v>
      </c>
      <c r="B2343" s="3" t="s">
        <v>471</v>
      </c>
      <c r="C2343" s="3" t="s">
        <v>2773</v>
      </c>
      <c r="I2343" s="3">
        <v>32</v>
      </c>
      <c r="J2343" s="3">
        <v>3</v>
      </c>
      <c r="K2343" s="3">
        <v>1</v>
      </c>
      <c r="L2343" s="3">
        <v>3</v>
      </c>
      <c r="M2343" s="3">
        <v>9000</v>
      </c>
      <c r="N2343" s="3">
        <v>27</v>
      </c>
      <c r="O2343" s="3">
        <v>6.31</v>
      </c>
      <c r="P2343" s="3">
        <v>170.36999999999998</v>
      </c>
      <c r="Q2343" s="3">
        <v>9000</v>
      </c>
    </row>
    <row r="2344" spans="1:17" ht="24.95" hidden="1" customHeight="1" x14ac:dyDescent="0.25">
      <c r="A2344" s="3">
        <v>9</v>
      </c>
      <c r="B2344" s="3" t="s">
        <v>471</v>
      </c>
      <c r="C2344" s="3" t="s">
        <v>2774</v>
      </c>
      <c r="I2344" s="3">
        <v>32</v>
      </c>
      <c r="J2344" s="3">
        <v>3</v>
      </c>
      <c r="K2344" s="3">
        <v>1</v>
      </c>
      <c r="L2344" s="3">
        <v>3</v>
      </c>
      <c r="M2344" s="3">
        <v>11700</v>
      </c>
      <c r="N2344" s="3">
        <v>35.1</v>
      </c>
      <c r="O2344" s="3">
        <v>6.31</v>
      </c>
      <c r="P2344" s="3">
        <v>221.48099999999999</v>
      </c>
      <c r="Q2344" s="3">
        <v>11700</v>
      </c>
    </row>
    <row r="2345" spans="1:17" ht="24.95" hidden="1" customHeight="1" x14ac:dyDescent="0.25">
      <c r="A2345" s="3">
        <v>9</v>
      </c>
      <c r="B2345" s="3" t="s">
        <v>471</v>
      </c>
      <c r="C2345" s="3" t="s">
        <v>2775</v>
      </c>
      <c r="I2345" s="3">
        <v>32</v>
      </c>
      <c r="J2345" s="3">
        <v>3</v>
      </c>
      <c r="K2345" s="3">
        <v>1</v>
      </c>
      <c r="L2345" s="3">
        <v>3</v>
      </c>
      <c r="M2345" s="3">
        <v>6410</v>
      </c>
      <c r="N2345" s="3">
        <v>19.23</v>
      </c>
      <c r="O2345" s="3">
        <v>6.31</v>
      </c>
      <c r="P2345" s="3">
        <v>121.34129999999999</v>
      </c>
      <c r="Q2345" s="3">
        <v>6410</v>
      </c>
    </row>
    <row r="2346" spans="1:17" ht="24.95" hidden="1" customHeight="1" x14ac:dyDescent="0.25">
      <c r="A2346" s="3">
        <v>9</v>
      </c>
      <c r="B2346" s="3" t="s">
        <v>471</v>
      </c>
      <c r="C2346" s="3" t="s">
        <v>2776</v>
      </c>
      <c r="I2346" s="3">
        <v>32</v>
      </c>
      <c r="J2346" s="3">
        <v>3</v>
      </c>
      <c r="K2346" s="3">
        <v>1</v>
      </c>
      <c r="L2346" s="3">
        <v>3</v>
      </c>
      <c r="M2346" s="3">
        <v>4410</v>
      </c>
      <c r="N2346" s="3">
        <v>13.23</v>
      </c>
      <c r="O2346" s="3">
        <v>6.31</v>
      </c>
      <c r="P2346" s="3">
        <v>83.481300000000005</v>
      </c>
      <c r="Q2346" s="3">
        <v>4410</v>
      </c>
    </row>
    <row r="2347" spans="1:17" ht="24.95" hidden="1" customHeight="1" x14ac:dyDescent="0.25">
      <c r="A2347" s="3">
        <v>9</v>
      </c>
      <c r="B2347" s="3" t="s">
        <v>471</v>
      </c>
      <c r="C2347" s="3" t="s">
        <v>2777</v>
      </c>
      <c r="I2347" s="3">
        <v>32</v>
      </c>
      <c r="J2347" s="3">
        <v>3</v>
      </c>
      <c r="K2347" s="3">
        <v>1</v>
      </c>
      <c r="L2347" s="3">
        <v>3</v>
      </c>
      <c r="M2347" s="3">
        <v>11000</v>
      </c>
      <c r="N2347" s="3">
        <v>33</v>
      </c>
      <c r="O2347" s="3">
        <v>6.31</v>
      </c>
      <c r="P2347" s="3">
        <v>208.23</v>
      </c>
      <c r="Q2347" s="3">
        <v>11000</v>
      </c>
    </row>
    <row r="2348" spans="1:17" ht="24.95" hidden="1" customHeight="1" x14ac:dyDescent="0.25">
      <c r="A2348" s="3">
        <v>9</v>
      </c>
      <c r="B2348" s="3" t="s">
        <v>471</v>
      </c>
      <c r="C2348" s="3" t="s">
        <v>2778</v>
      </c>
      <c r="I2348" s="3">
        <v>32</v>
      </c>
      <c r="J2348" s="3">
        <v>3</v>
      </c>
      <c r="K2348" s="3">
        <v>1</v>
      </c>
      <c r="L2348" s="3">
        <v>3</v>
      </c>
      <c r="M2348" s="3">
        <v>11700</v>
      </c>
      <c r="N2348" s="3">
        <v>35.1</v>
      </c>
      <c r="O2348" s="3">
        <v>6.31</v>
      </c>
      <c r="P2348" s="3">
        <v>221.48099999999999</v>
      </c>
      <c r="Q2348" s="3">
        <v>11700</v>
      </c>
    </row>
    <row r="2349" spans="1:17" ht="24.95" hidden="1" customHeight="1" x14ac:dyDescent="0.25">
      <c r="A2349" s="3">
        <v>9</v>
      </c>
      <c r="B2349" s="3" t="s">
        <v>471</v>
      </c>
      <c r="C2349" s="3" t="s">
        <v>2779</v>
      </c>
      <c r="I2349" s="3">
        <v>32</v>
      </c>
      <c r="J2349" s="3">
        <v>4</v>
      </c>
      <c r="K2349" s="3">
        <v>1</v>
      </c>
      <c r="L2349" s="3">
        <v>4</v>
      </c>
      <c r="M2349" s="3">
        <v>7800</v>
      </c>
      <c r="N2349" s="3">
        <v>31.2</v>
      </c>
      <c r="O2349" s="3">
        <v>6.31</v>
      </c>
      <c r="P2349" s="3">
        <v>196.87199999999999</v>
      </c>
      <c r="Q2349" s="3">
        <v>7800</v>
      </c>
    </row>
    <row r="2350" spans="1:17" ht="24.95" hidden="1" customHeight="1" x14ac:dyDescent="0.25">
      <c r="A2350" s="3">
        <v>9</v>
      </c>
      <c r="B2350" s="3" t="s">
        <v>471</v>
      </c>
      <c r="C2350" s="3" t="s">
        <v>2780</v>
      </c>
      <c r="I2350" s="3">
        <v>32</v>
      </c>
      <c r="J2350" s="3">
        <v>18</v>
      </c>
      <c r="K2350" s="3">
        <v>1</v>
      </c>
      <c r="L2350" s="3">
        <v>18</v>
      </c>
      <c r="M2350" s="3">
        <v>11700</v>
      </c>
      <c r="N2350" s="3">
        <v>210.6</v>
      </c>
      <c r="O2350" s="3">
        <v>6.31</v>
      </c>
      <c r="P2350" s="3">
        <v>1328.886</v>
      </c>
      <c r="Q2350" s="3">
        <v>11700</v>
      </c>
    </row>
    <row r="2351" spans="1:17" ht="24.95" hidden="1" customHeight="1" x14ac:dyDescent="0.25">
      <c r="A2351" s="3">
        <v>9</v>
      </c>
      <c r="B2351" s="3" t="s">
        <v>471</v>
      </c>
      <c r="C2351" s="3" t="s">
        <v>2781</v>
      </c>
      <c r="I2351" s="3">
        <v>32</v>
      </c>
      <c r="J2351" s="3">
        <v>11</v>
      </c>
      <c r="K2351" s="3">
        <v>1</v>
      </c>
      <c r="L2351" s="3">
        <v>11</v>
      </c>
      <c r="M2351" s="3">
        <v>6750</v>
      </c>
      <c r="N2351" s="3">
        <v>74.25</v>
      </c>
      <c r="O2351" s="3">
        <v>6.31</v>
      </c>
      <c r="P2351" s="3">
        <v>468.51749999999998</v>
      </c>
      <c r="Q2351" s="3">
        <v>6750</v>
      </c>
    </row>
    <row r="2352" spans="1:17" ht="24.95" hidden="1" customHeight="1" x14ac:dyDescent="0.25">
      <c r="A2352" s="3">
        <v>9</v>
      </c>
      <c r="B2352" s="3" t="s">
        <v>471</v>
      </c>
      <c r="C2352" s="3" t="s">
        <v>2782</v>
      </c>
      <c r="I2352" s="3">
        <v>32</v>
      </c>
      <c r="J2352" s="3">
        <v>10</v>
      </c>
      <c r="K2352" s="3">
        <v>1</v>
      </c>
      <c r="L2352" s="3">
        <v>10</v>
      </c>
      <c r="M2352" s="3">
        <v>8590</v>
      </c>
      <c r="N2352" s="3">
        <v>85.9</v>
      </c>
      <c r="O2352" s="3">
        <v>6.31</v>
      </c>
      <c r="P2352" s="3">
        <v>542.029</v>
      </c>
      <c r="Q2352" s="3">
        <v>8590</v>
      </c>
    </row>
    <row r="2353" spans="1:17" ht="24.95" hidden="1" customHeight="1" x14ac:dyDescent="0.25">
      <c r="A2353" s="3">
        <v>9</v>
      </c>
      <c r="B2353" s="3" t="s">
        <v>471</v>
      </c>
      <c r="C2353" s="3" t="s">
        <v>2783</v>
      </c>
      <c r="I2353" s="3">
        <v>32</v>
      </c>
      <c r="J2353" s="3">
        <v>4</v>
      </c>
      <c r="K2353" s="3">
        <v>1</v>
      </c>
      <c r="L2353" s="3">
        <v>4</v>
      </c>
      <c r="M2353" s="3">
        <v>8940</v>
      </c>
      <c r="N2353" s="3">
        <v>35.76</v>
      </c>
      <c r="O2353" s="3">
        <v>6.31</v>
      </c>
      <c r="P2353" s="3">
        <v>225.64559999999997</v>
      </c>
      <c r="Q2353" s="3">
        <v>8940</v>
      </c>
    </row>
    <row r="2354" spans="1:17" ht="24.95" hidden="1" customHeight="1" x14ac:dyDescent="0.25">
      <c r="A2354" s="3">
        <v>9</v>
      </c>
      <c r="B2354" s="3" t="s">
        <v>471</v>
      </c>
      <c r="C2354" s="3" t="s">
        <v>2784</v>
      </c>
      <c r="I2354" s="3">
        <v>32</v>
      </c>
      <c r="J2354" s="3">
        <v>4</v>
      </c>
      <c r="K2354" s="3">
        <v>1</v>
      </c>
      <c r="L2354" s="3">
        <v>4</v>
      </c>
      <c r="M2354" s="3">
        <v>11000</v>
      </c>
      <c r="N2354" s="3">
        <v>44</v>
      </c>
      <c r="O2354" s="3">
        <v>6.31</v>
      </c>
      <c r="P2354" s="3">
        <v>277.64</v>
      </c>
      <c r="Q2354" s="3">
        <v>11000</v>
      </c>
    </row>
    <row r="2355" spans="1:17" ht="24.95" hidden="1" customHeight="1" x14ac:dyDescent="0.25">
      <c r="A2355" s="3">
        <v>9</v>
      </c>
      <c r="B2355" s="3" t="s">
        <v>471</v>
      </c>
      <c r="C2355" s="3" t="s">
        <v>2785</v>
      </c>
      <c r="I2355" s="3">
        <v>32</v>
      </c>
      <c r="J2355" s="3">
        <v>6</v>
      </c>
      <c r="K2355" s="3">
        <v>1</v>
      </c>
      <c r="L2355" s="3">
        <v>6</v>
      </c>
      <c r="M2355" s="3">
        <v>8800</v>
      </c>
      <c r="N2355" s="3">
        <v>52.8</v>
      </c>
      <c r="O2355" s="3">
        <v>6.31</v>
      </c>
      <c r="P2355" s="3">
        <v>333.16799999999995</v>
      </c>
      <c r="Q2355" s="3">
        <v>8800</v>
      </c>
    </row>
    <row r="2356" spans="1:17" ht="24.95" hidden="1" customHeight="1" x14ac:dyDescent="0.25">
      <c r="A2356" s="3">
        <v>9</v>
      </c>
      <c r="B2356" s="3" t="s">
        <v>471</v>
      </c>
      <c r="C2356" s="3" t="s">
        <v>2786</v>
      </c>
      <c r="I2356" s="3">
        <v>32</v>
      </c>
      <c r="J2356" s="3">
        <v>6</v>
      </c>
      <c r="K2356" s="3">
        <v>1</v>
      </c>
      <c r="L2356" s="3">
        <v>6</v>
      </c>
      <c r="M2356" s="3">
        <v>7800</v>
      </c>
      <c r="N2356" s="3">
        <v>46.8</v>
      </c>
      <c r="O2356" s="3">
        <v>6.31</v>
      </c>
      <c r="P2356" s="3">
        <v>295.30799999999994</v>
      </c>
      <c r="Q2356" s="3">
        <v>7800</v>
      </c>
    </row>
    <row r="2357" spans="1:17" ht="24.95" hidden="1" customHeight="1" x14ac:dyDescent="0.25">
      <c r="A2357" s="3">
        <v>9</v>
      </c>
      <c r="B2357" s="3" t="s">
        <v>471</v>
      </c>
      <c r="C2357" s="3" t="s">
        <v>2787</v>
      </c>
      <c r="I2357" s="3">
        <v>32</v>
      </c>
      <c r="J2357" s="3">
        <v>6</v>
      </c>
      <c r="K2357" s="3">
        <v>1</v>
      </c>
      <c r="L2357" s="3">
        <v>6</v>
      </c>
      <c r="M2357" s="3">
        <v>8160</v>
      </c>
      <c r="N2357" s="3">
        <v>48.96</v>
      </c>
      <c r="O2357" s="3">
        <v>6.31</v>
      </c>
      <c r="P2357" s="3">
        <v>308.93759999999997</v>
      </c>
      <c r="Q2357" s="3">
        <v>8160</v>
      </c>
    </row>
    <row r="2358" spans="1:17" ht="24.95" hidden="1" customHeight="1" x14ac:dyDescent="0.25">
      <c r="A2358" s="3">
        <v>9</v>
      </c>
      <c r="B2358" s="3" t="s">
        <v>471</v>
      </c>
      <c r="C2358" s="3" t="s">
        <v>2788</v>
      </c>
      <c r="I2358" s="3">
        <v>32</v>
      </c>
      <c r="J2358" s="3">
        <v>5</v>
      </c>
      <c r="K2358" s="3">
        <v>1</v>
      </c>
      <c r="L2358" s="3">
        <v>5</v>
      </c>
      <c r="M2358" s="3">
        <v>7010</v>
      </c>
      <c r="N2358" s="3">
        <v>35.049999999999997</v>
      </c>
      <c r="O2358" s="3">
        <v>6.31</v>
      </c>
      <c r="P2358" s="3">
        <v>221.16549999999998</v>
      </c>
      <c r="Q2358" s="3">
        <v>7010</v>
      </c>
    </row>
    <row r="2359" spans="1:17" ht="24.95" hidden="1" customHeight="1" x14ac:dyDescent="0.25">
      <c r="A2359" s="3">
        <v>9</v>
      </c>
      <c r="B2359" s="3" t="s">
        <v>471</v>
      </c>
      <c r="C2359" s="3" t="s">
        <v>2789</v>
      </c>
      <c r="I2359" s="3">
        <v>32</v>
      </c>
      <c r="J2359" s="3">
        <v>6</v>
      </c>
      <c r="K2359" s="3">
        <v>1</v>
      </c>
      <c r="L2359" s="3">
        <v>6</v>
      </c>
      <c r="M2359" s="3">
        <v>7750</v>
      </c>
      <c r="N2359" s="3">
        <v>46.5</v>
      </c>
      <c r="O2359" s="3">
        <v>6.31</v>
      </c>
      <c r="P2359" s="3">
        <v>293.41499999999996</v>
      </c>
      <c r="Q2359" s="3">
        <v>7750</v>
      </c>
    </row>
    <row r="2360" spans="1:17" ht="24.95" hidden="1" customHeight="1" x14ac:dyDescent="0.25">
      <c r="A2360" s="3">
        <v>9</v>
      </c>
      <c r="B2360" s="3" t="s">
        <v>471</v>
      </c>
      <c r="C2360" s="3" t="s">
        <v>2790</v>
      </c>
      <c r="I2360" s="3">
        <v>32</v>
      </c>
      <c r="J2360" s="3">
        <v>21</v>
      </c>
      <c r="K2360" s="3">
        <v>1</v>
      </c>
      <c r="L2360" s="3">
        <v>21</v>
      </c>
      <c r="M2360" s="3">
        <v>4950</v>
      </c>
      <c r="N2360" s="3">
        <v>103.95</v>
      </c>
      <c r="O2360" s="3">
        <v>6.31</v>
      </c>
      <c r="P2360" s="3">
        <v>655.92449999999997</v>
      </c>
      <c r="Q2360" s="3">
        <v>4950</v>
      </c>
    </row>
    <row r="2361" spans="1:17" ht="24.95" hidden="1" customHeight="1" x14ac:dyDescent="0.25">
      <c r="A2361" s="3">
        <v>9</v>
      </c>
      <c r="B2361" s="3" t="s">
        <v>471</v>
      </c>
      <c r="C2361" s="3" t="s">
        <v>2791</v>
      </c>
      <c r="I2361" s="3">
        <v>20</v>
      </c>
      <c r="J2361" s="3">
        <v>118</v>
      </c>
      <c r="K2361" s="3">
        <v>1</v>
      </c>
      <c r="L2361" s="3">
        <v>118</v>
      </c>
      <c r="M2361" s="3">
        <v>4890</v>
      </c>
      <c r="N2361" s="3">
        <v>577.02</v>
      </c>
      <c r="O2361" s="3">
        <v>2.4700000000000002</v>
      </c>
      <c r="P2361" s="3">
        <v>1425.2394000000002</v>
      </c>
      <c r="Q2361" s="3">
        <v>4890</v>
      </c>
    </row>
    <row r="2362" spans="1:17" ht="24.95" hidden="1" customHeight="1" x14ac:dyDescent="0.25">
      <c r="A2362" s="3">
        <v>9</v>
      </c>
      <c r="B2362" s="3" t="s">
        <v>471</v>
      </c>
      <c r="C2362" s="3" t="s">
        <v>2792</v>
      </c>
      <c r="I2362" s="3">
        <v>20</v>
      </c>
      <c r="J2362" s="3">
        <v>118</v>
      </c>
      <c r="K2362" s="3">
        <v>1</v>
      </c>
      <c r="L2362" s="3">
        <v>118</v>
      </c>
      <c r="M2362" s="3">
        <v>7870</v>
      </c>
      <c r="N2362" s="3">
        <v>928.66</v>
      </c>
      <c r="O2362" s="3">
        <v>2.4700000000000002</v>
      </c>
      <c r="P2362" s="3">
        <v>2293.7901999999999</v>
      </c>
      <c r="Q2362" s="3">
        <v>7870</v>
      </c>
    </row>
    <row r="2363" spans="1:17" ht="24.95" hidden="1" customHeight="1" x14ac:dyDescent="0.25">
      <c r="A2363" s="3">
        <v>9</v>
      </c>
      <c r="B2363" s="3" t="s">
        <v>471</v>
      </c>
      <c r="C2363" s="3" t="s">
        <v>2793</v>
      </c>
      <c r="I2363" s="3">
        <v>20</v>
      </c>
      <c r="J2363" s="3">
        <v>1062</v>
      </c>
      <c r="K2363" s="3">
        <v>1</v>
      </c>
      <c r="L2363" s="3">
        <v>1062</v>
      </c>
      <c r="M2363" s="3">
        <v>2790</v>
      </c>
      <c r="N2363" s="3">
        <v>2962.98</v>
      </c>
      <c r="O2363" s="3">
        <v>2.4700000000000002</v>
      </c>
      <c r="P2363" s="3">
        <v>7318.5606000000007</v>
      </c>
      <c r="Q2363" s="3">
        <v>2790</v>
      </c>
    </row>
    <row r="2364" spans="1:17" ht="24.95" hidden="1" customHeight="1" x14ac:dyDescent="0.25">
      <c r="A2364" s="3">
        <v>9</v>
      </c>
      <c r="B2364" s="3" t="s">
        <v>471</v>
      </c>
      <c r="C2364" s="3" t="s">
        <v>2794</v>
      </c>
      <c r="I2364" s="3">
        <v>18</v>
      </c>
      <c r="J2364" s="3">
        <v>3</v>
      </c>
      <c r="K2364" s="3">
        <v>1</v>
      </c>
      <c r="L2364" s="3">
        <v>3</v>
      </c>
      <c r="M2364" s="3">
        <v>11700</v>
      </c>
      <c r="N2364" s="3">
        <v>35.1</v>
      </c>
      <c r="O2364" s="3">
        <v>2</v>
      </c>
      <c r="P2364" s="3">
        <v>70.2</v>
      </c>
      <c r="Q2364" s="3">
        <v>11700</v>
      </c>
    </row>
    <row r="2365" spans="1:17" ht="24.95" hidden="1" customHeight="1" x14ac:dyDescent="0.25">
      <c r="A2365" s="3">
        <v>9</v>
      </c>
      <c r="B2365" s="3" t="s">
        <v>471</v>
      </c>
      <c r="C2365" s="3" t="s">
        <v>2795</v>
      </c>
      <c r="I2365" s="3">
        <v>18</v>
      </c>
      <c r="J2365" s="3">
        <v>9</v>
      </c>
      <c r="K2365" s="3">
        <v>1</v>
      </c>
      <c r="L2365" s="3">
        <v>9</v>
      </c>
      <c r="M2365" s="3">
        <v>11700</v>
      </c>
      <c r="N2365" s="3">
        <v>105.3</v>
      </c>
      <c r="O2365" s="3">
        <v>2</v>
      </c>
      <c r="P2365" s="3">
        <v>210.6</v>
      </c>
      <c r="Q2365" s="3">
        <v>11700</v>
      </c>
    </row>
    <row r="2366" spans="1:17" ht="24.95" hidden="1" customHeight="1" x14ac:dyDescent="0.25">
      <c r="A2366" s="3">
        <v>9</v>
      </c>
      <c r="B2366" s="3" t="s">
        <v>471</v>
      </c>
      <c r="C2366" s="3" t="s">
        <v>2796</v>
      </c>
      <c r="I2366" s="3">
        <v>18</v>
      </c>
      <c r="J2366" s="3">
        <v>6</v>
      </c>
      <c r="K2366" s="3">
        <v>1</v>
      </c>
      <c r="L2366" s="3">
        <v>6</v>
      </c>
      <c r="M2366" s="3">
        <v>11700</v>
      </c>
      <c r="N2366" s="3">
        <v>70.2</v>
      </c>
      <c r="O2366" s="3">
        <v>2</v>
      </c>
      <c r="P2366" s="3">
        <v>140.4</v>
      </c>
      <c r="Q2366" s="3">
        <v>11700</v>
      </c>
    </row>
    <row r="2367" spans="1:17" ht="24.95" hidden="1" customHeight="1" x14ac:dyDescent="0.25">
      <c r="A2367" s="3">
        <v>9</v>
      </c>
      <c r="B2367" s="3" t="s">
        <v>471</v>
      </c>
      <c r="C2367" s="3" t="s">
        <v>2797</v>
      </c>
      <c r="I2367" s="3">
        <v>18</v>
      </c>
      <c r="J2367" s="3">
        <v>3</v>
      </c>
      <c r="K2367" s="3">
        <v>1</v>
      </c>
      <c r="L2367" s="3">
        <v>3</v>
      </c>
      <c r="M2367" s="3">
        <v>6730</v>
      </c>
      <c r="N2367" s="3">
        <v>20.190000000000001</v>
      </c>
      <c r="O2367" s="3">
        <v>2</v>
      </c>
      <c r="P2367" s="3">
        <v>40.380000000000003</v>
      </c>
      <c r="Q2367" s="3">
        <v>6730</v>
      </c>
    </row>
    <row r="2368" spans="1:17" ht="24.95" hidden="1" customHeight="1" x14ac:dyDescent="0.25">
      <c r="A2368" s="3">
        <v>9</v>
      </c>
      <c r="B2368" s="3" t="s">
        <v>471</v>
      </c>
      <c r="C2368" s="3" t="s">
        <v>2798</v>
      </c>
      <c r="I2368" s="3">
        <v>18</v>
      </c>
      <c r="J2368" s="3">
        <v>3</v>
      </c>
      <c r="K2368" s="3">
        <v>1</v>
      </c>
      <c r="L2368" s="3">
        <v>3</v>
      </c>
      <c r="M2368" s="3">
        <v>8810</v>
      </c>
      <c r="N2368" s="3">
        <v>26.43</v>
      </c>
      <c r="O2368" s="3">
        <v>2</v>
      </c>
      <c r="P2368" s="3">
        <v>52.86</v>
      </c>
      <c r="Q2368" s="3">
        <v>8810</v>
      </c>
    </row>
    <row r="2369" spans="1:17" ht="24.95" hidden="1" customHeight="1" x14ac:dyDescent="0.25">
      <c r="A2369" s="3">
        <v>9</v>
      </c>
      <c r="B2369" s="3" t="s">
        <v>471</v>
      </c>
      <c r="C2369" s="3" t="s">
        <v>2799</v>
      </c>
      <c r="I2369" s="3">
        <v>18</v>
      </c>
      <c r="J2369" s="3">
        <v>3</v>
      </c>
      <c r="K2369" s="3">
        <v>1</v>
      </c>
      <c r="L2369" s="3">
        <v>3</v>
      </c>
      <c r="M2369" s="3">
        <v>4970</v>
      </c>
      <c r="N2369" s="3">
        <v>14.91</v>
      </c>
      <c r="O2369" s="3">
        <v>2</v>
      </c>
      <c r="P2369" s="3">
        <v>29.82</v>
      </c>
      <c r="Q2369" s="3">
        <v>4970</v>
      </c>
    </row>
    <row r="2370" spans="1:17" ht="24.95" hidden="1" customHeight="1" x14ac:dyDescent="0.25">
      <c r="A2370" s="3">
        <v>9</v>
      </c>
      <c r="B2370" s="3" t="s">
        <v>471</v>
      </c>
      <c r="C2370" s="3" t="s">
        <v>2800</v>
      </c>
      <c r="I2370" s="3">
        <v>18</v>
      </c>
      <c r="J2370" s="3">
        <v>3</v>
      </c>
      <c r="K2370" s="3">
        <v>1</v>
      </c>
      <c r="L2370" s="3">
        <v>3</v>
      </c>
      <c r="M2370" s="3">
        <v>2890</v>
      </c>
      <c r="N2370" s="3">
        <v>8.67</v>
      </c>
      <c r="O2370" s="3">
        <v>2</v>
      </c>
      <c r="P2370" s="3">
        <v>17.34</v>
      </c>
      <c r="Q2370" s="3">
        <v>2890</v>
      </c>
    </row>
    <row r="2371" spans="1:17" ht="24.95" hidden="1" customHeight="1" x14ac:dyDescent="0.25">
      <c r="A2371" s="3">
        <v>9</v>
      </c>
      <c r="B2371" s="3" t="s">
        <v>471</v>
      </c>
      <c r="C2371" s="3" t="s">
        <v>2801</v>
      </c>
      <c r="I2371" s="3">
        <v>14</v>
      </c>
      <c r="J2371" s="3">
        <v>366</v>
      </c>
      <c r="K2371" s="3">
        <v>1</v>
      </c>
      <c r="L2371" s="3">
        <v>366</v>
      </c>
      <c r="M2371" s="3">
        <v>3370</v>
      </c>
      <c r="N2371" s="3">
        <v>1233.42</v>
      </c>
      <c r="O2371" s="3">
        <v>1.21</v>
      </c>
      <c r="P2371" s="3">
        <v>1492.4382000000001</v>
      </c>
      <c r="Q2371" s="3">
        <v>3370</v>
      </c>
    </row>
    <row r="2372" spans="1:17" ht="24.95" hidden="1" customHeight="1" x14ac:dyDescent="0.25">
      <c r="A2372" s="3">
        <v>9</v>
      </c>
      <c r="B2372" s="3" t="s">
        <v>471</v>
      </c>
      <c r="C2372" s="3" t="s">
        <v>2802</v>
      </c>
      <c r="I2372" s="3">
        <v>14</v>
      </c>
      <c r="J2372" s="3">
        <v>12</v>
      </c>
      <c r="K2372" s="3">
        <v>1</v>
      </c>
      <c r="L2372" s="3">
        <v>12</v>
      </c>
      <c r="M2372" s="3">
        <v>8630</v>
      </c>
      <c r="N2372" s="3">
        <v>103.56</v>
      </c>
      <c r="O2372" s="3">
        <v>1.21</v>
      </c>
      <c r="P2372" s="3">
        <v>125.30759999999999</v>
      </c>
      <c r="Q2372" s="3">
        <v>8630</v>
      </c>
    </row>
    <row r="2373" spans="1:17" ht="24.95" hidden="1" customHeight="1" x14ac:dyDescent="0.25">
      <c r="A2373" s="3">
        <v>9</v>
      </c>
      <c r="B2373" s="3" t="s">
        <v>471</v>
      </c>
      <c r="C2373" s="3" t="s">
        <v>2803</v>
      </c>
      <c r="I2373" s="3">
        <v>14</v>
      </c>
      <c r="J2373" s="3">
        <v>72</v>
      </c>
      <c r="K2373" s="3">
        <v>1</v>
      </c>
      <c r="L2373" s="3">
        <v>72</v>
      </c>
      <c r="M2373" s="3">
        <v>11700</v>
      </c>
      <c r="N2373" s="3">
        <v>842.4</v>
      </c>
      <c r="O2373" s="3">
        <v>1.21</v>
      </c>
      <c r="P2373" s="3">
        <v>1019.304</v>
      </c>
      <c r="Q2373" s="3">
        <v>11700</v>
      </c>
    </row>
    <row r="2374" spans="1:17" ht="24.95" hidden="1" customHeight="1" x14ac:dyDescent="0.25">
      <c r="A2374" s="3">
        <v>9</v>
      </c>
      <c r="B2374" s="3" t="s">
        <v>471</v>
      </c>
      <c r="C2374" s="3" t="s">
        <v>2804</v>
      </c>
      <c r="I2374" s="3">
        <v>14</v>
      </c>
      <c r="J2374" s="3">
        <v>12</v>
      </c>
      <c r="K2374" s="3">
        <v>1</v>
      </c>
      <c r="L2374" s="3">
        <v>12</v>
      </c>
      <c r="M2374" s="3">
        <v>11700</v>
      </c>
      <c r="N2374" s="3">
        <v>140.4</v>
      </c>
      <c r="O2374" s="3">
        <v>1.21</v>
      </c>
      <c r="P2374" s="3">
        <v>169.88400000000001</v>
      </c>
      <c r="Q2374" s="3">
        <v>11700</v>
      </c>
    </row>
    <row r="2375" spans="1:17" ht="24.95" hidden="1" customHeight="1" x14ac:dyDescent="0.25">
      <c r="A2375" s="3">
        <v>9</v>
      </c>
      <c r="B2375" s="3" t="s">
        <v>471</v>
      </c>
      <c r="C2375" s="3" t="s">
        <v>2805</v>
      </c>
      <c r="I2375" s="3">
        <v>14</v>
      </c>
      <c r="J2375" s="3">
        <v>12</v>
      </c>
      <c r="K2375" s="3">
        <v>1</v>
      </c>
      <c r="L2375" s="3">
        <v>12</v>
      </c>
      <c r="M2375" s="3">
        <v>6190</v>
      </c>
      <c r="N2375" s="3">
        <v>74.28</v>
      </c>
      <c r="O2375" s="3">
        <v>1.21</v>
      </c>
      <c r="P2375" s="3">
        <v>89.878799999999998</v>
      </c>
      <c r="Q2375" s="3">
        <v>6190</v>
      </c>
    </row>
    <row r="2376" spans="1:17" ht="24.95" hidden="1" customHeight="1" x14ac:dyDescent="0.25">
      <c r="A2376" s="3">
        <v>9</v>
      </c>
      <c r="B2376" s="3" t="s">
        <v>471</v>
      </c>
      <c r="C2376" s="3" t="s">
        <v>2806</v>
      </c>
      <c r="I2376" s="3">
        <v>14</v>
      </c>
      <c r="J2376" s="3">
        <v>12</v>
      </c>
      <c r="K2376" s="3">
        <v>1</v>
      </c>
      <c r="L2376" s="3">
        <v>12</v>
      </c>
      <c r="M2376" s="3">
        <v>3070</v>
      </c>
      <c r="N2376" s="3">
        <v>36.840000000000003</v>
      </c>
      <c r="O2376" s="3">
        <v>1.21</v>
      </c>
      <c r="P2376" s="3">
        <v>44.5764</v>
      </c>
      <c r="Q2376" s="3">
        <v>3070</v>
      </c>
    </row>
    <row r="2377" spans="1:17" ht="24.95" hidden="1" customHeight="1" x14ac:dyDescent="0.25">
      <c r="A2377" s="3">
        <v>9</v>
      </c>
      <c r="B2377" s="3" t="s">
        <v>471</v>
      </c>
      <c r="C2377" s="3" t="s">
        <v>2807</v>
      </c>
      <c r="I2377" s="3">
        <v>14</v>
      </c>
      <c r="J2377" s="3">
        <v>15</v>
      </c>
      <c r="K2377" s="3">
        <v>1</v>
      </c>
      <c r="L2377" s="3">
        <v>15</v>
      </c>
      <c r="M2377" s="3">
        <v>5510</v>
      </c>
      <c r="N2377" s="3">
        <v>82.65</v>
      </c>
      <c r="O2377" s="3">
        <v>1.21</v>
      </c>
      <c r="P2377" s="3">
        <v>100.0065</v>
      </c>
      <c r="Q2377" s="3">
        <v>5510</v>
      </c>
    </row>
    <row r="2378" spans="1:17" ht="24.95" hidden="1" customHeight="1" x14ac:dyDescent="0.25">
      <c r="A2378" s="3">
        <v>9</v>
      </c>
      <c r="B2378" s="3" t="s">
        <v>471</v>
      </c>
      <c r="C2378" s="3" t="s">
        <v>2808</v>
      </c>
      <c r="I2378" s="3">
        <v>32</v>
      </c>
      <c r="J2378" s="3">
        <v>17</v>
      </c>
      <c r="K2378" s="3">
        <v>1</v>
      </c>
      <c r="L2378" s="3">
        <v>17</v>
      </c>
      <c r="M2378" s="3">
        <v>3090</v>
      </c>
      <c r="N2378" s="3">
        <v>52.53</v>
      </c>
      <c r="O2378" s="3">
        <v>6.31</v>
      </c>
      <c r="P2378" s="3">
        <v>331.46429999999998</v>
      </c>
      <c r="Q2378" s="3">
        <v>3090</v>
      </c>
    </row>
    <row r="2379" spans="1:17" ht="24.95" hidden="1" customHeight="1" x14ac:dyDescent="0.25">
      <c r="A2379" s="3">
        <v>9</v>
      </c>
      <c r="B2379" s="3" t="s">
        <v>472</v>
      </c>
      <c r="C2379" s="3" t="s">
        <v>2809</v>
      </c>
      <c r="I2379" s="3">
        <v>32</v>
      </c>
      <c r="J2379" s="3">
        <v>7</v>
      </c>
      <c r="K2379" s="3">
        <v>1</v>
      </c>
      <c r="L2379" s="3">
        <v>7</v>
      </c>
      <c r="M2379" s="3">
        <v>11700</v>
      </c>
      <c r="N2379" s="3">
        <v>81.900000000000006</v>
      </c>
      <c r="O2379" s="3">
        <v>6.31</v>
      </c>
      <c r="P2379" s="3">
        <v>516.78899999999999</v>
      </c>
      <c r="Q2379" s="3">
        <v>11700</v>
      </c>
    </row>
    <row r="2380" spans="1:17" ht="24.95" hidden="1" customHeight="1" x14ac:dyDescent="0.25">
      <c r="A2380" s="3">
        <v>9</v>
      </c>
      <c r="B2380" s="3" t="s">
        <v>472</v>
      </c>
      <c r="C2380" s="3" t="s">
        <v>2810</v>
      </c>
      <c r="I2380" s="3">
        <v>32</v>
      </c>
      <c r="J2380" s="3">
        <v>7</v>
      </c>
      <c r="K2380" s="3">
        <v>1</v>
      </c>
      <c r="L2380" s="3">
        <v>7</v>
      </c>
      <c r="M2380" s="3">
        <v>3700</v>
      </c>
      <c r="N2380" s="3">
        <v>25.9</v>
      </c>
      <c r="O2380" s="3">
        <v>6.31</v>
      </c>
      <c r="P2380" s="3">
        <v>163.42899999999997</v>
      </c>
      <c r="Q2380" s="3">
        <v>3700</v>
      </c>
    </row>
    <row r="2381" spans="1:17" ht="24.95" hidden="1" customHeight="1" x14ac:dyDescent="0.25">
      <c r="A2381" s="3">
        <v>9</v>
      </c>
      <c r="B2381" s="3" t="s">
        <v>472</v>
      </c>
      <c r="C2381" s="3" t="s">
        <v>2811</v>
      </c>
      <c r="I2381" s="3">
        <v>32</v>
      </c>
      <c r="J2381" s="3">
        <v>7</v>
      </c>
      <c r="K2381" s="3">
        <v>1</v>
      </c>
      <c r="L2381" s="3">
        <v>7</v>
      </c>
      <c r="M2381" s="3">
        <v>4040</v>
      </c>
      <c r="N2381" s="3">
        <v>28.28</v>
      </c>
      <c r="O2381" s="3">
        <v>6.31</v>
      </c>
      <c r="P2381" s="3">
        <v>178.4468</v>
      </c>
      <c r="Q2381" s="3">
        <v>4040</v>
      </c>
    </row>
    <row r="2382" spans="1:17" ht="24.95" hidden="1" customHeight="1" x14ac:dyDescent="0.25">
      <c r="A2382" s="3">
        <v>9</v>
      </c>
      <c r="B2382" s="3" t="s">
        <v>472</v>
      </c>
      <c r="C2382" s="3" t="s">
        <v>2812</v>
      </c>
      <c r="I2382" s="3">
        <v>32</v>
      </c>
      <c r="J2382" s="3">
        <v>6</v>
      </c>
      <c r="K2382" s="3">
        <v>1</v>
      </c>
      <c r="L2382" s="3">
        <v>6</v>
      </c>
      <c r="M2382" s="3">
        <v>10000</v>
      </c>
      <c r="N2382" s="3">
        <v>60</v>
      </c>
      <c r="O2382" s="3">
        <v>6.31</v>
      </c>
      <c r="P2382" s="3">
        <v>378.59999999999997</v>
      </c>
      <c r="Q2382" s="3">
        <v>10000</v>
      </c>
    </row>
    <row r="2383" spans="1:17" ht="24.95" hidden="1" customHeight="1" x14ac:dyDescent="0.25">
      <c r="A2383" s="3">
        <v>9</v>
      </c>
      <c r="B2383" s="3" t="s">
        <v>472</v>
      </c>
      <c r="C2383" s="3" t="s">
        <v>2813</v>
      </c>
      <c r="I2383" s="3">
        <v>32</v>
      </c>
      <c r="J2383" s="3">
        <v>6</v>
      </c>
      <c r="K2383" s="3">
        <v>1</v>
      </c>
      <c r="L2383" s="3">
        <v>6</v>
      </c>
      <c r="M2383" s="3">
        <v>8000</v>
      </c>
      <c r="N2383" s="3">
        <v>48</v>
      </c>
      <c r="O2383" s="3">
        <v>6.31</v>
      </c>
      <c r="P2383" s="3">
        <v>302.88</v>
      </c>
      <c r="Q2383" s="3">
        <v>8000</v>
      </c>
    </row>
    <row r="2384" spans="1:17" ht="24.95" hidden="1" customHeight="1" x14ac:dyDescent="0.25">
      <c r="A2384" s="3">
        <v>9</v>
      </c>
      <c r="B2384" s="3" t="s">
        <v>472</v>
      </c>
      <c r="C2384" s="3" t="s">
        <v>2814</v>
      </c>
      <c r="I2384" s="3">
        <v>32</v>
      </c>
      <c r="J2384" s="3">
        <v>6</v>
      </c>
      <c r="K2384" s="3">
        <v>1</v>
      </c>
      <c r="L2384" s="3">
        <v>6</v>
      </c>
      <c r="M2384" s="3">
        <v>11700</v>
      </c>
      <c r="N2384" s="3">
        <v>70.2</v>
      </c>
      <c r="O2384" s="3">
        <v>6.31</v>
      </c>
      <c r="P2384" s="3">
        <v>442.96199999999999</v>
      </c>
      <c r="Q2384" s="3">
        <v>11700</v>
      </c>
    </row>
    <row r="2385" spans="1:17" ht="24.95" hidden="1" customHeight="1" x14ac:dyDescent="0.25">
      <c r="A2385" s="3">
        <v>9</v>
      </c>
      <c r="B2385" s="3" t="s">
        <v>472</v>
      </c>
      <c r="C2385" s="3" t="s">
        <v>2815</v>
      </c>
      <c r="I2385" s="3">
        <v>32</v>
      </c>
      <c r="J2385" s="3">
        <v>6</v>
      </c>
      <c r="K2385" s="3">
        <v>1</v>
      </c>
      <c r="L2385" s="3">
        <v>6</v>
      </c>
      <c r="M2385" s="3">
        <v>3760</v>
      </c>
      <c r="N2385" s="3">
        <v>22.56</v>
      </c>
      <c r="O2385" s="3">
        <v>6.31</v>
      </c>
      <c r="P2385" s="3">
        <v>142.35359999999997</v>
      </c>
      <c r="Q2385" s="3">
        <v>3760</v>
      </c>
    </row>
    <row r="2386" spans="1:17" ht="24.95" hidden="1" customHeight="1" x14ac:dyDescent="0.25">
      <c r="A2386" s="3">
        <v>9</v>
      </c>
      <c r="B2386" s="3" t="s">
        <v>472</v>
      </c>
      <c r="C2386" s="3" t="s">
        <v>2816</v>
      </c>
      <c r="I2386" s="3">
        <v>32</v>
      </c>
      <c r="J2386" s="3">
        <v>6</v>
      </c>
      <c r="K2386" s="3">
        <v>1</v>
      </c>
      <c r="L2386" s="3">
        <v>6</v>
      </c>
      <c r="M2386" s="3">
        <v>3840</v>
      </c>
      <c r="N2386" s="3">
        <v>23.04</v>
      </c>
      <c r="O2386" s="3">
        <v>6.31</v>
      </c>
      <c r="P2386" s="3">
        <v>145.38239999999999</v>
      </c>
      <c r="Q2386" s="3">
        <v>3840</v>
      </c>
    </row>
    <row r="2387" spans="1:17" ht="24.95" hidden="1" customHeight="1" x14ac:dyDescent="0.25">
      <c r="A2387" s="3">
        <v>9</v>
      </c>
      <c r="B2387" s="3" t="s">
        <v>472</v>
      </c>
      <c r="C2387" s="3" t="s">
        <v>2817</v>
      </c>
      <c r="I2387" s="3">
        <v>32</v>
      </c>
      <c r="J2387" s="3">
        <v>7</v>
      </c>
      <c r="K2387" s="3">
        <v>1</v>
      </c>
      <c r="L2387" s="3">
        <v>7</v>
      </c>
      <c r="M2387" s="3">
        <v>10000</v>
      </c>
      <c r="N2387" s="3">
        <v>70</v>
      </c>
      <c r="O2387" s="3">
        <v>6.31</v>
      </c>
      <c r="P2387" s="3">
        <v>441.7</v>
      </c>
      <c r="Q2387" s="3">
        <v>10000</v>
      </c>
    </row>
    <row r="2388" spans="1:17" ht="24.95" hidden="1" customHeight="1" x14ac:dyDescent="0.25">
      <c r="A2388" s="3">
        <v>9</v>
      </c>
      <c r="B2388" s="3" t="s">
        <v>472</v>
      </c>
      <c r="C2388" s="3" t="s">
        <v>2818</v>
      </c>
      <c r="I2388" s="3">
        <v>32</v>
      </c>
      <c r="J2388" s="3">
        <v>7</v>
      </c>
      <c r="K2388" s="3">
        <v>1</v>
      </c>
      <c r="L2388" s="3">
        <v>7</v>
      </c>
      <c r="M2388" s="3">
        <v>7860</v>
      </c>
      <c r="N2388" s="3">
        <v>55.02</v>
      </c>
      <c r="O2388" s="3">
        <v>6.31</v>
      </c>
      <c r="P2388" s="3">
        <v>347.17619999999999</v>
      </c>
      <c r="Q2388" s="3">
        <v>7860</v>
      </c>
    </row>
    <row r="2389" spans="1:17" ht="24.95" hidden="1" customHeight="1" x14ac:dyDescent="0.25">
      <c r="A2389" s="3">
        <v>9</v>
      </c>
      <c r="B2389" s="3" t="s">
        <v>472</v>
      </c>
      <c r="C2389" s="3" t="s">
        <v>2819</v>
      </c>
      <c r="I2389" s="3">
        <v>32</v>
      </c>
      <c r="J2389" s="3">
        <v>6</v>
      </c>
      <c r="K2389" s="3">
        <v>1</v>
      </c>
      <c r="L2389" s="3">
        <v>6</v>
      </c>
      <c r="M2389" s="3">
        <v>11700</v>
      </c>
      <c r="N2389" s="3">
        <v>70.2</v>
      </c>
      <c r="O2389" s="3">
        <v>6.31</v>
      </c>
      <c r="P2389" s="3">
        <v>442.96199999999999</v>
      </c>
      <c r="Q2389" s="3">
        <v>11700</v>
      </c>
    </row>
    <row r="2390" spans="1:17" ht="24.95" hidden="1" customHeight="1" x14ac:dyDescent="0.25">
      <c r="A2390" s="3">
        <v>9</v>
      </c>
      <c r="B2390" s="3" t="s">
        <v>472</v>
      </c>
      <c r="C2390" s="3" t="s">
        <v>2820</v>
      </c>
      <c r="I2390" s="3">
        <v>32</v>
      </c>
      <c r="J2390" s="3">
        <v>6</v>
      </c>
      <c r="K2390" s="3">
        <v>1</v>
      </c>
      <c r="L2390" s="3">
        <v>6</v>
      </c>
      <c r="M2390" s="3">
        <v>3480</v>
      </c>
      <c r="N2390" s="3">
        <v>20.88</v>
      </c>
      <c r="O2390" s="3">
        <v>6.31</v>
      </c>
      <c r="P2390" s="3">
        <v>131.75279999999998</v>
      </c>
      <c r="Q2390" s="3">
        <v>3480</v>
      </c>
    </row>
    <row r="2391" spans="1:17" ht="24.95" hidden="1" customHeight="1" x14ac:dyDescent="0.25">
      <c r="A2391" s="3">
        <v>9</v>
      </c>
      <c r="B2391" s="3" t="s">
        <v>472</v>
      </c>
      <c r="C2391" s="3" t="s">
        <v>2821</v>
      </c>
      <c r="I2391" s="3">
        <v>32</v>
      </c>
      <c r="J2391" s="3">
        <v>6</v>
      </c>
      <c r="K2391" s="3">
        <v>1</v>
      </c>
      <c r="L2391" s="3">
        <v>6</v>
      </c>
      <c r="M2391" s="3">
        <v>3980</v>
      </c>
      <c r="N2391" s="3">
        <v>23.88</v>
      </c>
      <c r="O2391" s="3">
        <v>6.31</v>
      </c>
      <c r="P2391" s="3">
        <v>150.68279999999999</v>
      </c>
      <c r="Q2391" s="3">
        <v>3980</v>
      </c>
    </row>
    <row r="2392" spans="1:17" ht="24.95" hidden="1" customHeight="1" x14ac:dyDescent="0.25">
      <c r="A2392" s="3">
        <v>9</v>
      </c>
      <c r="B2392" s="3" t="s">
        <v>472</v>
      </c>
      <c r="C2392" s="3" t="s">
        <v>2822</v>
      </c>
      <c r="I2392" s="3">
        <v>32</v>
      </c>
      <c r="J2392" s="3">
        <v>7</v>
      </c>
      <c r="K2392" s="3">
        <v>1</v>
      </c>
      <c r="L2392" s="3">
        <v>7</v>
      </c>
      <c r="M2392" s="3">
        <v>10000</v>
      </c>
      <c r="N2392" s="3">
        <v>70</v>
      </c>
      <c r="O2392" s="3">
        <v>6.31</v>
      </c>
      <c r="P2392" s="3">
        <v>441.7</v>
      </c>
      <c r="Q2392" s="3">
        <v>10000</v>
      </c>
    </row>
    <row r="2393" spans="1:17" ht="24.95" hidden="1" customHeight="1" x14ac:dyDescent="0.25">
      <c r="A2393" s="3">
        <v>9</v>
      </c>
      <c r="B2393" s="3" t="s">
        <v>472</v>
      </c>
      <c r="C2393" s="3" t="s">
        <v>2823</v>
      </c>
      <c r="I2393" s="3">
        <v>32</v>
      </c>
      <c r="J2393" s="3">
        <v>7</v>
      </c>
      <c r="K2393" s="3">
        <v>1</v>
      </c>
      <c r="L2393" s="3">
        <v>7</v>
      </c>
      <c r="M2393" s="3">
        <v>7720</v>
      </c>
      <c r="N2393" s="3">
        <v>54.04</v>
      </c>
      <c r="O2393" s="3">
        <v>6.31</v>
      </c>
      <c r="P2393" s="3">
        <v>340.99239999999998</v>
      </c>
      <c r="Q2393" s="3">
        <v>7720</v>
      </c>
    </row>
    <row r="2394" spans="1:17" ht="24.95" hidden="1" customHeight="1" x14ac:dyDescent="0.25">
      <c r="A2394" s="3">
        <v>9</v>
      </c>
      <c r="B2394" s="3" t="s">
        <v>472</v>
      </c>
      <c r="C2394" s="3" t="s">
        <v>2824</v>
      </c>
      <c r="I2394" s="3">
        <v>32</v>
      </c>
      <c r="J2394" s="3">
        <v>6</v>
      </c>
      <c r="K2394" s="3">
        <v>1</v>
      </c>
      <c r="L2394" s="3">
        <v>6</v>
      </c>
      <c r="M2394" s="3">
        <v>6275</v>
      </c>
      <c r="N2394" s="3">
        <v>37.65</v>
      </c>
      <c r="O2394" s="3">
        <v>6.31</v>
      </c>
      <c r="P2394" s="3">
        <v>237.57149999999999</v>
      </c>
      <c r="Q2394" s="3">
        <v>6275</v>
      </c>
    </row>
    <row r="2395" spans="1:17" ht="24.95" hidden="1" customHeight="1" x14ac:dyDescent="0.25">
      <c r="A2395" s="3">
        <v>9</v>
      </c>
      <c r="B2395" s="3" t="s">
        <v>472</v>
      </c>
      <c r="C2395" s="3" t="s">
        <v>2825</v>
      </c>
      <c r="I2395" s="3">
        <v>32</v>
      </c>
      <c r="J2395" s="3">
        <v>7</v>
      </c>
      <c r="K2395" s="3">
        <v>1</v>
      </c>
      <c r="L2395" s="3">
        <v>7</v>
      </c>
      <c r="M2395" s="3">
        <v>11210</v>
      </c>
      <c r="N2395" s="3">
        <v>78.47</v>
      </c>
      <c r="O2395" s="3">
        <v>6.31</v>
      </c>
      <c r="P2395" s="3">
        <v>495.14569999999998</v>
      </c>
      <c r="Q2395" s="3">
        <v>11210</v>
      </c>
    </row>
    <row r="2396" spans="1:17" ht="24.95" hidden="1" customHeight="1" x14ac:dyDescent="0.25">
      <c r="A2396" s="3">
        <v>9</v>
      </c>
      <c r="B2396" s="3" t="s">
        <v>472</v>
      </c>
      <c r="C2396" s="3" t="s">
        <v>2826</v>
      </c>
      <c r="I2396" s="3">
        <v>32</v>
      </c>
      <c r="J2396" s="3">
        <v>7</v>
      </c>
      <c r="K2396" s="3">
        <v>1</v>
      </c>
      <c r="L2396" s="3">
        <v>7</v>
      </c>
      <c r="M2396" s="3">
        <v>11700</v>
      </c>
      <c r="N2396" s="3">
        <v>81.900000000000006</v>
      </c>
      <c r="O2396" s="3">
        <v>6.31</v>
      </c>
      <c r="P2396" s="3">
        <v>516.78899999999999</v>
      </c>
      <c r="Q2396" s="3">
        <v>11700</v>
      </c>
    </row>
    <row r="2397" spans="1:17" ht="24.95" hidden="1" customHeight="1" x14ac:dyDescent="0.25">
      <c r="A2397" s="3">
        <v>9</v>
      </c>
      <c r="B2397" s="3" t="s">
        <v>472</v>
      </c>
      <c r="C2397" s="3" t="s">
        <v>2827</v>
      </c>
      <c r="I2397" s="3">
        <v>32</v>
      </c>
      <c r="J2397" s="3">
        <v>2</v>
      </c>
      <c r="K2397" s="3">
        <v>1</v>
      </c>
      <c r="L2397" s="3">
        <v>2</v>
      </c>
      <c r="M2397" s="3">
        <v>7580</v>
      </c>
      <c r="N2397" s="3">
        <v>15.16</v>
      </c>
      <c r="O2397" s="3">
        <v>6.31</v>
      </c>
      <c r="P2397" s="3">
        <v>95.659599999999998</v>
      </c>
      <c r="Q2397" s="3">
        <v>7580</v>
      </c>
    </row>
    <row r="2398" spans="1:17" ht="24.95" hidden="1" customHeight="1" x14ac:dyDescent="0.25">
      <c r="A2398" s="3">
        <v>9</v>
      </c>
      <c r="B2398" s="3" t="s">
        <v>472</v>
      </c>
      <c r="C2398" s="3" t="s">
        <v>2828</v>
      </c>
      <c r="I2398" s="3">
        <v>32</v>
      </c>
      <c r="J2398" s="3">
        <v>2</v>
      </c>
      <c r="K2398" s="3">
        <v>1</v>
      </c>
      <c r="L2398" s="3">
        <v>2</v>
      </c>
      <c r="M2398" s="3">
        <v>11700</v>
      </c>
      <c r="N2398" s="3">
        <v>23.4</v>
      </c>
      <c r="O2398" s="3">
        <v>6.31</v>
      </c>
      <c r="P2398" s="3">
        <v>147.65399999999997</v>
      </c>
      <c r="Q2398" s="3">
        <v>11700</v>
      </c>
    </row>
    <row r="2399" spans="1:17" ht="24.95" hidden="1" customHeight="1" x14ac:dyDescent="0.25">
      <c r="A2399" s="3">
        <v>9</v>
      </c>
      <c r="B2399" s="3" t="s">
        <v>472</v>
      </c>
      <c r="C2399" s="3" t="s">
        <v>2829</v>
      </c>
      <c r="I2399" s="3">
        <v>32</v>
      </c>
      <c r="J2399" s="3">
        <v>2</v>
      </c>
      <c r="K2399" s="3">
        <v>1</v>
      </c>
      <c r="L2399" s="3">
        <v>2</v>
      </c>
      <c r="M2399" s="3">
        <v>3420</v>
      </c>
      <c r="N2399" s="3">
        <v>6.84</v>
      </c>
      <c r="O2399" s="3">
        <v>6.31</v>
      </c>
      <c r="P2399" s="3">
        <v>43.160399999999996</v>
      </c>
      <c r="Q2399" s="3">
        <v>3420</v>
      </c>
    </row>
    <row r="2400" spans="1:17" ht="24.95" hidden="1" customHeight="1" x14ac:dyDescent="0.25">
      <c r="A2400" s="3">
        <v>9</v>
      </c>
      <c r="B2400" s="3" t="s">
        <v>472</v>
      </c>
      <c r="C2400" s="3" t="s">
        <v>2830</v>
      </c>
      <c r="I2400" s="3">
        <v>32</v>
      </c>
      <c r="J2400" s="3">
        <v>2</v>
      </c>
      <c r="K2400" s="3">
        <v>1</v>
      </c>
      <c r="L2400" s="3">
        <v>2</v>
      </c>
      <c r="M2400" s="3">
        <v>3900</v>
      </c>
      <c r="N2400" s="3">
        <v>7.8</v>
      </c>
      <c r="O2400" s="3">
        <v>6.31</v>
      </c>
      <c r="P2400" s="3">
        <v>49.217999999999996</v>
      </c>
      <c r="Q2400" s="3">
        <v>3900</v>
      </c>
    </row>
    <row r="2401" spans="1:17" ht="24.95" hidden="1" customHeight="1" x14ac:dyDescent="0.25">
      <c r="A2401" s="3">
        <v>9</v>
      </c>
      <c r="B2401" s="3" t="s">
        <v>472</v>
      </c>
      <c r="C2401" s="3" t="s">
        <v>2831</v>
      </c>
      <c r="I2401" s="3">
        <v>32</v>
      </c>
      <c r="J2401" s="3">
        <v>2</v>
      </c>
      <c r="K2401" s="3">
        <v>1</v>
      </c>
      <c r="L2401" s="3">
        <v>2</v>
      </c>
      <c r="M2401" s="3">
        <v>10000</v>
      </c>
      <c r="N2401" s="3">
        <v>20</v>
      </c>
      <c r="O2401" s="3">
        <v>6.31</v>
      </c>
      <c r="P2401" s="3">
        <v>126.19999999999999</v>
      </c>
      <c r="Q2401" s="3">
        <v>10000</v>
      </c>
    </row>
    <row r="2402" spans="1:17" ht="24.95" hidden="1" customHeight="1" x14ac:dyDescent="0.25">
      <c r="A2402" s="3">
        <v>9</v>
      </c>
      <c r="B2402" s="3" t="s">
        <v>472</v>
      </c>
      <c r="C2402" s="3" t="s">
        <v>2832</v>
      </c>
      <c r="I2402" s="3">
        <v>32</v>
      </c>
      <c r="J2402" s="3">
        <v>7</v>
      </c>
      <c r="K2402" s="3">
        <v>1</v>
      </c>
      <c r="L2402" s="3">
        <v>7</v>
      </c>
      <c r="M2402" s="3">
        <v>6275</v>
      </c>
      <c r="N2402" s="3">
        <v>43.924999999999997</v>
      </c>
      <c r="O2402" s="3">
        <v>6.31</v>
      </c>
      <c r="P2402" s="3">
        <v>277.16674999999998</v>
      </c>
      <c r="Q2402" s="3">
        <v>6275</v>
      </c>
    </row>
    <row r="2403" spans="1:17" ht="24.95" hidden="1" customHeight="1" x14ac:dyDescent="0.25">
      <c r="A2403" s="3">
        <v>9</v>
      </c>
      <c r="B2403" s="3" t="s">
        <v>472</v>
      </c>
      <c r="C2403" s="3" t="s">
        <v>2833</v>
      </c>
      <c r="I2403" s="3">
        <v>32</v>
      </c>
      <c r="J2403" s="3">
        <v>6</v>
      </c>
      <c r="K2403" s="3">
        <v>1</v>
      </c>
      <c r="L2403" s="3">
        <v>6</v>
      </c>
      <c r="M2403" s="3">
        <v>11700</v>
      </c>
      <c r="N2403" s="3">
        <v>70.2</v>
      </c>
      <c r="O2403" s="3">
        <v>6.31</v>
      </c>
      <c r="P2403" s="3">
        <v>442.96199999999999</v>
      </c>
      <c r="Q2403" s="3">
        <v>11700</v>
      </c>
    </row>
    <row r="2404" spans="1:17" ht="24.95" hidden="1" customHeight="1" x14ac:dyDescent="0.25">
      <c r="A2404" s="3">
        <v>9</v>
      </c>
      <c r="B2404" s="3" t="s">
        <v>472</v>
      </c>
      <c r="C2404" s="3" t="s">
        <v>2834</v>
      </c>
      <c r="I2404" s="3">
        <v>32</v>
      </c>
      <c r="J2404" s="3">
        <v>6</v>
      </c>
      <c r="K2404" s="3">
        <v>1</v>
      </c>
      <c r="L2404" s="3">
        <v>6</v>
      </c>
      <c r="M2404" s="3">
        <v>5785</v>
      </c>
      <c r="N2404" s="3">
        <v>34.71</v>
      </c>
      <c r="O2404" s="3">
        <v>6.31</v>
      </c>
      <c r="P2404" s="3">
        <v>219.02009999999999</v>
      </c>
      <c r="Q2404" s="3">
        <v>5785</v>
      </c>
    </row>
    <row r="2405" spans="1:17" ht="24.95" hidden="1" customHeight="1" x14ac:dyDescent="0.25">
      <c r="A2405" s="3">
        <v>9</v>
      </c>
      <c r="B2405" s="3" t="s">
        <v>472</v>
      </c>
      <c r="C2405" s="3" t="s">
        <v>2835</v>
      </c>
      <c r="I2405" s="3">
        <v>32</v>
      </c>
      <c r="J2405" s="3">
        <v>6</v>
      </c>
      <c r="K2405" s="3">
        <v>1</v>
      </c>
      <c r="L2405" s="3">
        <v>6</v>
      </c>
      <c r="M2405" s="3">
        <v>11135</v>
      </c>
      <c r="N2405" s="3">
        <v>66.81</v>
      </c>
      <c r="O2405" s="3">
        <v>6.31</v>
      </c>
      <c r="P2405" s="3">
        <v>421.5711</v>
      </c>
      <c r="Q2405" s="3">
        <v>11135</v>
      </c>
    </row>
    <row r="2406" spans="1:17" ht="24.95" hidden="1" customHeight="1" x14ac:dyDescent="0.25">
      <c r="A2406" s="3">
        <v>9</v>
      </c>
      <c r="B2406" s="3" t="s">
        <v>472</v>
      </c>
      <c r="C2406" s="3" t="s">
        <v>2836</v>
      </c>
      <c r="I2406" s="3">
        <v>32</v>
      </c>
      <c r="J2406" s="3">
        <v>7</v>
      </c>
      <c r="K2406" s="3">
        <v>1</v>
      </c>
      <c r="L2406" s="3">
        <v>7</v>
      </c>
      <c r="M2406" s="3">
        <v>5710</v>
      </c>
      <c r="N2406" s="3">
        <v>39.97</v>
      </c>
      <c r="O2406" s="3">
        <v>6.31</v>
      </c>
      <c r="P2406" s="3">
        <v>252.21069999999997</v>
      </c>
      <c r="Q2406" s="3">
        <v>5710</v>
      </c>
    </row>
    <row r="2407" spans="1:17" ht="24.95" hidden="1" customHeight="1" x14ac:dyDescent="0.25">
      <c r="A2407" s="3">
        <v>9</v>
      </c>
      <c r="B2407" s="3" t="s">
        <v>472</v>
      </c>
      <c r="C2407" s="3" t="s">
        <v>2837</v>
      </c>
      <c r="I2407" s="3">
        <v>32</v>
      </c>
      <c r="J2407" s="3">
        <v>13</v>
      </c>
      <c r="K2407" s="3">
        <v>1</v>
      </c>
      <c r="L2407" s="3">
        <v>13</v>
      </c>
      <c r="M2407" s="3">
        <v>5795</v>
      </c>
      <c r="N2407" s="3">
        <v>75.334999999999994</v>
      </c>
      <c r="O2407" s="3">
        <v>6.31</v>
      </c>
      <c r="P2407" s="3">
        <v>475.36384999999996</v>
      </c>
      <c r="Q2407" s="3">
        <v>5795</v>
      </c>
    </row>
    <row r="2408" spans="1:17" ht="24.95" hidden="1" customHeight="1" x14ac:dyDescent="0.25">
      <c r="A2408" s="3">
        <v>9</v>
      </c>
      <c r="B2408" s="3" t="s">
        <v>472</v>
      </c>
      <c r="C2408" s="3" t="s">
        <v>2838</v>
      </c>
      <c r="I2408" s="3">
        <v>14</v>
      </c>
      <c r="J2408" s="3">
        <v>68</v>
      </c>
      <c r="K2408" s="3">
        <v>1</v>
      </c>
      <c r="L2408" s="3">
        <v>68</v>
      </c>
      <c r="M2408" s="3">
        <v>2950</v>
      </c>
      <c r="N2408" s="3">
        <v>200.6</v>
      </c>
      <c r="O2408" s="3">
        <v>1.21</v>
      </c>
      <c r="P2408" s="3">
        <v>242.726</v>
      </c>
      <c r="Q2408" s="3">
        <v>2950</v>
      </c>
    </row>
    <row r="2409" spans="1:17" ht="24.95" hidden="1" customHeight="1" x14ac:dyDescent="0.25">
      <c r="A2409" s="3">
        <v>9</v>
      </c>
      <c r="B2409" s="3" t="s">
        <v>472</v>
      </c>
      <c r="C2409" s="3" t="s">
        <v>2839</v>
      </c>
      <c r="I2409" s="3">
        <v>14</v>
      </c>
      <c r="J2409" s="3">
        <v>68</v>
      </c>
      <c r="K2409" s="3">
        <v>1</v>
      </c>
      <c r="L2409" s="3">
        <v>68</v>
      </c>
      <c r="M2409" s="3">
        <v>6470</v>
      </c>
      <c r="N2409" s="3">
        <v>439.96</v>
      </c>
      <c r="O2409" s="3">
        <v>1.21</v>
      </c>
      <c r="P2409" s="3">
        <v>532.35159999999996</v>
      </c>
      <c r="Q2409" s="3">
        <v>6470</v>
      </c>
    </row>
    <row r="2410" spans="1:17" ht="24.95" hidden="1" customHeight="1" x14ac:dyDescent="0.25">
      <c r="A2410" s="3">
        <v>9</v>
      </c>
      <c r="B2410" s="3" t="s">
        <v>472</v>
      </c>
      <c r="C2410" s="3" t="s">
        <v>2840</v>
      </c>
      <c r="I2410" s="3">
        <v>14</v>
      </c>
      <c r="J2410" s="3">
        <v>340</v>
      </c>
      <c r="K2410" s="3">
        <v>1</v>
      </c>
      <c r="L2410" s="3">
        <v>340</v>
      </c>
      <c r="M2410" s="3">
        <v>2670</v>
      </c>
      <c r="N2410" s="3">
        <v>907.8</v>
      </c>
      <c r="O2410" s="3">
        <v>1.21</v>
      </c>
      <c r="P2410" s="3">
        <v>1098.4379999999999</v>
      </c>
      <c r="Q2410" s="3">
        <v>2670</v>
      </c>
    </row>
    <row r="2411" spans="1:17" ht="24.95" hidden="1" customHeight="1" x14ac:dyDescent="0.25">
      <c r="A2411" s="3">
        <v>9</v>
      </c>
      <c r="B2411" s="3" t="s">
        <v>472</v>
      </c>
      <c r="C2411" s="3" t="s">
        <v>2841</v>
      </c>
      <c r="I2411" s="3">
        <v>18</v>
      </c>
      <c r="J2411" s="3">
        <v>12</v>
      </c>
      <c r="K2411" s="3">
        <v>1</v>
      </c>
      <c r="L2411" s="3">
        <v>12</v>
      </c>
      <c r="M2411" s="3">
        <v>11660</v>
      </c>
      <c r="N2411" s="3">
        <v>139.91999999999999</v>
      </c>
      <c r="O2411" s="3">
        <v>2</v>
      </c>
      <c r="P2411" s="3">
        <v>279.83999999999997</v>
      </c>
      <c r="Q2411" s="3">
        <v>11660</v>
      </c>
    </row>
    <row r="2412" spans="1:17" ht="24.95" hidden="1" customHeight="1" x14ac:dyDescent="0.25">
      <c r="A2412" s="3">
        <v>9</v>
      </c>
      <c r="B2412" s="3" t="s">
        <v>472</v>
      </c>
      <c r="C2412" s="3" t="s">
        <v>2842</v>
      </c>
      <c r="I2412" s="3">
        <v>14</v>
      </c>
      <c r="J2412" s="3">
        <v>210</v>
      </c>
      <c r="K2412" s="3">
        <v>1</v>
      </c>
      <c r="L2412" s="3">
        <v>210</v>
      </c>
      <c r="M2412" s="3">
        <v>1970</v>
      </c>
      <c r="N2412" s="3">
        <v>413.7</v>
      </c>
      <c r="O2412" s="3">
        <v>1.21</v>
      </c>
      <c r="P2412" s="3">
        <v>500.577</v>
      </c>
      <c r="Q2412" s="3">
        <v>1970</v>
      </c>
    </row>
    <row r="2413" spans="1:17" ht="24.95" hidden="1" customHeight="1" x14ac:dyDescent="0.25">
      <c r="A2413" s="3">
        <v>9</v>
      </c>
      <c r="B2413" s="3" t="s">
        <v>472</v>
      </c>
      <c r="C2413" s="3" t="s">
        <v>2843</v>
      </c>
      <c r="I2413" s="3">
        <v>32</v>
      </c>
      <c r="J2413" s="3">
        <v>16</v>
      </c>
      <c r="K2413" s="3">
        <v>1</v>
      </c>
      <c r="L2413" s="3">
        <v>16</v>
      </c>
      <c r="M2413" s="3">
        <v>1690</v>
      </c>
      <c r="N2413" s="3">
        <v>27.04</v>
      </c>
      <c r="O2413" s="3">
        <v>6.31</v>
      </c>
      <c r="P2413" s="3">
        <v>170.62239999999997</v>
      </c>
      <c r="Q2413" s="3">
        <v>1690</v>
      </c>
    </row>
    <row r="2414" spans="1:17" ht="24.95" hidden="1" customHeight="1" x14ac:dyDescent="0.25">
      <c r="A2414" s="3">
        <v>9</v>
      </c>
      <c r="B2414" s="3" t="s">
        <v>472</v>
      </c>
      <c r="C2414" s="3" t="s">
        <v>2844</v>
      </c>
      <c r="I2414" s="3">
        <v>14</v>
      </c>
      <c r="J2414" s="3">
        <v>30</v>
      </c>
      <c r="K2414" s="3">
        <v>1</v>
      </c>
      <c r="L2414" s="3">
        <v>30</v>
      </c>
      <c r="M2414" s="3">
        <v>11660</v>
      </c>
      <c r="N2414" s="3">
        <v>349.8</v>
      </c>
      <c r="O2414" s="3">
        <v>1.21</v>
      </c>
      <c r="P2414" s="3">
        <v>423.25799999999998</v>
      </c>
      <c r="Q2414" s="3">
        <v>11660</v>
      </c>
    </row>
    <row r="2415" spans="1:17" ht="24.95" hidden="1" customHeight="1" x14ac:dyDescent="0.25">
      <c r="A2415" s="3">
        <v>9</v>
      </c>
      <c r="B2415" s="3" t="s">
        <v>473</v>
      </c>
      <c r="C2415" s="3" t="s">
        <v>2845</v>
      </c>
      <c r="I2415" s="3">
        <v>32</v>
      </c>
      <c r="J2415" s="3">
        <v>6</v>
      </c>
      <c r="K2415" s="3">
        <v>2</v>
      </c>
      <c r="L2415" s="3">
        <v>12</v>
      </c>
      <c r="M2415" s="3">
        <v>4625</v>
      </c>
      <c r="N2415" s="3">
        <v>55.5</v>
      </c>
      <c r="O2415" s="3">
        <v>6.31</v>
      </c>
      <c r="P2415" s="3">
        <v>350.20499999999998</v>
      </c>
      <c r="Q2415" s="3">
        <v>4625</v>
      </c>
    </row>
    <row r="2416" spans="1:17" ht="24.95" hidden="1" customHeight="1" x14ac:dyDescent="0.25">
      <c r="A2416" s="3">
        <v>9</v>
      </c>
      <c r="B2416" s="3" t="s">
        <v>473</v>
      </c>
      <c r="C2416" s="3" t="s">
        <v>2846</v>
      </c>
      <c r="I2416" s="3">
        <v>32</v>
      </c>
      <c r="J2416" s="3">
        <v>7</v>
      </c>
      <c r="K2416" s="3">
        <v>2</v>
      </c>
      <c r="L2416" s="3">
        <v>14</v>
      </c>
      <c r="M2416" s="3">
        <v>11700</v>
      </c>
      <c r="N2416" s="3">
        <v>163.80000000000001</v>
      </c>
      <c r="O2416" s="3">
        <v>6.31</v>
      </c>
      <c r="P2416" s="3">
        <v>1033.578</v>
      </c>
      <c r="Q2416" s="3">
        <v>11700</v>
      </c>
    </row>
    <row r="2417" spans="1:17" ht="24.95" hidden="1" customHeight="1" x14ac:dyDescent="0.25">
      <c r="A2417" s="3">
        <v>9</v>
      </c>
      <c r="B2417" s="3" t="s">
        <v>473</v>
      </c>
      <c r="C2417" s="3" t="s">
        <v>2847</v>
      </c>
      <c r="I2417" s="3">
        <v>32</v>
      </c>
      <c r="J2417" s="3">
        <v>6</v>
      </c>
      <c r="K2417" s="3">
        <v>2</v>
      </c>
      <c r="L2417" s="3">
        <v>12</v>
      </c>
      <c r="M2417" s="3">
        <v>11700</v>
      </c>
      <c r="N2417" s="3">
        <v>140.4</v>
      </c>
      <c r="O2417" s="3">
        <v>6.31</v>
      </c>
      <c r="P2417" s="3">
        <v>885.92399999999998</v>
      </c>
      <c r="Q2417" s="3">
        <v>11700</v>
      </c>
    </row>
    <row r="2418" spans="1:17" ht="24.95" hidden="1" customHeight="1" x14ac:dyDescent="0.25">
      <c r="A2418" s="3">
        <v>9</v>
      </c>
      <c r="B2418" s="3" t="s">
        <v>473</v>
      </c>
      <c r="C2418" s="3" t="s">
        <v>2848</v>
      </c>
      <c r="I2418" s="3">
        <v>32</v>
      </c>
      <c r="J2418" s="3">
        <v>7</v>
      </c>
      <c r="K2418" s="3">
        <v>2</v>
      </c>
      <c r="L2418" s="3">
        <v>14</v>
      </c>
      <c r="M2418" s="3">
        <v>4625</v>
      </c>
      <c r="N2418" s="3">
        <v>64.75</v>
      </c>
      <c r="O2418" s="3">
        <v>6.31</v>
      </c>
      <c r="P2418" s="3">
        <v>408.57249999999999</v>
      </c>
      <c r="Q2418" s="3">
        <v>4625</v>
      </c>
    </row>
    <row r="2419" spans="1:17" ht="24.95" hidden="1" customHeight="1" x14ac:dyDescent="0.25">
      <c r="A2419" s="3">
        <v>9</v>
      </c>
      <c r="B2419" s="3" t="s">
        <v>473</v>
      </c>
      <c r="C2419" s="3" t="s">
        <v>2849</v>
      </c>
      <c r="I2419" s="3">
        <v>32</v>
      </c>
      <c r="J2419" s="3">
        <v>7</v>
      </c>
      <c r="K2419" s="3">
        <v>2</v>
      </c>
      <c r="L2419" s="3">
        <v>14</v>
      </c>
      <c r="M2419" s="3">
        <v>4530</v>
      </c>
      <c r="N2419" s="3">
        <v>63.42</v>
      </c>
      <c r="O2419" s="3">
        <v>6.31</v>
      </c>
      <c r="P2419" s="3">
        <v>400.18020000000001</v>
      </c>
      <c r="Q2419" s="3">
        <v>4530</v>
      </c>
    </row>
    <row r="2420" spans="1:17" ht="24.95" hidden="1" customHeight="1" x14ac:dyDescent="0.25">
      <c r="A2420" s="3">
        <v>9</v>
      </c>
      <c r="B2420" s="3" t="s">
        <v>473</v>
      </c>
      <c r="C2420" s="3" t="s">
        <v>2850</v>
      </c>
      <c r="I2420" s="3">
        <v>32</v>
      </c>
      <c r="J2420" s="3">
        <v>6</v>
      </c>
      <c r="K2420" s="3">
        <v>2</v>
      </c>
      <c r="L2420" s="3">
        <v>12</v>
      </c>
      <c r="M2420" s="3">
        <v>11700</v>
      </c>
      <c r="N2420" s="3">
        <v>140.4</v>
      </c>
      <c r="O2420" s="3">
        <v>6.31</v>
      </c>
      <c r="P2420" s="3">
        <v>885.92399999999998</v>
      </c>
      <c r="Q2420" s="3">
        <v>11700</v>
      </c>
    </row>
    <row r="2421" spans="1:17" ht="24.95" hidden="1" customHeight="1" x14ac:dyDescent="0.25">
      <c r="A2421" s="3">
        <v>9</v>
      </c>
      <c r="B2421" s="3" t="s">
        <v>473</v>
      </c>
      <c r="C2421" s="3" t="s">
        <v>2851</v>
      </c>
      <c r="I2421" s="3">
        <v>32</v>
      </c>
      <c r="J2421" s="3">
        <v>7</v>
      </c>
      <c r="K2421" s="3">
        <v>2</v>
      </c>
      <c r="L2421" s="3">
        <v>14</v>
      </c>
      <c r="M2421" s="3">
        <v>11700</v>
      </c>
      <c r="N2421" s="3">
        <v>163.80000000000001</v>
      </c>
      <c r="O2421" s="3">
        <v>6.31</v>
      </c>
      <c r="P2421" s="3">
        <v>1033.578</v>
      </c>
      <c r="Q2421" s="3">
        <v>11700</v>
      </c>
    </row>
    <row r="2422" spans="1:17" ht="24.95" hidden="1" customHeight="1" x14ac:dyDescent="0.25">
      <c r="A2422" s="3">
        <v>9</v>
      </c>
      <c r="B2422" s="3" t="s">
        <v>473</v>
      </c>
      <c r="C2422" s="3" t="s">
        <v>2852</v>
      </c>
      <c r="I2422" s="3">
        <v>32</v>
      </c>
      <c r="J2422" s="3">
        <v>6</v>
      </c>
      <c r="K2422" s="3">
        <v>2</v>
      </c>
      <c r="L2422" s="3">
        <v>12</v>
      </c>
      <c r="M2422" s="3">
        <v>4530</v>
      </c>
      <c r="N2422" s="3">
        <v>54.36</v>
      </c>
      <c r="O2422" s="3">
        <v>6.31</v>
      </c>
      <c r="P2422" s="3">
        <v>343.01159999999999</v>
      </c>
      <c r="Q2422" s="3">
        <v>4530</v>
      </c>
    </row>
    <row r="2423" spans="1:17" ht="24.95" hidden="1" customHeight="1" x14ac:dyDescent="0.25">
      <c r="A2423" s="3">
        <v>9</v>
      </c>
      <c r="B2423" s="3" t="s">
        <v>473</v>
      </c>
      <c r="C2423" s="3" t="s">
        <v>2853</v>
      </c>
      <c r="I2423" s="3">
        <v>32</v>
      </c>
      <c r="J2423" s="3">
        <v>6</v>
      </c>
      <c r="K2423" s="3">
        <v>2</v>
      </c>
      <c r="L2423" s="3">
        <v>12</v>
      </c>
      <c r="M2423" s="3">
        <v>4425</v>
      </c>
      <c r="N2423" s="3">
        <v>53.1</v>
      </c>
      <c r="O2423" s="3">
        <v>6.31</v>
      </c>
      <c r="P2423" s="3">
        <v>335.06099999999998</v>
      </c>
      <c r="Q2423" s="3">
        <v>4425</v>
      </c>
    </row>
    <row r="2424" spans="1:17" ht="24.95" hidden="1" customHeight="1" x14ac:dyDescent="0.25">
      <c r="A2424" s="3">
        <v>9</v>
      </c>
      <c r="B2424" s="3" t="s">
        <v>473</v>
      </c>
      <c r="C2424" s="3" t="s">
        <v>2854</v>
      </c>
      <c r="I2424" s="3">
        <v>32</v>
      </c>
      <c r="J2424" s="3">
        <v>6</v>
      </c>
      <c r="K2424" s="3">
        <v>2</v>
      </c>
      <c r="L2424" s="3">
        <v>12</v>
      </c>
      <c r="M2424" s="3">
        <v>4325</v>
      </c>
      <c r="N2424" s="3">
        <v>51.9</v>
      </c>
      <c r="O2424" s="3">
        <v>6.31</v>
      </c>
      <c r="P2424" s="3">
        <v>327.48899999999998</v>
      </c>
      <c r="Q2424" s="3">
        <v>4325</v>
      </c>
    </row>
    <row r="2425" spans="1:17" ht="24.95" hidden="1" customHeight="1" x14ac:dyDescent="0.25">
      <c r="A2425" s="3">
        <v>9</v>
      </c>
      <c r="B2425" s="3" t="s">
        <v>473</v>
      </c>
      <c r="C2425" s="3" t="s">
        <v>2855</v>
      </c>
      <c r="I2425" s="3">
        <v>32</v>
      </c>
      <c r="J2425" s="3">
        <v>6</v>
      </c>
      <c r="K2425" s="3">
        <v>2</v>
      </c>
      <c r="L2425" s="3">
        <v>12</v>
      </c>
      <c r="M2425" s="3">
        <v>11700</v>
      </c>
      <c r="N2425" s="3">
        <v>140.4</v>
      </c>
      <c r="O2425" s="3">
        <v>6.31</v>
      </c>
      <c r="P2425" s="3">
        <v>885.92399999999998</v>
      </c>
      <c r="Q2425" s="3">
        <v>11700</v>
      </c>
    </row>
    <row r="2426" spans="1:17" ht="24.95" hidden="1" customHeight="1" x14ac:dyDescent="0.25">
      <c r="A2426" s="3">
        <v>9</v>
      </c>
      <c r="B2426" s="3" t="s">
        <v>473</v>
      </c>
      <c r="C2426" s="3" t="s">
        <v>2856</v>
      </c>
      <c r="I2426" s="3">
        <v>32</v>
      </c>
      <c r="J2426" s="3">
        <v>2</v>
      </c>
      <c r="K2426" s="3">
        <v>2</v>
      </c>
      <c r="L2426" s="3">
        <v>4</v>
      </c>
      <c r="M2426" s="3">
        <v>11700</v>
      </c>
      <c r="N2426" s="3">
        <v>46.8</v>
      </c>
      <c r="O2426" s="3">
        <v>6.31</v>
      </c>
      <c r="P2426" s="3">
        <v>295.30799999999994</v>
      </c>
      <c r="Q2426" s="3">
        <v>11700</v>
      </c>
    </row>
    <row r="2427" spans="1:17" ht="24.95" hidden="1" customHeight="1" x14ac:dyDescent="0.25">
      <c r="A2427" s="3">
        <v>9</v>
      </c>
      <c r="B2427" s="3" t="s">
        <v>473</v>
      </c>
      <c r="C2427" s="3" t="s">
        <v>2857</v>
      </c>
      <c r="I2427" s="3">
        <v>32</v>
      </c>
      <c r="J2427" s="3">
        <v>7</v>
      </c>
      <c r="K2427" s="3">
        <v>2</v>
      </c>
      <c r="L2427" s="3">
        <v>14</v>
      </c>
      <c r="M2427" s="3">
        <v>11700</v>
      </c>
      <c r="N2427" s="3">
        <v>163.80000000000001</v>
      </c>
      <c r="O2427" s="3">
        <v>6.31</v>
      </c>
      <c r="P2427" s="3">
        <v>1033.578</v>
      </c>
      <c r="Q2427" s="3">
        <v>11700</v>
      </c>
    </row>
    <row r="2428" spans="1:17" ht="24.95" hidden="1" customHeight="1" x14ac:dyDescent="0.25">
      <c r="A2428" s="3">
        <v>9</v>
      </c>
      <c r="B2428" s="3" t="s">
        <v>473</v>
      </c>
      <c r="C2428" s="3" t="s">
        <v>2858</v>
      </c>
      <c r="I2428" s="3">
        <v>32</v>
      </c>
      <c r="J2428" s="3">
        <v>6</v>
      </c>
      <c r="K2428" s="3">
        <v>2</v>
      </c>
      <c r="L2428" s="3">
        <v>12</v>
      </c>
      <c r="M2428" s="3">
        <v>11700</v>
      </c>
      <c r="N2428" s="3">
        <v>140.4</v>
      </c>
      <c r="O2428" s="3">
        <v>6.31</v>
      </c>
      <c r="P2428" s="3">
        <v>885.92399999999998</v>
      </c>
      <c r="Q2428" s="3">
        <v>11700</v>
      </c>
    </row>
    <row r="2429" spans="1:17" ht="24.95" hidden="1" customHeight="1" x14ac:dyDescent="0.25">
      <c r="A2429" s="3">
        <v>9</v>
      </c>
      <c r="B2429" s="3" t="s">
        <v>473</v>
      </c>
      <c r="C2429" s="3" t="s">
        <v>2859</v>
      </c>
      <c r="I2429" s="3">
        <v>32</v>
      </c>
      <c r="J2429" s="3">
        <v>7</v>
      </c>
      <c r="K2429" s="3">
        <v>2</v>
      </c>
      <c r="L2429" s="3">
        <v>14</v>
      </c>
      <c r="M2429" s="3">
        <v>11700</v>
      </c>
      <c r="N2429" s="3">
        <v>163.80000000000001</v>
      </c>
      <c r="O2429" s="3">
        <v>6.31</v>
      </c>
      <c r="P2429" s="3">
        <v>1033.578</v>
      </c>
      <c r="Q2429" s="3">
        <v>11700</v>
      </c>
    </row>
    <row r="2430" spans="1:17" ht="24.95" hidden="1" customHeight="1" x14ac:dyDescent="0.25">
      <c r="A2430" s="3">
        <v>9</v>
      </c>
      <c r="B2430" s="3" t="s">
        <v>473</v>
      </c>
      <c r="C2430" s="3" t="s">
        <v>2860</v>
      </c>
      <c r="I2430" s="3">
        <v>32</v>
      </c>
      <c r="J2430" s="3">
        <v>7</v>
      </c>
      <c r="K2430" s="3">
        <v>2</v>
      </c>
      <c r="L2430" s="3">
        <v>14</v>
      </c>
      <c r="M2430" s="3">
        <v>4325</v>
      </c>
      <c r="N2430" s="3">
        <v>60.55</v>
      </c>
      <c r="O2430" s="3">
        <v>6.31</v>
      </c>
      <c r="P2430" s="3">
        <v>382.07049999999998</v>
      </c>
      <c r="Q2430" s="3">
        <v>4325</v>
      </c>
    </row>
    <row r="2431" spans="1:17" ht="24.95" hidden="1" customHeight="1" x14ac:dyDescent="0.25">
      <c r="A2431" s="3">
        <v>9</v>
      </c>
      <c r="B2431" s="3" t="s">
        <v>473</v>
      </c>
      <c r="C2431" s="3" t="s">
        <v>2861</v>
      </c>
      <c r="I2431" s="3">
        <v>32</v>
      </c>
      <c r="J2431" s="3">
        <v>2</v>
      </c>
      <c r="K2431" s="3">
        <v>2</v>
      </c>
      <c r="L2431" s="3">
        <v>4</v>
      </c>
      <c r="M2431" s="3">
        <v>11700</v>
      </c>
      <c r="N2431" s="3">
        <v>46.8</v>
      </c>
      <c r="O2431" s="3">
        <v>6.31</v>
      </c>
      <c r="P2431" s="3">
        <v>295.30799999999994</v>
      </c>
      <c r="Q2431" s="3">
        <v>11700</v>
      </c>
    </row>
    <row r="2432" spans="1:17" ht="24.95" hidden="1" customHeight="1" x14ac:dyDescent="0.25">
      <c r="A2432" s="3">
        <v>9</v>
      </c>
      <c r="B2432" s="3" t="s">
        <v>473</v>
      </c>
      <c r="C2432" s="3" t="s">
        <v>2853</v>
      </c>
      <c r="I2432" s="3">
        <v>32</v>
      </c>
      <c r="J2432" s="3">
        <v>7</v>
      </c>
      <c r="K2432" s="3">
        <v>2</v>
      </c>
      <c r="L2432" s="3">
        <v>14</v>
      </c>
      <c r="M2432" s="3">
        <v>4425</v>
      </c>
      <c r="N2432" s="3">
        <v>61.95</v>
      </c>
      <c r="O2432" s="3">
        <v>6.31</v>
      </c>
      <c r="P2432" s="3">
        <v>390.90449999999998</v>
      </c>
      <c r="Q2432" s="3">
        <v>4425</v>
      </c>
    </row>
    <row r="2433" spans="1:17" ht="24.95" hidden="1" customHeight="1" x14ac:dyDescent="0.25">
      <c r="A2433" s="3">
        <v>9</v>
      </c>
      <c r="B2433" s="3" t="s">
        <v>473</v>
      </c>
      <c r="C2433" s="3" t="s">
        <v>2862</v>
      </c>
      <c r="I2433" s="3">
        <v>32</v>
      </c>
      <c r="J2433" s="3">
        <v>2</v>
      </c>
      <c r="K2433" s="3">
        <v>2</v>
      </c>
      <c r="L2433" s="3">
        <v>4</v>
      </c>
      <c r="M2433" s="3">
        <v>4225</v>
      </c>
      <c r="N2433" s="3">
        <v>16.899999999999999</v>
      </c>
      <c r="O2433" s="3">
        <v>6.31</v>
      </c>
      <c r="P2433" s="3">
        <v>106.63899999999998</v>
      </c>
      <c r="Q2433" s="3">
        <v>4225</v>
      </c>
    </row>
    <row r="2434" spans="1:17" ht="24.95" hidden="1" customHeight="1" x14ac:dyDescent="0.25">
      <c r="A2434" s="3">
        <v>9</v>
      </c>
      <c r="B2434" s="3" t="s">
        <v>473</v>
      </c>
      <c r="C2434" s="3" t="s">
        <v>2863</v>
      </c>
      <c r="I2434" s="3">
        <v>32</v>
      </c>
      <c r="J2434" s="3">
        <v>2</v>
      </c>
      <c r="K2434" s="3">
        <v>2</v>
      </c>
      <c r="L2434" s="3">
        <v>4</v>
      </c>
      <c r="M2434" s="3">
        <v>4225</v>
      </c>
      <c r="N2434" s="3">
        <v>16.899999999999999</v>
      </c>
      <c r="O2434" s="3">
        <v>6.31</v>
      </c>
      <c r="P2434" s="3">
        <v>106.63899999999998</v>
      </c>
      <c r="Q2434" s="3">
        <v>4225</v>
      </c>
    </row>
    <row r="2435" spans="1:17" ht="24.95" hidden="1" customHeight="1" x14ac:dyDescent="0.25">
      <c r="A2435" s="3">
        <v>9</v>
      </c>
      <c r="B2435" s="3" t="s">
        <v>473</v>
      </c>
      <c r="C2435" s="3" t="s">
        <v>2864</v>
      </c>
      <c r="I2435" s="3">
        <v>32</v>
      </c>
      <c r="J2435" s="3">
        <v>7</v>
      </c>
      <c r="K2435" s="3">
        <v>2</v>
      </c>
      <c r="L2435" s="3">
        <v>14</v>
      </c>
      <c r="M2435" s="3">
        <v>5850</v>
      </c>
      <c r="N2435" s="3">
        <v>81.900000000000006</v>
      </c>
      <c r="O2435" s="3">
        <v>6.31</v>
      </c>
      <c r="P2435" s="3">
        <v>516.78899999999999</v>
      </c>
      <c r="Q2435" s="3">
        <v>5850</v>
      </c>
    </row>
    <row r="2436" spans="1:17" ht="24.95" hidden="1" customHeight="1" x14ac:dyDescent="0.25">
      <c r="A2436" s="3">
        <v>9</v>
      </c>
      <c r="B2436" s="3" t="s">
        <v>473</v>
      </c>
      <c r="C2436" s="3" t="s">
        <v>2865</v>
      </c>
      <c r="I2436" s="3">
        <v>32</v>
      </c>
      <c r="J2436" s="3">
        <v>6</v>
      </c>
      <c r="K2436" s="3">
        <v>2</v>
      </c>
      <c r="L2436" s="3">
        <v>12</v>
      </c>
      <c r="M2436" s="3">
        <v>7650</v>
      </c>
      <c r="N2436" s="3">
        <v>91.8</v>
      </c>
      <c r="O2436" s="3">
        <v>6.31</v>
      </c>
      <c r="P2436" s="3">
        <v>579.25799999999992</v>
      </c>
      <c r="Q2436" s="3">
        <v>7650</v>
      </c>
    </row>
    <row r="2437" spans="1:17" ht="24.95" hidden="1" customHeight="1" x14ac:dyDescent="0.25">
      <c r="A2437" s="3">
        <v>9</v>
      </c>
      <c r="B2437" s="3" t="s">
        <v>473</v>
      </c>
      <c r="C2437" s="3" t="s">
        <v>2866</v>
      </c>
      <c r="I2437" s="3">
        <v>32</v>
      </c>
      <c r="J2437" s="3">
        <v>7</v>
      </c>
      <c r="K2437" s="3">
        <v>2</v>
      </c>
      <c r="L2437" s="3">
        <v>14</v>
      </c>
      <c r="M2437" s="3">
        <v>10205</v>
      </c>
      <c r="N2437" s="3">
        <v>142.87</v>
      </c>
      <c r="O2437" s="3">
        <v>6.31</v>
      </c>
      <c r="P2437" s="3">
        <v>901.50969999999995</v>
      </c>
      <c r="Q2437" s="3">
        <v>10205</v>
      </c>
    </row>
    <row r="2438" spans="1:17" ht="24.95" hidden="1" customHeight="1" x14ac:dyDescent="0.25">
      <c r="A2438" s="3">
        <v>9</v>
      </c>
      <c r="B2438" s="3" t="s">
        <v>473</v>
      </c>
      <c r="C2438" s="3" t="s">
        <v>2867</v>
      </c>
      <c r="I2438" s="3">
        <v>32</v>
      </c>
      <c r="J2438" s="3">
        <v>6</v>
      </c>
      <c r="K2438" s="3">
        <v>2</v>
      </c>
      <c r="L2438" s="3">
        <v>12</v>
      </c>
      <c r="M2438" s="3">
        <v>8405</v>
      </c>
      <c r="N2438" s="3">
        <v>100.86</v>
      </c>
      <c r="O2438" s="3">
        <v>6.31</v>
      </c>
      <c r="P2438" s="3">
        <v>636.42660000000001</v>
      </c>
      <c r="Q2438" s="3">
        <v>8405</v>
      </c>
    </row>
    <row r="2439" spans="1:17" ht="24.95" hidden="1" customHeight="1" x14ac:dyDescent="0.25">
      <c r="A2439" s="3">
        <v>9</v>
      </c>
      <c r="B2439" s="3" t="s">
        <v>473</v>
      </c>
      <c r="C2439" s="3" t="s">
        <v>2868</v>
      </c>
      <c r="I2439" s="3">
        <v>32</v>
      </c>
      <c r="J2439" s="3">
        <v>13</v>
      </c>
      <c r="K2439" s="3">
        <v>2</v>
      </c>
      <c r="L2439" s="3">
        <v>26</v>
      </c>
      <c r="M2439" s="3">
        <v>6620</v>
      </c>
      <c r="N2439" s="3">
        <v>172.12</v>
      </c>
      <c r="O2439" s="3">
        <v>6.31</v>
      </c>
      <c r="P2439" s="3">
        <v>1086.0771999999999</v>
      </c>
      <c r="Q2439" s="3">
        <v>6620</v>
      </c>
    </row>
    <row r="2440" spans="1:17" ht="24.95" hidden="1" customHeight="1" x14ac:dyDescent="0.25">
      <c r="A2440" s="3">
        <v>9</v>
      </c>
      <c r="B2440" s="3" t="s">
        <v>473</v>
      </c>
      <c r="C2440" s="3" t="s">
        <v>2869</v>
      </c>
      <c r="I2440" s="3">
        <v>32</v>
      </c>
      <c r="J2440" s="3">
        <v>7</v>
      </c>
      <c r="K2440" s="3">
        <v>2</v>
      </c>
      <c r="L2440" s="3">
        <v>14</v>
      </c>
      <c r="M2440" s="3">
        <v>6420</v>
      </c>
      <c r="N2440" s="3">
        <v>89.88</v>
      </c>
      <c r="O2440" s="3">
        <v>6.31</v>
      </c>
      <c r="P2440" s="3">
        <v>567.14279999999997</v>
      </c>
      <c r="Q2440" s="3">
        <v>6420</v>
      </c>
    </row>
    <row r="2441" spans="1:17" ht="24.95" hidden="1" customHeight="1" x14ac:dyDescent="0.25">
      <c r="A2441" s="3">
        <v>9</v>
      </c>
      <c r="B2441" s="3" t="s">
        <v>473</v>
      </c>
      <c r="C2441" s="3" t="s">
        <v>2870</v>
      </c>
      <c r="I2441" s="3">
        <v>14</v>
      </c>
      <c r="J2441" s="3">
        <v>56</v>
      </c>
      <c r="K2441" s="3">
        <v>2</v>
      </c>
      <c r="L2441" s="3">
        <v>112</v>
      </c>
      <c r="M2441" s="3">
        <v>3150</v>
      </c>
      <c r="N2441" s="3">
        <v>352.8</v>
      </c>
      <c r="O2441" s="3">
        <v>1.21</v>
      </c>
      <c r="P2441" s="3">
        <v>426.88799999999998</v>
      </c>
      <c r="Q2441" s="3">
        <v>3150</v>
      </c>
    </row>
    <row r="2442" spans="1:17" ht="24.95" hidden="1" customHeight="1" x14ac:dyDescent="0.25">
      <c r="A2442" s="3">
        <v>9</v>
      </c>
      <c r="B2442" s="3" t="s">
        <v>473</v>
      </c>
      <c r="C2442" s="3" t="s">
        <v>2871</v>
      </c>
      <c r="I2442" s="3">
        <v>14</v>
      </c>
      <c r="J2442" s="3">
        <v>56</v>
      </c>
      <c r="K2442" s="3">
        <v>2</v>
      </c>
      <c r="L2442" s="3">
        <v>112</v>
      </c>
      <c r="M2442" s="3">
        <v>6070</v>
      </c>
      <c r="N2442" s="3">
        <v>679.84</v>
      </c>
      <c r="O2442" s="3">
        <v>1.21</v>
      </c>
      <c r="P2442" s="3">
        <v>822.60640000000001</v>
      </c>
      <c r="Q2442" s="3">
        <v>6070</v>
      </c>
    </row>
    <row r="2443" spans="1:17" ht="24.95" hidden="1" customHeight="1" x14ac:dyDescent="0.25">
      <c r="A2443" s="3">
        <v>9</v>
      </c>
      <c r="B2443" s="3" t="s">
        <v>473</v>
      </c>
      <c r="C2443" s="3" t="s">
        <v>2872</v>
      </c>
      <c r="I2443" s="3">
        <v>14</v>
      </c>
      <c r="J2443" s="3">
        <v>280</v>
      </c>
      <c r="K2443" s="3">
        <v>2</v>
      </c>
      <c r="L2443" s="3">
        <v>560</v>
      </c>
      <c r="M2443" s="3">
        <v>2370</v>
      </c>
      <c r="N2443" s="3">
        <v>1327.2</v>
      </c>
      <c r="O2443" s="3">
        <v>1.21</v>
      </c>
      <c r="P2443" s="3">
        <v>1605.912</v>
      </c>
      <c r="Q2443" s="3">
        <v>2370</v>
      </c>
    </row>
    <row r="2444" spans="1:17" ht="24.95" hidden="1" customHeight="1" x14ac:dyDescent="0.25">
      <c r="A2444" s="3">
        <v>9</v>
      </c>
      <c r="B2444" s="3" t="s">
        <v>473</v>
      </c>
      <c r="C2444" s="3" t="s">
        <v>2873</v>
      </c>
      <c r="I2444" s="3">
        <v>18</v>
      </c>
      <c r="J2444" s="3">
        <v>10</v>
      </c>
      <c r="K2444" s="3">
        <v>2</v>
      </c>
      <c r="L2444" s="3">
        <v>20</v>
      </c>
      <c r="M2444" s="3">
        <v>10260</v>
      </c>
      <c r="N2444" s="3">
        <v>205.2</v>
      </c>
      <c r="O2444" s="3">
        <v>2</v>
      </c>
      <c r="P2444" s="3">
        <v>410.4</v>
      </c>
      <c r="Q2444" s="3">
        <v>10260</v>
      </c>
    </row>
    <row r="2445" spans="1:17" ht="24.95" hidden="1" customHeight="1" x14ac:dyDescent="0.25">
      <c r="A2445" s="3">
        <v>9</v>
      </c>
      <c r="B2445" s="3" t="s">
        <v>473</v>
      </c>
      <c r="C2445" s="3" t="s">
        <v>2874</v>
      </c>
      <c r="I2445" s="3">
        <v>14</v>
      </c>
      <c r="J2445" s="3">
        <v>140</v>
      </c>
      <c r="K2445" s="3">
        <v>2</v>
      </c>
      <c r="L2445" s="3">
        <v>280</v>
      </c>
      <c r="M2445" s="3">
        <v>2170</v>
      </c>
      <c r="N2445" s="3">
        <v>607.6</v>
      </c>
      <c r="O2445" s="3">
        <v>1.21</v>
      </c>
      <c r="P2445" s="3">
        <v>735.19600000000003</v>
      </c>
      <c r="Q2445" s="3">
        <v>2170</v>
      </c>
    </row>
    <row r="2446" spans="1:17" ht="24.95" hidden="1" customHeight="1" x14ac:dyDescent="0.25">
      <c r="A2446" s="3">
        <v>9</v>
      </c>
      <c r="B2446" s="3" t="s">
        <v>473</v>
      </c>
      <c r="C2446" s="3" t="s">
        <v>2875</v>
      </c>
      <c r="I2446" s="3">
        <v>14</v>
      </c>
      <c r="J2446" s="3">
        <v>25</v>
      </c>
      <c r="K2446" s="3">
        <v>2</v>
      </c>
      <c r="L2446" s="3">
        <v>50</v>
      </c>
      <c r="M2446" s="3">
        <v>10260</v>
      </c>
      <c r="N2446" s="3">
        <v>513</v>
      </c>
      <c r="O2446" s="3">
        <v>1.21</v>
      </c>
      <c r="P2446" s="3">
        <v>620.73</v>
      </c>
      <c r="Q2446" s="3">
        <v>10260</v>
      </c>
    </row>
    <row r="2447" spans="1:17" ht="24.95" hidden="1" customHeight="1" x14ac:dyDescent="0.25">
      <c r="A2447" s="3">
        <v>9</v>
      </c>
      <c r="B2447" s="3" t="s">
        <v>473</v>
      </c>
      <c r="C2447" s="3" t="s">
        <v>2876</v>
      </c>
      <c r="I2447" s="3">
        <v>32</v>
      </c>
      <c r="J2447" s="3">
        <v>30</v>
      </c>
      <c r="K2447" s="3">
        <v>2</v>
      </c>
      <c r="L2447" s="3">
        <v>60</v>
      </c>
      <c r="M2447" s="3">
        <v>1890</v>
      </c>
      <c r="N2447" s="3">
        <v>113.4</v>
      </c>
      <c r="O2447" s="3">
        <v>6.31</v>
      </c>
      <c r="P2447" s="3">
        <v>715.55399999999997</v>
      </c>
      <c r="Q2447" s="3">
        <v>1890</v>
      </c>
    </row>
  </sheetData>
  <autoFilter ref="A1:Q2447" xr:uid="{00000000-0009-0000-0000-000002000000}">
    <filterColumn colId="0">
      <filters>
        <filter val="14"/>
      </filters>
    </filterColumn>
    <filterColumn colId="3" showButton="0"/>
    <filterColumn colId="4" showButton="0"/>
    <filterColumn colId="5" showButton="0"/>
    <filterColumn colId="6" showButton="0"/>
  </autoFilter>
  <mergeCells count="1">
    <mergeCell ref="D1:H1"/>
  </mergeCells>
  <phoneticPr fontId="45" type="noConversion"/>
  <dataValidations disablePrompts="1" count="1">
    <dataValidation type="list" allowBlank="1" showInputMessage="1" showErrorMessage="1" sqref="I1" xr:uid="{00000000-0002-0000-0200-000000000000}">
      <formula1>"6,8,10,12,14,16,18,20,22,25,28,32,36,40"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63"/>
  <sheetViews>
    <sheetView zoomScale="85" zoomScaleNormal="85" workbookViewId="0">
      <pane ySplit="1" topLeftCell="A35" activePane="bottomLeft" state="frozen"/>
      <selection pane="bottomLeft" activeCell="G1" sqref="G1"/>
    </sheetView>
  </sheetViews>
  <sheetFormatPr defaultColWidth="9" defaultRowHeight="15" x14ac:dyDescent="0.25"/>
  <cols>
    <col min="1" max="1" width="18.140625" style="15" customWidth="1"/>
    <col min="2" max="2" width="13.42578125" style="20" bestFit="1" customWidth="1"/>
    <col min="3" max="3" width="12.7109375" style="18" customWidth="1"/>
    <col min="4" max="4" width="15.42578125" style="20" customWidth="1"/>
    <col min="5" max="5" width="10.5703125" style="20" bestFit="1" customWidth="1"/>
    <col min="6" max="6" width="12.85546875" style="15" customWidth="1"/>
    <col min="7" max="7" width="9" style="15"/>
    <col min="8" max="8" width="12.28515625" style="15" customWidth="1"/>
    <col min="9" max="9" width="11" style="15" customWidth="1"/>
    <col min="10" max="10" width="11.5703125" style="15" bestFit="1" customWidth="1"/>
    <col min="11" max="11" width="9" style="15"/>
    <col min="12" max="12" width="13.85546875" style="15" customWidth="1"/>
    <col min="13" max="13" width="10.28515625" style="15" customWidth="1"/>
    <col min="14" max="16384" width="9" style="15"/>
  </cols>
  <sheetData>
    <row r="1" spans="1:14" ht="45" x14ac:dyDescent="0.25">
      <c r="A1" s="16" t="s">
        <v>7</v>
      </c>
      <c r="B1" s="21" t="s">
        <v>8</v>
      </c>
      <c r="C1" s="17" t="s">
        <v>9</v>
      </c>
      <c r="D1" s="19" t="s">
        <v>10</v>
      </c>
      <c r="E1" s="19" t="s">
        <v>47</v>
      </c>
      <c r="F1" s="89" t="str">
        <f>IF(B1=6,D1,"-")</f>
        <v>-</v>
      </c>
      <c r="G1" s="129">
        <f>SUM(F:F)</f>
        <v>0</v>
      </c>
      <c r="H1" s="19" t="s">
        <v>257</v>
      </c>
      <c r="I1" s="90" t="str">
        <f>IF(B1=8,D1,"-")</f>
        <v>-</v>
      </c>
      <c r="J1" s="128">
        <f>SUM(I:I)</f>
        <v>20.500500000000002</v>
      </c>
      <c r="K1" s="19" t="s">
        <v>258</v>
      </c>
      <c r="L1" s="91">
        <f>SUM(D:D)</f>
        <v>1072999.8079599997</v>
      </c>
      <c r="M1" s="19" t="s">
        <v>259</v>
      </c>
      <c r="N1" s="88"/>
    </row>
    <row r="2" spans="1:14" x14ac:dyDescent="0.25">
      <c r="A2" s="134">
        <v>1</v>
      </c>
      <c r="B2" s="135">
        <v>10</v>
      </c>
      <c r="C2" s="133">
        <v>268.74</v>
      </c>
      <c r="D2" s="133">
        <v>165.81258</v>
      </c>
      <c r="E2" s="132">
        <f t="shared" ref="E2:E22" si="0">ROUNDUP(C2/11.7,0)</f>
        <v>23</v>
      </c>
      <c r="F2" s="89" t="str">
        <f t="shared" ref="F2:F63" si="1">IF(B2=6,D2,"-")</f>
        <v>-</v>
      </c>
      <c r="I2" s="90" t="str">
        <f t="shared" ref="I2:I63" si="2">IF(B2=8,D2,"-")</f>
        <v>-</v>
      </c>
    </row>
    <row r="3" spans="1:14" x14ac:dyDescent="0.25">
      <c r="A3" s="134">
        <v>1</v>
      </c>
      <c r="B3" s="135">
        <v>14</v>
      </c>
      <c r="C3" s="133">
        <v>21557.759999999995</v>
      </c>
      <c r="D3" s="133">
        <v>26084.889599999995</v>
      </c>
      <c r="E3" s="132">
        <f t="shared" si="0"/>
        <v>1843</v>
      </c>
      <c r="F3" s="89" t="str">
        <f t="shared" si="1"/>
        <v>-</v>
      </c>
      <c r="I3" s="90" t="str">
        <f t="shared" si="2"/>
        <v>-</v>
      </c>
    </row>
    <row r="4" spans="1:14" x14ac:dyDescent="0.25">
      <c r="A4" s="134">
        <v>1</v>
      </c>
      <c r="B4" s="135">
        <v>16</v>
      </c>
      <c r="C4" s="133">
        <v>9792.8399999999983</v>
      </c>
      <c r="D4" s="133">
        <v>15472.687200000002</v>
      </c>
      <c r="E4" s="132">
        <f t="shared" si="0"/>
        <v>837</v>
      </c>
      <c r="F4" s="89" t="str">
        <f t="shared" si="1"/>
        <v>-</v>
      </c>
      <c r="I4" s="90" t="str">
        <f t="shared" si="2"/>
        <v>-</v>
      </c>
    </row>
    <row r="5" spans="1:14" x14ac:dyDescent="0.25">
      <c r="A5" s="134">
        <v>1</v>
      </c>
      <c r="B5" s="135">
        <v>18</v>
      </c>
      <c r="C5" s="133">
        <v>1729.0200000000002</v>
      </c>
      <c r="D5" s="133">
        <v>3458.0400000000004</v>
      </c>
      <c r="E5" s="132">
        <f t="shared" si="0"/>
        <v>148</v>
      </c>
      <c r="F5" s="89" t="str">
        <f t="shared" si="1"/>
        <v>-</v>
      </c>
      <c r="I5" s="90" t="str">
        <f t="shared" si="2"/>
        <v>-</v>
      </c>
    </row>
    <row r="6" spans="1:14" x14ac:dyDescent="0.25">
      <c r="A6" s="134">
        <v>1</v>
      </c>
      <c r="B6" s="135">
        <v>32</v>
      </c>
      <c r="C6" s="133">
        <v>12216.880000000003</v>
      </c>
      <c r="D6" s="133">
        <v>77088.512799999968</v>
      </c>
      <c r="E6" s="132">
        <f t="shared" si="0"/>
        <v>1045</v>
      </c>
      <c r="F6" s="89" t="str">
        <f t="shared" si="1"/>
        <v>-</v>
      </c>
      <c r="I6" s="90" t="str">
        <f t="shared" si="2"/>
        <v>-</v>
      </c>
    </row>
    <row r="7" spans="1:14" x14ac:dyDescent="0.25">
      <c r="A7" s="134">
        <v>2</v>
      </c>
      <c r="B7" s="135">
        <v>10</v>
      </c>
      <c r="C7" s="133">
        <v>142.19999999999999</v>
      </c>
      <c r="D7" s="133">
        <v>87.737399999999994</v>
      </c>
      <c r="E7" s="132">
        <f t="shared" si="0"/>
        <v>13</v>
      </c>
      <c r="F7" s="89" t="str">
        <f t="shared" si="1"/>
        <v>-</v>
      </c>
      <c r="I7" s="90" t="str">
        <f t="shared" si="2"/>
        <v>-</v>
      </c>
    </row>
    <row r="8" spans="1:14" x14ac:dyDescent="0.25">
      <c r="A8" s="134">
        <v>2</v>
      </c>
      <c r="B8" s="135">
        <v>14</v>
      </c>
      <c r="C8" s="133">
        <v>57764.369999999995</v>
      </c>
      <c r="D8" s="133">
        <v>69894.88770000005</v>
      </c>
      <c r="E8" s="132">
        <f t="shared" si="0"/>
        <v>4938</v>
      </c>
      <c r="F8" s="89" t="str">
        <f t="shared" si="1"/>
        <v>-</v>
      </c>
      <c r="I8" s="90" t="str">
        <f t="shared" si="2"/>
        <v>-</v>
      </c>
    </row>
    <row r="9" spans="1:14" x14ac:dyDescent="0.25">
      <c r="A9" s="134">
        <v>2</v>
      </c>
      <c r="B9" s="135">
        <v>16</v>
      </c>
      <c r="C9" s="133">
        <v>3528.3399999999997</v>
      </c>
      <c r="D9" s="133">
        <v>5574.7771999999995</v>
      </c>
      <c r="E9" s="132">
        <f t="shared" si="0"/>
        <v>302</v>
      </c>
      <c r="F9" s="89" t="str">
        <f t="shared" si="1"/>
        <v>-</v>
      </c>
      <c r="I9" s="90" t="str">
        <f t="shared" si="2"/>
        <v>-</v>
      </c>
    </row>
    <row r="10" spans="1:14" x14ac:dyDescent="0.25">
      <c r="A10" s="134">
        <v>2</v>
      </c>
      <c r="B10" s="135">
        <v>18</v>
      </c>
      <c r="C10" s="133">
        <v>2017.9800000000005</v>
      </c>
      <c r="D10" s="133">
        <v>4035.9600000000009</v>
      </c>
      <c r="E10" s="132">
        <f t="shared" si="0"/>
        <v>173</v>
      </c>
      <c r="F10" s="89" t="str">
        <f t="shared" si="1"/>
        <v>-</v>
      </c>
      <c r="I10" s="90" t="str">
        <f t="shared" si="2"/>
        <v>-</v>
      </c>
    </row>
    <row r="11" spans="1:14" x14ac:dyDescent="0.25">
      <c r="A11" s="134">
        <v>2</v>
      </c>
      <c r="B11" s="135">
        <v>32</v>
      </c>
      <c r="C11" s="133">
        <v>16674.105000000007</v>
      </c>
      <c r="D11" s="133">
        <v>105213.60255</v>
      </c>
      <c r="E11" s="132">
        <f t="shared" si="0"/>
        <v>1426</v>
      </c>
      <c r="F11" s="89" t="str">
        <f t="shared" si="1"/>
        <v>-</v>
      </c>
      <c r="I11" s="90" t="str">
        <f t="shared" si="2"/>
        <v>-</v>
      </c>
    </row>
    <row r="12" spans="1:14" x14ac:dyDescent="0.25">
      <c r="A12" s="134">
        <v>3</v>
      </c>
      <c r="B12" s="135">
        <v>10</v>
      </c>
      <c r="C12" s="133">
        <v>14.16</v>
      </c>
      <c r="D12" s="133">
        <v>8.73672</v>
      </c>
      <c r="E12" s="132">
        <f t="shared" si="0"/>
        <v>2</v>
      </c>
      <c r="F12" s="89" t="str">
        <f t="shared" si="1"/>
        <v>-</v>
      </c>
      <c r="I12" s="90" t="str">
        <f t="shared" si="2"/>
        <v>-</v>
      </c>
    </row>
    <row r="13" spans="1:14" x14ac:dyDescent="0.25">
      <c r="A13" s="134">
        <v>3</v>
      </c>
      <c r="B13" s="135">
        <v>14</v>
      </c>
      <c r="C13" s="133">
        <v>31225.130000000005</v>
      </c>
      <c r="D13" s="133">
        <v>37782.407299999999</v>
      </c>
      <c r="E13" s="132">
        <f t="shared" si="0"/>
        <v>2669</v>
      </c>
      <c r="F13" s="89" t="str">
        <f t="shared" si="1"/>
        <v>-</v>
      </c>
      <c r="I13" s="90" t="str">
        <f t="shared" si="2"/>
        <v>-</v>
      </c>
    </row>
    <row r="14" spans="1:14" x14ac:dyDescent="0.25">
      <c r="A14" s="134">
        <v>3</v>
      </c>
      <c r="B14" s="135">
        <v>16</v>
      </c>
      <c r="C14" s="133">
        <v>1716</v>
      </c>
      <c r="D14" s="133">
        <v>2711.28</v>
      </c>
      <c r="E14" s="132">
        <f t="shared" si="0"/>
        <v>147</v>
      </c>
      <c r="F14" s="89" t="str">
        <f t="shared" si="1"/>
        <v>-</v>
      </c>
      <c r="I14" s="90" t="str">
        <f t="shared" si="2"/>
        <v>-</v>
      </c>
    </row>
    <row r="15" spans="1:14" x14ac:dyDescent="0.25">
      <c r="A15" s="134">
        <v>3</v>
      </c>
      <c r="B15" s="135">
        <v>18</v>
      </c>
      <c r="C15" s="133">
        <v>2917.7599999999989</v>
      </c>
      <c r="D15" s="133">
        <v>5835.5199999999977</v>
      </c>
      <c r="E15" s="132">
        <f t="shared" si="0"/>
        <v>250</v>
      </c>
      <c r="F15" s="89" t="str">
        <f t="shared" si="1"/>
        <v>-</v>
      </c>
      <c r="I15" s="90" t="str">
        <f t="shared" si="2"/>
        <v>-</v>
      </c>
    </row>
    <row r="16" spans="1:14" x14ac:dyDescent="0.25">
      <c r="A16" s="134">
        <v>3</v>
      </c>
      <c r="B16" s="135">
        <v>20</v>
      </c>
      <c r="C16" s="133">
        <v>3477.33</v>
      </c>
      <c r="D16" s="133">
        <v>8589.0051000000003</v>
      </c>
      <c r="E16" s="132">
        <f t="shared" si="0"/>
        <v>298</v>
      </c>
      <c r="F16" s="89" t="str">
        <f t="shared" si="1"/>
        <v>-</v>
      </c>
      <c r="I16" s="90" t="str">
        <f t="shared" si="2"/>
        <v>-</v>
      </c>
    </row>
    <row r="17" spans="1:9" x14ac:dyDescent="0.25">
      <c r="A17" s="134">
        <v>3</v>
      </c>
      <c r="B17" s="135">
        <v>32</v>
      </c>
      <c r="C17" s="133">
        <v>10285.634999999998</v>
      </c>
      <c r="D17" s="133">
        <v>64902.356849999975</v>
      </c>
      <c r="E17" s="132">
        <f t="shared" si="0"/>
        <v>880</v>
      </c>
      <c r="F17" s="89" t="str">
        <f t="shared" si="1"/>
        <v>-</v>
      </c>
      <c r="I17" s="90" t="str">
        <f t="shared" si="2"/>
        <v>-</v>
      </c>
    </row>
    <row r="18" spans="1:9" x14ac:dyDescent="0.25">
      <c r="A18" s="134">
        <v>4</v>
      </c>
      <c r="B18" s="135">
        <v>10</v>
      </c>
      <c r="C18" s="133">
        <v>367.5</v>
      </c>
      <c r="D18" s="133">
        <v>226.74749999999997</v>
      </c>
      <c r="E18" s="132">
        <f t="shared" si="0"/>
        <v>32</v>
      </c>
      <c r="F18" s="89" t="str">
        <f t="shared" si="1"/>
        <v>-</v>
      </c>
      <c r="I18" s="90" t="str">
        <f t="shared" si="2"/>
        <v>-</v>
      </c>
    </row>
    <row r="19" spans="1:9" x14ac:dyDescent="0.25">
      <c r="A19" s="134">
        <v>4</v>
      </c>
      <c r="B19" s="135">
        <v>14</v>
      </c>
      <c r="C19" s="133">
        <v>17392.559999999994</v>
      </c>
      <c r="D19" s="133">
        <v>21044.997599999995</v>
      </c>
      <c r="E19" s="132">
        <f t="shared" si="0"/>
        <v>1487</v>
      </c>
      <c r="F19" s="89" t="str">
        <f t="shared" si="1"/>
        <v>-</v>
      </c>
      <c r="I19" s="90" t="str">
        <f t="shared" si="2"/>
        <v>-</v>
      </c>
    </row>
    <row r="20" spans="1:9" x14ac:dyDescent="0.25">
      <c r="A20" s="134">
        <v>4</v>
      </c>
      <c r="B20" s="135">
        <v>16</v>
      </c>
      <c r="C20" s="133">
        <v>3311.49</v>
      </c>
      <c r="D20" s="133">
        <v>5232.1542000000009</v>
      </c>
      <c r="E20" s="132">
        <f t="shared" si="0"/>
        <v>284</v>
      </c>
      <c r="F20" s="89" t="str">
        <f t="shared" si="1"/>
        <v>-</v>
      </c>
      <c r="I20" s="90" t="str">
        <f t="shared" si="2"/>
        <v>-</v>
      </c>
    </row>
    <row r="21" spans="1:9" x14ac:dyDescent="0.25">
      <c r="A21" s="134">
        <v>4</v>
      </c>
      <c r="B21" s="135">
        <v>18</v>
      </c>
      <c r="C21" s="133">
        <v>2453.8500000000004</v>
      </c>
      <c r="D21" s="133">
        <v>4907.7000000000007</v>
      </c>
      <c r="E21" s="132">
        <f t="shared" si="0"/>
        <v>210</v>
      </c>
      <c r="F21" s="89" t="str">
        <f t="shared" si="1"/>
        <v>-</v>
      </c>
      <c r="I21" s="90" t="str">
        <f t="shared" si="2"/>
        <v>-</v>
      </c>
    </row>
    <row r="22" spans="1:9" x14ac:dyDescent="0.25">
      <c r="A22" s="134">
        <v>4</v>
      </c>
      <c r="B22" s="135">
        <v>32</v>
      </c>
      <c r="C22" s="133">
        <v>7694.2800000000043</v>
      </c>
      <c r="D22" s="133">
        <v>48550.906799999975</v>
      </c>
      <c r="E22" s="132">
        <f t="shared" si="0"/>
        <v>658</v>
      </c>
      <c r="F22" s="89" t="str">
        <f t="shared" si="1"/>
        <v>-</v>
      </c>
      <c r="I22" s="90" t="str">
        <f t="shared" si="2"/>
        <v>-</v>
      </c>
    </row>
    <row r="23" spans="1:9" x14ac:dyDescent="0.25">
      <c r="A23" s="134">
        <v>5</v>
      </c>
      <c r="B23" s="135">
        <v>8</v>
      </c>
      <c r="C23" s="133">
        <v>44.2</v>
      </c>
      <c r="D23" s="133">
        <v>17.459000000000003</v>
      </c>
      <c r="E23" s="132"/>
      <c r="F23" s="89" t="str">
        <f t="shared" si="1"/>
        <v>-</v>
      </c>
      <c r="I23" s="90">
        <f t="shared" si="2"/>
        <v>17.459000000000003</v>
      </c>
    </row>
    <row r="24" spans="1:9" x14ac:dyDescent="0.25">
      <c r="A24" s="134">
        <v>5</v>
      </c>
      <c r="B24" s="135">
        <v>10</v>
      </c>
      <c r="C24" s="133">
        <v>7145.8700000000017</v>
      </c>
      <c r="D24" s="133">
        <v>4409.0017899999993</v>
      </c>
      <c r="E24" s="132">
        <f t="shared" ref="E24:E59" si="3">ROUNDUP(C24/11.7,0)</f>
        <v>611</v>
      </c>
      <c r="F24" s="89" t="str">
        <f t="shared" si="1"/>
        <v>-</v>
      </c>
      <c r="I24" s="90" t="str">
        <f t="shared" si="2"/>
        <v>-</v>
      </c>
    </row>
    <row r="25" spans="1:9" x14ac:dyDescent="0.25">
      <c r="A25" s="134">
        <v>5</v>
      </c>
      <c r="B25" s="135">
        <v>12</v>
      </c>
      <c r="C25" s="133">
        <v>177.05999999999997</v>
      </c>
      <c r="D25" s="133">
        <v>157.22927999999999</v>
      </c>
      <c r="E25" s="132">
        <f t="shared" si="3"/>
        <v>16</v>
      </c>
      <c r="F25" s="89" t="str">
        <f t="shared" si="1"/>
        <v>-</v>
      </c>
      <c r="I25" s="90" t="str">
        <f t="shared" si="2"/>
        <v>-</v>
      </c>
    </row>
    <row r="26" spans="1:9" x14ac:dyDescent="0.25">
      <c r="A26" s="134">
        <v>5</v>
      </c>
      <c r="B26" s="135">
        <v>14</v>
      </c>
      <c r="C26" s="133">
        <v>2474.9</v>
      </c>
      <c r="D26" s="133">
        <v>2994.6290000000004</v>
      </c>
      <c r="E26" s="132">
        <f t="shared" si="3"/>
        <v>212</v>
      </c>
      <c r="F26" s="89" t="str">
        <f t="shared" si="1"/>
        <v>-</v>
      </c>
      <c r="I26" s="90" t="str">
        <f t="shared" si="2"/>
        <v>-</v>
      </c>
    </row>
    <row r="27" spans="1:9" x14ac:dyDescent="0.25">
      <c r="A27" s="134">
        <v>5</v>
      </c>
      <c r="B27" s="135">
        <v>16</v>
      </c>
      <c r="C27" s="133">
        <v>833.3</v>
      </c>
      <c r="D27" s="133">
        <v>1316.614</v>
      </c>
      <c r="E27" s="132">
        <f t="shared" si="3"/>
        <v>72</v>
      </c>
      <c r="F27" s="89" t="str">
        <f t="shared" si="1"/>
        <v>-</v>
      </c>
      <c r="I27" s="90" t="str">
        <f t="shared" si="2"/>
        <v>-</v>
      </c>
    </row>
    <row r="28" spans="1:9" x14ac:dyDescent="0.25">
      <c r="A28" s="134">
        <v>5</v>
      </c>
      <c r="B28" s="135">
        <v>18</v>
      </c>
      <c r="C28" s="133">
        <v>352</v>
      </c>
      <c r="D28" s="133">
        <v>704</v>
      </c>
      <c r="E28" s="132">
        <f t="shared" si="3"/>
        <v>31</v>
      </c>
      <c r="F28" s="89" t="str">
        <f t="shared" si="1"/>
        <v>-</v>
      </c>
      <c r="I28" s="90" t="str">
        <f t="shared" si="2"/>
        <v>-</v>
      </c>
    </row>
    <row r="29" spans="1:9" x14ac:dyDescent="0.25">
      <c r="A29" s="134">
        <v>5</v>
      </c>
      <c r="B29" s="135">
        <v>20</v>
      </c>
      <c r="C29" s="133">
        <v>2099.6800000000012</v>
      </c>
      <c r="D29" s="133">
        <v>5186.2096000000001</v>
      </c>
      <c r="E29" s="132">
        <f t="shared" si="3"/>
        <v>180</v>
      </c>
      <c r="F29" s="89" t="str">
        <f t="shared" si="1"/>
        <v>-</v>
      </c>
      <c r="I29" s="90" t="str">
        <f t="shared" si="2"/>
        <v>-</v>
      </c>
    </row>
    <row r="30" spans="1:9" x14ac:dyDescent="0.25">
      <c r="A30" s="134">
        <v>5</v>
      </c>
      <c r="B30" s="135">
        <v>22</v>
      </c>
      <c r="C30" s="133">
        <v>88.199999999999989</v>
      </c>
      <c r="D30" s="133">
        <v>262.83600000000001</v>
      </c>
      <c r="E30" s="132">
        <f t="shared" si="3"/>
        <v>8</v>
      </c>
      <c r="F30" s="89" t="str">
        <f t="shared" si="1"/>
        <v>-</v>
      </c>
      <c r="I30" s="90" t="str">
        <f t="shared" si="2"/>
        <v>-</v>
      </c>
    </row>
    <row r="31" spans="1:9" x14ac:dyDescent="0.25">
      <c r="A31" s="134">
        <v>5</v>
      </c>
      <c r="B31" s="135">
        <v>25</v>
      </c>
      <c r="C31" s="133">
        <v>2868.5350000000017</v>
      </c>
      <c r="D31" s="133">
        <v>11043.859750000005</v>
      </c>
      <c r="E31" s="132">
        <f t="shared" si="3"/>
        <v>246</v>
      </c>
      <c r="F31" s="89" t="str">
        <f t="shared" si="1"/>
        <v>-</v>
      </c>
      <c r="I31" s="90" t="str">
        <f t="shared" si="2"/>
        <v>-</v>
      </c>
    </row>
    <row r="32" spans="1:9" x14ac:dyDescent="0.25">
      <c r="A32" s="134">
        <v>5</v>
      </c>
      <c r="B32" s="135">
        <v>32</v>
      </c>
      <c r="C32" s="133">
        <v>5562.8449999999993</v>
      </c>
      <c r="D32" s="133">
        <v>35101.551949999986</v>
      </c>
      <c r="E32" s="132">
        <f t="shared" si="3"/>
        <v>476</v>
      </c>
      <c r="F32" s="89" t="str">
        <f t="shared" si="1"/>
        <v>-</v>
      </c>
      <c r="I32" s="90" t="str">
        <f t="shared" si="2"/>
        <v>-</v>
      </c>
    </row>
    <row r="33" spans="1:9" x14ac:dyDescent="0.25">
      <c r="A33" s="134">
        <v>6</v>
      </c>
      <c r="B33" s="135">
        <v>14</v>
      </c>
      <c r="C33" s="133">
        <v>30887.549999999996</v>
      </c>
      <c r="D33" s="133">
        <v>37373.935499999992</v>
      </c>
      <c r="E33" s="132">
        <f t="shared" si="3"/>
        <v>2640</v>
      </c>
      <c r="F33" s="89" t="str">
        <f t="shared" si="1"/>
        <v>-</v>
      </c>
      <c r="I33" s="90" t="str">
        <f t="shared" si="2"/>
        <v>-</v>
      </c>
    </row>
    <row r="34" spans="1:9" x14ac:dyDescent="0.25">
      <c r="A34" s="134">
        <v>6</v>
      </c>
      <c r="B34" s="135">
        <v>16</v>
      </c>
      <c r="C34" s="133">
        <v>9404.26</v>
      </c>
      <c r="D34" s="133">
        <v>14858.730800000001</v>
      </c>
      <c r="E34" s="132">
        <f t="shared" si="3"/>
        <v>804</v>
      </c>
      <c r="F34" s="89" t="str">
        <f t="shared" si="1"/>
        <v>-</v>
      </c>
      <c r="I34" s="90" t="str">
        <f t="shared" si="2"/>
        <v>-</v>
      </c>
    </row>
    <row r="35" spans="1:9" x14ac:dyDescent="0.25">
      <c r="A35" s="134">
        <v>6</v>
      </c>
      <c r="B35" s="135">
        <v>18</v>
      </c>
      <c r="C35" s="133">
        <v>2886.2999999999984</v>
      </c>
      <c r="D35" s="133">
        <v>5772.5999999999967</v>
      </c>
      <c r="E35" s="132">
        <f t="shared" si="3"/>
        <v>247</v>
      </c>
      <c r="F35" s="89" t="str">
        <f t="shared" si="1"/>
        <v>-</v>
      </c>
      <c r="I35" s="90" t="str">
        <f t="shared" si="2"/>
        <v>-</v>
      </c>
    </row>
    <row r="36" spans="1:9" x14ac:dyDescent="0.25">
      <c r="A36" s="134">
        <v>6</v>
      </c>
      <c r="B36" s="135">
        <v>20</v>
      </c>
      <c r="C36" s="133">
        <v>38197.040000000008</v>
      </c>
      <c r="D36" s="133">
        <v>94346.688800000004</v>
      </c>
      <c r="E36" s="132">
        <f t="shared" si="3"/>
        <v>3265</v>
      </c>
      <c r="F36" s="89" t="str">
        <f t="shared" si="1"/>
        <v>-</v>
      </c>
      <c r="I36" s="90" t="str">
        <f t="shared" si="2"/>
        <v>-</v>
      </c>
    </row>
    <row r="37" spans="1:9" x14ac:dyDescent="0.25">
      <c r="A37" s="134">
        <v>6</v>
      </c>
      <c r="B37" s="135">
        <v>22</v>
      </c>
      <c r="C37" s="133">
        <v>5798.5499999999993</v>
      </c>
      <c r="D37" s="133">
        <v>17279.678999999996</v>
      </c>
      <c r="E37" s="132">
        <f t="shared" si="3"/>
        <v>496</v>
      </c>
      <c r="F37" s="89" t="str">
        <f t="shared" si="1"/>
        <v>-</v>
      </c>
      <c r="I37" s="90" t="str">
        <f t="shared" si="2"/>
        <v>-</v>
      </c>
    </row>
    <row r="38" spans="1:9" x14ac:dyDescent="0.25">
      <c r="A38" s="134">
        <v>6</v>
      </c>
      <c r="B38" s="135">
        <v>25</v>
      </c>
      <c r="C38" s="133">
        <v>4078.88</v>
      </c>
      <c r="D38" s="133">
        <v>15703.688</v>
      </c>
      <c r="E38" s="132">
        <f t="shared" si="3"/>
        <v>349</v>
      </c>
      <c r="F38" s="89" t="str">
        <f t="shared" si="1"/>
        <v>-</v>
      </c>
      <c r="I38" s="90" t="str">
        <f t="shared" si="2"/>
        <v>-</v>
      </c>
    </row>
    <row r="39" spans="1:9" x14ac:dyDescent="0.25">
      <c r="A39" s="134">
        <v>6</v>
      </c>
      <c r="B39" s="135">
        <v>32</v>
      </c>
      <c r="C39" s="133">
        <v>22141.300000000003</v>
      </c>
      <c r="D39" s="133">
        <v>139711.60299999992</v>
      </c>
      <c r="E39" s="132">
        <f t="shared" si="3"/>
        <v>1893</v>
      </c>
      <c r="F39" s="89" t="str">
        <f t="shared" si="1"/>
        <v>-</v>
      </c>
      <c r="I39" s="90" t="str">
        <f t="shared" si="2"/>
        <v>-</v>
      </c>
    </row>
    <row r="40" spans="1:9" x14ac:dyDescent="0.25">
      <c r="A40" s="134">
        <v>7</v>
      </c>
      <c r="B40" s="135">
        <v>14</v>
      </c>
      <c r="C40" s="133">
        <v>8433.4199999999983</v>
      </c>
      <c r="D40" s="133">
        <v>10204.438200000004</v>
      </c>
      <c r="E40" s="132">
        <f t="shared" si="3"/>
        <v>721</v>
      </c>
      <c r="F40" s="89" t="str">
        <f t="shared" si="1"/>
        <v>-</v>
      </c>
      <c r="I40" s="90" t="str">
        <f t="shared" si="2"/>
        <v>-</v>
      </c>
    </row>
    <row r="41" spans="1:9" x14ac:dyDescent="0.25">
      <c r="A41" s="134">
        <v>7</v>
      </c>
      <c r="B41" s="135">
        <v>16</v>
      </c>
      <c r="C41" s="133">
        <v>7027.01</v>
      </c>
      <c r="D41" s="133">
        <v>11102.675799999999</v>
      </c>
      <c r="E41" s="132">
        <f t="shared" si="3"/>
        <v>601</v>
      </c>
      <c r="F41" s="89" t="str">
        <f t="shared" si="1"/>
        <v>-</v>
      </c>
      <c r="I41" s="90" t="str">
        <f t="shared" si="2"/>
        <v>-</v>
      </c>
    </row>
    <row r="42" spans="1:9" x14ac:dyDescent="0.25">
      <c r="A42" s="134">
        <v>7</v>
      </c>
      <c r="B42" s="135">
        <v>18</v>
      </c>
      <c r="C42" s="133">
        <v>1098.0300000000002</v>
      </c>
      <c r="D42" s="133">
        <v>2196.0600000000004</v>
      </c>
      <c r="E42" s="132">
        <f t="shared" si="3"/>
        <v>94</v>
      </c>
      <c r="F42" s="89" t="str">
        <f t="shared" si="1"/>
        <v>-</v>
      </c>
      <c r="I42" s="90" t="str">
        <f t="shared" si="2"/>
        <v>-</v>
      </c>
    </row>
    <row r="43" spans="1:9" x14ac:dyDescent="0.25">
      <c r="A43" s="134">
        <v>7</v>
      </c>
      <c r="B43" s="135">
        <v>22</v>
      </c>
      <c r="C43" s="133">
        <v>2039.31</v>
      </c>
      <c r="D43" s="133">
        <v>6077.1437999999998</v>
      </c>
      <c r="E43" s="132">
        <f t="shared" si="3"/>
        <v>175</v>
      </c>
      <c r="F43" s="89" t="str">
        <f t="shared" si="1"/>
        <v>-</v>
      </c>
      <c r="I43" s="90" t="str">
        <f t="shared" si="2"/>
        <v>-</v>
      </c>
    </row>
    <row r="44" spans="1:9" x14ac:dyDescent="0.25">
      <c r="A44" s="134">
        <v>7</v>
      </c>
      <c r="B44" s="135">
        <v>28</v>
      </c>
      <c r="C44" s="133">
        <v>46.8</v>
      </c>
      <c r="D44" s="133">
        <v>226.51199999999997</v>
      </c>
      <c r="E44" s="132">
        <f t="shared" si="3"/>
        <v>4</v>
      </c>
      <c r="F44" s="89" t="str">
        <f t="shared" si="1"/>
        <v>-</v>
      </c>
      <c r="I44" s="90" t="str">
        <f t="shared" si="2"/>
        <v>-</v>
      </c>
    </row>
    <row r="45" spans="1:9" x14ac:dyDescent="0.25">
      <c r="A45" s="134">
        <v>7</v>
      </c>
      <c r="B45" s="135">
        <v>32</v>
      </c>
      <c r="C45" s="133">
        <v>8022.6200000000026</v>
      </c>
      <c r="D45" s="133">
        <v>50622.732199999962</v>
      </c>
      <c r="E45" s="132">
        <f t="shared" si="3"/>
        <v>686</v>
      </c>
      <c r="F45" s="89" t="str">
        <f t="shared" si="1"/>
        <v>-</v>
      </c>
      <c r="I45" s="90" t="str">
        <f t="shared" si="2"/>
        <v>-</v>
      </c>
    </row>
    <row r="46" spans="1:9" x14ac:dyDescent="0.25">
      <c r="A46" s="134">
        <v>8</v>
      </c>
      <c r="B46" s="135">
        <v>14</v>
      </c>
      <c r="C46" s="133">
        <v>2937.7000000000003</v>
      </c>
      <c r="D46" s="133">
        <v>3554.6169999999997</v>
      </c>
      <c r="E46" s="132">
        <f t="shared" si="3"/>
        <v>252</v>
      </c>
      <c r="F46" s="89" t="str">
        <f t="shared" si="1"/>
        <v>-</v>
      </c>
      <c r="I46" s="90" t="str">
        <f t="shared" si="2"/>
        <v>-</v>
      </c>
    </row>
    <row r="47" spans="1:9" x14ac:dyDescent="0.25">
      <c r="A47" s="134">
        <v>8</v>
      </c>
      <c r="B47" s="135">
        <v>16</v>
      </c>
      <c r="C47" s="133">
        <v>538.44000000000005</v>
      </c>
      <c r="D47" s="133">
        <v>850.73520000000008</v>
      </c>
      <c r="E47" s="132">
        <f t="shared" si="3"/>
        <v>47</v>
      </c>
      <c r="F47" s="89" t="str">
        <f t="shared" si="1"/>
        <v>-</v>
      </c>
      <c r="I47" s="90" t="str">
        <f t="shared" si="2"/>
        <v>-</v>
      </c>
    </row>
    <row r="48" spans="1:9" x14ac:dyDescent="0.25">
      <c r="A48" s="134">
        <v>8</v>
      </c>
      <c r="B48" s="135">
        <v>18</v>
      </c>
      <c r="C48" s="133">
        <v>222.6</v>
      </c>
      <c r="D48" s="133">
        <v>445.2</v>
      </c>
      <c r="E48" s="132">
        <f t="shared" si="3"/>
        <v>20</v>
      </c>
      <c r="F48" s="89" t="str">
        <f t="shared" si="1"/>
        <v>-</v>
      </c>
      <c r="I48" s="90" t="str">
        <f t="shared" si="2"/>
        <v>-</v>
      </c>
    </row>
    <row r="49" spans="1:9" x14ac:dyDescent="0.25">
      <c r="A49" s="134">
        <v>8</v>
      </c>
      <c r="B49" s="135">
        <v>32</v>
      </c>
      <c r="C49" s="133">
        <v>1963.9299999999998</v>
      </c>
      <c r="D49" s="133">
        <v>12392.398300000001</v>
      </c>
      <c r="E49" s="132">
        <f t="shared" si="3"/>
        <v>168</v>
      </c>
      <c r="F49" s="89" t="str">
        <f t="shared" si="1"/>
        <v>-</v>
      </c>
      <c r="I49" s="90" t="str">
        <f t="shared" si="2"/>
        <v>-</v>
      </c>
    </row>
    <row r="50" spans="1:9" x14ac:dyDescent="0.25">
      <c r="A50" s="134">
        <v>9</v>
      </c>
      <c r="B50" s="135">
        <v>10</v>
      </c>
      <c r="C50" s="133">
        <v>283.82000000000005</v>
      </c>
      <c r="D50" s="133">
        <v>175.11694</v>
      </c>
      <c r="E50" s="132">
        <f t="shared" si="3"/>
        <v>25</v>
      </c>
      <c r="F50" s="89" t="str">
        <f t="shared" si="1"/>
        <v>-</v>
      </c>
      <c r="I50" s="90" t="str">
        <f t="shared" si="2"/>
        <v>-</v>
      </c>
    </row>
    <row r="51" spans="1:9" x14ac:dyDescent="0.25">
      <c r="A51" s="134">
        <v>9</v>
      </c>
      <c r="B51" s="135">
        <v>14</v>
      </c>
      <c r="C51" s="133">
        <v>8305.8500000000022</v>
      </c>
      <c r="D51" s="133">
        <v>10050.0785</v>
      </c>
      <c r="E51" s="132">
        <f t="shared" si="3"/>
        <v>710</v>
      </c>
      <c r="F51" s="89" t="str">
        <f t="shared" si="1"/>
        <v>-</v>
      </c>
      <c r="I51" s="90" t="str">
        <f t="shared" si="2"/>
        <v>-</v>
      </c>
    </row>
    <row r="52" spans="1:9" x14ac:dyDescent="0.25">
      <c r="A52" s="134">
        <v>9</v>
      </c>
      <c r="B52" s="135">
        <v>18</v>
      </c>
      <c r="C52" s="133">
        <v>625.92000000000007</v>
      </c>
      <c r="D52" s="133">
        <v>1251.8400000000001</v>
      </c>
      <c r="E52" s="132">
        <f t="shared" si="3"/>
        <v>54</v>
      </c>
      <c r="F52" s="89" t="str">
        <f t="shared" si="1"/>
        <v>-</v>
      </c>
      <c r="I52" s="90" t="str">
        <f t="shared" si="2"/>
        <v>-</v>
      </c>
    </row>
    <row r="53" spans="1:9" x14ac:dyDescent="0.25">
      <c r="A53" s="134">
        <v>9</v>
      </c>
      <c r="B53" s="135">
        <v>20</v>
      </c>
      <c r="C53" s="133">
        <v>4468.66</v>
      </c>
      <c r="D53" s="133">
        <v>11037.590200000001</v>
      </c>
      <c r="E53" s="132">
        <f t="shared" si="3"/>
        <v>382</v>
      </c>
      <c r="F53" s="89" t="str">
        <f t="shared" si="1"/>
        <v>-</v>
      </c>
      <c r="I53" s="90" t="str">
        <f t="shared" si="2"/>
        <v>-</v>
      </c>
    </row>
    <row r="54" spans="1:9" x14ac:dyDescent="0.25">
      <c r="A54" s="134">
        <v>9</v>
      </c>
      <c r="B54" s="135">
        <v>32</v>
      </c>
      <c r="C54" s="133">
        <v>5278.63</v>
      </c>
      <c r="D54" s="133">
        <v>33308.155300000013</v>
      </c>
      <c r="E54" s="132">
        <f t="shared" si="3"/>
        <v>452</v>
      </c>
      <c r="F54" s="89" t="str">
        <f t="shared" si="1"/>
        <v>-</v>
      </c>
      <c r="I54" s="90" t="str">
        <f t="shared" si="2"/>
        <v>-</v>
      </c>
    </row>
    <row r="55" spans="1:9" x14ac:dyDescent="0.25">
      <c r="A55" s="134">
        <v>10</v>
      </c>
      <c r="B55" s="135">
        <v>14</v>
      </c>
      <c r="C55" s="133">
        <v>1632.6599999999999</v>
      </c>
      <c r="D55" s="133">
        <v>1975.5185999999999</v>
      </c>
      <c r="E55" s="132">
        <f t="shared" si="3"/>
        <v>140</v>
      </c>
      <c r="F55" s="89" t="str">
        <f t="shared" si="1"/>
        <v>-</v>
      </c>
      <c r="I55" s="90" t="str">
        <f t="shared" si="2"/>
        <v>-</v>
      </c>
    </row>
    <row r="56" spans="1:9" x14ac:dyDescent="0.25">
      <c r="A56" s="134">
        <v>10</v>
      </c>
      <c r="B56" s="135">
        <v>16</v>
      </c>
      <c r="C56" s="133">
        <v>1076.8800000000001</v>
      </c>
      <c r="D56" s="133">
        <v>1701.4704000000002</v>
      </c>
      <c r="E56" s="132">
        <f t="shared" si="3"/>
        <v>93</v>
      </c>
      <c r="F56" s="89" t="str">
        <f t="shared" si="1"/>
        <v>-</v>
      </c>
      <c r="I56" s="90" t="str">
        <f t="shared" si="2"/>
        <v>-</v>
      </c>
    </row>
    <row r="57" spans="1:9" x14ac:dyDescent="0.25">
      <c r="A57" s="134">
        <v>10</v>
      </c>
      <c r="B57" s="135">
        <v>32</v>
      </c>
      <c r="C57" s="133">
        <v>754.78000000000009</v>
      </c>
      <c r="D57" s="133">
        <v>4762.6617999999999</v>
      </c>
      <c r="E57" s="132">
        <f t="shared" si="3"/>
        <v>65</v>
      </c>
      <c r="F57" s="89" t="str">
        <f t="shared" si="1"/>
        <v>-</v>
      </c>
      <c r="I57" s="90" t="str">
        <f t="shared" si="2"/>
        <v>-</v>
      </c>
    </row>
    <row r="58" spans="1:9" x14ac:dyDescent="0.25">
      <c r="A58" s="134">
        <v>11</v>
      </c>
      <c r="B58" s="135">
        <v>32</v>
      </c>
      <c r="C58" s="133">
        <v>1834.605</v>
      </c>
      <c r="D58" s="133">
        <v>11576.357550000002</v>
      </c>
      <c r="E58" s="132">
        <f t="shared" si="3"/>
        <v>157</v>
      </c>
      <c r="F58" s="89" t="str">
        <f t="shared" si="1"/>
        <v>-</v>
      </c>
      <c r="I58" s="90" t="str">
        <f t="shared" si="2"/>
        <v>-</v>
      </c>
    </row>
    <row r="59" spans="1:9" x14ac:dyDescent="0.25">
      <c r="A59" s="134">
        <v>12</v>
      </c>
      <c r="B59" s="135">
        <v>14</v>
      </c>
      <c r="C59" s="133">
        <v>1698.7199999999996</v>
      </c>
      <c r="D59" s="133">
        <v>2055.4512000000004</v>
      </c>
      <c r="E59" s="132">
        <f t="shared" si="3"/>
        <v>146</v>
      </c>
      <c r="F59" s="89" t="str">
        <f t="shared" si="1"/>
        <v>-</v>
      </c>
      <c r="I59" s="90" t="str">
        <f t="shared" si="2"/>
        <v>-</v>
      </c>
    </row>
    <row r="60" spans="1:9" x14ac:dyDescent="0.25">
      <c r="A60" s="134">
        <v>13</v>
      </c>
      <c r="B60" s="135">
        <v>8</v>
      </c>
      <c r="C60" s="133">
        <v>7.7</v>
      </c>
      <c r="D60" s="133">
        <v>3.0415000000000001</v>
      </c>
      <c r="E60" s="132"/>
      <c r="F60" s="89" t="str">
        <f t="shared" si="1"/>
        <v>-</v>
      </c>
      <c r="I60" s="90">
        <f t="shared" si="2"/>
        <v>3.0415000000000001</v>
      </c>
    </row>
    <row r="61" spans="1:9" x14ac:dyDescent="0.25">
      <c r="A61" s="134">
        <v>13</v>
      </c>
      <c r="B61" s="135">
        <v>18</v>
      </c>
      <c r="C61" s="133">
        <v>252.12</v>
      </c>
      <c r="D61" s="133">
        <v>504.24</v>
      </c>
      <c r="E61" s="132">
        <f>ROUNDUP(C61/11.7,0)</f>
        <v>22</v>
      </c>
      <c r="F61" s="89" t="str">
        <f t="shared" si="1"/>
        <v>-</v>
      </c>
      <c r="I61" s="90" t="str">
        <f t="shared" si="2"/>
        <v>-</v>
      </c>
    </row>
    <row r="62" spans="1:9" x14ac:dyDescent="0.25">
      <c r="A62" s="134">
        <v>13</v>
      </c>
      <c r="B62" s="135">
        <v>20</v>
      </c>
      <c r="C62" s="133">
        <v>1362.87</v>
      </c>
      <c r="D62" s="133">
        <v>3366.2889000000005</v>
      </c>
      <c r="E62" s="132">
        <f>ROUNDUP(C62/11.7,0)</f>
        <v>117</v>
      </c>
      <c r="F62" s="89" t="str">
        <f t="shared" si="1"/>
        <v>-</v>
      </c>
      <c r="I62" s="90" t="str">
        <f t="shared" si="2"/>
        <v>-</v>
      </c>
    </row>
    <row r="63" spans="1:9" x14ac:dyDescent="0.25">
      <c r="A63" s="134">
        <v>14</v>
      </c>
      <c r="B63" s="135">
        <v>25</v>
      </c>
      <c r="C63" s="133">
        <v>117</v>
      </c>
      <c r="D63" s="133">
        <v>450.45000000000005</v>
      </c>
      <c r="E63" s="132">
        <f>ROUNDUP(C63/11.7,0)</f>
        <v>10</v>
      </c>
      <c r="F63" s="89" t="str">
        <f t="shared" si="1"/>
        <v>-</v>
      </c>
      <c r="I63" s="90" t="str">
        <f t="shared" si="2"/>
        <v>-</v>
      </c>
    </row>
  </sheetData>
  <sortState xmlns:xlrd2="http://schemas.microsoft.com/office/spreadsheetml/2017/richdata2" ref="A2:D63">
    <sortCondition ref="A2:A63"/>
    <sortCondition ref="B2:B63"/>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sheetPr>
  <dimension ref="A1:G28"/>
  <sheetViews>
    <sheetView zoomScale="85" zoomScaleNormal="85" workbookViewId="0">
      <pane ySplit="4" topLeftCell="A5" activePane="bottomLeft" state="frozen"/>
      <selection pane="bottomLeft" activeCell="A5" sqref="A5:G28"/>
    </sheetView>
  </sheetViews>
  <sheetFormatPr defaultRowHeight="15" x14ac:dyDescent="0.25"/>
  <cols>
    <col min="1" max="1" width="12.42578125" style="74" customWidth="1"/>
    <col min="3" max="3" width="11.28515625" customWidth="1"/>
    <col min="4" max="6" width="13.140625" customWidth="1"/>
    <col min="7" max="7" width="79.7109375" style="52" bestFit="1" customWidth="1"/>
    <col min="8" max="8" width="11.5703125" bestFit="1" customWidth="1"/>
  </cols>
  <sheetData>
    <row r="1" spans="1:7" ht="18.75" x14ac:dyDescent="0.3">
      <c r="A1" s="163" t="s">
        <v>15</v>
      </c>
      <c r="B1" s="163"/>
      <c r="C1" s="163"/>
      <c r="D1" s="163"/>
      <c r="E1" s="163"/>
      <c r="F1" s="163"/>
    </row>
    <row r="2" spans="1:7" x14ac:dyDescent="0.25">
      <c r="A2" s="164" t="s">
        <v>16</v>
      </c>
      <c r="B2" s="164"/>
      <c r="C2" s="164"/>
      <c r="D2" s="24">
        <v>11</v>
      </c>
      <c r="E2" s="24"/>
    </row>
    <row r="4" spans="1:7" ht="45" x14ac:dyDescent="0.25">
      <c r="A4" s="77" t="s">
        <v>61</v>
      </c>
      <c r="B4" s="76" t="s">
        <v>2</v>
      </c>
      <c r="C4" s="76" t="s">
        <v>5</v>
      </c>
      <c r="D4" s="45" t="s">
        <v>14</v>
      </c>
      <c r="E4" s="45" t="s">
        <v>32</v>
      </c>
      <c r="F4" s="45" t="s">
        <v>13</v>
      </c>
      <c r="G4" s="55" t="s">
        <v>20</v>
      </c>
    </row>
    <row r="5" spans="1:7" x14ac:dyDescent="0.25">
      <c r="A5" s="136">
        <v>1</v>
      </c>
      <c r="B5" s="82">
        <v>32</v>
      </c>
      <c r="C5" s="82">
        <v>9</v>
      </c>
      <c r="D5" s="137">
        <v>11300</v>
      </c>
      <c r="E5" s="137">
        <v>11300</v>
      </c>
      <c r="F5" s="137">
        <v>11300</v>
      </c>
      <c r="G5" s="85" t="s">
        <v>4602</v>
      </c>
    </row>
    <row r="6" spans="1:7" x14ac:dyDescent="0.25">
      <c r="A6" s="136">
        <v>2</v>
      </c>
      <c r="B6" s="82">
        <v>32</v>
      </c>
      <c r="C6" s="82">
        <v>9</v>
      </c>
      <c r="D6" s="137">
        <v>11260</v>
      </c>
      <c r="E6" s="137">
        <v>11260</v>
      </c>
      <c r="F6" s="137">
        <v>11260</v>
      </c>
      <c r="G6" s="85" t="s">
        <v>4604</v>
      </c>
    </row>
    <row r="7" spans="1:7" x14ac:dyDescent="0.25">
      <c r="A7" s="136">
        <v>3</v>
      </c>
      <c r="B7" s="82">
        <v>32</v>
      </c>
      <c r="C7" s="82">
        <v>9</v>
      </c>
      <c r="D7" s="137">
        <v>11200</v>
      </c>
      <c r="E7" s="137">
        <v>11200</v>
      </c>
      <c r="F7" s="137">
        <v>11200</v>
      </c>
      <c r="G7" s="85" t="s">
        <v>4603</v>
      </c>
    </row>
    <row r="8" spans="1:7" x14ac:dyDescent="0.25">
      <c r="A8" s="136">
        <v>4</v>
      </c>
      <c r="B8" s="82">
        <v>32</v>
      </c>
      <c r="C8" s="82">
        <v>5</v>
      </c>
      <c r="D8" s="137">
        <v>11160</v>
      </c>
      <c r="E8" s="137">
        <v>11160</v>
      </c>
      <c r="F8" s="137">
        <v>11160</v>
      </c>
      <c r="G8" s="85" t="s">
        <v>4605</v>
      </c>
    </row>
    <row r="9" spans="1:7" x14ac:dyDescent="0.25">
      <c r="A9" s="136">
        <v>5</v>
      </c>
      <c r="B9" s="82">
        <v>32</v>
      </c>
      <c r="C9" s="82">
        <v>5</v>
      </c>
      <c r="D9" s="137">
        <v>11100</v>
      </c>
      <c r="E9" s="137">
        <v>11100</v>
      </c>
      <c r="F9" s="137">
        <v>11100</v>
      </c>
      <c r="G9" s="85" t="s">
        <v>4606</v>
      </c>
    </row>
    <row r="10" spans="1:7" x14ac:dyDescent="0.25">
      <c r="A10" s="136">
        <v>6</v>
      </c>
      <c r="B10" s="82">
        <v>32</v>
      </c>
      <c r="C10" s="82">
        <v>5</v>
      </c>
      <c r="D10" s="137">
        <v>11000</v>
      </c>
      <c r="E10" s="137">
        <v>11000</v>
      </c>
      <c r="F10" s="137">
        <v>11000</v>
      </c>
      <c r="G10" s="85" t="s">
        <v>4612</v>
      </c>
    </row>
    <row r="11" spans="1:7" x14ac:dyDescent="0.25">
      <c r="A11" s="136">
        <v>7</v>
      </c>
      <c r="B11" s="82">
        <v>32</v>
      </c>
      <c r="C11" s="82">
        <v>3</v>
      </c>
      <c r="D11" s="137">
        <v>9040</v>
      </c>
      <c r="E11" s="137">
        <v>9040</v>
      </c>
      <c r="F11" s="137">
        <v>9040</v>
      </c>
      <c r="G11" s="85" t="s">
        <v>4601</v>
      </c>
    </row>
    <row r="12" spans="1:7" x14ac:dyDescent="0.25">
      <c r="A12" s="136">
        <v>8</v>
      </c>
      <c r="B12" s="82">
        <v>32</v>
      </c>
      <c r="C12" s="82">
        <v>6</v>
      </c>
      <c r="D12" s="137">
        <v>9000</v>
      </c>
      <c r="E12" s="137">
        <v>9000</v>
      </c>
      <c r="F12" s="137">
        <v>9000</v>
      </c>
      <c r="G12" s="85" t="s">
        <v>4803</v>
      </c>
    </row>
    <row r="13" spans="1:7" x14ac:dyDescent="0.25">
      <c r="A13" s="136">
        <v>9</v>
      </c>
      <c r="B13" s="82">
        <v>32</v>
      </c>
      <c r="C13" s="82">
        <v>6</v>
      </c>
      <c r="D13" s="137">
        <v>8140</v>
      </c>
      <c r="E13" s="137">
        <v>8140</v>
      </c>
      <c r="F13" s="137">
        <v>8140</v>
      </c>
      <c r="G13" s="85" t="s">
        <v>4608</v>
      </c>
    </row>
    <row r="14" spans="1:7" x14ac:dyDescent="0.25">
      <c r="A14" s="136">
        <v>10</v>
      </c>
      <c r="B14" s="82">
        <v>32</v>
      </c>
      <c r="C14" s="82">
        <v>11</v>
      </c>
      <c r="D14" s="137">
        <v>6690</v>
      </c>
      <c r="E14" s="137">
        <v>6690</v>
      </c>
      <c r="F14" s="137">
        <v>6690</v>
      </c>
      <c r="G14" s="85" t="s">
        <v>4987</v>
      </c>
    </row>
    <row r="15" spans="1:7" x14ac:dyDescent="0.25">
      <c r="A15" s="136">
        <v>11</v>
      </c>
      <c r="B15" s="82">
        <v>32</v>
      </c>
      <c r="C15" s="82">
        <v>15</v>
      </c>
      <c r="D15" s="137">
        <v>6550</v>
      </c>
      <c r="E15" s="137">
        <v>6550</v>
      </c>
      <c r="F15" s="137">
        <v>6550</v>
      </c>
      <c r="G15" s="85" t="s">
        <v>4989</v>
      </c>
    </row>
    <row r="16" spans="1:7" x14ac:dyDescent="0.25">
      <c r="A16" s="136">
        <v>12</v>
      </c>
      <c r="B16" s="82">
        <v>32</v>
      </c>
      <c r="C16" s="82">
        <v>7</v>
      </c>
      <c r="D16" s="137">
        <v>6380</v>
      </c>
      <c r="E16" s="137">
        <v>6380</v>
      </c>
      <c r="F16" s="137">
        <v>6380</v>
      </c>
      <c r="G16" s="85" t="s">
        <v>4607</v>
      </c>
    </row>
    <row r="17" spans="1:7" x14ac:dyDescent="0.25">
      <c r="A17" s="136">
        <v>13</v>
      </c>
      <c r="B17" s="82">
        <v>32</v>
      </c>
      <c r="C17" s="82">
        <v>14</v>
      </c>
      <c r="D17" s="137">
        <v>6270</v>
      </c>
      <c r="E17" s="137">
        <v>6270</v>
      </c>
      <c r="F17" s="137">
        <v>6270</v>
      </c>
      <c r="G17" s="85" t="s">
        <v>4986</v>
      </c>
    </row>
    <row r="18" spans="1:7" x14ac:dyDescent="0.25">
      <c r="A18" s="136">
        <v>14</v>
      </c>
      <c r="B18" s="82">
        <v>32</v>
      </c>
      <c r="C18" s="82">
        <v>10</v>
      </c>
      <c r="D18" s="137">
        <v>5850</v>
      </c>
      <c r="E18" s="137">
        <v>5850</v>
      </c>
      <c r="F18" s="137">
        <v>5850</v>
      </c>
      <c r="G18" s="85" t="s">
        <v>4988</v>
      </c>
    </row>
    <row r="19" spans="1:7" x14ac:dyDescent="0.25">
      <c r="A19" s="136">
        <v>15</v>
      </c>
      <c r="B19" s="82">
        <v>32</v>
      </c>
      <c r="C19" s="82">
        <v>3</v>
      </c>
      <c r="D19" s="137">
        <v>5320</v>
      </c>
      <c r="E19" s="137">
        <v>5320</v>
      </c>
      <c r="F19" s="137">
        <v>5320</v>
      </c>
      <c r="G19" s="85" t="s">
        <v>4599</v>
      </c>
    </row>
    <row r="20" spans="1:7" x14ac:dyDescent="0.25">
      <c r="A20" s="136">
        <v>16</v>
      </c>
      <c r="B20" s="82">
        <v>32</v>
      </c>
      <c r="C20" s="82">
        <v>7</v>
      </c>
      <c r="D20" s="137">
        <v>4940</v>
      </c>
      <c r="E20" s="137">
        <v>4940</v>
      </c>
      <c r="F20" s="137">
        <v>4940</v>
      </c>
      <c r="G20" s="85" t="s">
        <v>4609</v>
      </c>
    </row>
    <row r="21" spans="1:7" x14ac:dyDescent="0.25">
      <c r="A21" s="136">
        <v>17</v>
      </c>
      <c r="B21" s="82">
        <v>32</v>
      </c>
      <c r="C21" s="82">
        <v>4</v>
      </c>
      <c r="D21" s="137">
        <v>4690</v>
      </c>
      <c r="E21" s="137">
        <v>4690</v>
      </c>
      <c r="F21" s="137">
        <v>4690</v>
      </c>
      <c r="G21" s="85" t="s">
        <v>4799</v>
      </c>
    </row>
    <row r="22" spans="1:7" x14ac:dyDescent="0.25">
      <c r="A22" s="136">
        <v>18</v>
      </c>
      <c r="B22" s="82">
        <v>32</v>
      </c>
      <c r="C22" s="82">
        <v>6</v>
      </c>
      <c r="D22" s="137">
        <v>3750</v>
      </c>
      <c r="E22" s="137">
        <v>3750</v>
      </c>
      <c r="F22" s="137">
        <v>3750</v>
      </c>
      <c r="G22" s="85" t="s">
        <v>4984</v>
      </c>
    </row>
    <row r="23" spans="1:7" x14ac:dyDescent="0.25">
      <c r="A23" s="136">
        <v>19</v>
      </c>
      <c r="B23" s="82">
        <v>32</v>
      </c>
      <c r="C23" s="82">
        <v>2</v>
      </c>
      <c r="D23" s="137">
        <v>3710</v>
      </c>
      <c r="E23" s="137">
        <v>3710</v>
      </c>
      <c r="F23" s="137">
        <v>3710</v>
      </c>
      <c r="G23" s="85" t="s">
        <v>4610</v>
      </c>
    </row>
    <row r="24" spans="1:7" x14ac:dyDescent="0.25">
      <c r="A24" s="136">
        <v>20</v>
      </c>
      <c r="B24" s="82">
        <v>32</v>
      </c>
      <c r="C24" s="82">
        <v>6</v>
      </c>
      <c r="D24" s="137">
        <v>3490</v>
      </c>
      <c r="E24" s="137">
        <v>3490</v>
      </c>
      <c r="F24" s="137">
        <v>3490</v>
      </c>
      <c r="G24" s="85" t="s">
        <v>4611</v>
      </c>
    </row>
    <row r="25" spans="1:7" x14ac:dyDescent="0.25">
      <c r="A25" s="136">
        <v>21</v>
      </c>
      <c r="B25" s="82">
        <v>32</v>
      </c>
      <c r="C25" s="82">
        <v>4</v>
      </c>
      <c r="D25" s="137">
        <v>2660</v>
      </c>
      <c r="E25" s="137">
        <v>2660</v>
      </c>
      <c r="F25" s="137">
        <v>2660</v>
      </c>
      <c r="G25" s="85" t="s">
        <v>4600</v>
      </c>
    </row>
    <row r="26" spans="1:7" x14ac:dyDescent="0.25">
      <c r="A26" s="136">
        <v>22</v>
      </c>
      <c r="B26" s="82">
        <v>32</v>
      </c>
      <c r="C26" s="82">
        <v>15</v>
      </c>
      <c r="D26" s="137">
        <v>1690</v>
      </c>
      <c r="E26" s="137">
        <v>1690</v>
      </c>
      <c r="F26" s="137">
        <v>1690</v>
      </c>
      <c r="G26" s="85" t="s">
        <v>4983</v>
      </c>
    </row>
    <row r="27" spans="1:7" x14ac:dyDescent="0.25">
      <c r="A27" s="136">
        <v>23</v>
      </c>
      <c r="B27" s="82">
        <v>32</v>
      </c>
      <c r="C27" s="82">
        <v>9</v>
      </c>
      <c r="D27" s="137">
        <v>1090</v>
      </c>
      <c r="E27" s="137">
        <v>1090</v>
      </c>
      <c r="F27" s="137">
        <v>1090</v>
      </c>
      <c r="G27" s="85" t="s">
        <v>4963</v>
      </c>
    </row>
    <row r="28" spans="1:7" x14ac:dyDescent="0.25">
      <c r="A28" s="136">
        <v>24</v>
      </c>
      <c r="B28" s="82">
        <v>32</v>
      </c>
      <c r="C28" s="82">
        <v>61</v>
      </c>
      <c r="D28" s="137">
        <v>11700</v>
      </c>
      <c r="E28" s="137">
        <v>0</v>
      </c>
      <c r="F28" s="137">
        <v>0</v>
      </c>
      <c r="G28" s="85" t="s">
        <v>4985</v>
      </c>
    </row>
  </sheetData>
  <sortState xmlns:xlrd2="http://schemas.microsoft.com/office/spreadsheetml/2017/richdata2" ref="A5:F28">
    <sortCondition ref="B5:B28"/>
    <sortCondition descending="1" ref="E5:E28"/>
  </sortState>
  <mergeCells count="2">
    <mergeCell ref="A1:F1"/>
    <mergeCell ref="A2:C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C33"/>
  <sheetViews>
    <sheetView workbookViewId="0">
      <selection activeCell="C35" sqref="C35"/>
    </sheetView>
  </sheetViews>
  <sheetFormatPr defaultRowHeight="15" x14ac:dyDescent="0.25"/>
  <cols>
    <col min="1" max="1" width="15.42578125" customWidth="1"/>
    <col min="2" max="2" width="19.5703125" bestFit="1" customWidth="1"/>
    <col min="3" max="3" width="20.7109375" customWidth="1"/>
  </cols>
  <sheetData>
    <row r="1" spans="1:3" x14ac:dyDescent="0.25">
      <c r="A1" s="75" t="s">
        <v>63</v>
      </c>
      <c r="B1" s="75" t="s">
        <v>64</v>
      </c>
      <c r="C1" s="75" t="s">
        <v>65</v>
      </c>
    </row>
    <row r="2" spans="1:3" x14ac:dyDescent="0.25">
      <c r="A2">
        <v>1</v>
      </c>
      <c r="B2" t="s">
        <v>2722</v>
      </c>
      <c r="C2">
        <v>0</v>
      </c>
    </row>
    <row r="3" spans="1:3" x14ac:dyDescent="0.25">
      <c r="A3">
        <v>2</v>
      </c>
      <c r="B3" t="s">
        <v>2724</v>
      </c>
      <c r="C3">
        <v>0</v>
      </c>
    </row>
    <row r="4" spans="1:3" x14ac:dyDescent="0.25">
      <c r="A4">
        <v>3</v>
      </c>
      <c r="B4" t="s">
        <v>2723</v>
      </c>
      <c r="C4">
        <v>0</v>
      </c>
    </row>
    <row r="5" spans="1:3" x14ac:dyDescent="0.25">
      <c r="A5">
        <v>4</v>
      </c>
      <c r="B5" t="s">
        <v>2725</v>
      </c>
      <c r="C5">
        <v>0</v>
      </c>
    </row>
    <row r="6" spans="1:3" x14ac:dyDescent="0.25">
      <c r="A6">
        <v>5</v>
      </c>
      <c r="B6" t="s">
        <v>2733</v>
      </c>
      <c r="C6">
        <v>0</v>
      </c>
    </row>
    <row r="7" spans="1:3" x14ac:dyDescent="0.25">
      <c r="A7">
        <v>6</v>
      </c>
      <c r="B7" t="s">
        <v>2761</v>
      </c>
      <c r="C7">
        <v>0</v>
      </c>
    </row>
    <row r="8" spans="1:3" x14ac:dyDescent="0.25">
      <c r="A8">
        <v>7</v>
      </c>
      <c r="B8" t="s">
        <v>2720</v>
      </c>
      <c r="C8">
        <v>0</v>
      </c>
    </row>
    <row r="9" spans="1:3" x14ac:dyDescent="0.25">
      <c r="A9">
        <v>8</v>
      </c>
      <c r="B9" t="s">
        <v>2764</v>
      </c>
      <c r="C9">
        <v>0</v>
      </c>
    </row>
    <row r="10" spans="1:3" x14ac:dyDescent="0.25">
      <c r="A10">
        <v>9</v>
      </c>
      <c r="B10" t="s">
        <v>2745</v>
      </c>
      <c r="C10">
        <v>0</v>
      </c>
    </row>
    <row r="11" spans="1:3" x14ac:dyDescent="0.25">
      <c r="A11">
        <v>10</v>
      </c>
      <c r="B11" t="s">
        <v>2759</v>
      </c>
      <c r="C11">
        <v>0</v>
      </c>
    </row>
    <row r="12" spans="1:3" x14ac:dyDescent="0.25">
      <c r="A12">
        <v>11</v>
      </c>
      <c r="B12" t="s">
        <v>2767</v>
      </c>
      <c r="C12">
        <v>0</v>
      </c>
    </row>
    <row r="13" spans="1:3" x14ac:dyDescent="0.25">
      <c r="A13">
        <v>11</v>
      </c>
      <c r="B13" t="s">
        <v>2768</v>
      </c>
      <c r="C13">
        <v>0</v>
      </c>
    </row>
    <row r="14" spans="1:3" x14ac:dyDescent="0.25">
      <c r="A14">
        <v>12</v>
      </c>
      <c r="B14" t="s">
        <v>2744</v>
      </c>
      <c r="C14">
        <v>0</v>
      </c>
    </row>
    <row r="15" spans="1:3" x14ac:dyDescent="0.25">
      <c r="A15">
        <v>13</v>
      </c>
      <c r="B15" t="s">
        <v>2754</v>
      </c>
      <c r="C15">
        <v>0</v>
      </c>
    </row>
    <row r="16" spans="1:3" x14ac:dyDescent="0.25">
      <c r="A16">
        <v>14</v>
      </c>
      <c r="B16" t="s">
        <v>2763</v>
      </c>
      <c r="C16">
        <v>0</v>
      </c>
    </row>
    <row r="17" spans="1:3" x14ac:dyDescent="0.25">
      <c r="A17">
        <v>15</v>
      </c>
      <c r="B17" t="s">
        <v>2718</v>
      </c>
      <c r="C17">
        <v>0</v>
      </c>
    </row>
    <row r="18" spans="1:3" x14ac:dyDescent="0.25">
      <c r="A18">
        <v>16</v>
      </c>
      <c r="B18" t="s">
        <v>2746</v>
      </c>
      <c r="C18">
        <v>0</v>
      </c>
    </row>
    <row r="19" spans="1:3" x14ac:dyDescent="0.25">
      <c r="A19">
        <v>17</v>
      </c>
      <c r="B19" t="s">
        <v>2760</v>
      </c>
      <c r="C19">
        <v>0</v>
      </c>
    </row>
    <row r="20" spans="1:3" x14ac:dyDescent="0.25">
      <c r="A20">
        <v>18</v>
      </c>
      <c r="B20" t="s">
        <v>2743</v>
      </c>
      <c r="C20">
        <v>0</v>
      </c>
    </row>
    <row r="21" spans="1:3" x14ac:dyDescent="0.25">
      <c r="A21">
        <v>19</v>
      </c>
      <c r="B21" t="s">
        <v>2747</v>
      </c>
      <c r="C21">
        <v>0</v>
      </c>
    </row>
    <row r="22" spans="1:3" x14ac:dyDescent="0.25">
      <c r="A22">
        <v>20</v>
      </c>
      <c r="B22" t="s">
        <v>2748</v>
      </c>
      <c r="C22">
        <v>0</v>
      </c>
    </row>
    <row r="23" spans="1:3" x14ac:dyDescent="0.25">
      <c r="A23">
        <v>21</v>
      </c>
      <c r="B23" t="s">
        <v>2719</v>
      </c>
      <c r="C23">
        <v>0</v>
      </c>
    </row>
    <row r="24" spans="1:3" x14ac:dyDescent="0.25">
      <c r="A24">
        <v>22</v>
      </c>
      <c r="B24" t="s">
        <v>2716</v>
      </c>
      <c r="C24">
        <v>0</v>
      </c>
    </row>
    <row r="25" spans="1:3" x14ac:dyDescent="0.25">
      <c r="A25">
        <v>23</v>
      </c>
      <c r="B25" t="s">
        <v>2731</v>
      </c>
      <c r="C25">
        <v>0</v>
      </c>
    </row>
    <row r="26" spans="1:3" x14ac:dyDescent="0.25">
      <c r="A26">
        <v>24</v>
      </c>
      <c r="B26" t="s">
        <v>2721</v>
      </c>
      <c r="C26">
        <v>4</v>
      </c>
    </row>
    <row r="27" spans="1:3" x14ac:dyDescent="0.25">
      <c r="A27">
        <v>24</v>
      </c>
      <c r="B27" t="s">
        <v>2741</v>
      </c>
      <c r="C27">
        <v>6</v>
      </c>
    </row>
    <row r="28" spans="1:3" x14ac:dyDescent="0.25">
      <c r="A28">
        <v>24</v>
      </c>
      <c r="B28" t="s">
        <v>2742</v>
      </c>
      <c r="C28">
        <v>7</v>
      </c>
    </row>
    <row r="29" spans="1:3" x14ac:dyDescent="0.25">
      <c r="A29">
        <v>24</v>
      </c>
      <c r="B29" t="s">
        <v>2757</v>
      </c>
      <c r="C29">
        <v>10</v>
      </c>
    </row>
    <row r="30" spans="1:3" x14ac:dyDescent="0.25">
      <c r="A30">
        <v>24</v>
      </c>
      <c r="B30" t="s">
        <v>2758</v>
      </c>
      <c r="C30">
        <v>6</v>
      </c>
    </row>
    <row r="31" spans="1:3" x14ac:dyDescent="0.25">
      <c r="A31">
        <v>24</v>
      </c>
      <c r="B31" t="s">
        <v>2762</v>
      </c>
      <c r="C31">
        <v>11</v>
      </c>
    </row>
    <row r="32" spans="1:3" x14ac:dyDescent="0.25">
      <c r="A32">
        <v>24</v>
      </c>
      <c r="B32" t="s">
        <v>2765</v>
      </c>
      <c r="C32">
        <v>11</v>
      </c>
    </row>
    <row r="33" spans="1:3" x14ac:dyDescent="0.25">
      <c r="A33">
        <v>24</v>
      </c>
      <c r="B33" t="s">
        <v>2766</v>
      </c>
      <c r="C33">
        <v>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F94"/>
  <sheetViews>
    <sheetView workbookViewId="0">
      <pane ySplit="1" topLeftCell="A83" activePane="bottomLeft" state="frozen"/>
      <selection pane="bottomLeft" activeCell="D1" sqref="D1:D94"/>
    </sheetView>
  </sheetViews>
  <sheetFormatPr defaultRowHeight="15" x14ac:dyDescent="0.25"/>
  <cols>
    <col min="1" max="1" width="10.140625" customWidth="1"/>
    <col min="2" max="3" width="14.7109375" customWidth="1"/>
    <col min="4" max="4" width="12.28515625" customWidth="1"/>
    <col min="5" max="5" width="12.42578125" customWidth="1"/>
    <col min="6" max="6" width="11.42578125" customWidth="1"/>
  </cols>
  <sheetData>
    <row r="1" spans="1:6" ht="60" x14ac:dyDescent="0.25">
      <c r="A1" s="22" t="s">
        <v>2</v>
      </c>
      <c r="B1" s="22" t="s">
        <v>5</v>
      </c>
      <c r="C1" s="23" t="s">
        <v>14</v>
      </c>
      <c r="D1" s="83" t="str">
        <f>IF(ISNUMBER(A1)=TRUE,ROUND((VLOOKUP(A1,ThongSo!$F$2:$I$15,4,0)*B1*C1/1000),3),"-")</f>
        <v>-</v>
      </c>
      <c r="E1" s="54" t="s">
        <v>71</v>
      </c>
      <c r="F1" s="84">
        <f>SUM(D:D)</f>
        <v>17387.593999999994</v>
      </c>
    </row>
    <row r="2" spans="1:6" x14ac:dyDescent="0.25">
      <c r="A2" s="82">
        <v>10</v>
      </c>
      <c r="B2" s="82">
        <v>10</v>
      </c>
      <c r="C2" s="82">
        <v>640</v>
      </c>
      <c r="D2" s="83">
        <f>IF(ISNUMBER(A2)=TRUE,ROUND((VLOOKUP(A2,ThongSo!$F$2:$I$15,4,0)*B2*C2/1000),3),"-")</f>
        <v>3.9489999999999998</v>
      </c>
    </row>
    <row r="3" spans="1:6" x14ac:dyDescent="0.25">
      <c r="A3" s="82">
        <v>10</v>
      </c>
      <c r="B3" s="82">
        <v>75</v>
      </c>
      <c r="C3" s="82">
        <v>660</v>
      </c>
      <c r="D3" s="83">
        <f>IF(ISNUMBER(A3)=TRUE,ROUND((VLOOKUP(A3,ThongSo!$F$2:$I$15,4,0)*B3*C3/1000),3),"-")</f>
        <v>30.542000000000002</v>
      </c>
    </row>
    <row r="4" spans="1:6" x14ac:dyDescent="0.25">
      <c r="A4" s="82">
        <v>10</v>
      </c>
      <c r="B4" s="82">
        <v>6</v>
      </c>
      <c r="C4" s="82">
        <v>1900</v>
      </c>
      <c r="D4" s="83">
        <f>IF(ISNUMBER(A4)=TRUE,ROUND((VLOOKUP(A4,ThongSo!$F$2:$I$15,4,0)*B4*C4/1000),3),"-")</f>
        <v>7.0339999999999998</v>
      </c>
    </row>
    <row r="5" spans="1:6" x14ac:dyDescent="0.25">
      <c r="A5" s="82">
        <v>10</v>
      </c>
      <c r="B5" s="82">
        <v>1</v>
      </c>
      <c r="C5" s="82">
        <v>3860</v>
      </c>
      <c r="D5" s="83">
        <f>IF(ISNUMBER(A5)=TRUE,ROUND((VLOOKUP(A5,ThongSo!$F$2:$I$15,4,0)*B5*C5/1000),3),"-")</f>
        <v>2.3820000000000001</v>
      </c>
    </row>
    <row r="6" spans="1:6" x14ac:dyDescent="0.25">
      <c r="A6" s="82">
        <v>12</v>
      </c>
      <c r="B6" s="82">
        <v>2</v>
      </c>
      <c r="C6" s="82">
        <v>2110</v>
      </c>
      <c r="D6" s="83">
        <f>IF(ISNUMBER(A6)=TRUE,ROUND((VLOOKUP(A6,ThongSo!$F$2:$I$15,4,0)*B6*C6/1000),3),"-")</f>
        <v>3.7469999999999999</v>
      </c>
    </row>
    <row r="7" spans="1:6" x14ac:dyDescent="0.25">
      <c r="A7" s="82">
        <v>12</v>
      </c>
      <c r="B7" s="82">
        <v>2</v>
      </c>
      <c r="C7" s="82">
        <v>2420</v>
      </c>
      <c r="D7" s="83">
        <f>IF(ISNUMBER(A7)=TRUE,ROUND((VLOOKUP(A7,ThongSo!$F$2:$I$15,4,0)*B7*C7/1000),3),"-")</f>
        <v>4.298</v>
      </c>
    </row>
    <row r="8" spans="1:6" x14ac:dyDescent="0.25">
      <c r="A8" s="82">
        <v>14</v>
      </c>
      <c r="B8" s="82">
        <v>21</v>
      </c>
      <c r="C8" s="82">
        <v>740</v>
      </c>
      <c r="D8" s="83">
        <f>IF(ISNUMBER(A8)=TRUE,ROUND((VLOOKUP(A8,ThongSo!$F$2:$I$15,4,0)*B8*C8/1000),3),"-")</f>
        <v>18.803000000000001</v>
      </c>
    </row>
    <row r="9" spans="1:6" x14ac:dyDescent="0.25">
      <c r="A9" s="82">
        <v>14</v>
      </c>
      <c r="B9" s="82">
        <v>20</v>
      </c>
      <c r="C9" s="82">
        <v>780</v>
      </c>
      <c r="D9" s="83">
        <f>IF(ISNUMBER(A9)=TRUE,ROUND((VLOOKUP(A9,ThongSo!$F$2:$I$15,4,0)*B9*C9/1000),3),"-")</f>
        <v>18.876000000000001</v>
      </c>
    </row>
    <row r="10" spans="1:6" x14ac:dyDescent="0.25">
      <c r="A10" s="82">
        <v>14</v>
      </c>
      <c r="B10" s="82">
        <v>36</v>
      </c>
      <c r="C10" s="82">
        <v>850</v>
      </c>
      <c r="D10" s="83">
        <f>IF(ISNUMBER(A10)=TRUE,ROUND((VLOOKUP(A10,ThongSo!$F$2:$I$15,4,0)*B10*C10/1000),3),"-")</f>
        <v>37.026000000000003</v>
      </c>
    </row>
    <row r="11" spans="1:6" x14ac:dyDescent="0.25">
      <c r="A11" s="82">
        <v>14</v>
      </c>
      <c r="B11" s="82">
        <v>103</v>
      </c>
      <c r="C11" s="82">
        <v>990</v>
      </c>
      <c r="D11" s="83">
        <f>IF(ISNUMBER(A11)=TRUE,ROUND((VLOOKUP(A11,ThongSo!$F$2:$I$15,4,0)*B11*C11/1000),3),"-")</f>
        <v>123.384</v>
      </c>
    </row>
    <row r="12" spans="1:6" x14ac:dyDescent="0.25">
      <c r="A12" s="82">
        <v>14</v>
      </c>
      <c r="B12" s="82">
        <v>2095</v>
      </c>
      <c r="C12" s="82">
        <v>1020</v>
      </c>
      <c r="D12" s="83">
        <f>IF(ISNUMBER(A12)=TRUE,ROUND((VLOOKUP(A12,ThongSo!$F$2:$I$15,4,0)*B12*C12/1000),3),"-")</f>
        <v>2585.6489999999999</v>
      </c>
    </row>
    <row r="13" spans="1:6" x14ac:dyDescent="0.25">
      <c r="A13" s="82">
        <v>14</v>
      </c>
      <c r="B13" s="82">
        <v>126</v>
      </c>
      <c r="C13" s="82">
        <v>1050</v>
      </c>
      <c r="D13" s="83">
        <f>IF(ISNUMBER(A13)=TRUE,ROUND((VLOOKUP(A13,ThongSo!$F$2:$I$15,4,0)*B13*C13/1000),3),"-")</f>
        <v>160.083</v>
      </c>
    </row>
    <row r="14" spans="1:6" x14ac:dyDescent="0.25">
      <c r="A14" s="82">
        <v>14</v>
      </c>
      <c r="B14" s="82">
        <v>24</v>
      </c>
      <c r="C14" s="82">
        <v>1060</v>
      </c>
      <c r="D14" s="83">
        <f>IF(ISNUMBER(A14)=TRUE,ROUND((VLOOKUP(A14,ThongSo!$F$2:$I$15,4,0)*B14*C14/1000),3),"-")</f>
        <v>30.782</v>
      </c>
    </row>
    <row r="15" spans="1:6" x14ac:dyDescent="0.25">
      <c r="A15" s="82">
        <v>14</v>
      </c>
      <c r="B15" s="82">
        <v>1</v>
      </c>
      <c r="C15" s="82">
        <v>1090</v>
      </c>
      <c r="D15" s="83">
        <f>IF(ISNUMBER(A15)=TRUE,ROUND((VLOOKUP(A15,ThongSo!$F$2:$I$15,4,0)*B15*C15/1000),3),"-")</f>
        <v>1.319</v>
      </c>
    </row>
    <row r="16" spans="1:6" x14ac:dyDescent="0.25">
      <c r="A16" s="82">
        <v>14</v>
      </c>
      <c r="B16" s="82">
        <v>1</v>
      </c>
      <c r="C16" s="82">
        <v>1130</v>
      </c>
      <c r="D16" s="83">
        <f>IF(ISNUMBER(A16)=TRUE,ROUND((VLOOKUP(A16,ThongSo!$F$2:$I$15,4,0)*B16*C16/1000),3),"-")</f>
        <v>1.367</v>
      </c>
    </row>
    <row r="17" spans="1:4" x14ac:dyDescent="0.25">
      <c r="A17" s="82">
        <v>14</v>
      </c>
      <c r="B17" s="82">
        <v>125</v>
      </c>
      <c r="C17" s="82">
        <v>1140</v>
      </c>
      <c r="D17" s="83">
        <f>IF(ISNUMBER(A17)=TRUE,ROUND((VLOOKUP(A17,ThongSo!$F$2:$I$15,4,0)*B17*C17/1000),3),"-")</f>
        <v>172.42500000000001</v>
      </c>
    </row>
    <row r="18" spans="1:4" x14ac:dyDescent="0.25">
      <c r="A18" s="82">
        <v>14</v>
      </c>
      <c r="B18" s="82">
        <v>1</v>
      </c>
      <c r="C18" s="82">
        <v>1200</v>
      </c>
      <c r="D18" s="83">
        <f>IF(ISNUMBER(A18)=TRUE,ROUND((VLOOKUP(A18,ThongSo!$F$2:$I$15,4,0)*B18*C18/1000),3),"-")</f>
        <v>1.452</v>
      </c>
    </row>
    <row r="19" spans="1:4" x14ac:dyDescent="0.25">
      <c r="A19" s="82">
        <v>16</v>
      </c>
      <c r="B19" s="82">
        <v>1220</v>
      </c>
      <c r="C19" s="82">
        <v>860</v>
      </c>
      <c r="D19" s="83">
        <f>IF(ISNUMBER(A19)=TRUE,ROUND((VLOOKUP(A19,ThongSo!$F$2:$I$15,4,0)*B19*C19/1000),3),"-")</f>
        <v>1657.7360000000001</v>
      </c>
    </row>
    <row r="20" spans="1:4" x14ac:dyDescent="0.25">
      <c r="A20" s="82">
        <v>16</v>
      </c>
      <c r="B20" s="82">
        <v>1</v>
      </c>
      <c r="C20" s="82">
        <v>900</v>
      </c>
      <c r="D20" s="83">
        <f>IF(ISNUMBER(A20)=TRUE,ROUND((VLOOKUP(A20,ThongSo!$F$2:$I$15,4,0)*B20*C20/1000),3),"-")</f>
        <v>1.4219999999999999</v>
      </c>
    </row>
    <row r="21" spans="1:4" x14ac:dyDescent="0.25">
      <c r="A21" s="82">
        <v>16</v>
      </c>
      <c r="B21" s="82">
        <v>1</v>
      </c>
      <c r="C21" s="82">
        <v>910</v>
      </c>
      <c r="D21" s="83">
        <f>IF(ISNUMBER(A21)=TRUE,ROUND((VLOOKUP(A21,ThongSo!$F$2:$I$15,4,0)*B21*C21/1000),3),"-")</f>
        <v>1.4379999999999999</v>
      </c>
    </row>
    <row r="22" spans="1:4" x14ac:dyDescent="0.25">
      <c r="A22" s="82">
        <v>16</v>
      </c>
      <c r="B22" s="82">
        <v>2</v>
      </c>
      <c r="C22" s="82">
        <v>920</v>
      </c>
      <c r="D22" s="83">
        <f>IF(ISNUMBER(A22)=TRUE,ROUND((VLOOKUP(A22,ThongSo!$F$2:$I$15,4,0)*B22*C22/1000),3),"-")</f>
        <v>2.907</v>
      </c>
    </row>
    <row r="23" spans="1:4" x14ac:dyDescent="0.25">
      <c r="A23" s="82">
        <v>16</v>
      </c>
      <c r="B23" s="82">
        <v>229</v>
      </c>
      <c r="C23" s="82">
        <v>960</v>
      </c>
      <c r="D23" s="83">
        <f>IF(ISNUMBER(A23)=TRUE,ROUND((VLOOKUP(A23,ThongSo!$F$2:$I$15,4,0)*B23*C23/1000),3),"-")</f>
        <v>347.34699999999998</v>
      </c>
    </row>
    <row r="24" spans="1:4" x14ac:dyDescent="0.25">
      <c r="A24" s="82">
        <v>16</v>
      </c>
      <c r="B24" s="82">
        <v>6</v>
      </c>
      <c r="C24" s="82">
        <v>1000</v>
      </c>
      <c r="D24" s="83">
        <f>IF(ISNUMBER(A24)=TRUE,ROUND((VLOOKUP(A24,ThongSo!$F$2:$I$15,4,0)*B24*C24/1000),3),"-")</f>
        <v>9.48</v>
      </c>
    </row>
    <row r="25" spans="1:4" x14ac:dyDescent="0.25">
      <c r="A25" s="82">
        <v>16</v>
      </c>
      <c r="B25" s="82">
        <v>442</v>
      </c>
      <c r="C25" s="82">
        <v>1020</v>
      </c>
      <c r="D25" s="83">
        <f>IF(ISNUMBER(A25)=TRUE,ROUND((VLOOKUP(A25,ThongSo!$F$2:$I$15,4,0)*B25*C25/1000),3),"-")</f>
        <v>712.327</v>
      </c>
    </row>
    <row r="26" spans="1:4" x14ac:dyDescent="0.25">
      <c r="A26" s="82">
        <v>16</v>
      </c>
      <c r="B26" s="82">
        <v>32</v>
      </c>
      <c r="C26" s="82">
        <v>1120</v>
      </c>
      <c r="D26" s="83">
        <f>IF(ISNUMBER(A26)=TRUE,ROUND((VLOOKUP(A26,ThongSo!$F$2:$I$15,4,0)*B26*C26/1000),3),"-")</f>
        <v>56.627000000000002</v>
      </c>
    </row>
    <row r="27" spans="1:4" x14ac:dyDescent="0.25">
      <c r="A27" s="82">
        <v>16</v>
      </c>
      <c r="B27" s="82">
        <v>34</v>
      </c>
      <c r="C27" s="82">
        <v>1360</v>
      </c>
      <c r="D27" s="83">
        <f>IF(ISNUMBER(A27)=TRUE,ROUND((VLOOKUP(A27,ThongSo!$F$2:$I$15,4,0)*B27*C27/1000),3),"-")</f>
        <v>73.058999999999997</v>
      </c>
    </row>
    <row r="28" spans="1:4" x14ac:dyDescent="0.25">
      <c r="A28" s="82">
        <v>16</v>
      </c>
      <c r="B28" s="82">
        <v>1</v>
      </c>
      <c r="C28" s="82">
        <v>1470</v>
      </c>
      <c r="D28" s="83">
        <f>IF(ISNUMBER(A28)=TRUE,ROUND((VLOOKUP(A28,ThongSo!$F$2:$I$15,4,0)*B28*C28/1000),3),"-")</f>
        <v>2.323</v>
      </c>
    </row>
    <row r="29" spans="1:4" x14ac:dyDescent="0.25">
      <c r="A29" s="82">
        <v>16</v>
      </c>
      <c r="B29" s="82">
        <v>23</v>
      </c>
      <c r="C29" s="82">
        <v>1580</v>
      </c>
      <c r="D29" s="83">
        <f>IF(ISNUMBER(A29)=TRUE,ROUND((VLOOKUP(A29,ThongSo!$F$2:$I$15,4,0)*B29*C29/1000),3),"-")</f>
        <v>57.417000000000002</v>
      </c>
    </row>
    <row r="30" spans="1:4" x14ac:dyDescent="0.25">
      <c r="A30" s="82">
        <v>16</v>
      </c>
      <c r="B30" s="82">
        <v>1</v>
      </c>
      <c r="C30" s="82">
        <v>1590</v>
      </c>
      <c r="D30" s="83">
        <f>IF(ISNUMBER(A30)=TRUE,ROUND((VLOOKUP(A30,ThongSo!$F$2:$I$15,4,0)*B30*C30/1000),3),"-")</f>
        <v>2.512</v>
      </c>
    </row>
    <row r="31" spans="1:4" x14ac:dyDescent="0.25">
      <c r="A31" s="82">
        <v>16</v>
      </c>
      <c r="B31" s="82">
        <v>1</v>
      </c>
      <c r="C31" s="82">
        <v>1660</v>
      </c>
      <c r="D31" s="83">
        <f>IF(ISNUMBER(A31)=TRUE,ROUND((VLOOKUP(A31,ThongSo!$F$2:$I$15,4,0)*B31*C31/1000),3),"-")</f>
        <v>2.6230000000000002</v>
      </c>
    </row>
    <row r="32" spans="1:4" x14ac:dyDescent="0.25">
      <c r="A32" s="82">
        <v>16</v>
      </c>
      <c r="B32" s="82">
        <v>1</v>
      </c>
      <c r="C32" s="82">
        <v>1670</v>
      </c>
      <c r="D32" s="83">
        <f>IF(ISNUMBER(A32)=TRUE,ROUND((VLOOKUP(A32,ThongSo!$F$2:$I$15,4,0)*B32*C32/1000),3),"-")</f>
        <v>2.6389999999999998</v>
      </c>
    </row>
    <row r="33" spans="1:4" x14ac:dyDescent="0.25">
      <c r="A33" s="82">
        <v>18</v>
      </c>
      <c r="B33" s="82">
        <v>12</v>
      </c>
      <c r="C33" s="82">
        <v>1000</v>
      </c>
      <c r="D33" s="83">
        <f>IF(ISNUMBER(A33)=TRUE,ROUND((VLOOKUP(A33,ThongSo!$F$2:$I$15,4,0)*B33*C33/1000),3),"-")</f>
        <v>24</v>
      </c>
    </row>
    <row r="34" spans="1:4" x14ac:dyDescent="0.25">
      <c r="A34" s="82">
        <v>18</v>
      </c>
      <c r="B34" s="82">
        <v>42</v>
      </c>
      <c r="C34" s="82">
        <v>1050</v>
      </c>
      <c r="D34" s="83">
        <f>IF(ISNUMBER(A34)=TRUE,ROUND((VLOOKUP(A34,ThongSo!$F$2:$I$15,4,0)*B34*C34/1000),3),"-")</f>
        <v>88.2</v>
      </c>
    </row>
    <row r="35" spans="1:4" x14ac:dyDescent="0.25">
      <c r="A35" s="82">
        <v>18</v>
      </c>
      <c r="B35" s="82">
        <v>1</v>
      </c>
      <c r="C35" s="82">
        <v>1260</v>
      </c>
      <c r="D35" s="83">
        <f>IF(ISNUMBER(A35)=TRUE,ROUND((VLOOKUP(A35,ThongSo!$F$2:$I$15,4,0)*B35*C35/1000),3),"-")</f>
        <v>2.52</v>
      </c>
    </row>
    <row r="36" spans="1:4" x14ac:dyDescent="0.25">
      <c r="A36" s="82">
        <v>18</v>
      </c>
      <c r="B36" s="82">
        <v>11</v>
      </c>
      <c r="C36" s="82">
        <v>1280</v>
      </c>
      <c r="D36" s="83">
        <f>IF(ISNUMBER(A36)=TRUE,ROUND((VLOOKUP(A36,ThongSo!$F$2:$I$15,4,0)*B36*C36/1000),3),"-")</f>
        <v>28.16</v>
      </c>
    </row>
    <row r="37" spans="1:4" x14ac:dyDescent="0.25">
      <c r="A37" s="82">
        <v>18</v>
      </c>
      <c r="B37" s="82">
        <v>6</v>
      </c>
      <c r="C37" s="82">
        <v>1290</v>
      </c>
      <c r="D37" s="83">
        <f>IF(ISNUMBER(A37)=TRUE,ROUND((VLOOKUP(A37,ThongSo!$F$2:$I$15,4,0)*B37*C37/1000),3),"-")</f>
        <v>15.48</v>
      </c>
    </row>
    <row r="38" spans="1:4" x14ac:dyDescent="0.25">
      <c r="A38" s="82">
        <v>18</v>
      </c>
      <c r="B38" s="82">
        <v>6</v>
      </c>
      <c r="C38" s="82">
        <v>1420</v>
      </c>
      <c r="D38" s="83">
        <f>IF(ISNUMBER(A38)=TRUE,ROUND((VLOOKUP(A38,ThongSo!$F$2:$I$15,4,0)*B38*C38/1000),3),"-")</f>
        <v>17.04</v>
      </c>
    </row>
    <row r="39" spans="1:4" x14ac:dyDescent="0.25">
      <c r="A39" s="82">
        <v>18</v>
      </c>
      <c r="B39" s="82">
        <v>20</v>
      </c>
      <c r="C39" s="82">
        <v>1440</v>
      </c>
      <c r="D39" s="83">
        <f>IF(ISNUMBER(A39)=TRUE,ROUND((VLOOKUP(A39,ThongSo!$F$2:$I$15,4,0)*B39*C39/1000),3),"-")</f>
        <v>57.6</v>
      </c>
    </row>
    <row r="40" spans="1:4" x14ac:dyDescent="0.25">
      <c r="A40" s="82">
        <v>18</v>
      </c>
      <c r="B40" s="82">
        <v>1</v>
      </c>
      <c r="C40" s="82">
        <v>1450</v>
      </c>
      <c r="D40" s="83">
        <f>IF(ISNUMBER(A40)=TRUE,ROUND((VLOOKUP(A40,ThongSo!$F$2:$I$15,4,0)*B40*C40/1000),3),"-")</f>
        <v>2.9</v>
      </c>
    </row>
    <row r="41" spans="1:4" x14ac:dyDescent="0.25">
      <c r="A41" s="82">
        <v>18</v>
      </c>
      <c r="B41" s="82">
        <v>3</v>
      </c>
      <c r="C41" s="82">
        <v>1860</v>
      </c>
      <c r="D41" s="83">
        <f>IF(ISNUMBER(A41)=TRUE,ROUND((VLOOKUP(A41,ThongSo!$F$2:$I$15,4,0)*B41*C41/1000),3),"-")</f>
        <v>11.16</v>
      </c>
    </row>
    <row r="42" spans="1:4" x14ac:dyDescent="0.25">
      <c r="A42" s="82">
        <v>18</v>
      </c>
      <c r="B42" s="82">
        <v>1</v>
      </c>
      <c r="C42" s="82">
        <v>1890</v>
      </c>
      <c r="D42" s="83">
        <f>IF(ISNUMBER(A42)=TRUE,ROUND((VLOOKUP(A42,ThongSo!$F$2:$I$15,4,0)*B42*C42/1000),3),"-")</f>
        <v>3.78</v>
      </c>
    </row>
    <row r="43" spans="1:4" x14ac:dyDescent="0.25">
      <c r="A43" s="82">
        <v>18</v>
      </c>
      <c r="B43" s="82">
        <v>2</v>
      </c>
      <c r="C43" s="82">
        <v>2300</v>
      </c>
      <c r="D43" s="83">
        <f>IF(ISNUMBER(A43)=TRUE,ROUND((VLOOKUP(A43,ThongSo!$F$2:$I$15,4,0)*B43*C43/1000),3),"-")</f>
        <v>9.1999999999999993</v>
      </c>
    </row>
    <row r="44" spans="1:4" x14ac:dyDescent="0.25">
      <c r="A44" s="82">
        <v>18</v>
      </c>
      <c r="B44" s="82">
        <v>1</v>
      </c>
      <c r="C44" s="82">
        <v>2820</v>
      </c>
      <c r="D44" s="83">
        <f>IF(ISNUMBER(A44)=TRUE,ROUND((VLOOKUP(A44,ThongSo!$F$2:$I$15,4,0)*B44*C44/1000),3),"-")</f>
        <v>5.64</v>
      </c>
    </row>
    <row r="45" spans="1:4" x14ac:dyDescent="0.25">
      <c r="A45" s="82">
        <v>18</v>
      </c>
      <c r="B45" s="82">
        <v>3</v>
      </c>
      <c r="C45" s="82">
        <v>2890</v>
      </c>
      <c r="D45" s="83">
        <f>IF(ISNUMBER(A45)=TRUE,ROUND((VLOOKUP(A45,ThongSo!$F$2:$I$15,4,0)*B45*C45/1000),3),"-")</f>
        <v>17.34</v>
      </c>
    </row>
    <row r="46" spans="1:4" x14ac:dyDescent="0.25">
      <c r="A46" s="82">
        <v>18</v>
      </c>
      <c r="B46" s="82">
        <v>12</v>
      </c>
      <c r="C46" s="82">
        <v>2900</v>
      </c>
      <c r="D46" s="83">
        <f>IF(ISNUMBER(A46)=TRUE,ROUND((VLOOKUP(A46,ThongSo!$F$2:$I$15,4,0)*B46*C46/1000),3),"-")</f>
        <v>69.599999999999994</v>
      </c>
    </row>
    <row r="47" spans="1:4" x14ac:dyDescent="0.25">
      <c r="A47" s="82">
        <v>18</v>
      </c>
      <c r="B47" s="82">
        <v>3</v>
      </c>
      <c r="C47" s="82">
        <v>3340</v>
      </c>
      <c r="D47" s="83">
        <f>IF(ISNUMBER(A47)=TRUE,ROUND((VLOOKUP(A47,ThongSo!$F$2:$I$15,4,0)*B47*C47/1000),3),"-")</f>
        <v>20.04</v>
      </c>
    </row>
    <row r="48" spans="1:4" x14ac:dyDescent="0.25">
      <c r="A48" s="82">
        <v>18</v>
      </c>
      <c r="B48" s="82">
        <v>12</v>
      </c>
      <c r="C48" s="82">
        <v>3440</v>
      </c>
      <c r="D48" s="83">
        <f>IF(ISNUMBER(A48)=TRUE,ROUND((VLOOKUP(A48,ThongSo!$F$2:$I$15,4,0)*B48*C48/1000),3),"-")</f>
        <v>82.56</v>
      </c>
    </row>
    <row r="49" spans="1:4" x14ac:dyDescent="0.25">
      <c r="A49" s="82">
        <v>18</v>
      </c>
      <c r="B49" s="82">
        <v>6</v>
      </c>
      <c r="C49" s="82">
        <v>3500</v>
      </c>
      <c r="D49" s="83">
        <f>IF(ISNUMBER(A49)=TRUE,ROUND((VLOOKUP(A49,ThongSo!$F$2:$I$15,4,0)*B49*C49/1000),3),"-")</f>
        <v>42</v>
      </c>
    </row>
    <row r="50" spans="1:4" x14ac:dyDescent="0.25">
      <c r="A50" s="82">
        <v>18</v>
      </c>
      <c r="B50" s="82">
        <v>4</v>
      </c>
      <c r="C50" s="82">
        <v>4000</v>
      </c>
      <c r="D50" s="83">
        <f>IF(ISNUMBER(A50)=TRUE,ROUND((VLOOKUP(A50,ThongSo!$F$2:$I$15,4,0)*B50*C50/1000),3),"-")</f>
        <v>32</v>
      </c>
    </row>
    <row r="51" spans="1:4" x14ac:dyDescent="0.25">
      <c r="A51" s="82">
        <v>20</v>
      </c>
      <c r="B51" s="82">
        <v>5</v>
      </c>
      <c r="C51" s="82">
        <v>1010</v>
      </c>
      <c r="D51" s="83">
        <f>IF(ISNUMBER(A51)=TRUE,ROUND((VLOOKUP(A51,ThongSo!$F$2:$I$15,4,0)*B51*C51/1000),3),"-")</f>
        <v>12.474</v>
      </c>
    </row>
    <row r="52" spans="1:4" x14ac:dyDescent="0.25">
      <c r="A52" s="82">
        <v>20</v>
      </c>
      <c r="B52" s="82">
        <v>3</v>
      </c>
      <c r="C52" s="82">
        <v>1040</v>
      </c>
      <c r="D52" s="83">
        <f>IF(ISNUMBER(A52)=TRUE,ROUND((VLOOKUP(A52,ThongSo!$F$2:$I$15,4,0)*B52*C52/1000),3),"-")</f>
        <v>7.7060000000000004</v>
      </c>
    </row>
    <row r="53" spans="1:4" x14ac:dyDescent="0.25">
      <c r="A53" s="82">
        <v>20</v>
      </c>
      <c r="B53" s="82">
        <v>3</v>
      </c>
      <c r="C53" s="82">
        <v>1100</v>
      </c>
      <c r="D53" s="83">
        <f>IF(ISNUMBER(A53)=TRUE,ROUND((VLOOKUP(A53,ThongSo!$F$2:$I$15,4,0)*B53*C53/1000),3),"-")</f>
        <v>8.1509999999999998</v>
      </c>
    </row>
    <row r="54" spans="1:4" x14ac:dyDescent="0.25">
      <c r="A54" s="82">
        <v>20</v>
      </c>
      <c r="B54" s="82">
        <v>2</v>
      </c>
      <c r="C54" s="82">
        <v>1200</v>
      </c>
      <c r="D54" s="83">
        <f>IF(ISNUMBER(A54)=TRUE,ROUND((VLOOKUP(A54,ThongSo!$F$2:$I$15,4,0)*B54*C54/1000),3),"-")</f>
        <v>5.9279999999999999</v>
      </c>
    </row>
    <row r="55" spans="1:4" x14ac:dyDescent="0.25">
      <c r="A55" s="82">
        <v>20</v>
      </c>
      <c r="B55" s="82">
        <v>2</v>
      </c>
      <c r="C55" s="82">
        <v>1260</v>
      </c>
      <c r="D55" s="83">
        <f>IF(ISNUMBER(A55)=TRUE,ROUND((VLOOKUP(A55,ThongSo!$F$2:$I$15,4,0)*B55*C55/1000),3),"-")</f>
        <v>6.2240000000000002</v>
      </c>
    </row>
    <row r="56" spans="1:4" x14ac:dyDescent="0.25">
      <c r="A56" s="82">
        <v>20</v>
      </c>
      <c r="B56" s="82">
        <v>5</v>
      </c>
      <c r="C56" s="82">
        <v>1310</v>
      </c>
      <c r="D56" s="83">
        <f>IF(ISNUMBER(A56)=TRUE,ROUND((VLOOKUP(A56,ThongSo!$F$2:$I$15,4,0)*B56*C56/1000),3),"-")</f>
        <v>16.178999999999998</v>
      </c>
    </row>
    <row r="57" spans="1:4" x14ac:dyDescent="0.25">
      <c r="A57" s="82">
        <v>20</v>
      </c>
      <c r="B57" s="82">
        <v>2</v>
      </c>
      <c r="C57" s="82">
        <v>1470</v>
      </c>
      <c r="D57" s="83">
        <f>IF(ISNUMBER(A57)=TRUE,ROUND((VLOOKUP(A57,ThongSo!$F$2:$I$15,4,0)*B57*C57/1000),3),"-")</f>
        <v>7.2619999999999996</v>
      </c>
    </row>
    <row r="58" spans="1:4" x14ac:dyDescent="0.25">
      <c r="A58" s="82">
        <v>20</v>
      </c>
      <c r="B58" s="82">
        <v>6</v>
      </c>
      <c r="C58" s="82">
        <v>1510</v>
      </c>
      <c r="D58" s="83">
        <f>IF(ISNUMBER(A58)=TRUE,ROUND((VLOOKUP(A58,ThongSo!$F$2:$I$15,4,0)*B58*C58/1000),3),"-")</f>
        <v>22.378</v>
      </c>
    </row>
    <row r="59" spans="1:4" x14ac:dyDescent="0.25">
      <c r="A59" s="82">
        <v>20</v>
      </c>
      <c r="B59" s="82">
        <v>6</v>
      </c>
      <c r="C59" s="82">
        <v>1540</v>
      </c>
      <c r="D59" s="83">
        <f>IF(ISNUMBER(A59)=TRUE,ROUND((VLOOKUP(A59,ThongSo!$F$2:$I$15,4,0)*B59*C59/1000),3),"-")</f>
        <v>22.823</v>
      </c>
    </row>
    <row r="60" spans="1:4" x14ac:dyDescent="0.25">
      <c r="A60" s="82">
        <v>20</v>
      </c>
      <c r="B60" s="82">
        <v>40</v>
      </c>
      <c r="C60" s="82">
        <v>1620</v>
      </c>
      <c r="D60" s="83">
        <f>IF(ISNUMBER(A60)=TRUE,ROUND((VLOOKUP(A60,ThongSo!$F$2:$I$15,4,0)*B60*C60/1000),3),"-")</f>
        <v>160.05600000000001</v>
      </c>
    </row>
    <row r="61" spans="1:4" x14ac:dyDescent="0.25">
      <c r="A61" s="82">
        <v>20</v>
      </c>
      <c r="B61" s="82">
        <v>2</v>
      </c>
      <c r="C61" s="82">
        <v>1660</v>
      </c>
      <c r="D61" s="83">
        <f>IF(ISNUMBER(A61)=TRUE,ROUND((VLOOKUP(A61,ThongSo!$F$2:$I$15,4,0)*B61*C61/1000),3),"-")</f>
        <v>8.1999999999999993</v>
      </c>
    </row>
    <row r="62" spans="1:4" x14ac:dyDescent="0.25">
      <c r="A62" s="82">
        <v>20</v>
      </c>
      <c r="B62" s="82">
        <v>313</v>
      </c>
      <c r="C62" s="82">
        <v>1920</v>
      </c>
      <c r="D62" s="83">
        <f>IF(ISNUMBER(A62)=TRUE,ROUND((VLOOKUP(A62,ThongSo!$F$2:$I$15,4,0)*B62*C62/1000),3),"-")</f>
        <v>1484.3710000000001</v>
      </c>
    </row>
    <row r="63" spans="1:4" x14ac:dyDescent="0.25">
      <c r="A63" s="82">
        <v>20</v>
      </c>
      <c r="B63" s="82">
        <v>284</v>
      </c>
      <c r="C63" s="82">
        <v>3590</v>
      </c>
      <c r="D63" s="83">
        <f>IF(ISNUMBER(A63)=TRUE,ROUND((VLOOKUP(A63,ThongSo!$F$2:$I$15,4,0)*B63*C63/1000),3),"-")</f>
        <v>2518.3130000000001</v>
      </c>
    </row>
    <row r="64" spans="1:4" x14ac:dyDescent="0.25">
      <c r="A64" s="82">
        <v>20</v>
      </c>
      <c r="B64" s="82">
        <v>57</v>
      </c>
      <c r="C64" s="82">
        <v>5230</v>
      </c>
      <c r="D64" s="83">
        <f>IF(ISNUMBER(A64)=TRUE,ROUND((VLOOKUP(A64,ThongSo!$F$2:$I$15,4,0)*B64*C64/1000),3),"-")</f>
        <v>736.33199999999999</v>
      </c>
    </row>
    <row r="65" spans="1:4" x14ac:dyDescent="0.25">
      <c r="A65" s="82">
        <v>22</v>
      </c>
      <c r="B65" s="82">
        <v>117</v>
      </c>
      <c r="C65" s="82">
        <v>1260</v>
      </c>
      <c r="D65" s="83">
        <f>IF(ISNUMBER(A65)=TRUE,ROUND((VLOOKUP(A65,ThongSo!$F$2:$I$15,4,0)*B65*C65/1000),3),"-")</f>
        <v>439.31200000000001</v>
      </c>
    </row>
    <row r="66" spans="1:4" x14ac:dyDescent="0.25">
      <c r="A66" s="82">
        <v>22</v>
      </c>
      <c r="B66" s="82">
        <v>1</v>
      </c>
      <c r="C66" s="82">
        <v>1470</v>
      </c>
      <c r="D66" s="83">
        <f>IF(ISNUMBER(A66)=TRUE,ROUND((VLOOKUP(A66,ThongSo!$F$2:$I$15,4,0)*B66*C66/1000),3),"-")</f>
        <v>4.3810000000000002</v>
      </c>
    </row>
    <row r="67" spans="1:4" x14ac:dyDescent="0.25">
      <c r="A67" s="82">
        <v>22</v>
      </c>
      <c r="B67" s="82">
        <v>38</v>
      </c>
      <c r="C67" s="82">
        <v>1500</v>
      </c>
      <c r="D67" s="83">
        <f>IF(ISNUMBER(A67)=TRUE,ROUND((VLOOKUP(A67,ThongSo!$F$2:$I$15,4,0)*B67*C67/1000),3),"-")</f>
        <v>169.86</v>
      </c>
    </row>
    <row r="68" spans="1:4" x14ac:dyDescent="0.25">
      <c r="A68" s="82">
        <v>22</v>
      </c>
      <c r="B68" s="82">
        <v>77</v>
      </c>
      <c r="C68" s="82">
        <v>2560</v>
      </c>
      <c r="D68" s="83">
        <f>IF(ISNUMBER(A68)=TRUE,ROUND((VLOOKUP(A68,ThongSo!$F$2:$I$15,4,0)*B68*C68/1000),3),"-")</f>
        <v>587.41800000000001</v>
      </c>
    </row>
    <row r="69" spans="1:4" x14ac:dyDescent="0.25">
      <c r="A69" s="82">
        <v>25</v>
      </c>
      <c r="B69" s="82">
        <v>2</v>
      </c>
      <c r="C69" s="82">
        <v>1270</v>
      </c>
      <c r="D69" s="83">
        <f>IF(ISNUMBER(A69)=TRUE,ROUND((VLOOKUP(A69,ThongSo!$F$2:$I$15,4,0)*B69*C69/1000),3),"-")</f>
        <v>9.7789999999999999</v>
      </c>
    </row>
    <row r="70" spans="1:4" x14ac:dyDescent="0.25">
      <c r="A70" s="82">
        <v>25</v>
      </c>
      <c r="B70" s="82">
        <v>2</v>
      </c>
      <c r="C70" s="82">
        <v>1950</v>
      </c>
      <c r="D70" s="83">
        <f>IF(ISNUMBER(A70)=TRUE,ROUND((VLOOKUP(A70,ThongSo!$F$2:$I$15,4,0)*B70*C70/1000),3),"-")</f>
        <v>15.015000000000001</v>
      </c>
    </row>
    <row r="71" spans="1:4" x14ac:dyDescent="0.25">
      <c r="A71" s="82">
        <v>25</v>
      </c>
      <c r="B71" s="82">
        <v>2</v>
      </c>
      <c r="C71" s="82">
        <v>2010</v>
      </c>
      <c r="D71" s="83">
        <f>IF(ISNUMBER(A71)=TRUE,ROUND((VLOOKUP(A71,ThongSo!$F$2:$I$15,4,0)*B71*C71/1000),3),"-")</f>
        <v>15.477</v>
      </c>
    </row>
    <row r="72" spans="1:4" x14ac:dyDescent="0.25">
      <c r="A72" s="82">
        <v>25</v>
      </c>
      <c r="B72" s="82">
        <v>3</v>
      </c>
      <c r="C72" s="82">
        <v>2100</v>
      </c>
      <c r="D72" s="83">
        <f>IF(ISNUMBER(A72)=TRUE,ROUND((VLOOKUP(A72,ThongSo!$F$2:$I$15,4,0)*B72*C72/1000),3),"-")</f>
        <v>24.254999999999999</v>
      </c>
    </row>
    <row r="73" spans="1:4" x14ac:dyDescent="0.25">
      <c r="A73" s="82">
        <v>25</v>
      </c>
      <c r="B73" s="82">
        <v>2</v>
      </c>
      <c r="C73" s="82">
        <v>2240</v>
      </c>
      <c r="D73" s="83">
        <f>IF(ISNUMBER(A73)=TRUE,ROUND((VLOOKUP(A73,ThongSo!$F$2:$I$15,4,0)*B73*C73/1000),3),"-")</f>
        <v>17.248000000000001</v>
      </c>
    </row>
    <row r="74" spans="1:4" x14ac:dyDescent="0.25">
      <c r="A74" s="82">
        <v>25</v>
      </c>
      <c r="B74" s="82">
        <v>7</v>
      </c>
      <c r="C74" s="82">
        <v>2280</v>
      </c>
      <c r="D74" s="83">
        <f>IF(ISNUMBER(A74)=TRUE,ROUND((VLOOKUP(A74,ThongSo!$F$2:$I$15,4,0)*B74*C74/1000),3),"-")</f>
        <v>61.445999999999998</v>
      </c>
    </row>
    <row r="75" spans="1:4" x14ac:dyDescent="0.25">
      <c r="A75" s="82">
        <v>25</v>
      </c>
      <c r="B75" s="82">
        <v>1</v>
      </c>
      <c r="C75" s="82">
        <v>2330</v>
      </c>
      <c r="D75" s="83">
        <f>IF(ISNUMBER(A75)=TRUE,ROUND((VLOOKUP(A75,ThongSo!$F$2:$I$15,4,0)*B75*C75/1000),3),"-")</f>
        <v>8.9710000000000001</v>
      </c>
    </row>
    <row r="76" spans="1:4" x14ac:dyDescent="0.25">
      <c r="A76" s="82">
        <v>25</v>
      </c>
      <c r="B76" s="82">
        <v>5</v>
      </c>
      <c r="C76" s="82">
        <v>2375</v>
      </c>
      <c r="D76" s="83">
        <f>IF(ISNUMBER(A76)=TRUE,ROUND((VLOOKUP(A76,ThongSo!$F$2:$I$15,4,0)*B76*C76/1000),3),"-")</f>
        <v>45.719000000000001</v>
      </c>
    </row>
    <row r="77" spans="1:4" x14ac:dyDescent="0.25">
      <c r="A77" s="82">
        <v>25</v>
      </c>
      <c r="B77" s="82">
        <v>2</v>
      </c>
      <c r="C77" s="82">
        <v>2510</v>
      </c>
      <c r="D77" s="83">
        <f>IF(ISNUMBER(A77)=TRUE,ROUND((VLOOKUP(A77,ThongSo!$F$2:$I$15,4,0)*B77*C77/1000),3),"-")</f>
        <v>19.327000000000002</v>
      </c>
    </row>
    <row r="78" spans="1:4" x14ac:dyDescent="0.25">
      <c r="A78" s="82">
        <v>25</v>
      </c>
      <c r="B78" s="82">
        <v>2</v>
      </c>
      <c r="C78" s="82">
        <v>2785</v>
      </c>
      <c r="D78" s="83">
        <f>IF(ISNUMBER(A78)=TRUE,ROUND((VLOOKUP(A78,ThongSo!$F$2:$I$15,4,0)*B78*C78/1000),3),"-")</f>
        <v>21.445</v>
      </c>
    </row>
    <row r="79" spans="1:4" x14ac:dyDescent="0.25">
      <c r="A79" s="82">
        <v>25</v>
      </c>
      <c r="B79" s="82">
        <v>103</v>
      </c>
      <c r="C79" s="82">
        <v>3830</v>
      </c>
      <c r="D79" s="83">
        <f>IF(ISNUMBER(A79)=TRUE,ROUND((VLOOKUP(A79,ThongSo!$F$2:$I$15,4,0)*B79*C79/1000),3),"-")</f>
        <v>1518.787</v>
      </c>
    </row>
    <row r="80" spans="1:4" x14ac:dyDescent="0.25">
      <c r="A80" s="82">
        <v>32</v>
      </c>
      <c r="B80" s="82">
        <v>27</v>
      </c>
      <c r="C80" s="82">
        <v>2700</v>
      </c>
      <c r="D80" s="83">
        <f>IF(ISNUMBER(A80)=TRUE,ROUND((VLOOKUP(A80,ThongSo!$F$2:$I$15,4,0)*B80*C80/1000),3),"-")</f>
        <v>459.99900000000002</v>
      </c>
    </row>
    <row r="81" spans="1:4" x14ac:dyDescent="0.25">
      <c r="A81" s="82">
        <v>32</v>
      </c>
      <c r="B81" s="82">
        <v>5</v>
      </c>
      <c r="C81" s="82">
        <v>2720</v>
      </c>
      <c r="D81" s="83">
        <f>IF(ISNUMBER(A81)=TRUE,ROUND((VLOOKUP(A81,ThongSo!$F$2:$I$15,4,0)*B81*C81/1000),3),"-")</f>
        <v>85.816000000000003</v>
      </c>
    </row>
    <row r="82" spans="1:4" x14ac:dyDescent="0.25">
      <c r="A82" s="82">
        <v>32</v>
      </c>
      <c r="B82" s="82">
        <v>1</v>
      </c>
      <c r="C82" s="82">
        <v>2760</v>
      </c>
      <c r="D82" s="83">
        <f>IF(ISNUMBER(A82)=TRUE,ROUND((VLOOKUP(A82,ThongSo!$F$2:$I$15,4,0)*B82*C82/1000),3),"-")</f>
        <v>17.416</v>
      </c>
    </row>
    <row r="83" spans="1:4" x14ac:dyDescent="0.25">
      <c r="A83" s="82">
        <v>32</v>
      </c>
      <c r="B83" s="82">
        <v>8</v>
      </c>
      <c r="C83" s="82">
        <v>3050</v>
      </c>
      <c r="D83" s="83">
        <f>IF(ISNUMBER(A83)=TRUE,ROUND((VLOOKUP(A83,ThongSo!$F$2:$I$15,4,0)*B83*C83/1000),3),"-")</f>
        <v>153.964</v>
      </c>
    </row>
    <row r="84" spans="1:4" x14ac:dyDescent="0.25">
      <c r="A84" s="82">
        <v>32</v>
      </c>
      <c r="B84" s="82">
        <v>7</v>
      </c>
      <c r="C84" s="82">
        <v>3065</v>
      </c>
      <c r="D84" s="83">
        <f>IF(ISNUMBER(A84)=TRUE,ROUND((VLOOKUP(A84,ThongSo!$F$2:$I$15,4,0)*B84*C84/1000),3),"-")</f>
        <v>135.381</v>
      </c>
    </row>
    <row r="85" spans="1:4" x14ac:dyDescent="0.25">
      <c r="A85" s="82">
        <v>32</v>
      </c>
      <c r="B85" s="82">
        <v>14</v>
      </c>
      <c r="C85" s="82">
        <v>3070</v>
      </c>
      <c r="D85" s="83">
        <f>IF(ISNUMBER(A85)=TRUE,ROUND((VLOOKUP(A85,ThongSo!$F$2:$I$15,4,0)*B85*C85/1000),3),"-")</f>
        <v>271.20400000000001</v>
      </c>
    </row>
    <row r="86" spans="1:4" x14ac:dyDescent="0.25">
      <c r="A86" s="82">
        <v>32</v>
      </c>
      <c r="B86" s="82">
        <v>10</v>
      </c>
      <c r="C86" s="82">
        <v>3110</v>
      </c>
      <c r="D86" s="83">
        <f>IF(ISNUMBER(A86)=TRUE,ROUND((VLOOKUP(A86,ThongSo!$F$2:$I$15,4,0)*B86*C86/1000),3),"-")</f>
        <v>196.24100000000001</v>
      </c>
    </row>
    <row r="87" spans="1:4" x14ac:dyDescent="0.25">
      <c r="A87" s="82">
        <v>32</v>
      </c>
      <c r="B87" s="82">
        <v>1</v>
      </c>
      <c r="C87" s="82">
        <v>1610</v>
      </c>
      <c r="D87" s="83">
        <f>IF(ISNUMBER(A87)=TRUE,ROUND((VLOOKUP(A87,ThongSo!$F$2:$I$15,4,0)*B87*C87/1000),3),"-")</f>
        <v>10.159000000000001</v>
      </c>
    </row>
    <row r="88" spans="1:4" x14ac:dyDescent="0.25">
      <c r="A88" s="82">
        <v>32</v>
      </c>
      <c r="B88" s="82">
        <v>3</v>
      </c>
      <c r="C88" s="82">
        <v>2660</v>
      </c>
      <c r="D88" s="83">
        <f>IF(ISNUMBER(A88)=TRUE,ROUND((VLOOKUP(A88,ThongSo!$F$2:$I$15,4,0)*B88*C88/1000),3),"-")</f>
        <v>50.353999999999999</v>
      </c>
    </row>
    <row r="89" spans="1:4" x14ac:dyDescent="0.25">
      <c r="A89" s="82">
        <v>32</v>
      </c>
      <c r="B89" s="82">
        <v>6</v>
      </c>
      <c r="C89" s="82">
        <v>2700</v>
      </c>
      <c r="D89" s="83">
        <f>IF(ISNUMBER(A89)=TRUE,ROUND((VLOOKUP(A89,ThongSo!$F$2:$I$15,4,0)*B89*C89/1000),3),"-")</f>
        <v>102.22199999999999</v>
      </c>
    </row>
    <row r="90" spans="1:4" x14ac:dyDescent="0.25">
      <c r="A90" s="82">
        <v>32</v>
      </c>
      <c r="B90" s="82">
        <v>6</v>
      </c>
      <c r="C90" s="82">
        <v>3560</v>
      </c>
      <c r="D90" s="83">
        <f>IF(ISNUMBER(A90)=TRUE,ROUND((VLOOKUP(A90,ThongSo!$F$2:$I$15,4,0)*B90*C90/1000),3),"-")</f>
        <v>134.78200000000001</v>
      </c>
    </row>
    <row r="91" spans="1:4" x14ac:dyDescent="0.25">
      <c r="A91" s="82">
        <v>32</v>
      </c>
      <c r="B91" s="82">
        <v>1</v>
      </c>
      <c r="C91" s="82">
        <v>5010</v>
      </c>
      <c r="D91" s="83">
        <f>IF(ISNUMBER(A91)=TRUE,ROUND((VLOOKUP(A91,ThongSo!$F$2:$I$15,4,0)*B91*C91/1000),3),"-")</f>
        <v>31.613</v>
      </c>
    </row>
    <row r="92" spans="1:4" x14ac:dyDescent="0.25">
      <c r="A92" s="82">
        <v>32</v>
      </c>
      <c r="B92" s="82">
        <v>15</v>
      </c>
      <c r="C92" s="82">
        <v>5150</v>
      </c>
      <c r="D92" s="83">
        <f>IF(ISNUMBER(A92)=TRUE,ROUND((VLOOKUP(A92,ThongSo!$F$2:$I$15,4,0)*B92*C92/1000),3),"-")</f>
        <v>487.44799999999998</v>
      </c>
    </row>
    <row r="93" spans="1:4" x14ac:dyDescent="0.25">
      <c r="A93" s="82">
        <v>32</v>
      </c>
      <c r="B93" s="82">
        <v>4</v>
      </c>
      <c r="C93" s="82">
        <v>5320</v>
      </c>
      <c r="D93" s="83">
        <f>IF(ISNUMBER(A93)=TRUE,ROUND((VLOOKUP(A93,ThongSo!$F$2:$I$15,4,0)*B93*C93/1000),3),"-")</f>
        <v>134.27699999999999</v>
      </c>
    </row>
    <row r="94" spans="1:4" x14ac:dyDescent="0.25">
      <c r="A94" s="82">
        <v>32</v>
      </c>
      <c r="B94" s="82">
        <v>14</v>
      </c>
      <c r="C94" s="82">
        <v>5430</v>
      </c>
      <c r="D94" s="83">
        <f>IF(ISNUMBER(A94)=TRUE,ROUND((VLOOKUP(A94,ThongSo!$F$2:$I$15,4,0)*B94*C94/1000),3),"-")</f>
        <v>479.68599999999998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100"/>
  <sheetViews>
    <sheetView showZeros="0" zoomScaleNormal="100" workbookViewId="0">
      <pane xSplit="4" ySplit="8" topLeftCell="H9" activePane="bottomRight" state="frozen"/>
      <selection pane="topRight" activeCell="E1" sqref="E1"/>
      <selection pane="bottomLeft" activeCell="A9" sqref="A9"/>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x14ac:dyDescent="0.25">
      <c r="A1" s="41" t="s">
        <v>38</v>
      </c>
      <c r="B1" s="48" t="e">
        <f ca="1">SUMPRODUCT(OFFSET(#REF!,,,1,2),OFFSET(#REF!,,,1,2))</f>
        <v>#REF!</v>
      </c>
      <c r="C1" s="27"/>
      <c r="D1" s="28" t="s">
        <v>19</v>
      </c>
    </row>
    <row r="2" spans="1:4" x14ac:dyDescent="0.25">
      <c r="A2" s="42" t="s">
        <v>39</v>
      </c>
      <c r="B2" s="49" t="e">
        <f ca="1">SUM(OFFSET(#REF!,,,26,1))</f>
        <v>#REF!</v>
      </c>
      <c r="C2" s="25"/>
      <c r="D2" s="29" t="s">
        <v>49</v>
      </c>
    </row>
    <row r="3" spans="1:4" x14ac:dyDescent="0.25">
      <c r="A3" s="42" t="s">
        <v>40</v>
      </c>
      <c r="B3" s="49" t="e">
        <f ca="1">SUMIF(OFFSET(#REF!,,,26,1),"&lt;"&amp;B6)</f>
        <v>#REF!</v>
      </c>
      <c r="C3" s="25"/>
      <c r="D3" s="29" t="s">
        <v>21</v>
      </c>
    </row>
    <row r="4" spans="1:4" x14ac:dyDescent="0.25">
      <c r="A4" s="43" t="s">
        <v>35</v>
      </c>
      <c r="B4" s="44">
        <f ca="1">IFERROR(B2/B1,0)</f>
        <v>0</v>
      </c>
      <c r="C4" s="26"/>
      <c r="D4" s="30" t="s">
        <v>18</v>
      </c>
    </row>
    <row r="5" spans="1:4" x14ac:dyDescent="0.25">
      <c r="A5" s="43" t="s">
        <v>36</v>
      </c>
      <c r="B5" s="44">
        <f ca="1">IFERROR(B3/B1,0)</f>
        <v>0</v>
      </c>
      <c r="C5" s="26"/>
      <c r="D5" s="30" t="s">
        <v>17</v>
      </c>
    </row>
    <row r="6" spans="1:4" x14ac:dyDescent="0.25">
      <c r="A6" s="35" t="s">
        <v>37</v>
      </c>
      <c r="B6" s="33">
        <f ca="1">ThongSo!B3*B7</f>
        <v>500</v>
      </c>
      <c r="C6" s="36"/>
      <c r="D6" s="37" t="s">
        <v>28</v>
      </c>
    </row>
    <row r="7" spans="1:4" x14ac:dyDescent="0.25">
      <c r="A7" s="38" t="s">
        <v>2</v>
      </c>
      <c r="B7" s="34">
        <f ca="1">VALUE(MID(CELL("filename",$A$1),FIND("]",CELL("filename",$A$1),1)+1,200))</f>
        <v>10</v>
      </c>
      <c r="C7" s="39"/>
      <c r="D7" s="40" t="s">
        <v>29</v>
      </c>
    </row>
    <row r="8" spans="1:4" ht="30" x14ac:dyDescent="0.25">
      <c r="A8" s="32" t="s">
        <v>0</v>
      </c>
      <c r="B8" s="32" t="s">
        <v>31</v>
      </c>
      <c r="C8" s="32" t="s">
        <v>48</v>
      </c>
      <c r="D8" s="32" t="s">
        <v>30</v>
      </c>
    </row>
    <row r="9" spans="1:4" x14ac:dyDescent="0.25">
      <c r="A9" t="s">
        <v>355</v>
      </c>
      <c r="B9">
        <v>640</v>
      </c>
    </row>
    <row r="10" spans="1:4" x14ac:dyDescent="0.25">
      <c r="A10" t="s">
        <v>355</v>
      </c>
      <c r="B10">
        <v>640</v>
      </c>
    </row>
    <row r="11" spans="1:4" x14ac:dyDescent="0.25">
      <c r="A11" t="s">
        <v>355</v>
      </c>
      <c r="B11">
        <v>640</v>
      </c>
    </row>
    <row r="12" spans="1:4" x14ac:dyDescent="0.25">
      <c r="A12" t="s">
        <v>355</v>
      </c>
      <c r="B12">
        <v>640</v>
      </c>
    </row>
    <row r="13" spans="1:4" x14ac:dyDescent="0.25">
      <c r="A13" t="s">
        <v>355</v>
      </c>
      <c r="B13">
        <v>640</v>
      </c>
    </row>
    <row r="14" spans="1:4" x14ac:dyDescent="0.25">
      <c r="A14" t="s">
        <v>355</v>
      </c>
      <c r="B14">
        <v>640</v>
      </c>
    </row>
    <row r="15" spans="1:4" x14ac:dyDescent="0.25">
      <c r="A15" t="s">
        <v>355</v>
      </c>
      <c r="B15">
        <v>640</v>
      </c>
    </row>
    <row r="16" spans="1:4" x14ac:dyDescent="0.25">
      <c r="A16" t="s">
        <v>355</v>
      </c>
      <c r="B16">
        <v>640</v>
      </c>
    </row>
    <row r="17" spans="1:2" x14ac:dyDescent="0.25">
      <c r="A17" t="s">
        <v>355</v>
      </c>
      <c r="B17">
        <v>640</v>
      </c>
    </row>
    <row r="18" spans="1:2" x14ac:dyDescent="0.25">
      <c r="A18" t="s">
        <v>355</v>
      </c>
      <c r="B18">
        <v>640</v>
      </c>
    </row>
    <row r="19" spans="1:2" x14ac:dyDescent="0.25">
      <c r="A19" t="s">
        <v>85</v>
      </c>
      <c r="B19">
        <v>660</v>
      </c>
    </row>
    <row r="20" spans="1:2" x14ac:dyDescent="0.25">
      <c r="A20" t="s">
        <v>85</v>
      </c>
      <c r="B20">
        <v>660</v>
      </c>
    </row>
    <row r="21" spans="1:2" x14ac:dyDescent="0.25">
      <c r="A21" t="s">
        <v>85</v>
      </c>
      <c r="B21">
        <v>660</v>
      </c>
    </row>
    <row r="22" spans="1:2" x14ac:dyDescent="0.25">
      <c r="A22" t="s">
        <v>85</v>
      </c>
      <c r="B22">
        <v>660</v>
      </c>
    </row>
    <row r="23" spans="1:2" x14ac:dyDescent="0.25">
      <c r="A23" t="s">
        <v>85</v>
      </c>
      <c r="B23">
        <v>660</v>
      </c>
    </row>
    <row r="24" spans="1:2" x14ac:dyDescent="0.25">
      <c r="A24" t="s">
        <v>85</v>
      </c>
      <c r="B24">
        <v>660</v>
      </c>
    </row>
    <row r="25" spans="1:2" x14ac:dyDescent="0.25">
      <c r="A25" t="s">
        <v>85</v>
      </c>
      <c r="B25">
        <v>660</v>
      </c>
    </row>
    <row r="26" spans="1:2" x14ac:dyDescent="0.25">
      <c r="A26" t="s">
        <v>85</v>
      </c>
      <c r="B26">
        <v>660</v>
      </c>
    </row>
    <row r="27" spans="1:2" x14ac:dyDescent="0.25">
      <c r="A27" t="s">
        <v>85</v>
      </c>
      <c r="B27">
        <v>660</v>
      </c>
    </row>
    <row r="28" spans="1:2" x14ac:dyDescent="0.25">
      <c r="A28" t="s">
        <v>85</v>
      </c>
      <c r="B28">
        <v>660</v>
      </c>
    </row>
    <row r="29" spans="1:2" x14ac:dyDescent="0.25">
      <c r="A29" t="s">
        <v>85</v>
      </c>
      <c r="B29">
        <v>660</v>
      </c>
    </row>
    <row r="30" spans="1:2" x14ac:dyDescent="0.25">
      <c r="A30" t="s">
        <v>85</v>
      </c>
      <c r="B30">
        <v>660</v>
      </c>
    </row>
    <row r="31" spans="1:2" x14ac:dyDescent="0.25">
      <c r="A31" t="s">
        <v>85</v>
      </c>
      <c r="B31">
        <v>660</v>
      </c>
    </row>
    <row r="32" spans="1:2" x14ac:dyDescent="0.25">
      <c r="A32" t="s">
        <v>85</v>
      </c>
      <c r="B32">
        <v>660</v>
      </c>
    </row>
    <row r="33" spans="1:2" x14ac:dyDescent="0.25">
      <c r="A33" t="s">
        <v>85</v>
      </c>
      <c r="B33">
        <v>660</v>
      </c>
    </row>
    <row r="34" spans="1:2" x14ac:dyDescent="0.25">
      <c r="A34" t="s">
        <v>85</v>
      </c>
      <c r="B34">
        <v>660</v>
      </c>
    </row>
    <row r="35" spans="1:2" x14ac:dyDescent="0.25">
      <c r="A35" t="s">
        <v>85</v>
      </c>
      <c r="B35">
        <v>660</v>
      </c>
    </row>
    <row r="36" spans="1:2" x14ac:dyDescent="0.25">
      <c r="A36" t="s">
        <v>85</v>
      </c>
      <c r="B36">
        <v>660</v>
      </c>
    </row>
    <row r="37" spans="1:2" x14ac:dyDescent="0.25">
      <c r="A37" t="s">
        <v>85</v>
      </c>
      <c r="B37">
        <v>660</v>
      </c>
    </row>
    <row r="38" spans="1:2" x14ac:dyDescent="0.25">
      <c r="A38" t="s">
        <v>85</v>
      </c>
      <c r="B38">
        <v>660</v>
      </c>
    </row>
    <row r="39" spans="1:2" x14ac:dyDescent="0.25">
      <c r="A39" t="s">
        <v>85</v>
      </c>
      <c r="B39">
        <v>660</v>
      </c>
    </row>
    <row r="40" spans="1:2" x14ac:dyDescent="0.25">
      <c r="A40" t="s">
        <v>85</v>
      </c>
      <c r="B40">
        <v>660</v>
      </c>
    </row>
    <row r="41" spans="1:2" x14ac:dyDescent="0.25">
      <c r="A41" t="s">
        <v>85</v>
      </c>
      <c r="B41">
        <v>660</v>
      </c>
    </row>
    <row r="42" spans="1:2" x14ac:dyDescent="0.25">
      <c r="A42" t="s">
        <v>85</v>
      </c>
      <c r="B42">
        <v>660</v>
      </c>
    </row>
    <row r="43" spans="1:2" x14ac:dyDescent="0.25">
      <c r="A43" t="s">
        <v>85</v>
      </c>
      <c r="B43">
        <v>660</v>
      </c>
    </row>
    <row r="44" spans="1:2" x14ac:dyDescent="0.25">
      <c r="A44" t="s">
        <v>85</v>
      </c>
      <c r="B44">
        <v>660</v>
      </c>
    </row>
    <row r="45" spans="1:2" x14ac:dyDescent="0.25">
      <c r="A45" t="s">
        <v>85</v>
      </c>
      <c r="B45">
        <v>660</v>
      </c>
    </row>
    <row r="46" spans="1:2" x14ac:dyDescent="0.25">
      <c r="A46" t="s">
        <v>85</v>
      </c>
      <c r="B46">
        <v>660</v>
      </c>
    </row>
    <row r="47" spans="1:2" x14ac:dyDescent="0.25">
      <c r="A47" t="s">
        <v>85</v>
      </c>
      <c r="B47">
        <v>660</v>
      </c>
    </row>
    <row r="48" spans="1:2" x14ac:dyDescent="0.25">
      <c r="A48" t="s">
        <v>85</v>
      </c>
      <c r="B48">
        <v>660</v>
      </c>
    </row>
    <row r="49" spans="1:2" x14ac:dyDescent="0.25">
      <c r="A49" t="s">
        <v>85</v>
      </c>
      <c r="B49">
        <v>660</v>
      </c>
    </row>
    <row r="50" spans="1:2" x14ac:dyDescent="0.25">
      <c r="A50" t="s">
        <v>85</v>
      </c>
      <c r="B50">
        <v>660</v>
      </c>
    </row>
    <row r="51" spans="1:2" x14ac:dyDescent="0.25">
      <c r="A51" t="s">
        <v>85</v>
      </c>
      <c r="B51">
        <v>660</v>
      </c>
    </row>
    <row r="52" spans="1:2" x14ac:dyDescent="0.25">
      <c r="A52" t="s">
        <v>85</v>
      </c>
      <c r="B52">
        <v>660</v>
      </c>
    </row>
    <row r="53" spans="1:2" x14ac:dyDescent="0.25">
      <c r="A53" t="s">
        <v>85</v>
      </c>
      <c r="B53">
        <v>660</v>
      </c>
    </row>
    <row r="54" spans="1:2" x14ac:dyDescent="0.25">
      <c r="A54" t="s">
        <v>85</v>
      </c>
      <c r="B54">
        <v>660</v>
      </c>
    </row>
    <row r="55" spans="1:2" x14ac:dyDescent="0.25">
      <c r="A55" t="s">
        <v>85</v>
      </c>
      <c r="B55">
        <v>660</v>
      </c>
    </row>
    <row r="56" spans="1:2" x14ac:dyDescent="0.25">
      <c r="A56" t="s">
        <v>85</v>
      </c>
      <c r="B56">
        <v>660</v>
      </c>
    </row>
    <row r="57" spans="1:2" x14ac:dyDescent="0.25">
      <c r="A57" t="s">
        <v>85</v>
      </c>
      <c r="B57">
        <v>660</v>
      </c>
    </row>
    <row r="58" spans="1:2" x14ac:dyDescent="0.25">
      <c r="A58" t="s">
        <v>85</v>
      </c>
      <c r="B58">
        <v>660</v>
      </c>
    </row>
    <row r="59" spans="1:2" x14ac:dyDescent="0.25">
      <c r="A59" t="s">
        <v>85</v>
      </c>
      <c r="B59">
        <v>660</v>
      </c>
    </row>
    <row r="60" spans="1:2" x14ac:dyDescent="0.25">
      <c r="A60" t="s">
        <v>85</v>
      </c>
      <c r="B60">
        <v>660</v>
      </c>
    </row>
    <row r="61" spans="1:2" x14ac:dyDescent="0.25">
      <c r="A61" t="s">
        <v>85</v>
      </c>
      <c r="B61">
        <v>660</v>
      </c>
    </row>
    <row r="62" spans="1:2" x14ac:dyDescent="0.25">
      <c r="A62" t="s">
        <v>85</v>
      </c>
      <c r="B62">
        <v>660</v>
      </c>
    </row>
    <row r="63" spans="1:2" x14ac:dyDescent="0.25">
      <c r="A63" t="s">
        <v>85</v>
      </c>
      <c r="B63">
        <v>660</v>
      </c>
    </row>
    <row r="64" spans="1:2" x14ac:dyDescent="0.25">
      <c r="A64" t="s">
        <v>85</v>
      </c>
      <c r="B64">
        <v>660</v>
      </c>
    </row>
    <row r="65" spans="1:2" x14ac:dyDescent="0.25">
      <c r="A65" t="s">
        <v>85</v>
      </c>
      <c r="B65">
        <v>660</v>
      </c>
    </row>
    <row r="66" spans="1:2" x14ac:dyDescent="0.25">
      <c r="A66" t="s">
        <v>85</v>
      </c>
      <c r="B66">
        <v>660</v>
      </c>
    </row>
    <row r="67" spans="1:2" x14ac:dyDescent="0.25">
      <c r="A67" t="s">
        <v>85</v>
      </c>
      <c r="B67">
        <v>660</v>
      </c>
    </row>
    <row r="68" spans="1:2" x14ac:dyDescent="0.25">
      <c r="A68" t="s">
        <v>85</v>
      </c>
      <c r="B68">
        <v>660</v>
      </c>
    </row>
    <row r="69" spans="1:2" x14ac:dyDescent="0.25">
      <c r="A69" t="s">
        <v>85</v>
      </c>
      <c r="B69">
        <v>660</v>
      </c>
    </row>
    <row r="70" spans="1:2" x14ac:dyDescent="0.25">
      <c r="A70" t="s">
        <v>85</v>
      </c>
      <c r="B70">
        <v>660</v>
      </c>
    </row>
    <row r="71" spans="1:2" x14ac:dyDescent="0.25">
      <c r="A71" t="s">
        <v>85</v>
      </c>
      <c r="B71">
        <v>660</v>
      </c>
    </row>
    <row r="72" spans="1:2" x14ac:dyDescent="0.25">
      <c r="A72" t="s">
        <v>85</v>
      </c>
      <c r="B72">
        <v>660</v>
      </c>
    </row>
    <row r="73" spans="1:2" x14ac:dyDescent="0.25">
      <c r="A73" t="s">
        <v>85</v>
      </c>
      <c r="B73">
        <v>660</v>
      </c>
    </row>
    <row r="74" spans="1:2" x14ac:dyDescent="0.25">
      <c r="A74" t="s">
        <v>85</v>
      </c>
      <c r="B74">
        <v>660</v>
      </c>
    </row>
    <row r="75" spans="1:2" x14ac:dyDescent="0.25">
      <c r="A75" t="s">
        <v>85</v>
      </c>
      <c r="B75">
        <v>660</v>
      </c>
    </row>
    <row r="76" spans="1:2" x14ac:dyDescent="0.25">
      <c r="A76" t="s">
        <v>85</v>
      </c>
      <c r="B76">
        <v>660</v>
      </c>
    </row>
    <row r="77" spans="1:2" x14ac:dyDescent="0.25">
      <c r="A77" t="s">
        <v>85</v>
      </c>
      <c r="B77">
        <v>660</v>
      </c>
    </row>
    <row r="78" spans="1:2" x14ac:dyDescent="0.25">
      <c r="A78" t="s">
        <v>85</v>
      </c>
      <c r="B78">
        <v>660</v>
      </c>
    </row>
    <row r="79" spans="1:2" x14ac:dyDescent="0.25">
      <c r="A79" t="s">
        <v>85</v>
      </c>
      <c r="B79">
        <v>660</v>
      </c>
    </row>
    <row r="80" spans="1:2" x14ac:dyDescent="0.25">
      <c r="A80" t="s">
        <v>85</v>
      </c>
      <c r="B80">
        <v>660</v>
      </c>
    </row>
    <row r="81" spans="1:2" x14ac:dyDescent="0.25">
      <c r="A81" t="s">
        <v>85</v>
      </c>
      <c r="B81">
        <v>660</v>
      </c>
    </row>
    <row r="82" spans="1:2" x14ac:dyDescent="0.25">
      <c r="A82" t="s">
        <v>85</v>
      </c>
      <c r="B82">
        <v>660</v>
      </c>
    </row>
    <row r="83" spans="1:2" x14ac:dyDescent="0.25">
      <c r="A83" t="s">
        <v>85</v>
      </c>
      <c r="B83">
        <v>660</v>
      </c>
    </row>
    <row r="84" spans="1:2" x14ac:dyDescent="0.25">
      <c r="A84" t="s">
        <v>85</v>
      </c>
      <c r="B84">
        <v>660</v>
      </c>
    </row>
    <row r="85" spans="1:2" x14ac:dyDescent="0.25">
      <c r="A85" t="s">
        <v>85</v>
      </c>
      <c r="B85">
        <v>660</v>
      </c>
    </row>
    <row r="86" spans="1:2" x14ac:dyDescent="0.25">
      <c r="A86" t="s">
        <v>85</v>
      </c>
      <c r="B86">
        <v>660</v>
      </c>
    </row>
    <row r="87" spans="1:2" x14ac:dyDescent="0.25">
      <c r="A87" t="s">
        <v>85</v>
      </c>
      <c r="B87">
        <v>660</v>
      </c>
    </row>
    <row r="88" spans="1:2" x14ac:dyDescent="0.25">
      <c r="A88" t="s">
        <v>85</v>
      </c>
      <c r="B88">
        <v>660</v>
      </c>
    </row>
    <row r="89" spans="1:2" x14ac:dyDescent="0.25">
      <c r="A89" t="s">
        <v>85</v>
      </c>
      <c r="B89">
        <v>660</v>
      </c>
    </row>
    <row r="90" spans="1:2" x14ac:dyDescent="0.25">
      <c r="A90" t="s">
        <v>85</v>
      </c>
      <c r="B90">
        <v>660</v>
      </c>
    </row>
    <row r="91" spans="1:2" x14ac:dyDescent="0.25">
      <c r="A91" t="s">
        <v>85</v>
      </c>
      <c r="B91">
        <v>660</v>
      </c>
    </row>
    <row r="92" spans="1:2" x14ac:dyDescent="0.25">
      <c r="A92" t="s">
        <v>85</v>
      </c>
      <c r="B92">
        <v>660</v>
      </c>
    </row>
    <row r="93" spans="1:2" x14ac:dyDescent="0.25">
      <c r="A93" t="s">
        <v>85</v>
      </c>
      <c r="B93">
        <v>660</v>
      </c>
    </row>
    <row r="94" spans="1:2" x14ac:dyDescent="0.25">
      <c r="A94" t="s">
        <v>137</v>
      </c>
      <c r="B94">
        <v>1900</v>
      </c>
    </row>
    <row r="95" spans="1:2" x14ac:dyDescent="0.25">
      <c r="A95" t="s">
        <v>137</v>
      </c>
      <c r="B95">
        <v>1900</v>
      </c>
    </row>
    <row r="96" spans="1:2" x14ac:dyDescent="0.25">
      <c r="A96" t="s">
        <v>137</v>
      </c>
      <c r="B96">
        <v>1900</v>
      </c>
    </row>
    <row r="97" spans="1:2" x14ac:dyDescent="0.25">
      <c r="A97" t="s">
        <v>137</v>
      </c>
      <c r="B97">
        <v>1900</v>
      </c>
    </row>
    <row r="98" spans="1:2" x14ac:dyDescent="0.25">
      <c r="A98" t="s">
        <v>137</v>
      </c>
      <c r="B98">
        <v>1900</v>
      </c>
    </row>
    <row r="99" spans="1:2" x14ac:dyDescent="0.25">
      <c r="A99" t="s">
        <v>137</v>
      </c>
      <c r="B99">
        <v>1900</v>
      </c>
    </row>
    <row r="100" spans="1:2" x14ac:dyDescent="0.25">
      <c r="A100" t="s">
        <v>229</v>
      </c>
      <c r="B100">
        <v>3860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showZeros="0" zoomScale="85" zoomScaleNormal="85" workbookViewId="0">
      <pane xSplit="4" ySplit="8" topLeftCell="E15"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7.7109375" customWidth="1"/>
    <col min="2" max="2" width="12.140625" customWidth="1"/>
    <col min="3" max="3" width="12.7109375" customWidth="1"/>
    <col min="4" max="4" width="13.5703125" customWidth="1"/>
  </cols>
  <sheetData>
    <row r="1" spans="1:4" ht="15" customHeight="1" x14ac:dyDescent="0.25">
      <c r="A1" s="41" t="s">
        <v>34</v>
      </c>
      <c r="B1" s="48" t="e">
        <f ca="1">SUMPRODUCT(OFFSET(#REF!,,,1,4),OFFSET(#REF!,,,1,4))</f>
        <v>#REF!</v>
      </c>
      <c r="C1" s="27"/>
      <c r="D1" s="28" t="s">
        <v>19</v>
      </c>
    </row>
    <row r="2" spans="1:4" ht="15" customHeight="1" x14ac:dyDescent="0.25">
      <c r="A2" s="42" t="s">
        <v>30</v>
      </c>
      <c r="B2" s="49" t="e">
        <f ca="1">SUM(OFFSET(#REF!,,,8,1))</f>
        <v>#REF!</v>
      </c>
      <c r="C2" s="25"/>
      <c r="D2" s="29" t="s">
        <v>49</v>
      </c>
    </row>
    <row r="3" spans="1:4" ht="15" customHeight="1" x14ac:dyDescent="0.25">
      <c r="A3" s="42" t="s">
        <v>33</v>
      </c>
      <c r="B3" s="49" t="e">
        <f ca="1">SUMIF(OFFSET(#REF!,,,8,1),"&lt;"&amp;B6)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600</v>
      </c>
      <c r="C6" s="36"/>
      <c r="D6" s="37" t="s">
        <v>28</v>
      </c>
    </row>
    <row r="7" spans="1:4" x14ac:dyDescent="0.25">
      <c r="A7" s="38" t="s">
        <v>2</v>
      </c>
      <c r="B7" s="34">
        <f ca="1">VALUE(MID(CELL("filename",$A$1),FIND("]",CELL("filename",$A$1),1)+1,200))</f>
        <v>12</v>
      </c>
      <c r="C7" s="39"/>
      <c r="D7" s="40" t="s">
        <v>29</v>
      </c>
    </row>
    <row r="8" spans="1:4" ht="30" x14ac:dyDescent="0.25">
      <c r="A8" s="32" t="s">
        <v>0</v>
      </c>
      <c r="B8" s="32" t="s">
        <v>31</v>
      </c>
      <c r="C8" s="32" t="s">
        <v>48</v>
      </c>
      <c r="D8" s="32" t="s">
        <v>30</v>
      </c>
    </row>
    <row r="9" spans="1:4" x14ac:dyDescent="0.25">
      <c r="A9" t="s">
        <v>190</v>
      </c>
      <c r="B9">
        <v>2110</v>
      </c>
    </row>
    <row r="10" spans="1:4" x14ac:dyDescent="0.25">
      <c r="A10" t="s">
        <v>190</v>
      </c>
      <c r="B10">
        <v>2110</v>
      </c>
    </row>
    <row r="11" spans="1:4" x14ac:dyDescent="0.25">
      <c r="A11" t="s">
        <v>122</v>
      </c>
      <c r="B11">
        <v>2420</v>
      </c>
    </row>
    <row r="12" spans="1:4" x14ac:dyDescent="0.25">
      <c r="A12" t="s">
        <v>122</v>
      </c>
      <c r="B12">
        <v>2420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D2561"/>
  <sheetViews>
    <sheetView showZeros="0" zoomScale="85" zoomScaleNormal="85" workbookViewId="0">
      <pane xSplit="4" ySplit="8" topLeftCell="E102"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6.7109375" bestFit="1" customWidth="1"/>
    <col min="2" max="2" width="12.140625" customWidth="1"/>
    <col min="3" max="3" width="12.7109375" customWidth="1"/>
    <col min="4" max="4" width="13.5703125" customWidth="1"/>
  </cols>
  <sheetData>
    <row r="1" spans="1:4" ht="15" customHeight="1" x14ac:dyDescent="0.25">
      <c r="A1" s="41" t="s">
        <v>34</v>
      </c>
      <c r="B1" s="48" t="e">
        <f ca="1">SUMPRODUCT(OFFSET(#REF!,,,1,11),OFFSET(#REF!,,,1,11))</f>
        <v>#REF!</v>
      </c>
      <c r="C1" s="27"/>
      <c r="D1" s="28" t="s">
        <v>19</v>
      </c>
    </row>
    <row r="2" spans="1:4" ht="15" customHeight="1" x14ac:dyDescent="0.25">
      <c r="A2" s="42" t="s">
        <v>30</v>
      </c>
      <c r="B2" s="49" t="e">
        <f ca="1">SUM(OFFSET(#REF!,,,238,1))</f>
        <v>#REF!</v>
      </c>
      <c r="C2" s="25"/>
      <c r="D2" s="29" t="s">
        <v>49</v>
      </c>
    </row>
    <row r="3" spans="1:4" ht="15" customHeight="1" x14ac:dyDescent="0.25">
      <c r="A3" s="42" t="s">
        <v>33</v>
      </c>
      <c r="B3" s="49" t="e">
        <f ca="1">SUMIF(OFFSET(#REF!,,,238,1),"&lt;"&amp;B6)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700</v>
      </c>
      <c r="C6" s="36"/>
      <c r="D6" s="37" t="s">
        <v>28</v>
      </c>
    </row>
    <row r="7" spans="1:4" x14ac:dyDescent="0.25">
      <c r="A7" s="38" t="s">
        <v>2</v>
      </c>
      <c r="B7" s="34">
        <f ca="1">VALUE(MID(CELL("filename",$A$1),FIND("]",CELL("filename",$A$1),1)+1,200))</f>
        <v>14</v>
      </c>
      <c r="C7" s="39"/>
      <c r="D7" s="40" t="s">
        <v>29</v>
      </c>
    </row>
    <row r="8" spans="1:4" ht="30" x14ac:dyDescent="0.25">
      <c r="A8" s="32" t="s">
        <v>0</v>
      </c>
      <c r="B8" s="32" t="s">
        <v>31</v>
      </c>
      <c r="C8" s="32" t="s">
        <v>48</v>
      </c>
      <c r="D8" s="32" t="s">
        <v>30</v>
      </c>
    </row>
    <row r="9" spans="1:4" x14ac:dyDescent="0.25">
      <c r="A9" t="s">
        <v>86</v>
      </c>
      <c r="B9">
        <v>740</v>
      </c>
    </row>
    <row r="10" spans="1:4" x14ac:dyDescent="0.25">
      <c r="A10" t="s">
        <v>86</v>
      </c>
      <c r="B10">
        <v>740</v>
      </c>
    </row>
    <row r="11" spans="1:4" x14ac:dyDescent="0.25">
      <c r="A11" t="s">
        <v>86</v>
      </c>
      <c r="B11">
        <v>740</v>
      </c>
    </row>
    <row r="12" spans="1:4" x14ac:dyDescent="0.25">
      <c r="A12" t="s">
        <v>86</v>
      </c>
      <c r="B12">
        <v>740</v>
      </c>
    </row>
    <row r="13" spans="1:4" x14ac:dyDescent="0.25">
      <c r="A13" t="s">
        <v>86</v>
      </c>
      <c r="B13">
        <v>740</v>
      </c>
    </row>
    <row r="14" spans="1:4" x14ac:dyDescent="0.25">
      <c r="A14" t="s">
        <v>86</v>
      </c>
      <c r="B14">
        <v>740</v>
      </c>
    </row>
    <row r="15" spans="1:4" x14ac:dyDescent="0.25">
      <c r="A15" t="s">
        <v>86</v>
      </c>
      <c r="B15">
        <v>740</v>
      </c>
    </row>
    <row r="16" spans="1:4" x14ac:dyDescent="0.25">
      <c r="A16" t="s">
        <v>86</v>
      </c>
      <c r="B16">
        <v>740</v>
      </c>
    </row>
    <row r="17" spans="1:2" x14ac:dyDescent="0.25">
      <c r="A17" t="s">
        <v>86</v>
      </c>
      <c r="B17">
        <v>740</v>
      </c>
    </row>
    <row r="18" spans="1:2" x14ac:dyDescent="0.25">
      <c r="A18" t="s">
        <v>86</v>
      </c>
      <c r="B18">
        <v>740</v>
      </c>
    </row>
    <row r="19" spans="1:2" x14ac:dyDescent="0.25">
      <c r="A19" t="s">
        <v>86</v>
      </c>
      <c r="B19">
        <v>740</v>
      </c>
    </row>
    <row r="20" spans="1:2" x14ac:dyDescent="0.25">
      <c r="A20" t="s">
        <v>86</v>
      </c>
      <c r="B20">
        <v>740</v>
      </c>
    </row>
    <row r="21" spans="1:2" x14ac:dyDescent="0.25">
      <c r="A21" t="s">
        <v>86</v>
      </c>
      <c r="B21">
        <v>740</v>
      </c>
    </row>
    <row r="22" spans="1:2" x14ac:dyDescent="0.25">
      <c r="A22" t="s">
        <v>86</v>
      </c>
      <c r="B22">
        <v>740</v>
      </c>
    </row>
    <row r="23" spans="1:2" x14ac:dyDescent="0.25">
      <c r="A23" t="s">
        <v>86</v>
      </c>
      <c r="B23">
        <v>740</v>
      </c>
    </row>
    <row r="24" spans="1:2" x14ac:dyDescent="0.25">
      <c r="A24" t="s">
        <v>86</v>
      </c>
      <c r="B24">
        <v>740</v>
      </c>
    </row>
    <row r="25" spans="1:2" x14ac:dyDescent="0.25">
      <c r="A25" t="s">
        <v>86</v>
      </c>
      <c r="B25">
        <v>740</v>
      </c>
    </row>
    <row r="26" spans="1:2" x14ac:dyDescent="0.25">
      <c r="A26" t="s">
        <v>86</v>
      </c>
      <c r="B26">
        <v>740</v>
      </c>
    </row>
    <row r="27" spans="1:2" x14ac:dyDescent="0.25">
      <c r="A27" t="s">
        <v>86</v>
      </c>
      <c r="B27">
        <v>740</v>
      </c>
    </row>
    <row r="28" spans="1:2" x14ac:dyDescent="0.25">
      <c r="A28" t="s">
        <v>86</v>
      </c>
      <c r="B28">
        <v>740</v>
      </c>
    </row>
    <row r="29" spans="1:2" x14ac:dyDescent="0.25">
      <c r="A29" t="s">
        <v>86</v>
      </c>
      <c r="B29">
        <v>740</v>
      </c>
    </row>
    <row r="30" spans="1:2" x14ac:dyDescent="0.25">
      <c r="A30" t="s">
        <v>87</v>
      </c>
      <c r="B30">
        <v>780</v>
      </c>
    </row>
    <row r="31" spans="1:2" x14ac:dyDescent="0.25">
      <c r="A31" t="s">
        <v>87</v>
      </c>
      <c r="B31">
        <v>780</v>
      </c>
    </row>
    <row r="32" spans="1:2" x14ac:dyDescent="0.25">
      <c r="A32" t="s">
        <v>87</v>
      </c>
      <c r="B32">
        <v>780</v>
      </c>
    </row>
    <row r="33" spans="1:2" x14ac:dyDescent="0.25">
      <c r="A33" t="s">
        <v>87</v>
      </c>
      <c r="B33">
        <v>780</v>
      </c>
    </row>
    <row r="34" spans="1:2" x14ac:dyDescent="0.25">
      <c r="A34" t="s">
        <v>87</v>
      </c>
      <c r="B34">
        <v>780</v>
      </c>
    </row>
    <row r="35" spans="1:2" x14ac:dyDescent="0.25">
      <c r="A35" t="s">
        <v>87</v>
      </c>
      <c r="B35">
        <v>780</v>
      </c>
    </row>
    <row r="36" spans="1:2" x14ac:dyDescent="0.25">
      <c r="A36" t="s">
        <v>87</v>
      </c>
      <c r="B36">
        <v>780</v>
      </c>
    </row>
    <row r="37" spans="1:2" x14ac:dyDescent="0.25">
      <c r="A37" t="s">
        <v>87</v>
      </c>
      <c r="B37">
        <v>780</v>
      </c>
    </row>
    <row r="38" spans="1:2" x14ac:dyDescent="0.25">
      <c r="A38" t="s">
        <v>87</v>
      </c>
      <c r="B38">
        <v>780</v>
      </c>
    </row>
    <row r="39" spans="1:2" x14ac:dyDescent="0.25">
      <c r="A39" t="s">
        <v>87</v>
      </c>
      <c r="B39">
        <v>780</v>
      </c>
    </row>
    <row r="40" spans="1:2" x14ac:dyDescent="0.25">
      <c r="A40" t="s">
        <v>87</v>
      </c>
      <c r="B40">
        <v>780</v>
      </c>
    </row>
    <row r="41" spans="1:2" x14ac:dyDescent="0.25">
      <c r="A41" t="s">
        <v>87</v>
      </c>
      <c r="B41">
        <v>780</v>
      </c>
    </row>
    <row r="42" spans="1:2" x14ac:dyDescent="0.25">
      <c r="A42" t="s">
        <v>87</v>
      </c>
      <c r="B42">
        <v>780</v>
      </c>
    </row>
    <row r="43" spans="1:2" x14ac:dyDescent="0.25">
      <c r="A43" t="s">
        <v>87</v>
      </c>
      <c r="B43">
        <v>780</v>
      </c>
    </row>
    <row r="44" spans="1:2" x14ac:dyDescent="0.25">
      <c r="A44" t="s">
        <v>87</v>
      </c>
      <c r="B44">
        <v>780</v>
      </c>
    </row>
    <row r="45" spans="1:2" x14ac:dyDescent="0.25">
      <c r="A45" t="s">
        <v>87</v>
      </c>
      <c r="B45">
        <v>780</v>
      </c>
    </row>
    <row r="46" spans="1:2" x14ac:dyDescent="0.25">
      <c r="A46" t="s">
        <v>87</v>
      </c>
      <c r="B46">
        <v>780</v>
      </c>
    </row>
    <row r="47" spans="1:2" x14ac:dyDescent="0.25">
      <c r="A47" t="s">
        <v>87</v>
      </c>
      <c r="B47">
        <v>780</v>
      </c>
    </row>
    <row r="48" spans="1:2" x14ac:dyDescent="0.25">
      <c r="A48" t="s">
        <v>87</v>
      </c>
      <c r="B48">
        <v>780</v>
      </c>
    </row>
    <row r="49" spans="1:2" x14ac:dyDescent="0.25">
      <c r="A49" t="s">
        <v>87</v>
      </c>
      <c r="B49">
        <v>780</v>
      </c>
    </row>
    <row r="50" spans="1:2" x14ac:dyDescent="0.25">
      <c r="A50" t="s">
        <v>89</v>
      </c>
      <c r="B50">
        <v>850</v>
      </c>
    </row>
    <row r="51" spans="1:2" x14ac:dyDescent="0.25">
      <c r="A51" t="s">
        <v>89</v>
      </c>
      <c r="B51">
        <v>850</v>
      </c>
    </row>
    <row r="52" spans="1:2" x14ac:dyDescent="0.25">
      <c r="A52" t="s">
        <v>89</v>
      </c>
      <c r="B52">
        <v>850</v>
      </c>
    </row>
    <row r="53" spans="1:2" x14ac:dyDescent="0.25">
      <c r="A53" t="s">
        <v>89</v>
      </c>
      <c r="B53">
        <v>850</v>
      </c>
    </row>
    <row r="54" spans="1:2" x14ac:dyDescent="0.25">
      <c r="A54" t="s">
        <v>89</v>
      </c>
      <c r="B54">
        <v>850</v>
      </c>
    </row>
    <row r="55" spans="1:2" x14ac:dyDescent="0.25">
      <c r="A55" t="s">
        <v>89</v>
      </c>
      <c r="B55">
        <v>850</v>
      </c>
    </row>
    <row r="56" spans="1:2" x14ac:dyDescent="0.25">
      <c r="A56" t="s">
        <v>89</v>
      </c>
      <c r="B56">
        <v>850</v>
      </c>
    </row>
    <row r="57" spans="1:2" x14ac:dyDescent="0.25">
      <c r="A57" t="s">
        <v>89</v>
      </c>
      <c r="B57">
        <v>850</v>
      </c>
    </row>
    <row r="58" spans="1:2" x14ac:dyDescent="0.25">
      <c r="A58" t="s">
        <v>89</v>
      </c>
      <c r="B58">
        <v>850</v>
      </c>
    </row>
    <row r="59" spans="1:2" x14ac:dyDescent="0.25">
      <c r="A59" t="s">
        <v>89</v>
      </c>
      <c r="B59">
        <v>850</v>
      </c>
    </row>
    <row r="60" spans="1:2" x14ac:dyDescent="0.25">
      <c r="A60" t="s">
        <v>89</v>
      </c>
      <c r="B60">
        <v>850</v>
      </c>
    </row>
    <row r="61" spans="1:2" x14ac:dyDescent="0.25">
      <c r="A61" t="s">
        <v>89</v>
      </c>
      <c r="B61">
        <v>850</v>
      </c>
    </row>
    <row r="62" spans="1:2" x14ac:dyDescent="0.25">
      <c r="A62" t="s">
        <v>89</v>
      </c>
      <c r="B62">
        <v>850</v>
      </c>
    </row>
    <row r="63" spans="1:2" x14ac:dyDescent="0.25">
      <c r="A63" t="s">
        <v>89</v>
      </c>
      <c r="B63">
        <v>850</v>
      </c>
    </row>
    <row r="64" spans="1:2" x14ac:dyDescent="0.25">
      <c r="A64" t="s">
        <v>89</v>
      </c>
      <c r="B64">
        <v>850</v>
      </c>
    </row>
    <row r="65" spans="1:2" x14ac:dyDescent="0.25">
      <c r="A65" t="s">
        <v>89</v>
      </c>
      <c r="B65">
        <v>850</v>
      </c>
    </row>
    <row r="66" spans="1:2" x14ac:dyDescent="0.25">
      <c r="A66" t="s">
        <v>89</v>
      </c>
      <c r="B66">
        <v>850</v>
      </c>
    </row>
    <row r="67" spans="1:2" x14ac:dyDescent="0.25">
      <c r="A67" t="s">
        <v>89</v>
      </c>
      <c r="B67">
        <v>850</v>
      </c>
    </row>
    <row r="68" spans="1:2" x14ac:dyDescent="0.25">
      <c r="A68" t="s">
        <v>89</v>
      </c>
      <c r="B68">
        <v>850</v>
      </c>
    </row>
    <row r="69" spans="1:2" x14ac:dyDescent="0.25">
      <c r="A69" t="s">
        <v>89</v>
      </c>
      <c r="B69">
        <v>850</v>
      </c>
    </row>
    <row r="70" spans="1:2" x14ac:dyDescent="0.25">
      <c r="A70" t="s">
        <v>89</v>
      </c>
      <c r="B70">
        <v>850</v>
      </c>
    </row>
    <row r="71" spans="1:2" x14ac:dyDescent="0.25">
      <c r="A71" t="s">
        <v>89</v>
      </c>
      <c r="B71">
        <v>850</v>
      </c>
    </row>
    <row r="72" spans="1:2" x14ac:dyDescent="0.25">
      <c r="A72" t="s">
        <v>89</v>
      </c>
      <c r="B72">
        <v>850</v>
      </c>
    </row>
    <row r="73" spans="1:2" x14ac:dyDescent="0.25">
      <c r="A73" t="s">
        <v>89</v>
      </c>
      <c r="B73">
        <v>850</v>
      </c>
    </row>
    <row r="74" spans="1:2" x14ac:dyDescent="0.25">
      <c r="A74" t="s">
        <v>89</v>
      </c>
      <c r="B74">
        <v>850</v>
      </c>
    </row>
    <row r="75" spans="1:2" x14ac:dyDescent="0.25">
      <c r="A75" t="s">
        <v>89</v>
      </c>
      <c r="B75">
        <v>850</v>
      </c>
    </row>
    <row r="76" spans="1:2" x14ac:dyDescent="0.25">
      <c r="A76" t="s">
        <v>89</v>
      </c>
      <c r="B76">
        <v>850</v>
      </c>
    </row>
    <row r="77" spans="1:2" x14ac:dyDescent="0.25">
      <c r="A77" t="s">
        <v>89</v>
      </c>
      <c r="B77">
        <v>850</v>
      </c>
    </row>
    <row r="78" spans="1:2" x14ac:dyDescent="0.25">
      <c r="A78" t="s">
        <v>89</v>
      </c>
      <c r="B78">
        <v>850</v>
      </c>
    </row>
    <row r="79" spans="1:2" x14ac:dyDescent="0.25">
      <c r="A79" t="s">
        <v>89</v>
      </c>
      <c r="B79">
        <v>850</v>
      </c>
    </row>
    <row r="80" spans="1:2" x14ac:dyDescent="0.25">
      <c r="A80" t="s">
        <v>89</v>
      </c>
      <c r="B80">
        <v>850</v>
      </c>
    </row>
    <row r="81" spans="1:2" x14ac:dyDescent="0.25">
      <c r="A81" t="s">
        <v>89</v>
      </c>
      <c r="B81">
        <v>850</v>
      </c>
    </row>
    <row r="82" spans="1:2" x14ac:dyDescent="0.25">
      <c r="A82" t="s">
        <v>89</v>
      </c>
      <c r="B82">
        <v>850</v>
      </c>
    </row>
    <row r="83" spans="1:2" x14ac:dyDescent="0.25">
      <c r="A83" t="s">
        <v>89</v>
      </c>
      <c r="B83">
        <v>850</v>
      </c>
    </row>
    <row r="84" spans="1:2" x14ac:dyDescent="0.25">
      <c r="A84" t="s">
        <v>89</v>
      </c>
      <c r="B84">
        <v>850</v>
      </c>
    </row>
    <row r="85" spans="1:2" x14ac:dyDescent="0.25">
      <c r="A85" t="s">
        <v>89</v>
      </c>
      <c r="B85">
        <v>850</v>
      </c>
    </row>
    <row r="86" spans="1:2" x14ac:dyDescent="0.25">
      <c r="A86" t="s">
        <v>95</v>
      </c>
      <c r="B86">
        <v>990</v>
      </c>
    </row>
    <row r="87" spans="1:2" x14ac:dyDescent="0.25">
      <c r="A87" t="s">
        <v>95</v>
      </c>
      <c r="B87">
        <v>990</v>
      </c>
    </row>
    <row r="88" spans="1:2" x14ac:dyDescent="0.25">
      <c r="A88" t="s">
        <v>95</v>
      </c>
      <c r="B88">
        <v>990</v>
      </c>
    </row>
    <row r="89" spans="1:2" x14ac:dyDescent="0.25">
      <c r="A89" t="s">
        <v>95</v>
      </c>
      <c r="B89">
        <v>990</v>
      </c>
    </row>
    <row r="90" spans="1:2" x14ac:dyDescent="0.25">
      <c r="A90" t="s">
        <v>95</v>
      </c>
      <c r="B90">
        <v>990</v>
      </c>
    </row>
    <row r="91" spans="1:2" x14ac:dyDescent="0.25">
      <c r="A91" t="s">
        <v>95</v>
      </c>
      <c r="B91">
        <v>990</v>
      </c>
    </row>
    <row r="92" spans="1:2" x14ac:dyDescent="0.25">
      <c r="A92" t="s">
        <v>95</v>
      </c>
      <c r="B92">
        <v>990</v>
      </c>
    </row>
    <row r="93" spans="1:2" x14ac:dyDescent="0.25">
      <c r="A93" t="s">
        <v>95</v>
      </c>
      <c r="B93">
        <v>990</v>
      </c>
    </row>
    <row r="94" spans="1:2" x14ac:dyDescent="0.25">
      <c r="A94" t="s">
        <v>95</v>
      </c>
      <c r="B94">
        <v>990</v>
      </c>
    </row>
    <row r="95" spans="1:2" x14ac:dyDescent="0.25">
      <c r="A95" t="s">
        <v>95</v>
      </c>
      <c r="B95">
        <v>990</v>
      </c>
    </row>
    <row r="96" spans="1:2" x14ac:dyDescent="0.25">
      <c r="A96" t="s">
        <v>95</v>
      </c>
      <c r="B96">
        <v>990</v>
      </c>
    </row>
    <row r="97" spans="1:2" x14ac:dyDescent="0.25">
      <c r="A97" t="s">
        <v>95</v>
      </c>
      <c r="B97">
        <v>990</v>
      </c>
    </row>
    <row r="98" spans="1:2" x14ac:dyDescent="0.25">
      <c r="A98" t="s">
        <v>95</v>
      </c>
      <c r="B98">
        <v>990</v>
      </c>
    </row>
    <row r="99" spans="1:2" x14ac:dyDescent="0.25">
      <c r="A99" t="s">
        <v>95</v>
      </c>
      <c r="B99">
        <v>990</v>
      </c>
    </row>
    <row r="100" spans="1:2" x14ac:dyDescent="0.25">
      <c r="A100" t="s">
        <v>95</v>
      </c>
      <c r="B100">
        <v>990</v>
      </c>
    </row>
    <row r="101" spans="1:2" x14ac:dyDescent="0.25">
      <c r="A101" t="s">
        <v>95</v>
      </c>
      <c r="B101">
        <v>990</v>
      </c>
    </row>
    <row r="102" spans="1:2" x14ac:dyDescent="0.25">
      <c r="A102" t="s">
        <v>95</v>
      </c>
      <c r="B102">
        <v>990</v>
      </c>
    </row>
    <row r="103" spans="1:2" x14ac:dyDescent="0.25">
      <c r="A103" t="s">
        <v>95</v>
      </c>
      <c r="B103">
        <v>990</v>
      </c>
    </row>
    <row r="104" spans="1:2" x14ac:dyDescent="0.25">
      <c r="A104" t="s">
        <v>95</v>
      </c>
      <c r="B104">
        <v>990</v>
      </c>
    </row>
    <row r="105" spans="1:2" x14ac:dyDescent="0.25">
      <c r="A105" t="s">
        <v>95</v>
      </c>
      <c r="B105">
        <v>990</v>
      </c>
    </row>
    <row r="106" spans="1:2" x14ac:dyDescent="0.25">
      <c r="A106" t="s">
        <v>95</v>
      </c>
      <c r="B106">
        <v>990</v>
      </c>
    </row>
    <row r="107" spans="1:2" x14ac:dyDescent="0.25">
      <c r="A107" t="s">
        <v>95</v>
      </c>
      <c r="B107">
        <v>990</v>
      </c>
    </row>
    <row r="108" spans="1:2" x14ac:dyDescent="0.25">
      <c r="A108" t="s">
        <v>95</v>
      </c>
      <c r="B108">
        <v>990</v>
      </c>
    </row>
    <row r="109" spans="1:2" x14ac:dyDescent="0.25">
      <c r="A109" t="s">
        <v>95</v>
      </c>
      <c r="B109">
        <v>990</v>
      </c>
    </row>
    <row r="110" spans="1:2" x14ac:dyDescent="0.25">
      <c r="A110" t="s">
        <v>95</v>
      </c>
      <c r="B110">
        <v>990</v>
      </c>
    </row>
    <row r="111" spans="1:2" x14ac:dyDescent="0.25">
      <c r="A111" t="s">
        <v>95</v>
      </c>
      <c r="B111">
        <v>990</v>
      </c>
    </row>
    <row r="112" spans="1:2" x14ac:dyDescent="0.25">
      <c r="A112" t="s">
        <v>95</v>
      </c>
      <c r="B112">
        <v>990</v>
      </c>
    </row>
    <row r="113" spans="1:2" x14ac:dyDescent="0.25">
      <c r="A113" t="s">
        <v>95</v>
      </c>
      <c r="B113">
        <v>990</v>
      </c>
    </row>
    <row r="114" spans="1:2" x14ac:dyDescent="0.25">
      <c r="A114" t="s">
        <v>95</v>
      </c>
      <c r="B114">
        <v>990</v>
      </c>
    </row>
    <row r="115" spans="1:2" x14ac:dyDescent="0.25">
      <c r="A115" t="s">
        <v>95</v>
      </c>
      <c r="B115">
        <v>990</v>
      </c>
    </row>
    <row r="116" spans="1:2" x14ac:dyDescent="0.25">
      <c r="A116" t="s">
        <v>95</v>
      </c>
      <c r="B116">
        <v>990</v>
      </c>
    </row>
    <row r="117" spans="1:2" x14ac:dyDescent="0.25">
      <c r="A117" t="s">
        <v>95</v>
      </c>
      <c r="B117">
        <v>990</v>
      </c>
    </row>
    <row r="118" spans="1:2" x14ac:dyDescent="0.25">
      <c r="A118" t="s">
        <v>95</v>
      </c>
      <c r="B118">
        <v>990</v>
      </c>
    </row>
    <row r="119" spans="1:2" x14ac:dyDescent="0.25">
      <c r="A119" t="s">
        <v>95</v>
      </c>
      <c r="B119">
        <v>990</v>
      </c>
    </row>
    <row r="120" spans="1:2" x14ac:dyDescent="0.25">
      <c r="A120" t="s">
        <v>95</v>
      </c>
      <c r="B120">
        <v>990</v>
      </c>
    </row>
    <row r="121" spans="1:2" x14ac:dyDescent="0.25">
      <c r="A121" t="s">
        <v>95</v>
      </c>
      <c r="B121">
        <v>990</v>
      </c>
    </row>
    <row r="122" spans="1:2" x14ac:dyDescent="0.25">
      <c r="A122" t="s">
        <v>95</v>
      </c>
      <c r="B122">
        <v>990</v>
      </c>
    </row>
    <row r="123" spans="1:2" x14ac:dyDescent="0.25">
      <c r="A123" t="s">
        <v>95</v>
      </c>
      <c r="B123">
        <v>990</v>
      </c>
    </row>
    <row r="124" spans="1:2" x14ac:dyDescent="0.25">
      <c r="A124" t="s">
        <v>95</v>
      </c>
      <c r="B124">
        <v>990</v>
      </c>
    </row>
    <row r="125" spans="1:2" x14ac:dyDescent="0.25">
      <c r="A125" t="s">
        <v>95</v>
      </c>
      <c r="B125">
        <v>990</v>
      </c>
    </row>
    <row r="126" spans="1:2" x14ac:dyDescent="0.25">
      <c r="A126" t="s">
        <v>95</v>
      </c>
      <c r="B126">
        <v>990</v>
      </c>
    </row>
    <row r="127" spans="1:2" x14ac:dyDescent="0.25">
      <c r="A127" t="s">
        <v>95</v>
      </c>
      <c r="B127">
        <v>990</v>
      </c>
    </row>
    <row r="128" spans="1:2" x14ac:dyDescent="0.25">
      <c r="A128" t="s">
        <v>95</v>
      </c>
      <c r="B128">
        <v>990</v>
      </c>
    </row>
    <row r="129" spans="1:2" x14ac:dyDescent="0.25">
      <c r="A129" t="s">
        <v>95</v>
      </c>
      <c r="B129">
        <v>990</v>
      </c>
    </row>
    <row r="130" spans="1:2" x14ac:dyDescent="0.25">
      <c r="A130" t="s">
        <v>95</v>
      </c>
      <c r="B130">
        <v>990</v>
      </c>
    </row>
    <row r="131" spans="1:2" x14ac:dyDescent="0.25">
      <c r="A131" t="s">
        <v>95</v>
      </c>
      <c r="B131">
        <v>990</v>
      </c>
    </row>
    <row r="132" spans="1:2" x14ac:dyDescent="0.25">
      <c r="A132" t="s">
        <v>95</v>
      </c>
      <c r="B132">
        <v>990</v>
      </c>
    </row>
    <row r="133" spans="1:2" x14ac:dyDescent="0.25">
      <c r="A133" t="s">
        <v>95</v>
      </c>
      <c r="B133">
        <v>990</v>
      </c>
    </row>
    <row r="134" spans="1:2" x14ac:dyDescent="0.25">
      <c r="A134" t="s">
        <v>95</v>
      </c>
      <c r="B134">
        <v>990</v>
      </c>
    </row>
    <row r="135" spans="1:2" x14ac:dyDescent="0.25">
      <c r="A135" t="s">
        <v>95</v>
      </c>
      <c r="B135">
        <v>990</v>
      </c>
    </row>
    <row r="136" spans="1:2" x14ac:dyDescent="0.25">
      <c r="A136" t="s">
        <v>95</v>
      </c>
      <c r="B136">
        <v>990</v>
      </c>
    </row>
    <row r="137" spans="1:2" x14ac:dyDescent="0.25">
      <c r="A137" t="s">
        <v>95</v>
      </c>
      <c r="B137">
        <v>990</v>
      </c>
    </row>
    <row r="138" spans="1:2" x14ac:dyDescent="0.25">
      <c r="A138" t="s">
        <v>95</v>
      </c>
      <c r="B138">
        <v>990</v>
      </c>
    </row>
    <row r="139" spans="1:2" x14ac:dyDescent="0.25">
      <c r="A139" t="s">
        <v>95</v>
      </c>
      <c r="B139">
        <v>990</v>
      </c>
    </row>
    <row r="140" spans="1:2" x14ac:dyDescent="0.25">
      <c r="A140" t="s">
        <v>95</v>
      </c>
      <c r="B140">
        <v>990</v>
      </c>
    </row>
    <row r="141" spans="1:2" x14ac:dyDescent="0.25">
      <c r="A141" t="s">
        <v>95</v>
      </c>
      <c r="B141">
        <v>990</v>
      </c>
    </row>
    <row r="142" spans="1:2" x14ac:dyDescent="0.25">
      <c r="A142" t="s">
        <v>95</v>
      </c>
      <c r="B142">
        <v>990</v>
      </c>
    </row>
    <row r="143" spans="1:2" x14ac:dyDescent="0.25">
      <c r="A143" t="s">
        <v>95</v>
      </c>
      <c r="B143">
        <v>990</v>
      </c>
    </row>
    <row r="144" spans="1:2" x14ac:dyDescent="0.25">
      <c r="A144" t="s">
        <v>95</v>
      </c>
      <c r="B144">
        <v>990</v>
      </c>
    </row>
    <row r="145" spans="1:2" x14ac:dyDescent="0.25">
      <c r="A145" t="s">
        <v>95</v>
      </c>
      <c r="B145">
        <v>990</v>
      </c>
    </row>
    <row r="146" spans="1:2" x14ac:dyDescent="0.25">
      <c r="A146" t="s">
        <v>95</v>
      </c>
      <c r="B146">
        <v>990</v>
      </c>
    </row>
    <row r="147" spans="1:2" x14ac:dyDescent="0.25">
      <c r="A147" t="s">
        <v>95</v>
      </c>
      <c r="B147">
        <v>990</v>
      </c>
    </row>
    <row r="148" spans="1:2" x14ac:dyDescent="0.25">
      <c r="A148" t="s">
        <v>95</v>
      </c>
      <c r="B148">
        <v>990</v>
      </c>
    </row>
    <row r="149" spans="1:2" x14ac:dyDescent="0.25">
      <c r="A149" t="s">
        <v>95</v>
      </c>
      <c r="B149">
        <v>990</v>
      </c>
    </row>
    <row r="150" spans="1:2" x14ac:dyDescent="0.25">
      <c r="A150" t="s">
        <v>95</v>
      </c>
      <c r="B150">
        <v>990</v>
      </c>
    </row>
    <row r="151" spans="1:2" x14ac:dyDescent="0.25">
      <c r="A151" t="s">
        <v>95</v>
      </c>
      <c r="B151">
        <v>990</v>
      </c>
    </row>
    <row r="152" spans="1:2" x14ac:dyDescent="0.25">
      <c r="A152" t="s">
        <v>95</v>
      </c>
      <c r="B152">
        <v>990</v>
      </c>
    </row>
    <row r="153" spans="1:2" x14ac:dyDescent="0.25">
      <c r="A153" t="s">
        <v>95</v>
      </c>
      <c r="B153">
        <v>990</v>
      </c>
    </row>
    <row r="154" spans="1:2" x14ac:dyDescent="0.25">
      <c r="A154" t="s">
        <v>95</v>
      </c>
      <c r="B154">
        <v>990</v>
      </c>
    </row>
    <row r="155" spans="1:2" x14ac:dyDescent="0.25">
      <c r="A155" t="s">
        <v>95</v>
      </c>
      <c r="B155">
        <v>990</v>
      </c>
    </row>
    <row r="156" spans="1:2" x14ac:dyDescent="0.25">
      <c r="A156" t="s">
        <v>95</v>
      </c>
      <c r="B156">
        <v>990</v>
      </c>
    </row>
    <row r="157" spans="1:2" x14ac:dyDescent="0.25">
      <c r="A157" t="s">
        <v>95</v>
      </c>
      <c r="B157">
        <v>990</v>
      </c>
    </row>
    <row r="158" spans="1:2" x14ac:dyDescent="0.25">
      <c r="A158" t="s">
        <v>95</v>
      </c>
      <c r="B158">
        <v>990</v>
      </c>
    </row>
    <row r="159" spans="1:2" x14ac:dyDescent="0.25">
      <c r="A159" t="s">
        <v>95</v>
      </c>
      <c r="B159">
        <v>990</v>
      </c>
    </row>
    <row r="160" spans="1:2" x14ac:dyDescent="0.25">
      <c r="A160" t="s">
        <v>95</v>
      </c>
      <c r="B160">
        <v>990</v>
      </c>
    </row>
    <row r="161" spans="1:2" x14ac:dyDescent="0.25">
      <c r="A161" t="s">
        <v>95</v>
      </c>
      <c r="B161">
        <v>990</v>
      </c>
    </row>
    <row r="162" spans="1:2" x14ac:dyDescent="0.25">
      <c r="A162" t="s">
        <v>95</v>
      </c>
      <c r="B162">
        <v>990</v>
      </c>
    </row>
    <row r="163" spans="1:2" x14ac:dyDescent="0.25">
      <c r="A163" t="s">
        <v>95</v>
      </c>
      <c r="B163">
        <v>990</v>
      </c>
    </row>
    <row r="164" spans="1:2" x14ac:dyDescent="0.25">
      <c r="A164" t="s">
        <v>95</v>
      </c>
      <c r="B164">
        <v>990</v>
      </c>
    </row>
    <row r="165" spans="1:2" x14ac:dyDescent="0.25">
      <c r="A165" t="s">
        <v>95</v>
      </c>
      <c r="B165">
        <v>990</v>
      </c>
    </row>
    <row r="166" spans="1:2" x14ac:dyDescent="0.25">
      <c r="A166" t="s">
        <v>95</v>
      </c>
      <c r="B166">
        <v>990</v>
      </c>
    </row>
    <row r="167" spans="1:2" x14ac:dyDescent="0.25">
      <c r="A167" t="s">
        <v>95</v>
      </c>
      <c r="B167">
        <v>990</v>
      </c>
    </row>
    <row r="168" spans="1:2" x14ac:dyDescent="0.25">
      <c r="A168" t="s">
        <v>95</v>
      </c>
      <c r="B168">
        <v>990</v>
      </c>
    </row>
    <row r="169" spans="1:2" x14ac:dyDescent="0.25">
      <c r="A169" t="s">
        <v>95</v>
      </c>
      <c r="B169">
        <v>990</v>
      </c>
    </row>
    <row r="170" spans="1:2" x14ac:dyDescent="0.25">
      <c r="A170" t="s">
        <v>95</v>
      </c>
      <c r="B170">
        <v>990</v>
      </c>
    </row>
    <row r="171" spans="1:2" x14ac:dyDescent="0.25">
      <c r="A171" t="s">
        <v>95</v>
      </c>
      <c r="B171">
        <v>990</v>
      </c>
    </row>
    <row r="172" spans="1:2" x14ac:dyDescent="0.25">
      <c r="A172" t="s">
        <v>95</v>
      </c>
      <c r="B172">
        <v>990</v>
      </c>
    </row>
    <row r="173" spans="1:2" x14ac:dyDescent="0.25">
      <c r="A173" t="s">
        <v>95</v>
      </c>
      <c r="B173">
        <v>990</v>
      </c>
    </row>
    <row r="174" spans="1:2" x14ac:dyDescent="0.25">
      <c r="A174" t="s">
        <v>95</v>
      </c>
      <c r="B174">
        <v>990</v>
      </c>
    </row>
    <row r="175" spans="1:2" x14ac:dyDescent="0.25">
      <c r="A175" t="s">
        <v>95</v>
      </c>
      <c r="B175">
        <v>990</v>
      </c>
    </row>
    <row r="176" spans="1:2" x14ac:dyDescent="0.25">
      <c r="A176" t="s">
        <v>95</v>
      </c>
      <c r="B176">
        <v>990</v>
      </c>
    </row>
    <row r="177" spans="1:2" x14ac:dyDescent="0.25">
      <c r="A177" t="s">
        <v>95</v>
      </c>
      <c r="B177">
        <v>990</v>
      </c>
    </row>
    <row r="178" spans="1:2" x14ac:dyDescent="0.25">
      <c r="A178" t="s">
        <v>95</v>
      </c>
      <c r="B178">
        <v>990</v>
      </c>
    </row>
    <row r="179" spans="1:2" x14ac:dyDescent="0.25">
      <c r="A179" t="s">
        <v>95</v>
      </c>
      <c r="B179">
        <v>990</v>
      </c>
    </row>
    <row r="180" spans="1:2" x14ac:dyDescent="0.25">
      <c r="A180" t="s">
        <v>95</v>
      </c>
      <c r="B180">
        <v>990</v>
      </c>
    </row>
    <row r="181" spans="1:2" x14ac:dyDescent="0.25">
      <c r="A181" t="s">
        <v>95</v>
      </c>
      <c r="B181">
        <v>990</v>
      </c>
    </row>
    <row r="182" spans="1:2" x14ac:dyDescent="0.25">
      <c r="A182" t="s">
        <v>95</v>
      </c>
      <c r="B182">
        <v>990</v>
      </c>
    </row>
    <row r="183" spans="1:2" x14ac:dyDescent="0.25">
      <c r="A183" t="s">
        <v>95</v>
      </c>
      <c r="B183">
        <v>990</v>
      </c>
    </row>
    <row r="184" spans="1:2" x14ac:dyDescent="0.25">
      <c r="A184" t="s">
        <v>95</v>
      </c>
      <c r="B184">
        <v>990</v>
      </c>
    </row>
    <row r="185" spans="1:2" x14ac:dyDescent="0.25">
      <c r="A185" t="s">
        <v>95</v>
      </c>
      <c r="B185">
        <v>990</v>
      </c>
    </row>
    <row r="186" spans="1:2" x14ac:dyDescent="0.25">
      <c r="A186" t="s">
        <v>95</v>
      </c>
      <c r="B186">
        <v>990</v>
      </c>
    </row>
    <row r="187" spans="1:2" x14ac:dyDescent="0.25">
      <c r="A187" t="s">
        <v>95</v>
      </c>
      <c r="B187">
        <v>990</v>
      </c>
    </row>
    <row r="188" spans="1:2" x14ac:dyDescent="0.25">
      <c r="A188" t="s">
        <v>95</v>
      </c>
      <c r="B188">
        <v>990</v>
      </c>
    </row>
    <row r="189" spans="1:2" x14ac:dyDescent="0.25">
      <c r="A189" t="s">
        <v>98</v>
      </c>
      <c r="B189">
        <v>1020</v>
      </c>
    </row>
    <row r="190" spans="1:2" x14ac:dyDescent="0.25">
      <c r="A190" t="s">
        <v>98</v>
      </c>
      <c r="B190">
        <v>1020</v>
      </c>
    </row>
    <row r="191" spans="1:2" x14ac:dyDescent="0.25">
      <c r="A191" t="s">
        <v>98</v>
      </c>
      <c r="B191">
        <v>1020</v>
      </c>
    </row>
    <row r="192" spans="1:2" x14ac:dyDescent="0.25">
      <c r="A192" t="s">
        <v>98</v>
      </c>
      <c r="B192">
        <v>1020</v>
      </c>
    </row>
    <row r="193" spans="1:2" x14ac:dyDescent="0.25">
      <c r="A193" t="s">
        <v>98</v>
      </c>
      <c r="B193">
        <v>1020</v>
      </c>
    </row>
    <row r="194" spans="1:2" x14ac:dyDescent="0.25">
      <c r="A194" t="s">
        <v>98</v>
      </c>
      <c r="B194">
        <v>1020</v>
      </c>
    </row>
    <row r="195" spans="1:2" x14ac:dyDescent="0.25">
      <c r="A195" t="s">
        <v>98</v>
      </c>
      <c r="B195">
        <v>1020</v>
      </c>
    </row>
    <row r="196" spans="1:2" x14ac:dyDescent="0.25">
      <c r="A196" t="s">
        <v>98</v>
      </c>
      <c r="B196">
        <v>1020</v>
      </c>
    </row>
    <row r="197" spans="1:2" x14ac:dyDescent="0.25">
      <c r="A197" t="s">
        <v>98</v>
      </c>
      <c r="B197">
        <v>1020</v>
      </c>
    </row>
    <row r="198" spans="1:2" x14ac:dyDescent="0.25">
      <c r="A198" t="s">
        <v>98</v>
      </c>
      <c r="B198">
        <v>1020</v>
      </c>
    </row>
    <row r="199" spans="1:2" x14ac:dyDescent="0.25">
      <c r="A199" t="s">
        <v>98</v>
      </c>
      <c r="B199">
        <v>1020</v>
      </c>
    </row>
    <row r="200" spans="1:2" x14ac:dyDescent="0.25">
      <c r="A200" t="s">
        <v>98</v>
      </c>
      <c r="B200">
        <v>1020</v>
      </c>
    </row>
    <row r="201" spans="1:2" x14ac:dyDescent="0.25">
      <c r="A201" t="s">
        <v>98</v>
      </c>
      <c r="B201">
        <v>1020</v>
      </c>
    </row>
    <row r="202" spans="1:2" x14ac:dyDescent="0.25">
      <c r="A202" t="s">
        <v>98</v>
      </c>
      <c r="B202">
        <v>1020</v>
      </c>
    </row>
    <row r="203" spans="1:2" x14ac:dyDescent="0.25">
      <c r="A203" t="s">
        <v>98</v>
      </c>
      <c r="B203">
        <v>1020</v>
      </c>
    </row>
    <row r="204" spans="1:2" x14ac:dyDescent="0.25">
      <c r="A204" t="s">
        <v>98</v>
      </c>
      <c r="B204">
        <v>1020</v>
      </c>
    </row>
    <row r="205" spans="1:2" x14ac:dyDescent="0.25">
      <c r="A205" t="s">
        <v>98</v>
      </c>
      <c r="B205">
        <v>1020</v>
      </c>
    </row>
    <row r="206" spans="1:2" x14ac:dyDescent="0.25">
      <c r="A206" t="s">
        <v>98</v>
      </c>
      <c r="B206">
        <v>1020</v>
      </c>
    </row>
    <row r="207" spans="1:2" x14ac:dyDescent="0.25">
      <c r="A207" t="s">
        <v>98</v>
      </c>
      <c r="B207">
        <v>1020</v>
      </c>
    </row>
    <row r="208" spans="1:2" x14ac:dyDescent="0.25">
      <c r="A208" t="s">
        <v>98</v>
      </c>
      <c r="B208">
        <v>1020</v>
      </c>
    </row>
    <row r="209" spans="1:2" x14ac:dyDescent="0.25">
      <c r="A209" t="s">
        <v>98</v>
      </c>
      <c r="B209">
        <v>1020</v>
      </c>
    </row>
    <row r="210" spans="1:2" x14ac:dyDescent="0.25">
      <c r="A210" t="s">
        <v>98</v>
      </c>
      <c r="B210">
        <v>1020</v>
      </c>
    </row>
    <row r="211" spans="1:2" x14ac:dyDescent="0.25">
      <c r="A211" t="s">
        <v>98</v>
      </c>
      <c r="B211">
        <v>1020</v>
      </c>
    </row>
    <row r="212" spans="1:2" x14ac:dyDescent="0.25">
      <c r="A212" t="s">
        <v>98</v>
      </c>
      <c r="B212">
        <v>1020</v>
      </c>
    </row>
    <row r="213" spans="1:2" x14ac:dyDescent="0.25">
      <c r="A213" t="s">
        <v>98</v>
      </c>
      <c r="B213">
        <v>1020</v>
      </c>
    </row>
    <row r="214" spans="1:2" x14ac:dyDescent="0.25">
      <c r="A214" t="s">
        <v>98</v>
      </c>
      <c r="B214">
        <v>1020</v>
      </c>
    </row>
    <row r="215" spans="1:2" x14ac:dyDescent="0.25">
      <c r="A215" t="s">
        <v>98</v>
      </c>
      <c r="B215">
        <v>1020</v>
      </c>
    </row>
    <row r="216" spans="1:2" x14ac:dyDescent="0.25">
      <c r="A216" t="s">
        <v>98</v>
      </c>
      <c r="B216">
        <v>1020</v>
      </c>
    </row>
    <row r="217" spans="1:2" x14ac:dyDescent="0.25">
      <c r="A217" t="s">
        <v>98</v>
      </c>
      <c r="B217">
        <v>1020</v>
      </c>
    </row>
    <row r="218" spans="1:2" x14ac:dyDescent="0.25">
      <c r="A218" t="s">
        <v>98</v>
      </c>
      <c r="B218">
        <v>1020</v>
      </c>
    </row>
    <row r="219" spans="1:2" x14ac:dyDescent="0.25">
      <c r="A219" t="s">
        <v>98</v>
      </c>
      <c r="B219">
        <v>1020</v>
      </c>
    </row>
    <row r="220" spans="1:2" x14ac:dyDescent="0.25">
      <c r="A220" t="s">
        <v>98</v>
      </c>
      <c r="B220">
        <v>1020</v>
      </c>
    </row>
    <row r="221" spans="1:2" x14ac:dyDescent="0.25">
      <c r="A221" t="s">
        <v>98</v>
      </c>
      <c r="B221">
        <v>1020</v>
      </c>
    </row>
    <row r="222" spans="1:2" x14ac:dyDescent="0.25">
      <c r="A222" t="s">
        <v>98</v>
      </c>
      <c r="B222">
        <v>1020</v>
      </c>
    </row>
    <row r="223" spans="1:2" x14ac:dyDescent="0.25">
      <c r="A223" t="s">
        <v>98</v>
      </c>
      <c r="B223">
        <v>1020</v>
      </c>
    </row>
    <row r="224" spans="1:2" x14ac:dyDescent="0.25">
      <c r="A224" t="s">
        <v>98</v>
      </c>
      <c r="B224">
        <v>1020</v>
      </c>
    </row>
    <row r="225" spans="1:2" x14ac:dyDescent="0.25">
      <c r="A225" t="s">
        <v>98</v>
      </c>
      <c r="B225">
        <v>1020</v>
      </c>
    </row>
    <row r="226" spans="1:2" x14ac:dyDescent="0.25">
      <c r="A226" t="s">
        <v>98</v>
      </c>
      <c r="B226">
        <v>1020</v>
      </c>
    </row>
    <row r="227" spans="1:2" x14ac:dyDescent="0.25">
      <c r="A227" t="s">
        <v>98</v>
      </c>
      <c r="B227">
        <v>1020</v>
      </c>
    </row>
    <row r="228" spans="1:2" x14ac:dyDescent="0.25">
      <c r="A228" t="s">
        <v>98</v>
      </c>
      <c r="B228">
        <v>1020</v>
      </c>
    </row>
    <row r="229" spans="1:2" x14ac:dyDescent="0.25">
      <c r="A229" t="s">
        <v>98</v>
      </c>
      <c r="B229">
        <v>1020</v>
      </c>
    </row>
    <row r="230" spans="1:2" x14ac:dyDescent="0.25">
      <c r="A230" t="s">
        <v>98</v>
      </c>
      <c r="B230">
        <v>1020</v>
      </c>
    </row>
    <row r="231" spans="1:2" x14ac:dyDescent="0.25">
      <c r="A231" t="s">
        <v>98</v>
      </c>
      <c r="B231">
        <v>1020</v>
      </c>
    </row>
    <row r="232" spans="1:2" x14ac:dyDescent="0.25">
      <c r="A232" t="s">
        <v>98</v>
      </c>
      <c r="B232">
        <v>1020</v>
      </c>
    </row>
    <row r="233" spans="1:2" x14ac:dyDescent="0.25">
      <c r="A233" t="s">
        <v>98</v>
      </c>
      <c r="B233">
        <v>1020</v>
      </c>
    </row>
    <row r="234" spans="1:2" x14ac:dyDescent="0.25">
      <c r="A234" t="s">
        <v>98</v>
      </c>
      <c r="B234">
        <v>1020</v>
      </c>
    </row>
    <row r="235" spans="1:2" x14ac:dyDescent="0.25">
      <c r="A235" t="s">
        <v>98</v>
      </c>
      <c r="B235">
        <v>1020</v>
      </c>
    </row>
    <row r="236" spans="1:2" x14ac:dyDescent="0.25">
      <c r="A236" t="s">
        <v>98</v>
      </c>
      <c r="B236">
        <v>1020</v>
      </c>
    </row>
    <row r="237" spans="1:2" x14ac:dyDescent="0.25">
      <c r="A237" t="s">
        <v>98</v>
      </c>
      <c r="B237">
        <v>1020</v>
      </c>
    </row>
    <row r="238" spans="1:2" x14ac:dyDescent="0.25">
      <c r="A238" t="s">
        <v>98</v>
      </c>
      <c r="B238">
        <v>1020</v>
      </c>
    </row>
    <row r="239" spans="1:2" x14ac:dyDescent="0.25">
      <c r="A239" t="s">
        <v>98</v>
      </c>
      <c r="B239">
        <v>1020</v>
      </c>
    </row>
    <row r="240" spans="1:2" x14ac:dyDescent="0.25">
      <c r="A240" t="s">
        <v>98</v>
      </c>
      <c r="B240">
        <v>1020</v>
      </c>
    </row>
    <row r="241" spans="1:2" x14ac:dyDescent="0.25">
      <c r="A241" t="s">
        <v>98</v>
      </c>
      <c r="B241">
        <v>1020</v>
      </c>
    </row>
    <row r="242" spans="1:2" x14ac:dyDescent="0.25">
      <c r="A242" t="s">
        <v>98</v>
      </c>
      <c r="B242">
        <v>1020</v>
      </c>
    </row>
    <row r="243" spans="1:2" x14ac:dyDescent="0.25">
      <c r="A243" t="s">
        <v>98</v>
      </c>
      <c r="B243">
        <v>1020</v>
      </c>
    </row>
    <row r="244" spans="1:2" x14ac:dyDescent="0.25">
      <c r="A244" t="s">
        <v>98</v>
      </c>
      <c r="B244">
        <v>1020</v>
      </c>
    </row>
    <row r="245" spans="1:2" x14ac:dyDescent="0.25">
      <c r="A245" t="s">
        <v>98</v>
      </c>
      <c r="B245">
        <v>1020</v>
      </c>
    </row>
    <row r="246" spans="1:2" x14ac:dyDescent="0.25">
      <c r="A246" t="s">
        <v>98</v>
      </c>
      <c r="B246">
        <v>1020</v>
      </c>
    </row>
    <row r="247" spans="1:2" x14ac:dyDescent="0.25">
      <c r="A247" t="s">
        <v>98</v>
      </c>
      <c r="B247">
        <v>1020</v>
      </c>
    </row>
    <row r="248" spans="1:2" x14ac:dyDescent="0.25">
      <c r="A248" t="s">
        <v>98</v>
      </c>
      <c r="B248">
        <v>1020</v>
      </c>
    </row>
    <row r="249" spans="1:2" x14ac:dyDescent="0.25">
      <c r="A249" t="s">
        <v>98</v>
      </c>
      <c r="B249">
        <v>1020</v>
      </c>
    </row>
    <row r="250" spans="1:2" x14ac:dyDescent="0.25">
      <c r="A250" t="s">
        <v>98</v>
      </c>
      <c r="B250">
        <v>1020</v>
      </c>
    </row>
    <row r="251" spans="1:2" x14ac:dyDescent="0.25">
      <c r="A251" t="s">
        <v>98</v>
      </c>
      <c r="B251">
        <v>1020</v>
      </c>
    </row>
    <row r="252" spans="1:2" x14ac:dyDescent="0.25">
      <c r="A252" t="s">
        <v>98</v>
      </c>
      <c r="B252">
        <v>1020</v>
      </c>
    </row>
    <row r="253" spans="1:2" x14ac:dyDescent="0.25">
      <c r="A253" t="s">
        <v>98</v>
      </c>
      <c r="B253">
        <v>1020</v>
      </c>
    </row>
    <row r="254" spans="1:2" x14ac:dyDescent="0.25">
      <c r="A254" t="s">
        <v>98</v>
      </c>
      <c r="B254">
        <v>1020</v>
      </c>
    </row>
    <row r="255" spans="1:2" x14ac:dyDescent="0.25">
      <c r="A255" t="s">
        <v>98</v>
      </c>
      <c r="B255">
        <v>1020</v>
      </c>
    </row>
    <row r="256" spans="1:2" x14ac:dyDescent="0.25">
      <c r="A256" t="s">
        <v>98</v>
      </c>
      <c r="B256">
        <v>1020</v>
      </c>
    </row>
    <row r="257" spans="1:2" x14ac:dyDescent="0.25">
      <c r="A257" t="s">
        <v>98</v>
      </c>
      <c r="B257">
        <v>1020</v>
      </c>
    </row>
    <row r="258" spans="1:2" x14ac:dyDescent="0.25">
      <c r="A258" t="s">
        <v>98</v>
      </c>
      <c r="B258">
        <v>1020</v>
      </c>
    </row>
    <row r="259" spans="1:2" x14ac:dyDescent="0.25">
      <c r="A259" t="s">
        <v>98</v>
      </c>
      <c r="B259">
        <v>1020</v>
      </c>
    </row>
    <row r="260" spans="1:2" x14ac:dyDescent="0.25">
      <c r="A260" t="s">
        <v>98</v>
      </c>
      <c r="B260">
        <v>1020</v>
      </c>
    </row>
    <row r="261" spans="1:2" x14ac:dyDescent="0.25">
      <c r="A261" t="s">
        <v>98</v>
      </c>
      <c r="B261">
        <v>1020</v>
      </c>
    </row>
    <row r="262" spans="1:2" x14ac:dyDescent="0.25">
      <c r="A262" t="s">
        <v>98</v>
      </c>
      <c r="B262">
        <v>1020</v>
      </c>
    </row>
    <row r="263" spans="1:2" x14ac:dyDescent="0.25">
      <c r="A263" t="s">
        <v>98</v>
      </c>
      <c r="B263">
        <v>1020</v>
      </c>
    </row>
    <row r="264" spans="1:2" x14ac:dyDescent="0.25">
      <c r="A264" t="s">
        <v>98</v>
      </c>
      <c r="B264">
        <v>1020</v>
      </c>
    </row>
    <row r="265" spans="1:2" x14ac:dyDescent="0.25">
      <c r="A265" t="s">
        <v>98</v>
      </c>
      <c r="B265">
        <v>1020</v>
      </c>
    </row>
    <row r="266" spans="1:2" x14ac:dyDescent="0.25">
      <c r="A266" t="s">
        <v>98</v>
      </c>
      <c r="B266">
        <v>1020</v>
      </c>
    </row>
    <row r="267" spans="1:2" x14ac:dyDescent="0.25">
      <c r="A267" t="s">
        <v>98</v>
      </c>
      <c r="B267">
        <v>1020</v>
      </c>
    </row>
    <row r="268" spans="1:2" x14ac:dyDescent="0.25">
      <c r="A268" t="s">
        <v>98</v>
      </c>
      <c r="B268">
        <v>1020</v>
      </c>
    </row>
    <row r="269" spans="1:2" x14ac:dyDescent="0.25">
      <c r="A269" t="s">
        <v>98</v>
      </c>
      <c r="B269">
        <v>1020</v>
      </c>
    </row>
    <row r="270" spans="1:2" x14ac:dyDescent="0.25">
      <c r="A270" t="s">
        <v>98</v>
      </c>
      <c r="B270">
        <v>1020</v>
      </c>
    </row>
    <row r="271" spans="1:2" x14ac:dyDescent="0.25">
      <c r="A271" t="s">
        <v>98</v>
      </c>
      <c r="B271">
        <v>1020</v>
      </c>
    </row>
    <row r="272" spans="1:2" x14ac:dyDescent="0.25">
      <c r="A272" t="s">
        <v>98</v>
      </c>
      <c r="B272">
        <v>1020</v>
      </c>
    </row>
    <row r="273" spans="1:2" x14ac:dyDescent="0.25">
      <c r="A273" t="s">
        <v>98</v>
      </c>
      <c r="B273">
        <v>1020</v>
      </c>
    </row>
    <row r="274" spans="1:2" x14ac:dyDescent="0.25">
      <c r="A274" t="s">
        <v>98</v>
      </c>
      <c r="B274">
        <v>1020</v>
      </c>
    </row>
    <row r="275" spans="1:2" x14ac:dyDescent="0.25">
      <c r="A275" t="s">
        <v>98</v>
      </c>
      <c r="B275">
        <v>1020</v>
      </c>
    </row>
    <row r="276" spans="1:2" x14ac:dyDescent="0.25">
      <c r="A276" t="s">
        <v>98</v>
      </c>
      <c r="B276">
        <v>1020</v>
      </c>
    </row>
    <row r="277" spans="1:2" x14ac:dyDescent="0.25">
      <c r="A277" t="s">
        <v>98</v>
      </c>
      <c r="B277">
        <v>1020</v>
      </c>
    </row>
    <row r="278" spans="1:2" x14ac:dyDescent="0.25">
      <c r="A278" t="s">
        <v>98</v>
      </c>
      <c r="B278">
        <v>1020</v>
      </c>
    </row>
    <row r="279" spans="1:2" x14ac:dyDescent="0.25">
      <c r="A279" t="s">
        <v>98</v>
      </c>
      <c r="B279">
        <v>1020</v>
      </c>
    </row>
    <row r="280" spans="1:2" x14ac:dyDescent="0.25">
      <c r="A280" t="s">
        <v>98</v>
      </c>
      <c r="B280">
        <v>1020</v>
      </c>
    </row>
    <row r="281" spans="1:2" x14ac:dyDescent="0.25">
      <c r="A281" t="s">
        <v>98</v>
      </c>
      <c r="B281">
        <v>1020</v>
      </c>
    </row>
    <row r="282" spans="1:2" x14ac:dyDescent="0.25">
      <c r="A282" t="s">
        <v>98</v>
      </c>
      <c r="B282">
        <v>1020</v>
      </c>
    </row>
    <row r="283" spans="1:2" x14ac:dyDescent="0.25">
      <c r="A283" t="s">
        <v>98</v>
      </c>
      <c r="B283">
        <v>1020</v>
      </c>
    </row>
    <row r="284" spans="1:2" x14ac:dyDescent="0.25">
      <c r="A284" t="s">
        <v>98</v>
      </c>
      <c r="B284">
        <v>1020</v>
      </c>
    </row>
    <row r="285" spans="1:2" x14ac:dyDescent="0.25">
      <c r="A285" t="s">
        <v>98</v>
      </c>
      <c r="B285">
        <v>1020</v>
      </c>
    </row>
    <row r="286" spans="1:2" x14ac:dyDescent="0.25">
      <c r="A286" t="s">
        <v>98</v>
      </c>
      <c r="B286">
        <v>1020</v>
      </c>
    </row>
    <row r="287" spans="1:2" x14ac:dyDescent="0.25">
      <c r="A287" t="s">
        <v>98</v>
      </c>
      <c r="B287">
        <v>1020</v>
      </c>
    </row>
    <row r="288" spans="1:2" x14ac:dyDescent="0.25">
      <c r="A288" t="s">
        <v>98</v>
      </c>
      <c r="B288">
        <v>1020</v>
      </c>
    </row>
    <row r="289" spans="1:2" x14ac:dyDescent="0.25">
      <c r="A289" t="s">
        <v>98</v>
      </c>
      <c r="B289">
        <v>1020</v>
      </c>
    </row>
    <row r="290" spans="1:2" x14ac:dyDescent="0.25">
      <c r="A290" t="s">
        <v>98</v>
      </c>
      <c r="B290">
        <v>1020</v>
      </c>
    </row>
    <row r="291" spans="1:2" x14ac:dyDescent="0.25">
      <c r="A291" t="s">
        <v>98</v>
      </c>
      <c r="B291">
        <v>1020</v>
      </c>
    </row>
    <row r="292" spans="1:2" x14ac:dyDescent="0.25">
      <c r="A292" t="s">
        <v>98</v>
      </c>
      <c r="B292">
        <v>1020</v>
      </c>
    </row>
    <row r="293" spans="1:2" x14ac:dyDescent="0.25">
      <c r="A293" t="s">
        <v>98</v>
      </c>
      <c r="B293">
        <v>1020</v>
      </c>
    </row>
    <row r="294" spans="1:2" x14ac:dyDescent="0.25">
      <c r="A294" t="s">
        <v>98</v>
      </c>
      <c r="B294">
        <v>1020</v>
      </c>
    </row>
    <row r="295" spans="1:2" x14ac:dyDescent="0.25">
      <c r="A295" t="s">
        <v>98</v>
      </c>
      <c r="B295">
        <v>1020</v>
      </c>
    </row>
    <row r="296" spans="1:2" x14ac:dyDescent="0.25">
      <c r="A296" t="s">
        <v>98</v>
      </c>
      <c r="B296">
        <v>1020</v>
      </c>
    </row>
    <row r="297" spans="1:2" x14ac:dyDescent="0.25">
      <c r="A297" t="s">
        <v>98</v>
      </c>
      <c r="B297">
        <v>1020</v>
      </c>
    </row>
    <row r="298" spans="1:2" x14ac:dyDescent="0.25">
      <c r="A298" t="s">
        <v>98</v>
      </c>
      <c r="B298">
        <v>1020</v>
      </c>
    </row>
    <row r="299" spans="1:2" x14ac:dyDescent="0.25">
      <c r="A299" t="s">
        <v>98</v>
      </c>
      <c r="B299">
        <v>1020</v>
      </c>
    </row>
    <row r="300" spans="1:2" x14ac:dyDescent="0.25">
      <c r="A300" t="s">
        <v>98</v>
      </c>
      <c r="B300">
        <v>1020</v>
      </c>
    </row>
    <row r="301" spans="1:2" x14ac:dyDescent="0.25">
      <c r="A301" t="s">
        <v>98</v>
      </c>
      <c r="B301">
        <v>1020</v>
      </c>
    </row>
    <row r="302" spans="1:2" x14ac:dyDescent="0.25">
      <c r="A302" t="s">
        <v>98</v>
      </c>
      <c r="B302">
        <v>1020</v>
      </c>
    </row>
    <row r="303" spans="1:2" x14ac:dyDescent="0.25">
      <c r="A303" t="s">
        <v>98</v>
      </c>
      <c r="B303">
        <v>1020</v>
      </c>
    </row>
    <row r="304" spans="1:2" x14ac:dyDescent="0.25">
      <c r="A304" t="s">
        <v>98</v>
      </c>
      <c r="B304">
        <v>1020</v>
      </c>
    </row>
    <row r="305" spans="1:2" x14ac:dyDescent="0.25">
      <c r="A305" t="s">
        <v>98</v>
      </c>
      <c r="B305">
        <v>1020</v>
      </c>
    </row>
    <row r="306" spans="1:2" x14ac:dyDescent="0.25">
      <c r="A306" t="s">
        <v>98</v>
      </c>
      <c r="B306">
        <v>1020</v>
      </c>
    </row>
    <row r="307" spans="1:2" x14ac:dyDescent="0.25">
      <c r="A307" t="s">
        <v>98</v>
      </c>
      <c r="B307">
        <v>1020</v>
      </c>
    </row>
    <row r="308" spans="1:2" x14ac:dyDescent="0.25">
      <c r="A308" t="s">
        <v>98</v>
      </c>
      <c r="B308">
        <v>1020</v>
      </c>
    </row>
    <row r="309" spans="1:2" x14ac:dyDescent="0.25">
      <c r="A309" t="s">
        <v>98</v>
      </c>
      <c r="B309">
        <v>1020</v>
      </c>
    </row>
    <row r="310" spans="1:2" x14ac:dyDescent="0.25">
      <c r="A310" t="s">
        <v>98</v>
      </c>
      <c r="B310">
        <v>1020</v>
      </c>
    </row>
    <row r="311" spans="1:2" x14ac:dyDescent="0.25">
      <c r="A311" t="s">
        <v>98</v>
      </c>
      <c r="B311">
        <v>1020</v>
      </c>
    </row>
    <row r="312" spans="1:2" x14ac:dyDescent="0.25">
      <c r="A312" t="s">
        <v>98</v>
      </c>
      <c r="B312">
        <v>1020</v>
      </c>
    </row>
    <row r="313" spans="1:2" x14ac:dyDescent="0.25">
      <c r="A313" t="s">
        <v>98</v>
      </c>
      <c r="B313">
        <v>1020</v>
      </c>
    </row>
    <row r="314" spans="1:2" x14ac:dyDescent="0.25">
      <c r="A314" t="s">
        <v>98</v>
      </c>
      <c r="B314">
        <v>1020</v>
      </c>
    </row>
    <row r="315" spans="1:2" x14ac:dyDescent="0.25">
      <c r="A315" t="s">
        <v>98</v>
      </c>
      <c r="B315">
        <v>1020</v>
      </c>
    </row>
    <row r="316" spans="1:2" x14ac:dyDescent="0.25">
      <c r="A316" t="s">
        <v>98</v>
      </c>
      <c r="B316">
        <v>1020</v>
      </c>
    </row>
    <row r="317" spans="1:2" x14ac:dyDescent="0.25">
      <c r="A317" t="s">
        <v>98</v>
      </c>
      <c r="B317">
        <v>1020</v>
      </c>
    </row>
    <row r="318" spans="1:2" x14ac:dyDescent="0.25">
      <c r="A318" t="s">
        <v>98</v>
      </c>
      <c r="B318">
        <v>1020</v>
      </c>
    </row>
    <row r="319" spans="1:2" x14ac:dyDescent="0.25">
      <c r="A319" t="s">
        <v>98</v>
      </c>
      <c r="B319">
        <v>1020</v>
      </c>
    </row>
    <row r="320" spans="1:2" x14ac:dyDescent="0.25">
      <c r="A320" t="s">
        <v>98</v>
      </c>
      <c r="B320">
        <v>1020</v>
      </c>
    </row>
    <row r="321" spans="1:2" x14ac:dyDescent="0.25">
      <c r="A321" t="s">
        <v>98</v>
      </c>
      <c r="B321">
        <v>1020</v>
      </c>
    </row>
    <row r="322" spans="1:2" x14ac:dyDescent="0.25">
      <c r="A322" t="s">
        <v>98</v>
      </c>
      <c r="B322">
        <v>1020</v>
      </c>
    </row>
    <row r="323" spans="1:2" x14ac:dyDescent="0.25">
      <c r="A323" t="s">
        <v>98</v>
      </c>
      <c r="B323">
        <v>1020</v>
      </c>
    </row>
    <row r="324" spans="1:2" x14ac:dyDescent="0.25">
      <c r="A324" t="s">
        <v>98</v>
      </c>
      <c r="B324">
        <v>1020</v>
      </c>
    </row>
    <row r="325" spans="1:2" x14ac:dyDescent="0.25">
      <c r="A325" t="s">
        <v>98</v>
      </c>
      <c r="B325">
        <v>1020</v>
      </c>
    </row>
    <row r="326" spans="1:2" x14ac:dyDescent="0.25">
      <c r="A326" t="s">
        <v>98</v>
      </c>
      <c r="B326">
        <v>1020</v>
      </c>
    </row>
    <row r="327" spans="1:2" x14ac:dyDescent="0.25">
      <c r="A327" t="s">
        <v>98</v>
      </c>
      <c r="B327">
        <v>1020</v>
      </c>
    </row>
    <row r="328" spans="1:2" x14ac:dyDescent="0.25">
      <c r="A328" t="s">
        <v>98</v>
      </c>
      <c r="B328">
        <v>1020</v>
      </c>
    </row>
    <row r="329" spans="1:2" x14ac:dyDescent="0.25">
      <c r="A329" t="s">
        <v>98</v>
      </c>
      <c r="B329">
        <v>1020</v>
      </c>
    </row>
    <row r="330" spans="1:2" x14ac:dyDescent="0.25">
      <c r="A330" t="s">
        <v>98</v>
      </c>
      <c r="B330">
        <v>1020</v>
      </c>
    </row>
    <row r="331" spans="1:2" x14ac:dyDescent="0.25">
      <c r="A331" t="s">
        <v>98</v>
      </c>
      <c r="B331">
        <v>1020</v>
      </c>
    </row>
    <row r="332" spans="1:2" x14ac:dyDescent="0.25">
      <c r="A332" t="s">
        <v>98</v>
      </c>
      <c r="B332">
        <v>1020</v>
      </c>
    </row>
    <row r="333" spans="1:2" x14ac:dyDescent="0.25">
      <c r="A333" t="s">
        <v>98</v>
      </c>
      <c r="B333">
        <v>1020</v>
      </c>
    </row>
    <row r="334" spans="1:2" x14ac:dyDescent="0.25">
      <c r="A334" t="s">
        <v>98</v>
      </c>
      <c r="B334">
        <v>1020</v>
      </c>
    </row>
    <row r="335" spans="1:2" x14ac:dyDescent="0.25">
      <c r="A335" t="s">
        <v>98</v>
      </c>
      <c r="B335">
        <v>1020</v>
      </c>
    </row>
    <row r="336" spans="1:2" x14ac:dyDescent="0.25">
      <c r="A336" t="s">
        <v>98</v>
      </c>
      <c r="B336">
        <v>1020</v>
      </c>
    </row>
    <row r="337" spans="1:2" x14ac:dyDescent="0.25">
      <c r="A337" t="s">
        <v>98</v>
      </c>
      <c r="B337">
        <v>1020</v>
      </c>
    </row>
    <row r="338" spans="1:2" x14ac:dyDescent="0.25">
      <c r="A338" t="s">
        <v>98</v>
      </c>
      <c r="B338">
        <v>1020</v>
      </c>
    </row>
    <row r="339" spans="1:2" x14ac:dyDescent="0.25">
      <c r="A339" t="s">
        <v>98</v>
      </c>
      <c r="B339">
        <v>1020</v>
      </c>
    </row>
    <row r="340" spans="1:2" x14ac:dyDescent="0.25">
      <c r="A340" t="s">
        <v>98</v>
      </c>
      <c r="B340">
        <v>1020</v>
      </c>
    </row>
    <row r="341" spans="1:2" x14ac:dyDescent="0.25">
      <c r="A341" t="s">
        <v>98</v>
      </c>
      <c r="B341">
        <v>1020</v>
      </c>
    </row>
    <row r="342" spans="1:2" x14ac:dyDescent="0.25">
      <c r="A342" t="s">
        <v>98</v>
      </c>
      <c r="B342">
        <v>1020</v>
      </c>
    </row>
    <row r="343" spans="1:2" x14ac:dyDescent="0.25">
      <c r="A343" t="s">
        <v>98</v>
      </c>
      <c r="B343">
        <v>1020</v>
      </c>
    </row>
    <row r="344" spans="1:2" x14ac:dyDescent="0.25">
      <c r="A344" t="s">
        <v>98</v>
      </c>
      <c r="B344">
        <v>1020</v>
      </c>
    </row>
    <row r="345" spans="1:2" x14ac:dyDescent="0.25">
      <c r="A345" t="s">
        <v>98</v>
      </c>
      <c r="B345">
        <v>1020</v>
      </c>
    </row>
    <row r="346" spans="1:2" x14ac:dyDescent="0.25">
      <c r="A346" t="s">
        <v>98</v>
      </c>
      <c r="B346">
        <v>1020</v>
      </c>
    </row>
    <row r="347" spans="1:2" x14ac:dyDescent="0.25">
      <c r="A347" t="s">
        <v>98</v>
      </c>
      <c r="B347">
        <v>1020</v>
      </c>
    </row>
    <row r="348" spans="1:2" x14ac:dyDescent="0.25">
      <c r="A348" t="s">
        <v>98</v>
      </c>
      <c r="B348">
        <v>1020</v>
      </c>
    </row>
    <row r="349" spans="1:2" x14ac:dyDescent="0.25">
      <c r="A349" t="s">
        <v>98</v>
      </c>
      <c r="B349">
        <v>1020</v>
      </c>
    </row>
    <row r="350" spans="1:2" x14ac:dyDescent="0.25">
      <c r="A350" t="s">
        <v>98</v>
      </c>
      <c r="B350">
        <v>1020</v>
      </c>
    </row>
    <row r="351" spans="1:2" x14ac:dyDescent="0.25">
      <c r="A351" t="s">
        <v>98</v>
      </c>
      <c r="B351">
        <v>1020</v>
      </c>
    </row>
    <row r="352" spans="1:2" x14ac:dyDescent="0.25">
      <c r="A352" t="s">
        <v>98</v>
      </c>
      <c r="B352">
        <v>1020</v>
      </c>
    </row>
    <row r="353" spans="1:2" x14ac:dyDescent="0.25">
      <c r="A353" t="s">
        <v>98</v>
      </c>
      <c r="B353">
        <v>1020</v>
      </c>
    </row>
    <row r="354" spans="1:2" x14ac:dyDescent="0.25">
      <c r="A354" t="s">
        <v>98</v>
      </c>
      <c r="B354">
        <v>1020</v>
      </c>
    </row>
    <row r="355" spans="1:2" x14ac:dyDescent="0.25">
      <c r="A355" t="s">
        <v>98</v>
      </c>
      <c r="B355">
        <v>1020</v>
      </c>
    </row>
    <row r="356" spans="1:2" x14ac:dyDescent="0.25">
      <c r="A356" t="s">
        <v>98</v>
      </c>
      <c r="B356">
        <v>1020</v>
      </c>
    </row>
    <row r="357" spans="1:2" x14ac:dyDescent="0.25">
      <c r="A357" t="s">
        <v>98</v>
      </c>
      <c r="B357">
        <v>1020</v>
      </c>
    </row>
    <row r="358" spans="1:2" x14ac:dyDescent="0.25">
      <c r="A358" t="s">
        <v>98</v>
      </c>
      <c r="B358">
        <v>1020</v>
      </c>
    </row>
    <row r="359" spans="1:2" x14ac:dyDescent="0.25">
      <c r="A359" t="s">
        <v>98</v>
      </c>
      <c r="B359">
        <v>1020</v>
      </c>
    </row>
    <row r="360" spans="1:2" x14ac:dyDescent="0.25">
      <c r="A360" t="s">
        <v>98</v>
      </c>
      <c r="B360">
        <v>1020</v>
      </c>
    </row>
    <row r="361" spans="1:2" x14ac:dyDescent="0.25">
      <c r="A361" t="s">
        <v>98</v>
      </c>
      <c r="B361">
        <v>1020</v>
      </c>
    </row>
    <row r="362" spans="1:2" x14ac:dyDescent="0.25">
      <c r="A362" t="s">
        <v>98</v>
      </c>
      <c r="B362">
        <v>1020</v>
      </c>
    </row>
    <row r="363" spans="1:2" x14ac:dyDescent="0.25">
      <c r="A363" t="s">
        <v>98</v>
      </c>
      <c r="B363">
        <v>1020</v>
      </c>
    </row>
    <row r="364" spans="1:2" x14ac:dyDescent="0.25">
      <c r="A364" t="s">
        <v>98</v>
      </c>
      <c r="B364">
        <v>1020</v>
      </c>
    </row>
    <row r="365" spans="1:2" x14ac:dyDescent="0.25">
      <c r="A365" t="s">
        <v>98</v>
      </c>
      <c r="B365">
        <v>1020</v>
      </c>
    </row>
    <row r="366" spans="1:2" x14ac:dyDescent="0.25">
      <c r="A366" t="s">
        <v>98</v>
      </c>
      <c r="B366">
        <v>1020</v>
      </c>
    </row>
    <row r="367" spans="1:2" x14ac:dyDescent="0.25">
      <c r="A367" t="s">
        <v>98</v>
      </c>
      <c r="B367">
        <v>1020</v>
      </c>
    </row>
    <row r="368" spans="1:2" x14ac:dyDescent="0.25">
      <c r="A368" t="s">
        <v>98</v>
      </c>
      <c r="B368">
        <v>1020</v>
      </c>
    </row>
    <row r="369" spans="1:2" x14ac:dyDescent="0.25">
      <c r="A369" t="s">
        <v>98</v>
      </c>
      <c r="B369">
        <v>1020</v>
      </c>
    </row>
    <row r="370" spans="1:2" x14ac:dyDescent="0.25">
      <c r="A370" t="s">
        <v>98</v>
      </c>
      <c r="B370">
        <v>1020</v>
      </c>
    </row>
    <row r="371" spans="1:2" x14ac:dyDescent="0.25">
      <c r="A371" t="s">
        <v>98</v>
      </c>
      <c r="B371">
        <v>1020</v>
      </c>
    </row>
    <row r="372" spans="1:2" x14ac:dyDescent="0.25">
      <c r="A372" t="s">
        <v>98</v>
      </c>
      <c r="B372">
        <v>1020</v>
      </c>
    </row>
    <row r="373" spans="1:2" x14ac:dyDescent="0.25">
      <c r="A373" t="s">
        <v>98</v>
      </c>
      <c r="B373">
        <v>1020</v>
      </c>
    </row>
    <row r="374" spans="1:2" x14ac:dyDescent="0.25">
      <c r="A374" t="s">
        <v>98</v>
      </c>
      <c r="B374">
        <v>1020</v>
      </c>
    </row>
    <row r="375" spans="1:2" x14ac:dyDescent="0.25">
      <c r="A375" t="s">
        <v>98</v>
      </c>
      <c r="B375">
        <v>1020</v>
      </c>
    </row>
    <row r="376" spans="1:2" x14ac:dyDescent="0.25">
      <c r="A376" t="s">
        <v>98</v>
      </c>
      <c r="B376">
        <v>1020</v>
      </c>
    </row>
    <row r="377" spans="1:2" x14ac:dyDescent="0.25">
      <c r="A377" t="s">
        <v>98</v>
      </c>
      <c r="B377">
        <v>1020</v>
      </c>
    </row>
    <row r="378" spans="1:2" x14ac:dyDescent="0.25">
      <c r="A378" t="s">
        <v>98</v>
      </c>
      <c r="B378">
        <v>1020</v>
      </c>
    </row>
    <row r="379" spans="1:2" x14ac:dyDescent="0.25">
      <c r="A379" t="s">
        <v>98</v>
      </c>
      <c r="B379">
        <v>1020</v>
      </c>
    </row>
    <row r="380" spans="1:2" x14ac:dyDescent="0.25">
      <c r="A380" t="s">
        <v>98</v>
      </c>
      <c r="B380">
        <v>1020</v>
      </c>
    </row>
    <row r="381" spans="1:2" x14ac:dyDescent="0.25">
      <c r="A381" t="s">
        <v>98</v>
      </c>
      <c r="B381">
        <v>1020</v>
      </c>
    </row>
    <row r="382" spans="1:2" x14ac:dyDescent="0.25">
      <c r="A382" t="s">
        <v>98</v>
      </c>
      <c r="B382">
        <v>1020</v>
      </c>
    </row>
    <row r="383" spans="1:2" x14ac:dyDescent="0.25">
      <c r="A383" t="s">
        <v>98</v>
      </c>
      <c r="B383">
        <v>1020</v>
      </c>
    </row>
    <row r="384" spans="1:2" x14ac:dyDescent="0.25">
      <c r="A384" t="s">
        <v>98</v>
      </c>
      <c r="B384">
        <v>1020</v>
      </c>
    </row>
    <row r="385" spans="1:2" x14ac:dyDescent="0.25">
      <c r="A385" t="s">
        <v>98</v>
      </c>
      <c r="B385">
        <v>1020</v>
      </c>
    </row>
    <row r="386" spans="1:2" x14ac:dyDescent="0.25">
      <c r="A386" t="s">
        <v>98</v>
      </c>
      <c r="B386">
        <v>1020</v>
      </c>
    </row>
    <row r="387" spans="1:2" x14ac:dyDescent="0.25">
      <c r="A387" t="s">
        <v>98</v>
      </c>
      <c r="B387">
        <v>1020</v>
      </c>
    </row>
    <row r="388" spans="1:2" x14ac:dyDescent="0.25">
      <c r="A388" t="s">
        <v>98</v>
      </c>
      <c r="B388">
        <v>1020</v>
      </c>
    </row>
    <row r="389" spans="1:2" x14ac:dyDescent="0.25">
      <c r="A389" t="s">
        <v>98</v>
      </c>
      <c r="B389">
        <v>1020</v>
      </c>
    </row>
    <row r="390" spans="1:2" x14ac:dyDescent="0.25">
      <c r="A390" t="s">
        <v>98</v>
      </c>
      <c r="B390">
        <v>1020</v>
      </c>
    </row>
    <row r="391" spans="1:2" x14ac:dyDescent="0.25">
      <c r="A391" t="s">
        <v>98</v>
      </c>
      <c r="B391">
        <v>1020</v>
      </c>
    </row>
    <row r="392" spans="1:2" x14ac:dyDescent="0.25">
      <c r="A392" t="s">
        <v>98</v>
      </c>
      <c r="B392">
        <v>1020</v>
      </c>
    </row>
    <row r="393" spans="1:2" x14ac:dyDescent="0.25">
      <c r="A393" t="s">
        <v>98</v>
      </c>
      <c r="B393">
        <v>1020</v>
      </c>
    </row>
    <row r="394" spans="1:2" x14ac:dyDescent="0.25">
      <c r="A394" t="s">
        <v>98</v>
      </c>
      <c r="B394">
        <v>1020</v>
      </c>
    </row>
    <row r="395" spans="1:2" x14ac:dyDescent="0.25">
      <c r="A395" t="s">
        <v>98</v>
      </c>
      <c r="B395">
        <v>1020</v>
      </c>
    </row>
    <row r="396" spans="1:2" x14ac:dyDescent="0.25">
      <c r="A396" t="s">
        <v>98</v>
      </c>
      <c r="B396">
        <v>1020</v>
      </c>
    </row>
    <row r="397" spans="1:2" x14ac:dyDescent="0.25">
      <c r="A397" t="s">
        <v>98</v>
      </c>
      <c r="B397">
        <v>1020</v>
      </c>
    </row>
    <row r="398" spans="1:2" x14ac:dyDescent="0.25">
      <c r="A398" t="s">
        <v>98</v>
      </c>
      <c r="B398">
        <v>1020</v>
      </c>
    </row>
    <row r="399" spans="1:2" x14ac:dyDescent="0.25">
      <c r="A399" t="s">
        <v>98</v>
      </c>
      <c r="B399">
        <v>1020</v>
      </c>
    </row>
    <row r="400" spans="1:2" x14ac:dyDescent="0.25">
      <c r="A400" t="s">
        <v>98</v>
      </c>
      <c r="B400">
        <v>1020</v>
      </c>
    </row>
    <row r="401" spans="1:2" x14ac:dyDescent="0.25">
      <c r="A401" t="s">
        <v>98</v>
      </c>
      <c r="B401">
        <v>1020</v>
      </c>
    </row>
    <row r="402" spans="1:2" x14ac:dyDescent="0.25">
      <c r="A402" t="s">
        <v>98</v>
      </c>
      <c r="B402">
        <v>1020</v>
      </c>
    </row>
    <row r="403" spans="1:2" x14ac:dyDescent="0.25">
      <c r="A403" t="s">
        <v>98</v>
      </c>
      <c r="B403">
        <v>1020</v>
      </c>
    </row>
    <row r="404" spans="1:2" x14ac:dyDescent="0.25">
      <c r="A404" t="s">
        <v>98</v>
      </c>
      <c r="B404">
        <v>1020</v>
      </c>
    </row>
    <row r="405" spans="1:2" x14ac:dyDescent="0.25">
      <c r="A405" t="s">
        <v>98</v>
      </c>
      <c r="B405">
        <v>1020</v>
      </c>
    </row>
    <row r="406" spans="1:2" x14ac:dyDescent="0.25">
      <c r="A406" t="s">
        <v>98</v>
      </c>
      <c r="B406">
        <v>1020</v>
      </c>
    </row>
    <row r="407" spans="1:2" x14ac:dyDescent="0.25">
      <c r="A407" t="s">
        <v>98</v>
      </c>
      <c r="B407">
        <v>1020</v>
      </c>
    </row>
    <row r="408" spans="1:2" x14ac:dyDescent="0.25">
      <c r="A408" t="s">
        <v>98</v>
      </c>
      <c r="B408">
        <v>1020</v>
      </c>
    </row>
    <row r="409" spans="1:2" x14ac:dyDescent="0.25">
      <c r="A409" t="s">
        <v>98</v>
      </c>
      <c r="B409">
        <v>1020</v>
      </c>
    </row>
    <row r="410" spans="1:2" x14ac:dyDescent="0.25">
      <c r="A410" t="s">
        <v>98</v>
      </c>
      <c r="B410">
        <v>1020</v>
      </c>
    </row>
    <row r="411" spans="1:2" x14ac:dyDescent="0.25">
      <c r="A411" t="s">
        <v>98</v>
      </c>
      <c r="B411">
        <v>1020</v>
      </c>
    </row>
    <row r="412" spans="1:2" x14ac:dyDescent="0.25">
      <c r="A412" t="s">
        <v>98</v>
      </c>
      <c r="B412">
        <v>1020</v>
      </c>
    </row>
    <row r="413" spans="1:2" x14ac:dyDescent="0.25">
      <c r="A413" t="s">
        <v>98</v>
      </c>
      <c r="B413">
        <v>1020</v>
      </c>
    </row>
    <row r="414" spans="1:2" x14ac:dyDescent="0.25">
      <c r="A414" t="s">
        <v>98</v>
      </c>
      <c r="B414">
        <v>1020</v>
      </c>
    </row>
    <row r="415" spans="1:2" x14ac:dyDescent="0.25">
      <c r="A415" t="s">
        <v>98</v>
      </c>
      <c r="B415">
        <v>1020</v>
      </c>
    </row>
    <row r="416" spans="1:2" x14ac:dyDescent="0.25">
      <c r="A416" t="s">
        <v>98</v>
      </c>
      <c r="B416">
        <v>1020</v>
      </c>
    </row>
    <row r="417" spans="1:2" x14ac:dyDescent="0.25">
      <c r="A417" t="s">
        <v>98</v>
      </c>
      <c r="B417">
        <v>1020</v>
      </c>
    </row>
    <row r="418" spans="1:2" x14ac:dyDescent="0.25">
      <c r="A418" t="s">
        <v>98</v>
      </c>
      <c r="B418">
        <v>1020</v>
      </c>
    </row>
    <row r="419" spans="1:2" x14ac:dyDescent="0.25">
      <c r="A419" t="s">
        <v>98</v>
      </c>
      <c r="B419">
        <v>1020</v>
      </c>
    </row>
    <row r="420" spans="1:2" x14ac:dyDescent="0.25">
      <c r="A420" t="s">
        <v>98</v>
      </c>
      <c r="B420">
        <v>1020</v>
      </c>
    </row>
    <row r="421" spans="1:2" x14ac:dyDescent="0.25">
      <c r="A421" t="s">
        <v>98</v>
      </c>
      <c r="B421">
        <v>1020</v>
      </c>
    </row>
    <row r="422" spans="1:2" x14ac:dyDescent="0.25">
      <c r="A422" t="s">
        <v>98</v>
      </c>
      <c r="B422">
        <v>1020</v>
      </c>
    </row>
    <row r="423" spans="1:2" x14ac:dyDescent="0.25">
      <c r="A423" t="s">
        <v>98</v>
      </c>
      <c r="B423">
        <v>1020</v>
      </c>
    </row>
    <row r="424" spans="1:2" x14ac:dyDescent="0.25">
      <c r="A424" t="s">
        <v>98</v>
      </c>
      <c r="B424">
        <v>1020</v>
      </c>
    </row>
    <row r="425" spans="1:2" x14ac:dyDescent="0.25">
      <c r="A425" t="s">
        <v>98</v>
      </c>
      <c r="B425">
        <v>1020</v>
      </c>
    </row>
    <row r="426" spans="1:2" x14ac:dyDescent="0.25">
      <c r="A426" t="s">
        <v>98</v>
      </c>
      <c r="B426">
        <v>1020</v>
      </c>
    </row>
    <row r="427" spans="1:2" x14ac:dyDescent="0.25">
      <c r="A427" t="s">
        <v>98</v>
      </c>
      <c r="B427">
        <v>1020</v>
      </c>
    </row>
    <row r="428" spans="1:2" x14ac:dyDescent="0.25">
      <c r="A428" t="s">
        <v>98</v>
      </c>
      <c r="B428">
        <v>1020</v>
      </c>
    </row>
    <row r="429" spans="1:2" x14ac:dyDescent="0.25">
      <c r="A429" t="s">
        <v>98</v>
      </c>
      <c r="B429">
        <v>1020</v>
      </c>
    </row>
    <row r="430" spans="1:2" x14ac:dyDescent="0.25">
      <c r="A430" t="s">
        <v>98</v>
      </c>
      <c r="B430">
        <v>1020</v>
      </c>
    </row>
    <row r="431" spans="1:2" x14ac:dyDescent="0.25">
      <c r="A431" t="s">
        <v>98</v>
      </c>
      <c r="B431">
        <v>1020</v>
      </c>
    </row>
    <row r="432" spans="1:2" x14ac:dyDescent="0.25">
      <c r="A432" t="s">
        <v>98</v>
      </c>
      <c r="B432">
        <v>1020</v>
      </c>
    </row>
    <row r="433" spans="1:2" x14ac:dyDescent="0.25">
      <c r="A433" t="s">
        <v>98</v>
      </c>
      <c r="B433">
        <v>1020</v>
      </c>
    </row>
    <row r="434" spans="1:2" x14ac:dyDescent="0.25">
      <c r="A434" t="s">
        <v>98</v>
      </c>
      <c r="B434">
        <v>1020</v>
      </c>
    </row>
    <row r="435" spans="1:2" x14ac:dyDescent="0.25">
      <c r="A435" t="s">
        <v>98</v>
      </c>
      <c r="B435">
        <v>1020</v>
      </c>
    </row>
    <row r="436" spans="1:2" x14ac:dyDescent="0.25">
      <c r="A436" t="s">
        <v>98</v>
      </c>
      <c r="B436">
        <v>1020</v>
      </c>
    </row>
    <row r="437" spans="1:2" x14ac:dyDescent="0.25">
      <c r="A437" t="s">
        <v>98</v>
      </c>
      <c r="B437">
        <v>1020</v>
      </c>
    </row>
    <row r="438" spans="1:2" x14ac:dyDescent="0.25">
      <c r="A438" t="s">
        <v>98</v>
      </c>
      <c r="B438">
        <v>1020</v>
      </c>
    </row>
    <row r="439" spans="1:2" x14ac:dyDescent="0.25">
      <c r="A439" t="s">
        <v>98</v>
      </c>
      <c r="B439">
        <v>1020</v>
      </c>
    </row>
    <row r="440" spans="1:2" x14ac:dyDescent="0.25">
      <c r="A440" t="s">
        <v>98</v>
      </c>
      <c r="B440">
        <v>1020</v>
      </c>
    </row>
    <row r="441" spans="1:2" x14ac:dyDescent="0.25">
      <c r="A441" t="s">
        <v>98</v>
      </c>
      <c r="B441">
        <v>1020</v>
      </c>
    </row>
    <row r="442" spans="1:2" x14ac:dyDescent="0.25">
      <c r="A442" t="s">
        <v>98</v>
      </c>
      <c r="B442">
        <v>1020</v>
      </c>
    </row>
    <row r="443" spans="1:2" x14ac:dyDescent="0.25">
      <c r="A443" t="s">
        <v>98</v>
      </c>
      <c r="B443">
        <v>1020</v>
      </c>
    </row>
    <row r="444" spans="1:2" x14ac:dyDescent="0.25">
      <c r="A444" t="s">
        <v>98</v>
      </c>
      <c r="B444">
        <v>1020</v>
      </c>
    </row>
    <row r="445" spans="1:2" x14ac:dyDescent="0.25">
      <c r="A445" t="s">
        <v>98</v>
      </c>
      <c r="B445">
        <v>1020</v>
      </c>
    </row>
    <row r="446" spans="1:2" x14ac:dyDescent="0.25">
      <c r="A446" t="s">
        <v>98</v>
      </c>
      <c r="B446">
        <v>1020</v>
      </c>
    </row>
    <row r="447" spans="1:2" x14ac:dyDescent="0.25">
      <c r="A447" t="s">
        <v>98</v>
      </c>
      <c r="B447">
        <v>1020</v>
      </c>
    </row>
    <row r="448" spans="1:2" x14ac:dyDescent="0.25">
      <c r="A448" t="s">
        <v>98</v>
      </c>
      <c r="B448">
        <v>1020</v>
      </c>
    </row>
    <row r="449" spans="1:2" x14ac:dyDescent="0.25">
      <c r="A449" t="s">
        <v>98</v>
      </c>
      <c r="B449">
        <v>1020</v>
      </c>
    </row>
    <row r="450" spans="1:2" x14ac:dyDescent="0.25">
      <c r="A450" t="s">
        <v>98</v>
      </c>
      <c r="B450">
        <v>1020</v>
      </c>
    </row>
    <row r="451" spans="1:2" x14ac:dyDescent="0.25">
      <c r="A451" t="s">
        <v>98</v>
      </c>
      <c r="B451">
        <v>1020</v>
      </c>
    </row>
    <row r="452" spans="1:2" x14ac:dyDescent="0.25">
      <c r="A452" t="s">
        <v>98</v>
      </c>
      <c r="B452">
        <v>1020</v>
      </c>
    </row>
    <row r="453" spans="1:2" x14ac:dyDescent="0.25">
      <c r="A453" t="s">
        <v>98</v>
      </c>
      <c r="B453">
        <v>1020</v>
      </c>
    </row>
    <row r="454" spans="1:2" x14ac:dyDescent="0.25">
      <c r="A454" t="s">
        <v>98</v>
      </c>
      <c r="B454">
        <v>1020</v>
      </c>
    </row>
    <row r="455" spans="1:2" x14ac:dyDescent="0.25">
      <c r="A455" t="s">
        <v>98</v>
      </c>
      <c r="B455">
        <v>1020</v>
      </c>
    </row>
    <row r="456" spans="1:2" x14ac:dyDescent="0.25">
      <c r="A456" t="s">
        <v>98</v>
      </c>
      <c r="B456">
        <v>1020</v>
      </c>
    </row>
    <row r="457" spans="1:2" x14ac:dyDescent="0.25">
      <c r="A457" t="s">
        <v>98</v>
      </c>
      <c r="B457">
        <v>1020</v>
      </c>
    </row>
    <row r="458" spans="1:2" x14ac:dyDescent="0.25">
      <c r="A458" t="s">
        <v>98</v>
      </c>
      <c r="B458">
        <v>1020</v>
      </c>
    </row>
    <row r="459" spans="1:2" x14ac:dyDescent="0.25">
      <c r="A459" t="s">
        <v>98</v>
      </c>
      <c r="B459">
        <v>1020</v>
      </c>
    </row>
    <row r="460" spans="1:2" x14ac:dyDescent="0.25">
      <c r="A460" t="s">
        <v>98</v>
      </c>
      <c r="B460">
        <v>1020</v>
      </c>
    </row>
    <row r="461" spans="1:2" x14ac:dyDescent="0.25">
      <c r="A461" t="s">
        <v>98</v>
      </c>
      <c r="B461">
        <v>1020</v>
      </c>
    </row>
    <row r="462" spans="1:2" x14ac:dyDescent="0.25">
      <c r="A462" t="s">
        <v>98</v>
      </c>
      <c r="B462">
        <v>1020</v>
      </c>
    </row>
    <row r="463" spans="1:2" x14ac:dyDescent="0.25">
      <c r="A463" t="s">
        <v>98</v>
      </c>
      <c r="B463">
        <v>1020</v>
      </c>
    </row>
    <row r="464" spans="1:2" x14ac:dyDescent="0.25">
      <c r="A464" t="s">
        <v>98</v>
      </c>
      <c r="B464">
        <v>1020</v>
      </c>
    </row>
    <row r="465" spans="1:2" x14ac:dyDescent="0.25">
      <c r="A465" t="s">
        <v>98</v>
      </c>
      <c r="B465">
        <v>1020</v>
      </c>
    </row>
    <row r="466" spans="1:2" x14ac:dyDescent="0.25">
      <c r="A466" t="s">
        <v>98</v>
      </c>
      <c r="B466">
        <v>1020</v>
      </c>
    </row>
    <row r="467" spans="1:2" x14ac:dyDescent="0.25">
      <c r="A467" t="s">
        <v>98</v>
      </c>
      <c r="B467">
        <v>1020</v>
      </c>
    </row>
    <row r="468" spans="1:2" x14ac:dyDescent="0.25">
      <c r="A468" t="s">
        <v>98</v>
      </c>
      <c r="B468">
        <v>1020</v>
      </c>
    </row>
    <row r="469" spans="1:2" x14ac:dyDescent="0.25">
      <c r="A469" t="s">
        <v>98</v>
      </c>
      <c r="B469">
        <v>1020</v>
      </c>
    </row>
    <row r="470" spans="1:2" x14ac:dyDescent="0.25">
      <c r="A470" t="s">
        <v>98</v>
      </c>
      <c r="B470">
        <v>1020</v>
      </c>
    </row>
    <row r="471" spans="1:2" x14ac:dyDescent="0.25">
      <c r="A471" t="s">
        <v>98</v>
      </c>
      <c r="B471">
        <v>1020</v>
      </c>
    </row>
    <row r="472" spans="1:2" x14ac:dyDescent="0.25">
      <c r="A472" t="s">
        <v>98</v>
      </c>
      <c r="B472">
        <v>1020</v>
      </c>
    </row>
    <row r="473" spans="1:2" x14ac:dyDescent="0.25">
      <c r="A473" t="s">
        <v>98</v>
      </c>
      <c r="B473">
        <v>1020</v>
      </c>
    </row>
    <row r="474" spans="1:2" x14ac:dyDescent="0.25">
      <c r="A474" t="s">
        <v>98</v>
      </c>
      <c r="B474">
        <v>1020</v>
      </c>
    </row>
    <row r="475" spans="1:2" x14ac:dyDescent="0.25">
      <c r="A475" t="s">
        <v>98</v>
      </c>
      <c r="B475">
        <v>1020</v>
      </c>
    </row>
    <row r="476" spans="1:2" x14ac:dyDescent="0.25">
      <c r="A476" t="s">
        <v>98</v>
      </c>
      <c r="B476">
        <v>1020</v>
      </c>
    </row>
    <row r="477" spans="1:2" x14ac:dyDescent="0.25">
      <c r="A477" t="s">
        <v>98</v>
      </c>
      <c r="B477">
        <v>1020</v>
      </c>
    </row>
    <row r="478" spans="1:2" x14ac:dyDescent="0.25">
      <c r="A478" t="s">
        <v>98</v>
      </c>
      <c r="B478">
        <v>1020</v>
      </c>
    </row>
    <row r="479" spans="1:2" x14ac:dyDescent="0.25">
      <c r="A479" t="s">
        <v>98</v>
      </c>
      <c r="B479">
        <v>1020</v>
      </c>
    </row>
    <row r="480" spans="1:2" x14ac:dyDescent="0.25">
      <c r="A480" t="s">
        <v>98</v>
      </c>
      <c r="B480">
        <v>1020</v>
      </c>
    </row>
    <row r="481" spans="1:2" x14ac:dyDescent="0.25">
      <c r="A481" t="s">
        <v>98</v>
      </c>
      <c r="B481">
        <v>1020</v>
      </c>
    </row>
    <row r="482" spans="1:2" x14ac:dyDescent="0.25">
      <c r="A482" t="s">
        <v>98</v>
      </c>
      <c r="B482">
        <v>1020</v>
      </c>
    </row>
    <row r="483" spans="1:2" x14ac:dyDescent="0.25">
      <c r="A483" t="s">
        <v>98</v>
      </c>
      <c r="B483">
        <v>1020</v>
      </c>
    </row>
    <row r="484" spans="1:2" x14ac:dyDescent="0.25">
      <c r="A484" t="s">
        <v>98</v>
      </c>
      <c r="B484">
        <v>1020</v>
      </c>
    </row>
    <row r="485" spans="1:2" x14ac:dyDescent="0.25">
      <c r="A485" t="s">
        <v>98</v>
      </c>
      <c r="B485">
        <v>1020</v>
      </c>
    </row>
    <row r="486" spans="1:2" x14ac:dyDescent="0.25">
      <c r="A486" t="s">
        <v>98</v>
      </c>
      <c r="B486">
        <v>1020</v>
      </c>
    </row>
    <row r="487" spans="1:2" x14ac:dyDescent="0.25">
      <c r="A487" t="s">
        <v>98</v>
      </c>
      <c r="B487">
        <v>1020</v>
      </c>
    </row>
    <row r="488" spans="1:2" x14ac:dyDescent="0.25">
      <c r="A488" t="s">
        <v>98</v>
      </c>
      <c r="B488">
        <v>1020</v>
      </c>
    </row>
    <row r="489" spans="1:2" x14ac:dyDescent="0.25">
      <c r="A489" t="s">
        <v>98</v>
      </c>
      <c r="B489">
        <v>1020</v>
      </c>
    </row>
    <row r="490" spans="1:2" x14ac:dyDescent="0.25">
      <c r="A490" t="s">
        <v>98</v>
      </c>
      <c r="B490">
        <v>1020</v>
      </c>
    </row>
    <row r="491" spans="1:2" x14ac:dyDescent="0.25">
      <c r="A491" t="s">
        <v>98</v>
      </c>
      <c r="B491">
        <v>1020</v>
      </c>
    </row>
    <row r="492" spans="1:2" x14ac:dyDescent="0.25">
      <c r="A492" t="s">
        <v>98</v>
      </c>
      <c r="B492">
        <v>1020</v>
      </c>
    </row>
    <row r="493" spans="1:2" x14ac:dyDescent="0.25">
      <c r="A493" t="s">
        <v>98</v>
      </c>
      <c r="B493">
        <v>1020</v>
      </c>
    </row>
    <row r="494" spans="1:2" x14ac:dyDescent="0.25">
      <c r="A494" t="s">
        <v>98</v>
      </c>
      <c r="B494">
        <v>1020</v>
      </c>
    </row>
    <row r="495" spans="1:2" x14ac:dyDescent="0.25">
      <c r="A495" t="s">
        <v>98</v>
      </c>
      <c r="B495">
        <v>1020</v>
      </c>
    </row>
    <row r="496" spans="1:2" x14ac:dyDescent="0.25">
      <c r="A496" t="s">
        <v>98</v>
      </c>
      <c r="B496">
        <v>1020</v>
      </c>
    </row>
    <row r="497" spans="1:2" x14ac:dyDescent="0.25">
      <c r="A497" t="s">
        <v>98</v>
      </c>
      <c r="B497">
        <v>1020</v>
      </c>
    </row>
    <row r="498" spans="1:2" x14ac:dyDescent="0.25">
      <c r="A498" t="s">
        <v>98</v>
      </c>
      <c r="B498">
        <v>1020</v>
      </c>
    </row>
    <row r="499" spans="1:2" x14ac:dyDescent="0.25">
      <c r="A499" t="s">
        <v>98</v>
      </c>
      <c r="B499">
        <v>1020</v>
      </c>
    </row>
    <row r="500" spans="1:2" x14ac:dyDescent="0.25">
      <c r="A500" t="s">
        <v>98</v>
      </c>
      <c r="B500">
        <v>1020</v>
      </c>
    </row>
    <row r="501" spans="1:2" x14ac:dyDescent="0.25">
      <c r="A501" t="s">
        <v>98</v>
      </c>
      <c r="B501">
        <v>1020</v>
      </c>
    </row>
    <row r="502" spans="1:2" x14ac:dyDescent="0.25">
      <c r="A502" t="s">
        <v>98</v>
      </c>
      <c r="B502">
        <v>1020</v>
      </c>
    </row>
    <row r="503" spans="1:2" x14ac:dyDescent="0.25">
      <c r="A503" t="s">
        <v>98</v>
      </c>
      <c r="B503">
        <v>1020</v>
      </c>
    </row>
    <row r="504" spans="1:2" x14ac:dyDescent="0.25">
      <c r="A504" t="s">
        <v>98</v>
      </c>
      <c r="B504">
        <v>1020</v>
      </c>
    </row>
    <row r="505" spans="1:2" x14ac:dyDescent="0.25">
      <c r="A505" t="s">
        <v>98</v>
      </c>
      <c r="B505">
        <v>1020</v>
      </c>
    </row>
    <row r="506" spans="1:2" x14ac:dyDescent="0.25">
      <c r="A506" t="s">
        <v>98</v>
      </c>
      <c r="B506">
        <v>1020</v>
      </c>
    </row>
    <row r="507" spans="1:2" x14ac:dyDescent="0.25">
      <c r="A507" t="s">
        <v>98</v>
      </c>
      <c r="B507">
        <v>1020</v>
      </c>
    </row>
    <row r="508" spans="1:2" x14ac:dyDescent="0.25">
      <c r="A508" t="s">
        <v>98</v>
      </c>
      <c r="B508">
        <v>1020</v>
      </c>
    </row>
    <row r="509" spans="1:2" x14ac:dyDescent="0.25">
      <c r="A509" t="s">
        <v>98</v>
      </c>
      <c r="B509">
        <v>1020</v>
      </c>
    </row>
    <row r="510" spans="1:2" x14ac:dyDescent="0.25">
      <c r="A510" t="s">
        <v>98</v>
      </c>
      <c r="B510">
        <v>1020</v>
      </c>
    </row>
    <row r="511" spans="1:2" x14ac:dyDescent="0.25">
      <c r="A511" t="s">
        <v>98</v>
      </c>
      <c r="B511">
        <v>1020</v>
      </c>
    </row>
    <row r="512" spans="1:2" x14ac:dyDescent="0.25">
      <c r="A512" t="s">
        <v>98</v>
      </c>
      <c r="B512">
        <v>1020</v>
      </c>
    </row>
    <row r="513" spans="1:2" x14ac:dyDescent="0.25">
      <c r="A513" t="s">
        <v>98</v>
      </c>
      <c r="B513">
        <v>1020</v>
      </c>
    </row>
    <row r="514" spans="1:2" x14ac:dyDescent="0.25">
      <c r="A514" t="s">
        <v>98</v>
      </c>
      <c r="B514">
        <v>1020</v>
      </c>
    </row>
    <row r="515" spans="1:2" x14ac:dyDescent="0.25">
      <c r="A515" t="s">
        <v>98</v>
      </c>
      <c r="B515">
        <v>1020</v>
      </c>
    </row>
    <row r="516" spans="1:2" x14ac:dyDescent="0.25">
      <c r="A516" t="s">
        <v>98</v>
      </c>
      <c r="B516">
        <v>1020</v>
      </c>
    </row>
    <row r="517" spans="1:2" x14ac:dyDescent="0.25">
      <c r="A517" t="s">
        <v>98</v>
      </c>
      <c r="B517">
        <v>1020</v>
      </c>
    </row>
    <row r="518" spans="1:2" x14ac:dyDescent="0.25">
      <c r="A518" t="s">
        <v>98</v>
      </c>
      <c r="B518">
        <v>1020</v>
      </c>
    </row>
    <row r="519" spans="1:2" x14ac:dyDescent="0.25">
      <c r="A519" t="s">
        <v>98</v>
      </c>
      <c r="B519">
        <v>1020</v>
      </c>
    </row>
    <row r="520" spans="1:2" x14ac:dyDescent="0.25">
      <c r="A520" t="s">
        <v>98</v>
      </c>
      <c r="B520">
        <v>1020</v>
      </c>
    </row>
    <row r="521" spans="1:2" x14ac:dyDescent="0.25">
      <c r="A521" t="s">
        <v>98</v>
      </c>
      <c r="B521">
        <v>1020</v>
      </c>
    </row>
    <row r="522" spans="1:2" x14ac:dyDescent="0.25">
      <c r="A522" t="s">
        <v>98</v>
      </c>
      <c r="B522">
        <v>1020</v>
      </c>
    </row>
    <row r="523" spans="1:2" x14ac:dyDescent="0.25">
      <c r="A523" t="s">
        <v>98</v>
      </c>
      <c r="B523">
        <v>1020</v>
      </c>
    </row>
    <row r="524" spans="1:2" x14ac:dyDescent="0.25">
      <c r="A524" t="s">
        <v>98</v>
      </c>
      <c r="B524">
        <v>1020</v>
      </c>
    </row>
    <row r="525" spans="1:2" x14ac:dyDescent="0.25">
      <c r="A525" t="s">
        <v>98</v>
      </c>
      <c r="B525">
        <v>1020</v>
      </c>
    </row>
    <row r="526" spans="1:2" x14ac:dyDescent="0.25">
      <c r="A526" t="s">
        <v>98</v>
      </c>
      <c r="B526">
        <v>1020</v>
      </c>
    </row>
    <row r="527" spans="1:2" x14ac:dyDescent="0.25">
      <c r="A527" t="s">
        <v>98</v>
      </c>
      <c r="B527">
        <v>1020</v>
      </c>
    </row>
    <row r="528" spans="1:2" x14ac:dyDescent="0.25">
      <c r="A528" t="s">
        <v>98</v>
      </c>
      <c r="B528">
        <v>1020</v>
      </c>
    </row>
    <row r="529" spans="1:2" x14ac:dyDescent="0.25">
      <c r="A529" t="s">
        <v>98</v>
      </c>
      <c r="B529">
        <v>1020</v>
      </c>
    </row>
    <row r="530" spans="1:2" x14ac:dyDescent="0.25">
      <c r="A530" t="s">
        <v>98</v>
      </c>
      <c r="B530">
        <v>1020</v>
      </c>
    </row>
    <row r="531" spans="1:2" x14ac:dyDescent="0.25">
      <c r="A531" t="s">
        <v>98</v>
      </c>
      <c r="B531">
        <v>1020</v>
      </c>
    </row>
    <row r="532" spans="1:2" x14ac:dyDescent="0.25">
      <c r="A532" t="s">
        <v>98</v>
      </c>
      <c r="B532">
        <v>1020</v>
      </c>
    </row>
    <row r="533" spans="1:2" x14ac:dyDescent="0.25">
      <c r="A533" t="s">
        <v>98</v>
      </c>
      <c r="B533">
        <v>1020</v>
      </c>
    </row>
    <row r="534" spans="1:2" x14ac:dyDescent="0.25">
      <c r="A534" t="s">
        <v>98</v>
      </c>
      <c r="B534">
        <v>1020</v>
      </c>
    </row>
    <row r="535" spans="1:2" x14ac:dyDescent="0.25">
      <c r="A535" t="s">
        <v>98</v>
      </c>
      <c r="B535">
        <v>1020</v>
      </c>
    </row>
    <row r="536" spans="1:2" x14ac:dyDescent="0.25">
      <c r="A536" t="s">
        <v>98</v>
      </c>
      <c r="B536">
        <v>1020</v>
      </c>
    </row>
    <row r="537" spans="1:2" x14ac:dyDescent="0.25">
      <c r="A537" t="s">
        <v>98</v>
      </c>
      <c r="B537">
        <v>1020</v>
      </c>
    </row>
    <row r="538" spans="1:2" x14ac:dyDescent="0.25">
      <c r="A538" t="s">
        <v>98</v>
      </c>
      <c r="B538">
        <v>1020</v>
      </c>
    </row>
    <row r="539" spans="1:2" x14ac:dyDescent="0.25">
      <c r="A539" t="s">
        <v>98</v>
      </c>
      <c r="B539">
        <v>1020</v>
      </c>
    </row>
    <row r="540" spans="1:2" x14ac:dyDescent="0.25">
      <c r="A540" t="s">
        <v>98</v>
      </c>
      <c r="B540">
        <v>1020</v>
      </c>
    </row>
    <row r="541" spans="1:2" x14ac:dyDescent="0.25">
      <c r="A541" t="s">
        <v>98</v>
      </c>
      <c r="B541">
        <v>1020</v>
      </c>
    </row>
    <row r="542" spans="1:2" x14ac:dyDescent="0.25">
      <c r="A542" t="s">
        <v>98</v>
      </c>
      <c r="B542">
        <v>1020</v>
      </c>
    </row>
    <row r="543" spans="1:2" x14ac:dyDescent="0.25">
      <c r="A543" t="s">
        <v>98</v>
      </c>
      <c r="B543">
        <v>1020</v>
      </c>
    </row>
    <row r="544" spans="1:2" x14ac:dyDescent="0.25">
      <c r="A544" t="s">
        <v>98</v>
      </c>
      <c r="B544">
        <v>1020</v>
      </c>
    </row>
    <row r="545" spans="1:2" x14ac:dyDescent="0.25">
      <c r="A545" t="s">
        <v>98</v>
      </c>
      <c r="B545">
        <v>1020</v>
      </c>
    </row>
    <row r="546" spans="1:2" x14ac:dyDescent="0.25">
      <c r="A546" t="s">
        <v>98</v>
      </c>
      <c r="B546">
        <v>1020</v>
      </c>
    </row>
    <row r="547" spans="1:2" x14ac:dyDescent="0.25">
      <c r="A547" t="s">
        <v>98</v>
      </c>
      <c r="B547">
        <v>1020</v>
      </c>
    </row>
    <row r="548" spans="1:2" x14ac:dyDescent="0.25">
      <c r="A548" t="s">
        <v>98</v>
      </c>
      <c r="B548">
        <v>1020</v>
      </c>
    </row>
    <row r="549" spans="1:2" x14ac:dyDescent="0.25">
      <c r="A549" t="s">
        <v>98</v>
      </c>
      <c r="B549">
        <v>1020</v>
      </c>
    </row>
    <row r="550" spans="1:2" x14ac:dyDescent="0.25">
      <c r="A550" t="s">
        <v>98</v>
      </c>
      <c r="B550">
        <v>1020</v>
      </c>
    </row>
    <row r="551" spans="1:2" x14ac:dyDescent="0.25">
      <c r="A551" t="s">
        <v>98</v>
      </c>
      <c r="B551">
        <v>1020</v>
      </c>
    </row>
    <row r="552" spans="1:2" x14ac:dyDescent="0.25">
      <c r="A552" t="s">
        <v>98</v>
      </c>
      <c r="B552">
        <v>1020</v>
      </c>
    </row>
    <row r="553" spans="1:2" x14ac:dyDescent="0.25">
      <c r="A553" t="s">
        <v>98</v>
      </c>
      <c r="B553">
        <v>1020</v>
      </c>
    </row>
    <row r="554" spans="1:2" x14ac:dyDescent="0.25">
      <c r="A554" t="s">
        <v>98</v>
      </c>
      <c r="B554">
        <v>1020</v>
      </c>
    </row>
    <row r="555" spans="1:2" x14ac:dyDescent="0.25">
      <c r="A555" t="s">
        <v>98</v>
      </c>
      <c r="B555">
        <v>1020</v>
      </c>
    </row>
    <row r="556" spans="1:2" x14ac:dyDescent="0.25">
      <c r="A556" t="s">
        <v>98</v>
      </c>
      <c r="B556">
        <v>1020</v>
      </c>
    </row>
    <row r="557" spans="1:2" x14ac:dyDescent="0.25">
      <c r="A557" t="s">
        <v>98</v>
      </c>
      <c r="B557">
        <v>1020</v>
      </c>
    </row>
    <row r="558" spans="1:2" x14ac:dyDescent="0.25">
      <c r="A558" t="s">
        <v>98</v>
      </c>
      <c r="B558">
        <v>1020</v>
      </c>
    </row>
    <row r="559" spans="1:2" x14ac:dyDescent="0.25">
      <c r="A559" t="s">
        <v>98</v>
      </c>
      <c r="B559">
        <v>1020</v>
      </c>
    </row>
    <row r="560" spans="1:2" x14ac:dyDescent="0.25">
      <c r="A560" t="s">
        <v>98</v>
      </c>
      <c r="B560">
        <v>1020</v>
      </c>
    </row>
    <row r="561" spans="1:2" x14ac:dyDescent="0.25">
      <c r="A561" t="s">
        <v>98</v>
      </c>
      <c r="B561">
        <v>1020</v>
      </c>
    </row>
    <row r="562" spans="1:2" x14ac:dyDescent="0.25">
      <c r="A562" t="s">
        <v>98</v>
      </c>
      <c r="B562">
        <v>1020</v>
      </c>
    </row>
    <row r="563" spans="1:2" x14ac:dyDescent="0.25">
      <c r="A563" t="s">
        <v>98</v>
      </c>
      <c r="B563">
        <v>1020</v>
      </c>
    </row>
    <row r="564" spans="1:2" x14ac:dyDescent="0.25">
      <c r="A564" t="s">
        <v>98</v>
      </c>
      <c r="B564">
        <v>1020</v>
      </c>
    </row>
    <row r="565" spans="1:2" x14ac:dyDescent="0.25">
      <c r="A565" t="s">
        <v>98</v>
      </c>
      <c r="B565">
        <v>1020</v>
      </c>
    </row>
    <row r="566" spans="1:2" x14ac:dyDescent="0.25">
      <c r="A566" t="s">
        <v>98</v>
      </c>
      <c r="B566">
        <v>1020</v>
      </c>
    </row>
    <row r="567" spans="1:2" x14ac:dyDescent="0.25">
      <c r="A567" t="s">
        <v>98</v>
      </c>
      <c r="B567">
        <v>1020</v>
      </c>
    </row>
    <row r="568" spans="1:2" x14ac:dyDescent="0.25">
      <c r="A568" t="s">
        <v>98</v>
      </c>
      <c r="B568">
        <v>1020</v>
      </c>
    </row>
    <row r="569" spans="1:2" x14ac:dyDescent="0.25">
      <c r="A569" t="s">
        <v>98</v>
      </c>
      <c r="B569">
        <v>1020</v>
      </c>
    </row>
    <row r="570" spans="1:2" x14ac:dyDescent="0.25">
      <c r="A570" t="s">
        <v>98</v>
      </c>
      <c r="B570">
        <v>1020</v>
      </c>
    </row>
    <row r="571" spans="1:2" x14ac:dyDescent="0.25">
      <c r="A571" t="s">
        <v>98</v>
      </c>
      <c r="B571">
        <v>1020</v>
      </c>
    </row>
    <row r="572" spans="1:2" x14ac:dyDescent="0.25">
      <c r="A572" t="s">
        <v>98</v>
      </c>
      <c r="B572">
        <v>1020</v>
      </c>
    </row>
    <row r="573" spans="1:2" x14ac:dyDescent="0.25">
      <c r="A573" t="s">
        <v>98</v>
      </c>
      <c r="B573">
        <v>1020</v>
      </c>
    </row>
    <row r="574" spans="1:2" x14ac:dyDescent="0.25">
      <c r="A574" t="s">
        <v>98</v>
      </c>
      <c r="B574">
        <v>1020</v>
      </c>
    </row>
    <row r="575" spans="1:2" x14ac:dyDescent="0.25">
      <c r="A575" t="s">
        <v>98</v>
      </c>
      <c r="B575">
        <v>1020</v>
      </c>
    </row>
    <row r="576" spans="1:2" x14ac:dyDescent="0.25">
      <c r="A576" t="s">
        <v>98</v>
      </c>
      <c r="B576">
        <v>1020</v>
      </c>
    </row>
    <row r="577" spans="1:2" x14ac:dyDescent="0.25">
      <c r="A577" t="s">
        <v>98</v>
      </c>
      <c r="B577">
        <v>1020</v>
      </c>
    </row>
    <row r="578" spans="1:2" x14ac:dyDescent="0.25">
      <c r="A578" t="s">
        <v>98</v>
      </c>
      <c r="B578">
        <v>1020</v>
      </c>
    </row>
    <row r="579" spans="1:2" x14ac:dyDescent="0.25">
      <c r="A579" t="s">
        <v>98</v>
      </c>
      <c r="B579">
        <v>1020</v>
      </c>
    </row>
    <row r="580" spans="1:2" x14ac:dyDescent="0.25">
      <c r="A580" t="s">
        <v>98</v>
      </c>
      <c r="B580">
        <v>1020</v>
      </c>
    </row>
    <row r="581" spans="1:2" x14ac:dyDescent="0.25">
      <c r="A581" t="s">
        <v>98</v>
      </c>
      <c r="B581">
        <v>1020</v>
      </c>
    </row>
    <row r="582" spans="1:2" x14ac:dyDescent="0.25">
      <c r="A582" t="s">
        <v>98</v>
      </c>
      <c r="B582">
        <v>1020</v>
      </c>
    </row>
    <row r="583" spans="1:2" x14ac:dyDescent="0.25">
      <c r="A583" t="s">
        <v>98</v>
      </c>
      <c r="B583">
        <v>1020</v>
      </c>
    </row>
    <row r="584" spans="1:2" x14ac:dyDescent="0.25">
      <c r="A584" t="s">
        <v>98</v>
      </c>
      <c r="B584">
        <v>1020</v>
      </c>
    </row>
    <row r="585" spans="1:2" x14ac:dyDescent="0.25">
      <c r="A585" t="s">
        <v>98</v>
      </c>
      <c r="B585">
        <v>1020</v>
      </c>
    </row>
    <row r="586" spans="1:2" x14ac:dyDescent="0.25">
      <c r="A586" t="s">
        <v>98</v>
      </c>
      <c r="B586">
        <v>1020</v>
      </c>
    </row>
    <row r="587" spans="1:2" x14ac:dyDescent="0.25">
      <c r="A587" t="s">
        <v>98</v>
      </c>
      <c r="B587">
        <v>1020</v>
      </c>
    </row>
    <row r="588" spans="1:2" x14ac:dyDescent="0.25">
      <c r="A588" t="s">
        <v>98</v>
      </c>
      <c r="B588">
        <v>1020</v>
      </c>
    </row>
    <row r="589" spans="1:2" x14ac:dyDescent="0.25">
      <c r="A589" t="s">
        <v>98</v>
      </c>
      <c r="B589">
        <v>1020</v>
      </c>
    </row>
    <row r="590" spans="1:2" x14ac:dyDescent="0.25">
      <c r="A590" t="s">
        <v>98</v>
      </c>
      <c r="B590">
        <v>1020</v>
      </c>
    </row>
    <row r="591" spans="1:2" x14ac:dyDescent="0.25">
      <c r="A591" t="s">
        <v>98</v>
      </c>
      <c r="B591">
        <v>1020</v>
      </c>
    </row>
    <row r="592" spans="1:2" x14ac:dyDescent="0.25">
      <c r="A592" t="s">
        <v>98</v>
      </c>
      <c r="B592">
        <v>1020</v>
      </c>
    </row>
    <row r="593" spans="1:2" x14ac:dyDescent="0.25">
      <c r="A593" t="s">
        <v>98</v>
      </c>
      <c r="B593">
        <v>1020</v>
      </c>
    </row>
    <row r="594" spans="1:2" x14ac:dyDescent="0.25">
      <c r="A594" t="s">
        <v>98</v>
      </c>
      <c r="B594">
        <v>1020</v>
      </c>
    </row>
    <row r="595" spans="1:2" x14ac:dyDescent="0.25">
      <c r="A595" t="s">
        <v>98</v>
      </c>
      <c r="B595">
        <v>1020</v>
      </c>
    </row>
    <row r="596" spans="1:2" x14ac:dyDescent="0.25">
      <c r="A596" t="s">
        <v>98</v>
      </c>
      <c r="B596">
        <v>1020</v>
      </c>
    </row>
    <row r="597" spans="1:2" x14ac:dyDescent="0.25">
      <c r="A597" t="s">
        <v>98</v>
      </c>
      <c r="B597">
        <v>1020</v>
      </c>
    </row>
    <row r="598" spans="1:2" x14ac:dyDescent="0.25">
      <c r="A598" t="s">
        <v>98</v>
      </c>
      <c r="B598">
        <v>1020</v>
      </c>
    </row>
    <row r="599" spans="1:2" x14ac:dyDescent="0.25">
      <c r="A599" t="s">
        <v>98</v>
      </c>
      <c r="B599">
        <v>1020</v>
      </c>
    </row>
    <row r="600" spans="1:2" x14ac:dyDescent="0.25">
      <c r="A600" t="s">
        <v>98</v>
      </c>
      <c r="B600">
        <v>1020</v>
      </c>
    </row>
    <row r="601" spans="1:2" x14ac:dyDescent="0.25">
      <c r="A601" t="s">
        <v>98</v>
      </c>
      <c r="B601">
        <v>1020</v>
      </c>
    </row>
    <row r="602" spans="1:2" x14ac:dyDescent="0.25">
      <c r="A602" t="s">
        <v>98</v>
      </c>
      <c r="B602">
        <v>1020</v>
      </c>
    </row>
    <row r="603" spans="1:2" x14ac:dyDescent="0.25">
      <c r="A603" t="s">
        <v>98</v>
      </c>
      <c r="B603">
        <v>1020</v>
      </c>
    </row>
    <row r="604" spans="1:2" x14ac:dyDescent="0.25">
      <c r="A604" t="s">
        <v>98</v>
      </c>
      <c r="B604">
        <v>1020</v>
      </c>
    </row>
    <row r="605" spans="1:2" x14ac:dyDescent="0.25">
      <c r="A605" t="s">
        <v>98</v>
      </c>
      <c r="B605">
        <v>1020</v>
      </c>
    </row>
    <row r="606" spans="1:2" x14ac:dyDescent="0.25">
      <c r="A606" t="s">
        <v>98</v>
      </c>
      <c r="B606">
        <v>1020</v>
      </c>
    </row>
    <row r="607" spans="1:2" x14ac:dyDescent="0.25">
      <c r="A607" t="s">
        <v>98</v>
      </c>
      <c r="B607">
        <v>1020</v>
      </c>
    </row>
    <row r="608" spans="1:2" x14ac:dyDescent="0.25">
      <c r="A608" t="s">
        <v>98</v>
      </c>
      <c r="B608">
        <v>1020</v>
      </c>
    </row>
    <row r="609" spans="1:2" x14ac:dyDescent="0.25">
      <c r="A609" t="s">
        <v>98</v>
      </c>
      <c r="B609">
        <v>1020</v>
      </c>
    </row>
    <row r="610" spans="1:2" x14ac:dyDescent="0.25">
      <c r="A610" t="s">
        <v>98</v>
      </c>
      <c r="B610">
        <v>1020</v>
      </c>
    </row>
    <row r="611" spans="1:2" x14ac:dyDescent="0.25">
      <c r="A611" t="s">
        <v>98</v>
      </c>
      <c r="B611">
        <v>1020</v>
      </c>
    </row>
    <row r="612" spans="1:2" x14ac:dyDescent="0.25">
      <c r="A612" t="s">
        <v>98</v>
      </c>
      <c r="B612">
        <v>1020</v>
      </c>
    </row>
    <row r="613" spans="1:2" x14ac:dyDescent="0.25">
      <c r="A613" t="s">
        <v>98</v>
      </c>
      <c r="B613">
        <v>1020</v>
      </c>
    </row>
    <row r="614" spans="1:2" x14ac:dyDescent="0.25">
      <c r="A614" t="s">
        <v>98</v>
      </c>
      <c r="B614">
        <v>1020</v>
      </c>
    </row>
    <row r="615" spans="1:2" x14ac:dyDescent="0.25">
      <c r="A615" t="s">
        <v>98</v>
      </c>
      <c r="B615">
        <v>1020</v>
      </c>
    </row>
    <row r="616" spans="1:2" x14ac:dyDescent="0.25">
      <c r="A616" t="s">
        <v>98</v>
      </c>
      <c r="B616">
        <v>1020</v>
      </c>
    </row>
    <row r="617" spans="1:2" x14ac:dyDescent="0.25">
      <c r="A617" t="s">
        <v>98</v>
      </c>
      <c r="B617">
        <v>1020</v>
      </c>
    </row>
    <row r="618" spans="1:2" x14ac:dyDescent="0.25">
      <c r="A618" t="s">
        <v>98</v>
      </c>
      <c r="B618">
        <v>1020</v>
      </c>
    </row>
    <row r="619" spans="1:2" x14ac:dyDescent="0.25">
      <c r="A619" t="s">
        <v>98</v>
      </c>
      <c r="B619">
        <v>1020</v>
      </c>
    </row>
    <row r="620" spans="1:2" x14ac:dyDescent="0.25">
      <c r="A620" t="s">
        <v>98</v>
      </c>
      <c r="B620">
        <v>1020</v>
      </c>
    </row>
    <row r="621" spans="1:2" x14ac:dyDescent="0.25">
      <c r="A621" t="s">
        <v>98</v>
      </c>
      <c r="B621">
        <v>1020</v>
      </c>
    </row>
    <row r="622" spans="1:2" x14ac:dyDescent="0.25">
      <c r="A622" t="s">
        <v>98</v>
      </c>
      <c r="B622">
        <v>1020</v>
      </c>
    </row>
    <row r="623" spans="1:2" x14ac:dyDescent="0.25">
      <c r="A623" t="s">
        <v>98</v>
      </c>
      <c r="B623">
        <v>1020</v>
      </c>
    </row>
    <row r="624" spans="1:2" x14ac:dyDescent="0.25">
      <c r="A624" t="s">
        <v>98</v>
      </c>
      <c r="B624">
        <v>1020</v>
      </c>
    </row>
    <row r="625" spans="1:2" x14ac:dyDescent="0.25">
      <c r="A625" t="s">
        <v>98</v>
      </c>
      <c r="B625">
        <v>1020</v>
      </c>
    </row>
    <row r="626" spans="1:2" x14ac:dyDescent="0.25">
      <c r="A626" t="s">
        <v>98</v>
      </c>
      <c r="B626">
        <v>1020</v>
      </c>
    </row>
    <row r="627" spans="1:2" x14ac:dyDescent="0.25">
      <c r="A627" t="s">
        <v>98</v>
      </c>
      <c r="B627">
        <v>1020</v>
      </c>
    </row>
    <row r="628" spans="1:2" x14ac:dyDescent="0.25">
      <c r="A628" t="s">
        <v>98</v>
      </c>
      <c r="B628">
        <v>1020</v>
      </c>
    </row>
    <row r="629" spans="1:2" x14ac:dyDescent="0.25">
      <c r="A629" t="s">
        <v>98</v>
      </c>
      <c r="B629">
        <v>1020</v>
      </c>
    </row>
    <row r="630" spans="1:2" x14ac:dyDescent="0.25">
      <c r="A630" t="s">
        <v>98</v>
      </c>
      <c r="B630">
        <v>1020</v>
      </c>
    </row>
    <row r="631" spans="1:2" x14ac:dyDescent="0.25">
      <c r="A631" t="s">
        <v>98</v>
      </c>
      <c r="B631">
        <v>1020</v>
      </c>
    </row>
    <row r="632" spans="1:2" x14ac:dyDescent="0.25">
      <c r="A632" t="s">
        <v>98</v>
      </c>
      <c r="B632">
        <v>1020</v>
      </c>
    </row>
    <row r="633" spans="1:2" x14ac:dyDescent="0.25">
      <c r="A633" t="s">
        <v>98</v>
      </c>
      <c r="B633">
        <v>1020</v>
      </c>
    </row>
    <row r="634" spans="1:2" x14ac:dyDescent="0.25">
      <c r="A634" t="s">
        <v>98</v>
      </c>
      <c r="B634">
        <v>1020</v>
      </c>
    </row>
    <row r="635" spans="1:2" x14ac:dyDescent="0.25">
      <c r="A635" t="s">
        <v>98</v>
      </c>
      <c r="B635">
        <v>1020</v>
      </c>
    </row>
    <row r="636" spans="1:2" x14ac:dyDescent="0.25">
      <c r="A636" t="s">
        <v>98</v>
      </c>
      <c r="B636">
        <v>1020</v>
      </c>
    </row>
    <row r="637" spans="1:2" x14ac:dyDescent="0.25">
      <c r="A637" t="s">
        <v>98</v>
      </c>
      <c r="B637">
        <v>1020</v>
      </c>
    </row>
    <row r="638" spans="1:2" x14ac:dyDescent="0.25">
      <c r="A638" t="s">
        <v>98</v>
      </c>
      <c r="B638">
        <v>1020</v>
      </c>
    </row>
    <row r="639" spans="1:2" x14ac:dyDescent="0.25">
      <c r="A639" t="s">
        <v>98</v>
      </c>
      <c r="B639">
        <v>1020</v>
      </c>
    </row>
    <row r="640" spans="1:2" x14ac:dyDescent="0.25">
      <c r="A640" t="s">
        <v>98</v>
      </c>
      <c r="B640">
        <v>1020</v>
      </c>
    </row>
    <row r="641" spans="1:2" x14ac:dyDescent="0.25">
      <c r="A641" t="s">
        <v>98</v>
      </c>
      <c r="B641">
        <v>1020</v>
      </c>
    </row>
    <row r="642" spans="1:2" x14ac:dyDescent="0.25">
      <c r="A642" t="s">
        <v>98</v>
      </c>
      <c r="B642">
        <v>1020</v>
      </c>
    </row>
    <row r="643" spans="1:2" x14ac:dyDescent="0.25">
      <c r="A643" t="s">
        <v>98</v>
      </c>
      <c r="B643">
        <v>1020</v>
      </c>
    </row>
    <row r="644" spans="1:2" x14ac:dyDescent="0.25">
      <c r="A644" t="s">
        <v>98</v>
      </c>
      <c r="B644">
        <v>1020</v>
      </c>
    </row>
    <row r="645" spans="1:2" x14ac:dyDescent="0.25">
      <c r="A645" t="s">
        <v>98</v>
      </c>
      <c r="B645">
        <v>1020</v>
      </c>
    </row>
    <row r="646" spans="1:2" x14ac:dyDescent="0.25">
      <c r="A646" t="s">
        <v>98</v>
      </c>
      <c r="B646">
        <v>1020</v>
      </c>
    </row>
    <row r="647" spans="1:2" x14ac:dyDescent="0.25">
      <c r="A647" t="s">
        <v>98</v>
      </c>
      <c r="B647">
        <v>1020</v>
      </c>
    </row>
    <row r="648" spans="1:2" x14ac:dyDescent="0.25">
      <c r="A648" t="s">
        <v>98</v>
      </c>
      <c r="B648">
        <v>1020</v>
      </c>
    </row>
    <row r="649" spans="1:2" x14ac:dyDescent="0.25">
      <c r="A649" t="s">
        <v>98</v>
      </c>
      <c r="B649">
        <v>1020</v>
      </c>
    </row>
    <row r="650" spans="1:2" x14ac:dyDescent="0.25">
      <c r="A650" t="s">
        <v>98</v>
      </c>
      <c r="B650">
        <v>1020</v>
      </c>
    </row>
    <row r="651" spans="1:2" x14ac:dyDescent="0.25">
      <c r="A651" t="s">
        <v>98</v>
      </c>
      <c r="B651">
        <v>1020</v>
      </c>
    </row>
    <row r="652" spans="1:2" x14ac:dyDescent="0.25">
      <c r="A652" t="s">
        <v>98</v>
      </c>
      <c r="B652">
        <v>1020</v>
      </c>
    </row>
    <row r="653" spans="1:2" x14ac:dyDescent="0.25">
      <c r="A653" t="s">
        <v>98</v>
      </c>
      <c r="B653">
        <v>1020</v>
      </c>
    </row>
    <row r="654" spans="1:2" x14ac:dyDescent="0.25">
      <c r="A654" t="s">
        <v>98</v>
      </c>
      <c r="B654">
        <v>1020</v>
      </c>
    </row>
    <row r="655" spans="1:2" x14ac:dyDescent="0.25">
      <c r="A655" t="s">
        <v>98</v>
      </c>
      <c r="B655">
        <v>1020</v>
      </c>
    </row>
    <row r="656" spans="1:2" x14ac:dyDescent="0.25">
      <c r="A656" t="s">
        <v>98</v>
      </c>
      <c r="B656">
        <v>1020</v>
      </c>
    </row>
    <row r="657" spans="1:2" x14ac:dyDescent="0.25">
      <c r="A657" t="s">
        <v>98</v>
      </c>
      <c r="B657">
        <v>1020</v>
      </c>
    </row>
    <row r="658" spans="1:2" x14ac:dyDescent="0.25">
      <c r="A658" t="s">
        <v>98</v>
      </c>
      <c r="B658">
        <v>1020</v>
      </c>
    </row>
    <row r="659" spans="1:2" x14ac:dyDescent="0.25">
      <c r="A659" t="s">
        <v>98</v>
      </c>
      <c r="B659">
        <v>1020</v>
      </c>
    </row>
    <row r="660" spans="1:2" x14ac:dyDescent="0.25">
      <c r="A660" t="s">
        <v>98</v>
      </c>
      <c r="B660">
        <v>1020</v>
      </c>
    </row>
    <row r="661" spans="1:2" x14ac:dyDescent="0.25">
      <c r="A661" t="s">
        <v>98</v>
      </c>
      <c r="B661">
        <v>1020</v>
      </c>
    </row>
    <row r="662" spans="1:2" x14ac:dyDescent="0.25">
      <c r="A662" t="s">
        <v>98</v>
      </c>
      <c r="B662">
        <v>1020</v>
      </c>
    </row>
    <row r="663" spans="1:2" x14ac:dyDescent="0.25">
      <c r="A663" t="s">
        <v>98</v>
      </c>
      <c r="B663">
        <v>1020</v>
      </c>
    </row>
    <row r="664" spans="1:2" x14ac:dyDescent="0.25">
      <c r="A664" t="s">
        <v>98</v>
      </c>
      <c r="B664">
        <v>1020</v>
      </c>
    </row>
    <row r="665" spans="1:2" x14ac:dyDescent="0.25">
      <c r="A665" t="s">
        <v>98</v>
      </c>
      <c r="B665">
        <v>1020</v>
      </c>
    </row>
    <row r="666" spans="1:2" x14ac:dyDescent="0.25">
      <c r="A666" t="s">
        <v>98</v>
      </c>
      <c r="B666">
        <v>1020</v>
      </c>
    </row>
    <row r="667" spans="1:2" x14ac:dyDescent="0.25">
      <c r="A667" t="s">
        <v>98</v>
      </c>
      <c r="B667">
        <v>1020</v>
      </c>
    </row>
    <row r="668" spans="1:2" x14ac:dyDescent="0.25">
      <c r="A668" t="s">
        <v>98</v>
      </c>
      <c r="B668">
        <v>1020</v>
      </c>
    </row>
    <row r="669" spans="1:2" x14ac:dyDescent="0.25">
      <c r="A669" t="s">
        <v>98</v>
      </c>
      <c r="B669">
        <v>1020</v>
      </c>
    </row>
    <row r="670" spans="1:2" x14ac:dyDescent="0.25">
      <c r="A670" t="s">
        <v>98</v>
      </c>
      <c r="B670">
        <v>1020</v>
      </c>
    </row>
    <row r="671" spans="1:2" x14ac:dyDescent="0.25">
      <c r="A671" t="s">
        <v>98</v>
      </c>
      <c r="B671">
        <v>1020</v>
      </c>
    </row>
    <row r="672" spans="1:2" x14ac:dyDescent="0.25">
      <c r="A672" t="s">
        <v>98</v>
      </c>
      <c r="B672">
        <v>1020</v>
      </c>
    </row>
    <row r="673" spans="1:2" x14ac:dyDescent="0.25">
      <c r="A673" t="s">
        <v>98</v>
      </c>
      <c r="B673">
        <v>1020</v>
      </c>
    </row>
    <row r="674" spans="1:2" x14ac:dyDescent="0.25">
      <c r="A674" t="s">
        <v>98</v>
      </c>
      <c r="B674">
        <v>1020</v>
      </c>
    </row>
    <row r="675" spans="1:2" x14ac:dyDescent="0.25">
      <c r="A675" t="s">
        <v>98</v>
      </c>
      <c r="B675">
        <v>1020</v>
      </c>
    </row>
    <row r="676" spans="1:2" x14ac:dyDescent="0.25">
      <c r="A676" t="s">
        <v>98</v>
      </c>
      <c r="B676">
        <v>1020</v>
      </c>
    </row>
    <row r="677" spans="1:2" x14ac:dyDescent="0.25">
      <c r="A677" t="s">
        <v>98</v>
      </c>
      <c r="B677">
        <v>1020</v>
      </c>
    </row>
    <row r="678" spans="1:2" x14ac:dyDescent="0.25">
      <c r="A678" t="s">
        <v>98</v>
      </c>
      <c r="B678">
        <v>1020</v>
      </c>
    </row>
    <row r="679" spans="1:2" x14ac:dyDescent="0.25">
      <c r="A679" t="s">
        <v>98</v>
      </c>
      <c r="B679">
        <v>1020</v>
      </c>
    </row>
    <row r="680" spans="1:2" x14ac:dyDescent="0.25">
      <c r="A680" t="s">
        <v>98</v>
      </c>
      <c r="B680">
        <v>1020</v>
      </c>
    </row>
    <row r="681" spans="1:2" x14ac:dyDescent="0.25">
      <c r="A681" t="s">
        <v>98</v>
      </c>
      <c r="B681">
        <v>1020</v>
      </c>
    </row>
    <row r="682" spans="1:2" x14ac:dyDescent="0.25">
      <c r="A682" t="s">
        <v>98</v>
      </c>
      <c r="B682">
        <v>1020</v>
      </c>
    </row>
    <row r="683" spans="1:2" x14ac:dyDescent="0.25">
      <c r="A683" t="s">
        <v>98</v>
      </c>
      <c r="B683">
        <v>1020</v>
      </c>
    </row>
    <row r="684" spans="1:2" x14ac:dyDescent="0.25">
      <c r="A684" t="s">
        <v>98</v>
      </c>
      <c r="B684">
        <v>1020</v>
      </c>
    </row>
    <row r="685" spans="1:2" x14ac:dyDescent="0.25">
      <c r="A685" t="s">
        <v>98</v>
      </c>
      <c r="B685">
        <v>1020</v>
      </c>
    </row>
    <row r="686" spans="1:2" x14ac:dyDescent="0.25">
      <c r="A686" t="s">
        <v>98</v>
      </c>
      <c r="B686">
        <v>1020</v>
      </c>
    </row>
    <row r="687" spans="1:2" x14ac:dyDescent="0.25">
      <c r="A687" t="s">
        <v>98</v>
      </c>
      <c r="B687">
        <v>1020</v>
      </c>
    </row>
    <row r="688" spans="1:2" x14ac:dyDescent="0.25">
      <c r="A688" t="s">
        <v>98</v>
      </c>
      <c r="B688">
        <v>1020</v>
      </c>
    </row>
    <row r="689" spans="1:2" x14ac:dyDescent="0.25">
      <c r="A689" t="s">
        <v>98</v>
      </c>
      <c r="B689">
        <v>1020</v>
      </c>
    </row>
    <row r="690" spans="1:2" x14ac:dyDescent="0.25">
      <c r="A690" t="s">
        <v>98</v>
      </c>
      <c r="B690">
        <v>1020</v>
      </c>
    </row>
    <row r="691" spans="1:2" x14ac:dyDescent="0.25">
      <c r="A691" t="s">
        <v>98</v>
      </c>
      <c r="B691">
        <v>1020</v>
      </c>
    </row>
    <row r="692" spans="1:2" x14ac:dyDescent="0.25">
      <c r="A692" t="s">
        <v>98</v>
      </c>
      <c r="B692">
        <v>1020</v>
      </c>
    </row>
    <row r="693" spans="1:2" x14ac:dyDescent="0.25">
      <c r="A693" t="s">
        <v>98</v>
      </c>
      <c r="B693">
        <v>1020</v>
      </c>
    </row>
    <row r="694" spans="1:2" x14ac:dyDescent="0.25">
      <c r="A694" t="s">
        <v>98</v>
      </c>
      <c r="B694">
        <v>1020</v>
      </c>
    </row>
    <row r="695" spans="1:2" x14ac:dyDescent="0.25">
      <c r="A695" t="s">
        <v>98</v>
      </c>
      <c r="B695">
        <v>1020</v>
      </c>
    </row>
    <row r="696" spans="1:2" x14ac:dyDescent="0.25">
      <c r="A696" t="s">
        <v>98</v>
      </c>
      <c r="B696">
        <v>1020</v>
      </c>
    </row>
    <row r="697" spans="1:2" x14ac:dyDescent="0.25">
      <c r="A697" t="s">
        <v>98</v>
      </c>
      <c r="B697">
        <v>1020</v>
      </c>
    </row>
    <row r="698" spans="1:2" x14ac:dyDescent="0.25">
      <c r="A698" t="s">
        <v>98</v>
      </c>
      <c r="B698">
        <v>1020</v>
      </c>
    </row>
    <row r="699" spans="1:2" x14ac:dyDescent="0.25">
      <c r="A699" t="s">
        <v>98</v>
      </c>
      <c r="B699">
        <v>1020</v>
      </c>
    </row>
    <row r="700" spans="1:2" x14ac:dyDescent="0.25">
      <c r="A700" t="s">
        <v>98</v>
      </c>
      <c r="B700">
        <v>1020</v>
      </c>
    </row>
    <row r="701" spans="1:2" x14ac:dyDescent="0.25">
      <c r="A701" t="s">
        <v>98</v>
      </c>
      <c r="B701">
        <v>1020</v>
      </c>
    </row>
    <row r="702" spans="1:2" x14ac:dyDescent="0.25">
      <c r="A702" t="s">
        <v>98</v>
      </c>
      <c r="B702">
        <v>1020</v>
      </c>
    </row>
    <row r="703" spans="1:2" x14ac:dyDescent="0.25">
      <c r="A703" t="s">
        <v>98</v>
      </c>
      <c r="B703">
        <v>1020</v>
      </c>
    </row>
    <row r="704" spans="1:2" x14ac:dyDescent="0.25">
      <c r="A704" t="s">
        <v>98</v>
      </c>
      <c r="B704">
        <v>1020</v>
      </c>
    </row>
    <row r="705" spans="1:2" x14ac:dyDescent="0.25">
      <c r="A705" t="s">
        <v>98</v>
      </c>
      <c r="B705">
        <v>1020</v>
      </c>
    </row>
    <row r="706" spans="1:2" x14ac:dyDescent="0.25">
      <c r="A706" t="s">
        <v>98</v>
      </c>
      <c r="B706">
        <v>1020</v>
      </c>
    </row>
    <row r="707" spans="1:2" x14ac:dyDescent="0.25">
      <c r="A707" t="s">
        <v>98</v>
      </c>
      <c r="B707">
        <v>1020</v>
      </c>
    </row>
    <row r="708" spans="1:2" x14ac:dyDescent="0.25">
      <c r="A708" t="s">
        <v>98</v>
      </c>
      <c r="B708">
        <v>1020</v>
      </c>
    </row>
    <row r="709" spans="1:2" x14ac:dyDescent="0.25">
      <c r="A709" t="s">
        <v>98</v>
      </c>
      <c r="B709">
        <v>1020</v>
      </c>
    </row>
    <row r="710" spans="1:2" x14ac:dyDescent="0.25">
      <c r="A710" t="s">
        <v>98</v>
      </c>
      <c r="B710">
        <v>1020</v>
      </c>
    </row>
    <row r="711" spans="1:2" x14ac:dyDescent="0.25">
      <c r="A711" t="s">
        <v>98</v>
      </c>
      <c r="B711">
        <v>1020</v>
      </c>
    </row>
    <row r="712" spans="1:2" x14ac:dyDescent="0.25">
      <c r="A712" t="s">
        <v>98</v>
      </c>
      <c r="B712">
        <v>1020</v>
      </c>
    </row>
    <row r="713" spans="1:2" x14ac:dyDescent="0.25">
      <c r="A713" t="s">
        <v>98</v>
      </c>
      <c r="B713">
        <v>1020</v>
      </c>
    </row>
    <row r="714" spans="1:2" x14ac:dyDescent="0.25">
      <c r="A714" t="s">
        <v>98</v>
      </c>
      <c r="B714">
        <v>1020</v>
      </c>
    </row>
    <row r="715" spans="1:2" x14ac:dyDescent="0.25">
      <c r="A715" t="s">
        <v>98</v>
      </c>
      <c r="B715">
        <v>1020</v>
      </c>
    </row>
    <row r="716" spans="1:2" x14ac:dyDescent="0.25">
      <c r="A716" t="s">
        <v>98</v>
      </c>
      <c r="B716">
        <v>1020</v>
      </c>
    </row>
    <row r="717" spans="1:2" x14ac:dyDescent="0.25">
      <c r="A717" t="s">
        <v>98</v>
      </c>
      <c r="B717">
        <v>1020</v>
      </c>
    </row>
    <row r="718" spans="1:2" x14ac:dyDescent="0.25">
      <c r="A718" t="s">
        <v>98</v>
      </c>
      <c r="B718">
        <v>1020</v>
      </c>
    </row>
    <row r="719" spans="1:2" x14ac:dyDescent="0.25">
      <c r="A719" t="s">
        <v>98</v>
      </c>
      <c r="B719">
        <v>1020</v>
      </c>
    </row>
    <row r="720" spans="1:2" x14ac:dyDescent="0.25">
      <c r="A720" t="s">
        <v>98</v>
      </c>
      <c r="B720">
        <v>1020</v>
      </c>
    </row>
    <row r="721" spans="1:2" x14ac:dyDescent="0.25">
      <c r="A721" t="s">
        <v>98</v>
      </c>
      <c r="B721">
        <v>1020</v>
      </c>
    </row>
    <row r="722" spans="1:2" x14ac:dyDescent="0.25">
      <c r="A722" t="s">
        <v>98</v>
      </c>
      <c r="B722">
        <v>1020</v>
      </c>
    </row>
    <row r="723" spans="1:2" x14ac:dyDescent="0.25">
      <c r="A723" t="s">
        <v>98</v>
      </c>
      <c r="B723">
        <v>1020</v>
      </c>
    </row>
    <row r="724" spans="1:2" x14ac:dyDescent="0.25">
      <c r="A724" t="s">
        <v>98</v>
      </c>
      <c r="B724">
        <v>1020</v>
      </c>
    </row>
    <row r="725" spans="1:2" x14ac:dyDescent="0.25">
      <c r="A725" t="s">
        <v>98</v>
      </c>
      <c r="B725">
        <v>1020</v>
      </c>
    </row>
    <row r="726" spans="1:2" x14ac:dyDescent="0.25">
      <c r="A726" t="s">
        <v>98</v>
      </c>
      <c r="B726">
        <v>1020</v>
      </c>
    </row>
    <row r="727" spans="1:2" x14ac:dyDescent="0.25">
      <c r="A727" t="s">
        <v>98</v>
      </c>
      <c r="B727">
        <v>1020</v>
      </c>
    </row>
    <row r="728" spans="1:2" x14ac:dyDescent="0.25">
      <c r="A728" t="s">
        <v>98</v>
      </c>
      <c r="B728">
        <v>1020</v>
      </c>
    </row>
    <row r="729" spans="1:2" x14ac:dyDescent="0.25">
      <c r="A729" t="s">
        <v>98</v>
      </c>
      <c r="B729">
        <v>1020</v>
      </c>
    </row>
    <row r="730" spans="1:2" x14ac:dyDescent="0.25">
      <c r="A730" t="s">
        <v>98</v>
      </c>
      <c r="B730">
        <v>1020</v>
      </c>
    </row>
    <row r="731" spans="1:2" x14ac:dyDescent="0.25">
      <c r="A731" t="s">
        <v>98</v>
      </c>
      <c r="B731">
        <v>1020</v>
      </c>
    </row>
    <row r="732" spans="1:2" x14ac:dyDescent="0.25">
      <c r="A732" t="s">
        <v>98</v>
      </c>
      <c r="B732">
        <v>1020</v>
      </c>
    </row>
    <row r="733" spans="1:2" x14ac:dyDescent="0.25">
      <c r="A733" t="s">
        <v>98</v>
      </c>
      <c r="B733">
        <v>1020</v>
      </c>
    </row>
    <row r="734" spans="1:2" x14ac:dyDescent="0.25">
      <c r="A734" t="s">
        <v>98</v>
      </c>
      <c r="B734">
        <v>1020</v>
      </c>
    </row>
    <row r="735" spans="1:2" x14ac:dyDescent="0.25">
      <c r="A735" t="s">
        <v>98</v>
      </c>
      <c r="B735">
        <v>1020</v>
      </c>
    </row>
    <row r="736" spans="1:2" x14ac:dyDescent="0.25">
      <c r="A736" t="s">
        <v>98</v>
      </c>
      <c r="B736">
        <v>1020</v>
      </c>
    </row>
    <row r="737" spans="1:2" x14ac:dyDescent="0.25">
      <c r="A737" t="s">
        <v>98</v>
      </c>
      <c r="B737">
        <v>1020</v>
      </c>
    </row>
    <row r="738" spans="1:2" x14ac:dyDescent="0.25">
      <c r="A738" t="s">
        <v>98</v>
      </c>
      <c r="B738">
        <v>1020</v>
      </c>
    </row>
    <row r="739" spans="1:2" x14ac:dyDescent="0.25">
      <c r="A739" t="s">
        <v>98</v>
      </c>
      <c r="B739">
        <v>1020</v>
      </c>
    </row>
    <row r="740" spans="1:2" x14ac:dyDescent="0.25">
      <c r="A740" t="s">
        <v>98</v>
      </c>
      <c r="B740">
        <v>1020</v>
      </c>
    </row>
    <row r="741" spans="1:2" x14ac:dyDescent="0.25">
      <c r="A741" t="s">
        <v>98</v>
      </c>
      <c r="B741">
        <v>1020</v>
      </c>
    </row>
    <row r="742" spans="1:2" x14ac:dyDescent="0.25">
      <c r="A742" t="s">
        <v>98</v>
      </c>
      <c r="B742">
        <v>1020</v>
      </c>
    </row>
    <row r="743" spans="1:2" x14ac:dyDescent="0.25">
      <c r="A743" t="s">
        <v>98</v>
      </c>
      <c r="B743">
        <v>1020</v>
      </c>
    </row>
    <row r="744" spans="1:2" x14ac:dyDescent="0.25">
      <c r="A744" t="s">
        <v>98</v>
      </c>
      <c r="B744">
        <v>1020</v>
      </c>
    </row>
    <row r="745" spans="1:2" x14ac:dyDescent="0.25">
      <c r="A745" t="s">
        <v>98</v>
      </c>
      <c r="B745">
        <v>1020</v>
      </c>
    </row>
    <row r="746" spans="1:2" x14ac:dyDescent="0.25">
      <c r="A746" t="s">
        <v>98</v>
      </c>
      <c r="B746">
        <v>1020</v>
      </c>
    </row>
    <row r="747" spans="1:2" x14ac:dyDescent="0.25">
      <c r="A747" t="s">
        <v>98</v>
      </c>
      <c r="B747">
        <v>1020</v>
      </c>
    </row>
    <row r="748" spans="1:2" x14ac:dyDescent="0.25">
      <c r="A748" t="s">
        <v>98</v>
      </c>
      <c r="B748">
        <v>1020</v>
      </c>
    </row>
    <row r="749" spans="1:2" x14ac:dyDescent="0.25">
      <c r="A749" t="s">
        <v>98</v>
      </c>
      <c r="B749">
        <v>1020</v>
      </c>
    </row>
    <row r="750" spans="1:2" x14ac:dyDescent="0.25">
      <c r="A750" t="s">
        <v>98</v>
      </c>
      <c r="B750">
        <v>1020</v>
      </c>
    </row>
    <row r="751" spans="1:2" x14ac:dyDescent="0.25">
      <c r="A751" t="s">
        <v>98</v>
      </c>
      <c r="B751">
        <v>1020</v>
      </c>
    </row>
    <row r="752" spans="1:2" x14ac:dyDescent="0.25">
      <c r="A752" t="s">
        <v>98</v>
      </c>
      <c r="B752">
        <v>1020</v>
      </c>
    </row>
    <row r="753" spans="1:2" x14ac:dyDescent="0.25">
      <c r="A753" t="s">
        <v>98</v>
      </c>
      <c r="B753">
        <v>1020</v>
      </c>
    </row>
    <row r="754" spans="1:2" x14ac:dyDescent="0.25">
      <c r="A754" t="s">
        <v>98</v>
      </c>
      <c r="B754">
        <v>1020</v>
      </c>
    </row>
    <row r="755" spans="1:2" x14ac:dyDescent="0.25">
      <c r="A755" t="s">
        <v>98</v>
      </c>
      <c r="B755">
        <v>1020</v>
      </c>
    </row>
    <row r="756" spans="1:2" x14ac:dyDescent="0.25">
      <c r="A756" t="s">
        <v>98</v>
      </c>
      <c r="B756">
        <v>1020</v>
      </c>
    </row>
    <row r="757" spans="1:2" x14ac:dyDescent="0.25">
      <c r="A757" t="s">
        <v>98</v>
      </c>
      <c r="B757">
        <v>1020</v>
      </c>
    </row>
    <row r="758" spans="1:2" x14ac:dyDescent="0.25">
      <c r="A758" t="s">
        <v>98</v>
      </c>
      <c r="B758">
        <v>1020</v>
      </c>
    </row>
    <row r="759" spans="1:2" x14ac:dyDescent="0.25">
      <c r="A759" t="s">
        <v>98</v>
      </c>
      <c r="B759">
        <v>1020</v>
      </c>
    </row>
    <row r="760" spans="1:2" x14ac:dyDescent="0.25">
      <c r="A760" t="s">
        <v>98</v>
      </c>
      <c r="B760">
        <v>1020</v>
      </c>
    </row>
    <row r="761" spans="1:2" x14ac:dyDescent="0.25">
      <c r="A761" t="s">
        <v>98</v>
      </c>
      <c r="B761">
        <v>1020</v>
      </c>
    </row>
    <row r="762" spans="1:2" x14ac:dyDescent="0.25">
      <c r="A762" t="s">
        <v>98</v>
      </c>
      <c r="B762">
        <v>1020</v>
      </c>
    </row>
    <row r="763" spans="1:2" x14ac:dyDescent="0.25">
      <c r="A763" t="s">
        <v>98</v>
      </c>
      <c r="B763">
        <v>1020</v>
      </c>
    </row>
    <row r="764" spans="1:2" x14ac:dyDescent="0.25">
      <c r="A764" t="s">
        <v>98</v>
      </c>
      <c r="B764">
        <v>1020</v>
      </c>
    </row>
    <row r="765" spans="1:2" x14ac:dyDescent="0.25">
      <c r="A765" t="s">
        <v>98</v>
      </c>
      <c r="B765">
        <v>1020</v>
      </c>
    </row>
    <row r="766" spans="1:2" x14ac:dyDescent="0.25">
      <c r="A766" t="s">
        <v>98</v>
      </c>
      <c r="B766">
        <v>1020</v>
      </c>
    </row>
    <row r="767" spans="1:2" x14ac:dyDescent="0.25">
      <c r="A767" t="s">
        <v>98</v>
      </c>
      <c r="B767">
        <v>1020</v>
      </c>
    </row>
    <row r="768" spans="1:2" x14ac:dyDescent="0.25">
      <c r="A768" t="s">
        <v>98</v>
      </c>
      <c r="B768">
        <v>1020</v>
      </c>
    </row>
    <row r="769" spans="1:2" x14ac:dyDescent="0.25">
      <c r="A769" t="s">
        <v>98</v>
      </c>
      <c r="B769">
        <v>1020</v>
      </c>
    </row>
    <row r="770" spans="1:2" x14ac:dyDescent="0.25">
      <c r="A770" t="s">
        <v>98</v>
      </c>
      <c r="B770">
        <v>1020</v>
      </c>
    </row>
    <row r="771" spans="1:2" x14ac:dyDescent="0.25">
      <c r="A771" t="s">
        <v>98</v>
      </c>
      <c r="B771">
        <v>1020</v>
      </c>
    </row>
    <row r="772" spans="1:2" x14ac:dyDescent="0.25">
      <c r="A772" t="s">
        <v>98</v>
      </c>
      <c r="B772">
        <v>1020</v>
      </c>
    </row>
    <row r="773" spans="1:2" x14ac:dyDescent="0.25">
      <c r="A773" t="s">
        <v>98</v>
      </c>
      <c r="B773">
        <v>1020</v>
      </c>
    </row>
    <row r="774" spans="1:2" x14ac:dyDescent="0.25">
      <c r="A774" t="s">
        <v>98</v>
      </c>
      <c r="B774">
        <v>1020</v>
      </c>
    </row>
    <row r="775" spans="1:2" x14ac:dyDescent="0.25">
      <c r="A775" t="s">
        <v>98</v>
      </c>
      <c r="B775">
        <v>1020</v>
      </c>
    </row>
    <row r="776" spans="1:2" x14ac:dyDescent="0.25">
      <c r="A776" t="s">
        <v>98</v>
      </c>
      <c r="B776">
        <v>1020</v>
      </c>
    </row>
    <row r="777" spans="1:2" x14ac:dyDescent="0.25">
      <c r="A777" t="s">
        <v>98</v>
      </c>
      <c r="B777">
        <v>1020</v>
      </c>
    </row>
    <row r="778" spans="1:2" x14ac:dyDescent="0.25">
      <c r="A778" t="s">
        <v>98</v>
      </c>
      <c r="B778">
        <v>1020</v>
      </c>
    </row>
    <row r="779" spans="1:2" x14ac:dyDescent="0.25">
      <c r="A779" t="s">
        <v>98</v>
      </c>
      <c r="B779">
        <v>1020</v>
      </c>
    </row>
    <row r="780" spans="1:2" x14ac:dyDescent="0.25">
      <c r="A780" t="s">
        <v>98</v>
      </c>
      <c r="B780">
        <v>1020</v>
      </c>
    </row>
    <row r="781" spans="1:2" x14ac:dyDescent="0.25">
      <c r="A781" t="s">
        <v>98</v>
      </c>
      <c r="B781">
        <v>1020</v>
      </c>
    </row>
    <row r="782" spans="1:2" x14ac:dyDescent="0.25">
      <c r="A782" t="s">
        <v>98</v>
      </c>
      <c r="B782">
        <v>1020</v>
      </c>
    </row>
    <row r="783" spans="1:2" x14ac:dyDescent="0.25">
      <c r="A783" t="s">
        <v>98</v>
      </c>
      <c r="B783">
        <v>1020</v>
      </c>
    </row>
    <row r="784" spans="1:2" x14ac:dyDescent="0.25">
      <c r="A784" t="s">
        <v>98</v>
      </c>
      <c r="B784">
        <v>1020</v>
      </c>
    </row>
    <row r="785" spans="1:2" x14ac:dyDescent="0.25">
      <c r="A785" t="s">
        <v>98</v>
      </c>
      <c r="B785">
        <v>1020</v>
      </c>
    </row>
    <row r="786" spans="1:2" x14ac:dyDescent="0.25">
      <c r="A786" t="s">
        <v>98</v>
      </c>
      <c r="B786">
        <v>1020</v>
      </c>
    </row>
    <row r="787" spans="1:2" x14ac:dyDescent="0.25">
      <c r="A787" t="s">
        <v>98</v>
      </c>
      <c r="B787">
        <v>1020</v>
      </c>
    </row>
    <row r="788" spans="1:2" x14ac:dyDescent="0.25">
      <c r="A788" t="s">
        <v>98</v>
      </c>
      <c r="B788">
        <v>1020</v>
      </c>
    </row>
    <row r="789" spans="1:2" x14ac:dyDescent="0.25">
      <c r="A789" t="s">
        <v>98</v>
      </c>
      <c r="B789">
        <v>1020</v>
      </c>
    </row>
    <row r="790" spans="1:2" x14ac:dyDescent="0.25">
      <c r="A790" t="s">
        <v>98</v>
      </c>
      <c r="B790">
        <v>1020</v>
      </c>
    </row>
    <row r="791" spans="1:2" x14ac:dyDescent="0.25">
      <c r="A791" t="s">
        <v>98</v>
      </c>
      <c r="B791">
        <v>1020</v>
      </c>
    </row>
    <row r="792" spans="1:2" x14ac:dyDescent="0.25">
      <c r="A792" t="s">
        <v>98</v>
      </c>
      <c r="B792">
        <v>1020</v>
      </c>
    </row>
    <row r="793" spans="1:2" x14ac:dyDescent="0.25">
      <c r="A793" t="s">
        <v>98</v>
      </c>
      <c r="B793">
        <v>1020</v>
      </c>
    </row>
    <row r="794" spans="1:2" x14ac:dyDescent="0.25">
      <c r="A794" t="s">
        <v>98</v>
      </c>
      <c r="B794">
        <v>1020</v>
      </c>
    </row>
    <row r="795" spans="1:2" x14ac:dyDescent="0.25">
      <c r="A795" t="s">
        <v>98</v>
      </c>
      <c r="B795">
        <v>1020</v>
      </c>
    </row>
    <row r="796" spans="1:2" x14ac:dyDescent="0.25">
      <c r="A796" t="s">
        <v>98</v>
      </c>
      <c r="B796">
        <v>1020</v>
      </c>
    </row>
    <row r="797" spans="1:2" x14ac:dyDescent="0.25">
      <c r="A797" t="s">
        <v>98</v>
      </c>
      <c r="B797">
        <v>1020</v>
      </c>
    </row>
    <row r="798" spans="1:2" x14ac:dyDescent="0.25">
      <c r="A798" t="s">
        <v>98</v>
      </c>
      <c r="B798">
        <v>1020</v>
      </c>
    </row>
    <row r="799" spans="1:2" x14ac:dyDescent="0.25">
      <c r="A799" t="s">
        <v>98</v>
      </c>
      <c r="B799">
        <v>1020</v>
      </c>
    </row>
    <row r="800" spans="1:2" x14ac:dyDescent="0.25">
      <c r="A800" t="s">
        <v>98</v>
      </c>
      <c r="B800">
        <v>1020</v>
      </c>
    </row>
    <row r="801" spans="1:2" x14ac:dyDescent="0.25">
      <c r="A801" t="s">
        <v>98</v>
      </c>
      <c r="B801">
        <v>1020</v>
      </c>
    </row>
    <row r="802" spans="1:2" x14ac:dyDescent="0.25">
      <c r="A802" t="s">
        <v>98</v>
      </c>
      <c r="B802">
        <v>1020</v>
      </c>
    </row>
    <row r="803" spans="1:2" x14ac:dyDescent="0.25">
      <c r="A803" t="s">
        <v>98</v>
      </c>
      <c r="B803">
        <v>1020</v>
      </c>
    </row>
    <row r="804" spans="1:2" x14ac:dyDescent="0.25">
      <c r="A804" t="s">
        <v>98</v>
      </c>
      <c r="B804">
        <v>1020</v>
      </c>
    </row>
    <row r="805" spans="1:2" x14ac:dyDescent="0.25">
      <c r="A805" t="s">
        <v>98</v>
      </c>
      <c r="B805">
        <v>1020</v>
      </c>
    </row>
    <row r="806" spans="1:2" x14ac:dyDescent="0.25">
      <c r="A806" t="s">
        <v>98</v>
      </c>
      <c r="B806">
        <v>1020</v>
      </c>
    </row>
    <row r="807" spans="1:2" x14ac:dyDescent="0.25">
      <c r="A807" t="s">
        <v>98</v>
      </c>
      <c r="B807">
        <v>1020</v>
      </c>
    </row>
    <row r="808" spans="1:2" x14ac:dyDescent="0.25">
      <c r="A808" t="s">
        <v>98</v>
      </c>
      <c r="B808">
        <v>1020</v>
      </c>
    </row>
    <row r="809" spans="1:2" x14ac:dyDescent="0.25">
      <c r="A809" t="s">
        <v>98</v>
      </c>
      <c r="B809">
        <v>1020</v>
      </c>
    </row>
    <row r="810" spans="1:2" x14ac:dyDescent="0.25">
      <c r="A810" t="s">
        <v>98</v>
      </c>
      <c r="B810">
        <v>1020</v>
      </c>
    </row>
    <row r="811" spans="1:2" x14ac:dyDescent="0.25">
      <c r="A811" t="s">
        <v>98</v>
      </c>
      <c r="B811">
        <v>1020</v>
      </c>
    </row>
    <row r="812" spans="1:2" x14ac:dyDescent="0.25">
      <c r="A812" t="s">
        <v>98</v>
      </c>
      <c r="B812">
        <v>1020</v>
      </c>
    </row>
    <row r="813" spans="1:2" x14ac:dyDescent="0.25">
      <c r="A813" t="s">
        <v>98</v>
      </c>
      <c r="B813">
        <v>1020</v>
      </c>
    </row>
    <row r="814" spans="1:2" x14ac:dyDescent="0.25">
      <c r="A814" t="s">
        <v>98</v>
      </c>
      <c r="B814">
        <v>1020</v>
      </c>
    </row>
    <row r="815" spans="1:2" x14ac:dyDescent="0.25">
      <c r="A815" t="s">
        <v>98</v>
      </c>
      <c r="B815">
        <v>1020</v>
      </c>
    </row>
    <row r="816" spans="1:2" x14ac:dyDescent="0.25">
      <c r="A816" t="s">
        <v>98</v>
      </c>
      <c r="B816">
        <v>1020</v>
      </c>
    </row>
    <row r="817" spans="1:2" x14ac:dyDescent="0.25">
      <c r="A817" t="s">
        <v>98</v>
      </c>
      <c r="B817">
        <v>1020</v>
      </c>
    </row>
    <row r="818" spans="1:2" x14ac:dyDescent="0.25">
      <c r="A818" t="s">
        <v>98</v>
      </c>
      <c r="B818">
        <v>1020</v>
      </c>
    </row>
    <row r="819" spans="1:2" x14ac:dyDescent="0.25">
      <c r="A819" t="s">
        <v>98</v>
      </c>
      <c r="B819">
        <v>1020</v>
      </c>
    </row>
    <row r="820" spans="1:2" x14ac:dyDescent="0.25">
      <c r="A820" t="s">
        <v>98</v>
      </c>
      <c r="B820">
        <v>1020</v>
      </c>
    </row>
    <row r="821" spans="1:2" x14ac:dyDescent="0.25">
      <c r="A821" t="s">
        <v>98</v>
      </c>
      <c r="B821">
        <v>1020</v>
      </c>
    </row>
    <row r="822" spans="1:2" x14ac:dyDescent="0.25">
      <c r="A822" t="s">
        <v>98</v>
      </c>
      <c r="B822">
        <v>1020</v>
      </c>
    </row>
    <row r="823" spans="1:2" x14ac:dyDescent="0.25">
      <c r="A823" t="s">
        <v>98</v>
      </c>
      <c r="B823">
        <v>1020</v>
      </c>
    </row>
    <row r="824" spans="1:2" x14ac:dyDescent="0.25">
      <c r="A824" t="s">
        <v>98</v>
      </c>
      <c r="B824">
        <v>1020</v>
      </c>
    </row>
    <row r="825" spans="1:2" x14ac:dyDescent="0.25">
      <c r="A825" t="s">
        <v>98</v>
      </c>
      <c r="B825">
        <v>1020</v>
      </c>
    </row>
    <row r="826" spans="1:2" x14ac:dyDescent="0.25">
      <c r="A826" t="s">
        <v>98</v>
      </c>
      <c r="B826">
        <v>1020</v>
      </c>
    </row>
    <row r="827" spans="1:2" x14ac:dyDescent="0.25">
      <c r="A827" t="s">
        <v>98</v>
      </c>
      <c r="B827">
        <v>1020</v>
      </c>
    </row>
    <row r="828" spans="1:2" x14ac:dyDescent="0.25">
      <c r="A828" t="s">
        <v>98</v>
      </c>
      <c r="B828">
        <v>1020</v>
      </c>
    </row>
    <row r="829" spans="1:2" x14ac:dyDescent="0.25">
      <c r="A829" t="s">
        <v>98</v>
      </c>
      <c r="B829">
        <v>1020</v>
      </c>
    </row>
    <row r="830" spans="1:2" x14ac:dyDescent="0.25">
      <c r="A830" t="s">
        <v>98</v>
      </c>
      <c r="B830">
        <v>1020</v>
      </c>
    </row>
    <row r="831" spans="1:2" x14ac:dyDescent="0.25">
      <c r="A831" t="s">
        <v>98</v>
      </c>
      <c r="B831">
        <v>1020</v>
      </c>
    </row>
    <row r="832" spans="1:2" x14ac:dyDescent="0.25">
      <c r="A832" t="s">
        <v>98</v>
      </c>
      <c r="B832">
        <v>1020</v>
      </c>
    </row>
    <row r="833" spans="1:2" x14ac:dyDescent="0.25">
      <c r="A833" t="s">
        <v>98</v>
      </c>
      <c r="B833">
        <v>1020</v>
      </c>
    </row>
    <row r="834" spans="1:2" x14ac:dyDescent="0.25">
      <c r="A834" t="s">
        <v>98</v>
      </c>
      <c r="B834">
        <v>1020</v>
      </c>
    </row>
    <row r="835" spans="1:2" x14ac:dyDescent="0.25">
      <c r="A835" t="s">
        <v>98</v>
      </c>
      <c r="B835">
        <v>1020</v>
      </c>
    </row>
    <row r="836" spans="1:2" x14ac:dyDescent="0.25">
      <c r="A836" t="s">
        <v>98</v>
      </c>
      <c r="B836">
        <v>1020</v>
      </c>
    </row>
    <row r="837" spans="1:2" x14ac:dyDescent="0.25">
      <c r="A837" t="s">
        <v>98</v>
      </c>
      <c r="B837">
        <v>1020</v>
      </c>
    </row>
    <row r="838" spans="1:2" x14ac:dyDescent="0.25">
      <c r="A838" t="s">
        <v>98</v>
      </c>
      <c r="B838">
        <v>1020</v>
      </c>
    </row>
    <row r="839" spans="1:2" x14ac:dyDescent="0.25">
      <c r="A839" t="s">
        <v>98</v>
      </c>
      <c r="B839">
        <v>1020</v>
      </c>
    </row>
    <row r="840" spans="1:2" x14ac:dyDescent="0.25">
      <c r="A840" t="s">
        <v>98</v>
      </c>
      <c r="B840">
        <v>1020</v>
      </c>
    </row>
    <row r="841" spans="1:2" x14ac:dyDescent="0.25">
      <c r="A841" t="s">
        <v>98</v>
      </c>
      <c r="B841">
        <v>1020</v>
      </c>
    </row>
    <row r="842" spans="1:2" x14ac:dyDescent="0.25">
      <c r="A842" t="s">
        <v>98</v>
      </c>
      <c r="B842">
        <v>1020</v>
      </c>
    </row>
    <row r="843" spans="1:2" x14ac:dyDescent="0.25">
      <c r="A843" t="s">
        <v>98</v>
      </c>
      <c r="B843">
        <v>1020</v>
      </c>
    </row>
    <row r="844" spans="1:2" x14ac:dyDescent="0.25">
      <c r="A844" t="s">
        <v>98</v>
      </c>
      <c r="B844">
        <v>1020</v>
      </c>
    </row>
    <row r="845" spans="1:2" x14ac:dyDescent="0.25">
      <c r="A845" t="s">
        <v>98</v>
      </c>
      <c r="B845">
        <v>1020</v>
      </c>
    </row>
    <row r="846" spans="1:2" x14ac:dyDescent="0.25">
      <c r="A846" t="s">
        <v>98</v>
      </c>
      <c r="B846">
        <v>1020</v>
      </c>
    </row>
    <row r="847" spans="1:2" x14ac:dyDescent="0.25">
      <c r="A847" t="s">
        <v>98</v>
      </c>
      <c r="B847">
        <v>1020</v>
      </c>
    </row>
    <row r="848" spans="1:2" x14ac:dyDescent="0.25">
      <c r="A848" t="s">
        <v>98</v>
      </c>
      <c r="B848">
        <v>1020</v>
      </c>
    </row>
    <row r="849" spans="1:2" x14ac:dyDescent="0.25">
      <c r="A849" t="s">
        <v>98</v>
      </c>
      <c r="B849">
        <v>1020</v>
      </c>
    </row>
    <row r="850" spans="1:2" x14ac:dyDescent="0.25">
      <c r="A850" t="s">
        <v>98</v>
      </c>
      <c r="B850">
        <v>1020</v>
      </c>
    </row>
    <row r="851" spans="1:2" x14ac:dyDescent="0.25">
      <c r="A851" t="s">
        <v>98</v>
      </c>
      <c r="B851">
        <v>1020</v>
      </c>
    </row>
    <row r="852" spans="1:2" x14ac:dyDescent="0.25">
      <c r="A852" t="s">
        <v>98</v>
      </c>
      <c r="B852">
        <v>1020</v>
      </c>
    </row>
    <row r="853" spans="1:2" x14ac:dyDescent="0.25">
      <c r="A853" t="s">
        <v>98</v>
      </c>
      <c r="B853">
        <v>1020</v>
      </c>
    </row>
    <row r="854" spans="1:2" x14ac:dyDescent="0.25">
      <c r="A854" t="s">
        <v>98</v>
      </c>
      <c r="B854">
        <v>1020</v>
      </c>
    </row>
    <row r="855" spans="1:2" x14ac:dyDescent="0.25">
      <c r="A855" t="s">
        <v>98</v>
      </c>
      <c r="B855">
        <v>1020</v>
      </c>
    </row>
    <row r="856" spans="1:2" x14ac:dyDescent="0.25">
      <c r="A856" t="s">
        <v>98</v>
      </c>
      <c r="B856">
        <v>1020</v>
      </c>
    </row>
    <row r="857" spans="1:2" x14ac:dyDescent="0.25">
      <c r="A857" t="s">
        <v>98</v>
      </c>
      <c r="B857">
        <v>1020</v>
      </c>
    </row>
    <row r="858" spans="1:2" x14ac:dyDescent="0.25">
      <c r="A858" t="s">
        <v>98</v>
      </c>
      <c r="B858">
        <v>1020</v>
      </c>
    </row>
    <row r="859" spans="1:2" x14ac:dyDescent="0.25">
      <c r="A859" t="s">
        <v>98</v>
      </c>
      <c r="B859">
        <v>1020</v>
      </c>
    </row>
    <row r="860" spans="1:2" x14ac:dyDescent="0.25">
      <c r="A860" t="s">
        <v>98</v>
      </c>
      <c r="B860">
        <v>1020</v>
      </c>
    </row>
    <row r="861" spans="1:2" x14ac:dyDescent="0.25">
      <c r="A861" t="s">
        <v>98</v>
      </c>
      <c r="B861">
        <v>1020</v>
      </c>
    </row>
    <row r="862" spans="1:2" x14ac:dyDescent="0.25">
      <c r="A862" t="s">
        <v>98</v>
      </c>
      <c r="B862">
        <v>1020</v>
      </c>
    </row>
    <row r="863" spans="1:2" x14ac:dyDescent="0.25">
      <c r="A863" t="s">
        <v>98</v>
      </c>
      <c r="B863">
        <v>1020</v>
      </c>
    </row>
    <row r="864" spans="1:2" x14ac:dyDescent="0.25">
      <c r="A864" t="s">
        <v>98</v>
      </c>
      <c r="B864">
        <v>1020</v>
      </c>
    </row>
    <row r="865" spans="1:2" x14ac:dyDescent="0.25">
      <c r="A865" t="s">
        <v>98</v>
      </c>
      <c r="B865">
        <v>1020</v>
      </c>
    </row>
    <row r="866" spans="1:2" x14ac:dyDescent="0.25">
      <c r="A866" t="s">
        <v>98</v>
      </c>
      <c r="B866">
        <v>1020</v>
      </c>
    </row>
    <row r="867" spans="1:2" x14ac:dyDescent="0.25">
      <c r="A867" t="s">
        <v>98</v>
      </c>
      <c r="B867">
        <v>1020</v>
      </c>
    </row>
    <row r="868" spans="1:2" x14ac:dyDescent="0.25">
      <c r="A868" t="s">
        <v>98</v>
      </c>
      <c r="B868">
        <v>1020</v>
      </c>
    </row>
    <row r="869" spans="1:2" x14ac:dyDescent="0.25">
      <c r="A869" t="s">
        <v>98</v>
      </c>
      <c r="B869">
        <v>1020</v>
      </c>
    </row>
    <row r="870" spans="1:2" x14ac:dyDescent="0.25">
      <c r="A870" t="s">
        <v>98</v>
      </c>
      <c r="B870">
        <v>1020</v>
      </c>
    </row>
    <row r="871" spans="1:2" x14ac:dyDescent="0.25">
      <c r="A871" t="s">
        <v>98</v>
      </c>
      <c r="B871">
        <v>1020</v>
      </c>
    </row>
    <row r="872" spans="1:2" x14ac:dyDescent="0.25">
      <c r="A872" t="s">
        <v>98</v>
      </c>
      <c r="B872">
        <v>1020</v>
      </c>
    </row>
    <row r="873" spans="1:2" x14ac:dyDescent="0.25">
      <c r="A873" t="s">
        <v>98</v>
      </c>
      <c r="B873">
        <v>1020</v>
      </c>
    </row>
    <row r="874" spans="1:2" x14ac:dyDescent="0.25">
      <c r="A874" t="s">
        <v>98</v>
      </c>
      <c r="B874">
        <v>1020</v>
      </c>
    </row>
    <row r="875" spans="1:2" x14ac:dyDescent="0.25">
      <c r="A875" t="s">
        <v>98</v>
      </c>
      <c r="B875">
        <v>1020</v>
      </c>
    </row>
    <row r="876" spans="1:2" x14ac:dyDescent="0.25">
      <c r="A876" t="s">
        <v>98</v>
      </c>
      <c r="B876">
        <v>1020</v>
      </c>
    </row>
    <row r="877" spans="1:2" x14ac:dyDescent="0.25">
      <c r="A877" t="s">
        <v>98</v>
      </c>
      <c r="B877">
        <v>1020</v>
      </c>
    </row>
    <row r="878" spans="1:2" x14ac:dyDescent="0.25">
      <c r="A878" t="s">
        <v>98</v>
      </c>
      <c r="B878">
        <v>1020</v>
      </c>
    </row>
    <row r="879" spans="1:2" x14ac:dyDescent="0.25">
      <c r="A879" t="s">
        <v>98</v>
      </c>
      <c r="B879">
        <v>1020</v>
      </c>
    </row>
    <row r="880" spans="1:2" x14ac:dyDescent="0.25">
      <c r="A880" t="s">
        <v>98</v>
      </c>
      <c r="B880">
        <v>1020</v>
      </c>
    </row>
    <row r="881" spans="1:2" x14ac:dyDescent="0.25">
      <c r="A881" t="s">
        <v>98</v>
      </c>
      <c r="B881">
        <v>1020</v>
      </c>
    </row>
    <row r="882" spans="1:2" x14ac:dyDescent="0.25">
      <c r="A882" t="s">
        <v>98</v>
      </c>
      <c r="B882">
        <v>1020</v>
      </c>
    </row>
    <row r="883" spans="1:2" x14ac:dyDescent="0.25">
      <c r="A883" t="s">
        <v>98</v>
      </c>
      <c r="B883">
        <v>1020</v>
      </c>
    </row>
    <row r="884" spans="1:2" x14ac:dyDescent="0.25">
      <c r="A884" t="s">
        <v>98</v>
      </c>
      <c r="B884">
        <v>1020</v>
      </c>
    </row>
    <row r="885" spans="1:2" x14ac:dyDescent="0.25">
      <c r="A885" t="s">
        <v>98</v>
      </c>
      <c r="B885">
        <v>1020</v>
      </c>
    </row>
    <row r="886" spans="1:2" x14ac:dyDescent="0.25">
      <c r="A886" t="s">
        <v>98</v>
      </c>
      <c r="B886">
        <v>1020</v>
      </c>
    </row>
    <row r="887" spans="1:2" x14ac:dyDescent="0.25">
      <c r="A887" t="s">
        <v>98</v>
      </c>
      <c r="B887">
        <v>1020</v>
      </c>
    </row>
    <row r="888" spans="1:2" x14ac:dyDescent="0.25">
      <c r="A888" t="s">
        <v>98</v>
      </c>
      <c r="B888">
        <v>1020</v>
      </c>
    </row>
    <row r="889" spans="1:2" x14ac:dyDescent="0.25">
      <c r="A889" t="s">
        <v>98</v>
      </c>
      <c r="B889">
        <v>1020</v>
      </c>
    </row>
    <row r="890" spans="1:2" x14ac:dyDescent="0.25">
      <c r="A890" t="s">
        <v>98</v>
      </c>
      <c r="B890">
        <v>1020</v>
      </c>
    </row>
    <row r="891" spans="1:2" x14ac:dyDescent="0.25">
      <c r="A891" t="s">
        <v>98</v>
      </c>
      <c r="B891">
        <v>1020</v>
      </c>
    </row>
    <row r="892" spans="1:2" x14ac:dyDescent="0.25">
      <c r="A892" t="s">
        <v>98</v>
      </c>
      <c r="B892">
        <v>1020</v>
      </c>
    </row>
    <row r="893" spans="1:2" x14ac:dyDescent="0.25">
      <c r="A893" t="s">
        <v>98</v>
      </c>
      <c r="B893">
        <v>1020</v>
      </c>
    </row>
    <row r="894" spans="1:2" x14ac:dyDescent="0.25">
      <c r="A894" t="s">
        <v>98</v>
      </c>
      <c r="B894">
        <v>1020</v>
      </c>
    </row>
    <row r="895" spans="1:2" x14ac:dyDescent="0.25">
      <c r="A895" t="s">
        <v>98</v>
      </c>
      <c r="B895">
        <v>1020</v>
      </c>
    </row>
    <row r="896" spans="1:2" x14ac:dyDescent="0.25">
      <c r="A896" t="s">
        <v>98</v>
      </c>
      <c r="B896">
        <v>1020</v>
      </c>
    </row>
    <row r="897" spans="1:2" x14ac:dyDescent="0.25">
      <c r="A897" t="s">
        <v>98</v>
      </c>
      <c r="B897">
        <v>1020</v>
      </c>
    </row>
    <row r="898" spans="1:2" x14ac:dyDescent="0.25">
      <c r="A898" t="s">
        <v>98</v>
      </c>
      <c r="B898">
        <v>1020</v>
      </c>
    </row>
    <row r="899" spans="1:2" x14ac:dyDescent="0.25">
      <c r="A899" t="s">
        <v>98</v>
      </c>
      <c r="B899">
        <v>1020</v>
      </c>
    </row>
    <row r="900" spans="1:2" x14ac:dyDescent="0.25">
      <c r="A900" t="s">
        <v>98</v>
      </c>
      <c r="B900">
        <v>1020</v>
      </c>
    </row>
    <row r="901" spans="1:2" x14ac:dyDescent="0.25">
      <c r="A901" t="s">
        <v>98</v>
      </c>
      <c r="B901">
        <v>1020</v>
      </c>
    </row>
    <row r="902" spans="1:2" x14ac:dyDescent="0.25">
      <c r="A902" t="s">
        <v>98</v>
      </c>
      <c r="B902">
        <v>1020</v>
      </c>
    </row>
    <row r="903" spans="1:2" x14ac:dyDescent="0.25">
      <c r="A903" t="s">
        <v>98</v>
      </c>
      <c r="B903">
        <v>1020</v>
      </c>
    </row>
    <row r="904" spans="1:2" x14ac:dyDescent="0.25">
      <c r="A904" t="s">
        <v>98</v>
      </c>
      <c r="B904">
        <v>1020</v>
      </c>
    </row>
    <row r="905" spans="1:2" x14ac:dyDescent="0.25">
      <c r="A905" t="s">
        <v>98</v>
      </c>
      <c r="B905">
        <v>1020</v>
      </c>
    </row>
    <row r="906" spans="1:2" x14ac:dyDescent="0.25">
      <c r="A906" t="s">
        <v>98</v>
      </c>
      <c r="B906">
        <v>1020</v>
      </c>
    </row>
    <row r="907" spans="1:2" x14ac:dyDescent="0.25">
      <c r="A907" t="s">
        <v>98</v>
      </c>
      <c r="B907">
        <v>1020</v>
      </c>
    </row>
    <row r="908" spans="1:2" x14ac:dyDescent="0.25">
      <c r="A908" t="s">
        <v>98</v>
      </c>
      <c r="B908">
        <v>1020</v>
      </c>
    </row>
    <row r="909" spans="1:2" x14ac:dyDescent="0.25">
      <c r="A909" t="s">
        <v>98</v>
      </c>
      <c r="B909">
        <v>1020</v>
      </c>
    </row>
    <row r="910" spans="1:2" x14ac:dyDescent="0.25">
      <c r="A910" t="s">
        <v>98</v>
      </c>
      <c r="B910">
        <v>1020</v>
      </c>
    </row>
    <row r="911" spans="1:2" x14ac:dyDescent="0.25">
      <c r="A911" t="s">
        <v>98</v>
      </c>
      <c r="B911">
        <v>1020</v>
      </c>
    </row>
    <row r="912" spans="1:2" x14ac:dyDescent="0.25">
      <c r="A912" t="s">
        <v>98</v>
      </c>
      <c r="B912">
        <v>1020</v>
      </c>
    </row>
    <row r="913" spans="1:2" x14ac:dyDescent="0.25">
      <c r="A913" t="s">
        <v>98</v>
      </c>
      <c r="B913">
        <v>1020</v>
      </c>
    </row>
    <row r="914" spans="1:2" x14ac:dyDescent="0.25">
      <c r="A914" t="s">
        <v>98</v>
      </c>
      <c r="B914">
        <v>1020</v>
      </c>
    </row>
    <row r="915" spans="1:2" x14ac:dyDescent="0.25">
      <c r="A915" t="s">
        <v>98</v>
      </c>
      <c r="B915">
        <v>1020</v>
      </c>
    </row>
    <row r="916" spans="1:2" x14ac:dyDescent="0.25">
      <c r="A916" t="s">
        <v>98</v>
      </c>
      <c r="B916">
        <v>1020</v>
      </c>
    </row>
    <row r="917" spans="1:2" x14ac:dyDescent="0.25">
      <c r="A917" t="s">
        <v>98</v>
      </c>
      <c r="B917">
        <v>1020</v>
      </c>
    </row>
    <row r="918" spans="1:2" x14ac:dyDescent="0.25">
      <c r="A918" t="s">
        <v>98</v>
      </c>
      <c r="B918">
        <v>1020</v>
      </c>
    </row>
    <row r="919" spans="1:2" x14ac:dyDescent="0.25">
      <c r="A919" t="s">
        <v>98</v>
      </c>
      <c r="B919">
        <v>1020</v>
      </c>
    </row>
    <row r="920" spans="1:2" x14ac:dyDescent="0.25">
      <c r="A920" t="s">
        <v>98</v>
      </c>
      <c r="B920">
        <v>1020</v>
      </c>
    </row>
    <row r="921" spans="1:2" x14ac:dyDescent="0.25">
      <c r="A921" t="s">
        <v>98</v>
      </c>
      <c r="B921">
        <v>1020</v>
      </c>
    </row>
    <row r="922" spans="1:2" x14ac:dyDescent="0.25">
      <c r="A922" t="s">
        <v>98</v>
      </c>
      <c r="B922">
        <v>1020</v>
      </c>
    </row>
    <row r="923" spans="1:2" x14ac:dyDescent="0.25">
      <c r="A923" t="s">
        <v>98</v>
      </c>
      <c r="B923">
        <v>1020</v>
      </c>
    </row>
    <row r="924" spans="1:2" x14ac:dyDescent="0.25">
      <c r="A924" t="s">
        <v>98</v>
      </c>
      <c r="B924">
        <v>1020</v>
      </c>
    </row>
    <row r="925" spans="1:2" x14ac:dyDescent="0.25">
      <c r="A925" t="s">
        <v>98</v>
      </c>
      <c r="B925">
        <v>1020</v>
      </c>
    </row>
    <row r="926" spans="1:2" x14ac:dyDescent="0.25">
      <c r="A926" t="s">
        <v>98</v>
      </c>
      <c r="B926">
        <v>1020</v>
      </c>
    </row>
    <row r="927" spans="1:2" x14ac:dyDescent="0.25">
      <c r="A927" t="s">
        <v>98</v>
      </c>
      <c r="B927">
        <v>1020</v>
      </c>
    </row>
    <row r="928" spans="1:2" x14ac:dyDescent="0.25">
      <c r="A928" t="s">
        <v>98</v>
      </c>
      <c r="B928">
        <v>1020</v>
      </c>
    </row>
    <row r="929" spans="1:2" x14ac:dyDescent="0.25">
      <c r="A929" t="s">
        <v>98</v>
      </c>
      <c r="B929">
        <v>1020</v>
      </c>
    </row>
    <row r="930" spans="1:2" x14ac:dyDescent="0.25">
      <c r="A930" t="s">
        <v>98</v>
      </c>
      <c r="B930">
        <v>1020</v>
      </c>
    </row>
    <row r="931" spans="1:2" x14ac:dyDescent="0.25">
      <c r="A931" t="s">
        <v>98</v>
      </c>
      <c r="B931">
        <v>1020</v>
      </c>
    </row>
    <row r="932" spans="1:2" x14ac:dyDescent="0.25">
      <c r="A932" t="s">
        <v>98</v>
      </c>
      <c r="B932">
        <v>1020</v>
      </c>
    </row>
    <row r="933" spans="1:2" x14ac:dyDescent="0.25">
      <c r="A933" t="s">
        <v>98</v>
      </c>
      <c r="B933">
        <v>1020</v>
      </c>
    </row>
    <row r="934" spans="1:2" x14ac:dyDescent="0.25">
      <c r="A934" t="s">
        <v>98</v>
      </c>
      <c r="B934">
        <v>1020</v>
      </c>
    </row>
    <row r="935" spans="1:2" x14ac:dyDescent="0.25">
      <c r="A935" t="s">
        <v>98</v>
      </c>
      <c r="B935">
        <v>1020</v>
      </c>
    </row>
    <row r="936" spans="1:2" x14ac:dyDescent="0.25">
      <c r="A936" t="s">
        <v>98</v>
      </c>
      <c r="B936">
        <v>1020</v>
      </c>
    </row>
    <row r="937" spans="1:2" x14ac:dyDescent="0.25">
      <c r="A937" t="s">
        <v>98</v>
      </c>
      <c r="B937">
        <v>1020</v>
      </c>
    </row>
    <row r="938" spans="1:2" x14ac:dyDescent="0.25">
      <c r="A938" t="s">
        <v>98</v>
      </c>
      <c r="B938">
        <v>1020</v>
      </c>
    </row>
    <row r="939" spans="1:2" x14ac:dyDescent="0.25">
      <c r="A939" t="s">
        <v>98</v>
      </c>
      <c r="B939">
        <v>1020</v>
      </c>
    </row>
    <row r="940" spans="1:2" x14ac:dyDescent="0.25">
      <c r="A940" t="s">
        <v>98</v>
      </c>
      <c r="B940">
        <v>1020</v>
      </c>
    </row>
    <row r="941" spans="1:2" x14ac:dyDescent="0.25">
      <c r="A941" t="s">
        <v>98</v>
      </c>
      <c r="B941">
        <v>1020</v>
      </c>
    </row>
    <row r="942" spans="1:2" x14ac:dyDescent="0.25">
      <c r="A942" t="s">
        <v>98</v>
      </c>
      <c r="B942">
        <v>1020</v>
      </c>
    </row>
    <row r="943" spans="1:2" x14ac:dyDescent="0.25">
      <c r="A943" t="s">
        <v>98</v>
      </c>
      <c r="B943">
        <v>1020</v>
      </c>
    </row>
    <row r="944" spans="1:2" x14ac:dyDescent="0.25">
      <c r="A944" t="s">
        <v>98</v>
      </c>
      <c r="B944">
        <v>1020</v>
      </c>
    </row>
    <row r="945" spans="1:2" x14ac:dyDescent="0.25">
      <c r="A945" t="s">
        <v>98</v>
      </c>
      <c r="B945">
        <v>1020</v>
      </c>
    </row>
    <row r="946" spans="1:2" x14ac:dyDescent="0.25">
      <c r="A946" t="s">
        <v>98</v>
      </c>
      <c r="B946">
        <v>1020</v>
      </c>
    </row>
    <row r="947" spans="1:2" x14ac:dyDescent="0.25">
      <c r="A947" t="s">
        <v>98</v>
      </c>
      <c r="B947">
        <v>1020</v>
      </c>
    </row>
    <row r="948" spans="1:2" x14ac:dyDescent="0.25">
      <c r="A948" t="s">
        <v>98</v>
      </c>
      <c r="B948">
        <v>1020</v>
      </c>
    </row>
    <row r="949" spans="1:2" x14ac:dyDescent="0.25">
      <c r="A949" t="s">
        <v>98</v>
      </c>
      <c r="B949">
        <v>1020</v>
      </c>
    </row>
    <row r="950" spans="1:2" x14ac:dyDescent="0.25">
      <c r="A950" t="s">
        <v>98</v>
      </c>
      <c r="B950">
        <v>1020</v>
      </c>
    </row>
    <row r="951" spans="1:2" x14ac:dyDescent="0.25">
      <c r="A951" t="s">
        <v>98</v>
      </c>
      <c r="B951">
        <v>1020</v>
      </c>
    </row>
    <row r="952" spans="1:2" x14ac:dyDescent="0.25">
      <c r="A952" t="s">
        <v>98</v>
      </c>
      <c r="B952">
        <v>1020</v>
      </c>
    </row>
    <row r="953" spans="1:2" x14ac:dyDescent="0.25">
      <c r="A953" t="s">
        <v>98</v>
      </c>
      <c r="B953">
        <v>1020</v>
      </c>
    </row>
    <row r="954" spans="1:2" x14ac:dyDescent="0.25">
      <c r="A954" t="s">
        <v>98</v>
      </c>
      <c r="B954">
        <v>1020</v>
      </c>
    </row>
    <row r="955" spans="1:2" x14ac:dyDescent="0.25">
      <c r="A955" t="s">
        <v>98</v>
      </c>
      <c r="B955">
        <v>1020</v>
      </c>
    </row>
    <row r="956" spans="1:2" x14ac:dyDescent="0.25">
      <c r="A956" t="s">
        <v>98</v>
      </c>
      <c r="B956">
        <v>1020</v>
      </c>
    </row>
    <row r="957" spans="1:2" x14ac:dyDescent="0.25">
      <c r="A957" t="s">
        <v>98</v>
      </c>
      <c r="B957">
        <v>1020</v>
      </c>
    </row>
    <row r="958" spans="1:2" x14ac:dyDescent="0.25">
      <c r="A958" t="s">
        <v>98</v>
      </c>
      <c r="B958">
        <v>1020</v>
      </c>
    </row>
    <row r="959" spans="1:2" x14ac:dyDescent="0.25">
      <c r="A959" t="s">
        <v>98</v>
      </c>
      <c r="B959">
        <v>1020</v>
      </c>
    </row>
    <row r="960" spans="1:2" x14ac:dyDescent="0.25">
      <c r="A960" t="s">
        <v>98</v>
      </c>
      <c r="B960">
        <v>1020</v>
      </c>
    </row>
    <row r="961" spans="1:2" x14ac:dyDescent="0.25">
      <c r="A961" t="s">
        <v>98</v>
      </c>
      <c r="B961">
        <v>1020</v>
      </c>
    </row>
    <row r="962" spans="1:2" x14ac:dyDescent="0.25">
      <c r="A962" t="s">
        <v>98</v>
      </c>
      <c r="B962">
        <v>1020</v>
      </c>
    </row>
    <row r="963" spans="1:2" x14ac:dyDescent="0.25">
      <c r="A963" t="s">
        <v>98</v>
      </c>
      <c r="B963">
        <v>1020</v>
      </c>
    </row>
    <row r="964" spans="1:2" x14ac:dyDescent="0.25">
      <c r="A964" t="s">
        <v>98</v>
      </c>
      <c r="B964">
        <v>1020</v>
      </c>
    </row>
    <row r="965" spans="1:2" x14ac:dyDescent="0.25">
      <c r="A965" t="s">
        <v>98</v>
      </c>
      <c r="B965">
        <v>1020</v>
      </c>
    </row>
    <row r="966" spans="1:2" x14ac:dyDescent="0.25">
      <c r="A966" t="s">
        <v>98</v>
      </c>
      <c r="B966">
        <v>1020</v>
      </c>
    </row>
    <row r="967" spans="1:2" x14ac:dyDescent="0.25">
      <c r="A967" t="s">
        <v>98</v>
      </c>
      <c r="B967">
        <v>1020</v>
      </c>
    </row>
    <row r="968" spans="1:2" x14ac:dyDescent="0.25">
      <c r="A968" t="s">
        <v>98</v>
      </c>
      <c r="B968">
        <v>1020</v>
      </c>
    </row>
    <row r="969" spans="1:2" x14ac:dyDescent="0.25">
      <c r="A969" t="s">
        <v>98</v>
      </c>
      <c r="B969">
        <v>1020</v>
      </c>
    </row>
    <row r="970" spans="1:2" x14ac:dyDescent="0.25">
      <c r="A970" t="s">
        <v>98</v>
      </c>
      <c r="B970">
        <v>1020</v>
      </c>
    </row>
    <row r="971" spans="1:2" x14ac:dyDescent="0.25">
      <c r="A971" t="s">
        <v>98</v>
      </c>
      <c r="B971">
        <v>1020</v>
      </c>
    </row>
    <row r="972" spans="1:2" x14ac:dyDescent="0.25">
      <c r="A972" t="s">
        <v>98</v>
      </c>
      <c r="B972">
        <v>1020</v>
      </c>
    </row>
    <row r="973" spans="1:2" x14ac:dyDescent="0.25">
      <c r="A973" t="s">
        <v>98</v>
      </c>
      <c r="B973">
        <v>1020</v>
      </c>
    </row>
    <row r="974" spans="1:2" x14ac:dyDescent="0.25">
      <c r="A974" t="s">
        <v>98</v>
      </c>
      <c r="B974">
        <v>1020</v>
      </c>
    </row>
    <row r="975" spans="1:2" x14ac:dyDescent="0.25">
      <c r="A975" t="s">
        <v>98</v>
      </c>
      <c r="B975">
        <v>1020</v>
      </c>
    </row>
    <row r="976" spans="1:2" x14ac:dyDescent="0.25">
      <c r="A976" t="s">
        <v>98</v>
      </c>
      <c r="B976">
        <v>1020</v>
      </c>
    </row>
    <row r="977" spans="1:2" x14ac:dyDescent="0.25">
      <c r="A977" t="s">
        <v>98</v>
      </c>
      <c r="B977">
        <v>1020</v>
      </c>
    </row>
    <row r="978" spans="1:2" x14ac:dyDescent="0.25">
      <c r="A978" t="s">
        <v>98</v>
      </c>
      <c r="B978">
        <v>1020</v>
      </c>
    </row>
    <row r="979" spans="1:2" x14ac:dyDescent="0.25">
      <c r="A979" t="s">
        <v>98</v>
      </c>
      <c r="B979">
        <v>1020</v>
      </c>
    </row>
    <row r="980" spans="1:2" x14ac:dyDescent="0.25">
      <c r="A980" t="s">
        <v>98</v>
      </c>
      <c r="B980">
        <v>1020</v>
      </c>
    </row>
    <row r="981" spans="1:2" x14ac:dyDescent="0.25">
      <c r="A981" t="s">
        <v>98</v>
      </c>
      <c r="B981">
        <v>1020</v>
      </c>
    </row>
    <row r="982" spans="1:2" x14ac:dyDescent="0.25">
      <c r="A982" t="s">
        <v>98</v>
      </c>
      <c r="B982">
        <v>1020</v>
      </c>
    </row>
    <row r="983" spans="1:2" x14ac:dyDescent="0.25">
      <c r="A983" t="s">
        <v>98</v>
      </c>
      <c r="B983">
        <v>1020</v>
      </c>
    </row>
    <row r="984" spans="1:2" x14ac:dyDescent="0.25">
      <c r="A984" t="s">
        <v>98</v>
      </c>
      <c r="B984">
        <v>1020</v>
      </c>
    </row>
    <row r="985" spans="1:2" x14ac:dyDescent="0.25">
      <c r="A985" t="s">
        <v>98</v>
      </c>
      <c r="B985">
        <v>1020</v>
      </c>
    </row>
    <row r="986" spans="1:2" x14ac:dyDescent="0.25">
      <c r="A986" t="s">
        <v>98</v>
      </c>
      <c r="B986">
        <v>1020</v>
      </c>
    </row>
    <row r="987" spans="1:2" x14ac:dyDescent="0.25">
      <c r="A987" t="s">
        <v>98</v>
      </c>
      <c r="B987">
        <v>1020</v>
      </c>
    </row>
    <row r="988" spans="1:2" x14ac:dyDescent="0.25">
      <c r="A988" t="s">
        <v>98</v>
      </c>
      <c r="B988">
        <v>1020</v>
      </c>
    </row>
    <row r="989" spans="1:2" x14ac:dyDescent="0.25">
      <c r="A989" t="s">
        <v>98</v>
      </c>
      <c r="B989">
        <v>1020</v>
      </c>
    </row>
    <row r="990" spans="1:2" x14ac:dyDescent="0.25">
      <c r="A990" t="s">
        <v>98</v>
      </c>
      <c r="B990">
        <v>1020</v>
      </c>
    </row>
    <row r="991" spans="1:2" x14ac:dyDescent="0.25">
      <c r="A991" t="s">
        <v>98</v>
      </c>
      <c r="B991">
        <v>1020</v>
      </c>
    </row>
    <row r="992" spans="1:2" x14ac:dyDescent="0.25">
      <c r="A992" t="s">
        <v>98</v>
      </c>
      <c r="B992">
        <v>1020</v>
      </c>
    </row>
    <row r="993" spans="1:2" x14ac:dyDescent="0.25">
      <c r="A993" t="s">
        <v>98</v>
      </c>
      <c r="B993">
        <v>1020</v>
      </c>
    </row>
    <row r="994" spans="1:2" x14ac:dyDescent="0.25">
      <c r="A994" t="s">
        <v>98</v>
      </c>
      <c r="B994">
        <v>1020</v>
      </c>
    </row>
    <row r="995" spans="1:2" x14ac:dyDescent="0.25">
      <c r="A995" t="s">
        <v>98</v>
      </c>
      <c r="B995">
        <v>1020</v>
      </c>
    </row>
    <row r="996" spans="1:2" x14ac:dyDescent="0.25">
      <c r="A996" t="s">
        <v>98</v>
      </c>
      <c r="B996">
        <v>1020</v>
      </c>
    </row>
    <row r="997" spans="1:2" x14ac:dyDescent="0.25">
      <c r="A997" t="s">
        <v>98</v>
      </c>
      <c r="B997">
        <v>1020</v>
      </c>
    </row>
    <row r="998" spans="1:2" x14ac:dyDescent="0.25">
      <c r="A998" t="s">
        <v>98</v>
      </c>
      <c r="B998">
        <v>1020</v>
      </c>
    </row>
    <row r="999" spans="1:2" x14ac:dyDescent="0.25">
      <c r="A999" t="s">
        <v>98</v>
      </c>
      <c r="B999">
        <v>1020</v>
      </c>
    </row>
    <row r="1000" spans="1:2" x14ac:dyDescent="0.25">
      <c r="A1000" t="s">
        <v>98</v>
      </c>
      <c r="B1000">
        <v>1020</v>
      </c>
    </row>
    <row r="1001" spans="1:2" x14ac:dyDescent="0.25">
      <c r="A1001" t="s">
        <v>98</v>
      </c>
      <c r="B1001">
        <v>1020</v>
      </c>
    </row>
    <row r="1002" spans="1:2" x14ac:dyDescent="0.25">
      <c r="A1002" t="s">
        <v>98</v>
      </c>
      <c r="B1002">
        <v>1020</v>
      </c>
    </row>
    <row r="1003" spans="1:2" x14ac:dyDescent="0.25">
      <c r="A1003" t="s">
        <v>98</v>
      </c>
      <c r="B1003">
        <v>1020</v>
      </c>
    </row>
    <row r="1004" spans="1:2" x14ac:dyDescent="0.25">
      <c r="A1004" t="s">
        <v>98</v>
      </c>
      <c r="B1004">
        <v>1020</v>
      </c>
    </row>
    <row r="1005" spans="1:2" x14ac:dyDescent="0.25">
      <c r="A1005" t="s">
        <v>98</v>
      </c>
      <c r="B1005">
        <v>1020</v>
      </c>
    </row>
    <row r="1006" spans="1:2" x14ac:dyDescent="0.25">
      <c r="A1006" t="s">
        <v>98</v>
      </c>
      <c r="B1006">
        <v>1020</v>
      </c>
    </row>
    <row r="1007" spans="1:2" x14ac:dyDescent="0.25">
      <c r="A1007" t="s">
        <v>98</v>
      </c>
      <c r="B1007">
        <v>1020</v>
      </c>
    </row>
    <row r="1008" spans="1:2" x14ac:dyDescent="0.25">
      <c r="A1008" t="s">
        <v>98</v>
      </c>
      <c r="B1008">
        <v>1020</v>
      </c>
    </row>
    <row r="1009" spans="1:2" x14ac:dyDescent="0.25">
      <c r="A1009" t="s">
        <v>98</v>
      </c>
      <c r="B1009">
        <v>1020</v>
      </c>
    </row>
    <row r="1010" spans="1:2" x14ac:dyDescent="0.25">
      <c r="A1010" t="s">
        <v>98</v>
      </c>
      <c r="B1010">
        <v>1020</v>
      </c>
    </row>
    <row r="1011" spans="1:2" x14ac:dyDescent="0.25">
      <c r="A1011" t="s">
        <v>98</v>
      </c>
      <c r="B1011">
        <v>1020</v>
      </c>
    </row>
    <row r="1012" spans="1:2" x14ac:dyDescent="0.25">
      <c r="A1012" t="s">
        <v>98</v>
      </c>
      <c r="B1012">
        <v>1020</v>
      </c>
    </row>
    <row r="1013" spans="1:2" x14ac:dyDescent="0.25">
      <c r="A1013" t="s">
        <v>98</v>
      </c>
      <c r="B1013">
        <v>1020</v>
      </c>
    </row>
    <row r="1014" spans="1:2" x14ac:dyDescent="0.25">
      <c r="A1014" t="s">
        <v>98</v>
      </c>
      <c r="B1014">
        <v>1020</v>
      </c>
    </row>
    <row r="1015" spans="1:2" x14ac:dyDescent="0.25">
      <c r="A1015" t="s">
        <v>98</v>
      </c>
      <c r="B1015">
        <v>1020</v>
      </c>
    </row>
    <row r="1016" spans="1:2" x14ac:dyDescent="0.25">
      <c r="A1016" t="s">
        <v>98</v>
      </c>
      <c r="B1016">
        <v>1020</v>
      </c>
    </row>
    <row r="1017" spans="1:2" x14ac:dyDescent="0.25">
      <c r="A1017" t="s">
        <v>98</v>
      </c>
      <c r="B1017">
        <v>1020</v>
      </c>
    </row>
    <row r="1018" spans="1:2" x14ac:dyDescent="0.25">
      <c r="A1018" t="s">
        <v>98</v>
      </c>
      <c r="B1018">
        <v>1020</v>
      </c>
    </row>
    <row r="1019" spans="1:2" x14ac:dyDescent="0.25">
      <c r="A1019" t="s">
        <v>98</v>
      </c>
      <c r="B1019">
        <v>1020</v>
      </c>
    </row>
    <row r="1020" spans="1:2" x14ac:dyDescent="0.25">
      <c r="A1020" t="s">
        <v>98</v>
      </c>
      <c r="B1020">
        <v>1020</v>
      </c>
    </row>
    <row r="1021" spans="1:2" x14ac:dyDescent="0.25">
      <c r="A1021" t="s">
        <v>98</v>
      </c>
      <c r="B1021">
        <v>1020</v>
      </c>
    </row>
    <row r="1022" spans="1:2" x14ac:dyDescent="0.25">
      <c r="A1022" t="s">
        <v>98</v>
      </c>
      <c r="B1022">
        <v>1020</v>
      </c>
    </row>
    <row r="1023" spans="1:2" x14ac:dyDescent="0.25">
      <c r="A1023" t="s">
        <v>98</v>
      </c>
      <c r="B1023">
        <v>1020</v>
      </c>
    </row>
    <row r="1024" spans="1:2" x14ac:dyDescent="0.25">
      <c r="A1024" t="s">
        <v>98</v>
      </c>
      <c r="B1024">
        <v>1020</v>
      </c>
    </row>
    <row r="1025" spans="1:2" x14ac:dyDescent="0.25">
      <c r="A1025" t="s">
        <v>98</v>
      </c>
      <c r="B1025">
        <v>1020</v>
      </c>
    </row>
    <row r="1026" spans="1:2" x14ac:dyDescent="0.25">
      <c r="A1026" t="s">
        <v>98</v>
      </c>
      <c r="B1026">
        <v>1020</v>
      </c>
    </row>
    <row r="1027" spans="1:2" x14ac:dyDescent="0.25">
      <c r="A1027" t="s">
        <v>98</v>
      </c>
      <c r="B1027">
        <v>1020</v>
      </c>
    </row>
    <row r="1028" spans="1:2" x14ac:dyDescent="0.25">
      <c r="A1028" t="s">
        <v>98</v>
      </c>
      <c r="B1028">
        <v>1020</v>
      </c>
    </row>
    <row r="1029" spans="1:2" x14ac:dyDescent="0.25">
      <c r="A1029" t="s">
        <v>98</v>
      </c>
      <c r="B1029">
        <v>1020</v>
      </c>
    </row>
    <row r="1030" spans="1:2" x14ac:dyDescent="0.25">
      <c r="A1030" t="s">
        <v>98</v>
      </c>
      <c r="B1030">
        <v>1020</v>
      </c>
    </row>
    <row r="1031" spans="1:2" x14ac:dyDescent="0.25">
      <c r="A1031" t="s">
        <v>98</v>
      </c>
      <c r="B1031">
        <v>1020</v>
      </c>
    </row>
    <row r="1032" spans="1:2" x14ac:dyDescent="0.25">
      <c r="A1032" t="s">
        <v>98</v>
      </c>
      <c r="B1032">
        <v>1020</v>
      </c>
    </row>
    <row r="1033" spans="1:2" x14ac:dyDescent="0.25">
      <c r="A1033" t="s">
        <v>98</v>
      </c>
      <c r="B1033">
        <v>1020</v>
      </c>
    </row>
    <row r="1034" spans="1:2" x14ac:dyDescent="0.25">
      <c r="A1034" t="s">
        <v>98</v>
      </c>
      <c r="B1034">
        <v>1020</v>
      </c>
    </row>
    <row r="1035" spans="1:2" x14ac:dyDescent="0.25">
      <c r="A1035" t="s">
        <v>98</v>
      </c>
      <c r="B1035">
        <v>1020</v>
      </c>
    </row>
    <row r="1036" spans="1:2" x14ac:dyDescent="0.25">
      <c r="A1036" t="s">
        <v>98</v>
      </c>
      <c r="B1036">
        <v>1020</v>
      </c>
    </row>
    <row r="1037" spans="1:2" x14ac:dyDescent="0.25">
      <c r="A1037" t="s">
        <v>98</v>
      </c>
      <c r="B1037">
        <v>1020</v>
      </c>
    </row>
    <row r="1038" spans="1:2" x14ac:dyDescent="0.25">
      <c r="A1038" t="s">
        <v>98</v>
      </c>
      <c r="B1038">
        <v>1020</v>
      </c>
    </row>
    <row r="1039" spans="1:2" x14ac:dyDescent="0.25">
      <c r="A1039" t="s">
        <v>98</v>
      </c>
      <c r="B1039">
        <v>1020</v>
      </c>
    </row>
    <row r="1040" spans="1:2" x14ac:dyDescent="0.25">
      <c r="A1040" t="s">
        <v>98</v>
      </c>
      <c r="B1040">
        <v>1020</v>
      </c>
    </row>
    <row r="1041" spans="1:2" x14ac:dyDescent="0.25">
      <c r="A1041" t="s">
        <v>98</v>
      </c>
      <c r="B1041">
        <v>1020</v>
      </c>
    </row>
    <row r="1042" spans="1:2" x14ac:dyDescent="0.25">
      <c r="A1042" t="s">
        <v>98</v>
      </c>
      <c r="B1042">
        <v>1020</v>
      </c>
    </row>
    <row r="1043" spans="1:2" x14ac:dyDescent="0.25">
      <c r="A1043" t="s">
        <v>98</v>
      </c>
      <c r="B1043">
        <v>1020</v>
      </c>
    </row>
    <row r="1044" spans="1:2" x14ac:dyDescent="0.25">
      <c r="A1044" t="s">
        <v>98</v>
      </c>
      <c r="B1044">
        <v>1020</v>
      </c>
    </row>
    <row r="1045" spans="1:2" x14ac:dyDescent="0.25">
      <c r="A1045" t="s">
        <v>98</v>
      </c>
      <c r="B1045">
        <v>1020</v>
      </c>
    </row>
    <row r="1046" spans="1:2" x14ac:dyDescent="0.25">
      <c r="A1046" t="s">
        <v>98</v>
      </c>
      <c r="B1046">
        <v>1020</v>
      </c>
    </row>
    <row r="1047" spans="1:2" x14ac:dyDescent="0.25">
      <c r="A1047" t="s">
        <v>98</v>
      </c>
      <c r="B1047">
        <v>1020</v>
      </c>
    </row>
    <row r="1048" spans="1:2" x14ac:dyDescent="0.25">
      <c r="A1048" t="s">
        <v>98</v>
      </c>
      <c r="B1048">
        <v>1020</v>
      </c>
    </row>
    <row r="1049" spans="1:2" x14ac:dyDescent="0.25">
      <c r="A1049" t="s">
        <v>98</v>
      </c>
      <c r="B1049">
        <v>1020</v>
      </c>
    </row>
    <row r="1050" spans="1:2" x14ac:dyDescent="0.25">
      <c r="A1050" t="s">
        <v>98</v>
      </c>
      <c r="B1050">
        <v>1020</v>
      </c>
    </row>
    <row r="1051" spans="1:2" x14ac:dyDescent="0.25">
      <c r="A1051" t="s">
        <v>98</v>
      </c>
      <c r="B1051">
        <v>1020</v>
      </c>
    </row>
    <row r="1052" spans="1:2" x14ac:dyDescent="0.25">
      <c r="A1052" t="s">
        <v>98</v>
      </c>
      <c r="B1052">
        <v>1020</v>
      </c>
    </row>
    <row r="1053" spans="1:2" x14ac:dyDescent="0.25">
      <c r="A1053" t="s">
        <v>98</v>
      </c>
      <c r="B1053">
        <v>1020</v>
      </c>
    </row>
    <row r="1054" spans="1:2" x14ac:dyDescent="0.25">
      <c r="A1054" t="s">
        <v>98</v>
      </c>
      <c r="B1054">
        <v>1020</v>
      </c>
    </row>
    <row r="1055" spans="1:2" x14ac:dyDescent="0.25">
      <c r="A1055" t="s">
        <v>98</v>
      </c>
      <c r="B1055">
        <v>1020</v>
      </c>
    </row>
    <row r="1056" spans="1:2" x14ac:dyDescent="0.25">
      <c r="A1056" t="s">
        <v>98</v>
      </c>
      <c r="B1056">
        <v>1020</v>
      </c>
    </row>
    <row r="1057" spans="1:2" x14ac:dyDescent="0.25">
      <c r="A1057" t="s">
        <v>98</v>
      </c>
      <c r="B1057">
        <v>1020</v>
      </c>
    </row>
    <row r="1058" spans="1:2" x14ac:dyDescent="0.25">
      <c r="A1058" t="s">
        <v>98</v>
      </c>
      <c r="B1058">
        <v>1020</v>
      </c>
    </row>
    <row r="1059" spans="1:2" x14ac:dyDescent="0.25">
      <c r="A1059" t="s">
        <v>98</v>
      </c>
      <c r="B1059">
        <v>1020</v>
      </c>
    </row>
    <row r="1060" spans="1:2" x14ac:dyDescent="0.25">
      <c r="A1060" t="s">
        <v>98</v>
      </c>
      <c r="B1060">
        <v>1020</v>
      </c>
    </row>
    <row r="1061" spans="1:2" x14ac:dyDescent="0.25">
      <c r="A1061" t="s">
        <v>98</v>
      </c>
      <c r="B1061">
        <v>1020</v>
      </c>
    </row>
    <row r="1062" spans="1:2" x14ac:dyDescent="0.25">
      <c r="A1062" t="s">
        <v>98</v>
      </c>
      <c r="B1062">
        <v>1020</v>
      </c>
    </row>
    <row r="1063" spans="1:2" x14ac:dyDescent="0.25">
      <c r="A1063" t="s">
        <v>98</v>
      </c>
      <c r="B1063">
        <v>1020</v>
      </c>
    </row>
    <row r="1064" spans="1:2" x14ac:dyDescent="0.25">
      <c r="A1064" t="s">
        <v>98</v>
      </c>
      <c r="B1064">
        <v>1020</v>
      </c>
    </row>
    <row r="1065" spans="1:2" x14ac:dyDescent="0.25">
      <c r="A1065" t="s">
        <v>98</v>
      </c>
      <c r="B1065">
        <v>1020</v>
      </c>
    </row>
    <row r="1066" spans="1:2" x14ac:dyDescent="0.25">
      <c r="A1066" t="s">
        <v>98</v>
      </c>
      <c r="B1066">
        <v>1020</v>
      </c>
    </row>
    <row r="1067" spans="1:2" x14ac:dyDescent="0.25">
      <c r="A1067" t="s">
        <v>98</v>
      </c>
      <c r="B1067">
        <v>1020</v>
      </c>
    </row>
    <row r="1068" spans="1:2" x14ac:dyDescent="0.25">
      <c r="A1068" t="s">
        <v>98</v>
      </c>
      <c r="B1068">
        <v>1020</v>
      </c>
    </row>
    <row r="1069" spans="1:2" x14ac:dyDescent="0.25">
      <c r="A1069" t="s">
        <v>98</v>
      </c>
      <c r="B1069">
        <v>1020</v>
      </c>
    </row>
    <row r="1070" spans="1:2" x14ac:dyDescent="0.25">
      <c r="A1070" t="s">
        <v>98</v>
      </c>
      <c r="B1070">
        <v>1020</v>
      </c>
    </row>
    <row r="1071" spans="1:2" x14ac:dyDescent="0.25">
      <c r="A1071" t="s">
        <v>98</v>
      </c>
      <c r="B1071">
        <v>1020</v>
      </c>
    </row>
    <row r="1072" spans="1:2" x14ac:dyDescent="0.25">
      <c r="A1072" t="s">
        <v>98</v>
      </c>
      <c r="B1072">
        <v>1020</v>
      </c>
    </row>
    <row r="1073" spans="1:2" x14ac:dyDescent="0.25">
      <c r="A1073" t="s">
        <v>98</v>
      </c>
      <c r="B1073">
        <v>1020</v>
      </c>
    </row>
    <row r="1074" spans="1:2" x14ac:dyDescent="0.25">
      <c r="A1074" t="s">
        <v>98</v>
      </c>
      <c r="B1074">
        <v>1020</v>
      </c>
    </row>
    <row r="1075" spans="1:2" x14ac:dyDescent="0.25">
      <c r="A1075" t="s">
        <v>98</v>
      </c>
      <c r="B1075">
        <v>1020</v>
      </c>
    </row>
    <row r="1076" spans="1:2" x14ac:dyDescent="0.25">
      <c r="A1076" t="s">
        <v>98</v>
      </c>
      <c r="B1076">
        <v>1020</v>
      </c>
    </row>
    <row r="1077" spans="1:2" x14ac:dyDescent="0.25">
      <c r="A1077" t="s">
        <v>98</v>
      </c>
      <c r="B1077">
        <v>1020</v>
      </c>
    </row>
    <row r="1078" spans="1:2" x14ac:dyDescent="0.25">
      <c r="A1078" t="s">
        <v>98</v>
      </c>
      <c r="B1078">
        <v>1020</v>
      </c>
    </row>
    <row r="1079" spans="1:2" x14ac:dyDescent="0.25">
      <c r="A1079" t="s">
        <v>98</v>
      </c>
      <c r="B1079">
        <v>1020</v>
      </c>
    </row>
    <row r="1080" spans="1:2" x14ac:dyDescent="0.25">
      <c r="A1080" t="s">
        <v>98</v>
      </c>
      <c r="B1080">
        <v>1020</v>
      </c>
    </row>
    <row r="1081" spans="1:2" x14ac:dyDescent="0.25">
      <c r="A1081" t="s">
        <v>98</v>
      </c>
      <c r="B1081">
        <v>1020</v>
      </c>
    </row>
    <row r="1082" spans="1:2" x14ac:dyDescent="0.25">
      <c r="A1082" t="s">
        <v>98</v>
      </c>
      <c r="B1082">
        <v>1020</v>
      </c>
    </row>
    <row r="1083" spans="1:2" x14ac:dyDescent="0.25">
      <c r="A1083" t="s">
        <v>98</v>
      </c>
      <c r="B1083">
        <v>1020</v>
      </c>
    </row>
    <row r="1084" spans="1:2" x14ac:dyDescent="0.25">
      <c r="A1084" t="s">
        <v>98</v>
      </c>
      <c r="B1084">
        <v>1020</v>
      </c>
    </row>
    <row r="1085" spans="1:2" x14ac:dyDescent="0.25">
      <c r="A1085" t="s">
        <v>98</v>
      </c>
      <c r="B1085">
        <v>1020</v>
      </c>
    </row>
    <row r="1086" spans="1:2" x14ac:dyDescent="0.25">
      <c r="A1086" t="s">
        <v>98</v>
      </c>
      <c r="B1086">
        <v>1020</v>
      </c>
    </row>
    <row r="1087" spans="1:2" x14ac:dyDescent="0.25">
      <c r="A1087" t="s">
        <v>98</v>
      </c>
      <c r="B1087">
        <v>1020</v>
      </c>
    </row>
    <row r="1088" spans="1:2" x14ac:dyDescent="0.25">
      <c r="A1088" t="s">
        <v>98</v>
      </c>
      <c r="B1088">
        <v>1020</v>
      </c>
    </row>
    <row r="1089" spans="1:2" x14ac:dyDescent="0.25">
      <c r="A1089" t="s">
        <v>98</v>
      </c>
      <c r="B1089">
        <v>1020</v>
      </c>
    </row>
    <row r="1090" spans="1:2" x14ac:dyDescent="0.25">
      <c r="A1090" t="s">
        <v>98</v>
      </c>
      <c r="B1090">
        <v>1020</v>
      </c>
    </row>
    <row r="1091" spans="1:2" x14ac:dyDescent="0.25">
      <c r="A1091" t="s">
        <v>98</v>
      </c>
      <c r="B1091">
        <v>1020</v>
      </c>
    </row>
    <row r="1092" spans="1:2" x14ac:dyDescent="0.25">
      <c r="A1092" t="s">
        <v>98</v>
      </c>
      <c r="B1092">
        <v>1020</v>
      </c>
    </row>
    <row r="1093" spans="1:2" x14ac:dyDescent="0.25">
      <c r="A1093" t="s">
        <v>98</v>
      </c>
      <c r="B1093">
        <v>1020</v>
      </c>
    </row>
    <row r="1094" spans="1:2" x14ac:dyDescent="0.25">
      <c r="A1094" t="s">
        <v>98</v>
      </c>
      <c r="B1094">
        <v>1020</v>
      </c>
    </row>
    <row r="1095" spans="1:2" x14ac:dyDescent="0.25">
      <c r="A1095" t="s">
        <v>98</v>
      </c>
      <c r="B1095">
        <v>1020</v>
      </c>
    </row>
    <row r="1096" spans="1:2" x14ac:dyDescent="0.25">
      <c r="A1096" t="s">
        <v>98</v>
      </c>
      <c r="B1096">
        <v>1020</v>
      </c>
    </row>
    <row r="1097" spans="1:2" x14ac:dyDescent="0.25">
      <c r="A1097" t="s">
        <v>98</v>
      </c>
      <c r="B1097">
        <v>1020</v>
      </c>
    </row>
    <row r="1098" spans="1:2" x14ac:dyDescent="0.25">
      <c r="A1098" t="s">
        <v>98</v>
      </c>
      <c r="B1098">
        <v>1020</v>
      </c>
    </row>
    <row r="1099" spans="1:2" x14ac:dyDescent="0.25">
      <c r="A1099" t="s">
        <v>98</v>
      </c>
      <c r="B1099">
        <v>1020</v>
      </c>
    </row>
    <row r="1100" spans="1:2" x14ac:dyDescent="0.25">
      <c r="A1100" t="s">
        <v>98</v>
      </c>
      <c r="B1100">
        <v>1020</v>
      </c>
    </row>
    <row r="1101" spans="1:2" x14ac:dyDescent="0.25">
      <c r="A1101" t="s">
        <v>98</v>
      </c>
      <c r="B1101">
        <v>1020</v>
      </c>
    </row>
    <row r="1102" spans="1:2" x14ac:dyDescent="0.25">
      <c r="A1102" t="s">
        <v>98</v>
      </c>
      <c r="B1102">
        <v>1020</v>
      </c>
    </row>
    <row r="1103" spans="1:2" x14ac:dyDescent="0.25">
      <c r="A1103" t="s">
        <v>98</v>
      </c>
      <c r="B1103">
        <v>1020</v>
      </c>
    </row>
    <row r="1104" spans="1:2" x14ac:dyDescent="0.25">
      <c r="A1104" t="s">
        <v>98</v>
      </c>
      <c r="B1104">
        <v>1020</v>
      </c>
    </row>
    <row r="1105" spans="1:2" x14ac:dyDescent="0.25">
      <c r="A1105" t="s">
        <v>98</v>
      </c>
      <c r="B1105">
        <v>1020</v>
      </c>
    </row>
    <row r="1106" spans="1:2" x14ac:dyDescent="0.25">
      <c r="A1106" t="s">
        <v>98</v>
      </c>
      <c r="B1106">
        <v>1020</v>
      </c>
    </row>
    <row r="1107" spans="1:2" x14ac:dyDescent="0.25">
      <c r="A1107" t="s">
        <v>98</v>
      </c>
      <c r="B1107">
        <v>1020</v>
      </c>
    </row>
    <row r="1108" spans="1:2" x14ac:dyDescent="0.25">
      <c r="A1108" t="s">
        <v>98</v>
      </c>
      <c r="B1108">
        <v>1020</v>
      </c>
    </row>
    <row r="1109" spans="1:2" x14ac:dyDescent="0.25">
      <c r="A1109" t="s">
        <v>98</v>
      </c>
      <c r="B1109">
        <v>1020</v>
      </c>
    </row>
    <row r="1110" spans="1:2" x14ac:dyDescent="0.25">
      <c r="A1110" t="s">
        <v>98</v>
      </c>
      <c r="B1110">
        <v>1020</v>
      </c>
    </row>
    <row r="1111" spans="1:2" x14ac:dyDescent="0.25">
      <c r="A1111" t="s">
        <v>98</v>
      </c>
      <c r="B1111">
        <v>1020</v>
      </c>
    </row>
    <row r="1112" spans="1:2" x14ac:dyDescent="0.25">
      <c r="A1112" t="s">
        <v>98</v>
      </c>
      <c r="B1112">
        <v>1020</v>
      </c>
    </row>
    <row r="1113" spans="1:2" x14ac:dyDescent="0.25">
      <c r="A1113" t="s">
        <v>98</v>
      </c>
      <c r="B1113">
        <v>1020</v>
      </c>
    </row>
    <row r="1114" spans="1:2" x14ac:dyDescent="0.25">
      <c r="A1114" t="s">
        <v>98</v>
      </c>
      <c r="B1114">
        <v>1020</v>
      </c>
    </row>
    <row r="1115" spans="1:2" x14ac:dyDescent="0.25">
      <c r="A1115" t="s">
        <v>98</v>
      </c>
      <c r="B1115">
        <v>1020</v>
      </c>
    </row>
    <row r="1116" spans="1:2" x14ac:dyDescent="0.25">
      <c r="A1116" t="s">
        <v>98</v>
      </c>
      <c r="B1116">
        <v>1020</v>
      </c>
    </row>
    <row r="1117" spans="1:2" x14ac:dyDescent="0.25">
      <c r="A1117" t="s">
        <v>98</v>
      </c>
      <c r="B1117">
        <v>1020</v>
      </c>
    </row>
    <row r="1118" spans="1:2" x14ac:dyDescent="0.25">
      <c r="A1118" t="s">
        <v>98</v>
      </c>
      <c r="B1118">
        <v>1020</v>
      </c>
    </row>
    <row r="1119" spans="1:2" x14ac:dyDescent="0.25">
      <c r="A1119" t="s">
        <v>98</v>
      </c>
      <c r="B1119">
        <v>1020</v>
      </c>
    </row>
    <row r="1120" spans="1:2" x14ac:dyDescent="0.25">
      <c r="A1120" t="s">
        <v>98</v>
      </c>
      <c r="B1120">
        <v>1020</v>
      </c>
    </row>
    <row r="1121" spans="1:2" x14ac:dyDescent="0.25">
      <c r="A1121" t="s">
        <v>98</v>
      </c>
      <c r="B1121">
        <v>1020</v>
      </c>
    </row>
    <row r="1122" spans="1:2" x14ac:dyDescent="0.25">
      <c r="A1122" t="s">
        <v>98</v>
      </c>
      <c r="B1122">
        <v>1020</v>
      </c>
    </row>
    <row r="1123" spans="1:2" x14ac:dyDescent="0.25">
      <c r="A1123" t="s">
        <v>98</v>
      </c>
      <c r="B1123">
        <v>1020</v>
      </c>
    </row>
    <row r="1124" spans="1:2" x14ac:dyDescent="0.25">
      <c r="A1124" t="s">
        <v>98</v>
      </c>
      <c r="B1124">
        <v>1020</v>
      </c>
    </row>
    <row r="1125" spans="1:2" x14ac:dyDescent="0.25">
      <c r="A1125" t="s">
        <v>98</v>
      </c>
      <c r="B1125">
        <v>1020</v>
      </c>
    </row>
    <row r="1126" spans="1:2" x14ac:dyDescent="0.25">
      <c r="A1126" t="s">
        <v>98</v>
      </c>
      <c r="B1126">
        <v>1020</v>
      </c>
    </row>
    <row r="1127" spans="1:2" x14ac:dyDescent="0.25">
      <c r="A1127" t="s">
        <v>98</v>
      </c>
      <c r="B1127">
        <v>1020</v>
      </c>
    </row>
    <row r="1128" spans="1:2" x14ac:dyDescent="0.25">
      <c r="A1128" t="s">
        <v>98</v>
      </c>
      <c r="B1128">
        <v>1020</v>
      </c>
    </row>
    <row r="1129" spans="1:2" x14ac:dyDescent="0.25">
      <c r="A1129" t="s">
        <v>98</v>
      </c>
      <c r="B1129">
        <v>1020</v>
      </c>
    </row>
    <row r="1130" spans="1:2" x14ac:dyDescent="0.25">
      <c r="A1130" t="s">
        <v>98</v>
      </c>
      <c r="B1130">
        <v>1020</v>
      </c>
    </row>
    <row r="1131" spans="1:2" x14ac:dyDescent="0.25">
      <c r="A1131" t="s">
        <v>98</v>
      </c>
      <c r="B1131">
        <v>1020</v>
      </c>
    </row>
    <row r="1132" spans="1:2" x14ac:dyDescent="0.25">
      <c r="A1132" t="s">
        <v>98</v>
      </c>
      <c r="B1132">
        <v>1020</v>
      </c>
    </row>
    <row r="1133" spans="1:2" x14ac:dyDescent="0.25">
      <c r="A1133" t="s">
        <v>98</v>
      </c>
      <c r="B1133">
        <v>1020</v>
      </c>
    </row>
    <row r="1134" spans="1:2" x14ac:dyDescent="0.25">
      <c r="A1134" t="s">
        <v>98</v>
      </c>
      <c r="B1134">
        <v>1020</v>
      </c>
    </row>
    <row r="1135" spans="1:2" x14ac:dyDescent="0.25">
      <c r="A1135" t="s">
        <v>98</v>
      </c>
      <c r="B1135">
        <v>1020</v>
      </c>
    </row>
    <row r="1136" spans="1:2" x14ac:dyDescent="0.25">
      <c r="A1136" t="s">
        <v>98</v>
      </c>
      <c r="B1136">
        <v>1020</v>
      </c>
    </row>
    <row r="1137" spans="1:2" x14ac:dyDescent="0.25">
      <c r="A1137" t="s">
        <v>98</v>
      </c>
      <c r="B1137">
        <v>1020</v>
      </c>
    </row>
    <row r="1138" spans="1:2" x14ac:dyDescent="0.25">
      <c r="A1138" t="s">
        <v>98</v>
      </c>
      <c r="B1138">
        <v>1020</v>
      </c>
    </row>
    <row r="1139" spans="1:2" x14ac:dyDescent="0.25">
      <c r="A1139" t="s">
        <v>98</v>
      </c>
      <c r="B1139">
        <v>1020</v>
      </c>
    </row>
    <row r="1140" spans="1:2" x14ac:dyDescent="0.25">
      <c r="A1140" t="s">
        <v>98</v>
      </c>
      <c r="B1140">
        <v>1020</v>
      </c>
    </row>
    <row r="1141" spans="1:2" x14ac:dyDescent="0.25">
      <c r="A1141" t="s">
        <v>98</v>
      </c>
      <c r="B1141">
        <v>1020</v>
      </c>
    </row>
    <row r="1142" spans="1:2" x14ac:dyDescent="0.25">
      <c r="A1142" t="s">
        <v>98</v>
      </c>
      <c r="B1142">
        <v>1020</v>
      </c>
    </row>
    <row r="1143" spans="1:2" x14ac:dyDescent="0.25">
      <c r="A1143" t="s">
        <v>98</v>
      </c>
      <c r="B1143">
        <v>1020</v>
      </c>
    </row>
    <row r="1144" spans="1:2" x14ac:dyDescent="0.25">
      <c r="A1144" t="s">
        <v>98</v>
      </c>
      <c r="B1144">
        <v>1020</v>
      </c>
    </row>
    <row r="1145" spans="1:2" x14ac:dyDescent="0.25">
      <c r="A1145" t="s">
        <v>98</v>
      </c>
      <c r="B1145">
        <v>1020</v>
      </c>
    </row>
    <row r="1146" spans="1:2" x14ac:dyDescent="0.25">
      <c r="A1146" t="s">
        <v>98</v>
      </c>
      <c r="B1146">
        <v>1020</v>
      </c>
    </row>
    <row r="1147" spans="1:2" x14ac:dyDescent="0.25">
      <c r="A1147" t="s">
        <v>98</v>
      </c>
      <c r="B1147">
        <v>1020</v>
      </c>
    </row>
    <row r="1148" spans="1:2" x14ac:dyDescent="0.25">
      <c r="A1148" t="s">
        <v>98</v>
      </c>
      <c r="B1148">
        <v>1020</v>
      </c>
    </row>
    <row r="1149" spans="1:2" x14ac:dyDescent="0.25">
      <c r="A1149" t="s">
        <v>98</v>
      </c>
      <c r="B1149">
        <v>1020</v>
      </c>
    </row>
    <row r="1150" spans="1:2" x14ac:dyDescent="0.25">
      <c r="A1150" t="s">
        <v>98</v>
      </c>
      <c r="B1150">
        <v>1020</v>
      </c>
    </row>
    <row r="1151" spans="1:2" x14ac:dyDescent="0.25">
      <c r="A1151" t="s">
        <v>98</v>
      </c>
      <c r="B1151">
        <v>1020</v>
      </c>
    </row>
    <row r="1152" spans="1:2" x14ac:dyDescent="0.25">
      <c r="A1152" t="s">
        <v>98</v>
      </c>
      <c r="B1152">
        <v>1020</v>
      </c>
    </row>
    <row r="1153" spans="1:2" x14ac:dyDescent="0.25">
      <c r="A1153" t="s">
        <v>98</v>
      </c>
      <c r="B1153">
        <v>1020</v>
      </c>
    </row>
    <row r="1154" spans="1:2" x14ac:dyDescent="0.25">
      <c r="A1154" t="s">
        <v>98</v>
      </c>
      <c r="B1154">
        <v>1020</v>
      </c>
    </row>
    <row r="1155" spans="1:2" x14ac:dyDescent="0.25">
      <c r="A1155" t="s">
        <v>98</v>
      </c>
      <c r="B1155">
        <v>1020</v>
      </c>
    </row>
    <row r="1156" spans="1:2" x14ac:dyDescent="0.25">
      <c r="A1156" t="s">
        <v>98</v>
      </c>
      <c r="B1156">
        <v>1020</v>
      </c>
    </row>
    <row r="1157" spans="1:2" x14ac:dyDescent="0.25">
      <c r="A1157" t="s">
        <v>98</v>
      </c>
      <c r="B1157">
        <v>1020</v>
      </c>
    </row>
    <row r="1158" spans="1:2" x14ac:dyDescent="0.25">
      <c r="A1158" t="s">
        <v>98</v>
      </c>
      <c r="B1158">
        <v>1020</v>
      </c>
    </row>
    <row r="1159" spans="1:2" x14ac:dyDescent="0.25">
      <c r="A1159" t="s">
        <v>98</v>
      </c>
      <c r="B1159">
        <v>1020</v>
      </c>
    </row>
    <row r="1160" spans="1:2" x14ac:dyDescent="0.25">
      <c r="A1160" t="s">
        <v>98</v>
      </c>
      <c r="B1160">
        <v>1020</v>
      </c>
    </row>
    <row r="1161" spans="1:2" x14ac:dyDescent="0.25">
      <c r="A1161" t="s">
        <v>98</v>
      </c>
      <c r="B1161">
        <v>1020</v>
      </c>
    </row>
    <row r="1162" spans="1:2" x14ac:dyDescent="0.25">
      <c r="A1162" t="s">
        <v>98</v>
      </c>
      <c r="B1162">
        <v>1020</v>
      </c>
    </row>
    <row r="1163" spans="1:2" x14ac:dyDescent="0.25">
      <c r="A1163" t="s">
        <v>98</v>
      </c>
      <c r="B1163">
        <v>1020</v>
      </c>
    </row>
    <row r="1164" spans="1:2" x14ac:dyDescent="0.25">
      <c r="A1164" t="s">
        <v>98</v>
      </c>
      <c r="B1164">
        <v>1020</v>
      </c>
    </row>
    <row r="1165" spans="1:2" x14ac:dyDescent="0.25">
      <c r="A1165" t="s">
        <v>98</v>
      </c>
      <c r="B1165">
        <v>1020</v>
      </c>
    </row>
    <row r="1166" spans="1:2" x14ac:dyDescent="0.25">
      <c r="A1166" t="s">
        <v>98</v>
      </c>
      <c r="B1166">
        <v>1020</v>
      </c>
    </row>
    <row r="1167" spans="1:2" x14ac:dyDescent="0.25">
      <c r="A1167" t="s">
        <v>98</v>
      </c>
      <c r="B1167">
        <v>1020</v>
      </c>
    </row>
    <row r="1168" spans="1:2" x14ac:dyDescent="0.25">
      <c r="A1168" t="s">
        <v>98</v>
      </c>
      <c r="B1168">
        <v>1020</v>
      </c>
    </row>
    <row r="1169" spans="1:2" x14ac:dyDescent="0.25">
      <c r="A1169" t="s">
        <v>98</v>
      </c>
      <c r="B1169">
        <v>1020</v>
      </c>
    </row>
    <row r="1170" spans="1:2" x14ac:dyDescent="0.25">
      <c r="A1170" t="s">
        <v>98</v>
      </c>
      <c r="B1170">
        <v>1020</v>
      </c>
    </row>
    <row r="1171" spans="1:2" x14ac:dyDescent="0.25">
      <c r="A1171" t="s">
        <v>98</v>
      </c>
      <c r="B1171">
        <v>1020</v>
      </c>
    </row>
    <row r="1172" spans="1:2" x14ac:dyDescent="0.25">
      <c r="A1172" t="s">
        <v>98</v>
      </c>
      <c r="B1172">
        <v>1020</v>
      </c>
    </row>
    <row r="1173" spans="1:2" x14ac:dyDescent="0.25">
      <c r="A1173" t="s">
        <v>98</v>
      </c>
      <c r="B1173">
        <v>1020</v>
      </c>
    </row>
    <row r="1174" spans="1:2" x14ac:dyDescent="0.25">
      <c r="A1174" t="s">
        <v>98</v>
      </c>
      <c r="B1174">
        <v>1020</v>
      </c>
    </row>
    <row r="1175" spans="1:2" x14ac:dyDescent="0.25">
      <c r="A1175" t="s">
        <v>98</v>
      </c>
      <c r="B1175">
        <v>1020</v>
      </c>
    </row>
    <row r="1176" spans="1:2" x14ac:dyDescent="0.25">
      <c r="A1176" t="s">
        <v>98</v>
      </c>
      <c r="B1176">
        <v>1020</v>
      </c>
    </row>
    <row r="1177" spans="1:2" x14ac:dyDescent="0.25">
      <c r="A1177" t="s">
        <v>98</v>
      </c>
      <c r="B1177">
        <v>1020</v>
      </c>
    </row>
    <row r="1178" spans="1:2" x14ac:dyDescent="0.25">
      <c r="A1178" t="s">
        <v>98</v>
      </c>
      <c r="B1178">
        <v>1020</v>
      </c>
    </row>
    <row r="1179" spans="1:2" x14ac:dyDescent="0.25">
      <c r="A1179" t="s">
        <v>98</v>
      </c>
      <c r="B1179">
        <v>1020</v>
      </c>
    </row>
    <row r="1180" spans="1:2" x14ac:dyDescent="0.25">
      <c r="A1180" t="s">
        <v>98</v>
      </c>
      <c r="B1180">
        <v>1020</v>
      </c>
    </row>
    <row r="1181" spans="1:2" x14ac:dyDescent="0.25">
      <c r="A1181" t="s">
        <v>98</v>
      </c>
      <c r="B1181">
        <v>1020</v>
      </c>
    </row>
    <row r="1182" spans="1:2" x14ac:dyDescent="0.25">
      <c r="A1182" t="s">
        <v>98</v>
      </c>
      <c r="B1182">
        <v>1020</v>
      </c>
    </row>
    <row r="1183" spans="1:2" x14ac:dyDescent="0.25">
      <c r="A1183" t="s">
        <v>98</v>
      </c>
      <c r="B1183">
        <v>1020</v>
      </c>
    </row>
    <row r="1184" spans="1:2" x14ac:dyDescent="0.25">
      <c r="A1184" t="s">
        <v>98</v>
      </c>
      <c r="B1184">
        <v>1020</v>
      </c>
    </row>
    <row r="1185" spans="1:2" x14ac:dyDescent="0.25">
      <c r="A1185" t="s">
        <v>98</v>
      </c>
      <c r="B1185">
        <v>1020</v>
      </c>
    </row>
    <row r="1186" spans="1:2" x14ac:dyDescent="0.25">
      <c r="A1186" t="s">
        <v>98</v>
      </c>
      <c r="B1186">
        <v>1020</v>
      </c>
    </row>
    <row r="1187" spans="1:2" x14ac:dyDescent="0.25">
      <c r="A1187" t="s">
        <v>98</v>
      </c>
      <c r="B1187">
        <v>1020</v>
      </c>
    </row>
    <row r="1188" spans="1:2" x14ac:dyDescent="0.25">
      <c r="A1188" t="s">
        <v>98</v>
      </c>
      <c r="B1188">
        <v>1020</v>
      </c>
    </row>
    <row r="1189" spans="1:2" x14ac:dyDescent="0.25">
      <c r="A1189" t="s">
        <v>98</v>
      </c>
      <c r="B1189">
        <v>1020</v>
      </c>
    </row>
    <row r="1190" spans="1:2" x14ac:dyDescent="0.25">
      <c r="A1190" t="s">
        <v>98</v>
      </c>
      <c r="B1190">
        <v>1020</v>
      </c>
    </row>
    <row r="1191" spans="1:2" x14ac:dyDescent="0.25">
      <c r="A1191" t="s">
        <v>98</v>
      </c>
      <c r="B1191">
        <v>1020</v>
      </c>
    </row>
    <row r="1192" spans="1:2" x14ac:dyDescent="0.25">
      <c r="A1192" t="s">
        <v>98</v>
      </c>
      <c r="B1192">
        <v>1020</v>
      </c>
    </row>
    <row r="1193" spans="1:2" x14ac:dyDescent="0.25">
      <c r="A1193" t="s">
        <v>98</v>
      </c>
      <c r="B1193">
        <v>1020</v>
      </c>
    </row>
    <row r="1194" spans="1:2" x14ac:dyDescent="0.25">
      <c r="A1194" t="s">
        <v>98</v>
      </c>
      <c r="B1194">
        <v>1020</v>
      </c>
    </row>
    <row r="1195" spans="1:2" x14ac:dyDescent="0.25">
      <c r="A1195" t="s">
        <v>98</v>
      </c>
      <c r="B1195">
        <v>1020</v>
      </c>
    </row>
    <row r="1196" spans="1:2" x14ac:dyDescent="0.25">
      <c r="A1196" t="s">
        <v>98</v>
      </c>
      <c r="B1196">
        <v>1020</v>
      </c>
    </row>
    <row r="1197" spans="1:2" x14ac:dyDescent="0.25">
      <c r="A1197" t="s">
        <v>98</v>
      </c>
      <c r="B1197">
        <v>1020</v>
      </c>
    </row>
    <row r="1198" spans="1:2" x14ac:dyDescent="0.25">
      <c r="A1198" t="s">
        <v>98</v>
      </c>
      <c r="B1198">
        <v>1020</v>
      </c>
    </row>
    <row r="1199" spans="1:2" x14ac:dyDescent="0.25">
      <c r="A1199" t="s">
        <v>98</v>
      </c>
      <c r="B1199">
        <v>1020</v>
      </c>
    </row>
    <row r="1200" spans="1:2" x14ac:dyDescent="0.25">
      <c r="A1200" t="s">
        <v>98</v>
      </c>
      <c r="B1200">
        <v>1020</v>
      </c>
    </row>
    <row r="1201" spans="1:2" x14ac:dyDescent="0.25">
      <c r="A1201" t="s">
        <v>98</v>
      </c>
      <c r="B1201">
        <v>1020</v>
      </c>
    </row>
    <row r="1202" spans="1:2" x14ac:dyDescent="0.25">
      <c r="A1202" t="s">
        <v>98</v>
      </c>
      <c r="B1202">
        <v>1020</v>
      </c>
    </row>
    <row r="1203" spans="1:2" x14ac:dyDescent="0.25">
      <c r="A1203" t="s">
        <v>98</v>
      </c>
      <c r="B1203">
        <v>1020</v>
      </c>
    </row>
    <row r="1204" spans="1:2" x14ac:dyDescent="0.25">
      <c r="A1204" t="s">
        <v>98</v>
      </c>
      <c r="B1204">
        <v>1020</v>
      </c>
    </row>
    <row r="1205" spans="1:2" x14ac:dyDescent="0.25">
      <c r="A1205" t="s">
        <v>98</v>
      </c>
      <c r="B1205">
        <v>1020</v>
      </c>
    </row>
    <row r="1206" spans="1:2" x14ac:dyDescent="0.25">
      <c r="A1206" t="s">
        <v>98</v>
      </c>
      <c r="B1206">
        <v>1020</v>
      </c>
    </row>
    <row r="1207" spans="1:2" x14ac:dyDescent="0.25">
      <c r="A1207" t="s">
        <v>98</v>
      </c>
      <c r="B1207">
        <v>1020</v>
      </c>
    </row>
    <row r="1208" spans="1:2" x14ac:dyDescent="0.25">
      <c r="A1208" t="s">
        <v>98</v>
      </c>
      <c r="B1208">
        <v>1020</v>
      </c>
    </row>
    <row r="1209" spans="1:2" x14ac:dyDescent="0.25">
      <c r="A1209" t="s">
        <v>98</v>
      </c>
      <c r="B1209">
        <v>1020</v>
      </c>
    </row>
    <row r="1210" spans="1:2" x14ac:dyDescent="0.25">
      <c r="A1210" t="s">
        <v>98</v>
      </c>
      <c r="B1210">
        <v>1020</v>
      </c>
    </row>
    <row r="1211" spans="1:2" x14ac:dyDescent="0.25">
      <c r="A1211" t="s">
        <v>98</v>
      </c>
      <c r="B1211">
        <v>1020</v>
      </c>
    </row>
    <row r="1212" spans="1:2" x14ac:dyDescent="0.25">
      <c r="A1212" t="s">
        <v>98</v>
      </c>
      <c r="B1212">
        <v>1020</v>
      </c>
    </row>
    <row r="1213" spans="1:2" x14ac:dyDescent="0.25">
      <c r="A1213" t="s">
        <v>98</v>
      </c>
      <c r="B1213">
        <v>1020</v>
      </c>
    </row>
    <row r="1214" spans="1:2" x14ac:dyDescent="0.25">
      <c r="A1214" t="s">
        <v>98</v>
      </c>
      <c r="B1214">
        <v>1020</v>
      </c>
    </row>
    <row r="1215" spans="1:2" x14ac:dyDescent="0.25">
      <c r="A1215" t="s">
        <v>98</v>
      </c>
      <c r="B1215">
        <v>1020</v>
      </c>
    </row>
    <row r="1216" spans="1:2" x14ac:dyDescent="0.25">
      <c r="A1216" t="s">
        <v>98</v>
      </c>
      <c r="B1216">
        <v>1020</v>
      </c>
    </row>
    <row r="1217" spans="1:2" x14ac:dyDescent="0.25">
      <c r="A1217" t="s">
        <v>98</v>
      </c>
      <c r="B1217">
        <v>1020</v>
      </c>
    </row>
    <row r="1218" spans="1:2" x14ac:dyDescent="0.25">
      <c r="A1218" t="s">
        <v>98</v>
      </c>
      <c r="B1218">
        <v>1020</v>
      </c>
    </row>
    <row r="1219" spans="1:2" x14ac:dyDescent="0.25">
      <c r="A1219" t="s">
        <v>98</v>
      </c>
      <c r="B1219">
        <v>1020</v>
      </c>
    </row>
    <row r="1220" spans="1:2" x14ac:dyDescent="0.25">
      <c r="A1220" t="s">
        <v>98</v>
      </c>
      <c r="B1220">
        <v>1020</v>
      </c>
    </row>
    <row r="1221" spans="1:2" x14ac:dyDescent="0.25">
      <c r="A1221" t="s">
        <v>98</v>
      </c>
      <c r="B1221">
        <v>1020</v>
      </c>
    </row>
    <row r="1222" spans="1:2" x14ac:dyDescent="0.25">
      <c r="A1222" t="s">
        <v>98</v>
      </c>
      <c r="B1222">
        <v>1020</v>
      </c>
    </row>
    <row r="1223" spans="1:2" x14ac:dyDescent="0.25">
      <c r="A1223" t="s">
        <v>98</v>
      </c>
      <c r="B1223">
        <v>1020</v>
      </c>
    </row>
    <row r="1224" spans="1:2" x14ac:dyDescent="0.25">
      <c r="A1224" t="s">
        <v>98</v>
      </c>
      <c r="B1224">
        <v>1020</v>
      </c>
    </row>
    <row r="1225" spans="1:2" x14ac:dyDescent="0.25">
      <c r="A1225" t="s">
        <v>98</v>
      </c>
      <c r="B1225">
        <v>1020</v>
      </c>
    </row>
    <row r="1226" spans="1:2" x14ac:dyDescent="0.25">
      <c r="A1226" t="s">
        <v>98</v>
      </c>
      <c r="B1226">
        <v>1020</v>
      </c>
    </row>
    <row r="1227" spans="1:2" x14ac:dyDescent="0.25">
      <c r="A1227" t="s">
        <v>98</v>
      </c>
      <c r="B1227">
        <v>1020</v>
      </c>
    </row>
    <row r="1228" spans="1:2" x14ac:dyDescent="0.25">
      <c r="A1228" t="s">
        <v>98</v>
      </c>
      <c r="B1228">
        <v>1020</v>
      </c>
    </row>
    <row r="1229" spans="1:2" x14ac:dyDescent="0.25">
      <c r="A1229" t="s">
        <v>98</v>
      </c>
      <c r="B1229">
        <v>1020</v>
      </c>
    </row>
    <row r="1230" spans="1:2" x14ac:dyDescent="0.25">
      <c r="A1230" t="s">
        <v>98</v>
      </c>
      <c r="B1230">
        <v>1020</v>
      </c>
    </row>
    <row r="1231" spans="1:2" x14ac:dyDescent="0.25">
      <c r="A1231" t="s">
        <v>98</v>
      </c>
      <c r="B1231">
        <v>1020</v>
      </c>
    </row>
    <row r="1232" spans="1:2" x14ac:dyDescent="0.25">
      <c r="A1232" t="s">
        <v>98</v>
      </c>
      <c r="B1232">
        <v>1020</v>
      </c>
    </row>
    <row r="1233" spans="1:2" x14ac:dyDescent="0.25">
      <c r="A1233" t="s">
        <v>98</v>
      </c>
      <c r="B1233">
        <v>1020</v>
      </c>
    </row>
    <row r="1234" spans="1:2" x14ac:dyDescent="0.25">
      <c r="A1234" t="s">
        <v>98</v>
      </c>
      <c r="B1234">
        <v>1020</v>
      </c>
    </row>
    <row r="1235" spans="1:2" x14ac:dyDescent="0.25">
      <c r="A1235" t="s">
        <v>98</v>
      </c>
      <c r="B1235">
        <v>1020</v>
      </c>
    </row>
    <row r="1236" spans="1:2" x14ac:dyDescent="0.25">
      <c r="A1236" t="s">
        <v>98</v>
      </c>
      <c r="B1236">
        <v>1020</v>
      </c>
    </row>
    <row r="1237" spans="1:2" x14ac:dyDescent="0.25">
      <c r="A1237" t="s">
        <v>98</v>
      </c>
      <c r="B1237">
        <v>1020</v>
      </c>
    </row>
    <row r="1238" spans="1:2" x14ac:dyDescent="0.25">
      <c r="A1238" t="s">
        <v>98</v>
      </c>
      <c r="B1238">
        <v>1020</v>
      </c>
    </row>
    <row r="1239" spans="1:2" x14ac:dyDescent="0.25">
      <c r="A1239" t="s">
        <v>98</v>
      </c>
      <c r="B1239">
        <v>1020</v>
      </c>
    </row>
    <row r="1240" spans="1:2" x14ac:dyDescent="0.25">
      <c r="A1240" t="s">
        <v>98</v>
      </c>
      <c r="B1240">
        <v>1020</v>
      </c>
    </row>
    <row r="1241" spans="1:2" x14ac:dyDescent="0.25">
      <c r="A1241" t="s">
        <v>98</v>
      </c>
      <c r="B1241">
        <v>1020</v>
      </c>
    </row>
    <row r="1242" spans="1:2" x14ac:dyDescent="0.25">
      <c r="A1242" t="s">
        <v>98</v>
      </c>
      <c r="B1242">
        <v>1020</v>
      </c>
    </row>
    <row r="1243" spans="1:2" x14ac:dyDescent="0.25">
      <c r="A1243" t="s">
        <v>98</v>
      </c>
      <c r="B1243">
        <v>1020</v>
      </c>
    </row>
    <row r="1244" spans="1:2" x14ac:dyDescent="0.25">
      <c r="A1244" t="s">
        <v>98</v>
      </c>
      <c r="B1244">
        <v>1020</v>
      </c>
    </row>
    <row r="1245" spans="1:2" x14ac:dyDescent="0.25">
      <c r="A1245" t="s">
        <v>98</v>
      </c>
      <c r="B1245">
        <v>1020</v>
      </c>
    </row>
    <row r="1246" spans="1:2" x14ac:dyDescent="0.25">
      <c r="A1246" t="s">
        <v>98</v>
      </c>
      <c r="B1246">
        <v>1020</v>
      </c>
    </row>
    <row r="1247" spans="1:2" x14ac:dyDescent="0.25">
      <c r="A1247" t="s">
        <v>98</v>
      </c>
      <c r="B1247">
        <v>1020</v>
      </c>
    </row>
    <row r="1248" spans="1:2" x14ac:dyDescent="0.25">
      <c r="A1248" t="s">
        <v>98</v>
      </c>
      <c r="B1248">
        <v>1020</v>
      </c>
    </row>
    <row r="1249" spans="1:2" x14ac:dyDescent="0.25">
      <c r="A1249" t="s">
        <v>98</v>
      </c>
      <c r="B1249">
        <v>1020</v>
      </c>
    </row>
    <row r="1250" spans="1:2" x14ac:dyDescent="0.25">
      <c r="A1250" t="s">
        <v>98</v>
      </c>
      <c r="B1250">
        <v>1020</v>
      </c>
    </row>
    <row r="1251" spans="1:2" x14ac:dyDescent="0.25">
      <c r="A1251" t="s">
        <v>98</v>
      </c>
      <c r="B1251">
        <v>1020</v>
      </c>
    </row>
    <row r="1252" spans="1:2" x14ac:dyDescent="0.25">
      <c r="A1252" t="s">
        <v>98</v>
      </c>
      <c r="B1252">
        <v>1020</v>
      </c>
    </row>
    <row r="1253" spans="1:2" x14ac:dyDescent="0.25">
      <c r="A1253" t="s">
        <v>98</v>
      </c>
      <c r="B1253">
        <v>1020</v>
      </c>
    </row>
    <row r="1254" spans="1:2" x14ac:dyDescent="0.25">
      <c r="A1254" t="s">
        <v>98</v>
      </c>
      <c r="B1254">
        <v>1020</v>
      </c>
    </row>
    <row r="1255" spans="1:2" x14ac:dyDescent="0.25">
      <c r="A1255" t="s">
        <v>98</v>
      </c>
      <c r="B1255">
        <v>1020</v>
      </c>
    </row>
    <row r="1256" spans="1:2" x14ac:dyDescent="0.25">
      <c r="A1256" t="s">
        <v>98</v>
      </c>
      <c r="B1256">
        <v>1020</v>
      </c>
    </row>
    <row r="1257" spans="1:2" x14ac:dyDescent="0.25">
      <c r="A1257" t="s">
        <v>98</v>
      </c>
      <c r="B1257">
        <v>1020</v>
      </c>
    </row>
    <row r="1258" spans="1:2" x14ac:dyDescent="0.25">
      <c r="A1258" t="s">
        <v>98</v>
      </c>
      <c r="B1258">
        <v>1020</v>
      </c>
    </row>
    <row r="1259" spans="1:2" x14ac:dyDescent="0.25">
      <c r="A1259" t="s">
        <v>98</v>
      </c>
      <c r="B1259">
        <v>1020</v>
      </c>
    </row>
    <row r="1260" spans="1:2" x14ac:dyDescent="0.25">
      <c r="A1260" t="s">
        <v>98</v>
      </c>
      <c r="B1260">
        <v>1020</v>
      </c>
    </row>
    <row r="1261" spans="1:2" x14ac:dyDescent="0.25">
      <c r="A1261" t="s">
        <v>98</v>
      </c>
      <c r="B1261">
        <v>1020</v>
      </c>
    </row>
    <row r="1262" spans="1:2" x14ac:dyDescent="0.25">
      <c r="A1262" t="s">
        <v>98</v>
      </c>
      <c r="B1262">
        <v>1020</v>
      </c>
    </row>
    <row r="1263" spans="1:2" x14ac:dyDescent="0.25">
      <c r="A1263" t="s">
        <v>98</v>
      </c>
      <c r="B1263">
        <v>1020</v>
      </c>
    </row>
    <row r="1264" spans="1:2" x14ac:dyDescent="0.25">
      <c r="A1264" t="s">
        <v>98</v>
      </c>
      <c r="B1264">
        <v>1020</v>
      </c>
    </row>
    <row r="1265" spans="1:2" x14ac:dyDescent="0.25">
      <c r="A1265" t="s">
        <v>98</v>
      </c>
      <c r="B1265">
        <v>1020</v>
      </c>
    </row>
    <row r="1266" spans="1:2" x14ac:dyDescent="0.25">
      <c r="A1266" t="s">
        <v>98</v>
      </c>
      <c r="B1266">
        <v>1020</v>
      </c>
    </row>
    <row r="1267" spans="1:2" x14ac:dyDescent="0.25">
      <c r="A1267" t="s">
        <v>98</v>
      </c>
      <c r="B1267">
        <v>1020</v>
      </c>
    </row>
    <row r="1268" spans="1:2" x14ac:dyDescent="0.25">
      <c r="A1268" t="s">
        <v>98</v>
      </c>
      <c r="B1268">
        <v>1020</v>
      </c>
    </row>
    <row r="1269" spans="1:2" x14ac:dyDescent="0.25">
      <c r="A1269" t="s">
        <v>98</v>
      </c>
      <c r="B1269">
        <v>1020</v>
      </c>
    </row>
    <row r="1270" spans="1:2" x14ac:dyDescent="0.25">
      <c r="A1270" t="s">
        <v>98</v>
      </c>
      <c r="B1270">
        <v>1020</v>
      </c>
    </row>
    <row r="1271" spans="1:2" x14ac:dyDescent="0.25">
      <c r="A1271" t="s">
        <v>98</v>
      </c>
      <c r="B1271">
        <v>1020</v>
      </c>
    </row>
    <row r="1272" spans="1:2" x14ac:dyDescent="0.25">
      <c r="A1272" t="s">
        <v>98</v>
      </c>
      <c r="B1272">
        <v>1020</v>
      </c>
    </row>
    <row r="1273" spans="1:2" x14ac:dyDescent="0.25">
      <c r="A1273" t="s">
        <v>98</v>
      </c>
      <c r="B1273">
        <v>1020</v>
      </c>
    </row>
    <row r="1274" spans="1:2" x14ac:dyDescent="0.25">
      <c r="A1274" t="s">
        <v>98</v>
      </c>
      <c r="B1274">
        <v>1020</v>
      </c>
    </row>
    <row r="1275" spans="1:2" x14ac:dyDescent="0.25">
      <c r="A1275" t="s">
        <v>98</v>
      </c>
      <c r="B1275">
        <v>1020</v>
      </c>
    </row>
    <row r="1276" spans="1:2" x14ac:dyDescent="0.25">
      <c r="A1276" t="s">
        <v>98</v>
      </c>
      <c r="B1276">
        <v>1020</v>
      </c>
    </row>
    <row r="1277" spans="1:2" x14ac:dyDescent="0.25">
      <c r="A1277" t="s">
        <v>98</v>
      </c>
      <c r="B1277">
        <v>1020</v>
      </c>
    </row>
    <row r="1278" spans="1:2" x14ac:dyDescent="0.25">
      <c r="A1278" t="s">
        <v>98</v>
      </c>
      <c r="B1278">
        <v>1020</v>
      </c>
    </row>
    <row r="1279" spans="1:2" x14ac:dyDescent="0.25">
      <c r="A1279" t="s">
        <v>98</v>
      </c>
      <c r="B1279">
        <v>1020</v>
      </c>
    </row>
    <row r="1280" spans="1:2" x14ac:dyDescent="0.25">
      <c r="A1280" t="s">
        <v>98</v>
      </c>
      <c r="B1280">
        <v>1020</v>
      </c>
    </row>
    <row r="1281" spans="1:2" x14ac:dyDescent="0.25">
      <c r="A1281" t="s">
        <v>98</v>
      </c>
      <c r="B1281">
        <v>1020</v>
      </c>
    </row>
    <row r="1282" spans="1:2" x14ac:dyDescent="0.25">
      <c r="A1282" t="s">
        <v>98</v>
      </c>
      <c r="B1282">
        <v>1020</v>
      </c>
    </row>
    <row r="1283" spans="1:2" x14ac:dyDescent="0.25">
      <c r="A1283" t="s">
        <v>98</v>
      </c>
      <c r="B1283">
        <v>1020</v>
      </c>
    </row>
    <row r="1284" spans="1:2" x14ac:dyDescent="0.25">
      <c r="A1284" t="s">
        <v>98</v>
      </c>
      <c r="B1284">
        <v>1020</v>
      </c>
    </row>
    <row r="1285" spans="1:2" x14ac:dyDescent="0.25">
      <c r="A1285" t="s">
        <v>98</v>
      </c>
      <c r="B1285">
        <v>1020</v>
      </c>
    </row>
    <row r="1286" spans="1:2" x14ac:dyDescent="0.25">
      <c r="A1286" t="s">
        <v>98</v>
      </c>
      <c r="B1286">
        <v>1020</v>
      </c>
    </row>
    <row r="1287" spans="1:2" x14ac:dyDescent="0.25">
      <c r="A1287" t="s">
        <v>98</v>
      </c>
      <c r="B1287">
        <v>1020</v>
      </c>
    </row>
    <row r="1288" spans="1:2" x14ac:dyDescent="0.25">
      <c r="A1288" t="s">
        <v>98</v>
      </c>
      <c r="B1288">
        <v>1020</v>
      </c>
    </row>
    <row r="1289" spans="1:2" x14ac:dyDescent="0.25">
      <c r="A1289" t="s">
        <v>98</v>
      </c>
      <c r="B1289">
        <v>1020</v>
      </c>
    </row>
    <row r="1290" spans="1:2" x14ac:dyDescent="0.25">
      <c r="A1290" t="s">
        <v>98</v>
      </c>
      <c r="B1290">
        <v>1020</v>
      </c>
    </row>
    <row r="1291" spans="1:2" x14ac:dyDescent="0.25">
      <c r="A1291" t="s">
        <v>98</v>
      </c>
      <c r="B1291">
        <v>1020</v>
      </c>
    </row>
    <row r="1292" spans="1:2" x14ac:dyDescent="0.25">
      <c r="A1292" t="s">
        <v>98</v>
      </c>
      <c r="B1292">
        <v>1020</v>
      </c>
    </row>
    <row r="1293" spans="1:2" x14ac:dyDescent="0.25">
      <c r="A1293" t="s">
        <v>98</v>
      </c>
      <c r="B1293">
        <v>1020</v>
      </c>
    </row>
    <row r="1294" spans="1:2" x14ac:dyDescent="0.25">
      <c r="A1294" t="s">
        <v>98</v>
      </c>
      <c r="B1294">
        <v>1020</v>
      </c>
    </row>
    <row r="1295" spans="1:2" x14ac:dyDescent="0.25">
      <c r="A1295" t="s">
        <v>98</v>
      </c>
      <c r="B1295">
        <v>1020</v>
      </c>
    </row>
    <row r="1296" spans="1:2" x14ac:dyDescent="0.25">
      <c r="A1296" t="s">
        <v>98</v>
      </c>
      <c r="B1296">
        <v>1020</v>
      </c>
    </row>
    <row r="1297" spans="1:2" x14ac:dyDescent="0.25">
      <c r="A1297" t="s">
        <v>98</v>
      </c>
      <c r="B1297">
        <v>1020</v>
      </c>
    </row>
    <row r="1298" spans="1:2" x14ac:dyDescent="0.25">
      <c r="A1298" t="s">
        <v>98</v>
      </c>
      <c r="B1298">
        <v>1020</v>
      </c>
    </row>
    <row r="1299" spans="1:2" x14ac:dyDescent="0.25">
      <c r="A1299" t="s">
        <v>98</v>
      </c>
      <c r="B1299">
        <v>1020</v>
      </c>
    </row>
    <row r="1300" spans="1:2" x14ac:dyDescent="0.25">
      <c r="A1300" t="s">
        <v>98</v>
      </c>
      <c r="B1300">
        <v>1020</v>
      </c>
    </row>
    <row r="1301" spans="1:2" x14ac:dyDescent="0.25">
      <c r="A1301" t="s">
        <v>98</v>
      </c>
      <c r="B1301">
        <v>1020</v>
      </c>
    </row>
    <row r="1302" spans="1:2" x14ac:dyDescent="0.25">
      <c r="A1302" t="s">
        <v>98</v>
      </c>
      <c r="B1302">
        <v>1020</v>
      </c>
    </row>
    <row r="1303" spans="1:2" x14ac:dyDescent="0.25">
      <c r="A1303" t="s">
        <v>98</v>
      </c>
      <c r="B1303">
        <v>1020</v>
      </c>
    </row>
    <row r="1304" spans="1:2" x14ac:dyDescent="0.25">
      <c r="A1304" t="s">
        <v>98</v>
      </c>
      <c r="B1304">
        <v>1020</v>
      </c>
    </row>
    <row r="1305" spans="1:2" x14ac:dyDescent="0.25">
      <c r="A1305" t="s">
        <v>98</v>
      </c>
      <c r="B1305">
        <v>1020</v>
      </c>
    </row>
    <row r="1306" spans="1:2" x14ac:dyDescent="0.25">
      <c r="A1306" t="s">
        <v>98</v>
      </c>
      <c r="B1306">
        <v>1020</v>
      </c>
    </row>
    <row r="1307" spans="1:2" x14ac:dyDescent="0.25">
      <c r="A1307" t="s">
        <v>98</v>
      </c>
      <c r="B1307">
        <v>1020</v>
      </c>
    </row>
    <row r="1308" spans="1:2" x14ac:dyDescent="0.25">
      <c r="A1308" t="s">
        <v>98</v>
      </c>
      <c r="B1308">
        <v>1020</v>
      </c>
    </row>
    <row r="1309" spans="1:2" x14ac:dyDescent="0.25">
      <c r="A1309" t="s">
        <v>98</v>
      </c>
      <c r="B1309">
        <v>1020</v>
      </c>
    </row>
    <row r="1310" spans="1:2" x14ac:dyDescent="0.25">
      <c r="A1310" t="s">
        <v>98</v>
      </c>
      <c r="B1310">
        <v>1020</v>
      </c>
    </row>
    <row r="1311" spans="1:2" x14ac:dyDescent="0.25">
      <c r="A1311" t="s">
        <v>98</v>
      </c>
      <c r="B1311">
        <v>1020</v>
      </c>
    </row>
    <row r="1312" spans="1:2" x14ac:dyDescent="0.25">
      <c r="A1312" t="s">
        <v>98</v>
      </c>
      <c r="B1312">
        <v>1020</v>
      </c>
    </row>
    <row r="1313" spans="1:2" x14ac:dyDescent="0.25">
      <c r="A1313" t="s">
        <v>98</v>
      </c>
      <c r="B1313">
        <v>1020</v>
      </c>
    </row>
    <row r="1314" spans="1:2" x14ac:dyDescent="0.25">
      <c r="A1314" t="s">
        <v>98</v>
      </c>
      <c r="B1314">
        <v>1020</v>
      </c>
    </row>
    <row r="1315" spans="1:2" x14ac:dyDescent="0.25">
      <c r="A1315" t="s">
        <v>98</v>
      </c>
      <c r="B1315">
        <v>1020</v>
      </c>
    </row>
    <row r="1316" spans="1:2" x14ac:dyDescent="0.25">
      <c r="A1316" t="s">
        <v>98</v>
      </c>
      <c r="B1316">
        <v>1020</v>
      </c>
    </row>
    <row r="1317" spans="1:2" x14ac:dyDescent="0.25">
      <c r="A1317" t="s">
        <v>98</v>
      </c>
      <c r="B1317">
        <v>1020</v>
      </c>
    </row>
    <row r="1318" spans="1:2" x14ac:dyDescent="0.25">
      <c r="A1318" t="s">
        <v>98</v>
      </c>
      <c r="B1318">
        <v>1020</v>
      </c>
    </row>
    <row r="1319" spans="1:2" x14ac:dyDescent="0.25">
      <c r="A1319" t="s">
        <v>98</v>
      </c>
      <c r="B1319">
        <v>1020</v>
      </c>
    </row>
    <row r="1320" spans="1:2" x14ac:dyDescent="0.25">
      <c r="A1320" t="s">
        <v>98</v>
      </c>
      <c r="B1320">
        <v>1020</v>
      </c>
    </row>
    <row r="1321" spans="1:2" x14ac:dyDescent="0.25">
      <c r="A1321" t="s">
        <v>98</v>
      </c>
      <c r="B1321">
        <v>1020</v>
      </c>
    </row>
    <row r="1322" spans="1:2" x14ac:dyDescent="0.25">
      <c r="A1322" t="s">
        <v>98</v>
      </c>
      <c r="B1322">
        <v>1020</v>
      </c>
    </row>
    <row r="1323" spans="1:2" x14ac:dyDescent="0.25">
      <c r="A1323" t="s">
        <v>98</v>
      </c>
      <c r="B1323">
        <v>1020</v>
      </c>
    </row>
    <row r="1324" spans="1:2" x14ac:dyDescent="0.25">
      <c r="A1324" t="s">
        <v>98</v>
      </c>
      <c r="B1324">
        <v>1020</v>
      </c>
    </row>
    <row r="1325" spans="1:2" x14ac:dyDescent="0.25">
      <c r="A1325" t="s">
        <v>98</v>
      </c>
      <c r="B1325">
        <v>1020</v>
      </c>
    </row>
    <row r="1326" spans="1:2" x14ac:dyDescent="0.25">
      <c r="A1326" t="s">
        <v>98</v>
      </c>
      <c r="B1326">
        <v>1020</v>
      </c>
    </row>
    <row r="1327" spans="1:2" x14ac:dyDescent="0.25">
      <c r="A1327" t="s">
        <v>98</v>
      </c>
      <c r="B1327">
        <v>1020</v>
      </c>
    </row>
    <row r="1328" spans="1:2" x14ac:dyDescent="0.25">
      <c r="A1328" t="s">
        <v>98</v>
      </c>
      <c r="B1328">
        <v>1020</v>
      </c>
    </row>
    <row r="1329" spans="1:2" x14ac:dyDescent="0.25">
      <c r="A1329" t="s">
        <v>98</v>
      </c>
      <c r="B1329">
        <v>1020</v>
      </c>
    </row>
    <row r="1330" spans="1:2" x14ac:dyDescent="0.25">
      <c r="A1330" t="s">
        <v>98</v>
      </c>
      <c r="B1330">
        <v>1020</v>
      </c>
    </row>
    <row r="1331" spans="1:2" x14ac:dyDescent="0.25">
      <c r="A1331" t="s">
        <v>98</v>
      </c>
      <c r="B1331">
        <v>1020</v>
      </c>
    </row>
    <row r="1332" spans="1:2" x14ac:dyDescent="0.25">
      <c r="A1332" t="s">
        <v>98</v>
      </c>
      <c r="B1332">
        <v>1020</v>
      </c>
    </row>
    <row r="1333" spans="1:2" x14ac:dyDescent="0.25">
      <c r="A1333" t="s">
        <v>98</v>
      </c>
      <c r="B1333">
        <v>1020</v>
      </c>
    </row>
    <row r="1334" spans="1:2" x14ac:dyDescent="0.25">
      <c r="A1334" t="s">
        <v>98</v>
      </c>
      <c r="B1334">
        <v>1020</v>
      </c>
    </row>
    <row r="1335" spans="1:2" x14ac:dyDescent="0.25">
      <c r="A1335" t="s">
        <v>98</v>
      </c>
      <c r="B1335">
        <v>1020</v>
      </c>
    </row>
    <row r="1336" spans="1:2" x14ac:dyDescent="0.25">
      <c r="A1336" t="s">
        <v>98</v>
      </c>
      <c r="B1336">
        <v>1020</v>
      </c>
    </row>
    <row r="1337" spans="1:2" x14ac:dyDescent="0.25">
      <c r="A1337" t="s">
        <v>98</v>
      </c>
      <c r="B1337">
        <v>1020</v>
      </c>
    </row>
    <row r="1338" spans="1:2" x14ac:dyDescent="0.25">
      <c r="A1338" t="s">
        <v>98</v>
      </c>
      <c r="B1338">
        <v>1020</v>
      </c>
    </row>
    <row r="1339" spans="1:2" x14ac:dyDescent="0.25">
      <c r="A1339" t="s">
        <v>98</v>
      </c>
      <c r="B1339">
        <v>1020</v>
      </c>
    </row>
    <row r="1340" spans="1:2" x14ac:dyDescent="0.25">
      <c r="A1340" t="s">
        <v>98</v>
      </c>
      <c r="B1340">
        <v>1020</v>
      </c>
    </row>
    <row r="1341" spans="1:2" x14ac:dyDescent="0.25">
      <c r="A1341" t="s">
        <v>98</v>
      </c>
      <c r="B1341">
        <v>1020</v>
      </c>
    </row>
    <row r="1342" spans="1:2" x14ac:dyDescent="0.25">
      <c r="A1342" t="s">
        <v>98</v>
      </c>
      <c r="B1342">
        <v>1020</v>
      </c>
    </row>
    <row r="1343" spans="1:2" x14ac:dyDescent="0.25">
      <c r="A1343" t="s">
        <v>98</v>
      </c>
      <c r="B1343">
        <v>1020</v>
      </c>
    </row>
    <row r="1344" spans="1:2" x14ac:dyDescent="0.25">
      <c r="A1344" t="s">
        <v>98</v>
      </c>
      <c r="B1344">
        <v>1020</v>
      </c>
    </row>
    <row r="1345" spans="1:2" x14ac:dyDescent="0.25">
      <c r="A1345" t="s">
        <v>98</v>
      </c>
      <c r="B1345">
        <v>1020</v>
      </c>
    </row>
    <row r="1346" spans="1:2" x14ac:dyDescent="0.25">
      <c r="A1346" t="s">
        <v>98</v>
      </c>
      <c r="B1346">
        <v>1020</v>
      </c>
    </row>
    <row r="1347" spans="1:2" x14ac:dyDescent="0.25">
      <c r="A1347" t="s">
        <v>98</v>
      </c>
      <c r="B1347">
        <v>1020</v>
      </c>
    </row>
    <row r="1348" spans="1:2" x14ac:dyDescent="0.25">
      <c r="A1348" t="s">
        <v>98</v>
      </c>
      <c r="B1348">
        <v>1020</v>
      </c>
    </row>
    <row r="1349" spans="1:2" x14ac:dyDescent="0.25">
      <c r="A1349" t="s">
        <v>98</v>
      </c>
      <c r="B1349">
        <v>1020</v>
      </c>
    </row>
    <row r="1350" spans="1:2" x14ac:dyDescent="0.25">
      <c r="A1350" t="s">
        <v>98</v>
      </c>
      <c r="B1350">
        <v>1020</v>
      </c>
    </row>
    <row r="1351" spans="1:2" x14ac:dyDescent="0.25">
      <c r="A1351" t="s">
        <v>98</v>
      </c>
      <c r="B1351">
        <v>1020</v>
      </c>
    </row>
    <row r="1352" spans="1:2" x14ac:dyDescent="0.25">
      <c r="A1352" t="s">
        <v>98</v>
      </c>
      <c r="B1352">
        <v>1020</v>
      </c>
    </row>
    <row r="1353" spans="1:2" x14ac:dyDescent="0.25">
      <c r="A1353" t="s">
        <v>98</v>
      </c>
      <c r="B1353">
        <v>1020</v>
      </c>
    </row>
    <row r="1354" spans="1:2" x14ac:dyDescent="0.25">
      <c r="A1354" t="s">
        <v>98</v>
      </c>
      <c r="B1354">
        <v>1020</v>
      </c>
    </row>
    <row r="1355" spans="1:2" x14ac:dyDescent="0.25">
      <c r="A1355" t="s">
        <v>98</v>
      </c>
      <c r="B1355">
        <v>1020</v>
      </c>
    </row>
    <row r="1356" spans="1:2" x14ac:dyDescent="0.25">
      <c r="A1356" t="s">
        <v>98</v>
      </c>
      <c r="B1356">
        <v>1020</v>
      </c>
    </row>
    <row r="1357" spans="1:2" x14ac:dyDescent="0.25">
      <c r="A1357" t="s">
        <v>98</v>
      </c>
      <c r="B1357">
        <v>1020</v>
      </c>
    </row>
    <row r="1358" spans="1:2" x14ac:dyDescent="0.25">
      <c r="A1358" t="s">
        <v>98</v>
      </c>
      <c r="B1358">
        <v>1020</v>
      </c>
    </row>
    <row r="1359" spans="1:2" x14ac:dyDescent="0.25">
      <c r="A1359" t="s">
        <v>98</v>
      </c>
      <c r="B1359">
        <v>1020</v>
      </c>
    </row>
    <row r="1360" spans="1:2" x14ac:dyDescent="0.25">
      <c r="A1360" t="s">
        <v>98</v>
      </c>
      <c r="B1360">
        <v>1020</v>
      </c>
    </row>
    <row r="1361" spans="1:2" x14ac:dyDescent="0.25">
      <c r="A1361" t="s">
        <v>98</v>
      </c>
      <c r="B1361">
        <v>1020</v>
      </c>
    </row>
    <row r="1362" spans="1:2" x14ac:dyDescent="0.25">
      <c r="A1362" t="s">
        <v>98</v>
      </c>
      <c r="B1362">
        <v>1020</v>
      </c>
    </row>
    <row r="1363" spans="1:2" x14ac:dyDescent="0.25">
      <c r="A1363" t="s">
        <v>98</v>
      </c>
      <c r="B1363">
        <v>1020</v>
      </c>
    </row>
    <row r="1364" spans="1:2" x14ac:dyDescent="0.25">
      <c r="A1364" t="s">
        <v>98</v>
      </c>
      <c r="B1364">
        <v>1020</v>
      </c>
    </row>
    <row r="1365" spans="1:2" x14ac:dyDescent="0.25">
      <c r="A1365" t="s">
        <v>98</v>
      </c>
      <c r="B1365">
        <v>1020</v>
      </c>
    </row>
    <row r="1366" spans="1:2" x14ac:dyDescent="0.25">
      <c r="A1366" t="s">
        <v>98</v>
      </c>
      <c r="B1366">
        <v>1020</v>
      </c>
    </row>
    <row r="1367" spans="1:2" x14ac:dyDescent="0.25">
      <c r="A1367" t="s">
        <v>98</v>
      </c>
      <c r="B1367">
        <v>1020</v>
      </c>
    </row>
    <row r="1368" spans="1:2" x14ac:dyDescent="0.25">
      <c r="A1368" t="s">
        <v>98</v>
      </c>
      <c r="B1368">
        <v>1020</v>
      </c>
    </row>
    <row r="1369" spans="1:2" x14ac:dyDescent="0.25">
      <c r="A1369" t="s">
        <v>98</v>
      </c>
      <c r="B1369">
        <v>1020</v>
      </c>
    </row>
    <row r="1370" spans="1:2" x14ac:dyDescent="0.25">
      <c r="A1370" t="s">
        <v>98</v>
      </c>
      <c r="B1370">
        <v>1020</v>
      </c>
    </row>
    <row r="1371" spans="1:2" x14ac:dyDescent="0.25">
      <c r="A1371" t="s">
        <v>98</v>
      </c>
      <c r="B1371">
        <v>1020</v>
      </c>
    </row>
    <row r="1372" spans="1:2" x14ac:dyDescent="0.25">
      <c r="A1372" t="s">
        <v>98</v>
      </c>
      <c r="B1372">
        <v>1020</v>
      </c>
    </row>
    <row r="1373" spans="1:2" x14ac:dyDescent="0.25">
      <c r="A1373" t="s">
        <v>98</v>
      </c>
      <c r="B1373">
        <v>1020</v>
      </c>
    </row>
    <row r="1374" spans="1:2" x14ac:dyDescent="0.25">
      <c r="A1374" t="s">
        <v>98</v>
      </c>
      <c r="B1374">
        <v>1020</v>
      </c>
    </row>
    <row r="1375" spans="1:2" x14ac:dyDescent="0.25">
      <c r="A1375" t="s">
        <v>98</v>
      </c>
      <c r="B1375">
        <v>1020</v>
      </c>
    </row>
    <row r="1376" spans="1:2" x14ac:dyDescent="0.25">
      <c r="A1376" t="s">
        <v>98</v>
      </c>
      <c r="B1376">
        <v>1020</v>
      </c>
    </row>
    <row r="1377" spans="1:2" x14ac:dyDescent="0.25">
      <c r="A1377" t="s">
        <v>98</v>
      </c>
      <c r="B1377">
        <v>1020</v>
      </c>
    </row>
    <row r="1378" spans="1:2" x14ac:dyDescent="0.25">
      <c r="A1378" t="s">
        <v>98</v>
      </c>
      <c r="B1378">
        <v>1020</v>
      </c>
    </row>
    <row r="1379" spans="1:2" x14ac:dyDescent="0.25">
      <c r="A1379" t="s">
        <v>98</v>
      </c>
      <c r="B1379">
        <v>1020</v>
      </c>
    </row>
    <row r="1380" spans="1:2" x14ac:dyDescent="0.25">
      <c r="A1380" t="s">
        <v>98</v>
      </c>
      <c r="B1380">
        <v>1020</v>
      </c>
    </row>
    <row r="1381" spans="1:2" x14ac:dyDescent="0.25">
      <c r="A1381" t="s">
        <v>98</v>
      </c>
      <c r="B1381">
        <v>1020</v>
      </c>
    </row>
    <row r="1382" spans="1:2" x14ac:dyDescent="0.25">
      <c r="A1382" t="s">
        <v>98</v>
      </c>
      <c r="B1382">
        <v>1020</v>
      </c>
    </row>
    <row r="1383" spans="1:2" x14ac:dyDescent="0.25">
      <c r="A1383" t="s">
        <v>98</v>
      </c>
      <c r="B1383">
        <v>1020</v>
      </c>
    </row>
    <row r="1384" spans="1:2" x14ac:dyDescent="0.25">
      <c r="A1384" t="s">
        <v>98</v>
      </c>
      <c r="B1384">
        <v>1020</v>
      </c>
    </row>
    <row r="1385" spans="1:2" x14ac:dyDescent="0.25">
      <c r="A1385" t="s">
        <v>98</v>
      </c>
      <c r="B1385">
        <v>1020</v>
      </c>
    </row>
    <row r="1386" spans="1:2" x14ac:dyDescent="0.25">
      <c r="A1386" t="s">
        <v>98</v>
      </c>
      <c r="B1386">
        <v>1020</v>
      </c>
    </row>
    <row r="1387" spans="1:2" x14ac:dyDescent="0.25">
      <c r="A1387" t="s">
        <v>98</v>
      </c>
      <c r="B1387">
        <v>1020</v>
      </c>
    </row>
    <row r="1388" spans="1:2" x14ac:dyDescent="0.25">
      <c r="A1388" t="s">
        <v>98</v>
      </c>
      <c r="B1388">
        <v>1020</v>
      </c>
    </row>
    <row r="1389" spans="1:2" x14ac:dyDescent="0.25">
      <c r="A1389" t="s">
        <v>98</v>
      </c>
      <c r="B1389">
        <v>1020</v>
      </c>
    </row>
    <row r="1390" spans="1:2" x14ac:dyDescent="0.25">
      <c r="A1390" t="s">
        <v>98</v>
      </c>
      <c r="B1390">
        <v>1020</v>
      </c>
    </row>
    <row r="1391" spans="1:2" x14ac:dyDescent="0.25">
      <c r="A1391" t="s">
        <v>98</v>
      </c>
      <c r="B1391">
        <v>1020</v>
      </c>
    </row>
    <row r="1392" spans="1:2" x14ac:dyDescent="0.25">
      <c r="A1392" t="s">
        <v>98</v>
      </c>
      <c r="B1392">
        <v>1020</v>
      </c>
    </row>
    <row r="1393" spans="1:2" x14ac:dyDescent="0.25">
      <c r="A1393" t="s">
        <v>98</v>
      </c>
      <c r="B1393">
        <v>1020</v>
      </c>
    </row>
    <row r="1394" spans="1:2" x14ac:dyDescent="0.25">
      <c r="A1394" t="s">
        <v>98</v>
      </c>
      <c r="B1394">
        <v>1020</v>
      </c>
    </row>
    <row r="1395" spans="1:2" x14ac:dyDescent="0.25">
      <c r="A1395" t="s">
        <v>98</v>
      </c>
      <c r="B1395">
        <v>1020</v>
      </c>
    </row>
    <row r="1396" spans="1:2" x14ac:dyDescent="0.25">
      <c r="A1396" t="s">
        <v>98</v>
      </c>
      <c r="B1396">
        <v>1020</v>
      </c>
    </row>
    <row r="1397" spans="1:2" x14ac:dyDescent="0.25">
      <c r="A1397" t="s">
        <v>98</v>
      </c>
      <c r="B1397">
        <v>1020</v>
      </c>
    </row>
    <row r="1398" spans="1:2" x14ac:dyDescent="0.25">
      <c r="A1398" t="s">
        <v>98</v>
      </c>
      <c r="B1398">
        <v>1020</v>
      </c>
    </row>
    <row r="1399" spans="1:2" x14ac:dyDescent="0.25">
      <c r="A1399" t="s">
        <v>98</v>
      </c>
      <c r="B1399">
        <v>1020</v>
      </c>
    </row>
    <row r="1400" spans="1:2" x14ac:dyDescent="0.25">
      <c r="A1400" t="s">
        <v>98</v>
      </c>
      <c r="B1400">
        <v>1020</v>
      </c>
    </row>
    <row r="1401" spans="1:2" x14ac:dyDescent="0.25">
      <c r="A1401" t="s">
        <v>98</v>
      </c>
      <c r="B1401">
        <v>1020</v>
      </c>
    </row>
    <row r="1402" spans="1:2" x14ac:dyDescent="0.25">
      <c r="A1402" t="s">
        <v>98</v>
      </c>
      <c r="B1402">
        <v>1020</v>
      </c>
    </row>
    <row r="1403" spans="1:2" x14ac:dyDescent="0.25">
      <c r="A1403" t="s">
        <v>98</v>
      </c>
      <c r="B1403">
        <v>1020</v>
      </c>
    </row>
    <row r="1404" spans="1:2" x14ac:dyDescent="0.25">
      <c r="A1404" t="s">
        <v>98</v>
      </c>
      <c r="B1404">
        <v>1020</v>
      </c>
    </row>
    <row r="1405" spans="1:2" x14ac:dyDescent="0.25">
      <c r="A1405" t="s">
        <v>98</v>
      </c>
      <c r="B1405">
        <v>1020</v>
      </c>
    </row>
    <row r="1406" spans="1:2" x14ac:dyDescent="0.25">
      <c r="A1406" t="s">
        <v>98</v>
      </c>
      <c r="B1406">
        <v>1020</v>
      </c>
    </row>
    <row r="1407" spans="1:2" x14ac:dyDescent="0.25">
      <c r="A1407" t="s">
        <v>98</v>
      </c>
      <c r="B1407">
        <v>1020</v>
      </c>
    </row>
    <row r="1408" spans="1:2" x14ac:dyDescent="0.25">
      <c r="A1408" t="s">
        <v>98</v>
      </c>
      <c r="B1408">
        <v>1020</v>
      </c>
    </row>
    <row r="1409" spans="1:2" x14ac:dyDescent="0.25">
      <c r="A1409" t="s">
        <v>98</v>
      </c>
      <c r="B1409">
        <v>1020</v>
      </c>
    </row>
    <row r="1410" spans="1:2" x14ac:dyDescent="0.25">
      <c r="A1410" t="s">
        <v>98</v>
      </c>
      <c r="B1410">
        <v>1020</v>
      </c>
    </row>
    <row r="1411" spans="1:2" x14ac:dyDescent="0.25">
      <c r="A1411" t="s">
        <v>98</v>
      </c>
      <c r="B1411">
        <v>1020</v>
      </c>
    </row>
    <row r="1412" spans="1:2" x14ac:dyDescent="0.25">
      <c r="A1412" t="s">
        <v>98</v>
      </c>
      <c r="B1412">
        <v>1020</v>
      </c>
    </row>
    <row r="1413" spans="1:2" x14ac:dyDescent="0.25">
      <c r="A1413" t="s">
        <v>98</v>
      </c>
      <c r="B1413">
        <v>1020</v>
      </c>
    </row>
    <row r="1414" spans="1:2" x14ac:dyDescent="0.25">
      <c r="A1414" t="s">
        <v>98</v>
      </c>
      <c r="B1414">
        <v>1020</v>
      </c>
    </row>
    <row r="1415" spans="1:2" x14ac:dyDescent="0.25">
      <c r="A1415" t="s">
        <v>98</v>
      </c>
      <c r="B1415">
        <v>1020</v>
      </c>
    </row>
    <row r="1416" spans="1:2" x14ac:dyDescent="0.25">
      <c r="A1416" t="s">
        <v>98</v>
      </c>
      <c r="B1416">
        <v>1020</v>
      </c>
    </row>
    <row r="1417" spans="1:2" x14ac:dyDescent="0.25">
      <c r="A1417" t="s">
        <v>98</v>
      </c>
      <c r="B1417">
        <v>1020</v>
      </c>
    </row>
    <row r="1418" spans="1:2" x14ac:dyDescent="0.25">
      <c r="A1418" t="s">
        <v>98</v>
      </c>
      <c r="B1418">
        <v>1020</v>
      </c>
    </row>
    <row r="1419" spans="1:2" x14ac:dyDescent="0.25">
      <c r="A1419" t="s">
        <v>98</v>
      </c>
      <c r="B1419">
        <v>1020</v>
      </c>
    </row>
    <row r="1420" spans="1:2" x14ac:dyDescent="0.25">
      <c r="A1420" t="s">
        <v>98</v>
      </c>
      <c r="B1420">
        <v>1020</v>
      </c>
    </row>
    <row r="1421" spans="1:2" x14ac:dyDescent="0.25">
      <c r="A1421" t="s">
        <v>98</v>
      </c>
      <c r="B1421">
        <v>1020</v>
      </c>
    </row>
    <row r="1422" spans="1:2" x14ac:dyDescent="0.25">
      <c r="A1422" t="s">
        <v>98</v>
      </c>
      <c r="B1422">
        <v>1020</v>
      </c>
    </row>
    <row r="1423" spans="1:2" x14ac:dyDescent="0.25">
      <c r="A1423" t="s">
        <v>98</v>
      </c>
      <c r="B1423">
        <v>1020</v>
      </c>
    </row>
    <row r="1424" spans="1:2" x14ac:dyDescent="0.25">
      <c r="A1424" t="s">
        <v>98</v>
      </c>
      <c r="B1424">
        <v>1020</v>
      </c>
    </row>
    <row r="1425" spans="1:2" x14ac:dyDescent="0.25">
      <c r="A1425" t="s">
        <v>98</v>
      </c>
      <c r="B1425">
        <v>1020</v>
      </c>
    </row>
    <row r="1426" spans="1:2" x14ac:dyDescent="0.25">
      <c r="A1426" t="s">
        <v>98</v>
      </c>
      <c r="B1426">
        <v>1020</v>
      </c>
    </row>
    <row r="1427" spans="1:2" x14ac:dyDescent="0.25">
      <c r="A1427" t="s">
        <v>98</v>
      </c>
      <c r="B1427">
        <v>1020</v>
      </c>
    </row>
    <row r="1428" spans="1:2" x14ac:dyDescent="0.25">
      <c r="A1428" t="s">
        <v>98</v>
      </c>
      <c r="B1428">
        <v>1020</v>
      </c>
    </row>
    <row r="1429" spans="1:2" x14ac:dyDescent="0.25">
      <c r="A1429" t="s">
        <v>98</v>
      </c>
      <c r="B1429">
        <v>1020</v>
      </c>
    </row>
    <row r="1430" spans="1:2" x14ac:dyDescent="0.25">
      <c r="A1430" t="s">
        <v>98</v>
      </c>
      <c r="B1430">
        <v>1020</v>
      </c>
    </row>
    <row r="1431" spans="1:2" x14ac:dyDescent="0.25">
      <c r="A1431" t="s">
        <v>98</v>
      </c>
      <c r="B1431">
        <v>1020</v>
      </c>
    </row>
    <row r="1432" spans="1:2" x14ac:dyDescent="0.25">
      <c r="A1432" t="s">
        <v>98</v>
      </c>
      <c r="B1432">
        <v>1020</v>
      </c>
    </row>
    <row r="1433" spans="1:2" x14ac:dyDescent="0.25">
      <c r="A1433" t="s">
        <v>98</v>
      </c>
      <c r="B1433">
        <v>1020</v>
      </c>
    </row>
    <row r="1434" spans="1:2" x14ac:dyDescent="0.25">
      <c r="A1434" t="s">
        <v>98</v>
      </c>
      <c r="B1434">
        <v>1020</v>
      </c>
    </row>
    <row r="1435" spans="1:2" x14ac:dyDescent="0.25">
      <c r="A1435" t="s">
        <v>98</v>
      </c>
      <c r="B1435">
        <v>1020</v>
      </c>
    </row>
    <row r="1436" spans="1:2" x14ac:dyDescent="0.25">
      <c r="A1436" t="s">
        <v>98</v>
      </c>
      <c r="B1436">
        <v>1020</v>
      </c>
    </row>
    <row r="1437" spans="1:2" x14ac:dyDescent="0.25">
      <c r="A1437" t="s">
        <v>98</v>
      </c>
      <c r="B1437">
        <v>1020</v>
      </c>
    </row>
    <row r="1438" spans="1:2" x14ac:dyDescent="0.25">
      <c r="A1438" t="s">
        <v>98</v>
      </c>
      <c r="B1438">
        <v>1020</v>
      </c>
    </row>
    <row r="1439" spans="1:2" x14ac:dyDescent="0.25">
      <c r="A1439" t="s">
        <v>98</v>
      </c>
      <c r="B1439">
        <v>1020</v>
      </c>
    </row>
    <row r="1440" spans="1:2" x14ac:dyDescent="0.25">
      <c r="A1440" t="s">
        <v>98</v>
      </c>
      <c r="B1440">
        <v>1020</v>
      </c>
    </row>
    <row r="1441" spans="1:2" x14ac:dyDescent="0.25">
      <c r="A1441" t="s">
        <v>98</v>
      </c>
      <c r="B1441">
        <v>1020</v>
      </c>
    </row>
    <row r="1442" spans="1:2" x14ac:dyDescent="0.25">
      <c r="A1442" t="s">
        <v>98</v>
      </c>
      <c r="B1442">
        <v>1020</v>
      </c>
    </row>
    <row r="1443" spans="1:2" x14ac:dyDescent="0.25">
      <c r="A1443" t="s">
        <v>98</v>
      </c>
      <c r="B1443">
        <v>1020</v>
      </c>
    </row>
    <row r="1444" spans="1:2" x14ac:dyDescent="0.25">
      <c r="A1444" t="s">
        <v>98</v>
      </c>
      <c r="B1444">
        <v>1020</v>
      </c>
    </row>
    <row r="1445" spans="1:2" x14ac:dyDescent="0.25">
      <c r="A1445" t="s">
        <v>98</v>
      </c>
      <c r="B1445">
        <v>1020</v>
      </c>
    </row>
    <row r="1446" spans="1:2" x14ac:dyDescent="0.25">
      <c r="A1446" t="s">
        <v>98</v>
      </c>
      <c r="B1446">
        <v>1020</v>
      </c>
    </row>
    <row r="1447" spans="1:2" x14ac:dyDescent="0.25">
      <c r="A1447" t="s">
        <v>98</v>
      </c>
      <c r="B1447">
        <v>1020</v>
      </c>
    </row>
    <row r="1448" spans="1:2" x14ac:dyDescent="0.25">
      <c r="A1448" t="s">
        <v>98</v>
      </c>
      <c r="B1448">
        <v>1020</v>
      </c>
    </row>
    <row r="1449" spans="1:2" x14ac:dyDescent="0.25">
      <c r="A1449" t="s">
        <v>98</v>
      </c>
      <c r="B1449">
        <v>1020</v>
      </c>
    </row>
    <row r="1450" spans="1:2" x14ac:dyDescent="0.25">
      <c r="A1450" t="s">
        <v>98</v>
      </c>
      <c r="B1450">
        <v>1020</v>
      </c>
    </row>
    <row r="1451" spans="1:2" x14ac:dyDescent="0.25">
      <c r="A1451" t="s">
        <v>98</v>
      </c>
      <c r="B1451">
        <v>1020</v>
      </c>
    </row>
    <row r="1452" spans="1:2" x14ac:dyDescent="0.25">
      <c r="A1452" t="s">
        <v>98</v>
      </c>
      <c r="B1452">
        <v>1020</v>
      </c>
    </row>
    <row r="1453" spans="1:2" x14ac:dyDescent="0.25">
      <c r="A1453" t="s">
        <v>98</v>
      </c>
      <c r="B1453">
        <v>1020</v>
      </c>
    </row>
    <row r="1454" spans="1:2" x14ac:dyDescent="0.25">
      <c r="A1454" t="s">
        <v>98</v>
      </c>
      <c r="B1454">
        <v>1020</v>
      </c>
    </row>
    <row r="1455" spans="1:2" x14ac:dyDescent="0.25">
      <c r="A1455" t="s">
        <v>98</v>
      </c>
      <c r="B1455">
        <v>1020</v>
      </c>
    </row>
    <row r="1456" spans="1:2" x14ac:dyDescent="0.25">
      <c r="A1456" t="s">
        <v>98</v>
      </c>
      <c r="B1456">
        <v>1020</v>
      </c>
    </row>
    <row r="1457" spans="1:2" x14ac:dyDescent="0.25">
      <c r="A1457" t="s">
        <v>98</v>
      </c>
      <c r="B1457">
        <v>1020</v>
      </c>
    </row>
    <row r="1458" spans="1:2" x14ac:dyDescent="0.25">
      <c r="A1458" t="s">
        <v>98</v>
      </c>
      <c r="B1458">
        <v>1020</v>
      </c>
    </row>
    <row r="1459" spans="1:2" x14ac:dyDescent="0.25">
      <c r="A1459" t="s">
        <v>98</v>
      </c>
      <c r="B1459">
        <v>1020</v>
      </c>
    </row>
    <row r="1460" spans="1:2" x14ac:dyDescent="0.25">
      <c r="A1460" t="s">
        <v>98</v>
      </c>
      <c r="B1460">
        <v>1020</v>
      </c>
    </row>
    <row r="1461" spans="1:2" x14ac:dyDescent="0.25">
      <c r="A1461" t="s">
        <v>98</v>
      </c>
      <c r="B1461">
        <v>1020</v>
      </c>
    </row>
    <row r="1462" spans="1:2" x14ac:dyDescent="0.25">
      <c r="A1462" t="s">
        <v>98</v>
      </c>
      <c r="B1462">
        <v>1020</v>
      </c>
    </row>
    <row r="1463" spans="1:2" x14ac:dyDescent="0.25">
      <c r="A1463" t="s">
        <v>98</v>
      </c>
      <c r="B1463">
        <v>1020</v>
      </c>
    </row>
    <row r="1464" spans="1:2" x14ac:dyDescent="0.25">
      <c r="A1464" t="s">
        <v>98</v>
      </c>
      <c r="B1464">
        <v>1020</v>
      </c>
    </row>
    <row r="1465" spans="1:2" x14ac:dyDescent="0.25">
      <c r="A1465" t="s">
        <v>98</v>
      </c>
      <c r="B1465">
        <v>1020</v>
      </c>
    </row>
    <row r="1466" spans="1:2" x14ac:dyDescent="0.25">
      <c r="A1466" t="s">
        <v>98</v>
      </c>
      <c r="B1466">
        <v>1020</v>
      </c>
    </row>
    <row r="1467" spans="1:2" x14ac:dyDescent="0.25">
      <c r="A1467" t="s">
        <v>98</v>
      </c>
      <c r="B1467">
        <v>1020</v>
      </c>
    </row>
    <row r="1468" spans="1:2" x14ac:dyDescent="0.25">
      <c r="A1468" t="s">
        <v>98</v>
      </c>
      <c r="B1468">
        <v>1020</v>
      </c>
    </row>
    <row r="1469" spans="1:2" x14ac:dyDescent="0.25">
      <c r="A1469" t="s">
        <v>98</v>
      </c>
      <c r="B1469">
        <v>1020</v>
      </c>
    </row>
    <row r="1470" spans="1:2" x14ac:dyDescent="0.25">
      <c r="A1470" t="s">
        <v>98</v>
      </c>
      <c r="B1470">
        <v>1020</v>
      </c>
    </row>
    <row r="1471" spans="1:2" x14ac:dyDescent="0.25">
      <c r="A1471" t="s">
        <v>98</v>
      </c>
      <c r="B1471">
        <v>1020</v>
      </c>
    </row>
    <row r="1472" spans="1:2" x14ac:dyDescent="0.25">
      <c r="A1472" t="s">
        <v>98</v>
      </c>
      <c r="B1472">
        <v>1020</v>
      </c>
    </row>
    <row r="1473" spans="1:2" x14ac:dyDescent="0.25">
      <c r="A1473" t="s">
        <v>98</v>
      </c>
      <c r="B1473">
        <v>1020</v>
      </c>
    </row>
    <row r="1474" spans="1:2" x14ac:dyDescent="0.25">
      <c r="A1474" t="s">
        <v>98</v>
      </c>
      <c r="B1474">
        <v>1020</v>
      </c>
    </row>
    <row r="1475" spans="1:2" x14ac:dyDescent="0.25">
      <c r="A1475" t="s">
        <v>98</v>
      </c>
      <c r="B1475">
        <v>1020</v>
      </c>
    </row>
    <row r="1476" spans="1:2" x14ac:dyDescent="0.25">
      <c r="A1476" t="s">
        <v>98</v>
      </c>
      <c r="B1476">
        <v>1020</v>
      </c>
    </row>
    <row r="1477" spans="1:2" x14ac:dyDescent="0.25">
      <c r="A1477" t="s">
        <v>98</v>
      </c>
      <c r="B1477">
        <v>1020</v>
      </c>
    </row>
    <row r="1478" spans="1:2" x14ac:dyDescent="0.25">
      <c r="A1478" t="s">
        <v>98</v>
      </c>
      <c r="B1478">
        <v>1020</v>
      </c>
    </row>
    <row r="1479" spans="1:2" x14ac:dyDescent="0.25">
      <c r="A1479" t="s">
        <v>98</v>
      </c>
      <c r="B1479">
        <v>1020</v>
      </c>
    </row>
    <row r="1480" spans="1:2" x14ac:dyDescent="0.25">
      <c r="A1480" t="s">
        <v>98</v>
      </c>
      <c r="B1480">
        <v>1020</v>
      </c>
    </row>
    <row r="1481" spans="1:2" x14ac:dyDescent="0.25">
      <c r="A1481" t="s">
        <v>98</v>
      </c>
      <c r="B1481">
        <v>1020</v>
      </c>
    </row>
    <row r="1482" spans="1:2" x14ac:dyDescent="0.25">
      <c r="A1482" t="s">
        <v>98</v>
      </c>
      <c r="B1482">
        <v>1020</v>
      </c>
    </row>
    <row r="1483" spans="1:2" x14ac:dyDescent="0.25">
      <c r="A1483" t="s">
        <v>98</v>
      </c>
      <c r="B1483">
        <v>1020</v>
      </c>
    </row>
    <row r="1484" spans="1:2" x14ac:dyDescent="0.25">
      <c r="A1484" t="s">
        <v>98</v>
      </c>
      <c r="B1484">
        <v>1020</v>
      </c>
    </row>
    <row r="1485" spans="1:2" x14ac:dyDescent="0.25">
      <c r="A1485" t="s">
        <v>98</v>
      </c>
      <c r="B1485">
        <v>1020</v>
      </c>
    </row>
    <row r="1486" spans="1:2" x14ac:dyDescent="0.25">
      <c r="A1486" t="s">
        <v>98</v>
      </c>
      <c r="B1486">
        <v>1020</v>
      </c>
    </row>
    <row r="1487" spans="1:2" x14ac:dyDescent="0.25">
      <c r="A1487" t="s">
        <v>98</v>
      </c>
      <c r="B1487">
        <v>1020</v>
      </c>
    </row>
    <row r="1488" spans="1:2" x14ac:dyDescent="0.25">
      <c r="A1488" t="s">
        <v>98</v>
      </c>
      <c r="B1488">
        <v>1020</v>
      </c>
    </row>
    <row r="1489" spans="1:2" x14ac:dyDescent="0.25">
      <c r="A1489" t="s">
        <v>98</v>
      </c>
      <c r="B1489">
        <v>1020</v>
      </c>
    </row>
    <row r="1490" spans="1:2" x14ac:dyDescent="0.25">
      <c r="A1490" t="s">
        <v>98</v>
      </c>
      <c r="B1490">
        <v>1020</v>
      </c>
    </row>
    <row r="1491" spans="1:2" x14ac:dyDescent="0.25">
      <c r="A1491" t="s">
        <v>98</v>
      </c>
      <c r="B1491">
        <v>1020</v>
      </c>
    </row>
    <row r="1492" spans="1:2" x14ac:dyDescent="0.25">
      <c r="A1492" t="s">
        <v>98</v>
      </c>
      <c r="B1492">
        <v>1020</v>
      </c>
    </row>
    <row r="1493" spans="1:2" x14ac:dyDescent="0.25">
      <c r="A1493" t="s">
        <v>98</v>
      </c>
      <c r="B1493">
        <v>1020</v>
      </c>
    </row>
    <row r="1494" spans="1:2" x14ac:dyDescent="0.25">
      <c r="A1494" t="s">
        <v>98</v>
      </c>
      <c r="B1494">
        <v>1020</v>
      </c>
    </row>
    <row r="1495" spans="1:2" x14ac:dyDescent="0.25">
      <c r="A1495" t="s">
        <v>98</v>
      </c>
      <c r="B1495">
        <v>1020</v>
      </c>
    </row>
    <row r="1496" spans="1:2" x14ac:dyDescent="0.25">
      <c r="A1496" t="s">
        <v>98</v>
      </c>
      <c r="B1496">
        <v>1020</v>
      </c>
    </row>
    <row r="1497" spans="1:2" x14ac:dyDescent="0.25">
      <c r="A1497" t="s">
        <v>98</v>
      </c>
      <c r="B1497">
        <v>1020</v>
      </c>
    </row>
    <row r="1498" spans="1:2" x14ac:dyDescent="0.25">
      <c r="A1498" t="s">
        <v>98</v>
      </c>
      <c r="B1498">
        <v>1020</v>
      </c>
    </row>
    <row r="1499" spans="1:2" x14ac:dyDescent="0.25">
      <c r="A1499" t="s">
        <v>98</v>
      </c>
      <c r="B1499">
        <v>1020</v>
      </c>
    </row>
    <row r="1500" spans="1:2" x14ac:dyDescent="0.25">
      <c r="A1500" t="s">
        <v>98</v>
      </c>
      <c r="B1500">
        <v>1020</v>
      </c>
    </row>
    <row r="1501" spans="1:2" x14ac:dyDescent="0.25">
      <c r="A1501" t="s">
        <v>98</v>
      </c>
      <c r="B1501">
        <v>1020</v>
      </c>
    </row>
    <row r="1502" spans="1:2" x14ac:dyDescent="0.25">
      <c r="A1502" t="s">
        <v>98</v>
      </c>
      <c r="B1502">
        <v>1020</v>
      </c>
    </row>
    <row r="1503" spans="1:2" x14ac:dyDescent="0.25">
      <c r="A1503" t="s">
        <v>98</v>
      </c>
      <c r="B1503">
        <v>1020</v>
      </c>
    </row>
    <row r="1504" spans="1:2" x14ac:dyDescent="0.25">
      <c r="A1504" t="s">
        <v>98</v>
      </c>
      <c r="B1504">
        <v>1020</v>
      </c>
    </row>
    <row r="1505" spans="1:2" x14ac:dyDescent="0.25">
      <c r="A1505" t="s">
        <v>98</v>
      </c>
      <c r="B1505">
        <v>1020</v>
      </c>
    </row>
    <row r="1506" spans="1:2" x14ac:dyDescent="0.25">
      <c r="A1506" t="s">
        <v>98</v>
      </c>
      <c r="B1506">
        <v>1020</v>
      </c>
    </row>
    <row r="1507" spans="1:2" x14ac:dyDescent="0.25">
      <c r="A1507" t="s">
        <v>98</v>
      </c>
      <c r="B1507">
        <v>1020</v>
      </c>
    </row>
    <row r="1508" spans="1:2" x14ac:dyDescent="0.25">
      <c r="A1508" t="s">
        <v>98</v>
      </c>
      <c r="B1508">
        <v>1020</v>
      </c>
    </row>
    <row r="1509" spans="1:2" x14ac:dyDescent="0.25">
      <c r="A1509" t="s">
        <v>98</v>
      </c>
      <c r="B1509">
        <v>1020</v>
      </c>
    </row>
    <row r="1510" spans="1:2" x14ac:dyDescent="0.25">
      <c r="A1510" t="s">
        <v>98</v>
      </c>
      <c r="B1510">
        <v>1020</v>
      </c>
    </row>
    <row r="1511" spans="1:2" x14ac:dyDescent="0.25">
      <c r="A1511" t="s">
        <v>98</v>
      </c>
      <c r="B1511">
        <v>1020</v>
      </c>
    </row>
    <row r="1512" spans="1:2" x14ac:dyDescent="0.25">
      <c r="A1512" t="s">
        <v>98</v>
      </c>
      <c r="B1512">
        <v>1020</v>
      </c>
    </row>
    <row r="1513" spans="1:2" x14ac:dyDescent="0.25">
      <c r="A1513" t="s">
        <v>98</v>
      </c>
      <c r="B1513">
        <v>1020</v>
      </c>
    </row>
    <row r="1514" spans="1:2" x14ac:dyDescent="0.25">
      <c r="A1514" t="s">
        <v>98</v>
      </c>
      <c r="B1514">
        <v>1020</v>
      </c>
    </row>
    <row r="1515" spans="1:2" x14ac:dyDescent="0.25">
      <c r="A1515" t="s">
        <v>98</v>
      </c>
      <c r="B1515">
        <v>1020</v>
      </c>
    </row>
    <row r="1516" spans="1:2" x14ac:dyDescent="0.25">
      <c r="A1516" t="s">
        <v>98</v>
      </c>
      <c r="B1516">
        <v>1020</v>
      </c>
    </row>
    <row r="1517" spans="1:2" x14ac:dyDescent="0.25">
      <c r="A1517" t="s">
        <v>98</v>
      </c>
      <c r="B1517">
        <v>1020</v>
      </c>
    </row>
    <row r="1518" spans="1:2" x14ac:dyDescent="0.25">
      <c r="A1518" t="s">
        <v>98</v>
      </c>
      <c r="B1518">
        <v>1020</v>
      </c>
    </row>
    <row r="1519" spans="1:2" x14ac:dyDescent="0.25">
      <c r="A1519" t="s">
        <v>98</v>
      </c>
      <c r="B1519">
        <v>1020</v>
      </c>
    </row>
    <row r="1520" spans="1:2" x14ac:dyDescent="0.25">
      <c r="A1520" t="s">
        <v>98</v>
      </c>
      <c r="B1520">
        <v>1020</v>
      </c>
    </row>
    <row r="1521" spans="1:2" x14ac:dyDescent="0.25">
      <c r="A1521" t="s">
        <v>98</v>
      </c>
      <c r="B1521">
        <v>1020</v>
      </c>
    </row>
    <row r="1522" spans="1:2" x14ac:dyDescent="0.25">
      <c r="A1522" t="s">
        <v>98</v>
      </c>
      <c r="B1522">
        <v>1020</v>
      </c>
    </row>
    <row r="1523" spans="1:2" x14ac:dyDescent="0.25">
      <c r="A1523" t="s">
        <v>98</v>
      </c>
      <c r="B1523">
        <v>1020</v>
      </c>
    </row>
    <row r="1524" spans="1:2" x14ac:dyDescent="0.25">
      <c r="A1524" t="s">
        <v>98</v>
      </c>
      <c r="B1524">
        <v>1020</v>
      </c>
    </row>
    <row r="1525" spans="1:2" x14ac:dyDescent="0.25">
      <c r="A1525" t="s">
        <v>98</v>
      </c>
      <c r="B1525">
        <v>1020</v>
      </c>
    </row>
    <row r="1526" spans="1:2" x14ac:dyDescent="0.25">
      <c r="A1526" t="s">
        <v>98</v>
      </c>
      <c r="B1526">
        <v>1020</v>
      </c>
    </row>
    <row r="1527" spans="1:2" x14ac:dyDescent="0.25">
      <c r="A1527" t="s">
        <v>98</v>
      </c>
      <c r="B1527">
        <v>1020</v>
      </c>
    </row>
    <row r="1528" spans="1:2" x14ac:dyDescent="0.25">
      <c r="A1528" t="s">
        <v>98</v>
      </c>
      <c r="B1528">
        <v>1020</v>
      </c>
    </row>
    <row r="1529" spans="1:2" x14ac:dyDescent="0.25">
      <c r="A1529" t="s">
        <v>98</v>
      </c>
      <c r="B1529">
        <v>1020</v>
      </c>
    </row>
    <row r="1530" spans="1:2" x14ac:dyDescent="0.25">
      <c r="A1530" t="s">
        <v>98</v>
      </c>
      <c r="B1530">
        <v>1020</v>
      </c>
    </row>
    <row r="1531" spans="1:2" x14ac:dyDescent="0.25">
      <c r="A1531" t="s">
        <v>98</v>
      </c>
      <c r="B1531">
        <v>1020</v>
      </c>
    </row>
    <row r="1532" spans="1:2" x14ac:dyDescent="0.25">
      <c r="A1532" t="s">
        <v>98</v>
      </c>
      <c r="B1532">
        <v>1020</v>
      </c>
    </row>
    <row r="1533" spans="1:2" x14ac:dyDescent="0.25">
      <c r="A1533" t="s">
        <v>98</v>
      </c>
      <c r="B1533">
        <v>1020</v>
      </c>
    </row>
    <row r="1534" spans="1:2" x14ac:dyDescent="0.25">
      <c r="A1534" t="s">
        <v>98</v>
      </c>
      <c r="B1534">
        <v>1020</v>
      </c>
    </row>
    <row r="1535" spans="1:2" x14ac:dyDescent="0.25">
      <c r="A1535" t="s">
        <v>98</v>
      </c>
      <c r="B1535">
        <v>1020</v>
      </c>
    </row>
    <row r="1536" spans="1:2" x14ac:dyDescent="0.25">
      <c r="A1536" t="s">
        <v>98</v>
      </c>
      <c r="B1536">
        <v>1020</v>
      </c>
    </row>
    <row r="1537" spans="1:2" x14ac:dyDescent="0.25">
      <c r="A1537" t="s">
        <v>98</v>
      </c>
      <c r="B1537">
        <v>1020</v>
      </c>
    </row>
    <row r="1538" spans="1:2" x14ac:dyDescent="0.25">
      <c r="A1538" t="s">
        <v>98</v>
      </c>
      <c r="B1538">
        <v>1020</v>
      </c>
    </row>
    <row r="1539" spans="1:2" x14ac:dyDescent="0.25">
      <c r="A1539" t="s">
        <v>98</v>
      </c>
      <c r="B1539">
        <v>1020</v>
      </c>
    </row>
    <row r="1540" spans="1:2" x14ac:dyDescent="0.25">
      <c r="A1540" t="s">
        <v>98</v>
      </c>
      <c r="B1540">
        <v>1020</v>
      </c>
    </row>
    <row r="1541" spans="1:2" x14ac:dyDescent="0.25">
      <c r="A1541" t="s">
        <v>98</v>
      </c>
      <c r="B1541">
        <v>1020</v>
      </c>
    </row>
    <row r="1542" spans="1:2" x14ac:dyDescent="0.25">
      <c r="A1542" t="s">
        <v>98</v>
      </c>
      <c r="B1542">
        <v>1020</v>
      </c>
    </row>
    <row r="1543" spans="1:2" x14ac:dyDescent="0.25">
      <c r="A1543" t="s">
        <v>98</v>
      </c>
      <c r="B1543">
        <v>1020</v>
      </c>
    </row>
    <row r="1544" spans="1:2" x14ac:dyDescent="0.25">
      <c r="A1544" t="s">
        <v>98</v>
      </c>
      <c r="B1544">
        <v>1020</v>
      </c>
    </row>
    <row r="1545" spans="1:2" x14ac:dyDescent="0.25">
      <c r="A1545" t="s">
        <v>98</v>
      </c>
      <c r="B1545">
        <v>1020</v>
      </c>
    </row>
    <row r="1546" spans="1:2" x14ac:dyDescent="0.25">
      <c r="A1546" t="s">
        <v>98</v>
      </c>
      <c r="B1546">
        <v>1020</v>
      </c>
    </row>
    <row r="1547" spans="1:2" x14ac:dyDescent="0.25">
      <c r="A1547" t="s">
        <v>98</v>
      </c>
      <c r="B1547">
        <v>1020</v>
      </c>
    </row>
    <row r="1548" spans="1:2" x14ac:dyDescent="0.25">
      <c r="A1548" t="s">
        <v>98</v>
      </c>
      <c r="B1548">
        <v>1020</v>
      </c>
    </row>
    <row r="1549" spans="1:2" x14ac:dyDescent="0.25">
      <c r="A1549" t="s">
        <v>98</v>
      </c>
      <c r="B1549">
        <v>1020</v>
      </c>
    </row>
    <row r="1550" spans="1:2" x14ac:dyDescent="0.25">
      <c r="A1550" t="s">
        <v>98</v>
      </c>
      <c r="B1550">
        <v>1020</v>
      </c>
    </row>
    <row r="1551" spans="1:2" x14ac:dyDescent="0.25">
      <c r="A1551" t="s">
        <v>98</v>
      </c>
      <c r="B1551">
        <v>1020</v>
      </c>
    </row>
    <row r="1552" spans="1:2" x14ac:dyDescent="0.25">
      <c r="A1552" t="s">
        <v>98</v>
      </c>
      <c r="B1552">
        <v>1020</v>
      </c>
    </row>
    <row r="1553" spans="1:2" x14ac:dyDescent="0.25">
      <c r="A1553" t="s">
        <v>98</v>
      </c>
      <c r="B1553">
        <v>1020</v>
      </c>
    </row>
    <row r="1554" spans="1:2" x14ac:dyDescent="0.25">
      <c r="A1554" t="s">
        <v>98</v>
      </c>
      <c r="B1554">
        <v>1020</v>
      </c>
    </row>
    <row r="1555" spans="1:2" x14ac:dyDescent="0.25">
      <c r="A1555" t="s">
        <v>98</v>
      </c>
      <c r="B1555">
        <v>1020</v>
      </c>
    </row>
    <row r="1556" spans="1:2" x14ac:dyDescent="0.25">
      <c r="A1556" t="s">
        <v>98</v>
      </c>
      <c r="B1556">
        <v>1020</v>
      </c>
    </row>
    <row r="1557" spans="1:2" x14ac:dyDescent="0.25">
      <c r="A1557" t="s">
        <v>98</v>
      </c>
      <c r="B1557">
        <v>1020</v>
      </c>
    </row>
    <row r="1558" spans="1:2" x14ac:dyDescent="0.25">
      <c r="A1558" t="s">
        <v>98</v>
      </c>
      <c r="B1558">
        <v>1020</v>
      </c>
    </row>
    <row r="1559" spans="1:2" x14ac:dyDescent="0.25">
      <c r="A1559" t="s">
        <v>98</v>
      </c>
      <c r="B1559">
        <v>1020</v>
      </c>
    </row>
    <row r="1560" spans="1:2" x14ac:dyDescent="0.25">
      <c r="A1560" t="s">
        <v>98</v>
      </c>
      <c r="B1560">
        <v>1020</v>
      </c>
    </row>
    <row r="1561" spans="1:2" x14ac:dyDescent="0.25">
      <c r="A1561" t="s">
        <v>98</v>
      </c>
      <c r="B1561">
        <v>1020</v>
      </c>
    </row>
    <row r="1562" spans="1:2" x14ac:dyDescent="0.25">
      <c r="A1562" t="s">
        <v>98</v>
      </c>
      <c r="B1562">
        <v>1020</v>
      </c>
    </row>
    <row r="1563" spans="1:2" x14ac:dyDescent="0.25">
      <c r="A1563" t="s">
        <v>98</v>
      </c>
      <c r="B1563">
        <v>1020</v>
      </c>
    </row>
    <row r="1564" spans="1:2" x14ac:dyDescent="0.25">
      <c r="A1564" t="s">
        <v>98</v>
      </c>
      <c r="B1564">
        <v>1020</v>
      </c>
    </row>
    <row r="1565" spans="1:2" x14ac:dyDescent="0.25">
      <c r="A1565" t="s">
        <v>98</v>
      </c>
      <c r="B1565">
        <v>1020</v>
      </c>
    </row>
    <row r="1566" spans="1:2" x14ac:dyDescent="0.25">
      <c r="A1566" t="s">
        <v>98</v>
      </c>
      <c r="B1566">
        <v>1020</v>
      </c>
    </row>
    <row r="1567" spans="1:2" x14ac:dyDescent="0.25">
      <c r="A1567" t="s">
        <v>98</v>
      </c>
      <c r="B1567">
        <v>1020</v>
      </c>
    </row>
    <row r="1568" spans="1:2" x14ac:dyDescent="0.25">
      <c r="A1568" t="s">
        <v>98</v>
      </c>
      <c r="B1568">
        <v>1020</v>
      </c>
    </row>
    <row r="1569" spans="1:2" x14ac:dyDescent="0.25">
      <c r="A1569" t="s">
        <v>98</v>
      </c>
      <c r="B1569">
        <v>1020</v>
      </c>
    </row>
    <row r="1570" spans="1:2" x14ac:dyDescent="0.25">
      <c r="A1570" t="s">
        <v>98</v>
      </c>
      <c r="B1570">
        <v>1020</v>
      </c>
    </row>
    <row r="1571" spans="1:2" x14ac:dyDescent="0.25">
      <c r="A1571" t="s">
        <v>98</v>
      </c>
      <c r="B1571">
        <v>1020</v>
      </c>
    </row>
    <row r="1572" spans="1:2" x14ac:dyDescent="0.25">
      <c r="A1572" t="s">
        <v>98</v>
      </c>
      <c r="B1572">
        <v>1020</v>
      </c>
    </row>
    <row r="1573" spans="1:2" x14ac:dyDescent="0.25">
      <c r="A1573" t="s">
        <v>98</v>
      </c>
      <c r="B1573">
        <v>1020</v>
      </c>
    </row>
    <row r="1574" spans="1:2" x14ac:dyDescent="0.25">
      <c r="A1574" t="s">
        <v>98</v>
      </c>
      <c r="B1574">
        <v>1020</v>
      </c>
    </row>
    <row r="1575" spans="1:2" x14ac:dyDescent="0.25">
      <c r="A1575" t="s">
        <v>98</v>
      </c>
      <c r="B1575">
        <v>1020</v>
      </c>
    </row>
    <row r="1576" spans="1:2" x14ac:dyDescent="0.25">
      <c r="A1576" t="s">
        <v>98</v>
      </c>
      <c r="B1576">
        <v>1020</v>
      </c>
    </row>
    <row r="1577" spans="1:2" x14ac:dyDescent="0.25">
      <c r="A1577" t="s">
        <v>98</v>
      </c>
      <c r="B1577">
        <v>1020</v>
      </c>
    </row>
    <row r="1578" spans="1:2" x14ac:dyDescent="0.25">
      <c r="A1578" t="s">
        <v>98</v>
      </c>
      <c r="B1578">
        <v>1020</v>
      </c>
    </row>
    <row r="1579" spans="1:2" x14ac:dyDescent="0.25">
      <c r="A1579" t="s">
        <v>98</v>
      </c>
      <c r="B1579">
        <v>1020</v>
      </c>
    </row>
    <row r="1580" spans="1:2" x14ac:dyDescent="0.25">
      <c r="A1580" t="s">
        <v>98</v>
      </c>
      <c r="B1580">
        <v>1020</v>
      </c>
    </row>
    <row r="1581" spans="1:2" x14ac:dyDescent="0.25">
      <c r="A1581" t="s">
        <v>98</v>
      </c>
      <c r="B1581">
        <v>1020</v>
      </c>
    </row>
    <row r="1582" spans="1:2" x14ac:dyDescent="0.25">
      <c r="A1582" t="s">
        <v>98</v>
      </c>
      <c r="B1582">
        <v>1020</v>
      </c>
    </row>
    <row r="1583" spans="1:2" x14ac:dyDescent="0.25">
      <c r="A1583" t="s">
        <v>98</v>
      </c>
      <c r="B1583">
        <v>1020</v>
      </c>
    </row>
    <row r="1584" spans="1:2" x14ac:dyDescent="0.25">
      <c r="A1584" t="s">
        <v>98</v>
      </c>
      <c r="B1584">
        <v>1020</v>
      </c>
    </row>
    <row r="1585" spans="1:2" x14ac:dyDescent="0.25">
      <c r="A1585" t="s">
        <v>98</v>
      </c>
      <c r="B1585">
        <v>1020</v>
      </c>
    </row>
    <row r="1586" spans="1:2" x14ac:dyDescent="0.25">
      <c r="A1586" t="s">
        <v>98</v>
      </c>
      <c r="B1586">
        <v>1020</v>
      </c>
    </row>
    <row r="1587" spans="1:2" x14ac:dyDescent="0.25">
      <c r="A1587" t="s">
        <v>98</v>
      </c>
      <c r="B1587">
        <v>1020</v>
      </c>
    </row>
    <row r="1588" spans="1:2" x14ac:dyDescent="0.25">
      <c r="A1588" t="s">
        <v>98</v>
      </c>
      <c r="B1588">
        <v>1020</v>
      </c>
    </row>
    <row r="1589" spans="1:2" x14ac:dyDescent="0.25">
      <c r="A1589" t="s">
        <v>98</v>
      </c>
      <c r="B1589">
        <v>1020</v>
      </c>
    </row>
    <row r="1590" spans="1:2" x14ac:dyDescent="0.25">
      <c r="A1590" t="s">
        <v>98</v>
      </c>
      <c r="B1590">
        <v>1020</v>
      </c>
    </row>
    <row r="1591" spans="1:2" x14ac:dyDescent="0.25">
      <c r="A1591" t="s">
        <v>98</v>
      </c>
      <c r="B1591">
        <v>1020</v>
      </c>
    </row>
    <row r="1592" spans="1:2" x14ac:dyDescent="0.25">
      <c r="A1592" t="s">
        <v>98</v>
      </c>
      <c r="B1592">
        <v>1020</v>
      </c>
    </row>
    <row r="1593" spans="1:2" x14ac:dyDescent="0.25">
      <c r="A1593" t="s">
        <v>98</v>
      </c>
      <c r="B1593">
        <v>1020</v>
      </c>
    </row>
    <row r="1594" spans="1:2" x14ac:dyDescent="0.25">
      <c r="A1594" t="s">
        <v>98</v>
      </c>
      <c r="B1594">
        <v>1020</v>
      </c>
    </row>
    <row r="1595" spans="1:2" x14ac:dyDescent="0.25">
      <c r="A1595" t="s">
        <v>98</v>
      </c>
      <c r="B1595">
        <v>1020</v>
      </c>
    </row>
    <row r="1596" spans="1:2" x14ac:dyDescent="0.25">
      <c r="A1596" t="s">
        <v>98</v>
      </c>
      <c r="B1596">
        <v>1020</v>
      </c>
    </row>
    <row r="1597" spans="1:2" x14ac:dyDescent="0.25">
      <c r="A1597" t="s">
        <v>98</v>
      </c>
      <c r="B1597">
        <v>1020</v>
      </c>
    </row>
    <row r="1598" spans="1:2" x14ac:dyDescent="0.25">
      <c r="A1598" t="s">
        <v>98</v>
      </c>
      <c r="B1598">
        <v>1020</v>
      </c>
    </row>
    <row r="1599" spans="1:2" x14ac:dyDescent="0.25">
      <c r="A1599" t="s">
        <v>98</v>
      </c>
      <c r="B1599">
        <v>1020</v>
      </c>
    </row>
    <row r="1600" spans="1:2" x14ac:dyDescent="0.25">
      <c r="A1600" t="s">
        <v>98</v>
      </c>
      <c r="B1600">
        <v>1020</v>
      </c>
    </row>
    <row r="1601" spans="1:2" x14ac:dyDescent="0.25">
      <c r="A1601" t="s">
        <v>98</v>
      </c>
      <c r="B1601">
        <v>1020</v>
      </c>
    </row>
    <row r="1602" spans="1:2" x14ac:dyDescent="0.25">
      <c r="A1602" t="s">
        <v>98</v>
      </c>
      <c r="B1602">
        <v>1020</v>
      </c>
    </row>
    <row r="1603" spans="1:2" x14ac:dyDescent="0.25">
      <c r="A1603" t="s">
        <v>98</v>
      </c>
      <c r="B1603">
        <v>1020</v>
      </c>
    </row>
    <row r="1604" spans="1:2" x14ac:dyDescent="0.25">
      <c r="A1604" t="s">
        <v>98</v>
      </c>
      <c r="B1604">
        <v>1020</v>
      </c>
    </row>
    <row r="1605" spans="1:2" x14ac:dyDescent="0.25">
      <c r="A1605" t="s">
        <v>98</v>
      </c>
      <c r="B1605">
        <v>1020</v>
      </c>
    </row>
    <row r="1606" spans="1:2" x14ac:dyDescent="0.25">
      <c r="A1606" t="s">
        <v>98</v>
      </c>
      <c r="B1606">
        <v>1020</v>
      </c>
    </row>
    <row r="1607" spans="1:2" x14ac:dyDescent="0.25">
      <c r="A1607" t="s">
        <v>98</v>
      </c>
      <c r="B1607">
        <v>1020</v>
      </c>
    </row>
    <row r="1608" spans="1:2" x14ac:dyDescent="0.25">
      <c r="A1608" t="s">
        <v>98</v>
      </c>
      <c r="B1608">
        <v>1020</v>
      </c>
    </row>
    <row r="1609" spans="1:2" x14ac:dyDescent="0.25">
      <c r="A1609" t="s">
        <v>98</v>
      </c>
      <c r="B1609">
        <v>1020</v>
      </c>
    </row>
    <row r="1610" spans="1:2" x14ac:dyDescent="0.25">
      <c r="A1610" t="s">
        <v>98</v>
      </c>
      <c r="B1610">
        <v>1020</v>
      </c>
    </row>
    <row r="1611" spans="1:2" x14ac:dyDescent="0.25">
      <c r="A1611" t="s">
        <v>98</v>
      </c>
      <c r="B1611">
        <v>1020</v>
      </c>
    </row>
    <row r="1612" spans="1:2" x14ac:dyDescent="0.25">
      <c r="A1612" t="s">
        <v>98</v>
      </c>
      <c r="B1612">
        <v>1020</v>
      </c>
    </row>
    <row r="1613" spans="1:2" x14ac:dyDescent="0.25">
      <c r="A1613" t="s">
        <v>98</v>
      </c>
      <c r="B1613">
        <v>1020</v>
      </c>
    </row>
    <row r="1614" spans="1:2" x14ac:dyDescent="0.25">
      <c r="A1614" t="s">
        <v>98</v>
      </c>
      <c r="B1614">
        <v>1020</v>
      </c>
    </row>
    <row r="1615" spans="1:2" x14ac:dyDescent="0.25">
      <c r="A1615" t="s">
        <v>98</v>
      </c>
      <c r="B1615">
        <v>1020</v>
      </c>
    </row>
    <row r="1616" spans="1:2" x14ac:dyDescent="0.25">
      <c r="A1616" t="s">
        <v>98</v>
      </c>
      <c r="B1616">
        <v>1020</v>
      </c>
    </row>
    <row r="1617" spans="1:2" x14ac:dyDescent="0.25">
      <c r="A1617" t="s">
        <v>98</v>
      </c>
      <c r="B1617">
        <v>1020</v>
      </c>
    </row>
    <row r="1618" spans="1:2" x14ac:dyDescent="0.25">
      <c r="A1618" t="s">
        <v>98</v>
      </c>
      <c r="B1618">
        <v>1020</v>
      </c>
    </row>
    <row r="1619" spans="1:2" x14ac:dyDescent="0.25">
      <c r="A1619" t="s">
        <v>98</v>
      </c>
      <c r="B1619">
        <v>1020</v>
      </c>
    </row>
    <row r="1620" spans="1:2" x14ac:dyDescent="0.25">
      <c r="A1620" t="s">
        <v>98</v>
      </c>
      <c r="B1620">
        <v>1020</v>
      </c>
    </row>
    <row r="1621" spans="1:2" x14ac:dyDescent="0.25">
      <c r="A1621" t="s">
        <v>98</v>
      </c>
      <c r="B1621">
        <v>1020</v>
      </c>
    </row>
    <row r="1622" spans="1:2" x14ac:dyDescent="0.25">
      <c r="A1622" t="s">
        <v>98</v>
      </c>
      <c r="B1622">
        <v>1020</v>
      </c>
    </row>
    <row r="1623" spans="1:2" x14ac:dyDescent="0.25">
      <c r="A1623" t="s">
        <v>98</v>
      </c>
      <c r="B1623">
        <v>1020</v>
      </c>
    </row>
    <row r="1624" spans="1:2" x14ac:dyDescent="0.25">
      <c r="A1624" t="s">
        <v>98</v>
      </c>
      <c r="B1624">
        <v>1020</v>
      </c>
    </row>
    <row r="1625" spans="1:2" x14ac:dyDescent="0.25">
      <c r="A1625" t="s">
        <v>98</v>
      </c>
      <c r="B1625">
        <v>1020</v>
      </c>
    </row>
    <row r="1626" spans="1:2" x14ac:dyDescent="0.25">
      <c r="A1626" t="s">
        <v>98</v>
      </c>
      <c r="B1626">
        <v>1020</v>
      </c>
    </row>
    <row r="1627" spans="1:2" x14ac:dyDescent="0.25">
      <c r="A1627" t="s">
        <v>98</v>
      </c>
      <c r="B1627">
        <v>1020</v>
      </c>
    </row>
    <row r="1628" spans="1:2" x14ac:dyDescent="0.25">
      <c r="A1628" t="s">
        <v>98</v>
      </c>
      <c r="B1628">
        <v>1020</v>
      </c>
    </row>
    <row r="1629" spans="1:2" x14ac:dyDescent="0.25">
      <c r="A1629" t="s">
        <v>98</v>
      </c>
      <c r="B1629">
        <v>1020</v>
      </c>
    </row>
    <row r="1630" spans="1:2" x14ac:dyDescent="0.25">
      <c r="A1630" t="s">
        <v>98</v>
      </c>
      <c r="B1630">
        <v>1020</v>
      </c>
    </row>
    <row r="1631" spans="1:2" x14ac:dyDescent="0.25">
      <c r="A1631" t="s">
        <v>98</v>
      </c>
      <c r="B1631">
        <v>1020</v>
      </c>
    </row>
    <row r="1632" spans="1:2" x14ac:dyDescent="0.25">
      <c r="A1632" t="s">
        <v>98</v>
      </c>
      <c r="B1632">
        <v>1020</v>
      </c>
    </row>
    <row r="1633" spans="1:2" x14ac:dyDescent="0.25">
      <c r="A1633" t="s">
        <v>98</v>
      </c>
      <c r="B1633">
        <v>1020</v>
      </c>
    </row>
    <row r="1634" spans="1:2" x14ac:dyDescent="0.25">
      <c r="A1634" t="s">
        <v>98</v>
      </c>
      <c r="B1634">
        <v>1020</v>
      </c>
    </row>
    <row r="1635" spans="1:2" x14ac:dyDescent="0.25">
      <c r="A1635" t="s">
        <v>98</v>
      </c>
      <c r="B1635">
        <v>1020</v>
      </c>
    </row>
    <row r="1636" spans="1:2" x14ac:dyDescent="0.25">
      <c r="A1636" t="s">
        <v>98</v>
      </c>
      <c r="B1636">
        <v>1020</v>
      </c>
    </row>
    <row r="1637" spans="1:2" x14ac:dyDescent="0.25">
      <c r="A1637" t="s">
        <v>98</v>
      </c>
      <c r="B1637">
        <v>1020</v>
      </c>
    </row>
    <row r="1638" spans="1:2" x14ac:dyDescent="0.25">
      <c r="A1638" t="s">
        <v>98</v>
      </c>
      <c r="B1638">
        <v>1020</v>
      </c>
    </row>
    <row r="1639" spans="1:2" x14ac:dyDescent="0.25">
      <c r="A1639" t="s">
        <v>98</v>
      </c>
      <c r="B1639">
        <v>1020</v>
      </c>
    </row>
    <row r="1640" spans="1:2" x14ac:dyDescent="0.25">
      <c r="A1640" t="s">
        <v>98</v>
      </c>
      <c r="B1640">
        <v>1020</v>
      </c>
    </row>
    <row r="1641" spans="1:2" x14ac:dyDescent="0.25">
      <c r="A1641" t="s">
        <v>98</v>
      </c>
      <c r="B1641">
        <v>1020</v>
      </c>
    </row>
    <row r="1642" spans="1:2" x14ac:dyDescent="0.25">
      <c r="A1642" t="s">
        <v>98</v>
      </c>
      <c r="B1642">
        <v>1020</v>
      </c>
    </row>
    <row r="1643" spans="1:2" x14ac:dyDescent="0.25">
      <c r="A1643" t="s">
        <v>98</v>
      </c>
      <c r="B1643">
        <v>1020</v>
      </c>
    </row>
    <row r="1644" spans="1:2" x14ac:dyDescent="0.25">
      <c r="A1644" t="s">
        <v>98</v>
      </c>
      <c r="B1644">
        <v>1020</v>
      </c>
    </row>
    <row r="1645" spans="1:2" x14ac:dyDescent="0.25">
      <c r="A1645" t="s">
        <v>98</v>
      </c>
      <c r="B1645">
        <v>1020</v>
      </c>
    </row>
    <row r="1646" spans="1:2" x14ac:dyDescent="0.25">
      <c r="A1646" t="s">
        <v>98</v>
      </c>
      <c r="B1646">
        <v>1020</v>
      </c>
    </row>
    <row r="1647" spans="1:2" x14ac:dyDescent="0.25">
      <c r="A1647" t="s">
        <v>98</v>
      </c>
      <c r="B1647">
        <v>1020</v>
      </c>
    </row>
    <row r="1648" spans="1:2" x14ac:dyDescent="0.25">
      <c r="A1648" t="s">
        <v>98</v>
      </c>
      <c r="B1648">
        <v>1020</v>
      </c>
    </row>
    <row r="1649" spans="1:2" x14ac:dyDescent="0.25">
      <c r="A1649" t="s">
        <v>98</v>
      </c>
      <c r="B1649">
        <v>1020</v>
      </c>
    </row>
    <row r="1650" spans="1:2" x14ac:dyDescent="0.25">
      <c r="A1650" t="s">
        <v>98</v>
      </c>
      <c r="B1650">
        <v>1020</v>
      </c>
    </row>
    <row r="1651" spans="1:2" x14ac:dyDescent="0.25">
      <c r="A1651" t="s">
        <v>98</v>
      </c>
      <c r="B1651">
        <v>1020</v>
      </c>
    </row>
    <row r="1652" spans="1:2" x14ac:dyDescent="0.25">
      <c r="A1652" t="s">
        <v>98</v>
      </c>
      <c r="B1652">
        <v>1020</v>
      </c>
    </row>
    <row r="1653" spans="1:2" x14ac:dyDescent="0.25">
      <c r="A1653" t="s">
        <v>98</v>
      </c>
      <c r="B1653">
        <v>1020</v>
      </c>
    </row>
    <row r="1654" spans="1:2" x14ac:dyDescent="0.25">
      <c r="A1654" t="s">
        <v>98</v>
      </c>
      <c r="B1654">
        <v>1020</v>
      </c>
    </row>
    <row r="1655" spans="1:2" x14ac:dyDescent="0.25">
      <c r="A1655" t="s">
        <v>98</v>
      </c>
      <c r="B1655">
        <v>1020</v>
      </c>
    </row>
    <row r="1656" spans="1:2" x14ac:dyDescent="0.25">
      <c r="A1656" t="s">
        <v>98</v>
      </c>
      <c r="B1656">
        <v>1020</v>
      </c>
    </row>
    <row r="1657" spans="1:2" x14ac:dyDescent="0.25">
      <c r="A1657" t="s">
        <v>98</v>
      </c>
      <c r="B1657">
        <v>1020</v>
      </c>
    </row>
    <row r="1658" spans="1:2" x14ac:dyDescent="0.25">
      <c r="A1658" t="s">
        <v>98</v>
      </c>
      <c r="B1658">
        <v>1020</v>
      </c>
    </row>
    <row r="1659" spans="1:2" x14ac:dyDescent="0.25">
      <c r="A1659" t="s">
        <v>98</v>
      </c>
      <c r="B1659">
        <v>1020</v>
      </c>
    </row>
    <row r="1660" spans="1:2" x14ac:dyDescent="0.25">
      <c r="A1660" t="s">
        <v>98</v>
      </c>
      <c r="B1660">
        <v>1020</v>
      </c>
    </row>
    <row r="1661" spans="1:2" x14ac:dyDescent="0.25">
      <c r="A1661" t="s">
        <v>98</v>
      </c>
      <c r="B1661">
        <v>1020</v>
      </c>
    </row>
    <row r="1662" spans="1:2" x14ac:dyDescent="0.25">
      <c r="A1662" t="s">
        <v>98</v>
      </c>
      <c r="B1662">
        <v>1020</v>
      </c>
    </row>
    <row r="1663" spans="1:2" x14ac:dyDescent="0.25">
      <c r="A1663" t="s">
        <v>98</v>
      </c>
      <c r="B1663">
        <v>1020</v>
      </c>
    </row>
    <row r="1664" spans="1:2" x14ac:dyDescent="0.25">
      <c r="A1664" t="s">
        <v>98</v>
      </c>
      <c r="B1664">
        <v>1020</v>
      </c>
    </row>
    <row r="1665" spans="1:2" x14ac:dyDescent="0.25">
      <c r="A1665" t="s">
        <v>98</v>
      </c>
      <c r="B1665">
        <v>1020</v>
      </c>
    </row>
    <row r="1666" spans="1:2" x14ac:dyDescent="0.25">
      <c r="A1666" t="s">
        <v>98</v>
      </c>
      <c r="B1666">
        <v>1020</v>
      </c>
    </row>
    <row r="1667" spans="1:2" x14ac:dyDescent="0.25">
      <c r="A1667" t="s">
        <v>98</v>
      </c>
      <c r="B1667">
        <v>1020</v>
      </c>
    </row>
    <row r="1668" spans="1:2" x14ac:dyDescent="0.25">
      <c r="A1668" t="s">
        <v>98</v>
      </c>
      <c r="B1668">
        <v>1020</v>
      </c>
    </row>
    <row r="1669" spans="1:2" x14ac:dyDescent="0.25">
      <c r="A1669" t="s">
        <v>98</v>
      </c>
      <c r="B1669">
        <v>1020</v>
      </c>
    </row>
    <row r="1670" spans="1:2" x14ac:dyDescent="0.25">
      <c r="A1670" t="s">
        <v>98</v>
      </c>
      <c r="B1670">
        <v>1020</v>
      </c>
    </row>
    <row r="1671" spans="1:2" x14ac:dyDescent="0.25">
      <c r="A1671" t="s">
        <v>98</v>
      </c>
      <c r="B1671">
        <v>1020</v>
      </c>
    </row>
    <row r="1672" spans="1:2" x14ac:dyDescent="0.25">
      <c r="A1672" t="s">
        <v>98</v>
      </c>
      <c r="B1672">
        <v>1020</v>
      </c>
    </row>
    <row r="1673" spans="1:2" x14ac:dyDescent="0.25">
      <c r="A1673" t="s">
        <v>98</v>
      </c>
      <c r="B1673">
        <v>1020</v>
      </c>
    </row>
    <row r="1674" spans="1:2" x14ac:dyDescent="0.25">
      <c r="A1674" t="s">
        <v>98</v>
      </c>
      <c r="B1674">
        <v>1020</v>
      </c>
    </row>
    <row r="1675" spans="1:2" x14ac:dyDescent="0.25">
      <c r="A1675" t="s">
        <v>98</v>
      </c>
      <c r="B1675">
        <v>1020</v>
      </c>
    </row>
    <row r="1676" spans="1:2" x14ac:dyDescent="0.25">
      <c r="A1676" t="s">
        <v>98</v>
      </c>
      <c r="B1676">
        <v>1020</v>
      </c>
    </row>
    <row r="1677" spans="1:2" x14ac:dyDescent="0.25">
      <c r="A1677" t="s">
        <v>98</v>
      </c>
      <c r="B1677">
        <v>1020</v>
      </c>
    </row>
    <row r="1678" spans="1:2" x14ac:dyDescent="0.25">
      <c r="A1678" t="s">
        <v>98</v>
      </c>
      <c r="B1678">
        <v>1020</v>
      </c>
    </row>
    <row r="1679" spans="1:2" x14ac:dyDescent="0.25">
      <c r="A1679" t="s">
        <v>98</v>
      </c>
      <c r="B1679">
        <v>1020</v>
      </c>
    </row>
    <row r="1680" spans="1:2" x14ac:dyDescent="0.25">
      <c r="A1680" t="s">
        <v>98</v>
      </c>
      <c r="B1680">
        <v>1020</v>
      </c>
    </row>
    <row r="1681" spans="1:2" x14ac:dyDescent="0.25">
      <c r="A1681" t="s">
        <v>98</v>
      </c>
      <c r="B1681">
        <v>1020</v>
      </c>
    </row>
    <row r="1682" spans="1:2" x14ac:dyDescent="0.25">
      <c r="A1682" t="s">
        <v>98</v>
      </c>
      <c r="B1682">
        <v>1020</v>
      </c>
    </row>
    <row r="1683" spans="1:2" x14ac:dyDescent="0.25">
      <c r="A1683" t="s">
        <v>98</v>
      </c>
      <c r="B1683">
        <v>1020</v>
      </c>
    </row>
    <row r="1684" spans="1:2" x14ac:dyDescent="0.25">
      <c r="A1684" t="s">
        <v>98</v>
      </c>
      <c r="B1684">
        <v>1020</v>
      </c>
    </row>
    <row r="1685" spans="1:2" x14ac:dyDescent="0.25">
      <c r="A1685" t="s">
        <v>98</v>
      </c>
      <c r="B1685">
        <v>1020</v>
      </c>
    </row>
    <row r="1686" spans="1:2" x14ac:dyDescent="0.25">
      <c r="A1686" t="s">
        <v>98</v>
      </c>
      <c r="B1686">
        <v>1020</v>
      </c>
    </row>
    <row r="1687" spans="1:2" x14ac:dyDescent="0.25">
      <c r="A1687" t="s">
        <v>98</v>
      </c>
      <c r="B1687">
        <v>1020</v>
      </c>
    </row>
    <row r="1688" spans="1:2" x14ac:dyDescent="0.25">
      <c r="A1688" t="s">
        <v>98</v>
      </c>
      <c r="B1688">
        <v>1020</v>
      </c>
    </row>
    <row r="1689" spans="1:2" x14ac:dyDescent="0.25">
      <c r="A1689" t="s">
        <v>98</v>
      </c>
      <c r="B1689">
        <v>1020</v>
      </c>
    </row>
    <row r="1690" spans="1:2" x14ac:dyDescent="0.25">
      <c r="A1690" t="s">
        <v>98</v>
      </c>
      <c r="B1690">
        <v>1020</v>
      </c>
    </row>
    <row r="1691" spans="1:2" x14ac:dyDescent="0.25">
      <c r="A1691" t="s">
        <v>98</v>
      </c>
      <c r="B1691">
        <v>1020</v>
      </c>
    </row>
    <row r="1692" spans="1:2" x14ac:dyDescent="0.25">
      <c r="A1692" t="s">
        <v>98</v>
      </c>
      <c r="B1692">
        <v>1020</v>
      </c>
    </row>
    <row r="1693" spans="1:2" x14ac:dyDescent="0.25">
      <c r="A1693" t="s">
        <v>98</v>
      </c>
      <c r="B1693">
        <v>1020</v>
      </c>
    </row>
    <row r="1694" spans="1:2" x14ac:dyDescent="0.25">
      <c r="A1694" t="s">
        <v>98</v>
      </c>
      <c r="B1694">
        <v>1020</v>
      </c>
    </row>
    <row r="1695" spans="1:2" x14ac:dyDescent="0.25">
      <c r="A1695" t="s">
        <v>98</v>
      </c>
      <c r="B1695">
        <v>1020</v>
      </c>
    </row>
    <row r="1696" spans="1:2" x14ac:dyDescent="0.25">
      <c r="A1696" t="s">
        <v>98</v>
      </c>
      <c r="B1696">
        <v>1020</v>
      </c>
    </row>
    <row r="1697" spans="1:2" x14ac:dyDescent="0.25">
      <c r="A1697" t="s">
        <v>98</v>
      </c>
      <c r="B1697">
        <v>1020</v>
      </c>
    </row>
    <row r="1698" spans="1:2" x14ac:dyDescent="0.25">
      <c r="A1698" t="s">
        <v>98</v>
      </c>
      <c r="B1698">
        <v>1020</v>
      </c>
    </row>
    <row r="1699" spans="1:2" x14ac:dyDescent="0.25">
      <c r="A1699" t="s">
        <v>98</v>
      </c>
      <c r="B1699">
        <v>1020</v>
      </c>
    </row>
    <row r="1700" spans="1:2" x14ac:dyDescent="0.25">
      <c r="A1700" t="s">
        <v>98</v>
      </c>
      <c r="B1700">
        <v>1020</v>
      </c>
    </row>
    <row r="1701" spans="1:2" x14ac:dyDescent="0.25">
      <c r="A1701" t="s">
        <v>98</v>
      </c>
      <c r="B1701">
        <v>1020</v>
      </c>
    </row>
    <row r="1702" spans="1:2" x14ac:dyDescent="0.25">
      <c r="A1702" t="s">
        <v>98</v>
      </c>
      <c r="B1702">
        <v>1020</v>
      </c>
    </row>
    <row r="1703" spans="1:2" x14ac:dyDescent="0.25">
      <c r="A1703" t="s">
        <v>98</v>
      </c>
      <c r="B1703">
        <v>1020</v>
      </c>
    </row>
    <row r="1704" spans="1:2" x14ac:dyDescent="0.25">
      <c r="A1704" t="s">
        <v>98</v>
      </c>
      <c r="B1704">
        <v>1020</v>
      </c>
    </row>
    <row r="1705" spans="1:2" x14ac:dyDescent="0.25">
      <c r="A1705" t="s">
        <v>98</v>
      </c>
      <c r="B1705">
        <v>1020</v>
      </c>
    </row>
    <row r="1706" spans="1:2" x14ac:dyDescent="0.25">
      <c r="A1706" t="s">
        <v>98</v>
      </c>
      <c r="B1706">
        <v>1020</v>
      </c>
    </row>
    <row r="1707" spans="1:2" x14ac:dyDescent="0.25">
      <c r="A1707" t="s">
        <v>98</v>
      </c>
      <c r="B1707">
        <v>1020</v>
      </c>
    </row>
    <row r="1708" spans="1:2" x14ac:dyDescent="0.25">
      <c r="A1708" t="s">
        <v>98</v>
      </c>
      <c r="B1708">
        <v>1020</v>
      </c>
    </row>
    <row r="1709" spans="1:2" x14ac:dyDescent="0.25">
      <c r="A1709" t="s">
        <v>98</v>
      </c>
      <c r="B1709">
        <v>1020</v>
      </c>
    </row>
    <row r="1710" spans="1:2" x14ac:dyDescent="0.25">
      <c r="A1710" t="s">
        <v>98</v>
      </c>
      <c r="B1710">
        <v>1020</v>
      </c>
    </row>
    <row r="1711" spans="1:2" x14ac:dyDescent="0.25">
      <c r="A1711" t="s">
        <v>98</v>
      </c>
      <c r="B1711">
        <v>1020</v>
      </c>
    </row>
    <row r="1712" spans="1:2" x14ac:dyDescent="0.25">
      <c r="A1712" t="s">
        <v>98</v>
      </c>
      <c r="B1712">
        <v>1020</v>
      </c>
    </row>
    <row r="1713" spans="1:2" x14ac:dyDescent="0.25">
      <c r="A1713" t="s">
        <v>98</v>
      </c>
      <c r="B1713">
        <v>1020</v>
      </c>
    </row>
    <row r="1714" spans="1:2" x14ac:dyDescent="0.25">
      <c r="A1714" t="s">
        <v>98</v>
      </c>
      <c r="B1714">
        <v>1020</v>
      </c>
    </row>
    <row r="1715" spans="1:2" x14ac:dyDescent="0.25">
      <c r="A1715" t="s">
        <v>98</v>
      </c>
      <c r="B1715">
        <v>1020</v>
      </c>
    </row>
    <row r="1716" spans="1:2" x14ac:dyDescent="0.25">
      <c r="A1716" t="s">
        <v>98</v>
      </c>
      <c r="B1716">
        <v>1020</v>
      </c>
    </row>
    <row r="1717" spans="1:2" x14ac:dyDescent="0.25">
      <c r="A1717" t="s">
        <v>98</v>
      </c>
      <c r="B1717">
        <v>1020</v>
      </c>
    </row>
    <row r="1718" spans="1:2" x14ac:dyDescent="0.25">
      <c r="A1718" t="s">
        <v>98</v>
      </c>
      <c r="B1718">
        <v>1020</v>
      </c>
    </row>
    <row r="1719" spans="1:2" x14ac:dyDescent="0.25">
      <c r="A1719" t="s">
        <v>98</v>
      </c>
      <c r="B1719">
        <v>1020</v>
      </c>
    </row>
    <row r="1720" spans="1:2" x14ac:dyDescent="0.25">
      <c r="A1720" t="s">
        <v>98</v>
      </c>
      <c r="B1720">
        <v>1020</v>
      </c>
    </row>
    <row r="1721" spans="1:2" x14ac:dyDescent="0.25">
      <c r="A1721" t="s">
        <v>98</v>
      </c>
      <c r="B1721">
        <v>1020</v>
      </c>
    </row>
    <row r="1722" spans="1:2" x14ac:dyDescent="0.25">
      <c r="A1722" t="s">
        <v>98</v>
      </c>
      <c r="B1722">
        <v>1020</v>
      </c>
    </row>
    <row r="1723" spans="1:2" x14ac:dyDescent="0.25">
      <c r="A1723" t="s">
        <v>98</v>
      </c>
      <c r="B1723">
        <v>1020</v>
      </c>
    </row>
    <row r="1724" spans="1:2" x14ac:dyDescent="0.25">
      <c r="A1724" t="s">
        <v>98</v>
      </c>
      <c r="B1724">
        <v>1020</v>
      </c>
    </row>
    <row r="1725" spans="1:2" x14ac:dyDescent="0.25">
      <c r="A1725" t="s">
        <v>98</v>
      </c>
      <c r="B1725">
        <v>1020</v>
      </c>
    </row>
    <row r="1726" spans="1:2" x14ac:dyDescent="0.25">
      <c r="A1726" t="s">
        <v>98</v>
      </c>
      <c r="B1726">
        <v>1020</v>
      </c>
    </row>
    <row r="1727" spans="1:2" x14ac:dyDescent="0.25">
      <c r="A1727" t="s">
        <v>98</v>
      </c>
      <c r="B1727">
        <v>1020</v>
      </c>
    </row>
    <row r="1728" spans="1:2" x14ac:dyDescent="0.25">
      <c r="A1728" t="s">
        <v>98</v>
      </c>
      <c r="B1728">
        <v>1020</v>
      </c>
    </row>
    <row r="1729" spans="1:2" x14ac:dyDescent="0.25">
      <c r="A1729" t="s">
        <v>98</v>
      </c>
      <c r="B1729">
        <v>1020</v>
      </c>
    </row>
    <row r="1730" spans="1:2" x14ac:dyDescent="0.25">
      <c r="A1730" t="s">
        <v>98</v>
      </c>
      <c r="B1730">
        <v>1020</v>
      </c>
    </row>
    <row r="1731" spans="1:2" x14ac:dyDescent="0.25">
      <c r="A1731" t="s">
        <v>98</v>
      </c>
      <c r="B1731">
        <v>1020</v>
      </c>
    </row>
    <row r="1732" spans="1:2" x14ac:dyDescent="0.25">
      <c r="A1732" t="s">
        <v>98</v>
      </c>
      <c r="B1732">
        <v>1020</v>
      </c>
    </row>
    <row r="1733" spans="1:2" x14ac:dyDescent="0.25">
      <c r="A1733" t="s">
        <v>98</v>
      </c>
      <c r="B1733">
        <v>1020</v>
      </c>
    </row>
    <row r="1734" spans="1:2" x14ac:dyDescent="0.25">
      <c r="A1734" t="s">
        <v>98</v>
      </c>
      <c r="B1734">
        <v>1020</v>
      </c>
    </row>
    <row r="1735" spans="1:2" x14ac:dyDescent="0.25">
      <c r="A1735" t="s">
        <v>98</v>
      </c>
      <c r="B1735">
        <v>1020</v>
      </c>
    </row>
    <row r="1736" spans="1:2" x14ac:dyDescent="0.25">
      <c r="A1736" t="s">
        <v>98</v>
      </c>
      <c r="B1736">
        <v>1020</v>
      </c>
    </row>
    <row r="1737" spans="1:2" x14ac:dyDescent="0.25">
      <c r="A1737" t="s">
        <v>98</v>
      </c>
      <c r="B1737">
        <v>1020</v>
      </c>
    </row>
    <row r="1738" spans="1:2" x14ac:dyDescent="0.25">
      <c r="A1738" t="s">
        <v>98</v>
      </c>
      <c r="B1738">
        <v>1020</v>
      </c>
    </row>
    <row r="1739" spans="1:2" x14ac:dyDescent="0.25">
      <c r="A1739" t="s">
        <v>98</v>
      </c>
      <c r="B1739">
        <v>1020</v>
      </c>
    </row>
    <row r="1740" spans="1:2" x14ac:dyDescent="0.25">
      <c r="A1740" t="s">
        <v>98</v>
      </c>
      <c r="B1740">
        <v>1020</v>
      </c>
    </row>
    <row r="1741" spans="1:2" x14ac:dyDescent="0.25">
      <c r="A1741" t="s">
        <v>98</v>
      </c>
      <c r="B1741">
        <v>1020</v>
      </c>
    </row>
    <row r="1742" spans="1:2" x14ac:dyDescent="0.25">
      <c r="A1742" t="s">
        <v>98</v>
      </c>
      <c r="B1742">
        <v>1020</v>
      </c>
    </row>
    <row r="1743" spans="1:2" x14ac:dyDescent="0.25">
      <c r="A1743" t="s">
        <v>98</v>
      </c>
      <c r="B1743">
        <v>1020</v>
      </c>
    </row>
    <row r="1744" spans="1:2" x14ac:dyDescent="0.25">
      <c r="A1744" t="s">
        <v>98</v>
      </c>
      <c r="B1744">
        <v>1020</v>
      </c>
    </row>
    <row r="1745" spans="1:2" x14ac:dyDescent="0.25">
      <c r="A1745" t="s">
        <v>98</v>
      </c>
      <c r="B1745">
        <v>1020</v>
      </c>
    </row>
    <row r="1746" spans="1:2" x14ac:dyDescent="0.25">
      <c r="A1746" t="s">
        <v>98</v>
      </c>
      <c r="B1746">
        <v>1020</v>
      </c>
    </row>
    <row r="1747" spans="1:2" x14ac:dyDescent="0.25">
      <c r="A1747" t="s">
        <v>98</v>
      </c>
      <c r="B1747">
        <v>1020</v>
      </c>
    </row>
    <row r="1748" spans="1:2" x14ac:dyDescent="0.25">
      <c r="A1748" t="s">
        <v>98</v>
      </c>
      <c r="B1748">
        <v>1020</v>
      </c>
    </row>
    <row r="1749" spans="1:2" x14ac:dyDescent="0.25">
      <c r="A1749" t="s">
        <v>98</v>
      </c>
      <c r="B1749">
        <v>1020</v>
      </c>
    </row>
    <row r="1750" spans="1:2" x14ac:dyDescent="0.25">
      <c r="A1750" t="s">
        <v>98</v>
      </c>
      <c r="B1750">
        <v>1020</v>
      </c>
    </row>
    <row r="1751" spans="1:2" x14ac:dyDescent="0.25">
      <c r="A1751" t="s">
        <v>98</v>
      </c>
      <c r="B1751">
        <v>1020</v>
      </c>
    </row>
    <row r="1752" spans="1:2" x14ac:dyDescent="0.25">
      <c r="A1752" t="s">
        <v>98</v>
      </c>
      <c r="B1752">
        <v>1020</v>
      </c>
    </row>
    <row r="1753" spans="1:2" x14ac:dyDescent="0.25">
      <c r="A1753" t="s">
        <v>98</v>
      </c>
      <c r="B1753">
        <v>1020</v>
      </c>
    </row>
    <row r="1754" spans="1:2" x14ac:dyDescent="0.25">
      <c r="A1754" t="s">
        <v>98</v>
      </c>
      <c r="B1754">
        <v>1020</v>
      </c>
    </row>
    <row r="1755" spans="1:2" x14ac:dyDescent="0.25">
      <c r="A1755" t="s">
        <v>98</v>
      </c>
      <c r="B1755">
        <v>1020</v>
      </c>
    </row>
    <row r="1756" spans="1:2" x14ac:dyDescent="0.25">
      <c r="A1756" t="s">
        <v>98</v>
      </c>
      <c r="B1756">
        <v>1020</v>
      </c>
    </row>
    <row r="1757" spans="1:2" x14ac:dyDescent="0.25">
      <c r="A1757" t="s">
        <v>98</v>
      </c>
      <c r="B1757">
        <v>1020</v>
      </c>
    </row>
    <row r="1758" spans="1:2" x14ac:dyDescent="0.25">
      <c r="A1758" t="s">
        <v>98</v>
      </c>
      <c r="B1758">
        <v>1020</v>
      </c>
    </row>
    <row r="1759" spans="1:2" x14ac:dyDescent="0.25">
      <c r="A1759" t="s">
        <v>98</v>
      </c>
      <c r="B1759">
        <v>1020</v>
      </c>
    </row>
    <row r="1760" spans="1:2" x14ac:dyDescent="0.25">
      <c r="A1760" t="s">
        <v>98</v>
      </c>
      <c r="B1760">
        <v>1020</v>
      </c>
    </row>
    <row r="1761" spans="1:2" x14ac:dyDescent="0.25">
      <c r="A1761" t="s">
        <v>98</v>
      </c>
      <c r="B1761">
        <v>1020</v>
      </c>
    </row>
    <row r="1762" spans="1:2" x14ac:dyDescent="0.25">
      <c r="A1762" t="s">
        <v>98</v>
      </c>
      <c r="B1762">
        <v>1020</v>
      </c>
    </row>
    <row r="1763" spans="1:2" x14ac:dyDescent="0.25">
      <c r="A1763" t="s">
        <v>98</v>
      </c>
      <c r="B1763">
        <v>1020</v>
      </c>
    </row>
    <row r="1764" spans="1:2" x14ac:dyDescent="0.25">
      <c r="A1764" t="s">
        <v>98</v>
      </c>
      <c r="B1764">
        <v>1020</v>
      </c>
    </row>
    <row r="1765" spans="1:2" x14ac:dyDescent="0.25">
      <c r="A1765" t="s">
        <v>98</v>
      </c>
      <c r="B1765">
        <v>1020</v>
      </c>
    </row>
    <row r="1766" spans="1:2" x14ac:dyDescent="0.25">
      <c r="A1766" t="s">
        <v>98</v>
      </c>
      <c r="B1766">
        <v>1020</v>
      </c>
    </row>
    <row r="1767" spans="1:2" x14ac:dyDescent="0.25">
      <c r="A1767" t="s">
        <v>98</v>
      </c>
      <c r="B1767">
        <v>1020</v>
      </c>
    </row>
    <row r="1768" spans="1:2" x14ac:dyDescent="0.25">
      <c r="A1768" t="s">
        <v>98</v>
      </c>
      <c r="B1768">
        <v>1020</v>
      </c>
    </row>
    <row r="1769" spans="1:2" x14ac:dyDescent="0.25">
      <c r="A1769" t="s">
        <v>98</v>
      </c>
      <c r="B1769">
        <v>1020</v>
      </c>
    </row>
    <row r="1770" spans="1:2" x14ac:dyDescent="0.25">
      <c r="A1770" t="s">
        <v>98</v>
      </c>
      <c r="B1770">
        <v>1020</v>
      </c>
    </row>
    <row r="1771" spans="1:2" x14ac:dyDescent="0.25">
      <c r="A1771" t="s">
        <v>98</v>
      </c>
      <c r="B1771">
        <v>1020</v>
      </c>
    </row>
    <row r="1772" spans="1:2" x14ac:dyDescent="0.25">
      <c r="A1772" t="s">
        <v>98</v>
      </c>
      <c r="B1772">
        <v>1020</v>
      </c>
    </row>
    <row r="1773" spans="1:2" x14ac:dyDescent="0.25">
      <c r="A1773" t="s">
        <v>98</v>
      </c>
      <c r="B1773">
        <v>1020</v>
      </c>
    </row>
    <row r="1774" spans="1:2" x14ac:dyDescent="0.25">
      <c r="A1774" t="s">
        <v>98</v>
      </c>
      <c r="B1774">
        <v>1020</v>
      </c>
    </row>
    <row r="1775" spans="1:2" x14ac:dyDescent="0.25">
      <c r="A1775" t="s">
        <v>98</v>
      </c>
      <c r="B1775">
        <v>1020</v>
      </c>
    </row>
    <row r="1776" spans="1:2" x14ac:dyDescent="0.25">
      <c r="A1776" t="s">
        <v>98</v>
      </c>
      <c r="B1776">
        <v>1020</v>
      </c>
    </row>
    <row r="1777" spans="1:2" x14ac:dyDescent="0.25">
      <c r="A1777" t="s">
        <v>98</v>
      </c>
      <c r="B1777">
        <v>1020</v>
      </c>
    </row>
    <row r="1778" spans="1:2" x14ac:dyDescent="0.25">
      <c r="A1778" t="s">
        <v>98</v>
      </c>
      <c r="B1778">
        <v>1020</v>
      </c>
    </row>
    <row r="1779" spans="1:2" x14ac:dyDescent="0.25">
      <c r="A1779" t="s">
        <v>98</v>
      </c>
      <c r="B1779">
        <v>1020</v>
      </c>
    </row>
    <row r="1780" spans="1:2" x14ac:dyDescent="0.25">
      <c r="A1780" t="s">
        <v>98</v>
      </c>
      <c r="B1780">
        <v>1020</v>
      </c>
    </row>
    <row r="1781" spans="1:2" x14ac:dyDescent="0.25">
      <c r="A1781" t="s">
        <v>98</v>
      </c>
      <c r="B1781">
        <v>1020</v>
      </c>
    </row>
    <row r="1782" spans="1:2" x14ac:dyDescent="0.25">
      <c r="A1782" t="s">
        <v>98</v>
      </c>
      <c r="B1782">
        <v>1020</v>
      </c>
    </row>
    <row r="1783" spans="1:2" x14ac:dyDescent="0.25">
      <c r="A1783" t="s">
        <v>98</v>
      </c>
      <c r="B1783">
        <v>1020</v>
      </c>
    </row>
    <row r="1784" spans="1:2" x14ac:dyDescent="0.25">
      <c r="A1784" t="s">
        <v>98</v>
      </c>
      <c r="B1784">
        <v>1020</v>
      </c>
    </row>
    <row r="1785" spans="1:2" x14ac:dyDescent="0.25">
      <c r="A1785" t="s">
        <v>98</v>
      </c>
      <c r="B1785">
        <v>1020</v>
      </c>
    </row>
    <row r="1786" spans="1:2" x14ac:dyDescent="0.25">
      <c r="A1786" t="s">
        <v>98</v>
      </c>
      <c r="B1786">
        <v>1020</v>
      </c>
    </row>
    <row r="1787" spans="1:2" x14ac:dyDescent="0.25">
      <c r="A1787" t="s">
        <v>98</v>
      </c>
      <c r="B1787">
        <v>1020</v>
      </c>
    </row>
    <row r="1788" spans="1:2" x14ac:dyDescent="0.25">
      <c r="A1788" t="s">
        <v>98</v>
      </c>
      <c r="B1788">
        <v>1020</v>
      </c>
    </row>
    <row r="1789" spans="1:2" x14ac:dyDescent="0.25">
      <c r="A1789" t="s">
        <v>98</v>
      </c>
      <c r="B1789">
        <v>1020</v>
      </c>
    </row>
    <row r="1790" spans="1:2" x14ac:dyDescent="0.25">
      <c r="A1790" t="s">
        <v>98</v>
      </c>
      <c r="B1790">
        <v>1020</v>
      </c>
    </row>
    <row r="1791" spans="1:2" x14ac:dyDescent="0.25">
      <c r="A1791" t="s">
        <v>98</v>
      </c>
      <c r="B1791">
        <v>1020</v>
      </c>
    </row>
    <row r="1792" spans="1:2" x14ac:dyDescent="0.25">
      <c r="A1792" t="s">
        <v>98</v>
      </c>
      <c r="B1792">
        <v>1020</v>
      </c>
    </row>
    <row r="1793" spans="1:2" x14ac:dyDescent="0.25">
      <c r="A1793" t="s">
        <v>98</v>
      </c>
      <c r="B1793">
        <v>1020</v>
      </c>
    </row>
    <row r="1794" spans="1:2" x14ac:dyDescent="0.25">
      <c r="A1794" t="s">
        <v>98</v>
      </c>
      <c r="B1794">
        <v>1020</v>
      </c>
    </row>
    <row r="1795" spans="1:2" x14ac:dyDescent="0.25">
      <c r="A1795" t="s">
        <v>98</v>
      </c>
      <c r="B1795">
        <v>1020</v>
      </c>
    </row>
    <row r="1796" spans="1:2" x14ac:dyDescent="0.25">
      <c r="A1796" t="s">
        <v>98</v>
      </c>
      <c r="B1796">
        <v>1020</v>
      </c>
    </row>
    <row r="1797" spans="1:2" x14ac:dyDescent="0.25">
      <c r="A1797" t="s">
        <v>98</v>
      </c>
      <c r="B1797">
        <v>1020</v>
      </c>
    </row>
    <row r="1798" spans="1:2" x14ac:dyDescent="0.25">
      <c r="A1798" t="s">
        <v>98</v>
      </c>
      <c r="B1798">
        <v>1020</v>
      </c>
    </row>
    <row r="1799" spans="1:2" x14ac:dyDescent="0.25">
      <c r="A1799" t="s">
        <v>98</v>
      </c>
      <c r="B1799">
        <v>1020</v>
      </c>
    </row>
    <row r="1800" spans="1:2" x14ac:dyDescent="0.25">
      <c r="A1800" t="s">
        <v>98</v>
      </c>
      <c r="B1800">
        <v>1020</v>
      </c>
    </row>
    <row r="1801" spans="1:2" x14ac:dyDescent="0.25">
      <c r="A1801" t="s">
        <v>98</v>
      </c>
      <c r="B1801">
        <v>1020</v>
      </c>
    </row>
    <row r="1802" spans="1:2" x14ac:dyDescent="0.25">
      <c r="A1802" t="s">
        <v>98</v>
      </c>
      <c r="B1802">
        <v>1020</v>
      </c>
    </row>
    <row r="1803" spans="1:2" x14ac:dyDescent="0.25">
      <c r="A1803" t="s">
        <v>98</v>
      </c>
      <c r="B1803">
        <v>1020</v>
      </c>
    </row>
    <row r="1804" spans="1:2" x14ac:dyDescent="0.25">
      <c r="A1804" t="s">
        <v>98</v>
      </c>
      <c r="B1804">
        <v>1020</v>
      </c>
    </row>
    <row r="1805" spans="1:2" x14ac:dyDescent="0.25">
      <c r="A1805" t="s">
        <v>98</v>
      </c>
      <c r="B1805">
        <v>1020</v>
      </c>
    </row>
    <row r="1806" spans="1:2" x14ac:dyDescent="0.25">
      <c r="A1806" t="s">
        <v>98</v>
      </c>
      <c r="B1806">
        <v>1020</v>
      </c>
    </row>
    <row r="1807" spans="1:2" x14ac:dyDescent="0.25">
      <c r="A1807" t="s">
        <v>98</v>
      </c>
      <c r="B1807">
        <v>1020</v>
      </c>
    </row>
    <row r="1808" spans="1:2" x14ac:dyDescent="0.25">
      <c r="A1808" t="s">
        <v>98</v>
      </c>
      <c r="B1808">
        <v>1020</v>
      </c>
    </row>
    <row r="1809" spans="1:2" x14ac:dyDescent="0.25">
      <c r="A1809" t="s">
        <v>98</v>
      </c>
      <c r="B1809">
        <v>1020</v>
      </c>
    </row>
    <row r="1810" spans="1:2" x14ac:dyDescent="0.25">
      <c r="A1810" t="s">
        <v>98</v>
      </c>
      <c r="B1810">
        <v>1020</v>
      </c>
    </row>
    <row r="1811" spans="1:2" x14ac:dyDescent="0.25">
      <c r="A1811" t="s">
        <v>98</v>
      </c>
      <c r="B1811">
        <v>1020</v>
      </c>
    </row>
    <row r="1812" spans="1:2" x14ac:dyDescent="0.25">
      <c r="A1812" t="s">
        <v>98</v>
      </c>
      <c r="B1812">
        <v>1020</v>
      </c>
    </row>
    <row r="1813" spans="1:2" x14ac:dyDescent="0.25">
      <c r="A1813" t="s">
        <v>98</v>
      </c>
      <c r="B1813">
        <v>1020</v>
      </c>
    </row>
    <row r="1814" spans="1:2" x14ac:dyDescent="0.25">
      <c r="A1814" t="s">
        <v>98</v>
      </c>
      <c r="B1814">
        <v>1020</v>
      </c>
    </row>
    <row r="1815" spans="1:2" x14ac:dyDescent="0.25">
      <c r="A1815" t="s">
        <v>98</v>
      </c>
      <c r="B1815">
        <v>1020</v>
      </c>
    </row>
    <row r="1816" spans="1:2" x14ac:dyDescent="0.25">
      <c r="A1816" t="s">
        <v>98</v>
      </c>
      <c r="B1816">
        <v>1020</v>
      </c>
    </row>
    <row r="1817" spans="1:2" x14ac:dyDescent="0.25">
      <c r="A1817" t="s">
        <v>98</v>
      </c>
      <c r="B1817">
        <v>1020</v>
      </c>
    </row>
    <row r="1818" spans="1:2" x14ac:dyDescent="0.25">
      <c r="A1818" t="s">
        <v>98</v>
      </c>
      <c r="B1818">
        <v>1020</v>
      </c>
    </row>
    <row r="1819" spans="1:2" x14ac:dyDescent="0.25">
      <c r="A1819" t="s">
        <v>98</v>
      </c>
      <c r="B1819">
        <v>1020</v>
      </c>
    </row>
    <row r="1820" spans="1:2" x14ac:dyDescent="0.25">
      <c r="A1820" t="s">
        <v>98</v>
      </c>
      <c r="B1820">
        <v>1020</v>
      </c>
    </row>
    <row r="1821" spans="1:2" x14ac:dyDescent="0.25">
      <c r="A1821" t="s">
        <v>98</v>
      </c>
      <c r="B1821">
        <v>1020</v>
      </c>
    </row>
    <row r="1822" spans="1:2" x14ac:dyDescent="0.25">
      <c r="A1822" t="s">
        <v>98</v>
      </c>
      <c r="B1822">
        <v>1020</v>
      </c>
    </row>
    <row r="1823" spans="1:2" x14ac:dyDescent="0.25">
      <c r="A1823" t="s">
        <v>98</v>
      </c>
      <c r="B1823">
        <v>1020</v>
      </c>
    </row>
    <row r="1824" spans="1:2" x14ac:dyDescent="0.25">
      <c r="A1824" t="s">
        <v>98</v>
      </c>
      <c r="B1824">
        <v>1020</v>
      </c>
    </row>
    <row r="1825" spans="1:2" x14ac:dyDescent="0.25">
      <c r="A1825" t="s">
        <v>98</v>
      </c>
      <c r="B1825">
        <v>1020</v>
      </c>
    </row>
    <row r="1826" spans="1:2" x14ac:dyDescent="0.25">
      <c r="A1826" t="s">
        <v>98</v>
      </c>
      <c r="B1826">
        <v>1020</v>
      </c>
    </row>
    <row r="1827" spans="1:2" x14ac:dyDescent="0.25">
      <c r="A1827" t="s">
        <v>98</v>
      </c>
      <c r="B1827">
        <v>1020</v>
      </c>
    </row>
    <row r="1828" spans="1:2" x14ac:dyDescent="0.25">
      <c r="A1828" t="s">
        <v>98</v>
      </c>
      <c r="B1828">
        <v>1020</v>
      </c>
    </row>
    <row r="1829" spans="1:2" x14ac:dyDescent="0.25">
      <c r="A1829" t="s">
        <v>98</v>
      </c>
      <c r="B1829">
        <v>1020</v>
      </c>
    </row>
    <row r="1830" spans="1:2" x14ac:dyDescent="0.25">
      <c r="A1830" t="s">
        <v>98</v>
      </c>
      <c r="B1830">
        <v>1020</v>
      </c>
    </row>
    <row r="1831" spans="1:2" x14ac:dyDescent="0.25">
      <c r="A1831" t="s">
        <v>98</v>
      </c>
      <c r="B1831">
        <v>1020</v>
      </c>
    </row>
    <row r="1832" spans="1:2" x14ac:dyDescent="0.25">
      <c r="A1832" t="s">
        <v>98</v>
      </c>
      <c r="B1832">
        <v>1020</v>
      </c>
    </row>
    <row r="1833" spans="1:2" x14ac:dyDescent="0.25">
      <c r="A1833" t="s">
        <v>98</v>
      </c>
      <c r="B1833">
        <v>1020</v>
      </c>
    </row>
    <row r="1834" spans="1:2" x14ac:dyDescent="0.25">
      <c r="A1834" t="s">
        <v>98</v>
      </c>
      <c r="B1834">
        <v>1020</v>
      </c>
    </row>
    <row r="1835" spans="1:2" x14ac:dyDescent="0.25">
      <c r="A1835" t="s">
        <v>98</v>
      </c>
      <c r="B1835">
        <v>1020</v>
      </c>
    </row>
    <row r="1836" spans="1:2" x14ac:dyDescent="0.25">
      <c r="A1836" t="s">
        <v>98</v>
      </c>
      <c r="B1836">
        <v>1020</v>
      </c>
    </row>
    <row r="1837" spans="1:2" x14ac:dyDescent="0.25">
      <c r="A1837" t="s">
        <v>98</v>
      </c>
      <c r="B1837">
        <v>1020</v>
      </c>
    </row>
    <row r="1838" spans="1:2" x14ac:dyDescent="0.25">
      <c r="A1838" t="s">
        <v>98</v>
      </c>
      <c r="B1838">
        <v>1020</v>
      </c>
    </row>
    <row r="1839" spans="1:2" x14ac:dyDescent="0.25">
      <c r="A1839" t="s">
        <v>98</v>
      </c>
      <c r="B1839">
        <v>1020</v>
      </c>
    </row>
    <row r="1840" spans="1:2" x14ac:dyDescent="0.25">
      <c r="A1840" t="s">
        <v>98</v>
      </c>
      <c r="B1840">
        <v>1020</v>
      </c>
    </row>
    <row r="1841" spans="1:2" x14ac:dyDescent="0.25">
      <c r="A1841" t="s">
        <v>98</v>
      </c>
      <c r="B1841">
        <v>1020</v>
      </c>
    </row>
    <row r="1842" spans="1:2" x14ac:dyDescent="0.25">
      <c r="A1842" t="s">
        <v>98</v>
      </c>
      <c r="B1842">
        <v>1020</v>
      </c>
    </row>
    <row r="1843" spans="1:2" x14ac:dyDescent="0.25">
      <c r="A1843" t="s">
        <v>98</v>
      </c>
      <c r="B1843">
        <v>1020</v>
      </c>
    </row>
    <row r="1844" spans="1:2" x14ac:dyDescent="0.25">
      <c r="A1844" t="s">
        <v>98</v>
      </c>
      <c r="B1844">
        <v>1020</v>
      </c>
    </row>
    <row r="1845" spans="1:2" x14ac:dyDescent="0.25">
      <c r="A1845" t="s">
        <v>98</v>
      </c>
      <c r="B1845">
        <v>1020</v>
      </c>
    </row>
    <row r="1846" spans="1:2" x14ac:dyDescent="0.25">
      <c r="A1846" t="s">
        <v>98</v>
      </c>
      <c r="B1846">
        <v>1020</v>
      </c>
    </row>
    <row r="1847" spans="1:2" x14ac:dyDescent="0.25">
      <c r="A1847" t="s">
        <v>98</v>
      </c>
      <c r="B1847">
        <v>1020</v>
      </c>
    </row>
    <row r="1848" spans="1:2" x14ac:dyDescent="0.25">
      <c r="A1848" t="s">
        <v>98</v>
      </c>
      <c r="B1848">
        <v>1020</v>
      </c>
    </row>
    <row r="1849" spans="1:2" x14ac:dyDescent="0.25">
      <c r="A1849" t="s">
        <v>98</v>
      </c>
      <c r="B1849">
        <v>1020</v>
      </c>
    </row>
    <row r="1850" spans="1:2" x14ac:dyDescent="0.25">
      <c r="A1850" t="s">
        <v>98</v>
      </c>
      <c r="B1850">
        <v>1020</v>
      </c>
    </row>
    <row r="1851" spans="1:2" x14ac:dyDescent="0.25">
      <c r="A1851" t="s">
        <v>98</v>
      </c>
      <c r="B1851">
        <v>1020</v>
      </c>
    </row>
    <row r="1852" spans="1:2" x14ac:dyDescent="0.25">
      <c r="A1852" t="s">
        <v>98</v>
      </c>
      <c r="B1852">
        <v>1020</v>
      </c>
    </row>
    <row r="1853" spans="1:2" x14ac:dyDescent="0.25">
      <c r="A1853" t="s">
        <v>98</v>
      </c>
      <c r="B1853">
        <v>1020</v>
      </c>
    </row>
    <row r="1854" spans="1:2" x14ac:dyDescent="0.25">
      <c r="A1854" t="s">
        <v>98</v>
      </c>
      <c r="B1854">
        <v>1020</v>
      </c>
    </row>
    <row r="1855" spans="1:2" x14ac:dyDescent="0.25">
      <c r="A1855" t="s">
        <v>98</v>
      </c>
      <c r="B1855">
        <v>1020</v>
      </c>
    </row>
    <row r="1856" spans="1:2" x14ac:dyDescent="0.25">
      <c r="A1856" t="s">
        <v>98</v>
      </c>
      <c r="B1856">
        <v>1020</v>
      </c>
    </row>
    <row r="1857" spans="1:2" x14ac:dyDescent="0.25">
      <c r="A1857" t="s">
        <v>98</v>
      </c>
      <c r="B1857">
        <v>1020</v>
      </c>
    </row>
    <row r="1858" spans="1:2" x14ac:dyDescent="0.25">
      <c r="A1858" t="s">
        <v>98</v>
      </c>
      <c r="B1858">
        <v>1020</v>
      </c>
    </row>
    <row r="1859" spans="1:2" x14ac:dyDescent="0.25">
      <c r="A1859" t="s">
        <v>98</v>
      </c>
      <c r="B1859">
        <v>1020</v>
      </c>
    </row>
    <row r="1860" spans="1:2" x14ac:dyDescent="0.25">
      <c r="A1860" t="s">
        <v>98</v>
      </c>
      <c r="B1860">
        <v>1020</v>
      </c>
    </row>
    <row r="1861" spans="1:2" x14ac:dyDescent="0.25">
      <c r="A1861" t="s">
        <v>98</v>
      </c>
      <c r="B1861">
        <v>1020</v>
      </c>
    </row>
    <row r="1862" spans="1:2" x14ac:dyDescent="0.25">
      <c r="A1862" t="s">
        <v>98</v>
      </c>
      <c r="B1862">
        <v>1020</v>
      </c>
    </row>
    <row r="1863" spans="1:2" x14ac:dyDescent="0.25">
      <c r="A1863" t="s">
        <v>98</v>
      </c>
      <c r="B1863">
        <v>1020</v>
      </c>
    </row>
    <row r="1864" spans="1:2" x14ac:dyDescent="0.25">
      <c r="A1864" t="s">
        <v>98</v>
      </c>
      <c r="B1864">
        <v>1020</v>
      </c>
    </row>
    <row r="1865" spans="1:2" x14ac:dyDescent="0.25">
      <c r="A1865" t="s">
        <v>98</v>
      </c>
      <c r="B1865">
        <v>1020</v>
      </c>
    </row>
    <row r="1866" spans="1:2" x14ac:dyDescent="0.25">
      <c r="A1866" t="s">
        <v>98</v>
      </c>
      <c r="B1866">
        <v>1020</v>
      </c>
    </row>
    <row r="1867" spans="1:2" x14ac:dyDescent="0.25">
      <c r="A1867" t="s">
        <v>98</v>
      </c>
      <c r="B1867">
        <v>1020</v>
      </c>
    </row>
    <row r="1868" spans="1:2" x14ac:dyDescent="0.25">
      <c r="A1868" t="s">
        <v>98</v>
      </c>
      <c r="B1868">
        <v>1020</v>
      </c>
    </row>
    <row r="1869" spans="1:2" x14ac:dyDescent="0.25">
      <c r="A1869" t="s">
        <v>98</v>
      </c>
      <c r="B1869">
        <v>1020</v>
      </c>
    </row>
    <row r="1870" spans="1:2" x14ac:dyDescent="0.25">
      <c r="A1870" t="s">
        <v>98</v>
      </c>
      <c r="B1870">
        <v>1020</v>
      </c>
    </row>
    <row r="1871" spans="1:2" x14ac:dyDescent="0.25">
      <c r="A1871" t="s">
        <v>98</v>
      </c>
      <c r="B1871">
        <v>1020</v>
      </c>
    </row>
    <row r="1872" spans="1:2" x14ac:dyDescent="0.25">
      <c r="A1872" t="s">
        <v>98</v>
      </c>
      <c r="B1872">
        <v>1020</v>
      </c>
    </row>
    <row r="1873" spans="1:2" x14ac:dyDescent="0.25">
      <c r="A1873" t="s">
        <v>98</v>
      </c>
      <c r="B1873">
        <v>1020</v>
      </c>
    </row>
    <row r="1874" spans="1:2" x14ac:dyDescent="0.25">
      <c r="A1874" t="s">
        <v>98</v>
      </c>
      <c r="B1874">
        <v>1020</v>
      </c>
    </row>
    <row r="1875" spans="1:2" x14ac:dyDescent="0.25">
      <c r="A1875" t="s">
        <v>98</v>
      </c>
      <c r="B1875">
        <v>1020</v>
      </c>
    </row>
    <row r="1876" spans="1:2" x14ac:dyDescent="0.25">
      <c r="A1876" t="s">
        <v>98</v>
      </c>
      <c r="B1876">
        <v>1020</v>
      </c>
    </row>
    <row r="1877" spans="1:2" x14ac:dyDescent="0.25">
      <c r="A1877" t="s">
        <v>98</v>
      </c>
      <c r="B1877">
        <v>1020</v>
      </c>
    </row>
    <row r="1878" spans="1:2" x14ac:dyDescent="0.25">
      <c r="A1878" t="s">
        <v>98</v>
      </c>
      <c r="B1878">
        <v>1020</v>
      </c>
    </row>
    <row r="1879" spans="1:2" x14ac:dyDescent="0.25">
      <c r="A1879" t="s">
        <v>98</v>
      </c>
      <c r="B1879">
        <v>1020</v>
      </c>
    </row>
    <row r="1880" spans="1:2" x14ac:dyDescent="0.25">
      <c r="A1880" t="s">
        <v>98</v>
      </c>
      <c r="B1880">
        <v>1020</v>
      </c>
    </row>
    <row r="1881" spans="1:2" x14ac:dyDescent="0.25">
      <c r="A1881" t="s">
        <v>98</v>
      </c>
      <c r="B1881">
        <v>1020</v>
      </c>
    </row>
    <row r="1882" spans="1:2" x14ac:dyDescent="0.25">
      <c r="A1882" t="s">
        <v>98</v>
      </c>
      <c r="B1882">
        <v>1020</v>
      </c>
    </row>
    <row r="1883" spans="1:2" x14ac:dyDescent="0.25">
      <c r="A1883" t="s">
        <v>98</v>
      </c>
      <c r="B1883">
        <v>1020</v>
      </c>
    </row>
    <row r="1884" spans="1:2" x14ac:dyDescent="0.25">
      <c r="A1884" t="s">
        <v>98</v>
      </c>
      <c r="B1884">
        <v>1020</v>
      </c>
    </row>
    <row r="1885" spans="1:2" x14ac:dyDescent="0.25">
      <c r="A1885" t="s">
        <v>98</v>
      </c>
      <c r="B1885">
        <v>1020</v>
      </c>
    </row>
    <row r="1886" spans="1:2" x14ac:dyDescent="0.25">
      <c r="A1886" t="s">
        <v>98</v>
      </c>
      <c r="B1886">
        <v>1020</v>
      </c>
    </row>
    <row r="1887" spans="1:2" x14ac:dyDescent="0.25">
      <c r="A1887" t="s">
        <v>98</v>
      </c>
      <c r="B1887">
        <v>1020</v>
      </c>
    </row>
    <row r="1888" spans="1:2" x14ac:dyDescent="0.25">
      <c r="A1888" t="s">
        <v>98</v>
      </c>
      <c r="B1888">
        <v>1020</v>
      </c>
    </row>
    <row r="1889" spans="1:2" x14ac:dyDescent="0.25">
      <c r="A1889" t="s">
        <v>98</v>
      </c>
      <c r="B1889">
        <v>1020</v>
      </c>
    </row>
    <row r="1890" spans="1:2" x14ac:dyDescent="0.25">
      <c r="A1890" t="s">
        <v>98</v>
      </c>
      <c r="B1890">
        <v>1020</v>
      </c>
    </row>
    <row r="1891" spans="1:2" x14ac:dyDescent="0.25">
      <c r="A1891" t="s">
        <v>98</v>
      </c>
      <c r="B1891">
        <v>1020</v>
      </c>
    </row>
    <row r="1892" spans="1:2" x14ac:dyDescent="0.25">
      <c r="A1892" t="s">
        <v>98</v>
      </c>
      <c r="B1892">
        <v>1020</v>
      </c>
    </row>
    <row r="1893" spans="1:2" x14ac:dyDescent="0.25">
      <c r="A1893" t="s">
        <v>98</v>
      </c>
      <c r="B1893">
        <v>1020</v>
      </c>
    </row>
    <row r="1894" spans="1:2" x14ac:dyDescent="0.25">
      <c r="A1894" t="s">
        <v>98</v>
      </c>
      <c r="B1894">
        <v>1020</v>
      </c>
    </row>
    <row r="1895" spans="1:2" x14ac:dyDescent="0.25">
      <c r="A1895" t="s">
        <v>98</v>
      </c>
      <c r="B1895">
        <v>1020</v>
      </c>
    </row>
    <row r="1896" spans="1:2" x14ac:dyDescent="0.25">
      <c r="A1896" t="s">
        <v>98</v>
      </c>
      <c r="B1896">
        <v>1020</v>
      </c>
    </row>
    <row r="1897" spans="1:2" x14ac:dyDescent="0.25">
      <c r="A1897" t="s">
        <v>98</v>
      </c>
      <c r="B1897">
        <v>1020</v>
      </c>
    </row>
    <row r="1898" spans="1:2" x14ac:dyDescent="0.25">
      <c r="A1898" t="s">
        <v>98</v>
      </c>
      <c r="B1898">
        <v>1020</v>
      </c>
    </row>
    <row r="1899" spans="1:2" x14ac:dyDescent="0.25">
      <c r="A1899" t="s">
        <v>98</v>
      </c>
      <c r="B1899">
        <v>1020</v>
      </c>
    </row>
    <row r="1900" spans="1:2" x14ac:dyDescent="0.25">
      <c r="A1900" t="s">
        <v>98</v>
      </c>
      <c r="B1900">
        <v>1020</v>
      </c>
    </row>
    <row r="1901" spans="1:2" x14ac:dyDescent="0.25">
      <c r="A1901" t="s">
        <v>98</v>
      </c>
      <c r="B1901">
        <v>1020</v>
      </c>
    </row>
    <row r="1902" spans="1:2" x14ac:dyDescent="0.25">
      <c r="A1902" t="s">
        <v>98</v>
      </c>
      <c r="B1902">
        <v>1020</v>
      </c>
    </row>
    <row r="1903" spans="1:2" x14ac:dyDescent="0.25">
      <c r="A1903" t="s">
        <v>98</v>
      </c>
      <c r="B1903">
        <v>1020</v>
      </c>
    </row>
    <row r="1904" spans="1:2" x14ac:dyDescent="0.25">
      <c r="A1904" t="s">
        <v>98</v>
      </c>
      <c r="B1904">
        <v>1020</v>
      </c>
    </row>
    <row r="1905" spans="1:2" x14ac:dyDescent="0.25">
      <c r="A1905" t="s">
        <v>98</v>
      </c>
      <c r="B1905">
        <v>1020</v>
      </c>
    </row>
    <row r="1906" spans="1:2" x14ac:dyDescent="0.25">
      <c r="A1906" t="s">
        <v>98</v>
      </c>
      <c r="B1906">
        <v>1020</v>
      </c>
    </row>
    <row r="1907" spans="1:2" x14ac:dyDescent="0.25">
      <c r="A1907" t="s">
        <v>98</v>
      </c>
      <c r="B1907">
        <v>1020</v>
      </c>
    </row>
    <row r="1908" spans="1:2" x14ac:dyDescent="0.25">
      <c r="A1908" t="s">
        <v>98</v>
      </c>
      <c r="B1908">
        <v>1020</v>
      </c>
    </row>
    <row r="1909" spans="1:2" x14ac:dyDescent="0.25">
      <c r="A1909" t="s">
        <v>98</v>
      </c>
      <c r="B1909">
        <v>1020</v>
      </c>
    </row>
    <row r="1910" spans="1:2" x14ac:dyDescent="0.25">
      <c r="A1910" t="s">
        <v>98</v>
      </c>
      <c r="B1910">
        <v>1020</v>
      </c>
    </row>
    <row r="1911" spans="1:2" x14ac:dyDescent="0.25">
      <c r="A1911" t="s">
        <v>98</v>
      </c>
      <c r="B1911">
        <v>1020</v>
      </c>
    </row>
    <row r="1912" spans="1:2" x14ac:dyDescent="0.25">
      <c r="A1912" t="s">
        <v>98</v>
      </c>
      <c r="B1912">
        <v>1020</v>
      </c>
    </row>
    <row r="1913" spans="1:2" x14ac:dyDescent="0.25">
      <c r="A1913" t="s">
        <v>98</v>
      </c>
      <c r="B1913">
        <v>1020</v>
      </c>
    </row>
    <row r="1914" spans="1:2" x14ac:dyDescent="0.25">
      <c r="A1914" t="s">
        <v>98</v>
      </c>
      <c r="B1914">
        <v>1020</v>
      </c>
    </row>
    <row r="1915" spans="1:2" x14ac:dyDescent="0.25">
      <c r="A1915" t="s">
        <v>98</v>
      </c>
      <c r="B1915">
        <v>1020</v>
      </c>
    </row>
    <row r="1916" spans="1:2" x14ac:dyDescent="0.25">
      <c r="A1916" t="s">
        <v>98</v>
      </c>
      <c r="B1916">
        <v>1020</v>
      </c>
    </row>
    <row r="1917" spans="1:2" x14ac:dyDescent="0.25">
      <c r="A1917" t="s">
        <v>98</v>
      </c>
      <c r="B1917">
        <v>1020</v>
      </c>
    </row>
    <row r="1918" spans="1:2" x14ac:dyDescent="0.25">
      <c r="A1918" t="s">
        <v>98</v>
      </c>
      <c r="B1918">
        <v>1020</v>
      </c>
    </row>
    <row r="1919" spans="1:2" x14ac:dyDescent="0.25">
      <c r="A1919" t="s">
        <v>98</v>
      </c>
      <c r="B1919">
        <v>1020</v>
      </c>
    </row>
    <row r="1920" spans="1:2" x14ac:dyDescent="0.25">
      <c r="A1920" t="s">
        <v>98</v>
      </c>
      <c r="B1920">
        <v>1020</v>
      </c>
    </row>
    <row r="1921" spans="1:2" x14ac:dyDescent="0.25">
      <c r="A1921" t="s">
        <v>98</v>
      </c>
      <c r="B1921">
        <v>1020</v>
      </c>
    </row>
    <row r="1922" spans="1:2" x14ac:dyDescent="0.25">
      <c r="A1922" t="s">
        <v>98</v>
      </c>
      <c r="B1922">
        <v>1020</v>
      </c>
    </row>
    <row r="1923" spans="1:2" x14ac:dyDescent="0.25">
      <c r="A1923" t="s">
        <v>98</v>
      </c>
      <c r="B1923">
        <v>1020</v>
      </c>
    </row>
    <row r="1924" spans="1:2" x14ac:dyDescent="0.25">
      <c r="A1924" t="s">
        <v>98</v>
      </c>
      <c r="B1924">
        <v>1020</v>
      </c>
    </row>
    <row r="1925" spans="1:2" x14ac:dyDescent="0.25">
      <c r="A1925" t="s">
        <v>98</v>
      </c>
      <c r="B1925">
        <v>1020</v>
      </c>
    </row>
    <row r="1926" spans="1:2" x14ac:dyDescent="0.25">
      <c r="A1926" t="s">
        <v>98</v>
      </c>
      <c r="B1926">
        <v>1020</v>
      </c>
    </row>
    <row r="1927" spans="1:2" x14ac:dyDescent="0.25">
      <c r="A1927" t="s">
        <v>98</v>
      </c>
      <c r="B1927">
        <v>1020</v>
      </c>
    </row>
    <row r="1928" spans="1:2" x14ac:dyDescent="0.25">
      <c r="A1928" t="s">
        <v>98</v>
      </c>
      <c r="B1928">
        <v>1020</v>
      </c>
    </row>
    <row r="1929" spans="1:2" x14ac:dyDescent="0.25">
      <c r="A1929" t="s">
        <v>98</v>
      </c>
      <c r="B1929">
        <v>1020</v>
      </c>
    </row>
    <row r="1930" spans="1:2" x14ac:dyDescent="0.25">
      <c r="A1930" t="s">
        <v>98</v>
      </c>
      <c r="B1930">
        <v>1020</v>
      </c>
    </row>
    <row r="1931" spans="1:2" x14ac:dyDescent="0.25">
      <c r="A1931" t="s">
        <v>98</v>
      </c>
      <c r="B1931">
        <v>1020</v>
      </c>
    </row>
    <row r="1932" spans="1:2" x14ac:dyDescent="0.25">
      <c r="A1932" t="s">
        <v>98</v>
      </c>
      <c r="B1932">
        <v>1020</v>
      </c>
    </row>
    <row r="1933" spans="1:2" x14ac:dyDescent="0.25">
      <c r="A1933" t="s">
        <v>98</v>
      </c>
      <c r="B1933">
        <v>1020</v>
      </c>
    </row>
    <row r="1934" spans="1:2" x14ac:dyDescent="0.25">
      <c r="A1934" t="s">
        <v>98</v>
      </c>
      <c r="B1934">
        <v>1020</v>
      </c>
    </row>
    <row r="1935" spans="1:2" x14ac:dyDescent="0.25">
      <c r="A1935" t="s">
        <v>98</v>
      </c>
      <c r="B1935">
        <v>1020</v>
      </c>
    </row>
    <row r="1936" spans="1:2" x14ac:dyDescent="0.25">
      <c r="A1936" t="s">
        <v>98</v>
      </c>
      <c r="B1936">
        <v>1020</v>
      </c>
    </row>
    <row r="1937" spans="1:2" x14ac:dyDescent="0.25">
      <c r="A1937" t="s">
        <v>98</v>
      </c>
      <c r="B1937">
        <v>1020</v>
      </c>
    </row>
    <row r="1938" spans="1:2" x14ac:dyDescent="0.25">
      <c r="A1938" t="s">
        <v>98</v>
      </c>
      <c r="B1938">
        <v>1020</v>
      </c>
    </row>
    <row r="1939" spans="1:2" x14ac:dyDescent="0.25">
      <c r="A1939" t="s">
        <v>98</v>
      </c>
      <c r="B1939">
        <v>1020</v>
      </c>
    </row>
    <row r="1940" spans="1:2" x14ac:dyDescent="0.25">
      <c r="A1940" t="s">
        <v>98</v>
      </c>
      <c r="B1940">
        <v>1020</v>
      </c>
    </row>
    <row r="1941" spans="1:2" x14ac:dyDescent="0.25">
      <c r="A1941" t="s">
        <v>98</v>
      </c>
      <c r="B1941">
        <v>1020</v>
      </c>
    </row>
    <row r="1942" spans="1:2" x14ac:dyDescent="0.25">
      <c r="A1942" t="s">
        <v>98</v>
      </c>
      <c r="B1942">
        <v>1020</v>
      </c>
    </row>
    <row r="1943" spans="1:2" x14ac:dyDescent="0.25">
      <c r="A1943" t="s">
        <v>98</v>
      </c>
      <c r="B1943">
        <v>1020</v>
      </c>
    </row>
    <row r="1944" spans="1:2" x14ac:dyDescent="0.25">
      <c r="A1944" t="s">
        <v>98</v>
      </c>
      <c r="B1944">
        <v>1020</v>
      </c>
    </row>
    <row r="1945" spans="1:2" x14ac:dyDescent="0.25">
      <c r="A1945" t="s">
        <v>98</v>
      </c>
      <c r="B1945">
        <v>1020</v>
      </c>
    </row>
    <row r="1946" spans="1:2" x14ac:dyDescent="0.25">
      <c r="A1946" t="s">
        <v>98</v>
      </c>
      <c r="B1946">
        <v>1020</v>
      </c>
    </row>
    <row r="1947" spans="1:2" x14ac:dyDescent="0.25">
      <c r="A1947" t="s">
        <v>98</v>
      </c>
      <c r="B1947">
        <v>1020</v>
      </c>
    </row>
    <row r="1948" spans="1:2" x14ac:dyDescent="0.25">
      <c r="A1948" t="s">
        <v>98</v>
      </c>
      <c r="B1948">
        <v>1020</v>
      </c>
    </row>
    <row r="1949" spans="1:2" x14ac:dyDescent="0.25">
      <c r="A1949" t="s">
        <v>98</v>
      </c>
      <c r="B1949">
        <v>1020</v>
      </c>
    </row>
    <row r="1950" spans="1:2" x14ac:dyDescent="0.25">
      <c r="A1950" t="s">
        <v>98</v>
      </c>
      <c r="B1950">
        <v>1020</v>
      </c>
    </row>
    <row r="1951" spans="1:2" x14ac:dyDescent="0.25">
      <c r="A1951" t="s">
        <v>98</v>
      </c>
      <c r="B1951">
        <v>1020</v>
      </c>
    </row>
    <row r="1952" spans="1:2" x14ac:dyDescent="0.25">
      <c r="A1952" t="s">
        <v>98</v>
      </c>
      <c r="B1952">
        <v>1020</v>
      </c>
    </row>
    <row r="1953" spans="1:2" x14ac:dyDescent="0.25">
      <c r="A1953" t="s">
        <v>98</v>
      </c>
      <c r="B1953">
        <v>1020</v>
      </c>
    </row>
    <row r="1954" spans="1:2" x14ac:dyDescent="0.25">
      <c r="A1954" t="s">
        <v>98</v>
      </c>
      <c r="B1954">
        <v>1020</v>
      </c>
    </row>
    <row r="1955" spans="1:2" x14ac:dyDescent="0.25">
      <c r="A1955" t="s">
        <v>98</v>
      </c>
      <c r="B1955">
        <v>1020</v>
      </c>
    </row>
    <row r="1956" spans="1:2" x14ac:dyDescent="0.25">
      <c r="A1956" t="s">
        <v>98</v>
      </c>
      <c r="B1956">
        <v>1020</v>
      </c>
    </row>
    <row r="1957" spans="1:2" x14ac:dyDescent="0.25">
      <c r="A1957" t="s">
        <v>98</v>
      </c>
      <c r="B1957">
        <v>1020</v>
      </c>
    </row>
    <row r="1958" spans="1:2" x14ac:dyDescent="0.25">
      <c r="A1958" t="s">
        <v>98</v>
      </c>
      <c r="B1958">
        <v>1020</v>
      </c>
    </row>
    <row r="1959" spans="1:2" x14ac:dyDescent="0.25">
      <c r="A1959" t="s">
        <v>98</v>
      </c>
      <c r="B1959">
        <v>1020</v>
      </c>
    </row>
    <row r="1960" spans="1:2" x14ac:dyDescent="0.25">
      <c r="A1960" t="s">
        <v>98</v>
      </c>
      <c r="B1960">
        <v>1020</v>
      </c>
    </row>
    <row r="1961" spans="1:2" x14ac:dyDescent="0.25">
      <c r="A1961" t="s">
        <v>98</v>
      </c>
      <c r="B1961">
        <v>1020</v>
      </c>
    </row>
    <row r="1962" spans="1:2" x14ac:dyDescent="0.25">
      <c r="A1962" t="s">
        <v>98</v>
      </c>
      <c r="B1962">
        <v>1020</v>
      </c>
    </row>
    <row r="1963" spans="1:2" x14ac:dyDescent="0.25">
      <c r="A1963" t="s">
        <v>98</v>
      </c>
      <c r="B1963">
        <v>1020</v>
      </c>
    </row>
    <row r="1964" spans="1:2" x14ac:dyDescent="0.25">
      <c r="A1964" t="s">
        <v>98</v>
      </c>
      <c r="B1964">
        <v>1020</v>
      </c>
    </row>
    <row r="1965" spans="1:2" x14ac:dyDescent="0.25">
      <c r="A1965" t="s">
        <v>98</v>
      </c>
      <c r="B1965">
        <v>1020</v>
      </c>
    </row>
    <row r="1966" spans="1:2" x14ac:dyDescent="0.25">
      <c r="A1966" t="s">
        <v>98</v>
      </c>
      <c r="B1966">
        <v>1020</v>
      </c>
    </row>
    <row r="1967" spans="1:2" x14ac:dyDescent="0.25">
      <c r="A1967" t="s">
        <v>98</v>
      </c>
      <c r="B1967">
        <v>1020</v>
      </c>
    </row>
    <row r="1968" spans="1:2" x14ac:dyDescent="0.25">
      <c r="A1968" t="s">
        <v>98</v>
      </c>
      <c r="B1968">
        <v>1020</v>
      </c>
    </row>
    <row r="1969" spans="1:2" x14ac:dyDescent="0.25">
      <c r="A1969" t="s">
        <v>98</v>
      </c>
      <c r="B1969">
        <v>1020</v>
      </c>
    </row>
    <row r="1970" spans="1:2" x14ac:dyDescent="0.25">
      <c r="A1970" t="s">
        <v>98</v>
      </c>
      <c r="B1970">
        <v>1020</v>
      </c>
    </row>
    <row r="1971" spans="1:2" x14ac:dyDescent="0.25">
      <c r="A1971" t="s">
        <v>98</v>
      </c>
      <c r="B1971">
        <v>1020</v>
      </c>
    </row>
    <row r="1972" spans="1:2" x14ac:dyDescent="0.25">
      <c r="A1972" t="s">
        <v>98</v>
      </c>
      <c r="B1972">
        <v>1020</v>
      </c>
    </row>
    <row r="1973" spans="1:2" x14ac:dyDescent="0.25">
      <c r="A1973" t="s">
        <v>98</v>
      </c>
      <c r="B1973">
        <v>1020</v>
      </c>
    </row>
    <row r="1974" spans="1:2" x14ac:dyDescent="0.25">
      <c r="A1974" t="s">
        <v>98</v>
      </c>
      <c r="B1974">
        <v>1020</v>
      </c>
    </row>
    <row r="1975" spans="1:2" x14ac:dyDescent="0.25">
      <c r="A1975" t="s">
        <v>98</v>
      </c>
      <c r="B1975">
        <v>1020</v>
      </c>
    </row>
    <row r="1976" spans="1:2" x14ac:dyDescent="0.25">
      <c r="A1976" t="s">
        <v>98</v>
      </c>
      <c r="B1976">
        <v>1020</v>
      </c>
    </row>
    <row r="1977" spans="1:2" x14ac:dyDescent="0.25">
      <c r="A1977" t="s">
        <v>98</v>
      </c>
      <c r="B1977">
        <v>1020</v>
      </c>
    </row>
    <row r="1978" spans="1:2" x14ac:dyDescent="0.25">
      <c r="A1978" t="s">
        <v>98</v>
      </c>
      <c r="B1978">
        <v>1020</v>
      </c>
    </row>
    <row r="1979" spans="1:2" x14ac:dyDescent="0.25">
      <c r="A1979" t="s">
        <v>98</v>
      </c>
      <c r="B1979">
        <v>1020</v>
      </c>
    </row>
    <row r="1980" spans="1:2" x14ac:dyDescent="0.25">
      <c r="A1980" t="s">
        <v>98</v>
      </c>
      <c r="B1980">
        <v>1020</v>
      </c>
    </row>
    <row r="1981" spans="1:2" x14ac:dyDescent="0.25">
      <c r="A1981" t="s">
        <v>98</v>
      </c>
      <c r="B1981">
        <v>1020</v>
      </c>
    </row>
    <row r="1982" spans="1:2" x14ac:dyDescent="0.25">
      <c r="A1982" t="s">
        <v>98</v>
      </c>
      <c r="B1982">
        <v>1020</v>
      </c>
    </row>
    <row r="1983" spans="1:2" x14ac:dyDescent="0.25">
      <c r="A1983" t="s">
        <v>98</v>
      </c>
      <c r="B1983">
        <v>1020</v>
      </c>
    </row>
    <row r="1984" spans="1:2" x14ac:dyDescent="0.25">
      <c r="A1984" t="s">
        <v>98</v>
      </c>
      <c r="B1984">
        <v>1020</v>
      </c>
    </row>
    <row r="1985" spans="1:2" x14ac:dyDescent="0.25">
      <c r="A1985" t="s">
        <v>98</v>
      </c>
      <c r="B1985">
        <v>1020</v>
      </c>
    </row>
    <row r="1986" spans="1:2" x14ac:dyDescent="0.25">
      <c r="A1986" t="s">
        <v>98</v>
      </c>
      <c r="B1986">
        <v>1020</v>
      </c>
    </row>
    <row r="1987" spans="1:2" x14ac:dyDescent="0.25">
      <c r="A1987" t="s">
        <v>98</v>
      </c>
      <c r="B1987">
        <v>1020</v>
      </c>
    </row>
    <row r="1988" spans="1:2" x14ac:dyDescent="0.25">
      <c r="A1988" t="s">
        <v>98</v>
      </c>
      <c r="B1988">
        <v>1020</v>
      </c>
    </row>
    <row r="1989" spans="1:2" x14ac:dyDescent="0.25">
      <c r="A1989" t="s">
        <v>98</v>
      </c>
      <c r="B1989">
        <v>1020</v>
      </c>
    </row>
    <row r="1990" spans="1:2" x14ac:dyDescent="0.25">
      <c r="A1990" t="s">
        <v>98</v>
      </c>
      <c r="B1990">
        <v>1020</v>
      </c>
    </row>
    <row r="1991" spans="1:2" x14ac:dyDescent="0.25">
      <c r="A1991" t="s">
        <v>98</v>
      </c>
      <c r="B1991">
        <v>1020</v>
      </c>
    </row>
    <row r="1992" spans="1:2" x14ac:dyDescent="0.25">
      <c r="A1992" t="s">
        <v>98</v>
      </c>
      <c r="B1992">
        <v>1020</v>
      </c>
    </row>
    <row r="1993" spans="1:2" x14ac:dyDescent="0.25">
      <c r="A1993" t="s">
        <v>98</v>
      </c>
      <c r="B1993">
        <v>1020</v>
      </c>
    </row>
    <row r="1994" spans="1:2" x14ac:dyDescent="0.25">
      <c r="A1994" t="s">
        <v>98</v>
      </c>
      <c r="B1994">
        <v>1020</v>
      </c>
    </row>
    <row r="1995" spans="1:2" x14ac:dyDescent="0.25">
      <c r="A1995" t="s">
        <v>98</v>
      </c>
      <c r="B1995">
        <v>1020</v>
      </c>
    </row>
    <row r="1996" spans="1:2" x14ac:dyDescent="0.25">
      <c r="A1996" t="s">
        <v>98</v>
      </c>
      <c r="B1996">
        <v>1020</v>
      </c>
    </row>
    <row r="1997" spans="1:2" x14ac:dyDescent="0.25">
      <c r="A1997" t="s">
        <v>98</v>
      </c>
      <c r="B1997">
        <v>1020</v>
      </c>
    </row>
    <row r="1998" spans="1:2" x14ac:dyDescent="0.25">
      <c r="A1998" t="s">
        <v>98</v>
      </c>
      <c r="B1998">
        <v>1020</v>
      </c>
    </row>
    <row r="1999" spans="1:2" x14ac:dyDescent="0.25">
      <c r="A1999" t="s">
        <v>98</v>
      </c>
      <c r="B1999">
        <v>1020</v>
      </c>
    </row>
    <row r="2000" spans="1:2" x14ac:dyDescent="0.25">
      <c r="A2000" t="s">
        <v>98</v>
      </c>
      <c r="B2000">
        <v>1020</v>
      </c>
    </row>
    <row r="2001" spans="1:2" x14ac:dyDescent="0.25">
      <c r="A2001" t="s">
        <v>98</v>
      </c>
      <c r="B2001">
        <v>1020</v>
      </c>
    </row>
    <row r="2002" spans="1:2" x14ac:dyDescent="0.25">
      <c r="A2002" t="s">
        <v>98</v>
      </c>
      <c r="B2002">
        <v>1020</v>
      </c>
    </row>
    <row r="2003" spans="1:2" x14ac:dyDescent="0.25">
      <c r="A2003" t="s">
        <v>98</v>
      </c>
      <c r="B2003">
        <v>1020</v>
      </c>
    </row>
    <row r="2004" spans="1:2" x14ac:dyDescent="0.25">
      <c r="A2004" t="s">
        <v>98</v>
      </c>
      <c r="B2004">
        <v>1020</v>
      </c>
    </row>
    <row r="2005" spans="1:2" x14ac:dyDescent="0.25">
      <c r="A2005" t="s">
        <v>98</v>
      </c>
      <c r="B2005">
        <v>1020</v>
      </c>
    </row>
    <row r="2006" spans="1:2" x14ac:dyDescent="0.25">
      <c r="A2006" t="s">
        <v>98</v>
      </c>
      <c r="B2006">
        <v>1020</v>
      </c>
    </row>
    <row r="2007" spans="1:2" x14ac:dyDescent="0.25">
      <c r="A2007" t="s">
        <v>98</v>
      </c>
      <c r="B2007">
        <v>1020</v>
      </c>
    </row>
    <row r="2008" spans="1:2" x14ac:dyDescent="0.25">
      <c r="A2008" t="s">
        <v>98</v>
      </c>
      <c r="B2008">
        <v>1020</v>
      </c>
    </row>
    <row r="2009" spans="1:2" x14ac:dyDescent="0.25">
      <c r="A2009" t="s">
        <v>98</v>
      </c>
      <c r="B2009">
        <v>1020</v>
      </c>
    </row>
    <row r="2010" spans="1:2" x14ac:dyDescent="0.25">
      <c r="A2010" t="s">
        <v>98</v>
      </c>
      <c r="B2010">
        <v>1020</v>
      </c>
    </row>
    <row r="2011" spans="1:2" x14ac:dyDescent="0.25">
      <c r="A2011" t="s">
        <v>98</v>
      </c>
      <c r="B2011">
        <v>1020</v>
      </c>
    </row>
    <row r="2012" spans="1:2" x14ac:dyDescent="0.25">
      <c r="A2012" t="s">
        <v>98</v>
      </c>
      <c r="B2012">
        <v>1020</v>
      </c>
    </row>
    <row r="2013" spans="1:2" x14ac:dyDescent="0.25">
      <c r="A2013" t="s">
        <v>98</v>
      </c>
      <c r="B2013">
        <v>1020</v>
      </c>
    </row>
    <row r="2014" spans="1:2" x14ac:dyDescent="0.25">
      <c r="A2014" t="s">
        <v>98</v>
      </c>
      <c r="B2014">
        <v>1020</v>
      </c>
    </row>
    <row r="2015" spans="1:2" x14ac:dyDescent="0.25">
      <c r="A2015" t="s">
        <v>98</v>
      </c>
      <c r="B2015">
        <v>1020</v>
      </c>
    </row>
    <row r="2016" spans="1:2" x14ac:dyDescent="0.25">
      <c r="A2016" t="s">
        <v>98</v>
      </c>
      <c r="B2016">
        <v>1020</v>
      </c>
    </row>
    <row r="2017" spans="1:2" x14ac:dyDescent="0.25">
      <c r="A2017" t="s">
        <v>98</v>
      </c>
      <c r="B2017">
        <v>1020</v>
      </c>
    </row>
    <row r="2018" spans="1:2" x14ac:dyDescent="0.25">
      <c r="A2018" t="s">
        <v>98</v>
      </c>
      <c r="B2018">
        <v>1020</v>
      </c>
    </row>
    <row r="2019" spans="1:2" x14ac:dyDescent="0.25">
      <c r="A2019" t="s">
        <v>98</v>
      </c>
      <c r="B2019">
        <v>1020</v>
      </c>
    </row>
    <row r="2020" spans="1:2" x14ac:dyDescent="0.25">
      <c r="A2020" t="s">
        <v>98</v>
      </c>
      <c r="B2020">
        <v>1020</v>
      </c>
    </row>
    <row r="2021" spans="1:2" x14ac:dyDescent="0.25">
      <c r="A2021" t="s">
        <v>98</v>
      </c>
      <c r="B2021">
        <v>1020</v>
      </c>
    </row>
    <row r="2022" spans="1:2" x14ac:dyDescent="0.25">
      <c r="A2022" t="s">
        <v>98</v>
      </c>
      <c r="B2022">
        <v>1020</v>
      </c>
    </row>
    <row r="2023" spans="1:2" x14ac:dyDescent="0.25">
      <c r="A2023" t="s">
        <v>98</v>
      </c>
      <c r="B2023">
        <v>1020</v>
      </c>
    </row>
    <row r="2024" spans="1:2" x14ac:dyDescent="0.25">
      <c r="A2024" t="s">
        <v>98</v>
      </c>
      <c r="B2024">
        <v>1020</v>
      </c>
    </row>
    <row r="2025" spans="1:2" x14ac:dyDescent="0.25">
      <c r="A2025" t="s">
        <v>98</v>
      </c>
      <c r="B2025">
        <v>1020</v>
      </c>
    </row>
    <row r="2026" spans="1:2" x14ac:dyDescent="0.25">
      <c r="A2026" t="s">
        <v>98</v>
      </c>
      <c r="B2026">
        <v>1020</v>
      </c>
    </row>
    <row r="2027" spans="1:2" x14ac:dyDescent="0.25">
      <c r="A2027" t="s">
        <v>98</v>
      </c>
      <c r="B2027">
        <v>1020</v>
      </c>
    </row>
    <row r="2028" spans="1:2" x14ac:dyDescent="0.25">
      <c r="A2028" t="s">
        <v>98</v>
      </c>
      <c r="B2028">
        <v>1020</v>
      </c>
    </row>
    <row r="2029" spans="1:2" x14ac:dyDescent="0.25">
      <c r="A2029" t="s">
        <v>98</v>
      </c>
      <c r="B2029">
        <v>1020</v>
      </c>
    </row>
    <row r="2030" spans="1:2" x14ac:dyDescent="0.25">
      <c r="A2030" t="s">
        <v>98</v>
      </c>
      <c r="B2030">
        <v>1020</v>
      </c>
    </row>
    <row r="2031" spans="1:2" x14ac:dyDescent="0.25">
      <c r="A2031" t="s">
        <v>98</v>
      </c>
      <c r="B2031">
        <v>1020</v>
      </c>
    </row>
    <row r="2032" spans="1:2" x14ac:dyDescent="0.25">
      <c r="A2032" t="s">
        <v>98</v>
      </c>
      <c r="B2032">
        <v>1020</v>
      </c>
    </row>
    <row r="2033" spans="1:2" x14ac:dyDescent="0.25">
      <c r="A2033" t="s">
        <v>98</v>
      </c>
      <c r="B2033">
        <v>1020</v>
      </c>
    </row>
    <row r="2034" spans="1:2" x14ac:dyDescent="0.25">
      <c r="A2034" t="s">
        <v>98</v>
      </c>
      <c r="B2034">
        <v>1020</v>
      </c>
    </row>
    <row r="2035" spans="1:2" x14ac:dyDescent="0.25">
      <c r="A2035" t="s">
        <v>98</v>
      </c>
      <c r="B2035">
        <v>1020</v>
      </c>
    </row>
    <row r="2036" spans="1:2" x14ac:dyDescent="0.25">
      <c r="A2036" t="s">
        <v>98</v>
      </c>
      <c r="B2036">
        <v>1020</v>
      </c>
    </row>
    <row r="2037" spans="1:2" x14ac:dyDescent="0.25">
      <c r="A2037" t="s">
        <v>98</v>
      </c>
      <c r="B2037">
        <v>1020</v>
      </c>
    </row>
    <row r="2038" spans="1:2" x14ac:dyDescent="0.25">
      <c r="A2038" t="s">
        <v>98</v>
      </c>
      <c r="B2038">
        <v>1020</v>
      </c>
    </row>
    <row r="2039" spans="1:2" x14ac:dyDescent="0.25">
      <c r="A2039" t="s">
        <v>98</v>
      </c>
      <c r="B2039">
        <v>1020</v>
      </c>
    </row>
    <row r="2040" spans="1:2" x14ac:dyDescent="0.25">
      <c r="A2040" t="s">
        <v>98</v>
      </c>
      <c r="B2040">
        <v>1020</v>
      </c>
    </row>
    <row r="2041" spans="1:2" x14ac:dyDescent="0.25">
      <c r="A2041" t="s">
        <v>98</v>
      </c>
      <c r="B2041">
        <v>1020</v>
      </c>
    </row>
    <row r="2042" spans="1:2" x14ac:dyDescent="0.25">
      <c r="A2042" t="s">
        <v>98</v>
      </c>
      <c r="B2042">
        <v>1020</v>
      </c>
    </row>
    <row r="2043" spans="1:2" x14ac:dyDescent="0.25">
      <c r="A2043" t="s">
        <v>98</v>
      </c>
      <c r="B2043">
        <v>1020</v>
      </c>
    </row>
    <row r="2044" spans="1:2" x14ac:dyDescent="0.25">
      <c r="A2044" t="s">
        <v>98</v>
      </c>
      <c r="B2044">
        <v>1020</v>
      </c>
    </row>
    <row r="2045" spans="1:2" x14ac:dyDescent="0.25">
      <c r="A2045" t="s">
        <v>98</v>
      </c>
      <c r="B2045">
        <v>1020</v>
      </c>
    </row>
    <row r="2046" spans="1:2" x14ac:dyDescent="0.25">
      <c r="A2046" t="s">
        <v>98</v>
      </c>
      <c r="B2046">
        <v>1020</v>
      </c>
    </row>
    <row r="2047" spans="1:2" x14ac:dyDescent="0.25">
      <c r="A2047" t="s">
        <v>98</v>
      </c>
      <c r="B2047">
        <v>1020</v>
      </c>
    </row>
    <row r="2048" spans="1:2" x14ac:dyDescent="0.25">
      <c r="A2048" t="s">
        <v>98</v>
      </c>
      <c r="B2048">
        <v>1020</v>
      </c>
    </row>
    <row r="2049" spans="1:2" x14ac:dyDescent="0.25">
      <c r="A2049" t="s">
        <v>98</v>
      </c>
      <c r="B2049">
        <v>1020</v>
      </c>
    </row>
    <row r="2050" spans="1:2" x14ac:dyDescent="0.25">
      <c r="A2050" t="s">
        <v>98</v>
      </c>
      <c r="B2050">
        <v>1020</v>
      </c>
    </row>
    <row r="2051" spans="1:2" x14ac:dyDescent="0.25">
      <c r="A2051" t="s">
        <v>98</v>
      </c>
      <c r="B2051">
        <v>1020</v>
      </c>
    </row>
    <row r="2052" spans="1:2" x14ac:dyDescent="0.25">
      <c r="A2052" t="s">
        <v>98</v>
      </c>
      <c r="B2052">
        <v>1020</v>
      </c>
    </row>
    <row r="2053" spans="1:2" x14ac:dyDescent="0.25">
      <c r="A2053" t="s">
        <v>98</v>
      </c>
      <c r="B2053">
        <v>1020</v>
      </c>
    </row>
    <row r="2054" spans="1:2" x14ac:dyDescent="0.25">
      <c r="A2054" t="s">
        <v>98</v>
      </c>
      <c r="B2054">
        <v>1020</v>
      </c>
    </row>
    <row r="2055" spans="1:2" x14ac:dyDescent="0.25">
      <c r="A2055" t="s">
        <v>98</v>
      </c>
      <c r="B2055">
        <v>1020</v>
      </c>
    </row>
    <row r="2056" spans="1:2" x14ac:dyDescent="0.25">
      <c r="A2056" t="s">
        <v>98</v>
      </c>
      <c r="B2056">
        <v>1020</v>
      </c>
    </row>
    <row r="2057" spans="1:2" x14ac:dyDescent="0.25">
      <c r="A2057" t="s">
        <v>98</v>
      </c>
      <c r="B2057">
        <v>1020</v>
      </c>
    </row>
    <row r="2058" spans="1:2" x14ac:dyDescent="0.25">
      <c r="A2058" t="s">
        <v>98</v>
      </c>
      <c r="B2058">
        <v>1020</v>
      </c>
    </row>
    <row r="2059" spans="1:2" x14ac:dyDescent="0.25">
      <c r="A2059" t="s">
        <v>98</v>
      </c>
      <c r="B2059">
        <v>1020</v>
      </c>
    </row>
    <row r="2060" spans="1:2" x14ac:dyDescent="0.25">
      <c r="A2060" t="s">
        <v>98</v>
      </c>
      <c r="B2060">
        <v>1020</v>
      </c>
    </row>
    <row r="2061" spans="1:2" x14ac:dyDescent="0.25">
      <c r="A2061" t="s">
        <v>98</v>
      </c>
      <c r="B2061">
        <v>1020</v>
      </c>
    </row>
    <row r="2062" spans="1:2" x14ac:dyDescent="0.25">
      <c r="A2062" t="s">
        <v>98</v>
      </c>
      <c r="B2062">
        <v>1020</v>
      </c>
    </row>
    <row r="2063" spans="1:2" x14ac:dyDescent="0.25">
      <c r="A2063" t="s">
        <v>98</v>
      </c>
      <c r="B2063">
        <v>1020</v>
      </c>
    </row>
    <row r="2064" spans="1:2" x14ac:dyDescent="0.25">
      <c r="A2064" t="s">
        <v>98</v>
      </c>
      <c r="B2064">
        <v>1020</v>
      </c>
    </row>
    <row r="2065" spans="1:2" x14ac:dyDescent="0.25">
      <c r="A2065" t="s">
        <v>98</v>
      </c>
      <c r="B2065">
        <v>1020</v>
      </c>
    </row>
    <row r="2066" spans="1:2" x14ac:dyDescent="0.25">
      <c r="A2066" t="s">
        <v>98</v>
      </c>
      <c r="B2066">
        <v>1020</v>
      </c>
    </row>
    <row r="2067" spans="1:2" x14ac:dyDescent="0.25">
      <c r="A2067" t="s">
        <v>98</v>
      </c>
      <c r="B2067">
        <v>1020</v>
      </c>
    </row>
    <row r="2068" spans="1:2" x14ac:dyDescent="0.25">
      <c r="A2068" t="s">
        <v>98</v>
      </c>
      <c r="B2068">
        <v>1020</v>
      </c>
    </row>
    <row r="2069" spans="1:2" x14ac:dyDescent="0.25">
      <c r="A2069" t="s">
        <v>98</v>
      </c>
      <c r="B2069">
        <v>1020</v>
      </c>
    </row>
    <row r="2070" spans="1:2" x14ac:dyDescent="0.25">
      <c r="A2070" t="s">
        <v>98</v>
      </c>
      <c r="B2070">
        <v>1020</v>
      </c>
    </row>
    <row r="2071" spans="1:2" x14ac:dyDescent="0.25">
      <c r="A2071" t="s">
        <v>98</v>
      </c>
      <c r="B2071">
        <v>1020</v>
      </c>
    </row>
    <row r="2072" spans="1:2" x14ac:dyDescent="0.25">
      <c r="A2072" t="s">
        <v>98</v>
      </c>
      <c r="B2072">
        <v>1020</v>
      </c>
    </row>
    <row r="2073" spans="1:2" x14ac:dyDescent="0.25">
      <c r="A2073" t="s">
        <v>98</v>
      </c>
      <c r="B2073">
        <v>1020</v>
      </c>
    </row>
    <row r="2074" spans="1:2" x14ac:dyDescent="0.25">
      <c r="A2074" t="s">
        <v>98</v>
      </c>
      <c r="B2074">
        <v>1020</v>
      </c>
    </row>
    <row r="2075" spans="1:2" x14ac:dyDescent="0.25">
      <c r="A2075" t="s">
        <v>98</v>
      </c>
      <c r="B2075">
        <v>1020</v>
      </c>
    </row>
    <row r="2076" spans="1:2" x14ac:dyDescent="0.25">
      <c r="A2076" t="s">
        <v>98</v>
      </c>
      <c r="B2076">
        <v>1020</v>
      </c>
    </row>
    <row r="2077" spans="1:2" x14ac:dyDescent="0.25">
      <c r="A2077" t="s">
        <v>98</v>
      </c>
      <c r="B2077">
        <v>1020</v>
      </c>
    </row>
    <row r="2078" spans="1:2" x14ac:dyDescent="0.25">
      <c r="A2078" t="s">
        <v>98</v>
      </c>
      <c r="B2078">
        <v>1020</v>
      </c>
    </row>
    <row r="2079" spans="1:2" x14ac:dyDescent="0.25">
      <c r="A2079" t="s">
        <v>98</v>
      </c>
      <c r="B2079">
        <v>1020</v>
      </c>
    </row>
    <row r="2080" spans="1:2" x14ac:dyDescent="0.25">
      <c r="A2080" t="s">
        <v>98</v>
      </c>
      <c r="B2080">
        <v>1020</v>
      </c>
    </row>
    <row r="2081" spans="1:2" x14ac:dyDescent="0.25">
      <c r="A2081" t="s">
        <v>98</v>
      </c>
      <c r="B2081">
        <v>1020</v>
      </c>
    </row>
    <row r="2082" spans="1:2" x14ac:dyDescent="0.25">
      <c r="A2082" t="s">
        <v>98</v>
      </c>
      <c r="B2082">
        <v>1020</v>
      </c>
    </row>
    <row r="2083" spans="1:2" x14ac:dyDescent="0.25">
      <c r="A2083" t="s">
        <v>98</v>
      </c>
      <c r="B2083">
        <v>1020</v>
      </c>
    </row>
    <row r="2084" spans="1:2" x14ac:dyDescent="0.25">
      <c r="A2084" t="s">
        <v>98</v>
      </c>
      <c r="B2084">
        <v>1020</v>
      </c>
    </row>
    <row r="2085" spans="1:2" x14ac:dyDescent="0.25">
      <c r="A2085" t="s">
        <v>98</v>
      </c>
      <c r="B2085">
        <v>1020</v>
      </c>
    </row>
    <row r="2086" spans="1:2" x14ac:dyDescent="0.25">
      <c r="A2086" t="s">
        <v>98</v>
      </c>
      <c r="B2086">
        <v>1020</v>
      </c>
    </row>
    <row r="2087" spans="1:2" x14ac:dyDescent="0.25">
      <c r="A2087" t="s">
        <v>98</v>
      </c>
      <c r="B2087">
        <v>1020</v>
      </c>
    </row>
    <row r="2088" spans="1:2" x14ac:dyDescent="0.25">
      <c r="A2088" t="s">
        <v>98</v>
      </c>
      <c r="B2088">
        <v>1020</v>
      </c>
    </row>
    <row r="2089" spans="1:2" x14ac:dyDescent="0.25">
      <c r="A2089" t="s">
        <v>98</v>
      </c>
      <c r="B2089">
        <v>1020</v>
      </c>
    </row>
    <row r="2090" spans="1:2" x14ac:dyDescent="0.25">
      <c r="A2090" t="s">
        <v>98</v>
      </c>
      <c r="B2090">
        <v>1020</v>
      </c>
    </row>
    <row r="2091" spans="1:2" x14ac:dyDescent="0.25">
      <c r="A2091" t="s">
        <v>98</v>
      </c>
      <c r="B2091">
        <v>1020</v>
      </c>
    </row>
    <row r="2092" spans="1:2" x14ac:dyDescent="0.25">
      <c r="A2092" t="s">
        <v>98</v>
      </c>
      <c r="B2092">
        <v>1020</v>
      </c>
    </row>
    <row r="2093" spans="1:2" x14ac:dyDescent="0.25">
      <c r="A2093" t="s">
        <v>98</v>
      </c>
      <c r="B2093">
        <v>1020</v>
      </c>
    </row>
    <row r="2094" spans="1:2" x14ac:dyDescent="0.25">
      <c r="A2094" t="s">
        <v>98</v>
      </c>
      <c r="B2094">
        <v>1020</v>
      </c>
    </row>
    <row r="2095" spans="1:2" x14ac:dyDescent="0.25">
      <c r="A2095" t="s">
        <v>98</v>
      </c>
      <c r="B2095">
        <v>1020</v>
      </c>
    </row>
    <row r="2096" spans="1:2" x14ac:dyDescent="0.25">
      <c r="A2096" t="s">
        <v>98</v>
      </c>
      <c r="B2096">
        <v>1020</v>
      </c>
    </row>
    <row r="2097" spans="1:2" x14ac:dyDescent="0.25">
      <c r="A2097" t="s">
        <v>98</v>
      </c>
      <c r="B2097">
        <v>1020</v>
      </c>
    </row>
    <row r="2098" spans="1:2" x14ac:dyDescent="0.25">
      <c r="A2098" t="s">
        <v>98</v>
      </c>
      <c r="B2098">
        <v>1020</v>
      </c>
    </row>
    <row r="2099" spans="1:2" x14ac:dyDescent="0.25">
      <c r="A2099" t="s">
        <v>98</v>
      </c>
      <c r="B2099">
        <v>1020</v>
      </c>
    </row>
    <row r="2100" spans="1:2" x14ac:dyDescent="0.25">
      <c r="A2100" t="s">
        <v>98</v>
      </c>
      <c r="B2100">
        <v>1020</v>
      </c>
    </row>
    <row r="2101" spans="1:2" x14ac:dyDescent="0.25">
      <c r="A2101" t="s">
        <v>98</v>
      </c>
      <c r="B2101">
        <v>1020</v>
      </c>
    </row>
    <row r="2102" spans="1:2" x14ac:dyDescent="0.25">
      <c r="A2102" t="s">
        <v>98</v>
      </c>
      <c r="B2102">
        <v>1020</v>
      </c>
    </row>
    <row r="2103" spans="1:2" x14ac:dyDescent="0.25">
      <c r="A2103" t="s">
        <v>98</v>
      </c>
      <c r="B2103">
        <v>1020</v>
      </c>
    </row>
    <row r="2104" spans="1:2" x14ac:dyDescent="0.25">
      <c r="A2104" t="s">
        <v>98</v>
      </c>
      <c r="B2104">
        <v>1020</v>
      </c>
    </row>
    <row r="2105" spans="1:2" x14ac:dyDescent="0.25">
      <c r="A2105" t="s">
        <v>98</v>
      </c>
      <c r="B2105">
        <v>1020</v>
      </c>
    </row>
    <row r="2106" spans="1:2" x14ac:dyDescent="0.25">
      <c r="A2106" t="s">
        <v>98</v>
      </c>
      <c r="B2106">
        <v>1020</v>
      </c>
    </row>
    <row r="2107" spans="1:2" x14ac:dyDescent="0.25">
      <c r="A2107" t="s">
        <v>98</v>
      </c>
      <c r="B2107">
        <v>1020</v>
      </c>
    </row>
    <row r="2108" spans="1:2" x14ac:dyDescent="0.25">
      <c r="A2108" t="s">
        <v>98</v>
      </c>
      <c r="B2108">
        <v>1020</v>
      </c>
    </row>
    <row r="2109" spans="1:2" x14ac:dyDescent="0.25">
      <c r="A2109" t="s">
        <v>98</v>
      </c>
      <c r="B2109">
        <v>1020</v>
      </c>
    </row>
    <row r="2110" spans="1:2" x14ac:dyDescent="0.25">
      <c r="A2110" t="s">
        <v>98</v>
      </c>
      <c r="B2110">
        <v>1020</v>
      </c>
    </row>
    <row r="2111" spans="1:2" x14ac:dyDescent="0.25">
      <c r="A2111" t="s">
        <v>98</v>
      </c>
      <c r="B2111">
        <v>1020</v>
      </c>
    </row>
    <row r="2112" spans="1:2" x14ac:dyDescent="0.25">
      <c r="A2112" t="s">
        <v>98</v>
      </c>
      <c r="B2112">
        <v>1020</v>
      </c>
    </row>
    <row r="2113" spans="1:2" x14ac:dyDescent="0.25">
      <c r="A2113" t="s">
        <v>98</v>
      </c>
      <c r="B2113">
        <v>1020</v>
      </c>
    </row>
    <row r="2114" spans="1:2" x14ac:dyDescent="0.25">
      <c r="A2114" t="s">
        <v>98</v>
      </c>
      <c r="B2114">
        <v>1020</v>
      </c>
    </row>
    <row r="2115" spans="1:2" x14ac:dyDescent="0.25">
      <c r="A2115" t="s">
        <v>98</v>
      </c>
      <c r="B2115">
        <v>1020</v>
      </c>
    </row>
    <row r="2116" spans="1:2" x14ac:dyDescent="0.25">
      <c r="A2116" t="s">
        <v>98</v>
      </c>
      <c r="B2116">
        <v>1020</v>
      </c>
    </row>
    <row r="2117" spans="1:2" x14ac:dyDescent="0.25">
      <c r="A2117" t="s">
        <v>98</v>
      </c>
      <c r="B2117">
        <v>1020</v>
      </c>
    </row>
    <row r="2118" spans="1:2" x14ac:dyDescent="0.25">
      <c r="A2118" t="s">
        <v>98</v>
      </c>
      <c r="B2118">
        <v>1020</v>
      </c>
    </row>
    <row r="2119" spans="1:2" x14ac:dyDescent="0.25">
      <c r="A2119" t="s">
        <v>98</v>
      </c>
      <c r="B2119">
        <v>1020</v>
      </c>
    </row>
    <row r="2120" spans="1:2" x14ac:dyDescent="0.25">
      <c r="A2120" t="s">
        <v>98</v>
      </c>
      <c r="B2120">
        <v>1020</v>
      </c>
    </row>
    <row r="2121" spans="1:2" x14ac:dyDescent="0.25">
      <c r="A2121" t="s">
        <v>98</v>
      </c>
      <c r="B2121">
        <v>1020</v>
      </c>
    </row>
    <row r="2122" spans="1:2" x14ac:dyDescent="0.25">
      <c r="A2122" t="s">
        <v>98</v>
      </c>
      <c r="B2122">
        <v>1020</v>
      </c>
    </row>
    <row r="2123" spans="1:2" x14ac:dyDescent="0.25">
      <c r="A2123" t="s">
        <v>98</v>
      </c>
      <c r="B2123">
        <v>1020</v>
      </c>
    </row>
    <row r="2124" spans="1:2" x14ac:dyDescent="0.25">
      <c r="A2124" t="s">
        <v>98</v>
      </c>
      <c r="B2124">
        <v>1020</v>
      </c>
    </row>
    <row r="2125" spans="1:2" x14ac:dyDescent="0.25">
      <c r="A2125" t="s">
        <v>98</v>
      </c>
      <c r="B2125">
        <v>1020</v>
      </c>
    </row>
    <row r="2126" spans="1:2" x14ac:dyDescent="0.25">
      <c r="A2126" t="s">
        <v>98</v>
      </c>
      <c r="B2126">
        <v>1020</v>
      </c>
    </row>
    <row r="2127" spans="1:2" x14ac:dyDescent="0.25">
      <c r="A2127" t="s">
        <v>98</v>
      </c>
      <c r="B2127">
        <v>1020</v>
      </c>
    </row>
    <row r="2128" spans="1:2" x14ac:dyDescent="0.25">
      <c r="A2128" t="s">
        <v>98</v>
      </c>
      <c r="B2128">
        <v>1020</v>
      </c>
    </row>
    <row r="2129" spans="1:2" x14ac:dyDescent="0.25">
      <c r="A2129" t="s">
        <v>98</v>
      </c>
      <c r="B2129">
        <v>1020</v>
      </c>
    </row>
    <row r="2130" spans="1:2" x14ac:dyDescent="0.25">
      <c r="A2130" t="s">
        <v>98</v>
      </c>
      <c r="B2130">
        <v>1020</v>
      </c>
    </row>
    <row r="2131" spans="1:2" x14ac:dyDescent="0.25">
      <c r="A2131" t="s">
        <v>98</v>
      </c>
      <c r="B2131">
        <v>1020</v>
      </c>
    </row>
    <row r="2132" spans="1:2" x14ac:dyDescent="0.25">
      <c r="A2132" t="s">
        <v>98</v>
      </c>
      <c r="B2132">
        <v>1020</v>
      </c>
    </row>
    <row r="2133" spans="1:2" x14ac:dyDescent="0.25">
      <c r="A2133" t="s">
        <v>98</v>
      </c>
      <c r="B2133">
        <v>1020</v>
      </c>
    </row>
    <row r="2134" spans="1:2" x14ac:dyDescent="0.25">
      <c r="A2134" t="s">
        <v>98</v>
      </c>
      <c r="B2134">
        <v>1020</v>
      </c>
    </row>
    <row r="2135" spans="1:2" x14ac:dyDescent="0.25">
      <c r="A2135" t="s">
        <v>98</v>
      </c>
      <c r="B2135">
        <v>1020</v>
      </c>
    </row>
    <row r="2136" spans="1:2" x14ac:dyDescent="0.25">
      <c r="A2136" t="s">
        <v>98</v>
      </c>
      <c r="B2136">
        <v>1020</v>
      </c>
    </row>
    <row r="2137" spans="1:2" x14ac:dyDescent="0.25">
      <c r="A2137" t="s">
        <v>98</v>
      </c>
      <c r="B2137">
        <v>1020</v>
      </c>
    </row>
    <row r="2138" spans="1:2" x14ac:dyDescent="0.25">
      <c r="A2138" t="s">
        <v>98</v>
      </c>
      <c r="B2138">
        <v>1020</v>
      </c>
    </row>
    <row r="2139" spans="1:2" x14ac:dyDescent="0.25">
      <c r="A2139" t="s">
        <v>98</v>
      </c>
      <c r="B2139">
        <v>1020</v>
      </c>
    </row>
    <row r="2140" spans="1:2" x14ac:dyDescent="0.25">
      <c r="A2140" t="s">
        <v>98</v>
      </c>
      <c r="B2140">
        <v>1020</v>
      </c>
    </row>
    <row r="2141" spans="1:2" x14ac:dyDescent="0.25">
      <c r="A2141" t="s">
        <v>98</v>
      </c>
      <c r="B2141">
        <v>1020</v>
      </c>
    </row>
    <row r="2142" spans="1:2" x14ac:dyDescent="0.25">
      <c r="A2142" t="s">
        <v>98</v>
      </c>
      <c r="B2142">
        <v>1020</v>
      </c>
    </row>
    <row r="2143" spans="1:2" x14ac:dyDescent="0.25">
      <c r="A2143" t="s">
        <v>98</v>
      </c>
      <c r="B2143">
        <v>1020</v>
      </c>
    </row>
    <row r="2144" spans="1:2" x14ac:dyDescent="0.25">
      <c r="A2144" t="s">
        <v>98</v>
      </c>
      <c r="B2144">
        <v>1020</v>
      </c>
    </row>
    <row r="2145" spans="1:2" x14ac:dyDescent="0.25">
      <c r="A2145" t="s">
        <v>98</v>
      </c>
      <c r="B2145">
        <v>1020</v>
      </c>
    </row>
    <row r="2146" spans="1:2" x14ac:dyDescent="0.25">
      <c r="A2146" t="s">
        <v>98</v>
      </c>
      <c r="B2146">
        <v>1020</v>
      </c>
    </row>
    <row r="2147" spans="1:2" x14ac:dyDescent="0.25">
      <c r="A2147" t="s">
        <v>98</v>
      </c>
      <c r="B2147">
        <v>1020</v>
      </c>
    </row>
    <row r="2148" spans="1:2" x14ac:dyDescent="0.25">
      <c r="A2148" t="s">
        <v>98</v>
      </c>
      <c r="B2148">
        <v>1020</v>
      </c>
    </row>
    <row r="2149" spans="1:2" x14ac:dyDescent="0.25">
      <c r="A2149" t="s">
        <v>98</v>
      </c>
      <c r="B2149">
        <v>1020</v>
      </c>
    </row>
    <row r="2150" spans="1:2" x14ac:dyDescent="0.25">
      <c r="A2150" t="s">
        <v>98</v>
      </c>
      <c r="B2150">
        <v>1020</v>
      </c>
    </row>
    <row r="2151" spans="1:2" x14ac:dyDescent="0.25">
      <c r="A2151" t="s">
        <v>98</v>
      </c>
      <c r="B2151">
        <v>1020</v>
      </c>
    </row>
    <row r="2152" spans="1:2" x14ac:dyDescent="0.25">
      <c r="A2152" t="s">
        <v>98</v>
      </c>
      <c r="B2152">
        <v>1020</v>
      </c>
    </row>
    <row r="2153" spans="1:2" x14ac:dyDescent="0.25">
      <c r="A2153" t="s">
        <v>98</v>
      </c>
      <c r="B2153">
        <v>1020</v>
      </c>
    </row>
    <row r="2154" spans="1:2" x14ac:dyDescent="0.25">
      <c r="A2154" t="s">
        <v>98</v>
      </c>
      <c r="B2154">
        <v>1020</v>
      </c>
    </row>
    <row r="2155" spans="1:2" x14ac:dyDescent="0.25">
      <c r="A2155" t="s">
        <v>98</v>
      </c>
      <c r="B2155">
        <v>1020</v>
      </c>
    </row>
    <row r="2156" spans="1:2" x14ac:dyDescent="0.25">
      <c r="A2156" t="s">
        <v>98</v>
      </c>
      <c r="B2156">
        <v>1020</v>
      </c>
    </row>
    <row r="2157" spans="1:2" x14ac:dyDescent="0.25">
      <c r="A2157" t="s">
        <v>98</v>
      </c>
      <c r="B2157">
        <v>1020</v>
      </c>
    </row>
    <row r="2158" spans="1:2" x14ac:dyDescent="0.25">
      <c r="A2158" t="s">
        <v>98</v>
      </c>
      <c r="B2158">
        <v>1020</v>
      </c>
    </row>
    <row r="2159" spans="1:2" x14ac:dyDescent="0.25">
      <c r="A2159" t="s">
        <v>98</v>
      </c>
      <c r="B2159">
        <v>1020</v>
      </c>
    </row>
    <row r="2160" spans="1:2" x14ac:dyDescent="0.25">
      <c r="A2160" t="s">
        <v>98</v>
      </c>
      <c r="B2160">
        <v>1020</v>
      </c>
    </row>
    <row r="2161" spans="1:2" x14ac:dyDescent="0.25">
      <c r="A2161" t="s">
        <v>98</v>
      </c>
      <c r="B2161">
        <v>1020</v>
      </c>
    </row>
    <row r="2162" spans="1:2" x14ac:dyDescent="0.25">
      <c r="A2162" t="s">
        <v>98</v>
      </c>
      <c r="B2162">
        <v>1020</v>
      </c>
    </row>
    <row r="2163" spans="1:2" x14ac:dyDescent="0.25">
      <c r="A2163" t="s">
        <v>98</v>
      </c>
      <c r="B2163">
        <v>1020</v>
      </c>
    </row>
    <row r="2164" spans="1:2" x14ac:dyDescent="0.25">
      <c r="A2164" t="s">
        <v>98</v>
      </c>
      <c r="B2164">
        <v>1020</v>
      </c>
    </row>
    <row r="2165" spans="1:2" x14ac:dyDescent="0.25">
      <c r="A2165" t="s">
        <v>98</v>
      </c>
      <c r="B2165">
        <v>1020</v>
      </c>
    </row>
    <row r="2166" spans="1:2" x14ac:dyDescent="0.25">
      <c r="A2166" t="s">
        <v>98</v>
      </c>
      <c r="B2166">
        <v>1020</v>
      </c>
    </row>
    <row r="2167" spans="1:2" x14ac:dyDescent="0.25">
      <c r="A2167" t="s">
        <v>98</v>
      </c>
      <c r="B2167">
        <v>1020</v>
      </c>
    </row>
    <row r="2168" spans="1:2" x14ac:dyDescent="0.25">
      <c r="A2168" t="s">
        <v>98</v>
      </c>
      <c r="B2168">
        <v>1020</v>
      </c>
    </row>
    <row r="2169" spans="1:2" x14ac:dyDescent="0.25">
      <c r="A2169" t="s">
        <v>98</v>
      </c>
      <c r="B2169">
        <v>1020</v>
      </c>
    </row>
    <row r="2170" spans="1:2" x14ac:dyDescent="0.25">
      <c r="A2170" t="s">
        <v>98</v>
      </c>
      <c r="B2170">
        <v>1020</v>
      </c>
    </row>
    <row r="2171" spans="1:2" x14ac:dyDescent="0.25">
      <c r="A2171" t="s">
        <v>98</v>
      </c>
      <c r="B2171">
        <v>1020</v>
      </c>
    </row>
    <row r="2172" spans="1:2" x14ac:dyDescent="0.25">
      <c r="A2172" t="s">
        <v>98</v>
      </c>
      <c r="B2172">
        <v>1020</v>
      </c>
    </row>
    <row r="2173" spans="1:2" x14ac:dyDescent="0.25">
      <c r="A2173" t="s">
        <v>98</v>
      </c>
      <c r="B2173">
        <v>1020</v>
      </c>
    </row>
    <row r="2174" spans="1:2" x14ac:dyDescent="0.25">
      <c r="A2174" t="s">
        <v>98</v>
      </c>
      <c r="B2174">
        <v>1020</v>
      </c>
    </row>
    <row r="2175" spans="1:2" x14ac:dyDescent="0.25">
      <c r="A2175" t="s">
        <v>98</v>
      </c>
      <c r="B2175">
        <v>1020</v>
      </c>
    </row>
    <row r="2176" spans="1:2" x14ac:dyDescent="0.25">
      <c r="A2176" t="s">
        <v>98</v>
      </c>
      <c r="B2176">
        <v>1020</v>
      </c>
    </row>
    <row r="2177" spans="1:2" x14ac:dyDescent="0.25">
      <c r="A2177" t="s">
        <v>98</v>
      </c>
      <c r="B2177">
        <v>1020</v>
      </c>
    </row>
    <row r="2178" spans="1:2" x14ac:dyDescent="0.25">
      <c r="A2178" t="s">
        <v>98</v>
      </c>
      <c r="B2178">
        <v>1020</v>
      </c>
    </row>
    <row r="2179" spans="1:2" x14ac:dyDescent="0.25">
      <c r="A2179" t="s">
        <v>98</v>
      </c>
      <c r="B2179">
        <v>1020</v>
      </c>
    </row>
    <row r="2180" spans="1:2" x14ac:dyDescent="0.25">
      <c r="A2180" t="s">
        <v>98</v>
      </c>
      <c r="B2180">
        <v>1020</v>
      </c>
    </row>
    <row r="2181" spans="1:2" x14ac:dyDescent="0.25">
      <c r="A2181" t="s">
        <v>98</v>
      </c>
      <c r="B2181">
        <v>1020</v>
      </c>
    </row>
    <row r="2182" spans="1:2" x14ac:dyDescent="0.25">
      <c r="A2182" t="s">
        <v>98</v>
      </c>
      <c r="B2182">
        <v>1020</v>
      </c>
    </row>
    <row r="2183" spans="1:2" x14ac:dyDescent="0.25">
      <c r="A2183" t="s">
        <v>98</v>
      </c>
      <c r="B2183">
        <v>1020</v>
      </c>
    </row>
    <row r="2184" spans="1:2" x14ac:dyDescent="0.25">
      <c r="A2184" t="s">
        <v>98</v>
      </c>
      <c r="B2184">
        <v>1020</v>
      </c>
    </row>
    <row r="2185" spans="1:2" x14ac:dyDescent="0.25">
      <c r="A2185" t="s">
        <v>98</v>
      </c>
      <c r="B2185">
        <v>1020</v>
      </c>
    </row>
    <row r="2186" spans="1:2" x14ac:dyDescent="0.25">
      <c r="A2186" t="s">
        <v>98</v>
      </c>
      <c r="B2186">
        <v>1020</v>
      </c>
    </row>
    <row r="2187" spans="1:2" x14ac:dyDescent="0.25">
      <c r="A2187" t="s">
        <v>98</v>
      </c>
      <c r="B2187">
        <v>1020</v>
      </c>
    </row>
    <row r="2188" spans="1:2" x14ac:dyDescent="0.25">
      <c r="A2188" t="s">
        <v>98</v>
      </c>
      <c r="B2188">
        <v>1020</v>
      </c>
    </row>
    <row r="2189" spans="1:2" x14ac:dyDescent="0.25">
      <c r="A2189" t="s">
        <v>98</v>
      </c>
      <c r="B2189">
        <v>1020</v>
      </c>
    </row>
    <row r="2190" spans="1:2" x14ac:dyDescent="0.25">
      <c r="A2190" t="s">
        <v>98</v>
      </c>
      <c r="B2190">
        <v>1020</v>
      </c>
    </row>
    <row r="2191" spans="1:2" x14ac:dyDescent="0.25">
      <c r="A2191" t="s">
        <v>98</v>
      </c>
      <c r="B2191">
        <v>1020</v>
      </c>
    </row>
    <row r="2192" spans="1:2" x14ac:dyDescent="0.25">
      <c r="A2192" t="s">
        <v>98</v>
      </c>
      <c r="B2192">
        <v>1020</v>
      </c>
    </row>
    <row r="2193" spans="1:2" x14ac:dyDescent="0.25">
      <c r="A2193" t="s">
        <v>98</v>
      </c>
      <c r="B2193">
        <v>1020</v>
      </c>
    </row>
    <row r="2194" spans="1:2" x14ac:dyDescent="0.25">
      <c r="A2194" t="s">
        <v>98</v>
      </c>
      <c r="B2194">
        <v>1020</v>
      </c>
    </row>
    <row r="2195" spans="1:2" x14ac:dyDescent="0.25">
      <c r="A2195" t="s">
        <v>98</v>
      </c>
      <c r="B2195">
        <v>1020</v>
      </c>
    </row>
    <row r="2196" spans="1:2" x14ac:dyDescent="0.25">
      <c r="A2196" t="s">
        <v>98</v>
      </c>
      <c r="B2196">
        <v>1020</v>
      </c>
    </row>
    <row r="2197" spans="1:2" x14ac:dyDescent="0.25">
      <c r="A2197" t="s">
        <v>98</v>
      </c>
      <c r="B2197">
        <v>1020</v>
      </c>
    </row>
    <row r="2198" spans="1:2" x14ac:dyDescent="0.25">
      <c r="A2198" t="s">
        <v>98</v>
      </c>
      <c r="B2198">
        <v>1020</v>
      </c>
    </row>
    <row r="2199" spans="1:2" x14ac:dyDescent="0.25">
      <c r="A2199" t="s">
        <v>98</v>
      </c>
      <c r="B2199">
        <v>1020</v>
      </c>
    </row>
    <row r="2200" spans="1:2" x14ac:dyDescent="0.25">
      <c r="A2200" t="s">
        <v>98</v>
      </c>
      <c r="B2200">
        <v>1020</v>
      </c>
    </row>
    <row r="2201" spans="1:2" x14ac:dyDescent="0.25">
      <c r="A2201" t="s">
        <v>98</v>
      </c>
      <c r="B2201">
        <v>1020</v>
      </c>
    </row>
    <row r="2202" spans="1:2" x14ac:dyDescent="0.25">
      <c r="A2202" t="s">
        <v>98</v>
      </c>
      <c r="B2202">
        <v>1020</v>
      </c>
    </row>
    <row r="2203" spans="1:2" x14ac:dyDescent="0.25">
      <c r="A2203" t="s">
        <v>98</v>
      </c>
      <c r="B2203">
        <v>1020</v>
      </c>
    </row>
    <row r="2204" spans="1:2" x14ac:dyDescent="0.25">
      <c r="A2204" t="s">
        <v>98</v>
      </c>
      <c r="B2204">
        <v>1020</v>
      </c>
    </row>
    <row r="2205" spans="1:2" x14ac:dyDescent="0.25">
      <c r="A2205" t="s">
        <v>98</v>
      </c>
      <c r="B2205">
        <v>1020</v>
      </c>
    </row>
    <row r="2206" spans="1:2" x14ac:dyDescent="0.25">
      <c r="A2206" t="s">
        <v>98</v>
      </c>
      <c r="B2206">
        <v>1020</v>
      </c>
    </row>
    <row r="2207" spans="1:2" x14ac:dyDescent="0.25">
      <c r="A2207" t="s">
        <v>98</v>
      </c>
      <c r="B2207">
        <v>1020</v>
      </c>
    </row>
    <row r="2208" spans="1:2" x14ac:dyDescent="0.25">
      <c r="A2208" t="s">
        <v>98</v>
      </c>
      <c r="B2208">
        <v>1020</v>
      </c>
    </row>
    <row r="2209" spans="1:2" x14ac:dyDescent="0.25">
      <c r="A2209" t="s">
        <v>98</v>
      </c>
      <c r="B2209">
        <v>1020</v>
      </c>
    </row>
    <row r="2210" spans="1:2" x14ac:dyDescent="0.25">
      <c r="A2210" t="s">
        <v>98</v>
      </c>
      <c r="B2210">
        <v>1020</v>
      </c>
    </row>
    <row r="2211" spans="1:2" x14ac:dyDescent="0.25">
      <c r="A2211" t="s">
        <v>98</v>
      </c>
      <c r="B2211">
        <v>1020</v>
      </c>
    </row>
    <row r="2212" spans="1:2" x14ac:dyDescent="0.25">
      <c r="A2212" t="s">
        <v>98</v>
      </c>
      <c r="B2212">
        <v>1020</v>
      </c>
    </row>
    <row r="2213" spans="1:2" x14ac:dyDescent="0.25">
      <c r="A2213" t="s">
        <v>98</v>
      </c>
      <c r="B2213">
        <v>1020</v>
      </c>
    </row>
    <row r="2214" spans="1:2" x14ac:dyDescent="0.25">
      <c r="A2214" t="s">
        <v>98</v>
      </c>
      <c r="B2214">
        <v>1020</v>
      </c>
    </row>
    <row r="2215" spans="1:2" x14ac:dyDescent="0.25">
      <c r="A2215" t="s">
        <v>98</v>
      </c>
      <c r="B2215">
        <v>1020</v>
      </c>
    </row>
    <row r="2216" spans="1:2" x14ac:dyDescent="0.25">
      <c r="A2216" t="s">
        <v>98</v>
      </c>
      <c r="B2216">
        <v>1020</v>
      </c>
    </row>
    <row r="2217" spans="1:2" x14ac:dyDescent="0.25">
      <c r="A2217" t="s">
        <v>98</v>
      </c>
      <c r="B2217">
        <v>1020</v>
      </c>
    </row>
    <row r="2218" spans="1:2" x14ac:dyDescent="0.25">
      <c r="A2218" t="s">
        <v>98</v>
      </c>
      <c r="B2218">
        <v>1020</v>
      </c>
    </row>
    <row r="2219" spans="1:2" x14ac:dyDescent="0.25">
      <c r="A2219" t="s">
        <v>98</v>
      </c>
      <c r="B2219">
        <v>1020</v>
      </c>
    </row>
    <row r="2220" spans="1:2" x14ac:dyDescent="0.25">
      <c r="A2220" t="s">
        <v>98</v>
      </c>
      <c r="B2220">
        <v>1020</v>
      </c>
    </row>
    <row r="2221" spans="1:2" x14ac:dyDescent="0.25">
      <c r="A2221" t="s">
        <v>98</v>
      </c>
      <c r="B2221">
        <v>1020</v>
      </c>
    </row>
    <row r="2222" spans="1:2" x14ac:dyDescent="0.25">
      <c r="A2222" t="s">
        <v>98</v>
      </c>
      <c r="B2222">
        <v>1020</v>
      </c>
    </row>
    <row r="2223" spans="1:2" x14ac:dyDescent="0.25">
      <c r="A2223" t="s">
        <v>98</v>
      </c>
      <c r="B2223">
        <v>1020</v>
      </c>
    </row>
    <row r="2224" spans="1:2" x14ac:dyDescent="0.25">
      <c r="A2224" t="s">
        <v>98</v>
      </c>
      <c r="B2224">
        <v>1020</v>
      </c>
    </row>
    <row r="2225" spans="1:2" x14ac:dyDescent="0.25">
      <c r="A2225" t="s">
        <v>98</v>
      </c>
      <c r="B2225">
        <v>1020</v>
      </c>
    </row>
    <row r="2226" spans="1:2" x14ac:dyDescent="0.25">
      <c r="A2226" t="s">
        <v>98</v>
      </c>
      <c r="B2226">
        <v>1020</v>
      </c>
    </row>
    <row r="2227" spans="1:2" x14ac:dyDescent="0.25">
      <c r="A2227" t="s">
        <v>98</v>
      </c>
      <c r="B2227">
        <v>1020</v>
      </c>
    </row>
    <row r="2228" spans="1:2" x14ac:dyDescent="0.25">
      <c r="A2228" t="s">
        <v>98</v>
      </c>
      <c r="B2228">
        <v>1020</v>
      </c>
    </row>
    <row r="2229" spans="1:2" x14ac:dyDescent="0.25">
      <c r="A2229" t="s">
        <v>98</v>
      </c>
      <c r="B2229">
        <v>1020</v>
      </c>
    </row>
    <row r="2230" spans="1:2" x14ac:dyDescent="0.25">
      <c r="A2230" t="s">
        <v>98</v>
      </c>
      <c r="B2230">
        <v>1020</v>
      </c>
    </row>
    <row r="2231" spans="1:2" x14ac:dyDescent="0.25">
      <c r="A2231" t="s">
        <v>98</v>
      </c>
      <c r="B2231">
        <v>1020</v>
      </c>
    </row>
    <row r="2232" spans="1:2" x14ac:dyDescent="0.25">
      <c r="A2232" t="s">
        <v>98</v>
      </c>
      <c r="B2232">
        <v>1020</v>
      </c>
    </row>
    <row r="2233" spans="1:2" x14ac:dyDescent="0.25">
      <c r="A2233" t="s">
        <v>98</v>
      </c>
      <c r="B2233">
        <v>1020</v>
      </c>
    </row>
    <row r="2234" spans="1:2" x14ac:dyDescent="0.25">
      <c r="A2234" t="s">
        <v>98</v>
      </c>
      <c r="B2234">
        <v>1020</v>
      </c>
    </row>
    <row r="2235" spans="1:2" x14ac:dyDescent="0.25">
      <c r="A2235" t="s">
        <v>98</v>
      </c>
      <c r="B2235">
        <v>1020</v>
      </c>
    </row>
    <row r="2236" spans="1:2" x14ac:dyDescent="0.25">
      <c r="A2236" t="s">
        <v>98</v>
      </c>
      <c r="B2236">
        <v>1020</v>
      </c>
    </row>
    <row r="2237" spans="1:2" x14ac:dyDescent="0.25">
      <c r="A2237" t="s">
        <v>98</v>
      </c>
      <c r="B2237">
        <v>1020</v>
      </c>
    </row>
    <row r="2238" spans="1:2" x14ac:dyDescent="0.25">
      <c r="A2238" t="s">
        <v>98</v>
      </c>
      <c r="B2238">
        <v>1020</v>
      </c>
    </row>
    <row r="2239" spans="1:2" x14ac:dyDescent="0.25">
      <c r="A2239" t="s">
        <v>98</v>
      </c>
      <c r="B2239">
        <v>1020</v>
      </c>
    </row>
    <row r="2240" spans="1:2" x14ac:dyDescent="0.25">
      <c r="A2240" t="s">
        <v>98</v>
      </c>
      <c r="B2240">
        <v>1020</v>
      </c>
    </row>
    <row r="2241" spans="1:2" x14ac:dyDescent="0.25">
      <c r="A2241" t="s">
        <v>98</v>
      </c>
      <c r="B2241">
        <v>1020</v>
      </c>
    </row>
    <row r="2242" spans="1:2" x14ac:dyDescent="0.25">
      <c r="A2242" t="s">
        <v>98</v>
      </c>
      <c r="B2242">
        <v>1020</v>
      </c>
    </row>
    <row r="2243" spans="1:2" x14ac:dyDescent="0.25">
      <c r="A2243" t="s">
        <v>98</v>
      </c>
      <c r="B2243">
        <v>1020</v>
      </c>
    </row>
    <row r="2244" spans="1:2" x14ac:dyDescent="0.25">
      <c r="A2244" t="s">
        <v>98</v>
      </c>
      <c r="B2244">
        <v>1020</v>
      </c>
    </row>
    <row r="2245" spans="1:2" x14ac:dyDescent="0.25">
      <c r="A2245" t="s">
        <v>98</v>
      </c>
      <c r="B2245">
        <v>1020</v>
      </c>
    </row>
    <row r="2246" spans="1:2" x14ac:dyDescent="0.25">
      <c r="A2246" t="s">
        <v>98</v>
      </c>
      <c r="B2246">
        <v>1020</v>
      </c>
    </row>
    <row r="2247" spans="1:2" x14ac:dyDescent="0.25">
      <c r="A2247" t="s">
        <v>98</v>
      </c>
      <c r="B2247">
        <v>1020</v>
      </c>
    </row>
    <row r="2248" spans="1:2" x14ac:dyDescent="0.25">
      <c r="A2248" t="s">
        <v>98</v>
      </c>
      <c r="B2248">
        <v>1020</v>
      </c>
    </row>
    <row r="2249" spans="1:2" x14ac:dyDescent="0.25">
      <c r="A2249" t="s">
        <v>98</v>
      </c>
      <c r="B2249">
        <v>1020</v>
      </c>
    </row>
    <row r="2250" spans="1:2" x14ac:dyDescent="0.25">
      <c r="A2250" t="s">
        <v>98</v>
      </c>
      <c r="B2250">
        <v>1020</v>
      </c>
    </row>
    <row r="2251" spans="1:2" x14ac:dyDescent="0.25">
      <c r="A2251" t="s">
        <v>98</v>
      </c>
      <c r="B2251">
        <v>1020</v>
      </c>
    </row>
    <row r="2252" spans="1:2" x14ac:dyDescent="0.25">
      <c r="A2252" t="s">
        <v>98</v>
      </c>
      <c r="B2252">
        <v>1020</v>
      </c>
    </row>
    <row r="2253" spans="1:2" x14ac:dyDescent="0.25">
      <c r="A2253" t="s">
        <v>98</v>
      </c>
      <c r="B2253">
        <v>1020</v>
      </c>
    </row>
    <row r="2254" spans="1:2" x14ac:dyDescent="0.25">
      <c r="A2254" t="s">
        <v>98</v>
      </c>
      <c r="B2254">
        <v>1020</v>
      </c>
    </row>
    <row r="2255" spans="1:2" x14ac:dyDescent="0.25">
      <c r="A2255" t="s">
        <v>98</v>
      </c>
      <c r="B2255">
        <v>1020</v>
      </c>
    </row>
    <row r="2256" spans="1:2" x14ac:dyDescent="0.25">
      <c r="A2256" t="s">
        <v>98</v>
      </c>
      <c r="B2256">
        <v>1020</v>
      </c>
    </row>
    <row r="2257" spans="1:2" x14ac:dyDescent="0.25">
      <c r="A2257" t="s">
        <v>98</v>
      </c>
      <c r="B2257">
        <v>1020</v>
      </c>
    </row>
    <row r="2258" spans="1:2" x14ac:dyDescent="0.25">
      <c r="A2258" t="s">
        <v>98</v>
      </c>
      <c r="B2258">
        <v>1020</v>
      </c>
    </row>
    <row r="2259" spans="1:2" x14ac:dyDescent="0.25">
      <c r="A2259" t="s">
        <v>98</v>
      </c>
      <c r="B2259">
        <v>1020</v>
      </c>
    </row>
    <row r="2260" spans="1:2" x14ac:dyDescent="0.25">
      <c r="A2260" t="s">
        <v>98</v>
      </c>
      <c r="B2260">
        <v>1020</v>
      </c>
    </row>
    <row r="2261" spans="1:2" x14ac:dyDescent="0.25">
      <c r="A2261" t="s">
        <v>98</v>
      </c>
      <c r="B2261">
        <v>1020</v>
      </c>
    </row>
    <row r="2262" spans="1:2" x14ac:dyDescent="0.25">
      <c r="A2262" t="s">
        <v>98</v>
      </c>
      <c r="B2262">
        <v>1020</v>
      </c>
    </row>
    <row r="2263" spans="1:2" x14ac:dyDescent="0.25">
      <c r="A2263" t="s">
        <v>98</v>
      </c>
      <c r="B2263">
        <v>1020</v>
      </c>
    </row>
    <row r="2264" spans="1:2" x14ac:dyDescent="0.25">
      <c r="A2264" t="s">
        <v>98</v>
      </c>
      <c r="B2264">
        <v>1020</v>
      </c>
    </row>
    <row r="2265" spans="1:2" x14ac:dyDescent="0.25">
      <c r="A2265" t="s">
        <v>98</v>
      </c>
      <c r="B2265">
        <v>1020</v>
      </c>
    </row>
    <row r="2266" spans="1:2" x14ac:dyDescent="0.25">
      <c r="A2266" t="s">
        <v>98</v>
      </c>
      <c r="B2266">
        <v>1020</v>
      </c>
    </row>
    <row r="2267" spans="1:2" x14ac:dyDescent="0.25">
      <c r="A2267" t="s">
        <v>98</v>
      </c>
      <c r="B2267">
        <v>1020</v>
      </c>
    </row>
    <row r="2268" spans="1:2" x14ac:dyDescent="0.25">
      <c r="A2268" t="s">
        <v>98</v>
      </c>
      <c r="B2268">
        <v>1020</v>
      </c>
    </row>
    <row r="2269" spans="1:2" x14ac:dyDescent="0.25">
      <c r="A2269" t="s">
        <v>98</v>
      </c>
      <c r="B2269">
        <v>1020</v>
      </c>
    </row>
    <row r="2270" spans="1:2" x14ac:dyDescent="0.25">
      <c r="A2270" t="s">
        <v>98</v>
      </c>
      <c r="B2270">
        <v>1020</v>
      </c>
    </row>
    <row r="2271" spans="1:2" x14ac:dyDescent="0.25">
      <c r="A2271" t="s">
        <v>98</v>
      </c>
      <c r="B2271">
        <v>1020</v>
      </c>
    </row>
    <row r="2272" spans="1:2" x14ac:dyDescent="0.25">
      <c r="A2272" t="s">
        <v>98</v>
      </c>
      <c r="B2272">
        <v>1020</v>
      </c>
    </row>
    <row r="2273" spans="1:2" x14ac:dyDescent="0.25">
      <c r="A2273" t="s">
        <v>98</v>
      </c>
      <c r="B2273">
        <v>1020</v>
      </c>
    </row>
    <row r="2274" spans="1:2" x14ac:dyDescent="0.25">
      <c r="A2274" t="s">
        <v>98</v>
      </c>
      <c r="B2274">
        <v>1020</v>
      </c>
    </row>
    <row r="2275" spans="1:2" x14ac:dyDescent="0.25">
      <c r="A2275" t="s">
        <v>98</v>
      </c>
      <c r="B2275">
        <v>1020</v>
      </c>
    </row>
    <row r="2276" spans="1:2" x14ac:dyDescent="0.25">
      <c r="A2276" t="s">
        <v>98</v>
      </c>
      <c r="B2276">
        <v>1020</v>
      </c>
    </row>
    <row r="2277" spans="1:2" x14ac:dyDescent="0.25">
      <c r="A2277" t="s">
        <v>98</v>
      </c>
      <c r="B2277">
        <v>1020</v>
      </c>
    </row>
    <row r="2278" spans="1:2" x14ac:dyDescent="0.25">
      <c r="A2278" t="s">
        <v>98</v>
      </c>
      <c r="B2278">
        <v>1020</v>
      </c>
    </row>
    <row r="2279" spans="1:2" x14ac:dyDescent="0.25">
      <c r="A2279" t="s">
        <v>98</v>
      </c>
      <c r="B2279">
        <v>1020</v>
      </c>
    </row>
    <row r="2280" spans="1:2" x14ac:dyDescent="0.25">
      <c r="A2280" t="s">
        <v>98</v>
      </c>
      <c r="B2280">
        <v>1020</v>
      </c>
    </row>
    <row r="2281" spans="1:2" x14ac:dyDescent="0.25">
      <c r="A2281" t="s">
        <v>98</v>
      </c>
      <c r="B2281">
        <v>1020</v>
      </c>
    </row>
    <row r="2282" spans="1:2" x14ac:dyDescent="0.25">
      <c r="A2282" t="s">
        <v>98</v>
      </c>
      <c r="B2282">
        <v>1020</v>
      </c>
    </row>
    <row r="2283" spans="1:2" x14ac:dyDescent="0.25">
      <c r="A2283" t="s">
        <v>98</v>
      </c>
      <c r="B2283">
        <v>1020</v>
      </c>
    </row>
    <row r="2284" spans="1:2" x14ac:dyDescent="0.25">
      <c r="A2284" t="s">
        <v>100</v>
      </c>
      <c r="B2284">
        <v>1050</v>
      </c>
    </row>
    <row r="2285" spans="1:2" x14ac:dyDescent="0.25">
      <c r="A2285" t="s">
        <v>100</v>
      </c>
      <c r="B2285">
        <v>1050</v>
      </c>
    </row>
    <row r="2286" spans="1:2" x14ac:dyDescent="0.25">
      <c r="A2286" t="s">
        <v>100</v>
      </c>
      <c r="B2286">
        <v>1050</v>
      </c>
    </row>
    <row r="2287" spans="1:2" x14ac:dyDescent="0.25">
      <c r="A2287" t="s">
        <v>100</v>
      </c>
      <c r="B2287">
        <v>1050</v>
      </c>
    </row>
    <row r="2288" spans="1:2" x14ac:dyDescent="0.25">
      <c r="A2288" t="s">
        <v>100</v>
      </c>
      <c r="B2288">
        <v>1050</v>
      </c>
    </row>
    <row r="2289" spans="1:2" x14ac:dyDescent="0.25">
      <c r="A2289" t="s">
        <v>100</v>
      </c>
      <c r="B2289">
        <v>1050</v>
      </c>
    </row>
    <row r="2290" spans="1:2" x14ac:dyDescent="0.25">
      <c r="A2290" t="s">
        <v>100</v>
      </c>
      <c r="B2290">
        <v>1050</v>
      </c>
    </row>
    <row r="2291" spans="1:2" x14ac:dyDescent="0.25">
      <c r="A2291" t="s">
        <v>100</v>
      </c>
      <c r="B2291">
        <v>1050</v>
      </c>
    </row>
    <row r="2292" spans="1:2" x14ac:dyDescent="0.25">
      <c r="A2292" t="s">
        <v>100</v>
      </c>
      <c r="B2292">
        <v>1050</v>
      </c>
    </row>
    <row r="2293" spans="1:2" x14ac:dyDescent="0.25">
      <c r="A2293" t="s">
        <v>100</v>
      </c>
      <c r="B2293">
        <v>1050</v>
      </c>
    </row>
    <row r="2294" spans="1:2" x14ac:dyDescent="0.25">
      <c r="A2294" t="s">
        <v>100</v>
      </c>
      <c r="B2294">
        <v>1050</v>
      </c>
    </row>
    <row r="2295" spans="1:2" x14ac:dyDescent="0.25">
      <c r="A2295" t="s">
        <v>100</v>
      </c>
      <c r="B2295">
        <v>1050</v>
      </c>
    </row>
    <row r="2296" spans="1:2" x14ac:dyDescent="0.25">
      <c r="A2296" t="s">
        <v>100</v>
      </c>
      <c r="B2296">
        <v>1050</v>
      </c>
    </row>
    <row r="2297" spans="1:2" x14ac:dyDescent="0.25">
      <c r="A2297" t="s">
        <v>100</v>
      </c>
      <c r="B2297">
        <v>1050</v>
      </c>
    </row>
    <row r="2298" spans="1:2" x14ac:dyDescent="0.25">
      <c r="A2298" t="s">
        <v>100</v>
      </c>
      <c r="B2298">
        <v>1050</v>
      </c>
    </row>
    <row r="2299" spans="1:2" x14ac:dyDescent="0.25">
      <c r="A2299" t="s">
        <v>100</v>
      </c>
      <c r="B2299">
        <v>1050</v>
      </c>
    </row>
    <row r="2300" spans="1:2" x14ac:dyDescent="0.25">
      <c r="A2300" t="s">
        <v>100</v>
      </c>
      <c r="B2300">
        <v>1050</v>
      </c>
    </row>
    <row r="2301" spans="1:2" x14ac:dyDescent="0.25">
      <c r="A2301" t="s">
        <v>100</v>
      </c>
      <c r="B2301">
        <v>1050</v>
      </c>
    </row>
    <row r="2302" spans="1:2" x14ac:dyDescent="0.25">
      <c r="A2302" t="s">
        <v>100</v>
      </c>
      <c r="B2302">
        <v>1050</v>
      </c>
    </row>
    <row r="2303" spans="1:2" x14ac:dyDescent="0.25">
      <c r="A2303" t="s">
        <v>100</v>
      </c>
      <c r="B2303">
        <v>1050</v>
      </c>
    </row>
    <row r="2304" spans="1:2" x14ac:dyDescent="0.25">
      <c r="A2304" t="s">
        <v>100</v>
      </c>
      <c r="B2304">
        <v>1050</v>
      </c>
    </row>
    <row r="2305" spans="1:2" x14ac:dyDescent="0.25">
      <c r="A2305" t="s">
        <v>100</v>
      </c>
      <c r="B2305">
        <v>1050</v>
      </c>
    </row>
    <row r="2306" spans="1:2" x14ac:dyDescent="0.25">
      <c r="A2306" t="s">
        <v>100</v>
      </c>
      <c r="B2306">
        <v>1050</v>
      </c>
    </row>
    <row r="2307" spans="1:2" x14ac:dyDescent="0.25">
      <c r="A2307" t="s">
        <v>100</v>
      </c>
      <c r="B2307">
        <v>1050</v>
      </c>
    </row>
    <row r="2308" spans="1:2" x14ac:dyDescent="0.25">
      <c r="A2308" t="s">
        <v>100</v>
      </c>
      <c r="B2308">
        <v>1050</v>
      </c>
    </row>
    <row r="2309" spans="1:2" x14ac:dyDescent="0.25">
      <c r="A2309" t="s">
        <v>100</v>
      </c>
      <c r="B2309">
        <v>1050</v>
      </c>
    </row>
    <row r="2310" spans="1:2" x14ac:dyDescent="0.25">
      <c r="A2310" t="s">
        <v>100</v>
      </c>
      <c r="B2310">
        <v>1050</v>
      </c>
    </row>
    <row r="2311" spans="1:2" x14ac:dyDescent="0.25">
      <c r="A2311" t="s">
        <v>100</v>
      </c>
      <c r="B2311">
        <v>1050</v>
      </c>
    </row>
    <row r="2312" spans="1:2" x14ac:dyDescent="0.25">
      <c r="A2312" t="s">
        <v>100</v>
      </c>
      <c r="B2312">
        <v>1050</v>
      </c>
    </row>
    <row r="2313" spans="1:2" x14ac:dyDescent="0.25">
      <c r="A2313" t="s">
        <v>100</v>
      </c>
      <c r="B2313">
        <v>1050</v>
      </c>
    </row>
    <row r="2314" spans="1:2" x14ac:dyDescent="0.25">
      <c r="A2314" t="s">
        <v>100</v>
      </c>
      <c r="B2314">
        <v>1050</v>
      </c>
    </row>
    <row r="2315" spans="1:2" x14ac:dyDescent="0.25">
      <c r="A2315" t="s">
        <v>100</v>
      </c>
      <c r="B2315">
        <v>1050</v>
      </c>
    </row>
    <row r="2316" spans="1:2" x14ac:dyDescent="0.25">
      <c r="A2316" t="s">
        <v>100</v>
      </c>
      <c r="B2316">
        <v>1050</v>
      </c>
    </row>
    <row r="2317" spans="1:2" x14ac:dyDescent="0.25">
      <c r="A2317" t="s">
        <v>100</v>
      </c>
      <c r="B2317">
        <v>1050</v>
      </c>
    </row>
    <row r="2318" spans="1:2" x14ac:dyDescent="0.25">
      <c r="A2318" t="s">
        <v>100</v>
      </c>
      <c r="B2318">
        <v>1050</v>
      </c>
    </row>
    <row r="2319" spans="1:2" x14ac:dyDescent="0.25">
      <c r="A2319" t="s">
        <v>100</v>
      </c>
      <c r="B2319">
        <v>1050</v>
      </c>
    </row>
    <row r="2320" spans="1:2" x14ac:dyDescent="0.25">
      <c r="A2320" t="s">
        <v>100</v>
      </c>
      <c r="B2320">
        <v>1050</v>
      </c>
    </row>
    <row r="2321" spans="1:2" x14ac:dyDescent="0.25">
      <c r="A2321" t="s">
        <v>100</v>
      </c>
      <c r="B2321">
        <v>1050</v>
      </c>
    </row>
    <row r="2322" spans="1:2" x14ac:dyDescent="0.25">
      <c r="A2322" t="s">
        <v>100</v>
      </c>
      <c r="B2322">
        <v>1050</v>
      </c>
    </row>
    <row r="2323" spans="1:2" x14ac:dyDescent="0.25">
      <c r="A2323" t="s">
        <v>100</v>
      </c>
      <c r="B2323">
        <v>1050</v>
      </c>
    </row>
    <row r="2324" spans="1:2" x14ac:dyDescent="0.25">
      <c r="A2324" t="s">
        <v>100</v>
      </c>
      <c r="B2324">
        <v>1050</v>
      </c>
    </row>
    <row r="2325" spans="1:2" x14ac:dyDescent="0.25">
      <c r="A2325" t="s">
        <v>100</v>
      </c>
      <c r="B2325">
        <v>1050</v>
      </c>
    </row>
    <row r="2326" spans="1:2" x14ac:dyDescent="0.25">
      <c r="A2326" t="s">
        <v>100</v>
      </c>
      <c r="B2326">
        <v>1050</v>
      </c>
    </row>
    <row r="2327" spans="1:2" x14ac:dyDescent="0.25">
      <c r="A2327" t="s">
        <v>100</v>
      </c>
      <c r="B2327">
        <v>1050</v>
      </c>
    </row>
    <row r="2328" spans="1:2" x14ac:dyDescent="0.25">
      <c r="A2328" t="s">
        <v>100</v>
      </c>
      <c r="B2328">
        <v>1050</v>
      </c>
    </row>
    <row r="2329" spans="1:2" x14ac:dyDescent="0.25">
      <c r="A2329" t="s">
        <v>100</v>
      </c>
      <c r="B2329">
        <v>1050</v>
      </c>
    </row>
    <row r="2330" spans="1:2" x14ac:dyDescent="0.25">
      <c r="A2330" t="s">
        <v>100</v>
      </c>
      <c r="B2330">
        <v>1050</v>
      </c>
    </row>
    <row r="2331" spans="1:2" x14ac:dyDescent="0.25">
      <c r="A2331" t="s">
        <v>100</v>
      </c>
      <c r="B2331">
        <v>1050</v>
      </c>
    </row>
    <row r="2332" spans="1:2" x14ac:dyDescent="0.25">
      <c r="A2332" t="s">
        <v>100</v>
      </c>
      <c r="B2332">
        <v>1050</v>
      </c>
    </row>
    <row r="2333" spans="1:2" x14ac:dyDescent="0.25">
      <c r="A2333" t="s">
        <v>100</v>
      </c>
      <c r="B2333">
        <v>1050</v>
      </c>
    </row>
    <row r="2334" spans="1:2" x14ac:dyDescent="0.25">
      <c r="A2334" t="s">
        <v>100</v>
      </c>
      <c r="B2334">
        <v>1050</v>
      </c>
    </row>
    <row r="2335" spans="1:2" x14ac:dyDescent="0.25">
      <c r="A2335" t="s">
        <v>100</v>
      </c>
      <c r="B2335">
        <v>1050</v>
      </c>
    </row>
    <row r="2336" spans="1:2" x14ac:dyDescent="0.25">
      <c r="A2336" t="s">
        <v>100</v>
      </c>
      <c r="B2336">
        <v>1050</v>
      </c>
    </row>
    <row r="2337" spans="1:2" x14ac:dyDescent="0.25">
      <c r="A2337" t="s">
        <v>100</v>
      </c>
      <c r="B2337">
        <v>1050</v>
      </c>
    </row>
    <row r="2338" spans="1:2" x14ac:dyDescent="0.25">
      <c r="A2338" t="s">
        <v>100</v>
      </c>
      <c r="B2338">
        <v>1050</v>
      </c>
    </row>
    <row r="2339" spans="1:2" x14ac:dyDescent="0.25">
      <c r="A2339" t="s">
        <v>100</v>
      </c>
      <c r="B2339">
        <v>1050</v>
      </c>
    </row>
    <row r="2340" spans="1:2" x14ac:dyDescent="0.25">
      <c r="A2340" t="s">
        <v>100</v>
      </c>
      <c r="B2340">
        <v>1050</v>
      </c>
    </row>
    <row r="2341" spans="1:2" x14ac:dyDescent="0.25">
      <c r="A2341" t="s">
        <v>100</v>
      </c>
      <c r="B2341">
        <v>1050</v>
      </c>
    </row>
    <row r="2342" spans="1:2" x14ac:dyDescent="0.25">
      <c r="A2342" t="s">
        <v>100</v>
      </c>
      <c r="B2342">
        <v>1050</v>
      </c>
    </row>
    <row r="2343" spans="1:2" x14ac:dyDescent="0.25">
      <c r="A2343" t="s">
        <v>100</v>
      </c>
      <c r="B2343">
        <v>1050</v>
      </c>
    </row>
    <row r="2344" spans="1:2" x14ac:dyDescent="0.25">
      <c r="A2344" t="s">
        <v>100</v>
      </c>
      <c r="B2344">
        <v>1050</v>
      </c>
    </row>
    <row r="2345" spans="1:2" x14ac:dyDescent="0.25">
      <c r="A2345" t="s">
        <v>100</v>
      </c>
      <c r="B2345">
        <v>1050</v>
      </c>
    </row>
    <row r="2346" spans="1:2" x14ac:dyDescent="0.25">
      <c r="A2346" t="s">
        <v>100</v>
      </c>
      <c r="B2346">
        <v>1050</v>
      </c>
    </row>
    <row r="2347" spans="1:2" x14ac:dyDescent="0.25">
      <c r="A2347" t="s">
        <v>100</v>
      </c>
      <c r="B2347">
        <v>1050</v>
      </c>
    </row>
    <row r="2348" spans="1:2" x14ac:dyDescent="0.25">
      <c r="A2348" t="s">
        <v>100</v>
      </c>
      <c r="B2348">
        <v>1050</v>
      </c>
    </row>
    <row r="2349" spans="1:2" x14ac:dyDescent="0.25">
      <c r="A2349" t="s">
        <v>100</v>
      </c>
      <c r="B2349">
        <v>1050</v>
      </c>
    </row>
    <row r="2350" spans="1:2" x14ac:dyDescent="0.25">
      <c r="A2350" t="s">
        <v>100</v>
      </c>
      <c r="B2350">
        <v>1050</v>
      </c>
    </row>
    <row r="2351" spans="1:2" x14ac:dyDescent="0.25">
      <c r="A2351" t="s">
        <v>100</v>
      </c>
      <c r="B2351">
        <v>1050</v>
      </c>
    </row>
    <row r="2352" spans="1:2" x14ac:dyDescent="0.25">
      <c r="A2352" t="s">
        <v>100</v>
      </c>
      <c r="B2352">
        <v>1050</v>
      </c>
    </row>
    <row r="2353" spans="1:2" x14ac:dyDescent="0.25">
      <c r="A2353" t="s">
        <v>100</v>
      </c>
      <c r="B2353">
        <v>1050</v>
      </c>
    </row>
    <row r="2354" spans="1:2" x14ac:dyDescent="0.25">
      <c r="A2354" t="s">
        <v>100</v>
      </c>
      <c r="B2354">
        <v>1050</v>
      </c>
    </row>
    <row r="2355" spans="1:2" x14ac:dyDescent="0.25">
      <c r="A2355" t="s">
        <v>100</v>
      </c>
      <c r="B2355">
        <v>1050</v>
      </c>
    </row>
    <row r="2356" spans="1:2" x14ac:dyDescent="0.25">
      <c r="A2356" t="s">
        <v>100</v>
      </c>
      <c r="B2356">
        <v>1050</v>
      </c>
    </row>
    <row r="2357" spans="1:2" x14ac:dyDescent="0.25">
      <c r="A2357" t="s">
        <v>100</v>
      </c>
      <c r="B2357">
        <v>1050</v>
      </c>
    </row>
    <row r="2358" spans="1:2" x14ac:dyDescent="0.25">
      <c r="A2358" t="s">
        <v>100</v>
      </c>
      <c r="B2358">
        <v>1050</v>
      </c>
    </row>
    <row r="2359" spans="1:2" x14ac:dyDescent="0.25">
      <c r="A2359" t="s">
        <v>100</v>
      </c>
      <c r="B2359">
        <v>1050</v>
      </c>
    </row>
    <row r="2360" spans="1:2" x14ac:dyDescent="0.25">
      <c r="A2360" t="s">
        <v>100</v>
      </c>
      <c r="B2360">
        <v>1050</v>
      </c>
    </row>
    <row r="2361" spans="1:2" x14ac:dyDescent="0.25">
      <c r="A2361" t="s">
        <v>100</v>
      </c>
      <c r="B2361">
        <v>1050</v>
      </c>
    </row>
    <row r="2362" spans="1:2" x14ac:dyDescent="0.25">
      <c r="A2362" t="s">
        <v>100</v>
      </c>
      <c r="B2362">
        <v>1050</v>
      </c>
    </row>
    <row r="2363" spans="1:2" x14ac:dyDescent="0.25">
      <c r="A2363" t="s">
        <v>100</v>
      </c>
      <c r="B2363">
        <v>1050</v>
      </c>
    </row>
    <row r="2364" spans="1:2" x14ac:dyDescent="0.25">
      <c r="A2364" t="s">
        <v>100</v>
      </c>
      <c r="B2364">
        <v>1050</v>
      </c>
    </row>
    <row r="2365" spans="1:2" x14ac:dyDescent="0.25">
      <c r="A2365" t="s">
        <v>100</v>
      </c>
      <c r="B2365">
        <v>1050</v>
      </c>
    </row>
    <row r="2366" spans="1:2" x14ac:dyDescent="0.25">
      <c r="A2366" t="s">
        <v>100</v>
      </c>
      <c r="B2366">
        <v>1050</v>
      </c>
    </row>
    <row r="2367" spans="1:2" x14ac:dyDescent="0.25">
      <c r="A2367" t="s">
        <v>100</v>
      </c>
      <c r="B2367">
        <v>1050</v>
      </c>
    </row>
    <row r="2368" spans="1:2" x14ac:dyDescent="0.25">
      <c r="A2368" t="s">
        <v>100</v>
      </c>
      <c r="B2368">
        <v>1050</v>
      </c>
    </row>
    <row r="2369" spans="1:2" x14ac:dyDescent="0.25">
      <c r="A2369" t="s">
        <v>100</v>
      </c>
      <c r="B2369">
        <v>1050</v>
      </c>
    </row>
    <row r="2370" spans="1:2" x14ac:dyDescent="0.25">
      <c r="A2370" t="s">
        <v>100</v>
      </c>
      <c r="B2370">
        <v>1050</v>
      </c>
    </row>
    <row r="2371" spans="1:2" x14ac:dyDescent="0.25">
      <c r="A2371" t="s">
        <v>100</v>
      </c>
      <c r="B2371">
        <v>1050</v>
      </c>
    </row>
    <row r="2372" spans="1:2" x14ac:dyDescent="0.25">
      <c r="A2372" t="s">
        <v>100</v>
      </c>
      <c r="B2372">
        <v>1050</v>
      </c>
    </row>
    <row r="2373" spans="1:2" x14ac:dyDescent="0.25">
      <c r="A2373" t="s">
        <v>100</v>
      </c>
      <c r="B2373">
        <v>1050</v>
      </c>
    </row>
    <row r="2374" spans="1:2" x14ac:dyDescent="0.25">
      <c r="A2374" t="s">
        <v>100</v>
      </c>
      <c r="B2374">
        <v>1050</v>
      </c>
    </row>
    <row r="2375" spans="1:2" x14ac:dyDescent="0.25">
      <c r="A2375" t="s">
        <v>100</v>
      </c>
      <c r="B2375">
        <v>1050</v>
      </c>
    </row>
    <row r="2376" spans="1:2" x14ac:dyDescent="0.25">
      <c r="A2376" t="s">
        <v>100</v>
      </c>
      <c r="B2376">
        <v>1050</v>
      </c>
    </row>
    <row r="2377" spans="1:2" x14ac:dyDescent="0.25">
      <c r="A2377" t="s">
        <v>100</v>
      </c>
      <c r="B2377">
        <v>1050</v>
      </c>
    </row>
    <row r="2378" spans="1:2" x14ac:dyDescent="0.25">
      <c r="A2378" t="s">
        <v>100</v>
      </c>
      <c r="B2378">
        <v>1050</v>
      </c>
    </row>
    <row r="2379" spans="1:2" x14ac:dyDescent="0.25">
      <c r="A2379" t="s">
        <v>100</v>
      </c>
      <c r="B2379">
        <v>1050</v>
      </c>
    </row>
    <row r="2380" spans="1:2" x14ac:dyDescent="0.25">
      <c r="A2380" t="s">
        <v>100</v>
      </c>
      <c r="B2380">
        <v>1050</v>
      </c>
    </row>
    <row r="2381" spans="1:2" x14ac:dyDescent="0.25">
      <c r="A2381" t="s">
        <v>100</v>
      </c>
      <c r="B2381">
        <v>1050</v>
      </c>
    </row>
    <row r="2382" spans="1:2" x14ac:dyDescent="0.25">
      <c r="A2382" t="s">
        <v>100</v>
      </c>
      <c r="B2382">
        <v>1050</v>
      </c>
    </row>
    <row r="2383" spans="1:2" x14ac:dyDescent="0.25">
      <c r="A2383" t="s">
        <v>100</v>
      </c>
      <c r="B2383">
        <v>1050</v>
      </c>
    </row>
    <row r="2384" spans="1:2" x14ac:dyDescent="0.25">
      <c r="A2384" t="s">
        <v>100</v>
      </c>
      <c r="B2384">
        <v>1050</v>
      </c>
    </row>
    <row r="2385" spans="1:2" x14ac:dyDescent="0.25">
      <c r="A2385" t="s">
        <v>100</v>
      </c>
      <c r="B2385">
        <v>1050</v>
      </c>
    </row>
    <row r="2386" spans="1:2" x14ac:dyDescent="0.25">
      <c r="A2386" t="s">
        <v>100</v>
      </c>
      <c r="B2386">
        <v>1050</v>
      </c>
    </row>
    <row r="2387" spans="1:2" x14ac:dyDescent="0.25">
      <c r="A2387" t="s">
        <v>100</v>
      </c>
      <c r="B2387">
        <v>1050</v>
      </c>
    </row>
    <row r="2388" spans="1:2" x14ac:dyDescent="0.25">
      <c r="A2388" t="s">
        <v>100</v>
      </c>
      <c r="B2388">
        <v>1050</v>
      </c>
    </row>
    <row r="2389" spans="1:2" x14ac:dyDescent="0.25">
      <c r="A2389" t="s">
        <v>100</v>
      </c>
      <c r="B2389">
        <v>1050</v>
      </c>
    </row>
    <row r="2390" spans="1:2" x14ac:dyDescent="0.25">
      <c r="A2390" t="s">
        <v>100</v>
      </c>
      <c r="B2390">
        <v>1050</v>
      </c>
    </row>
    <row r="2391" spans="1:2" x14ac:dyDescent="0.25">
      <c r="A2391" t="s">
        <v>100</v>
      </c>
      <c r="B2391">
        <v>1050</v>
      </c>
    </row>
    <row r="2392" spans="1:2" x14ac:dyDescent="0.25">
      <c r="A2392" t="s">
        <v>100</v>
      </c>
      <c r="B2392">
        <v>1050</v>
      </c>
    </row>
    <row r="2393" spans="1:2" x14ac:dyDescent="0.25">
      <c r="A2393" t="s">
        <v>100</v>
      </c>
      <c r="B2393">
        <v>1050</v>
      </c>
    </row>
    <row r="2394" spans="1:2" x14ac:dyDescent="0.25">
      <c r="A2394" t="s">
        <v>100</v>
      </c>
      <c r="B2394">
        <v>1050</v>
      </c>
    </row>
    <row r="2395" spans="1:2" x14ac:dyDescent="0.25">
      <c r="A2395" t="s">
        <v>100</v>
      </c>
      <c r="B2395">
        <v>1050</v>
      </c>
    </row>
    <row r="2396" spans="1:2" x14ac:dyDescent="0.25">
      <c r="A2396" t="s">
        <v>100</v>
      </c>
      <c r="B2396">
        <v>1050</v>
      </c>
    </row>
    <row r="2397" spans="1:2" x14ac:dyDescent="0.25">
      <c r="A2397" t="s">
        <v>100</v>
      </c>
      <c r="B2397">
        <v>1050</v>
      </c>
    </row>
    <row r="2398" spans="1:2" x14ac:dyDescent="0.25">
      <c r="A2398" t="s">
        <v>100</v>
      </c>
      <c r="B2398">
        <v>1050</v>
      </c>
    </row>
    <row r="2399" spans="1:2" x14ac:dyDescent="0.25">
      <c r="A2399" t="s">
        <v>100</v>
      </c>
      <c r="B2399">
        <v>1050</v>
      </c>
    </row>
    <row r="2400" spans="1:2" x14ac:dyDescent="0.25">
      <c r="A2400" t="s">
        <v>100</v>
      </c>
      <c r="B2400">
        <v>1050</v>
      </c>
    </row>
    <row r="2401" spans="1:2" x14ac:dyDescent="0.25">
      <c r="A2401" t="s">
        <v>100</v>
      </c>
      <c r="B2401">
        <v>1050</v>
      </c>
    </row>
    <row r="2402" spans="1:2" x14ac:dyDescent="0.25">
      <c r="A2402" t="s">
        <v>100</v>
      </c>
      <c r="B2402">
        <v>1050</v>
      </c>
    </row>
    <row r="2403" spans="1:2" x14ac:dyDescent="0.25">
      <c r="A2403" t="s">
        <v>100</v>
      </c>
      <c r="B2403">
        <v>1050</v>
      </c>
    </row>
    <row r="2404" spans="1:2" x14ac:dyDescent="0.25">
      <c r="A2404" t="s">
        <v>100</v>
      </c>
      <c r="B2404">
        <v>1050</v>
      </c>
    </row>
    <row r="2405" spans="1:2" x14ac:dyDescent="0.25">
      <c r="A2405" t="s">
        <v>100</v>
      </c>
      <c r="B2405">
        <v>1050</v>
      </c>
    </row>
    <row r="2406" spans="1:2" x14ac:dyDescent="0.25">
      <c r="A2406" t="s">
        <v>100</v>
      </c>
      <c r="B2406">
        <v>1050</v>
      </c>
    </row>
    <row r="2407" spans="1:2" x14ac:dyDescent="0.25">
      <c r="A2407" t="s">
        <v>100</v>
      </c>
      <c r="B2407">
        <v>1050</v>
      </c>
    </row>
    <row r="2408" spans="1:2" x14ac:dyDescent="0.25">
      <c r="A2408" t="s">
        <v>100</v>
      </c>
      <c r="B2408">
        <v>1050</v>
      </c>
    </row>
    <row r="2409" spans="1:2" x14ac:dyDescent="0.25">
      <c r="A2409" t="s">
        <v>100</v>
      </c>
      <c r="B2409">
        <v>1050</v>
      </c>
    </row>
    <row r="2410" spans="1:2" x14ac:dyDescent="0.25">
      <c r="A2410" t="s">
        <v>101</v>
      </c>
      <c r="B2410">
        <v>1060</v>
      </c>
    </row>
    <row r="2411" spans="1:2" x14ac:dyDescent="0.25">
      <c r="A2411" t="s">
        <v>101</v>
      </c>
      <c r="B2411">
        <v>1060</v>
      </c>
    </row>
    <row r="2412" spans="1:2" x14ac:dyDescent="0.25">
      <c r="A2412" t="s">
        <v>101</v>
      </c>
      <c r="B2412">
        <v>1060</v>
      </c>
    </row>
    <row r="2413" spans="1:2" x14ac:dyDescent="0.25">
      <c r="A2413" t="s">
        <v>101</v>
      </c>
      <c r="B2413">
        <v>1060</v>
      </c>
    </row>
    <row r="2414" spans="1:2" x14ac:dyDescent="0.25">
      <c r="A2414" t="s">
        <v>101</v>
      </c>
      <c r="B2414">
        <v>1060</v>
      </c>
    </row>
    <row r="2415" spans="1:2" x14ac:dyDescent="0.25">
      <c r="A2415" t="s">
        <v>101</v>
      </c>
      <c r="B2415">
        <v>1060</v>
      </c>
    </row>
    <row r="2416" spans="1:2" x14ac:dyDescent="0.25">
      <c r="A2416" t="s">
        <v>101</v>
      </c>
      <c r="B2416">
        <v>1060</v>
      </c>
    </row>
    <row r="2417" spans="1:2" x14ac:dyDescent="0.25">
      <c r="A2417" t="s">
        <v>101</v>
      </c>
      <c r="B2417">
        <v>1060</v>
      </c>
    </row>
    <row r="2418" spans="1:2" x14ac:dyDescent="0.25">
      <c r="A2418" t="s">
        <v>101</v>
      </c>
      <c r="B2418">
        <v>1060</v>
      </c>
    </row>
    <row r="2419" spans="1:2" x14ac:dyDescent="0.25">
      <c r="A2419" t="s">
        <v>101</v>
      </c>
      <c r="B2419">
        <v>1060</v>
      </c>
    </row>
    <row r="2420" spans="1:2" x14ac:dyDescent="0.25">
      <c r="A2420" t="s">
        <v>101</v>
      </c>
      <c r="B2420">
        <v>1060</v>
      </c>
    </row>
    <row r="2421" spans="1:2" x14ac:dyDescent="0.25">
      <c r="A2421" t="s">
        <v>101</v>
      </c>
      <c r="B2421">
        <v>1060</v>
      </c>
    </row>
    <row r="2422" spans="1:2" x14ac:dyDescent="0.25">
      <c r="A2422" t="s">
        <v>101</v>
      </c>
      <c r="B2422">
        <v>1060</v>
      </c>
    </row>
    <row r="2423" spans="1:2" x14ac:dyDescent="0.25">
      <c r="A2423" t="s">
        <v>101</v>
      </c>
      <c r="B2423">
        <v>1060</v>
      </c>
    </row>
    <row r="2424" spans="1:2" x14ac:dyDescent="0.25">
      <c r="A2424" t="s">
        <v>101</v>
      </c>
      <c r="B2424">
        <v>1060</v>
      </c>
    </row>
    <row r="2425" spans="1:2" x14ac:dyDescent="0.25">
      <c r="A2425" t="s">
        <v>101</v>
      </c>
      <c r="B2425">
        <v>1060</v>
      </c>
    </row>
    <row r="2426" spans="1:2" x14ac:dyDescent="0.25">
      <c r="A2426" t="s">
        <v>101</v>
      </c>
      <c r="B2426">
        <v>1060</v>
      </c>
    </row>
    <row r="2427" spans="1:2" x14ac:dyDescent="0.25">
      <c r="A2427" t="s">
        <v>101</v>
      </c>
      <c r="B2427">
        <v>1060</v>
      </c>
    </row>
    <row r="2428" spans="1:2" x14ac:dyDescent="0.25">
      <c r="A2428" t="s">
        <v>101</v>
      </c>
      <c r="B2428">
        <v>1060</v>
      </c>
    </row>
    <row r="2429" spans="1:2" x14ac:dyDescent="0.25">
      <c r="A2429" t="s">
        <v>101</v>
      </c>
      <c r="B2429">
        <v>1060</v>
      </c>
    </row>
    <row r="2430" spans="1:2" x14ac:dyDescent="0.25">
      <c r="A2430" t="s">
        <v>101</v>
      </c>
      <c r="B2430">
        <v>1060</v>
      </c>
    </row>
    <row r="2431" spans="1:2" x14ac:dyDescent="0.25">
      <c r="A2431" t="s">
        <v>101</v>
      </c>
      <c r="B2431">
        <v>1060</v>
      </c>
    </row>
    <row r="2432" spans="1:2" x14ac:dyDescent="0.25">
      <c r="A2432" t="s">
        <v>101</v>
      </c>
      <c r="B2432">
        <v>1060</v>
      </c>
    </row>
    <row r="2433" spans="1:2" x14ac:dyDescent="0.25">
      <c r="A2433" t="s">
        <v>101</v>
      </c>
      <c r="B2433">
        <v>1060</v>
      </c>
    </row>
    <row r="2434" spans="1:2" x14ac:dyDescent="0.25">
      <c r="A2434" t="s">
        <v>102</v>
      </c>
      <c r="B2434">
        <v>1090</v>
      </c>
    </row>
    <row r="2435" spans="1:2" x14ac:dyDescent="0.25">
      <c r="A2435" t="s">
        <v>105</v>
      </c>
      <c r="B2435">
        <v>1130</v>
      </c>
    </row>
    <row r="2436" spans="1:2" x14ac:dyDescent="0.25">
      <c r="A2436" t="s">
        <v>106</v>
      </c>
      <c r="B2436">
        <v>1140</v>
      </c>
    </row>
    <row r="2437" spans="1:2" x14ac:dyDescent="0.25">
      <c r="A2437" t="s">
        <v>106</v>
      </c>
      <c r="B2437">
        <v>1140</v>
      </c>
    </row>
    <row r="2438" spans="1:2" x14ac:dyDescent="0.25">
      <c r="A2438" t="s">
        <v>106</v>
      </c>
      <c r="B2438">
        <v>1140</v>
      </c>
    </row>
    <row r="2439" spans="1:2" x14ac:dyDescent="0.25">
      <c r="A2439" t="s">
        <v>106</v>
      </c>
      <c r="B2439">
        <v>1140</v>
      </c>
    </row>
    <row r="2440" spans="1:2" x14ac:dyDescent="0.25">
      <c r="A2440" t="s">
        <v>106</v>
      </c>
      <c r="B2440">
        <v>1140</v>
      </c>
    </row>
    <row r="2441" spans="1:2" x14ac:dyDescent="0.25">
      <c r="A2441" t="s">
        <v>106</v>
      </c>
      <c r="B2441">
        <v>1140</v>
      </c>
    </row>
    <row r="2442" spans="1:2" x14ac:dyDescent="0.25">
      <c r="A2442" t="s">
        <v>106</v>
      </c>
      <c r="B2442">
        <v>1140</v>
      </c>
    </row>
    <row r="2443" spans="1:2" x14ac:dyDescent="0.25">
      <c r="A2443" t="s">
        <v>106</v>
      </c>
      <c r="B2443">
        <v>1140</v>
      </c>
    </row>
    <row r="2444" spans="1:2" x14ac:dyDescent="0.25">
      <c r="A2444" t="s">
        <v>106</v>
      </c>
      <c r="B2444">
        <v>1140</v>
      </c>
    </row>
    <row r="2445" spans="1:2" x14ac:dyDescent="0.25">
      <c r="A2445" t="s">
        <v>106</v>
      </c>
      <c r="B2445">
        <v>1140</v>
      </c>
    </row>
    <row r="2446" spans="1:2" x14ac:dyDescent="0.25">
      <c r="A2446" t="s">
        <v>106</v>
      </c>
      <c r="B2446">
        <v>1140</v>
      </c>
    </row>
    <row r="2447" spans="1:2" x14ac:dyDescent="0.25">
      <c r="A2447" t="s">
        <v>106</v>
      </c>
      <c r="B2447">
        <v>1140</v>
      </c>
    </row>
    <row r="2448" spans="1:2" x14ac:dyDescent="0.25">
      <c r="A2448" t="s">
        <v>106</v>
      </c>
      <c r="B2448">
        <v>1140</v>
      </c>
    </row>
    <row r="2449" spans="1:2" x14ac:dyDescent="0.25">
      <c r="A2449" t="s">
        <v>106</v>
      </c>
      <c r="B2449">
        <v>1140</v>
      </c>
    </row>
    <row r="2450" spans="1:2" x14ac:dyDescent="0.25">
      <c r="A2450" t="s">
        <v>106</v>
      </c>
      <c r="B2450">
        <v>1140</v>
      </c>
    </row>
    <row r="2451" spans="1:2" x14ac:dyDescent="0.25">
      <c r="A2451" t="s">
        <v>106</v>
      </c>
      <c r="B2451">
        <v>1140</v>
      </c>
    </row>
    <row r="2452" spans="1:2" x14ac:dyDescent="0.25">
      <c r="A2452" t="s">
        <v>106</v>
      </c>
      <c r="B2452">
        <v>1140</v>
      </c>
    </row>
    <row r="2453" spans="1:2" x14ac:dyDescent="0.25">
      <c r="A2453" t="s">
        <v>106</v>
      </c>
      <c r="B2453">
        <v>1140</v>
      </c>
    </row>
    <row r="2454" spans="1:2" x14ac:dyDescent="0.25">
      <c r="A2454" t="s">
        <v>106</v>
      </c>
      <c r="B2454">
        <v>1140</v>
      </c>
    </row>
    <row r="2455" spans="1:2" x14ac:dyDescent="0.25">
      <c r="A2455" t="s">
        <v>106</v>
      </c>
      <c r="B2455">
        <v>1140</v>
      </c>
    </row>
    <row r="2456" spans="1:2" x14ac:dyDescent="0.25">
      <c r="A2456" t="s">
        <v>106</v>
      </c>
      <c r="B2456">
        <v>1140</v>
      </c>
    </row>
    <row r="2457" spans="1:2" x14ac:dyDescent="0.25">
      <c r="A2457" t="s">
        <v>106</v>
      </c>
      <c r="B2457">
        <v>1140</v>
      </c>
    </row>
    <row r="2458" spans="1:2" x14ac:dyDescent="0.25">
      <c r="A2458" t="s">
        <v>106</v>
      </c>
      <c r="B2458">
        <v>1140</v>
      </c>
    </row>
    <row r="2459" spans="1:2" x14ac:dyDescent="0.25">
      <c r="A2459" t="s">
        <v>106</v>
      </c>
      <c r="B2459">
        <v>1140</v>
      </c>
    </row>
    <row r="2460" spans="1:2" x14ac:dyDescent="0.25">
      <c r="A2460" t="s">
        <v>106</v>
      </c>
      <c r="B2460">
        <v>1140</v>
      </c>
    </row>
    <row r="2461" spans="1:2" x14ac:dyDescent="0.25">
      <c r="A2461" t="s">
        <v>106</v>
      </c>
      <c r="B2461">
        <v>1140</v>
      </c>
    </row>
    <row r="2462" spans="1:2" x14ac:dyDescent="0.25">
      <c r="A2462" t="s">
        <v>106</v>
      </c>
      <c r="B2462">
        <v>1140</v>
      </c>
    </row>
    <row r="2463" spans="1:2" x14ac:dyDescent="0.25">
      <c r="A2463" t="s">
        <v>106</v>
      </c>
      <c r="B2463">
        <v>1140</v>
      </c>
    </row>
    <row r="2464" spans="1:2" x14ac:dyDescent="0.25">
      <c r="A2464" t="s">
        <v>106</v>
      </c>
      <c r="B2464">
        <v>1140</v>
      </c>
    </row>
    <row r="2465" spans="1:2" x14ac:dyDescent="0.25">
      <c r="A2465" t="s">
        <v>106</v>
      </c>
      <c r="B2465">
        <v>1140</v>
      </c>
    </row>
    <row r="2466" spans="1:2" x14ac:dyDescent="0.25">
      <c r="A2466" t="s">
        <v>106</v>
      </c>
      <c r="B2466">
        <v>1140</v>
      </c>
    </row>
    <row r="2467" spans="1:2" x14ac:dyDescent="0.25">
      <c r="A2467" t="s">
        <v>106</v>
      </c>
      <c r="B2467">
        <v>1140</v>
      </c>
    </row>
    <row r="2468" spans="1:2" x14ac:dyDescent="0.25">
      <c r="A2468" t="s">
        <v>106</v>
      </c>
      <c r="B2468">
        <v>1140</v>
      </c>
    </row>
    <row r="2469" spans="1:2" x14ac:dyDescent="0.25">
      <c r="A2469" t="s">
        <v>106</v>
      </c>
      <c r="B2469">
        <v>1140</v>
      </c>
    </row>
    <row r="2470" spans="1:2" x14ac:dyDescent="0.25">
      <c r="A2470" t="s">
        <v>106</v>
      </c>
      <c r="B2470">
        <v>1140</v>
      </c>
    </row>
    <row r="2471" spans="1:2" x14ac:dyDescent="0.25">
      <c r="A2471" t="s">
        <v>106</v>
      </c>
      <c r="B2471">
        <v>1140</v>
      </c>
    </row>
    <row r="2472" spans="1:2" x14ac:dyDescent="0.25">
      <c r="A2472" t="s">
        <v>106</v>
      </c>
      <c r="B2472">
        <v>1140</v>
      </c>
    </row>
    <row r="2473" spans="1:2" x14ac:dyDescent="0.25">
      <c r="A2473" t="s">
        <v>106</v>
      </c>
      <c r="B2473">
        <v>1140</v>
      </c>
    </row>
    <row r="2474" spans="1:2" x14ac:dyDescent="0.25">
      <c r="A2474" t="s">
        <v>106</v>
      </c>
      <c r="B2474">
        <v>1140</v>
      </c>
    </row>
    <row r="2475" spans="1:2" x14ac:dyDescent="0.25">
      <c r="A2475" t="s">
        <v>106</v>
      </c>
      <c r="B2475">
        <v>1140</v>
      </c>
    </row>
    <row r="2476" spans="1:2" x14ac:dyDescent="0.25">
      <c r="A2476" t="s">
        <v>106</v>
      </c>
      <c r="B2476">
        <v>1140</v>
      </c>
    </row>
    <row r="2477" spans="1:2" x14ac:dyDescent="0.25">
      <c r="A2477" t="s">
        <v>106</v>
      </c>
      <c r="B2477">
        <v>1140</v>
      </c>
    </row>
    <row r="2478" spans="1:2" x14ac:dyDescent="0.25">
      <c r="A2478" t="s">
        <v>106</v>
      </c>
      <c r="B2478">
        <v>1140</v>
      </c>
    </row>
    <row r="2479" spans="1:2" x14ac:dyDescent="0.25">
      <c r="A2479" t="s">
        <v>106</v>
      </c>
      <c r="B2479">
        <v>1140</v>
      </c>
    </row>
    <row r="2480" spans="1:2" x14ac:dyDescent="0.25">
      <c r="A2480" t="s">
        <v>106</v>
      </c>
      <c r="B2480">
        <v>1140</v>
      </c>
    </row>
    <row r="2481" spans="1:2" x14ac:dyDescent="0.25">
      <c r="A2481" t="s">
        <v>106</v>
      </c>
      <c r="B2481">
        <v>1140</v>
      </c>
    </row>
    <row r="2482" spans="1:2" x14ac:dyDescent="0.25">
      <c r="A2482" t="s">
        <v>106</v>
      </c>
      <c r="B2482">
        <v>1140</v>
      </c>
    </row>
    <row r="2483" spans="1:2" x14ac:dyDescent="0.25">
      <c r="A2483" t="s">
        <v>106</v>
      </c>
      <c r="B2483">
        <v>1140</v>
      </c>
    </row>
    <row r="2484" spans="1:2" x14ac:dyDescent="0.25">
      <c r="A2484" t="s">
        <v>106</v>
      </c>
      <c r="B2484">
        <v>1140</v>
      </c>
    </row>
    <row r="2485" spans="1:2" x14ac:dyDescent="0.25">
      <c r="A2485" t="s">
        <v>106</v>
      </c>
      <c r="B2485">
        <v>1140</v>
      </c>
    </row>
    <row r="2486" spans="1:2" x14ac:dyDescent="0.25">
      <c r="A2486" t="s">
        <v>106</v>
      </c>
      <c r="B2486">
        <v>1140</v>
      </c>
    </row>
    <row r="2487" spans="1:2" x14ac:dyDescent="0.25">
      <c r="A2487" t="s">
        <v>106</v>
      </c>
      <c r="B2487">
        <v>1140</v>
      </c>
    </row>
    <row r="2488" spans="1:2" x14ac:dyDescent="0.25">
      <c r="A2488" t="s">
        <v>106</v>
      </c>
      <c r="B2488">
        <v>1140</v>
      </c>
    </row>
    <row r="2489" spans="1:2" x14ac:dyDescent="0.25">
      <c r="A2489" t="s">
        <v>106</v>
      </c>
      <c r="B2489">
        <v>1140</v>
      </c>
    </row>
    <row r="2490" spans="1:2" x14ac:dyDescent="0.25">
      <c r="A2490" t="s">
        <v>106</v>
      </c>
      <c r="B2490">
        <v>1140</v>
      </c>
    </row>
    <row r="2491" spans="1:2" x14ac:dyDescent="0.25">
      <c r="A2491" t="s">
        <v>106</v>
      </c>
      <c r="B2491">
        <v>1140</v>
      </c>
    </row>
    <row r="2492" spans="1:2" x14ac:dyDescent="0.25">
      <c r="A2492" t="s">
        <v>106</v>
      </c>
      <c r="B2492">
        <v>1140</v>
      </c>
    </row>
    <row r="2493" spans="1:2" x14ac:dyDescent="0.25">
      <c r="A2493" t="s">
        <v>106</v>
      </c>
      <c r="B2493">
        <v>1140</v>
      </c>
    </row>
    <row r="2494" spans="1:2" x14ac:dyDescent="0.25">
      <c r="A2494" t="s">
        <v>106</v>
      </c>
      <c r="B2494">
        <v>1140</v>
      </c>
    </row>
    <row r="2495" spans="1:2" x14ac:dyDescent="0.25">
      <c r="A2495" t="s">
        <v>106</v>
      </c>
      <c r="B2495">
        <v>1140</v>
      </c>
    </row>
    <row r="2496" spans="1:2" x14ac:dyDescent="0.25">
      <c r="A2496" t="s">
        <v>106</v>
      </c>
      <c r="B2496">
        <v>1140</v>
      </c>
    </row>
    <row r="2497" spans="1:2" x14ac:dyDescent="0.25">
      <c r="A2497" t="s">
        <v>106</v>
      </c>
      <c r="B2497">
        <v>1140</v>
      </c>
    </row>
    <row r="2498" spans="1:2" x14ac:dyDescent="0.25">
      <c r="A2498" t="s">
        <v>106</v>
      </c>
      <c r="B2498">
        <v>1140</v>
      </c>
    </row>
    <row r="2499" spans="1:2" x14ac:dyDescent="0.25">
      <c r="A2499" t="s">
        <v>106</v>
      </c>
      <c r="B2499">
        <v>1140</v>
      </c>
    </row>
    <row r="2500" spans="1:2" x14ac:dyDescent="0.25">
      <c r="A2500" t="s">
        <v>106</v>
      </c>
      <c r="B2500">
        <v>1140</v>
      </c>
    </row>
    <row r="2501" spans="1:2" x14ac:dyDescent="0.25">
      <c r="A2501" t="s">
        <v>106</v>
      </c>
      <c r="B2501">
        <v>1140</v>
      </c>
    </row>
    <row r="2502" spans="1:2" x14ac:dyDescent="0.25">
      <c r="A2502" t="s">
        <v>106</v>
      </c>
      <c r="B2502">
        <v>1140</v>
      </c>
    </row>
    <row r="2503" spans="1:2" x14ac:dyDescent="0.25">
      <c r="A2503" t="s">
        <v>106</v>
      </c>
      <c r="B2503">
        <v>1140</v>
      </c>
    </row>
    <row r="2504" spans="1:2" x14ac:dyDescent="0.25">
      <c r="A2504" t="s">
        <v>106</v>
      </c>
      <c r="B2504">
        <v>1140</v>
      </c>
    </row>
    <row r="2505" spans="1:2" x14ac:dyDescent="0.25">
      <c r="A2505" t="s">
        <v>106</v>
      </c>
      <c r="B2505">
        <v>1140</v>
      </c>
    </row>
    <row r="2506" spans="1:2" x14ac:dyDescent="0.25">
      <c r="A2506" t="s">
        <v>106</v>
      </c>
      <c r="B2506">
        <v>1140</v>
      </c>
    </row>
    <row r="2507" spans="1:2" x14ac:dyDescent="0.25">
      <c r="A2507" t="s">
        <v>106</v>
      </c>
      <c r="B2507">
        <v>1140</v>
      </c>
    </row>
    <row r="2508" spans="1:2" x14ac:dyDescent="0.25">
      <c r="A2508" t="s">
        <v>106</v>
      </c>
      <c r="B2508">
        <v>1140</v>
      </c>
    </row>
    <row r="2509" spans="1:2" x14ac:dyDescent="0.25">
      <c r="A2509" t="s">
        <v>106</v>
      </c>
      <c r="B2509">
        <v>1140</v>
      </c>
    </row>
    <row r="2510" spans="1:2" x14ac:dyDescent="0.25">
      <c r="A2510" t="s">
        <v>106</v>
      </c>
      <c r="B2510">
        <v>1140</v>
      </c>
    </row>
    <row r="2511" spans="1:2" x14ac:dyDescent="0.25">
      <c r="A2511" t="s">
        <v>106</v>
      </c>
      <c r="B2511">
        <v>1140</v>
      </c>
    </row>
    <row r="2512" spans="1:2" x14ac:dyDescent="0.25">
      <c r="A2512" t="s">
        <v>106</v>
      </c>
      <c r="B2512">
        <v>1140</v>
      </c>
    </row>
    <row r="2513" spans="1:2" x14ac:dyDescent="0.25">
      <c r="A2513" t="s">
        <v>106</v>
      </c>
      <c r="B2513">
        <v>1140</v>
      </c>
    </row>
    <row r="2514" spans="1:2" x14ac:dyDescent="0.25">
      <c r="A2514" t="s">
        <v>106</v>
      </c>
      <c r="B2514">
        <v>1140</v>
      </c>
    </row>
    <row r="2515" spans="1:2" x14ac:dyDescent="0.25">
      <c r="A2515" t="s">
        <v>106</v>
      </c>
      <c r="B2515">
        <v>1140</v>
      </c>
    </row>
    <row r="2516" spans="1:2" x14ac:dyDescent="0.25">
      <c r="A2516" t="s">
        <v>106</v>
      </c>
      <c r="B2516">
        <v>1140</v>
      </c>
    </row>
    <row r="2517" spans="1:2" x14ac:dyDescent="0.25">
      <c r="A2517" t="s">
        <v>106</v>
      </c>
      <c r="B2517">
        <v>1140</v>
      </c>
    </row>
    <row r="2518" spans="1:2" x14ac:dyDescent="0.25">
      <c r="A2518" t="s">
        <v>106</v>
      </c>
      <c r="B2518">
        <v>1140</v>
      </c>
    </row>
    <row r="2519" spans="1:2" x14ac:dyDescent="0.25">
      <c r="A2519" t="s">
        <v>106</v>
      </c>
      <c r="B2519">
        <v>1140</v>
      </c>
    </row>
    <row r="2520" spans="1:2" x14ac:dyDescent="0.25">
      <c r="A2520" t="s">
        <v>106</v>
      </c>
      <c r="B2520">
        <v>1140</v>
      </c>
    </row>
    <row r="2521" spans="1:2" x14ac:dyDescent="0.25">
      <c r="A2521" t="s">
        <v>106</v>
      </c>
      <c r="B2521">
        <v>1140</v>
      </c>
    </row>
    <row r="2522" spans="1:2" x14ac:dyDescent="0.25">
      <c r="A2522" t="s">
        <v>106</v>
      </c>
      <c r="B2522">
        <v>1140</v>
      </c>
    </row>
    <row r="2523" spans="1:2" x14ac:dyDescent="0.25">
      <c r="A2523" t="s">
        <v>106</v>
      </c>
      <c r="B2523">
        <v>1140</v>
      </c>
    </row>
    <row r="2524" spans="1:2" x14ac:dyDescent="0.25">
      <c r="A2524" t="s">
        <v>106</v>
      </c>
      <c r="B2524">
        <v>1140</v>
      </c>
    </row>
    <row r="2525" spans="1:2" x14ac:dyDescent="0.25">
      <c r="A2525" t="s">
        <v>106</v>
      </c>
      <c r="B2525">
        <v>1140</v>
      </c>
    </row>
    <row r="2526" spans="1:2" x14ac:dyDescent="0.25">
      <c r="A2526" t="s">
        <v>106</v>
      </c>
      <c r="B2526">
        <v>1140</v>
      </c>
    </row>
    <row r="2527" spans="1:2" x14ac:dyDescent="0.25">
      <c r="A2527" t="s">
        <v>106</v>
      </c>
      <c r="B2527">
        <v>1140</v>
      </c>
    </row>
    <row r="2528" spans="1:2" x14ac:dyDescent="0.25">
      <c r="A2528" t="s">
        <v>106</v>
      </c>
      <c r="B2528">
        <v>1140</v>
      </c>
    </row>
    <row r="2529" spans="1:2" x14ac:dyDescent="0.25">
      <c r="A2529" t="s">
        <v>106</v>
      </c>
      <c r="B2529">
        <v>1140</v>
      </c>
    </row>
    <row r="2530" spans="1:2" x14ac:dyDescent="0.25">
      <c r="A2530" t="s">
        <v>106</v>
      </c>
      <c r="B2530">
        <v>1140</v>
      </c>
    </row>
    <row r="2531" spans="1:2" x14ac:dyDescent="0.25">
      <c r="A2531" t="s">
        <v>106</v>
      </c>
      <c r="B2531">
        <v>1140</v>
      </c>
    </row>
    <row r="2532" spans="1:2" x14ac:dyDescent="0.25">
      <c r="A2532" t="s">
        <v>106</v>
      </c>
      <c r="B2532">
        <v>1140</v>
      </c>
    </row>
    <row r="2533" spans="1:2" x14ac:dyDescent="0.25">
      <c r="A2533" t="s">
        <v>106</v>
      </c>
      <c r="B2533">
        <v>1140</v>
      </c>
    </row>
    <row r="2534" spans="1:2" x14ac:dyDescent="0.25">
      <c r="A2534" t="s">
        <v>106</v>
      </c>
      <c r="B2534">
        <v>1140</v>
      </c>
    </row>
    <row r="2535" spans="1:2" x14ac:dyDescent="0.25">
      <c r="A2535" t="s">
        <v>106</v>
      </c>
      <c r="B2535">
        <v>1140</v>
      </c>
    </row>
    <row r="2536" spans="1:2" x14ac:dyDescent="0.25">
      <c r="A2536" t="s">
        <v>106</v>
      </c>
      <c r="B2536">
        <v>1140</v>
      </c>
    </row>
    <row r="2537" spans="1:2" x14ac:dyDescent="0.25">
      <c r="A2537" t="s">
        <v>106</v>
      </c>
      <c r="B2537">
        <v>1140</v>
      </c>
    </row>
    <row r="2538" spans="1:2" x14ac:dyDescent="0.25">
      <c r="A2538" t="s">
        <v>106</v>
      </c>
      <c r="B2538">
        <v>1140</v>
      </c>
    </row>
    <row r="2539" spans="1:2" x14ac:dyDescent="0.25">
      <c r="A2539" t="s">
        <v>106</v>
      </c>
      <c r="B2539">
        <v>1140</v>
      </c>
    </row>
    <row r="2540" spans="1:2" x14ac:dyDescent="0.25">
      <c r="A2540" t="s">
        <v>106</v>
      </c>
      <c r="B2540">
        <v>1140</v>
      </c>
    </row>
    <row r="2541" spans="1:2" x14ac:dyDescent="0.25">
      <c r="A2541" t="s">
        <v>106</v>
      </c>
      <c r="B2541">
        <v>1140</v>
      </c>
    </row>
    <row r="2542" spans="1:2" x14ac:dyDescent="0.25">
      <c r="A2542" t="s">
        <v>106</v>
      </c>
      <c r="B2542">
        <v>1140</v>
      </c>
    </row>
    <row r="2543" spans="1:2" x14ac:dyDescent="0.25">
      <c r="A2543" t="s">
        <v>106</v>
      </c>
      <c r="B2543">
        <v>1140</v>
      </c>
    </row>
    <row r="2544" spans="1:2" x14ac:dyDescent="0.25">
      <c r="A2544" t="s">
        <v>106</v>
      </c>
      <c r="B2544">
        <v>1140</v>
      </c>
    </row>
    <row r="2545" spans="1:2" x14ac:dyDescent="0.25">
      <c r="A2545" t="s">
        <v>106</v>
      </c>
      <c r="B2545">
        <v>1140</v>
      </c>
    </row>
    <row r="2546" spans="1:2" x14ac:dyDescent="0.25">
      <c r="A2546" t="s">
        <v>106</v>
      </c>
      <c r="B2546">
        <v>1140</v>
      </c>
    </row>
    <row r="2547" spans="1:2" x14ac:dyDescent="0.25">
      <c r="A2547" t="s">
        <v>106</v>
      </c>
      <c r="B2547">
        <v>1140</v>
      </c>
    </row>
    <row r="2548" spans="1:2" x14ac:dyDescent="0.25">
      <c r="A2548" t="s">
        <v>106</v>
      </c>
      <c r="B2548">
        <v>1140</v>
      </c>
    </row>
    <row r="2549" spans="1:2" x14ac:dyDescent="0.25">
      <c r="A2549" t="s">
        <v>106</v>
      </c>
      <c r="B2549">
        <v>1140</v>
      </c>
    </row>
    <row r="2550" spans="1:2" x14ac:dyDescent="0.25">
      <c r="A2550" t="s">
        <v>106</v>
      </c>
      <c r="B2550">
        <v>1140</v>
      </c>
    </row>
    <row r="2551" spans="1:2" x14ac:dyDescent="0.25">
      <c r="A2551" t="s">
        <v>106</v>
      </c>
      <c r="B2551">
        <v>1140</v>
      </c>
    </row>
    <row r="2552" spans="1:2" x14ac:dyDescent="0.25">
      <c r="A2552" t="s">
        <v>106</v>
      </c>
      <c r="B2552">
        <v>1140</v>
      </c>
    </row>
    <row r="2553" spans="1:2" x14ac:dyDescent="0.25">
      <c r="A2553" t="s">
        <v>106</v>
      </c>
      <c r="B2553">
        <v>1140</v>
      </c>
    </row>
    <row r="2554" spans="1:2" x14ac:dyDescent="0.25">
      <c r="A2554" t="s">
        <v>106</v>
      </c>
      <c r="B2554">
        <v>1140</v>
      </c>
    </row>
    <row r="2555" spans="1:2" x14ac:dyDescent="0.25">
      <c r="A2555" t="s">
        <v>106</v>
      </c>
      <c r="B2555">
        <v>1140</v>
      </c>
    </row>
    <row r="2556" spans="1:2" x14ac:dyDescent="0.25">
      <c r="A2556" t="s">
        <v>106</v>
      </c>
      <c r="B2556">
        <v>1140</v>
      </c>
    </row>
    <row r="2557" spans="1:2" x14ac:dyDescent="0.25">
      <c r="A2557" t="s">
        <v>106</v>
      </c>
      <c r="B2557">
        <v>1140</v>
      </c>
    </row>
    <row r="2558" spans="1:2" x14ac:dyDescent="0.25">
      <c r="A2558" t="s">
        <v>106</v>
      </c>
      <c r="B2558">
        <v>1140</v>
      </c>
    </row>
    <row r="2559" spans="1:2" x14ac:dyDescent="0.25">
      <c r="A2559" t="s">
        <v>106</v>
      </c>
      <c r="B2559">
        <v>1140</v>
      </c>
    </row>
    <row r="2560" spans="1:2" x14ac:dyDescent="0.25">
      <c r="A2560" t="s">
        <v>106</v>
      </c>
      <c r="B2560">
        <v>1140</v>
      </c>
    </row>
    <row r="2561" spans="1:2" x14ac:dyDescent="0.25">
      <c r="A2561" t="s">
        <v>108</v>
      </c>
      <c r="B2561">
        <v>1200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D2002"/>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t="e">
        <f ca="1">SUMPRODUCT(OFFSET(#REF!,,,1,3),OFFSET(#REF!,,,1,3))</f>
        <v>#REF!</v>
      </c>
      <c r="C1" s="27"/>
      <c r="D1" s="28" t="s">
        <v>19</v>
      </c>
    </row>
    <row r="2" spans="1:4" ht="15" customHeight="1" x14ac:dyDescent="0.25">
      <c r="A2" s="42" t="s">
        <v>30</v>
      </c>
      <c r="B2" s="49" t="e">
        <f ca="1">SUM(OFFSET(#REF!,,,98,1))</f>
        <v>#REF!</v>
      </c>
      <c r="C2" s="25"/>
      <c r="D2" s="29" t="s">
        <v>49</v>
      </c>
    </row>
    <row r="3" spans="1:4" ht="15" customHeight="1" x14ac:dyDescent="0.25">
      <c r="A3" s="42" t="s">
        <v>33</v>
      </c>
      <c r="B3" s="49" t="e">
        <f ca="1">SUMIF(OFFSET(#REF!,,,98,1),"&lt;"&amp;B6)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800</v>
      </c>
      <c r="C6" s="36"/>
      <c r="D6" s="37" t="s">
        <v>28</v>
      </c>
    </row>
    <row r="7" spans="1:4" x14ac:dyDescent="0.25">
      <c r="A7" s="38" t="s">
        <v>2</v>
      </c>
      <c r="B7" s="34">
        <f ca="1">VALUE(MID(CELL("filename",$A$1),FIND("]",CELL("filename",$A$1),1)+1,200))</f>
        <v>16</v>
      </c>
      <c r="C7" s="39"/>
      <c r="D7" s="40" t="s">
        <v>29</v>
      </c>
    </row>
    <row r="8" spans="1:4" ht="30" x14ac:dyDescent="0.25">
      <c r="A8" s="32" t="s">
        <v>0</v>
      </c>
      <c r="B8" s="32" t="s">
        <v>31</v>
      </c>
      <c r="C8" s="32" t="s">
        <v>48</v>
      </c>
      <c r="D8" s="32" t="s">
        <v>30</v>
      </c>
    </row>
    <row r="9" spans="1:4" x14ac:dyDescent="0.25">
      <c r="A9" t="s">
        <v>90</v>
      </c>
      <c r="B9">
        <v>860</v>
      </c>
    </row>
    <row r="10" spans="1:4" x14ac:dyDescent="0.25">
      <c r="A10" t="s">
        <v>90</v>
      </c>
      <c r="B10">
        <v>860</v>
      </c>
    </row>
    <row r="11" spans="1:4" x14ac:dyDescent="0.25">
      <c r="A11" t="s">
        <v>90</v>
      </c>
      <c r="B11">
        <v>860</v>
      </c>
    </row>
    <row r="12" spans="1:4" x14ac:dyDescent="0.25">
      <c r="A12" t="s">
        <v>90</v>
      </c>
      <c r="B12">
        <v>860</v>
      </c>
    </row>
    <row r="13" spans="1:4" x14ac:dyDescent="0.25">
      <c r="A13" t="s">
        <v>90</v>
      </c>
      <c r="B13">
        <v>860</v>
      </c>
    </row>
    <row r="14" spans="1:4" x14ac:dyDescent="0.25">
      <c r="A14" t="s">
        <v>90</v>
      </c>
      <c r="B14">
        <v>860</v>
      </c>
    </row>
    <row r="15" spans="1:4" x14ac:dyDescent="0.25">
      <c r="A15" t="s">
        <v>90</v>
      </c>
      <c r="B15">
        <v>860</v>
      </c>
    </row>
    <row r="16" spans="1:4" x14ac:dyDescent="0.25">
      <c r="A16" t="s">
        <v>90</v>
      </c>
      <c r="B16">
        <v>860</v>
      </c>
    </row>
    <row r="17" spans="1:2" x14ac:dyDescent="0.25">
      <c r="A17" t="s">
        <v>90</v>
      </c>
      <c r="B17">
        <v>860</v>
      </c>
    </row>
    <row r="18" spans="1:2" x14ac:dyDescent="0.25">
      <c r="A18" t="s">
        <v>90</v>
      </c>
      <c r="B18">
        <v>860</v>
      </c>
    </row>
    <row r="19" spans="1:2" x14ac:dyDescent="0.25">
      <c r="A19" t="s">
        <v>90</v>
      </c>
      <c r="B19">
        <v>860</v>
      </c>
    </row>
    <row r="20" spans="1:2" x14ac:dyDescent="0.25">
      <c r="A20" t="s">
        <v>90</v>
      </c>
      <c r="B20">
        <v>860</v>
      </c>
    </row>
    <row r="21" spans="1:2" x14ac:dyDescent="0.25">
      <c r="A21" t="s">
        <v>90</v>
      </c>
      <c r="B21">
        <v>860</v>
      </c>
    </row>
    <row r="22" spans="1:2" x14ac:dyDescent="0.25">
      <c r="A22" t="s">
        <v>90</v>
      </c>
      <c r="B22">
        <v>860</v>
      </c>
    </row>
    <row r="23" spans="1:2" x14ac:dyDescent="0.25">
      <c r="A23" t="s">
        <v>90</v>
      </c>
      <c r="B23">
        <v>860</v>
      </c>
    </row>
    <row r="24" spans="1:2" x14ac:dyDescent="0.25">
      <c r="A24" t="s">
        <v>90</v>
      </c>
      <c r="B24">
        <v>860</v>
      </c>
    </row>
    <row r="25" spans="1:2" x14ac:dyDescent="0.25">
      <c r="A25" t="s">
        <v>90</v>
      </c>
      <c r="B25">
        <v>860</v>
      </c>
    </row>
    <row r="26" spans="1:2" x14ac:dyDescent="0.25">
      <c r="A26" t="s">
        <v>90</v>
      </c>
      <c r="B26">
        <v>860</v>
      </c>
    </row>
    <row r="27" spans="1:2" x14ac:dyDescent="0.25">
      <c r="A27" t="s">
        <v>90</v>
      </c>
      <c r="B27">
        <v>860</v>
      </c>
    </row>
    <row r="28" spans="1:2" x14ac:dyDescent="0.25">
      <c r="A28" t="s">
        <v>90</v>
      </c>
      <c r="B28">
        <v>860</v>
      </c>
    </row>
    <row r="29" spans="1:2" x14ac:dyDescent="0.25">
      <c r="A29" t="s">
        <v>90</v>
      </c>
      <c r="B29">
        <v>860</v>
      </c>
    </row>
    <row r="30" spans="1:2" x14ac:dyDescent="0.25">
      <c r="A30" t="s">
        <v>90</v>
      </c>
      <c r="B30">
        <v>860</v>
      </c>
    </row>
    <row r="31" spans="1:2" x14ac:dyDescent="0.25">
      <c r="A31" t="s">
        <v>90</v>
      </c>
      <c r="B31">
        <v>860</v>
      </c>
    </row>
    <row r="32" spans="1:2" x14ac:dyDescent="0.25">
      <c r="A32" t="s">
        <v>90</v>
      </c>
      <c r="B32">
        <v>860</v>
      </c>
    </row>
    <row r="33" spans="1:2" x14ac:dyDescent="0.25">
      <c r="A33" t="s">
        <v>90</v>
      </c>
      <c r="B33">
        <v>860</v>
      </c>
    </row>
    <row r="34" spans="1:2" x14ac:dyDescent="0.25">
      <c r="A34" t="s">
        <v>90</v>
      </c>
      <c r="B34">
        <v>860</v>
      </c>
    </row>
    <row r="35" spans="1:2" x14ac:dyDescent="0.25">
      <c r="A35" t="s">
        <v>90</v>
      </c>
      <c r="B35">
        <v>860</v>
      </c>
    </row>
    <row r="36" spans="1:2" x14ac:dyDescent="0.25">
      <c r="A36" t="s">
        <v>90</v>
      </c>
      <c r="B36">
        <v>860</v>
      </c>
    </row>
    <row r="37" spans="1:2" x14ac:dyDescent="0.25">
      <c r="A37" t="s">
        <v>90</v>
      </c>
      <c r="B37">
        <v>860</v>
      </c>
    </row>
    <row r="38" spans="1:2" x14ac:dyDescent="0.25">
      <c r="A38" t="s">
        <v>90</v>
      </c>
      <c r="B38">
        <v>860</v>
      </c>
    </row>
    <row r="39" spans="1:2" x14ac:dyDescent="0.25">
      <c r="A39" t="s">
        <v>90</v>
      </c>
      <c r="B39">
        <v>860</v>
      </c>
    </row>
    <row r="40" spans="1:2" x14ac:dyDescent="0.25">
      <c r="A40" t="s">
        <v>90</v>
      </c>
      <c r="B40">
        <v>860</v>
      </c>
    </row>
    <row r="41" spans="1:2" x14ac:dyDescent="0.25">
      <c r="A41" t="s">
        <v>90</v>
      </c>
      <c r="B41">
        <v>860</v>
      </c>
    </row>
    <row r="42" spans="1:2" x14ac:dyDescent="0.25">
      <c r="A42" t="s">
        <v>90</v>
      </c>
      <c r="B42">
        <v>860</v>
      </c>
    </row>
    <row r="43" spans="1:2" x14ac:dyDescent="0.25">
      <c r="A43" t="s">
        <v>90</v>
      </c>
      <c r="B43">
        <v>860</v>
      </c>
    </row>
    <row r="44" spans="1:2" x14ac:dyDescent="0.25">
      <c r="A44" t="s">
        <v>90</v>
      </c>
      <c r="B44">
        <v>860</v>
      </c>
    </row>
    <row r="45" spans="1:2" x14ac:dyDescent="0.25">
      <c r="A45" t="s">
        <v>90</v>
      </c>
      <c r="B45">
        <v>860</v>
      </c>
    </row>
    <row r="46" spans="1:2" x14ac:dyDescent="0.25">
      <c r="A46" t="s">
        <v>90</v>
      </c>
      <c r="B46">
        <v>860</v>
      </c>
    </row>
    <row r="47" spans="1:2" x14ac:dyDescent="0.25">
      <c r="A47" t="s">
        <v>90</v>
      </c>
      <c r="B47">
        <v>860</v>
      </c>
    </row>
    <row r="48" spans="1:2" x14ac:dyDescent="0.25">
      <c r="A48" t="s">
        <v>90</v>
      </c>
      <c r="B48">
        <v>860</v>
      </c>
    </row>
    <row r="49" spans="1:2" x14ac:dyDescent="0.25">
      <c r="A49" t="s">
        <v>90</v>
      </c>
      <c r="B49">
        <v>860</v>
      </c>
    </row>
    <row r="50" spans="1:2" x14ac:dyDescent="0.25">
      <c r="A50" t="s">
        <v>90</v>
      </c>
      <c r="B50">
        <v>860</v>
      </c>
    </row>
    <row r="51" spans="1:2" x14ac:dyDescent="0.25">
      <c r="A51" t="s">
        <v>90</v>
      </c>
      <c r="B51">
        <v>860</v>
      </c>
    </row>
    <row r="52" spans="1:2" x14ac:dyDescent="0.25">
      <c r="A52" t="s">
        <v>90</v>
      </c>
      <c r="B52">
        <v>860</v>
      </c>
    </row>
    <row r="53" spans="1:2" x14ac:dyDescent="0.25">
      <c r="A53" t="s">
        <v>90</v>
      </c>
      <c r="B53">
        <v>860</v>
      </c>
    </row>
    <row r="54" spans="1:2" x14ac:dyDescent="0.25">
      <c r="A54" t="s">
        <v>90</v>
      </c>
      <c r="B54">
        <v>860</v>
      </c>
    </row>
    <row r="55" spans="1:2" x14ac:dyDescent="0.25">
      <c r="A55" t="s">
        <v>90</v>
      </c>
      <c r="B55">
        <v>860</v>
      </c>
    </row>
    <row r="56" spans="1:2" x14ac:dyDescent="0.25">
      <c r="A56" t="s">
        <v>90</v>
      </c>
      <c r="B56">
        <v>860</v>
      </c>
    </row>
    <row r="57" spans="1:2" x14ac:dyDescent="0.25">
      <c r="A57" t="s">
        <v>90</v>
      </c>
      <c r="B57">
        <v>860</v>
      </c>
    </row>
    <row r="58" spans="1:2" x14ac:dyDescent="0.25">
      <c r="A58" t="s">
        <v>90</v>
      </c>
      <c r="B58">
        <v>860</v>
      </c>
    </row>
    <row r="59" spans="1:2" x14ac:dyDescent="0.25">
      <c r="A59" t="s">
        <v>90</v>
      </c>
      <c r="B59">
        <v>860</v>
      </c>
    </row>
    <row r="60" spans="1:2" x14ac:dyDescent="0.25">
      <c r="A60" t="s">
        <v>90</v>
      </c>
      <c r="B60">
        <v>860</v>
      </c>
    </row>
    <row r="61" spans="1:2" x14ac:dyDescent="0.25">
      <c r="A61" t="s">
        <v>90</v>
      </c>
      <c r="B61">
        <v>860</v>
      </c>
    </row>
    <row r="62" spans="1:2" x14ac:dyDescent="0.25">
      <c r="A62" t="s">
        <v>90</v>
      </c>
      <c r="B62">
        <v>860</v>
      </c>
    </row>
    <row r="63" spans="1:2" x14ac:dyDescent="0.25">
      <c r="A63" t="s">
        <v>90</v>
      </c>
      <c r="B63">
        <v>860</v>
      </c>
    </row>
    <row r="64" spans="1:2" x14ac:dyDescent="0.25">
      <c r="A64" t="s">
        <v>90</v>
      </c>
      <c r="B64">
        <v>860</v>
      </c>
    </row>
    <row r="65" spans="1:2" x14ac:dyDescent="0.25">
      <c r="A65" t="s">
        <v>90</v>
      </c>
      <c r="B65">
        <v>860</v>
      </c>
    </row>
    <row r="66" spans="1:2" x14ac:dyDescent="0.25">
      <c r="A66" t="s">
        <v>90</v>
      </c>
      <c r="B66">
        <v>860</v>
      </c>
    </row>
    <row r="67" spans="1:2" x14ac:dyDescent="0.25">
      <c r="A67" t="s">
        <v>90</v>
      </c>
      <c r="B67">
        <v>860</v>
      </c>
    </row>
    <row r="68" spans="1:2" x14ac:dyDescent="0.25">
      <c r="A68" t="s">
        <v>90</v>
      </c>
      <c r="B68">
        <v>860</v>
      </c>
    </row>
    <row r="69" spans="1:2" x14ac:dyDescent="0.25">
      <c r="A69" t="s">
        <v>90</v>
      </c>
      <c r="B69">
        <v>860</v>
      </c>
    </row>
    <row r="70" spans="1:2" x14ac:dyDescent="0.25">
      <c r="A70" t="s">
        <v>90</v>
      </c>
      <c r="B70">
        <v>860</v>
      </c>
    </row>
    <row r="71" spans="1:2" x14ac:dyDescent="0.25">
      <c r="A71" t="s">
        <v>90</v>
      </c>
      <c r="B71">
        <v>860</v>
      </c>
    </row>
    <row r="72" spans="1:2" x14ac:dyDescent="0.25">
      <c r="A72" t="s">
        <v>90</v>
      </c>
      <c r="B72">
        <v>860</v>
      </c>
    </row>
    <row r="73" spans="1:2" x14ac:dyDescent="0.25">
      <c r="A73" t="s">
        <v>90</v>
      </c>
      <c r="B73">
        <v>860</v>
      </c>
    </row>
    <row r="74" spans="1:2" x14ac:dyDescent="0.25">
      <c r="A74" t="s">
        <v>90</v>
      </c>
      <c r="B74">
        <v>860</v>
      </c>
    </row>
    <row r="75" spans="1:2" x14ac:dyDescent="0.25">
      <c r="A75" t="s">
        <v>90</v>
      </c>
      <c r="B75">
        <v>860</v>
      </c>
    </row>
    <row r="76" spans="1:2" x14ac:dyDescent="0.25">
      <c r="A76" t="s">
        <v>90</v>
      </c>
      <c r="B76">
        <v>860</v>
      </c>
    </row>
    <row r="77" spans="1:2" x14ac:dyDescent="0.25">
      <c r="A77" t="s">
        <v>90</v>
      </c>
      <c r="B77">
        <v>860</v>
      </c>
    </row>
    <row r="78" spans="1:2" x14ac:dyDescent="0.25">
      <c r="A78" t="s">
        <v>90</v>
      </c>
      <c r="B78">
        <v>860</v>
      </c>
    </row>
    <row r="79" spans="1:2" x14ac:dyDescent="0.25">
      <c r="A79" t="s">
        <v>90</v>
      </c>
      <c r="B79">
        <v>860</v>
      </c>
    </row>
    <row r="80" spans="1:2" x14ac:dyDescent="0.25">
      <c r="A80" t="s">
        <v>90</v>
      </c>
      <c r="B80">
        <v>860</v>
      </c>
    </row>
    <row r="81" spans="1:2" x14ac:dyDescent="0.25">
      <c r="A81" t="s">
        <v>90</v>
      </c>
      <c r="B81">
        <v>860</v>
      </c>
    </row>
    <row r="82" spans="1:2" x14ac:dyDescent="0.25">
      <c r="A82" t="s">
        <v>90</v>
      </c>
      <c r="B82">
        <v>860</v>
      </c>
    </row>
    <row r="83" spans="1:2" x14ac:dyDescent="0.25">
      <c r="A83" t="s">
        <v>90</v>
      </c>
      <c r="B83">
        <v>860</v>
      </c>
    </row>
    <row r="84" spans="1:2" x14ac:dyDescent="0.25">
      <c r="A84" t="s">
        <v>90</v>
      </c>
      <c r="B84">
        <v>860</v>
      </c>
    </row>
    <row r="85" spans="1:2" x14ac:dyDescent="0.25">
      <c r="A85" t="s">
        <v>90</v>
      </c>
      <c r="B85">
        <v>860</v>
      </c>
    </row>
    <row r="86" spans="1:2" x14ac:dyDescent="0.25">
      <c r="A86" t="s">
        <v>90</v>
      </c>
      <c r="B86">
        <v>860</v>
      </c>
    </row>
    <row r="87" spans="1:2" x14ac:dyDescent="0.25">
      <c r="A87" t="s">
        <v>90</v>
      </c>
      <c r="B87">
        <v>860</v>
      </c>
    </row>
    <row r="88" spans="1:2" x14ac:dyDescent="0.25">
      <c r="A88" t="s">
        <v>90</v>
      </c>
      <c r="B88">
        <v>860</v>
      </c>
    </row>
    <row r="89" spans="1:2" x14ac:dyDescent="0.25">
      <c r="A89" t="s">
        <v>90</v>
      </c>
      <c r="B89">
        <v>860</v>
      </c>
    </row>
    <row r="90" spans="1:2" x14ac:dyDescent="0.25">
      <c r="A90" t="s">
        <v>90</v>
      </c>
      <c r="B90">
        <v>860</v>
      </c>
    </row>
    <row r="91" spans="1:2" x14ac:dyDescent="0.25">
      <c r="A91" t="s">
        <v>90</v>
      </c>
      <c r="B91">
        <v>860</v>
      </c>
    </row>
    <row r="92" spans="1:2" x14ac:dyDescent="0.25">
      <c r="A92" t="s">
        <v>90</v>
      </c>
      <c r="B92">
        <v>860</v>
      </c>
    </row>
    <row r="93" spans="1:2" x14ac:dyDescent="0.25">
      <c r="A93" t="s">
        <v>90</v>
      </c>
      <c r="B93">
        <v>860</v>
      </c>
    </row>
    <row r="94" spans="1:2" x14ac:dyDescent="0.25">
      <c r="A94" t="s">
        <v>90</v>
      </c>
      <c r="B94">
        <v>860</v>
      </c>
    </row>
    <row r="95" spans="1:2" x14ac:dyDescent="0.25">
      <c r="A95" t="s">
        <v>90</v>
      </c>
      <c r="B95">
        <v>860</v>
      </c>
    </row>
    <row r="96" spans="1:2" x14ac:dyDescent="0.25">
      <c r="A96" t="s">
        <v>90</v>
      </c>
      <c r="B96">
        <v>860</v>
      </c>
    </row>
    <row r="97" spans="1:2" x14ac:dyDescent="0.25">
      <c r="A97" t="s">
        <v>90</v>
      </c>
      <c r="B97">
        <v>860</v>
      </c>
    </row>
    <row r="98" spans="1:2" x14ac:dyDescent="0.25">
      <c r="A98" t="s">
        <v>90</v>
      </c>
      <c r="B98">
        <v>860</v>
      </c>
    </row>
    <row r="99" spans="1:2" x14ac:dyDescent="0.25">
      <c r="A99" t="s">
        <v>90</v>
      </c>
      <c r="B99">
        <v>860</v>
      </c>
    </row>
    <row r="100" spans="1:2" x14ac:dyDescent="0.25">
      <c r="A100" t="s">
        <v>90</v>
      </c>
      <c r="B100">
        <v>860</v>
      </c>
    </row>
    <row r="101" spans="1:2" x14ac:dyDescent="0.25">
      <c r="A101" t="s">
        <v>90</v>
      </c>
      <c r="B101">
        <v>860</v>
      </c>
    </row>
    <row r="102" spans="1:2" x14ac:dyDescent="0.25">
      <c r="A102" t="s">
        <v>90</v>
      </c>
      <c r="B102">
        <v>860</v>
      </c>
    </row>
    <row r="103" spans="1:2" x14ac:dyDescent="0.25">
      <c r="A103" t="s">
        <v>90</v>
      </c>
      <c r="B103">
        <v>860</v>
      </c>
    </row>
    <row r="104" spans="1:2" x14ac:dyDescent="0.25">
      <c r="A104" t="s">
        <v>90</v>
      </c>
      <c r="B104">
        <v>860</v>
      </c>
    </row>
    <row r="105" spans="1:2" x14ac:dyDescent="0.25">
      <c r="A105" t="s">
        <v>90</v>
      </c>
      <c r="B105">
        <v>860</v>
      </c>
    </row>
    <row r="106" spans="1:2" x14ac:dyDescent="0.25">
      <c r="A106" t="s">
        <v>90</v>
      </c>
      <c r="B106">
        <v>860</v>
      </c>
    </row>
    <row r="107" spans="1:2" x14ac:dyDescent="0.25">
      <c r="A107" t="s">
        <v>90</v>
      </c>
      <c r="B107">
        <v>860</v>
      </c>
    </row>
    <row r="108" spans="1:2" x14ac:dyDescent="0.25">
      <c r="A108" t="s">
        <v>90</v>
      </c>
      <c r="B108">
        <v>860</v>
      </c>
    </row>
    <row r="109" spans="1:2" x14ac:dyDescent="0.25">
      <c r="A109" t="s">
        <v>90</v>
      </c>
      <c r="B109">
        <v>860</v>
      </c>
    </row>
    <row r="110" spans="1:2" x14ac:dyDescent="0.25">
      <c r="A110" t="s">
        <v>90</v>
      </c>
      <c r="B110">
        <v>860</v>
      </c>
    </row>
    <row r="111" spans="1:2" x14ac:dyDescent="0.25">
      <c r="A111" t="s">
        <v>90</v>
      </c>
      <c r="B111">
        <v>860</v>
      </c>
    </row>
    <row r="112" spans="1:2" x14ac:dyDescent="0.25">
      <c r="A112" t="s">
        <v>90</v>
      </c>
      <c r="B112">
        <v>860</v>
      </c>
    </row>
    <row r="113" spans="1:2" x14ac:dyDescent="0.25">
      <c r="A113" t="s">
        <v>90</v>
      </c>
      <c r="B113">
        <v>860</v>
      </c>
    </row>
    <row r="114" spans="1:2" x14ac:dyDescent="0.25">
      <c r="A114" t="s">
        <v>90</v>
      </c>
      <c r="B114">
        <v>860</v>
      </c>
    </row>
    <row r="115" spans="1:2" x14ac:dyDescent="0.25">
      <c r="A115" t="s">
        <v>90</v>
      </c>
      <c r="B115">
        <v>860</v>
      </c>
    </row>
    <row r="116" spans="1:2" x14ac:dyDescent="0.25">
      <c r="A116" t="s">
        <v>90</v>
      </c>
      <c r="B116">
        <v>860</v>
      </c>
    </row>
    <row r="117" spans="1:2" x14ac:dyDescent="0.25">
      <c r="A117" t="s">
        <v>90</v>
      </c>
      <c r="B117">
        <v>860</v>
      </c>
    </row>
    <row r="118" spans="1:2" x14ac:dyDescent="0.25">
      <c r="A118" t="s">
        <v>90</v>
      </c>
      <c r="B118">
        <v>860</v>
      </c>
    </row>
    <row r="119" spans="1:2" x14ac:dyDescent="0.25">
      <c r="A119" t="s">
        <v>90</v>
      </c>
      <c r="B119">
        <v>860</v>
      </c>
    </row>
    <row r="120" spans="1:2" x14ac:dyDescent="0.25">
      <c r="A120" t="s">
        <v>90</v>
      </c>
      <c r="B120">
        <v>860</v>
      </c>
    </row>
    <row r="121" spans="1:2" x14ac:dyDescent="0.25">
      <c r="A121" t="s">
        <v>90</v>
      </c>
      <c r="B121">
        <v>860</v>
      </c>
    </row>
    <row r="122" spans="1:2" x14ac:dyDescent="0.25">
      <c r="A122" t="s">
        <v>90</v>
      </c>
      <c r="B122">
        <v>860</v>
      </c>
    </row>
    <row r="123" spans="1:2" x14ac:dyDescent="0.25">
      <c r="A123" t="s">
        <v>90</v>
      </c>
      <c r="B123">
        <v>860</v>
      </c>
    </row>
    <row r="124" spans="1:2" x14ac:dyDescent="0.25">
      <c r="A124" t="s">
        <v>90</v>
      </c>
      <c r="B124">
        <v>860</v>
      </c>
    </row>
    <row r="125" spans="1:2" x14ac:dyDescent="0.25">
      <c r="A125" t="s">
        <v>90</v>
      </c>
      <c r="B125">
        <v>860</v>
      </c>
    </row>
    <row r="126" spans="1:2" x14ac:dyDescent="0.25">
      <c r="A126" t="s">
        <v>90</v>
      </c>
      <c r="B126">
        <v>860</v>
      </c>
    </row>
    <row r="127" spans="1:2" x14ac:dyDescent="0.25">
      <c r="A127" t="s">
        <v>90</v>
      </c>
      <c r="B127">
        <v>860</v>
      </c>
    </row>
    <row r="128" spans="1:2" x14ac:dyDescent="0.25">
      <c r="A128" t="s">
        <v>90</v>
      </c>
      <c r="B128">
        <v>860</v>
      </c>
    </row>
    <row r="129" spans="1:2" x14ac:dyDescent="0.25">
      <c r="A129" t="s">
        <v>90</v>
      </c>
      <c r="B129">
        <v>860</v>
      </c>
    </row>
    <row r="130" spans="1:2" x14ac:dyDescent="0.25">
      <c r="A130" t="s">
        <v>90</v>
      </c>
      <c r="B130">
        <v>860</v>
      </c>
    </row>
    <row r="131" spans="1:2" x14ac:dyDescent="0.25">
      <c r="A131" t="s">
        <v>90</v>
      </c>
      <c r="B131">
        <v>860</v>
      </c>
    </row>
    <row r="132" spans="1:2" x14ac:dyDescent="0.25">
      <c r="A132" t="s">
        <v>90</v>
      </c>
      <c r="B132">
        <v>860</v>
      </c>
    </row>
    <row r="133" spans="1:2" x14ac:dyDescent="0.25">
      <c r="A133" t="s">
        <v>90</v>
      </c>
      <c r="B133">
        <v>860</v>
      </c>
    </row>
    <row r="134" spans="1:2" x14ac:dyDescent="0.25">
      <c r="A134" t="s">
        <v>90</v>
      </c>
      <c r="B134">
        <v>860</v>
      </c>
    </row>
    <row r="135" spans="1:2" x14ac:dyDescent="0.25">
      <c r="A135" t="s">
        <v>90</v>
      </c>
      <c r="B135">
        <v>860</v>
      </c>
    </row>
    <row r="136" spans="1:2" x14ac:dyDescent="0.25">
      <c r="A136" t="s">
        <v>90</v>
      </c>
      <c r="B136">
        <v>860</v>
      </c>
    </row>
    <row r="137" spans="1:2" x14ac:dyDescent="0.25">
      <c r="A137" t="s">
        <v>90</v>
      </c>
      <c r="B137">
        <v>860</v>
      </c>
    </row>
    <row r="138" spans="1:2" x14ac:dyDescent="0.25">
      <c r="A138" t="s">
        <v>90</v>
      </c>
      <c r="B138">
        <v>860</v>
      </c>
    </row>
    <row r="139" spans="1:2" x14ac:dyDescent="0.25">
      <c r="A139" t="s">
        <v>90</v>
      </c>
      <c r="B139">
        <v>860</v>
      </c>
    </row>
    <row r="140" spans="1:2" x14ac:dyDescent="0.25">
      <c r="A140" t="s">
        <v>90</v>
      </c>
      <c r="B140">
        <v>860</v>
      </c>
    </row>
    <row r="141" spans="1:2" x14ac:dyDescent="0.25">
      <c r="A141" t="s">
        <v>90</v>
      </c>
      <c r="B141">
        <v>860</v>
      </c>
    </row>
    <row r="142" spans="1:2" x14ac:dyDescent="0.25">
      <c r="A142" t="s">
        <v>90</v>
      </c>
      <c r="B142">
        <v>860</v>
      </c>
    </row>
    <row r="143" spans="1:2" x14ac:dyDescent="0.25">
      <c r="A143" t="s">
        <v>90</v>
      </c>
      <c r="B143">
        <v>860</v>
      </c>
    </row>
    <row r="144" spans="1:2" x14ac:dyDescent="0.25">
      <c r="A144" t="s">
        <v>90</v>
      </c>
      <c r="B144">
        <v>860</v>
      </c>
    </row>
    <row r="145" spans="1:2" x14ac:dyDescent="0.25">
      <c r="A145" t="s">
        <v>90</v>
      </c>
      <c r="B145">
        <v>860</v>
      </c>
    </row>
    <row r="146" spans="1:2" x14ac:dyDescent="0.25">
      <c r="A146" t="s">
        <v>90</v>
      </c>
      <c r="B146">
        <v>860</v>
      </c>
    </row>
    <row r="147" spans="1:2" x14ac:dyDescent="0.25">
      <c r="A147" t="s">
        <v>90</v>
      </c>
      <c r="B147">
        <v>860</v>
      </c>
    </row>
    <row r="148" spans="1:2" x14ac:dyDescent="0.25">
      <c r="A148" t="s">
        <v>90</v>
      </c>
      <c r="B148">
        <v>860</v>
      </c>
    </row>
    <row r="149" spans="1:2" x14ac:dyDescent="0.25">
      <c r="A149" t="s">
        <v>90</v>
      </c>
      <c r="B149">
        <v>860</v>
      </c>
    </row>
    <row r="150" spans="1:2" x14ac:dyDescent="0.25">
      <c r="A150" t="s">
        <v>90</v>
      </c>
      <c r="B150">
        <v>860</v>
      </c>
    </row>
    <row r="151" spans="1:2" x14ac:dyDescent="0.25">
      <c r="A151" t="s">
        <v>90</v>
      </c>
      <c r="B151">
        <v>860</v>
      </c>
    </row>
    <row r="152" spans="1:2" x14ac:dyDescent="0.25">
      <c r="A152" t="s">
        <v>90</v>
      </c>
      <c r="B152">
        <v>860</v>
      </c>
    </row>
    <row r="153" spans="1:2" x14ac:dyDescent="0.25">
      <c r="A153" t="s">
        <v>90</v>
      </c>
      <c r="B153">
        <v>860</v>
      </c>
    </row>
    <row r="154" spans="1:2" x14ac:dyDescent="0.25">
      <c r="A154" t="s">
        <v>90</v>
      </c>
      <c r="B154">
        <v>860</v>
      </c>
    </row>
    <row r="155" spans="1:2" x14ac:dyDescent="0.25">
      <c r="A155" t="s">
        <v>90</v>
      </c>
      <c r="B155">
        <v>860</v>
      </c>
    </row>
    <row r="156" spans="1:2" x14ac:dyDescent="0.25">
      <c r="A156" t="s">
        <v>90</v>
      </c>
      <c r="B156">
        <v>860</v>
      </c>
    </row>
    <row r="157" spans="1:2" x14ac:dyDescent="0.25">
      <c r="A157" t="s">
        <v>90</v>
      </c>
      <c r="B157">
        <v>860</v>
      </c>
    </row>
    <row r="158" spans="1:2" x14ac:dyDescent="0.25">
      <c r="A158" t="s">
        <v>90</v>
      </c>
      <c r="B158">
        <v>860</v>
      </c>
    </row>
    <row r="159" spans="1:2" x14ac:dyDescent="0.25">
      <c r="A159" t="s">
        <v>90</v>
      </c>
      <c r="B159">
        <v>860</v>
      </c>
    </row>
    <row r="160" spans="1:2" x14ac:dyDescent="0.25">
      <c r="A160" t="s">
        <v>90</v>
      </c>
      <c r="B160">
        <v>860</v>
      </c>
    </row>
    <row r="161" spans="1:2" x14ac:dyDescent="0.25">
      <c r="A161" t="s">
        <v>90</v>
      </c>
      <c r="B161">
        <v>860</v>
      </c>
    </row>
    <row r="162" spans="1:2" x14ac:dyDescent="0.25">
      <c r="A162" t="s">
        <v>90</v>
      </c>
      <c r="B162">
        <v>860</v>
      </c>
    </row>
    <row r="163" spans="1:2" x14ac:dyDescent="0.25">
      <c r="A163" t="s">
        <v>90</v>
      </c>
      <c r="B163">
        <v>860</v>
      </c>
    </row>
    <row r="164" spans="1:2" x14ac:dyDescent="0.25">
      <c r="A164" t="s">
        <v>90</v>
      </c>
      <c r="B164">
        <v>860</v>
      </c>
    </row>
    <row r="165" spans="1:2" x14ac:dyDescent="0.25">
      <c r="A165" t="s">
        <v>90</v>
      </c>
      <c r="B165">
        <v>860</v>
      </c>
    </row>
    <row r="166" spans="1:2" x14ac:dyDescent="0.25">
      <c r="A166" t="s">
        <v>90</v>
      </c>
      <c r="B166">
        <v>860</v>
      </c>
    </row>
    <row r="167" spans="1:2" x14ac:dyDescent="0.25">
      <c r="A167" t="s">
        <v>90</v>
      </c>
      <c r="B167">
        <v>860</v>
      </c>
    </row>
    <row r="168" spans="1:2" x14ac:dyDescent="0.25">
      <c r="A168" t="s">
        <v>90</v>
      </c>
      <c r="B168">
        <v>860</v>
      </c>
    </row>
    <row r="169" spans="1:2" x14ac:dyDescent="0.25">
      <c r="A169" t="s">
        <v>90</v>
      </c>
      <c r="B169">
        <v>860</v>
      </c>
    </row>
    <row r="170" spans="1:2" x14ac:dyDescent="0.25">
      <c r="A170" t="s">
        <v>90</v>
      </c>
      <c r="B170">
        <v>860</v>
      </c>
    </row>
    <row r="171" spans="1:2" x14ac:dyDescent="0.25">
      <c r="A171" t="s">
        <v>90</v>
      </c>
      <c r="B171">
        <v>860</v>
      </c>
    </row>
    <row r="172" spans="1:2" x14ac:dyDescent="0.25">
      <c r="A172" t="s">
        <v>90</v>
      </c>
      <c r="B172">
        <v>860</v>
      </c>
    </row>
    <row r="173" spans="1:2" x14ac:dyDescent="0.25">
      <c r="A173" t="s">
        <v>90</v>
      </c>
      <c r="B173">
        <v>860</v>
      </c>
    </row>
    <row r="174" spans="1:2" x14ac:dyDescent="0.25">
      <c r="A174" t="s">
        <v>90</v>
      </c>
      <c r="B174">
        <v>860</v>
      </c>
    </row>
    <row r="175" spans="1:2" x14ac:dyDescent="0.25">
      <c r="A175" t="s">
        <v>90</v>
      </c>
      <c r="B175">
        <v>860</v>
      </c>
    </row>
    <row r="176" spans="1:2" x14ac:dyDescent="0.25">
      <c r="A176" t="s">
        <v>90</v>
      </c>
      <c r="B176">
        <v>860</v>
      </c>
    </row>
    <row r="177" spans="1:2" x14ac:dyDescent="0.25">
      <c r="A177" t="s">
        <v>90</v>
      </c>
      <c r="B177">
        <v>860</v>
      </c>
    </row>
    <row r="178" spans="1:2" x14ac:dyDescent="0.25">
      <c r="A178" t="s">
        <v>90</v>
      </c>
      <c r="B178">
        <v>860</v>
      </c>
    </row>
    <row r="179" spans="1:2" x14ac:dyDescent="0.25">
      <c r="A179" t="s">
        <v>90</v>
      </c>
      <c r="B179">
        <v>860</v>
      </c>
    </row>
    <row r="180" spans="1:2" x14ac:dyDescent="0.25">
      <c r="A180" t="s">
        <v>90</v>
      </c>
      <c r="B180">
        <v>860</v>
      </c>
    </row>
    <row r="181" spans="1:2" x14ac:dyDescent="0.25">
      <c r="A181" t="s">
        <v>90</v>
      </c>
      <c r="B181">
        <v>860</v>
      </c>
    </row>
    <row r="182" spans="1:2" x14ac:dyDescent="0.25">
      <c r="A182" t="s">
        <v>90</v>
      </c>
      <c r="B182">
        <v>860</v>
      </c>
    </row>
    <row r="183" spans="1:2" x14ac:dyDescent="0.25">
      <c r="A183" t="s">
        <v>90</v>
      </c>
      <c r="B183">
        <v>860</v>
      </c>
    </row>
    <row r="184" spans="1:2" x14ac:dyDescent="0.25">
      <c r="A184" t="s">
        <v>90</v>
      </c>
      <c r="B184">
        <v>860</v>
      </c>
    </row>
    <row r="185" spans="1:2" x14ac:dyDescent="0.25">
      <c r="A185" t="s">
        <v>90</v>
      </c>
      <c r="B185">
        <v>860</v>
      </c>
    </row>
    <row r="186" spans="1:2" x14ac:dyDescent="0.25">
      <c r="A186" t="s">
        <v>90</v>
      </c>
      <c r="B186">
        <v>860</v>
      </c>
    </row>
    <row r="187" spans="1:2" x14ac:dyDescent="0.25">
      <c r="A187" t="s">
        <v>90</v>
      </c>
      <c r="B187">
        <v>860</v>
      </c>
    </row>
    <row r="188" spans="1:2" x14ac:dyDescent="0.25">
      <c r="A188" t="s">
        <v>90</v>
      </c>
      <c r="B188">
        <v>860</v>
      </c>
    </row>
    <row r="189" spans="1:2" x14ac:dyDescent="0.25">
      <c r="A189" t="s">
        <v>90</v>
      </c>
      <c r="B189">
        <v>860</v>
      </c>
    </row>
    <row r="190" spans="1:2" x14ac:dyDescent="0.25">
      <c r="A190" t="s">
        <v>90</v>
      </c>
      <c r="B190">
        <v>860</v>
      </c>
    </row>
    <row r="191" spans="1:2" x14ac:dyDescent="0.25">
      <c r="A191" t="s">
        <v>90</v>
      </c>
      <c r="B191">
        <v>860</v>
      </c>
    </row>
    <row r="192" spans="1:2" x14ac:dyDescent="0.25">
      <c r="A192" t="s">
        <v>90</v>
      </c>
      <c r="B192">
        <v>860</v>
      </c>
    </row>
    <row r="193" spans="1:2" x14ac:dyDescent="0.25">
      <c r="A193" t="s">
        <v>90</v>
      </c>
      <c r="B193">
        <v>860</v>
      </c>
    </row>
    <row r="194" spans="1:2" x14ac:dyDescent="0.25">
      <c r="A194" t="s">
        <v>90</v>
      </c>
      <c r="B194">
        <v>860</v>
      </c>
    </row>
    <row r="195" spans="1:2" x14ac:dyDescent="0.25">
      <c r="A195" t="s">
        <v>90</v>
      </c>
      <c r="B195">
        <v>860</v>
      </c>
    </row>
    <row r="196" spans="1:2" x14ac:dyDescent="0.25">
      <c r="A196" t="s">
        <v>90</v>
      </c>
      <c r="B196">
        <v>860</v>
      </c>
    </row>
    <row r="197" spans="1:2" x14ac:dyDescent="0.25">
      <c r="A197" t="s">
        <v>90</v>
      </c>
      <c r="B197">
        <v>860</v>
      </c>
    </row>
    <row r="198" spans="1:2" x14ac:dyDescent="0.25">
      <c r="A198" t="s">
        <v>90</v>
      </c>
      <c r="B198">
        <v>860</v>
      </c>
    </row>
    <row r="199" spans="1:2" x14ac:dyDescent="0.25">
      <c r="A199" t="s">
        <v>90</v>
      </c>
      <c r="B199">
        <v>860</v>
      </c>
    </row>
    <row r="200" spans="1:2" x14ac:dyDescent="0.25">
      <c r="A200" t="s">
        <v>90</v>
      </c>
      <c r="B200">
        <v>860</v>
      </c>
    </row>
    <row r="201" spans="1:2" x14ac:dyDescent="0.25">
      <c r="A201" t="s">
        <v>90</v>
      </c>
      <c r="B201">
        <v>860</v>
      </c>
    </row>
    <row r="202" spans="1:2" x14ac:dyDescent="0.25">
      <c r="A202" t="s">
        <v>90</v>
      </c>
      <c r="B202">
        <v>860</v>
      </c>
    </row>
    <row r="203" spans="1:2" x14ac:dyDescent="0.25">
      <c r="A203" t="s">
        <v>90</v>
      </c>
      <c r="B203">
        <v>860</v>
      </c>
    </row>
    <row r="204" spans="1:2" x14ac:dyDescent="0.25">
      <c r="A204" t="s">
        <v>90</v>
      </c>
      <c r="B204">
        <v>860</v>
      </c>
    </row>
    <row r="205" spans="1:2" x14ac:dyDescent="0.25">
      <c r="A205" t="s">
        <v>90</v>
      </c>
      <c r="B205">
        <v>860</v>
      </c>
    </row>
    <row r="206" spans="1:2" x14ac:dyDescent="0.25">
      <c r="A206" t="s">
        <v>90</v>
      </c>
      <c r="B206">
        <v>860</v>
      </c>
    </row>
    <row r="207" spans="1:2" x14ac:dyDescent="0.25">
      <c r="A207" t="s">
        <v>90</v>
      </c>
      <c r="B207">
        <v>860</v>
      </c>
    </row>
    <row r="208" spans="1:2" x14ac:dyDescent="0.25">
      <c r="A208" t="s">
        <v>90</v>
      </c>
      <c r="B208">
        <v>860</v>
      </c>
    </row>
    <row r="209" spans="1:2" x14ac:dyDescent="0.25">
      <c r="A209" t="s">
        <v>90</v>
      </c>
      <c r="B209">
        <v>860</v>
      </c>
    </row>
    <row r="210" spans="1:2" x14ac:dyDescent="0.25">
      <c r="A210" t="s">
        <v>90</v>
      </c>
      <c r="B210">
        <v>860</v>
      </c>
    </row>
    <row r="211" spans="1:2" x14ac:dyDescent="0.25">
      <c r="A211" t="s">
        <v>90</v>
      </c>
      <c r="B211">
        <v>860</v>
      </c>
    </row>
    <row r="212" spans="1:2" x14ac:dyDescent="0.25">
      <c r="A212" t="s">
        <v>90</v>
      </c>
      <c r="B212">
        <v>860</v>
      </c>
    </row>
    <row r="213" spans="1:2" x14ac:dyDescent="0.25">
      <c r="A213" t="s">
        <v>90</v>
      </c>
      <c r="B213">
        <v>860</v>
      </c>
    </row>
    <row r="214" spans="1:2" x14ac:dyDescent="0.25">
      <c r="A214" t="s">
        <v>90</v>
      </c>
      <c r="B214">
        <v>860</v>
      </c>
    </row>
    <row r="215" spans="1:2" x14ac:dyDescent="0.25">
      <c r="A215" t="s">
        <v>90</v>
      </c>
      <c r="B215">
        <v>860</v>
      </c>
    </row>
    <row r="216" spans="1:2" x14ac:dyDescent="0.25">
      <c r="A216" t="s">
        <v>90</v>
      </c>
      <c r="B216">
        <v>860</v>
      </c>
    </row>
    <row r="217" spans="1:2" x14ac:dyDescent="0.25">
      <c r="A217" t="s">
        <v>90</v>
      </c>
      <c r="B217">
        <v>860</v>
      </c>
    </row>
    <row r="218" spans="1:2" x14ac:dyDescent="0.25">
      <c r="A218" t="s">
        <v>90</v>
      </c>
      <c r="B218">
        <v>860</v>
      </c>
    </row>
    <row r="219" spans="1:2" x14ac:dyDescent="0.25">
      <c r="A219" t="s">
        <v>90</v>
      </c>
      <c r="B219">
        <v>860</v>
      </c>
    </row>
    <row r="220" spans="1:2" x14ac:dyDescent="0.25">
      <c r="A220" t="s">
        <v>90</v>
      </c>
      <c r="B220">
        <v>860</v>
      </c>
    </row>
    <row r="221" spans="1:2" x14ac:dyDescent="0.25">
      <c r="A221" t="s">
        <v>90</v>
      </c>
      <c r="B221">
        <v>860</v>
      </c>
    </row>
    <row r="222" spans="1:2" x14ac:dyDescent="0.25">
      <c r="A222" t="s">
        <v>90</v>
      </c>
      <c r="B222">
        <v>860</v>
      </c>
    </row>
    <row r="223" spans="1:2" x14ac:dyDescent="0.25">
      <c r="A223" t="s">
        <v>90</v>
      </c>
      <c r="B223">
        <v>860</v>
      </c>
    </row>
    <row r="224" spans="1:2" x14ac:dyDescent="0.25">
      <c r="A224" t="s">
        <v>90</v>
      </c>
      <c r="B224">
        <v>860</v>
      </c>
    </row>
    <row r="225" spans="1:2" x14ac:dyDescent="0.25">
      <c r="A225" t="s">
        <v>90</v>
      </c>
      <c r="B225">
        <v>860</v>
      </c>
    </row>
    <row r="226" spans="1:2" x14ac:dyDescent="0.25">
      <c r="A226" t="s">
        <v>90</v>
      </c>
      <c r="B226">
        <v>860</v>
      </c>
    </row>
    <row r="227" spans="1:2" x14ac:dyDescent="0.25">
      <c r="A227" t="s">
        <v>90</v>
      </c>
      <c r="B227">
        <v>860</v>
      </c>
    </row>
    <row r="228" spans="1:2" x14ac:dyDescent="0.25">
      <c r="A228" t="s">
        <v>90</v>
      </c>
      <c r="B228">
        <v>860</v>
      </c>
    </row>
    <row r="229" spans="1:2" x14ac:dyDescent="0.25">
      <c r="A229" t="s">
        <v>90</v>
      </c>
      <c r="B229">
        <v>860</v>
      </c>
    </row>
    <row r="230" spans="1:2" x14ac:dyDescent="0.25">
      <c r="A230" t="s">
        <v>90</v>
      </c>
      <c r="B230">
        <v>860</v>
      </c>
    </row>
    <row r="231" spans="1:2" x14ac:dyDescent="0.25">
      <c r="A231" t="s">
        <v>90</v>
      </c>
      <c r="B231">
        <v>860</v>
      </c>
    </row>
    <row r="232" spans="1:2" x14ac:dyDescent="0.25">
      <c r="A232" t="s">
        <v>90</v>
      </c>
      <c r="B232">
        <v>860</v>
      </c>
    </row>
    <row r="233" spans="1:2" x14ac:dyDescent="0.25">
      <c r="A233" t="s">
        <v>90</v>
      </c>
      <c r="B233">
        <v>860</v>
      </c>
    </row>
    <row r="234" spans="1:2" x14ac:dyDescent="0.25">
      <c r="A234" t="s">
        <v>90</v>
      </c>
      <c r="B234">
        <v>860</v>
      </c>
    </row>
    <row r="235" spans="1:2" x14ac:dyDescent="0.25">
      <c r="A235" t="s">
        <v>90</v>
      </c>
      <c r="B235">
        <v>860</v>
      </c>
    </row>
    <row r="236" spans="1:2" x14ac:dyDescent="0.25">
      <c r="A236" t="s">
        <v>90</v>
      </c>
      <c r="B236">
        <v>860</v>
      </c>
    </row>
    <row r="237" spans="1:2" x14ac:dyDescent="0.25">
      <c r="A237" t="s">
        <v>90</v>
      </c>
      <c r="B237">
        <v>860</v>
      </c>
    </row>
    <row r="238" spans="1:2" x14ac:dyDescent="0.25">
      <c r="A238" t="s">
        <v>90</v>
      </c>
      <c r="B238">
        <v>860</v>
      </c>
    </row>
    <row r="239" spans="1:2" x14ac:dyDescent="0.25">
      <c r="A239" t="s">
        <v>90</v>
      </c>
      <c r="B239">
        <v>860</v>
      </c>
    </row>
    <row r="240" spans="1:2" x14ac:dyDescent="0.25">
      <c r="A240" t="s">
        <v>90</v>
      </c>
      <c r="B240">
        <v>860</v>
      </c>
    </row>
    <row r="241" spans="1:2" x14ac:dyDescent="0.25">
      <c r="A241" t="s">
        <v>90</v>
      </c>
      <c r="B241">
        <v>860</v>
      </c>
    </row>
    <row r="242" spans="1:2" x14ac:dyDescent="0.25">
      <c r="A242" t="s">
        <v>90</v>
      </c>
      <c r="B242">
        <v>860</v>
      </c>
    </row>
    <row r="243" spans="1:2" x14ac:dyDescent="0.25">
      <c r="A243" t="s">
        <v>90</v>
      </c>
      <c r="B243">
        <v>860</v>
      </c>
    </row>
    <row r="244" spans="1:2" x14ac:dyDescent="0.25">
      <c r="A244" t="s">
        <v>90</v>
      </c>
      <c r="B244">
        <v>860</v>
      </c>
    </row>
    <row r="245" spans="1:2" x14ac:dyDescent="0.25">
      <c r="A245" t="s">
        <v>90</v>
      </c>
      <c r="B245">
        <v>860</v>
      </c>
    </row>
    <row r="246" spans="1:2" x14ac:dyDescent="0.25">
      <c r="A246" t="s">
        <v>90</v>
      </c>
      <c r="B246">
        <v>860</v>
      </c>
    </row>
    <row r="247" spans="1:2" x14ac:dyDescent="0.25">
      <c r="A247" t="s">
        <v>90</v>
      </c>
      <c r="B247">
        <v>860</v>
      </c>
    </row>
    <row r="248" spans="1:2" x14ac:dyDescent="0.25">
      <c r="A248" t="s">
        <v>90</v>
      </c>
      <c r="B248">
        <v>860</v>
      </c>
    </row>
    <row r="249" spans="1:2" x14ac:dyDescent="0.25">
      <c r="A249" t="s">
        <v>90</v>
      </c>
      <c r="B249">
        <v>860</v>
      </c>
    </row>
    <row r="250" spans="1:2" x14ac:dyDescent="0.25">
      <c r="A250" t="s">
        <v>90</v>
      </c>
      <c r="B250">
        <v>860</v>
      </c>
    </row>
    <row r="251" spans="1:2" x14ac:dyDescent="0.25">
      <c r="A251" t="s">
        <v>90</v>
      </c>
      <c r="B251">
        <v>860</v>
      </c>
    </row>
    <row r="252" spans="1:2" x14ac:dyDescent="0.25">
      <c r="A252" t="s">
        <v>90</v>
      </c>
      <c r="B252">
        <v>860</v>
      </c>
    </row>
    <row r="253" spans="1:2" x14ac:dyDescent="0.25">
      <c r="A253" t="s">
        <v>90</v>
      </c>
      <c r="B253">
        <v>860</v>
      </c>
    </row>
    <row r="254" spans="1:2" x14ac:dyDescent="0.25">
      <c r="A254" t="s">
        <v>90</v>
      </c>
      <c r="B254">
        <v>860</v>
      </c>
    </row>
    <row r="255" spans="1:2" x14ac:dyDescent="0.25">
      <c r="A255" t="s">
        <v>90</v>
      </c>
      <c r="B255">
        <v>860</v>
      </c>
    </row>
    <row r="256" spans="1:2" x14ac:dyDescent="0.25">
      <c r="A256" t="s">
        <v>90</v>
      </c>
      <c r="B256">
        <v>860</v>
      </c>
    </row>
    <row r="257" spans="1:2" x14ac:dyDescent="0.25">
      <c r="A257" t="s">
        <v>90</v>
      </c>
      <c r="B257">
        <v>860</v>
      </c>
    </row>
    <row r="258" spans="1:2" x14ac:dyDescent="0.25">
      <c r="A258" t="s">
        <v>90</v>
      </c>
      <c r="B258">
        <v>860</v>
      </c>
    </row>
    <row r="259" spans="1:2" x14ac:dyDescent="0.25">
      <c r="A259" t="s">
        <v>90</v>
      </c>
      <c r="B259">
        <v>860</v>
      </c>
    </row>
    <row r="260" spans="1:2" x14ac:dyDescent="0.25">
      <c r="A260" t="s">
        <v>90</v>
      </c>
      <c r="B260">
        <v>860</v>
      </c>
    </row>
    <row r="261" spans="1:2" x14ac:dyDescent="0.25">
      <c r="A261" t="s">
        <v>90</v>
      </c>
      <c r="B261">
        <v>860</v>
      </c>
    </row>
    <row r="262" spans="1:2" x14ac:dyDescent="0.25">
      <c r="A262" t="s">
        <v>90</v>
      </c>
      <c r="B262">
        <v>860</v>
      </c>
    </row>
    <row r="263" spans="1:2" x14ac:dyDescent="0.25">
      <c r="A263" t="s">
        <v>90</v>
      </c>
      <c r="B263">
        <v>860</v>
      </c>
    </row>
    <row r="264" spans="1:2" x14ac:dyDescent="0.25">
      <c r="A264" t="s">
        <v>90</v>
      </c>
      <c r="B264">
        <v>860</v>
      </c>
    </row>
    <row r="265" spans="1:2" x14ac:dyDescent="0.25">
      <c r="A265" t="s">
        <v>90</v>
      </c>
      <c r="B265">
        <v>860</v>
      </c>
    </row>
    <row r="266" spans="1:2" x14ac:dyDescent="0.25">
      <c r="A266" t="s">
        <v>90</v>
      </c>
      <c r="B266">
        <v>860</v>
      </c>
    </row>
    <row r="267" spans="1:2" x14ac:dyDescent="0.25">
      <c r="A267" t="s">
        <v>90</v>
      </c>
      <c r="B267">
        <v>860</v>
      </c>
    </row>
    <row r="268" spans="1:2" x14ac:dyDescent="0.25">
      <c r="A268" t="s">
        <v>90</v>
      </c>
      <c r="B268">
        <v>860</v>
      </c>
    </row>
    <row r="269" spans="1:2" x14ac:dyDescent="0.25">
      <c r="A269" t="s">
        <v>90</v>
      </c>
      <c r="B269">
        <v>860</v>
      </c>
    </row>
    <row r="270" spans="1:2" x14ac:dyDescent="0.25">
      <c r="A270" t="s">
        <v>90</v>
      </c>
      <c r="B270">
        <v>860</v>
      </c>
    </row>
    <row r="271" spans="1:2" x14ac:dyDescent="0.25">
      <c r="A271" t="s">
        <v>90</v>
      </c>
      <c r="B271">
        <v>860</v>
      </c>
    </row>
    <row r="272" spans="1:2" x14ac:dyDescent="0.25">
      <c r="A272" t="s">
        <v>90</v>
      </c>
      <c r="B272">
        <v>860</v>
      </c>
    </row>
    <row r="273" spans="1:2" x14ac:dyDescent="0.25">
      <c r="A273" t="s">
        <v>90</v>
      </c>
      <c r="B273">
        <v>860</v>
      </c>
    </row>
    <row r="274" spans="1:2" x14ac:dyDescent="0.25">
      <c r="A274" t="s">
        <v>90</v>
      </c>
      <c r="B274">
        <v>860</v>
      </c>
    </row>
    <row r="275" spans="1:2" x14ac:dyDescent="0.25">
      <c r="A275" t="s">
        <v>90</v>
      </c>
      <c r="B275">
        <v>860</v>
      </c>
    </row>
    <row r="276" spans="1:2" x14ac:dyDescent="0.25">
      <c r="A276" t="s">
        <v>90</v>
      </c>
      <c r="B276">
        <v>860</v>
      </c>
    </row>
    <row r="277" spans="1:2" x14ac:dyDescent="0.25">
      <c r="A277" t="s">
        <v>90</v>
      </c>
      <c r="B277">
        <v>860</v>
      </c>
    </row>
    <row r="278" spans="1:2" x14ac:dyDescent="0.25">
      <c r="A278" t="s">
        <v>90</v>
      </c>
      <c r="B278">
        <v>860</v>
      </c>
    </row>
    <row r="279" spans="1:2" x14ac:dyDescent="0.25">
      <c r="A279" t="s">
        <v>90</v>
      </c>
      <c r="B279">
        <v>860</v>
      </c>
    </row>
    <row r="280" spans="1:2" x14ac:dyDescent="0.25">
      <c r="A280" t="s">
        <v>90</v>
      </c>
      <c r="B280">
        <v>860</v>
      </c>
    </row>
    <row r="281" spans="1:2" x14ac:dyDescent="0.25">
      <c r="A281" t="s">
        <v>90</v>
      </c>
      <c r="B281">
        <v>860</v>
      </c>
    </row>
    <row r="282" spans="1:2" x14ac:dyDescent="0.25">
      <c r="A282" t="s">
        <v>90</v>
      </c>
      <c r="B282">
        <v>860</v>
      </c>
    </row>
    <row r="283" spans="1:2" x14ac:dyDescent="0.25">
      <c r="A283" t="s">
        <v>90</v>
      </c>
      <c r="B283">
        <v>860</v>
      </c>
    </row>
    <row r="284" spans="1:2" x14ac:dyDescent="0.25">
      <c r="A284" t="s">
        <v>90</v>
      </c>
      <c r="B284">
        <v>860</v>
      </c>
    </row>
    <row r="285" spans="1:2" x14ac:dyDescent="0.25">
      <c r="A285" t="s">
        <v>90</v>
      </c>
      <c r="B285">
        <v>860</v>
      </c>
    </row>
    <row r="286" spans="1:2" x14ac:dyDescent="0.25">
      <c r="A286" t="s">
        <v>90</v>
      </c>
      <c r="B286">
        <v>860</v>
      </c>
    </row>
    <row r="287" spans="1:2" x14ac:dyDescent="0.25">
      <c r="A287" t="s">
        <v>90</v>
      </c>
      <c r="B287">
        <v>860</v>
      </c>
    </row>
    <row r="288" spans="1:2" x14ac:dyDescent="0.25">
      <c r="A288" t="s">
        <v>90</v>
      </c>
      <c r="B288">
        <v>860</v>
      </c>
    </row>
    <row r="289" spans="1:2" x14ac:dyDescent="0.25">
      <c r="A289" t="s">
        <v>90</v>
      </c>
      <c r="B289">
        <v>860</v>
      </c>
    </row>
    <row r="290" spans="1:2" x14ac:dyDescent="0.25">
      <c r="A290" t="s">
        <v>90</v>
      </c>
      <c r="B290">
        <v>860</v>
      </c>
    </row>
    <row r="291" spans="1:2" x14ac:dyDescent="0.25">
      <c r="A291" t="s">
        <v>90</v>
      </c>
      <c r="B291">
        <v>860</v>
      </c>
    </row>
    <row r="292" spans="1:2" x14ac:dyDescent="0.25">
      <c r="A292" t="s">
        <v>90</v>
      </c>
      <c r="B292">
        <v>860</v>
      </c>
    </row>
    <row r="293" spans="1:2" x14ac:dyDescent="0.25">
      <c r="A293" t="s">
        <v>90</v>
      </c>
      <c r="B293">
        <v>860</v>
      </c>
    </row>
    <row r="294" spans="1:2" x14ac:dyDescent="0.25">
      <c r="A294" t="s">
        <v>90</v>
      </c>
      <c r="B294">
        <v>860</v>
      </c>
    </row>
    <row r="295" spans="1:2" x14ac:dyDescent="0.25">
      <c r="A295" t="s">
        <v>90</v>
      </c>
      <c r="B295">
        <v>860</v>
      </c>
    </row>
    <row r="296" spans="1:2" x14ac:dyDescent="0.25">
      <c r="A296" t="s">
        <v>90</v>
      </c>
      <c r="B296">
        <v>860</v>
      </c>
    </row>
    <row r="297" spans="1:2" x14ac:dyDescent="0.25">
      <c r="A297" t="s">
        <v>90</v>
      </c>
      <c r="B297">
        <v>860</v>
      </c>
    </row>
    <row r="298" spans="1:2" x14ac:dyDescent="0.25">
      <c r="A298" t="s">
        <v>90</v>
      </c>
      <c r="B298">
        <v>860</v>
      </c>
    </row>
    <row r="299" spans="1:2" x14ac:dyDescent="0.25">
      <c r="A299" t="s">
        <v>90</v>
      </c>
      <c r="B299">
        <v>860</v>
      </c>
    </row>
    <row r="300" spans="1:2" x14ac:dyDescent="0.25">
      <c r="A300" t="s">
        <v>90</v>
      </c>
      <c r="B300">
        <v>860</v>
      </c>
    </row>
    <row r="301" spans="1:2" x14ac:dyDescent="0.25">
      <c r="A301" t="s">
        <v>90</v>
      </c>
      <c r="B301">
        <v>860</v>
      </c>
    </row>
    <row r="302" spans="1:2" x14ac:dyDescent="0.25">
      <c r="A302" t="s">
        <v>90</v>
      </c>
      <c r="B302">
        <v>860</v>
      </c>
    </row>
    <row r="303" spans="1:2" x14ac:dyDescent="0.25">
      <c r="A303" t="s">
        <v>90</v>
      </c>
      <c r="B303">
        <v>860</v>
      </c>
    </row>
    <row r="304" spans="1:2" x14ac:dyDescent="0.25">
      <c r="A304" t="s">
        <v>90</v>
      </c>
      <c r="B304">
        <v>860</v>
      </c>
    </row>
    <row r="305" spans="1:2" x14ac:dyDescent="0.25">
      <c r="A305" t="s">
        <v>90</v>
      </c>
      <c r="B305">
        <v>860</v>
      </c>
    </row>
    <row r="306" spans="1:2" x14ac:dyDescent="0.25">
      <c r="A306" t="s">
        <v>90</v>
      </c>
      <c r="B306">
        <v>860</v>
      </c>
    </row>
    <row r="307" spans="1:2" x14ac:dyDescent="0.25">
      <c r="A307" t="s">
        <v>90</v>
      </c>
      <c r="B307">
        <v>860</v>
      </c>
    </row>
    <row r="308" spans="1:2" x14ac:dyDescent="0.25">
      <c r="A308" t="s">
        <v>90</v>
      </c>
      <c r="B308">
        <v>860</v>
      </c>
    </row>
    <row r="309" spans="1:2" x14ac:dyDescent="0.25">
      <c r="A309" t="s">
        <v>90</v>
      </c>
      <c r="B309">
        <v>860</v>
      </c>
    </row>
    <row r="310" spans="1:2" x14ac:dyDescent="0.25">
      <c r="A310" t="s">
        <v>90</v>
      </c>
      <c r="B310">
        <v>860</v>
      </c>
    </row>
    <row r="311" spans="1:2" x14ac:dyDescent="0.25">
      <c r="A311" t="s">
        <v>90</v>
      </c>
      <c r="B311">
        <v>860</v>
      </c>
    </row>
    <row r="312" spans="1:2" x14ac:dyDescent="0.25">
      <c r="A312" t="s">
        <v>90</v>
      </c>
      <c r="B312">
        <v>860</v>
      </c>
    </row>
    <row r="313" spans="1:2" x14ac:dyDescent="0.25">
      <c r="A313" t="s">
        <v>90</v>
      </c>
      <c r="B313">
        <v>860</v>
      </c>
    </row>
    <row r="314" spans="1:2" x14ac:dyDescent="0.25">
      <c r="A314" t="s">
        <v>90</v>
      </c>
      <c r="B314">
        <v>860</v>
      </c>
    </row>
    <row r="315" spans="1:2" x14ac:dyDescent="0.25">
      <c r="A315" t="s">
        <v>90</v>
      </c>
      <c r="B315">
        <v>860</v>
      </c>
    </row>
    <row r="316" spans="1:2" x14ac:dyDescent="0.25">
      <c r="A316" t="s">
        <v>90</v>
      </c>
      <c r="B316">
        <v>860</v>
      </c>
    </row>
    <row r="317" spans="1:2" x14ac:dyDescent="0.25">
      <c r="A317" t="s">
        <v>90</v>
      </c>
      <c r="B317">
        <v>860</v>
      </c>
    </row>
    <row r="318" spans="1:2" x14ac:dyDescent="0.25">
      <c r="A318" t="s">
        <v>90</v>
      </c>
      <c r="B318">
        <v>860</v>
      </c>
    </row>
    <row r="319" spans="1:2" x14ac:dyDescent="0.25">
      <c r="A319" t="s">
        <v>90</v>
      </c>
      <c r="B319">
        <v>860</v>
      </c>
    </row>
    <row r="320" spans="1:2" x14ac:dyDescent="0.25">
      <c r="A320" t="s">
        <v>90</v>
      </c>
      <c r="B320">
        <v>860</v>
      </c>
    </row>
    <row r="321" spans="1:2" x14ac:dyDescent="0.25">
      <c r="A321" t="s">
        <v>90</v>
      </c>
      <c r="B321">
        <v>860</v>
      </c>
    </row>
    <row r="322" spans="1:2" x14ac:dyDescent="0.25">
      <c r="A322" t="s">
        <v>90</v>
      </c>
      <c r="B322">
        <v>860</v>
      </c>
    </row>
    <row r="323" spans="1:2" x14ac:dyDescent="0.25">
      <c r="A323" t="s">
        <v>90</v>
      </c>
      <c r="B323">
        <v>860</v>
      </c>
    </row>
    <row r="324" spans="1:2" x14ac:dyDescent="0.25">
      <c r="A324" t="s">
        <v>90</v>
      </c>
      <c r="B324">
        <v>860</v>
      </c>
    </row>
    <row r="325" spans="1:2" x14ac:dyDescent="0.25">
      <c r="A325" t="s">
        <v>90</v>
      </c>
      <c r="B325">
        <v>860</v>
      </c>
    </row>
    <row r="326" spans="1:2" x14ac:dyDescent="0.25">
      <c r="A326" t="s">
        <v>90</v>
      </c>
      <c r="B326">
        <v>860</v>
      </c>
    </row>
    <row r="327" spans="1:2" x14ac:dyDescent="0.25">
      <c r="A327" t="s">
        <v>90</v>
      </c>
      <c r="B327">
        <v>860</v>
      </c>
    </row>
    <row r="328" spans="1:2" x14ac:dyDescent="0.25">
      <c r="A328" t="s">
        <v>90</v>
      </c>
      <c r="B328">
        <v>860</v>
      </c>
    </row>
    <row r="329" spans="1:2" x14ac:dyDescent="0.25">
      <c r="A329" t="s">
        <v>90</v>
      </c>
      <c r="B329">
        <v>860</v>
      </c>
    </row>
    <row r="330" spans="1:2" x14ac:dyDescent="0.25">
      <c r="A330" t="s">
        <v>90</v>
      </c>
      <c r="B330">
        <v>860</v>
      </c>
    </row>
    <row r="331" spans="1:2" x14ac:dyDescent="0.25">
      <c r="A331" t="s">
        <v>90</v>
      </c>
      <c r="B331">
        <v>860</v>
      </c>
    </row>
    <row r="332" spans="1:2" x14ac:dyDescent="0.25">
      <c r="A332" t="s">
        <v>90</v>
      </c>
      <c r="B332">
        <v>860</v>
      </c>
    </row>
    <row r="333" spans="1:2" x14ac:dyDescent="0.25">
      <c r="A333" t="s">
        <v>90</v>
      </c>
      <c r="B333">
        <v>860</v>
      </c>
    </row>
    <row r="334" spans="1:2" x14ac:dyDescent="0.25">
      <c r="A334" t="s">
        <v>90</v>
      </c>
      <c r="B334">
        <v>860</v>
      </c>
    </row>
    <row r="335" spans="1:2" x14ac:dyDescent="0.25">
      <c r="A335" t="s">
        <v>90</v>
      </c>
      <c r="B335">
        <v>860</v>
      </c>
    </row>
    <row r="336" spans="1:2" x14ac:dyDescent="0.25">
      <c r="A336" t="s">
        <v>90</v>
      </c>
      <c r="B336">
        <v>860</v>
      </c>
    </row>
    <row r="337" spans="1:2" x14ac:dyDescent="0.25">
      <c r="A337" t="s">
        <v>90</v>
      </c>
      <c r="B337">
        <v>860</v>
      </c>
    </row>
    <row r="338" spans="1:2" x14ac:dyDescent="0.25">
      <c r="A338" t="s">
        <v>90</v>
      </c>
      <c r="B338">
        <v>860</v>
      </c>
    </row>
    <row r="339" spans="1:2" x14ac:dyDescent="0.25">
      <c r="A339" t="s">
        <v>90</v>
      </c>
      <c r="B339">
        <v>860</v>
      </c>
    </row>
    <row r="340" spans="1:2" x14ac:dyDescent="0.25">
      <c r="A340" t="s">
        <v>90</v>
      </c>
      <c r="B340">
        <v>860</v>
      </c>
    </row>
    <row r="341" spans="1:2" x14ac:dyDescent="0.25">
      <c r="A341" t="s">
        <v>90</v>
      </c>
      <c r="B341">
        <v>860</v>
      </c>
    </row>
    <row r="342" spans="1:2" x14ac:dyDescent="0.25">
      <c r="A342" t="s">
        <v>90</v>
      </c>
      <c r="B342">
        <v>860</v>
      </c>
    </row>
    <row r="343" spans="1:2" x14ac:dyDescent="0.25">
      <c r="A343" t="s">
        <v>90</v>
      </c>
      <c r="B343">
        <v>860</v>
      </c>
    </row>
    <row r="344" spans="1:2" x14ac:dyDescent="0.25">
      <c r="A344" t="s">
        <v>90</v>
      </c>
      <c r="B344">
        <v>860</v>
      </c>
    </row>
    <row r="345" spans="1:2" x14ac:dyDescent="0.25">
      <c r="A345" t="s">
        <v>90</v>
      </c>
      <c r="B345">
        <v>860</v>
      </c>
    </row>
    <row r="346" spans="1:2" x14ac:dyDescent="0.25">
      <c r="A346" t="s">
        <v>90</v>
      </c>
      <c r="B346">
        <v>860</v>
      </c>
    </row>
    <row r="347" spans="1:2" x14ac:dyDescent="0.25">
      <c r="A347" t="s">
        <v>90</v>
      </c>
      <c r="B347">
        <v>860</v>
      </c>
    </row>
    <row r="348" spans="1:2" x14ac:dyDescent="0.25">
      <c r="A348" t="s">
        <v>90</v>
      </c>
      <c r="B348">
        <v>860</v>
      </c>
    </row>
    <row r="349" spans="1:2" x14ac:dyDescent="0.25">
      <c r="A349" t="s">
        <v>90</v>
      </c>
      <c r="B349">
        <v>860</v>
      </c>
    </row>
    <row r="350" spans="1:2" x14ac:dyDescent="0.25">
      <c r="A350" t="s">
        <v>90</v>
      </c>
      <c r="B350">
        <v>860</v>
      </c>
    </row>
    <row r="351" spans="1:2" x14ac:dyDescent="0.25">
      <c r="A351" t="s">
        <v>90</v>
      </c>
      <c r="B351">
        <v>860</v>
      </c>
    </row>
    <row r="352" spans="1:2" x14ac:dyDescent="0.25">
      <c r="A352" t="s">
        <v>90</v>
      </c>
      <c r="B352">
        <v>860</v>
      </c>
    </row>
    <row r="353" spans="1:2" x14ac:dyDescent="0.25">
      <c r="A353" t="s">
        <v>90</v>
      </c>
      <c r="B353">
        <v>860</v>
      </c>
    </row>
    <row r="354" spans="1:2" x14ac:dyDescent="0.25">
      <c r="A354" t="s">
        <v>90</v>
      </c>
      <c r="B354">
        <v>860</v>
      </c>
    </row>
    <row r="355" spans="1:2" x14ac:dyDescent="0.25">
      <c r="A355" t="s">
        <v>90</v>
      </c>
      <c r="B355">
        <v>860</v>
      </c>
    </row>
    <row r="356" spans="1:2" x14ac:dyDescent="0.25">
      <c r="A356" t="s">
        <v>90</v>
      </c>
      <c r="B356">
        <v>860</v>
      </c>
    </row>
    <row r="357" spans="1:2" x14ac:dyDescent="0.25">
      <c r="A357" t="s">
        <v>90</v>
      </c>
      <c r="B357">
        <v>860</v>
      </c>
    </row>
    <row r="358" spans="1:2" x14ac:dyDescent="0.25">
      <c r="A358" t="s">
        <v>90</v>
      </c>
      <c r="B358">
        <v>860</v>
      </c>
    </row>
    <row r="359" spans="1:2" x14ac:dyDescent="0.25">
      <c r="A359" t="s">
        <v>90</v>
      </c>
      <c r="B359">
        <v>860</v>
      </c>
    </row>
    <row r="360" spans="1:2" x14ac:dyDescent="0.25">
      <c r="A360" t="s">
        <v>90</v>
      </c>
      <c r="B360">
        <v>860</v>
      </c>
    </row>
    <row r="361" spans="1:2" x14ac:dyDescent="0.25">
      <c r="A361" t="s">
        <v>90</v>
      </c>
      <c r="B361">
        <v>860</v>
      </c>
    </row>
    <row r="362" spans="1:2" x14ac:dyDescent="0.25">
      <c r="A362" t="s">
        <v>90</v>
      </c>
      <c r="B362">
        <v>860</v>
      </c>
    </row>
    <row r="363" spans="1:2" x14ac:dyDescent="0.25">
      <c r="A363" t="s">
        <v>90</v>
      </c>
      <c r="B363">
        <v>860</v>
      </c>
    </row>
    <row r="364" spans="1:2" x14ac:dyDescent="0.25">
      <c r="A364" t="s">
        <v>90</v>
      </c>
      <c r="B364">
        <v>860</v>
      </c>
    </row>
    <row r="365" spans="1:2" x14ac:dyDescent="0.25">
      <c r="A365" t="s">
        <v>90</v>
      </c>
      <c r="B365">
        <v>860</v>
      </c>
    </row>
    <row r="366" spans="1:2" x14ac:dyDescent="0.25">
      <c r="A366" t="s">
        <v>90</v>
      </c>
      <c r="B366">
        <v>860</v>
      </c>
    </row>
    <row r="367" spans="1:2" x14ac:dyDescent="0.25">
      <c r="A367" t="s">
        <v>90</v>
      </c>
      <c r="B367">
        <v>860</v>
      </c>
    </row>
    <row r="368" spans="1:2" x14ac:dyDescent="0.25">
      <c r="A368" t="s">
        <v>90</v>
      </c>
      <c r="B368">
        <v>860</v>
      </c>
    </row>
    <row r="369" spans="1:2" x14ac:dyDescent="0.25">
      <c r="A369" t="s">
        <v>90</v>
      </c>
      <c r="B369">
        <v>860</v>
      </c>
    </row>
    <row r="370" spans="1:2" x14ac:dyDescent="0.25">
      <c r="A370" t="s">
        <v>90</v>
      </c>
      <c r="B370">
        <v>860</v>
      </c>
    </row>
    <row r="371" spans="1:2" x14ac:dyDescent="0.25">
      <c r="A371" t="s">
        <v>90</v>
      </c>
      <c r="B371">
        <v>860</v>
      </c>
    </row>
    <row r="372" spans="1:2" x14ac:dyDescent="0.25">
      <c r="A372" t="s">
        <v>90</v>
      </c>
      <c r="B372">
        <v>860</v>
      </c>
    </row>
    <row r="373" spans="1:2" x14ac:dyDescent="0.25">
      <c r="A373" t="s">
        <v>90</v>
      </c>
      <c r="B373">
        <v>860</v>
      </c>
    </row>
    <row r="374" spans="1:2" x14ac:dyDescent="0.25">
      <c r="A374" t="s">
        <v>90</v>
      </c>
      <c r="B374">
        <v>860</v>
      </c>
    </row>
    <row r="375" spans="1:2" x14ac:dyDescent="0.25">
      <c r="A375" t="s">
        <v>90</v>
      </c>
      <c r="B375">
        <v>860</v>
      </c>
    </row>
    <row r="376" spans="1:2" x14ac:dyDescent="0.25">
      <c r="A376" t="s">
        <v>90</v>
      </c>
      <c r="B376">
        <v>860</v>
      </c>
    </row>
    <row r="377" spans="1:2" x14ac:dyDescent="0.25">
      <c r="A377" t="s">
        <v>90</v>
      </c>
      <c r="B377">
        <v>860</v>
      </c>
    </row>
    <row r="378" spans="1:2" x14ac:dyDescent="0.25">
      <c r="A378" t="s">
        <v>90</v>
      </c>
      <c r="B378">
        <v>860</v>
      </c>
    </row>
    <row r="379" spans="1:2" x14ac:dyDescent="0.25">
      <c r="A379" t="s">
        <v>90</v>
      </c>
      <c r="B379">
        <v>860</v>
      </c>
    </row>
    <row r="380" spans="1:2" x14ac:dyDescent="0.25">
      <c r="A380" t="s">
        <v>90</v>
      </c>
      <c r="B380">
        <v>860</v>
      </c>
    </row>
    <row r="381" spans="1:2" x14ac:dyDescent="0.25">
      <c r="A381" t="s">
        <v>90</v>
      </c>
      <c r="B381">
        <v>860</v>
      </c>
    </row>
    <row r="382" spans="1:2" x14ac:dyDescent="0.25">
      <c r="A382" t="s">
        <v>90</v>
      </c>
      <c r="B382">
        <v>860</v>
      </c>
    </row>
    <row r="383" spans="1:2" x14ac:dyDescent="0.25">
      <c r="A383" t="s">
        <v>90</v>
      </c>
      <c r="B383">
        <v>860</v>
      </c>
    </row>
    <row r="384" spans="1:2" x14ac:dyDescent="0.25">
      <c r="A384" t="s">
        <v>90</v>
      </c>
      <c r="B384">
        <v>860</v>
      </c>
    </row>
    <row r="385" spans="1:2" x14ac:dyDescent="0.25">
      <c r="A385" t="s">
        <v>90</v>
      </c>
      <c r="B385">
        <v>860</v>
      </c>
    </row>
    <row r="386" spans="1:2" x14ac:dyDescent="0.25">
      <c r="A386" t="s">
        <v>90</v>
      </c>
      <c r="B386">
        <v>860</v>
      </c>
    </row>
    <row r="387" spans="1:2" x14ac:dyDescent="0.25">
      <c r="A387" t="s">
        <v>90</v>
      </c>
      <c r="B387">
        <v>860</v>
      </c>
    </row>
    <row r="388" spans="1:2" x14ac:dyDescent="0.25">
      <c r="A388" t="s">
        <v>90</v>
      </c>
      <c r="B388">
        <v>860</v>
      </c>
    </row>
    <row r="389" spans="1:2" x14ac:dyDescent="0.25">
      <c r="A389" t="s">
        <v>90</v>
      </c>
      <c r="B389">
        <v>860</v>
      </c>
    </row>
    <row r="390" spans="1:2" x14ac:dyDescent="0.25">
      <c r="A390" t="s">
        <v>90</v>
      </c>
      <c r="B390">
        <v>860</v>
      </c>
    </row>
    <row r="391" spans="1:2" x14ac:dyDescent="0.25">
      <c r="A391" t="s">
        <v>90</v>
      </c>
      <c r="B391">
        <v>860</v>
      </c>
    </row>
    <row r="392" spans="1:2" x14ac:dyDescent="0.25">
      <c r="A392" t="s">
        <v>90</v>
      </c>
      <c r="B392">
        <v>860</v>
      </c>
    </row>
    <row r="393" spans="1:2" x14ac:dyDescent="0.25">
      <c r="A393" t="s">
        <v>90</v>
      </c>
      <c r="B393">
        <v>860</v>
      </c>
    </row>
    <row r="394" spans="1:2" x14ac:dyDescent="0.25">
      <c r="A394" t="s">
        <v>90</v>
      </c>
      <c r="B394">
        <v>860</v>
      </c>
    </row>
    <row r="395" spans="1:2" x14ac:dyDescent="0.25">
      <c r="A395" t="s">
        <v>90</v>
      </c>
      <c r="B395">
        <v>860</v>
      </c>
    </row>
    <row r="396" spans="1:2" x14ac:dyDescent="0.25">
      <c r="A396" t="s">
        <v>90</v>
      </c>
      <c r="B396">
        <v>860</v>
      </c>
    </row>
    <row r="397" spans="1:2" x14ac:dyDescent="0.25">
      <c r="A397" t="s">
        <v>90</v>
      </c>
      <c r="B397">
        <v>860</v>
      </c>
    </row>
    <row r="398" spans="1:2" x14ac:dyDescent="0.25">
      <c r="A398" t="s">
        <v>90</v>
      </c>
      <c r="B398">
        <v>860</v>
      </c>
    </row>
    <row r="399" spans="1:2" x14ac:dyDescent="0.25">
      <c r="A399" t="s">
        <v>90</v>
      </c>
      <c r="B399">
        <v>860</v>
      </c>
    </row>
    <row r="400" spans="1:2" x14ac:dyDescent="0.25">
      <c r="A400" t="s">
        <v>90</v>
      </c>
      <c r="B400">
        <v>860</v>
      </c>
    </row>
    <row r="401" spans="1:2" x14ac:dyDescent="0.25">
      <c r="A401" t="s">
        <v>90</v>
      </c>
      <c r="B401">
        <v>860</v>
      </c>
    </row>
    <row r="402" spans="1:2" x14ac:dyDescent="0.25">
      <c r="A402" t="s">
        <v>90</v>
      </c>
      <c r="B402">
        <v>860</v>
      </c>
    </row>
    <row r="403" spans="1:2" x14ac:dyDescent="0.25">
      <c r="A403" t="s">
        <v>90</v>
      </c>
      <c r="B403">
        <v>860</v>
      </c>
    </row>
    <row r="404" spans="1:2" x14ac:dyDescent="0.25">
      <c r="A404" t="s">
        <v>90</v>
      </c>
      <c r="B404">
        <v>860</v>
      </c>
    </row>
    <row r="405" spans="1:2" x14ac:dyDescent="0.25">
      <c r="A405" t="s">
        <v>90</v>
      </c>
      <c r="B405">
        <v>860</v>
      </c>
    </row>
    <row r="406" spans="1:2" x14ac:dyDescent="0.25">
      <c r="A406" t="s">
        <v>90</v>
      </c>
      <c r="B406">
        <v>860</v>
      </c>
    </row>
    <row r="407" spans="1:2" x14ac:dyDescent="0.25">
      <c r="A407" t="s">
        <v>90</v>
      </c>
      <c r="B407">
        <v>860</v>
      </c>
    </row>
    <row r="408" spans="1:2" x14ac:dyDescent="0.25">
      <c r="A408" t="s">
        <v>90</v>
      </c>
      <c r="B408">
        <v>860</v>
      </c>
    </row>
    <row r="409" spans="1:2" x14ac:dyDescent="0.25">
      <c r="A409" t="s">
        <v>90</v>
      </c>
      <c r="B409">
        <v>860</v>
      </c>
    </row>
    <row r="410" spans="1:2" x14ac:dyDescent="0.25">
      <c r="A410" t="s">
        <v>90</v>
      </c>
      <c r="B410">
        <v>860</v>
      </c>
    </row>
    <row r="411" spans="1:2" x14ac:dyDescent="0.25">
      <c r="A411" t="s">
        <v>90</v>
      </c>
      <c r="B411">
        <v>860</v>
      </c>
    </row>
    <row r="412" spans="1:2" x14ac:dyDescent="0.25">
      <c r="A412" t="s">
        <v>90</v>
      </c>
      <c r="B412">
        <v>860</v>
      </c>
    </row>
    <row r="413" spans="1:2" x14ac:dyDescent="0.25">
      <c r="A413" t="s">
        <v>90</v>
      </c>
      <c r="B413">
        <v>860</v>
      </c>
    </row>
    <row r="414" spans="1:2" x14ac:dyDescent="0.25">
      <c r="A414" t="s">
        <v>90</v>
      </c>
      <c r="B414">
        <v>860</v>
      </c>
    </row>
    <row r="415" spans="1:2" x14ac:dyDescent="0.25">
      <c r="A415" t="s">
        <v>90</v>
      </c>
      <c r="B415">
        <v>860</v>
      </c>
    </row>
    <row r="416" spans="1:2" x14ac:dyDescent="0.25">
      <c r="A416" t="s">
        <v>90</v>
      </c>
      <c r="B416">
        <v>860</v>
      </c>
    </row>
    <row r="417" spans="1:2" x14ac:dyDescent="0.25">
      <c r="A417" t="s">
        <v>90</v>
      </c>
      <c r="B417">
        <v>860</v>
      </c>
    </row>
    <row r="418" spans="1:2" x14ac:dyDescent="0.25">
      <c r="A418" t="s">
        <v>90</v>
      </c>
      <c r="B418">
        <v>860</v>
      </c>
    </row>
    <row r="419" spans="1:2" x14ac:dyDescent="0.25">
      <c r="A419" t="s">
        <v>90</v>
      </c>
      <c r="B419">
        <v>860</v>
      </c>
    </row>
    <row r="420" spans="1:2" x14ac:dyDescent="0.25">
      <c r="A420" t="s">
        <v>90</v>
      </c>
      <c r="B420">
        <v>860</v>
      </c>
    </row>
    <row r="421" spans="1:2" x14ac:dyDescent="0.25">
      <c r="A421" t="s">
        <v>90</v>
      </c>
      <c r="B421">
        <v>860</v>
      </c>
    </row>
    <row r="422" spans="1:2" x14ac:dyDescent="0.25">
      <c r="A422" t="s">
        <v>90</v>
      </c>
      <c r="B422">
        <v>860</v>
      </c>
    </row>
    <row r="423" spans="1:2" x14ac:dyDescent="0.25">
      <c r="A423" t="s">
        <v>90</v>
      </c>
      <c r="B423">
        <v>860</v>
      </c>
    </row>
    <row r="424" spans="1:2" x14ac:dyDescent="0.25">
      <c r="A424" t="s">
        <v>90</v>
      </c>
      <c r="B424">
        <v>860</v>
      </c>
    </row>
    <row r="425" spans="1:2" x14ac:dyDescent="0.25">
      <c r="A425" t="s">
        <v>90</v>
      </c>
      <c r="B425">
        <v>860</v>
      </c>
    </row>
    <row r="426" spans="1:2" x14ac:dyDescent="0.25">
      <c r="A426" t="s">
        <v>90</v>
      </c>
      <c r="B426">
        <v>860</v>
      </c>
    </row>
    <row r="427" spans="1:2" x14ac:dyDescent="0.25">
      <c r="A427" t="s">
        <v>90</v>
      </c>
      <c r="B427">
        <v>860</v>
      </c>
    </row>
    <row r="428" spans="1:2" x14ac:dyDescent="0.25">
      <c r="A428" t="s">
        <v>90</v>
      </c>
      <c r="B428">
        <v>860</v>
      </c>
    </row>
    <row r="429" spans="1:2" x14ac:dyDescent="0.25">
      <c r="A429" t="s">
        <v>90</v>
      </c>
      <c r="B429">
        <v>860</v>
      </c>
    </row>
    <row r="430" spans="1:2" x14ac:dyDescent="0.25">
      <c r="A430" t="s">
        <v>90</v>
      </c>
      <c r="B430">
        <v>860</v>
      </c>
    </row>
    <row r="431" spans="1:2" x14ac:dyDescent="0.25">
      <c r="A431" t="s">
        <v>90</v>
      </c>
      <c r="B431">
        <v>860</v>
      </c>
    </row>
    <row r="432" spans="1:2" x14ac:dyDescent="0.25">
      <c r="A432" t="s">
        <v>90</v>
      </c>
      <c r="B432">
        <v>860</v>
      </c>
    </row>
    <row r="433" spans="1:2" x14ac:dyDescent="0.25">
      <c r="A433" t="s">
        <v>90</v>
      </c>
      <c r="B433">
        <v>860</v>
      </c>
    </row>
    <row r="434" spans="1:2" x14ac:dyDescent="0.25">
      <c r="A434" t="s">
        <v>90</v>
      </c>
      <c r="B434">
        <v>860</v>
      </c>
    </row>
    <row r="435" spans="1:2" x14ac:dyDescent="0.25">
      <c r="A435" t="s">
        <v>90</v>
      </c>
      <c r="B435">
        <v>860</v>
      </c>
    </row>
    <row r="436" spans="1:2" x14ac:dyDescent="0.25">
      <c r="A436" t="s">
        <v>90</v>
      </c>
      <c r="B436">
        <v>860</v>
      </c>
    </row>
    <row r="437" spans="1:2" x14ac:dyDescent="0.25">
      <c r="A437" t="s">
        <v>90</v>
      </c>
      <c r="B437">
        <v>860</v>
      </c>
    </row>
    <row r="438" spans="1:2" x14ac:dyDescent="0.25">
      <c r="A438" t="s">
        <v>90</v>
      </c>
      <c r="B438">
        <v>860</v>
      </c>
    </row>
    <row r="439" spans="1:2" x14ac:dyDescent="0.25">
      <c r="A439" t="s">
        <v>90</v>
      </c>
      <c r="B439">
        <v>860</v>
      </c>
    </row>
    <row r="440" spans="1:2" x14ac:dyDescent="0.25">
      <c r="A440" t="s">
        <v>90</v>
      </c>
      <c r="B440">
        <v>860</v>
      </c>
    </row>
    <row r="441" spans="1:2" x14ac:dyDescent="0.25">
      <c r="A441" t="s">
        <v>90</v>
      </c>
      <c r="B441">
        <v>860</v>
      </c>
    </row>
    <row r="442" spans="1:2" x14ac:dyDescent="0.25">
      <c r="A442" t="s">
        <v>90</v>
      </c>
      <c r="B442">
        <v>860</v>
      </c>
    </row>
    <row r="443" spans="1:2" x14ac:dyDescent="0.25">
      <c r="A443" t="s">
        <v>90</v>
      </c>
      <c r="B443">
        <v>860</v>
      </c>
    </row>
    <row r="444" spans="1:2" x14ac:dyDescent="0.25">
      <c r="A444" t="s">
        <v>90</v>
      </c>
      <c r="B444">
        <v>860</v>
      </c>
    </row>
    <row r="445" spans="1:2" x14ac:dyDescent="0.25">
      <c r="A445" t="s">
        <v>90</v>
      </c>
      <c r="B445">
        <v>860</v>
      </c>
    </row>
    <row r="446" spans="1:2" x14ac:dyDescent="0.25">
      <c r="A446" t="s">
        <v>90</v>
      </c>
      <c r="B446">
        <v>860</v>
      </c>
    </row>
    <row r="447" spans="1:2" x14ac:dyDescent="0.25">
      <c r="A447" t="s">
        <v>90</v>
      </c>
      <c r="B447">
        <v>860</v>
      </c>
    </row>
    <row r="448" spans="1:2" x14ac:dyDescent="0.25">
      <c r="A448" t="s">
        <v>90</v>
      </c>
      <c r="B448">
        <v>860</v>
      </c>
    </row>
    <row r="449" spans="1:2" x14ac:dyDescent="0.25">
      <c r="A449" t="s">
        <v>90</v>
      </c>
      <c r="B449">
        <v>860</v>
      </c>
    </row>
    <row r="450" spans="1:2" x14ac:dyDescent="0.25">
      <c r="A450" t="s">
        <v>90</v>
      </c>
      <c r="B450">
        <v>860</v>
      </c>
    </row>
    <row r="451" spans="1:2" x14ac:dyDescent="0.25">
      <c r="A451" t="s">
        <v>90</v>
      </c>
      <c r="B451">
        <v>860</v>
      </c>
    </row>
    <row r="452" spans="1:2" x14ac:dyDescent="0.25">
      <c r="A452" t="s">
        <v>90</v>
      </c>
      <c r="B452">
        <v>860</v>
      </c>
    </row>
    <row r="453" spans="1:2" x14ac:dyDescent="0.25">
      <c r="A453" t="s">
        <v>90</v>
      </c>
      <c r="B453">
        <v>860</v>
      </c>
    </row>
    <row r="454" spans="1:2" x14ac:dyDescent="0.25">
      <c r="A454" t="s">
        <v>90</v>
      </c>
      <c r="B454">
        <v>860</v>
      </c>
    </row>
    <row r="455" spans="1:2" x14ac:dyDescent="0.25">
      <c r="A455" t="s">
        <v>90</v>
      </c>
      <c r="B455">
        <v>860</v>
      </c>
    </row>
    <row r="456" spans="1:2" x14ac:dyDescent="0.25">
      <c r="A456" t="s">
        <v>90</v>
      </c>
      <c r="B456">
        <v>860</v>
      </c>
    </row>
    <row r="457" spans="1:2" x14ac:dyDescent="0.25">
      <c r="A457" t="s">
        <v>90</v>
      </c>
      <c r="B457">
        <v>860</v>
      </c>
    </row>
    <row r="458" spans="1:2" x14ac:dyDescent="0.25">
      <c r="A458" t="s">
        <v>90</v>
      </c>
      <c r="B458">
        <v>860</v>
      </c>
    </row>
    <row r="459" spans="1:2" x14ac:dyDescent="0.25">
      <c r="A459" t="s">
        <v>90</v>
      </c>
      <c r="B459">
        <v>860</v>
      </c>
    </row>
    <row r="460" spans="1:2" x14ac:dyDescent="0.25">
      <c r="A460" t="s">
        <v>90</v>
      </c>
      <c r="B460">
        <v>860</v>
      </c>
    </row>
    <row r="461" spans="1:2" x14ac:dyDescent="0.25">
      <c r="A461" t="s">
        <v>90</v>
      </c>
      <c r="B461">
        <v>860</v>
      </c>
    </row>
    <row r="462" spans="1:2" x14ac:dyDescent="0.25">
      <c r="A462" t="s">
        <v>90</v>
      </c>
      <c r="B462">
        <v>860</v>
      </c>
    </row>
    <row r="463" spans="1:2" x14ac:dyDescent="0.25">
      <c r="A463" t="s">
        <v>90</v>
      </c>
      <c r="B463">
        <v>860</v>
      </c>
    </row>
    <row r="464" spans="1:2" x14ac:dyDescent="0.25">
      <c r="A464" t="s">
        <v>90</v>
      </c>
      <c r="B464">
        <v>860</v>
      </c>
    </row>
    <row r="465" spans="1:2" x14ac:dyDescent="0.25">
      <c r="A465" t="s">
        <v>90</v>
      </c>
      <c r="B465">
        <v>860</v>
      </c>
    </row>
    <row r="466" spans="1:2" x14ac:dyDescent="0.25">
      <c r="A466" t="s">
        <v>90</v>
      </c>
      <c r="B466">
        <v>860</v>
      </c>
    </row>
    <row r="467" spans="1:2" x14ac:dyDescent="0.25">
      <c r="A467" t="s">
        <v>90</v>
      </c>
      <c r="B467">
        <v>860</v>
      </c>
    </row>
    <row r="468" spans="1:2" x14ac:dyDescent="0.25">
      <c r="A468" t="s">
        <v>90</v>
      </c>
      <c r="B468">
        <v>860</v>
      </c>
    </row>
    <row r="469" spans="1:2" x14ac:dyDescent="0.25">
      <c r="A469" t="s">
        <v>90</v>
      </c>
      <c r="B469">
        <v>860</v>
      </c>
    </row>
    <row r="470" spans="1:2" x14ac:dyDescent="0.25">
      <c r="A470" t="s">
        <v>90</v>
      </c>
      <c r="B470">
        <v>860</v>
      </c>
    </row>
    <row r="471" spans="1:2" x14ac:dyDescent="0.25">
      <c r="A471" t="s">
        <v>90</v>
      </c>
      <c r="B471">
        <v>860</v>
      </c>
    </row>
    <row r="472" spans="1:2" x14ac:dyDescent="0.25">
      <c r="A472" t="s">
        <v>90</v>
      </c>
      <c r="B472">
        <v>860</v>
      </c>
    </row>
    <row r="473" spans="1:2" x14ac:dyDescent="0.25">
      <c r="A473" t="s">
        <v>90</v>
      </c>
      <c r="B473">
        <v>860</v>
      </c>
    </row>
    <row r="474" spans="1:2" x14ac:dyDescent="0.25">
      <c r="A474" t="s">
        <v>90</v>
      </c>
      <c r="B474">
        <v>860</v>
      </c>
    </row>
    <row r="475" spans="1:2" x14ac:dyDescent="0.25">
      <c r="A475" t="s">
        <v>90</v>
      </c>
      <c r="B475">
        <v>860</v>
      </c>
    </row>
    <row r="476" spans="1:2" x14ac:dyDescent="0.25">
      <c r="A476" t="s">
        <v>90</v>
      </c>
      <c r="B476">
        <v>860</v>
      </c>
    </row>
    <row r="477" spans="1:2" x14ac:dyDescent="0.25">
      <c r="A477" t="s">
        <v>90</v>
      </c>
      <c r="B477">
        <v>860</v>
      </c>
    </row>
    <row r="478" spans="1:2" x14ac:dyDescent="0.25">
      <c r="A478" t="s">
        <v>90</v>
      </c>
      <c r="B478">
        <v>860</v>
      </c>
    </row>
    <row r="479" spans="1:2" x14ac:dyDescent="0.25">
      <c r="A479" t="s">
        <v>90</v>
      </c>
      <c r="B479">
        <v>860</v>
      </c>
    </row>
    <row r="480" spans="1:2" x14ac:dyDescent="0.25">
      <c r="A480" t="s">
        <v>90</v>
      </c>
      <c r="B480">
        <v>860</v>
      </c>
    </row>
    <row r="481" spans="1:2" x14ac:dyDescent="0.25">
      <c r="A481" t="s">
        <v>90</v>
      </c>
      <c r="B481">
        <v>860</v>
      </c>
    </row>
    <row r="482" spans="1:2" x14ac:dyDescent="0.25">
      <c r="A482" t="s">
        <v>90</v>
      </c>
      <c r="B482">
        <v>860</v>
      </c>
    </row>
    <row r="483" spans="1:2" x14ac:dyDescent="0.25">
      <c r="A483" t="s">
        <v>90</v>
      </c>
      <c r="B483">
        <v>860</v>
      </c>
    </row>
    <row r="484" spans="1:2" x14ac:dyDescent="0.25">
      <c r="A484" t="s">
        <v>90</v>
      </c>
      <c r="B484">
        <v>860</v>
      </c>
    </row>
    <row r="485" spans="1:2" x14ac:dyDescent="0.25">
      <c r="A485" t="s">
        <v>90</v>
      </c>
      <c r="B485">
        <v>860</v>
      </c>
    </row>
    <row r="486" spans="1:2" x14ac:dyDescent="0.25">
      <c r="A486" t="s">
        <v>90</v>
      </c>
      <c r="B486">
        <v>860</v>
      </c>
    </row>
    <row r="487" spans="1:2" x14ac:dyDescent="0.25">
      <c r="A487" t="s">
        <v>90</v>
      </c>
      <c r="B487">
        <v>860</v>
      </c>
    </row>
    <row r="488" spans="1:2" x14ac:dyDescent="0.25">
      <c r="A488" t="s">
        <v>90</v>
      </c>
      <c r="B488">
        <v>860</v>
      </c>
    </row>
    <row r="489" spans="1:2" x14ac:dyDescent="0.25">
      <c r="A489" t="s">
        <v>90</v>
      </c>
      <c r="B489">
        <v>860</v>
      </c>
    </row>
    <row r="490" spans="1:2" x14ac:dyDescent="0.25">
      <c r="A490" t="s">
        <v>90</v>
      </c>
      <c r="B490">
        <v>860</v>
      </c>
    </row>
    <row r="491" spans="1:2" x14ac:dyDescent="0.25">
      <c r="A491" t="s">
        <v>90</v>
      </c>
      <c r="B491">
        <v>860</v>
      </c>
    </row>
    <row r="492" spans="1:2" x14ac:dyDescent="0.25">
      <c r="A492" t="s">
        <v>90</v>
      </c>
      <c r="B492">
        <v>860</v>
      </c>
    </row>
    <row r="493" spans="1:2" x14ac:dyDescent="0.25">
      <c r="A493" t="s">
        <v>90</v>
      </c>
      <c r="B493">
        <v>860</v>
      </c>
    </row>
    <row r="494" spans="1:2" x14ac:dyDescent="0.25">
      <c r="A494" t="s">
        <v>90</v>
      </c>
      <c r="B494">
        <v>860</v>
      </c>
    </row>
    <row r="495" spans="1:2" x14ac:dyDescent="0.25">
      <c r="A495" t="s">
        <v>90</v>
      </c>
      <c r="B495">
        <v>860</v>
      </c>
    </row>
    <row r="496" spans="1:2" x14ac:dyDescent="0.25">
      <c r="A496" t="s">
        <v>90</v>
      </c>
      <c r="B496">
        <v>860</v>
      </c>
    </row>
    <row r="497" spans="1:2" x14ac:dyDescent="0.25">
      <c r="A497" t="s">
        <v>90</v>
      </c>
      <c r="B497">
        <v>860</v>
      </c>
    </row>
    <row r="498" spans="1:2" x14ac:dyDescent="0.25">
      <c r="A498" t="s">
        <v>90</v>
      </c>
      <c r="B498">
        <v>860</v>
      </c>
    </row>
    <row r="499" spans="1:2" x14ac:dyDescent="0.25">
      <c r="A499" t="s">
        <v>90</v>
      </c>
      <c r="B499">
        <v>860</v>
      </c>
    </row>
    <row r="500" spans="1:2" x14ac:dyDescent="0.25">
      <c r="A500" t="s">
        <v>90</v>
      </c>
      <c r="B500">
        <v>860</v>
      </c>
    </row>
    <row r="501" spans="1:2" x14ac:dyDescent="0.25">
      <c r="A501" t="s">
        <v>90</v>
      </c>
      <c r="B501">
        <v>860</v>
      </c>
    </row>
    <row r="502" spans="1:2" x14ac:dyDescent="0.25">
      <c r="A502" t="s">
        <v>90</v>
      </c>
      <c r="B502">
        <v>860</v>
      </c>
    </row>
    <row r="503" spans="1:2" x14ac:dyDescent="0.25">
      <c r="A503" t="s">
        <v>90</v>
      </c>
      <c r="B503">
        <v>860</v>
      </c>
    </row>
    <row r="504" spans="1:2" x14ac:dyDescent="0.25">
      <c r="A504" t="s">
        <v>90</v>
      </c>
      <c r="B504">
        <v>860</v>
      </c>
    </row>
    <row r="505" spans="1:2" x14ac:dyDescent="0.25">
      <c r="A505" t="s">
        <v>90</v>
      </c>
      <c r="B505">
        <v>860</v>
      </c>
    </row>
    <row r="506" spans="1:2" x14ac:dyDescent="0.25">
      <c r="A506" t="s">
        <v>90</v>
      </c>
      <c r="B506">
        <v>860</v>
      </c>
    </row>
    <row r="507" spans="1:2" x14ac:dyDescent="0.25">
      <c r="A507" t="s">
        <v>90</v>
      </c>
      <c r="B507">
        <v>860</v>
      </c>
    </row>
    <row r="508" spans="1:2" x14ac:dyDescent="0.25">
      <c r="A508" t="s">
        <v>90</v>
      </c>
      <c r="B508">
        <v>860</v>
      </c>
    </row>
    <row r="509" spans="1:2" x14ac:dyDescent="0.25">
      <c r="A509" t="s">
        <v>90</v>
      </c>
      <c r="B509">
        <v>860</v>
      </c>
    </row>
    <row r="510" spans="1:2" x14ac:dyDescent="0.25">
      <c r="A510" t="s">
        <v>90</v>
      </c>
      <c r="B510">
        <v>860</v>
      </c>
    </row>
    <row r="511" spans="1:2" x14ac:dyDescent="0.25">
      <c r="A511" t="s">
        <v>90</v>
      </c>
      <c r="B511">
        <v>860</v>
      </c>
    </row>
    <row r="512" spans="1:2" x14ac:dyDescent="0.25">
      <c r="A512" t="s">
        <v>90</v>
      </c>
      <c r="B512">
        <v>860</v>
      </c>
    </row>
    <row r="513" spans="1:2" x14ac:dyDescent="0.25">
      <c r="A513" t="s">
        <v>90</v>
      </c>
      <c r="B513">
        <v>860</v>
      </c>
    </row>
    <row r="514" spans="1:2" x14ac:dyDescent="0.25">
      <c r="A514" t="s">
        <v>90</v>
      </c>
      <c r="B514">
        <v>860</v>
      </c>
    </row>
    <row r="515" spans="1:2" x14ac:dyDescent="0.25">
      <c r="A515" t="s">
        <v>90</v>
      </c>
      <c r="B515">
        <v>860</v>
      </c>
    </row>
    <row r="516" spans="1:2" x14ac:dyDescent="0.25">
      <c r="A516" t="s">
        <v>90</v>
      </c>
      <c r="B516">
        <v>860</v>
      </c>
    </row>
    <row r="517" spans="1:2" x14ac:dyDescent="0.25">
      <c r="A517" t="s">
        <v>90</v>
      </c>
      <c r="B517">
        <v>860</v>
      </c>
    </row>
    <row r="518" spans="1:2" x14ac:dyDescent="0.25">
      <c r="A518" t="s">
        <v>90</v>
      </c>
      <c r="B518">
        <v>860</v>
      </c>
    </row>
    <row r="519" spans="1:2" x14ac:dyDescent="0.25">
      <c r="A519" t="s">
        <v>90</v>
      </c>
      <c r="B519">
        <v>860</v>
      </c>
    </row>
    <row r="520" spans="1:2" x14ac:dyDescent="0.25">
      <c r="A520" t="s">
        <v>90</v>
      </c>
      <c r="B520">
        <v>860</v>
      </c>
    </row>
    <row r="521" spans="1:2" x14ac:dyDescent="0.25">
      <c r="A521" t="s">
        <v>90</v>
      </c>
      <c r="B521">
        <v>860</v>
      </c>
    </row>
    <row r="522" spans="1:2" x14ac:dyDescent="0.25">
      <c r="A522" t="s">
        <v>90</v>
      </c>
      <c r="B522">
        <v>860</v>
      </c>
    </row>
    <row r="523" spans="1:2" x14ac:dyDescent="0.25">
      <c r="A523" t="s">
        <v>90</v>
      </c>
      <c r="B523">
        <v>860</v>
      </c>
    </row>
    <row r="524" spans="1:2" x14ac:dyDescent="0.25">
      <c r="A524" t="s">
        <v>90</v>
      </c>
      <c r="B524">
        <v>860</v>
      </c>
    </row>
    <row r="525" spans="1:2" x14ac:dyDescent="0.25">
      <c r="A525" t="s">
        <v>90</v>
      </c>
      <c r="B525">
        <v>860</v>
      </c>
    </row>
    <row r="526" spans="1:2" x14ac:dyDescent="0.25">
      <c r="A526" t="s">
        <v>90</v>
      </c>
      <c r="B526">
        <v>860</v>
      </c>
    </row>
    <row r="527" spans="1:2" x14ac:dyDescent="0.25">
      <c r="A527" t="s">
        <v>90</v>
      </c>
      <c r="B527">
        <v>860</v>
      </c>
    </row>
    <row r="528" spans="1:2" x14ac:dyDescent="0.25">
      <c r="A528" t="s">
        <v>90</v>
      </c>
      <c r="B528">
        <v>860</v>
      </c>
    </row>
    <row r="529" spans="1:2" x14ac:dyDescent="0.25">
      <c r="A529" t="s">
        <v>90</v>
      </c>
      <c r="B529">
        <v>860</v>
      </c>
    </row>
    <row r="530" spans="1:2" x14ac:dyDescent="0.25">
      <c r="A530" t="s">
        <v>90</v>
      </c>
      <c r="B530">
        <v>860</v>
      </c>
    </row>
    <row r="531" spans="1:2" x14ac:dyDescent="0.25">
      <c r="A531" t="s">
        <v>90</v>
      </c>
      <c r="B531">
        <v>860</v>
      </c>
    </row>
    <row r="532" spans="1:2" x14ac:dyDescent="0.25">
      <c r="A532" t="s">
        <v>90</v>
      </c>
      <c r="B532">
        <v>860</v>
      </c>
    </row>
    <row r="533" spans="1:2" x14ac:dyDescent="0.25">
      <c r="A533" t="s">
        <v>90</v>
      </c>
      <c r="B533">
        <v>860</v>
      </c>
    </row>
    <row r="534" spans="1:2" x14ac:dyDescent="0.25">
      <c r="A534" t="s">
        <v>90</v>
      </c>
      <c r="B534">
        <v>860</v>
      </c>
    </row>
    <row r="535" spans="1:2" x14ac:dyDescent="0.25">
      <c r="A535" t="s">
        <v>90</v>
      </c>
      <c r="B535">
        <v>860</v>
      </c>
    </row>
    <row r="536" spans="1:2" x14ac:dyDescent="0.25">
      <c r="A536" t="s">
        <v>90</v>
      </c>
      <c r="B536">
        <v>860</v>
      </c>
    </row>
    <row r="537" spans="1:2" x14ac:dyDescent="0.25">
      <c r="A537" t="s">
        <v>90</v>
      </c>
      <c r="B537">
        <v>860</v>
      </c>
    </row>
    <row r="538" spans="1:2" x14ac:dyDescent="0.25">
      <c r="A538" t="s">
        <v>90</v>
      </c>
      <c r="B538">
        <v>860</v>
      </c>
    </row>
    <row r="539" spans="1:2" x14ac:dyDescent="0.25">
      <c r="A539" t="s">
        <v>90</v>
      </c>
      <c r="B539">
        <v>860</v>
      </c>
    </row>
    <row r="540" spans="1:2" x14ac:dyDescent="0.25">
      <c r="A540" t="s">
        <v>90</v>
      </c>
      <c r="B540">
        <v>860</v>
      </c>
    </row>
    <row r="541" spans="1:2" x14ac:dyDescent="0.25">
      <c r="A541" t="s">
        <v>90</v>
      </c>
      <c r="B541">
        <v>860</v>
      </c>
    </row>
    <row r="542" spans="1:2" x14ac:dyDescent="0.25">
      <c r="A542" t="s">
        <v>90</v>
      </c>
      <c r="B542">
        <v>860</v>
      </c>
    </row>
    <row r="543" spans="1:2" x14ac:dyDescent="0.25">
      <c r="A543" t="s">
        <v>90</v>
      </c>
      <c r="B543">
        <v>860</v>
      </c>
    </row>
    <row r="544" spans="1:2" x14ac:dyDescent="0.25">
      <c r="A544" t="s">
        <v>90</v>
      </c>
      <c r="B544">
        <v>860</v>
      </c>
    </row>
    <row r="545" spans="1:2" x14ac:dyDescent="0.25">
      <c r="A545" t="s">
        <v>90</v>
      </c>
      <c r="B545">
        <v>860</v>
      </c>
    </row>
    <row r="546" spans="1:2" x14ac:dyDescent="0.25">
      <c r="A546" t="s">
        <v>90</v>
      </c>
      <c r="B546">
        <v>860</v>
      </c>
    </row>
    <row r="547" spans="1:2" x14ac:dyDescent="0.25">
      <c r="A547" t="s">
        <v>90</v>
      </c>
      <c r="B547">
        <v>860</v>
      </c>
    </row>
    <row r="548" spans="1:2" x14ac:dyDescent="0.25">
      <c r="A548" t="s">
        <v>90</v>
      </c>
      <c r="B548">
        <v>860</v>
      </c>
    </row>
    <row r="549" spans="1:2" x14ac:dyDescent="0.25">
      <c r="A549" t="s">
        <v>90</v>
      </c>
      <c r="B549">
        <v>860</v>
      </c>
    </row>
    <row r="550" spans="1:2" x14ac:dyDescent="0.25">
      <c r="A550" t="s">
        <v>90</v>
      </c>
      <c r="B550">
        <v>860</v>
      </c>
    </row>
    <row r="551" spans="1:2" x14ac:dyDescent="0.25">
      <c r="A551" t="s">
        <v>90</v>
      </c>
      <c r="B551">
        <v>860</v>
      </c>
    </row>
    <row r="552" spans="1:2" x14ac:dyDescent="0.25">
      <c r="A552" t="s">
        <v>90</v>
      </c>
      <c r="B552">
        <v>860</v>
      </c>
    </row>
    <row r="553" spans="1:2" x14ac:dyDescent="0.25">
      <c r="A553" t="s">
        <v>90</v>
      </c>
      <c r="B553">
        <v>860</v>
      </c>
    </row>
    <row r="554" spans="1:2" x14ac:dyDescent="0.25">
      <c r="A554" t="s">
        <v>90</v>
      </c>
      <c r="B554">
        <v>860</v>
      </c>
    </row>
    <row r="555" spans="1:2" x14ac:dyDescent="0.25">
      <c r="A555" t="s">
        <v>90</v>
      </c>
      <c r="B555">
        <v>860</v>
      </c>
    </row>
    <row r="556" spans="1:2" x14ac:dyDescent="0.25">
      <c r="A556" t="s">
        <v>90</v>
      </c>
      <c r="B556">
        <v>860</v>
      </c>
    </row>
    <row r="557" spans="1:2" x14ac:dyDescent="0.25">
      <c r="A557" t="s">
        <v>90</v>
      </c>
      <c r="B557">
        <v>860</v>
      </c>
    </row>
    <row r="558" spans="1:2" x14ac:dyDescent="0.25">
      <c r="A558" t="s">
        <v>90</v>
      </c>
      <c r="B558">
        <v>860</v>
      </c>
    </row>
    <row r="559" spans="1:2" x14ac:dyDescent="0.25">
      <c r="A559" t="s">
        <v>90</v>
      </c>
      <c r="B559">
        <v>860</v>
      </c>
    </row>
    <row r="560" spans="1:2" x14ac:dyDescent="0.25">
      <c r="A560" t="s">
        <v>90</v>
      </c>
      <c r="B560">
        <v>860</v>
      </c>
    </row>
    <row r="561" spans="1:2" x14ac:dyDescent="0.25">
      <c r="A561" t="s">
        <v>90</v>
      </c>
      <c r="B561">
        <v>860</v>
      </c>
    </row>
    <row r="562" spans="1:2" x14ac:dyDescent="0.25">
      <c r="A562" t="s">
        <v>90</v>
      </c>
      <c r="B562">
        <v>860</v>
      </c>
    </row>
    <row r="563" spans="1:2" x14ac:dyDescent="0.25">
      <c r="A563" t="s">
        <v>90</v>
      </c>
      <c r="B563">
        <v>860</v>
      </c>
    </row>
    <row r="564" spans="1:2" x14ac:dyDescent="0.25">
      <c r="A564" t="s">
        <v>90</v>
      </c>
      <c r="B564">
        <v>860</v>
      </c>
    </row>
    <row r="565" spans="1:2" x14ac:dyDescent="0.25">
      <c r="A565" t="s">
        <v>90</v>
      </c>
      <c r="B565">
        <v>860</v>
      </c>
    </row>
    <row r="566" spans="1:2" x14ac:dyDescent="0.25">
      <c r="A566" t="s">
        <v>90</v>
      </c>
      <c r="B566">
        <v>860</v>
      </c>
    </row>
    <row r="567" spans="1:2" x14ac:dyDescent="0.25">
      <c r="A567" t="s">
        <v>90</v>
      </c>
      <c r="B567">
        <v>860</v>
      </c>
    </row>
    <row r="568" spans="1:2" x14ac:dyDescent="0.25">
      <c r="A568" t="s">
        <v>90</v>
      </c>
      <c r="B568">
        <v>860</v>
      </c>
    </row>
    <row r="569" spans="1:2" x14ac:dyDescent="0.25">
      <c r="A569" t="s">
        <v>90</v>
      </c>
      <c r="B569">
        <v>860</v>
      </c>
    </row>
    <row r="570" spans="1:2" x14ac:dyDescent="0.25">
      <c r="A570" t="s">
        <v>90</v>
      </c>
      <c r="B570">
        <v>860</v>
      </c>
    </row>
    <row r="571" spans="1:2" x14ac:dyDescent="0.25">
      <c r="A571" t="s">
        <v>90</v>
      </c>
      <c r="B571">
        <v>860</v>
      </c>
    </row>
    <row r="572" spans="1:2" x14ac:dyDescent="0.25">
      <c r="A572" t="s">
        <v>90</v>
      </c>
      <c r="B572">
        <v>860</v>
      </c>
    </row>
    <row r="573" spans="1:2" x14ac:dyDescent="0.25">
      <c r="A573" t="s">
        <v>90</v>
      </c>
      <c r="B573">
        <v>860</v>
      </c>
    </row>
    <row r="574" spans="1:2" x14ac:dyDescent="0.25">
      <c r="A574" t="s">
        <v>90</v>
      </c>
      <c r="B574">
        <v>860</v>
      </c>
    </row>
    <row r="575" spans="1:2" x14ac:dyDescent="0.25">
      <c r="A575" t="s">
        <v>90</v>
      </c>
      <c r="B575">
        <v>860</v>
      </c>
    </row>
    <row r="576" spans="1:2" x14ac:dyDescent="0.25">
      <c r="A576" t="s">
        <v>90</v>
      </c>
      <c r="B576">
        <v>860</v>
      </c>
    </row>
    <row r="577" spans="1:2" x14ac:dyDescent="0.25">
      <c r="A577" t="s">
        <v>90</v>
      </c>
      <c r="B577">
        <v>860</v>
      </c>
    </row>
    <row r="578" spans="1:2" x14ac:dyDescent="0.25">
      <c r="A578" t="s">
        <v>90</v>
      </c>
      <c r="B578">
        <v>860</v>
      </c>
    </row>
    <row r="579" spans="1:2" x14ac:dyDescent="0.25">
      <c r="A579" t="s">
        <v>90</v>
      </c>
      <c r="B579">
        <v>860</v>
      </c>
    </row>
    <row r="580" spans="1:2" x14ac:dyDescent="0.25">
      <c r="A580" t="s">
        <v>90</v>
      </c>
      <c r="B580">
        <v>860</v>
      </c>
    </row>
    <row r="581" spans="1:2" x14ac:dyDescent="0.25">
      <c r="A581" t="s">
        <v>90</v>
      </c>
      <c r="B581">
        <v>860</v>
      </c>
    </row>
    <row r="582" spans="1:2" x14ac:dyDescent="0.25">
      <c r="A582" t="s">
        <v>90</v>
      </c>
      <c r="B582">
        <v>860</v>
      </c>
    </row>
    <row r="583" spans="1:2" x14ac:dyDescent="0.25">
      <c r="A583" t="s">
        <v>90</v>
      </c>
      <c r="B583">
        <v>860</v>
      </c>
    </row>
    <row r="584" spans="1:2" x14ac:dyDescent="0.25">
      <c r="A584" t="s">
        <v>90</v>
      </c>
      <c r="B584">
        <v>860</v>
      </c>
    </row>
    <row r="585" spans="1:2" x14ac:dyDescent="0.25">
      <c r="A585" t="s">
        <v>90</v>
      </c>
      <c r="B585">
        <v>860</v>
      </c>
    </row>
    <row r="586" spans="1:2" x14ac:dyDescent="0.25">
      <c r="A586" t="s">
        <v>90</v>
      </c>
      <c r="B586">
        <v>860</v>
      </c>
    </row>
    <row r="587" spans="1:2" x14ac:dyDescent="0.25">
      <c r="A587" t="s">
        <v>90</v>
      </c>
      <c r="B587">
        <v>860</v>
      </c>
    </row>
    <row r="588" spans="1:2" x14ac:dyDescent="0.25">
      <c r="A588" t="s">
        <v>90</v>
      </c>
      <c r="B588">
        <v>860</v>
      </c>
    </row>
    <row r="589" spans="1:2" x14ac:dyDescent="0.25">
      <c r="A589" t="s">
        <v>90</v>
      </c>
      <c r="B589">
        <v>860</v>
      </c>
    </row>
    <row r="590" spans="1:2" x14ac:dyDescent="0.25">
      <c r="A590" t="s">
        <v>90</v>
      </c>
      <c r="B590">
        <v>860</v>
      </c>
    </row>
    <row r="591" spans="1:2" x14ac:dyDescent="0.25">
      <c r="A591" t="s">
        <v>90</v>
      </c>
      <c r="B591">
        <v>860</v>
      </c>
    </row>
    <row r="592" spans="1:2" x14ac:dyDescent="0.25">
      <c r="A592" t="s">
        <v>90</v>
      </c>
      <c r="B592">
        <v>860</v>
      </c>
    </row>
    <row r="593" spans="1:2" x14ac:dyDescent="0.25">
      <c r="A593" t="s">
        <v>90</v>
      </c>
      <c r="B593">
        <v>860</v>
      </c>
    </row>
    <row r="594" spans="1:2" x14ac:dyDescent="0.25">
      <c r="A594" t="s">
        <v>90</v>
      </c>
      <c r="B594">
        <v>860</v>
      </c>
    </row>
    <row r="595" spans="1:2" x14ac:dyDescent="0.25">
      <c r="A595" t="s">
        <v>90</v>
      </c>
      <c r="B595">
        <v>860</v>
      </c>
    </row>
    <row r="596" spans="1:2" x14ac:dyDescent="0.25">
      <c r="A596" t="s">
        <v>90</v>
      </c>
      <c r="B596">
        <v>860</v>
      </c>
    </row>
    <row r="597" spans="1:2" x14ac:dyDescent="0.25">
      <c r="A597" t="s">
        <v>90</v>
      </c>
      <c r="B597">
        <v>860</v>
      </c>
    </row>
    <row r="598" spans="1:2" x14ac:dyDescent="0.25">
      <c r="A598" t="s">
        <v>90</v>
      </c>
      <c r="B598">
        <v>860</v>
      </c>
    </row>
    <row r="599" spans="1:2" x14ac:dyDescent="0.25">
      <c r="A599" t="s">
        <v>90</v>
      </c>
      <c r="B599">
        <v>860</v>
      </c>
    </row>
    <row r="600" spans="1:2" x14ac:dyDescent="0.25">
      <c r="A600" t="s">
        <v>90</v>
      </c>
      <c r="B600">
        <v>860</v>
      </c>
    </row>
    <row r="601" spans="1:2" x14ac:dyDescent="0.25">
      <c r="A601" t="s">
        <v>90</v>
      </c>
      <c r="B601">
        <v>860</v>
      </c>
    </row>
    <row r="602" spans="1:2" x14ac:dyDescent="0.25">
      <c r="A602" t="s">
        <v>90</v>
      </c>
      <c r="B602">
        <v>860</v>
      </c>
    </row>
    <row r="603" spans="1:2" x14ac:dyDescent="0.25">
      <c r="A603" t="s">
        <v>90</v>
      </c>
      <c r="B603">
        <v>860</v>
      </c>
    </row>
    <row r="604" spans="1:2" x14ac:dyDescent="0.25">
      <c r="A604" t="s">
        <v>90</v>
      </c>
      <c r="B604">
        <v>860</v>
      </c>
    </row>
    <row r="605" spans="1:2" x14ac:dyDescent="0.25">
      <c r="A605" t="s">
        <v>90</v>
      </c>
      <c r="B605">
        <v>860</v>
      </c>
    </row>
    <row r="606" spans="1:2" x14ac:dyDescent="0.25">
      <c r="A606" t="s">
        <v>90</v>
      </c>
      <c r="B606">
        <v>860</v>
      </c>
    </row>
    <row r="607" spans="1:2" x14ac:dyDescent="0.25">
      <c r="A607" t="s">
        <v>90</v>
      </c>
      <c r="B607">
        <v>860</v>
      </c>
    </row>
    <row r="608" spans="1:2" x14ac:dyDescent="0.25">
      <c r="A608" t="s">
        <v>90</v>
      </c>
      <c r="B608">
        <v>860</v>
      </c>
    </row>
    <row r="609" spans="1:2" x14ac:dyDescent="0.25">
      <c r="A609" t="s">
        <v>90</v>
      </c>
      <c r="B609">
        <v>860</v>
      </c>
    </row>
    <row r="610" spans="1:2" x14ac:dyDescent="0.25">
      <c r="A610" t="s">
        <v>90</v>
      </c>
      <c r="B610">
        <v>860</v>
      </c>
    </row>
    <row r="611" spans="1:2" x14ac:dyDescent="0.25">
      <c r="A611" t="s">
        <v>90</v>
      </c>
      <c r="B611">
        <v>860</v>
      </c>
    </row>
    <row r="612" spans="1:2" x14ac:dyDescent="0.25">
      <c r="A612" t="s">
        <v>90</v>
      </c>
      <c r="B612">
        <v>860</v>
      </c>
    </row>
    <row r="613" spans="1:2" x14ac:dyDescent="0.25">
      <c r="A613" t="s">
        <v>90</v>
      </c>
      <c r="B613">
        <v>860</v>
      </c>
    </row>
    <row r="614" spans="1:2" x14ac:dyDescent="0.25">
      <c r="A614" t="s">
        <v>90</v>
      </c>
      <c r="B614">
        <v>860</v>
      </c>
    </row>
    <row r="615" spans="1:2" x14ac:dyDescent="0.25">
      <c r="A615" t="s">
        <v>90</v>
      </c>
      <c r="B615">
        <v>860</v>
      </c>
    </row>
    <row r="616" spans="1:2" x14ac:dyDescent="0.25">
      <c r="A616" t="s">
        <v>90</v>
      </c>
      <c r="B616">
        <v>860</v>
      </c>
    </row>
    <row r="617" spans="1:2" x14ac:dyDescent="0.25">
      <c r="A617" t="s">
        <v>90</v>
      </c>
      <c r="B617">
        <v>860</v>
      </c>
    </row>
    <row r="618" spans="1:2" x14ac:dyDescent="0.25">
      <c r="A618" t="s">
        <v>90</v>
      </c>
      <c r="B618">
        <v>860</v>
      </c>
    </row>
    <row r="619" spans="1:2" x14ac:dyDescent="0.25">
      <c r="A619" t="s">
        <v>90</v>
      </c>
      <c r="B619">
        <v>860</v>
      </c>
    </row>
    <row r="620" spans="1:2" x14ac:dyDescent="0.25">
      <c r="A620" t="s">
        <v>90</v>
      </c>
      <c r="B620">
        <v>860</v>
      </c>
    </row>
    <row r="621" spans="1:2" x14ac:dyDescent="0.25">
      <c r="A621" t="s">
        <v>90</v>
      </c>
      <c r="B621">
        <v>860</v>
      </c>
    </row>
    <row r="622" spans="1:2" x14ac:dyDescent="0.25">
      <c r="A622" t="s">
        <v>90</v>
      </c>
      <c r="B622">
        <v>860</v>
      </c>
    </row>
    <row r="623" spans="1:2" x14ac:dyDescent="0.25">
      <c r="A623" t="s">
        <v>90</v>
      </c>
      <c r="B623">
        <v>860</v>
      </c>
    </row>
    <row r="624" spans="1:2" x14ac:dyDescent="0.25">
      <c r="A624" t="s">
        <v>90</v>
      </c>
      <c r="B624">
        <v>860</v>
      </c>
    </row>
    <row r="625" spans="1:2" x14ac:dyDescent="0.25">
      <c r="A625" t="s">
        <v>90</v>
      </c>
      <c r="B625">
        <v>860</v>
      </c>
    </row>
    <row r="626" spans="1:2" x14ac:dyDescent="0.25">
      <c r="A626" t="s">
        <v>90</v>
      </c>
      <c r="B626">
        <v>860</v>
      </c>
    </row>
    <row r="627" spans="1:2" x14ac:dyDescent="0.25">
      <c r="A627" t="s">
        <v>90</v>
      </c>
      <c r="B627">
        <v>860</v>
      </c>
    </row>
    <row r="628" spans="1:2" x14ac:dyDescent="0.25">
      <c r="A628" t="s">
        <v>90</v>
      </c>
      <c r="B628">
        <v>860</v>
      </c>
    </row>
    <row r="629" spans="1:2" x14ac:dyDescent="0.25">
      <c r="A629" t="s">
        <v>90</v>
      </c>
      <c r="B629">
        <v>860</v>
      </c>
    </row>
    <row r="630" spans="1:2" x14ac:dyDescent="0.25">
      <c r="A630" t="s">
        <v>90</v>
      </c>
      <c r="B630">
        <v>860</v>
      </c>
    </row>
    <row r="631" spans="1:2" x14ac:dyDescent="0.25">
      <c r="A631" t="s">
        <v>90</v>
      </c>
      <c r="B631">
        <v>860</v>
      </c>
    </row>
    <row r="632" spans="1:2" x14ac:dyDescent="0.25">
      <c r="A632" t="s">
        <v>90</v>
      </c>
      <c r="B632">
        <v>860</v>
      </c>
    </row>
    <row r="633" spans="1:2" x14ac:dyDescent="0.25">
      <c r="A633" t="s">
        <v>90</v>
      </c>
      <c r="B633">
        <v>860</v>
      </c>
    </row>
    <row r="634" spans="1:2" x14ac:dyDescent="0.25">
      <c r="A634" t="s">
        <v>90</v>
      </c>
      <c r="B634">
        <v>860</v>
      </c>
    </row>
    <row r="635" spans="1:2" x14ac:dyDescent="0.25">
      <c r="A635" t="s">
        <v>90</v>
      </c>
      <c r="B635">
        <v>860</v>
      </c>
    </row>
    <row r="636" spans="1:2" x14ac:dyDescent="0.25">
      <c r="A636" t="s">
        <v>90</v>
      </c>
      <c r="B636">
        <v>860</v>
      </c>
    </row>
    <row r="637" spans="1:2" x14ac:dyDescent="0.25">
      <c r="A637" t="s">
        <v>90</v>
      </c>
      <c r="B637">
        <v>860</v>
      </c>
    </row>
    <row r="638" spans="1:2" x14ac:dyDescent="0.25">
      <c r="A638" t="s">
        <v>90</v>
      </c>
      <c r="B638">
        <v>860</v>
      </c>
    </row>
    <row r="639" spans="1:2" x14ac:dyDescent="0.25">
      <c r="A639" t="s">
        <v>90</v>
      </c>
      <c r="B639">
        <v>860</v>
      </c>
    </row>
    <row r="640" spans="1:2" x14ac:dyDescent="0.25">
      <c r="A640" t="s">
        <v>90</v>
      </c>
      <c r="B640">
        <v>860</v>
      </c>
    </row>
    <row r="641" spans="1:2" x14ac:dyDescent="0.25">
      <c r="A641" t="s">
        <v>90</v>
      </c>
      <c r="B641">
        <v>860</v>
      </c>
    </row>
    <row r="642" spans="1:2" x14ac:dyDescent="0.25">
      <c r="A642" t="s">
        <v>90</v>
      </c>
      <c r="B642">
        <v>860</v>
      </c>
    </row>
    <row r="643" spans="1:2" x14ac:dyDescent="0.25">
      <c r="A643" t="s">
        <v>90</v>
      </c>
      <c r="B643">
        <v>860</v>
      </c>
    </row>
    <row r="644" spans="1:2" x14ac:dyDescent="0.25">
      <c r="A644" t="s">
        <v>90</v>
      </c>
      <c r="B644">
        <v>860</v>
      </c>
    </row>
    <row r="645" spans="1:2" x14ac:dyDescent="0.25">
      <c r="A645" t="s">
        <v>90</v>
      </c>
      <c r="B645">
        <v>860</v>
      </c>
    </row>
    <row r="646" spans="1:2" x14ac:dyDescent="0.25">
      <c r="A646" t="s">
        <v>90</v>
      </c>
      <c r="B646">
        <v>860</v>
      </c>
    </row>
    <row r="647" spans="1:2" x14ac:dyDescent="0.25">
      <c r="A647" t="s">
        <v>90</v>
      </c>
      <c r="B647">
        <v>860</v>
      </c>
    </row>
    <row r="648" spans="1:2" x14ac:dyDescent="0.25">
      <c r="A648" t="s">
        <v>90</v>
      </c>
      <c r="B648">
        <v>860</v>
      </c>
    </row>
    <row r="649" spans="1:2" x14ac:dyDescent="0.25">
      <c r="A649" t="s">
        <v>90</v>
      </c>
      <c r="B649">
        <v>860</v>
      </c>
    </row>
    <row r="650" spans="1:2" x14ac:dyDescent="0.25">
      <c r="A650" t="s">
        <v>90</v>
      </c>
      <c r="B650">
        <v>860</v>
      </c>
    </row>
    <row r="651" spans="1:2" x14ac:dyDescent="0.25">
      <c r="A651" t="s">
        <v>90</v>
      </c>
      <c r="B651">
        <v>860</v>
      </c>
    </row>
    <row r="652" spans="1:2" x14ac:dyDescent="0.25">
      <c r="A652" t="s">
        <v>90</v>
      </c>
      <c r="B652">
        <v>860</v>
      </c>
    </row>
    <row r="653" spans="1:2" x14ac:dyDescent="0.25">
      <c r="A653" t="s">
        <v>90</v>
      </c>
      <c r="B653">
        <v>860</v>
      </c>
    </row>
    <row r="654" spans="1:2" x14ac:dyDescent="0.25">
      <c r="A654" t="s">
        <v>90</v>
      </c>
      <c r="B654">
        <v>860</v>
      </c>
    </row>
    <row r="655" spans="1:2" x14ac:dyDescent="0.25">
      <c r="A655" t="s">
        <v>90</v>
      </c>
      <c r="B655">
        <v>860</v>
      </c>
    </row>
    <row r="656" spans="1:2" x14ac:dyDescent="0.25">
      <c r="A656" t="s">
        <v>90</v>
      </c>
      <c r="B656">
        <v>860</v>
      </c>
    </row>
    <row r="657" spans="1:2" x14ac:dyDescent="0.25">
      <c r="A657" t="s">
        <v>90</v>
      </c>
      <c r="B657">
        <v>860</v>
      </c>
    </row>
    <row r="658" spans="1:2" x14ac:dyDescent="0.25">
      <c r="A658" t="s">
        <v>90</v>
      </c>
      <c r="B658">
        <v>860</v>
      </c>
    </row>
    <row r="659" spans="1:2" x14ac:dyDescent="0.25">
      <c r="A659" t="s">
        <v>90</v>
      </c>
      <c r="B659">
        <v>860</v>
      </c>
    </row>
    <row r="660" spans="1:2" x14ac:dyDescent="0.25">
      <c r="A660" t="s">
        <v>90</v>
      </c>
      <c r="B660">
        <v>860</v>
      </c>
    </row>
    <row r="661" spans="1:2" x14ac:dyDescent="0.25">
      <c r="A661" t="s">
        <v>90</v>
      </c>
      <c r="B661">
        <v>860</v>
      </c>
    </row>
    <row r="662" spans="1:2" x14ac:dyDescent="0.25">
      <c r="A662" t="s">
        <v>90</v>
      </c>
      <c r="B662">
        <v>860</v>
      </c>
    </row>
    <row r="663" spans="1:2" x14ac:dyDescent="0.25">
      <c r="A663" t="s">
        <v>90</v>
      </c>
      <c r="B663">
        <v>860</v>
      </c>
    </row>
    <row r="664" spans="1:2" x14ac:dyDescent="0.25">
      <c r="A664" t="s">
        <v>90</v>
      </c>
      <c r="B664">
        <v>860</v>
      </c>
    </row>
    <row r="665" spans="1:2" x14ac:dyDescent="0.25">
      <c r="A665" t="s">
        <v>90</v>
      </c>
      <c r="B665">
        <v>860</v>
      </c>
    </row>
    <row r="666" spans="1:2" x14ac:dyDescent="0.25">
      <c r="A666" t="s">
        <v>90</v>
      </c>
      <c r="B666">
        <v>860</v>
      </c>
    </row>
    <row r="667" spans="1:2" x14ac:dyDescent="0.25">
      <c r="A667" t="s">
        <v>90</v>
      </c>
      <c r="B667">
        <v>860</v>
      </c>
    </row>
    <row r="668" spans="1:2" x14ac:dyDescent="0.25">
      <c r="A668" t="s">
        <v>90</v>
      </c>
      <c r="B668">
        <v>860</v>
      </c>
    </row>
    <row r="669" spans="1:2" x14ac:dyDescent="0.25">
      <c r="A669" t="s">
        <v>90</v>
      </c>
      <c r="B669">
        <v>860</v>
      </c>
    </row>
    <row r="670" spans="1:2" x14ac:dyDescent="0.25">
      <c r="A670" t="s">
        <v>90</v>
      </c>
      <c r="B670">
        <v>860</v>
      </c>
    </row>
    <row r="671" spans="1:2" x14ac:dyDescent="0.25">
      <c r="A671" t="s">
        <v>90</v>
      </c>
      <c r="B671">
        <v>860</v>
      </c>
    </row>
    <row r="672" spans="1:2" x14ac:dyDescent="0.25">
      <c r="A672" t="s">
        <v>90</v>
      </c>
      <c r="B672">
        <v>860</v>
      </c>
    </row>
    <row r="673" spans="1:2" x14ac:dyDescent="0.25">
      <c r="A673" t="s">
        <v>90</v>
      </c>
      <c r="B673">
        <v>860</v>
      </c>
    </row>
    <row r="674" spans="1:2" x14ac:dyDescent="0.25">
      <c r="A674" t="s">
        <v>90</v>
      </c>
      <c r="B674">
        <v>860</v>
      </c>
    </row>
    <row r="675" spans="1:2" x14ac:dyDescent="0.25">
      <c r="A675" t="s">
        <v>90</v>
      </c>
      <c r="B675">
        <v>860</v>
      </c>
    </row>
    <row r="676" spans="1:2" x14ac:dyDescent="0.25">
      <c r="A676" t="s">
        <v>90</v>
      </c>
      <c r="B676">
        <v>860</v>
      </c>
    </row>
    <row r="677" spans="1:2" x14ac:dyDescent="0.25">
      <c r="A677" t="s">
        <v>90</v>
      </c>
      <c r="B677">
        <v>860</v>
      </c>
    </row>
    <row r="678" spans="1:2" x14ac:dyDescent="0.25">
      <c r="A678" t="s">
        <v>90</v>
      </c>
      <c r="B678">
        <v>860</v>
      </c>
    </row>
    <row r="679" spans="1:2" x14ac:dyDescent="0.25">
      <c r="A679" t="s">
        <v>90</v>
      </c>
      <c r="B679">
        <v>860</v>
      </c>
    </row>
    <row r="680" spans="1:2" x14ac:dyDescent="0.25">
      <c r="A680" t="s">
        <v>90</v>
      </c>
      <c r="B680">
        <v>860</v>
      </c>
    </row>
    <row r="681" spans="1:2" x14ac:dyDescent="0.25">
      <c r="A681" t="s">
        <v>90</v>
      </c>
      <c r="B681">
        <v>860</v>
      </c>
    </row>
    <row r="682" spans="1:2" x14ac:dyDescent="0.25">
      <c r="A682" t="s">
        <v>90</v>
      </c>
      <c r="B682">
        <v>860</v>
      </c>
    </row>
    <row r="683" spans="1:2" x14ac:dyDescent="0.25">
      <c r="A683" t="s">
        <v>90</v>
      </c>
      <c r="B683">
        <v>860</v>
      </c>
    </row>
    <row r="684" spans="1:2" x14ac:dyDescent="0.25">
      <c r="A684" t="s">
        <v>90</v>
      </c>
      <c r="B684">
        <v>860</v>
      </c>
    </row>
    <row r="685" spans="1:2" x14ac:dyDescent="0.25">
      <c r="A685" t="s">
        <v>90</v>
      </c>
      <c r="B685">
        <v>860</v>
      </c>
    </row>
    <row r="686" spans="1:2" x14ac:dyDescent="0.25">
      <c r="A686" t="s">
        <v>90</v>
      </c>
      <c r="B686">
        <v>860</v>
      </c>
    </row>
    <row r="687" spans="1:2" x14ac:dyDescent="0.25">
      <c r="A687" t="s">
        <v>90</v>
      </c>
      <c r="B687">
        <v>860</v>
      </c>
    </row>
    <row r="688" spans="1:2" x14ac:dyDescent="0.25">
      <c r="A688" t="s">
        <v>90</v>
      </c>
      <c r="B688">
        <v>860</v>
      </c>
    </row>
    <row r="689" spans="1:2" x14ac:dyDescent="0.25">
      <c r="A689" t="s">
        <v>90</v>
      </c>
      <c r="B689">
        <v>860</v>
      </c>
    </row>
    <row r="690" spans="1:2" x14ac:dyDescent="0.25">
      <c r="A690" t="s">
        <v>90</v>
      </c>
      <c r="B690">
        <v>860</v>
      </c>
    </row>
    <row r="691" spans="1:2" x14ac:dyDescent="0.25">
      <c r="A691" t="s">
        <v>90</v>
      </c>
      <c r="B691">
        <v>860</v>
      </c>
    </row>
    <row r="692" spans="1:2" x14ac:dyDescent="0.25">
      <c r="A692" t="s">
        <v>90</v>
      </c>
      <c r="B692">
        <v>860</v>
      </c>
    </row>
    <row r="693" spans="1:2" x14ac:dyDescent="0.25">
      <c r="A693" t="s">
        <v>90</v>
      </c>
      <c r="B693">
        <v>860</v>
      </c>
    </row>
    <row r="694" spans="1:2" x14ac:dyDescent="0.25">
      <c r="A694" t="s">
        <v>90</v>
      </c>
      <c r="B694">
        <v>860</v>
      </c>
    </row>
    <row r="695" spans="1:2" x14ac:dyDescent="0.25">
      <c r="A695" t="s">
        <v>90</v>
      </c>
      <c r="B695">
        <v>860</v>
      </c>
    </row>
    <row r="696" spans="1:2" x14ac:dyDescent="0.25">
      <c r="A696" t="s">
        <v>90</v>
      </c>
      <c r="B696">
        <v>860</v>
      </c>
    </row>
    <row r="697" spans="1:2" x14ac:dyDescent="0.25">
      <c r="A697" t="s">
        <v>90</v>
      </c>
      <c r="B697">
        <v>860</v>
      </c>
    </row>
    <row r="698" spans="1:2" x14ac:dyDescent="0.25">
      <c r="A698" t="s">
        <v>90</v>
      </c>
      <c r="B698">
        <v>860</v>
      </c>
    </row>
    <row r="699" spans="1:2" x14ac:dyDescent="0.25">
      <c r="A699" t="s">
        <v>90</v>
      </c>
      <c r="B699">
        <v>860</v>
      </c>
    </row>
    <row r="700" spans="1:2" x14ac:dyDescent="0.25">
      <c r="A700" t="s">
        <v>90</v>
      </c>
      <c r="B700">
        <v>860</v>
      </c>
    </row>
    <row r="701" spans="1:2" x14ac:dyDescent="0.25">
      <c r="A701" t="s">
        <v>90</v>
      </c>
      <c r="B701">
        <v>860</v>
      </c>
    </row>
    <row r="702" spans="1:2" x14ac:dyDescent="0.25">
      <c r="A702" t="s">
        <v>90</v>
      </c>
      <c r="B702">
        <v>860</v>
      </c>
    </row>
    <row r="703" spans="1:2" x14ac:dyDescent="0.25">
      <c r="A703" t="s">
        <v>90</v>
      </c>
      <c r="B703">
        <v>860</v>
      </c>
    </row>
    <row r="704" spans="1:2" x14ac:dyDescent="0.25">
      <c r="A704" t="s">
        <v>90</v>
      </c>
      <c r="B704">
        <v>860</v>
      </c>
    </row>
    <row r="705" spans="1:2" x14ac:dyDescent="0.25">
      <c r="A705" t="s">
        <v>90</v>
      </c>
      <c r="B705">
        <v>860</v>
      </c>
    </row>
    <row r="706" spans="1:2" x14ac:dyDescent="0.25">
      <c r="A706" t="s">
        <v>90</v>
      </c>
      <c r="B706">
        <v>860</v>
      </c>
    </row>
    <row r="707" spans="1:2" x14ac:dyDescent="0.25">
      <c r="A707" t="s">
        <v>90</v>
      </c>
      <c r="B707">
        <v>860</v>
      </c>
    </row>
    <row r="708" spans="1:2" x14ac:dyDescent="0.25">
      <c r="A708" t="s">
        <v>90</v>
      </c>
      <c r="B708">
        <v>860</v>
      </c>
    </row>
    <row r="709" spans="1:2" x14ac:dyDescent="0.25">
      <c r="A709" t="s">
        <v>90</v>
      </c>
      <c r="B709">
        <v>860</v>
      </c>
    </row>
    <row r="710" spans="1:2" x14ac:dyDescent="0.25">
      <c r="A710" t="s">
        <v>90</v>
      </c>
      <c r="B710">
        <v>860</v>
      </c>
    </row>
    <row r="711" spans="1:2" x14ac:dyDescent="0.25">
      <c r="A711" t="s">
        <v>90</v>
      </c>
      <c r="B711">
        <v>860</v>
      </c>
    </row>
    <row r="712" spans="1:2" x14ac:dyDescent="0.25">
      <c r="A712" t="s">
        <v>90</v>
      </c>
      <c r="B712">
        <v>860</v>
      </c>
    </row>
    <row r="713" spans="1:2" x14ac:dyDescent="0.25">
      <c r="A713" t="s">
        <v>90</v>
      </c>
      <c r="B713">
        <v>860</v>
      </c>
    </row>
    <row r="714" spans="1:2" x14ac:dyDescent="0.25">
      <c r="A714" t="s">
        <v>90</v>
      </c>
      <c r="B714">
        <v>860</v>
      </c>
    </row>
    <row r="715" spans="1:2" x14ac:dyDescent="0.25">
      <c r="A715" t="s">
        <v>90</v>
      </c>
      <c r="B715">
        <v>860</v>
      </c>
    </row>
    <row r="716" spans="1:2" x14ac:dyDescent="0.25">
      <c r="A716" t="s">
        <v>90</v>
      </c>
      <c r="B716">
        <v>860</v>
      </c>
    </row>
    <row r="717" spans="1:2" x14ac:dyDescent="0.25">
      <c r="A717" t="s">
        <v>90</v>
      </c>
      <c r="B717">
        <v>860</v>
      </c>
    </row>
    <row r="718" spans="1:2" x14ac:dyDescent="0.25">
      <c r="A718" t="s">
        <v>90</v>
      </c>
      <c r="B718">
        <v>860</v>
      </c>
    </row>
    <row r="719" spans="1:2" x14ac:dyDescent="0.25">
      <c r="A719" t="s">
        <v>90</v>
      </c>
      <c r="B719">
        <v>860</v>
      </c>
    </row>
    <row r="720" spans="1:2" x14ac:dyDescent="0.25">
      <c r="A720" t="s">
        <v>90</v>
      </c>
      <c r="B720">
        <v>860</v>
      </c>
    </row>
    <row r="721" spans="1:2" x14ac:dyDescent="0.25">
      <c r="A721" t="s">
        <v>90</v>
      </c>
      <c r="B721">
        <v>860</v>
      </c>
    </row>
    <row r="722" spans="1:2" x14ac:dyDescent="0.25">
      <c r="A722" t="s">
        <v>90</v>
      </c>
      <c r="B722">
        <v>860</v>
      </c>
    </row>
    <row r="723" spans="1:2" x14ac:dyDescent="0.25">
      <c r="A723" t="s">
        <v>90</v>
      </c>
      <c r="B723">
        <v>860</v>
      </c>
    </row>
    <row r="724" spans="1:2" x14ac:dyDescent="0.25">
      <c r="A724" t="s">
        <v>90</v>
      </c>
      <c r="B724">
        <v>860</v>
      </c>
    </row>
    <row r="725" spans="1:2" x14ac:dyDescent="0.25">
      <c r="A725" t="s">
        <v>90</v>
      </c>
      <c r="B725">
        <v>860</v>
      </c>
    </row>
    <row r="726" spans="1:2" x14ac:dyDescent="0.25">
      <c r="A726" t="s">
        <v>90</v>
      </c>
      <c r="B726">
        <v>860</v>
      </c>
    </row>
    <row r="727" spans="1:2" x14ac:dyDescent="0.25">
      <c r="A727" t="s">
        <v>90</v>
      </c>
      <c r="B727">
        <v>860</v>
      </c>
    </row>
    <row r="728" spans="1:2" x14ac:dyDescent="0.25">
      <c r="A728" t="s">
        <v>90</v>
      </c>
      <c r="B728">
        <v>860</v>
      </c>
    </row>
    <row r="729" spans="1:2" x14ac:dyDescent="0.25">
      <c r="A729" t="s">
        <v>90</v>
      </c>
      <c r="B729">
        <v>860</v>
      </c>
    </row>
    <row r="730" spans="1:2" x14ac:dyDescent="0.25">
      <c r="A730" t="s">
        <v>90</v>
      </c>
      <c r="B730">
        <v>860</v>
      </c>
    </row>
    <row r="731" spans="1:2" x14ac:dyDescent="0.25">
      <c r="A731" t="s">
        <v>90</v>
      </c>
      <c r="B731">
        <v>860</v>
      </c>
    </row>
    <row r="732" spans="1:2" x14ac:dyDescent="0.25">
      <c r="A732" t="s">
        <v>90</v>
      </c>
      <c r="B732">
        <v>860</v>
      </c>
    </row>
    <row r="733" spans="1:2" x14ac:dyDescent="0.25">
      <c r="A733" t="s">
        <v>90</v>
      </c>
      <c r="B733">
        <v>860</v>
      </c>
    </row>
    <row r="734" spans="1:2" x14ac:dyDescent="0.25">
      <c r="A734" t="s">
        <v>90</v>
      </c>
      <c r="B734">
        <v>860</v>
      </c>
    </row>
    <row r="735" spans="1:2" x14ac:dyDescent="0.25">
      <c r="A735" t="s">
        <v>90</v>
      </c>
      <c r="B735">
        <v>860</v>
      </c>
    </row>
    <row r="736" spans="1:2" x14ac:dyDescent="0.25">
      <c r="A736" t="s">
        <v>90</v>
      </c>
      <c r="B736">
        <v>860</v>
      </c>
    </row>
    <row r="737" spans="1:2" x14ac:dyDescent="0.25">
      <c r="A737" t="s">
        <v>90</v>
      </c>
      <c r="B737">
        <v>860</v>
      </c>
    </row>
    <row r="738" spans="1:2" x14ac:dyDescent="0.25">
      <c r="A738" t="s">
        <v>90</v>
      </c>
      <c r="B738">
        <v>860</v>
      </c>
    </row>
    <row r="739" spans="1:2" x14ac:dyDescent="0.25">
      <c r="A739" t="s">
        <v>90</v>
      </c>
      <c r="B739">
        <v>860</v>
      </c>
    </row>
    <row r="740" spans="1:2" x14ac:dyDescent="0.25">
      <c r="A740" t="s">
        <v>90</v>
      </c>
      <c r="B740">
        <v>860</v>
      </c>
    </row>
    <row r="741" spans="1:2" x14ac:dyDescent="0.25">
      <c r="A741" t="s">
        <v>90</v>
      </c>
      <c r="B741">
        <v>860</v>
      </c>
    </row>
    <row r="742" spans="1:2" x14ac:dyDescent="0.25">
      <c r="A742" t="s">
        <v>90</v>
      </c>
      <c r="B742">
        <v>860</v>
      </c>
    </row>
    <row r="743" spans="1:2" x14ac:dyDescent="0.25">
      <c r="A743" t="s">
        <v>90</v>
      </c>
      <c r="B743">
        <v>860</v>
      </c>
    </row>
    <row r="744" spans="1:2" x14ac:dyDescent="0.25">
      <c r="A744" t="s">
        <v>90</v>
      </c>
      <c r="B744">
        <v>860</v>
      </c>
    </row>
    <row r="745" spans="1:2" x14ac:dyDescent="0.25">
      <c r="A745" t="s">
        <v>90</v>
      </c>
      <c r="B745">
        <v>860</v>
      </c>
    </row>
    <row r="746" spans="1:2" x14ac:dyDescent="0.25">
      <c r="A746" t="s">
        <v>90</v>
      </c>
      <c r="B746">
        <v>860</v>
      </c>
    </row>
    <row r="747" spans="1:2" x14ac:dyDescent="0.25">
      <c r="A747" t="s">
        <v>90</v>
      </c>
      <c r="B747">
        <v>860</v>
      </c>
    </row>
    <row r="748" spans="1:2" x14ac:dyDescent="0.25">
      <c r="A748" t="s">
        <v>90</v>
      </c>
      <c r="B748">
        <v>860</v>
      </c>
    </row>
    <row r="749" spans="1:2" x14ac:dyDescent="0.25">
      <c r="A749" t="s">
        <v>90</v>
      </c>
      <c r="B749">
        <v>860</v>
      </c>
    </row>
    <row r="750" spans="1:2" x14ac:dyDescent="0.25">
      <c r="A750" t="s">
        <v>90</v>
      </c>
      <c r="B750">
        <v>860</v>
      </c>
    </row>
    <row r="751" spans="1:2" x14ac:dyDescent="0.25">
      <c r="A751" t="s">
        <v>90</v>
      </c>
      <c r="B751">
        <v>860</v>
      </c>
    </row>
    <row r="752" spans="1:2" x14ac:dyDescent="0.25">
      <c r="A752" t="s">
        <v>90</v>
      </c>
      <c r="B752">
        <v>860</v>
      </c>
    </row>
    <row r="753" spans="1:2" x14ac:dyDescent="0.25">
      <c r="A753" t="s">
        <v>90</v>
      </c>
      <c r="B753">
        <v>860</v>
      </c>
    </row>
    <row r="754" spans="1:2" x14ac:dyDescent="0.25">
      <c r="A754" t="s">
        <v>90</v>
      </c>
      <c r="B754">
        <v>860</v>
      </c>
    </row>
    <row r="755" spans="1:2" x14ac:dyDescent="0.25">
      <c r="A755" t="s">
        <v>90</v>
      </c>
      <c r="B755">
        <v>860</v>
      </c>
    </row>
    <row r="756" spans="1:2" x14ac:dyDescent="0.25">
      <c r="A756" t="s">
        <v>90</v>
      </c>
      <c r="B756">
        <v>860</v>
      </c>
    </row>
    <row r="757" spans="1:2" x14ac:dyDescent="0.25">
      <c r="A757" t="s">
        <v>90</v>
      </c>
      <c r="B757">
        <v>860</v>
      </c>
    </row>
    <row r="758" spans="1:2" x14ac:dyDescent="0.25">
      <c r="A758" t="s">
        <v>90</v>
      </c>
      <c r="B758">
        <v>860</v>
      </c>
    </row>
    <row r="759" spans="1:2" x14ac:dyDescent="0.25">
      <c r="A759" t="s">
        <v>90</v>
      </c>
      <c r="B759">
        <v>860</v>
      </c>
    </row>
    <row r="760" spans="1:2" x14ac:dyDescent="0.25">
      <c r="A760" t="s">
        <v>90</v>
      </c>
      <c r="B760">
        <v>860</v>
      </c>
    </row>
    <row r="761" spans="1:2" x14ac:dyDescent="0.25">
      <c r="A761" t="s">
        <v>90</v>
      </c>
      <c r="B761">
        <v>860</v>
      </c>
    </row>
    <row r="762" spans="1:2" x14ac:dyDescent="0.25">
      <c r="A762" t="s">
        <v>90</v>
      </c>
      <c r="B762">
        <v>860</v>
      </c>
    </row>
    <row r="763" spans="1:2" x14ac:dyDescent="0.25">
      <c r="A763" t="s">
        <v>90</v>
      </c>
      <c r="B763">
        <v>860</v>
      </c>
    </row>
    <row r="764" spans="1:2" x14ac:dyDescent="0.25">
      <c r="A764" t="s">
        <v>90</v>
      </c>
      <c r="B764">
        <v>860</v>
      </c>
    </row>
    <row r="765" spans="1:2" x14ac:dyDescent="0.25">
      <c r="A765" t="s">
        <v>90</v>
      </c>
      <c r="B765">
        <v>860</v>
      </c>
    </row>
    <row r="766" spans="1:2" x14ac:dyDescent="0.25">
      <c r="A766" t="s">
        <v>90</v>
      </c>
      <c r="B766">
        <v>860</v>
      </c>
    </row>
    <row r="767" spans="1:2" x14ac:dyDescent="0.25">
      <c r="A767" t="s">
        <v>90</v>
      </c>
      <c r="B767">
        <v>860</v>
      </c>
    </row>
    <row r="768" spans="1:2" x14ac:dyDescent="0.25">
      <c r="A768" t="s">
        <v>90</v>
      </c>
      <c r="B768">
        <v>860</v>
      </c>
    </row>
    <row r="769" spans="1:2" x14ac:dyDescent="0.25">
      <c r="A769" t="s">
        <v>90</v>
      </c>
      <c r="B769">
        <v>860</v>
      </c>
    </row>
    <row r="770" spans="1:2" x14ac:dyDescent="0.25">
      <c r="A770" t="s">
        <v>90</v>
      </c>
      <c r="B770">
        <v>860</v>
      </c>
    </row>
    <row r="771" spans="1:2" x14ac:dyDescent="0.25">
      <c r="A771" t="s">
        <v>90</v>
      </c>
      <c r="B771">
        <v>860</v>
      </c>
    </row>
    <row r="772" spans="1:2" x14ac:dyDescent="0.25">
      <c r="A772" t="s">
        <v>90</v>
      </c>
      <c r="B772">
        <v>860</v>
      </c>
    </row>
    <row r="773" spans="1:2" x14ac:dyDescent="0.25">
      <c r="A773" t="s">
        <v>90</v>
      </c>
      <c r="B773">
        <v>860</v>
      </c>
    </row>
    <row r="774" spans="1:2" x14ac:dyDescent="0.25">
      <c r="A774" t="s">
        <v>90</v>
      </c>
      <c r="B774">
        <v>860</v>
      </c>
    </row>
    <row r="775" spans="1:2" x14ac:dyDescent="0.25">
      <c r="A775" t="s">
        <v>90</v>
      </c>
      <c r="B775">
        <v>860</v>
      </c>
    </row>
    <row r="776" spans="1:2" x14ac:dyDescent="0.25">
      <c r="A776" t="s">
        <v>90</v>
      </c>
      <c r="B776">
        <v>860</v>
      </c>
    </row>
    <row r="777" spans="1:2" x14ac:dyDescent="0.25">
      <c r="A777" t="s">
        <v>90</v>
      </c>
      <c r="B777">
        <v>860</v>
      </c>
    </row>
    <row r="778" spans="1:2" x14ac:dyDescent="0.25">
      <c r="A778" t="s">
        <v>90</v>
      </c>
      <c r="B778">
        <v>860</v>
      </c>
    </row>
    <row r="779" spans="1:2" x14ac:dyDescent="0.25">
      <c r="A779" t="s">
        <v>90</v>
      </c>
      <c r="B779">
        <v>860</v>
      </c>
    </row>
    <row r="780" spans="1:2" x14ac:dyDescent="0.25">
      <c r="A780" t="s">
        <v>90</v>
      </c>
      <c r="B780">
        <v>860</v>
      </c>
    </row>
    <row r="781" spans="1:2" x14ac:dyDescent="0.25">
      <c r="A781" t="s">
        <v>90</v>
      </c>
      <c r="B781">
        <v>860</v>
      </c>
    </row>
    <row r="782" spans="1:2" x14ac:dyDescent="0.25">
      <c r="A782" t="s">
        <v>90</v>
      </c>
      <c r="B782">
        <v>860</v>
      </c>
    </row>
    <row r="783" spans="1:2" x14ac:dyDescent="0.25">
      <c r="A783" t="s">
        <v>90</v>
      </c>
      <c r="B783">
        <v>860</v>
      </c>
    </row>
    <row r="784" spans="1:2" x14ac:dyDescent="0.25">
      <c r="A784" t="s">
        <v>90</v>
      </c>
      <c r="B784">
        <v>860</v>
      </c>
    </row>
    <row r="785" spans="1:2" x14ac:dyDescent="0.25">
      <c r="A785" t="s">
        <v>90</v>
      </c>
      <c r="B785">
        <v>860</v>
      </c>
    </row>
    <row r="786" spans="1:2" x14ac:dyDescent="0.25">
      <c r="A786" t="s">
        <v>90</v>
      </c>
      <c r="B786">
        <v>860</v>
      </c>
    </row>
    <row r="787" spans="1:2" x14ac:dyDescent="0.25">
      <c r="A787" t="s">
        <v>90</v>
      </c>
      <c r="B787">
        <v>860</v>
      </c>
    </row>
    <row r="788" spans="1:2" x14ac:dyDescent="0.25">
      <c r="A788" t="s">
        <v>90</v>
      </c>
      <c r="B788">
        <v>860</v>
      </c>
    </row>
    <row r="789" spans="1:2" x14ac:dyDescent="0.25">
      <c r="A789" t="s">
        <v>90</v>
      </c>
      <c r="B789">
        <v>860</v>
      </c>
    </row>
    <row r="790" spans="1:2" x14ac:dyDescent="0.25">
      <c r="A790" t="s">
        <v>90</v>
      </c>
      <c r="B790">
        <v>860</v>
      </c>
    </row>
    <row r="791" spans="1:2" x14ac:dyDescent="0.25">
      <c r="A791" t="s">
        <v>90</v>
      </c>
      <c r="B791">
        <v>860</v>
      </c>
    </row>
    <row r="792" spans="1:2" x14ac:dyDescent="0.25">
      <c r="A792" t="s">
        <v>90</v>
      </c>
      <c r="B792">
        <v>860</v>
      </c>
    </row>
    <row r="793" spans="1:2" x14ac:dyDescent="0.25">
      <c r="A793" t="s">
        <v>90</v>
      </c>
      <c r="B793">
        <v>860</v>
      </c>
    </row>
    <row r="794" spans="1:2" x14ac:dyDescent="0.25">
      <c r="A794" t="s">
        <v>90</v>
      </c>
      <c r="B794">
        <v>860</v>
      </c>
    </row>
    <row r="795" spans="1:2" x14ac:dyDescent="0.25">
      <c r="A795" t="s">
        <v>90</v>
      </c>
      <c r="B795">
        <v>860</v>
      </c>
    </row>
    <row r="796" spans="1:2" x14ac:dyDescent="0.25">
      <c r="A796" t="s">
        <v>90</v>
      </c>
      <c r="B796">
        <v>860</v>
      </c>
    </row>
    <row r="797" spans="1:2" x14ac:dyDescent="0.25">
      <c r="A797" t="s">
        <v>90</v>
      </c>
      <c r="B797">
        <v>860</v>
      </c>
    </row>
    <row r="798" spans="1:2" x14ac:dyDescent="0.25">
      <c r="A798" t="s">
        <v>90</v>
      </c>
      <c r="B798">
        <v>860</v>
      </c>
    </row>
    <row r="799" spans="1:2" x14ac:dyDescent="0.25">
      <c r="A799" t="s">
        <v>90</v>
      </c>
      <c r="B799">
        <v>860</v>
      </c>
    </row>
    <row r="800" spans="1:2" x14ac:dyDescent="0.25">
      <c r="A800" t="s">
        <v>90</v>
      </c>
      <c r="B800">
        <v>860</v>
      </c>
    </row>
    <row r="801" spans="1:2" x14ac:dyDescent="0.25">
      <c r="A801" t="s">
        <v>90</v>
      </c>
      <c r="B801">
        <v>860</v>
      </c>
    </row>
    <row r="802" spans="1:2" x14ac:dyDescent="0.25">
      <c r="A802" t="s">
        <v>90</v>
      </c>
      <c r="B802">
        <v>860</v>
      </c>
    </row>
    <row r="803" spans="1:2" x14ac:dyDescent="0.25">
      <c r="A803" t="s">
        <v>90</v>
      </c>
      <c r="B803">
        <v>860</v>
      </c>
    </row>
    <row r="804" spans="1:2" x14ac:dyDescent="0.25">
      <c r="A804" t="s">
        <v>90</v>
      </c>
      <c r="B804">
        <v>860</v>
      </c>
    </row>
    <row r="805" spans="1:2" x14ac:dyDescent="0.25">
      <c r="A805" t="s">
        <v>90</v>
      </c>
      <c r="B805">
        <v>860</v>
      </c>
    </row>
    <row r="806" spans="1:2" x14ac:dyDescent="0.25">
      <c r="A806" t="s">
        <v>90</v>
      </c>
      <c r="B806">
        <v>860</v>
      </c>
    </row>
    <row r="807" spans="1:2" x14ac:dyDescent="0.25">
      <c r="A807" t="s">
        <v>90</v>
      </c>
      <c r="B807">
        <v>860</v>
      </c>
    </row>
    <row r="808" spans="1:2" x14ac:dyDescent="0.25">
      <c r="A808" t="s">
        <v>90</v>
      </c>
      <c r="B808">
        <v>860</v>
      </c>
    </row>
    <row r="809" spans="1:2" x14ac:dyDescent="0.25">
      <c r="A809" t="s">
        <v>90</v>
      </c>
      <c r="B809">
        <v>860</v>
      </c>
    </row>
    <row r="810" spans="1:2" x14ac:dyDescent="0.25">
      <c r="A810" t="s">
        <v>90</v>
      </c>
      <c r="B810">
        <v>860</v>
      </c>
    </row>
    <row r="811" spans="1:2" x14ac:dyDescent="0.25">
      <c r="A811" t="s">
        <v>90</v>
      </c>
      <c r="B811">
        <v>860</v>
      </c>
    </row>
    <row r="812" spans="1:2" x14ac:dyDescent="0.25">
      <c r="A812" t="s">
        <v>90</v>
      </c>
      <c r="B812">
        <v>860</v>
      </c>
    </row>
    <row r="813" spans="1:2" x14ac:dyDescent="0.25">
      <c r="A813" t="s">
        <v>90</v>
      </c>
      <c r="B813">
        <v>860</v>
      </c>
    </row>
    <row r="814" spans="1:2" x14ac:dyDescent="0.25">
      <c r="A814" t="s">
        <v>90</v>
      </c>
      <c r="B814">
        <v>860</v>
      </c>
    </row>
    <row r="815" spans="1:2" x14ac:dyDescent="0.25">
      <c r="A815" t="s">
        <v>90</v>
      </c>
      <c r="B815">
        <v>860</v>
      </c>
    </row>
    <row r="816" spans="1:2" x14ac:dyDescent="0.25">
      <c r="A816" t="s">
        <v>90</v>
      </c>
      <c r="B816">
        <v>860</v>
      </c>
    </row>
    <row r="817" spans="1:2" x14ac:dyDescent="0.25">
      <c r="A817" t="s">
        <v>90</v>
      </c>
      <c r="B817">
        <v>860</v>
      </c>
    </row>
    <row r="818" spans="1:2" x14ac:dyDescent="0.25">
      <c r="A818" t="s">
        <v>90</v>
      </c>
      <c r="B818">
        <v>860</v>
      </c>
    </row>
    <row r="819" spans="1:2" x14ac:dyDescent="0.25">
      <c r="A819" t="s">
        <v>90</v>
      </c>
      <c r="B819">
        <v>860</v>
      </c>
    </row>
    <row r="820" spans="1:2" x14ac:dyDescent="0.25">
      <c r="A820" t="s">
        <v>90</v>
      </c>
      <c r="B820">
        <v>860</v>
      </c>
    </row>
    <row r="821" spans="1:2" x14ac:dyDescent="0.25">
      <c r="A821" t="s">
        <v>90</v>
      </c>
      <c r="B821">
        <v>860</v>
      </c>
    </row>
    <row r="822" spans="1:2" x14ac:dyDescent="0.25">
      <c r="A822" t="s">
        <v>90</v>
      </c>
      <c r="B822">
        <v>860</v>
      </c>
    </row>
    <row r="823" spans="1:2" x14ac:dyDescent="0.25">
      <c r="A823" t="s">
        <v>90</v>
      </c>
      <c r="B823">
        <v>860</v>
      </c>
    </row>
    <row r="824" spans="1:2" x14ac:dyDescent="0.25">
      <c r="A824" t="s">
        <v>90</v>
      </c>
      <c r="B824">
        <v>860</v>
      </c>
    </row>
    <row r="825" spans="1:2" x14ac:dyDescent="0.25">
      <c r="A825" t="s">
        <v>90</v>
      </c>
      <c r="B825">
        <v>860</v>
      </c>
    </row>
    <row r="826" spans="1:2" x14ac:dyDescent="0.25">
      <c r="A826" t="s">
        <v>90</v>
      </c>
      <c r="B826">
        <v>860</v>
      </c>
    </row>
    <row r="827" spans="1:2" x14ac:dyDescent="0.25">
      <c r="A827" t="s">
        <v>90</v>
      </c>
      <c r="B827">
        <v>860</v>
      </c>
    </row>
    <row r="828" spans="1:2" x14ac:dyDescent="0.25">
      <c r="A828" t="s">
        <v>90</v>
      </c>
      <c r="B828">
        <v>860</v>
      </c>
    </row>
    <row r="829" spans="1:2" x14ac:dyDescent="0.25">
      <c r="A829" t="s">
        <v>90</v>
      </c>
      <c r="B829">
        <v>860</v>
      </c>
    </row>
    <row r="830" spans="1:2" x14ac:dyDescent="0.25">
      <c r="A830" t="s">
        <v>90</v>
      </c>
      <c r="B830">
        <v>860</v>
      </c>
    </row>
    <row r="831" spans="1:2" x14ac:dyDescent="0.25">
      <c r="A831" t="s">
        <v>90</v>
      </c>
      <c r="B831">
        <v>860</v>
      </c>
    </row>
    <row r="832" spans="1:2" x14ac:dyDescent="0.25">
      <c r="A832" t="s">
        <v>90</v>
      </c>
      <c r="B832">
        <v>860</v>
      </c>
    </row>
    <row r="833" spans="1:2" x14ac:dyDescent="0.25">
      <c r="A833" t="s">
        <v>90</v>
      </c>
      <c r="B833">
        <v>860</v>
      </c>
    </row>
    <row r="834" spans="1:2" x14ac:dyDescent="0.25">
      <c r="A834" t="s">
        <v>90</v>
      </c>
      <c r="B834">
        <v>860</v>
      </c>
    </row>
    <row r="835" spans="1:2" x14ac:dyDescent="0.25">
      <c r="A835" t="s">
        <v>90</v>
      </c>
      <c r="B835">
        <v>860</v>
      </c>
    </row>
    <row r="836" spans="1:2" x14ac:dyDescent="0.25">
      <c r="A836" t="s">
        <v>90</v>
      </c>
      <c r="B836">
        <v>860</v>
      </c>
    </row>
    <row r="837" spans="1:2" x14ac:dyDescent="0.25">
      <c r="A837" t="s">
        <v>90</v>
      </c>
      <c r="B837">
        <v>860</v>
      </c>
    </row>
    <row r="838" spans="1:2" x14ac:dyDescent="0.25">
      <c r="A838" t="s">
        <v>90</v>
      </c>
      <c r="B838">
        <v>860</v>
      </c>
    </row>
    <row r="839" spans="1:2" x14ac:dyDescent="0.25">
      <c r="A839" t="s">
        <v>90</v>
      </c>
      <c r="B839">
        <v>860</v>
      </c>
    </row>
    <row r="840" spans="1:2" x14ac:dyDescent="0.25">
      <c r="A840" t="s">
        <v>90</v>
      </c>
      <c r="B840">
        <v>860</v>
      </c>
    </row>
    <row r="841" spans="1:2" x14ac:dyDescent="0.25">
      <c r="A841" t="s">
        <v>90</v>
      </c>
      <c r="B841">
        <v>860</v>
      </c>
    </row>
    <row r="842" spans="1:2" x14ac:dyDescent="0.25">
      <c r="A842" t="s">
        <v>90</v>
      </c>
      <c r="B842">
        <v>860</v>
      </c>
    </row>
    <row r="843" spans="1:2" x14ac:dyDescent="0.25">
      <c r="A843" t="s">
        <v>90</v>
      </c>
      <c r="B843">
        <v>860</v>
      </c>
    </row>
    <row r="844" spans="1:2" x14ac:dyDescent="0.25">
      <c r="A844" t="s">
        <v>90</v>
      </c>
      <c r="B844">
        <v>860</v>
      </c>
    </row>
    <row r="845" spans="1:2" x14ac:dyDescent="0.25">
      <c r="A845" t="s">
        <v>90</v>
      </c>
      <c r="B845">
        <v>860</v>
      </c>
    </row>
    <row r="846" spans="1:2" x14ac:dyDescent="0.25">
      <c r="A846" t="s">
        <v>90</v>
      </c>
      <c r="B846">
        <v>860</v>
      </c>
    </row>
    <row r="847" spans="1:2" x14ac:dyDescent="0.25">
      <c r="A847" t="s">
        <v>90</v>
      </c>
      <c r="B847">
        <v>860</v>
      </c>
    </row>
    <row r="848" spans="1:2" x14ac:dyDescent="0.25">
      <c r="A848" t="s">
        <v>90</v>
      </c>
      <c r="B848">
        <v>860</v>
      </c>
    </row>
    <row r="849" spans="1:2" x14ac:dyDescent="0.25">
      <c r="A849" t="s">
        <v>90</v>
      </c>
      <c r="B849">
        <v>860</v>
      </c>
    </row>
    <row r="850" spans="1:2" x14ac:dyDescent="0.25">
      <c r="A850" t="s">
        <v>90</v>
      </c>
      <c r="B850">
        <v>860</v>
      </c>
    </row>
    <row r="851" spans="1:2" x14ac:dyDescent="0.25">
      <c r="A851" t="s">
        <v>90</v>
      </c>
      <c r="B851">
        <v>860</v>
      </c>
    </row>
    <row r="852" spans="1:2" x14ac:dyDescent="0.25">
      <c r="A852" t="s">
        <v>90</v>
      </c>
      <c r="B852">
        <v>860</v>
      </c>
    </row>
    <row r="853" spans="1:2" x14ac:dyDescent="0.25">
      <c r="A853" t="s">
        <v>90</v>
      </c>
      <c r="B853">
        <v>860</v>
      </c>
    </row>
    <row r="854" spans="1:2" x14ac:dyDescent="0.25">
      <c r="A854" t="s">
        <v>90</v>
      </c>
      <c r="B854">
        <v>860</v>
      </c>
    </row>
    <row r="855" spans="1:2" x14ac:dyDescent="0.25">
      <c r="A855" t="s">
        <v>90</v>
      </c>
      <c r="B855">
        <v>860</v>
      </c>
    </row>
    <row r="856" spans="1:2" x14ac:dyDescent="0.25">
      <c r="A856" t="s">
        <v>90</v>
      </c>
      <c r="B856">
        <v>860</v>
      </c>
    </row>
    <row r="857" spans="1:2" x14ac:dyDescent="0.25">
      <c r="A857" t="s">
        <v>90</v>
      </c>
      <c r="B857">
        <v>860</v>
      </c>
    </row>
    <row r="858" spans="1:2" x14ac:dyDescent="0.25">
      <c r="A858" t="s">
        <v>90</v>
      </c>
      <c r="B858">
        <v>860</v>
      </c>
    </row>
    <row r="859" spans="1:2" x14ac:dyDescent="0.25">
      <c r="A859" t="s">
        <v>90</v>
      </c>
      <c r="B859">
        <v>860</v>
      </c>
    </row>
    <row r="860" spans="1:2" x14ac:dyDescent="0.25">
      <c r="A860" t="s">
        <v>90</v>
      </c>
      <c r="B860">
        <v>860</v>
      </c>
    </row>
    <row r="861" spans="1:2" x14ac:dyDescent="0.25">
      <c r="A861" t="s">
        <v>90</v>
      </c>
      <c r="B861">
        <v>860</v>
      </c>
    </row>
    <row r="862" spans="1:2" x14ac:dyDescent="0.25">
      <c r="A862" t="s">
        <v>90</v>
      </c>
      <c r="B862">
        <v>860</v>
      </c>
    </row>
    <row r="863" spans="1:2" x14ac:dyDescent="0.25">
      <c r="A863" t="s">
        <v>90</v>
      </c>
      <c r="B863">
        <v>860</v>
      </c>
    </row>
    <row r="864" spans="1:2" x14ac:dyDescent="0.25">
      <c r="A864" t="s">
        <v>90</v>
      </c>
      <c r="B864">
        <v>860</v>
      </c>
    </row>
    <row r="865" spans="1:2" x14ac:dyDescent="0.25">
      <c r="A865" t="s">
        <v>90</v>
      </c>
      <c r="B865">
        <v>860</v>
      </c>
    </row>
    <row r="866" spans="1:2" x14ac:dyDescent="0.25">
      <c r="A866" t="s">
        <v>90</v>
      </c>
      <c r="B866">
        <v>860</v>
      </c>
    </row>
    <row r="867" spans="1:2" x14ac:dyDescent="0.25">
      <c r="A867" t="s">
        <v>90</v>
      </c>
      <c r="B867">
        <v>860</v>
      </c>
    </row>
    <row r="868" spans="1:2" x14ac:dyDescent="0.25">
      <c r="A868" t="s">
        <v>90</v>
      </c>
      <c r="B868">
        <v>860</v>
      </c>
    </row>
    <row r="869" spans="1:2" x14ac:dyDescent="0.25">
      <c r="A869" t="s">
        <v>90</v>
      </c>
      <c r="B869">
        <v>860</v>
      </c>
    </row>
    <row r="870" spans="1:2" x14ac:dyDescent="0.25">
      <c r="A870" t="s">
        <v>90</v>
      </c>
      <c r="B870">
        <v>860</v>
      </c>
    </row>
    <row r="871" spans="1:2" x14ac:dyDescent="0.25">
      <c r="A871" t="s">
        <v>90</v>
      </c>
      <c r="B871">
        <v>860</v>
      </c>
    </row>
    <row r="872" spans="1:2" x14ac:dyDescent="0.25">
      <c r="A872" t="s">
        <v>90</v>
      </c>
      <c r="B872">
        <v>860</v>
      </c>
    </row>
    <row r="873" spans="1:2" x14ac:dyDescent="0.25">
      <c r="A873" t="s">
        <v>90</v>
      </c>
      <c r="B873">
        <v>860</v>
      </c>
    </row>
    <row r="874" spans="1:2" x14ac:dyDescent="0.25">
      <c r="A874" t="s">
        <v>90</v>
      </c>
      <c r="B874">
        <v>860</v>
      </c>
    </row>
    <row r="875" spans="1:2" x14ac:dyDescent="0.25">
      <c r="A875" t="s">
        <v>90</v>
      </c>
      <c r="B875">
        <v>860</v>
      </c>
    </row>
    <row r="876" spans="1:2" x14ac:dyDescent="0.25">
      <c r="A876" t="s">
        <v>90</v>
      </c>
      <c r="B876">
        <v>860</v>
      </c>
    </row>
    <row r="877" spans="1:2" x14ac:dyDescent="0.25">
      <c r="A877" t="s">
        <v>90</v>
      </c>
      <c r="B877">
        <v>860</v>
      </c>
    </row>
    <row r="878" spans="1:2" x14ac:dyDescent="0.25">
      <c r="A878" t="s">
        <v>90</v>
      </c>
      <c r="B878">
        <v>860</v>
      </c>
    </row>
    <row r="879" spans="1:2" x14ac:dyDescent="0.25">
      <c r="A879" t="s">
        <v>90</v>
      </c>
      <c r="B879">
        <v>860</v>
      </c>
    </row>
    <row r="880" spans="1:2" x14ac:dyDescent="0.25">
      <c r="A880" t="s">
        <v>90</v>
      </c>
      <c r="B880">
        <v>860</v>
      </c>
    </row>
    <row r="881" spans="1:2" x14ac:dyDescent="0.25">
      <c r="A881" t="s">
        <v>90</v>
      </c>
      <c r="B881">
        <v>860</v>
      </c>
    </row>
    <row r="882" spans="1:2" x14ac:dyDescent="0.25">
      <c r="A882" t="s">
        <v>90</v>
      </c>
      <c r="B882">
        <v>860</v>
      </c>
    </row>
    <row r="883" spans="1:2" x14ac:dyDescent="0.25">
      <c r="A883" t="s">
        <v>90</v>
      </c>
      <c r="B883">
        <v>860</v>
      </c>
    </row>
    <row r="884" spans="1:2" x14ac:dyDescent="0.25">
      <c r="A884" t="s">
        <v>90</v>
      </c>
      <c r="B884">
        <v>860</v>
      </c>
    </row>
    <row r="885" spans="1:2" x14ac:dyDescent="0.25">
      <c r="A885" t="s">
        <v>90</v>
      </c>
      <c r="B885">
        <v>860</v>
      </c>
    </row>
    <row r="886" spans="1:2" x14ac:dyDescent="0.25">
      <c r="A886" t="s">
        <v>90</v>
      </c>
      <c r="B886">
        <v>860</v>
      </c>
    </row>
    <row r="887" spans="1:2" x14ac:dyDescent="0.25">
      <c r="A887" t="s">
        <v>90</v>
      </c>
      <c r="B887">
        <v>860</v>
      </c>
    </row>
    <row r="888" spans="1:2" x14ac:dyDescent="0.25">
      <c r="A888" t="s">
        <v>90</v>
      </c>
      <c r="B888">
        <v>860</v>
      </c>
    </row>
    <row r="889" spans="1:2" x14ac:dyDescent="0.25">
      <c r="A889" t="s">
        <v>90</v>
      </c>
      <c r="B889">
        <v>860</v>
      </c>
    </row>
    <row r="890" spans="1:2" x14ac:dyDescent="0.25">
      <c r="A890" t="s">
        <v>90</v>
      </c>
      <c r="B890">
        <v>860</v>
      </c>
    </row>
    <row r="891" spans="1:2" x14ac:dyDescent="0.25">
      <c r="A891" t="s">
        <v>90</v>
      </c>
      <c r="B891">
        <v>860</v>
      </c>
    </row>
    <row r="892" spans="1:2" x14ac:dyDescent="0.25">
      <c r="A892" t="s">
        <v>90</v>
      </c>
      <c r="B892">
        <v>860</v>
      </c>
    </row>
    <row r="893" spans="1:2" x14ac:dyDescent="0.25">
      <c r="A893" t="s">
        <v>90</v>
      </c>
      <c r="B893">
        <v>860</v>
      </c>
    </row>
    <row r="894" spans="1:2" x14ac:dyDescent="0.25">
      <c r="A894" t="s">
        <v>90</v>
      </c>
      <c r="B894">
        <v>860</v>
      </c>
    </row>
    <row r="895" spans="1:2" x14ac:dyDescent="0.25">
      <c r="A895" t="s">
        <v>90</v>
      </c>
      <c r="B895">
        <v>860</v>
      </c>
    </row>
    <row r="896" spans="1:2" x14ac:dyDescent="0.25">
      <c r="A896" t="s">
        <v>90</v>
      </c>
      <c r="B896">
        <v>860</v>
      </c>
    </row>
    <row r="897" spans="1:2" x14ac:dyDescent="0.25">
      <c r="A897" t="s">
        <v>90</v>
      </c>
      <c r="B897">
        <v>860</v>
      </c>
    </row>
    <row r="898" spans="1:2" x14ac:dyDescent="0.25">
      <c r="A898" t="s">
        <v>90</v>
      </c>
      <c r="B898">
        <v>860</v>
      </c>
    </row>
    <row r="899" spans="1:2" x14ac:dyDescent="0.25">
      <c r="A899" t="s">
        <v>90</v>
      </c>
      <c r="B899">
        <v>860</v>
      </c>
    </row>
    <row r="900" spans="1:2" x14ac:dyDescent="0.25">
      <c r="A900" t="s">
        <v>90</v>
      </c>
      <c r="B900">
        <v>860</v>
      </c>
    </row>
    <row r="901" spans="1:2" x14ac:dyDescent="0.25">
      <c r="A901" t="s">
        <v>90</v>
      </c>
      <c r="B901">
        <v>860</v>
      </c>
    </row>
    <row r="902" spans="1:2" x14ac:dyDescent="0.25">
      <c r="A902" t="s">
        <v>90</v>
      </c>
      <c r="B902">
        <v>860</v>
      </c>
    </row>
    <row r="903" spans="1:2" x14ac:dyDescent="0.25">
      <c r="A903" t="s">
        <v>90</v>
      </c>
      <c r="B903">
        <v>860</v>
      </c>
    </row>
    <row r="904" spans="1:2" x14ac:dyDescent="0.25">
      <c r="A904" t="s">
        <v>90</v>
      </c>
      <c r="B904">
        <v>860</v>
      </c>
    </row>
    <row r="905" spans="1:2" x14ac:dyDescent="0.25">
      <c r="A905" t="s">
        <v>90</v>
      </c>
      <c r="B905">
        <v>860</v>
      </c>
    </row>
    <row r="906" spans="1:2" x14ac:dyDescent="0.25">
      <c r="A906" t="s">
        <v>90</v>
      </c>
      <c r="B906">
        <v>860</v>
      </c>
    </row>
    <row r="907" spans="1:2" x14ac:dyDescent="0.25">
      <c r="A907" t="s">
        <v>90</v>
      </c>
      <c r="B907">
        <v>860</v>
      </c>
    </row>
    <row r="908" spans="1:2" x14ac:dyDescent="0.25">
      <c r="A908" t="s">
        <v>90</v>
      </c>
      <c r="B908">
        <v>860</v>
      </c>
    </row>
    <row r="909" spans="1:2" x14ac:dyDescent="0.25">
      <c r="A909" t="s">
        <v>90</v>
      </c>
      <c r="B909">
        <v>860</v>
      </c>
    </row>
    <row r="910" spans="1:2" x14ac:dyDescent="0.25">
      <c r="A910" t="s">
        <v>90</v>
      </c>
      <c r="B910">
        <v>860</v>
      </c>
    </row>
    <row r="911" spans="1:2" x14ac:dyDescent="0.25">
      <c r="A911" t="s">
        <v>90</v>
      </c>
      <c r="B911">
        <v>860</v>
      </c>
    </row>
    <row r="912" spans="1:2" x14ac:dyDescent="0.25">
      <c r="A912" t="s">
        <v>90</v>
      </c>
      <c r="B912">
        <v>860</v>
      </c>
    </row>
    <row r="913" spans="1:2" x14ac:dyDescent="0.25">
      <c r="A913" t="s">
        <v>90</v>
      </c>
      <c r="B913">
        <v>860</v>
      </c>
    </row>
    <row r="914" spans="1:2" x14ac:dyDescent="0.25">
      <c r="A914" t="s">
        <v>90</v>
      </c>
      <c r="B914">
        <v>860</v>
      </c>
    </row>
    <row r="915" spans="1:2" x14ac:dyDescent="0.25">
      <c r="A915" t="s">
        <v>90</v>
      </c>
      <c r="B915">
        <v>860</v>
      </c>
    </row>
    <row r="916" spans="1:2" x14ac:dyDescent="0.25">
      <c r="A916" t="s">
        <v>90</v>
      </c>
      <c r="B916">
        <v>860</v>
      </c>
    </row>
    <row r="917" spans="1:2" x14ac:dyDescent="0.25">
      <c r="A917" t="s">
        <v>90</v>
      </c>
      <c r="B917">
        <v>860</v>
      </c>
    </row>
    <row r="918" spans="1:2" x14ac:dyDescent="0.25">
      <c r="A918" t="s">
        <v>90</v>
      </c>
      <c r="B918">
        <v>860</v>
      </c>
    </row>
    <row r="919" spans="1:2" x14ac:dyDescent="0.25">
      <c r="A919" t="s">
        <v>90</v>
      </c>
      <c r="B919">
        <v>860</v>
      </c>
    </row>
    <row r="920" spans="1:2" x14ac:dyDescent="0.25">
      <c r="A920" t="s">
        <v>90</v>
      </c>
      <c r="B920">
        <v>860</v>
      </c>
    </row>
    <row r="921" spans="1:2" x14ac:dyDescent="0.25">
      <c r="A921" t="s">
        <v>90</v>
      </c>
      <c r="B921">
        <v>860</v>
      </c>
    </row>
    <row r="922" spans="1:2" x14ac:dyDescent="0.25">
      <c r="A922" t="s">
        <v>90</v>
      </c>
      <c r="B922">
        <v>860</v>
      </c>
    </row>
    <row r="923" spans="1:2" x14ac:dyDescent="0.25">
      <c r="A923" t="s">
        <v>90</v>
      </c>
      <c r="B923">
        <v>860</v>
      </c>
    </row>
    <row r="924" spans="1:2" x14ac:dyDescent="0.25">
      <c r="A924" t="s">
        <v>90</v>
      </c>
      <c r="B924">
        <v>860</v>
      </c>
    </row>
    <row r="925" spans="1:2" x14ac:dyDescent="0.25">
      <c r="A925" t="s">
        <v>90</v>
      </c>
      <c r="B925">
        <v>860</v>
      </c>
    </row>
    <row r="926" spans="1:2" x14ac:dyDescent="0.25">
      <c r="A926" t="s">
        <v>90</v>
      </c>
      <c r="B926">
        <v>860</v>
      </c>
    </row>
    <row r="927" spans="1:2" x14ac:dyDescent="0.25">
      <c r="A927" t="s">
        <v>90</v>
      </c>
      <c r="B927">
        <v>860</v>
      </c>
    </row>
    <row r="928" spans="1:2" x14ac:dyDescent="0.25">
      <c r="A928" t="s">
        <v>90</v>
      </c>
      <c r="B928">
        <v>860</v>
      </c>
    </row>
    <row r="929" spans="1:2" x14ac:dyDescent="0.25">
      <c r="A929" t="s">
        <v>90</v>
      </c>
      <c r="B929">
        <v>860</v>
      </c>
    </row>
    <row r="930" spans="1:2" x14ac:dyDescent="0.25">
      <c r="A930" t="s">
        <v>90</v>
      </c>
      <c r="B930">
        <v>860</v>
      </c>
    </row>
    <row r="931" spans="1:2" x14ac:dyDescent="0.25">
      <c r="A931" t="s">
        <v>90</v>
      </c>
      <c r="B931">
        <v>860</v>
      </c>
    </row>
    <row r="932" spans="1:2" x14ac:dyDescent="0.25">
      <c r="A932" t="s">
        <v>90</v>
      </c>
      <c r="B932">
        <v>860</v>
      </c>
    </row>
    <row r="933" spans="1:2" x14ac:dyDescent="0.25">
      <c r="A933" t="s">
        <v>90</v>
      </c>
      <c r="B933">
        <v>860</v>
      </c>
    </row>
    <row r="934" spans="1:2" x14ac:dyDescent="0.25">
      <c r="A934" t="s">
        <v>90</v>
      </c>
      <c r="B934">
        <v>860</v>
      </c>
    </row>
    <row r="935" spans="1:2" x14ac:dyDescent="0.25">
      <c r="A935" t="s">
        <v>90</v>
      </c>
      <c r="B935">
        <v>860</v>
      </c>
    </row>
    <row r="936" spans="1:2" x14ac:dyDescent="0.25">
      <c r="A936" t="s">
        <v>90</v>
      </c>
      <c r="B936">
        <v>860</v>
      </c>
    </row>
    <row r="937" spans="1:2" x14ac:dyDescent="0.25">
      <c r="A937" t="s">
        <v>90</v>
      </c>
      <c r="B937">
        <v>860</v>
      </c>
    </row>
    <row r="938" spans="1:2" x14ac:dyDescent="0.25">
      <c r="A938" t="s">
        <v>90</v>
      </c>
      <c r="B938">
        <v>860</v>
      </c>
    </row>
    <row r="939" spans="1:2" x14ac:dyDescent="0.25">
      <c r="A939" t="s">
        <v>90</v>
      </c>
      <c r="B939">
        <v>860</v>
      </c>
    </row>
    <row r="940" spans="1:2" x14ac:dyDescent="0.25">
      <c r="A940" t="s">
        <v>90</v>
      </c>
      <c r="B940">
        <v>860</v>
      </c>
    </row>
    <row r="941" spans="1:2" x14ac:dyDescent="0.25">
      <c r="A941" t="s">
        <v>90</v>
      </c>
      <c r="B941">
        <v>860</v>
      </c>
    </row>
    <row r="942" spans="1:2" x14ac:dyDescent="0.25">
      <c r="A942" t="s">
        <v>90</v>
      </c>
      <c r="B942">
        <v>860</v>
      </c>
    </row>
    <row r="943" spans="1:2" x14ac:dyDescent="0.25">
      <c r="A943" t="s">
        <v>90</v>
      </c>
      <c r="B943">
        <v>860</v>
      </c>
    </row>
    <row r="944" spans="1:2" x14ac:dyDescent="0.25">
      <c r="A944" t="s">
        <v>90</v>
      </c>
      <c r="B944">
        <v>860</v>
      </c>
    </row>
    <row r="945" spans="1:2" x14ac:dyDescent="0.25">
      <c r="A945" t="s">
        <v>90</v>
      </c>
      <c r="B945">
        <v>860</v>
      </c>
    </row>
    <row r="946" spans="1:2" x14ac:dyDescent="0.25">
      <c r="A946" t="s">
        <v>90</v>
      </c>
      <c r="B946">
        <v>860</v>
      </c>
    </row>
    <row r="947" spans="1:2" x14ac:dyDescent="0.25">
      <c r="A947" t="s">
        <v>90</v>
      </c>
      <c r="B947">
        <v>860</v>
      </c>
    </row>
    <row r="948" spans="1:2" x14ac:dyDescent="0.25">
      <c r="A948" t="s">
        <v>90</v>
      </c>
      <c r="B948">
        <v>860</v>
      </c>
    </row>
    <row r="949" spans="1:2" x14ac:dyDescent="0.25">
      <c r="A949" t="s">
        <v>90</v>
      </c>
      <c r="B949">
        <v>860</v>
      </c>
    </row>
    <row r="950" spans="1:2" x14ac:dyDescent="0.25">
      <c r="A950" t="s">
        <v>90</v>
      </c>
      <c r="B950">
        <v>860</v>
      </c>
    </row>
    <row r="951" spans="1:2" x14ac:dyDescent="0.25">
      <c r="A951" t="s">
        <v>90</v>
      </c>
      <c r="B951">
        <v>860</v>
      </c>
    </row>
    <row r="952" spans="1:2" x14ac:dyDescent="0.25">
      <c r="A952" t="s">
        <v>90</v>
      </c>
      <c r="B952">
        <v>860</v>
      </c>
    </row>
    <row r="953" spans="1:2" x14ac:dyDescent="0.25">
      <c r="A953" t="s">
        <v>90</v>
      </c>
      <c r="B953">
        <v>860</v>
      </c>
    </row>
    <row r="954" spans="1:2" x14ac:dyDescent="0.25">
      <c r="A954" t="s">
        <v>90</v>
      </c>
      <c r="B954">
        <v>860</v>
      </c>
    </row>
    <row r="955" spans="1:2" x14ac:dyDescent="0.25">
      <c r="A955" t="s">
        <v>90</v>
      </c>
      <c r="B955">
        <v>860</v>
      </c>
    </row>
    <row r="956" spans="1:2" x14ac:dyDescent="0.25">
      <c r="A956" t="s">
        <v>90</v>
      </c>
      <c r="B956">
        <v>860</v>
      </c>
    </row>
    <row r="957" spans="1:2" x14ac:dyDescent="0.25">
      <c r="A957" t="s">
        <v>90</v>
      </c>
      <c r="B957">
        <v>860</v>
      </c>
    </row>
    <row r="958" spans="1:2" x14ac:dyDescent="0.25">
      <c r="A958" t="s">
        <v>90</v>
      </c>
      <c r="B958">
        <v>860</v>
      </c>
    </row>
    <row r="959" spans="1:2" x14ac:dyDescent="0.25">
      <c r="A959" t="s">
        <v>90</v>
      </c>
      <c r="B959">
        <v>860</v>
      </c>
    </row>
    <row r="960" spans="1:2" x14ac:dyDescent="0.25">
      <c r="A960" t="s">
        <v>90</v>
      </c>
      <c r="B960">
        <v>860</v>
      </c>
    </row>
    <row r="961" spans="1:2" x14ac:dyDescent="0.25">
      <c r="A961" t="s">
        <v>90</v>
      </c>
      <c r="B961">
        <v>860</v>
      </c>
    </row>
    <row r="962" spans="1:2" x14ac:dyDescent="0.25">
      <c r="A962" t="s">
        <v>90</v>
      </c>
      <c r="B962">
        <v>860</v>
      </c>
    </row>
    <row r="963" spans="1:2" x14ac:dyDescent="0.25">
      <c r="A963" t="s">
        <v>90</v>
      </c>
      <c r="B963">
        <v>860</v>
      </c>
    </row>
    <row r="964" spans="1:2" x14ac:dyDescent="0.25">
      <c r="A964" t="s">
        <v>90</v>
      </c>
      <c r="B964">
        <v>860</v>
      </c>
    </row>
    <row r="965" spans="1:2" x14ac:dyDescent="0.25">
      <c r="A965" t="s">
        <v>90</v>
      </c>
      <c r="B965">
        <v>860</v>
      </c>
    </row>
    <row r="966" spans="1:2" x14ac:dyDescent="0.25">
      <c r="A966" t="s">
        <v>90</v>
      </c>
      <c r="B966">
        <v>860</v>
      </c>
    </row>
    <row r="967" spans="1:2" x14ac:dyDescent="0.25">
      <c r="A967" t="s">
        <v>90</v>
      </c>
      <c r="B967">
        <v>860</v>
      </c>
    </row>
    <row r="968" spans="1:2" x14ac:dyDescent="0.25">
      <c r="A968" t="s">
        <v>90</v>
      </c>
      <c r="B968">
        <v>860</v>
      </c>
    </row>
    <row r="969" spans="1:2" x14ac:dyDescent="0.25">
      <c r="A969" t="s">
        <v>90</v>
      </c>
      <c r="B969">
        <v>860</v>
      </c>
    </row>
    <row r="970" spans="1:2" x14ac:dyDescent="0.25">
      <c r="A970" t="s">
        <v>90</v>
      </c>
      <c r="B970">
        <v>860</v>
      </c>
    </row>
    <row r="971" spans="1:2" x14ac:dyDescent="0.25">
      <c r="A971" t="s">
        <v>90</v>
      </c>
      <c r="B971">
        <v>860</v>
      </c>
    </row>
    <row r="972" spans="1:2" x14ac:dyDescent="0.25">
      <c r="A972" t="s">
        <v>90</v>
      </c>
      <c r="B972">
        <v>860</v>
      </c>
    </row>
    <row r="973" spans="1:2" x14ac:dyDescent="0.25">
      <c r="A973" t="s">
        <v>90</v>
      </c>
      <c r="B973">
        <v>860</v>
      </c>
    </row>
    <row r="974" spans="1:2" x14ac:dyDescent="0.25">
      <c r="A974" t="s">
        <v>90</v>
      </c>
      <c r="B974">
        <v>860</v>
      </c>
    </row>
    <row r="975" spans="1:2" x14ac:dyDescent="0.25">
      <c r="A975" t="s">
        <v>90</v>
      </c>
      <c r="B975">
        <v>860</v>
      </c>
    </row>
    <row r="976" spans="1:2" x14ac:dyDescent="0.25">
      <c r="A976" t="s">
        <v>90</v>
      </c>
      <c r="B976">
        <v>860</v>
      </c>
    </row>
    <row r="977" spans="1:2" x14ac:dyDescent="0.25">
      <c r="A977" t="s">
        <v>90</v>
      </c>
      <c r="B977">
        <v>860</v>
      </c>
    </row>
    <row r="978" spans="1:2" x14ac:dyDescent="0.25">
      <c r="A978" t="s">
        <v>90</v>
      </c>
      <c r="B978">
        <v>860</v>
      </c>
    </row>
    <row r="979" spans="1:2" x14ac:dyDescent="0.25">
      <c r="A979" t="s">
        <v>90</v>
      </c>
      <c r="B979">
        <v>860</v>
      </c>
    </row>
    <row r="980" spans="1:2" x14ac:dyDescent="0.25">
      <c r="A980" t="s">
        <v>90</v>
      </c>
      <c r="B980">
        <v>860</v>
      </c>
    </row>
    <row r="981" spans="1:2" x14ac:dyDescent="0.25">
      <c r="A981" t="s">
        <v>90</v>
      </c>
      <c r="B981">
        <v>860</v>
      </c>
    </row>
    <row r="982" spans="1:2" x14ac:dyDescent="0.25">
      <c r="A982" t="s">
        <v>90</v>
      </c>
      <c r="B982">
        <v>860</v>
      </c>
    </row>
    <row r="983" spans="1:2" x14ac:dyDescent="0.25">
      <c r="A983" t="s">
        <v>90</v>
      </c>
      <c r="B983">
        <v>860</v>
      </c>
    </row>
    <row r="984" spans="1:2" x14ac:dyDescent="0.25">
      <c r="A984" t="s">
        <v>90</v>
      </c>
      <c r="B984">
        <v>860</v>
      </c>
    </row>
    <row r="985" spans="1:2" x14ac:dyDescent="0.25">
      <c r="A985" t="s">
        <v>90</v>
      </c>
      <c r="B985">
        <v>860</v>
      </c>
    </row>
    <row r="986" spans="1:2" x14ac:dyDescent="0.25">
      <c r="A986" t="s">
        <v>90</v>
      </c>
      <c r="B986">
        <v>860</v>
      </c>
    </row>
    <row r="987" spans="1:2" x14ac:dyDescent="0.25">
      <c r="A987" t="s">
        <v>90</v>
      </c>
      <c r="B987">
        <v>860</v>
      </c>
    </row>
    <row r="988" spans="1:2" x14ac:dyDescent="0.25">
      <c r="A988" t="s">
        <v>90</v>
      </c>
      <c r="B988">
        <v>860</v>
      </c>
    </row>
    <row r="989" spans="1:2" x14ac:dyDescent="0.25">
      <c r="A989" t="s">
        <v>90</v>
      </c>
      <c r="B989">
        <v>860</v>
      </c>
    </row>
    <row r="990" spans="1:2" x14ac:dyDescent="0.25">
      <c r="A990" t="s">
        <v>90</v>
      </c>
      <c r="B990">
        <v>860</v>
      </c>
    </row>
    <row r="991" spans="1:2" x14ac:dyDescent="0.25">
      <c r="A991" t="s">
        <v>90</v>
      </c>
      <c r="B991">
        <v>860</v>
      </c>
    </row>
    <row r="992" spans="1:2" x14ac:dyDescent="0.25">
      <c r="A992" t="s">
        <v>90</v>
      </c>
      <c r="B992">
        <v>860</v>
      </c>
    </row>
    <row r="993" spans="1:2" x14ac:dyDescent="0.25">
      <c r="A993" t="s">
        <v>90</v>
      </c>
      <c r="B993">
        <v>860</v>
      </c>
    </row>
    <row r="994" spans="1:2" x14ac:dyDescent="0.25">
      <c r="A994" t="s">
        <v>90</v>
      </c>
      <c r="B994">
        <v>860</v>
      </c>
    </row>
    <row r="995" spans="1:2" x14ac:dyDescent="0.25">
      <c r="A995" t="s">
        <v>90</v>
      </c>
      <c r="B995">
        <v>860</v>
      </c>
    </row>
    <row r="996" spans="1:2" x14ac:dyDescent="0.25">
      <c r="A996" t="s">
        <v>90</v>
      </c>
      <c r="B996">
        <v>860</v>
      </c>
    </row>
    <row r="997" spans="1:2" x14ac:dyDescent="0.25">
      <c r="A997" t="s">
        <v>90</v>
      </c>
      <c r="B997">
        <v>860</v>
      </c>
    </row>
    <row r="998" spans="1:2" x14ac:dyDescent="0.25">
      <c r="A998" t="s">
        <v>90</v>
      </c>
      <c r="B998">
        <v>860</v>
      </c>
    </row>
    <row r="999" spans="1:2" x14ac:dyDescent="0.25">
      <c r="A999" t="s">
        <v>90</v>
      </c>
      <c r="B999">
        <v>860</v>
      </c>
    </row>
    <row r="1000" spans="1:2" x14ac:dyDescent="0.25">
      <c r="A1000" t="s">
        <v>90</v>
      </c>
      <c r="B1000">
        <v>860</v>
      </c>
    </row>
    <row r="1001" spans="1:2" x14ac:dyDescent="0.25">
      <c r="A1001" t="s">
        <v>90</v>
      </c>
      <c r="B1001">
        <v>860</v>
      </c>
    </row>
    <row r="1002" spans="1:2" x14ac:dyDescent="0.25">
      <c r="A1002" t="s">
        <v>90</v>
      </c>
      <c r="B1002">
        <v>860</v>
      </c>
    </row>
    <row r="1003" spans="1:2" x14ac:dyDescent="0.25">
      <c r="A1003" t="s">
        <v>90</v>
      </c>
      <c r="B1003">
        <v>860</v>
      </c>
    </row>
    <row r="1004" spans="1:2" x14ac:dyDescent="0.25">
      <c r="A1004" t="s">
        <v>90</v>
      </c>
      <c r="B1004">
        <v>860</v>
      </c>
    </row>
    <row r="1005" spans="1:2" x14ac:dyDescent="0.25">
      <c r="A1005" t="s">
        <v>90</v>
      </c>
      <c r="B1005">
        <v>860</v>
      </c>
    </row>
    <row r="1006" spans="1:2" x14ac:dyDescent="0.25">
      <c r="A1006" t="s">
        <v>90</v>
      </c>
      <c r="B1006">
        <v>860</v>
      </c>
    </row>
    <row r="1007" spans="1:2" x14ac:dyDescent="0.25">
      <c r="A1007" t="s">
        <v>90</v>
      </c>
      <c r="B1007">
        <v>860</v>
      </c>
    </row>
    <row r="1008" spans="1:2" x14ac:dyDescent="0.25">
      <c r="A1008" t="s">
        <v>90</v>
      </c>
      <c r="B1008">
        <v>860</v>
      </c>
    </row>
    <row r="1009" spans="1:2" x14ac:dyDescent="0.25">
      <c r="A1009" t="s">
        <v>90</v>
      </c>
      <c r="B1009">
        <v>860</v>
      </c>
    </row>
    <row r="1010" spans="1:2" x14ac:dyDescent="0.25">
      <c r="A1010" t="s">
        <v>90</v>
      </c>
      <c r="B1010">
        <v>860</v>
      </c>
    </row>
    <row r="1011" spans="1:2" x14ac:dyDescent="0.25">
      <c r="A1011" t="s">
        <v>90</v>
      </c>
      <c r="B1011">
        <v>860</v>
      </c>
    </row>
    <row r="1012" spans="1:2" x14ac:dyDescent="0.25">
      <c r="A1012" t="s">
        <v>90</v>
      </c>
      <c r="B1012">
        <v>860</v>
      </c>
    </row>
    <row r="1013" spans="1:2" x14ac:dyDescent="0.25">
      <c r="A1013" t="s">
        <v>90</v>
      </c>
      <c r="B1013">
        <v>860</v>
      </c>
    </row>
    <row r="1014" spans="1:2" x14ac:dyDescent="0.25">
      <c r="A1014" t="s">
        <v>90</v>
      </c>
      <c r="B1014">
        <v>860</v>
      </c>
    </row>
    <row r="1015" spans="1:2" x14ac:dyDescent="0.25">
      <c r="A1015" t="s">
        <v>90</v>
      </c>
      <c r="B1015">
        <v>860</v>
      </c>
    </row>
    <row r="1016" spans="1:2" x14ac:dyDescent="0.25">
      <c r="A1016" t="s">
        <v>90</v>
      </c>
      <c r="B1016">
        <v>860</v>
      </c>
    </row>
    <row r="1017" spans="1:2" x14ac:dyDescent="0.25">
      <c r="A1017" t="s">
        <v>90</v>
      </c>
      <c r="B1017">
        <v>860</v>
      </c>
    </row>
    <row r="1018" spans="1:2" x14ac:dyDescent="0.25">
      <c r="A1018" t="s">
        <v>90</v>
      </c>
      <c r="B1018">
        <v>860</v>
      </c>
    </row>
    <row r="1019" spans="1:2" x14ac:dyDescent="0.25">
      <c r="A1019" t="s">
        <v>90</v>
      </c>
      <c r="B1019">
        <v>860</v>
      </c>
    </row>
    <row r="1020" spans="1:2" x14ac:dyDescent="0.25">
      <c r="A1020" t="s">
        <v>90</v>
      </c>
      <c r="B1020">
        <v>860</v>
      </c>
    </row>
    <row r="1021" spans="1:2" x14ac:dyDescent="0.25">
      <c r="A1021" t="s">
        <v>90</v>
      </c>
      <c r="B1021">
        <v>860</v>
      </c>
    </row>
    <row r="1022" spans="1:2" x14ac:dyDescent="0.25">
      <c r="A1022" t="s">
        <v>90</v>
      </c>
      <c r="B1022">
        <v>860</v>
      </c>
    </row>
    <row r="1023" spans="1:2" x14ac:dyDescent="0.25">
      <c r="A1023" t="s">
        <v>90</v>
      </c>
      <c r="B1023">
        <v>860</v>
      </c>
    </row>
    <row r="1024" spans="1:2" x14ac:dyDescent="0.25">
      <c r="A1024" t="s">
        <v>90</v>
      </c>
      <c r="B1024">
        <v>860</v>
      </c>
    </row>
    <row r="1025" spans="1:2" x14ac:dyDescent="0.25">
      <c r="A1025" t="s">
        <v>90</v>
      </c>
      <c r="B1025">
        <v>860</v>
      </c>
    </row>
    <row r="1026" spans="1:2" x14ac:dyDescent="0.25">
      <c r="A1026" t="s">
        <v>90</v>
      </c>
      <c r="B1026">
        <v>860</v>
      </c>
    </row>
    <row r="1027" spans="1:2" x14ac:dyDescent="0.25">
      <c r="A1027" t="s">
        <v>90</v>
      </c>
      <c r="B1027">
        <v>860</v>
      </c>
    </row>
    <row r="1028" spans="1:2" x14ac:dyDescent="0.25">
      <c r="A1028" t="s">
        <v>90</v>
      </c>
      <c r="B1028">
        <v>860</v>
      </c>
    </row>
    <row r="1029" spans="1:2" x14ac:dyDescent="0.25">
      <c r="A1029" t="s">
        <v>90</v>
      </c>
      <c r="B1029">
        <v>860</v>
      </c>
    </row>
    <row r="1030" spans="1:2" x14ac:dyDescent="0.25">
      <c r="A1030" t="s">
        <v>90</v>
      </c>
      <c r="B1030">
        <v>860</v>
      </c>
    </row>
    <row r="1031" spans="1:2" x14ac:dyDescent="0.25">
      <c r="A1031" t="s">
        <v>90</v>
      </c>
      <c r="B1031">
        <v>860</v>
      </c>
    </row>
    <row r="1032" spans="1:2" x14ac:dyDescent="0.25">
      <c r="A1032" t="s">
        <v>90</v>
      </c>
      <c r="B1032">
        <v>860</v>
      </c>
    </row>
    <row r="1033" spans="1:2" x14ac:dyDescent="0.25">
      <c r="A1033" t="s">
        <v>90</v>
      </c>
      <c r="B1033">
        <v>860</v>
      </c>
    </row>
    <row r="1034" spans="1:2" x14ac:dyDescent="0.25">
      <c r="A1034" t="s">
        <v>90</v>
      </c>
      <c r="B1034">
        <v>860</v>
      </c>
    </row>
    <row r="1035" spans="1:2" x14ac:dyDescent="0.25">
      <c r="A1035" t="s">
        <v>90</v>
      </c>
      <c r="B1035">
        <v>860</v>
      </c>
    </row>
    <row r="1036" spans="1:2" x14ac:dyDescent="0.25">
      <c r="A1036" t="s">
        <v>90</v>
      </c>
      <c r="B1036">
        <v>860</v>
      </c>
    </row>
    <row r="1037" spans="1:2" x14ac:dyDescent="0.25">
      <c r="A1037" t="s">
        <v>90</v>
      </c>
      <c r="B1037">
        <v>860</v>
      </c>
    </row>
    <row r="1038" spans="1:2" x14ac:dyDescent="0.25">
      <c r="A1038" t="s">
        <v>90</v>
      </c>
      <c r="B1038">
        <v>860</v>
      </c>
    </row>
    <row r="1039" spans="1:2" x14ac:dyDescent="0.25">
      <c r="A1039" t="s">
        <v>90</v>
      </c>
      <c r="B1039">
        <v>860</v>
      </c>
    </row>
    <row r="1040" spans="1:2" x14ac:dyDescent="0.25">
      <c r="A1040" t="s">
        <v>90</v>
      </c>
      <c r="B1040">
        <v>860</v>
      </c>
    </row>
    <row r="1041" spans="1:2" x14ac:dyDescent="0.25">
      <c r="A1041" t="s">
        <v>90</v>
      </c>
      <c r="B1041">
        <v>860</v>
      </c>
    </row>
    <row r="1042" spans="1:2" x14ac:dyDescent="0.25">
      <c r="A1042" t="s">
        <v>90</v>
      </c>
      <c r="B1042">
        <v>860</v>
      </c>
    </row>
    <row r="1043" spans="1:2" x14ac:dyDescent="0.25">
      <c r="A1043" t="s">
        <v>90</v>
      </c>
      <c r="B1043">
        <v>860</v>
      </c>
    </row>
    <row r="1044" spans="1:2" x14ac:dyDescent="0.25">
      <c r="A1044" t="s">
        <v>90</v>
      </c>
      <c r="B1044">
        <v>860</v>
      </c>
    </row>
    <row r="1045" spans="1:2" x14ac:dyDescent="0.25">
      <c r="A1045" t="s">
        <v>90</v>
      </c>
      <c r="B1045">
        <v>860</v>
      </c>
    </row>
    <row r="1046" spans="1:2" x14ac:dyDescent="0.25">
      <c r="A1046" t="s">
        <v>90</v>
      </c>
      <c r="B1046">
        <v>860</v>
      </c>
    </row>
    <row r="1047" spans="1:2" x14ac:dyDescent="0.25">
      <c r="A1047" t="s">
        <v>90</v>
      </c>
      <c r="B1047">
        <v>860</v>
      </c>
    </row>
    <row r="1048" spans="1:2" x14ac:dyDescent="0.25">
      <c r="A1048" t="s">
        <v>90</v>
      </c>
      <c r="B1048">
        <v>860</v>
      </c>
    </row>
    <row r="1049" spans="1:2" x14ac:dyDescent="0.25">
      <c r="A1049" t="s">
        <v>90</v>
      </c>
      <c r="B1049">
        <v>860</v>
      </c>
    </row>
    <row r="1050" spans="1:2" x14ac:dyDescent="0.25">
      <c r="A1050" t="s">
        <v>90</v>
      </c>
      <c r="B1050">
        <v>860</v>
      </c>
    </row>
    <row r="1051" spans="1:2" x14ac:dyDescent="0.25">
      <c r="A1051" t="s">
        <v>90</v>
      </c>
      <c r="B1051">
        <v>860</v>
      </c>
    </row>
    <row r="1052" spans="1:2" x14ac:dyDescent="0.25">
      <c r="A1052" t="s">
        <v>90</v>
      </c>
      <c r="B1052">
        <v>860</v>
      </c>
    </row>
    <row r="1053" spans="1:2" x14ac:dyDescent="0.25">
      <c r="A1053" t="s">
        <v>90</v>
      </c>
      <c r="B1053">
        <v>860</v>
      </c>
    </row>
    <row r="1054" spans="1:2" x14ac:dyDescent="0.25">
      <c r="A1054" t="s">
        <v>90</v>
      </c>
      <c r="B1054">
        <v>860</v>
      </c>
    </row>
    <row r="1055" spans="1:2" x14ac:dyDescent="0.25">
      <c r="A1055" t="s">
        <v>90</v>
      </c>
      <c r="B1055">
        <v>860</v>
      </c>
    </row>
    <row r="1056" spans="1:2" x14ac:dyDescent="0.25">
      <c r="A1056" t="s">
        <v>90</v>
      </c>
      <c r="B1056">
        <v>860</v>
      </c>
    </row>
    <row r="1057" spans="1:2" x14ac:dyDescent="0.25">
      <c r="A1057" t="s">
        <v>90</v>
      </c>
      <c r="B1057">
        <v>860</v>
      </c>
    </row>
    <row r="1058" spans="1:2" x14ac:dyDescent="0.25">
      <c r="A1058" t="s">
        <v>90</v>
      </c>
      <c r="B1058">
        <v>860</v>
      </c>
    </row>
    <row r="1059" spans="1:2" x14ac:dyDescent="0.25">
      <c r="A1059" t="s">
        <v>90</v>
      </c>
      <c r="B1059">
        <v>860</v>
      </c>
    </row>
    <row r="1060" spans="1:2" x14ac:dyDescent="0.25">
      <c r="A1060" t="s">
        <v>90</v>
      </c>
      <c r="B1060">
        <v>860</v>
      </c>
    </row>
    <row r="1061" spans="1:2" x14ac:dyDescent="0.25">
      <c r="A1061" t="s">
        <v>90</v>
      </c>
      <c r="B1061">
        <v>860</v>
      </c>
    </row>
    <row r="1062" spans="1:2" x14ac:dyDescent="0.25">
      <c r="A1062" t="s">
        <v>90</v>
      </c>
      <c r="B1062">
        <v>860</v>
      </c>
    </row>
    <row r="1063" spans="1:2" x14ac:dyDescent="0.25">
      <c r="A1063" t="s">
        <v>90</v>
      </c>
      <c r="B1063">
        <v>860</v>
      </c>
    </row>
    <row r="1064" spans="1:2" x14ac:dyDescent="0.25">
      <c r="A1064" t="s">
        <v>90</v>
      </c>
      <c r="B1064">
        <v>860</v>
      </c>
    </row>
    <row r="1065" spans="1:2" x14ac:dyDescent="0.25">
      <c r="A1065" t="s">
        <v>90</v>
      </c>
      <c r="B1065">
        <v>860</v>
      </c>
    </row>
    <row r="1066" spans="1:2" x14ac:dyDescent="0.25">
      <c r="A1066" t="s">
        <v>90</v>
      </c>
      <c r="B1066">
        <v>860</v>
      </c>
    </row>
    <row r="1067" spans="1:2" x14ac:dyDescent="0.25">
      <c r="A1067" t="s">
        <v>90</v>
      </c>
      <c r="B1067">
        <v>860</v>
      </c>
    </row>
    <row r="1068" spans="1:2" x14ac:dyDescent="0.25">
      <c r="A1068" t="s">
        <v>90</v>
      </c>
      <c r="B1068">
        <v>860</v>
      </c>
    </row>
    <row r="1069" spans="1:2" x14ac:dyDescent="0.25">
      <c r="A1069" t="s">
        <v>90</v>
      </c>
      <c r="B1069">
        <v>860</v>
      </c>
    </row>
    <row r="1070" spans="1:2" x14ac:dyDescent="0.25">
      <c r="A1070" t="s">
        <v>90</v>
      </c>
      <c r="B1070">
        <v>860</v>
      </c>
    </row>
    <row r="1071" spans="1:2" x14ac:dyDescent="0.25">
      <c r="A1071" t="s">
        <v>90</v>
      </c>
      <c r="B1071">
        <v>860</v>
      </c>
    </row>
    <row r="1072" spans="1:2" x14ac:dyDescent="0.25">
      <c r="A1072" t="s">
        <v>90</v>
      </c>
      <c r="B1072">
        <v>860</v>
      </c>
    </row>
    <row r="1073" spans="1:2" x14ac:dyDescent="0.25">
      <c r="A1073" t="s">
        <v>90</v>
      </c>
      <c r="B1073">
        <v>860</v>
      </c>
    </row>
    <row r="1074" spans="1:2" x14ac:dyDescent="0.25">
      <c r="A1074" t="s">
        <v>90</v>
      </c>
      <c r="B1074">
        <v>860</v>
      </c>
    </row>
    <row r="1075" spans="1:2" x14ac:dyDescent="0.25">
      <c r="A1075" t="s">
        <v>90</v>
      </c>
      <c r="B1075">
        <v>860</v>
      </c>
    </row>
    <row r="1076" spans="1:2" x14ac:dyDescent="0.25">
      <c r="A1076" t="s">
        <v>90</v>
      </c>
      <c r="B1076">
        <v>860</v>
      </c>
    </row>
    <row r="1077" spans="1:2" x14ac:dyDescent="0.25">
      <c r="A1077" t="s">
        <v>90</v>
      </c>
      <c r="B1077">
        <v>860</v>
      </c>
    </row>
    <row r="1078" spans="1:2" x14ac:dyDescent="0.25">
      <c r="A1078" t="s">
        <v>90</v>
      </c>
      <c r="B1078">
        <v>860</v>
      </c>
    </row>
    <row r="1079" spans="1:2" x14ac:dyDescent="0.25">
      <c r="A1079" t="s">
        <v>90</v>
      </c>
      <c r="B1079">
        <v>860</v>
      </c>
    </row>
    <row r="1080" spans="1:2" x14ac:dyDescent="0.25">
      <c r="A1080" t="s">
        <v>90</v>
      </c>
      <c r="B1080">
        <v>860</v>
      </c>
    </row>
    <row r="1081" spans="1:2" x14ac:dyDescent="0.25">
      <c r="A1081" t="s">
        <v>90</v>
      </c>
      <c r="B1081">
        <v>860</v>
      </c>
    </row>
    <row r="1082" spans="1:2" x14ac:dyDescent="0.25">
      <c r="A1082" t="s">
        <v>90</v>
      </c>
      <c r="B1082">
        <v>860</v>
      </c>
    </row>
    <row r="1083" spans="1:2" x14ac:dyDescent="0.25">
      <c r="A1083" t="s">
        <v>90</v>
      </c>
      <c r="B1083">
        <v>860</v>
      </c>
    </row>
    <row r="1084" spans="1:2" x14ac:dyDescent="0.25">
      <c r="A1084" t="s">
        <v>90</v>
      </c>
      <c r="B1084">
        <v>860</v>
      </c>
    </row>
    <row r="1085" spans="1:2" x14ac:dyDescent="0.25">
      <c r="A1085" t="s">
        <v>90</v>
      </c>
      <c r="B1085">
        <v>860</v>
      </c>
    </row>
    <row r="1086" spans="1:2" x14ac:dyDescent="0.25">
      <c r="A1086" t="s">
        <v>90</v>
      </c>
      <c r="B1086">
        <v>860</v>
      </c>
    </row>
    <row r="1087" spans="1:2" x14ac:dyDescent="0.25">
      <c r="A1087" t="s">
        <v>90</v>
      </c>
      <c r="B1087">
        <v>860</v>
      </c>
    </row>
    <row r="1088" spans="1:2" x14ac:dyDescent="0.25">
      <c r="A1088" t="s">
        <v>90</v>
      </c>
      <c r="B1088">
        <v>860</v>
      </c>
    </row>
    <row r="1089" spans="1:2" x14ac:dyDescent="0.25">
      <c r="A1089" t="s">
        <v>90</v>
      </c>
      <c r="B1089">
        <v>860</v>
      </c>
    </row>
    <row r="1090" spans="1:2" x14ac:dyDescent="0.25">
      <c r="A1090" t="s">
        <v>90</v>
      </c>
      <c r="B1090">
        <v>860</v>
      </c>
    </row>
    <row r="1091" spans="1:2" x14ac:dyDescent="0.25">
      <c r="A1091" t="s">
        <v>90</v>
      </c>
      <c r="B1091">
        <v>860</v>
      </c>
    </row>
    <row r="1092" spans="1:2" x14ac:dyDescent="0.25">
      <c r="A1092" t="s">
        <v>90</v>
      </c>
      <c r="B1092">
        <v>860</v>
      </c>
    </row>
    <row r="1093" spans="1:2" x14ac:dyDescent="0.25">
      <c r="A1093" t="s">
        <v>90</v>
      </c>
      <c r="B1093">
        <v>860</v>
      </c>
    </row>
    <row r="1094" spans="1:2" x14ac:dyDescent="0.25">
      <c r="A1094" t="s">
        <v>90</v>
      </c>
      <c r="B1094">
        <v>860</v>
      </c>
    </row>
    <row r="1095" spans="1:2" x14ac:dyDescent="0.25">
      <c r="A1095" t="s">
        <v>90</v>
      </c>
      <c r="B1095">
        <v>860</v>
      </c>
    </row>
    <row r="1096" spans="1:2" x14ac:dyDescent="0.25">
      <c r="A1096" t="s">
        <v>90</v>
      </c>
      <c r="B1096">
        <v>860</v>
      </c>
    </row>
    <row r="1097" spans="1:2" x14ac:dyDescent="0.25">
      <c r="A1097" t="s">
        <v>90</v>
      </c>
      <c r="B1097">
        <v>860</v>
      </c>
    </row>
    <row r="1098" spans="1:2" x14ac:dyDescent="0.25">
      <c r="A1098" t="s">
        <v>90</v>
      </c>
      <c r="B1098">
        <v>860</v>
      </c>
    </row>
    <row r="1099" spans="1:2" x14ac:dyDescent="0.25">
      <c r="A1099" t="s">
        <v>90</v>
      </c>
      <c r="B1099">
        <v>860</v>
      </c>
    </row>
    <row r="1100" spans="1:2" x14ac:dyDescent="0.25">
      <c r="A1100" t="s">
        <v>90</v>
      </c>
      <c r="B1100">
        <v>860</v>
      </c>
    </row>
    <row r="1101" spans="1:2" x14ac:dyDescent="0.25">
      <c r="A1101" t="s">
        <v>90</v>
      </c>
      <c r="B1101">
        <v>860</v>
      </c>
    </row>
    <row r="1102" spans="1:2" x14ac:dyDescent="0.25">
      <c r="A1102" t="s">
        <v>90</v>
      </c>
      <c r="B1102">
        <v>860</v>
      </c>
    </row>
    <row r="1103" spans="1:2" x14ac:dyDescent="0.25">
      <c r="A1103" t="s">
        <v>90</v>
      </c>
      <c r="B1103">
        <v>860</v>
      </c>
    </row>
    <row r="1104" spans="1:2" x14ac:dyDescent="0.25">
      <c r="A1104" t="s">
        <v>90</v>
      </c>
      <c r="B1104">
        <v>860</v>
      </c>
    </row>
    <row r="1105" spans="1:2" x14ac:dyDescent="0.25">
      <c r="A1105" t="s">
        <v>90</v>
      </c>
      <c r="B1105">
        <v>860</v>
      </c>
    </row>
    <row r="1106" spans="1:2" x14ac:dyDescent="0.25">
      <c r="A1106" t="s">
        <v>90</v>
      </c>
      <c r="B1106">
        <v>860</v>
      </c>
    </row>
    <row r="1107" spans="1:2" x14ac:dyDescent="0.25">
      <c r="A1107" t="s">
        <v>90</v>
      </c>
      <c r="B1107">
        <v>860</v>
      </c>
    </row>
    <row r="1108" spans="1:2" x14ac:dyDescent="0.25">
      <c r="A1108" t="s">
        <v>90</v>
      </c>
      <c r="B1108">
        <v>860</v>
      </c>
    </row>
    <row r="1109" spans="1:2" x14ac:dyDescent="0.25">
      <c r="A1109" t="s">
        <v>90</v>
      </c>
      <c r="B1109">
        <v>860</v>
      </c>
    </row>
    <row r="1110" spans="1:2" x14ac:dyDescent="0.25">
      <c r="A1110" t="s">
        <v>90</v>
      </c>
      <c r="B1110">
        <v>860</v>
      </c>
    </row>
    <row r="1111" spans="1:2" x14ac:dyDescent="0.25">
      <c r="A1111" t="s">
        <v>90</v>
      </c>
      <c r="B1111">
        <v>860</v>
      </c>
    </row>
    <row r="1112" spans="1:2" x14ac:dyDescent="0.25">
      <c r="A1112" t="s">
        <v>90</v>
      </c>
      <c r="B1112">
        <v>860</v>
      </c>
    </row>
    <row r="1113" spans="1:2" x14ac:dyDescent="0.25">
      <c r="A1113" t="s">
        <v>90</v>
      </c>
      <c r="B1113">
        <v>860</v>
      </c>
    </row>
    <row r="1114" spans="1:2" x14ac:dyDescent="0.25">
      <c r="A1114" t="s">
        <v>90</v>
      </c>
      <c r="B1114">
        <v>860</v>
      </c>
    </row>
    <row r="1115" spans="1:2" x14ac:dyDescent="0.25">
      <c r="A1115" t="s">
        <v>90</v>
      </c>
      <c r="B1115">
        <v>860</v>
      </c>
    </row>
    <row r="1116" spans="1:2" x14ac:dyDescent="0.25">
      <c r="A1116" t="s">
        <v>90</v>
      </c>
      <c r="B1116">
        <v>860</v>
      </c>
    </row>
    <row r="1117" spans="1:2" x14ac:dyDescent="0.25">
      <c r="A1117" t="s">
        <v>90</v>
      </c>
      <c r="B1117">
        <v>860</v>
      </c>
    </row>
    <row r="1118" spans="1:2" x14ac:dyDescent="0.25">
      <c r="A1118" t="s">
        <v>90</v>
      </c>
      <c r="B1118">
        <v>860</v>
      </c>
    </row>
    <row r="1119" spans="1:2" x14ac:dyDescent="0.25">
      <c r="A1119" t="s">
        <v>90</v>
      </c>
      <c r="B1119">
        <v>860</v>
      </c>
    </row>
    <row r="1120" spans="1:2" x14ac:dyDescent="0.25">
      <c r="A1120" t="s">
        <v>90</v>
      </c>
      <c r="B1120">
        <v>860</v>
      </c>
    </row>
    <row r="1121" spans="1:2" x14ac:dyDescent="0.25">
      <c r="A1121" t="s">
        <v>90</v>
      </c>
      <c r="B1121">
        <v>860</v>
      </c>
    </row>
    <row r="1122" spans="1:2" x14ac:dyDescent="0.25">
      <c r="A1122" t="s">
        <v>90</v>
      </c>
      <c r="B1122">
        <v>860</v>
      </c>
    </row>
    <row r="1123" spans="1:2" x14ac:dyDescent="0.25">
      <c r="A1123" t="s">
        <v>90</v>
      </c>
      <c r="B1123">
        <v>860</v>
      </c>
    </row>
    <row r="1124" spans="1:2" x14ac:dyDescent="0.25">
      <c r="A1124" t="s">
        <v>90</v>
      </c>
      <c r="B1124">
        <v>860</v>
      </c>
    </row>
    <row r="1125" spans="1:2" x14ac:dyDescent="0.25">
      <c r="A1125" t="s">
        <v>90</v>
      </c>
      <c r="B1125">
        <v>860</v>
      </c>
    </row>
    <row r="1126" spans="1:2" x14ac:dyDescent="0.25">
      <c r="A1126" t="s">
        <v>90</v>
      </c>
      <c r="B1126">
        <v>860</v>
      </c>
    </row>
    <row r="1127" spans="1:2" x14ac:dyDescent="0.25">
      <c r="A1127" t="s">
        <v>90</v>
      </c>
      <c r="B1127">
        <v>860</v>
      </c>
    </row>
    <row r="1128" spans="1:2" x14ac:dyDescent="0.25">
      <c r="A1128" t="s">
        <v>90</v>
      </c>
      <c r="B1128">
        <v>860</v>
      </c>
    </row>
    <row r="1129" spans="1:2" x14ac:dyDescent="0.25">
      <c r="A1129" t="s">
        <v>90</v>
      </c>
      <c r="B1129">
        <v>860</v>
      </c>
    </row>
    <row r="1130" spans="1:2" x14ac:dyDescent="0.25">
      <c r="A1130" t="s">
        <v>90</v>
      </c>
      <c r="B1130">
        <v>860</v>
      </c>
    </row>
    <row r="1131" spans="1:2" x14ac:dyDescent="0.25">
      <c r="A1131" t="s">
        <v>90</v>
      </c>
      <c r="B1131">
        <v>860</v>
      </c>
    </row>
    <row r="1132" spans="1:2" x14ac:dyDescent="0.25">
      <c r="A1132" t="s">
        <v>90</v>
      </c>
      <c r="B1132">
        <v>860</v>
      </c>
    </row>
    <row r="1133" spans="1:2" x14ac:dyDescent="0.25">
      <c r="A1133" t="s">
        <v>90</v>
      </c>
      <c r="B1133">
        <v>860</v>
      </c>
    </row>
    <row r="1134" spans="1:2" x14ac:dyDescent="0.25">
      <c r="A1134" t="s">
        <v>90</v>
      </c>
      <c r="B1134">
        <v>860</v>
      </c>
    </row>
    <row r="1135" spans="1:2" x14ac:dyDescent="0.25">
      <c r="A1135" t="s">
        <v>90</v>
      </c>
      <c r="B1135">
        <v>860</v>
      </c>
    </row>
    <row r="1136" spans="1:2" x14ac:dyDescent="0.25">
      <c r="A1136" t="s">
        <v>90</v>
      </c>
      <c r="B1136">
        <v>860</v>
      </c>
    </row>
    <row r="1137" spans="1:2" x14ac:dyDescent="0.25">
      <c r="A1137" t="s">
        <v>90</v>
      </c>
      <c r="B1137">
        <v>860</v>
      </c>
    </row>
    <row r="1138" spans="1:2" x14ac:dyDescent="0.25">
      <c r="A1138" t="s">
        <v>90</v>
      </c>
      <c r="B1138">
        <v>860</v>
      </c>
    </row>
    <row r="1139" spans="1:2" x14ac:dyDescent="0.25">
      <c r="A1139" t="s">
        <v>90</v>
      </c>
      <c r="B1139">
        <v>860</v>
      </c>
    </row>
    <row r="1140" spans="1:2" x14ac:dyDescent="0.25">
      <c r="A1140" t="s">
        <v>90</v>
      </c>
      <c r="B1140">
        <v>860</v>
      </c>
    </row>
    <row r="1141" spans="1:2" x14ac:dyDescent="0.25">
      <c r="A1141" t="s">
        <v>90</v>
      </c>
      <c r="B1141">
        <v>860</v>
      </c>
    </row>
    <row r="1142" spans="1:2" x14ac:dyDescent="0.25">
      <c r="A1142" t="s">
        <v>90</v>
      </c>
      <c r="B1142">
        <v>860</v>
      </c>
    </row>
    <row r="1143" spans="1:2" x14ac:dyDescent="0.25">
      <c r="A1143" t="s">
        <v>90</v>
      </c>
      <c r="B1143">
        <v>860</v>
      </c>
    </row>
    <row r="1144" spans="1:2" x14ac:dyDescent="0.25">
      <c r="A1144" t="s">
        <v>90</v>
      </c>
      <c r="B1144">
        <v>860</v>
      </c>
    </row>
    <row r="1145" spans="1:2" x14ac:dyDescent="0.25">
      <c r="A1145" t="s">
        <v>90</v>
      </c>
      <c r="B1145">
        <v>860</v>
      </c>
    </row>
    <row r="1146" spans="1:2" x14ac:dyDescent="0.25">
      <c r="A1146" t="s">
        <v>90</v>
      </c>
      <c r="B1146">
        <v>860</v>
      </c>
    </row>
    <row r="1147" spans="1:2" x14ac:dyDescent="0.25">
      <c r="A1147" t="s">
        <v>90</v>
      </c>
      <c r="B1147">
        <v>860</v>
      </c>
    </row>
    <row r="1148" spans="1:2" x14ac:dyDescent="0.25">
      <c r="A1148" t="s">
        <v>90</v>
      </c>
      <c r="B1148">
        <v>860</v>
      </c>
    </row>
    <row r="1149" spans="1:2" x14ac:dyDescent="0.25">
      <c r="A1149" t="s">
        <v>90</v>
      </c>
      <c r="B1149">
        <v>860</v>
      </c>
    </row>
    <row r="1150" spans="1:2" x14ac:dyDescent="0.25">
      <c r="A1150" t="s">
        <v>90</v>
      </c>
      <c r="B1150">
        <v>860</v>
      </c>
    </row>
    <row r="1151" spans="1:2" x14ac:dyDescent="0.25">
      <c r="A1151" t="s">
        <v>90</v>
      </c>
      <c r="B1151">
        <v>860</v>
      </c>
    </row>
    <row r="1152" spans="1:2" x14ac:dyDescent="0.25">
      <c r="A1152" t="s">
        <v>90</v>
      </c>
      <c r="B1152">
        <v>860</v>
      </c>
    </row>
    <row r="1153" spans="1:2" x14ac:dyDescent="0.25">
      <c r="A1153" t="s">
        <v>90</v>
      </c>
      <c r="B1153">
        <v>860</v>
      </c>
    </row>
    <row r="1154" spans="1:2" x14ac:dyDescent="0.25">
      <c r="A1154" t="s">
        <v>90</v>
      </c>
      <c r="B1154">
        <v>860</v>
      </c>
    </row>
    <row r="1155" spans="1:2" x14ac:dyDescent="0.25">
      <c r="A1155" t="s">
        <v>90</v>
      </c>
      <c r="B1155">
        <v>860</v>
      </c>
    </row>
    <row r="1156" spans="1:2" x14ac:dyDescent="0.25">
      <c r="A1156" t="s">
        <v>90</v>
      </c>
      <c r="B1156">
        <v>860</v>
      </c>
    </row>
    <row r="1157" spans="1:2" x14ac:dyDescent="0.25">
      <c r="A1157" t="s">
        <v>90</v>
      </c>
      <c r="B1157">
        <v>860</v>
      </c>
    </row>
    <row r="1158" spans="1:2" x14ac:dyDescent="0.25">
      <c r="A1158" t="s">
        <v>90</v>
      </c>
      <c r="B1158">
        <v>860</v>
      </c>
    </row>
    <row r="1159" spans="1:2" x14ac:dyDescent="0.25">
      <c r="A1159" t="s">
        <v>90</v>
      </c>
      <c r="B1159">
        <v>860</v>
      </c>
    </row>
    <row r="1160" spans="1:2" x14ac:dyDescent="0.25">
      <c r="A1160" t="s">
        <v>90</v>
      </c>
      <c r="B1160">
        <v>860</v>
      </c>
    </row>
    <row r="1161" spans="1:2" x14ac:dyDescent="0.25">
      <c r="A1161" t="s">
        <v>90</v>
      </c>
      <c r="B1161">
        <v>860</v>
      </c>
    </row>
    <row r="1162" spans="1:2" x14ac:dyDescent="0.25">
      <c r="A1162" t="s">
        <v>90</v>
      </c>
      <c r="B1162">
        <v>860</v>
      </c>
    </row>
    <row r="1163" spans="1:2" x14ac:dyDescent="0.25">
      <c r="A1163" t="s">
        <v>90</v>
      </c>
      <c r="B1163">
        <v>860</v>
      </c>
    </row>
    <row r="1164" spans="1:2" x14ac:dyDescent="0.25">
      <c r="A1164" t="s">
        <v>90</v>
      </c>
      <c r="B1164">
        <v>860</v>
      </c>
    </row>
    <row r="1165" spans="1:2" x14ac:dyDescent="0.25">
      <c r="A1165" t="s">
        <v>90</v>
      </c>
      <c r="B1165">
        <v>860</v>
      </c>
    </row>
    <row r="1166" spans="1:2" x14ac:dyDescent="0.25">
      <c r="A1166" t="s">
        <v>90</v>
      </c>
      <c r="B1166">
        <v>860</v>
      </c>
    </row>
    <row r="1167" spans="1:2" x14ac:dyDescent="0.25">
      <c r="A1167" t="s">
        <v>90</v>
      </c>
      <c r="B1167">
        <v>860</v>
      </c>
    </row>
    <row r="1168" spans="1:2" x14ac:dyDescent="0.25">
      <c r="A1168" t="s">
        <v>90</v>
      </c>
      <c r="B1168">
        <v>860</v>
      </c>
    </row>
    <row r="1169" spans="1:2" x14ac:dyDescent="0.25">
      <c r="A1169" t="s">
        <v>90</v>
      </c>
      <c r="B1169">
        <v>860</v>
      </c>
    </row>
    <row r="1170" spans="1:2" x14ac:dyDescent="0.25">
      <c r="A1170" t="s">
        <v>90</v>
      </c>
      <c r="B1170">
        <v>860</v>
      </c>
    </row>
    <row r="1171" spans="1:2" x14ac:dyDescent="0.25">
      <c r="A1171" t="s">
        <v>90</v>
      </c>
      <c r="B1171">
        <v>860</v>
      </c>
    </row>
    <row r="1172" spans="1:2" x14ac:dyDescent="0.25">
      <c r="A1172" t="s">
        <v>90</v>
      </c>
      <c r="B1172">
        <v>860</v>
      </c>
    </row>
    <row r="1173" spans="1:2" x14ac:dyDescent="0.25">
      <c r="A1173" t="s">
        <v>90</v>
      </c>
      <c r="B1173">
        <v>860</v>
      </c>
    </row>
    <row r="1174" spans="1:2" x14ac:dyDescent="0.25">
      <c r="A1174" t="s">
        <v>90</v>
      </c>
      <c r="B1174">
        <v>860</v>
      </c>
    </row>
    <row r="1175" spans="1:2" x14ac:dyDescent="0.25">
      <c r="A1175" t="s">
        <v>90</v>
      </c>
      <c r="B1175">
        <v>860</v>
      </c>
    </row>
    <row r="1176" spans="1:2" x14ac:dyDescent="0.25">
      <c r="A1176" t="s">
        <v>90</v>
      </c>
      <c r="B1176">
        <v>860</v>
      </c>
    </row>
    <row r="1177" spans="1:2" x14ac:dyDescent="0.25">
      <c r="A1177" t="s">
        <v>90</v>
      </c>
      <c r="B1177">
        <v>860</v>
      </c>
    </row>
    <row r="1178" spans="1:2" x14ac:dyDescent="0.25">
      <c r="A1178" t="s">
        <v>90</v>
      </c>
      <c r="B1178">
        <v>860</v>
      </c>
    </row>
    <row r="1179" spans="1:2" x14ac:dyDescent="0.25">
      <c r="A1179" t="s">
        <v>90</v>
      </c>
      <c r="B1179">
        <v>860</v>
      </c>
    </row>
    <row r="1180" spans="1:2" x14ac:dyDescent="0.25">
      <c r="A1180" t="s">
        <v>90</v>
      </c>
      <c r="B1180">
        <v>860</v>
      </c>
    </row>
    <row r="1181" spans="1:2" x14ac:dyDescent="0.25">
      <c r="A1181" t="s">
        <v>90</v>
      </c>
      <c r="B1181">
        <v>860</v>
      </c>
    </row>
    <row r="1182" spans="1:2" x14ac:dyDescent="0.25">
      <c r="A1182" t="s">
        <v>90</v>
      </c>
      <c r="B1182">
        <v>860</v>
      </c>
    </row>
    <row r="1183" spans="1:2" x14ac:dyDescent="0.25">
      <c r="A1183" t="s">
        <v>90</v>
      </c>
      <c r="B1183">
        <v>860</v>
      </c>
    </row>
    <row r="1184" spans="1:2" x14ac:dyDescent="0.25">
      <c r="A1184" t="s">
        <v>90</v>
      </c>
      <c r="B1184">
        <v>860</v>
      </c>
    </row>
    <row r="1185" spans="1:2" x14ac:dyDescent="0.25">
      <c r="A1185" t="s">
        <v>90</v>
      </c>
      <c r="B1185">
        <v>860</v>
      </c>
    </row>
    <row r="1186" spans="1:2" x14ac:dyDescent="0.25">
      <c r="A1186" t="s">
        <v>90</v>
      </c>
      <c r="B1186">
        <v>860</v>
      </c>
    </row>
    <row r="1187" spans="1:2" x14ac:dyDescent="0.25">
      <c r="A1187" t="s">
        <v>90</v>
      </c>
      <c r="B1187">
        <v>860</v>
      </c>
    </row>
    <row r="1188" spans="1:2" x14ac:dyDescent="0.25">
      <c r="A1188" t="s">
        <v>90</v>
      </c>
      <c r="B1188">
        <v>860</v>
      </c>
    </row>
    <row r="1189" spans="1:2" x14ac:dyDescent="0.25">
      <c r="A1189" t="s">
        <v>90</v>
      </c>
      <c r="B1189">
        <v>860</v>
      </c>
    </row>
    <row r="1190" spans="1:2" x14ac:dyDescent="0.25">
      <c r="A1190" t="s">
        <v>90</v>
      </c>
      <c r="B1190">
        <v>860</v>
      </c>
    </row>
    <row r="1191" spans="1:2" x14ac:dyDescent="0.25">
      <c r="A1191" t="s">
        <v>90</v>
      </c>
      <c r="B1191">
        <v>860</v>
      </c>
    </row>
    <row r="1192" spans="1:2" x14ac:dyDescent="0.25">
      <c r="A1192" t="s">
        <v>90</v>
      </c>
      <c r="B1192">
        <v>860</v>
      </c>
    </row>
    <row r="1193" spans="1:2" x14ac:dyDescent="0.25">
      <c r="A1193" t="s">
        <v>90</v>
      </c>
      <c r="B1193">
        <v>860</v>
      </c>
    </row>
    <row r="1194" spans="1:2" x14ac:dyDescent="0.25">
      <c r="A1194" t="s">
        <v>90</v>
      </c>
      <c r="B1194">
        <v>860</v>
      </c>
    </row>
    <row r="1195" spans="1:2" x14ac:dyDescent="0.25">
      <c r="A1195" t="s">
        <v>90</v>
      </c>
      <c r="B1195">
        <v>860</v>
      </c>
    </row>
    <row r="1196" spans="1:2" x14ac:dyDescent="0.25">
      <c r="A1196" t="s">
        <v>90</v>
      </c>
      <c r="B1196">
        <v>860</v>
      </c>
    </row>
    <row r="1197" spans="1:2" x14ac:dyDescent="0.25">
      <c r="A1197" t="s">
        <v>90</v>
      </c>
      <c r="B1197">
        <v>860</v>
      </c>
    </row>
    <row r="1198" spans="1:2" x14ac:dyDescent="0.25">
      <c r="A1198" t="s">
        <v>90</v>
      </c>
      <c r="B1198">
        <v>860</v>
      </c>
    </row>
    <row r="1199" spans="1:2" x14ac:dyDescent="0.25">
      <c r="A1199" t="s">
        <v>90</v>
      </c>
      <c r="B1199">
        <v>860</v>
      </c>
    </row>
    <row r="1200" spans="1:2" x14ac:dyDescent="0.25">
      <c r="A1200" t="s">
        <v>90</v>
      </c>
      <c r="B1200">
        <v>860</v>
      </c>
    </row>
    <row r="1201" spans="1:2" x14ac:dyDescent="0.25">
      <c r="A1201" t="s">
        <v>90</v>
      </c>
      <c r="B1201">
        <v>860</v>
      </c>
    </row>
    <row r="1202" spans="1:2" x14ac:dyDescent="0.25">
      <c r="A1202" t="s">
        <v>90</v>
      </c>
      <c r="B1202">
        <v>860</v>
      </c>
    </row>
    <row r="1203" spans="1:2" x14ac:dyDescent="0.25">
      <c r="A1203" t="s">
        <v>90</v>
      </c>
      <c r="B1203">
        <v>860</v>
      </c>
    </row>
    <row r="1204" spans="1:2" x14ac:dyDescent="0.25">
      <c r="A1204" t="s">
        <v>90</v>
      </c>
      <c r="B1204">
        <v>860</v>
      </c>
    </row>
    <row r="1205" spans="1:2" x14ac:dyDescent="0.25">
      <c r="A1205" t="s">
        <v>90</v>
      </c>
      <c r="B1205">
        <v>860</v>
      </c>
    </row>
    <row r="1206" spans="1:2" x14ac:dyDescent="0.25">
      <c r="A1206" t="s">
        <v>90</v>
      </c>
      <c r="B1206">
        <v>860</v>
      </c>
    </row>
    <row r="1207" spans="1:2" x14ac:dyDescent="0.25">
      <c r="A1207" t="s">
        <v>90</v>
      </c>
      <c r="B1207">
        <v>860</v>
      </c>
    </row>
    <row r="1208" spans="1:2" x14ac:dyDescent="0.25">
      <c r="A1208" t="s">
        <v>90</v>
      </c>
      <c r="B1208">
        <v>860</v>
      </c>
    </row>
    <row r="1209" spans="1:2" x14ac:dyDescent="0.25">
      <c r="A1209" t="s">
        <v>90</v>
      </c>
      <c r="B1209">
        <v>860</v>
      </c>
    </row>
    <row r="1210" spans="1:2" x14ac:dyDescent="0.25">
      <c r="A1210" t="s">
        <v>90</v>
      </c>
      <c r="B1210">
        <v>860</v>
      </c>
    </row>
    <row r="1211" spans="1:2" x14ac:dyDescent="0.25">
      <c r="A1211" t="s">
        <v>90</v>
      </c>
      <c r="B1211">
        <v>860</v>
      </c>
    </row>
    <row r="1212" spans="1:2" x14ac:dyDescent="0.25">
      <c r="A1212" t="s">
        <v>90</v>
      </c>
      <c r="B1212">
        <v>860</v>
      </c>
    </row>
    <row r="1213" spans="1:2" x14ac:dyDescent="0.25">
      <c r="A1213" t="s">
        <v>90</v>
      </c>
      <c r="B1213">
        <v>860</v>
      </c>
    </row>
    <row r="1214" spans="1:2" x14ac:dyDescent="0.25">
      <c r="A1214" t="s">
        <v>90</v>
      </c>
      <c r="B1214">
        <v>860</v>
      </c>
    </row>
    <row r="1215" spans="1:2" x14ac:dyDescent="0.25">
      <c r="A1215" t="s">
        <v>90</v>
      </c>
      <c r="B1215">
        <v>860</v>
      </c>
    </row>
    <row r="1216" spans="1:2" x14ac:dyDescent="0.25">
      <c r="A1216" t="s">
        <v>90</v>
      </c>
      <c r="B1216">
        <v>860</v>
      </c>
    </row>
    <row r="1217" spans="1:2" x14ac:dyDescent="0.25">
      <c r="A1217" t="s">
        <v>90</v>
      </c>
      <c r="B1217">
        <v>860</v>
      </c>
    </row>
    <row r="1218" spans="1:2" x14ac:dyDescent="0.25">
      <c r="A1218" t="s">
        <v>90</v>
      </c>
      <c r="B1218">
        <v>860</v>
      </c>
    </row>
    <row r="1219" spans="1:2" x14ac:dyDescent="0.25">
      <c r="A1219" t="s">
        <v>90</v>
      </c>
      <c r="B1219">
        <v>860</v>
      </c>
    </row>
    <row r="1220" spans="1:2" x14ac:dyDescent="0.25">
      <c r="A1220" t="s">
        <v>90</v>
      </c>
      <c r="B1220">
        <v>860</v>
      </c>
    </row>
    <row r="1221" spans="1:2" x14ac:dyDescent="0.25">
      <c r="A1221" t="s">
        <v>90</v>
      </c>
      <c r="B1221">
        <v>860</v>
      </c>
    </row>
    <row r="1222" spans="1:2" x14ac:dyDescent="0.25">
      <c r="A1222" t="s">
        <v>90</v>
      </c>
      <c r="B1222">
        <v>860</v>
      </c>
    </row>
    <row r="1223" spans="1:2" x14ac:dyDescent="0.25">
      <c r="A1223" t="s">
        <v>90</v>
      </c>
      <c r="B1223">
        <v>860</v>
      </c>
    </row>
    <row r="1224" spans="1:2" x14ac:dyDescent="0.25">
      <c r="A1224" t="s">
        <v>90</v>
      </c>
      <c r="B1224">
        <v>860</v>
      </c>
    </row>
    <row r="1225" spans="1:2" x14ac:dyDescent="0.25">
      <c r="A1225" t="s">
        <v>90</v>
      </c>
      <c r="B1225">
        <v>860</v>
      </c>
    </row>
    <row r="1226" spans="1:2" x14ac:dyDescent="0.25">
      <c r="A1226" t="s">
        <v>90</v>
      </c>
      <c r="B1226">
        <v>860</v>
      </c>
    </row>
    <row r="1227" spans="1:2" x14ac:dyDescent="0.25">
      <c r="A1227" t="s">
        <v>90</v>
      </c>
      <c r="B1227">
        <v>860</v>
      </c>
    </row>
    <row r="1228" spans="1:2" x14ac:dyDescent="0.25">
      <c r="A1228" t="s">
        <v>90</v>
      </c>
      <c r="B1228">
        <v>860</v>
      </c>
    </row>
    <row r="1229" spans="1:2" x14ac:dyDescent="0.25">
      <c r="A1229" t="s">
        <v>91</v>
      </c>
      <c r="B1229">
        <v>900</v>
      </c>
    </row>
    <row r="1230" spans="1:2" x14ac:dyDescent="0.25">
      <c r="A1230" t="s">
        <v>92</v>
      </c>
      <c r="B1230">
        <v>910</v>
      </c>
    </row>
    <row r="1231" spans="1:2" x14ac:dyDescent="0.25">
      <c r="A1231" t="s">
        <v>93</v>
      </c>
      <c r="B1231">
        <v>920</v>
      </c>
    </row>
    <row r="1232" spans="1:2" x14ac:dyDescent="0.25">
      <c r="A1232" t="s">
        <v>93</v>
      </c>
      <c r="B1232">
        <v>920</v>
      </c>
    </row>
    <row r="1233" spans="1:2" x14ac:dyDescent="0.25">
      <c r="A1233" t="s">
        <v>94</v>
      </c>
      <c r="B1233">
        <v>960</v>
      </c>
    </row>
    <row r="1234" spans="1:2" x14ac:dyDescent="0.25">
      <c r="A1234" t="s">
        <v>94</v>
      </c>
      <c r="B1234">
        <v>960</v>
      </c>
    </row>
    <row r="1235" spans="1:2" x14ac:dyDescent="0.25">
      <c r="A1235" t="s">
        <v>94</v>
      </c>
      <c r="B1235">
        <v>960</v>
      </c>
    </row>
    <row r="1236" spans="1:2" x14ac:dyDescent="0.25">
      <c r="A1236" t="s">
        <v>94</v>
      </c>
      <c r="B1236">
        <v>960</v>
      </c>
    </row>
    <row r="1237" spans="1:2" x14ac:dyDescent="0.25">
      <c r="A1237" t="s">
        <v>94</v>
      </c>
      <c r="B1237">
        <v>960</v>
      </c>
    </row>
    <row r="1238" spans="1:2" x14ac:dyDescent="0.25">
      <c r="A1238" t="s">
        <v>94</v>
      </c>
      <c r="B1238">
        <v>960</v>
      </c>
    </row>
    <row r="1239" spans="1:2" x14ac:dyDescent="0.25">
      <c r="A1239" t="s">
        <v>94</v>
      </c>
      <c r="B1239">
        <v>960</v>
      </c>
    </row>
    <row r="1240" spans="1:2" x14ac:dyDescent="0.25">
      <c r="A1240" t="s">
        <v>94</v>
      </c>
      <c r="B1240">
        <v>960</v>
      </c>
    </row>
    <row r="1241" spans="1:2" x14ac:dyDescent="0.25">
      <c r="A1241" t="s">
        <v>94</v>
      </c>
      <c r="B1241">
        <v>960</v>
      </c>
    </row>
    <row r="1242" spans="1:2" x14ac:dyDescent="0.25">
      <c r="A1242" t="s">
        <v>94</v>
      </c>
      <c r="B1242">
        <v>960</v>
      </c>
    </row>
    <row r="1243" spans="1:2" x14ac:dyDescent="0.25">
      <c r="A1243" t="s">
        <v>94</v>
      </c>
      <c r="B1243">
        <v>960</v>
      </c>
    </row>
    <row r="1244" spans="1:2" x14ac:dyDescent="0.25">
      <c r="A1244" t="s">
        <v>94</v>
      </c>
      <c r="B1244">
        <v>960</v>
      </c>
    </row>
    <row r="1245" spans="1:2" x14ac:dyDescent="0.25">
      <c r="A1245" t="s">
        <v>94</v>
      </c>
      <c r="B1245">
        <v>960</v>
      </c>
    </row>
    <row r="1246" spans="1:2" x14ac:dyDescent="0.25">
      <c r="A1246" t="s">
        <v>94</v>
      </c>
      <c r="B1246">
        <v>960</v>
      </c>
    </row>
    <row r="1247" spans="1:2" x14ac:dyDescent="0.25">
      <c r="A1247" t="s">
        <v>94</v>
      </c>
      <c r="B1247">
        <v>960</v>
      </c>
    </row>
    <row r="1248" spans="1:2" x14ac:dyDescent="0.25">
      <c r="A1248" t="s">
        <v>94</v>
      </c>
      <c r="B1248">
        <v>960</v>
      </c>
    </row>
    <row r="1249" spans="1:2" x14ac:dyDescent="0.25">
      <c r="A1249" t="s">
        <v>94</v>
      </c>
      <c r="B1249">
        <v>960</v>
      </c>
    </row>
    <row r="1250" spans="1:2" x14ac:dyDescent="0.25">
      <c r="A1250" t="s">
        <v>94</v>
      </c>
      <c r="B1250">
        <v>960</v>
      </c>
    </row>
    <row r="1251" spans="1:2" x14ac:dyDescent="0.25">
      <c r="A1251" t="s">
        <v>94</v>
      </c>
      <c r="B1251">
        <v>960</v>
      </c>
    </row>
    <row r="1252" spans="1:2" x14ac:dyDescent="0.25">
      <c r="A1252" t="s">
        <v>94</v>
      </c>
      <c r="B1252">
        <v>960</v>
      </c>
    </row>
    <row r="1253" spans="1:2" x14ac:dyDescent="0.25">
      <c r="A1253" t="s">
        <v>94</v>
      </c>
      <c r="B1253">
        <v>960</v>
      </c>
    </row>
    <row r="1254" spans="1:2" x14ac:dyDescent="0.25">
      <c r="A1254" t="s">
        <v>94</v>
      </c>
      <c r="B1254">
        <v>960</v>
      </c>
    </row>
    <row r="1255" spans="1:2" x14ac:dyDescent="0.25">
      <c r="A1255" t="s">
        <v>94</v>
      </c>
      <c r="B1255">
        <v>960</v>
      </c>
    </row>
    <row r="1256" spans="1:2" x14ac:dyDescent="0.25">
      <c r="A1256" t="s">
        <v>94</v>
      </c>
      <c r="B1256">
        <v>960</v>
      </c>
    </row>
    <row r="1257" spans="1:2" x14ac:dyDescent="0.25">
      <c r="A1257" t="s">
        <v>94</v>
      </c>
      <c r="B1257">
        <v>960</v>
      </c>
    </row>
    <row r="1258" spans="1:2" x14ac:dyDescent="0.25">
      <c r="A1258" t="s">
        <v>94</v>
      </c>
      <c r="B1258">
        <v>960</v>
      </c>
    </row>
    <row r="1259" spans="1:2" x14ac:dyDescent="0.25">
      <c r="A1259" t="s">
        <v>94</v>
      </c>
      <c r="B1259">
        <v>960</v>
      </c>
    </row>
    <row r="1260" spans="1:2" x14ac:dyDescent="0.25">
      <c r="A1260" t="s">
        <v>94</v>
      </c>
      <c r="B1260">
        <v>960</v>
      </c>
    </row>
    <row r="1261" spans="1:2" x14ac:dyDescent="0.25">
      <c r="A1261" t="s">
        <v>94</v>
      </c>
      <c r="B1261">
        <v>960</v>
      </c>
    </row>
    <row r="1262" spans="1:2" x14ac:dyDescent="0.25">
      <c r="A1262" t="s">
        <v>94</v>
      </c>
      <c r="B1262">
        <v>960</v>
      </c>
    </row>
    <row r="1263" spans="1:2" x14ac:dyDescent="0.25">
      <c r="A1263" t="s">
        <v>94</v>
      </c>
      <c r="B1263">
        <v>960</v>
      </c>
    </row>
    <row r="1264" spans="1:2" x14ac:dyDescent="0.25">
      <c r="A1264" t="s">
        <v>94</v>
      </c>
      <c r="B1264">
        <v>960</v>
      </c>
    </row>
    <row r="1265" spans="1:2" x14ac:dyDescent="0.25">
      <c r="A1265" t="s">
        <v>94</v>
      </c>
      <c r="B1265">
        <v>960</v>
      </c>
    </row>
    <row r="1266" spans="1:2" x14ac:dyDescent="0.25">
      <c r="A1266" t="s">
        <v>94</v>
      </c>
      <c r="B1266">
        <v>960</v>
      </c>
    </row>
    <row r="1267" spans="1:2" x14ac:dyDescent="0.25">
      <c r="A1267" t="s">
        <v>94</v>
      </c>
      <c r="B1267">
        <v>960</v>
      </c>
    </row>
    <row r="1268" spans="1:2" x14ac:dyDescent="0.25">
      <c r="A1268" t="s">
        <v>94</v>
      </c>
      <c r="B1268">
        <v>960</v>
      </c>
    </row>
    <row r="1269" spans="1:2" x14ac:dyDescent="0.25">
      <c r="A1269" t="s">
        <v>94</v>
      </c>
      <c r="B1269">
        <v>960</v>
      </c>
    </row>
    <row r="1270" spans="1:2" x14ac:dyDescent="0.25">
      <c r="A1270" t="s">
        <v>94</v>
      </c>
      <c r="B1270">
        <v>960</v>
      </c>
    </row>
    <row r="1271" spans="1:2" x14ac:dyDescent="0.25">
      <c r="A1271" t="s">
        <v>94</v>
      </c>
      <c r="B1271">
        <v>960</v>
      </c>
    </row>
    <row r="1272" spans="1:2" x14ac:dyDescent="0.25">
      <c r="A1272" t="s">
        <v>94</v>
      </c>
      <c r="B1272">
        <v>960</v>
      </c>
    </row>
    <row r="1273" spans="1:2" x14ac:dyDescent="0.25">
      <c r="A1273" t="s">
        <v>94</v>
      </c>
      <c r="B1273">
        <v>960</v>
      </c>
    </row>
    <row r="1274" spans="1:2" x14ac:dyDescent="0.25">
      <c r="A1274" t="s">
        <v>94</v>
      </c>
      <c r="B1274">
        <v>960</v>
      </c>
    </row>
    <row r="1275" spans="1:2" x14ac:dyDescent="0.25">
      <c r="A1275" t="s">
        <v>94</v>
      </c>
      <c r="B1275">
        <v>960</v>
      </c>
    </row>
    <row r="1276" spans="1:2" x14ac:dyDescent="0.25">
      <c r="A1276" t="s">
        <v>94</v>
      </c>
      <c r="B1276">
        <v>960</v>
      </c>
    </row>
    <row r="1277" spans="1:2" x14ac:dyDescent="0.25">
      <c r="A1277" t="s">
        <v>94</v>
      </c>
      <c r="B1277">
        <v>960</v>
      </c>
    </row>
    <row r="1278" spans="1:2" x14ac:dyDescent="0.25">
      <c r="A1278" t="s">
        <v>94</v>
      </c>
      <c r="B1278">
        <v>960</v>
      </c>
    </row>
    <row r="1279" spans="1:2" x14ac:dyDescent="0.25">
      <c r="A1279" t="s">
        <v>94</v>
      </c>
      <c r="B1279">
        <v>960</v>
      </c>
    </row>
    <row r="1280" spans="1:2" x14ac:dyDescent="0.25">
      <c r="A1280" t="s">
        <v>94</v>
      </c>
      <c r="B1280">
        <v>960</v>
      </c>
    </row>
    <row r="1281" spans="1:2" x14ac:dyDescent="0.25">
      <c r="A1281" t="s">
        <v>94</v>
      </c>
      <c r="B1281">
        <v>960</v>
      </c>
    </row>
    <row r="1282" spans="1:2" x14ac:dyDescent="0.25">
      <c r="A1282" t="s">
        <v>94</v>
      </c>
      <c r="B1282">
        <v>960</v>
      </c>
    </row>
    <row r="1283" spans="1:2" x14ac:dyDescent="0.25">
      <c r="A1283" t="s">
        <v>94</v>
      </c>
      <c r="B1283">
        <v>960</v>
      </c>
    </row>
    <row r="1284" spans="1:2" x14ac:dyDescent="0.25">
      <c r="A1284" t="s">
        <v>94</v>
      </c>
      <c r="B1284">
        <v>960</v>
      </c>
    </row>
    <row r="1285" spans="1:2" x14ac:dyDescent="0.25">
      <c r="A1285" t="s">
        <v>94</v>
      </c>
      <c r="B1285">
        <v>960</v>
      </c>
    </row>
    <row r="1286" spans="1:2" x14ac:dyDescent="0.25">
      <c r="A1286" t="s">
        <v>94</v>
      </c>
      <c r="B1286">
        <v>960</v>
      </c>
    </row>
    <row r="1287" spans="1:2" x14ac:dyDescent="0.25">
      <c r="A1287" t="s">
        <v>94</v>
      </c>
      <c r="B1287">
        <v>960</v>
      </c>
    </row>
    <row r="1288" spans="1:2" x14ac:dyDescent="0.25">
      <c r="A1288" t="s">
        <v>94</v>
      </c>
      <c r="B1288">
        <v>960</v>
      </c>
    </row>
    <row r="1289" spans="1:2" x14ac:dyDescent="0.25">
      <c r="A1289" t="s">
        <v>94</v>
      </c>
      <c r="B1289">
        <v>960</v>
      </c>
    </row>
    <row r="1290" spans="1:2" x14ac:dyDescent="0.25">
      <c r="A1290" t="s">
        <v>94</v>
      </c>
      <c r="B1290">
        <v>960</v>
      </c>
    </row>
    <row r="1291" spans="1:2" x14ac:dyDescent="0.25">
      <c r="A1291" t="s">
        <v>94</v>
      </c>
      <c r="B1291">
        <v>960</v>
      </c>
    </row>
    <row r="1292" spans="1:2" x14ac:dyDescent="0.25">
      <c r="A1292" t="s">
        <v>94</v>
      </c>
      <c r="B1292">
        <v>960</v>
      </c>
    </row>
    <row r="1293" spans="1:2" x14ac:dyDescent="0.25">
      <c r="A1293" t="s">
        <v>94</v>
      </c>
      <c r="B1293">
        <v>960</v>
      </c>
    </row>
    <row r="1294" spans="1:2" x14ac:dyDescent="0.25">
      <c r="A1294" t="s">
        <v>94</v>
      </c>
      <c r="B1294">
        <v>960</v>
      </c>
    </row>
    <row r="1295" spans="1:2" x14ac:dyDescent="0.25">
      <c r="A1295" t="s">
        <v>94</v>
      </c>
      <c r="B1295">
        <v>960</v>
      </c>
    </row>
    <row r="1296" spans="1:2" x14ac:dyDescent="0.25">
      <c r="A1296" t="s">
        <v>94</v>
      </c>
      <c r="B1296">
        <v>960</v>
      </c>
    </row>
    <row r="1297" spans="1:2" x14ac:dyDescent="0.25">
      <c r="A1297" t="s">
        <v>94</v>
      </c>
      <c r="B1297">
        <v>960</v>
      </c>
    </row>
    <row r="1298" spans="1:2" x14ac:dyDescent="0.25">
      <c r="A1298" t="s">
        <v>94</v>
      </c>
      <c r="B1298">
        <v>960</v>
      </c>
    </row>
    <row r="1299" spans="1:2" x14ac:dyDescent="0.25">
      <c r="A1299" t="s">
        <v>94</v>
      </c>
      <c r="B1299">
        <v>960</v>
      </c>
    </row>
    <row r="1300" spans="1:2" x14ac:dyDescent="0.25">
      <c r="A1300" t="s">
        <v>94</v>
      </c>
      <c r="B1300">
        <v>960</v>
      </c>
    </row>
    <row r="1301" spans="1:2" x14ac:dyDescent="0.25">
      <c r="A1301" t="s">
        <v>94</v>
      </c>
      <c r="B1301">
        <v>960</v>
      </c>
    </row>
    <row r="1302" spans="1:2" x14ac:dyDescent="0.25">
      <c r="A1302" t="s">
        <v>94</v>
      </c>
      <c r="B1302">
        <v>960</v>
      </c>
    </row>
    <row r="1303" spans="1:2" x14ac:dyDescent="0.25">
      <c r="A1303" t="s">
        <v>94</v>
      </c>
      <c r="B1303">
        <v>960</v>
      </c>
    </row>
    <row r="1304" spans="1:2" x14ac:dyDescent="0.25">
      <c r="A1304" t="s">
        <v>94</v>
      </c>
      <c r="B1304">
        <v>960</v>
      </c>
    </row>
    <row r="1305" spans="1:2" x14ac:dyDescent="0.25">
      <c r="A1305" t="s">
        <v>94</v>
      </c>
      <c r="B1305">
        <v>960</v>
      </c>
    </row>
    <row r="1306" spans="1:2" x14ac:dyDescent="0.25">
      <c r="A1306" t="s">
        <v>94</v>
      </c>
      <c r="B1306">
        <v>960</v>
      </c>
    </row>
    <row r="1307" spans="1:2" x14ac:dyDescent="0.25">
      <c r="A1307" t="s">
        <v>94</v>
      </c>
      <c r="B1307">
        <v>960</v>
      </c>
    </row>
    <row r="1308" spans="1:2" x14ac:dyDescent="0.25">
      <c r="A1308" t="s">
        <v>94</v>
      </c>
      <c r="B1308">
        <v>960</v>
      </c>
    </row>
    <row r="1309" spans="1:2" x14ac:dyDescent="0.25">
      <c r="A1309" t="s">
        <v>94</v>
      </c>
      <c r="B1309">
        <v>960</v>
      </c>
    </row>
    <row r="1310" spans="1:2" x14ac:dyDescent="0.25">
      <c r="A1310" t="s">
        <v>94</v>
      </c>
      <c r="B1310">
        <v>960</v>
      </c>
    </row>
    <row r="1311" spans="1:2" x14ac:dyDescent="0.25">
      <c r="A1311" t="s">
        <v>94</v>
      </c>
      <c r="B1311">
        <v>960</v>
      </c>
    </row>
    <row r="1312" spans="1:2" x14ac:dyDescent="0.25">
      <c r="A1312" t="s">
        <v>94</v>
      </c>
      <c r="B1312">
        <v>960</v>
      </c>
    </row>
    <row r="1313" spans="1:2" x14ac:dyDescent="0.25">
      <c r="A1313" t="s">
        <v>94</v>
      </c>
      <c r="B1313">
        <v>960</v>
      </c>
    </row>
    <row r="1314" spans="1:2" x14ac:dyDescent="0.25">
      <c r="A1314" t="s">
        <v>94</v>
      </c>
      <c r="B1314">
        <v>960</v>
      </c>
    </row>
    <row r="1315" spans="1:2" x14ac:dyDescent="0.25">
      <c r="A1315" t="s">
        <v>94</v>
      </c>
      <c r="B1315">
        <v>960</v>
      </c>
    </row>
    <row r="1316" spans="1:2" x14ac:dyDescent="0.25">
      <c r="A1316" t="s">
        <v>94</v>
      </c>
      <c r="B1316">
        <v>960</v>
      </c>
    </row>
    <row r="1317" spans="1:2" x14ac:dyDescent="0.25">
      <c r="A1317" t="s">
        <v>94</v>
      </c>
      <c r="B1317">
        <v>960</v>
      </c>
    </row>
    <row r="1318" spans="1:2" x14ac:dyDescent="0.25">
      <c r="A1318" t="s">
        <v>94</v>
      </c>
      <c r="B1318">
        <v>960</v>
      </c>
    </row>
    <row r="1319" spans="1:2" x14ac:dyDescent="0.25">
      <c r="A1319" t="s">
        <v>94</v>
      </c>
      <c r="B1319">
        <v>960</v>
      </c>
    </row>
    <row r="1320" spans="1:2" x14ac:dyDescent="0.25">
      <c r="A1320" t="s">
        <v>94</v>
      </c>
      <c r="B1320">
        <v>960</v>
      </c>
    </row>
    <row r="1321" spans="1:2" x14ac:dyDescent="0.25">
      <c r="A1321" t="s">
        <v>94</v>
      </c>
      <c r="B1321">
        <v>960</v>
      </c>
    </row>
    <row r="1322" spans="1:2" x14ac:dyDescent="0.25">
      <c r="A1322" t="s">
        <v>94</v>
      </c>
      <c r="B1322">
        <v>960</v>
      </c>
    </row>
    <row r="1323" spans="1:2" x14ac:dyDescent="0.25">
      <c r="A1323" t="s">
        <v>94</v>
      </c>
      <c r="B1323">
        <v>960</v>
      </c>
    </row>
    <row r="1324" spans="1:2" x14ac:dyDescent="0.25">
      <c r="A1324" t="s">
        <v>94</v>
      </c>
      <c r="B1324">
        <v>960</v>
      </c>
    </row>
    <row r="1325" spans="1:2" x14ac:dyDescent="0.25">
      <c r="A1325" t="s">
        <v>94</v>
      </c>
      <c r="B1325">
        <v>960</v>
      </c>
    </row>
    <row r="1326" spans="1:2" x14ac:dyDescent="0.25">
      <c r="A1326" t="s">
        <v>94</v>
      </c>
      <c r="B1326">
        <v>960</v>
      </c>
    </row>
    <row r="1327" spans="1:2" x14ac:dyDescent="0.25">
      <c r="A1327" t="s">
        <v>94</v>
      </c>
      <c r="B1327">
        <v>960</v>
      </c>
    </row>
    <row r="1328" spans="1:2" x14ac:dyDescent="0.25">
      <c r="A1328" t="s">
        <v>94</v>
      </c>
      <c r="B1328">
        <v>960</v>
      </c>
    </row>
    <row r="1329" spans="1:2" x14ac:dyDescent="0.25">
      <c r="A1329" t="s">
        <v>94</v>
      </c>
      <c r="B1329">
        <v>960</v>
      </c>
    </row>
    <row r="1330" spans="1:2" x14ac:dyDescent="0.25">
      <c r="A1330" t="s">
        <v>94</v>
      </c>
      <c r="B1330">
        <v>960</v>
      </c>
    </row>
    <row r="1331" spans="1:2" x14ac:dyDescent="0.25">
      <c r="A1331" t="s">
        <v>94</v>
      </c>
      <c r="B1331">
        <v>960</v>
      </c>
    </row>
    <row r="1332" spans="1:2" x14ac:dyDescent="0.25">
      <c r="A1332" t="s">
        <v>94</v>
      </c>
      <c r="B1332">
        <v>960</v>
      </c>
    </row>
    <row r="1333" spans="1:2" x14ac:dyDescent="0.25">
      <c r="A1333" t="s">
        <v>94</v>
      </c>
      <c r="B1333">
        <v>960</v>
      </c>
    </row>
    <row r="1334" spans="1:2" x14ac:dyDescent="0.25">
      <c r="A1334" t="s">
        <v>94</v>
      </c>
      <c r="B1334">
        <v>960</v>
      </c>
    </row>
    <row r="1335" spans="1:2" x14ac:dyDescent="0.25">
      <c r="A1335" t="s">
        <v>94</v>
      </c>
      <c r="B1335">
        <v>960</v>
      </c>
    </row>
    <row r="1336" spans="1:2" x14ac:dyDescent="0.25">
      <c r="A1336" t="s">
        <v>94</v>
      </c>
      <c r="B1336">
        <v>960</v>
      </c>
    </row>
    <row r="1337" spans="1:2" x14ac:dyDescent="0.25">
      <c r="A1337" t="s">
        <v>94</v>
      </c>
      <c r="B1337">
        <v>960</v>
      </c>
    </row>
    <row r="1338" spans="1:2" x14ac:dyDescent="0.25">
      <c r="A1338" t="s">
        <v>94</v>
      </c>
      <c r="B1338">
        <v>960</v>
      </c>
    </row>
    <row r="1339" spans="1:2" x14ac:dyDescent="0.25">
      <c r="A1339" t="s">
        <v>94</v>
      </c>
      <c r="B1339">
        <v>960</v>
      </c>
    </row>
    <row r="1340" spans="1:2" x14ac:dyDescent="0.25">
      <c r="A1340" t="s">
        <v>94</v>
      </c>
      <c r="B1340">
        <v>960</v>
      </c>
    </row>
    <row r="1341" spans="1:2" x14ac:dyDescent="0.25">
      <c r="A1341" t="s">
        <v>94</v>
      </c>
      <c r="B1341">
        <v>960</v>
      </c>
    </row>
    <row r="1342" spans="1:2" x14ac:dyDescent="0.25">
      <c r="A1342" t="s">
        <v>94</v>
      </c>
      <c r="B1342">
        <v>960</v>
      </c>
    </row>
    <row r="1343" spans="1:2" x14ac:dyDescent="0.25">
      <c r="A1343" t="s">
        <v>94</v>
      </c>
      <c r="B1343">
        <v>960</v>
      </c>
    </row>
    <row r="1344" spans="1:2" x14ac:dyDescent="0.25">
      <c r="A1344" t="s">
        <v>94</v>
      </c>
      <c r="B1344">
        <v>960</v>
      </c>
    </row>
    <row r="1345" spans="1:2" x14ac:dyDescent="0.25">
      <c r="A1345" t="s">
        <v>94</v>
      </c>
      <c r="B1345">
        <v>960</v>
      </c>
    </row>
    <row r="1346" spans="1:2" x14ac:dyDescent="0.25">
      <c r="A1346" t="s">
        <v>94</v>
      </c>
      <c r="B1346">
        <v>960</v>
      </c>
    </row>
    <row r="1347" spans="1:2" x14ac:dyDescent="0.25">
      <c r="A1347" t="s">
        <v>94</v>
      </c>
      <c r="B1347">
        <v>960</v>
      </c>
    </row>
    <row r="1348" spans="1:2" x14ac:dyDescent="0.25">
      <c r="A1348" t="s">
        <v>94</v>
      </c>
      <c r="B1348">
        <v>960</v>
      </c>
    </row>
    <row r="1349" spans="1:2" x14ac:dyDescent="0.25">
      <c r="A1349" t="s">
        <v>94</v>
      </c>
      <c r="B1349">
        <v>960</v>
      </c>
    </row>
    <row r="1350" spans="1:2" x14ac:dyDescent="0.25">
      <c r="A1350" t="s">
        <v>94</v>
      </c>
      <c r="B1350">
        <v>960</v>
      </c>
    </row>
    <row r="1351" spans="1:2" x14ac:dyDescent="0.25">
      <c r="A1351" t="s">
        <v>94</v>
      </c>
      <c r="B1351">
        <v>960</v>
      </c>
    </row>
    <row r="1352" spans="1:2" x14ac:dyDescent="0.25">
      <c r="A1352" t="s">
        <v>94</v>
      </c>
      <c r="B1352">
        <v>960</v>
      </c>
    </row>
    <row r="1353" spans="1:2" x14ac:dyDescent="0.25">
      <c r="A1353" t="s">
        <v>94</v>
      </c>
      <c r="B1353">
        <v>960</v>
      </c>
    </row>
    <row r="1354" spans="1:2" x14ac:dyDescent="0.25">
      <c r="A1354" t="s">
        <v>94</v>
      </c>
      <c r="B1354">
        <v>960</v>
      </c>
    </row>
    <row r="1355" spans="1:2" x14ac:dyDescent="0.25">
      <c r="A1355" t="s">
        <v>94</v>
      </c>
      <c r="B1355">
        <v>960</v>
      </c>
    </row>
    <row r="1356" spans="1:2" x14ac:dyDescent="0.25">
      <c r="A1356" t="s">
        <v>94</v>
      </c>
      <c r="B1356">
        <v>960</v>
      </c>
    </row>
    <row r="1357" spans="1:2" x14ac:dyDescent="0.25">
      <c r="A1357" t="s">
        <v>94</v>
      </c>
      <c r="B1357">
        <v>960</v>
      </c>
    </row>
    <row r="1358" spans="1:2" x14ac:dyDescent="0.25">
      <c r="A1358" t="s">
        <v>94</v>
      </c>
      <c r="B1358">
        <v>960</v>
      </c>
    </row>
    <row r="1359" spans="1:2" x14ac:dyDescent="0.25">
      <c r="A1359" t="s">
        <v>94</v>
      </c>
      <c r="B1359">
        <v>960</v>
      </c>
    </row>
    <row r="1360" spans="1:2" x14ac:dyDescent="0.25">
      <c r="A1360" t="s">
        <v>94</v>
      </c>
      <c r="B1360">
        <v>960</v>
      </c>
    </row>
    <row r="1361" spans="1:2" x14ac:dyDescent="0.25">
      <c r="A1361" t="s">
        <v>94</v>
      </c>
      <c r="B1361">
        <v>960</v>
      </c>
    </row>
    <row r="1362" spans="1:2" x14ac:dyDescent="0.25">
      <c r="A1362" t="s">
        <v>94</v>
      </c>
      <c r="B1362">
        <v>960</v>
      </c>
    </row>
    <row r="1363" spans="1:2" x14ac:dyDescent="0.25">
      <c r="A1363" t="s">
        <v>94</v>
      </c>
      <c r="B1363">
        <v>960</v>
      </c>
    </row>
    <row r="1364" spans="1:2" x14ac:dyDescent="0.25">
      <c r="A1364" t="s">
        <v>94</v>
      </c>
      <c r="B1364">
        <v>960</v>
      </c>
    </row>
    <row r="1365" spans="1:2" x14ac:dyDescent="0.25">
      <c r="A1365" t="s">
        <v>94</v>
      </c>
      <c r="B1365">
        <v>960</v>
      </c>
    </row>
    <row r="1366" spans="1:2" x14ac:dyDescent="0.25">
      <c r="A1366" t="s">
        <v>94</v>
      </c>
      <c r="B1366">
        <v>960</v>
      </c>
    </row>
    <row r="1367" spans="1:2" x14ac:dyDescent="0.25">
      <c r="A1367" t="s">
        <v>94</v>
      </c>
      <c r="B1367">
        <v>960</v>
      </c>
    </row>
    <row r="1368" spans="1:2" x14ac:dyDescent="0.25">
      <c r="A1368" t="s">
        <v>94</v>
      </c>
      <c r="B1368">
        <v>960</v>
      </c>
    </row>
    <row r="1369" spans="1:2" x14ac:dyDescent="0.25">
      <c r="A1369" t="s">
        <v>94</v>
      </c>
      <c r="B1369">
        <v>960</v>
      </c>
    </row>
    <row r="1370" spans="1:2" x14ac:dyDescent="0.25">
      <c r="A1370" t="s">
        <v>94</v>
      </c>
      <c r="B1370">
        <v>960</v>
      </c>
    </row>
    <row r="1371" spans="1:2" x14ac:dyDescent="0.25">
      <c r="A1371" t="s">
        <v>94</v>
      </c>
      <c r="B1371">
        <v>960</v>
      </c>
    </row>
    <row r="1372" spans="1:2" x14ac:dyDescent="0.25">
      <c r="A1372" t="s">
        <v>94</v>
      </c>
      <c r="B1372">
        <v>960</v>
      </c>
    </row>
    <row r="1373" spans="1:2" x14ac:dyDescent="0.25">
      <c r="A1373" t="s">
        <v>94</v>
      </c>
      <c r="B1373">
        <v>960</v>
      </c>
    </row>
    <row r="1374" spans="1:2" x14ac:dyDescent="0.25">
      <c r="A1374" t="s">
        <v>94</v>
      </c>
      <c r="B1374">
        <v>960</v>
      </c>
    </row>
    <row r="1375" spans="1:2" x14ac:dyDescent="0.25">
      <c r="A1375" t="s">
        <v>94</v>
      </c>
      <c r="B1375">
        <v>960</v>
      </c>
    </row>
    <row r="1376" spans="1:2" x14ac:dyDescent="0.25">
      <c r="A1376" t="s">
        <v>94</v>
      </c>
      <c r="B1376">
        <v>960</v>
      </c>
    </row>
    <row r="1377" spans="1:2" x14ac:dyDescent="0.25">
      <c r="A1377" t="s">
        <v>94</v>
      </c>
      <c r="B1377">
        <v>960</v>
      </c>
    </row>
    <row r="1378" spans="1:2" x14ac:dyDescent="0.25">
      <c r="A1378" t="s">
        <v>94</v>
      </c>
      <c r="B1378">
        <v>960</v>
      </c>
    </row>
    <row r="1379" spans="1:2" x14ac:dyDescent="0.25">
      <c r="A1379" t="s">
        <v>94</v>
      </c>
      <c r="B1379">
        <v>960</v>
      </c>
    </row>
    <row r="1380" spans="1:2" x14ac:dyDescent="0.25">
      <c r="A1380" t="s">
        <v>94</v>
      </c>
      <c r="B1380">
        <v>960</v>
      </c>
    </row>
    <row r="1381" spans="1:2" x14ac:dyDescent="0.25">
      <c r="A1381" t="s">
        <v>94</v>
      </c>
      <c r="B1381">
        <v>960</v>
      </c>
    </row>
    <row r="1382" spans="1:2" x14ac:dyDescent="0.25">
      <c r="A1382" t="s">
        <v>94</v>
      </c>
      <c r="B1382">
        <v>960</v>
      </c>
    </row>
    <row r="1383" spans="1:2" x14ac:dyDescent="0.25">
      <c r="A1383" t="s">
        <v>94</v>
      </c>
      <c r="B1383">
        <v>960</v>
      </c>
    </row>
    <row r="1384" spans="1:2" x14ac:dyDescent="0.25">
      <c r="A1384" t="s">
        <v>94</v>
      </c>
      <c r="B1384">
        <v>960</v>
      </c>
    </row>
    <row r="1385" spans="1:2" x14ac:dyDescent="0.25">
      <c r="A1385" t="s">
        <v>94</v>
      </c>
      <c r="B1385">
        <v>960</v>
      </c>
    </row>
    <row r="1386" spans="1:2" x14ac:dyDescent="0.25">
      <c r="A1386" t="s">
        <v>94</v>
      </c>
      <c r="B1386">
        <v>960</v>
      </c>
    </row>
    <row r="1387" spans="1:2" x14ac:dyDescent="0.25">
      <c r="A1387" t="s">
        <v>94</v>
      </c>
      <c r="B1387">
        <v>960</v>
      </c>
    </row>
    <row r="1388" spans="1:2" x14ac:dyDescent="0.25">
      <c r="A1388" t="s">
        <v>94</v>
      </c>
      <c r="B1388">
        <v>960</v>
      </c>
    </row>
    <row r="1389" spans="1:2" x14ac:dyDescent="0.25">
      <c r="A1389" t="s">
        <v>94</v>
      </c>
      <c r="B1389">
        <v>960</v>
      </c>
    </row>
    <row r="1390" spans="1:2" x14ac:dyDescent="0.25">
      <c r="A1390" t="s">
        <v>94</v>
      </c>
      <c r="B1390">
        <v>960</v>
      </c>
    </row>
    <row r="1391" spans="1:2" x14ac:dyDescent="0.25">
      <c r="A1391" t="s">
        <v>94</v>
      </c>
      <c r="B1391">
        <v>960</v>
      </c>
    </row>
    <row r="1392" spans="1:2" x14ac:dyDescent="0.25">
      <c r="A1392" t="s">
        <v>94</v>
      </c>
      <c r="B1392">
        <v>960</v>
      </c>
    </row>
    <row r="1393" spans="1:2" x14ac:dyDescent="0.25">
      <c r="A1393" t="s">
        <v>94</v>
      </c>
      <c r="B1393">
        <v>960</v>
      </c>
    </row>
    <row r="1394" spans="1:2" x14ac:dyDescent="0.25">
      <c r="A1394" t="s">
        <v>94</v>
      </c>
      <c r="B1394">
        <v>960</v>
      </c>
    </row>
    <row r="1395" spans="1:2" x14ac:dyDescent="0.25">
      <c r="A1395" t="s">
        <v>94</v>
      </c>
      <c r="B1395">
        <v>960</v>
      </c>
    </row>
    <row r="1396" spans="1:2" x14ac:dyDescent="0.25">
      <c r="A1396" t="s">
        <v>94</v>
      </c>
      <c r="B1396">
        <v>960</v>
      </c>
    </row>
    <row r="1397" spans="1:2" x14ac:dyDescent="0.25">
      <c r="A1397" t="s">
        <v>94</v>
      </c>
      <c r="B1397">
        <v>960</v>
      </c>
    </row>
    <row r="1398" spans="1:2" x14ac:dyDescent="0.25">
      <c r="A1398" t="s">
        <v>94</v>
      </c>
      <c r="B1398">
        <v>960</v>
      </c>
    </row>
    <row r="1399" spans="1:2" x14ac:dyDescent="0.25">
      <c r="A1399" t="s">
        <v>94</v>
      </c>
      <c r="B1399">
        <v>960</v>
      </c>
    </row>
    <row r="1400" spans="1:2" x14ac:dyDescent="0.25">
      <c r="A1400" t="s">
        <v>94</v>
      </c>
      <c r="B1400">
        <v>960</v>
      </c>
    </row>
    <row r="1401" spans="1:2" x14ac:dyDescent="0.25">
      <c r="A1401" t="s">
        <v>94</v>
      </c>
      <c r="B1401">
        <v>960</v>
      </c>
    </row>
    <row r="1402" spans="1:2" x14ac:dyDescent="0.25">
      <c r="A1402" t="s">
        <v>94</v>
      </c>
      <c r="B1402">
        <v>960</v>
      </c>
    </row>
    <row r="1403" spans="1:2" x14ac:dyDescent="0.25">
      <c r="A1403" t="s">
        <v>94</v>
      </c>
      <c r="B1403">
        <v>960</v>
      </c>
    </row>
    <row r="1404" spans="1:2" x14ac:dyDescent="0.25">
      <c r="A1404" t="s">
        <v>94</v>
      </c>
      <c r="B1404">
        <v>960</v>
      </c>
    </row>
    <row r="1405" spans="1:2" x14ac:dyDescent="0.25">
      <c r="A1405" t="s">
        <v>94</v>
      </c>
      <c r="B1405">
        <v>960</v>
      </c>
    </row>
    <row r="1406" spans="1:2" x14ac:dyDescent="0.25">
      <c r="A1406" t="s">
        <v>94</v>
      </c>
      <c r="B1406">
        <v>960</v>
      </c>
    </row>
    <row r="1407" spans="1:2" x14ac:dyDescent="0.25">
      <c r="A1407" t="s">
        <v>94</v>
      </c>
      <c r="B1407">
        <v>960</v>
      </c>
    </row>
    <row r="1408" spans="1:2" x14ac:dyDescent="0.25">
      <c r="A1408" t="s">
        <v>94</v>
      </c>
      <c r="B1408">
        <v>960</v>
      </c>
    </row>
    <row r="1409" spans="1:2" x14ac:dyDescent="0.25">
      <c r="A1409" t="s">
        <v>94</v>
      </c>
      <c r="B1409">
        <v>960</v>
      </c>
    </row>
    <row r="1410" spans="1:2" x14ac:dyDescent="0.25">
      <c r="A1410" t="s">
        <v>94</v>
      </c>
      <c r="B1410">
        <v>960</v>
      </c>
    </row>
    <row r="1411" spans="1:2" x14ac:dyDescent="0.25">
      <c r="A1411" t="s">
        <v>94</v>
      </c>
      <c r="B1411">
        <v>960</v>
      </c>
    </row>
    <row r="1412" spans="1:2" x14ac:dyDescent="0.25">
      <c r="A1412" t="s">
        <v>94</v>
      </c>
      <c r="B1412">
        <v>960</v>
      </c>
    </row>
    <row r="1413" spans="1:2" x14ac:dyDescent="0.25">
      <c r="A1413" t="s">
        <v>94</v>
      </c>
      <c r="B1413">
        <v>960</v>
      </c>
    </row>
    <row r="1414" spans="1:2" x14ac:dyDescent="0.25">
      <c r="A1414" t="s">
        <v>94</v>
      </c>
      <c r="B1414">
        <v>960</v>
      </c>
    </row>
    <row r="1415" spans="1:2" x14ac:dyDescent="0.25">
      <c r="A1415" t="s">
        <v>94</v>
      </c>
      <c r="B1415">
        <v>960</v>
      </c>
    </row>
    <row r="1416" spans="1:2" x14ac:dyDescent="0.25">
      <c r="A1416" t="s">
        <v>94</v>
      </c>
      <c r="B1416">
        <v>960</v>
      </c>
    </row>
    <row r="1417" spans="1:2" x14ac:dyDescent="0.25">
      <c r="A1417" t="s">
        <v>94</v>
      </c>
      <c r="B1417">
        <v>960</v>
      </c>
    </row>
    <row r="1418" spans="1:2" x14ac:dyDescent="0.25">
      <c r="A1418" t="s">
        <v>94</v>
      </c>
      <c r="B1418">
        <v>960</v>
      </c>
    </row>
    <row r="1419" spans="1:2" x14ac:dyDescent="0.25">
      <c r="A1419" t="s">
        <v>94</v>
      </c>
      <c r="B1419">
        <v>960</v>
      </c>
    </row>
    <row r="1420" spans="1:2" x14ac:dyDescent="0.25">
      <c r="A1420" t="s">
        <v>94</v>
      </c>
      <c r="B1420">
        <v>960</v>
      </c>
    </row>
    <row r="1421" spans="1:2" x14ac:dyDescent="0.25">
      <c r="A1421" t="s">
        <v>94</v>
      </c>
      <c r="B1421">
        <v>960</v>
      </c>
    </row>
    <row r="1422" spans="1:2" x14ac:dyDescent="0.25">
      <c r="A1422" t="s">
        <v>94</v>
      </c>
      <c r="B1422">
        <v>960</v>
      </c>
    </row>
    <row r="1423" spans="1:2" x14ac:dyDescent="0.25">
      <c r="A1423" t="s">
        <v>94</v>
      </c>
      <c r="B1423">
        <v>960</v>
      </c>
    </row>
    <row r="1424" spans="1:2" x14ac:dyDescent="0.25">
      <c r="A1424" t="s">
        <v>94</v>
      </c>
      <c r="B1424">
        <v>960</v>
      </c>
    </row>
    <row r="1425" spans="1:2" x14ac:dyDescent="0.25">
      <c r="A1425" t="s">
        <v>94</v>
      </c>
      <c r="B1425">
        <v>960</v>
      </c>
    </row>
    <row r="1426" spans="1:2" x14ac:dyDescent="0.25">
      <c r="A1426" t="s">
        <v>94</v>
      </c>
      <c r="B1426">
        <v>960</v>
      </c>
    </row>
    <row r="1427" spans="1:2" x14ac:dyDescent="0.25">
      <c r="A1427" t="s">
        <v>94</v>
      </c>
      <c r="B1427">
        <v>960</v>
      </c>
    </row>
    <row r="1428" spans="1:2" x14ac:dyDescent="0.25">
      <c r="A1428" t="s">
        <v>94</v>
      </c>
      <c r="B1428">
        <v>960</v>
      </c>
    </row>
    <row r="1429" spans="1:2" x14ac:dyDescent="0.25">
      <c r="A1429" t="s">
        <v>94</v>
      </c>
      <c r="B1429">
        <v>960</v>
      </c>
    </row>
    <row r="1430" spans="1:2" x14ac:dyDescent="0.25">
      <c r="A1430" t="s">
        <v>94</v>
      </c>
      <c r="B1430">
        <v>960</v>
      </c>
    </row>
    <row r="1431" spans="1:2" x14ac:dyDescent="0.25">
      <c r="A1431" t="s">
        <v>94</v>
      </c>
      <c r="B1431">
        <v>960</v>
      </c>
    </row>
    <row r="1432" spans="1:2" x14ac:dyDescent="0.25">
      <c r="A1432" t="s">
        <v>94</v>
      </c>
      <c r="B1432">
        <v>960</v>
      </c>
    </row>
    <row r="1433" spans="1:2" x14ac:dyDescent="0.25">
      <c r="A1433" t="s">
        <v>94</v>
      </c>
      <c r="B1433">
        <v>960</v>
      </c>
    </row>
    <row r="1434" spans="1:2" x14ac:dyDescent="0.25">
      <c r="A1434" t="s">
        <v>94</v>
      </c>
      <c r="B1434">
        <v>960</v>
      </c>
    </row>
    <row r="1435" spans="1:2" x14ac:dyDescent="0.25">
      <c r="A1435" t="s">
        <v>94</v>
      </c>
      <c r="B1435">
        <v>960</v>
      </c>
    </row>
    <row r="1436" spans="1:2" x14ac:dyDescent="0.25">
      <c r="A1436" t="s">
        <v>94</v>
      </c>
      <c r="B1436">
        <v>960</v>
      </c>
    </row>
    <row r="1437" spans="1:2" x14ac:dyDescent="0.25">
      <c r="A1437" t="s">
        <v>94</v>
      </c>
      <c r="B1437">
        <v>960</v>
      </c>
    </row>
    <row r="1438" spans="1:2" x14ac:dyDescent="0.25">
      <c r="A1438" t="s">
        <v>94</v>
      </c>
      <c r="B1438">
        <v>960</v>
      </c>
    </row>
    <row r="1439" spans="1:2" x14ac:dyDescent="0.25">
      <c r="A1439" t="s">
        <v>94</v>
      </c>
      <c r="B1439">
        <v>960</v>
      </c>
    </row>
    <row r="1440" spans="1:2" x14ac:dyDescent="0.25">
      <c r="A1440" t="s">
        <v>94</v>
      </c>
      <c r="B1440">
        <v>960</v>
      </c>
    </row>
    <row r="1441" spans="1:2" x14ac:dyDescent="0.25">
      <c r="A1441" t="s">
        <v>94</v>
      </c>
      <c r="B1441">
        <v>960</v>
      </c>
    </row>
    <row r="1442" spans="1:2" x14ac:dyDescent="0.25">
      <c r="A1442" t="s">
        <v>94</v>
      </c>
      <c r="B1442">
        <v>960</v>
      </c>
    </row>
    <row r="1443" spans="1:2" x14ac:dyDescent="0.25">
      <c r="A1443" t="s">
        <v>94</v>
      </c>
      <c r="B1443">
        <v>960</v>
      </c>
    </row>
    <row r="1444" spans="1:2" x14ac:dyDescent="0.25">
      <c r="A1444" t="s">
        <v>94</v>
      </c>
      <c r="B1444">
        <v>960</v>
      </c>
    </row>
    <row r="1445" spans="1:2" x14ac:dyDescent="0.25">
      <c r="A1445" t="s">
        <v>94</v>
      </c>
      <c r="B1445">
        <v>960</v>
      </c>
    </row>
    <row r="1446" spans="1:2" x14ac:dyDescent="0.25">
      <c r="A1446" t="s">
        <v>94</v>
      </c>
      <c r="B1446">
        <v>960</v>
      </c>
    </row>
    <row r="1447" spans="1:2" x14ac:dyDescent="0.25">
      <c r="A1447" t="s">
        <v>94</v>
      </c>
      <c r="B1447">
        <v>960</v>
      </c>
    </row>
    <row r="1448" spans="1:2" x14ac:dyDescent="0.25">
      <c r="A1448" t="s">
        <v>94</v>
      </c>
      <c r="B1448">
        <v>960</v>
      </c>
    </row>
    <row r="1449" spans="1:2" x14ac:dyDescent="0.25">
      <c r="A1449" t="s">
        <v>94</v>
      </c>
      <c r="B1449">
        <v>960</v>
      </c>
    </row>
    <row r="1450" spans="1:2" x14ac:dyDescent="0.25">
      <c r="A1450" t="s">
        <v>94</v>
      </c>
      <c r="B1450">
        <v>960</v>
      </c>
    </row>
    <row r="1451" spans="1:2" x14ac:dyDescent="0.25">
      <c r="A1451" t="s">
        <v>94</v>
      </c>
      <c r="B1451">
        <v>960</v>
      </c>
    </row>
    <row r="1452" spans="1:2" x14ac:dyDescent="0.25">
      <c r="A1452" t="s">
        <v>94</v>
      </c>
      <c r="B1452">
        <v>960</v>
      </c>
    </row>
    <row r="1453" spans="1:2" x14ac:dyDescent="0.25">
      <c r="A1453" t="s">
        <v>94</v>
      </c>
      <c r="B1453">
        <v>960</v>
      </c>
    </row>
    <row r="1454" spans="1:2" x14ac:dyDescent="0.25">
      <c r="A1454" t="s">
        <v>94</v>
      </c>
      <c r="B1454">
        <v>960</v>
      </c>
    </row>
    <row r="1455" spans="1:2" x14ac:dyDescent="0.25">
      <c r="A1455" t="s">
        <v>94</v>
      </c>
      <c r="B1455">
        <v>960</v>
      </c>
    </row>
    <row r="1456" spans="1:2" x14ac:dyDescent="0.25">
      <c r="A1456" t="s">
        <v>94</v>
      </c>
      <c r="B1456">
        <v>960</v>
      </c>
    </row>
    <row r="1457" spans="1:2" x14ac:dyDescent="0.25">
      <c r="A1457" t="s">
        <v>94</v>
      </c>
      <c r="B1457">
        <v>960</v>
      </c>
    </row>
    <row r="1458" spans="1:2" x14ac:dyDescent="0.25">
      <c r="A1458" t="s">
        <v>94</v>
      </c>
      <c r="B1458">
        <v>960</v>
      </c>
    </row>
    <row r="1459" spans="1:2" x14ac:dyDescent="0.25">
      <c r="A1459" t="s">
        <v>94</v>
      </c>
      <c r="B1459">
        <v>960</v>
      </c>
    </row>
    <row r="1460" spans="1:2" x14ac:dyDescent="0.25">
      <c r="A1460" t="s">
        <v>94</v>
      </c>
      <c r="B1460">
        <v>960</v>
      </c>
    </row>
    <row r="1461" spans="1:2" x14ac:dyDescent="0.25">
      <c r="A1461" t="s">
        <v>94</v>
      </c>
      <c r="B1461">
        <v>960</v>
      </c>
    </row>
    <row r="1462" spans="1:2" x14ac:dyDescent="0.25">
      <c r="A1462" t="s">
        <v>96</v>
      </c>
      <c r="B1462">
        <v>1000</v>
      </c>
    </row>
    <row r="1463" spans="1:2" x14ac:dyDescent="0.25">
      <c r="A1463" t="s">
        <v>96</v>
      </c>
      <c r="B1463">
        <v>1000</v>
      </c>
    </row>
    <row r="1464" spans="1:2" x14ac:dyDescent="0.25">
      <c r="A1464" t="s">
        <v>96</v>
      </c>
      <c r="B1464">
        <v>1000</v>
      </c>
    </row>
    <row r="1465" spans="1:2" x14ac:dyDescent="0.25">
      <c r="A1465" t="s">
        <v>96</v>
      </c>
      <c r="B1465">
        <v>1000</v>
      </c>
    </row>
    <row r="1466" spans="1:2" x14ac:dyDescent="0.25">
      <c r="A1466" t="s">
        <v>96</v>
      </c>
      <c r="B1466">
        <v>1000</v>
      </c>
    </row>
    <row r="1467" spans="1:2" x14ac:dyDescent="0.25">
      <c r="A1467" t="s">
        <v>96</v>
      </c>
      <c r="B1467">
        <v>1000</v>
      </c>
    </row>
    <row r="1468" spans="1:2" x14ac:dyDescent="0.25">
      <c r="A1468" t="s">
        <v>98</v>
      </c>
      <c r="B1468">
        <v>1020</v>
      </c>
    </row>
    <row r="1469" spans="1:2" x14ac:dyDescent="0.25">
      <c r="A1469" t="s">
        <v>98</v>
      </c>
      <c r="B1469">
        <v>1020</v>
      </c>
    </row>
    <row r="1470" spans="1:2" x14ac:dyDescent="0.25">
      <c r="A1470" t="s">
        <v>98</v>
      </c>
      <c r="B1470">
        <v>1020</v>
      </c>
    </row>
    <row r="1471" spans="1:2" x14ac:dyDescent="0.25">
      <c r="A1471" t="s">
        <v>98</v>
      </c>
      <c r="B1471">
        <v>1020</v>
      </c>
    </row>
    <row r="1472" spans="1:2" x14ac:dyDescent="0.25">
      <c r="A1472" t="s">
        <v>98</v>
      </c>
      <c r="B1472">
        <v>1020</v>
      </c>
    </row>
    <row r="1473" spans="1:2" x14ac:dyDescent="0.25">
      <c r="A1473" t="s">
        <v>98</v>
      </c>
      <c r="B1473">
        <v>1020</v>
      </c>
    </row>
    <row r="1474" spans="1:2" x14ac:dyDescent="0.25">
      <c r="A1474" t="s">
        <v>98</v>
      </c>
      <c r="B1474">
        <v>1020</v>
      </c>
    </row>
    <row r="1475" spans="1:2" x14ac:dyDescent="0.25">
      <c r="A1475" t="s">
        <v>98</v>
      </c>
      <c r="B1475">
        <v>1020</v>
      </c>
    </row>
    <row r="1476" spans="1:2" x14ac:dyDescent="0.25">
      <c r="A1476" t="s">
        <v>98</v>
      </c>
      <c r="B1476">
        <v>1020</v>
      </c>
    </row>
    <row r="1477" spans="1:2" x14ac:dyDescent="0.25">
      <c r="A1477" t="s">
        <v>98</v>
      </c>
      <c r="B1477">
        <v>1020</v>
      </c>
    </row>
    <row r="1478" spans="1:2" x14ac:dyDescent="0.25">
      <c r="A1478" t="s">
        <v>98</v>
      </c>
      <c r="B1478">
        <v>1020</v>
      </c>
    </row>
    <row r="1479" spans="1:2" x14ac:dyDescent="0.25">
      <c r="A1479" t="s">
        <v>98</v>
      </c>
      <c r="B1479">
        <v>1020</v>
      </c>
    </row>
    <row r="1480" spans="1:2" x14ac:dyDescent="0.25">
      <c r="A1480" t="s">
        <v>98</v>
      </c>
      <c r="B1480">
        <v>1020</v>
      </c>
    </row>
    <row r="1481" spans="1:2" x14ac:dyDescent="0.25">
      <c r="A1481" t="s">
        <v>98</v>
      </c>
      <c r="B1481">
        <v>1020</v>
      </c>
    </row>
    <row r="1482" spans="1:2" x14ac:dyDescent="0.25">
      <c r="A1482" t="s">
        <v>98</v>
      </c>
      <c r="B1482">
        <v>1020</v>
      </c>
    </row>
    <row r="1483" spans="1:2" x14ac:dyDescent="0.25">
      <c r="A1483" t="s">
        <v>98</v>
      </c>
      <c r="B1483">
        <v>1020</v>
      </c>
    </row>
    <row r="1484" spans="1:2" x14ac:dyDescent="0.25">
      <c r="A1484" t="s">
        <v>98</v>
      </c>
      <c r="B1484">
        <v>1020</v>
      </c>
    </row>
    <row r="1485" spans="1:2" x14ac:dyDescent="0.25">
      <c r="A1485" t="s">
        <v>98</v>
      </c>
      <c r="B1485">
        <v>1020</v>
      </c>
    </row>
    <row r="1486" spans="1:2" x14ac:dyDescent="0.25">
      <c r="A1486" t="s">
        <v>98</v>
      </c>
      <c r="B1486">
        <v>1020</v>
      </c>
    </row>
    <row r="1487" spans="1:2" x14ac:dyDescent="0.25">
      <c r="A1487" t="s">
        <v>98</v>
      </c>
      <c r="B1487">
        <v>1020</v>
      </c>
    </row>
    <row r="1488" spans="1:2" x14ac:dyDescent="0.25">
      <c r="A1488" t="s">
        <v>98</v>
      </c>
      <c r="B1488">
        <v>1020</v>
      </c>
    </row>
    <row r="1489" spans="1:2" x14ac:dyDescent="0.25">
      <c r="A1489" t="s">
        <v>98</v>
      </c>
      <c r="B1489">
        <v>1020</v>
      </c>
    </row>
    <row r="1490" spans="1:2" x14ac:dyDescent="0.25">
      <c r="A1490" t="s">
        <v>98</v>
      </c>
      <c r="B1490">
        <v>1020</v>
      </c>
    </row>
    <row r="1491" spans="1:2" x14ac:dyDescent="0.25">
      <c r="A1491" t="s">
        <v>98</v>
      </c>
      <c r="B1491">
        <v>1020</v>
      </c>
    </row>
    <row r="1492" spans="1:2" x14ac:dyDescent="0.25">
      <c r="A1492" t="s">
        <v>98</v>
      </c>
      <c r="B1492">
        <v>1020</v>
      </c>
    </row>
    <row r="1493" spans="1:2" x14ac:dyDescent="0.25">
      <c r="A1493" t="s">
        <v>98</v>
      </c>
      <c r="B1493">
        <v>1020</v>
      </c>
    </row>
    <row r="1494" spans="1:2" x14ac:dyDescent="0.25">
      <c r="A1494" t="s">
        <v>98</v>
      </c>
      <c r="B1494">
        <v>1020</v>
      </c>
    </row>
    <row r="1495" spans="1:2" x14ac:dyDescent="0.25">
      <c r="A1495" t="s">
        <v>98</v>
      </c>
      <c r="B1495">
        <v>1020</v>
      </c>
    </row>
    <row r="1496" spans="1:2" x14ac:dyDescent="0.25">
      <c r="A1496" t="s">
        <v>98</v>
      </c>
      <c r="B1496">
        <v>1020</v>
      </c>
    </row>
    <row r="1497" spans="1:2" x14ac:dyDescent="0.25">
      <c r="A1497" t="s">
        <v>98</v>
      </c>
      <c r="B1497">
        <v>1020</v>
      </c>
    </row>
    <row r="1498" spans="1:2" x14ac:dyDescent="0.25">
      <c r="A1498" t="s">
        <v>98</v>
      </c>
      <c r="B1498">
        <v>1020</v>
      </c>
    </row>
    <row r="1499" spans="1:2" x14ac:dyDescent="0.25">
      <c r="A1499" t="s">
        <v>98</v>
      </c>
      <c r="B1499">
        <v>1020</v>
      </c>
    </row>
    <row r="1500" spans="1:2" x14ac:dyDescent="0.25">
      <c r="A1500" t="s">
        <v>98</v>
      </c>
      <c r="B1500">
        <v>1020</v>
      </c>
    </row>
    <row r="1501" spans="1:2" x14ac:dyDescent="0.25">
      <c r="A1501" t="s">
        <v>98</v>
      </c>
      <c r="B1501">
        <v>1020</v>
      </c>
    </row>
    <row r="1502" spans="1:2" x14ac:dyDescent="0.25">
      <c r="A1502" t="s">
        <v>98</v>
      </c>
      <c r="B1502">
        <v>1020</v>
      </c>
    </row>
    <row r="1503" spans="1:2" x14ac:dyDescent="0.25">
      <c r="A1503" t="s">
        <v>98</v>
      </c>
      <c r="B1503">
        <v>1020</v>
      </c>
    </row>
    <row r="1504" spans="1:2" x14ac:dyDescent="0.25">
      <c r="A1504" t="s">
        <v>98</v>
      </c>
      <c r="B1504">
        <v>1020</v>
      </c>
    </row>
    <row r="1505" spans="1:2" x14ac:dyDescent="0.25">
      <c r="A1505" t="s">
        <v>98</v>
      </c>
      <c r="B1505">
        <v>1020</v>
      </c>
    </row>
    <row r="1506" spans="1:2" x14ac:dyDescent="0.25">
      <c r="A1506" t="s">
        <v>98</v>
      </c>
      <c r="B1506">
        <v>1020</v>
      </c>
    </row>
    <row r="1507" spans="1:2" x14ac:dyDescent="0.25">
      <c r="A1507" t="s">
        <v>98</v>
      </c>
      <c r="B1507">
        <v>1020</v>
      </c>
    </row>
    <row r="1508" spans="1:2" x14ac:dyDescent="0.25">
      <c r="A1508" t="s">
        <v>98</v>
      </c>
      <c r="B1508">
        <v>1020</v>
      </c>
    </row>
    <row r="1509" spans="1:2" x14ac:dyDescent="0.25">
      <c r="A1509" t="s">
        <v>98</v>
      </c>
      <c r="B1509">
        <v>1020</v>
      </c>
    </row>
    <row r="1510" spans="1:2" x14ac:dyDescent="0.25">
      <c r="A1510" t="s">
        <v>98</v>
      </c>
      <c r="B1510">
        <v>1020</v>
      </c>
    </row>
    <row r="1511" spans="1:2" x14ac:dyDescent="0.25">
      <c r="A1511" t="s">
        <v>98</v>
      </c>
      <c r="B1511">
        <v>1020</v>
      </c>
    </row>
    <row r="1512" spans="1:2" x14ac:dyDescent="0.25">
      <c r="A1512" t="s">
        <v>98</v>
      </c>
      <c r="B1512">
        <v>1020</v>
      </c>
    </row>
    <row r="1513" spans="1:2" x14ac:dyDescent="0.25">
      <c r="A1513" t="s">
        <v>98</v>
      </c>
      <c r="B1513">
        <v>1020</v>
      </c>
    </row>
    <row r="1514" spans="1:2" x14ac:dyDescent="0.25">
      <c r="A1514" t="s">
        <v>98</v>
      </c>
      <c r="B1514">
        <v>1020</v>
      </c>
    </row>
    <row r="1515" spans="1:2" x14ac:dyDescent="0.25">
      <c r="A1515" t="s">
        <v>98</v>
      </c>
      <c r="B1515">
        <v>1020</v>
      </c>
    </row>
    <row r="1516" spans="1:2" x14ac:dyDescent="0.25">
      <c r="A1516" t="s">
        <v>98</v>
      </c>
      <c r="B1516">
        <v>1020</v>
      </c>
    </row>
    <row r="1517" spans="1:2" x14ac:dyDescent="0.25">
      <c r="A1517" t="s">
        <v>98</v>
      </c>
      <c r="B1517">
        <v>1020</v>
      </c>
    </row>
    <row r="1518" spans="1:2" x14ac:dyDescent="0.25">
      <c r="A1518" t="s">
        <v>98</v>
      </c>
      <c r="B1518">
        <v>1020</v>
      </c>
    </row>
    <row r="1519" spans="1:2" x14ac:dyDescent="0.25">
      <c r="A1519" t="s">
        <v>98</v>
      </c>
      <c r="B1519">
        <v>1020</v>
      </c>
    </row>
    <row r="1520" spans="1:2" x14ac:dyDescent="0.25">
      <c r="A1520" t="s">
        <v>98</v>
      </c>
      <c r="B1520">
        <v>1020</v>
      </c>
    </row>
    <row r="1521" spans="1:2" x14ac:dyDescent="0.25">
      <c r="A1521" t="s">
        <v>98</v>
      </c>
      <c r="B1521">
        <v>1020</v>
      </c>
    </row>
    <row r="1522" spans="1:2" x14ac:dyDescent="0.25">
      <c r="A1522" t="s">
        <v>98</v>
      </c>
      <c r="B1522">
        <v>1020</v>
      </c>
    </row>
    <row r="1523" spans="1:2" x14ac:dyDescent="0.25">
      <c r="A1523" t="s">
        <v>98</v>
      </c>
      <c r="B1523">
        <v>1020</v>
      </c>
    </row>
    <row r="1524" spans="1:2" x14ac:dyDescent="0.25">
      <c r="A1524" t="s">
        <v>98</v>
      </c>
      <c r="B1524">
        <v>1020</v>
      </c>
    </row>
    <row r="1525" spans="1:2" x14ac:dyDescent="0.25">
      <c r="A1525" t="s">
        <v>98</v>
      </c>
      <c r="B1525">
        <v>1020</v>
      </c>
    </row>
    <row r="1526" spans="1:2" x14ac:dyDescent="0.25">
      <c r="A1526" t="s">
        <v>98</v>
      </c>
      <c r="B1526">
        <v>1020</v>
      </c>
    </row>
    <row r="1527" spans="1:2" x14ac:dyDescent="0.25">
      <c r="A1527" t="s">
        <v>98</v>
      </c>
      <c r="B1527">
        <v>1020</v>
      </c>
    </row>
    <row r="1528" spans="1:2" x14ac:dyDescent="0.25">
      <c r="A1528" t="s">
        <v>98</v>
      </c>
      <c r="B1528">
        <v>1020</v>
      </c>
    </row>
    <row r="1529" spans="1:2" x14ac:dyDescent="0.25">
      <c r="A1529" t="s">
        <v>98</v>
      </c>
      <c r="B1529">
        <v>1020</v>
      </c>
    </row>
    <row r="1530" spans="1:2" x14ac:dyDescent="0.25">
      <c r="A1530" t="s">
        <v>98</v>
      </c>
      <c r="B1530">
        <v>1020</v>
      </c>
    </row>
    <row r="1531" spans="1:2" x14ac:dyDescent="0.25">
      <c r="A1531" t="s">
        <v>98</v>
      </c>
      <c r="B1531">
        <v>1020</v>
      </c>
    </row>
    <row r="1532" spans="1:2" x14ac:dyDescent="0.25">
      <c r="A1532" t="s">
        <v>98</v>
      </c>
      <c r="B1532">
        <v>1020</v>
      </c>
    </row>
    <row r="1533" spans="1:2" x14ac:dyDescent="0.25">
      <c r="A1533" t="s">
        <v>98</v>
      </c>
      <c r="B1533">
        <v>1020</v>
      </c>
    </row>
    <row r="1534" spans="1:2" x14ac:dyDescent="0.25">
      <c r="A1534" t="s">
        <v>98</v>
      </c>
      <c r="B1534">
        <v>1020</v>
      </c>
    </row>
    <row r="1535" spans="1:2" x14ac:dyDescent="0.25">
      <c r="A1535" t="s">
        <v>98</v>
      </c>
      <c r="B1535">
        <v>1020</v>
      </c>
    </row>
    <row r="1536" spans="1:2" x14ac:dyDescent="0.25">
      <c r="A1536" t="s">
        <v>98</v>
      </c>
      <c r="B1536">
        <v>1020</v>
      </c>
    </row>
    <row r="1537" spans="1:2" x14ac:dyDescent="0.25">
      <c r="A1537" t="s">
        <v>98</v>
      </c>
      <c r="B1537">
        <v>1020</v>
      </c>
    </row>
    <row r="1538" spans="1:2" x14ac:dyDescent="0.25">
      <c r="A1538" t="s">
        <v>98</v>
      </c>
      <c r="B1538">
        <v>1020</v>
      </c>
    </row>
    <row r="1539" spans="1:2" x14ac:dyDescent="0.25">
      <c r="A1539" t="s">
        <v>98</v>
      </c>
      <c r="B1539">
        <v>1020</v>
      </c>
    </row>
    <row r="1540" spans="1:2" x14ac:dyDescent="0.25">
      <c r="A1540" t="s">
        <v>98</v>
      </c>
      <c r="B1540">
        <v>1020</v>
      </c>
    </row>
    <row r="1541" spans="1:2" x14ac:dyDescent="0.25">
      <c r="A1541" t="s">
        <v>98</v>
      </c>
      <c r="B1541">
        <v>1020</v>
      </c>
    </row>
    <row r="1542" spans="1:2" x14ac:dyDescent="0.25">
      <c r="A1542" t="s">
        <v>98</v>
      </c>
      <c r="B1542">
        <v>1020</v>
      </c>
    </row>
    <row r="1543" spans="1:2" x14ac:dyDescent="0.25">
      <c r="A1543" t="s">
        <v>98</v>
      </c>
      <c r="B1543">
        <v>1020</v>
      </c>
    </row>
    <row r="1544" spans="1:2" x14ac:dyDescent="0.25">
      <c r="A1544" t="s">
        <v>98</v>
      </c>
      <c r="B1544">
        <v>1020</v>
      </c>
    </row>
    <row r="1545" spans="1:2" x14ac:dyDescent="0.25">
      <c r="A1545" t="s">
        <v>98</v>
      </c>
      <c r="B1545">
        <v>1020</v>
      </c>
    </row>
    <row r="1546" spans="1:2" x14ac:dyDescent="0.25">
      <c r="A1546" t="s">
        <v>98</v>
      </c>
      <c r="B1546">
        <v>1020</v>
      </c>
    </row>
    <row r="1547" spans="1:2" x14ac:dyDescent="0.25">
      <c r="A1547" t="s">
        <v>98</v>
      </c>
      <c r="B1547">
        <v>1020</v>
      </c>
    </row>
    <row r="1548" spans="1:2" x14ac:dyDescent="0.25">
      <c r="A1548" t="s">
        <v>98</v>
      </c>
      <c r="B1548">
        <v>1020</v>
      </c>
    </row>
    <row r="1549" spans="1:2" x14ac:dyDescent="0.25">
      <c r="A1549" t="s">
        <v>98</v>
      </c>
      <c r="B1549">
        <v>1020</v>
      </c>
    </row>
    <row r="1550" spans="1:2" x14ac:dyDescent="0.25">
      <c r="A1550" t="s">
        <v>98</v>
      </c>
      <c r="B1550">
        <v>1020</v>
      </c>
    </row>
    <row r="1551" spans="1:2" x14ac:dyDescent="0.25">
      <c r="A1551" t="s">
        <v>98</v>
      </c>
      <c r="B1551">
        <v>1020</v>
      </c>
    </row>
    <row r="1552" spans="1:2" x14ac:dyDescent="0.25">
      <c r="A1552" t="s">
        <v>98</v>
      </c>
      <c r="B1552">
        <v>1020</v>
      </c>
    </row>
    <row r="1553" spans="1:2" x14ac:dyDescent="0.25">
      <c r="A1553" t="s">
        <v>98</v>
      </c>
      <c r="B1553">
        <v>1020</v>
      </c>
    </row>
    <row r="1554" spans="1:2" x14ac:dyDescent="0.25">
      <c r="A1554" t="s">
        <v>98</v>
      </c>
      <c r="B1554">
        <v>1020</v>
      </c>
    </row>
    <row r="1555" spans="1:2" x14ac:dyDescent="0.25">
      <c r="A1555" t="s">
        <v>98</v>
      </c>
      <c r="B1555">
        <v>1020</v>
      </c>
    </row>
    <row r="1556" spans="1:2" x14ac:dyDescent="0.25">
      <c r="A1556" t="s">
        <v>98</v>
      </c>
      <c r="B1556">
        <v>1020</v>
      </c>
    </row>
    <row r="1557" spans="1:2" x14ac:dyDescent="0.25">
      <c r="A1557" t="s">
        <v>98</v>
      </c>
      <c r="B1557">
        <v>1020</v>
      </c>
    </row>
    <row r="1558" spans="1:2" x14ac:dyDescent="0.25">
      <c r="A1558" t="s">
        <v>98</v>
      </c>
      <c r="B1558">
        <v>1020</v>
      </c>
    </row>
    <row r="1559" spans="1:2" x14ac:dyDescent="0.25">
      <c r="A1559" t="s">
        <v>98</v>
      </c>
      <c r="B1559">
        <v>1020</v>
      </c>
    </row>
    <row r="1560" spans="1:2" x14ac:dyDescent="0.25">
      <c r="A1560" t="s">
        <v>98</v>
      </c>
      <c r="B1560">
        <v>1020</v>
      </c>
    </row>
    <row r="1561" spans="1:2" x14ac:dyDescent="0.25">
      <c r="A1561" t="s">
        <v>98</v>
      </c>
      <c r="B1561">
        <v>1020</v>
      </c>
    </row>
    <row r="1562" spans="1:2" x14ac:dyDescent="0.25">
      <c r="A1562" t="s">
        <v>98</v>
      </c>
      <c r="B1562">
        <v>1020</v>
      </c>
    </row>
    <row r="1563" spans="1:2" x14ac:dyDescent="0.25">
      <c r="A1563" t="s">
        <v>98</v>
      </c>
      <c r="B1563">
        <v>1020</v>
      </c>
    </row>
    <row r="1564" spans="1:2" x14ac:dyDescent="0.25">
      <c r="A1564" t="s">
        <v>98</v>
      </c>
      <c r="B1564">
        <v>1020</v>
      </c>
    </row>
    <row r="1565" spans="1:2" x14ac:dyDescent="0.25">
      <c r="A1565" t="s">
        <v>98</v>
      </c>
      <c r="B1565">
        <v>1020</v>
      </c>
    </row>
    <row r="1566" spans="1:2" x14ac:dyDescent="0.25">
      <c r="A1566" t="s">
        <v>98</v>
      </c>
      <c r="B1566">
        <v>1020</v>
      </c>
    </row>
    <row r="1567" spans="1:2" x14ac:dyDescent="0.25">
      <c r="A1567" t="s">
        <v>98</v>
      </c>
      <c r="B1567">
        <v>1020</v>
      </c>
    </row>
    <row r="1568" spans="1:2" x14ac:dyDescent="0.25">
      <c r="A1568" t="s">
        <v>98</v>
      </c>
      <c r="B1568">
        <v>1020</v>
      </c>
    </row>
    <row r="1569" spans="1:2" x14ac:dyDescent="0.25">
      <c r="A1569" t="s">
        <v>98</v>
      </c>
      <c r="B1569">
        <v>1020</v>
      </c>
    </row>
    <row r="1570" spans="1:2" x14ac:dyDescent="0.25">
      <c r="A1570" t="s">
        <v>98</v>
      </c>
      <c r="B1570">
        <v>1020</v>
      </c>
    </row>
    <row r="1571" spans="1:2" x14ac:dyDescent="0.25">
      <c r="A1571" t="s">
        <v>98</v>
      </c>
      <c r="B1571">
        <v>1020</v>
      </c>
    </row>
    <row r="1572" spans="1:2" x14ac:dyDescent="0.25">
      <c r="A1572" t="s">
        <v>98</v>
      </c>
      <c r="B1572">
        <v>1020</v>
      </c>
    </row>
    <row r="1573" spans="1:2" x14ac:dyDescent="0.25">
      <c r="A1573" t="s">
        <v>98</v>
      </c>
      <c r="B1573">
        <v>1020</v>
      </c>
    </row>
    <row r="1574" spans="1:2" x14ac:dyDescent="0.25">
      <c r="A1574" t="s">
        <v>98</v>
      </c>
      <c r="B1574">
        <v>1020</v>
      </c>
    </row>
    <row r="1575" spans="1:2" x14ac:dyDescent="0.25">
      <c r="A1575" t="s">
        <v>98</v>
      </c>
      <c r="B1575">
        <v>1020</v>
      </c>
    </row>
    <row r="1576" spans="1:2" x14ac:dyDescent="0.25">
      <c r="A1576" t="s">
        <v>98</v>
      </c>
      <c r="B1576">
        <v>1020</v>
      </c>
    </row>
    <row r="1577" spans="1:2" x14ac:dyDescent="0.25">
      <c r="A1577" t="s">
        <v>98</v>
      </c>
      <c r="B1577">
        <v>1020</v>
      </c>
    </row>
    <row r="1578" spans="1:2" x14ac:dyDescent="0.25">
      <c r="A1578" t="s">
        <v>98</v>
      </c>
      <c r="B1578">
        <v>1020</v>
      </c>
    </row>
    <row r="1579" spans="1:2" x14ac:dyDescent="0.25">
      <c r="A1579" t="s">
        <v>98</v>
      </c>
      <c r="B1579">
        <v>1020</v>
      </c>
    </row>
    <row r="1580" spans="1:2" x14ac:dyDescent="0.25">
      <c r="A1580" t="s">
        <v>98</v>
      </c>
      <c r="B1580">
        <v>1020</v>
      </c>
    </row>
    <row r="1581" spans="1:2" x14ac:dyDescent="0.25">
      <c r="A1581" t="s">
        <v>98</v>
      </c>
      <c r="B1581">
        <v>1020</v>
      </c>
    </row>
    <row r="1582" spans="1:2" x14ac:dyDescent="0.25">
      <c r="A1582" t="s">
        <v>98</v>
      </c>
      <c r="B1582">
        <v>1020</v>
      </c>
    </row>
    <row r="1583" spans="1:2" x14ac:dyDescent="0.25">
      <c r="A1583" t="s">
        <v>98</v>
      </c>
      <c r="B1583">
        <v>1020</v>
      </c>
    </row>
    <row r="1584" spans="1:2" x14ac:dyDescent="0.25">
      <c r="A1584" t="s">
        <v>98</v>
      </c>
      <c r="B1584">
        <v>1020</v>
      </c>
    </row>
    <row r="1585" spans="1:2" x14ac:dyDescent="0.25">
      <c r="A1585" t="s">
        <v>98</v>
      </c>
      <c r="B1585">
        <v>1020</v>
      </c>
    </row>
    <row r="1586" spans="1:2" x14ac:dyDescent="0.25">
      <c r="A1586" t="s">
        <v>98</v>
      </c>
      <c r="B1586">
        <v>1020</v>
      </c>
    </row>
    <row r="1587" spans="1:2" x14ac:dyDescent="0.25">
      <c r="A1587" t="s">
        <v>98</v>
      </c>
      <c r="B1587">
        <v>1020</v>
      </c>
    </row>
    <row r="1588" spans="1:2" x14ac:dyDescent="0.25">
      <c r="A1588" t="s">
        <v>98</v>
      </c>
      <c r="B1588">
        <v>1020</v>
      </c>
    </row>
    <row r="1589" spans="1:2" x14ac:dyDescent="0.25">
      <c r="A1589" t="s">
        <v>98</v>
      </c>
      <c r="B1589">
        <v>1020</v>
      </c>
    </row>
    <row r="1590" spans="1:2" x14ac:dyDescent="0.25">
      <c r="A1590" t="s">
        <v>98</v>
      </c>
      <c r="B1590">
        <v>1020</v>
      </c>
    </row>
    <row r="1591" spans="1:2" x14ac:dyDescent="0.25">
      <c r="A1591" t="s">
        <v>98</v>
      </c>
      <c r="B1591">
        <v>1020</v>
      </c>
    </row>
    <row r="1592" spans="1:2" x14ac:dyDescent="0.25">
      <c r="A1592" t="s">
        <v>98</v>
      </c>
      <c r="B1592">
        <v>1020</v>
      </c>
    </row>
    <row r="1593" spans="1:2" x14ac:dyDescent="0.25">
      <c r="A1593" t="s">
        <v>98</v>
      </c>
      <c r="B1593">
        <v>1020</v>
      </c>
    </row>
    <row r="1594" spans="1:2" x14ac:dyDescent="0.25">
      <c r="A1594" t="s">
        <v>98</v>
      </c>
      <c r="B1594">
        <v>1020</v>
      </c>
    </row>
    <row r="1595" spans="1:2" x14ac:dyDescent="0.25">
      <c r="A1595" t="s">
        <v>98</v>
      </c>
      <c r="B1595">
        <v>1020</v>
      </c>
    </row>
    <row r="1596" spans="1:2" x14ac:dyDescent="0.25">
      <c r="A1596" t="s">
        <v>98</v>
      </c>
      <c r="B1596">
        <v>1020</v>
      </c>
    </row>
    <row r="1597" spans="1:2" x14ac:dyDescent="0.25">
      <c r="A1597" t="s">
        <v>98</v>
      </c>
      <c r="B1597">
        <v>1020</v>
      </c>
    </row>
    <row r="1598" spans="1:2" x14ac:dyDescent="0.25">
      <c r="A1598" t="s">
        <v>98</v>
      </c>
      <c r="B1598">
        <v>1020</v>
      </c>
    </row>
    <row r="1599" spans="1:2" x14ac:dyDescent="0.25">
      <c r="A1599" t="s">
        <v>98</v>
      </c>
      <c r="B1599">
        <v>1020</v>
      </c>
    </row>
    <row r="1600" spans="1:2" x14ac:dyDescent="0.25">
      <c r="A1600" t="s">
        <v>98</v>
      </c>
      <c r="B1600">
        <v>1020</v>
      </c>
    </row>
    <row r="1601" spans="1:2" x14ac:dyDescent="0.25">
      <c r="A1601" t="s">
        <v>98</v>
      </c>
      <c r="B1601">
        <v>1020</v>
      </c>
    </row>
    <row r="1602" spans="1:2" x14ac:dyDescent="0.25">
      <c r="A1602" t="s">
        <v>98</v>
      </c>
      <c r="B1602">
        <v>1020</v>
      </c>
    </row>
    <row r="1603" spans="1:2" x14ac:dyDescent="0.25">
      <c r="A1603" t="s">
        <v>98</v>
      </c>
      <c r="B1603">
        <v>1020</v>
      </c>
    </row>
    <row r="1604" spans="1:2" x14ac:dyDescent="0.25">
      <c r="A1604" t="s">
        <v>98</v>
      </c>
      <c r="B1604">
        <v>1020</v>
      </c>
    </row>
    <row r="1605" spans="1:2" x14ac:dyDescent="0.25">
      <c r="A1605" t="s">
        <v>98</v>
      </c>
      <c r="B1605">
        <v>1020</v>
      </c>
    </row>
    <row r="1606" spans="1:2" x14ac:dyDescent="0.25">
      <c r="A1606" t="s">
        <v>98</v>
      </c>
      <c r="B1606">
        <v>1020</v>
      </c>
    </row>
    <row r="1607" spans="1:2" x14ac:dyDescent="0.25">
      <c r="A1607" t="s">
        <v>98</v>
      </c>
      <c r="B1607">
        <v>1020</v>
      </c>
    </row>
    <row r="1608" spans="1:2" x14ac:dyDescent="0.25">
      <c r="A1608" t="s">
        <v>98</v>
      </c>
      <c r="B1608">
        <v>1020</v>
      </c>
    </row>
    <row r="1609" spans="1:2" x14ac:dyDescent="0.25">
      <c r="A1609" t="s">
        <v>98</v>
      </c>
      <c r="B1609">
        <v>1020</v>
      </c>
    </row>
    <row r="1610" spans="1:2" x14ac:dyDescent="0.25">
      <c r="A1610" t="s">
        <v>98</v>
      </c>
      <c r="B1610">
        <v>1020</v>
      </c>
    </row>
    <row r="1611" spans="1:2" x14ac:dyDescent="0.25">
      <c r="A1611" t="s">
        <v>98</v>
      </c>
      <c r="B1611">
        <v>1020</v>
      </c>
    </row>
    <row r="1612" spans="1:2" x14ac:dyDescent="0.25">
      <c r="A1612" t="s">
        <v>98</v>
      </c>
      <c r="B1612">
        <v>1020</v>
      </c>
    </row>
    <row r="1613" spans="1:2" x14ac:dyDescent="0.25">
      <c r="A1613" t="s">
        <v>98</v>
      </c>
      <c r="B1613">
        <v>1020</v>
      </c>
    </row>
    <row r="1614" spans="1:2" x14ac:dyDescent="0.25">
      <c r="A1614" t="s">
        <v>98</v>
      </c>
      <c r="B1614">
        <v>1020</v>
      </c>
    </row>
    <row r="1615" spans="1:2" x14ac:dyDescent="0.25">
      <c r="A1615" t="s">
        <v>98</v>
      </c>
      <c r="B1615">
        <v>1020</v>
      </c>
    </row>
    <row r="1616" spans="1:2" x14ac:dyDescent="0.25">
      <c r="A1616" t="s">
        <v>98</v>
      </c>
      <c r="B1616">
        <v>1020</v>
      </c>
    </row>
    <row r="1617" spans="1:2" x14ac:dyDescent="0.25">
      <c r="A1617" t="s">
        <v>98</v>
      </c>
      <c r="B1617">
        <v>1020</v>
      </c>
    </row>
    <row r="1618" spans="1:2" x14ac:dyDescent="0.25">
      <c r="A1618" t="s">
        <v>98</v>
      </c>
      <c r="B1618">
        <v>1020</v>
      </c>
    </row>
    <row r="1619" spans="1:2" x14ac:dyDescent="0.25">
      <c r="A1619" t="s">
        <v>98</v>
      </c>
      <c r="B1619">
        <v>1020</v>
      </c>
    </row>
    <row r="1620" spans="1:2" x14ac:dyDescent="0.25">
      <c r="A1620" t="s">
        <v>98</v>
      </c>
      <c r="B1620">
        <v>1020</v>
      </c>
    </row>
    <row r="1621" spans="1:2" x14ac:dyDescent="0.25">
      <c r="A1621" t="s">
        <v>98</v>
      </c>
      <c r="B1621">
        <v>1020</v>
      </c>
    </row>
    <row r="1622" spans="1:2" x14ac:dyDescent="0.25">
      <c r="A1622" t="s">
        <v>98</v>
      </c>
      <c r="B1622">
        <v>1020</v>
      </c>
    </row>
    <row r="1623" spans="1:2" x14ac:dyDescent="0.25">
      <c r="A1623" t="s">
        <v>98</v>
      </c>
      <c r="B1623">
        <v>1020</v>
      </c>
    </row>
    <row r="1624" spans="1:2" x14ac:dyDescent="0.25">
      <c r="A1624" t="s">
        <v>98</v>
      </c>
      <c r="B1624">
        <v>1020</v>
      </c>
    </row>
    <row r="1625" spans="1:2" x14ac:dyDescent="0.25">
      <c r="A1625" t="s">
        <v>98</v>
      </c>
      <c r="B1625">
        <v>1020</v>
      </c>
    </row>
    <row r="1626" spans="1:2" x14ac:dyDescent="0.25">
      <c r="A1626" t="s">
        <v>98</v>
      </c>
      <c r="B1626">
        <v>1020</v>
      </c>
    </row>
    <row r="1627" spans="1:2" x14ac:dyDescent="0.25">
      <c r="A1627" t="s">
        <v>98</v>
      </c>
      <c r="B1627">
        <v>1020</v>
      </c>
    </row>
    <row r="1628" spans="1:2" x14ac:dyDescent="0.25">
      <c r="A1628" t="s">
        <v>98</v>
      </c>
      <c r="B1628">
        <v>1020</v>
      </c>
    </row>
    <row r="1629" spans="1:2" x14ac:dyDescent="0.25">
      <c r="A1629" t="s">
        <v>98</v>
      </c>
      <c r="B1629">
        <v>1020</v>
      </c>
    </row>
    <row r="1630" spans="1:2" x14ac:dyDescent="0.25">
      <c r="A1630" t="s">
        <v>98</v>
      </c>
      <c r="B1630">
        <v>1020</v>
      </c>
    </row>
    <row r="1631" spans="1:2" x14ac:dyDescent="0.25">
      <c r="A1631" t="s">
        <v>98</v>
      </c>
      <c r="B1631">
        <v>1020</v>
      </c>
    </row>
    <row r="1632" spans="1:2" x14ac:dyDescent="0.25">
      <c r="A1632" t="s">
        <v>98</v>
      </c>
      <c r="B1632">
        <v>1020</v>
      </c>
    </row>
    <row r="1633" spans="1:2" x14ac:dyDescent="0.25">
      <c r="A1633" t="s">
        <v>98</v>
      </c>
      <c r="B1633">
        <v>1020</v>
      </c>
    </row>
    <row r="1634" spans="1:2" x14ac:dyDescent="0.25">
      <c r="A1634" t="s">
        <v>98</v>
      </c>
      <c r="B1634">
        <v>1020</v>
      </c>
    </row>
    <row r="1635" spans="1:2" x14ac:dyDescent="0.25">
      <c r="A1635" t="s">
        <v>98</v>
      </c>
      <c r="B1635">
        <v>1020</v>
      </c>
    </row>
    <row r="1636" spans="1:2" x14ac:dyDescent="0.25">
      <c r="A1636" t="s">
        <v>98</v>
      </c>
      <c r="B1636">
        <v>1020</v>
      </c>
    </row>
    <row r="1637" spans="1:2" x14ac:dyDescent="0.25">
      <c r="A1637" t="s">
        <v>98</v>
      </c>
      <c r="B1637">
        <v>1020</v>
      </c>
    </row>
    <row r="1638" spans="1:2" x14ac:dyDescent="0.25">
      <c r="A1638" t="s">
        <v>98</v>
      </c>
      <c r="B1638">
        <v>1020</v>
      </c>
    </row>
    <row r="1639" spans="1:2" x14ac:dyDescent="0.25">
      <c r="A1639" t="s">
        <v>98</v>
      </c>
      <c r="B1639">
        <v>1020</v>
      </c>
    </row>
    <row r="1640" spans="1:2" x14ac:dyDescent="0.25">
      <c r="A1640" t="s">
        <v>98</v>
      </c>
      <c r="B1640">
        <v>1020</v>
      </c>
    </row>
    <row r="1641" spans="1:2" x14ac:dyDescent="0.25">
      <c r="A1641" t="s">
        <v>98</v>
      </c>
      <c r="B1641">
        <v>1020</v>
      </c>
    </row>
    <row r="1642" spans="1:2" x14ac:dyDescent="0.25">
      <c r="A1642" t="s">
        <v>98</v>
      </c>
      <c r="B1642">
        <v>1020</v>
      </c>
    </row>
    <row r="1643" spans="1:2" x14ac:dyDescent="0.25">
      <c r="A1643" t="s">
        <v>98</v>
      </c>
      <c r="B1643">
        <v>1020</v>
      </c>
    </row>
    <row r="1644" spans="1:2" x14ac:dyDescent="0.25">
      <c r="A1644" t="s">
        <v>98</v>
      </c>
      <c r="B1644">
        <v>1020</v>
      </c>
    </row>
    <row r="1645" spans="1:2" x14ac:dyDescent="0.25">
      <c r="A1645" t="s">
        <v>98</v>
      </c>
      <c r="B1645">
        <v>1020</v>
      </c>
    </row>
    <row r="1646" spans="1:2" x14ac:dyDescent="0.25">
      <c r="A1646" t="s">
        <v>98</v>
      </c>
      <c r="B1646">
        <v>1020</v>
      </c>
    </row>
    <row r="1647" spans="1:2" x14ac:dyDescent="0.25">
      <c r="A1647" t="s">
        <v>98</v>
      </c>
      <c r="B1647">
        <v>1020</v>
      </c>
    </row>
    <row r="1648" spans="1:2" x14ac:dyDescent="0.25">
      <c r="A1648" t="s">
        <v>98</v>
      </c>
      <c r="B1648">
        <v>1020</v>
      </c>
    </row>
    <row r="1649" spans="1:2" x14ac:dyDescent="0.25">
      <c r="A1649" t="s">
        <v>98</v>
      </c>
      <c r="B1649">
        <v>1020</v>
      </c>
    </row>
    <row r="1650" spans="1:2" x14ac:dyDescent="0.25">
      <c r="A1650" t="s">
        <v>98</v>
      </c>
      <c r="B1650">
        <v>1020</v>
      </c>
    </row>
    <row r="1651" spans="1:2" x14ac:dyDescent="0.25">
      <c r="A1651" t="s">
        <v>98</v>
      </c>
      <c r="B1651">
        <v>1020</v>
      </c>
    </row>
    <row r="1652" spans="1:2" x14ac:dyDescent="0.25">
      <c r="A1652" t="s">
        <v>98</v>
      </c>
      <c r="B1652">
        <v>1020</v>
      </c>
    </row>
    <row r="1653" spans="1:2" x14ac:dyDescent="0.25">
      <c r="A1653" t="s">
        <v>98</v>
      </c>
      <c r="B1653">
        <v>1020</v>
      </c>
    </row>
    <row r="1654" spans="1:2" x14ac:dyDescent="0.25">
      <c r="A1654" t="s">
        <v>98</v>
      </c>
      <c r="B1654">
        <v>1020</v>
      </c>
    </row>
    <row r="1655" spans="1:2" x14ac:dyDescent="0.25">
      <c r="A1655" t="s">
        <v>98</v>
      </c>
      <c r="B1655">
        <v>1020</v>
      </c>
    </row>
    <row r="1656" spans="1:2" x14ac:dyDescent="0.25">
      <c r="A1656" t="s">
        <v>98</v>
      </c>
      <c r="B1656">
        <v>1020</v>
      </c>
    </row>
    <row r="1657" spans="1:2" x14ac:dyDescent="0.25">
      <c r="A1657" t="s">
        <v>98</v>
      </c>
      <c r="B1657">
        <v>1020</v>
      </c>
    </row>
    <row r="1658" spans="1:2" x14ac:dyDescent="0.25">
      <c r="A1658" t="s">
        <v>98</v>
      </c>
      <c r="B1658">
        <v>1020</v>
      </c>
    </row>
    <row r="1659" spans="1:2" x14ac:dyDescent="0.25">
      <c r="A1659" t="s">
        <v>98</v>
      </c>
      <c r="B1659">
        <v>1020</v>
      </c>
    </row>
    <row r="1660" spans="1:2" x14ac:dyDescent="0.25">
      <c r="A1660" t="s">
        <v>98</v>
      </c>
      <c r="B1660">
        <v>1020</v>
      </c>
    </row>
    <row r="1661" spans="1:2" x14ac:dyDescent="0.25">
      <c r="A1661" t="s">
        <v>98</v>
      </c>
      <c r="B1661">
        <v>1020</v>
      </c>
    </row>
    <row r="1662" spans="1:2" x14ac:dyDescent="0.25">
      <c r="A1662" t="s">
        <v>98</v>
      </c>
      <c r="B1662">
        <v>1020</v>
      </c>
    </row>
    <row r="1663" spans="1:2" x14ac:dyDescent="0.25">
      <c r="A1663" t="s">
        <v>98</v>
      </c>
      <c r="B1663">
        <v>1020</v>
      </c>
    </row>
    <row r="1664" spans="1:2" x14ac:dyDescent="0.25">
      <c r="A1664" t="s">
        <v>98</v>
      </c>
      <c r="B1664">
        <v>1020</v>
      </c>
    </row>
    <row r="1665" spans="1:2" x14ac:dyDescent="0.25">
      <c r="A1665" t="s">
        <v>98</v>
      </c>
      <c r="B1665">
        <v>1020</v>
      </c>
    </row>
    <row r="1666" spans="1:2" x14ac:dyDescent="0.25">
      <c r="A1666" t="s">
        <v>98</v>
      </c>
      <c r="B1666">
        <v>1020</v>
      </c>
    </row>
    <row r="1667" spans="1:2" x14ac:dyDescent="0.25">
      <c r="A1667" t="s">
        <v>98</v>
      </c>
      <c r="B1667">
        <v>1020</v>
      </c>
    </row>
    <row r="1668" spans="1:2" x14ac:dyDescent="0.25">
      <c r="A1668" t="s">
        <v>98</v>
      </c>
      <c r="B1668">
        <v>1020</v>
      </c>
    </row>
    <row r="1669" spans="1:2" x14ac:dyDescent="0.25">
      <c r="A1669" t="s">
        <v>98</v>
      </c>
      <c r="B1669">
        <v>1020</v>
      </c>
    </row>
    <row r="1670" spans="1:2" x14ac:dyDescent="0.25">
      <c r="A1670" t="s">
        <v>98</v>
      </c>
      <c r="B1670">
        <v>1020</v>
      </c>
    </row>
    <row r="1671" spans="1:2" x14ac:dyDescent="0.25">
      <c r="A1671" t="s">
        <v>98</v>
      </c>
      <c r="B1671">
        <v>1020</v>
      </c>
    </row>
    <row r="1672" spans="1:2" x14ac:dyDescent="0.25">
      <c r="A1672" t="s">
        <v>98</v>
      </c>
      <c r="B1672">
        <v>1020</v>
      </c>
    </row>
    <row r="1673" spans="1:2" x14ac:dyDescent="0.25">
      <c r="A1673" t="s">
        <v>98</v>
      </c>
      <c r="B1673">
        <v>1020</v>
      </c>
    </row>
    <row r="1674" spans="1:2" x14ac:dyDescent="0.25">
      <c r="A1674" t="s">
        <v>98</v>
      </c>
      <c r="B1674">
        <v>1020</v>
      </c>
    </row>
    <row r="1675" spans="1:2" x14ac:dyDescent="0.25">
      <c r="A1675" t="s">
        <v>98</v>
      </c>
      <c r="B1675">
        <v>1020</v>
      </c>
    </row>
    <row r="1676" spans="1:2" x14ac:dyDescent="0.25">
      <c r="A1676" t="s">
        <v>98</v>
      </c>
      <c r="B1676">
        <v>1020</v>
      </c>
    </row>
    <row r="1677" spans="1:2" x14ac:dyDescent="0.25">
      <c r="A1677" t="s">
        <v>98</v>
      </c>
      <c r="B1677">
        <v>1020</v>
      </c>
    </row>
    <row r="1678" spans="1:2" x14ac:dyDescent="0.25">
      <c r="A1678" t="s">
        <v>98</v>
      </c>
      <c r="B1678">
        <v>1020</v>
      </c>
    </row>
    <row r="1679" spans="1:2" x14ac:dyDescent="0.25">
      <c r="A1679" t="s">
        <v>98</v>
      </c>
      <c r="B1679">
        <v>1020</v>
      </c>
    </row>
    <row r="1680" spans="1:2" x14ac:dyDescent="0.25">
      <c r="A1680" t="s">
        <v>98</v>
      </c>
      <c r="B1680">
        <v>1020</v>
      </c>
    </row>
    <row r="1681" spans="1:2" x14ac:dyDescent="0.25">
      <c r="A1681" t="s">
        <v>98</v>
      </c>
      <c r="B1681">
        <v>1020</v>
      </c>
    </row>
    <row r="1682" spans="1:2" x14ac:dyDescent="0.25">
      <c r="A1682" t="s">
        <v>98</v>
      </c>
      <c r="B1682">
        <v>1020</v>
      </c>
    </row>
    <row r="1683" spans="1:2" x14ac:dyDescent="0.25">
      <c r="A1683" t="s">
        <v>98</v>
      </c>
      <c r="B1683">
        <v>1020</v>
      </c>
    </row>
    <row r="1684" spans="1:2" x14ac:dyDescent="0.25">
      <c r="A1684" t="s">
        <v>98</v>
      </c>
      <c r="B1684">
        <v>1020</v>
      </c>
    </row>
    <row r="1685" spans="1:2" x14ac:dyDescent="0.25">
      <c r="A1685" t="s">
        <v>98</v>
      </c>
      <c r="B1685">
        <v>1020</v>
      </c>
    </row>
    <row r="1686" spans="1:2" x14ac:dyDescent="0.25">
      <c r="A1686" t="s">
        <v>98</v>
      </c>
      <c r="B1686">
        <v>1020</v>
      </c>
    </row>
    <row r="1687" spans="1:2" x14ac:dyDescent="0.25">
      <c r="A1687" t="s">
        <v>98</v>
      </c>
      <c r="B1687">
        <v>1020</v>
      </c>
    </row>
    <row r="1688" spans="1:2" x14ac:dyDescent="0.25">
      <c r="A1688" t="s">
        <v>98</v>
      </c>
      <c r="B1688">
        <v>1020</v>
      </c>
    </row>
    <row r="1689" spans="1:2" x14ac:dyDescent="0.25">
      <c r="A1689" t="s">
        <v>98</v>
      </c>
      <c r="B1689">
        <v>1020</v>
      </c>
    </row>
    <row r="1690" spans="1:2" x14ac:dyDescent="0.25">
      <c r="A1690" t="s">
        <v>98</v>
      </c>
      <c r="B1690">
        <v>1020</v>
      </c>
    </row>
    <row r="1691" spans="1:2" x14ac:dyDescent="0.25">
      <c r="A1691" t="s">
        <v>98</v>
      </c>
      <c r="B1691">
        <v>1020</v>
      </c>
    </row>
    <row r="1692" spans="1:2" x14ac:dyDescent="0.25">
      <c r="A1692" t="s">
        <v>98</v>
      </c>
      <c r="B1692">
        <v>1020</v>
      </c>
    </row>
    <row r="1693" spans="1:2" x14ac:dyDescent="0.25">
      <c r="A1693" t="s">
        <v>98</v>
      </c>
      <c r="B1693">
        <v>1020</v>
      </c>
    </row>
    <row r="1694" spans="1:2" x14ac:dyDescent="0.25">
      <c r="A1694" t="s">
        <v>98</v>
      </c>
      <c r="B1694">
        <v>1020</v>
      </c>
    </row>
    <row r="1695" spans="1:2" x14ac:dyDescent="0.25">
      <c r="A1695" t="s">
        <v>98</v>
      </c>
      <c r="B1695">
        <v>1020</v>
      </c>
    </row>
    <row r="1696" spans="1:2" x14ac:dyDescent="0.25">
      <c r="A1696" t="s">
        <v>98</v>
      </c>
      <c r="B1696">
        <v>1020</v>
      </c>
    </row>
    <row r="1697" spans="1:2" x14ac:dyDescent="0.25">
      <c r="A1697" t="s">
        <v>98</v>
      </c>
      <c r="B1697">
        <v>1020</v>
      </c>
    </row>
    <row r="1698" spans="1:2" x14ac:dyDescent="0.25">
      <c r="A1698" t="s">
        <v>98</v>
      </c>
      <c r="B1698">
        <v>1020</v>
      </c>
    </row>
    <row r="1699" spans="1:2" x14ac:dyDescent="0.25">
      <c r="A1699" t="s">
        <v>98</v>
      </c>
      <c r="B1699">
        <v>1020</v>
      </c>
    </row>
    <row r="1700" spans="1:2" x14ac:dyDescent="0.25">
      <c r="A1700" t="s">
        <v>98</v>
      </c>
      <c r="B1700">
        <v>1020</v>
      </c>
    </row>
    <row r="1701" spans="1:2" x14ac:dyDescent="0.25">
      <c r="A1701" t="s">
        <v>98</v>
      </c>
      <c r="B1701">
        <v>1020</v>
      </c>
    </row>
    <row r="1702" spans="1:2" x14ac:dyDescent="0.25">
      <c r="A1702" t="s">
        <v>98</v>
      </c>
      <c r="B1702">
        <v>1020</v>
      </c>
    </row>
    <row r="1703" spans="1:2" x14ac:dyDescent="0.25">
      <c r="A1703" t="s">
        <v>98</v>
      </c>
      <c r="B1703">
        <v>1020</v>
      </c>
    </row>
    <row r="1704" spans="1:2" x14ac:dyDescent="0.25">
      <c r="A1704" t="s">
        <v>98</v>
      </c>
      <c r="B1704">
        <v>1020</v>
      </c>
    </row>
    <row r="1705" spans="1:2" x14ac:dyDescent="0.25">
      <c r="A1705" t="s">
        <v>98</v>
      </c>
      <c r="B1705">
        <v>1020</v>
      </c>
    </row>
    <row r="1706" spans="1:2" x14ac:dyDescent="0.25">
      <c r="A1706" t="s">
        <v>98</v>
      </c>
      <c r="B1706">
        <v>1020</v>
      </c>
    </row>
    <row r="1707" spans="1:2" x14ac:dyDescent="0.25">
      <c r="A1707" t="s">
        <v>98</v>
      </c>
      <c r="B1707">
        <v>1020</v>
      </c>
    </row>
    <row r="1708" spans="1:2" x14ac:dyDescent="0.25">
      <c r="A1708" t="s">
        <v>98</v>
      </c>
      <c r="B1708">
        <v>1020</v>
      </c>
    </row>
    <row r="1709" spans="1:2" x14ac:dyDescent="0.25">
      <c r="A1709" t="s">
        <v>98</v>
      </c>
      <c r="B1709">
        <v>1020</v>
      </c>
    </row>
    <row r="1710" spans="1:2" x14ac:dyDescent="0.25">
      <c r="A1710" t="s">
        <v>98</v>
      </c>
      <c r="B1710">
        <v>1020</v>
      </c>
    </row>
    <row r="1711" spans="1:2" x14ac:dyDescent="0.25">
      <c r="A1711" t="s">
        <v>98</v>
      </c>
      <c r="B1711">
        <v>1020</v>
      </c>
    </row>
    <row r="1712" spans="1:2" x14ac:dyDescent="0.25">
      <c r="A1712" t="s">
        <v>98</v>
      </c>
      <c r="B1712">
        <v>1020</v>
      </c>
    </row>
    <row r="1713" spans="1:2" x14ac:dyDescent="0.25">
      <c r="A1713" t="s">
        <v>98</v>
      </c>
      <c r="B1713">
        <v>1020</v>
      </c>
    </row>
    <row r="1714" spans="1:2" x14ac:dyDescent="0.25">
      <c r="A1714" t="s">
        <v>98</v>
      </c>
      <c r="B1714">
        <v>1020</v>
      </c>
    </row>
    <row r="1715" spans="1:2" x14ac:dyDescent="0.25">
      <c r="A1715" t="s">
        <v>98</v>
      </c>
      <c r="B1715">
        <v>1020</v>
      </c>
    </row>
    <row r="1716" spans="1:2" x14ac:dyDescent="0.25">
      <c r="A1716" t="s">
        <v>98</v>
      </c>
      <c r="B1716">
        <v>1020</v>
      </c>
    </row>
    <row r="1717" spans="1:2" x14ac:dyDescent="0.25">
      <c r="A1717" t="s">
        <v>98</v>
      </c>
      <c r="B1717">
        <v>1020</v>
      </c>
    </row>
    <row r="1718" spans="1:2" x14ac:dyDescent="0.25">
      <c r="A1718" t="s">
        <v>98</v>
      </c>
      <c r="B1718">
        <v>1020</v>
      </c>
    </row>
    <row r="1719" spans="1:2" x14ac:dyDescent="0.25">
      <c r="A1719" t="s">
        <v>98</v>
      </c>
      <c r="B1719">
        <v>1020</v>
      </c>
    </row>
    <row r="1720" spans="1:2" x14ac:dyDescent="0.25">
      <c r="A1720" t="s">
        <v>98</v>
      </c>
      <c r="B1720">
        <v>1020</v>
      </c>
    </row>
    <row r="1721" spans="1:2" x14ac:dyDescent="0.25">
      <c r="A1721" t="s">
        <v>98</v>
      </c>
      <c r="B1721">
        <v>1020</v>
      </c>
    </row>
    <row r="1722" spans="1:2" x14ac:dyDescent="0.25">
      <c r="A1722" t="s">
        <v>98</v>
      </c>
      <c r="B1722">
        <v>1020</v>
      </c>
    </row>
    <row r="1723" spans="1:2" x14ac:dyDescent="0.25">
      <c r="A1723" t="s">
        <v>98</v>
      </c>
      <c r="B1723">
        <v>1020</v>
      </c>
    </row>
    <row r="1724" spans="1:2" x14ac:dyDescent="0.25">
      <c r="A1724" t="s">
        <v>98</v>
      </c>
      <c r="B1724">
        <v>1020</v>
      </c>
    </row>
    <row r="1725" spans="1:2" x14ac:dyDescent="0.25">
      <c r="A1725" t="s">
        <v>98</v>
      </c>
      <c r="B1725">
        <v>1020</v>
      </c>
    </row>
    <row r="1726" spans="1:2" x14ac:dyDescent="0.25">
      <c r="A1726" t="s">
        <v>98</v>
      </c>
      <c r="B1726">
        <v>1020</v>
      </c>
    </row>
    <row r="1727" spans="1:2" x14ac:dyDescent="0.25">
      <c r="A1727" t="s">
        <v>98</v>
      </c>
      <c r="B1727">
        <v>1020</v>
      </c>
    </row>
    <row r="1728" spans="1:2" x14ac:dyDescent="0.25">
      <c r="A1728" t="s">
        <v>98</v>
      </c>
      <c r="B1728">
        <v>1020</v>
      </c>
    </row>
    <row r="1729" spans="1:2" x14ac:dyDescent="0.25">
      <c r="A1729" t="s">
        <v>98</v>
      </c>
      <c r="B1729">
        <v>1020</v>
      </c>
    </row>
    <row r="1730" spans="1:2" x14ac:dyDescent="0.25">
      <c r="A1730" t="s">
        <v>98</v>
      </c>
      <c r="B1730">
        <v>1020</v>
      </c>
    </row>
    <row r="1731" spans="1:2" x14ac:dyDescent="0.25">
      <c r="A1731" t="s">
        <v>98</v>
      </c>
      <c r="B1731">
        <v>1020</v>
      </c>
    </row>
    <row r="1732" spans="1:2" x14ac:dyDescent="0.25">
      <c r="A1732" t="s">
        <v>98</v>
      </c>
      <c r="B1732">
        <v>1020</v>
      </c>
    </row>
    <row r="1733" spans="1:2" x14ac:dyDescent="0.25">
      <c r="A1733" t="s">
        <v>98</v>
      </c>
      <c r="B1733">
        <v>1020</v>
      </c>
    </row>
    <row r="1734" spans="1:2" x14ac:dyDescent="0.25">
      <c r="A1734" t="s">
        <v>98</v>
      </c>
      <c r="B1734">
        <v>1020</v>
      </c>
    </row>
    <row r="1735" spans="1:2" x14ac:dyDescent="0.25">
      <c r="A1735" t="s">
        <v>98</v>
      </c>
      <c r="B1735">
        <v>1020</v>
      </c>
    </row>
    <row r="1736" spans="1:2" x14ac:dyDescent="0.25">
      <c r="A1736" t="s">
        <v>98</v>
      </c>
      <c r="B1736">
        <v>1020</v>
      </c>
    </row>
    <row r="1737" spans="1:2" x14ac:dyDescent="0.25">
      <c r="A1737" t="s">
        <v>98</v>
      </c>
      <c r="B1737">
        <v>1020</v>
      </c>
    </row>
    <row r="1738" spans="1:2" x14ac:dyDescent="0.25">
      <c r="A1738" t="s">
        <v>98</v>
      </c>
      <c r="B1738">
        <v>1020</v>
      </c>
    </row>
    <row r="1739" spans="1:2" x14ac:dyDescent="0.25">
      <c r="A1739" t="s">
        <v>98</v>
      </c>
      <c r="B1739">
        <v>1020</v>
      </c>
    </row>
    <row r="1740" spans="1:2" x14ac:dyDescent="0.25">
      <c r="A1740" t="s">
        <v>98</v>
      </c>
      <c r="B1740">
        <v>1020</v>
      </c>
    </row>
    <row r="1741" spans="1:2" x14ac:dyDescent="0.25">
      <c r="A1741" t="s">
        <v>98</v>
      </c>
      <c r="B1741">
        <v>1020</v>
      </c>
    </row>
    <row r="1742" spans="1:2" x14ac:dyDescent="0.25">
      <c r="A1742" t="s">
        <v>98</v>
      </c>
      <c r="B1742">
        <v>1020</v>
      </c>
    </row>
    <row r="1743" spans="1:2" x14ac:dyDescent="0.25">
      <c r="A1743" t="s">
        <v>98</v>
      </c>
      <c r="B1743">
        <v>1020</v>
      </c>
    </row>
    <row r="1744" spans="1:2" x14ac:dyDescent="0.25">
      <c r="A1744" t="s">
        <v>98</v>
      </c>
      <c r="B1744">
        <v>1020</v>
      </c>
    </row>
    <row r="1745" spans="1:2" x14ac:dyDescent="0.25">
      <c r="A1745" t="s">
        <v>98</v>
      </c>
      <c r="B1745">
        <v>1020</v>
      </c>
    </row>
    <row r="1746" spans="1:2" x14ac:dyDescent="0.25">
      <c r="A1746" t="s">
        <v>98</v>
      </c>
      <c r="B1746">
        <v>1020</v>
      </c>
    </row>
    <row r="1747" spans="1:2" x14ac:dyDescent="0.25">
      <c r="A1747" t="s">
        <v>98</v>
      </c>
      <c r="B1747">
        <v>1020</v>
      </c>
    </row>
    <row r="1748" spans="1:2" x14ac:dyDescent="0.25">
      <c r="A1748" t="s">
        <v>98</v>
      </c>
      <c r="B1748">
        <v>1020</v>
      </c>
    </row>
    <row r="1749" spans="1:2" x14ac:dyDescent="0.25">
      <c r="A1749" t="s">
        <v>98</v>
      </c>
      <c r="B1749">
        <v>1020</v>
      </c>
    </row>
    <row r="1750" spans="1:2" x14ac:dyDescent="0.25">
      <c r="A1750" t="s">
        <v>98</v>
      </c>
      <c r="B1750">
        <v>1020</v>
      </c>
    </row>
    <row r="1751" spans="1:2" x14ac:dyDescent="0.25">
      <c r="A1751" t="s">
        <v>98</v>
      </c>
      <c r="B1751">
        <v>1020</v>
      </c>
    </row>
    <row r="1752" spans="1:2" x14ac:dyDescent="0.25">
      <c r="A1752" t="s">
        <v>98</v>
      </c>
      <c r="B1752">
        <v>1020</v>
      </c>
    </row>
    <row r="1753" spans="1:2" x14ac:dyDescent="0.25">
      <c r="A1753" t="s">
        <v>98</v>
      </c>
      <c r="B1753">
        <v>1020</v>
      </c>
    </row>
    <row r="1754" spans="1:2" x14ac:dyDescent="0.25">
      <c r="A1754" t="s">
        <v>98</v>
      </c>
      <c r="B1754">
        <v>1020</v>
      </c>
    </row>
    <row r="1755" spans="1:2" x14ac:dyDescent="0.25">
      <c r="A1755" t="s">
        <v>98</v>
      </c>
      <c r="B1755">
        <v>1020</v>
      </c>
    </row>
    <row r="1756" spans="1:2" x14ac:dyDescent="0.25">
      <c r="A1756" t="s">
        <v>98</v>
      </c>
      <c r="B1756">
        <v>1020</v>
      </c>
    </row>
    <row r="1757" spans="1:2" x14ac:dyDescent="0.25">
      <c r="A1757" t="s">
        <v>98</v>
      </c>
      <c r="B1757">
        <v>1020</v>
      </c>
    </row>
    <row r="1758" spans="1:2" x14ac:dyDescent="0.25">
      <c r="A1758" t="s">
        <v>98</v>
      </c>
      <c r="B1758">
        <v>1020</v>
      </c>
    </row>
    <row r="1759" spans="1:2" x14ac:dyDescent="0.25">
      <c r="A1759" t="s">
        <v>98</v>
      </c>
      <c r="B1759">
        <v>1020</v>
      </c>
    </row>
    <row r="1760" spans="1:2" x14ac:dyDescent="0.25">
      <c r="A1760" t="s">
        <v>98</v>
      </c>
      <c r="B1760">
        <v>1020</v>
      </c>
    </row>
    <row r="1761" spans="1:2" x14ac:dyDescent="0.25">
      <c r="A1761" t="s">
        <v>98</v>
      </c>
      <c r="B1761">
        <v>1020</v>
      </c>
    </row>
    <row r="1762" spans="1:2" x14ac:dyDescent="0.25">
      <c r="A1762" t="s">
        <v>98</v>
      </c>
      <c r="B1762">
        <v>1020</v>
      </c>
    </row>
    <row r="1763" spans="1:2" x14ac:dyDescent="0.25">
      <c r="A1763" t="s">
        <v>98</v>
      </c>
      <c r="B1763">
        <v>1020</v>
      </c>
    </row>
    <row r="1764" spans="1:2" x14ac:dyDescent="0.25">
      <c r="A1764" t="s">
        <v>98</v>
      </c>
      <c r="B1764">
        <v>1020</v>
      </c>
    </row>
    <row r="1765" spans="1:2" x14ac:dyDescent="0.25">
      <c r="A1765" t="s">
        <v>98</v>
      </c>
      <c r="B1765">
        <v>1020</v>
      </c>
    </row>
    <row r="1766" spans="1:2" x14ac:dyDescent="0.25">
      <c r="A1766" t="s">
        <v>98</v>
      </c>
      <c r="B1766">
        <v>1020</v>
      </c>
    </row>
    <row r="1767" spans="1:2" x14ac:dyDescent="0.25">
      <c r="A1767" t="s">
        <v>98</v>
      </c>
      <c r="B1767">
        <v>1020</v>
      </c>
    </row>
    <row r="1768" spans="1:2" x14ac:dyDescent="0.25">
      <c r="A1768" t="s">
        <v>98</v>
      </c>
      <c r="B1768">
        <v>1020</v>
      </c>
    </row>
    <row r="1769" spans="1:2" x14ac:dyDescent="0.25">
      <c r="A1769" t="s">
        <v>98</v>
      </c>
      <c r="B1769">
        <v>1020</v>
      </c>
    </row>
    <row r="1770" spans="1:2" x14ac:dyDescent="0.25">
      <c r="A1770" t="s">
        <v>98</v>
      </c>
      <c r="B1770">
        <v>1020</v>
      </c>
    </row>
    <row r="1771" spans="1:2" x14ac:dyDescent="0.25">
      <c r="A1771" t="s">
        <v>98</v>
      </c>
      <c r="B1771">
        <v>1020</v>
      </c>
    </row>
    <row r="1772" spans="1:2" x14ac:dyDescent="0.25">
      <c r="A1772" t="s">
        <v>98</v>
      </c>
      <c r="B1772">
        <v>1020</v>
      </c>
    </row>
    <row r="1773" spans="1:2" x14ac:dyDescent="0.25">
      <c r="A1773" t="s">
        <v>98</v>
      </c>
      <c r="B1773">
        <v>1020</v>
      </c>
    </row>
    <row r="1774" spans="1:2" x14ac:dyDescent="0.25">
      <c r="A1774" t="s">
        <v>98</v>
      </c>
      <c r="B1774">
        <v>1020</v>
      </c>
    </row>
    <row r="1775" spans="1:2" x14ac:dyDescent="0.25">
      <c r="A1775" t="s">
        <v>98</v>
      </c>
      <c r="B1775">
        <v>1020</v>
      </c>
    </row>
    <row r="1776" spans="1:2" x14ac:dyDescent="0.25">
      <c r="A1776" t="s">
        <v>98</v>
      </c>
      <c r="B1776">
        <v>1020</v>
      </c>
    </row>
    <row r="1777" spans="1:2" x14ac:dyDescent="0.25">
      <c r="A1777" t="s">
        <v>98</v>
      </c>
      <c r="B1777">
        <v>1020</v>
      </c>
    </row>
    <row r="1778" spans="1:2" x14ac:dyDescent="0.25">
      <c r="A1778" t="s">
        <v>98</v>
      </c>
      <c r="B1778">
        <v>1020</v>
      </c>
    </row>
    <row r="1779" spans="1:2" x14ac:dyDescent="0.25">
      <c r="A1779" t="s">
        <v>98</v>
      </c>
      <c r="B1779">
        <v>1020</v>
      </c>
    </row>
    <row r="1780" spans="1:2" x14ac:dyDescent="0.25">
      <c r="A1780" t="s">
        <v>98</v>
      </c>
      <c r="B1780">
        <v>1020</v>
      </c>
    </row>
    <row r="1781" spans="1:2" x14ac:dyDescent="0.25">
      <c r="A1781" t="s">
        <v>98</v>
      </c>
      <c r="B1781">
        <v>1020</v>
      </c>
    </row>
    <row r="1782" spans="1:2" x14ac:dyDescent="0.25">
      <c r="A1782" t="s">
        <v>98</v>
      </c>
      <c r="B1782">
        <v>1020</v>
      </c>
    </row>
    <row r="1783" spans="1:2" x14ac:dyDescent="0.25">
      <c r="A1783" t="s">
        <v>98</v>
      </c>
      <c r="B1783">
        <v>1020</v>
      </c>
    </row>
    <row r="1784" spans="1:2" x14ac:dyDescent="0.25">
      <c r="A1784" t="s">
        <v>98</v>
      </c>
      <c r="B1784">
        <v>1020</v>
      </c>
    </row>
    <row r="1785" spans="1:2" x14ac:dyDescent="0.25">
      <c r="A1785" t="s">
        <v>98</v>
      </c>
      <c r="B1785">
        <v>1020</v>
      </c>
    </row>
    <row r="1786" spans="1:2" x14ac:dyDescent="0.25">
      <c r="A1786" t="s">
        <v>98</v>
      </c>
      <c r="B1786">
        <v>1020</v>
      </c>
    </row>
    <row r="1787" spans="1:2" x14ac:dyDescent="0.25">
      <c r="A1787" t="s">
        <v>98</v>
      </c>
      <c r="B1787">
        <v>1020</v>
      </c>
    </row>
    <row r="1788" spans="1:2" x14ac:dyDescent="0.25">
      <c r="A1788" t="s">
        <v>98</v>
      </c>
      <c r="B1788">
        <v>1020</v>
      </c>
    </row>
    <row r="1789" spans="1:2" x14ac:dyDescent="0.25">
      <c r="A1789" t="s">
        <v>98</v>
      </c>
      <c r="B1789">
        <v>1020</v>
      </c>
    </row>
    <row r="1790" spans="1:2" x14ac:dyDescent="0.25">
      <c r="A1790" t="s">
        <v>98</v>
      </c>
      <c r="B1790">
        <v>1020</v>
      </c>
    </row>
    <row r="1791" spans="1:2" x14ac:dyDescent="0.25">
      <c r="A1791" t="s">
        <v>98</v>
      </c>
      <c r="B1791">
        <v>1020</v>
      </c>
    </row>
    <row r="1792" spans="1:2" x14ac:dyDescent="0.25">
      <c r="A1792" t="s">
        <v>98</v>
      </c>
      <c r="B1792">
        <v>1020</v>
      </c>
    </row>
    <row r="1793" spans="1:2" x14ac:dyDescent="0.25">
      <c r="A1793" t="s">
        <v>98</v>
      </c>
      <c r="B1793">
        <v>1020</v>
      </c>
    </row>
    <row r="1794" spans="1:2" x14ac:dyDescent="0.25">
      <c r="A1794" t="s">
        <v>98</v>
      </c>
      <c r="B1794">
        <v>1020</v>
      </c>
    </row>
    <row r="1795" spans="1:2" x14ac:dyDescent="0.25">
      <c r="A1795" t="s">
        <v>98</v>
      </c>
      <c r="B1795">
        <v>1020</v>
      </c>
    </row>
    <row r="1796" spans="1:2" x14ac:dyDescent="0.25">
      <c r="A1796" t="s">
        <v>98</v>
      </c>
      <c r="B1796">
        <v>1020</v>
      </c>
    </row>
    <row r="1797" spans="1:2" x14ac:dyDescent="0.25">
      <c r="A1797" t="s">
        <v>98</v>
      </c>
      <c r="B1797">
        <v>1020</v>
      </c>
    </row>
    <row r="1798" spans="1:2" x14ac:dyDescent="0.25">
      <c r="A1798" t="s">
        <v>98</v>
      </c>
      <c r="B1798">
        <v>1020</v>
      </c>
    </row>
    <row r="1799" spans="1:2" x14ac:dyDescent="0.25">
      <c r="A1799" t="s">
        <v>98</v>
      </c>
      <c r="B1799">
        <v>1020</v>
      </c>
    </row>
    <row r="1800" spans="1:2" x14ac:dyDescent="0.25">
      <c r="A1800" t="s">
        <v>98</v>
      </c>
      <c r="B1800">
        <v>1020</v>
      </c>
    </row>
    <row r="1801" spans="1:2" x14ac:dyDescent="0.25">
      <c r="A1801" t="s">
        <v>98</v>
      </c>
      <c r="B1801">
        <v>1020</v>
      </c>
    </row>
    <row r="1802" spans="1:2" x14ac:dyDescent="0.25">
      <c r="A1802" t="s">
        <v>98</v>
      </c>
      <c r="B1802">
        <v>1020</v>
      </c>
    </row>
    <row r="1803" spans="1:2" x14ac:dyDescent="0.25">
      <c r="A1803" t="s">
        <v>98</v>
      </c>
      <c r="B1803">
        <v>1020</v>
      </c>
    </row>
    <row r="1804" spans="1:2" x14ac:dyDescent="0.25">
      <c r="A1804" t="s">
        <v>98</v>
      </c>
      <c r="B1804">
        <v>1020</v>
      </c>
    </row>
    <row r="1805" spans="1:2" x14ac:dyDescent="0.25">
      <c r="A1805" t="s">
        <v>98</v>
      </c>
      <c r="B1805">
        <v>1020</v>
      </c>
    </row>
    <row r="1806" spans="1:2" x14ac:dyDescent="0.25">
      <c r="A1806" t="s">
        <v>98</v>
      </c>
      <c r="B1806">
        <v>1020</v>
      </c>
    </row>
    <row r="1807" spans="1:2" x14ac:dyDescent="0.25">
      <c r="A1807" t="s">
        <v>98</v>
      </c>
      <c r="B1807">
        <v>1020</v>
      </c>
    </row>
    <row r="1808" spans="1:2" x14ac:dyDescent="0.25">
      <c r="A1808" t="s">
        <v>98</v>
      </c>
      <c r="B1808">
        <v>1020</v>
      </c>
    </row>
    <row r="1809" spans="1:2" x14ac:dyDescent="0.25">
      <c r="A1809" t="s">
        <v>98</v>
      </c>
      <c r="B1809">
        <v>1020</v>
      </c>
    </row>
    <row r="1810" spans="1:2" x14ac:dyDescent="0.25">
      <c r="A1810" t="s">
        <v>98</v>
      </c>
      <c r="B1810">
        <v>1020</v>
      </c>
    </row>
    <row r="1811" spans="1:2" x14ac:dyDescent="0.25">
      <c r="A1811" t="s">
        <v>98</v>
      </c>
      <c r="B1811">
        <v>1020</v>
      </c>
    </row>
    <row r="1812" spans="1:2" x14ac:dyDescent="0.25">
      <c r="A1812" t="s">
        <v>98</v>
      </c>
      <c r="B1812">
        <v>1020</v>
      </c>
    </row>
    <row r="1813" spans="1:2" x14ac:dyDescent="0.25">
      <c r="A1813" t="s">
        <v>98</v>
      </c>
      <c r="B1813">
        <v>1020</v>
      </c>
    </row>
    <row r="1814" spans="1:2" x14ac:dyDescent="0.25">
      <c r="A1814" t="s">
        <v>98</v>
      </c>
      <c r="B1814">
        <v>1020</v>
      </c>
    </row>
    <row r="1815" spans="1:2" x14ac:dyDescent="0.25">
      <c r="A1815" t="s">
        <v>98</v>
      </c>
      <c r="B1815">
        <v>1020</v>
      </c>
    </row>
    <row r="1816" spans="1:2" x14ac:dyDescent="0.25">
      <c r="A1816" t="s">
        <v>98</v>
      </c>
      <c r="B1816">
        <v>1020</v>
      </c>
    </row>
    <row r="1817" spans="1:2" x14ac:dyDescent="0.25">
      <c r="A1817" t="s">
        <v>98</v>
      </c>
      <c r="B1817">
        <v>1020</v>
      </c>
    </row>
    <row r="1818" spans="1:2" x14ac:dyDescent="0.25">
      <c r="A1818" t="s">
        <v>98</v>
      </c>
      <c r="B1818">
        <v>1020</v>
      </c>
    </row>
    <row r="1819" spans="1:2" x14ac:dyDescent="0.25">
      <c r="A1819" t="s">
        <v>98</v>
      </c>
      <c r="B1819">
        <v>1020</v>
      </c>
    </row>
    <row r="1820" spans="1:2" x14ac:dyDescent="0.25">
      <c r="A1820" t="s">
        <v>98</v>
      </c>
      <c r="B1820">
        <v>1020</v>
      </c>
    </row>
    <row r="1821" spans="1:2" x14ac:dyDescent="0.25">
      <c r="A1821" t="s">
        <v>98</v>
      </c>
      <c r="B1821">
        <v>1020</v>
      </c>
    </row>
    <row r="1822" spans="1:2" x14ac:dyDescent="0.25">
      <c r="A1822" t="s">
        <v>98</v>
      </c>
      <c r="B1822">
        <v>1020</v>
      </c>
    </row>
    <row r="1823" spans="1:2" x14ac:dyDescent="0.25">
      <c r="A1823" t="s">
        <v>98</v>
      </c>
      <c r="B1823">
        <v>1020</v>
      </c>
    </row>
    <row r="1824" spans="1:2" x14ac:dyDescent="0.25">
      <c r="A1824" t="s">
        <v>98</v>
      </c>
      <c r="B1824">
        <v>1020</v>
      </c>
    </row>
    <row r="1825" spans="1:2" x14ac:dyDescent="0.25">
      <c r="A1825" t="s">
        <v>98</v>
      </c>
      <c r="B1825">
        <v>1020</v>
      </c>
    </row>
    <row r="1826" spans="1:2" x14ac:dyDescent="0.25">
      <c r="A1826" t="s">
        <v>98</v>
      </c>
      <c r="B1826">
        <v>1020</v>
      </c>
    </row>
    <row r="1827" spans="1:2" x14ac:dyDescent="0.25">
      <c r="A1827" t="s">
        <v>98</v>
      </c>
      <c r="B1827">
        <v>1020</v>
      </c>
    </row>
    <row r="1828" spans="1:2" x14ac:dyDescent="0.25">
      <c r="A1828" t="s">
        <v>98</v>
      </c>
      <c r="B1828">
        <v>1020</v>
      </c>
    </row>
    <row r="1829" spans="1:2" x14ac:dyDescent="0.25">
      <c r="A1829" t="s">
        <v>98</v>
      </c>
      <c r="B1829">
        <v>1020</v>
      </c>
    </row>
    <row r="1830" spans="1:2" x14ac:dyDescent="0.25">
      <c r="A1830" t="s">
        <v>98</v>
      </c>
      <c r="B1830">
        <v>1020</v>
      </c>
    </row>
    <row r="1831" spans="1:2" x14ac:dyDescent="0.25">
      <c r="A1831" t="s">
        <v>98</v>
      </c>
      <c r="B1831">
        <v>1020</v>
      </c>
    </row>
    <row r="1832" spans="1:2" x14ac:dyDescent="0.25">
      <c r="A1832" t="s">
        <v>98</v>
      </c>
      <c r="B1832">
        <v>1020</v>
      </c>
    </row>
    <row r="1833" spans="1:2" x14ac:dyDescent="0.25">
      <c r="A1833" t="s">
        <v>98</v>
      </c>
      <c r="B1833">
        <v>1020</v>
      </c>
    </row>
    <row r="1834" spans="1:2" x14ac:dyDescent="0.25">
      <c r="A1834" t="s">
        <v>98</v>
      </c>
      <c r="B1834">
        <v>1020</v>
      </c>
    </row>
    <row r="1835" spans="1:2" x14ac:dyDescent="0.25">
      <c r="A1835" t="s">
        <v>98</v>
      </c>
      <c r="B1835">
        <v>1020</v>
      </c>
    </row>
    <row r="1836" spans="1:2" x14ac:dyDescent="0.25">
      <c r="A1836" t="s">
        <v>98</v>
      </c>
      <c r="B1836">
        <v>1020</v>
      </c>
    </row>
    <row r="1837" spans="1:2" x14ac:dyDescent="0.25">
      <c r="A1837" t="s">
        <v>98</v>
      </c>
      <c r="B1837">
        <v>1020</v>
      </c>
    </row>
    <row r="1838" spans="1:2" x14ac:dyDescent="0.25">
      <c r="A1838" t="s">
        <v>98</v>
      </c>
      <c r="B1838">
        <v>1020</v>
      </c>
    </row>
    <row r="1839" spans="1:2" x14ac:dyDescent="0.25">
      <c r="A1839" t="s">
        <v>98</v>
      </c>
      <c r="B1839">
        <v>1020</v>
      </c>
    </row>
    <row r="1840" spans="1:2" x14ac:dyDescent="0.25">
      <c r="A1840" t="s">
        <v>98</v>
      </c>
      <c r="B1840">
        <v>1020</v>
      </c>
    </row>
    <row r="1841" spans="1:2" x14ac:dyDescent="0.25">
      <c r="A1841" t="s">
        <v>98</v>
      </c>
      <c r="B1841">
        <v>1020</v>
      </c>
    </row>
    <row r="1842" spans="1:2" x14ac:dyDescent="0.25">
      <c r="A1842" t="s">
        <v>98</v>
      </c>
      <c r="B1842">
        <v>1020</v>
      </c>
    </row>
    <row r="1843" spans="1:2" x14ac:dyDescent="0.25">
      <c r="A1843" t="s">
        <v>98</v>
      </c>
      <c r="B1843">
        <v>1020</v>
      </c>
    </row>
    <row r="1844" spans="1:2" x14ac:dyDescent="0.25">
      <c r="A1844" t="s">
        <v>98</v>
      </c>
      <c r="B1844">
        <v>1020</v>
      </c>
    </row>
    <row r="1845" spans="1:2" x14ac:dyDescent="0.25">
      <c r="A1845" t="s">
        <v>98</v>
      </c>
      <c r="B1845">
        <v>1020</v>
      </c>
    </row>
    <row r="1846" spans="1:2" x14ac:dyDescent="0.25">
      <c r="A1846" t="s">
        <v>98</v>
      </c>
      <c r="B1846">
        <v>1020</v>
      </c>
    </row>
    <row r="1847" spans="1:2" x14ac:dyDescent="0.25">
      <c r="A1847" t="s">
        <v>98</v>
      </c>
      <c r="B1847">
        <v>1020</v>
      </c>
    </row>
    <row r="1848" spans="1:2" x14ac:dyDescent="0.25">
      <c r="A1848" t="s">
        <v>98</v>
      </c>
      <c r="B1848">
        <v>1020</v>
      </c>
    </row>
    <row r="1849" spans="1:2" x14ac:dyDescent="0.25">
      <c r="A1849" t="s">
        <v>98</v>
      </c>
      <c r="B1849">
        <v>1020</v>
      </c>
    </row>
    <row r="1850" spans="1:2" x14ac:dyDescent="0.25">
      <c r="A1850" t="s">
        <v>98</v>
      </c>
      <c r="B1850">
        <v>1020</v>
      </c>
    </row>
    <row r="1851" spans="1:2" x14ac:dyDescent="0.25">
      <c r="A1851" t="s">
        <v>98</v>
      </c>
      <c r="B1851">
        <v>1020</v>
      </c>
    </row>
    <row r="1852" spans="1:2" x14ac:dyDescent="0.25">
      <c r="A1852" t="s">
        <v>98</v>
      </c>
      <c r="B1852">
        <v>1020</v>
      </c>
    </row>
    <row r="1853" spans="1:2" x14ac:dyDescent="0.25">
      <c r="A1853" t="s">
        <v>98</v>
      </c>
      <c r="B1853">
        <v>1020</v>
      </c>
    </row>
    <row r="1854" spans="1:2" x14ac:dyDescent="0.25">
      <c r="A1854" t="s">
        <v>98</v>
      </c>
      <c r="B1854">
        <v>1020</v>
      </c>
    </row>
    <row r="1855" spans="1:2" x14ac:dyDescent="0.25">
      <c r="A1855" t="s">
        <v>98</v>
      </c>
      <c r="B1855">
        <v>1020</v>
      </c>
    </row>
    <row r="1856" spans="1:2" x14ac:dyDescent="0.25">
      <c r="A1856" t="s">
        <v>98</v>
      </c>
      <c r="B1856">
        <v>1020</v>
      </c>
    </row>
    <row r="1857" spans="1:2" x14ac:dyDescent="0.25">
      <c r="A1857" t="s">
        <v>98</v>
      </c>
      <c r="B1857">
        <v>1020</v>
      </c>
    </row>
    <row r="1858" spans="1:2" x14ac:dyDescent="0.25">
      <c r="A1858" t="s">
        <v>98</v>
      </c>
      <c r="B1858">
        <v>1020</v>
      </c>
    </row>
    <row r="1859" spans="1:2" x14ac:dyDescent="0.25">
      <c r="A1859" t="s">
        <v>98</v>
      </c>
      <c r="B1859">
        <v>1020</v>
      </c>
    </row>
    <row r="1860" spans="1:2" x14ac:dyDescent="0.25">
      <c r="A1860" t="s">
        <v>98</v>
      </c>
      <c r="B1860">
        <v>1020</v>
      </c>
    </row>
    <row r="1861" spans="1:2" x14ac:dyDescent="0.25">
      <c r="A1861" t="s">
        <v>98</v>
      </c>
      <c r="B1861">
        <v>1020</v>
      </c>
    </row>
    <row r="1862" spans="1:2" x14ac:dyDescent="0.25">
      <c r="A1862" t="s">
        <v>98</v>
      </c>
      <c r="B1862">
        <v>1020</v>
      </c>
    </row>
    <row r="1863" spans="1:2" x14ac:dyDescent="0.25">
      <c r="A1863" t="s">
        <v>98</v>
      </c>
      <c r="B1863">
        <v>1020</v>
      </c>
    </row>
    <row r="1864" spans="1:2" x14ac:dyDescent="0.25">
      <c r="A1864" t="s">
        <v>98</v>
      </c>
      <c r="B1864">
        <v>1020</v>
      </c>
    </row>
    <row r="1865" spans="1:2" x14ac:dyDescent="0.25">
      <c r="A1865" t="s">
        <v>98</v>
      </c>
      <c r="B1865">
        <v>1020</v>
      </c>
    </row>
    <row r="1866" spans="1:2" x14ac:dyDescent="0.25">
      <c r="A1866" t="s">
        <v>98</v>
      </c>
      <c r="B1866">
        <v>1020</v>
      </c>
    </row>
    <row r="1867" spans="1:2" x14ac:dyDescent="0.25">
      <c r="A1867" t="s">
        <v>98</v>
      </c>
      <c r="B1867">
        <v>1020</v>
      </c>
    </row>
    <row r="1868" spans="1:2" x14ac:dyDescent="0.25">
      <c r="A1868" t="s">
        <v>98</v>
      </c>
      <c r="B1868">
        <v>1020</v>
      </c>
    </row>
    <row r="1869" spans="1:2" x14ac:dyDescent="0.25">
      <c r="A1869" t="s">
        <v>98</v>
      </c>
      <c r="B1869">
        <v>1020</v>
      </c>
    </row>
    <row r="1870" spans="1:2" x14ac:dyDescent="0.25">
      <c r="A1870" t="s">
        <v>98</v>
      </c>
      <c r="B1870">
        <v>1020</v>
      </c>
    </row>
    <row r="1871" spans="1:2" x14ac:dyDescent="0.25">
      <c r="A1871" t="s">
        <v>98</v>
      </c>
      <c r="B1871">
        <v>1020</v>
      </c>
    </row>
    <row r="1872" spans="1:2" x14ac:dyDescent="0.25">
      <c r="A1872" t="s">
        <v>98</v>
      </c>
      <c r="B1872">
        <v>1020</v>
      </c>
    </row>
    <row r="1873" spans="1:2" x14ac:dyDescent="0.25">
      <c r="A1873" t="s">
        <v>98</v>
      </c>
      <c r="B1873">
        <v>1020</v>
      </c>
    </row>
    <row r="1874" spans="1:2" x14ac:dyDescent="0.25">
      <c r="A1874" t="s">
        <v>98</v>
      </c>
      <c r="B1874">
        <v>1020</v>
      </c>
    </row>
    <row r="1875" spans="1:2" x14ac:dyDescent="0.25">
      <c r="A1875" t="s">
        <v>98</v>
      </c>
      <c r="B1875">
        <v>1020</v>
      </c>
    </row>
    <row r="1876" spans="1:2" x14ac:dyDescent="0.25">
      <c r="A1876" t="s">
        <v>98</v>
      </c>
      <c r="B1876">
        <v>1020</v>
      </c>
    </row>
    <row r="1877" spans="1:2" x14ac:dyDescent="0.25">
      <c r="A1877" t="s">
        <v>98</v>
      </c>
      <c r="B1877">
        <v>1020</v>
      </c>
    </row>
    <row r="1878" spans="1:2" x14ac:dyDescent="0.25">
      <c r="A1878" t="s">
        <v>98</v>
      </c>
      <c r="B1878">
        <v>1020</v>
      </c>
    </row>
    <row r="1879" spans="1:2" x14ac:dyDescent="0.25">
      <c r="A1879" t="s">
        <v>98</v>
      </c>
      <c r="B1879">
        <v>1020</v>
      </c>
    </row>
    <row r="1880" spans="1:2" x14ac:dyDescent="0.25">
      <c r="A1880" t="s">
        <v>98</v>
      </c>
      <c r="B1880">
        <v>1020</v>
      </c>
    </row>
    <row r="1881" spans="1:2" x14ac:dyDescent="0.25">
      <c r="A1881" t="s">
        <v>98</v>
      </c>
      <c r="B1881">
        <v>1020</v>
      </c>
    </row>
    <row r="1882" spans="1:2" x14ac:dyDescent="0.25">
      <c r="A1882" t="s">
        <v>98</v>
      </c>
      <c r="B1882">
        <v>1020</v>
      </c>
    </row>
    <row r="1883" spans="1:2" x14ac:dyDescent="0.25">
      <c r="A1883" t="s">
        <v>98</v>
      </c>
      <c r="B1883">
        <v>1020</v>
      </c>
    </row>
    <row r="1884" spans="1:2" x14ac:dyDescent="0.25">
      <c r="A1884" t="s">
        <v>98</v>
      </c>
      <c r="B1884">
        <v>1020</v>
      </c>
    </row>
    <row r="1885" spans="1:2" x14ac:dyDescent="0.25">
      <c r="A1885" t="s">
        <v>98</v>
      </c>
      <c r="B1885">
        <v>1020</v>
      </c>
    </row>
    <row r="1886" spans="1:2" x14ac:dyDescent="0.25">
      <c r="A1886" t="s">
        <v>98</v>
      </c>
      <c r="B1886">
        <v>1020</v>
      </c>
    </row>
    <row r="1887" spans="1:2" x14ac:dyDescent="0.25">
      <c r="A1887" t="s">
        <v>98</v>
      </c>
      <c r="B1887">
        <v>1020</v>
      </c>
    </row>
    <row r="1888" spans="1:2" x14ac:dyDescent="0.25">
      <c r="A1888" t="s">
        <v>98</v>
      </c>
      <c r="B1888">
        <v>1020</v>
      </c>
    </row>
    <row r="1889" spans="1:2" x14ac:dyDescent="0.25">
      <c r="A1889" t="s">
        <v>98</v>
      </c>
      <c r="B1889">
        <v>1020</v>
      </c>
    </row>
    <row r="1890" spans="1:2" x14ac:dyDescent="0.25">
      <c r="A1890" t="s">
        <v>98</v>
      </c>
      <c r="B1890">
        <v>1020</v>
      </c>
    </row>
    <row r="1891" spans="1:2" x14ac:dyDescent="0.25">
      <c r="A1891" t="s">
        <v>98</v>
      </c>
      <c r="B1891">
        <v>1020</v>
      </c>
    </row>
    <row r="1892" spans="1:2" x14ac:dyDescent="0.25">
      <c r="A1892" t="s">
        <v>98</v>
      </c>
      <c r="B1892">
        <v>1020</v>
      </c>
    </row>
    <row r="1893" spans="1:2" x14ac:dyDescent="0.25">
      <c r="A1893" t="s">
        <v>98</v>
      </c>
      <c r="B1893">
        <v>1020</v>
      </c>
    </row>
    <row r="1894" spans="1:2" x14ac:dyDescent="0.25">
      <c r="A1894" t="s">
        <v>98</v>
      </c>
      <c r="B1894">
        <v>1020</v>
      </c>
    </row>
    <row r="1895" spans="1:2" x14ac:dyDescent="0.25">
      <c r="A1895" t="s">
        <v>98</v>
      </c>
      <c r="B1895">
        <v>1020</v>
      </c>
    </row>
    <row r="1896" spans="1:2" x14ac:dyDescent="0.25">
      <c r="A1896" t="s">
        <v>98</v>
      </c>
      <c r="B1896">
        <v>1020</v>
      </c>
    </row>
    <row r="1897" spans="1:2" x14ac:dyDescent="0.25">
      <c r="A1897" t="s">
        <v>98</v>
      </c>
      <c r="B1897">
        <v>1020</v>
      </c>
    </row>
    <row r="1898" spans="1:2" x14ac:dyDescent="0.25">
      <c r="A1898" t="s">
        <v>98</v>
      </c>
      <c r="B1898">
        <v>1020</v>
      </c>
    </row>
    <row r="1899" spans="1:2" x14ac:dyDescent="0.25">
      <c r="A1899" t="s">
        <v>98</v>
      </c>
      <c r="B1899">
        <v>1020</v>
      </c>
    </row>
    <row r="1900" spans="1:2" x14ac:dyDescent="0.25">
      <c r="A1900" t="s">
        <v>98</v>
      </c>
      <c r="B1900">
        <v>1020</v>
      </c>
    </row>
    <row r="1901" spans="1:2" x14ac:dyDescent="0.25">
      <c r="A1901" t="s">
        <v>98</v>
      </c>
      <c r="B1901">
        <v>1020</v>
      </c>
    </row>
    <row r="1902" spans="1:2" x14ac:dyDescent="0.25">
      <c r="A1902" t="s">
        <v>98</v>
      </c>
      <c r="B1902">
        <v>1020</v>
      </c>
    </row>
    <row r="1903" spans="1:2" x14ac:dyDescent="0.25">
      <c r="A1903" t="s">
        <v>98</v>
      </c>
      <c r="B1903">
        <v>1020</v>
      </c>
    </row>
    <row r="1904" spans="1:2" x14ac:dyDescent="0.25">
      <c r="A1904" t="s">
        <v>98</v>
      </c>
      <c r="B1904">
        <v>1020</v>
      </c>
    </row>
    <row r="1905" spans="1:2" x14ac:dyDescent="0.25">
      <c r="A1905" t="s">
        <v>98</v>
      </c>
      <c r="B1905">
        <v>1020</v>
      </c>
    </row>
    <row r="1906" spans="1:2" x14ac:dyDescent="0.25">
      <c r="A1906" t="s">
        <v>98</v>
      </c>
      <c r="B1906">
        <v>1020</v>
      </c>
    </row>
    <row r="1907" spans="1:2" x14ac:dyDescent="0.25">
      <c r="A1907" t="s">
        <v>98</v>
      </c>
      <c r="B1907">
        <v>1020</v>
      </c>
    </row>
    <row r="1908" spans="1:2" x14ac:dyDescent="0.25">
      <c r="A1908" t="s">
        <v>98</v>
      </c>
      <c r="B1908">
        <v>1020</v>
      </c>
    </row>
    <row r="1909" spans="1:2" x14ac:dyDescent="0.25">
      <c r="A1909" t="s">
        <v>98</v>
      </c>
      <c r="B1909">
        <v>1020</v>
      </c>
    </row>
    <row r="1910" spans="1:2" x14ac:dyDescent="0.25">
      <c r="A1910" t="s">
        <v>104</v>
      </c>
      <c r="B1910">
        <v>1120</v>
      </c>
    </row>
    <row r="1911" spans="1:2" x14ac:dyDescent="0.25">
      <c r="A1911" t="s">
        <v>104</v>
      </c>
      <c r="B1911">
        <v>1120</v>
      </c>
    </row>
    <row r="1912" spans="1:2" x14ac:dyDescent="0.25">
      <c r="A1912" t="s">
        <v>104</v>
      </c>
      <c r="B1912">
        <v>1120</v>
      </c>
    </row>
    <row r="1913" spans="1:2" x14ac:dyDescent="0.25">
      <c r="A1913" t="s">
        <v>104</v>
      </c>
      <c r="B1913">
        <v>1120</v>
      </c>
    </row>
    <row r="1914" spans="1:2" x14ac:dyDescent="0.25">
      <c r="A1914" t="s">
        <v>104</v>
      </c>
      <c r="B1914">
        <v>1120</v>
      </c>
    </row>
    <row r="1915" spans="1:2" x14ac:dyDescent="0.25">
      <c r="A1915" t="s">
        <v>104</v>
      </c>
      <c r="B1915">
        <v>1120</v>
      </c>
    </row>
    <row r="1916" spans="1:2" x14ac:dyDescent="0.25">
      <c r="A1916" t="s">
        <v>104</v>
      </c>
      <c r="B1916">
        <v>1120</v>
      </c>
    </row>
    <row r="1917" spans="1:2" x14ac:dyDescent="0.25">
      <c r="A1917" t="s">
        <v>104</v>
      </c>
      <c r="B1917">
        <v>1120</v>
      </c>
    </row>
    <row r="1918" spans="1:2" x14ac:dyDescent="0.25">
      <c r="A1918" t="s">
        <v>104</v>
      </c>
      <c r="B1918">
        <v>1120</v>
      </c>
    </row>
    <row r="1919" spans="1:2" x14ac:dyDescent="0.25">
      <c r="A1919" t="s">
        <v>104</v>
      </c>
      <c r="B1919">
        <v>1120</v>
      </c>
    </row>
    <row r="1920" spans="1:2" x14ac:dyDescent="0.25">
      <c r="A1920" t="s">
        <v>104</v>
      </c>
      <c r="B1920">
        <v>1120</v>
      </c>
    </row>
    <row r="1921" spans="1:2" x14ac:dyDescent="0.25">
      <c r="A1921" t="s">
        <v>104</v>
      </c>
      <c r="B1921">
        <v>1120</v>
      </c>
    </row>
    <row r="1922" spans="1:2" x14ac:dyDescent="0.25">
      <c r="A1922" t="s">
        <v>104</v>
      </c>
      <c r="B1922">
        <v>1120</v>
      </c>
    </row>
    <row r="1923" spans="1:2" x14ac:dyDescent="0.25">
      <c r="A1923" t="s">
        <v>104</v>
      </c>
      <c r="B1923">
        <v>1120</v>
      </c>
    </row>
    <row r="1924" spans="1:2" x14ac:dyDescent="0.25">
      <c r="A1924" t="s">
        <v>104</v>
      </c>
      <c r="B1924">
        <v>1120</v>
      </c>
    </row>
    <row r="1925" spans="1:2" x14ac:dyDescent="0.25">
      <c r="A1925" t="s">
        <v>104</v>
      </c>
      <c r="B1925">
        <v>1120</v>
      </c>
    </row>
    <row r="1926" spans="1:2" x14ac:dyDescent="0.25">
      <c r="A1926" t="s">
        <v>104</v>
      </c>
      <c r="B1926">
        <v>1120</v>
      </c>
    </row>
    <row r="1927" spans="1:2" x14ac:dyDescent="0.25">
      <c r="A1927" t="s">
        <v>104</v>
      </c>
      <c r="B1927">
        <v>1120</v>
      </c>
    </row>
    <row r="1928" spans="1:2" x14ac:dyDescent="0.25">
      <c r="A1928" t="s">
        <v>104</v>
      </c>
      <c r="B1928">
        <v>1120</v>
      </c>
    </row>
    <row r="1929" spans="1:2" x14ac:dyDescent="0.25">
      <c r="A1929" t="s">
        <v>104</v>
      </c>
      <c r="B1929">
        <v>1120</v>
      </c>
    </row>
    <row r="1930" spans="1:2" x14ac:dyDescent="0.25">
      <c r="A1930" t="s">
        <v>104</v>
      </c>
      <c r="B1930">
        <v>1120</v>
      </c>
    </row>
    <row r="1931" spans="1:2" x14ac:dyDescent="0.25">
      <c r="A1931" t="s">
        <v>104</v>
      </c>
      <c r="B1931">
        <v>1120</v>
      </c>
    </row>
    <row r="1932" spans="1:2" x14ac:dyDescent="0.25">
      <c r="A1932" t="s">
        <v>104</v>
      </c>
      <c r="B1932">
        <v>1120</v>
      </c>
    </row>
    <row r="1933" spans="1:2" x14ac:dyDescent="0.25">
      <c r="A1933" t="s">
        <v>104</v>
      </c>
      <c r="B1933">
        <v>1120</v>
      </c>
    </row>
    <row r="1934" spans="1:2" x14ac:dyDescent="0.25">
      <c r="A1934" t="s">
        <v>104</v>
      </c>
      <c r="B1934">
        <v>1120</v>
      </c>
    </row>
    <row r="1935" spans="1:2" x14ac:dyDescent="0.25">
      <c r="A1935" t="s">
        <v>104</v>
      </c>
      <c r="B1935">
        <v>1120</v>
      </c>
    </row>
    <row r="1936" spans="1:2" x14ac:dyDescent="0.25">
      <c r="A1936" t="s">
        <v>104</v>
      </c>
      <c r="B1936">
        <v>1120</v>
      </c>
    </row>
    <row r="1937" spans="1:2" x14ac:dyDescent="0.25">
      <c r="A1937" t="s">
        <v>104</v>
      </c>
      <c r="B1937">
        <v>1120</v>
      </c>
    </row>
    <row r="1938" spans="1:2" x14ac:dyDescent="0.25">
      <c r="A1938" t="s">
        <v>104</v>
      </c>
      <c r="B1938">
        <v>1120</v>
      </c>
    </row>
    <row r="1939" spans="1:2" x14ac:dyDescent="0.25">
      <c r="A1939" t="s">
        <v>104</v>
      </c>
      <c r="B1939">
        <v>1120</v>
      </c>
    </row>
    <row r="1940" spans="1:2" x14ac:dyDescent="0.25">
      <c r="A1940" t="s">
        <v>104</v>
      </c>
      <c r="B1940">
        <v>1120</v>
      </c>
    </row>
    <row r="1941" spans="1:2" x14ac:dyDescent="0.25">
      <c r="A1941" t="s">
        <v>104</v>
      </c>
      <c r="B1941">
        <v>1120</v>
      </c>
    </row>
    <row r="1942" spans="1:2" x14ac:dyDescent="0.25">
      <c r="A1942" t="s">
        <v>114</v>
      </c>
      <c r="B1942">
        <v>1360</v>
      </c>
    </row>
    <row r="1943" spans="1:2" x14ac:dyDescent="0.25">
      <c r="A1943" t="s">
        <v>114</v>
      </c>
      <c r="B1943">
        <v>1360</v>
      </c>
    </row>
    <row r="1944" spans="1:2" x14ac:dyDescent="0.25">
      <c r="A1944" t="s">
        <v>114</v>
      </c>
      <c r="B1944">
        <v>1360</v>
      </c>
    </row>
    <row r="1945" spans="1:2" x14ac:dyDescent="0.25">
      <c r="A1945" t="s">
        <v>114</v>
      </c>
      <c r="B1945">
        <v>1360</v>
      </c>
    </row>
    <row r="1946" spans="1:2" x14ac:dyDescent="0.25">
      <c r="A1946" t="s">
        <v>114</v>
      </c>
      <c r="B1946">
        <v>1360</v>
      </c>
    </row>
    <row r="1947" spans="1:2" x14ac:dyDescent="0.25">
      <c r="A1947" t="s">
        <v>114</v>
      </c>
      <c r="B1947">
        <v>1360</v>
      </c>
    </row>
    <row r="1948" spans="1:2" x14ac:dyDescent="0.25">
      <c r="A1948" t="s">
        <v>114</v>
      </c>
      <c r="B1948">
        <v>1360</v>
      </c>
    </row>
    <row r="1949" spans="1:2" x14ac:dyDescent="0.25">
      <c r="A1949" t="s">
        <v>114</v>
      </c>
      <c r="B1949">
        <v>1360</v>
      </c>
    </row>
    <row r="1950" spans="1:2" x14ac:dyDescent="0.25">
      <c r="A1950" t="s">
        <v>114</v>
      </c>
      <c r="B1950">
        <v>1360</v>
      </c>
    </row>
    <row r="1951" spans="1:2" x14ac:dyDescent="0.25">
      <c r="A1951" t="s">
        <v>114</v>
      </c>
      <c r="B1951">
        <v>1360</v>
      </c>
    </row>
    <row r="1952" spans="1:2" x14ac:dyDescent="0.25">
      <c r="A1952" t="s">
        <v>114</v>
      </c>
      <c r="B1952">
        <v>1360</v>
      </c>
    </row>
    <row r="1953" spans="1:2" x14ac:dyDescent="0.25">
      <c r="A1953" t="s">
        <v>114</v>
      </c>
      <c r="B1953">
        <v>1360</v>
      </c>
    </row>
    <row r="1954" spans="1:2" x14ac:dyDescent="0.25">
      <c r="A1954" t="s">
        <v>114</v>
      </c>
      <c r="B1954">
        <v>1360</v>
      </c>
    </row>
    <row r="1955" spans="1:2" x14ac:dyDescent="0.25">
      <c r="A1955" t="s">
        <v>114</v>
      </c>
      <c r="B1955">
        <v>1360</v>
      </c>
    </row>
    <row r="1956" spans="1:2" x14ac:dyDescent="0.25">
      <c r="A1956" t="s">
        <v>114</v>
      </c>
      <c r="B1956">
        <v>1360</v>
      </c>
    </row>
    <row r="1957" spans="1:2" x14ac:dyDescent="0.25">
      <c r="A1957" t="s">
        <v>114</v>
      </c>
      <c r="B1957">
        <v>1360</v>
      </c>
    </row>
    <row r="1958" spans="1:2" x14ac:dyDescent="0.25">
      <c r="A1958" t="s">
        <v>114</v>
      </c>
      <c r="B1958">
        <v>1360</v>
      </c>
    </row>
    <row r="1959" spans="1:2" x14ac:dyDescent="0.25">
      <c r="A1959" t="s">
        <v>114</v>
      </c>
      <c r="B1959">
        <v>1360</v>
      </c>
    </row>
    <row r="1960" spans="1:2" x14ac:dyDescent="0.25">
      <c r="A1960" t="s">
        <v>114</v>
      </c>
      <c r="B1960">
        <v>1360</v>
      </c>
    </row>
    <row r="1961" spans="1:2" x14ac:dyDescent="0.25">
      <c r="A1961" t="s">
        <v>114</v>
      </c>
      <c r="B1961">
        <v>1360</v>
      </c>
    </row>
    <row r="1962" spans="1:2" x14ac:dyDescent="0.25">
      <c r="A1962" t="s">
        <v>114</v>
      </c>
      <c r="B1962">
        <v>1360</v>
      </c>
    </row>
    <row r="1963" spans="1:2" x14ac:dyDescent="0.25">
      <c r="A1963" t="s">
        <v>114</v>
      </c>
      <c r="B1963">
        <v>1360</v>
      </c>
    </row>
    <row r="1964" spans="1:2" x14ac:dyDescent="0.25">
      <c r="A1964" t="s">
        <v>114</v>
      </c>
      <c r="B1964">
        <v>1360</v>
      </c>
    </row>
    <row r="1965" spans="1:2" x14ac:dyDescent="0.25">
      <c r="A1965" t="s">
        <v>114</v>
      </c>
      <c r="B1965">
        <v>1360</v>
      </c>
    </row>
    <row r="1966" spans="1:2" x14ac:dyDescent="0.25">
      <c r="A1966" t="s">
        <v>114</v>
      </c>
      <c r="B1966">
        <v>1360</v>
      </c>
    </row>
    <row r="1967" spans="1:2" x14ac:dyDescent="0.25">
      <c r="A1967" t="s">
        <v>114</v>
      </c>
      <c r="B1967">
        <v>1360</v>
      </c>
    </row>
    <row r="1968" spans="1:2" x14ac:dyDescent="0.25">
      <c r="A1968" t="s">
        <v>114</v>
      </c>
      <c r="B1968">
        <v>1360</v>
      </c>
    </row>
    <row r="1969" spans="1:2" x14ac:dyDescent="0.25">
      <c r="A1969" t="s">
        <v>114</v>
      </c>
      <c r="B1969">
        <v>1360</v>
      </c>
    </row>
    <row r="1970" spans="1:2" x14ac:dyDescent="0.25">
      <c r="A1970" t="s">
        <v>114</v>
      </c>
      <c r="B1970">
        <v>1360</v>
      </c>
    </row>
    <row r="1971" spans="1:2" x14ac:dyDescent="0.25">
      <c r="A1971" t="s">
        <v>114</v>
      </c>
      <c r="B1971">
        <v>1360</v>
      </c>
    </row>
    <row r="1972" spans="1:2" x14ac:dyDescent="0.25">
      <c r="A1972" t="s">
        <v>114</v>
      </c>
      <c r="B1972">
        <v>1360</v>
      </c>
    </row>
    <row r="1973" spans="1:2" x14ac:dyDescent="0.25">
      <c r="A1973" t="s">
        <v>114</v>
      </c>
      <c r="B1973">
        <v>1360</v>
      </c>
    </row>
    <row r="1974" spans="1:2" x14ac:dyDescent="0.25">
      <c r="A1974" t="s">
        <v>114</v>
      </c>
      <c r="B1974">
        <v>1360</v>
      </c>
    </row>
    <row r="1975" spans="1:2" x14ac:dyDescent="0.25">
      <c r="A1975" t="s">
        <v>114</v>
      </c>
      <c r="B1975">
        <v>1360</v>
      </c>
    </row>
    <row r="1976" spans="1:2" x14ac:dyDescent="0.25">
      <c r="A1976" t="s">
        <v>187</v>
      </c>
      <c r="B1976">
        <v>1470</v>
      </c>
    </row>
    <row r="1977" spans="1:2" x14ac:dyDescent="0.25">
      <c r="A1977" t="s">
        <v>116</v>
      </c>
      <c r="B1977">
        <v>1580</v>
      </c>
    </row>
    <row r="1978" spans="1:2" x14ac:dyDescent="0.25">
      <c r="A1978" t="s">
        <v>116</v>
      </c>
      <c r="B1978">
        <v>1580</v>
      </c>
    </row>
    <row r="1979" spans="1:2" x14ac:dyDescent="0.25">
      <c r="A1979" t="s">
        <v>116</v>
      </c>
      <c r="B1979">
        <v>1580</v>
      </c>
    </row>
    <row r="1980" spans="1:2" x14ac:dyDescent="0.25">
      <c r="A1980" t="s">
        <v>116</v>
      </c>
      <c r="B1980">
        <v>1580</v>
      </c>
    </row>
    <row r="1981" spans="1:2" x14ac:dyDescent="0.25">
      <c r="A1981" t="s">
        <v>116</v>
      </c>
      <c r="B1981">
        <v>1580</v>
      </c>
    </row>
    <row r="1982" spans="1:2" x14ac:dyDescent="0.25">
      <c r="A1982" t="s">
        <v>116</v>
      </c>
      <c r="B1982">
        <v>1580</v>
      </c>
    </row>
    <row r="1983" spans="1:2" x14ac:dyDescent="0.25">
      <c r="A1983" t="s">
        <v>116</v>
      </c>
      <c r="B1983">
        <v>1580</v>
      </c>
    </row>
    <row r="1984" spans="1:2" x14ac:dyDescent="0.25">
      <c r="A1984" t="s">
        <v>116</v>
      </c>
      <c r="B1984">
        <v>1580</v>
      </c>
    </row>
    <row r="1985" spans="1:2" x14ac:dyDescent="0.25">
      <c r="A1985" t="s">
        <v>116</v>
      </c>
      <c r="B1985">
        <v>1580</v>
      </c>
    </row>
    <row r="1986" spans="1:2" x14ac:dyDescent="0.25">
      <c r="A1986" t="s">
        <v>116</v>
      </c>
      <c r="B1986">
        <v>1580</v>
      </c>
    </row>
    <row r="1987" spans="1:2" x14ac:dyDescent="0.25">
      <c r="A1987" t="s">
        <v>116</v>
      </c>
      <c r="B1987">
        <v>1580</v>
      </c>
    </row>
    <row r="1988" spans="1:2" x14ac:dyDescent="0.25">
      <c r="A1988" t="s">
        <v>116</v>
      </c>
      <c r="B1988">
        <v>1580</v>
      </c>
    </row>
    <row r="1989" spans="1:2" x14ac:dyDescent="0.25">
      <c r="A1989" t="s">
        <v>116</v>
      </c>
      <c r="B1989">
        <v>1580</v>
      </c>
    </row>
    <row r="1990" spans="1:2" x14ac:dyDescent="0.25">
      <c r="A1990" t="s">
        <v>116</v>
      </c>
      <c r="B1990">
        <v>1580</v>
      </c>
    </row>
    <row r="1991" spans="1:2" x14ac:dyDescent="0.25">
      <c r="A1991" t="s">
        <v>116</v>
      </c>
      <c r="B1991">
        <v>1580</v>
      </c>
    </row>
    <row r="1992" spans="1:2" x14ac:dyDescent="0.25">
      <c r="A1992" t="s">
        <v>116</v>
      </c>
      <c r="B1992">
        <v>1580</v>
      </c>
    </row>
    <row r="1993" spans="1:2" x14ac:dyDescent="0.25">
      <c r="A1993" t="s">
        <v>116</v>
      </c>
      <c r="B1993">
        <v>1580</v>
      </c>
    </row>
    <row r="1994" spans="1:2" x14ac:dyDescent="0.25">
      <c r="A1994" t="s">
        <v>116</v>
      </c>
      <c r="B1994">
        <v>1580</v>
      </c>
    </row>
    <row r="1995" spans="1:2" x14ac:dyDescent="0.25">
      <c r="A1995" t="s">
        <v>116</v>
      </c>
      <c r="B1995">
        <v>1580</v>
      </c>
    </row>
    <row r="1996" spans="1:2" x14ac:dyDescent="0.25">
      <c r="A1996" t="s">
        <v>116</v>
      </c>
      <c r="B1996">
        <v>1580</v>
      </c>
    </row>
    <row r="1997" spans="1:2" x14ac:dyDescent="0.25">
      <c r="A1997" t="s">
        <v>116</v>
      </c>
      <c r="B1997">
        <v>1580</v>
      </c>
    </row>
    <row r="1998" spans="1:2" x14ac:dyDescent="0.25">
      <c r="A1998" t="s">
        <v>116</v>
      </c>
      <c r="B1998">
        <v>1580</v>
      </c>
    </row>
    <row r="1999" spans="1:2" x14ac:dyDescent="0.25">
      <c r="A1999" t="s">
        <v>116</v>
      </c>
      <c r="B1999">
        <v>1580</v>
      </c>
    </row>
    <row r="2000" spans="1:2" x14ac:dyDescent="0.25">
      <c r="A2000" t="s">
        <v>217</v>
      </c>
      <c r="B2000">
        <v>1590</v>
      </c>
    </row>
    <row r="2001" spans="1:2" x14ac:dyDescent="0.25">
      <c r="A2001" t="s">
        <v>118</v>
      </c>
      <c r="B2001">
        <v>1660</v>
      </c>
    </row>
    <row r="2002" spans="1:2" x14ac:dyDescent="0.25">
      <c r="A2002" t="s">
        <v>119</v>
      </c>
      <c r="B2002">
        <v>1670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D154"/>
  <sheetViews>
    <sheetView showZeros="0" zoomScale="85" zoomScaleNormal="85" workbookViewId="0">
      <pane xSplit="4" ySplit="8" topLeftCell="E12"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8.140625" customWidth="1"/>
    <col min="2" max="2" width="12.140625" customWidth="1"/>
    <col min="3" max="3" width="12.7109375" customWidth="1"/>
    <col min="4" max="4" width="13.5703125" customWidth="1"/>
  </cols>
  <sheetData>
    <row r="1" spans="1:4" ht="15" customHeight="1" x14ac:dyDescent="0.25">
      <c r="A1" s="41" t="s">
        <v>34</v>
      </c>
      <c r="B1" s="48" t="e">
        <f ca="1">SUMPRODUCT(OFFSET(#REF!,,,1,3),OFFSET(#REF!,,,1,3))</f>
        <v>#REF!</v>
      </c>
      <c r="C1" s="27"/>
      <c r="D1" s="28" t="s">
        <v>19</v>
      </c>
    </row>
    <row r="2" spans="1:4" ht="15" customHeight="1" x14ac:dyDescent="0.25">
      <c r="A2" s="42" t="s">
        <v>30</v>
      </c>
      <c r="B2" s="49" t="e">
        <f ca="1">SUM(OFFSET(#REF!,,,30,1))</f>
        <v>#REF!</v>
      </c>
      <c r="C2" s="25"/>
      <c r="D2" s="29" t="s">
        <v>49</v>
      </c>
    </row>
    <row r="3" spans="1:4" ht="15" customHeight="1" x14ac:dyDescent="0.25">
      <c r="A3" s="42" t="s">
        <v>33</v>
      </c>
      <c r="B3" s="49" t="e">
        <f ca="1">SUMIF(OFFSET(#REF!,,,30,1),"&lt;"&amp;B6)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900</v>
      </c>
      <c r="C6" s="36"/>
      <c r="D6" s="37" t="s">
        <v>28</v>
      </c>
    </row>
    <row r="7" spans="1:4" x14ac:dyDescent="0.25">
      <c r="A7" s="38" t="s">
        <v>2</v>
      </c>
      <c r="B7" s="34">
        <f ca="1">VALUE(MID(CELL("filename",$A$1),FIND("]",CELL("filename",$A$1),1)+1,200))</f>
        <v>18</v>
      </c>
      <c r="C7" s="39"/>
      <c r="D7" s="40" t="s">
        <v>29</v>
      </c>
    </row>
    <row r="8" spans="1:4" ht="30" x14ac:dyDescent="0.25">
      <c r="A8" s="32" t="s">
        <v>0</v>
      </c>
      <c r="B8" s="32" t="s">
        <v>31</v>
      </c>
      <c r="C8" s="32" t="s">
        <v>48</v>
      </c>
      <c r="D8" s="32" t="s">
        <v>30</v>
      </c>
    </row>
    <row r="9" spans="1:4" x14ac:dyDescent="0.25">
      <c r="A9" t="s">
        <v>96</v>
      </c>
      <c r="B9">
        <v>1000</v>
      </c>
    </row>
    <row r="10" spans="1:4" x14ac:dyDescent="0.25">
      <c r="A10" t="s">
        <v>96</v>
      </c>
      <c r="B10">
        <v>1000</v>
      </c>
    </row>
    <row r="11" spans="1:4" x14ac:dyDescent="0.25">
      <c r="A11" t="s">
        <v>96</v>
      </c>
      <c r="B11">
        <v>1000</v>
      </c>
    </row>
    <row r="12" spans="1:4" x14ac:dyDescent="0.25">
      <c r="A12" t="s">
        <v>96</v>
      </c>
      <c r="B12">
        <v>1000</v>
      </c>
    </row>
    <row r="13" spans="1:4" x14ac:dyDescent="0.25">
      <c r="A13" t="s">
        <v>96</v>
      </c>
      <c r="B13">
        <v>1000</v>
      </c>
    </row>
    <row r="14" spans="1:4" x14ac:dyDescent="0.25">
      <c r="A14" t="s">
        <v>96</v>
      </c>
      <c r="B14">
        <v>1000</v>
      </c>
    </row>
    <row r="15" spans="1:4" x14ac:dyDescent="0.25">
      <c r="A15" t="s">
        <v>96</v>
      </c>
      <c r="B15">
        <v>1000</v>
      </c>
    </row>
    <row r="16" spans="1:4" x14ac:dyDescent="0.25">
      <c r="A16" t="s">
        <v>96</v>
      </c>
      <c r="B16">
        <v>1000</v>
      </c>
    </row>
    <row r="17" spans="1:2" x14ac:dyDescent="0.25">
      <c r="A17" t="s">
        <v>96</v>
      </c>
      <c r="B17">
        <v>1000</v>
      </c>
    </row>
    <row r="18" spans="1:2" x14ac:dyDescent="0.25">
      <c r="A18" t="s">
        <v>96</v>
      </c>
      <c r="B18">
        <v>1000</v>
      </c>
    </row>
    <row r="19" spans="1:2" x14ac:dyDescent="0.25">
      <c r="A19" t="s">
        <v>96</v>
      </c>
      <c r="B19">
        <v>1000</v>
      </c>
    </row>
    <row r="20" spans="1:2" x14ac:dyDescent="0.25">
      <c r="A20" t="s">
        <v>96</v>
      </c>
      <c r="B20">
        <v>1000</v>
      </c>
    </row>
    <row r="21" spans="1:2" x14ac:dyDescent="0.25">
      <c r="A21" t="s">
        <v>100</v>
      </c>
      <c r="B21">
        <v>1050</v>
      </c>
    </row>
    <row r="22" spans="1:2" x14ac:dyDescent="0.25">
      <c r="A22" t="s">
        <v>100</v>
      </c>
      <c r="B22">
        <v>1050</v>
      </c>
    </row>
    <row r="23" spans="1:2" x14ac:dyDescent="0.25">
      <c r="A23" t="s">
        <v>100</v>
      </c>
      <c r="B23">
        <v>1050</v>
      </c>
    </row>
    <row r="24" spans="1:2" x14ac:dyDescent="0.25">
      <c r="A24" t="s">
        <v>100</v>
      </c>
      <c r="B24">
        <v>1050</v>
      </c>
    </row>
    <row r="25" spans="1:2" x14ac:dyDescent="0.25">
      <c r="A25" t="s">
        <v>100</v>
      </c>
      <c r="B25">
        <v>1050</v>
      </c>
    </row>
    <row r="26" spans="1:2" x14ac:dyDescent="0.25">
      <c r="A26" t="s">
        <v>100</v>
      </c>
      <c r="B26">
        <v>1050</v>
      </c>
    </row>
    <row r="27" spans="1:2" x14ac:dyDescent="0.25">
      <c r="A27" t="s">
        <v>100</v>
      </c>
      <c r="B27">
        <v>1050</v>
      </c>
    </row>
    <row r="28" spans="1:2" x14ac:dyDescent="0.25">
      <c r="A28" t="s">
        <v>100</v>
      </c>
      <c r="B28">
        <v>1050</v>
      </c>
    </row>
    <row r="29" spans="1:2" x14ac:dyDescent="0.25">
      <c r="A29" t="s">
        <v>100</v>
      </c>
      <c r="B29">
        <v>1050</v>
      </c>
    </row>
    <row r="30" spans="1:2" x14ac:dyDescent="0.25">
      <c r="A30" t="s">
        <v>100</v>
      </c>
      <c r="B30">
        <v>1050</v>
      </c>
    </row>
    <row r="31" spans="1:2" x14ac:dyDescent="0.25">
      <c r="A31" t="s">
        <v>100</v>
      </c>
      <c r="B31">
        <v>1050</v>
      </c>
    </row>
    <row r="32" spans="1:2" x14ac:dyDescent="0.25">
      <c r="A32" t="s">
        <v>100</v>
      </c>
      <c r="B32">
        <v>1050</v>
      </c>
    </row>
    <row r="33" spans="1:2" x14ac:dyDescent="0.25">
      <c r="A33" t="s">
        <v>100</v>
      </c>
      <c r="B33">
        <v>1050</v>
      </c>
    </row>
    <row r="34" spans="1:2" x14ac:dyDescent="0.25">
      <c r="A34" t="s">
        <v>100</v>
      </c>
      <c r="B34">
        <v>1050</v>
      </c>
    </row>
    <row r="35" spans="1:2" x14ac:dyDescent="0.25">
      <c r="A35" t="s">
        <v>100</v>
      </c>
      <c r="B35">
        <v>1050</v>
      </c>
    </row>
    <row r="36" spans="1:2" x14ac:dyDescent="0.25">
      <c r="A36" t="s">
        <v>100</v>
      </c>
      <c r="B36">
        <v>1050</v>
      </c>
    </row>
    <row r="37" spans="1:2" x14ac:dyDescent="0.25">
      <c r="A37" t="s">
        <v>100</v>
      </c>
      <c r="B37">
        <v>1050</v>
      </c>
    </row>
    <row r="38" spans="1:2" x14ac:dyDescent="0.25">
      <c r="A38" t="s">
        <v>100</v>
      </c>
      <c r="B38">
        <v>1050</v>
      </c>
    </row>
    <row r="39" spans="1:2" x14ac:dyDescent="0.25">
      <c r="A39" t="s">
        <v>100</v>
      </c>
      <c r="B39">
        <v>1050</v>
      </c>
    </row>
    <row r="40" spans="1:2" x14ac:dyDescent="0.25">
      <c r="A40" t="s">
        <v>100</v>
      </c>
      <c r="B40">
        <v>1050</v>
      </c>
    </row>
    <row r="41" spans="1:2" x14ac:dyDescent="0.25">
      <c r="A41" t="s">
        <v>100</v>
      </c>
      <c r="B41">
        <v>1050</v>
      </c>
    </row>
    <row r="42" spans="1:2" x14ac:dyDescent="0.25">
      <c r="A42" t="s">
        <v>100</v>
      </c>
      <c r="B42">
        <v>1050</v>
      </c>
    </row>
    <row r="43" spans="1:2" x14ac:dyDescent="0.25">
      <c r="A43" t="s">
        <v>100</v>
      </c>
      <c r="B43">
        <v>1050</v>
      </c>
    </row>
    <row r="44" spans="1:2" x14ac:dyDescent="0.25">
      <c r="A44" t="s">
        <v>100</v>
      </c>
      <c r="B44">
        <v>1050</v>
      </c>
    </row>
    <row r="45" spans="1:2" x14ac:dyDescent="0.25">
      <c r="A45" t="s">
        <v>100</v>
      </c>
      <c r="B45">
        <v>1050</v>
      </c>
    </row>
    <row r="46" spans="1:2" x14ac:dyDescent="0.25">
      <c r="A46" t="s">
        <v>100</v>
      </c>
      <c r="B46">
        <v>1050</v>
      </c>
    </row>
    <row r="47" spans="1:2" x14ac:dyDescent="0.25">
      <c r="A47" t="s">
        <v>100</v>
      </c>
      <c r="B47">
        <v>1050</v>
      </c>
    </row>
    <row r="48" spans="1:2" x14ac:dyDescent="0.25">
      <c r="A48" t="s">
        <v>100</v>
      </c>
      <c r="B48">
        <v>1050</v>
      </c>
    </row>
    <row r="49" spans="1:2" x14ac:dyDescent="0.25">
      <c r="A49" t="s">
        <v>100</v>
      </c>
      <c r="B49">
        <v>1050</v>
      </c>
    </row>
    <row r="50" spans="1:2" x14ac:dyDescent="0.25">
      <c r="A50" t="s">
        <v>100</v>
      </c>
      <c r="B50">
        <v>1050</v>
      </c>
    </row>
    <row r="51" spans="1:2" x14ac:dyDescent="0.25">
      <c r="A51" t="s">
        <v>100</v>
      </c>
      <c r="B51">
        <v>1050</v>
      </c>
    </row>
    <row r="52" spans="1:2" x14ac:dyDescent="0.25">
      <c r="A52" t="s">
        <v>100</v>
      </c>
      <c r="B52">
        <v>1050</v>
      </c>
    </row>
    <row r="53" spans="1:2" x14ac:dyDescent="0.25">
      <c r="A53" t="s">
        <v>100</v>
      </c>
      <c r="B53">
        <v>1050</v>
      </c>
    </row>
    <row r="54" spans="1:2" x14ac:dyDescent="0.25">
      <c r="A54" t="s">
        <v>100</v>
      </c>
      <c r="B54">
        <v>1050</v>
      </c>
    </row>
    <row r="55" spans="1:2" x14ac:dyDescent="0.25">
      <c r="A55" t="s">
        <v>100</v>
      </c>
      <c r="B55">
        <v>1050</v>
      </c>
    </row>
    <row r="56" spans="1:2" x14ac:dyDescent="0.25">
      <c r="A56" t="s">
        <v>100</v>
      </c>
      <c r="B56">
        <v>1050</v>
      </c>
    </row>
    <row r="57" spans="1:2" x14ac:dyDescent="0.25">
      <c r="A57" t="s">
        <v>100</v>
      </c>
      <c r="B57">
        <v>1050</v>
      </c>
    </row>
    <row r="58" spans="1:2" x14ac:dyDescent="0.25">
      <c r="A58" t="s">
        <v>100</v>
      </c>
      <c r="B58">
        <v>1050</v>
      </c>
    </row>
    <row r="59" spans="1:2" x14ac:dyDescent="0.25">
      <c r="A59" t="s">
        <v>100</v>
      </c>
      <c r="B59">
        <v>1050</v>
      </c>
    </row>
    <row r="60" spans="1:2" x14ac:dyDescent="0.25">
      <c r="A60" t="s">
        <v>100</v>
      </c>
      <c r="B60">
        <v>1050</v>
      </c>
    </row>
    <row r="61" spans="1:2" x14ac:dyDescent="0.25">
      <c r="A61" t="s">
        <v>100</v>
      </c>
      <c r="B61">
        <v>1050</v>
      </c>
    </row>
    <row r="62" spans="1:2" x14ac:dyDescent="0.25">
      <c r="A62" t="s">
        <v>100</v>
      </c>
      <c r="B62">
        <v>1050</v>
      </c>
    </row>
    <row r="63" spans="1:2" x14ac:dyDescent="0.25">
      <c r="A63" t="s">
        <v>109</v>
      </c>
      <c r="B63">
        <v>1260</v>
      </c>
    </row>
    <row r="64" spans="1:2" x14ac:dyDescent="0.25">
      <c r="A64" t="s">
        <v>111</v>
      </c>
      <c r="B64">
        <v>1280</v>
      </c>
    </row>
    <row r="65" spans="1:2" x14ac:dyDescent="0.25">
      <c r="A65" t="s">
        <v>111</v>
      </c>
      <c r="B65">
        <v>1280</v>
      </c>
    </row>
    <row r="66" spans="1:2" x14ac:dyDescent="0.25">
      <c r="A66" t="s">
        <v>111</v>
      </c>
      <c r="B66">
        <v>1280</v>
      </c>
    </row>
    <row r="67" spans="1:2" x14ac:dyDescent="0.25">
      <c r="A67" t="s">
        <v>111</v>
      </c>
      <c r="B67">
        <v>1280</v>
      </c>
    </row>
    <row r="68" spans="1:2" x14ac:dyDescent="0.25">
      <c r="A68" t="s">
        <v>111</v>
      </c>
      <c r="B68">
        <v>1280</v>
      </c>
    </row>
    <row r="69" spans="1:2" x14ac:dyDescent="0.25">
      <c r="A69" t="s">
        <v>111</v>
      </c>
      <c r="B69">
        <v>1280</v>
      </c>
    </row>
    <row r="70" spans="1:2" x14ac:dyDescent="0.25">
      <c r="A70" t="s">
        <v>111</v>
      </c>
      <c r="B70">
        <v>1280</v>
      </c>
    </row>
    <row r="71" spans="1:2" x14ac:dyDescent="0.25">
      <c r="A71" t="s">
        <v>111</v>
      </c>
      <c r="B71">
        <v>1280</v>
      </c>
    </row>
    <row r="72" spans="1:2" x14ac:dyDescent="0.25">
      <c r="A72" t="s">
        <v>111</v>
      </c>
      <c r="B72">
        <v>1280</v>
      </c>
    </row>
    <row r="73" spans="1:2" x14ac:dyDescent="0.25">
      <c r="A73" t="s">
        <v>111</v>
      </c>
      <c r="B73">
        <v>1280</v>
      </c>
    </row>
    <row r="74" spans="1:2" x14ac:dyDescent="0.25">
      <c r="A74" t="s">
        <v>111</v>
      </c>
      <c r="B74">
        <v>1280</v>
      </c>
    </row>
    <row r="75" spans="1:2" x14ac:dyDescent="0.25">
      <c r="A75" t="s">
        <v>112</v>
      </c>
      <c r="B75">
        <v>1290</v>
      </c>
    </row>
    <row r="76" spans="1:2" x14ac:dyDescent="0.25">
      <c r="A76" t="s">
        <v>112</v>
      </c>
      <c r="B76">
        <v>1290</v>
      </c>
    </row>
    <row r="77" spans="1:2" x14ac:dyDescent="0.25">
      <c r="A77" t="s">
        <v>112</v>
      </c>
      <c r="B77">
        <v>1290</v>
      </c>
    </row>
    <row r="78" spans="1:2" x14ac:dyDescent="0.25">
      <c r="A78" t="s">
        <v>112</v>
      </c>
      <c r="B78">
        <v>1290</v>
      </c>
    </row>
    <row r="79" spans="1:2" x14ac:dyDescent="0.25">
      <c r="A79" t="s">
        <v>112</v>
      </c>
      <c r="B79">
        <v>1290</v>
      </c>
    </row>
    <row r="80" spans="1:2" x14ac:dyDescent="0.25">
      <c r="A80" t="s">
        <v>112</v>
      </c>
      <c r="B80">
        <v>1290</v>
      </c>
    </row>
    <row r="81" spans="1:2" x14ac:dyDescent="0.25">
      <c r="A81" t="s">
        <v>248</v>
      </c>
      <c r="B81">
        <v>1420</v>
      </c>
    </row>
    <row r="82" spans="1:2" x14ac:dyDescent="0.25">
      <c r="A82" t="s">
        <v>248</v>
      </c>
      <c r="B82">
        <v>1420</v>
      </c>
    </row>
    <row r="83" spans="1:2" x14ac:dyDescent="0.25">
      <c r="A83" t="s">
        <v>248</v>
      </c>
      <c r="B83">
        <v>1420</v>
      </c>
    </row>
    <row r="84" spans="1:2" x14ac:dyDescent="0.25">
      <c r="A84" t="s">
        <v>248</v>
      </c>
      <c r="B84">
        <v>1420</v>
      </c>
    </row>
    <row r="85" spans="1:2" x14ac:dyDescent="0.25">
      <c r="A85" t="s">
        <v>248</v>
      </c>
      <c r="B85">
        <v>1420</v>
      </c>
    </row>
    <row r="86" spans="1:2" x14ac:dyDescent="0.25">
      <c r="A86" t="s">
        <v>248</v>
      </c>
      <c r="B86">
        <v>1420</v>
      </c>
    </row>
    <row r="87" spans="1:2" x14ac:dyDescent="0.25">
      <c r="A87" t="s">
        <v>255</v>
      </c>
      <c r="B87">
        <v>1440</v>
      </c>
    </row>
    <row r="88" spans="1:2" x14ac:dyDescent="0.25">
      <c r="A88" t="s">
        <v>255</v>
      </c>
      <c r="B88">
        <v>1440</v>
      </c>
    </row>
    <row r="89" spans="1:2" x14ac:dyDescent="0.25">
      <c r="A89" t="s">
        <v>255</v>
      </c>
      <c r="B89">
        <v>1440</v>
      </c>
    </row>
    <row r="90" spans="1:2" x14ac:dyDescent="0.25">
      <c r="A90" t="s">
        <v>255</v>
      </c>
      <c r="B90">
        <v>1440</v>
      </c>
    </row>
    <row r="91" spans="1:2" x14ac:dyDescent="0.25">
      <c r="A91" t="s">
        <v>255</v>
      </c>
      <c r="B91">
        <v>1440</v>
      </c>
    </row>
    <row r="92" spans="1:2" x14ac:dyDescent="0.25">
      <c r="A92" t="s">
        <v>255</v>
      </c>
      <c r="B92">
        <v>1440</v>
      </c>
    </row>
    <row r="93" spans="1:2" x14ac:dyDescent="0.25">
      <c r="A93" t="s">
        <v>255</v>
      </c>
      <c r="B93">
        <v>1440</v>
      </c>
    </row>
    <row r="94" spans="1:2" x14ac:dyDescent="0.25">
      <c r="A94" t="s">
        <v>255</v>
      </c>
      <c r="B94">
        <v>1440</v>
      </c>
    </row>
    <row r="95" spans="1:2" x14ac:dyDescent="0.25">
      <c r="A95" t="s">
        <v>255</v>
      </c>
      <c r="B95">
        <v>1440</v>
      </c>
    </row>
    <row r="96" spans="1:2" x14ac:dyDescent="0.25">
      <c r="A96" t="s">
        <v>255</v>
      </c>
      <c r="B96">
        <v>1440</v>
      </c>
    </row>
    <row r="97" spans="1:2" x14ac:dyDescent="0.25">
      <c r="A97" t="s">
        <v>255</v>
      </c>
      <c r="B97">
        <v>1440</v>
      </c>
    </row>
    <row r="98" spans="1:2" x14ac:dyDescent="0.25">
      <c r="A98" t="s">
        <v>255</v>
      </c>
      <c r="B98">
        <v>1440</v>
      </c>
    </row>
    <row r="99" spans="1:2" x14ac:dyDescent="0.25">
      <c r="A99" t="s">
        <v>255</v>
      </c>
      <c r="B99">
        <v>1440</v>
      </c>
    </row>
    <row r="100" spans="1:2" x14ac:dyDescent="0.25">
      <c r="A100" t="s">
        <v>255</v>
      </c>
      <c r="B100">
        <v>1440</v>
      </c>
    </row>
    <row r="101" spans="1:2" x14ac:dyDescent="0.25">
      <c r="A101" t="s">
        <v>255</v>
      </c>
      <c r="B101">
        <v>1440</v>
      </c>
    </row>
    <row r="102" spans="1:2" x14ac:dyDescent="0.25">
      <c r="A102" t="s">
        <v>255</v>
      </c>
      <c r="B102">
        <v>1440</v>
      </c>
    </row>
    <row r="103" spans="1:2" x14ac:dyDescent="0.25">
      <c r="A103" t="s">
        <v>255</v>
      </c>
      <c r="B103">
        <v>1440</v>
      </c>
    </row>
    <row r="104" spans="1:2" x14ac:dyDescent="0.25">
      <c r="A104" t="s">
        <v>255</v>
      </c>
      <c r="B104">
        <v>1440</v>
      </c>
    </row>
    <row r="105" spans="1:2" x14ac:dyDescent="0.25">
      <c r="A105" t="s">
        <v>255</v>
      </c>
      <c r="B105">
        <v>1440</v>
      </c>
    </row>
    <row r="106" spans="1:2" x14ac:dyDescent="0.25">
      <c r="A106" t="s">
        <v>255</v>
      </c>
      <c r="B106">
        <v>1440</v>
      </c>
    </row>
    <row r="107" spans="1:2" x14ac:dyDescent="0.25">
      <c r="A107" t="s">
        <v>115</v>
      </c>
      <c r="B107">
        <v>1450</v>
      </c>
    </row>
    <row r="108" spans="1:2" x14ac:dyDescent="0.25">
      <c r="A108" t="s">
        <v>177</v>
      </c>
      <c r="B108">
        <v>1860</v>
      </c>
    </row>
    <row r="109" spans="1:2" x14ac:dyDescent="0.25">
      <c r="A109" t="s">
        <v>177</v>
      </c>
      <c r="B109">
        <v>1860</v>
      </c>
    </row>
    <row r="110" spans="1:2" x14ac:dyDescent="0.25">
      <c r="A110" t="s">
        <v>177</v>
      </c>
      <c r="B110">
        <v>1860</v>
      </c>
    </row>
    <row r="111" spans="1:2" x14ac:dyDescent="0.25">
      <c r="A111" t="s">
        <v>199</v>
      </c>
      <c r="B111">
        <v>1890</v>
      </c>
    </row>
    <row r="112" spans="1:2" x14ac:dyDescent="0.25">
      <c r="A112" t="s">
        <v>158</v>
      </c>
      <c r="B112">
        <v>2300</v>
      </c>
    </row>
    <row r="113" spans="1:2" x14ac:dyDescent="0.25">
      <c r="A113" t="s">
        <v>158</v>
      </c>
      <c r="B113">
        <v>2300</v>
      </c>
    </row>
    <row r="114" spans="1:2" x14ac:dyDescent="0.25">
      <c r="A114" t="s">
        <v>350</v>
      </c>
      <c r="B114">
        <v>2820</v>
      </c>
    </row>
    <row r="115" spans="1:2" x14ac:dyDescent="0.25">
      <c r="A115" t="s">
        <v>170</v>
      </c>
      <c r="B115">
        <v>2890</v>
      </c>
    </row>
    <row r="116" spans="1:2" x14ac:dyDescent="0.25">
      <c r="A116" t="s">
        <v>170</v>
      </c>
      <c r="B116">
        <v>2890</v>
      </c>
    </row>
    <row r="117" spans="1:2" x14ac:dyDescent="0.25">
      <c r="A117" t="s">
        <v>170</v>
      </c>
      <c r="B117">
        <v>2890</v>
      </c>
    </row>
    <row r="118" spans="1:2" x14ac:dyDescent="0.25">
      <c r="A118" t="s">
        <v>241</v>
      </c>
      <c r="B118">
        <v>3340</v>
      </c>
    </row>
    <row r="119" spans="1:2" x14ac:dyDescent="0.25">
      <c r="A119" t="s">
        <v>241</v>
      </c>
      <c r="B119">
        <v>3340</v>
      </c>
    </row>
    <row r="120" spans="1:2" x14ac:dyDescent="0.25">
      <c r="A120" t="s">
        <v>241</v>
      </c>
      <c r="B120">
        <v>3340</v>
      </c>
    </row>
    <row r="121" spans="1:2" x14ac:dyDescent="0.25">
      <c r="A121" t="s">
        <v>128</v>
      </c>
      <c r="B121">
        <v>3440</v>
      </c>
    </row>
    <row r="122" spans="1:2" x14ac:dyDescent="0.25">
      <c r="A122" t="s">
        <v>128</v>
      </c>
      <c r="B122">
        <v>3440</v>
      </c>
    </row>
    <row r="123" spans="1:2" x14ac:dyDescent="0.25">
      <c r="A123" t="s">
        <v>128</v>
      </c>
      <c r="B123">
        <v>3440</v>
      </c>
    </row>
    <row r="124" spans="1:2" x14ac:dyDescent="0.25">
      <c r="A124" t="s">
        <v>128</v>
      </c>
      <c r="B124">
        <v>3440</v>
      </c>
    </row>
    <row r="125" spans="1:2" x14ac:dyDescent="0.25">
      <c r="A125" t="s">
        <v>128</v>
      </c>
      <c r="B125">
        <v>3440</v>
      </c>
    </row>
    <row r="126" spans="1:2" x14ac:dyDescent="0.25">
      <c r="A126" t="s">
        <v>128</v>
      </c>
      <c r="B126">
        <v>3440</v>
      </c>
    </row>
    <row r="127" spans="1:2" x14ac:dyDescent="0.25">
      <c r="A127" t="s">
        <v>128</v>
      </c>
      <c r="B127">
        <v>3440</v>
      </c>
    </row>
    <row r="128" spans="1:2" x14ac:dyDescent="0.25">
      <c r="A128" t="s">
        <v>128</v>
      </c>
      <c r="B128">
        <v>3440</v>
      </c>
    </row>
    <row r="129" spans="1:2" x14ac:dyDescent="0.25">
      <c r="A129" t="s">
        <v>128</v>
      </c>
      <c r="B129">
        <v>3440</v>
      </c>
    </row>
    <row r="130" spans="1:2" x14ac:dyDescent="0.25">
      <c r="A130" t="s">
        <v>128</v>
      </c>
      <c r="B130">
        <v>3440</v>
      </c>
    </row>
    <row r="131" spans="1:2" x14ac:dyDescent="0.25">
      <c r="A131" t="s">
        <v>128</v>
      </c>
      <c r="B131">
        <v>3440</v>
      </c>
    </row>
    <row r="132" spans="1:2" x14ac:dyDescent="0.25">
      <c r="A132" t="s">
        <v>128</v>
      </c>
      <c r="B132">
        <v>3440</v>
      </c>
    </row>
    <row r="133" spans="1:2" x14ac:dyDescent="0.25">
      <c r="A133" t="s">
        <v>160</v>
      </c>
      <c r="B133">
        <v>4000</v>
      </c>
    </row>
    <row r="134" spans="1:2" x14ac:dyDescent="0.25">
      <c r="A134" t="s">
        <v>160</v>
      </c>
      <c r="B134">
        <v>4000</v>
      </c>
    </row>
    <row r="135" spans="1:2" x14ac:dyDescent="0.25">
      <c r="A135" t="s">
        <v>160</v>
      </c>
      <c r="B135">
        <v>4000</v>
      </c>
    </row>
    <row r="136" spans="1:2" x14ac:dyDescent="0.25">
      <c r="A136" t="s">
        <v>160</v>
      </c>
      <c r="B136">
        <v>4000</v>
      </c>
    </row>
    <row r="137" spans="1:2" x14ac:dyDescent="0.25">
      <c r="A137" t="s">
        <v>125</v>
      </c>
      <c r="B137">
        <v>2900</v>
      </c>
    </row>
    <row r="138" spans="1:2" x14ac:dyDescent="0.25">
      <c r="A138" t="s">
        <v>125</v>
      </c>
      <c r="B138">
        <v>2900</v>
      </c>
    </row>
    <row r="139" spans="1:2" x14ac:dyDescent="0.25">
      <c r="A139" t="s">
        <v>125</v>
      </c>
      <c r="B139">
        <v>2900</v>
      </c>
    </row>
    <row r="140" spans="1:2" x14ac:dyDescent="0.25">
      <c r="A140" t="s">
        <v>125</v>
      </c>
      <c r="B140">
        <v>2900</v>
      </c>
    </row>
    <row r="141" spans="1:2" x14ac:dyDescent="0.25">
      <c r="A141" t="s">
        <v>125</v>
      </c>
      <c r="B141">
        <v>2900</v>
      </c>
    </row>
    <row r="142" spans="1:2" x14ac:dyDescent="0.25">
      <c r="A142" t="s">
        <v>125</v>
      </c>
      <c r="B142">
        <v>2900</v>
      </c>
    </row>
    <row r="143" spans="1:2" x14ac:dyDescent="0.25">
      <c r="A143" t="s">
        <v>125</v>
      </c>
      <c r="B143">
        <v>2900</v>
      </c>
    </row>
    <row r="144" spans="1:2" x14ac:dyDescent="0.25">
      <c r="A144" t="s">
        <v>125</v>
      </c>
      <c r="B144">
        <v>2900</v>
      </c>
    </row>
    <row r="145" spans="1:2" x14ac:dyDescent="0.25">
      <c r="A145" t="s">
        <v>125</v>
      </c>
      <c r="B145">
        <v>2900</v>
      </c>
    </row>
    <row r="146" spans="1:2" x14ac:dyDescent="0.25">
      <c r="A146" t="s">
        <v>125</v>
      </c>
      <c r="B146">
        <v>2900</v>
      </c>
    </row>
    <row r="147" spans="1:2" x14ac:dyDescent="0.25">
      <c r="A147" t="s">
        <v>125</v>
      </c>
      <c r="B147">
        <v>2900</v>
      </c>
    </row>
    <row r="148" spans="1:2" x14ac:dyDescent="0.25">
      <c r="A148" t="s">
        <v>125</v>
      </c>
      <c r="B148">
        <v>2900</v>
      </c>
    </row>
    <row r="149" spans="1:2" x14ac:dyDescent="0.25">
      <c r="A149" t="s">
        <v>183</v>
      </c>
      <c r="B149">
        <v>3500</v>
      </c>
    </row>
    <row r="150" spans="1:2" x14ac:dyDescent="0.25">
      <c r="A150" t="s">
        <v>183</v>
      </c>
      <c r="B150">
        <v>3500</v>
      </c>
    </row>
    <row r="151" spans="1:2" x14ac:dyDescent="0.25">
      <c r="A151" t="s">
        <v>183</v>
      </c>
      <c r="B151">
        <v>3500</v>
      </c>
    </row>
    <row r="152" spans="1:2" x14ac:dyDescent="0.25">
      <c r="A152" t="s">
        <v>183</v>
      </c>
      <c r="B152">
        <v>3500</v>
      </c>
    </row>
    <row r="153" spans="1:2" x14ac:dyDescent="0.25">
      <c r="A153" t="s">
        <v>183</v>
      </c>
      <c r="B153">
        <v>3500</v>
      </c>
    </row>
    <row r="154" spans="1:2" x14ac:dyDescent="0.25">
      <c r="A154" t="s">
        <v>183</v>
      </c>
      <c r="B154">
        <v>3500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D738"/>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5.28515625" customWidth="1"/>
    <col min="3" max="3" width="12.7109375" customWidth="1"/>
    <col min="4" max="4" width="13.5703125" customWidth="1"/>
  </cols>
  <sheetData>
    <row r="1" spans="1:4" ht="15" customHeight="1" x14ac:dyDescent="0.25">
      <c r="A1" s="41" t="s">
        <v>34</v>
      </c>
      <c r="B1" s="48" t="e">
        <f ca="1">SUMPRODUCT(OFFSET(#REF!,,,1,3),OFFSET(#REF!,,,1,3))</f>
        <v>#REF!</v>
      </c>
      <c r="C1" s="27"/>
      <c r="D1" s="28" t="s">
        <v>19</v>
      </c>
    </row>
    <row r="2" spans="1:4" ht="15" customHeight="1" x14ac:dyDescent="0.25">
      <c r="A2" s="42" t="s">
        <v>30</v>
      </c>
      <c r="B2" s="49" t="e">
        <f ca="1">SUM(OFFSET(#REF!,,,356,1))</f>
        <v>#REF!</v>
      </c>
      <c r="C2" s="25"/>
      <c r="D2" s="29" t="s">
        <v>49</v>
      </c>
    </row>
    <row r="3" spans="1:4" ht="15" customHeight="1" x14ac:dyDescent="0.25">
      <c r="A3" s="42" t="s">
        <v>33</v>
      </c>
      <c r="B3" s="49" t="e">
        <f ca="1">SUMIF(OFFSET(#REF!,,,356,1),"&lt;"&amp;B6)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1000</v>
      </c>
      <c r="C6" s="36"/>
      <c r="D6" s="37" t="s">
        <v>28</v>
      </c>
    </row>
    <row r="7" spans="1:4" x14ac:dyDescent="0.25">
      <c r="A7" s="38" t="s">
        <v>2</v>
      </c>
      <c r="B7" s="34">
        <f ca="1">VALUE(MID(CELL("filename",$A$1),FIND("]",CELL("filename",$A$1),1)+1,200))</f>
        <v>20</v>
      </c>
      <c r="C7" s="39"/>
      <c r="D7" s="40" t="s">
        <v>29</v>
      </c>
    </row>
    <row r="8" spans="1:4" ht="30" x14ac:dyDescent="0.25">
      <c r="A8" s="32" t="s">
        <v>0</v>
      </c>
      <c r="B8" s="32" t="s">
        <v>31</v>
      </c>
      <c r="C8" s="32" t="s">
        <v>48</v>
      </c>
      <c r="D8" s="32" t="s">
        <v>30</v>
      </c>
    </row>
    <row r="9" spans="1:4" x14ac:dyDescent="0.25">
      <c r="A9" t="s">
        <v>97</v>
      </c>
      <c r="B9">
        <v>1010</v>
      </c>
    </row>
    <row r="10" spans="1:4" x14ac:dyDescent="0.25">
      <c r="A10" t="s">
        <v>97</v>
      </c>
      <c r="B10">
        <v>1010</v>
      </c>
    </row>
    <row r="11" spans="1:4" x14ac:dyDescent="0.25">
      <c r="A11" t="s">
        <v>97</v>
      </c>
      <c r="B11">
        <v>1010</v>
      </c>
    </row>
    <row r="12" spans="1:4" x14ac:dyDescent="0.25">
      <c r="A12" t="s">
        <v>97</v>
      </c>
      <c r="B12">
        <v>1010</v>
      </c>
    </row>
    <row r="13" spans="1:4" x14ac:dyDescent="0.25">
      <c r="A13" t="s">
        <v>97</v>
      </c>
      <c r="B13">
        <v>1010</v>
      </c>
    </row>
    <row r="14" spans="1:4" x14ac:dyDescent="0.25">
      <c r="A14" t="s">
        <v>99</v>
      </c>
      <c r="B14">
        <v>1040</v>
      </c>
    </row>
    <row r="15" spans="1:4" x14ac:dyDescent="0.25">
      <c r="A15" t="s">
        <v>99</v>
      </c>
      <c r="B15">
        <v>1040</v>
      </c>
    </row>
    <row r="16" spans="1:4" x14ac:dyDescent="0.25">
      <c r="A16" t="s">
        <v>99</v>
      </c>
      <c r="B16">
        <v>1040</v>
      </c>
    </row>
    <row r="17" spans="1:2" x14ac:dyDescent="0.25">
      <c r="A17" t="s">
        <v>103</v>
      </c>
      <c r="B17">
        <v>1100</v>
      </c>
    </row>
    <row r="18" spans="1:2" x14ac:dyDescent="0.25">
      <c r="A18" t="s">
        <v>103</v>
      </c>
      <c r="B18">
        <v>1100</v>
      </c>
    </row>
    <row r="19" spans="1:2" x14ac:dyDescent="0.25">
      <c r="A19" t="s">
        <v>103</v>
      </c>
      <c r="B19">
        <v>1100</v>
      </c>
    </row>
    <row r="20" spans="1:2" x14ac:dyDescent="0.25">
      <c r="A20" t="s">
        <v>108</v>
      </c>
      <c r="B20">
        <v>1200</v>
      </c>
    </row>
    <row r="21" spans="1:2" x14ac:dyDescent="0.25">
      <c r="A21" t="s">
        <v>108</v>
      </c>
      <c r="B21">
        <v>1200</v>
      </c>
    </row>
    <row r="22" spans="1:2" x14ac:dyDescent="0.25">
      <c r="A22" t="s">
        <v>109</v>
      </c>
      <c r="B22">
        <v>1260</v>
      </c>
    </row>
    <row r="23" spans="1:2" x14ac:dyDescent="0.25">
      <c r="A23" t="s">
        <v>109</v>
      </c>
      <c r="B23">
        <v>1260</v>
      </c>
    </row>
    <row r="24" spans="1:2" x14ac:dyDescent="0.25">
      <c r="A24" t="s">
        <v>113</v>
      </c>
      <c r="B24">
        <v>1310</v>
      </c>
    </row>
    <row r="25" spans="1:2" x14ac:dyDescent="0.25">
      <c r="A25" t="s">
        <v>113</v>
      </c>
      <c r="B25">
        <v>1310</v>
      </c>
    </row>
    <row r="26" spans="1:2" x14ac:dyDescent="0.25">
      <c r="A26" t="s">
        <v>113</v>
      </c>
      <c r="B26">
        <v>1310</v>
      </c>
    </row>
    <row r="27" spans="1:2" x14ac:dyDescent="0.25">
      <c r="A27" t="s">
        <v>113</v>
      </c>
      <c r="B27">
        <v>1310</v>
      </c>
    </row>
    <row r="28" spans="1:2" x14ac:dyDescent="0.25">
      <c r="A28" t="s">
        <v>113</v>
      </c>
      <c r="B28">
        <v>1310</v>
      </c>
    </row>
    <row r="29" spans="1:2" x14ac:dyDescent="0.25">
      <c r="A29" t="s">
        <v>187</v>
      </c>
      <c r="B29">
        <v>1470</v>
      </c>
    </row>
    <row r="30" spans="1:2" x14ac:dyDescent="0.25">
      <c r="A30" t="s">
        <v>187</v>
      </c>
      <c r="B30">
        <v>1470</v>
      </c>
    </row>
    <row r="31" spans="1:2" x14ac:dyDescent="0.25">
      <c r="A31" t="s">
        <v>216</v>
      </c>
      <c r="B31">
        <v>1510</v>
      </c>
    </row>
    <row r="32" spans="1:2" x14ac:dyDescent="0.25">
      <c r="A32" t="s">
        <v>216</v>
      </c>
      <c r="B32">
        <v>1510</v>
      </c>
    </row>
    <row r="33" spans="1:2" x14ac:dyDescent="0.25">
      <c r="A33" t="s">
        <v>216</v>
      </c>
      <c r="B33">
        <v>1510</v>
      </c>
    </row>
    <row r="34" spans="1:2" x14ac:dyDescent="0.25">
      <c r="A34" t="s">
        <v>216</v>
      </c>
      <c r="B34">
        <v>1510</v>
      </c>
    </row>
    <row r="35" spans="1:2" x14ac:dyDescent="0.25">
      <c r="A35" t="s">
        <v>216</v>
      </c>
      <c r="B35">
        <v>1510</v>
      </c>
    </row>
    <row r="36" spans="1:2" x14ac:dyDescent="0.25">
      <c r="A36" t="s">
        <v>216</v>
      </c>
      <c r="B36">
        <v>1510</v>
      </c>
    </row>
    <row r="37" spans="1:2" x14ac:dyDescent="0.25">
      <c r="A37" t="s">
        <v>150</v>
      </c>
      <c r="B37">
        <v>1540</v>
      </c>
    </row>
    <row r="38" spans="1:2" x14ac:dyDescent="0.25">
      <c r="A38" t="s">
        <v>150</v>
      </c>
      <c r="B38">
        <v>1540</v>
      </c>
    </row>
    <row r="39" spans="1:2" x14ac:dyDescent="0.25">
      <c r="A39" t="s">
        <v>150</v>
      </c>
      <c r="B39">
        <v>1540</v>
      </c>
    </row>
    <row r="40" spans="1:2" x14ac:dyDescent="0.25">
      <c r="A40" t="s">
        <v>150</v>
      </c>
      <c r="B40">
        <v>1540</v>
      </c>
    </row>
    <row r="41" spans="1:2" x14ac:dyDescent="0.25">
      <c r="A41" t="s">
        <v>150</v>
      </c>
      <c r="B41">
        <v>1540</v>
      </c>
    </row>
    <row r="42" spans="1:2" x14ac:dyDescent="0.25">
      <c r="A42" t="s">
        <v>150</v>
      </c>
      <c r="B42">
        <v>1540</v>
      </c>
    </row>
    <row r="43" spans="1:2" x14ac:dyDescent="0.25">
      <c r="A43" t="s">
        <v>351</v>
      </c>
      <c r="B43">
        <v>1620</v>
      </c>
    </row>
    <row r="44" spans="1:2" x14ac:dyDescent="0.25">
      <c r="A44" t="s">
        <v>351</v>
      </c>
      <c r="B44">
        <v>1620</v>
      </c>
    </row>
    <row r="45" spans="1:2" x14ac:dyDescent="0.25">
      <c r="A45" t="s">
        <v>351</v>
      </c>
      <c r="B45">
        <v>1620</v>
      </c>
    </row>
    <row r="46" spans="1:2" x14ac:dyDescent="0.25">
      <c r="A46" t="s">
        <v>351</v>
      </c>
      <c r="B46">
        <v>1620</v>
      </c>
    </row>
    <row r="47" spans="1:2" x14ac:dyDescent="0.25">
      <c r="A47" t="s">
        <v>351</v>
      </c>
      <c r="B47">
        <v>1620</v>
      </c>
    </row>
    <row r="48" spans="1:2" x14ac:dyDescent="0.25">
      <c r="A48" t="s">
        <v>351</v>
      </c>
      <c r="B48">
        <v>1620</v>
      </c>
    </row>
    <row r="49" spans="1:2" x14ac:dyDescent="0.25">
      <c r="A49" t="s">
        <v>351</v>
      </c>
      <c r="B49">
        <v>1620</v>
      </c>
    </row>
    <row r="50" spans="1:2" x14ac:dyDescent="0.25">
      <c r="A50" t="s">
        <v>351</v>
      </c>
      <c r="B50">
        <v>1620</v>
      </c>
    </row>
    <row r="51" spans="1:2" x14ac:dyDescent="0.25">
      <c r="A51" t="s">
        <v>351</v>
      </c>
      <c r="B51">
        <v>1620</v>
      </c>
    </row>
    <row r="52" spans="1:2" x14ac:dyDescent="0.25">
      <c r="A52" t="s">
        <v>351</v>
      </c>
      <c r="B52">
        <v>1620</v>
      </c>
    </row>
    <row r="53" spans="1:2" x14ac:dyDescent="0.25">
      <c r="A53" t="s">
        <v>351</v>
      </c>
      <c r="B53">
        <v>1620</v>
      </c>
    </row>
    <row r="54" spans="1:2" x14ac:dyDescent="0.25">
      <c r="A54" t="s">
        <v>351</v>
      </c>
      <c r="B54">
        <v>1620</v>
      </c>
    </row>
    <row r="55" spans="1:2" x14ac:dyDescent="0.25">
      <c r="A55" t="s">
        <v>351</v>
      </c>
      <c r="B55">
        <v>1620</v>
      </c>
    </row>
    <row r="56" spans="1:2" x14ac:dyDescent="0.25">
      <c r="A56" t="s">
        <v>351</v>
      </c>
      <c r="B56">
        <v>1620</v>
      </c>
    </row>
    <row r="57" spans="1:2" x14ac:dyDescent="0.25">
      <c r="A57" t="s">
        <v>351</v>
      </c>
      <c r="B57">
        <v>1620</v>
      </c>
    </row>
    <row r="58" spans="1:2" x14ac:dyDescent="0.25">
      <c r="A58" t="s">
        <v>351</v>
      </c>
      <c r="B58">
        <v>1620</v>
      </c>
    </row>
    <row r="59" spans="1:2" x14ac:dyDescent="0.25">
      <c r="A59" t="s">
        <v>351</v>
      </c>
      <c r="B59">
        <v>1620</v>
      </c>
    </row>
    <row r="60" spans="1:2" x14ac:dyDescent="0.25">
      <c r="A60" t="s">
        <v>351</v>
      </c>
      <c r="B60">
        <v>1620</v>
      </c>
    </row>
    <row r="61" spans="1:2" x14ac:dyDescent="0.25">
      <c r="A61" t="s">
        <v>351</v>
      </c>
      <c r="B61">
        <v>1620</v>
      </c>
    </row>
    <row r="62" spans="1:2" x14ac:dyDescent="0.25">
      <c r="A62" t="s">
        <v>351</v>
      </c>
      <c r="B62">
        <v>1620</v>
      </c>
    </row>
    <row r="63" spans="1:2" x14ac:dyDescent="0.25">
      <c r="A63" t="s">
        <v>351</v>
      </c>
      <c r="B63">
        <v>1620</v>
      </c>
    </row>
    <row r="64" spans="1:2" x14ac:dyDescent="0.25">
      <c r="A64" t="s">
        <v>351</v>
      </c>
      <c r="B64">
        <v>1620</v>
      </c>
    </row>
    <row r="65" spans="1:2" x14ac:dyDescent="0.25">
      <c r="A65" t="s">
        <v>351</v>
      </c>
      <c r="B65">
        <v>1620</v>
      </c>
    </row>
    <row r="66" spans="1:2" x14ac:dyDescent="0.25">
      <c r="A66" t="s">
        <v>351</v>
      </c>
      <c r="B66">
        <v>1620</v>
      </c>
    </row>
    <row r="67" spans="1:2" x14ac:dyDescent="0.25">
      <c r="A67" t="s">
        <v>351</v>
      </c>
      <c r="B67">
        <v>1620</v>
      </c>
    </row>
    <row r="68" spans="1:2" x14ac:dyDescent="0.25">
      <c r="A68" t="s">
        <v>351</v>
      </c>
      <c r="B68">
        <v>1620</v>
      </c>
    </row>
    <row r="69" spans="1:2" x14ac:dyDescent="0.25">
      <c r="A69" t="s">
        <v>351</v>
      </c>
      <c r="B69">
        <v>1620</v>
      </c>
    </row>
    <row r="70" spans="1:2" x14ac:dyDescent="0.25">
      <c r="A70" t="s">
        <v>351</v>
      </c>
      <c r="B70">
        <v>1620</v>
      </c>
    </row>
    <row r="71" spans="1:2" x14ac:dyDescent="0.25">
      <c r="A71" t="s">
        <v>351</v>
      </c>
      <c r="B71">
        <v>1620</v>
      </c>
    </row>
    <row r="72" spans="1:2" x14ac:dyDescent="0.25">
      <c r="A72" t="s">
        <v>351</v>
      </c>
      <c r="B72">
        <v>1620</v>
      </c>
    </row>
    <row r="73" spans="1:2" x14ac:dyDescent="0.25">
      <c r="A73" t="s">
        <v>351</v>
      </c>
      <c r="B73">
        <v>1620</v>
      </c>
    </row>
    <row r="74" spans="1:2" x14ac:dyDescent="0.25">
      <c r="A74" t="s">
        <v>351</v>
      </c>
      <c r="B74">
        <v>1620</v>
      </c>
    </row>
    <row r="75" spans="1:2" x14ac:dyDescent="0.25">
      <c r="A75" t="s">
        <v>351</v>
      </c>
      <c r="B75">
        <v>1620</v>
      </c>
    </row>
    <row r="76" spans="1:2" x14ac:dyDescent="0.25">
      <c r="A76" t="s">
        <v>351</v>
      </c>
      <c r="B76">
        <v>1620</v>
      </c>
    </row>
    <row r="77" spans="1:2" x14ac:dyDescent="0.25">
      <c r="A77" t="s">
        <v>351</v>
      </c>
      <c r="B77">
        <v>1620</v>
      </c>
    </row>
    <row r="78" spans="1:2" x14ac:dyDescent="0.25">
      <c r="A78" t="s">
        <v>351</v>
      </c>
      <c r="B78">
        <v>1620</v>
      </c>
    </row>
    <row r="79" spans="1:2" x14ac:dyDescent="0.25">
      <c r="A79" t="s">
        <v>351</v>
      </c>
      <c r="B79">
        <v>1620</v>
      </c>
    </row>
    <row r="80" spans="1:2" x14ac:dyDescent="0.25">
      <c r="A80" t="s">
        <v>351</v>
      </c>
      <c r="B80">
        <v>1620</v>
      </c>
    </row>
    <row r="81" spans="1:2" x14ac:dyDescent="0.25">
      <c r="A81" t="s">
        <v>351</v>
      </c>
      <c r="B81">
        <v>1620</v>
      </c>
    </row>
    <row r="82" spans="1:2" x14ac:dyDescent="0.25">
      <c r="A82" t="s">
        <v>351</v>
      </c>
      <c r="B82">
        <v>1620</v>
      </c>
    </row>
    <row r="83" spans="1:2" x14ac:dyDescent="0.25">
      <c r="A83" t="s">
        <v>118</v>
      </c>
      <c r="B83">
        <v>1660</v>
      </c>
    </row>
    <row r="84" spans="1:2" x14ac:dyDescent="0.25">
      <c r="A84" t="s">
        <v>118</v>
      </c>
      <c r="B84">
        <v>1660</v>
      </c>
    </row>
    <row r="85" spans="1:2" x14ac:dyDescent="0.25">
      <c r="A85" t="s">
        <v>121</v>
      </c>
      <c r="B85">
        <v>1920</v>
      </c>
    </row>
    <row r="86" spans="1:2" x14ac:dyDescent="0.25">
      <c r="A86" t="s">
        <v>121</v>
      </c>
      <c r="B86">
        <v>1920</v>
      </c>
    </row>
    <row r="87" spans="1:2" x14ac:dyDescent="0.25">
      <c r="A87" t="s">
        <v>121</v>
      </c>
      <c r="B87">
        <v>1920</v>
      </c>
    </row>
    <row r="88" spans="1:2" x14ac:dyDescent="0.25">
      <c r="A88" t="s">
        <v>121</v>
      </c>
      <c r="B88">
        <v>1920</v>
      </c>
    </row>
    <row r="89" spans="1:2" x14ac:dyDescent="0.25">
      <c r="A89" t="s">
        <v>121</v>
      </c>
      <c r="B89">
        <v>1920</v>
      </c>
    </row>
    <row r="90" spans="1:2" x14ac:dyDescent="0.25">
      <c r="A90" t="s">
        <v>121</v>
      </c>
      <c r="B90">
        <v>1920</v>
      </c>
    </row>
    <row r="91" spans="1:2" x14ac:dyDescent="0.25">
      <c r="A91" t="s">
        <v>121</v>
      </c>
      <c r="B91">
        <v>1920</v>
      </c>
    </row>
    <row r="92" spans="1:2" x14ac:dyDescent="0.25">
      <c r="A92" t="s">
        <v>121</v>
      </c>
      <c r="B92">
        <v>1920</v>
      </c>
    </row>
    <row r="93" spans="1:2" x14ac:dyDescent="0.25">
      <c r="A93" t="s">
        <v>121</v>
      </c>
      <c r="B93">
        <v>1920</v>
      </c>
    </row>
    <row r="94" spans="1:2" x14ac:dyDescent="0.25">
      <c r="A94" t="s">
        <v>121</v>
      </c>
      <c r="B94">
        <v>1920</v>
      </c>
    </row>
    <row r="95" spans="1:2" x14ac:dyDescent="0.25">
      <c r="A95" t="s">
        <v>121</v>
      </c>
      <c r="B95">
        <v>1920</v>
      </c>
    </row>
    <row r="96" spans="1:2" x14ac:dyDescent="0.25">
      <c r="A96" t="s">
        <v>121</v>
      </c>
      <c r="B96">
        <v>1920</v>
      </c>
    </row>
    <row r="97" spans="1:2" x14ac:dyDescent="0.25">
      <c r="A97" t="s">
        <v>121</v>
      </c>
      <c r="B97">
        <v>1920</v>
      </c>
    </row>
    <row r="98" spans="1:2" x14ac:dyDescent="0.25">
      <c r="A98" t="s">
        <v>121</v>
      </c>
      <c r="B98">
        <v>1920</v>
      </c>
    </row>
    <row r="99" spans="1:2" x14ac:dyDescent="0.25">
      <c r="A99" t="s">
        <v>121</v>
      </c>
      <c r="B99">
        <v>1920</v>
      </c>
    </row>
    <row r="100" spans="1:2" x14ac:dyDescent="0.25">
      <c r="A100" t="s">
        <v>121</v>
      </c>
      <c r="B100">
        <v>1920</v>
      </c>
    </row>
    <row r="101" spans="1:2" x14ac:dyDescent="0.25">
      <c r="A101" t="s">
        <v>121</v>
      </c>
      <c r="B101">
        <v>1920</v>
      </c>
    </row>
    <row r="102" spans="1:2" x14ac:dyDescent="0.25">
      <c r="A102" t="s">
        <v>121</v>
      </c>
      <c r="B102">
        <v>1920</v>
      </c>
    </row>
    <row r="103" spans="1:2" x14ac:dyDescent="0.25">
      <c r="A103" t="s">
        <v>121</v>
      </c>
      <c r="B103">
        <v>1920</v>
      </c>
    </row>
    <row r="104" spans="1:2" x14ac:dyDescent="0.25">
      <c r="A104" t="s">
        <v>121</v>
      </c>
      <c r="B104">
        <v>1920</v>
      </c>
    </row>
    <row r="105" spans="1:2" x14ac:dyDescent="0.25">
      <c r="A105" t="s">
        <v>121</v>
      </c>
      <c r="B105">
        <v>1920</v>
      </c>
    </row>
    <row r="106" spans="1:2" x14ac:dyDescent="0.25">
      <c r="A106" t="s">
        <v>121</v>
      </c>
      <c r="B106">
        <v>1920</v>
      </c>
    </row>
    <row r="107" spans="1:2" x14ac:dyDescent="0.25">
      <c r="A107" t="s">
        <v>121</v>
      </c>
      <c r="B107">
        <v>1920</v>
      </c>
    </row>
    <row r="108" spans="1:2" x14ac:dyDescent="0.25">
      <c r="A108" t="s">
        <v>121</v>
      </c>
      <c r="B108">
        <v>1920</v>
      </c>
    </row>
    <row r="109" spans="1:2" x14ac:dyDescent="0.25">
      <c r="A109" t="s">
        <v>121</v>
      </c>
      <c r="B109">
        <v>1920</v>
      </c>
    </row>
    <row r="110" spans="1:2" x14ac:dyDescent="0.25">
      <c r="A110" t="s">
        <v>121</v>
      </c>
      <c r="B110">
        <v>1920</v>
      </c>
    </row>
    <row r="111" spans="1:2" x14ac:dyDescent="0.25">
      <c r="A111" t="s">
        <v>121</v>
      </c>
      <c r="B111">
        <v>1920</v>
      </c>
    </row>
    <row r="112" spans="1:2" x14ac:dyDescent="0.25">
      <c r="A112" t="s">
        <v>121</v>
      </c>
      <c r="B112">
        <v>1920</v>
      </c>
    </row>
    <row r="113" spans="1:2" x14ac:dyDescent="0.25">
      <c r="A113" t="s">
        <v>121</v>
      </c>
      <c r="B113">
        <v>1920</v>
      </c>
    </row>
    <row r="114" spans="1:2" x14ac:dyDescent="0.25">
      <c r="A114" t="s">
        <v>121</v>
      </c>
      <c r="B114">
        <v>1920</v>
      </c>
    </row>
    <row r="115" spans="1:2" x14ac:dyDescent="0.25">
      <c r="A115" t="s">
        <v>121</v>
      </c>
      <c r="B115">
        <v>1920</v>
      </c>
    </row>
    <row r="116" spans="1:2" x14ac:dyDescent="0.25">
      <c r="A116" t="s">
        <v>121</v>
      </c>
      <c r="B116">
        <v>1920</v>
      </c>
    </row>
    <row r="117" spans="1:2" x14ac:dyDescent="0.25">
      <c r="A117" t="s">
        <v>121</v>
      </c>
      <c r="B117">
        <v>1920</v>
      </c>
    </row>
    <row r="118" spans="1:2" x14ac:dyDescent="0.25">
      <c r="A118" t="s">
        <v>121</v>
      </c>
      <c r="B118">
        <v>1920</v>
      </c>
    </row>
    <row r="119" spans="1:2" x14ac:dyDescent="0.25">
      <c r="A119" t="s">
        <v>121</v>
      </c>
      <c r="B119">
        <v>1920</v>
      </c>
    </row>
    <row r="120" spans="1:2" x14ac:dyDescent="0.25">
      <c r="A120" t="s">
        <v>121</v>
      </c>
      <c r="B120">
        <v>1920</v>
      </c>
    </row>
    <row r="121" spans="1:2" x14ac:dyDescent="0.25">
      <c r="A121" t="s">
        <v>121</v>
      </c>
      <c r="B121">
        <v>1920</v>
      </c>
    </row>
    <row r="122" spans="1:2" x14ac:dyDescent="0.25">
      <c r="A122" t="s">
        <v>121</v>
      </c>
      <c r="B122">
        <v>1920</v>
      </c>
    </row>
    <row r="123" spans="1:2" x14ac:dyDescent="0.25">
      <c r="A123" t="s">
        <v>121</v>
      </c>
      <c r="B123">
        <v>1920</v>
      </c>
    </row>
    <row r="124" spans="1:2" x14ac:dyDescent="0.25">
      <c r="A124" t="s">
        <v>121</v>
      </c>
      <c r="B124">
        <v>1920</v>
      </c>
    </row>
    <row r="125" spans="1:2" x14ac:dyDescent="0.25">
      <c r="A125" t="s">
        <v>121</v>
      </c>
      <c r="B125">
        <v>1920</v>
      </c>
    </row>
    <row r="126" spans="1:2" x14ac:dyDescent="0.25">
      <c r="A126" t="s">
        <v>121</v>
      </c>
      <c r="B126">
        <v>1920</v>
      </c>
    </row>
    <row r="127" spans="1:2" x14ac:dyDescent="0.25">
      <c r="A127" t="s">
        <v>121</v>
      </c>
      <c r="B127">
        <v>1920</v>
      </c>
    </row>
    <row r="128" spans="1:2" x14ac:dyDescent="0.25">
      <c r="A128" t="s">
        <v>121</v>
      </c>
      <c r="B128">
        <v>1920</v>
      </c>
    </row>
    <row r="129" spans="1:2" x14ac:dyDescent="0.25">
      <c r="A129" t="s">
        <v>121</v>
      </c>
      <c r="B129">
        <v>1920</v>
      </c>
    </row>
    <row r="130" spans="1:2" x14ac:dyDescent="0.25">
      <c r="A130" t="s">
        <v>121</v>
      </c>
      <c r="B130">
        <v>1920</v>
      </c>
    </row>
    <row r="131" spans="1:2" x14ac:dyDescent="0.25">
      <c r="A131" t="s">
        <v>121</v>
      </c>
      <c r="B131">
        <v>1920</v>
      </c>
    </row>
    <row r="132" spans="1:2" x14ac:dyDescent="0.25">
      <c r="A132" t="s">
        <v>121</v>
      </c>
      <c r="B132">
        <v>1920</v>
      </c>
    </row>
    <row r="133" spans="1:2" x14ac:dyDescent="0.25">
      <c r="A133" t="s">
        <v>121</v>
      </c>
      <c r="B133">
        <v>1920</v>
      </c>
    </row>
    <row r="134" spans="1:2" x14ac:dyDescent="0.25">
      <c r="A134" t="s">
        <v>121</v>
      </c>
      <c r="B134">
        <v>1920</v>
      </c>
    </row>
    <row r="135" spans="1:2" x14ac:dyDescent="0.25">
      <c r="A135" t="s">
        <v>121</v>
      </c>
      <c r="B135">
        <v>1920</v>
      </c>
    </row>
    <row r="136" spans="1:2" x14ac:dyDescent="0.25">
      <c r="A136" t="s">
        <v>121</v>
      </c>
      <c r="B136">
        <v>1920</v>
      </c>
    </row>
    <row r="137" spans="1:2" x14ac:dyDescent="0.25">
      <c r="A137" t="s">
        <v>121</v>
      </c>
      <c r="B137">
        <v>1920</v>
      </c>
    </row>
    <row r="138" spans="1:2" x14ac:dyDescent="0.25">
      <c r="A138" t="s">
        <v>121</v>
      </c>
      <c r="B138">
        <v>1920</v>
      </c>
    </row>
    <row r="139" spans="1:2" x14ac:dyDescent="0.25">
      <c r="A139" t="s">
        <v>121</v>
      </c>
      <c r="B139">
        <v>1920</v>
      </c>
    </row>
    <row r="140" spans="1:2" x14ac:dyDescent="0.25">
      <c r="A140" t="s">
        <v>121</v>
      </c>
      <c r="B140">
        <v>1920</v>
      </c>
    </row>
    <row r="141" spans="1:2" x14ac:dyDescent="0.25">
      <c r="A141" t="s">
        <v>121</v>
      </c>
      <c r="B141">
        <v>1920</v>
      </c>
    </row>
    <row r="142" spans="1:2" x14ac:dyDescent="0.25">
      <c r="A142" t="s">
        <v>121</v>
      </c>
      <c r="B142">
        <v>1920</v>
      </c>
    </row>
    <row r="143" spans="1:2" x14ac:dyDescent="0.25">
      <c r="A143" t="s">
        <v>121</v>
      </c>
      <c r="B143">
        <v>1920</v>
      </c>
    </row>
    <row r="144" spans="1:2" x14ac:dyDescent="0.25">
      <c r="A144" t="s">
        <v>121</v>
      </c>
      <c r="B144">
        <v>1920</v>
      </c>
    </row>
    <row r="145" spans="1:2" x14ac:dyDescent="0.25">
      <c r="A145" t="s">
        <v>121</v>
      </c>
      <c r="B145">
        <v>1920</v>
      </c>
    </row>
    <row r="146" spans="1:2" x14ac:dyDescent="0.25">
      <c r="A146" t="s">
        <v>121</v>
      </c>
      <c r="B146">
        <v>1920</v>
      </c>
    </row>
    <row r="147" spans="1:2" x14ac:dyDescent="0.25">
      <c r="A147" t="s">
        <v>121</v>
      </c>
      <c r="B147">
        <v>1920</v>
      </c>
    </row>
    <row r="148" spans="1:2" x14ac:dyDescent="0.25">
      <c r="A148" t="s">
        <v>121</v>
      </c>
      <c r="B148">
        <v>1920</v>
      </c>
    </row>
    <row r="149" spans="1:2" x14ac:dyDescent="0.25">
      <c r="A149" t="s">
        <v>121</v>
      </c>
      <c r="B149">
        <v>1920</v>
      </c>
    </row>
    <row r="150" spans="1:2" x14ac:dyDescent="0.25">
      <c r="A150" t="s">
        <v>121</v>
      </c>
      <c r="B150">
        <v>1920</v>
      </c>
    </row>
    <row r="151" spans="1:2" x14ac:dyDescent="0.25">
      <c r="A151" t="s">
        <v>121</v>
      </c>
      <c r="B151">
        <v>1920</v>
      </c>
    </row>
    <row r="152" spans="1:2" x14ac:dyDescent="0.25">
      <c r="A152" t="s">
        <v>121</v>
      </c>
      <c r="B152">
        <v>1920</v>
      </c>
    </row>
    <row r="153" spans="1:2" x14ac:dyDescent="0.25">
      <c r="A153" t="s">
        <v>121</v>
      </c>
      <c r="B153">
        <v>1920</v>
      </c>
    </row>
    <row r="154" spans="1:2" x14ac:dyDescent="0.25">
      <c r="A154" t="s">
        <v>121</v>
      </c>
      <c r="B154">
        <v>1920</v>
      </c>
    </row>
    <row r="155" spans="1:2" x14ac:dyDescent="0.25">
      <c r="A155" t="s">
        <v>121</v>
      </c>
      <c r="B155">
        <v>1920</v>
      </c>
    </row>
    <row r="156" spans="1:2" x14ac:dyDescent="0.25">
      <c r="A156" t="s">
        <v>121</v>
      </c>
      <c r="B156">
        <v>1920</v>
      </c>
    </row>
    <row r="157" spans="1:2" x14ac:dyDescent="0.25">
      <c r="A157" t="s">
        <v>121</v>
      </c>
      <c r="B157">
        <v>1920</v>
      </c>
    </row>
    <row r="158" spans="1:2" x14ac:dyDescent="0.25">
      <c r="A158" t="s">
        <v>121</v>
      </c>
      <c r="B158">
        <v>1920</v>
      </c>
    </row>
    <row r="159" spans="1:2" x14ac:dyDescent="0.25">
      <c r="A159" t="s">
        <v>121</v>
      </c>
      <c r="B159">
        <v>1920</v>
      </c>
    </row>
    <row r="160" spans="1:2" x14ac:dyDescent="0.25">
      <c r="A160" t="s">
        <v>121</v>
      </c>
      <c r="B160">
        <v>1920</v>
      </c>
    </row>
    <row r="161" spans="1:2" x14ac:dyDescent="0.25">
      <c r="A161" t="s">
        <v>121</v>
      </c>
      <c r="B161">
        <v>1920</v>
      </c>
    </row>
    <row r="162" spans="1:2" x14ac:dyDescent="0.25">
      <c r="A162" t="s">
        <v>121</v>
      </c>
      <c r="B162">
        <v>1920</v>
      </c>
    </row>
    <row r="163" spans="1:2" x14ac:dyDescent="0.25">
      <c r="A163" t="s">
        <v>121</v>
      </c>
      <c r="B163">
        <v>1920</v>
      </c>
    </row>
    <row r="164" spans="1:2" x14ac:dyDescent="0.25">
      <c r="A164" t="s">
        <v>121</v>
      </c>
      <c r="B164">
        <v>1920</v>
      </c>
    </row>
    <row r="165" spans="1:2" x14ac:dyDescent="0.25">
      <c r="A165" t="s">
        <v>121</v>
      </c>
      <c r="B165">
        <v>1920</v>
      </c>
    </row>
    <row r="166" spans="1:2" x14ac:dyDescent="0.25">
      <c r="A166" t="s">
        <v>121</v>
      </c>
      <c r="B166">
        <v>1920</v>
      </c>
    </row>
    <row r="167" spans="1:2" x14ac:dyDescent="0.25">
      <c r="A167" t="s">
        <v>121</v>
      </c>
      <c r="B167">
        <v>1920</v>
      </c>
    </row>
    <row r="168" spans="1:2" x14ac:dyDescent="0.25">
      <c r="A168" t="s">
        <v>121</v>
      </c>
      <c r="B168">
        <v>1920</v>
      </c>
    </row>
    <row r="169" spans="1:2" x14ac:dyDescent="0.25">
      <c r="A169" t="s">
        <v>121</v>
      </c>
      <c r="B169">
        <v>1920</v>
      </c>
    </row>
    <row r="170" spans="1:2" x14ac:dyDescent="0.25">
      <c r="A170" t="s">
        <v>121</v>
      </c>
      <c r="B170">
        <v>1920</v>
      </c>
    </row>
    <row r="171" spans="1:2" x14ac:dyDescent="0.25">
      <c r="A171" t="s">
        <v>121</v>
      </c>
      <c r="B171">
        <v>1920</v>
      </c>
    </row>
    <row r="172" spans="1:2" x14ac:dyDescent="0.25">
      <c r="A172" t="s">
        <v>121</v>
      </c>
      <c r="B172">
        <v>1920</v>
      </c>
    </row>
    <row r="173" spans="1:2" x14ac:dyDescent="0.25">
      <c r="A173" t="s">
        <v>121</v>
      </c>
      <c r="B173">
        <v>1920</v>
      </c>
    </row>
    <row r="174" spans="1:2" x14ac:dyDescent="0.25">
      <c r="A174" t="s">
        <v>121</v>
      </c>
      <c r="B174">
        <v>1920</v>
      </c>
    </row>
    <row r="175" spans="1:2" x14ac:dyDescent="0.25">
      <c r="A175" t="s">
        <v>121</v>
      </c>
      <c r="B175">
        <v>1920</v>
      </c>
    </row>
    <row r="176" spans="1:2" x14ac:dyDescent="0.25">
      <c r="A176" t="s">
        <v>121</v>
      </c>
      <c r="B176">
        <v>1920</v>
      </c>
    </row>
    <row r="177" spans="1:2" x14ac:dyDescent="0.25">
      <c r="A177" t="s">
        <v>121</v>
      </c>
      <c r="B177">
        <v>1920</v>
      </c>
    </row>
    <row r="178" spans="1:2" x14ac:dyDescent="0.25">
      <c r="A178" t="s">
        <v>121</v>
      </c>
      <c r="B178">
        <v>1920</v>
      </c>
    </row>
    <row r="179" spans="1:2" x14ac:dyDescent="0.25">
      <c r="A179" t="s">
        <v>121</v>
      </c>
      <c r="B179">
        <v>1920</v>
      </c>
    </row>
    <row r="180" spans="1:2" x14ac:dyDescent="0.25">
      <c r="A180" t="s">
        <v>121</v>
      </c>
      <c r="B180">
        <v>1920</v>
      </c>
    </row>
    <row r="181" spans="1:2" x14ac:dyDescent="0.25">
      <c r="A181" t="s">
        <v>121</v>
      </c>
      <c r="B181">
        <v>1920</v>
      </c>
    </row>
    <row r="182" spans="1:2" x14ac:dyDescent="0.25">
      <c r="A182" t="s">
        <v>121</v>
      </c>
      <c r="B182">
        <v>1920</v>
      </c>
    </row>
    <row r="183" spans="1:2" x14ac:dyDescent="0.25">
      <c r="A183" t="s">
        <v>121</v>
      </c>
      <c r="B183">
        <v>1920</v>
      </c>
    </row>
    <row r="184" spans="1:2" x14ac:dyDescent="0.25">
      <c r="A184" t="s">
        <v>121</v>
      </c>
      <c r="B184">
        <v>1920</v>
      </c>
    </row>
    <row r="185" spans="1:2" x14ac:dyDescent="0.25">
      <c r="A185" t="s">
        <v>121</v>
      </c>
      <c r="B185">
        <v>1920</v>
      </c>
    </row>
    <row r="186" spans="1:2" x14ac:dyDescent="0.25">
      <c r="A186" t="s">
        <v>121</v>
      </c>
      <c r="B186">
        <v>1920</v>
      </c>
    </row>
    <row r="187" spans="1:2" x14ac:dyDescent="0.25">
      <c r="A187" t="s">
        <v>121</v>
      </c>
      <c r="B187">
        <v>1920</v>
      </c>
    </row>
    <row r="188" spans="1:2" x14ac:dyDescent="0.25">
      <c r="A188" t="s">
        <v>121</v>
      </c>
      <c r="B188">
        <v>1920</v>
      </c>
    </row>
    <row r="189" spans="1:2" x14ac:dyDescent="0.25">
      <c r="A189" t="s">
        <v>121</v>
      </c>
      <c r="B189">
        <v>1920</v>
      </c>
    </row>
    <row r="190" spans="1:2" x14ac:dyDescent="0.25">
      <c r="A190" t="s">
        <v>121</v>
      </c>
      <c r="B190">
        <v>1920</v>
      </c>
    </row>
    <row r="191" spans="1:2" x14ac:dyDescent="0.25">
      <c r="A191" t="s">
        <v>121</v>
      </c>
      <c r="B191">
        <v>1920</v>
      </c>
    </row>
    <row r="192" spans="1:2" x14ac:dyDescent="0.25">
      <c r="A192" t="s">
        <v>121</v>
      </c>
      <c r="B192">
        <v>1920</v>
      </c>
    </row>
    <row r="193" spans="1:2" x14ac:dyDescent="0.25">
      <c r="A193" t="s">
        <v>121</v>
      </c>
      <c r="B193">
        <v>1920</v>
      </c>
    </row>
    <row r="194" spans="1:2" x14ac:dyDescent="0.25">
      <c r="A194" t="s">
        <v>121</v>
      </c>
      <c r="B194">
        <v>1920</v>
      </c>
    </row>
    <row r="195" spans="1:2" x14ac:dyDescent="0.25">
      <c r="A195" t="s">
        <v>121</v>
      </c>
      <c r="B195">
        <v>1920</v>
      </c>
    </row>
    <row r="196" spans="1:2" x14ac:dyDescent="0.25">
      <c r="A196" t="s">
        <v>121</v>
      </c>
      <c r="B196">
        <v>1920</v>
      </c>
    </row>
    <row r="197" spans="1:2" x14ac:dyDescent="0.25">
      <c r="A197" t="s">
        <v>121</v>
      </c>
      <c r="B197">
        <v>1920</v>
      </c>
    </row>
    <row r="198" spans="1:2" x14ac:dyDescent="0.25">
      <c r="A198" t="s">
        <v>121</v>
      </c>
      <c r="B198">
        <v>1920</v>
      </c>
    </row>
    <row r="199" spans="1:2" x14ac:dyDescent="0.25">
      <c r="A199" t="s">
        <v>121</v>
      </c>
      <c r="B199">
        <v>1920</v>
      </c>
    </row>
    <row r="200" spans="1:2" x14ac:dyDescent="0.25">
      <c r="A200" t="s">
        <v>121</v>
      </c>
      <c r="B200">
        <v>1920</v>
      </c>
    </row>
    <row r="201" spans="1:2" x14ac:dyDescent="0.25">
      <c r="A201" t="s">
        <v>121</v>
      </c>
      <c r="B201">
        <v>1920</v>
      </c>
    </row>
    <row r="202" spans="1:2" x14ac:dyDescent="0.25">
      <c r="A202" t="s">
        <v>121</v>
      </c>
      <c r="B202">
        <v>1920</v>
      </c>
    </row>
    <row r="203" spans="1:2" x14ac:dyDescent="0.25">
      <c r="A203" t="s">
        <v>121</v>
      </c>
      <c r="B203">
        <v>1920</v>
      </c>
    </row>
    <row r="204" spans="1:2" x14ac:dyDescent="0.25">
      <c r="A204" t="s">
        <v>121</v>
      </c>
      <c r="B204">
        <v>1920</v>
      </c>
    </row>
    <row r="205" spans="1:2" x14ac:dyDescent="0.25">
      <c r="A205" t="s">
        <v>121</v>
      </c>
      <c r="B205">
        <v>1920</v>
      </c>
    </row>
    <row r="206" spans="1:2" x14ac:dyDescent="0.25">
      <c r="A206" t="s">
        <v>121</v>
      </c>
      <c r="B206">
        <v>1920</v>
      </c>
    </row>
    <row r="207" spans="1:2" x14ac:dyDescent="0.25">
      <c r="A207" t="s">
        <v>121</v>
      </c>
      <c r="B207">
        <v>1920</v>
      </c>
    </row>
    <row r="208" spans="1:2" x14ac:dyDescent="0.25">
      <c r="A208" t="s">
        <v>121</v>
      </c>
      <c r="B208">
        <v>1920</v>
      </c>
    </row>
    <row r="209" spans="1:2" x14ac:dyDescent="0.25">
      <c r="A209" t="s">
        <v>121</v>
      </c>
      <c r="B209">
        <v>1920</v>
      </c>
    </row>
    <row r="210" spans="1:2" x14ac:dyDescent="0.25">
      <c r="A210" t="s">
        <v>121</v>
      </c>
      <c r="B210">
        <v>1920</v>
      </c>
    </row>
    <row r="211" spans="1:2" x14ac:dyDescent="0.25">
      <c r="A211" t="s">
        <v>121</v>
      </c>
      <c r="B211">
        <v>1920</v>
      </c>
    </row>
    <row r="212" spans="1:2" x14ac:dyDescent="0.25">
      <c r="A212" t="s">
        <v>121</v>
      </c>
      <c r="B212">
        <v>1920</v>
      </c>
    </row>
    <row r="213" spans="1:2" x14ac:dyDescent="0.25">
      <c r="A213" t="s">
        <v>121</v>
      </c>
      <c r="B213">
        <v>1920</v>
      </c>
    </row>
    <row r="214" spans="1:2" x14ac:dyDescent="0.25">
      <c r="A214" t="s">
        <v>121</v>
      </c>
      <c r="B214">
        <v>1920</v>
      </c>
    </row>
    <row r="215" spans="1:2" x14ac:dyDescent="0.25">
      <c r="A215" t="s">
        <v>121</v>
      </c>
      <c r="B215">
        <v>1920</v>
      </c>
    </row>
    <row r="216" spans="1:2" x14ac:dyDescent="0.25">
      <c r="A216" t="s">
        <v>121</v>
      </c>
      <c r="B216">
        <v>1920</v>
      </c>
    </row>
    <row r="217" spans="1:2" x14ac:dyDescent="0.25">
      <c r="A217" t="s">
        <v>121</v>
      </c>
      <c r="B217">
        <v>1920</v>
      </c>
    </row>
    <row r="218" spans="1:2" x14ac:dyDescent="0.25">
      <c r="A218" t="s">
        <v>121</v>
      </c>
      <c r="B218">
        <v>1920</v>
      </c>
    </row>
    <row r="219" spans="1:2" x14ac:dyDescent="0.25">
      <c r="A219" t="s">
        <v>121</v>
      </c>
      <c r="B219">
        <v>1920</v>
      </c>
    </row>
    <row r="220" spans="1:2" x14ac:dyDescent="0.25">
      <c r="A220" t="s">
        <v>121</v>
      </c>
      <c r="B220">
        <v>1920</v>
      </c>
    </row>
    <row r="221" spans="1:2" x14ac:dyDescent="0.25">
      <c r="A221" t="s">
        <v>121</v>
      </c>
      <c r="B221">
        <v>1920</v>
      </c>
    </row>
    <row r="222" spans="1:2" x14ac:dyDescent="0.25">
      <c r="A222" t="s">
        <v>121</v>
      </c>
      <c r="B222">
        <v>1920</v>
      </c>
    </row>
    <row r="223" spans="1:2" x14ac:dyDescent="0.25">
      <c r="A223" t="s">
        <v>121</v>
      </c>
      <c r="B223">
        <v>1920</v>
      </c>
    </row>
    <row r="224" spans="1:2" x14ac:dyDescent="0.25">
      <c r="A224" t="s">
        <v>121</v>
      </c>
      <c r="B224">
        <v>1920</v>
      </c>
    </row>
    <row r="225" spans="1:2" x14ac:dyDescent="0.25">
      <c r="A225" t="s">
        <v>121</v>
      </c>
      <c r="B225">
        <v>1920</v>
      </c>
    </row>
    <row r="226" spans="1:2" x14ac:dyDescent="0.25">
      <c r="A226" t="s">
        <v>121</v>
      </c>
      <c r="B226">
        <v>1920</v>
      </c>
    </row>
    <row r="227" spans="1:2" x14ac:dyDescent="0.25">
      <c r="A227" t="s">
        <v>121</v>
      </c>
      <c r="B227">
        <v>1920</v>
      </c>
    </row>
    <row r="228" spans="1:2" x14ac:dyDescent="0.25">
      <c r="A228" t="s">
        <v>121</v>
      </c>
      <c r="B228">
        <v>1920</v>
      </c>
    </row>
    <row r="229" spans="1:2" x14ac:dyDescent="0.25">
      <c r="A229" t="s">
        <v>121</v>
      </c>
      <c r="B229">
        <v>1920</v>
      </c>
    </row>
    <row r="230" spans="1:2" x14ac:dyDescent="0.25">
      <c r="A230" t="s">
        <v>121</v>
      </c>
      <c r="B230">
        <v>1920</v>
      </c>
    </row>
    <row r="231" spans="1:2" x14ac:dyDescent="0.25">
      <c r="A231" t="s">
        <v>121</v>
      </c>
      <c r="B231">
        <v>1920</v>
      </c>
    </row>
    <row r="232" spans="1:2" x14ac:dyDescent="0.25">
      <c r="A232" t="s">
        <v>121</v>
      </c>
      <c r="B232">
        <v>1920</v>
      </c>
    </row>
    <row r="233" spans="1:2" x14ac:dyDescent="0.25">
      <c r="A233" t="s">
        <v>121</v>
      </c>
      <c r="B233">
        <v>1920</v>
      </c>
    </row>
    <row r="234" spans="1:2" x14ac:dyDescent="0.25">
      <c r="A234" t="s">
        <v>121</v>
      </c>
      <c r="B234">
        <v>1920</v>
      </c>
    </row>
    <row r="235" spans="1:2" x14ac:dyDescent="0.25">
      <c r="A235" t="s">
        <v>121</v>
      </c>
      <c r="B235">
        <v>1920</v>
      </c>
    </row>
    <row r="236" spans="1:2" x14ac:dyDescent="0.25">
      <c r="A236" t="s">
        <v>121</v>
      </c>
      <c r="B236">
        <v>1920</v>
      </c>
    </row>
    <row r="237" spans="1:2" x14ac:dyDescent="0.25">
      <c r="A237" t="s">
        <v>121</v>
      </c>
      <c r="B237">
        <v>1920</v>
      </c>
    </row>
    <row r="238" spans="1:2" x14ac:dyDescent="0.25">
      <c r="A238" t="s">
        <v>121</v>
      </c>
      <c r="B238">
        <v>1920</v>
      </c>
    </row>
    <row r="239" spans="1:2" x14ac:dyDescent="0.25">
      <c r="A239" t="s">
        <v>121</v>
      </c>
      <c r="B239">
        <v>1920</v>
      </c>
    </row>
    <row r="240" spans="1:2" x14ac:dyDescent="0.25">
      <c r="A240" t="s">
        <v>121</v>
      </c>
      <c r="B240">
        <v>1920</v>
      </c>
    </row>
    <row r="241" spans="1:2" x14ac:dyDescent="0.25">
      <c r="A241" t="s">
        <v>121</v>
      </c>
      <c r="B241">
        <v>1920</v>
      </c>
    </row>
    <row r="242" spans="1:2" x14ac:dyDescent="0.25">
      <c r="A242" t="s">
        <v>121</v>
      </c>
      <c r="B242">
        <v>1920</v>
      </c>
    </row>
    <row r="243" spans="1:2" x14ac:dyDescent="0.25">
      <c r="A243" t="s">
        <v>121</v>
      </c>
      <c r="B243">
        <v>1920</v>
      </c>
    </row>
    <row r="244" spans="1:2" x14ac:dyDescent="0.25">
      <c r="A244" t="s">
        <v>121</v>
      </c>
      <c r="B244">
        <v>1920</v>
      </c>
    </row>
    <row r="245" spans="1:2" x14ac:dyDescent="0.25">
      <c r="A245" t="s">
        <v>121</v>
      </c>
      <c r="B245">
        <v>1920</v>
      </c>
    </row>
    <row r="246" spans="1:2" x14ac:dyDescent="0.25">
      <c r="A246" t="s">
        <v>121</v>
      </c>
      <c r="B246">
        <v>1920</v>
      </c>
    </row>
    <row r="247" spans="1:2" x14ac:dyDescent="0.25">
      <c r="A247" t="s">
        <v>121</v>
      </c>
      <c r="B247">
        <v>1920</v>
      </c>
    </row>
    <row r="248" spans="1:2" x14ac:dyDescent="0.25">
      <c r="A248" t="s">
        <v>121</v>
      </c>
      <c r="B248">
        <v>1920</v>
      </c>
    </row>
    <row r="249" spans="1:2" x14ac:dyDescent="0.25">
      <c r="A249" t="s">
        <v>121</v>
      </c>
      <c r="B249">
        <v>1920</v>
      </c>
    </row>
    <row r="250" spans="1:2" x14ac:dyDescent="0.25">
      <c r="A250" t="s">
        <v>121</v>
      </c>
      <c r="B250">
        <v>1920</v>
      </c>
    </row>
    <row r="251" spans="1:2" x14ac:dyDescent="0.25">
      <c r="A251" t="s">
        <v>121</v>
      </c>
      <c r="B251">
        <v>1920</v>
      </c>
    </row>
    <row r="252" spans="1:2" x14ac:dyDescent="0.25">
      <c r="A252" t="s">
        <v>121</v>
      </c>
      <c r="B252">
        <v>1920</v>
      </c>
    </row>
    <row r="253" spans="1:2" x14ac:dyDescent="0.25">
      <c r="A253" t="s">
        <v>121</v>
      </c>
      <c r="B253">
        <v>1920</v>
      </c>
    </row>
    <row r="254" spans="1:2" x14ac:dyDescent="0.25">
      <c r="A254" t="s">
        <v>121</v>
      </c>
      <c r="B254">
        <v>1920</v>
      </c>
    </row>
    <row r="255" spans="1:2" x14ac:dyDescent="0.25">
      <c r="A255" t="s">
        <v>121</v>
      </c>
      <c r="B255">
        <v>1920</v>
      </c>
    </row>
    <row r="256" spans="1:2" x14ac:dyDescent="0.25">
      <c r="A256" t="s">
        <v>121</v>
      </c>
      <c r="B256">
        <v>1920</v>
      </c>
    </row>
    <row r="257" spans="1:2" x14ac:dyDescent="0.25">
      <c r="A257" t="s">
        <v>121</v>
      </c>
      <c r="B257">
        <v>1920</v>
      </c>
    </row>
    <row r="258" spans="1:2" x14ac:dyDescent="0.25">
      <c r="A258" t="s">
        <v>121</v>
      </c>
      <c r="B258">
        <v>1920</v>
      </c>
    </row>
    <row r="259" spans="1:2" x14ac:dyDescent="0.25">
      <c r="A259" t="s">
        <v>121</v>
      </c>
      <c r="B259">
        <v>1920</v>
      </c>
    </row>
    <row r="260" spans="1:2" x14ac:dyDescent="0.25">
      <c r="A260" t="s">
        <v>121</v>
      </c>
      <c r="B260">
        <v>1920</v>
      </c>
    </row>
    <row r="261" spans="1:2" x14ac:dyDescent="0.25">
      <c r="A261" t="s">
        <v>121</v>
      </c>
      <c r="B261">
        <v>1920</v>
      </c>
    </row>
    <row r="262" spans="1:2" x14ac:dyDescent="0.25">
      <c r="A262" t="s">
        <v>121</v>
      </c>
      <c r="B262">
        <v>1920</v>
      </c>
    </row>
    <row r="263" spans="1:2" x14ac:dyDescent="0.25">
      <c r="A263" t="s">
        <v>121</v>
      </c>
      <c r="B263">
        <v>1920</v>
      </c>
    </row>
    <row r="264" spans="1:2" x14ac:dyDescent="0.25">
      <c r="A264" t="s">
        <v>121</v>
      </c>
      <c r="B264">
        <v>1920</v>
      </c>
    </row>
    <row r="265" spans="1:2" x14ac:dyDescent="0.25">
      <c r="A265" t="s">
        <v>121</v>
      </c>
      <c r="B265">
        <v>1920</v>
      </c>
    </row>
    <row r="266" spans="1:2" x14ac:dyDescent="0.25">
      <c r="A266" t="s">
        <v>121</v>
      </c>
      <c r="B266">
        <v>1920</v>
      </c>
    </row>
    <row r="267" spans="1:2" x14ac:dyDescent="0.25">
      <c r="A267" t="s">
        <v>121</v>
      </c>
      <c r="B267">
        <v>1920</v>
      </c>
    </row>
    <row r="268" spans="1:2" x14ac:dyDescent="0.25">
      <c r="A268" t="s">
        <v>121</v>
      </c>
      <c r="B268">
        <v>1920</v>
      </c>
    </row>
    <row r="269" spans="1:2" x14ac:dyDescent="0.25">
      <c r="A269" t="s">
        <v>121</v>
      </c>
      <c r="B269">
        <v>1920</v>
      </c>
    </row>
    <row r="270" spans="1:2" x14ac:dyDescent="0.25">
      <c r="A270" t="s">
        <v>121</v>
      </c>
      <c r="B270">
        <v>1920</v>
      </c>
    </row>
    <row r="271" spans="1:2" x14ac:dyDescent="0.25">
      <c r="A271" t="s">
        <v>121</v>
      </c>
      <c r="B271">
        <v>1920</v>
      </c>
    </row>
    <row r="272" spans="1:2" x14ac:dyDescent="0.25">
      <c r="A272" t="s">
        <v>121</v>
      </c>
      <c r="B272">
        <v>1920</v>
      </c>
    </row>
    <row r="273" spans="1:2" x14ac:dyDescent="0.25">
      <c r="A273" t="s">
        <v>121</v>
      </c>
      <c r="B273">
        <v>1920</v>
      </c>
    </row>
    <row r="274" spans="1:2" x14ac:dyDescent="0.25">
      <c r="A274" t="s">
        <v>121</v>
      </c>
      <c r="B274">
        <v>1920</v>
      </c>
    </row>
    <row r="275" spans="1:2" x14ac:dyDescent="0.25">
      <c r="A275" t="s">
        <v>121</v>
      </c>
      <c r="B275">
        <v>1920</v>
      </c>
    </row>
    <row r="276" spans="1:2" x14ac:dyDescent="0.25">
      <c r="A276" t="s">
        <v>121</v>
      </c>
      <c r="B276">
        <v>1920</v>
      </c>
    </row>
    <row r="277" spans="1:2" x14ac:dyDescent="0.25">
      <c r="A277" t="s">
        <v>121</v>
      </c>
      <c r="B277">
        <v>1920</v>
      </c>
    </row>
    <row r="278" spans="1:2" x14ac:dyDescent="0.25">
      <c r="A278" t="s">
        <v>121</v>
      </c>
      <c r="B278">
        <v>1920</v>
      </c>
    </row>
    <row r="279" spans="1:2" x14ac:dyDescent="0.25">
      <c r="A279" t="s">
        <v>121</v>
      </c>
      <c r="B279">
        <v>1920</v>
      </c>
    </row>
    <row r="280" spans="1:2" x14ac:dyDescent="0.25">
      <c r="A280" t="s">
        <v>121</v>
      </c>
      <c r="B280">
        <v>1920</v>
      </c>
    </row>
    <row r="281" spans="1:2" x14ac:dyDescent="0.25">
      <c r="A281" t="s">
        <v>121</v>
      </c>
      <c r="B281">
        <v>1920</v>
      </c>
    </row>
    <row r="282" spans="1:2" x14ac:dyDescent="0.25">
      <c r="A282" t="s">
        <v>121</v>
      </c>
      <c r="B282">
        <v>1920</v>
      </c>
    </row>
    <row r="283" spans="1:2" x14ac:dyDescent="0.25">
      <c r="A283" t="s">
        <v>121</v>
      </c>
      <c r="B283">
        <v>1920</v>
      </c>
    </row>
    <row r="284" spans="1:2" x14ac:dyDescent="0.25">
      <c r="A284" t="s">
        <v>121</v>
      </c>
      <c r="B284">
        <v>1920</v>
      </c>
    </row>
    <row r="285" spans="1:2" x14ac:dyDescent="0.25">
      <c r="A285" t="s">
        <v>121</v>
      </c>
      <c r="B285">
        <v>1920</v>
      </c>
    </row>
    <row r="286" spans="1:2" x14ac:dyDescent="0.25">
      <c r="A286" t="s">
        <v>121</v>
      </c>
      <c r="B286">
        <v>1920</v>
      </c>
    </row>
    <row r="287" spans="1:2" x14ac:dyDescent="0.25">
      <c r="A287" t="s">
        <v>121</v>
      </c>
      <c r="B287">
        <v>1920</v>
      </c>
    </row>
    <row r="288" spans="1:2" x14ac:dyDescent="0.25">
      <c r="A288" t="s">
        <v>121</v>
      </c>
      <c r="B288">
        <v>1920</v>
      </c>
    </row>
    <row r="289" spans="1:2" x14ac:dyDescent="0.25">
      <c r="A289" t="s">
        <v>121</v>
      </c>
      <c r="B289">
        <v>1920</v>
      </c>
    </row>
    <row r="290" spans="1:2" x14ac:dyDescent="0.25">
      <c r="A290" t="s">
        <v>121</v>
      </c>
      <c r="B290">
        <v>1920</v>
      </c>
    </row>
    <row r="291" spans="1:2" x14ac:dyDescent="0.25">
      <c r="A291" t="s">
        <v>121</v>
      </c>
      <c r="B291">
        <v>1920</v>
      </c>
    </row>
    <row r="292" spans="1:2" x14ac:dyDescent="0.25">
      <c r="A292" t="s">
        <v>121</v>
      </c>
      <c r="B292">
        <v>1920</v>
      </c>
    </row>
    <row r="293" spans="1:2" x14ac:dyDescent="0.25">
      <c r="A293" t="s">
        <v>121</v>
      </c>
      <c r="B293">
        <v>1920</v>
      </c>
    </row>
    <row r="294" spans="1:2" x14ac:dyDescent="0.25">
      <c r="A294" t="s">
        <v>121</v>
      </c>
      <c r="B294">
        <v>1920</v>
      </c>
    </row>
    <row r="295" spans="1:2" x14ac:dyDescent="0.25">
      <c r="A295" t="s">
        <v>121</v>
      </c>
      <c r="B295">
        <v>1920</v>
      </c>
    </row>
    <row r="296" spans="1:2" x14ac:dyDescent="0.25">
      <c r="A296" t="s">
        <v>121</v>
      </c>
      <c r="B296">
        <v>1920</v>
      </c>
    </row>
    <row r="297" spans="1:2" x14ac:dyDescent="0.25">
      <c r="A297" t="s">
        <v>121</v>
      </c>
      <c r="B297">
        <v>1920</v>
      </c>
    </row>
    <row r="298" spans="1:2" x14ac:dyDescent="0.25">
      <c r="A298" t="s">
        <v>121</v>
      </c>
      <c r="B298">
        <v>1920</v>
      </c>
    </row>
    <row r="299" spans="1:2" x14ac:dyDescent="0.25">
      <c r="A299" t="s">
        <v>121</v>
      </c>
      <c r="B299">
        <v>1920</v>
      </c>
    </row>
    <row r="300" spans="1:2" x14ac:dyDescent="0.25">
      <c r="A300" t="s">
        <v>121</v>
      </c>
      <c r="B300">
        <v>1920</v>
      </c>
    </row>
    <row r="301" spans="1:2" x14ac:dyDescent="0.25">
      <c r="A301" t="s">
        <v>121</v>
      </c>
      <c r="B301">
        <v>1920</v>
      </c>
    </row>
    <row r="302" spans="1:2" x14ac:dyDescent="0.25">
      <c r="A302" t="s">
        <v>121</v>
      </c>
      <c r="B302">
        <v>1920</v>
      </c>
    </row>
    <row r="303" spans="1:2" x14ac:dyDescent="0.25">
      <c r="A303" t="s">
        <v>121</v>
      </c>
      <c r="B303">
        <v>1920</v>
      </c>
    </row>
    <row r="304" spans="1:2" x14ac:dyDescent="0.25">
      <c r="A304" t="s">
        <v>121</v>
      </c>
      <c r="B304">
        <v>1920</v>
      </c>
    </row>
    <row r="305" spans="1:2" x14ac:dyDescent="0.25">
      <c r="A305" t="s">
        <v>121</v>
      </c>
      <c r="B305">
        <v>1920</v>
      </c>
    </row>
    <row r="306" spans="1:2" x14ac:dyDescent="0.25">
      <c r="A306" t="s">
        <v>121</v>
      </c>
      <c r="B306">
        <v>1920</v>
      </c>
    </row>
    <row r="307" spans="1:2" x14ac:dyDescent="0.25">
      <c r="A307" t="s">
        <v>121</v>
      </c>
      <c r="B307">
        <v>1920</v>
      </c>
    </row>
    <row r="308" spans="1:2" x14ac:dyDescent="0.25">
      <c r="A308" t="s">
        <v>121</v>
      </c>
      <c r="B308">
        <v>1920</v>
      </c>
    </row>
    <row r="309" spans="1:2" x14ac:dyDescent="0.25">
      <c r="A309" t="s">
        <v>121</v>
      </c>
      <c r="B309">
        <v>1920</v>
      </c>
    </row>
    <row r="310" spans="1:2" x14ac:dyDescent="0.25">
      <c r="A310" t="s">
        <v>121</v>
      </c>
      <c r="B310">
        <v>1920</v>
      </c>
    </row>
    <row r="311" spans="1:2" x14ac:dyDescent="0.25">
      <c r="A311" t="s">
        <v>121</v>
      </c>
      <c r="B311">
        <v>1920</v>
      </c>
    </row>
    <row r="312" spans="1:2" x14ac:dyDescent="0.25">
      <c r="A312" t="s">
        <v>121</v>
      </c>
      <c r="B312">
        <v>1920</v>
      </c>
    </row>
    <row r="313" spans="1:2" x14ac:dyDescent="0.25">
      <c r="A313" t="s">
        <v>121</v>
      </c>
      <c r="B313">
        <v>1920</v>
      </c>
    </row>
    <row r="314" spans="1:2" x14ac:dyDescent="0.25">
      <c r="A314" t="s">
        <v>121</v>
      </c>
      <c r="B314">
        <v>1920</v>
      </c>
    </row>
    <row r="315" spans="1:2" x14ac:dyDescent="0.25">
      <c r="A315" t="s">
        <v>121</v>
      </c>
      <c r="B315">
        <v>1920</v>
      </c>
    </row>
    <row r="316" spans="1:2" x14ac:dyDescent="0.25">
      <c r="A316" t="s">
        <v>121</v>
      </c>
      <c r="B316">
        <v>1920</v>
      </c>
    </row>
    <row r="317" spans="1:2" x14ac:dyDescent="0.25">
      <c r="A317" t="s">
        <v>121</v>
      </c>
      <c r="B317">
        <v>1920</v>
      </c>
    </row>
    <row r="318" spans="1:2" x14ac:dyDescent="0.25">
      <c r="A318" t="s">
        <v>121</v>
      </c>
      <c r="B318">
        <v>1920</v>
      </c>
    </row>
    <row r="319" spans="1:2" x14ac:dyDescent="0.25">
      <c r="A319" t="s">
        <v>121</v>
      </c>
      <c r="B319">
        <v>1920</v>
      </c>
    </row>
    <row r="320" spans="1:2" x14ac:dyDescent="0.25">
      <c r="A320" t="s">
        <v>121</v>
      </c>
      <c r="B320">
        <v>1920</v>
      </c>
    </row>
    <row r="321" spans="1:2" x14ac:dyDescent="0.25">
      <c r="A321" t="s">
        <v>121</v>
      </c>
      <c r="B321">
        <v>1920</v>
      </c>
    </row>
    <row r="322" spans="1:2" x14ac:dyDescent="0.25">
      <c r="A322" t="s">
        <v>121</v>
      </c>
      <c r="B322">
        <v>1920</v>
      </c>
    </row>
    <row r="323" spans="1:2" x14ac:dyDescent="0.25">
      <c r="A323" t="s">
        <v>121</v>
      </c>
      <c r="B323">
        <v>1920</v>
      </c>
    </row>
    <row r="324" spans="1:2" x14ac:dyDescent="0.25">
      <c r="A324" t="s">
        <v>121</v>
      </c>
      <c r="B324">
        <v>1920</v>
      </c>
    </row>
    <row r="325" spans="1:2" x14ac:dyDescent="0.25">
      <c r="A325" t="s">
        <v>121</v>
      </c>
      <c r="B325">
        <v>1920</v>
      </c>
    </row>
    <row r="326" spans="1:2" x14ac:dyDescent="0.25">
      <c r="A326" t="s">
        <v>121</v>
      </c>
      <c r="B326">
        <v>1920</v>
      </c>
    </row>
    <row r="327" spans="1:2" x14ac:dyDescent="0.25">
      <c r="A327" t="s">
        <v>121</v>
      </c>
      <c r="B327">
        <v>1920</v>
      </c>
    </row>
    <row r="328" spans="1:2" x14ac:dyDescent="0.25">
      <c r="A328" t="s">
        <v>121</v>
      </c>
      <c r="B328">
        <v>1920</v>
      </c>
    </row>
    <row r="329" spans="1:2" x14ac:dyDescent="0.25">
      <c r="A329" t="s">
        <v>121</v>
      </c>
      <c r="B329">
        <v>1920</v>
      </c>
    </row>
    <row r="330" spans="1:2" x14ac:dyDescent="0.25">
      <c r="A330" t="s">
        <v>121</v>
      </c>
      <c r="B330">
        <v>1920</v>
      </c>
    </row>
    <row r="331" spans="1:2" x14ac:dyDescent="0.25">
      <c r="A331" t="s">
        <v>121</v>
      </c>
      <c r="B331">
        <v>1920</v>
      </c>
    </row>
    <row r="332" spans="1:2" x14ac:dyDescent="0.25">
      <c r="A332" t="s">
        <v>121</v>
      </c>
      <c r="B332">
        <v>1920</v>
      </c>
    </row>
    <row r="333" spans="1:2" x14ac:dyDescent="0.25">
      <c r="A333" t="s">
        <v>121</v>
      </c>
      <c r="B333">
        <v>1920</v>
      </c>
    </row>
    <row r="334" spans="1:2" x14ac:dyDescent="0.25">
      <c r="A334" t="s">
        <v>121</v>
      </c>
      <c r="B334">
        <v>1920</v>
      </c>
    </row>
    <row r="335" spans="1:2" x14ac:dyDescent="0.25">
      <c r="A335" t="s">
        <v>121</v>
      </c>
      <c r="B335">
        <v>1920</v>
      </c>
    </row>
    <row r="336" spans="1:2" x14ac:dyDescent="0.25">
      <c r="A336" t="s">
        <v>121</v>
      </c>
      <c r="B336">
        <v>1920</v>
      </c>
    </row>
    <row r="337" spans="1:2" x14ac:dyDescent="0.25">
      <c r="A337" t="s">
        <v>121</v>
      </c>
      <c r="B337">
        <v>1920</v>
      </c>
    </row>
    <row r="338" spans="1:2" x14ac:dyDescent="0.25">
      <c r="A338" t="s">
        <v>121</v>
      </c>
      <c r="B338">
        <v>1920</v>
      </c>
    </row>
    <row r="339" spans="1:2" x14ac:dyDescent="0.25">
      <c r="A339" t="s">
        <v>121</v>
      </c>
      <c r="B339">
        <v>1920</v>
      </c>
    </row>
    <row r="340" spans="1:2" x14ac:dyDescent="0.25">
      <c r="A340" t="s">
        <v>121</v>
      </c>
      <c r="B340">
        <v>1920</v>
      </c>
    </row>
    <row r="341" spans="1:2" x14ac:dyDescent="0.25">
      <c r="A341" t="s">
        <v>121</v>
      </c>
      <c r="B341">
        <v>1920</v>
      </c>
    </row>
    <row r="342" spans="1:2" x14ac:dyDescent="0.25">
      <c r="A342" t="s">
        <v>121</v>
      </c>
      <c r="B342">
        <v>1920</v>
      </c>
    </row>
    <row r="343" spans="1:2" x14ac:dyDescent="0.25">
      <c r="A343" t="s">
        <v>121</v>
      </c>
      <c r="B343">
        <v>1920</v>
      </c>
    </row>
    <row r="344" spans="1:2" x14ac:dyDescent="0.25">
      <c r="A344" t="s">
        <v>121</v>
      </c>
      <c r="B344">
        <v>1920</v>
      </c>
    </row>
    <row r="345" spans="1:2" x14ac:dyDescent="0.25">
      <c r="A345" t="s">
        <v>121</v>
      </c>
      <c r="B345">
        <v>1920</v>
      </c>
    </row>
    <row r="346" spans="1:2" x14ac:dyDescent="0.25">
      <c r="A346" t="s">
        <v>121</v>
      </c>
      <c r="B346">
        <v>1920</v>
      </c>
    </row>
    <row r="347" spans="1:2" x14ac:dyDescent="0.25">
      <c r="A347" t="s">
        <v>121</v>
      </c>
      <c r="B347">
        <v>1920</v>
      </c>
    </row>
    <row r="348" spans="1:2" x14ac:dyDescent="0.25">
      <c r="A348" t="s">
        <v>121</v>
      </c>
      <c r="B348">
        <v>1920</v>
      </c>
    </row>
    <row r="349" spans="1:2" x14ac:dyDescent="0.25">
      <c r="A349" t="s">
        <v>121</v>
      </c>
      <c r="B349">
        <v>1920</v>
      </c>
    </row>
    <row r="350" spans="1:2" x14ac:dyDescent="0.25">
      <c r="A350" t="s">
        <v>121</v>
      </c>
      <c r="B350">
        <v>1920</v>
      </c>
    </row>
    <row r="351" spans="1:2" x14ac:dyDescent="0.25">
      <c r="A351" t="s">
        <v>121</v>
      </c>
      <c r="B351">
        <v>1920</v>
      </c>
    </row>
    <row r="352" spans="1:2" x14ac:dyDescent="0.25">
      <c r="A352" t="s">
        <v>121</v>
      </c>
      <c r="B352">
        <v>1920</v>
      </c>
    </row>
    <row r="353" spans="1:2" x14ac:dyDescent="0.25">
      <c r="A353" t="s">
        <v>121</v>
      </c>
      <c r="B353">
        <v>1920</v>
      </c>
    </row>
    <row r="354" spans="1:2" x14ac:dyDescent="0.25">
      <c r="A354" t="s">
        <v>121</v>
      </c>
      <c r="B354">
        <v>1920</v>
      </c>
    </row>
    <row r="355" spans="1:2" x14ac:dyDescent="0.25">
      <c r="A355" t="s">
        <v>121</v>
      </c>
      <c r="B355">
        <v>1920</v>
      </c>
    </row>
    <row r="356" spans="1:2" x14ac:dyDescent="0.25">
      <c r="A356" t="s">
        <v>121</v>
      </c>
      <c r="B356">
        <v>1920</v>
      </c>
    </row>
    <row r="357" spans="1:2" x14ac:dyDescent="0.25">
      <c r="A357" t="s">
        <v>121</v>
      </c>
      <c r="B357">
        <v>1920</v>
      </c>
    </row>
    <row r="358" spans="1:2" x14ac:dyDescent="0.25">
      <c r="A358" t="s">
        <v>121</v>
      </c>
      <c r="B358">
        <v>1920</v>
      </c>
    </row>
    <row r="359" spans="1:2" x14ac:dyDescent="0.25">
      <c r="A359" t="s">
        <v>121</v>
      </c>
      <c r="B359">
        <v>1920</v>
      </c>
    </row>
    <row r="360" spans="1:2" x14ac:dyDescent="0.25">
      <c r="A360" t="s">
        <v>121</v>
      </c>
      <c r="B360">
        <v>1920</v>
      </c>
    </row>
    <row r="361" spans="1:2" x14ac:dyDescent="0.25">
      <c r="A361" t="s">
        <v>121</v>
      </c>
      <c r="B361">
        <v>1920</v>
      </c>
    </row>
    <row r="362" spans="1:2" x14ac:dyDescent="0.25">
      <c r="A362" t="s">
        <v>121</v>
      </c>
      <c r="B362">
        <v>1920</v>
      </c>
    </row>
    <row r="363" spans="1:2" x14ac:dyDescent="0.25">
      <c r="A363" t="s">
        <v>121</v>
      </c>
      <c r="B363">
        <v>1920</v>
      </c>
    </row>
    <row r="364" spans="1:2" x14ac:dyDescent="0.25">
      <c r="A364" t="s">
        <v>121</v>
      </c>
      <c r="B364">
        <v>1920</v>
      </c>
    </row>
    <row r="365" spans="1:2" x14ac:dyDescent="0.25">
      <c r="A365" t="s">
        <v>121</v>
      </c>
      <c r="B365">
        <v>1920</v>
      </c>
    </row>
    <row r="366" spans="1:2" x14ac:dyDescent="0.25">
      <c r="A366" t="s">
        <v>121</v>
      </c>
      <c r="B366">
        <v>1920</v>
      </c>
    </row>
    <row r="367" spans="1:2" x14ac:dyDescent="0.25">
      <c r="A367" t="s">
        <v>121</v>
      </c>
      <c r="B367">
        <v>1920</v>
      </c>
    </row>
    <row r="368" spans="1:2" x14ac:dyDescent="0.25">
      <c r="A368" t="s">
        <v>121</v>
      </c>
      <c r="B368">
        <v>1920</v>
      </c>
    </row>
    <row r="369" spans="1:2" x14ac:dyDescent="0.25">
      <c r="A369" t="s">
        <v>121</v>
      </c>
      <c r="B369">
        <v>1920</v>
      </c>
    </row>
    <row r="370" spans="1:2" x14ac:dyDescent="0.25">
      <c r="A370" t="s">
        <v>121</v>
      </c>
      <c r="B370">
        <v>1920</v>
      </c>
    </row>
    <row r="371" spans="1:2" x14ac:dyDescent="0.25">
      <c r="A371" t="s">
        <v>121</v>
      </c>
      <c r="B371">
        <v>1920</v>
      </c>
    </row>
    <row r="372" spans="1:2" x14ac:dyDescent="0.25">
      <c r="A372" t="s">
        <v>121</v>
      </c>
      <c r="B372">
        <v>1920</v>
      </c>
    </row>
    <row r="373" spans="1:2" x14ac:dyDescent="0.25">
      <c r="A373" t="s">
        <v>121</v>
      </c>
      <c r="B373">
        <v>1920</v>
      </c>
    </row>
    <row r="374" spans="1:2" x14ac:dyDescent="0.25">
      <c r="A374" t="s">
        <v>121</v>
      </c>
      <c r="B374">
        <v>1920</v>
      </c>
    </row>
    <row r="375" spans="1:2" x14ac:dyDescent="0.25">
      <c r="A375" t="s">
        <v>121</v>
      </c>
      <c r="B375">
        <v>1920</v>
      </c>
    </row>
    <row r="376" spans="1:2" x14ac:dyDescent="0.25">
      <c r="A376" t="s">
        <v>121</v>
      </c>
      <c r="B376">
        <v>1920</v>
      </c>
    </row>
    <row r="377" spans="1:2" x14ac:dyDescent="0.25">
      <c r="A377" t="s">
        <v>121</v>
      </c>
      <c r="B377">
        <v>1920</v>
      </c>
    </row>
    <row r="378" spans="1:2" x14ac:dyDescent="0.25">
      <c r="A378" t="s">
        <v>121</v>
      </c>
      <c r="B378">
        <v>1920</v>
      </c>
    </row>
    <row r="379" spans="1:2" x14ac:dyDescent="0.25">
      <c r="A379" t="s">
        <v>121</v>
      </c>
      <c r="B379">
        <v>1920</v>
      </c>
    </row>
    <row r="380" spans="1:2" x14ac:dyDescent="0.25">
      <c r="A380" t="s">
        <v>121</v>
      </c>
      <c r="B380">
        <v>1920</v>
      </c>
    </row>
    <row r="381" spans="1:2" x14ac:dyDescent="0.25">
      <c r="A381" t="s">
        <v>121</v>
      </c>
      <c r="B381">
        <v>1920</v>
      </c>
    </row>
    <row r="382" spans="1:2" x14ac:dyDescent="0.25">
      <c r="A382" t="s">
        <v>121</v>
      </c>
      <c r="B382">
        <v>1920</v>
      </c>
    </row>
    <row r="383" spans="1:2" x14ac:dyDescent="0.25">
      <c r="A383" t="s">
        <v>121</v>
      </c>
      <c r="B383">
        <v>1920</v>
      </c>
    </row>
    <row r="384" spans="1:2" x14ac:dyDescent="0.25">
      <c r="A384" t="s">
        <v>121</v>
      </c>
      <c r="B384">
        <v>1920</v>
      </c>
    </row>
    <row r="385" spans="1:2" x14ac:dyDescent="0.25">
      <c r="A385" t="s">
        <v>121</v>
      </c>
      <c r="B385">
        <v>1920</v>
      </c>
    </row>
    <row r="386" spans="1:2" x14ac:dyDescent="0.25">
      <c r="A386" t="s">
        <v>121</v>
      </c>
      <c r="B386">
        <v>1920</v>
      </c>
    </row>
    <row r="387" spans="1:2" x14ac:dyDescent="0.25">
      <c r="A387" t="s">
        <v>121</v>
      </c>
      <c r="B387">
        <v>1920</v>
      </c>
    </row>
    <row r="388" spans="1:2" x14ac:dyDescent="0.25">
      <c r="A388" t="s">
        <v>121</v>
      </c>
      <c r="B388">
        <v>1920</v>
      </c>
    </row>
    <row r="389" spans="1:2" x14ac:dyDescent="0.25">
      <c r="A389" t="s">
        <v>121</v>
      </c>
      <c r="B389">
        <v>1920</v>
      </c>
    </row>
    <row r="390" spans="1:2" x14ac:dyDescent="0.25">
      <c r="A390" t="s">
        <v>121</v>
      </c>
      <c r="B390">
        <v>1920</v>
      </c>
    </row>
    <row r="391" spans="1:2" x14ac:dyDescent="0.25">
      <c r="A391" t="s">
        <v>121</v>
      </c>
      <c r="B391">
        <v>1920</v>
      </c>
    </row>
    <row r="392" spans="1:2" x14ac:dyDescent="0.25">
      <c r="A392" t="s">
        <v>121</v>
      </c>
      <c r="B392">
        <v>1920</v>
      </c>
    </row>
    <row r="393" spans="1:2" x14ac:dyDescent="0.25">
      <c r="A393" t="s">
        <v>121</v>
      </c>
      <c r="B393">
        <v>1920</v>
      </c>
    </row>
    <row r="394" spans="1:2" x14ac:dyDescent="0.25">
      <c r="A394" t="s">
        <v>121</v>
      </c>
      <c r="B394">
        <v>1920</v>
      </c>
    </row>
    <row r="395" spans="1:2" x14ac:dyDescent="0.25">
      <c r="A395" t="s">
        <v>121</v>
      </c>
      <c r="B395">
        <v>1920</v>
      </c>
    </row>
    <row r="396" spans="1:2" x14ac:dyDescent="0.25">
      <c r="A396" t="s">
        <v>121</v>
      </c>
      <c r="B396">
        <v>1920</v>
      </c>
    </row>
    <row r="397" spans="1:2" x14ac:dyDescent="0.25">
      <c r="A397" t="s">
        <v>121</v>
      </c>
      <c r="B397">
        <v>1920</v>
      </c>
    </row>
    <row r="398" spans="1:2" x14ac:dyDescent="0.25">
      <c r="A398" t="s">
        <v>226</v>
      </c>
      <c r="B398">
        <v>3590</v>
      </c>
    </row>
    <row r="399" spans="1:2" x14ac:dyDescent="0.25">
      <c r="A399" t="s">
        <v>226</v>
      </c>
      <c r="B399">
        <v>3590</v>
      </c>
    </row>
    <row r="400" spans="1:2" x14ac:dyDescent="0.25">
      <c r="A400" t="s">
        <v>226</v>
      </c>
      <c r="B400">
        <v>3590</v>
      </c>
    </row>
    <row r="401" spans="1:2" x14ac:dyDescent="0.25">
      <c r="A401" t="s">
        <v>226</v>
      </c>
      <c r="B401">
        <v>3590</v>
      </c>
    </row>
    <row r="402" spans="1:2" x14ac:dyDescent="0.25">
      <c r="A402" t="s">
        <v>226</v>
      </c>
      <c r="B402">
        <v>3590</v>
      </c>
    </row>
    <row r="403" spans="1:2" x14ac:dyDescent="0.25">
      <c r="A403" t="s">
        <v>226</v>
      </c>
      <c r="B403">
        <v>3590</v>
      </c>
    </row>
    <row r="404" spans="1:2" x14ac:dyDescent="0.25">
      <c r="A404" t="s">
        <v>226</v>
      </c>
      <c r="B404">
        <v>3590</v>
      </c>
    </row>
    <row r="405" spans="1:2" x14ac:dyDescent="0.25">
      <c r="A405" t="s">
        <v>226</v>
      </c>
      <c r="B405">
        <v>3590</v>
      </c>
    </row>
    <row r="406" spans="1:2" x14ac:dyDescent="0.25">
      <c r="A406" t="s">
        <v>226</v>
      </c>
      <c r="B406">
        <v>3590</v>
      </c>
    </row>
    <row r="407" spans="1:2" x14ac:dyDescent="0.25">
      <c r="A407" t="s">
        <v>226</v>
      </c>
      <c r="B407">
        <v>3590</v>
      </c>
    </row>
    <row r="408" spans="1:2" x14ac:dyDescent="0.25">
      <c r="A408" t="s">
        <v>226</v>
      </c>
      <c r="B408">
        <v>3590</v>
      </c>
    </row>
    <row r="409" spans="1:2" x14ac:dyDescent="0.25">
      <c r="A409" t="s">
        <v>226</v>
      </c>
      <c r="B409">
        <v>3590</v>
      </c>
    </row>
    <row r="410" spans="1:2" x14ac:dyDescent="0.25">
      <c r="A410" t="s">
        <v>226</v>
      </c>
      <c r="B410">
        <v>3590</v>
      </c>
    </row>
    <row r="411" spans="1:2" x14ac:dyDescent="0.25">
      <c r="A411" t="s">
        <v>226</v>
      </c>
      <c r="B411">
        <v>3590</v>
      </c>
    </row>
    <row r="412" spans="1:2" x14ac:dyDescent="0.25">
      <c r="A412" t="s">
        <v>226</v>
      </c>
      <c r="B412">
        <v>3590</v>
      </c>
    </row>
    <row r="413" spans="1:2" x14ac:dyDescent="0.25">
      <c r="A413" t="s">
        <v>226</v>
      </c>
      <c r="B413">
        <v>3590</v>
      </c>
    </row>
    <row r="414" spans="1:2" x14ac:dyDescent="0.25">
      <c r="A414" t="s">
        <v>226</v>
      </c>
      <c r="B414">
        <v>3590</v>
      </c>
    </row>
    <row r="415" spans="1:2" x14ac:dyDescent="0.25">
      <c r="A415" t="s">
        <v>226</v>
      </c>
      <c r="B415">
        <v>3590</v>
      </c>
    </row>
    <row r="416" spans="1:2" x14ac:dyDescent="0.25">
      <c r="A416" t="s">
        <v>226</v>
      </c>
      <c r="B416">
        <v>3590</v>
      </c>
    </row>
    <row r="417" spans="1:2" x14ac:dyDescent="0.25">
      <c r="A417" t="s">
        <v>226</v>
      </c>
      <c r="B417">
        <v>3590</v>
      </c>
    </row>
    <row r="418" spans="1:2" x14ac:dyDescent="0.25">
      <c r="A418" t="s">
        <v>226</v>
      </c>
      <c r="B418">
        <v>3590</v>
      </c>
    </row>
    <row r="419" spans="1:2" x14ac:dyDescent="0.25">
      <c r="A419" t="s">
        <v>226</v>
      </c>
      <c r="B419">
        <v>3590</v>
      </c>
    </row>
    <row r="420" spans="1:2" x14ac:dyDescent="0.25">
      <c r="A420" t="s">
        <v>226</v>
      </c>
      <c r="B420">
        <v>3590</v>
      </c>
    </row>
    <row r="421" spans="1:2" x14ac:dyDescent="0.25">
      <c r="A421" t="s">
        <v>226</v>
      </c>
      <c r="B421">
        <v>3590</v>
      </c>
    </row>
    <row r="422" spans="1:2" x14ac:dyDescent="0.25">
      <c r="A422" t="s">
        <v>226</v>
      </c>
      <c r="B422">
        <v>3590</v>
      </c>
    </row>
    <row r="423" spans="1:2" x14ac:dyDescent="0.25">
      <c r="A423" t="s">
        <v>226</v>
      </c>
      <c r="B423">
        <v>3590</v>
      </c>
    </row>
    <row r="424" spans="1:2" x14ac:dyDescent="0.25">
      <c r="A424" t="s">
        <v>226</v>
      </c>
      <c r="B424">
        <v>3590</v>
      </c>
    </row>
    <row r="425" spans="1:2" x14ac:dyDescent="0.25">
      <c r="A425" t="s">
        <v>226</v>
      </c>
      <c r="B425">
        <v>3590</v>
      </c>
    </row>
    <row r="426" spans="1:2" x14ac:dyDescent="0.25">
      <c r="A426" t="s">
        <v>226</v>
      </c>
      <c r="B426">
        <v>3590</v>
      </c>
    </row>
    <row r="427" spans="1:2" x14ac:dyDescent="0.25">
      <c r="A427" t="s">
        <v>226</v>
      </c>
      <c r="B427">
        <v>3590</v>
      </c>
    </row>
    <row r="428" spans="1:2" x14ac:dyDescent="0.25">
      <c r="A428" t="s">
        <v>226</v>
      </c>
      <c r="B428">
        <v>3590</v>
      </c>
    </row>
    <row r="429" spans="1:2" x14ac:dyDescent="0.25">
      <c r="A429" t="s">
        <v>226</v>
      </c>
      <c r="B429">
        <v>3590</v>
      </c>
    </row>
    <row r="430" spans="1:2" x14ac:dyDescent="0.25">
      <c r="A430" t="s">
        <v>226</v>
      </c>
      <c r="B430">
        <v>3590</v>
      </c>
    </row>
    <row r="431" spans="1:2" x14ac:dyDescent="0.25">
      <c r="A431" t="s">
        <v>226</v>
      </c>
      <c r="B431">
        <v>3590</v>
      </c>
    </row>
    <row r="432" spans="1:2" x14ac:dyDescent="0.25">
      <c r="A432" t="s">
        <v>226</v>
      </c>
      <c r="B432">
        <v>3590</v>
      </c>
    </row>
    <row r="433" spans="1:2" x14ac:dyDescent="0.25">
      <c r="A433" t="s">
        <v>226</v>
      </c>
      <c r="B433">
        <v>3590</v>
      </c>
    </row>
    <row r="434" spans="1:2" x14ac:dyDescent="0.25">
      <c r="A434" t="s">
        <v>226</v>
      </c>
      <c r="B434">
        <v>3590</v>
      </c>
    </row>
    <row r="435" spans="1:2" x14ac:dyDescent="0.25">
      <c r="A435" t="s">
        <v>226</v>
      </c>
      <c r="B435">
        <v>3590</v>
      </c>
    </row>
    <row r="436" spans="1:2" x14ac:dyDescent="0.25">
      <c r="A436" t="s">
        <v>226</v>
      </c>
      <c r="B436">
        <v>3590</v>
      </c>
    </row>
    <row r="437" spans="1:2" x14ac:dyDescent="0.25">
      <c r="A437" t="s">
        <v>226</v>
      </c>
      <c r="B437">
        <v>3590</v>
      </c>
    </row>
    <row r="438" spans="1:2" x14ac:dyDescent="0.25">
      <c r="A438" t="s">
        <v>226</v>
      </c>
      <c r="B438">
        <v>3590</v>
      </c>
    </row>
    <row r="439" spans="1:2" x14ac:dyDescent="0.25">
      <c r="A439" t="s">
        <v>226</v>
      </c>
      <c r="B439">
        <v>3590</v>
      </c>
    </row>
    <row r="440" spans="1:2" x14ac:dyDescent="0.25">
      <c r="A440" t="s">
        <v>226</v>
      </c>
      <c r="B440">
        <v>3590</v>
      </c>
    </row>
    <row r="441" spans="1:2" x14ac:dyDescent="0.25">
      <c r="A441" t="s">
        <v>226</v>
      </c>
      <c r="B441">
        <v>3590</v>
      </c>
    </row>
    <row r="442" spans="1:2" x14ac:dyDescent="0.25">
      <c r="A442" t="s">
        <v>226</v>
      </c>
      <c r="B442">
        <v>3590</v>
      </c>
    </row>
    <row r="443" spans="1:2" x14ac:dyDescent="0.25">
      <c r="A443" t="s">
        <v>226</v>
      </c>
      <c r="B443">
        <v>3590</v>
      </c>
    </row>
    <row r="444" spans="1:2" x14ac:dyDescent="0.25">
      <c r="A444" t="s">
        <v>226</v>
      </c>
      <c r="B444">
        <v>3590</v>
      </c>
    </row>
    <row r="445" spans="1:2" x14ac:dyDescent="0.25">
      <c r="A445" t="s">
        <v>226</v>
      </c>
      <c r="B445">
        <v>3590</v>
      </c>
    </row>
    <row r="446" spans="1:2" x14ac:dyDescent="0.25">
      <c r="A446" t="s">
        <v>226</v>
      </c>
      <c r="B446">
        <v>3590</v>
      </c>
    </row>
    <row r="447" spans="1:2" x14ac:dyDescent="0.25">
      <c r="A447" t="s">
        <v>226</v>
      </c>
      <c r="B447">
        <v>3590</v>
      </c>
    </row>
    <row r="448" spans="1:2" x14ac:dyDescent="0.25">
      <c r="A448" t="s">
        <v>226</v>
      </c>
      <c r="B448">
        <v>3590</v>
      </c>
    </row>
    <row r="449" spans="1:2" x14ac:dyDescent="0.25">
      <c r="A449" t="s">
        <v>226</v>
      </c>
      <c r="B449">
        <v>3590</v>
      </c>
    </row>
    <row r="450" spans="1:2" x14ac:dyDescent="0.25">
      <c r="A450" t="s">
        <v>226</v>
      </c>
      <c r="B450">
        <v>3590</v>
      </c>
    </row>
    <row r="451" spans="1:2" x14ac:dyDescent="0.25">
      <c r="A451" t="s">
        <v>226</v>
      </c>
      <c r="B451">
        <v>3590</v>
      </c>
    </row>
    <row r="452" spans="1:2" x14ac:dyDescent="0.25">
      <c r="A452" t="s">
        <v>226</v>
      </c>
      <c r="B452">
        <v>3590</v>
      </c>
    </row>
    <row r="453" spans="1:2" x14ac:dyDescent="0.25">
      <c r="A453" t="s">
        <v>226</v>
      </c>
      <c r="B453">
        <v>3590</v>
      </c>
    </row>
    <row r="454" spans="1:2" x14ac:dyDescent="0.25">
      <c r="A454" t="s">
        <v>226</v>
      </c>
      <c r="B454">
        <v>3590</v>
      </c>
    </row>
    <row r="455" spans="1:2" x14ac:dyDescent="0.25">
      <c r="A455" t="s">
        <v>226</v>
      </c>
      <c r="B455">
        <v>3590</v>
      </c>
    </row>
    <row r="456" spans="1:2" x14ac:dyDescent="0.25">
      <c r="A456" t="s">
        <v>226</v>
      </c>
      <c r="B456">
        <v>3590</v>
      </c>
    </row>
    <row r="457" spans="1:2" x14ac:dyDescent="0.25">
      <c r="A457" t="s">
        <v>226</v>
      </c>
      <c r="B457">
        <v>3590</v>
      </c>
    </row>
    <row r="458" spans="1:2" x14ac:dyDescent="0.25">
      <c r="A458" t="s">
        <v>226</v>
      </c>
      <c r="B458">
        <v>3590</v>
      </c>
    </row>
    <row r="459" spans="1:2" x14ac:dyDescent="0.25">
      <c r="A459" t="s">
        <v>226</v>
      </c>
      <c r="B459">
        <v>3590</v>
      </c>
    </row>
    <row r="460" spans="1:2" x14ac:dyDescent="0.25">
      <c r="A460" t="s">
        <v>226</v>
      </c>
      <c r="B460">
        <v>3590</v>
      </c>
    </row>
    <row r="461" spans="1:2" x14ac:dyDescent="0.25">
      <c r="A461" t="s">
        <v>226</v>
      </c>
      <c r="B461">
        <v>3590</v>
      </c>
    </row>
    <row r="462" spans="1:2" x14ac:dyDescent="0.25">
      <c r="A462" t="s">
        <v>226</v>
      </c>
      <c r="B462">
        <v>3590</v>
      </c>
    </row>
    <row r="463" spans="1:2" x14ac:dyDescent="0.25">
      <c r="A463" t="s">
        <v>226</v>
      </c>
      <c r="B463">
        <v>3590</v>
      </c>
    </row>
    <row r="464" spans="1:2" x14ac:dyDescent="0.25">
      <c r="A464" t="s">
        <v>226</v>
      </c>
      <c r="B464">
        <v>3590</v>
      </c>
    </row>
    <row r="465" spans="1:2" x14ac:dyDescent="0.25">
      <c r="A465" t="s">
        <v>226</v>
      </c>
      <c r="B465">
        <v>3590</v>
      </c>
    </row>
    <row r="466" spans="1:2" x14ac:dyDescent="0.25">
      <c r="A466" t="s">
        <v>226</v>
      </c>
      <c r="B466">
        <v>3590</v>
      </c>
    </row>
    <row r="467" spans="1:2" x14ac:dyDescent="0.25">
      <c r="A467" t="s">
        <v>226</v>
      </c>
      <c r="B467">
        <v>3590</v>
      </c>
    </row>
    <row r="468" spans="1:2" x14ac:dyDescent="0.25">
      <c r="A468" t="s">
        <v>226</v>
      </c>
      <c r="B468">
        <v>3590</v>
      </c>
    </row>
    <row r="469" spans="1:2" x14ac:dyDescent="0.25">
      <c r="A469" t="s">
        <v>226</v>
      </c>
      <c r="B469">
        <v>3590</v>
      </c>
    </row>
    <row r="470" spans="1:2" x14ac:dyDescent="0.25">
      <c r="A470" t="s">
        <v>226</v>
      </c>
      <c r="B470">
        <v>3590</v>
      </c>
    </row>
    <row r="471" spans="1:2" x14ac:dyDescent="0.25">
      <c r="A471" t="s">
        <v>226</v>
      </c>
      <c r="B471">
        <v>3590</v>
      </c>
    </row>
    <row r="472" spans="1:2" x14ac:dyDescent="0.25">
      <c r="A472" t="s">
        <v>226</v>
      </c>
      <c r="B472">
        <v>3590</v>
      </c>
    </row>
    <row r="473" spans="1:2" x14ac:dyDescent="0.25">
      <c r="A473" t="s">
        <v>226</v>
      </c>
      <c r="B473">
        <v>3590</v>
      </c>
    </row>
    <row r="474" spans="1:2" x14ac:dyDescent="0.25">
      <c r="A474" t="s">
        <v>226</v>
      </c>
      <c r="B474">
        <v>3590</v>
      </c>
    </row>
    <row r="475" spans="1:2" x14ac:dyDescent="0.25">
      <c r="A475" t="s">
        <v>226</v>
      </c>
      <c r="B475">
        <v>3590</v>
      </c>
    </row>
    <row r="476" spans="1:2" x14ac:dyDescent="0.25">
      <c r="A476" t="s">
        <v>226</v>
      </c>
      <c r="B476">
        <v>3590</v>
      </c>
    </row>
    <row r="477" spans="1:2" x14ac:dyDescent="0.25">
      <c r="A477" t="s">
        <v>226</v>
      </c>
      <c r="B477">
        <v>3590</v>
      </c>
    </row>
    <row r="478" spans="1:2" x14ac:dyDescent="0.25">
      <c r="A478" t="s">
        <v>226</v>
      </c>
      <c r="B478">
        <v>3590</v>
      </c>
    </row>
    <row r="479" spans="1:2" x14ac:dyDescent="0.25">
      <c r="A479" t="s">
        <v>226</v>
      </c>
      <c r="B479">
        <v>3590</v>
      </c>
    </row>
    <row r="480" spans="1:2" x14ac:dyDescent="0.25">
      <c r="A480" t="s">
        <v>226</v>
      </c>
      <c r="B480">
        <v>3590</v>
      </c>
    </row>
    <row r="481" spans="1:2" x14ac:dyDescent="0.25">
      <c r="A481" t="s">
        <v>226</v>
      </c>
      <c r="B481">
        <v>3590</v>
      </c>
    </row>
    <row r="482" spans="1:2" x14ac:dyDescent="0.25">
      <c r="A482" t="s">
        <v>226</v>
      </c>
      <c r="B482">
        <v>3590</v>
      </c>
    </row>
    <row r="483" spans="1:2" x14ac:dyDescent="0.25">
      <c r="A483" t="s">
        <v>226</v>
      </c>
      <c r="B483">
        <v>3590</v>
      </c>
    </row>
    <row r="484" spans="1:2" x14ac:dyDescent="0.25">
      <c r="A484" t="s">
        <v>226</v>
      </c>
      <c r="B484">
        <v>3590</v>
      </c>
    </row>
    <row r="485" spans="1:2" x14ac:dyDescent="0.25">
      <c r="A485" t="s">
        <v>226</v>
      </c>
      <c r="B485">
        <v>3590</v>
      </c>
    </row>
    <row r="486" spans="1:2" x14ac:dyDescent="0.25">
      <c r="A486" t="s">
        <v>226</v>
      </c>
      <c r="B486">
        <v>3590</v>
      </c>
    </row>
    <row r="487" spans="1:2" x14ac:dyDescent="0.25">
      <c r="A487" t="s">
        <v>226</v>
      </c>
      <c r="B487">
        <v>3590</v>
      </c>
    </row>
    <row r="488" spans="1:2" x14ac:dyDescent="0.25">
      <c r="A488" t="s">
        <v>226</v>
      </c>
      <c r="B488">
        <v>3590</v>
      </c>
    </row>
    <row r="489" spans="1:2" x14ac:dyDescent="0.25">
      <c r="A489" t="s">
        <v>226</v>
      </c>
      <c r="B489">
        <v>3590</v>
      </c>
    </row>
    <row r="490" spans="1:2" x14ac:dyDescent="0.25">
      <c r="A490" t="s">
        <v>226</v>
      </c>
      <c r="B490">
        <v>3590</v>
      </c>
    </row>
    <row r="491" spans="1:2" x14ac:dyDescent="0.25">
      <c r="A491" t="s">
        <v>226</v>
      </c>
      <c r="B491">
        <v>3590</v>
      </c>
    </row>
    <row r="492" spans="1:2" x14ac:dyDescent="0.25">
      <c r="A492" t="s">
        <v>226</v>
      </c>
      <c r="B492">
        <v>3590</v>
      </c>
    </row>
    <row r="493" spans="1:2" x14ac:dyDescent="0.25">
      <c r="A493" t="s">
        <v>226</v>
      </c>
      <c r="B493">
        <v>3590</v>
      </c>
    </row>
    <row r="494" spans="1:2" x14ac:dyDescent="0.25">
      <c r="A494" t="s">
        <v>226</v>
      </c>
      <c r="B494">
        <v>3590</v>
      </c>
    </row>
    <row r="495" spans="1:2" x14ac:dyDescent="0.25">
      <c r="A495" t="s">
        <v>226</v>
      </c>
      <c r="B495">
        <v>3590</v>
      </c>
    </row>
    <row r="496" spans="1:2" x14ac:dyDescent="0.25">
      <c r="A496" t="s">
        <v>226</v>
      </c>
      <c r="B496">
        <v>3590</v>
      </c>
    </row>
    <row r="497" spans="1:2" x14ac:dyDescent="0.25">
      <c r="A497" t="s">
        <v>226</v>
      </c>
      <c r="B497">
        <v>3590</v>
      </c>
    </row>
    <row r="498" spans="1:2" x14ac:dyDescent="0.25">
      <c r="A498" t="s">
        <v>226</v>
      </c>
      <c r="B498">
        <v>3590</v>
      </c>
    </row>
    <row r="499" spans="1:2" x14ac:dyDescent="0.25">
      <c r="A499" t="s">
        <v>226</v>
      </c>
      <c r="B499">
        <v>3590</v>
      </c>
    </row>
    <row r="500" spans="1:2" x14ac:dyDescent="0.25">
      <c r="A500" t="s">
        <v>226</v>
      </c>
      <c r="B500">
        <v>3590</v>
      </c>
    </row>
    <row r="501" spans="1:2" x14ac:dyDescent="0.25">
      <c r="A501" t="s">
        <v>226</v>
      </c>
      <c r="B501">
        <v>3590</v>
      </c>
    </row>
    <row r="502" spans="1:2" x14ac:dyDescent="0.25">
      <c r="A502" t="s">
        <v>226</v>
      </c>
      <c r="B502">
        <v>3590</v>
      </c>
    </row>
    <row r="503" spans="1:2" x14ac:dyDescent="0.25">
      <c r="A503" t="s">
        <v>226</v>
      </c>
      <c r="B503">
        <v>3590</v>
      </c>
    </row>
    <row r="504" spans="1:2" x14ac:dyDescent="0.25">
      <c r="A504" t="s">
        <v>226</v>
      </c>
      <c r="B504">
        <v>3590</v>
      </c>
    </row>
    <row r="505" spans="1:2" x14ac:dyDescent="0.25">
      <c r="A505" t="s">
        <v>226</v>
      </c>
      <c r="B505">
        <v>3590</v>
      </c>
    </row>
    <row r="506" spans="1:2" x14ac:dyDescent="0.25">
      <c r="A506" t="s">
        <v>226</v>
      </c>
      <c r="B506">
        <v>3590</v>
      </c>
    </row>
    <row r="507" spans="1:2" x14ac:dyDescent="0.25">
      <c r="A507" t="s">
        <v>226</v>
      </c>
      <c r="B507">
        <v>3590</v>
      </c>
    </row>
    <row r="508" spans="1:2" x14ac:dyDescent="0.25">
      <c r="A508" t="s">
        <v>226</v>
      </c>
      <c r="B508">
        <v>3590</v>
      </c>
    </row>
    <row r="509" spans="1:2" x14ac:dyDescent="0.25">
      <c r="A509" t="s">
        <v>226</v>
      </c>
      <c r="B509">
        <v>3590</v>
      </c>
    </row>
    <row r="510" spans="1:2" x14ac:dyDescent="0.25">
      <c r="A510" t="s">
        <v>226</v>
      </c>
      <c r="B510">
        <v>3590</v>
      </c>
    </row>
    <row r="511" spans="1:2" x14ac:dyDescent="0.25">
      <c r="A511" t="s">
        <v>226</v>
      </c>
      <c r="B511">
        <v>3590</v>
      </c>
    </row>
    <row r="512" spans="1:2" x14ac:dyDescent="0.25">
      <c r="A512" t="s">
        <v>226</v>
      </c>
      <c r="B512">
        <v>3590</v>
      </c>
    </row>
    <row r="513" spans="1:2" x14ac:dyDescent="0.25">
      <c r="A513" t="s">
        <v>226</v>
      </c>
      <c r="B513">
        <v>3590</v>
      </c>
    </row>
    <row r="514" spans="1:2" x14ac:dyDescent="0.25">
      <c r="A514" t="s">
        <v>226</v>
      </c>
      <c r="B514">
        <v>3590</v>
      </c>
    </row>
    <row r="515" spans="1:2" x14ac:dyDescent="0.25">
      <c r="A515" t="s">
        <v>226</v>
      </c>
      <c r="B515">
        <v>3590</v>
      </c>
    </row>
    <row r="516" spans="1:2" x14ac:dyDescent="0.25">
      <c r="A516" t="s">
        <v>226</v>
      </c>
      <c r="B516">
        <v>3590</v>
      </c>
    </row>
    <row r="517" spans="1:2" x14ac:dyDescent="0.25">
      <c r="A517" t="s">
        <v>226</v>
      </c>
      <c r="B517">
        <v>3590</v>
      </c>
    </row>
    <row r="518" spans="1:2" x14ac:dyDescent="0.25">
      <c r="A518" t="s">
        <v>226</v>
      </c>
      <c r="B518">
        <v>3590</v>
      </c>
    </row>
    <row r="519" spans="1:2" x14ac:dyDescent="0.25">
      <c r="A519" t="s">
        <v>226</v>
      </c>
      <c r="B519">
        <v>3590</v>
      </c>
    </row>
    <row r="520" spans="1:2" x14ac:dyDescent="0.25">
      <c r="A520" t="s">
        <v>226</v>
      </c>
      <c r="B520">
        <v>3590</v>
      </c>
    </row>
    <row r="521" spans="1:2" x14ac:dyDescent="0.25">
      <c r="A521" t="s">
        <v>226</v>
      </c>
      <c r="B521">
        <v>3590</v>
      </c>
    </row>
    <row r="522" spans="1:2" x14ac:dyDescent="0.25">
      <c r="A522" t="s">
        <v>226</v>
      </c>
      <c r="B522">
        <v>3590</v>
      </c>
    </row>
    <row r="523" spans="1:2" x14ac:dyDescent="0.25">
      <c r="A523" t="s">
        <v>226</v>
      </c>
      <c r="B523">
        <v>3590</v>
      </c>
    </row>
    <row r="524" spans="1:2" x14ac:dyDescent="0.25">
      <c r="A524" t="s">
        <v>226</v>
      </c>
      <c r="B524">
        <v>3590</v>
      </c>
    </row>
    <row r="525" spans="1:2" x14ac:dyDescent="0.25">
      <c r="A525" t="s">
        <v>226</v>
      </c>
      <c r="B525">
        <v>3590</v>
      </c>
    </row>
    <row r="526" spans="1:2" x14ac:dyDescent="0.25">
      <c r="A526" t="s">
        <v>226</v>
      </c>
      <c r="B526">
        <v>3590</v>
      </c>
    </row>
    <row r="527" spans="1:2" x14ac:dyDescent="0.25">
      <c r="A527" t="s">
        <v>226</v>
      </c>
      <c r="B527">
        <v>3590</v>
      </c>
    </row>
    <row r="528" spans="1:2" x14ac:dyDescent="0.25">
      <c r="A528" t="s">
        <v>226</v>
      </c>
      <c r="B528">
        <v>3590</v>
      </c>
    </row>
    <row r="529" spans="1:2" x14ac:dyDescent="0.25">
      <c r="A529" t="s">
        <v>226</v>
      </c>
      <c r="B529">
        <v>3590</v>
      </c>
    </row>
    <row r="530" spans="1:2" x14ac:dyDescent="0.25">
      <c r="A530" t="s">
        <v>226</v>
      </c>
      <c r="B530">
        <v>3590</v>
      </c>
    </row>
    <row r="531" spans="1:2" x14ac:dyDescent="0.25">
      <c r="A531" t="s">
        <v>226</v>
      </c>
      <c r="B531">
        <v>3590</v>
      </c>
    </row>
    <row r="532" spans="1:2" x14ac:dyDescent="0.25">
      <c r="A532" t="s">
        <v>226</v>
      </c>
      <c r="B532">
        <v>3590</v>
      </c>
    </row>
    <row r="533" spans="1:2" x14ac:dyDescent="0.25">
      <c r="A533" t="s">
        <v>226</v>
      </c>
      <c r="B533">
        <v>3590</v>
      </c>
    </row>
    <row r="534" spans="1:2" x14ac:dyDescent="0.25">
      <c r="A534" t="s">
        <v>226</v>
      </c>
      <c r="B534">
        <v>3590</v>
      </c>
    </row>
    <row r="535" spans="1:2" x14ac:dyDescent="0.25">
      <c r="A535" t="s">
        <v>226</v>
      </c>
      <c r="B535">
        <v>3590</v>
      </c>
    </row>
    <row r="536" spans="1:2" x14ac:dyDescent="0.25">
      <c r="A536" t="s">
        <v>226</v>
      </c>
      <c r="B536">
        <v>3590</v>
      </c>
    </row>
    <row r="537" spans="1:2" x14ac:dyDescent="0.25">
      <c r="A537" t="s">
        <v>226</v>
      </c>
      <c r="B537">
        <v>3590</v>
      </c>
    </row>
    <row r="538" spans="1:2" x14ac:dyDescent="0.25">
      <c r="A538" t="s">
        <v>226</v>
      </c>
      <c r="B538">
        <v>3590</v>
      </c>
    </row>
    <row r="539" spans="1:2" x14ac:dyDescent="0.25">
      <c r="A539" t="s">
        <v>226</v>
      </c>
      <c r="B539">
        <v>3590</v>
      </c>
    </row>
    <row r="540" spans="1:2" x14ac:dyDescent="0.25">
      <c r="A540" t="s">
        <v>226</v>
      </c>
      <c r="B540">
        <v>3590</v>
      </c>
    </row>
    <row r="541" spans="1:2" x14ac:dyDescent="0.25">
      <c r="A541" t="s">
        <v>226</v>
      </c>
      <c r="B541">
        <v>3590</v>
      </c>
    </row>
    <row r="542" spans="1:2" x14ac:dyDescent="0.25">
      <c r="A542" t="s">
        <v>226</v>
      </c>
      <c r="B542">
        <v>3590</v>
      </c>
    </row>
    <row r="543" spans="1:2" x14ac:dyDescent="0.25">
      <c r="A543" t="s">
        <v>226</v>
      </c>
      <c r="B543">
        <v>3590</v>
      </c>
    </row>
    <row r="544" spans="1:2" x14ac:dyDescent="0.25">
      <c r="A544" t="s">
        <v>226</v>
      </c>
      <c r="B544">
        <v>3590</v>
      </c>
    </row>
    <row r="545" spans="1:2" x14ac:dyDescent="0.25">
      <c r="A545" t="s">
        <v>226</v>
      </c>
      <c r="B545">
        <v>3590</v>
      </c>
    </row>
    <row r="546" spans="1:2" x14ac:dyDescent="0.25">
      <c r="A546" t="s">
        <v>226</v>
      </c>
      <c r="B546">
        <v>3590</v>
      </c>
    </row>
    <row r="547" spans="1:2" x14ac:dyDescent="0.25">
      <c r="A547" t="s">
        <v>226</v>
      </c>
      <c r="B547">
        <v>3590</v>
      </c>
    </row>
    <row r="548" spans="1:2" x14ac:dyDescent="0.25">
      <c r="A548" t="s">
        <v>226</v>
      </c>
      <c r="B548">
        <v>3590</v>
      </c>
    </row>
    <row r="549" spans="1:2" x14ac:dyDescent="0.25">
      <c r="A549" t="s">
        <v>226</v>
      </c>
      <c r="B549">
        <v>3590</v>
      </c>
    </row>
    <row r="550" spans="1:2" x14ac:dyDescent="0.25">
      <c r="A550" t="s">
        <v>226</v>
      </c>
      <c r="B550">
        <v>3590</v>
      </c>
    </row>
    <row r="551" spans="1:2" x14ac:dyDescent="0.25">
      <c r="A551" t="s">
        <v>226</v>
      </c>
      <c r="B551">
        <v>3590</v>
      </c>
    </row>
    <row r="552" spans="1:2" x14ac:dyDescent="0.25">
      <c r="A552" t="s">
        <v>226</v>
      </c>
      <c r="B552">
        <v>3590</v>
      </c>
    </row>
    <row r="553" spans="1:2" x14ac:dyDescent="0.25">
      <c r="A553" t="s">
        <v>226</v>
      </c>
      <c r="B553">
        <v>3590</v>
      </c>
    </row>
    <row r="554" spans="1:2" x14ac:dyDescent="0.25">
      <c r="A554" t="s">
        <v>226</v>
      </c>
      <c r="B554">
        <v>3590</v>
      </c>
    </row>
    <row r="555" spans="1:2" x14ac:dyDescent="0.25">
      <c r="A555" t="s">
        <v>226</v>
      </c>
      <c r="B555">
        <v>3590</v>
      </c>
    </row>
    <row r="556" spans="1:2" x14ac:dyDescent="0.25">
      <c r="A556" t="s">
        <v>226</v>
      </c>
      <c r="B556">
        <v>3590</v>
      </c>
    </row>
    <row r="557" spans="1:2" x14ac:dyDescent="0.25">
      <c r="A557" t="s">
        <v>226</v>
      </c>
      <c r="B557">
        <v>3590</v>
      </c>
    </row>
    <row r="558" spans="1:2" x14ac:dyDescent="0.25">
      <c r="A558" t="s">
        <v>226</v>
      </c>
      <c r="B558">
        <v>3590</v>
      </c>
    </row>
    <row r="559" spans="1:2" x14ac:dyDescent="0.25">
      <c r="A559" t="s">
        <v>226</v>
      </c>
      <c r="B559">
        <v>3590</v>
      </c>
    </row>
    <row r="560" spans="1:2" x14ac:dyDescent="0.25">
      <c r="A560" t="s">
        <v>226</v>
      </c>
      <c r="B560">
        <v>3590</v>
      </c>
    </row>
    <row r="561" spans="1:2" x14ac:dyDescent="0.25">
      <c r="A561" t="s">
        <v>226</v>
      </c>
      <c r="B561">
        <v>3590</v>
      </c>
    </row>
    <row r="562" spans="1:2" x14ac:dyDescent="0.25">
      <c r="A562" t="s">
        <v>226</v>
      </c>
      <c r="B562">
        <v>3590</v>
      </c>
    </row>
    <row r="563" spans="1:2" x14ac:dyDescent="0.25">
      <c r="A563" t="s">
        <v>226</v>
      </c>
      <c r="B563">
        <v>3590</v>
      </c>
    </row>
    <row r="564" spans="1:2" x14ac:dyDescent="0.25">
      <c r="A564" t="s">
        <v>226</v>
      </c>
      <c r="B564">
        <v>3590</v>
      </c>
    </row>
    <row r="565" spans="1:2" x14ac:dyDescent="0.25">
      <c r="A565" t="s">
        <v>226</v>
      </c>
      <c r="B565">
        <v>3590</v>
      </c>
    </row>
    <row r="566" spans="1:2" x14ac:dyDescent="0.25">
      <c r="A566" t="s">
        <v>226</v>
      </c>
      <c r="B566">
        <v>3590</v>
      </c>
    </row>
    <row r="567" spans="1:2" x14ac:dyDescent="0.25">
      <c r="A567" t="s">
        <v>226</v>
      </c>
      <c r="B567">
        <v>3590</v>
      </c>
    </row>
    <row r="568" spans="1:2" x14ac:dyDescent="0.25">
      <c r="A568" t="s">
        <v>226</v>
      </c>
      <c r="B568">
        <v>3590</v>
      </c>
    </row>
    <row r="569" spans="1:2" x14ac:dyDescent="0.25">
      <c r="A569" t="s">
        <v>226</v>
      </c>
      <c r="B569">
        <v>3590</v>
      </c>
    </row>
    <row r="570" spans="1:2" x14ac:dyDescent="0.25">
      <c r="A570" t="s">
        <v>226</v>
      </c>
      <c r="B570">
        <v>3590</v>
      </c>
    </row>
    <row r="571" spans="1:2" x14ac:dyDescent="0.25">
      <c r="A571" t="s">
        <v>226</v>
      </c>
      <c r="B571">
        <v>3590</v>
      </c>
    </row>
    <row r="572" spans="1:2" x14ac:dyDescent="0.25">
      <c r="A572" t="s">
        <v>226</v>
      </c>
      <c r="B572">
        <v>3590</v>
      </c>
    </row>
    <row r="573" spans="1:2" x14ac:dyDescent="0.25">
      <c r="A573" t="s">
        <v>226</v>
      </c>
      <c r="B573">
        <v>3590</v>
      </c>
    </row>
    <row r="574" spans="1:2" x14ac:dyDescent="0.25">
      <c r="A574" t="s">
        <v>226</v>
      </c>
      <c r="B574">
        <v>3590</v>
      </c>
    </row>
    <row r="575" spans="1:2" x14ac:dyDescent="0.25">
      <c r="A575" t="s">
        <v>226</v>
      </c>
      <c r="B575">
        <v>3590</v>
      </c>
    </row>
    <row r="576" spans="1:2" x14ac:dyDescent="0.25">
      <c r="A576" t="s">
        <v>226</v>
      </c>
      <c r="B576">
        <v>3590</v>
      </c>
    </row>
    <row r="577" spans="1:2" x14ac:dyDescent="0.25">
      <c r="A577" t="s">
        <v>226</v>
      </c>
      <c r="B577">
        <v>3590</v>
      </c>
    </row>
    <row r="578" spans="1:2" x14ac:dyDescent="0.25">
      <c r="A578" t="s">
        <v>226</v>
      </c>
      <c r="B578">
        <v>3590</v>
      </c>
    </row>
    <row r="579" spans="1:2" x14ac:dyDescent="0.25">
      <c r="A579" t="s">
        <v>226</v>
      </c>
      <c r="B579">
        <v>3590</v>
      </c>
    </row>
    <row r="580" spans="1:2" x14ac:dyDescent="0.25">
      <c r="A580" t="s">
        <v>226</v>
      </c>
      <c r="B580">
        <v>3590</v>
      </c>
    </row>
    <row r="581" spans="1:2" x14ac:dyDescent="0.25">
      <c r="A581" t="s">
        <v>226</v>
      </c>
      <c r="B581">
        <v>3590</v>
      </c>
    </row>
    <row r="582" spans="1:2" x14ac:dyDescent="0.25">
      <c r="A582" t="s">
        <v>226</v>
      </c>
      <c r="B582">
        <v>3590</v>
      </c>
    </row>
    <row r="583" spans="1:2" x14ac:dyDescent="0.25">
      <c r="A583" t="s">
        <v>226</v>
      </c>
      <c r="B583">
        <v>3590</v>
      </c>
    </row>
    <row r="584" spans="1:2" x14ac:dyDescent="0.25">
      <c r="A584" t="s">
        <v>226</v>
      </c>
      <c r="B584">
        <v>3590</v>
      </c>
    </row>
    <row r="585" spans="1:2" x14ac:dyDescent="0.25">
      <c r="A585" t="s">
        <v>226</v>
      </c>
      <c r="B585">
        <v>3590</v>
      </c>
    </row>
    <row r="586" spans="1:2" x14ac:dyDescent="0.25">
      <c r="A586" t="s">
        <v>226</v>
      </c>
      <c r="B586">
        <v>3590</v>
      </c>
    </row>
    <row r="587" spans="1:2" x14ac:dyDescent="0.25">
      <c r="A587" t="s">
        <v>226</v>
      </c>
      <c r="B587">
        <v>3590</v>
      </c>
    </row>
    <row r="588" spans="1:2" x14ac:dyDescent="0.25">
      <c r="A588" t="s">
        <v>226</v>
      </c>
      <c r="B588">
        <v>3590</v>
      </c>
    </row>
    <row r="589" spans="1:2" x14ac:dyDescent="0.25">
      <c r="A589" t="s">
        <v>226</v>
      </c>
      <c r="B589">
        <v>3590</v>
      </c>
    </row>
    <row r="590" spans="1:2" x14ac:dyDescent="0.25">
      <c r="A590" t="s">
        <v>226</v>
      </c>
      <c r="B590">
        <v>3590</v>
      </c>
    </row>
    <row r="591" spans="1:2" x14ac:dyDescent="0.25">
      <c r="A591" t="s">
        <v>226</v>
      </c>
      <c r="B591">
        <v>3590</v>
      </c>
    </row>
    <row r="592" spans="1:2" x14ac:dyDescent="0.25">
      <c r="A592" t="s">
        <v>226</v>
      </c>
      <c r="B592">
        <v>3590</v>
      </c>
    </row>
    <row r="593" spans="1:2" x14ac:dyDescent="0.25">
      <c r="A593" t="s">
        <v>226</v>
      </c>
      <c r="B593">
        <v>3590</v>
      </c>
    </row>
    <row r="594" spans="1:2" x14ac:dyDescent="0.25">
      <c r="A594" t="s">
        <v>226</v>
      </c>
      <c r="B594">
        <v>3590</v>
      </c>
    </row>
    <row r="595" spans="1:2" x14ac:dyDescent="0.25">
      <c r="A595" t="s">
        <v>226</v>
      </c>
      <c r="B595">
        <v>3590</v>
      </c>
    </row>
    <row r="596" spans="1:2" x14ac:dyDescent="0.25">
      <c r="A596" t="s">
        <v>226</v>
      </c>
      <c r="B596">
        <v>3590</v>
      </c>
    </row>
    <row r="597" spans="1:2" x14ac:dyDescent="0.25">
      <c r="A597" t="s">
        <v>226</v>
      </c>
      <c r="B597">
        <v>3590</v>
      </c>
    </row>
    <row r="598" spans="1:2" x14ac:dyDescent="0.25">
      <c r="A598" t="s">
        <v>226</v>
      </c>
      <c r="B598">
        <v>3590</v>
      </c>
    </row>
    <row r="599" spans="1:2" x14ac:dyDescent="0.25">
      <c r="A599" t="s">
        <v>226</v>
      </c>
      <c r="B599">
        <v>3590</v>
      </c>
    </row>
    <row r="600" spans="1:2" x14ac:dyDescent="0.25">
      <c r="A600" t="s">
        <v>226</v>
      </c>
      <c r="B600">
        <v>3590</v>
      </c>
    </row>
    <row r="601" spans="1:2" x14ac:dyDescent="0.25">
      <c r="A601" t="s">
        <v>226</v>
      </c>
      <c r="B601">
        <v>3590</v>
      </c>
    </row>
    <row r="602" spans="1:2" x14ac:dyDescent="0.25">
      <c r="A602" t="s">
        <v>226</v>
      </c>
      <c r="B602">
        <v>3590</v>
      </c>
    </row>
    <row r="603" spans="1:2" x14ac:dyDescent="0.25">
      <c r="A603" t="s">
        <v>226</v>
      </c>
      <c r="B603">
        <v>3590</v>
      </c>
    </row>
    <row r="604" spans="1:2" x14ac:dyDescent="0.25">
      <c r="A604" t="s">
        <v>226</v>
      </c>
      <c r="B604">
        <v>3590</v>
      </c>
    </row>
    <row r="605" spans="1:2" x14ac:dyDescent="0.25">
      <c r="A605" t="s">
        <v>226</v>
      </c>
      <c r="B605">
        <v>3590</v>
      </c>
    </row>
    <row r="606" spans="1:2" x14ac:dyDescent="0.25">
      <c r="A606" t="s">
        <v>226</v>
      </c>
      <c r="B606">
        <v>3590</v>
      </c>
    </row>
    <row r="607" spans="1:2" x14ac:dyDescent="0.25">
      <c r="A607" t="s">
        <v>226</v>
      </c>
      <c r="B607">
        <v>3590</v>
      </c>
    </row>
    <row r="608" spans="1:2" x14ac:dyDescent="0.25">
      <c r="A608" t="s">
        <v>226</v>
      </c>
      <c r="B608">
        <v>3590</v>
      </c>
    </row>
    <row r="609" spans="1:2" x14ac:dyDescent="0.25">
      <c r="A609" t="s">
        <v>226</v>
      </c>
      <c r="B609">
        <v>3590</v>
      </c>
    </row>
    <row r="610" spans="1:2" x14ac:dyDescent="0.25">
      <c r="A610" t="s">
        <v>226</v>
      </c>
      <c r="B610">
        <v>3590</v>
      </c>
    </row>
    <row r="611" spans="1:2" x14ac:dyDescent="0.25">
      <c r="A611" t="s">
        <v>226</v>
      </c>
      <c r="B611">
        <v>3590</v>
      </c>
    </row>
    <row r="612" spans="1:2" x14ac:dyDescent="0.25">
      <c r="A612" t="s">
        <v>226</v>
      </c>
      <c r="B612">
        <v>3590</v>
      </c>
    </row>
    <row r="613" spans="1:2" x14ac:dyDescent="0.25">
      <c r="A613" t="s">
        <v>226</v>
      </c>
      <c r="B613">
        <v>3590</v>
      </c>
    </row>
    <row r="614" spans="1:2" x14ac:dyDescent="0.25">
      <c r="A614" t="s">
        <v>226</v>
      </c>
      <c r="B614">
        <v>3590</v>
      </c>
    </row>
    <row r="615" spans="1:2" x14ac:dyDescent="0.25">
      <c r="A615" t="s">
        <v>226</v>
      </c>
      <c r="B615">
        <v>3590</v>
      </c>
    </row>
    <row r="616" spans="1:2" x14ac:dyDescent="0.25">
      <c r="A616" t="s">
        <v>226</v>
      </c>
      <c r="B616">
        <v>3590</v>
      </c>
    </row>
    <row r="617" spans="1:2" x14ac:dyDescent="0.25">
      <c r="A617" t="s">
        <v>226</v>
      </c>
      <c r="B617">
        <v>3590</v>
      </c>
    </row>
    <row r="618" spans="1:2" x14ac:dyDescent="0.25">
      <c r="A618" t="s">
        <v>226</v>
      </c>
      <c r="B618">
        <v>3590</v>
      </c>
    </row>
    <row r="619" spans="1:2" x14ac:dyDescent="0.25">
      <c r="A619" t="s">
        <v>226</v>
      </c>
      <c r="B619">
        <v>3590</v>
      </c>
    </row>
    <row r="620" spans="1:2" x14ac:dyDescent="0.25">
      <c r="A620" t="s">
        <v>226</v>
      </c>
      <c r="B620">
        <v>3590</v>
      </c>
    </row>
    <row r="621" spans="1:2" x14ac:dyDescent="0.25">
      <c r="A621" t="s">
        <v>226</v>
      </c>
      <c r="B621">
        <v>3590</v>
      </c>
    </row>
    <row r="622" spans="1:2" x14ac:dyDescent="0.25">
      <c r="A622" t="s">
        <v>226</v>
      </c>
      <c r="B622">
        <v>3590</v>
      </c>
    </row>
    <row r="623" spans="1:2" x14ac:dyDescent="0.25">
      <c r="A623" t="s">
        <v>226</v>
      </c>
      <c r="B623">
        <v>3590</v>
      </c>
    </row>
    <row r="624" spans="1:2" x14ac:dyDescent="0.25">
      <c r="A624" t="s">
        <v>226</v>
      </c>
      <c r="B624">
        <v>3590</v>
      </c>
    </row>
    <row r="625" spans="1:2" x14ac:dyDescent="0.25">
      <c r="A625" t="s">
        <v>226</v>
      </c>
      <c r="B625">
        <v>3590</v>
      </c>
    </row>
    <row r="626" spans="1:2" x14ac:dyDescent="0.25">
      <c r="A626" t="s">
        <v>226</v>
      </c>
      <c r="B626">
        <v>3590</v>
      </c>
    </row>
    <row r="627" spans="1:2" x14ac:dyDescent="0.25">
      <c r="A627" t="s">
        <v>226</v>
      </c>
      <c r="B627">
        <v>3590</v>
      </c>
    </row>
    <row r="628" spans="1:2" x14ac:dyDescent="0.25">
      <c r="A628" t="s">
        <v>226</v>
      </c>
      <c r="B628">
        <v>3590</v>
      </c>
    </row>
    <row r="629" spans="1:2" x14ac:dyDescent="0.25">
      <c r="A629" t="s">
        <v>226</v>
      </c>
      <c r="B629">
        <v>3590</v>
      </c>
    </row>
    <row r="630" spans="1:2" x14ac:dyDescent="0.25">
      <c r="A630" t="s">
        <v>226</v>
      </c>
      <c r="B630">
        <v>3590</v>
      </c>
    </row>
    <row r="631" spans="1:2" x14ac:dyDescent="0.25">
      <c r="A631" t="s">
        <v>226</v>
      </c>
      <c r="B631">
        <v>3590</v>
      </c>
    </row>
    <row r="632" spans="1:2" x14ac:dyDescent="0.25">
      <c r="A632" t="s">
        <v>226</v>
      </c>
      <c r="B632">
        <v>3590</v>
      </c>
    </row>
    <row r="633" spans="1:2" x14ac:dyDescent="0.25">
      <c r="A633" t="s">
        <v>226</v>
      </c>
      <c r="B633">
        <v>3590</v>
      </c>
    </row>
    <row r="634" spans="1:2" x14ac:dyDescent="0.25">
      <c r="A634" t="s">
        <v>226</v>
      </c>
      <c r="B634">
        <v>3590</v>
      </c>
    </row>
    <row r="635" spans="1:2" x14ac:dyDescent="0.25">
      <c r="A635" t="s">
        <v>226</v>
      </c>
      <c r="B635">
        <v>3590</v>
      </c>
    </row>
    <row r="636" spans="1:2" x14ac:dyDescent="0.25">
      <c r="A636" t="s">
        <v>226</v>
      </c>
      <c r="B636">
        <v>3590</v>
      </c>
    </row>
    <row r="637" spans="1:2" x14ac:dyDescent="0.25">
      <c r="A637" t="s">
        <v>226</v>
      </c>
      <c r="B637">
        <v>3590</v>
      </c>
    </row>
    <row r="638" spans="1:2" x14ac:dyDescent="0.25">
      <c r="A638" t="s">
        <v>226</v>
      </c>
      <c r="B638">
        <v>3590</v>
      </c>
    </row>
    <row r="639" spans="1:2" x14ac:dyDescent="0.25">
      <c r="A639" t="s">
        <v>226</v>
      </c>
      <c r="B639">
        <v>3590</v>
      </c>
    </row>
    <row r="640" spans="1:2" x14ac:dyDescent="0.25">
      <c r="A640" t="s">
        <v>226</v>
      </c>
      <c r="B640">
        <v>3590</v>
      </c>
    </row>
    <row r="641" spans="1:2" x14ac:dyDescent="0.25">
      <c r="A641" t="s">
        <v>226</v>
      </c>
      <c r="B641">
        <v>3590</v>
      </c>
    </row>
    <row r="642" spans="1:2" x14ac:dyDescent="0.25">
      <c r="A642" t="s">
        <v>226</v>
      </c>
      <c r="B642">
        <v>3590</v>
      </c>
    </row>
    <row r="643" spans="1:2" x14ac:dyDescent="0.25">
      <c r="A643" t="s">
        <v>226</v>
      </c>
      <c r="B643">
        <v>3590</v>
      </c>
    </row>
    <row r="644" spans="1:2" x14ac:dyDescent="0.25">
      <c r="A644" t="s">
        <v>226</v>
      </c>
      <c r="B644">
        <v>3590</v>
      </c>
    </row>
    <row r="645" spans="1:2" x14ac:dyDescent="0.25">
      <c r="A645" t="s">
        <v>226</v>
      </c>
      <c r="B645">
        <v>3590</v>
      </c>
    </row>
    <row r="646" spans="1:2" x14ac:dyDescent="0.25">
      <c r="A646" t="s">
        <v>226</v>
      </c>
      <c r="B646">
        <v>3590</v>
      </c>
    </row>
    <row r="647" spans="1:2" x14ac:dyDescent="0.25">
      <c r="A647" t="s">
        <v>226</v>
      </c>
      <c r="B647">
        <v>3590</v>
      </c>
    </row>
    <row r="648" spans="1:2" x14ac:dyDescent="0.25">
      <c r="A648" t="s">
        <v>226</v>
      </c>
      <c r="B648">
        <v>3590</v>
      </c>
    </row>
    <row r="649" spans="1:2" x14ac:dyDescent="0.25">
      <c r="A649" t="s">
        <v>226</v>
      </c>
      <c r="B649">
        <v>3590</v>
      </c>
    </row>
    <row r="650" spans="1:2" x14ac:dyDescent="0.25">
      <c r="A650" t="s">
        <v>226</v>
      </c>
      <c r="B650">
        <v>3590</v>
      </c>
    </row>
    <row r="651" spans="1:2" x14ac:dyDescent="0.25">
      <c r="A651" t="s">
        <v>226</v>
      </c>
      <c r="B651">
        <v>3590</v>
      </c>
    </row>
    <row r="652" spans="1:2" x14ac:dyDescent="0.25">
      <c r="A652" t="s">
        <v>226</v>
      </c>
      <c r="B652">
        <v>3590</v>
      </c>
    </row>
    <row r="653" spans="1:2" x14ac:dyDescent="0.25">
      <c r="A653" t="s">
        <v>226</v>
      </c>
      <c r="B653">
        <v>3590</v>
      </c>
    </row>
    <row r="654" spans="1:2" x14ac:dyDescent="0.25">
      <c r="A654" t="s">
        <v>226</v>
      </c>
      <c r="B654">
        <v>3590</v>
      </c>
    </row>
    <row r="655" spans="1:2" x14ac:dyDescent="0.25">
      <c r="A655" t="s">
        <v>226</v>
      </c>
      <c r="B655">
        <v>3590</v>
      </c>
    </row>
    <row r="656" spans="1:2" x14ac:dyDescent="0.25">
      <c r="A656" t="s">
        <v>226</v>
      </c>
      <c r="B656">
        <v>3590</v>
      </c>
    </row>
    <row r="657" spans="1:2" x14ac:dyDescent="0.25">
      <c r="A657" t="s">
        <v>226</v>
      </c>
      <c r="B657">
        <v>3590</v>
      </c>
    </row>
    <row r="658" spans="1:2" x14ac:dyDescent="0.25">
      <c r="A658" t="s">
        <v>226</v>
      </c>
      <c r="B658">
        <v>3590</v>
      </c>
    </row>
    <row r="659" spans="1:2" x14ac:dyDescent="0.25">
      <c r="A659" t="s">
        <v>226</v>
      </c>
      <c r="B659">
        <v>3590</v>
      </c>
    </row>
    <row r="660" spans="1:2" x14ac:dyDescent="0.25">
      <c r="A660" t="s">
        <v>226</v>
      </c>
      <c r="B660">
        <v>3590</v>
      </c>
    </row>
    <row r="661" spans="1:2" x14ac:dyDescent="0.25">
      <c r="A661" t="s">
        <v>226</v>
      </c>
      <c r="B661">
        <v>3590</v>
      </c>
    </row>
    <row r="662" spans="1:2" x14ac:dyDescent="0.25">
      <c r="A662" t="s">
        <v>226</v>
      </c>
      <c r="B662">
        <v>3590</v>
      </c>
    </row>
    <row r="663" spans="1:2" x14ac:dyDescent="0.25">
      <c r="A663" t="s">
        <v>226</v>
      </c>
      <c r="B663">
        <v>3590</v>
      </c>
    </row>
    <row r="664" spans="1:2" x14ac:dyDescent="0.25">
      <c r="A664" t="s">
        <v>226</v>
      </c>
      <c r="B664">
        <v>3590</v>
      </c>
    </row>
    <row r="665" spans="1:2" x14ac:dyDescent="0.25">
      <c r="A665" t="s">
        <v>226</v>
      </c>
      <c r="B665">
        <v>3590</v>
      </c>
    </row>
    <row r="666" spans="1:2" x14ac:dyDescent="0.25">
      <c r="A666" t="s">
        <v>226</v>
      </c>
      <c r="B666">
        <v>3590</v>
      </c>
    </row>
    <row r="667" spans="1:2" x14ac:dyDescent="0.25">
      <c r="A667" t="s">
        <v>226</v>
      </c>
      <c r="B667">
        <v>3590</v>
      </c>
    </row>
    <row r="668" spans="1:2" x14ac:dyDescent="0.25">
      <c r="A668" t="s">
        <v>226</v>
      </c>
      <c r="B668">
        <v>3590</v>
      </c>
    </row>
    <row r="669" spans="1:2" x14ac:dyDescent="0.25">
      <c r="A669" t="s">
        <v>226</v>
      </c>
      <c r="B669">
        <v>3590</v>
      </c>
    </row>
    <row r="670" spans="1:2" x14ac:dyDescent="0.25">
      <c r="A670" t="s">
        <v>226</v>
      </c>
      <c r="B670">
        <v>3590</v>
      </c>
    </row>
    <row r="671" spans="1:2" x14ac:dyDescent="0.25">
      <c r="A671" t="s">
        <v>226</v>
      </c>
      <c r="B671">
        <v>3590</v>
      </c>
    </row>
    <row r="672" spans="1:2" x14ac:dyDescent="0.25">
      <c r="A672" t="s">
        <v>226</v>
      </c>
      <c r="B672">
        <v>3590</v>
      </c>
    </row>
    <row r="673" spans="1:2" x14ac:dyDescent="0.25">
      <c r="A673" t="s">
        <v>226</v>
      </c>
      <c r="B673">
        <v>3590</v>
      </c>
    </row>
    <row r="674" spans="1:2" x14ac:dyDescent="0.25">
      <c r="A674" t="s">
        <v>226</v>
      </c>
      <c r="B674">
        <v>3590</v>
      </c>
    </row>
    <row r="675" spans="1:2" x14ac:dyDescent="0.25">
      <c r="A675" t="s">
        <v>226</v>
      </c>
      <c r="B675">
        <v>3590</v>
      </c>
    </row>
    <row r="676" spans="1:2" x14ac:dyDescent="0.25">
      <c r="A676" t="s">
        <v>226</v>
      </c>
      <c r="B676">
        <v>3590</v>
      </c>
    </row>
    <row r="677" spans="1:2" x14ac:dyDescent="0.25">
      <c r="A677" t="s">
        <v>226</v>
      </c>
      <c r="B677">
        <v>3590</v>
      </c>
    </row>
    <row r="678" spans="1:2" x14ac:dyDescent="0.25">
      <c r="A678" t="s">
        <v>226</v>
      </c>
      <c r="B678">
        <v>3590</v>
      </c>
    </row>
    <row r="679" spans="1:2" x14ac:dyDescent="0.25">
      <c r="A679" t="s">
        <v>226</v>
      </c>
      <c r="B679">
        <v>3590</v>
      </c>
    </row>
    <row r="680" spans="1:2" x14ac:dyDescent="0.25">
      <c r="A680" t="s">
        <v>226</v>
      </c>
      <c r="B680">
        <v>3590</v>
      </c>
    </row>
    <row r="681" spans="1:2" x14ac:dyDescent="0.25">
      <c r="A681" t="s">
        <v>226</v>
      </c>
      <c r="B681">
        <v>3590</v>
      </c>
    </row>
    <row r="682" spans="1:2" x14ac:dyDescent="0.25">
      <c r="A682" t="s">
        <v>359</v>
      </c>
      <c r="B682">
        <v>5230</v>
      </c>
    </row>
    <row r="683" spans="1:2" x14ac:dyDescent="0.25">
      <c r="A683" t="s">
        <v>359</v>
      </c>
      <c r="B683">
        <v>5230</v>
      </c>
    </row>
    <row r="684" spans="1:2" x14ac:dyDescent="0.25">
      <c r="A684" t="s">
        <v>359</v>
      </c>
      <c r="B684">
        <v>5230</v>
      </c>
    </row>
    <row r="685" spans="1:2" x14ac:dyDescent="0.25">
      <c r="A685" t="s">
        <v>359</v>
      </c>
      <c r="B685">
        <v>5230</v>
      </c>
    </row>
    <row r="686" spans="1:2" x14ac:dyDescent="0.25">
      <c r="A686" t="s">
        <v>359</v>
      </c>
      <c r="B686">
        <v>5230</v>
      </c>
    </row>
    <row r="687" spans="1:2" x14ac:dyDescent="0.25">
      <c r="A687" t="s">
        <v>359</v>
      </c>
      <c r="B687">
        <v>5230</v>
      </c>
    </row>
    <row r="688" spans="1:2" x14ac:dyDescent="0.25">
      <c r="A688" t="s">
        <v>359</v>
      </c>
      <c r="B688">
        <v>5230</v>
      </c>
    </row>
    <row r="689" spans="1:2" x14ac:dyDescent="0.25">
      <c r="A689" t="s">
        <v>359</v>
      </c>
      <c r="B689">
        <v>5230</v>
      </c>
    </row>
    <row r="690" spans="1:2" x14ac:dyDescent="0.25">
      <c r="A690" t="s">
        <v>359</v>
      </c>
      <c r="B690">
        <v>5230</v>
      </c>
    </row>
    <row r="691" spans="1:2" x14ac:dyDescent="0.25">
      <c r="A691" t="s">
        <v>359</v>
      </c>
      <c r="B691">
        <v>5230</v>
      </c>
    </row>
    <row r="692" spans="1:2" x14ac:dyDescent="0.25">
      <c r="A692" t="s">
        <v>359</v>
      </c>
      <c r="B692">
        <v>5230</v>
      </c>
    </row>
    <row r="693" spans="1:2" x14ac:dyDescent="0.25">
      <c r="A693" t="s">
        <v>359</v>
      </c>
      <c r="B693">
        <v>5230</v>
      </c>
    </row>
    <row r="694" spans="1:2" x14ac:dyDescent="0.25">
      <c r="A694" t="s">
        <v>359</v>
      </c>
      <c r="B694">
        <v>5230</v>
      </c>
    </row>
    <row r="695" spans="1:2" x14ac:dyDescent="0.25">
      <c r="A695" t="s">
        <v>359</v>
      </c>
      <c r="B695">
        <v>5230</v>
      </c>
    </row>
    <row r="696" spans="1:2" x14ac:dyDescent="0.25">
      <c r="A696" t="s">
        <v>359</v>
      </c>
      <c r="B696">
        <v>5230</v>
      </c>
    </row>
    <row r="697" spans="1:2" x14ac:dyDescent="0.25">
      <c r="A697" t="s">
        <v>359</v>
      </c>
      <c r="B697">
        <v>5230</v>
      </c>
    </row>
    <row r="698" spans="1:2" x14ac:dyDescent="0.25">
      <c r="A698" t="s">
        <v>359</v>
      </c>
      <c r="B698">
        <v>5230</v>
      </c>
    </row>
    <row r="699" spans="1:2" x14ac:dyDescent="0.25">
      <c r="A699" t="s">
        <v>359</v>
      </c>
      <c r="B699">
        <v>5230</v>
      </c>
    </row>
    <row r="700" spans="1:2" x14ac:dyDescent="0.25">
      <c r="A700" t="s">
        <v>359</v>
      </c>
      <c r="B700">
        <v>5230</v>
      </c>
    </row>
    <row r="701" spans="1:2" x14ac:dyDescent="0.25">
      <c r="A701" t="s">
        <v>359</v>
      </c>
      <c r="B701">
        <v>5230</v>
      </c>
    </row>
    <row r="702" spans="1:2" x14ac:dyDescent="0.25">
      <c r="A702" t="s">
        <v>359</v>
      </c>
      <c r="B702">
        <v>5230</v>
      </c>
    </row>
    <row r="703" spans="1:2" x14ac:dyDescent="0.25">
      <c r="A703" t="s">
        <v>359</v>
      </c>
      <c r="B703">
        <v>5230</v>
      </c>
    </row>
    <row r="704" spans="1:2" x14ac:dyDescent="0.25">
      <c r="A704" t="s">
        <v>359</v>
      </c>
      <c r="B704">
        <v>5230</v>
      </c>
    </row>
    <row r="705" spans="1:2" x14ac:dyDescent="0.25">
      <c r="A705" t="s">
        <v>359</v>
      </c>
      <c r="B705">
        <v>5230</v>
      </c>
    </row>
    <row r="706" spans="1:2" x14ac:dyDescent="0.25">
      <c r="A706" t="s">
        <v>359</v>
      </c>
      <c r="B706">
        <v>5230</v>
      </c>
    </row>
    <row r="707" spans="1:2" x14ac:dyDescent="0.25">
      <c r="A707" t="s">
        <v>359</v>
      </c>
      <c r="B707">
        <v>5230</v>
      </c>
    </row>
    <row r="708" spans="1:2" x14ac:dyDescent="0.25">
      <c r="A708" t="s">
        <v>359</v>
      </c>
      <c r="B708">
        <v>5230</v>
      </c>
    </row>
    <row r="709" spans="1:2" x14ac:dyDescent="0.25">
      <c r="A709" t="s">
        <v>359</v>
      </c>
      <c r="B709">
        <v>5230</v>
      </c>
    </row>
    <row r="710" spans="1:2" x14ac:dyDescent="0.25">
      <c r="A710" t="s">
        <v>359</v>
      </c>
      <c r="B710">
        <v>5230</v>
      </c>
    </row>
    <row r="711" spans="1:2" x14ac:dyDescent="0.25">
      <c r="A711" t="s">
        <v>359</v>
      </c>
      <c r="B711">
        <v>5230</v>
      </c>
    </row>
    <row r="712" spans="1:2" x14ac:dyDescent="0.25">
      <c r="A712" t="s">
        <v>359</v>
      </c>
      <c r="B712">
        <v>5230</v>
      </c>
    </row>
    <row r="713" spans="1:2" x14ac:dyDescent="0.25">
      <c r="A713" t="s">
        <v>359</v>
      </c>
      <c r="B713">
        <v>5230</v>
      </c>
    </row>
    <row r="714" spans="1:2" x14ac:dyDescent="0.25">
      <c r="A714" t="s">
        <v>359</v>
      </c>
      <c r="B714">
        <v>5230</v>
      </c>
    </row>
    <row r="715" spans="1:2" x14ac:dyDescent="0.25">
      <c r="A715" t="s">
        <v>359</v>
      </c>
      <c r="B715">
        <v>5230</v>
      </c>
    </row>
    <row r="716" spans="1:2" x14ac:dyDescent="0.25">
      <c r="A716" t="s">
        <v>359</v>
      </c>
      <c r="B716">
        <v>5230</v>
      </c>
    </row>
    <row r="717" spans="1:2" x14ac:dyDescent="0.25">
      <c r="A717" t="s">
        <v>359</v>
      </c>
      <c r="B717">
        <v>5230</v>
      </c>
    </row>
    <row r="718" spans="1:2" x14ac:dyDescent="0.25">
      <c r="A718" t="s">
        <v>359</v>
      </c>
      <c r="B718">
        <v>5230</v>
      </c>
    </row>
    <row r="719" spans="1:2" x14ac:dyDescent="0.25">
      <c r="A719" t="s">
        <v>359</v>
      </c>
      <c r="B719">
        <v>5230</v>
      </c>
    </row>
    <row r="720" spans="1:2" x14ac:dyDescent="0.25">
      <c r="A720" t="s">
        <v>359</v>
      </c>
      <c r="B720">
        <v>5230</v>
      </c>
    </row>
    <row r="721" spans="1:2" x14ac:dyDescent="0.25">
      <c r="A721" t="s">
        <v>359</v>
      </c>
      <c r="B721">
        <v>5230</v>
      </c>
    </row>
    <row r="722" spans="1:2" x14ac:dyDescent="0.25">
      <c r="A722" t="s">
        <v>359</v>
      </c>
      <c r="B722">
        <v>5230</v>
      </c>
    </row>
    <row r="723" spans="1:2" x14ac:dyDescent="0.25">
      <c r="A723" t="s">
        <v>359</v>
      </c>
      <c r="B723">
        <v>5230</v>
      </c>
    </row>
    <row r="724" spans="1:2" x14ac:dyDescent="0.25">
      <c r="A724" t="s">
        <v>359</v>
      </c>
      <c r="B724">
        <v>5230</v>
      </c>
    </row>
    <row r="725" spans="1:2" x14ac:dyDescent="0.25">
      <c r="A725" t="s">
        <v>359</v>
      </c>
      <c r="B725">
        <v>5230</v>
      </c>
    </row>
    <row r="726" spans="1:2" x14ac:dyDescent="0.25">
      <c r="A726" t="s">
        <v>359</v>
      </c>
      <c r="B726">
        <v>5230</v>
      </c>
    </row>
    <row r="727" spans="1:2" x14ac:dyDescent="0.25">
      <c r="A727" t="s">
        <v>359</v>
      </c>
      <c r="B727">
        <v>5230</v>
      </c>
    </row>
    <row r="728" spans="1:2" x14ac:dyDescent="0.25">
      <c r="A728" t="s">
        <v>359</v>
      </c>
      <c r="B728">
        <v>5230</v>
      </c>
    </row>
    <row r="729" spans="1:2" x14ac:dyDescent="0.25">
      <c r="A729" t="s">
        <v>359</v>
      </c>
      <c r="B729">
        <v>5230</v>
      </c>
    </row>
    <row r="730" spans="1:2" x14ac:dyDescent="0.25">
      <c r="A730" t="s">
        <v>359</v>
      </c>
      <c r="B730">
        <v>5230</v>
      </c>
    </row>
    <row r="731" spans="1:2" x14ac:dyDescent="0.25">
      <c r="A731" t="s">
        <v>359</v>
      </c>
      <c r="B731">
        <v>5230</v>
      </c>
    </row>
    <row r="732" spans="1:2" x14ac:dyDescent="0.25">
      <c r="A732" t="s">
        <v>359</v>
      </c>
      <c r="B732">
        <v>5230</v>
      </c>
    </row>
    <row r="733" spans="1:2" x14ac:dyDescent="0.25">
      <c r="A733" t="s">
        <v>359</v>
      </c>
      <c r="B733">
        <v>5230</v>
      </c>
    </row>
    <row r="734" spans="1:2" x14ac:dyDescent="0.25">
      <c r="A734" t="s">
        <v>359</v>
      </c>
      <c r="B734">
        <v>5230</v>
      </c>
    </row>
    <row r="735" spans="1:2" x14ac:dyDescent="0.25">
      <c r="A735" t="s">
        <v>359</v>
      </c>
      <c r="B735">
        <v>5230</v>
      </c>
    </row>
    <row r="736" spans="1:2" x14ac:dyDescent="0.25">
      <c r="A736" t="s">
        <v>359</v>
      </c>
      <c r="B736">
        <v>5230</v>
      </c>
    </row>
    <row r="737" spans="1:2" x14ac:dyDescent="0.25">
      <c r="A737" t="s">
        <v>359</v>
      </c>
      <c r="B737">
        <v>5230</v>
      </c>
    </row>
    <row r="738" spans="1:2" x14ac:dyDescent="0.25">
      <c r="A738" t="s">
        <v>359</v>
      </c>
      <c r="B738">
        <v>5230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241"/>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t="e">
        <f ca="1">SUMPRODUCT(OFFSET(#REF!,,,1,3),OFFSET(#REF!,,,1,3))</f>
        <v>#REF!</v>
      </c>
      <c r="C1" s="27"/>
      <c r="D1" s="28" t="s">
        <v>19</v>
      </c>
    </row>
    <row r="2" spans="1:4" ht="15" customHeight="1" x14ac:dyDescent="0.25">
      <c r="A2" s="42" t="s">
        <v>30</v>
      </c>
      <c r="B2" s="49" t="e">
        <f ca="1">SUM(OFFSET(#REF!,,,291,1))</f>
        <v>#REF!</v>
      </c>
      <c r="C2" s="25"/>
      <c r="D2" s="29" t="s">
        <v>49</v>
      </c>
    </row>
    <row r="3" spans="1:4" ht="15" customHeight="1" x14ac:dyDescent="0.25">
      <c r="A3" s="42" t="s">
        <v>33</v>
      </c>
      <c r="B3" s="49" t="e">
        <f ca="1">SUMIF(OFFSET(#REF!,,,291,1),"&lt;"&amp;B6)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1100</v>
      </c>
      <c r="C6" s="36"/>
      <c r="D6" s="37" t="s">
        <v>28</v>
      </c>
    </row>
    <row r="7" spans="1:4" x14ac:dyDescent="0.25">
      <c r="A7" s="38" t="s">
        <v>2</v>
      </c>
      <c r="B7" s="34">
        <f ca="1">VALUE(MID(CELL("filename",$A$1),FIND("]",CELL("filename",$A$1),1)+1,200))</f>
        <v>22</v>
      </c>
      <c r="C7" s="39"/>
      <c r="D7" s="40" t="s">
        <v>29</v>
      </c>
    </row>
    <row r="8" spans="1:4" ht="30" x14ac:dyDescent="0.25">
      <c r="A8" s="32" t="s">
        <v>0</v>
      </c>
      <c r="B8" s="32" t="s">
        <v>31</v>
      </c>
      <c r="C8" s="32" t="s">
        <v>48</v>
      </c>
      <c r="D8" s="32" t="s">
        <v>30</v>
      </c>
    </row>
    <row r="9" spans="1:4" x14ac:dyDescent="0.25">
      <c r="A9" t="s">
        <v>109</v>
      </c>
      <c r="B9">
        <v>1260</v>
      </c>
    </row>
    <row r="10" spans="1:4" x14ac:dyDescent="0.25">
      <c r="A10" t="s">
        <v>109</v>
      </c>
      <c r="B10">
        <v>1260</v>
      </c>
    </row>
    <row r="11" spans="1:4" x14ac:dyDescent="0.25">
      <c r="A11" t="s">
        <v>109</v>
      </c>
      <c r="B11">
        <v>1260</v>
      </c>
    </row>
    <row r="12" spans="1:4" x14ac:dyDescent="0.25">
      <c r="A12" t="s">
        <v>109</v>
      </c>
      <c r="B12">
        <v>1260</v>
      </c>
    </row>
    <row r="13" spans="1:4" x14ac:dyDescent="0.25">
      <c r="A13" t="s">
        <v>109</v>
      </c>
      <c r="B13">
        <v>1260</v>
      </c>
    </row>
    <row r="14" spans="1:4" x14ac:dyDescent="0.25">
      <c r="A14" t="s">
        <v>109</v>
      </c>
      <c r="B14">
        <v>1260</v>
      </c>
    </row>
    <row r="15" spans="1:4" x14ac:dyDescent="0.25">
      <c r="A15" t="s">
        <v>109</v>
      </c>
      <c r="B15">
        <v>1260</v>
      </c>
    </row>
    <row r="16" spans="1:4" x14ac:dyDescent="0.25">
      <c r="A16" t="s">
        <v>109</v>
      </c>
      <c r="B16">
        <v>1260</v>
      </c>
    </row>
    <row r="17" spans="1:2" x14ac:dyDescent="0.25">
      <c r="A17" t="s">
        <v>109</v>
      </c>
      <c r="B17">
        <v>1260</v>
      </c>
    </row>
    <row r="18" spans="1:2" x14ac:dyDescent="0.25">
      <c r="A18" t="s">
        <v>109</v>
      </c>
      <c r="B18">
        <v>1260</v>
      </c>
    </row>
    <row r="19" spans="1:2" x14ac:dyDescent="0.25">
      <c r="A19" t="s">
        <v>109</v>
      </c>
      <c r="B19">
        <v>1260</v>
      </c>
    </row>
    <row r="20" spans="1:2" x14ac:dyDescent="0.25">
      <c r="A20" t="s">
        <v>109</v>
      </c>
      <c r="B20">
        <v>1260</v>
      </c>
    </row>
    <row r="21" spans="1:2" x14ac:dyDescent="0.25">
      <c r="A21" t="s">
        <v>109</v>
      </c>
      <c r="B21">
        <v>1260</v>
      </c>
    </row>
    <row r="22" spans="1:2" x14ac:dyDescent="0.25">
      <c r="A22" t="s">
        <v>109</v>
      </c>
      <c r="B22">
        <v>1260</v>
      </c>
    </row>
    <row r="23" spans="1:2" x14ac:dyDescent="0.25">
      <c r="A23" t="s">
        <v>109</v>
      </c>
      <c r="B23">
        <v>1260</v>
      </c>
    </row>
    <row r="24" spans="1:2" x14ac:dyDescent="0.25">
      <c r="A24" t="s">
        <v>109</v>
      </c>
      <c r="B24">
        <v>1260</v>
      </c>
    </row>
    <row r="25" spans="1:2" x14ac:dyDescent="0.25">
      <c r="A25" t="s">
        <v>109</v>
      </c>
      <c r="B25">
        <v>1260</v>
      </c>
    </row>
    <row r="26" spans="1:2" x14ac:dyDescent="0.25">
      <c r="A26" t="s">
        <v>109</v>
      </c>
      <c r="B26">
        <v>1260</v>
      </c>
    </row>
    <row r="27" spans="1:2" x14ac:dyDescent="0.25">
      <c r="A27" t="s">
        <v>109</v>
      </c>
      <c r="B27">
        <v>1260</v>
      </c>
    </row>
    <row r="28" spans="1:2" x14ac:dyDescent="0.25">
      <c r="A28" t="s">
        <v>109</v>
      </c>
      <c r="B28">
        <v>1260</v>
      </c>
    </row>
    <row r="29" spans="1:2" x14ac:dyDescent="0.25">
      <c r="A29" t="s">
        <v>109</v>
      </c>
      <c r="B29">
        <v>1260</v>
      </c>
    </row>
    <row r="30" spans="1:2" x14ac:dyDescent="0.25">
      <c r="A30" t="s">
        <v>109</v>
      </c>
      <c r="B30">
        <v>1260</v>
      </c>
    </row>
    <row r="31" spans="1:2" x14ac:dyDescent="0.25">
      <c r="A31" t="s">
        <v>109</v>
      </c>
      <c r="B31">
        <v>1260</v>
      </c>
    </row>
    <row r="32" spans="1:2" x14ac:dyDescent="0.25">
      <c r="A32" t="s">
        <v>109</v>
      </c>
      <c r="B32">
        <v>1260</v>
      </c>
    </row>
    <row r="33" spans="1:2" x14ac:dyDescent="0.25">
      <c r="A33" t="s">
        <v>109</v>
      </c>
      <c r="B33">
        <v>1260</v>
      </c>
    </row>
    <row r="34" spans="1:2" x14ac:dyDescent="0.25">
      <c r="A34" t="s">
        <v>109</v>
      </c>
      <c r="B34">
        <v>1260</v>
      </c>
    </row>
    <row r="35" spans="1:2" x14ac:dyDescent="0.25">
      <c r="A35" t="s">
        <v>109</v>
      </c>
      <c r="B35">
        <v>1260</v>
      </c>
    </row>
    <row r="36" spans="1:2" x14ac:dyDescent="0.25">
      <c r="A36" t="s">
        <v>109</v>
      </c>
      <c r="B36">
        <v>1260</v>
      </c>
    </row>
    <row r="37" spans="1:2" x14ac:dyDescent="0.25">
      <c r="A37" t="s">
        <v>109</v>
      </c>
      <c r="B37">
        <v>1260</v>
      </c>
    </row>
    <row r="38" spans="1:2" x14ac:dyDescent="0.25">
      <c r="A38" t="s">
        <v>109</v>
      </c>
      <c r="B38">
        <v>1260</v>
      </c>
    </row>
    <row r="39" spans="1:2" x14ac:dyDescent="0.25">
      <c r="A39" t="s">
        <v>109</v>
      </c>
      <c r="B39">
        <v>1260</v>
      </c>
    </row>
    <row r="40" spans="1:2" x14ac:dyDescent="0.25">
      <c r="A40" t="s">
        <v>109</v>
      </c>
      <c r="B40">
        <v>1260</v>
      </c>
    </row>
    <row r="41" spans="1:2" x14ac:dyDescent="0.25">
      <c r="A41" t="s">
        <v>109</v>
      </c>
      <c r="B41">
        <v>1260</v>
      </c>
    </row>
    <row r="42" spans="1:2" x14ac:dyDescent="0.25">
      <c r="A42" t="s">
        <v>109</v>
      </c>
      <c r="B42">
        <v>1260</v>
      </c>
    </row>
    <row r="43" spans="1:2" x14ac:dyDescent="0.25">
      <c r="A43" t="s">
        <v>109</v>
      </c>
      <c r="B43">
        <v>1260</v>
      </c>
    </row>
    <row r="44" spans="1:2" x14ac:dyDescent="0.25">
      <c r="A44" t="s">
        <v>109</v>
      </c>
      <c r="B44">
        <v>1260</v>
      </c>
    </row>
    <row r="45" spans="1:2" x14ac:dyDescent="0.25">
      <c r="A45" t="s">
        <v>109</v>
      </c>
      <c r="B45">
        <v>1260</v>
      </c>
    </row>
    <row r="46" spans="1:2" x14ac:dyDescent="0.25">
      <c r="A46" t="s">
        <v>109</v>
      </c>
      <c r="B46">
        <v>1260</v>
      </c>
    </row>
    <row r="47" spans="1:2" x14ac:dyDescent="0.25">
      <c r="A47" t="s">
        <v>109</v>
      </c>
      <c r="B47">
        <v>1260</v>
      </c>
    </row>
    <row r="48" spans="1:2" x14ac:dyDescent="0.25">
      <c r="A48" t="s">
        <v>109</v>
      </c>
      <c r="B48">
        <v>1260</v>
      </c>
    </row>
    <row r="49" spans="1:2" x14ac:dyDescent="0.25">
      <c r="A49" t="s">
        <v>109</v>
      </c>
      <c r="B49">
        <v>1260</v>
      </c>
    </row>
    <row r="50" spans="1:2" x14ac:dyDescent="0.25">
      <c r="A50" t="s">
        <v>109</v>
      </c>
      <c r="B50">
        <v>1260</v>
      </c>
    </row>
    <row r="51" spans="1:2" x14ac:dyDescent="0.25">
      <c r="A51" t="s">
        <v>109</v>
      </c>
      <c r="B51">
        <v>1260</v>
      </c>
    </row>
    <row r="52" spans="1:2" x14ac:dyDescent="0.25">
      <c r="A52" t="s">
        <v>109</v>
      </c>
      <c r="B52">
        <v>1260</v>
      </c>
    </row>
    <row r="53" spans="1:2" x14ac:dyDescent="0.25">
      <c r="A53" t="s">
        <v>109</v>
      </c>
      <c r="B53">
        <v>1260</v>
      </c>
    </row>
    <row r="54" spans="1:2" x14ac:dyDescent="0.25">
      <c r="A54" t="s">
        <v>109</v>
      </c>
      <c r="B54">
        <v>1260</v>
      </c>
    </row>
    <row r="55" spans="1:2" x14ac:dyDescent="0.25">
      <c r="A55" t="s">
        <v>109</v>
      </c>
      <c r="B55">
        <v>1260</v>
      </c>
    </row>
    <row r="56" spans="1:2" x14ac:dyDescent="0.25">
      <c r="A56" t="s">
        <v>109</v>
      </c>
      <c r="B56">
        <v>1260</v>
      </c>
    </row>
    <row r="57" spans="1:2" x14ac:dyDescent="0.25">
      <c r="A57" t="s">
        <v>109</v>
      </c>
      <c r="B57">
        <v>1260</v>
      </c>
    </row>
    <row r="58" spans="1:2" x14ac:dyDescent="0.25">
      <c r="A58" t="s">
        <v>109</v>
      </c>
      <c r="B58">
        <v>1260</v>
      </c>
    </row>
    <row r="59" spans="1:2" x14ac:dyDescent="0.25">
      <c r="A59" t="s">
        <v>109</v>
      </c>
      <c r="B59">
        <v>1260</v>
      </c>
    </row>
    <row r="60" spans="1:2" x14ac:dyDescent="0.25">
      <c r="A60" t="s">
        <v>109</v>
      </c>
      <c r="B60">
        <v>1260</v>
      </c>
    </row>
    <row r="61" spans="1:2" x14ac:dyDescent="0.25">
      <c r="A61" t="s">
        <v>109</v>
      </c>
      <c r="B61">
        <v>1260</v>
      </c>
    </row>
    <row r="62" spans="1:2" x14ac:dyDescent="0.25">
      <c r="A62" t="s">
        <v>109</v>
      </c>
      <c r="B62">
        <v>1260</v>
      </c>
    </row>
    <row r="63" spans="1:2" x14ac:dyDescent="0.25">
      <c r="A63" t="s">
        <v>109</v>
      </c>
      <c r="B63">
        <v>1260</v>
      </c>
    </row>
    <row r="64" spans="1:2" x14ac:dyDescent="0.25">
      <c r="A64" t="s">
        <v>109</v>
      </c>
      <c r="B64">
        <v>1260</v>
      </c>
    </row>
    <row r="65" spans="1:2" x14ac:dyDescent="0.25">
      <c r="A65" t="s">
        <v>109</v>
      </c>
      <c r="B65">
        <v>1260</v>
      </c>
    </row>
    <row r="66" spans="1:2" x14ac:dyDescent="0.25">
      <c r="A66" t="s">
        <v>109</v>
      </c>
      <c r="B66">
        <v>1260</v>
      </c>
    </row>
    <row r="67" spans="1:2" x14ac:dyDescent="0.25">
      <c r="A67" t="s">
        <v>109</v>
      </c>
      <c r="B67">
        <v>1260</v>
      </c>
    </row>
    <row r="68" spans="1:2" x14ac:dyDescent="0.25">
      <c r="A68" t="s">
        <v>109</v>
      </c>
      <c r="B68">
        <v>1260</v>
      </c>
    </row>
    <row r="69" spans="1:2" x14ac:dyDescent="0.25">
      <c r="A69" t="s">
        <v>109</v>
      </c>
      <c r="B69">
        <v>1260</v>
      </c>
    </row>
    <row r="70" spans="1:2" x14ac:dyDescent="0.25">
      <c r="A70" t="s">
        <v>109</v>
      </c>
      <c r="B70">
        <v>1260</v>
      </c>
    </row>
    <row r="71" spans="1:2" x14ac:dyDescent="0.25">
      <c r="A71" t="s">
        <v>109</v>
      </c>
      <c r="B71">
        <v>1260</v>
      </c>
    </row>
    <row r="72" spans="1:2" x14ac:dyDescent="0.25">
      <c r="A72" t="s">
        <v>109</v>
      </c>
      <c r="B72">
        <v>1260</v>
      </c>
    </row>
    <row r="73" spans="1:2" x14ac:dyDescent="0.25">
      <c r="A73" t="s">
        <v>109</v>
      </c>
      <c r="B73">
        <v>1260</v>
      </c>
    </row>
    <row r="74" spans="1:2" x14ac:dyDescent="0.25">
      <c r="A74" t="s">
        <v>109</v>
      </c>
      <c r="B74">
        <v>1260</v>
      </c>
    </row>
    <row r="75" spans="1:2" x14ac:dyDescent="0.25">
      <c r="A75" t="s">
        <v>109</v>
      </c>
      <c r="B75">
        <v>1260</v>
      </c>
    </row>
    <row r="76" spans="1:2" x14ac:dyDescent="0.25">
      <c r="A76" t="s">
        <v>109</v>
      </c>
      <c r="B76">
        <v>1260</v>
      </c>
    </row>
    <row r="77" spans="1:2" x14ac:dyDescent="0.25">
      <c r="A77" t="s">
        <v>109</v>
      </c>
      <c r="B77">
        <v>1260</v>
      </c>
    </row>
    <row r="78" spans="1:2" x14ac:dyDescent="0.25">
      <c r="A78" t="s">
        <v>109</v>
      </c>
      <c r="B78">
        <v>1260</v>
      </c>
    </row>
    <row r="79" spans="1:2" x14ac:dyDescent="0.25">
      <c r="A79" t="s">
        <v>109</v>
      </c>
      <c r="B79">
        <v>1260</v>
      </c>
    </row>
    <row r="80" spans="1:2" x14ac:dyDescent="0.25">
      <c r="A80" t="s">
        <v>109</v>
      </c>
      <c r="B80">
        <v>1260</v>
      </c>
    </row>
    <row r="81" spans="1:2" x14ac:dyDescent="0.25">
      <c r="A81" t="s">
        <v>109</v>
      </c>
      <c r="B81">
        <v>1260</v>
      </c>
    </row>
    <row r="82" spans="1:2" x14ac:dyDescent="0.25">
      <c r="A82" t="s">
        <v>109</v>
      </c>
      <c r="B82">
        <v>1260</v>
      </c>
    </row>
    <row r="83" spans="1:2" x14ac:dyDescent="0.25">
      <c r="A83" t="s">
        <v>109</v>
      </c>
      <c r="B83">
        <v>1260</v>
      </c>
    </row>
    <row r="84" spans="1:2" x14ac:dyDescent="0.25">
      <c r="A84" t="s">
        <v>109</v>
      </c>
      <c r="B84">
        <v>1260</v>
      </c>
    </row>
    <row r="85" spans="1:2" x14ac:dyDescent="0.25">
      <c r="A85" t="s">
        <v>109</v>
      </c>
      <c r="B85">
        <v>1260</v>
      </c>
    </row>
    <row r="86" spans="1:2" x14ac:dyDescent="0.25">
      <c r="A86" t="s">
        <v>109</v>
      </c>
      <c r="B86">
        <v>1260</v>
      </c>
    </row>
    <row r="87" spans="1:2" x14ac:dyDescent="0.25">
      <c r="A87" t="s">
        <v>109</v>
      </c>
      <c r="B87">
        <v>1260</v>
      </c>
    </row>
    <row r="88" spans="1:2" x14ac:dyDescent="0.25">
      <c r="A88" t="s">
        <v>109</v>
      </c>
      <c r="B88">
        <v>1260</v>
      </c>
    </row>
    <row r="89" spans="1:2" x14ac:dyDescent="0.25">
      <c r="A89" t="s">
        <v>109</v>
      </c>
      <c r="B89">
        <v>1260</v>
      </c>
    </row>
    <row r="90" spans="1:2" x14ac:dyDescent="0.25">
      <c r="A90" t="s">
        <v>109</v>
      </c>
      <c r="B90">
        <v>1260</v>
      </c>
    </row>
    <row r="91" spans="1:2" x14ac:dyDescent="0.25">
      <c r="A91" t="s">
        <v>109</v>
      </c>
      <c r="B91">
        <v>1260</v>
      </c>
    </row>
    <row r="92" spans="1:2" x14ac:dyDescent="0.25">
      <c r="A92" t="s">
        <v>109</v>
      </c>
      <c r="B92">
        <v>1260</v>
      </c>
    </row>
    <row r="93" spans="1:2" x14ac:dyDescent="0.25">
      <c r="A93" t="s">
        <v>109</v>
      </c>
      <c r="B93">
        <v>1260</v>
      </c>
    </row>
    <row r="94" spans="1:2" x14ac:dyDescent="0.25">
      <c r="A94" t="s">
        <v>109</v>
      </c>
      <c r="B94">
        <v>1260</v>
      </c>
    </row>
    <row r="95" spans="1:2" x14ac:dyDescent="0.25">
      <c r="A95" t="s">
        <v>109</v>
      </c>
      <c r="B95">
        <v>1260</v>
      </c>
    </row>
    <row r="96" spans="1:2" x14ac:dyDescent="0.25">
      <c r="A96" t="s">
        <v>109</v>
      </c>
      <c r="B96">
        <v>1260</v>
      </c>
    </row>
    <row r="97" spans="1:2" x14ac:dyDescent="0.25">
      <c r="A97" t="s">
        <v>109</v>
      </c>
      <c r="B97">
        <v>1260</v>
      </c>
    </row>
    <row r="98" spans="1:2" x14ac:dyDescent="0.25">
      <c r="A98" t="s">
        <v>109</v>
      </c>
      <c r="B98">
        <v>1260</v>
      </c>
    </row>
    <row r="99" spans="1:2" x14ac:dyDescent="0.25">
      <c r="A99" t="s">
        <v>109</v>
      </c>
      <c r="B99">
        <v>1260</v>
      </c>
    </row>
    <row r="100" spans="1:2" x14ac:dyDescent="0.25">
      <c r="A100" t="s">
        <v>109</v>
      </c>
      <c r="B100">
        <v>1260</v>
      </c>
    </row>
    <row r="101" spans="1:2" x14ac:dyDescent="0.25">
      <c r="A101" t="s">
        <v>109</v>
      </c>
      <c r="B101">
        <v>1260</v>
      </c>
    </row>
    <row r="102" spans="1:2" x14ac:dyDescent="0.25">
      <c r="A102" t="s">
        <v>109</v>
      </c>
      <c r="B102">
        <v>1260</v>
      </c>
    </row>
    <row r="103" spans="1:2" x14ac:dyDescent="0.25">
      <c r="A103" t="s">
        <v>109</v>
      </c>
      <c r="B103">
        <v>1260</v>
      </c>
    </row>
    <row r="104" spans="1:2" x14ac:dyDescent="0.25">
      <c r="A104" t="s">
        <v>109</v>
      </c>
      <c r="B104">
        <v>1260</v>
      </c>
    </row>
    <row r="105" spans="1:2" x14ac:dyDescent="0.25">
      <c r="A105" t="s">
        <v>109</v>
      </c>
      <c r="B105">
        <v>1260</v>
      </c>
    </row>
    <row r="106" spans="1:2" x14ac:dyDescent="0.25">
      <c r="A106" t="s">
        <v>109</v>
      </c>
      <c r="B106">
        <v>1260</v>
      </c>
    </row>
    <row r="107" spans="1:2" x14ac:dyDescent="0.25">
      <c r="A107" t="s">
        <v>109</v>
      </c>
      <c r="B107">
        <v>1260</v>
      </c>
    </row>
    <row r="108" spans="1:2" x14ac:dyDescent="0.25">
      <c r="A108" t="s">
        <v>109</v>
      </c>
      <c r="B108">
        <v>1260</v>
      </c>
    </row>
    <row r="109" spans="1:2" x14ac:dyDescent="0.25">
      <c r="A109" t="s">
        <v>109</v>
      </c>
      <c r="B109">
        <v>1260</v>
      </c>
    </row>
    <row r="110" spans="1:2" x14ac:dyDescent="0.25">
      <c r="A110" t="s">
        <v>109</v>
      </c>
      <c r="B110">
        <v>1260</v>
      </c>
    </row>
    <row r="111" spans="1:2" x14ac:dyDescent="0.25">
      <c r="A111" t="s">
        <v>109</v>
      </c>
      <c r="B111">
        <v>1260</v>
      </c>
    </row>
    <row r="112" spans="1:2" x14ac:dyDescent="0.25">
      <c r="A112" t="s">
        <v>109</v>
      </c>
      <c r="B112">
        <v>1260</v>
      </c>
    </row>
    <row r="113" spans="1:2" x14ac:dyDescent="0.25">
      <c r="A113" t="s">
        <v>109</v>
      </c>
      <c r="B113">
        <v>1260</v>
      </c>
    </row>
    <row r="114" spans="1:2" x14ac:dyDescent="0.25">
      <c r="A114" t="s">
        <v>109</v>
      </c>
      <c r="B114">
        <v>1260</v>
      </c>
    </row>
    <row r="115" spans="1:2" x14ac:dyDescent="0.25">
      <c r="A115" t="s">
        <v>109</v>
      </c>
      <c r="B115">
        <v>1260</v>
      </c>
    </row>
    <row r="116" spans="1:2" x14ac:dyDescent="0.25">
      <c r="A116" t="s">
        <v>109</v>
      </c>
      <c r="B116">
        <v>1260</v>
      </c>
    </row>
    <row r="117" spans="1:2" x14ac:dyDescent="0.25">
      <c r="A117" t="s">
        <v>109</v>
      </c>
      <c r="B117">
        <v>1260</v>
      </c>
    </row>
    <row r="118" spans="1:2" x14ac:dyDescent="0.25">
      <c r="A118" t="s">
        <v>109</v>
      </c>
      <c r="B118">
        <v>1260</v>
      </c>
    </row>
    <row r="119" spans="1:2" x14ac:dyDescent="0.25">
      <c r="A119" t="s">
        <v>109</v>
      </c>
      <c r="B119">
        <v>1260</v>
      </c>
    </row>
    <row r="120" spans="1:2" x14ac:dyDescent="0.25">
      <c r="A120" t="s">
        <v>109</v>
      </c>
      <c r="B120">
        <v>1260</v>
      </c>
    </row>
    <row r="121" spans="1:2" x14ac:dyDescent="0.25">
      <c r="A121" t="s">
        <v>109</v>
      </c>
      <c r="B121">
        <v>1260</v>
      </c>
    </row>
    <row r="122" spans="1:2" x14ac:dyDescent="0.25">
      <c r="A122" t="s">
        <v>109</v>
      </c>
      <c r="B122">
        <v>1260</v>
      </c>
    </row>
    <row r="123" spans="1:2" x14ac:dyDescent="0.25">
      <c r="A123" t="s">
        <v>109</v>
      </c>
      <c r="B123">
        <v>1260</v>
      </c>
    </row>
    <row r="124" spans="1:2" x14ac:dyDescent="0.25">
      <c r="A124" t="s">
        <v>109</v>
      </c>
      <c r="B124">
        <v>1260</v>
      </c>
    </row>
    <row r="125" spans="1:2" x14ac:dyDescent="0.25">
      <c r="A125" t="s">
        <v>109</v>
      </c>
      <c r="B125">
        <v>1260</v>
      </c>
    </row>
    <row r="126" spans="1:2" x14ac:dyDescent="0.25">
      <c r="A126" t="s">
        <v>187</v>
      </c>
      <c r="B126">
        <v>1470</v>
      </c>
    </row>
    <row r="127" spans="1:2" x14ac:dyDescent="0.25">
      <c r="A127" t="s">
        <v>215</v>
      </c>
      <c r="B127">
        <v>1500</v>
      </c>
    </row>
    <row r="128" spans="1:2" x14ac:dyDescent="0.25">
      <c r="A128" t="s">
        <v>215</v>
      </c>
      <c r="B128">
        <v>1500</v>
      </c>
    </row>
    <row r="129" spans="1:2" x14ac:dyDescent="0.25">
      <c r="A129" t="s">
        <v>215</v>
      </c>
      <c r="B129">
        <v>1500</v>
      </c>
    </row>
    <row r="130" spans="1:2" x14ac:dyDescent="0.25">
      <c r="A130" t="s">
        <v>215</v>
      </c>
      <c r="B130">
        <v>1500</v>
      </c>
    </row>
    <row r="131" spans="1:2" x14ac:dyDescent="0.25">
      <c r="A131" t="s">
        <v>215</v>
      </c>
      <c r="B131">
        <v>1500</v>
      </c>
    </row>
    <row r="132" spans="1:2" x14ac:dyDescent="0.25">
      <c r="A132" t="s">
        <v>215</v>
      </c>
      <c r="B132">
        <v>1500</v>
      </c>
    </row>
    <row r="133" spans="1:2" x14ac:dyDescent="0.25">
      <c r="A133" t="s">
        <v>215</v>
      </c>
      <c r="B133">
        <v>1500</v>
      </c>
    </row>
    <row r="134" spans="1:2" x14ac:dyDescent="0.25">
      <c r="A134" t="s">
        <v>215</v>
      </c>
      <c r="B134">
        <v>1500</v>
      </c>
    </row>
    <row r="135" spans="1:2" x14ac:dyDescent="0.25">
      <c r="A135" t="s">
        <v>215</v>
      </c>
      <c r="B135">
        <v>1500</v>
      </c>
    </row>
    <row r="136" spans="1:2" x14ac:dyDescent="0.25">
      <c r="A136" t="s">
        <v>215</v>
      </c>
      <c r="B136">
        <v>1500</v>
      </c>
    </row>
    <row r="137" spans="1:2" x14ac:dyDescent="0.25">
      <c r="A137" t="s">
        <v>215</v>
      </c>
      <c r="B137">
        <v>1500</v>
      </c>
    </row>
    <row r="138" spans="1:2" x14ac:dyDescent="0.25">
      <c r="A138" t="s">
        <v>215</v>
      </c>
      <c r="B138">
        <v>1500</v>
      </c>
    </row>
    <row r="139" spans="1:2" x14ac:dyDescent="0.25">
      <c r="A139" t="s">
        <v>215</v>
      </c>
      <c r="B139">
        <v>1500</v>
      </c>
    </row>
    <row r="140" spans="1:2" x14ac:dyDescent="0.25">
      <c r="A140" t="s">
        <v>215</v>
      </c>
      <c r="B140">
        <v>1500</v>
      </c>
    </row>
    <row r="141" spans="1:2" x14ac:dyDescent="0.25">
      <c r="A141" t="s">
        <v>215</v>
      </c>
      <c r="B141">
        <v>1500</v>
      </c>
    </row>
    <row r="142" spans="1:2" x14ac:dyDescent="0.25">
      <c r="A142" t="s">
        <v>215</v>
      </c>
      <c r="B142">
        <v>1500</v>
      </c>
    </row>
    <row r="143" spans="1:2" x14ac:dyDescent="0.25">
      <c r="A143" t="s">
        <v>215</v>
      </c>
      <c r="B143">
        <v>1500</v>
      </c>
    </row>
    <row r="144" spans="1:2" x14ac:dyDescent="0.25">
      <c r="A144" t="s">
        <v>215</v>
      </c>
      <c r="B144">
        <v>1500</v>
      </c>
    </row>
    <row r="145" spans="1:2" x14ac:dyDescent="0.25">
      <c r="A145" t="s">
        <v>215</v>
      </c>
      <c r="B145">
        <v>1500</v>
      </c>
    </row>
    <row r="146" spans="1:2" x14ac:dyDescent="0.25">
      <c r="A146" t="s">
        <v>215</v>
      </c>
      <c r="B146">
        <v>1500</v>
      </c>
    </row>
    <row r="147" spans="1:2" x14ac:dyDescent="0.25">
      <c r="A147" t="s">
        <v>215</v>
      </c>
      <c r="B147">
        <v>1500</v>
      </c>
    </row>
    <row r="148" spans="1:2" x14ac:dyDescent="0.25">
      <c r="A148" t="s">
        <v>215</v>
      </c>
      <c r="B148">
        <v>1500</v>
      </c>
    </row>
    <row r="149" spans="1:2" x14ac:dyDescent="0.25">
      <c r="A149" t="s">
        <v>215</v>
      </c>
      <c r="B149">
        <v>1500</v>
      </c>
    </row>
    <row r="150" spans="1:2" x14ac:dyDescent="0.25">
      <c r="A150" t="s">
        <v>215</v>
      </c>
      <c r="B150">
        <v>1500</v>
      </c>
    </row>
    <row r="151" spans="1:2" x14ac:dyDescent="0.25">
      <c r="A151" t="s">
        <v>215</v>
      </c>
      <c r="B151">
        <v>1500</v>
      </c>
    </row>
    <row r="152" spans="1:2" x14ac:dyDescent="0.25">
      <c r="A152" t="s">
        <v>215</v>
      </c>
      <c r="B152">
        <v>1500</v>
      </c>
    </row>
    <row r="153" spans="1:2" x14ac:dyDescent="0.25">
      <c r="A153" t="s">
        <v>215</v>
      </c>
      <c r="B153">
        <v>1500</v>
      </c>
    </row>
    <row r="154" spans="1:2" x14ac:dyDescent="0.25">
      <c r="A154" t="s">
        <v>215</v>
      </c>
      <c r="B154">
        <v>1500</v>
      </c>
    </row>
    <row r="155" spans="1:2" x14ac:dyDescent="0.25">
      <c r="A155" t="s">
        <v>215</v>
      </c>
      <c r="B155">
        <v>1500</v>
      </c>
    </row>
    <row r="156" spans="1:2" x14ac:dyDescent="0.25">
      <c r="A156" t="s">
        <v>215</v>
      </c>
      <c r="B156">
        <v>1500</v>
      </c>
    </row>
    <row r="157" spans="1:2" x14ac:dyDescent="0.25">
      <c r="A157" t="s">
        <v>215</v>
      </c>
      <c r="B157">
        <v>1500</v>
      </c>
    </row>
    <row r="158" spans="1:2" x14ac:dyDescent="0.25">
      <c r="A158" t="s">
        <v>215</v>
      </c>
      <c r="B158">
        <v>1500</v>
      </c>
    </row>
    <row r="159" spans="1:2" x14ac:dyDescent="0.25">
      <c r="A159" t="s">
        <v>215</v>
      </c>
      <c r="B159">
        <v>1500</v>
      </c>
    </row>
    <row r="160" spans="1:2" x14ac:dyDescent="0.25">
      <c r="A160" t="s">
        <v>215</v>
      </c>
      <c r="B160">
        <v>1500</v>
      </c>
    </row>
    <row r="161" spans="1:2" x14ac:dyDescent="0.25">
      <c r="A161" t="s">
        <v>215</v>
      </c>
      <c r="B161">
        <v>1500</v>
      </c>
    </row>
    <row r="162" spans="1:2" x14ac:dyDescent="0.25">
      <c r="A162" t="s">
        <v>215</v>
      </c>
      <c r="B162">
        <v>1500</v>
      </c>
    </row>
    <row r="163" spans="1:2" x14ac:dyDescent="0.25">
      <c r="A163" t="s">
        <v>215</v>
      </c>
      <c r="B163">
        <v>1500</v>
      </c>
    </row>
    <row r="164" spans="1:2" x14ac:dyDescent="0.25">
      <c r="A164" t="s">
        <v>215</v>
      </c>
      <c r="B164">
        <v>1500</v>
      </c>
    </row>
    <row r="165" spans="1:2" x14ac:dyDescent="0.25">
      <c r="A165" t="s">
        <v>191</v>
      </c>
      <c r="B165">
        <v>2560</v>
      </c>
    </row>
    <row r="166" spans="1:2" x14ac:dyDescent="0.25">
      <c r="A166" t="s">
        <v>191</v>
      </c>
      <c r="B166">
        <v>2560</v>
      </c>
    </row>
    <row r="167" spans="1:2" x14ac:dyDescent="0.25">
      <c r="A167" t="s">
        <v>191</v>
      </c>
      <c r="B167">
        <v>2560</v>
      </c>
    </row>
    <row r="168" spans="1:2" x14ac:dyDescent="0.25">
      <c r="A168" t="s">
        <v>191</v>
      </c>
      <c r="B168">
        <v>2560</v>
      </c>
    </row>
    <row r="169" spans="1:2" x14ac:dyDescent="0.25">
      <c r="A169" t="s">
        <v>191</v>
      </c>
      <c r="B169">
        <v>2560</v>
      </c>
    </row>
    <row r="170" spans="1:2" x14ac:dyDescent="0.25">
      <c r="A170" t="s">
        <v>191</v>
      </c>
      <c r="B170">
        <v>2560</v>
      </c>
    </row>
    <row r="171" spans="1:2" x14ac:dyDescent="0.25">
      <c r="A171" t="s">
        <v>191</v>
      </c>
      <c r="B171">
        <v>2560</v>
      </c>
    </row>
    <row r="172" spans="1:2" x14ac:dyDescent="0.25">
      <c r="A172" t="s">
        <v>191</v>
      </c>
      <c r="B172">
        <v>2560</v>
      </c>
    </row>
    <row r="173" spans="1:2" x14ac:dyDescent="0.25">
      <c r="A173" t="s">
        <v>191</v>
      </c>
      <c r="B173">
        <v>2560</v>
      </c>
    </row>
    <row r="174" spans="1:2" x14ac:dyDescent="0.25">
      <c r="A174" t="s">
        <v>191</v>
      </c>
      <c r="B174">
        <v>2560</v>
      </c>
    </row>
    <row r="175" spans="1:2" x14ac:dyDescent="0.25">
      <c r="A175" t="s">
        <v>191</v>
      </c>
      <c r="B175">
        <v>2560</v>
      </c>
    </row>
    <row r="176" spans="1:2" x14ac:dyDescent="0.25">
      <c r="A176" t="s">
        <v>191</v>
      </c>
      <c r="B176">
        <v>2560</v>
      </c>
    </row>
    <row r="177" spans="1:2" x14ac:dyDescent="0.25">
      <c r="A177" t="s">
        <v>191</v>
      </c>
      <c r="B177">
        <v>2560</v>
      </c>
    </row>
    <row r="178" spans="1:2" x14ac:dyDescent="0.25">
      <c r="A178" t="s">
        <v>191</v>
      </c>
      <c r="B178">
        <v>2560</v>
      </c>
    </row>
    <row r="179" spans="1:2" x14ac:dyDescent="0.25">
      <c r="A179" t="s">
        <v>191</v>
      </c>
      <c r="B179">
        <v>2560</v>
      </c>
    </row>
    <row r="180" spans="1:2" x14ac:dyDescent="0.25">
      <c r="A180" t="s">
        <v>191</v>
      </c>
      <c r="B180">
        <v>2560</v>
      </c>
    </row>
    <row r="181" spans="1:2" x14ac:dyDescent="0.25">
      <c r="A181" t="s">
        <v>191</v>
      </c>
      <c r="B181">
        <v>2560</v>
      </c>
    </row>
    <row r="182" spans="1:2" x14ac:dyDescent="0.25">
      <c r="A182" t="s">
        <v>191</v>
      </c>
      <c r="B182">
        <v>2560</v>
      </c>
    </row>
    <row r="183" spans="1:2" x14ac:dyDescent="0.25">
      <c r="A183" t="s">
        <v>191</v>
      </c>
      <c r="B183">
        <v>2560</v>
      </c>
    </row>
    <row r="184" spans="1:2" x14ac:dyDescent="0.25">
      <c r="A184" t="s">
        <v>191</v>
      </c>
      <c r="B184">
        <v>2560</v>
      </c>
    </row>
    <row r="185" spans="1:2" x14ac:dyDescent="0.25">
      <c r="A185" t="s">
        <v>191</v>
      </c>
      <c r="B185">
        <v>2560</v>
      </c>
    </row>
    <row r="186" spans="1:2" x14ac:dyDescent="0.25">
      <c r="A186" t="s">
        <v>191</v>
      </c>
      <c r="B186">
        <v>2560</v>
      </c>
    </row>
    <row r="187" spans="1:2" x14ac:dyDescent="0.25">
      <c r="A187" t="s">
        <v>191</v>
      </c>
      <c r="B187">
        <v>2560</v>
      </c>
    </row>
    <row r="188" spans="1:2" x14ac:dyDescent="0.25">
      <c r="A188" t="s">
        <v>191</v>
      </c>
      <c r="B188">
        <v>2560</v>
      </c>
    </row>
    <row r="189" spans="1:2" x14ac:dyDescent="0.25">
      <c r="A189" t="s">
        <v>191</v>
      </c>
      <c r="B189">
        <v>2560</v>
      </c>
    </row>
    <row r="190" spans="1:2" x14ac:dyDescent="0.25">
      <c r="A190" t="s">
        <v>191</v>
      </c>
      <c r="B190">
        <v>2560</v>
      </c>
    </row>
    <row r="191" spans="1:2" x14ac:dyDescent="0.25">
      <c r="A191" t="s">
        <v>191</v>
      </c>
      <c r="B191">
        <v>2560</v>
      </c>
    </row>
    <row r="192" spans="1:2" x14ac:dyDescent="0.25">
      <c r="A192" t="s">
        <v>191</v>
      </c>
      <c r="B192">
        <v>2560</v>
      </c>
    </row>
    <row r="193" spans="1:2" x14ac:dyDescent="0.25">
      <c r="A193" t="s">
        <v>191</v>
      </c>
      <c r="B193">
        <v>2560</v>
      </c>
    </row>
    <row r="194" spans="1:2" x14ac:dyDescent="0.25">
      <c r="A194" t="s">
        <v>191</v>
      </c>
      <c r="B194">
        <v>2560</v>
      </c>
    </row>
    <row r="195" spans="1:2" x14ac:dyDescent="0.25">
      <c r="A195" t="s">
        <v>191</v>
      </c>
      <c r="B195">
        <v>2560</v>
      </c>
    </row>
    <row r="196" spans="1:2" x14ac:dyDescent="0.25">
      <c r="A196" t="s">
        <v>191</v>
      </c>
      <c r="B196">
        <v>2560</v>
      </c>
    </row>
    <row r="197" spans="1:2" x14ac:dyDescent="0.25">
      <c r="A197" t="s">
        <v>191</v>
      </c>
      <c r="B197">
        <v>2560</v>
      </c>
    </row>
    <row r="198" spans="1:2" x14ac:dyDescent="0.25">
      <c r="A198" t="s">
        <v>191</v>
      </c>
      <c r="B198">
        <v>2560</v>
      </c>
    </row>
    <row r="199" spans="1:2" x14ac:dyDescent="0.25">
      <c r="A199" t="s">
        <v>191</v>
      </c>
      <c r="B199">
        <v>2560</v>
      </c>
    </row>
    <row r="200" spans="1:2" x14ac:dyDescent="0.25">
      <c r="A200" t="s">
        <v>191</v>
      </c>
      <c r="B200">
        <v>2560</v>
      </c>
    </row>
    <row r="201" spans="1:2" x14ac:dyDescent="0.25">
      <c r="A201" t="s">
        <v>191</v>
      </c>
      <c r="B201">
        <v>2560</v>
      </c>
    </row>
    <row r="202" spans="1:2" x14ac:dyDescent="0.25">
      <c r="A202" t="s">
        <v>191</v>
      </c>
      <c r="B202">
        <v>2560</v>
      </c>
    </row>
    <row r="203" spans="1:2" x14ac:dyDescent="0.25">
      <c r="A203" t="s">
        <v>191</v>
      </c>
      <c r="B203">
        <v>2560</v>
      </c>
    </row>
    <row r="204" spans="1:2" x14ac:dyDescent="0.25">
      <c r="A204" t="s">
        <v>191</v>
      </c>
      <c r="B204">
        <v>2560</v>
      </c>
    </row>
    <row r="205" spans="1:2" x14ac:dyDescent="0.25">
      <c r="A205" t="s">
        <v>191</v>
      </c>
      <c r="B205">
        <v>2560</v>
      </c>
    </row>
    <row r="206" spans="1:2" x14ac:dyDescent="0.25">
      <c r="A206" t="s">
        <v>191</v>
      </c>
      <c r="B206">
        <v>2560</v>
      </c>
    </row>
    <row r="207" spans="1:2" x14ac:dyDescent="0.25">
      <c r="A207" t="s">
        <v>191</v>
      </c>
      <c r="B207">
        <v>2560</v>
      </c>
    </row>
    <row r="208" spans="1:2" x14ac:dyDescent="0.25">
      <c r="A208" t="s">
        <v>191</v>
      </c>
      <c r="B208">
        <v>2560</v>
      </c>
    </row>
    <row r="209" spans="1:2" x14ac:dyDescent="0.25">
      <c r="A209" t="s">
        <v>191</v>
      </c>
      <c r="B209">
        <v>2560</v>
      </c>
    </row>
    <row r="210" spans="1:2" x14ac:dyDescent="0.25">
      <c r="A210" t="s">
        <v>191</v>
      </c>
      <c r="B210">
        <v>2560</v>
      </c>
    </row>
    <row r="211" spans="1:2" x14ac:dyDescent="0.25">
      <c r="A211" t="s">
        <v>191</v>
      </c>
      <c r="B211">
        <v>2560</v>
      </c>
    </row>
    <row r="212" spans="1:2" x14ac:dyDescent="0.25">
      <c r="A212" t="s">
        <v>191</v>
      </c>
      <c r="B212">
        <v>2560</v>
      </c>
    </row>
    <row r="213" spans="1:2" x14ac:dyDescent="0.25">
      <c r="A213" t="s">
        <v>191</v>
      </c>
      <c r="B213">
        <v>2560</v>
      </c>
    </row>
    <row r="214" spans="1:2" x14ac:dyDescent="0.25">
      <c r="A214" t="s">
        <v>191</v>
      </c>
      <c r="B214">
        <v>2560</v>
      </c>
    </row>
    <row r="215" spans="1:2" x14ac:dyDescent="0.25">
      <c r="A215" t="s">
        <v>191</v>
      </c>
      <c r="B215">
        <v>2560</v>
      </c>
    </row>
    <row r="216" spans="1:2" x14ac:dyDescent="0.25">
      <c r="A216" t="s">
        <v>191</v>
      </c>
      <c r="B216">
        <v>2560</v>
      </c>
    </row>
    <row r="217" spans="1:2" x14ac:dyDescent="0.25">
      <c r="A217" t="s">
        <v>191</v>
      </c>
      <c r="B217">
        <v>2560</v>
      </c>
    </row>
    <row r="218" spans="1:2" x14ac:dyDescent="0.25">
      <c r="A218" t="s">
        <v>191</v>
      </c>
      <c r="B218">
        <v>2560</v>
      </c>
    </row>
    <row r="219" spans="1:2" x14ac:dyDescent="0.25">
      <c r="A219" t="s">
        <v>191</v>
      </c>
      <c r="B219">
        <v>2560</v>
      </c>
    </row>
    <row r="220" spans="1:2" x14ac:dyDescent="0.25">
      <c r="A220" t="s">
        <v>191</v>
      </c>
      <c r="B220">
        <v>2560</v>
      </c>
    </row>
    <row r="221" spans="1:2" x14ac:dyDescent="0.25">
      <c r="A221" t="s">
        <v>191</v>
      </c>
      <c r="B221">
        <v>2560</v>
      </c>
    </row>
    <row r="222" spans="1:2" x14ac:dyDescent="0.25">
      <c r="A222" t="s">
        <v>191</v>
      </c>
      <c r="B222">
        <v>2560</v>
      </c>
    </row>
    <row r="223" spans="1:2" x14ac:dyDescent="0.25">
      <c r="A223" t="s">
        <v>191</v>
      </c>
      <c r="B223">
        <v>2560</v>
      </c>
    </row>
    <row r="224" spans="1:2" x14ac:dyDescent="0.25">
      <c r="A224" t="s">
        <v>191</v>
      </c>
      <c r="B224">
        <v>2560</v>
      </c>
    </row>
    <row r="225" spans="1:2" x14ac:dyDescent="0.25">
      <c r="A225" t="s">
        <v>191</v>
      </c>
      <c r="B225">
        <v>2560</v>
      </c>
    </row>
    <row r="226" spans="1:2" x14ac:dyDescent="0.25">
      <c r="A226" t="s">
        <v>191</v>
      </c>
      <c r="B226">
        <v>2560</v>
      </c>
    </row>
    <row r="227" spans="1:2" x14ac:dyDescent="0.25">
      <c r="A227" t="s">
        <v>191</v>
      </c>
      <c r="B227">
        <v>2560</v>
      </c>
    </row>
    <row r="228" spans="1:2" x14ac:dyDescent="0.25">
      <c r="A228" t="s">
        <v>191</v>
      </c>
      <c r="B228">
        <v>2560</v>
      </c>
    </row>
    <row r="229" spans="1:2" x14ac:dyDescent="0.25">
      <c r="A229" t="s">
        <v>191</v>
      </c>
      <c r="B229">
        <v>2560</v>
      </c>
    </row>
    <row r="230" spans="1:2" x14ac:dyDescent="0.25">
      <c r="A230" t="s">
        <v>191</v>
      </c>
      <c r="B230">
        <v>2560</v>
      </c>
    </row>
    <row r="231" spans="1:2" x14ac:dyDescent="0.25">
      <c r="A231" t="s">
        <v>191</v>
      </c>
      <c r="B231">
        <v>2560</v>
      </c>
    </row>
    <row r="232" spans="1:2" x14ac:dyDescent="0.25">
      <c r="A232" t="s">
        <v>191</v>
      </c>
      <c r="B232">
        <v>2560</v>
      </c>
    </row>
    <row r="233" spans="1:2" x14ac:dyDescent="0.25">
      <c r="A233" t="s">
        <v>191</v>
      </c>
      <c r="B233">
        <v>2560</v>
      </c>
    </row>
    <row r="234" spans="1:2" x14ac:dyDescent="0.25">
      <c r="A234" t="s">
        <v>191</v>
      </c>
      <c r="B234">
        <v>2560</v>
      </c>
    </row>
    <row r="235" spans="1:2" x14ac:dyDescent="0.25">
      <c r="A235" t="s">
        <v>191</v>
      </c>
      <c r="B235">
        <v>2560</v>
      </c>
    </row>
    <row r="236" spans="1:2" x14ac:dyDescent="0.25">
      <c r="A236" t="s">
        <v>191</v>
      </c>
      <c r="B236">
        <v>2560</v>
      </c>
    </row>
    <row r="237" spans="1:2" x14ac:dyDescent="0.25">
      <c r="A237" t="s">
        <v>191</v>
      </c>
      <c r="B237">
        <v>2560</v>
      </c>
    </row>
    <row r="238" spans="1:2" x14ac:dyDescent="0.25">
      <c r="A238" t="s">
        <v>191</v>
      </c>
      <c r="B238">
        <v>2560</v>
      </c>
    </row>
    <row r="239" spans="1:2" x14ac:dyDescent="0.25">
      <c r="A239" t="s">
        <v>191</v>
      </c>
      <c r="B239">
        <v>2560</v>
      </c>
    </row>
    <row r="240" spans="1:2" x14ac:dyDescent="0.25">
      <c r="A240" t="s">
        <v>191</v>
      </c>
      <c r="B240">
        <v>2560</v>
      </c>
    </row>
    <row r="241" spans="1:2" x14ac:dyDescent="0.25">
      <c r="A241" t="s">
        <v>191</v>
      </c>
      <c r="B241">
        <v>2560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D139"/>
  <sheetViews>
    <sheetView showZeros="0" zoomScale="85" zoomScaleNormal="85" workbookViewId="0">
      <pane xSplit="4" ySplit="8" topLeftCell="H12"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t="e">
        <f ca="1">SUMPRODUCT(OFFSET(#REF!,,,1,1),OFFSET(#REF!,,,1,1))</f>
        <v>#REF!</v>
      </c>
      <c r="C1" s="27"/>
      <c r="D1" s="28" t="s">
        <v>19</v>
      </c>
    </row>
    <row r="2" spans="1:4" ht="15" customHeight="1" x14ac:dyDescent="0.25">
      <c r="A2" s="42" t="s">
        <v>30</v>
      </c>
      <c r="B2" s="49" t="e">
        <f ca="1">SUM(OFFSET(#REF!,,,131,1))</f>
        <v>#REF!</v>
      </c>
      <c r="C2" s="25"/>
      <c r="D2" s="29" t="s">
        <v>49</v>
      </c>
    </row>
    <row r="3" spans="1:4" ht="15" customHeight="1" x14ac:dyDescent="0.25">
      <c r="A3" s="42" t="s">
        <v>33</v>
      </c>
      <c r="B3" s="49" t="e">
        <f ca="1">SUMIF(OFFSET(#REF!,,,131,1),"&lt;"&amp;B6)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1250</v>
      </c>
      <c r="C6" s="36"/>
      <c r="D6" s="37" t="s">
        <v>28</v>
      </c>
    </row>
    <row r="7" spans="1:4" x14ac:dyDescent="0.25">
      <c r="A7" s="38" t="s">
        <v>2</v>
      </c>
      <c r="B7" s="34">
        <f ca="1">VALUE(MID(CELL("filename",$A$1),FIND("]",CELL("filename",$A$1),1)+1,200))</f>
        <v>25</v>
      </c>
      <c r="C7" s="39"/>
      <c r="D7" s="40" t="s">
        <v>29</v>
      </c>
    </row>
    <row r="8" spans="1:4" ht="30" x14ac:dyDescent="0.25">
      <c r="A8" s="32" t="s">
        <v>0</v>
      </c>
      <c r="B8" s="32" t="s">
        <v>31</v>
      </c>
      <c r="C8" s="32" t="s">
        <v>48</v>
      </c>
      <c r="D8" s="32" t="s">
        <v>30</v>
      </c>
    </row>
    <row r="9" spans="1:4" x14ac:dyDescent="0.25">
      <c r="A9" t="s">
        <v>110</v>
      </c>
      <c r="B9">
        <v>1270</v>
      </c>
    </row>
    <row r="10" spans="1:4" x14ac:dyDescent="0.25">
      <c r="A10" t="s">
        <v>110</v>
      </c>
      <c r="B10">
        <v>1270</v>
      </c>
    </row>
    <row r="11" spans="1:4" x14ac:dyDescent="0.25">
      <c r="A11" t="s">
        <v>323</v>
      </c>
      <c r="B11">
        <v>1950</v>
      </c>
    </row>
    <row r="12" spans="1:4" x14ac:dyDescent="0.25">
      <c r="A12" t="s">
        <v>323</v>
      </c>
      <c r="B12">
        <v>1950</v>
      </c>
    </row>
    <row r="13" spans="1:4" x14ac:dyDescent="0.25">
      <c r="A13" t="s">
        <v>253</v>
      </c>
      <c r="B13">
        <v>2010</v>
      </c>
    </row>
    <row r="14" spans="1:4" x14ac:dyDescent="0.25">
      <c r="A14" t="s">
        <v>253</v>
      </c>
      <c r="B14">
        <v>2010</v>
      </c>
    </row>
    <row r="15" spans="1:4" x14ac:dyDescent="0.25">
      <c r="A15" t="s">
        <v>189</v>
      </c>
      <c r="B15">
        <v>2100</v>
      </c>
    </row>
    <row r="16" spans="1:4" x14ac:dyDescent="0.25">
      <c r="A16" t="s">
        <v>189</v>
      </c>
      <c r="B16">
        <v>2100</v>
      </c>
    </row>
    <row r="17" spans="1:2" x14ac:dyDescent="0.25">
      <c r="A17" t="s">
        <v>189</v>
      </c>
      <c r="B17">
        <v>2100</v>
      </c>
    </row>
    <row r="18" spans="1:2" x14ac:dyDescent="0.25">
      <c r="A18" t="s">
        <v>178</v>
      </c>
      <c r="B18">
        <v>2240</v>
      </c>
    </row>
    <row r="19" spans="1:2" x14ac:dyDescent="0.25">
      <c r="A19" t="s">
        <v>178</v>
      </c>
      <c r="B19">
        <v>2240</v>
      </c>
    </row>
    <row r="20" spans="1:2" x14ac:dyDescent="0.25">
      <c r="A20" t="s">
        <v>347</v>
      </c>
      <c r="B20">
        <v>2280</v>
      </c>
    </row>
    <row r="21" spans="1:2" x14ac:dyDescent="0.25">
      <c r="A21" t="s">
        <v>347</v>
      </c>
      <c r="B21">
        <v>2280</v>
      </c>
    </row>
    <row r="22" spans="1:2" x14ac:dyDescent="0.25">
      <c r="A22" t="s">
        <v>347</v>
      </c>
      <c r="B22">
        <v>2280</v>
      </c>
    </row>
    <row r="23" spans="1:2" x14ac:dyDescent="0.25">
      <c r="A23" t="s">
        <v>347</v>
      </c>
      <c r="B23">
        <v>2280</v>
      </c>
    </row>
    <row r="24" spans="1:2" x14ac:dyDescent="0.25">
      <c r="A24" t="s">
        <v>347</v>
      </c>
      <c r="B24">
        <v>2280</v>
      </c>
    </row>
    <row r="25" spans="1:2" x14ac:dyDescent="0.25">
      <c r="A25" t="s">
        <v>347</v>
      </c>
      <c r="B25">
        <v>2280</v>
      </c>
    </row>
    <row r="26" spans="1:2" x14ac:dyDescent="0.25">
      <c r="A26" t="s">
        <v>347</v>
      </c>
      <c r="B26">
        <v>2280</v>
      </c>
    </row>
    <row r="27" spans="1:2" x14ac:dyDescent="0.25">
      <c r="A27" t="s">
        <v>221</v>
      </c>
      <c r="B27">
        <v>2330</v>
      </c>
    </row>
    <row r="28" spans="1:2" x14ac:dyDescent="0.25">
      <c r="A28" t="s">
        <v>168</v>
      </c>
      <c r="B28">
        <v>2375</v>
      </c>
    </row>
    <row r="29" spans="1:2" x14ac:dyDescent="0.25">
      <c r="A29" t="s">
        <v>168</v>
      </c>
      <c r="B29">
        <v>2375</v>
      </c>
    </row>
    <row r="30" spans="1:2" x14ac:dyDescent="0.25">
      <c r="A30" t="s">
        <v>168</v>
      </c>
      <c r="B30">
        <v>2375</v>
      </c>
    </row>
    <row r="31" spans="1:2" x14ac:dyDescent="0.25">
      <c r="A31" t="s">
        <v>168</v>
      </c>
      <c r="B31">
        <v>2375</v>
      </c>
    </row>
    <row r="32" spans="1:2" x14ac:dyDescent="0.25">
      <c r="A32" t="s">
        <v>168</v>
      </c>
      <c r="B32">
        <v>2375</v>
      </c>
    </row>
    <row r="33" spans="1:2" x14ac:dyDescent="0.25">
      <c r="A33" t="s">
        <v>250</v>
      </c>
      <c r="B33">
        <v>2510</v>
      </c>
    </row>
    <row r="34" spans="1:2" x14ac:dyDescent="0.25">
      <c r="A34" t="s">
        <v>250</v>
      </c>
      <c r="B34">
        <v>2510</v>
      </c>
    </row>
    <row r="35" spans="1:2" x14ac:dyDescent="0.25">
      <c r="A35" t="s">
        <v>358</v>
      </c>
      <c r="B35">
        <v>2785</v>
      </c>
    </row>
    <row r="36" spans="1:2" x14ac:dyDescent="0.25">
      <c r="A36" t="s">
        <v>358</v>
      </c>
      <c r="B36">
        <v>2785</v>
      </c>
    </row>
    <row r="37" spans="1:2" x14ac:dyDescent="0.25">
      <c r="A37" t="s">
        <v>228</v>
      </c>
      <c r="B37">
        <v>3830</v>
      </c>
    </row>
    <row r="38" spans="1:2" x14ac:dyDescent="0.25">
      <c r="A38" t="s">
        <v>228</v>
      </c>
      <c r="B38">
        <v>3830</v>
      </c>
    </row>
    <row r="39" spans="1:2" x14ac:dyDescent="0.25">
      <c r="A39" t="s">
        <v>228</v>
      </c>
      <c r="B39">
        <v>3830</v>
      </c>
    </row>
    <row r="40" spans="1:2" x14ac:dyDescent="0.25">
      <c r="A40" t="s">
        <v>228</v>
      </c>
      <c r="B40">
        <v>3830</v>
      </c>
    </row>
    <row r="41" spans="1:2" x14ac:dyDescent="0.25">
      <c r="A41" t="s">
        <v>228</v>
      </c>
      <c r="B41">
        <v>3830</v>
      </c>
    </row>
    <row r="42" spans="1:2" x14ac:dyDescent="0.25">
      <c r="A42" t="s">
        <v>228</v>
      </c>
      <c r="B42">
        <v>3830</v>
      </c>
    </row>
    <row r="43" spans="1:2" x14ac:dyDescent="0.25">
      <c r="A43" t="s">
        <v>228</v>
      </c>
      <c r="B43">
        <v>3830</v>
      </c>
    </row>
    <row r="44" spans="1:2" x14ac:dyDescent="0.25">
      <c r="A44" t="s">
        <v>228</v>
      </c>
      <c r="B44">
        <v>3830</v>
      </c>
    </row>
    <row r="45" spans="1:2" x14ac:dyDescent="0.25">
      <c r="A45" t="s">
        <v>228</v>
      </c>
      <c r="B45">
        <v>3830</v>
      </c>
    </row>
    <row r="46" spans="1:2" x14ac:dyDescent="0.25">
      <c r="A46" t="s">
        <v>228</v>
      </c>
      <c r="B46">
        <v>3830</v>
      </c>
    </row>
    <row r="47" spans="1:2" x14ac:dyDescent="0.25">
      <c r="A47" t="s">
        <v>228</v>
      </c>
      <c r="B47">
        <v>3830</v>
      </c>
    </row>
    <row r="48" spans="1:2" x14ac:dyDescent="0.25">
      <c r="A48" t="s">
        <v>228</v>
      </c>
      <c r="B48">
        <v>3830</v>
      </c>
    </row>
    <row r="49" spans="1:2" x14ac:dyDescent="0.25">
      <c r="A49" t="s">
        <v>228</v>
      </c>
      <c r="B49">
        <v>3830</v>
      </c>
    </row>
    <row r="50" spans="1:2" x14ac:dyDescent="0.25">
      <c r="A50" t="s">
        <v>228</v>
      </c>
      <c r="B50">
        <v>3830</v>
      </c>
    </row>
    <row r="51" spans="1:2" x14ac:dyDescent="0.25">
      <c r="A51" t="s">
        <v>228</v>
      </c>
      <c r="B51">
        <v>3830</v>
      </c>
    </row>
    <row r="52" spans="1:2" x14ac:dyDescent="0.25">
      <c r="A52" t="s">
        <v>228</v>
      </c>
      <c r="B52">
        <v>3830</v>
      </c>
    </row>
    <row r="53" spans="1:2" x14ac:dyDescent="0.25">
      <c r="A53" t="s">
        <v>228</v>
      </c>
      <c r="B53">
        <v>3830</v>
      </c>
    </row>
    <row r="54" spans="1:2" x14ac:dyDescent="0.25">
      <c r="A54" t="s">
        <v>228</v>
      </c>
      <c r="B54">
        <v>3830</v>
      </c>
    </row>
    <row r="55" spans="1:2" x14ac:dyDescent="0.25">
      <c r="A55" t="s">
        <v>228</v>
      </c>
      <c r="B55">
        <v>3830</v>
      </c>
    </row>
    <row r="56" spans="1:2" x14ac:dyDescent="0.25">
      <c r="A56" t="s">
        <v>228</v>
      </c>
      <c r="B56">
        <v>3830</v>
      </c>
    </row>
    <row r="57" spans="1:2" x14ac:dyDescent="0.25">
      <c r="A57" t="s">
        <v>228</v>
      </c>
      <c r="B57">
        <v>3830</v>
      </c>
    </row>
    <row r="58" spans="1:2" x14ac:dyDescent="0.25">
      <c r="A58" t="s">
        <v>228</v>
      </c>
      <c r="B58">
        <v>3830</v>
      </c>
    </row>
    <row r="59" spans="1:2" x14ac:dyDescent="0.25">
      <c r="A59" t="s">
        <v>228</v>
      </c>
      <c r="B59">
        <v>3830</v>
      </c>
    </row>
    <row r="60" spans="1:2" x14ac:dyDescent="0.25">
      <c r="A60" t="s">
        <v>228</v>
      </c>
      <c r="B60">
        <v>3830</v>
      </c>
    </row>
    <row r="61" spans="1:2" x14ac:dyDescent="0.25">
      <c r="A61" t="s">
        <v>228</v>
      </c>
      <c r="B61">
        <v>3830</v>
      </c>
    </row>
    <row r="62" spans="1:2" x14ac:dyDescent="0.25">
      <c r="A62" t="s">
        <v>228</v>
      </c>
      <c r="B62">
        <v>3830</v>
      </c>
    </row>
    <row r="63" spans="1:2" x14ac:dyDescent="0.25">
      <c r="A63" t="s">
        <v>228</v>
      </c>
      <c r="B63">
        <v>3830</v>
      </c>
    </row>
    <row r="64" spans="1:2" x14ac:dyDescent="0.25">
      <c r="A64" t="s">
        <v>228</v>
      </c>
      <c r="B64">
        <v>3830</v>
      </c>
    </row>
    <row r="65" spans="1:2" x14ac:dyDescent="0.25">
      <c r="A65" t="s">
        <v>228</v>
      </c>
      <c r="B65">
        <v>3830</v>
      </c>
    </row>
    <row r="66" spans="1:2" x14ac:dyDescent="0.25">
      <c r="A66" t="s">
        <v>228</v>
      </c>
      <c r="B66">
        <v>3830</v>
      </c>
    </row>
    <row r="67" spans="1:2" x14ac:dyDescent="0.25">
      <c r="A67" t="s">
        <v>228</v>
      </c>
      <c r="B67">
        <v>3830</v>
      </c>
    </row>
    <row r="68" spans="1:2" x14ac:dyDescent="0.25">
      <c r="A68" t="s">
        <v>228</v>
      </c>
      <c r="B68">
        <v>3830</v>
      </c>
    </row>
    <row r="69" spans="1:2" x14ac:dyDescent="0.25">
      <c r="A69" t="s">
        <v>228</v>
      </c>
      <c r="B69">
        <v>3830</v>
      </c>
    </row>
    <row r="70" spans="1:2" x14ac:dyDescent="0.25">
      <c r="A70" t="s">
        <v>228</v>
      </c>
      <c r="B70">
        <v>3830</v>
      </c>
    </row>
    <row r="71" spans="1:2" x14ac:dyDescent="0.25">
      <c r="A71" t="s">
        <v>228</v>
      </c>
      <c r="B71">
        <v>3830</v>
      </c>
    </row>
    <row r="72" spans="1:2" x14ac:dyDescent="0.25">
      <c r="A72" t="s">
        <v>228</v>
      </c>
      <c r="B72">
        <v>3830</v>
      </c>
    </row>
    <row r="73" spans="1:2" x14ac:dyDescent="0.25">
      <c r="A73" t="s">
        <v>228</v>
      </c>
      <c r="B73">
        <v>3830</v>
      </c>
    </row>
    <row r="74" spans="1:2" x14ac:dyDescent="0.25">
      <c r="A74" t="s">
        <v>228</v>
      </c>
      <c r="B74">
        <v>3830</v>
      </c>
    </row>
    <row r="75" spans="1:2" x14ac:dyDescent="0.25">
      <c r="A75" t="s">
        <v>228</v>
      </c>
      <c r="B75">
        <v>3830</v>
      </c>
    </row>
    <row r="76" spans="1:2" x14ac:dyDescent="0.25">
      <c r="A76" t="s">
        <v>228</v>
      </c>
      <c r="B76">
        <v>3830</v>
      </c>
    </row>
    <row r="77" spans="1:2" x14ac:dyDescent="0.25">
      <c r="A77" t="s">
        <v>228</v>
      </c>
      <c r="B77">
        <v>3830</v>
      </c>
    </row>
    <row r="78" spans="1:2" x14ac:dyDescent="0.25">
      <c r="A78" t="s">
        <v>228</v>
      </c>
      <c r="B78">
        <v>3830</v>
      </c>
    </row>
    <row r="79" spans="1:2" x14ac:dyDescent="0.25">
      <c r="A79" t="s">
        <v>228</v>
      </c>
      <c r="B79">
        <v>3830</v>
      </c>
    </row>
    <row r="80" spans="1:2" x14ac:dyDescent="0.25">
      <c r="A80" t="s">
        <v>228</v>
      </c>
      <c r="B80">
        <v>3830</v>
      </c>
    </row>
    <row r="81" spans="1:2" x14ac:dyDescent="0.25">
      <c r="A81" t="s">
        <v>228</v>
      </c>
      <c r="B81">
        <v>3830</v>
      </c>
    </row>
    <row r="82" spans="1:2" x14ac:dyDescent="0.25">
      <c r="A82" t="s">
        <v>228</v>
      </c>
      <c r="B82">
        <v>3830</v>
      </c>
    </row>
    <row r="83" spans="1:2" x14ac:dyDescent="0.25">
      <c r="A83" t="s">
        <v>228</v>
      </c>
      <c r="B83">
        <v>3830</v>
      </c>
    </row>
    <row r="84" spans="1:2" x14ac:dyDescent="0.25">
      <c r="A84" t="s">
        <v>228</v>
      </c>
      <c r="B84">
        <v>3830</v>
      </c>
    </row>
    <row r="85" spans="1:2" x14ac:dyDescent="0.25">
      <c r="A85" t="s">
        <v>228</v>
      </c>
      <c r="B85">
        <v>3830</v>
      </c>
    </row>
    <row r="86" spans="1:2" x14ac:dyDescent="0.25">
      <c r="A86" t="s">
        <v>228</v>
      </c>
      <c r="B86">
        <v>3830</v>
      </c>
    </row>
    <row r="87" spans="1:2" x14ac:dyDescent="0.25">
      <c r="A87" t="s">
        <v>228</v>
      </c>
      <c r="B87">
        <v>3830</v>
      </c>
    </row>
    <row r="88" spans="1:2" x14ac:dyDescent="0.25">
      <c r="A88" t="s">
        <v>228</v>
      </c>
      <c r="B88">
        <v>3830</v>
      </c>
    </row>
    <row r="89" spans="1:2" x14ac:dyDescent="0.25">
      <c r="A89" t="s">
        <v>228</v>
      </c>
      <c r="B89">
        <v>3830</v>
      </c>
    </row>
    <row r="90" spans="1:2" x14ac:dyDescent="0.25">
      <c r="A90" t="s">
        <v>228</v>
      </c>
      <c r="B90">
        <v>3830</v>
      </c>
    </row>
    <row r="91" spans="1:2" x14ac:dyDescent="0.25">
      <c r="A91" t="s">
        <v>228</v>
      </c>
      <c r="B91">
        <v>3830</v>
      </c>
    </row>
    <row r="92" spans="1:2" x14ac:dyDescent="0.25">
      <c r="A92" t="s">
        <v>228</v>
      </c>
      <c r="B92">
        <v>3830</v>
      </c>
    </row>
    <row r="93" spans="1:2" x14ac:dyDescent="0.25">
      <c r="A93" t="s">
        <v>228</v>
      </c>
      <c r="B93">
        <v>3830</v>
      </c>
    </row>
    <row r="94" spans="1:2" x14ac:dyDescent="0.25">
      <c r="A94" t="s">
        <v>228</v>
      </c>
      <c r="B94">
        <v>3830</v>
      </c>
    </row>
    <row r="95" spans="1:2" x14ac:dyDescent="0.25">
      <c r="A95" t="s">
        <v>228</v>
      </c>
      <c r="B95">
        <v>3830</v>
      </c>
    </row>
    <row r="96" spans="1:2" x14ac:dyDescent="0.25">
      <c r="A96" t="s">
        <v>228</v>
      </c>
      <c r="B96">
        <v>3830</v>
      </c>
    </row>
    <row r="97" spans="1:2" x14ac:dyDescent="0.25">
      <c r="A97" t="s">
        <v>228</v>
      </c>
      <c r="B97">
        <v>3830</v>
      </c>
    </row>
    <row r="98" spans="1:2" x14ac:dyDescent="0.25">
      <c r="A98" t="s">
        <v>228</v>
      </c>
      <c r="B98">
        <v>3830</v>
      </c>
    </row>
    <row r="99" spans="1:2" x14ac:dyDescent="0.25">
      <c r="A99" t="s">
        <v>228</v>
      </c>
      <c r="B99">
        <v>3830</v>
      </c>
    </row>
    <row r="100" spans="1:2" x14ac:dyDescent="0.25">
      <c r="A100" t="s">
        <v>228</v>
      </c>
      <c r="B100">
        <v>3830</v>
      </c>
    </row>
    <row r="101" spans="1:2" x14ac:dyDescent="0.25">
      <c r="A101" t="s">
        <v>228</v>
      </c>
      <c r="B101">
        <v>3830</v>
      </c>
    </row>
    <row r="102" spans="1:2" x14ac:dyDescent="0.25">
      <c r="A102" t="s">
        <v>228</v>
      </c>
      <c r="B102">
        <v>3830</v>
      </c>
    </row>
    <row r="103" spans="1:2" x14ac:dyDescent="0.25">
      <c r="A103" t="s">
        <v>228</v>
      </c>
      <c r="B103">
        <v>3830</v>
      </c>
    </row>
    <row r="104" spans="1:2" x14ac:dyDescent="0.25">
      <c r="A104" t="s">
        <v>228</v>
      </c>
      <c r="B104">
        <v>3830</v>
      </c>
    </row>
    <row r="105" spans="1:2" x14ac:dyDescent="0.25">
      <c r="A105" t="s">
        <v>228</v>
      </c>
      <c r="B105">
        <v>3830</v>
      </c>
    </row>
    <row r="106" spans="1:2" x14ac:dyDescent="0.25">
      <c r="A106" t="s">
        <v>228</v>
      </c>
      <c r="B106">
        <v>3830</v>
      </c>
    </row>
    <row r="107" spans="1:2" x14ac:dyDescent="0.25">
      <c r="A107" t="s">
        <v>228</v>
      </c>
      <c r="B107">
        <v>3830</v>
      </c>
    </row>
    <row r="108" spans="1:2" x14ac:dyDescent="0.25">
      <c r="A108" t="s">
        <v>228</v>
      </c>
      <c r="B108">
        <v>3830</v>
      </c>
    </row>
    <row r="109" spans="1:2" x14ac:dyDescent="0.25">
      <c r="A109" t="s">
        <v>228</v>
      </c>
      <c r="B109">
        <v>3830</v>
      </c>
    </row>
    <row r="110" spans="1:2" x14ac:dyDescent="0.25">
      <c r="A110" t="s">
        <v>228</v>
      </c>
      <c r="B110">
        <v>3830</v>
      </c>
    </row>
    <row r="111" spans="1:2" x14ac:dyDescent="0.25">
      <c r="A111" t="s">
        <v>228</v>
      </c>
      <c r="B111">
        <v>3830</v>
      </c>
    </row>
    <row r="112" spans="1:2" x14ac:dyDescent="0.25">
      <c r="A112" t="s">
        <v>228</v>
      </c>
      <c r="B112">
        <v>3830</v>
      </c>
    </row>
    <row r="113" spans="1:2" x14ac:dyDescent="0.25">
      <c r="A113" t="s">
        <v>228</v>
      </c>
      <c r="B113">
        <v>3830</v>
      </c>
    </row>
    <row r="114" spans="1:2" x14ac:dyDescent="0.25">
      <c r="A114" t="s">
        <v>228</v>
      </c>
      <c r="B114">
        <v>3830</v>
      </c>
    </row>
    <row r="115" spans="1:2" x14ac:dyDescent="0.25">
      <c r="A115" t="s">
        <v>228</v>
      </c>
      <c r="B115">
        <v>3830</v>
      </c>
    </row>
    <row r="116" spans="1:2" x14ac:dyDescent="0.25">
      <c r="A116" t="s">
        <v>228</v>
      </c>
      <c r="B116">
        <v>3830</v>
      </c>
    </row>
    <row r="117" spans="1:2" x14ac:dyDescent="0.25">
      <c r="A117" t="s">
        <v>228</v>
      </c>
      <c r="B117">
        <v>3830</v>
      </c>
    </row>
    <row r="118" spans="1:2" x14ac:dyDescent="0.25">
      <c r="A118" t="s">
        <v>228</v>
      </c>
      <c r="B118">
        <v>3830</v>
      </c>
    </row>
    <row r="119" spans="1:2" x14ac:dyDescent="0.25">
      <c r="A119" t="s">
        <v>228</v>
      </c>
      <c r="B119">
        <v>3830</v>
      </c>
    </row>
    <row r="120" spans="1:2" x14ac:dyDescent="0.25">
      <c r="A120" t="s">
        <v>228</v>
      </c>
      <c r="B120">
        <v>3830</v>
      </c>
    </row>
    <row r="121" spans="1:2" x14ac:dyDescent="0.25">
      <c r="A121" t="s">
        <v>228</v>
      </c>
      <c r="B121">
        <v>3830</v>
      </c>
    </row>
    <row r="122" spans="1:2" x14ac:dyDescent="0.25">
      <c r="A122" t="s">
        <v>228</v>
      </c>
      <c r="B122">
        <v>3830</v>
      </c>
    </row>
    <row r="123" spans="1:2" x14ac:dyDescent="0.25">
      <c r="A123" t="s">
        <v>228</v>
      </c>
      <c r="B123">
        <v>3830</v>
      </c>
    </row>
    <row r="124" spans="1:2" x14ac:dyDescent="0.25">
      <c r="A124" t="s">
        <v>228</v>
      </c>
      <c r="B124">
        <v>3830</v>
      </c>
    </row>
    <row r="125" spans="1:2" x14ac:dyDescent="0.25">
      <c r="A125" t="s">
        <v>228</v>
      </c>
      <c r="B125">
        <v>3830</v>
      </c>
    </row>
    <row r="126" spans="1:2" x14ac:dyDescent="0.25">
      <c r="A126" t="s">
        <v>228</v>
      </c>
      <c r="B126">
        <v>3830</v>
      </c>
    </row>
    <row r="127" spans="1:2" x14ac:dyDescent="0.25">
      <c r="A127" t="s">
        <v>228</v>
      </c>
      <c r="B127">
        <v>3830</v>
      </c>
    </row>
    <row r="128" spans="1:2" x14ac:dyDescent="0.25">
      <c r="A128" t="s">
        <v>228</v>
      </c>
      <c r="B128">
        <v>3830</v>
      </c>
    </row>
    <row r="129" spans="1:2" x14ac:dyDescent="0.25">
      <c r="A129" t="s">
        <v>228</v>
      </c>
      <c r="B129">
        <v>3830</v>
      </c>
    </row>
    <row r="130" spans="1:2" x14ac:dyDescent="0.25">
      <c r="A130" t="s">
        <v>228</v>
      </c>
      <c r="B130">
        <v>3830</v>
      </c>
    </row>
    <row r="131" spans="1:2" x14ac:dyDescent="0.25">
      <c r="A131" t="s">
        <v>228</v>
      </c>
      <c r="B131">
        <v>3830</v>
      </c>
    </row>
    <row r="132" spans="1:2" x14ac:dyDescent="0.25">
      <c r="A132" t="s">
        <v>228</v>
      </c>
      <c r="B132">
        <v>3830</v>
      </c>
    </row>
    <row r="133" spans="1:2" x14ac:dyDescent="0.25">
      <c r="A133" t="s">
        <v>228</v>
      </c>
      <c r="B133">
        <v>3830</v>
      </c>
    </row>
    <row r="134" spans="1:2" x14ac:dyDescent="0.25">
      <c r="A134" t="s">
        <v>228</v>
      </c>
      <c r="B134">
        <v>3830</v>
      </c>
    </row>
    <row r="135" spans="1:2" x14ac:dyDescent="0.25">
      <c r="A135" t="s">
        <v>228</v>
      </c>
      <c r="B135">
        <v>3830</v>
      </c>
    </row>
    <row r="136" spans="1:2" x14ac:dyDescent="0.25">
      <c r="A136" t="s">
        <v>228</v>
      </c>
      <c r="B136">
        <v>3830</v>
      </c>
    </row>
    <row r="137" spans="1:2" x14ac:dyDescent="0.25">
      <c r="A137" t="s">
        <v>228</v>
      </c>
      <c r="B137">
        <v>3830</v>
      </c>
    </row>
    <row r="138" spans="1:2" x14ac:dyDescent="0.25">
      <c r="A138" t="s">
        <v>228</v>
      </c>
      <c r="B138">
        <v>3830</v>
      </c>
    </row>
    <row r="139" spans="1:2" x14ac:dyDescent="0.25">
      <c r="A139" t="s">
        <v>228</v>
      </c>
      <c r="B139">
        <v>3830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D8"/>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t="e">
        <f ca="1">SUMPRODUCT(OFFSET(#REF!,,,1,9),OFFSET(#REF!,,,1,9))</f>
        <v>#REF!</v>
      </c>
      <c r="C1" s="27"/>
      <c r="D1" s="28" t="s">
        <v>19</v>
      </c>
    </row>
    <row r="2" spans="1:4" ht="15" customHeight="1" x14ac:dyDescent="0.25">
      <c r="A2" s="42" t="s">
        <v>30</v>
      </c>
      <c r="B2" s="49" t="e">
        <f ca="1">SUM(OFFSET(#REF!,,,23,1))</f>
        <v>#REF!</v>
      </c>
      <c r="C2" s="25"/>
      <c r="D2" s="29" t="s">
        <v>49</v>
      </c>
    </row>
    <row r="3" spans="1:4" ht="15" customHeight="1" x14ac:dyDescent="0.25">
      <c r="A3" s="42" t="s">
        <v>33</v>
      </c>
      <c r="B3" s="49" t="e">
        <f ca="1">SUMIF(OFFSET(#REF!,,,23,1),"&lt;"&amp;B6)</f>
        <v>#REF!</v>
      </c>
      <c r="C3" s="25"/>
      <c r="D3" s="29" t="s">
        <v>21</v>
      </c>
    </row>
    <row r="4" spans="1:4" ht="15" customHeight="1" x14ac:dyDescent="0.25">
      <c r="A4" s="43" t="s">
        <v>35</v>
      </c>
      <c r="B4" s="44">
        <f ca="1">IFERROR(B2/B1,0)</f>
        <v>0</v>
      </c>
      <c r="C4" s="26"/>
      <c r="D4" s="30" t="s">
        <v>18</v>
      </c>
    </row>
    <row r="5" spans="1:4" ht="15" customHeight="1" x14ac:dyDescent="0.25">
      <c r="A5" s="43" t="s">
        <v>36</v>
      </c>
      <c r="B5" s="44">
        <f ca="1">IFERROR(B3/B1,0)</f>
        <v>0</v>
      </c>
      <c r="C5" s="26"/>
      <c r="D5" s="30" t="s">
        <v>17</v>
      </c>
    </row>
    <row r="6" spans="1:4" x14ac:dyDescent="0.25">
      <c r="A6" s="35" t="s">
        <v>37</v>
      </c>
      <c r="B6" s="33">
        <f ca="1">ThongSo!B3*B7</f>
        <v>1400</v>
      </c>
      <c r="C6" s="36"/>
      <c r="D6" s="37" t="s">
        <v>28</v>
      </c>
    </row>
    <row r="7" spans="1:4" x14ac:dyDescent="0.25">
      <c r="A7" s="38" t="s">
        <v>2</v>
      </c>
      <c r="B7" s="34">
        <f ca="1">VALUE(MID(CELL("filename",$A$1),FIND("]",CELL("filename",$A$1),1)+1,200))</f>
        <v>28</v>
      </c>
      <c r="C7" s="39"/>
      <c r="D7" s="40" t="s">
        <v>29</v>
      </c>
    </row>
    <row r="8" spans="1:4" ht="30" x14ac:dyDescent="0.25">
      <c r="A8" s="32" t="s">
        <v>0</v>
      </c>
      <c r="B8" s="32" t="s">
        <v>31</v>
      </c>
      <c r="C8" s="32" t="s">
        <v>48</v>
      </c>
      <c r="D8" s="32" t="s">
        <v>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B146"/>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28" ht="15" customHeight="1" x14ac:dyDescent="0.25">
      <c r="A1" s="41" t="s">
        <v>34</v>
      </c>
      <c r="B1" s="48">
        <f ca="1">SUMPRODUCT(OFFSET(E3,,,1,24),OFFSET(E4,,,1,24))</f>
        <v>1842540</v>
      </c>
      <c r="C1" s="27"/>
      <c r="D1" s="28" t="s">
        <v>19</v>
      </c>
      <c r="E1" s="82">
        <v>1</v>
      </c>
      <c r="F1" s="82">
        <v>2</v>
      </c>
      <c r="G1" s="82">
        <v>3</v>
      </c>
      <c r="H1" s="82">
        <v>4</v>
      </c>
      <c r="I1" s="82">
        <v>5</v>
      </c>
      <c r="J1" s="82">
        <v>6</v>
      </c>
      <c r="K1" s="82">
        <v>7</v>
      </c>
      <c r="L1" s="82">
        <v>8</v>
      </c>
      <c r="M1" s="82">
        <v>9</v>
      </c>
      <c r="N1" s="82">
        <v>10</v>
      </c>
      <c r="O1" s="82">
        <v>11</v>
      </c>
      <c r="P1" s="82">
        <v>12</v>
      </c>
      <c r="Q1" s="82">
        <v>13</v>
      </c>
      <c r="R1" s="82">
        <v>14</v>
      </c>
      <c r="S1" s="82">
        <v>15</v>
      </c>
      <c r="T1" s="82">
        <v>16</v>
      </c>
      <c r="U1" s="82">
        <v>17</v>
      </c>
      <c r="V1" s="82">
        <v>18</v>
      </c>
      <c r="W1" s="82">
        <v>19</v>
      </c>
      <c r="X1" s="82">
        <v>20</v>
      </c>
      <c r="Y1" s="82">
        <v>21</v>
      </c>
      <c r="Z1" s="82">
        <v>22</v>
      </c>
      <c r="AA1" s="82">
        <v>23</v>
      </c>
      <c r="AB1" s="82">
        <v>24</v>
      </c>
    </row>
    <row r="2" spans="1:28" ht="15" customHeight="1" x14ac:dyDescent="0.25">
      <c r="A2" s="42" t="s">
        <v>30</v>
      </c>
      <c r="B2" s="49">
        <f ca="1">SUM(OFFSET(D9,,,138,1))</f>
        <v>269760</v>
      </c>
      <c r="C2" s="25"/>
      <c r="D2" s="29" t="s">
        <v>49</v>
      </c>
      <c r="E2" s="82">
        <v>0</v>
      </c>
      <c r="F2" s="82">
        <v>0</v>
      </c>
      <c r="G2" s="82">
        <v>0</v>
      </c>
      <c r="H2" s="82">
        <v>0</v>
      </c>
      <c r="I2" s="82">
        <v>0</v>
      </c>
      <c r="J2" s="82">
        <v>0</v>
      </c>
      <c r="K2" s="82">
        <v>0</v>
      </c>
      <c r="L2" s="82">
        <v>0</v>
      </c>
      <c r="M2" s="82">
        <v>0</v>
      </c>
      <c r="N2" s="82">
        <v>0</v>
      </c>
      <c r="O2" s="82">
        <v>0</v>
      </c>
      <c r="P2" s="82">
        <v>0</v>
      </c>
      <c r="Q2" s="82">
        <v>0</v>
      </c>
      <c r="R2" s="82">
        <v>0</v>
      </c>
      <c r="S2" s="82">
        <v>0</v>
      </c>
      <c r="T2" s="82">
        <v>0</v>
      </c>
      <c r="U2" s="82">
        <v>0</v>
      </c>
      <c r="V2" s="82">
        <v>0</v>
      </c>
      <c r="W2" s="82">
        <v>0</v>
      </c>
      <c r="X2" s="82">
        <v>0</v>
      </c>
      <c r="Y2" s="82">
        <v>0</v>
      </c>
      <c r="Z2" s="82">
        <v>0</v>
      </c>
      <c r="AA2" s="82">
        <v>0</v>
      </c>
      <c r="AB2" s="82">
        <v>61</v>
      </c>
    </row>
    <row r="3" spans="1:28" ht="15" customHeight="1" x14ac:dyDescent="0.25">
      <c r="A3" s="42" t="s">
        <v>33</v>
      </c>
      <c r="B3" s="49">
        <f ca="1">SUMIF(OFFSET(D9,,,138,1),"&lt;"&amp;B6)</f>
        <v>43050</v>
      </c>
      <c r="C3" s="25"/>
      <c r="D3" s="29" t="s">
        <v>21</v>
      </c>
      <c r="E3" s="82">
        <v>9</v>
      </c>
      <c r="F3" s="82">
        <v>9</v>
      </c>
      <c r="G3" s="82">
        <v>9</v>
      </c>
      <c r="H3" s="82">
        <v>5</v>
      </c>
      <c r="I3" s="82">
        <v>5</v>
      </c>
      <c r="J3" s="82">
        <v>5</v>
      </c>
      <c r="K3" s="82">
        <v>3</v>
      </c>
      <c r="L3" s="82">
        <v>6</v>
      </c>
      <c r="M3" s="82">
        <v>6</v>
      </c>
      <c r="N3" s="82">
        <v>11</v>
      </c>
      <c r="O3" s="82">
        <v>15</v>
      </c>
      <c r="P3" s="82">
        <v>7</v>
      </c>
      <c r="Q3" s="82">
        <v>14</v>
      </c>
      <c r="R3" s="82">
        <v>10</v>
      </c>
      <c r="S3" s="82">
        <v>3</v>
      </c>
      <c r="T3" s="82">
        <v>7</v>
      </c>
      <c r="U3" s="82">
        <v>4</v>
      </c>
      <c r="V3" s="82">
        <v>6</v>
      </c>
      <c r="W3" s="82">
        <v>2</v>
      </c>
      <c r="X3" s="82">
        <v>6</v>
      </c>
      <c r="Y3" s="82">
        <v>4</v>
      </c>
      <c r="Z3" s="82">
        <v>15</v>
      </c>
      <c r="AA3" s="82">
        <v>9</v>
      </c>
      <c r="AB3" s="82">
        <v>61</v>
      </c>
    </row>
    <row r="4" spans="1:28" ht="15" customHeight="1" x14ac:dyDescent="0.25">
      <c r="A4" s="43" t="s">
        <v>35</v>
      </c>
      <c r="B4" s="44">
        <f ca="1">IFERROR(B2/B1,0)</f>
        <v>0.14640659090169006</v>
      </c>
      <c r="C4" s="26"/>
      <c r="D4" s="30" t="s">
        <v>18</v>
      </c>
      <c r="E4" s="82">
        <v>11300</v>
      </c>
      <c r="F4" s="82">
        <v>11260</v>
      </c>
      <c r="G4" s="82">
        <v>11200</v>
      </c>
      <c r="H4" s="82">
        <v>11160</v>
      </c>
      <c r="I4" s="82">
        <v>11100</v>
      </c>
      <c r="J4" s="82">
        <v>11000</v>
      </c>
      <c r="K4" s="82">
        <v>9040</v>
      </c>
      <c r="L4" s="82">
        <v>9000</v>
      </c>
      <c r="M4" s="82">
        <v>8140</v>
      </c>
      <c r="N4" s="82">
        <v>6690</v>
      </c>
      <c r="O4" s="82">
        <v>6550</v>
      </c>
      <c r="P4" s="82">
        <v>6380</v>
      </c>
      <c r="Q4" s="82">
        <v>6270</v>
      </c>
      <c r="R4" s="82">
        <v>5850</v>
      </c>
      <c r="S4" s="82">
        <v>5320</v>
      </c>
      <c r="T4" s="82">
        <v>4940</v>
      </c>
      <c r="U4" s="82">
        <v>4690</v>
      </c>
      <c r="V4" s="82">
        <v>3750</v>
      </c>
      <c r="W4" s="82">
        <v>3710</v>
      </c>
      <c r="X4" s="82">
        <v>3490</v>
      </c>
      <c r="Y4" s="82">
        <v>2660</v>
      </c>
      <c r="Z4" s="82">
        <v>1690</v>
      </c>
      <c r="AA4" s="82">
        <v>1090</v>
      </c>
      <c r="AB4" s="82">
        <v>11700</v>
      </c>
    </row>
    <row r="5" spans="1:28" ht="15" customHeight="1" x14ac:dyDescent="0.25">
      <c r="A5" s="43" t="s">
        <v>36</v>
      </c>
      <c r="B5" s="44">
        <f ca="1">IFERROR(B3/B1,0)</f>
        <v>2.336448598130841E-2</v>
      </c>
      <c r="C5" s="26"/>
      <c r="D5" s="30" t="s">
        <v>17</v>
      </c>
      <c r="E5" s="82">
        <v>11300</v>
      </c>
      <c r="F5" s="82">
        <v>11260</v>
      </c>
      <c r="G5" s="82">
        <v>11200</v>
      </c>
      <c r="H5" s="82">
        <v>11160</v>
      </c>
      <c r="I5" s="82">
        <v>11100</v>
      </c>
      <c r="J5" s="82">
        <v>11000</v>
      </c>
      <c r="K5" s="82">
        <v>9040</v>
      </c>
      <c r="L5" s="82">
        <v>9000</v>
      </c>
      <c r="M5" s="82">
        <v>8140</v>
      </c>
      <c r="N5" s="82">
        <v>6690</v>
      </c>
      <c r="O5" s="82">
        <v>6550</v>
      </c>
      <c r="P5" s="82">
        <v>6380</v>
      </c>
      <c r="Q5" s="82">
        <v>6270</v>
      </c>
      <c r="R5" s="82">
        <v>5850</v>
      </c>
      <c r="S5" s="82">
        <v>5320</v>
      </c>
      <c r="T5" s="82">
        <v>4940</v>
      </c>
      <c r="U5" s="82">
        <v>4690</v>
      </c>
      <c r="V5" s="82">
        <v>3750</v>
      </c>
      <c r="W5" s="82">
        <v>3710</v>
      </c>
      <c r="X5" s="82">
        <v>3490</v>
      </c>
      <c r="Y5" s="82">
        <v>2660</v>
      </c>
      <c r="Z5" s="82">
        <v>1690</v>
      </c>
      <c r="AA5" s="82">
        <v>1090</v>
      </c>
      <c r="AB5" s="82">
        <v>0</v>
      </c>
    </row>
    <row r="6" spans="1:28" x14ac:dyDescent="0.25">
      <c r="A6" s="35" t="s">
        <v>37</v>
      </c>
      <c r="B6" s="33">
        <f ca="1">ThongSo!B3*B7</f>
        <v>1600</v>
      </c>
      <c r="C6" s="36"/>
      <c r="D6" s="37" t="s">
        <v>28</v>
      </c>
      <c r="E6" s="82">
        <v>11300</v>
      </c>
      <c r="F6" s="82">
        <v>11260</v>
      </c>
      <c r="G6" s="82">
        <v>11200</v>
      </c>
      <c r="H6" s="82">
        <v>11160</v>
      </c>
      <c r="I6" s="82">
        <v>11100</v>
      </c>
      <c r="J6" s="82">
        <v>11000</v>
      </c>
      <c r="K6" s="82">
        <v>9040</v>
      </c>
      <c r="L6" s="82">
        <v>9000</v>
      </c>
      <c r="M6" s="82">
        <v>8140</v>
      </c>
      <c r="N6" s="82">
        <v>6690</v>
      </c>
      <c r="O6" s="82">
        <v>6550</v>
      </c>
      <c r="P6" s="82">
        <v>6380</v>
      </c>
      <c r="Q6" s="82">
        <v>6270</v>
      </c>
      <c r="R6" s="82">
        <v>5850</v>
      </c>
      <c r="S6" s="82">
        <v>5320</v>
      </c>
      <c r="T6" s="82">
        <v>4940</v>
      </c>
      <c r="U6" s="82">
        <v>4690</v>
      </c>
      <c r="V6" s="82">
        <v>3750</v>
      </c>
      <c r="W6" s="82">
        <v>3710</v>
      </c>
      <c r="X6" s="82">
        <v>3490</v>
      </c>
      <c r="Y6" s="82">
        <v>2660</v>
      </c>
      <c r="Z6" s="82">
        <v>1690</v>
      </c>
      <c r="AA6" s="82">
        <v>1090</v>
      </c>
      <c r="AB6" s="82">
        <v>0</v>
      </c>
    </row>
    <row r="7" spans="1:28" x14ac:dyDescent="0.25">
      <c r="A7" s="38" t="s">
        <v>2</v>
      </c>
      <c r="B7" s="34">
        <f ca="1">VALUE(MID(CELL("filename",$A$1),FIND("]",CELL("filename",$A$1),1)+1,200))</f>
        <v>32</v>
      </c>
      <c r="C7" s="39"/>
      <c r="D7" s="40" t="s">
        <v>29</v>
      </c>
      <c r="E7" s="82">
        <v>1</v>
      </c>
      <c r="F7" s="82">
        <v>1</v>
      </c>
      <c r="G7" s="82">
        <v>1</v>
      </c>
      <c r="H7" s="82">
        <v>1</v>
      </c>
      <c r="I7" s="82">
        <v>1</v>
      </c>
      <c r="J7" s="82">
        <v>1</v>
      </c>
      <c r="K7" s="82">
        <v>1</v>
      </c>
      <c r="L7" s="82">
        <v>1</v>
      </c>
      <c r="M7" s="82">
        <v>1</v>
      </c>
      <c r="N7" s="82">
        <v>1</v>
      </c>
      <c r="O7" s="82">
        <v>1</v>
      </c>
      <c r="P7" s="82">
        <v>1</v>
      </c>
      <c r="Q7" s="82">
        <v>1</v>
      </c>
      <c r="R7" s="82">
        <v>2</v>
      </c>
      <c r="S7" s="82">
        <v>2</v>
      </c>
      <c r="T7" s="82">
        <v>2</v>
      </c>
      <c r="U7" s="82">
        <v>2</v>
      </c>
      <c r="V7" s="82">
        <v>3</v>
      </c>
      <c r="W7" s="82">
        <v>3</v>
      </c>
      <c r="X7" s="82">
        <v>3</v>
      </c>
      <c r="Y7" s="82">
        <v>4</v>
      </c>
      <c r="Z7" s="82">
        <v>6</v>
      </c>
      <c r="AA7" s="82">
        <v>10</v>
      </c>
      <c r="AB7" s="82">
        <v>0</v>
      </c>
    </row>
    <row r="8" spans="1:28" ht="30" x14ac:dyDescent="0.25">
      <c r="A8" s="32" t="s">
        <v>0</v>
      </c>
      <c r="B8" s="32" t="s">
        <v>31</v>
      </c>
      <c r="C8" s="32" t="s">
        <v>48</v>
      </c>
      <c r="D8" s="32" t="s">
        <v>30</v>
      </c>
      <c r="E8" s="82">
        <v>0</v>
      </c>
      <c r="F8" s="82">
        <v>0</v>
      </c>
      <c r="G8" s="82">
        <v>0</v>
      </c>
      <c r="H8" s="82">
        <v>0</v>
      </c>
      <c r="I8" s="82">
        <v>0</v>
      </c>
      <c r="J8" s="82">
        <v>0</v>
      </c>
      <c r="K8" s="82">
        <v>0</v>
      </c>
      <c r="L8" s="82">
        <v>0</v>
      </c>
      <c r="M8" s="82">
        <v>0</v>
      </c>
      <c r="N8" s="82">
        <v>0</v>
      </c>
      <c r="O8" s="82">
        <v>0</v>
      </c>
      <c r="P8" s="82">
        <v>0</v>
      </c>
      <c r="Q8" s="82">
        <v>0</v>
      </c>
      <c r="R8" s="82">
        <v>0</v>
      </c>
      <c r="S8" s="82">
        <v>0</v>
      </c>
      <c r="T8" s="82">
        <v>0</v>
      </c>
      <c r="U8" s="82">
        <v>0</v>
      </c>
      <c r="V8" s="82">
        <v>0</v>
      </c>
      <c r="W8" s="82">
        <v>0</v>
      </c>
      <c r="X8" s="82">
        <v>0</v>
      </c>
      <c r="Y8" s="82">
        <v>0</v>
      </c>
      <c r="Z8" s="82">
        <v>0</v>
      </c>
      <c r="AA8" s="82">
        <v>0</v>
      </c>
      <c r="AB8" s="82">
        <v>0</v>
      </c>
    </row>
    <row r="9" spans="1:28" x14ac:dyDescent="0.25">
      <c r="A9" s="138" t="s">
        <v>151</v>
      </c>
      <c r="B9" s="138">
        <v>2700</v>
      </c>
      <c r="C9" s="138">
        <v>2660</v>
      </c>
      <c r="D9" s="138">
        <v>40</v>
      </c>
      <c r="E9" s="138">
        <v>0</v>
      </c>
      <c r="F9" s="138">
        <v>0</v>
      </c>
      <c r="G9" s="138">
        <v>0</v>
      </c>
      <c r="H9" s="138">
        <v>0</v>
      </c>
      <c r="I9" s="138">
        <v>0</v>
      </c>
      <c r="J9" s="138">
        <v>0</v>
      </c>
      <c r="K9" s="138">
        <v>0</v>
      </c>
      <c r="L9" s="138">
        <v>0</v>
      </c>
      <c r="M9" s="138">
        <v>0</v>
      </c>
      <c r="N9" s="138">
        <v>0</v>
      </c>
      <c r="O9" s="138">
        <v>0</v>
      </c>
      <c r="P9" s="138">
        <v>0</v>
      </c>
      <c r="Q9" s="138">
        <v>0</v>
      </c>
      <c r="R9" s="138">
        <v>0</v>
      </c>
      <c r="S9" s="138">
        <v>0</v>
      </c>
      <c r="T9" s="138">
        <v>0</v>
      </c>
      <c r="U9" s="138">
        <v>0</v>
      </c>
      <c r="V9" s="138">
        <v>0</v>
      </c>
      <c r="W9" s="138">
        <v>0</v>
      </c>
      <c r="X9" s="138">
        <v>0</v>
      </c>
      <c r="Y9" s="138" t="s">
        <v>4624</v>
      </c>
      <c r="Z9" s="138">
        <v>0</v>
      </c>
      <c r="AA9" s="138">
        <v>0</v>
      </c>
      <c r="AB9" s="138">
        <v>0</v>
      </c>
    </row>
    <row r="10" spans="1:28" x14ac:dyDescent="0.25">
      <c r="A10" s="82" t="s">
        <v>151</v>
      </c>
      <c r="B10" s="82">
        <v>2700</v>
      </c>
      <c r="C10" s="82">
        <v>2660</v>
      </c>
      <c r="D10" s="82">
        <v>40</v>
      </c>
      <c r="E10" s="82">
        <v>0</v>
      </c>
      <c r="F10" s="82">
        <v>0</v>
      </c>
      <c r="G10" s="82">
        <v>0</v>
      </c>
      <c r="H10" s="82">
        <v>0</v>
      </c>
      <c r="I10" s="82">
        <v>0</v>
      </c>
      <c r="J10" s="82">
        <v>0</v>
      </c>
      <c r="K10" s="82">
        <v>0</v>
      </c>
      <c r="L10" s="82">
        <v>0</v>
      </c>
      <c r="M10" s="82">
        <v>0</v>
      </c>
      <c r="N10" s="82">
        <v>0</v>
      </c>
      <c r="O10" s="82">
        <v>0</v>
      </c>
      <c r="P10" s="82">
        <v>0</v>
      </c>
      <c r="Q10" s="82">
        <v>0</v>
      </c>
      <c r="R10" s="82">
        <v>0</v>
      </c>
      <c r="S10" s="82">
        <v>0</v>
      </c>
      <c r="T10" s="82">
        <v>0</v>
      </c>
      <c r="U10" s="82">
        <v>0</v>
      </c>
      <c r="V10" s="82">
        <v>0</v>
      </c>
      <c r="W10" s="82">
        <v>0</v>
      </c>
      <c r="X10" s="82">
        <v>0</v>
      </c>
      <c r="Y10" s="82" t="s">
        <v>4624</v>
      </c>
      <c r="Z10" s="82">
        <v>0</v>
      </c>
      <c r="AA10" s="82">
        <v>0</v>
      </c>
      <c r="AB10" s="82">
        <v>0</v>
      </c>
    </row>
    <row r="11" spans="1:28" x14ac:dyDescent="0.25">
      <c r="A11" s="138" t="s">
        <v>151</v>
      </c>
      <c r="B11" s="138">
        <v>2700</v>
      </c>
      <c r="C11" s="138">
        <v>2660</v>
      </c>
      <c r="D11" s="138">
        <v>40</v>
      </c>
      <c r="E11" s="138">
        <v>0</v>
      </c>
      <c r="F11" s="138">
        <v>0</v>
      </c>
      <c r="G11" s="138">
        <v>0</v>
      </c>
      <c r="H11" s="138">
        <v>0</v>
      </c>
      <c r="I11" s="138">
        <v>0</v>
      </c>
      <c r="J11" s="138">
        <v>0</v>
      </c>
      <c r="K11" s="138">
        <v>0</v>
      </c>
      <c r="L11" s="138">
        <v>0</v>
      </c>
      <c r="M11" s="138">
        <v>0</v>
      </c>
      <c r="N11" s="138">
        <v>0</v>
      </c>
      <c r="O11" s="138">
        <v>0</v>
      </c>
      <c r="P11" s="138">
        <v>0</v>
      </c>
      <c r="Q11" s="138">
        <v>0</v>
      </c>
      <c r="R11" s="138">
        <v>0</v>
      </c>
      <c r="S11" s="138">
        <v>0</v>
      </c>
      <c r="T11" s="138">
        <v>0</v>
      </c>
      <c r="U11" s="138">
        <v>0</v>
      </c>
      <c r="V11" s="138">
        <v>0</v>
      </c>
      <c r="W11" s="138">
        <v>0</v>
      </c>
      <c r="X11" s="138">
        <v>0</v>
      </c>
      <c r="Y11" s="138" t="s">
        <v>4624</v>
      </c>
      <c r="Z11" s="138">
        <v>0</v>
      </c>
      <c r="AA11" s="138">
        <v>0</v>
      </c>
      <c r="AB11" s="138">
        <v>0</v>
      </c>
    </row>
    <row r="12" spans="1:28" x14ac:dyDescent="0.25">
      <c r="A12" s="82" t="s">
        <v>151</v>
      </c>
      <c r="B12" s="82">
        <v>2700</v>
      </c>
      <c r="C12" s="82">
        <v>2660</v>
      </c>
      <c r="D12" s="82">
        <v>40</v>
      </c>
      <c r="E12" s="82">
        <v>0</v>
      </c>
      <c r="F12" s="82">
        <v>0</v>
      </c>
      <c r="G12" s="82">
        <v>0</v>
      </c>
      <c r="H12" s="82">
        <v>0</v>
      </c>
      <c r="I12" s="82">
        <v>0</v>
      </c>
      <c r="J12" s="82">
        <v>0</v>
      </c>
      <c r="K12" s="82">
        <v>0</v>
      </c>
      <c r="L12" s="82">
        <v>0</v>
      </c>
      <c r="M12" s="82">
        <v>0</v>
      </c>
      <c r="N12" s="82">
        <v>0</v>
      </c>
      <c r="O12" s="82">
        <v>0</v>
      </c>
      <c r="P12" s="82">
        <v>0</v>
      </c>
      <c r="Q12" s="82">
        <v>0</v>
      </c>
      <c r="R12" s="82">
        <v>0</v>
      </c>
      <c r="S12" s="82">
        <v>0</v>
      </c>
      <c r="T12" s="82">
        <v>0</v>
      </c>
      <c r="U12" s="82">
        <v>0</v>
      </c>
      <c r="V12" s="82">
        <v>0</v>
      </c>
      <c r="W12" s="82">
        <v>0</v>
      </c>
      <c r="X12" s="82">
        <v>0</v>
      </c>
      <c r="Y12" s="82" t="s">
        <v>4624</v>
      </c>
      <c r="Z12" s="82">
        <v>0</v>
      </c>
      <c r="AA12" s="82">
        <v>0</v>
      </c>
      <c r="AB12" s="82">
        <v>0</v>
      </c>
    </row>
    <row r="13" spans="1:28" x14ac:dyDescent="0.25">
      <c r="A13" s="138" t="s">
        <v>151</v>
      </c>
      <c r="B13" s="138">
        <v>2700</v>
      </c>
      <c r="C13" s="138">
        <v>2180</v>
      </c>
      <c r="D13" s="138">
        <v>520</v>
      </c>
      <c r="E13" s="138">
        <v>0</v>
      </c>
      <c r="F13" s="138">
        <v>0</v>
      </c>
      <c r="G13" s="138">
        <v>0</v>
      </c>
      <c r="H13" s="138">
        <v>0</v>
      </c>
      <c r="I13" s="138">
        <v>0</v>
      </c>
      <c r="J13" s="138">
        <v>0</v>
      </c>
      <c r="K13" s="138">
        <v>0</v>
      </c>
      <c r="L13" s="138">
        <v>0</v>
      </c>
      <c r="M13" s="138">
        <v>0</v>
      </c>
      <c r="N13" s="138">
        <v>0</v>
      </c>
      <c r="O13" s="138">
        <v>0</v>
      </c>
      <c r="P13" s="138">
        <v>0</v>
      </c>
      <c r="Q13" s="138">
        <v>0</v>
      </c>
      <c r="R13" s="138">
        <v>0</v>
      </c>
      <c r="S13" s="138">
        <v>0</v>
      </c>
      <c r="T13" s="138">
        <v>0</v>
      </c>
      <c r="U13" s="138">
        <v>0</v>
      </c>
      <c r="V13" s="138">
        <v>0</v>
      </c>
      <c r="W13" s="138">
        <v>0</v>
      </c>
      <c r="X13" s="138">
        <v>0</v>
      </c>
      <c r="Y13" s="138">
        <v>0</v>
      </c>
      <c r="Z13" s="138">
        <v>0</v>
      </c>
      <c r="AA13" s="138" t="s">
        <v>4802</v>
      </c>
      <c r="AB13" s="138">
        <v>0</v>
      </c>
    </row>
    <row r="14" spans="1:28" x14ac:dyDescent="0.25">
      <c r="A14" s="82" t="s">
        <v>151</v>
      </c>
      <c r="B14" s="82">
        <v>2700</v>
      </c>
      <c r="C14" s="82">
        <v>2180</v>
      </c>
      <c r="D14" s="82">
        <v>520</v>
      </c>
      <c r="E14" s="82">
        <v>0</v>
      </c>
      <c r="F14" s="82">
        <v>0</v>
      </c>
      <c r="G14" s="82">
        <v>0</v>
      </c>
      <c r="H14" s="82">
        <v>0</v>
      </c>
      <c r="I14" s="82">
        <v>0</v>
      </c>
      <c r="J14" s="82">
        <v>0</v>
      </c>
      <c r="K14" s="82">
        <v>0</v>
      </c>
      <c r="L14" s="82">
        <v>0</v>
      </c>
      <c r="M14" s="82">
        <v>0</v>
      </c>
      <c r="N14" s="82">
        <v>0</v>
      </c>
      <c r="O14" s="82">
        <v>0</v>
      </c>
      <c r="P14" s="82">
        <v>0</v>
      </c>
      <c r="Q14" s="82">
        <v>0</v>
      </c>
      <c r="R14" s="82">
        <v>0</v>
      </c>
      <c r="S14" s="82">
        <v>0</v>
      </c>
      <c r="T14" s="82">
        <v>0</v>
      </c>
      <c r="U14" s="82">
        <v>0</v>
      </c>
      <c r="V14" s="82">
        <v>0</v>
      </c>
      <c r="W14" s="82">
        <v>0</v>
      </c>
      <c r="X14" s="82">
        <v>0</v>
      </c>
      <c r="Y14" s="82">
        <v>0</v>
      </c>
      <c r="Z14" s="82">
        <v>0</v>
      </c>
      <c r="AA14" s="82" t="s">
        <v>4802</v>
      </c>
      <c r="AB14" s="82">
        <v>0</v>
      </c>
    </row>
    <row r="15" spans="1:28" x14ac:dyDescent="0.25">
      <c r="A15" s="138" t="s">
        <v>151</v>
      </c>
      <c r="B15" s="138">
        <v>2700</v>
      </c>
      <c r="C15" s="138">
        <v>2180</v>
      </c>
      <c r="D15" s="138">
        <v>520</v>
      </c>
      <c r="E15" s="138">
        <v>0</v>
      </c>
      <c r="F15" s="138">
        <v>0</v>
      </c>
      <c r="G15" s="138">
        <v>0</v>
      </c>
      <c r="H15" s="138">
        <v>0</v>
      </c>
      <c r="I15" s="138">
        <v>0</v>
      </c>
      <c r="J15" s="138">
        <v>0</v>
      </c>
      <c r="K15" s="138">
        <v>0</v>
      </c>
      <c r="L15" s="138">
        <v>0</v>
      </c>
      <c r="M15" s="138">
        <v>0</v>
      </c>
      <c r="N15" s="138">
        <v>0</v>
      </c>
      <c r="O15" s="138">
        <v>0</v>
      </c>
      <c r="P15" s="138">
        <v>0</v>
      </c>
      <c r="Q15" s="138">
        <v>0</v>
      </c>
      <c r="R15" s="138">
        <v>0</v>
      </c>
      <c r="S15" s="138">
        <v>0</v>
      </c>
      <c r="T15" s="138">
        <v>0</v>
      </c>
      <c r="U15" s="138">
        <v>0</v>
      </c>
      <c r="V15" s="138">
        <v>0</v>
      </c>
      <c r="W15" s="138">
        <v>0</v>
      </c>
      <c r="X15" s="138">
        <v>0</v>
      </c>
      <c r="Y15" s="138">
        <v>0</v>
      </c>
      <c r="Z15" s="138">
        <v>0</v>
      </c>
      <c r="AA15" s="138" t="s">
        <v>4802</v>
      </c>
      <c r="AB15" s="138">
        <v>0</v>
      </c>
    </row>
    <row r="16" spans="1:28" x14ac:dyDescent="0.25">
      <c r="A16" s="82" t="s">
        <v>151</v>
      </c>
      <c r="B16" s="82">
        <v>2700</v>
      </c>
      <c r="C16" s="82">
        <v>2180</v>
      </c>
      <c r="D16" s="82">
        <v>520</v>
      </c>
      <c r="E16" s="82">
        <v>0</v>
      </c>
      <c r="F16" s="82">
        <v>0</v>
      </c>
      <c r="G16" s="82">
        <v>0</v>
      </c>
      <c r="H16" s="82">
        <v>0</v>
      </c>
      <c r="I16" s="82">
        <v>0</v>
      </c>
      <c r="J16" s="82">
        <v>0</v>
      </c>
      <c r="K16" s="82">
        <v>0</v>
      </c>
      <c r="L16" s="82">
        <v>0</v>
      </c>
      <c r="M16" s="82">
        <v>0</v>
      </c>
      <c r="N16" s="82">
        <v>0</v>
      </c>
      <c r="O16" s="82">
        <v>0</v>
      </c>
      <c r="P16" s="82">
        <v>0</v>
      </c>
      <c r="Q16" s="82">
        <v>0</v>
      </c>
      <c r="R16" s="82">
        <v>0</v>
      </c>
      <c r="S16" s="82">
        <v>0</v>
      </c>
      <c r="T16" s="82">
        <v>0</v>
      </c>
      <c r="U16" s="82">
        <v>0</v>
      </c>
      <c r="V16" s="82">
        <v>0</v>
      </c>
      <c r="W16" s="82">
        <v>0</v>
      </c>
      <c r="X16" s="82">
        <v>0</v>
      </c>
      <c r="Y16" s="82">
        <v>0</v>
      </c>
      <c r="Z16" s="82">
        <v>0</v>
      </c>
      <c r="AA16" s="82" t="s">
        <v>4802</v>
      </c>
      <c r="AB16" s="82">
        <v>0</v>
      </c>
    </row>
    <row r="17" spans="1:28" x14ac:dyDescent="0.25">
      <c r="A17" s="138" t="s">
        <v>151</v>
      </c>
      <c r="B17" s="138">
        <v>2700</v>
      </c>
      <c r="C17" s="138">
        <v>1690</v>
      </c>
      <c r="D17" s="138">
        <v>1010</v>
      </c>
      <c r="E17" s="138">
        <v>0</v>
      </c>
      <c r="F17" s="138">
        <v>0</v>
      </c>
      <c r="G17" s="138">
        <v>0</v>
      </c>
      <c r="H17" s="138">
        <v>0</v>
      </c>
      <c r="I17" s="138">
        <v>0</v>
      </c>
      <c r="J17" s="138">
        <v>0</v>
      </c>
      <c r="K17" s="138">
        <v>0</v>
      </c>
      <c r="L17" s="138">
        <v>0</v>
      </c>
      <c r="M17" s="138">
        <v>0</v>
      </c>
      <c r="N17" s="138">
        <v>0</v>
      </c>
      <c r="O17" s="138">
        <v>0</v>
      </c>
      <c r="P17" s="138">
        <v>0</v>
      </c>
      <c r="Q17" s="138">
        <v>0</v>
      </c>
      <c r="R17" s="138">
        <v>0</v>
      </c>
      <c r="S17" s="138">
        <v>0</v>
      </c>
      <c r="T17" s="138">
        <v>0</v>
      </c>
      <c r="U17" s="138">
        <v>0</v>
      </c>
      <c r="V17" s="138">
        <v>0</v>
      </c>
      <c r="W17" s="138">
        <v>0</v>
      </c>
      <c r="X17" s="138">
        <v>0</v>
      </c>
      <c r="Y17" s="138">
        <v>0</v>
      </c>
      <c r="Z17" s="138" t="s">
        <v>4621</v>
      </c>
      <c r="AA17" s="138">
        <v>0</v>
      </c>
      <c r="AB17" s="138">
        <v>0</v>
      </c>
    </row>
    <row r="18" spans="1:28" x14ac:dyDescent="0.25">
      <c r="A18" s="82" t="s">
        <v>151</v>
      </c>
      <c r="B18" s="82">
        <v>2700</v>
      </c>
      <c r="C18" s="82">
        <v>1690</v>
      </c>
      <c r="D18" s="82">
        <v>1010</v>
      </c>
      <c r="E18" s="82">
        <v>0</v>
      </c>
      <c r="F18" s="82">
        <v>0</v>
      </c>
      <c r="G18" s="82">
        <v>0</v>
      </c>
      <c r="H18" s="82">
        <v>0</v>
      </c>
      <c r="I18" s="82">
        <v>0</v>
      </c>
      <c r="J18" s="82">
        <v>0</v>
      </c>
      <c r="K18" s="82">
        <v>0</v>
      </c>
      <c r="L18" s="82">
        <v>0</v>
      </c>
      <c r="M18" s="82">
        <v>0</v>
      </c>
      <c r="N18" s="82">
        <v>0</v>
      </c>
      <c r="O18" s="82">
        <v>0</v>
      </c>
      <c r="P18" s="82">
        <v>0</v>
      </c>
      <c r="Q18" s="82">
        <v>0</v>
      </c>
      <c r="R18" s="82">
        <v>0</v>
      </c>
      <c r="S18" s="82">
        <v>0</v>
      </c>
      <c r="T18" s="82">
        <v>0</v>
      </c>
      <c r="U18" s="82">
        <v>0</v>
      </c>
      <c r="V18" s="82">
        <v>0</v>
      </c>
      <c r="W18" s="82">
        <v>0</v>
      </c>
      <c r="X18" s="82">
        <v>0</v>
      </c>
      <c r="Y18" s="82">
        <v>0</v>
      </c>
      <c r="Z18" s="82" t="s">
        <v>4621</v>
      </c>
      <c r="AA18" s="82">
        <v>0</v>
      </c>
      <c r="AB18" s="82">
        <v>0</v>
      </c>
    </row>
    <row r="19" spans="1:28" x14ac:dyDescent="0.25">
      <c r="A19" s="138" t="s">
        <v>151</v>
      </c>
      <c r="B19" s="138">
        <v>2700</v>
      </c>
      <c r="C19" s="138">
        <v>1690</v>
      </c>
      <c r="D19" s="138">
        <v>1010</v>
      </c>
      <c r="E19" s="138">
        <v>0</v>
      </c>
      <c r="F19" s="138">
        <v>0</v>
      </c>
      <c r="G19" s="138">
        <v>0</v>
      </c>
      <c r="H19" s="138">
        <v>0</v>
      </c>
      <c r="I19" s="138">
        <v>0</v>
      </c>
      <c r="J19" s="138">
        <v>0</v>
      </c>
      <c r="K19" s="138">
        <v>0</v>
      </c>
      <c r="L19" s="138">
        <v>0</v>
      </c>
      <c r="M19" s="138">
        <v>0</v>
      </c>
      <c r="N19" s="138">
        <v>0</v>
      </c>
      <c r="O19" s="138">
        <v>0</v>
      </c>
      <c r="P19" s="138">
        <v>0</v>
      </c>
      <c r="Q19" s="138">
        <v>0</v>
      </c>
      <c r="R19" s="138">
        <v>0</v>
      </c>
      <c r="S19" s="138">
        <v>0</v>
      </c>
      <c r="T19" s="138">
        <v>0</v>
      </c>
      <c r="U19" s="138">
        <v>0</v>
      </c>
      <c r="V19" s="138">
        <v>0</v>
      </c>
      <c r="W19" s="138">
        <v>0</v>
      </c>
      <c r="X19" s="138">
        <v>0</v>
      </c>
      <c r="Y19" s="138">
        <v>0</v>
      </c>
      <c r="Z19" s="138" t="s">
        <v>4621</v>
      </c>
      <c r="AA19" s="138">
        <v>0</v>
      </c>
      <c r="AB19" s="138">
        <v>0</v>
      </c>
    </row>
    <row r="20" spans="1:28" x14ac:dyDescent="0.25">
      <c r="A20" s="82" t="s">
        <v>151</v>
      </c>
      <c r="B20" s="82">
        <v>2700</v>
      </c>
      <c r="C20" s="82">
        <v>1690</v>
      </c>
      <c r="D20" s="82">
        <v>1010</v>
      </c>
      <c r="E20" s="82">
        <v>0</v>
      </c>
      <c r="F20" s="82">
        <v>0</v>
      </c>
      <c r="G20" s="82">
        <v>0</v>
      </c>
      <c r="H20" s="82">
        <v>0</v>
      </c>
      <c r="I20" s="82">
        <v>0</v>
      </c>
      <c r="J20" s="82">
        <v>0</v>
      </c>
      <c r="K20" s="82">
        <v>0</v>
      </c>
      <c r="L20" s="82">
        <v>0</v>
      </c>
      <c r="M20" s="82">
        <v>0</v>
      </c>
      <c r="N20" s="82">
        <v>0</v>
      </c>
      <c r="O20" s="82">
        <v>0</v>
      </c>
      <c r="P20" s="82">
        <v>0</v>
      </c>
      <c r="Q20" s="82">
        <v>0</v>
      </c>
      <c r="R20" s="82">
        <v>0</v>
      </c>
      <c r="S20" s="82">
        <v>0</v>
      </c>
      <c r="T20" s="82">
        <v>0</v>
      </c>
      <c r="U20" s="82">
        <v>0</v>
      </c>
      <c r="V20" s="82">
        <v>0</v>
      </c>
      <c r="W20" s="82">
        <v>0</v>
      </c>
      <c r="X20" s="82">
        <v>0</v>
      </c>
      <c r="Y20" s="82">
        <v>0</v>
      </c>
      <c r="Z20" s="82" t="s">
        <v>4621</v>
      </c>
      <c r="AA20" s="82">
        <v>0</v>
      </c>
      <c r="AB20" s="82">
        <v>0</v>
      </c>
    </row>
    <row r="21" spans="1:28" x14ac:dyDescent="0.25">
      <c r="A21" s="138" t="s">
        <v>151</v>
      </c>
      <c r="B21" s="138">
        <v>2700</v>
      </c>
      <c r="C21" s="138">
        <v>1690</v>
      </c>
      <c r="D21" s="138">
        <v>1010</v>
      </c>
      <c r="E21" s="138">
        <v>0</v>
      </c>
      <c r="F21" s="138">
        <v>0</v>
      </c>
      <c r="G21" s="138">
        <v>0</v>
      </c>
      <c r="H21" s="138">
        <v>0</v>
      </c>
      <c r="I21" s="138">
        <v>0</v>
      </c>
      <c r="J21" s="138">
        <v>0</v>
      </c>
      <c r="K21" s="138">
        <v>0</v>
      </c>
      <c r="L21" s="138">
        <v>0</v>
      </c>
      <c r="M21" s="138">
        <v>0</v>
      </c>
      <c r="N21" s="138">
        <v>0</v>
      </c>
      <c r="O21" s="138">
        <v>0</v>
      </c>
      <c r="P21" s="138">
        <v>0</v>
      </c>
      <c r="Q21" s="138">
        <v>0</v>
      </c>
      <c r="R21" s="138">
        <v>0</v>
      </c>
      <c r="S21" s="138">
        <v>0</v>
      </c>
      <c r="T21" s="138">
        <v>0</v>
      </c>
      <c r="U21" s="138">
        <v>0</v>
      </c>
      <c r="V21" s="138">
        <v>0</v>
      </c>
      <c r="W21" s="138">
        <v>0</v>
      </c>
      <c r="X21" s="138">
        <v>0</v>
      </c>
      <c r="Y21" s="138">
        <v>0</v>
      </c>
      <c r="Z21" s="138" t="s">
        <v>4621</v>
      </c>
      <c r="AA21" s="138">
        <v>0</v>
      </c>
      <c r="AB21" s="138">
        <v>0</v>
      </c>
    </row>
    <row r="22" spans="1:28" x14ac:dyDescent="0.25">
      <c r="A22" s="82" t="s">
        <v>151</v>
      </c>
      <c r="B22" s="82">
        <v>2700</v>
      </c>
      <c r="C22" s="82">
        <v>1690</v>
      </c>
      <c r="D22" s="82">
        <v>1010</v>
      </c>
      <c r="E22" s="82">
        <v>0</v>
      </c>
      <c r="F22" s="82">
        <v>0</v>
      </c>
      <c r="G22" s="82">
        <v>0</v>
      </c>
      <c r="H22" s="82">
        <v>0</v>
      </c>
      <c r="I22" s="82">
        <v>0</v>
      </c>
      <c r="J22" s="82">
        <v>0</v>
      </c>
      <c r="K22" s="82">
        <v>0</v>
      </c>
      <c r="L22" s="82">
        <v>0</v>
      </c>
      <c r="M22" s="82">
        <v>0</v>
      </c>
      <c r="N22" s="82">
        <v>0</v>
      </c>
      <c r="O22" s="82">
        <v>0</v>
      </c>
      <c r="P22" s="82">
        <v>0</v>
      </c>
      <c r="Q22" s="82">
        <v>0</v>
      </c>
      <c r="R22" s="82">
        <v>0</v>
      </c>
      <c r="S22" s="82">
        <v>0</v>
      </c>
      <c r="T22" s="82">
        <v>0</v>
      </c>
      <c r="U22" s="82">
        <v>0</v>
      </c>
      <c r="V22" s="82">
        <v>0</v>
      </c>
      <c r="W22" s="82">
        <v>0</v>
      </c>
      <c r="X22" s="82">
        <v>0</v>
      </c>
      <c r="Y22" s="82">
        <v>0</v>
      </c>
      <c r="Z22" s="82" t="s">
        <v>4621</v>
      </c>
      <c r="AA22" s="82">
        <v>0</v>
      </c>
      <c r="AB22" s="82">
        <v>0</v>
      </c>
    </row>
    <row r="23" spans="1:28" x14ac:dyDescent="0.25">
      <c r="A23" s="138" t="s">
        <v>151</v>
      </c>
      <c r="B23" s="138">
        <v>2700</v>
      </c>
      <c r="C23" s="138">
        <v>1690</v>
      </c>
      <c r="D23" s="138">
        <v>1010</v>
      </c>
      <c r="E23" s="138">
        <v>0</v>
      </c>
      <c r="F23" s="138">
        <v>0</v>
      </c>
      <c r="G23" s="138">
        <v>0</v>
      </c>
      <c r="H23" s="138">
        <v>0</v>
      </c>
      <c r="I23" s="138">
        <v>0</v>
      </c>
      <c r="J23" s="138">
        <v>0</v>
      </c>
      <c r="K23" s="138">
        <v>0</v>
      </c>
      <c r="L23" s="138">
        <v>0</v>
      </c>
      <c r="M23" s="138">
        <v>0</v>
      </c>
      <c r="N23" s="138">
        <v>0</v>
      </c>
      <c r="O23" s="138">
        <v>0</v>
      </c>
      <c r="P23" s="138">
        <v>0</v>
      </c>
      <c r="Q23" s="138">
        <v>0</v>
      </c>
      <c r="R23" s="138">
        <v>0</v>
      </c>
      <c r="S23" s="138">
        <v>0</v>
      </c>
      <c r="T23" s="138">
        <v>0</v>
      </c>
      <c r="U23" s="138">
        <v>0</v>
      </c>
      <c r="V23" s="138">
        <v>0</v>
      </c>
      <c r="W23" s="138">
        <v>0</v>
      </c>
      <c r="X23" s="138">
        <v>0</v>
      </c>
      <c r="Y23" s="138">
        <v>0</v>
      </c>
      <c r="Z23" s="138" t="s">
        <v>4621</v>
      </c>
      <c r="AA23" s="138">
        <v>0</v>
      </c>
      <c r="AB23" s="138">
        <v>0</v>
      </c>
    </row>
    <row r="24" spans="1:28" x14ac:dyDescent="0.25">
      <c r="A24" s="82" t="s">
        <v>151</v>
      </c>
      <c r="B24" s="82">
        <v>2700</v>
      </c>
      <c r="C24" s="82">
        <v>1690</v>
      </c>
      <c r="D24" s="82">
        <v>1010</v>
      </c>
      <c r="E24" s="82">
        <v>0</v>
      </c>
      <c r="F24" s="82">
        <v>0</v>
      </c>
      <c r="G24" s="82">
        <v>0</v>
      </c>
      <c r="H24" s="82">
        <v>0</v>
      </c>
      <c r="I24" s="82">
        <v>0</v>
      </c>
      <c r="J24" s="82">
        <v>0</v>
      </c>
      <c r="K24" s="82">
        <v>0</v>
      </c>
      <c r="L24" s="82">
        <v>0</v>
      </c>
      <c r="M24" s="82">
        <v>0</v>
      </c>
      <c r="N24" s="82">
        <v>0</v>
      </c>
      <c r="O24" s="82">
        <v>0</v>
      </c>
      <c r="P24" s="82">
        <v>0</v>
      </c>
      <c r="Q24" s="82">
        <v>0</v>
      </c>
      <c r="R24" s="82">
        <v>0</v>
      </c>
      <c r="S24" s="82">
        <v>0</v>
      </c>
      <c r="T24" s="82">
        <v>0</v>
      </c>
      <c r="U24" s="82">
        <v>0</v>
      </c>
      <c r="V24" s="82">
        <v>0</v>
      </c>
      <c r="W24" s="82">
        <v>0</v>
      </c>
      <c r="X24" s="82">
        <v>0</v>
      </c>
      <c r="Y24" s="82">
        <v>0</v>
      </c>
      <c r="Z24" s="82" t="s">
        <v>4621</v>
      </c>
      <c r="AA24" s="82">
        <v>0</v>
      </c>
      <c r="AB24" s="82">
        <v>0</v>
      </c>
    </row>
    <row r="25" spans="1:28" x14ac:dyDescent="0.25">
      <c r="A25" s="138" t="s">
        <v>151</v>
      </c>
      <c r="B25" s="138">
        <v>2700</v>
      </c>
      <c r="C25" s="138">
        <v>1690</v>
      </c>
      <c r="D25" s="138">
        <v>1010</v>
      </c>
      <c r="E25" s="138">
        <v>0</v>
      </c>
      <c r="F25" s="138">
        <v>0</v>
      </c>
      <c r="G25" s="138">
        <v>0</v>
      </c>
      <c r="H25" s="138">
        <v>0</v>
      </c>
      <c r="I25" s="138">
        <v>0</v>
      </c>
      <c r="J25" s="138">
        <v>0</v>
      </c>
      <c r="K25" s="138">
        <v>0</v>
      </c>
      <c r="L25" s="138">
        <v>0</v>
      </c>
      <c r="M25" s="138">
        <v>0</v>
      </c>
      <c r="N25" s="138">
        <v>0</v>
      </c>
      <c r="O25" s="138">
        <v>0</v>
      </c>
      <c r="P25" s="138">
        <v>0</v>
      </c>
      <c r="Q25" s="138">
        <v>0</v>
      </c>
      <c r="R25" s="138">
        <v>0</v>
      </c>
      <c r="S25" s="138">
        <v>0</v>
      </c>
      <c r="T25" s="138">
        <v>0</v>
      </c>
      <c r="U25" s="138">
        <v>0</v>
      </c>
      <c r="V25" s="138">
        <v>0</v>
      </c>
      <c r="W25" s="138">
        <v>0</v>
      </c>
      <c r="X25" s="138">
        <v>0</v>
      </c>
      <c r="Y25" s="138">
        <v>0</v>
      </c>
      <c r="Z25" s="138" t="s">
        <v>4621</v>
      </c>
      <c r="AA25" s="138">
        <v>0</v>
      </c>
      <c r="AB25" s="138">
        <v>0</v>
      </c>
    </row>
    <row r="26" spans="1:28" x14ac:dyDescent="0.25">
      <c r="A26" s="82" t="s">
        <v>151</v>
      </c>
      <c r="B26" s="82">
        <v>2700</v>
      </c>
      <c r="C26" s="82">
        <v>1690</v>
      </c>
      <c r="D26" s="82">
        <v>1010</v>
      </c>
      <c r="E26" s="82">
        <v>0</v>
      </c>
      <c r="F26" s="82">
        <v>0</v>
      </c>
      <c r="G26" s="82">
        <v>0</v>
      </c>
      <c r="H26" s="82">
        <v>0</v>
      </c>
      <c r="I26" s="82">
        <v>0</v>
      </c>
      <c r="J26" s="82">
        <v>0</v>
      </c>
      <c r="K26" s="82">
        <v>0</v>
      </c>
      <c r="L26" s="82">
        <v>0</v>
      </c>
      <c r="M26" s="82">
        <v>0</v>
      </c>
      <c r="N26" s="82">
        <v>0</v>
      </c>
      <c r="O26" s="82">
        <v>0</v>
      </c>
      <c r="P26" s="82">
        <v>0</v>
      </c>
      <c r="Q26" s="82">
        <v>0</v>
      </c>
      <c r="R26" s="82">
        <v>0</v>
      </c>
      <c r="S26" s="82">
        <v>0</v>
      </c>
      <c r="T26" s="82">
        <v>0</v>
      </c>
      <c r="U26" s="82">
        <v>0</v>
      </c>
      <c r="V26" s="82">
        <v>0</v>
      </c>
      <c r="W26" s="82">
        <v>0</v>
      </c>
      <c r="X26" s="82">
        <v>0</v>
      </c>
      <c r="Y26" s="82">
        <v>0</v>
      </c>
      <c r="Z26" s="82" t="s">
        <v>4621</v>
      </c>
      <c r="AA26" s="82">
        <v>0</v>
      </c>
      <c r="AB26" s="82">
        <v>0</v>
      </c>
    </row>
    <row r="27" spans="1:28" x14ac:dyDescent="0.25">
      <c r="A27" s="138" t="s">
        <v>151</v>
      </c>
      <c r="B27" s="138">
        <v>2700</v>
      </c>
      <c r="C27" s="138">
        <v>1690</v>
      </c>
      <c r="D27" s="138">
        <v>1010</v>
      </c>
      <c r="E27" s="138">
        <v>0</v>
      </c>
      <c r="F27" s="138">
        <v>0</v>
      </c>
      <c r="G27" s="138">
        <v>0</v>
      </c>
      <c r="H27" s="138">
        <v>0</v>
      </c>
      <c r="I27" s="138">
        <v>0</v>
      </c>
      <c r="J27" s="138">
        <v>0</v>
      </c>
      <c r="K27" s="138">
        <v>0</v>
      </c>
      <c r="L27" s="138">
        <v>0</v>
      </c>
      <c r="M27" s="138">
        <v>0</v>
      </c>
      <c r="N27" s="138">
        <v>0</v>
      </c>
      <c r="O27" s="138">
        <v>0</v>
      </c>
      <c r="P27" s="138">
        <v>0</v>
      </c>
      <c r="Q27" s="138">
        <v>0</v>
      </c>
      <c r="R27" s="138">
        <v>0</v>
      </c>
      <c r="S27" s="138">
        <v>0</v>
      </c>
      <c r="T27" s="138">
        <v>0</v>
      </c>
      <c r="U27" s="138">
        <v>0</v>
      </c>
      <c r="V27" s="138">
        <v>0</v>
      </c>
      <c r="W27" s="138">
        <v>0</v>
      </c>
      <c r="X27" s="138">
        <v>0</v>
      </c>
      <c r="Y27" s="138">
        <v>0</v>
      </c>
      <c r="Z27" s="138" t="s">
        <v>4621</v>
      </c>
      <c r="AA27" s="138">
        <v>0</v>
      </c>
      <c r="AB27" s="138">
        <v>0</v>
      </c>
    </row>
    <row r="28" spans="1:28" x14ac:dyDescent="0.25">
      <c r="A28" s="82" t="s">
        <v>151</v>
      </c>
      <c r="B28" s="82">
        <v>2700</v>
      </c>
      <c r="C28" s="82">
        <v>1690</v>
      </c>
      <c r="D28" s="82">
        <v>1010</v>
      </c>
      <c r="E28" s="82">
        <v>0</v>
      </c>
      <c r="F28" s="82">
        <v>0</v>
      </c>
      <c r="G28" s="82">
        <v>0</v>
      </c>
      <c r="H28" s="82">
        <v>0</v>
      </c>
      <c r="I28" s="82">
        <v>0</v>
      </c>
      <c r="J28" s="82">
        <v>0</v>
      </c>
      <c r="K28" s="82">
        <v>0</v>
      </c>
      <c r="L28" s="82">
        <v>0</v>
      </c>
      <c r="M28" s="82">
        <v>0</v>
      </c>
      <c r="N28" s="82">
        <v>0</v>
      </c>
      <c r="O28" s="82">
        <v>0</v>
      </c>
      <c r="P28" s="82">
        <v>0</v>
      </c>
      <c r="Q28" s="82">
        <v>0</v>
      </c>
      <c r="R28" s="82">
        <v>0</v>
      </c>
      <c r="S28" s="82">
        <v>0</v>
      </c>
      <c r="T28" s="82">
        <v>0</v>
      </c>
      <c r="U28" s="82">
        <v>0</v>
      </c>
      <c r="V28" s="82">
        <v>0</v>
      </c>
      <c r="W28" s="82">
        <v>0</v>
      </c>
      <c r="X28" s="82">
        <v>0</v>
      </c>
      <c r="Y28" s="82">
        <v>0</v>
      </c>
      <c r="Z28" s="82" t="s">
        <v>4621</v>
      </c>
      <c r="AA28" s="82">
        <v>0</v>
      </c>
      <c r="AB28" s="82">
        <v>0</v>
      </c>
    </row>
    <row r="29" spans="1:28" x14ac:dyDescent="0.25">
      <c r="A29" s="138" t="s">
        <v>151</v>
      </c>
      <c r="B29" s="138">
        <v>2700</v>
      </c>
      <c r="C29" s="138">
        <v>1690</v>
      </c>
      <c r="D29" s="138">
        <v>1010</v>
      </c>
      <c r="E29" s="138">
        <v>0</v>
      </c>
      <c r="F29" s="138">
        <v>0</v>
      </c>
      <c r="G29" s="138">
        <v>0</v>
      </c>
      <c r="H29" s="138">
        <v>0</v>
      </c>
      <c r="I29" s="138">
        <v>0</v>
      </c>
      <c r="J29" s="138">
        <v>0</v>
      </c>
      <c r="K29" s="138">
        <v>0</v>
      </c>
      <c r="L29" s="138">
        <v>0</v>
      </c>
      <c r="M29" s="138">
        <v>0</v>
      </c>
      <c r="N29" s="138">
        <v>0</v>
      </c>
      <c r="O29" s="138">
        <v>0</v>
      </c>
      <c r="P29" s="138">
        <v>0</v>
      </c>
      <c r="Q29" s="138">
        <v>0</v>
      </c>
      <c r="R29" s="138">
        <v>0</v>
      </c>
      <c r="S29" s="138">
        <v>0</v>
      </c>
      <c r="T29" s="138">
        <v>0</v>
      </c>
      <c r="U29" s="138">
        <v>0</v>
      </c>
      <c r="V29" s="138">
        <v>0</v>
      </c>
      <c r="W29" s="138">
        <v>0</v>
      </c>
      <c r="X29" s="138">
        <v>0</v>
      </c>
      <c r="Y29" s="138">
        <v>0</v>
      </c>
      <c r="Z29" s="138" t="s">
        <v>4621</v>
      </c>
      <c r="AA29" s="138">
        <v>0</v>
      </c>
      <c r="AB29" s="138">
        <v>0</v>
      </c>
    </row>
    <row r="30" spans="1:28" x14ac:dyDescent="0.25">
      <c r="A30" s="82" t="s">
        <v>151</v>
      </c>
      <c r="B30" s="82">
        <v>2700</v>
      </c>
      <c r="C30" s="82">
        <v>1690</v>
      </c>
      <c r="D30" s="82">
        <v>1010</v>
      </c>
      <c r="E30" s="82">
        <v>0</v>
      </c>
      <c r="F30" s="82">
        <v>0</v>
      </c>
      <c r="G30" s="82">
        <v>0</v>
      </c>
      <c r="H30" s="82">
        <v>0</v>
      </c>
      <c r="I30" s="82">
        <v>0</v>
      </c>
      <c r="J30" s="82">
        <v>0</v>
      </c>
      <c r="K30" s="82">
        <v>0</v>
      </c>
      <c r="L30" s="82">
        <v>0</v>
      </c>
      <c r="M30" s="82">
        <v>0</v>
      </c>
      <c r="N30" s="82">
        <v>0</v>
      </c>
      <c r="O30" s="82">
        <v>0</v>
      </c>
      <c r="P30" s="82">
        <v>0</v>
      </c>
      <c r="Q30" s="82">
        <v>0</v>
      </c>
      <c r="R30" s="82">
        <v>0</v>
      </c>
      <c r="S30" s="82">
        <v>0</v>
      </c>
      <c r="T30" s="82">
        <v>0</v>
      </c>
      <c r="U30" s="82">
        <v>0</v>
      </c>
      <c r="V30" s="82">
        <v>0</v>
      </c>
      <c r="W30" s="82">
        <v>0</v>
      </c>
      <c r="X30" s="82">
        <v>0</v>
      </c>
      <c r="Y30" s="82">
        <v>0</v>
      </c>
      <c r="Z30" s="82" t="s">
        <v>4621</v>
      </c>
      <c r="AA30" s="82">
        <v>0</v>
      </c>
      <c r="AB30" s="82">
        <v>0</v>
      </c>
    </row>
    <row r="31" spans="1:28" x14ac:dyDescent="0.25">
      <c r="A31" s="138" t="s">
        <v>151</v>
      </c>
      <c r="B31" s="138">
        <v>2700</v>
      </c>
      <c r="C31" s="138">
        <v>1690</v>
      </c>
      <c r="D31" s="138">
        <v>1010</v>
      </c>
      <c r="E31" s="138">
        <v>0</v>
      </c>
      <c r="F31" s="138">
        <v>0</v>
      </c>
      <c r="G31" s="138">
        <v>0</v>
      </c>
      <c r="H31" s="138">
        <v>0</v>
      </c>
      <c r="I31" s="138">
        <v>0</v>
      </c>
      <c r="J31" s="138">
        <v>0</v>
      </c>
      <c r="K31" s="138">
        <v>0</v>
      </c>
      <c r="L31" s="138">
        <v>0</v>
      </c>
      <c r="M31" s="138">
        <v>0</v>
      </c>
      <c r="N31" s="138">
        <v>0</v>
      </c>
      <c r="O31" s="138">
        <v>0</v>
      </c>
      <c r="P31" s="138">
        <v>0</v>
      </c>
      <c r="Q31" s="138">
        <v>0</v>
      </c>
      <c r="R31" s="138">
        <v>0</v>
      </c>
      <c r="S31" s="138">
        <v>0</v>
      </c>
      <c r="T31" s="138">
        <v>0</v>
      </c>
      <c r="U31" s="138">
        <v>0</v>
      </c>
      <c r="V31" s="138">
        <v>0</v>
      </c>
      <c r="W31" s="138">
        <v>0</v>
      </c>
      <c r="X31" s="138">
        <v>0</v>
      </c>
      <c r="Y31" s="138">
        <v>0</v>
      </c>
      <c r="Z31" s="138" t="s">
        <v>4621</v>
      </c>
      <c r="AA31" s="138">
        <v>0</v>
      </c>
      <c r="AB31" s="138">
        <v>0</v>
      </c>
    </row>
    <row r="32" spans="1:28" x14ac:dyDescent="0.25">
      <c r="A32" s="82" t="s">
        <v>151</v>
      </c>
      <c r="B32" s="82">
        <v>2700</v>
      </c>
      <c r="C32" s="82">
        <v>1090</v>
      </c>
      <c r="D32" s="82">
        <v>1610</v>
      </c>
      <c r="E32" s="82">
        <v>0</v>
      </c>
      <c r="F32" s="82">
        <v>0</v>
      </c>
      <c r="G32" s="82">
        <v>0</v>
      </c>
      <c r="H32" s="82">
        <v>0</v>
      </c>
      <c r="I32" s="82">
        <v>0</v>
      </c>
      <c r="J32" s="82">
        <v>0</v>
      </c>
      <c r="K32" s="82">
        <v>0</v>
      </c>
      <c r="L32" s="82">
        <v>0</v>
      </c>
      <c r="M32" s="82">
        <v>0</v>
      </c>
      <c r="N32" s="82">
        <v>0</v>
      </c>
      <c r="O32" s="82">
        <v>0</v>
      </c>
      <c r="P32" s="82">
        <v>0</v>
      </c>
      <c r="Q32" s="82">
        <v>0</v>
      </c>
      <c r="R32" s="82">
        <v>0</v>
      </c>
      <c r="S32" s="82">
        <v>0</v>
      </c>
      <c r="T32" s="82">
        <v>0</v>
      </c>
      <c r="U32" s="82">
        <v>0</v>
      </c>
      <c r="V32" s="82">
        <v>0</v>
      </c>
      <c r="W32" s="82">
        <v>0</v>
      </c>
      <c r="X32" s="82">
        <v>0</v>
      </c>
      <c r="Y32" s="82">
        <v>0</v>
      </c>
      <c r="Z32" s="82">
        <v>0</v>
      </c>
      <c r="AA32" s="82" t="s">
        <v>4623</v>
      </c>
      <c r="AB32" s="82">
        <v>0</v>
      </c>
    </row>
    <row r="33" spans="1:28" x14ac:dyDescent="0.25">
      <c r="A33" s="138">
        <v>1</v>
      </c>
      <c r="B33" s="138">
        <v>11700</v>
      </c>
      <c r="C33" s="138">
        <v>11700</v>
      </c>
      <c r="D33" s="138">
        <v>0</v>
      </c>
      <c r="E33" s="138">
        <v>0</v>
      </c>
      <c r="F33" s="138">
        <v>0</v>
      </c>
      <c r="G33" s="138">
        <v>0</v>
      </c>
      <c r="H33" s="138">
        <v>0</v>
      </c>
      <c r="I33" s="138">
        <v>0</v>
      </c>
      <c r="J33" s="138">
        <v>0</v>
      </c>
      <c r="K33" s="138">
        <v>0</v>
      </c>
      <c r="L33" s="138">
        <v>0</v>
      </c>
      <c r="M33" s="138">
        <v>0</v>
      </c>
      <c r="N33" s="138">
        <v>0</v>
      </c>
      <c r="O33" s="138">
        <v>0</v>
      </c>
      <c r="P33" s="138" t="s">
        <v>4625</v>
      </c>
      <c r="Q33" s="138">
        <v>0</v>
      </c>
      <c r="R33" s="138">
        <v>0</v>
      </c>
      <c r="S33" s="138" t="s">
        <v>4627</v>
      </c>
      <c r="T33" s="138">
        <v>0</v>
      </c>
      <c r="U33" s="138">
        <v>0</v>
      </c>
      <c r="V33" s="138">
        <v>0</v>
      </c>
      <c r="W33" s="138">
        <v>0</v>
      </c>
      <c r="X33" s="138">
        <v>0</v>
      </c>
      <c r="Y33" s="138">
        <v>0</v>
      </c>
      <c r="Z33" s="138">
        <v>0</v>
      </c>
      <c r="AA33" s="138">
        <v>0</v>
      </c>
      <c r="AB33" s="138">
        <v>0</v>
      </c>
    </row>
    <row r="34" spans="1:28" x14ac:dyDescent="0.25">
      <c r="A34" s="82">
        <v>2</v>
      </c>
      <c r="B34" s="82">
        <v>11700</v>
      </c>
      <c r="C34" s="82">
        <v>11700</v>
      </c>
      <c r="D34" s="82">
        <v>0</v>
      </c>
      <c r="E34" s="82">
        <v>0</v>
      </c>
      <c r="F34" s="82">
        <v>0</v>
      </c>
      <c r="G34" s="82">
        <v>0</v>
      </c>
      <c r="H34" s="82">
        <v>0</v>
      </c>
      <c r="I34" s="82">
        <v>0</v>
      </c>
      <c r="J34" s="82">
        <v>0</v>
      </c>
      <c r="K34" s="82">
        <v>0</v>
      </c>
      <c r="L34" s="82">
        <v>0</v>
      </c>
      <c r="M34" s="82">
        <v>0</v>
      </c>
      <c r="N34" s="82">
        <v>0</v>
      </c>
      <c r="O34" s="82">
        <v>0</v>
      </c>
      <c r="P34" s="82" t="s">
        <v>4625</v>
      </c>
      <c r="Q34" s="82">
        <v>0</v>
      </c>
      <c r="R34" s="82">
        <v>0</v>
      </c>
      <c r="S34" s="82" t="s">
        <v>4627</v>
      </c>
      <c r="T34" s="82">
        <v>0</v>
      </c>
      <c r="U34" s="82">
        <v>0</v>
      </c>
      <c r="V34" s="82">
        <v>0</v>
      </c>
      <c r="W34" s="82">
        <v>0</v>
      </c>
      <c r="X34" s="82">
        <v>0</v>
      </c>
      <c r="Y34" s="82">
        <v>0</v>
      </c>
      <c r="Z34" s="82">
        <v>0</v>
      </c>
      <c r="AA34" s="82">
        <v>0</v>
      </c>
      <c r="AB34" s="82">
        <v>0</v>
      </c>
    </row>
    <row r="35" spans="1:28" x14ac:dyDescent="0.25">
      <c r="A35" s="138">
        <v>3</v>
      </c>
      <c r="B35" s="138">
        <v>11700</v>
      </c>
      <c r="C35" s="138">
        <v>11700</v>
      </c>
      <c r="D35" s="138">
        <v>0</v>
      </c>
      <c r="E35" s="138">
        <v>0</v>
      </c>
      <c r="F35" s="138">
        <v>0</v>
      </c>
      <c r="G35" s="138">
        <v>0</v>
      </c>
      <c r="H35" s="138">
        <v>0</v>
      </c>
      <c r="I35" s="138">
        <v>0</v>
      </c>
      <c r="J35" s="138">
        <v>0</v>
      </c>
      <c r="K35" s="138">
        <v>0</v>
      </c>
      <c r="L35" s="138">
        <v>0</v>
      </c>
      <c r="M35" s="138">
        <v>0</v>
      </c>
      <c r="N35" s="138">
        <v>0</v>
      </c>
      <c r="O35" s="138">
        <v>0</v>
      </c>
      <c r="P35" s="138" t="s">
        <v>4625</v>
      </c>
      <c r="Q35" s="138">
        <v>0</v>
      </c>
      <c r="R35" s="138">
        <v>0</v>
      </c>
      <c r="S35" s="138" t="s">
        <v>4627</v>
      </c>
      <c r="T35" s="138">
        <v>0</v>
      </c>
      <c r="U35" s="138">
        <v>0</v>
      </c>
      <c r="V35" s="138">
        <v>0</v>
      </c>
      <c r="W35" s="138">
        <v>0</v>
      </c>
      <c r="X35" s="138">
        <v>0</v>
      </c>
      <c r="Y35" s="138">
        <v>0</v>
      </c>
      <c r="Z35" s="138">
        <v>0</v>
      </c>
      <c r="AA35" s="138">
        <v>0</v>
      </c>
      <c r="AB35" s="138">
        <v>0</v>
      </c>
    </row>
    <row r="36" spans="1:28" x14ac:dyDescent="0.25">
      <c r="A36" s="82">
        <v>4</v>
      </c>
      <c r="B36" s="82">
        <v>11700</v>
      </c>
      <c r="C36" s="82">
        <v>11700</v>
      </c>
      <c r="D36" s="82">
        <v>0</v>
      </c>
      <c r="E36" s="82">
        <v>0</v>
      </c>
      <c r="F36" s="82">
        <v>0</v>
      </c>
      <c r="G36" s="82">
        <v>0</v>
      </c>
      <c r="H36" s="82">
        <v>0</v>
      </c>
      <c r="I36" s="82">
        <v>0</v>
      </c>
      <c r="J36" s="82">
        <v>0</v>
      </c>
      <c r="K36" s="82">
        <v>0</v>
      </c>
      <c r="L36" s="82">
        <v>0</v>
      </c>
      <c r="M36" s="82">
        <v>0</v>
      </c>
      <c r="N36" s="82">
        <v>0</v>
      </c>
      <c r="O36" s="82">
        <v>0</v>
      </c>
      <c r="P36" s="82">
        <v>0</v>
      </c>
      <c r="Q36" s="82">
        <v>0</v>
      </c>
      <c r="R36" s="82" t="s">
        <v>4990</v>
      </c>
      <c r="S36" s="82">
        <v>0</v>
      </c>
      <c r="T36" s="82">
        <v>0</v>
      </c>
      <c r="U36" s="82">
        <v>0</v>
      </c>
      <c r="V36" s="82">
        <v>0</v>
      </c>
      <c r="W36" s="82">
        <v>0</v>
      </c>
      <c r="X36" s="82">
        <v>0</v>
      </c>
      <c r="Y36" s="82">
        <v>0</v>
      </c>
      <c r="Z36" s="82">
        <v>0</v>
      </c>
      <c r="AA36" s="82">
        <v>0</v>
      </c>
      <c r="AB36" s="82">
        <v>0</v>
      </c>
    </row>
    <row r="37" spans="1:28" x14ac:dyDescent="0.25">
      <c r="A37" s="138">
        <v>5</v>
      </c>
      <c r="B37" s="138">
        <v>11700</v>
      </c>
      <c r="C37" s="138">
        <v>11700</v>
      </c>
      <c r="D37" s="138">
        <v>0</v>
      </c>
      <c r="E37" s="138">
        <v>0</v>
      </c>
      <c r="F37" s="138">
        <v>0</v>
      </c>
      <c r="G37" s="138">
        <v>0</v>
      </c>
      <c r="H37" s="138">
        <v>0</v>
      </c>
      <c r="I37" s="138">
        <v>0</v>
      </c>
      <c r="J37" s="138">
        <v>0</v>
      </c>
      <c r="K37" s="138">
        <v>0</v>
      </c>
      <c r="L37" s="138">
        <v>0</v>
      </c>
      <c r="M37" s="138">
        <v>0</v>
      </c>
      <c r="N37" s="138">
        <v>0</v>
      </c>
      <c r="O37" s="138">
        <v>0</v>
      </c>
      <c r="P37" s="138">
        <v>0</v>
      </c>
      <c r="Q37" s="138">
        <v>0</v>
      </c>
      <c r="R37" s="138" t="s">
        <v>4990</v>
      </c>
      <c r="S37" s="138">
        <v>0</v>
      </c>
      <c r="T37" s="138">
        <v>0</v>
      </c>
      <c r="U37" s="138">
        <v>0</v>
      </c>
      <c r="V37" s="138">
        <v>0</v>
      </c>
      <c r="W37" s="138">
        <v>0</v>
      </c>
      <c r="X37" s="138">
        <v>0</v>
      </c>
      <c r="Y37" s="138">
        <v>0</v>
      </c>
      <c r="Z37" s="138">
        <v>0</v>
      </c>
      <c r="AA37" s="138">
        <v>0</v>
      </c>
      <c r="AB37" s="138">
        <v>0</v>
      </c>
    </row>
    <row r="38" spans="1:28" x14ac:dyDescent="0.25">
      <c r="A38" s="82">
        <v>6</v>
      </c>
      <c r="B38" s="82">
        <v>11700</v>
      </c>
      <c r="C38" s="82">
        <v>11700</v>
      </c>
      <c r="D38" s="82">
        <v>0</v>
      </c>
      <c r="E38" s="82">
        <v>0</v>
      </c>
      <c r="F38" s="82">
        <v>0</v>
      </c>
      <c r="G38" s="82">
        <v>0</v>
      </c>
      <c r="H38" s="82">
        <v>0</v>
      </c>
      <c r="I38" s="82">
        <v>0</v>
      </c>
      <c r="J38" s="82">
        <v>0</v>
      </c>
      <c r="K38" s="82">
        <v>0</v>
      </c>
      <c r="L38" s="82">
        <v>0</v>
      </c>
      <c r="M38" s="82">
        <v>0</v>
      </c>
      <c r="N38" s="82">
        <v>0</v>
      </c>
      <c r="O38" s="82">
        <v>0</v>
      </c>
      <c r="P38" s="82">
        <v>0</v>
      </c>
      <c r="Q38" s="82">
        <v>0</v>
      </c>
      <c r="R38" s="82" t="s">
        <v>4990</v>
      </c>
      <c r="S38" s="82">
        <v>0</v>
      </c>
      <c r="T38" s="82">
        <v>0</v>
      </c>
      <c r="U38" s="82">
        <v>0</v>
      </c>
      <c r="V38" s="82">
        <v>0</v>
      </c>
      <c r="W38" s="82">
        <v>0</v>
      </c>
      <c r="X38" s="82">
        <v>0</v>
      </c>
      <c r="Y38" s="82">
        <v>0</v>
      </c>
      <c r="Z38" s="82">
        <v>0</v>
      </c>
      <c r="AA38" s="82">
        <v>0</v>
      </c>
      <c r="AB38" s="82">
        <v>0</v>
      </c>
    </row>
    <row r="39" spans="1:28" x14ac:dyDescent="0.25">
      <c r="A39" s="138">
        <v>7</v>
      </c>
      <c r="B39" s="138">
        <v>11700</v>
      </c>
      <c r="C39" s="138">
        <v>11700</v>
      </c>
      <c r="D39" s="138">
        <v>0</v>
      </c>
      <c r="E39" s="138">
        <v>0</v>
      </c>
      <c r="F39" s="138">
        <v>0</v>
      </c>
      <c r="G39" s="138">
        <v>0</v>
      </c>
      <c r="H39" s="138">
        <v>0</v>
      </c>
      <c r="I39" s="138">
        <v>0</v>
      </c>
      <c r="J39" s="138">
        <v>0</v>
      </c>
      <c r="K39" s="138">
        <v>0</v>
      </c>
      <c r="L39" s="138">
        <v>0</v>
      </c>
      <c r="M39" s="138">
        <v>0</v>
      </c>
      <c r="N39" s="138">
        <v>0</v>
      </c>
      <c r="O39" s="138">
        <v>0</v>
      </c>
      <c r="P39" s="138">
        <v>0</v>
      </c>
      <c r="Q39" s="138">
        <v>0</v>
      </c>
      <c r="R39" s="138" t="s">
        <v>4990</v>
      </c>
      <c r="S39" s="138">
        <v>0</v>
      </c>
      <c r="T39" s="138">
        <v>0</v>
      </c>
      <c r="U39" s="138">
        <v>0</v>
      </c>
      <c r="V39" s="138">
        <v>0</v>
      </c>
      <c r="W39" s="138">
        <v>0</v>
      </c>
      <c r="X39" s="138">
        <v>0</v>
      </c>
      <c r="Y39" s="138">
        <v>0</v>
      </c>
      <c r="Z39" s="138">
        <v>0</v>
      </c>
      <c r="AA39" s="138">
        <v>0</v>
      </c>
      <c r="AB39" s="138">
        <v>0</v>
      </c>
    </row>
    <row r="40" spans="1:28" x14ac:dyDescent="0.25">
      <c r="A40" s="82">
        <v>8</v>
      </c>
      <c r="B40" s="82">
        <v>11700</v>
      </c>
      <c r="C40" s="82">
        <v>11700</v>
      </c>
      <c r="D40" s="82">
        <v>0</v>
      </c>
      <c r="E40" s="82">
        <v>0</v>
      </c>
      <c r="F40" s="82">
        <v>0</v>
      </c>
      <c r="G40" s="82">
        <v>0</v>
      </c>
      <c r="H40" s="82">
        <v>0</v>
      </c>
      <c r="I40" s="82">
        <v>0</v>
      </c>
      <c r="J40" s="82">
        <v>0</v>
      </c>
      <c r="K40" s="82">
        <v>0</v>
      </c>
      <c r="L40" s="82">
        <v>0</v>
      </c>
      <c r="M40" s="82">
        <v>0</v>
      </c>
      <c r="N40" s="82">
        <v>0</v>
      </c>
      <c r="O40" s="82">
        <v>0</v>
      </c>
      <c r="P40" s="82">
        <v>0</v>
      </c>
      <c r="Q40" s="82">
        <v>0</v>
      </c>
      <c r="R40" s="82" t="s">
        <v>4990</v>
      </c>
      <c r="S40" s="82">
        <v>0</v>
      </c>
      <c r="T40" s="82">
        <v>0</v>
      </c>
      <c r="U40" s="82">
        <v>0</v>
      </c>
      <c r="V40" s="82">
        <v>0</v>
      </c>
      <c r="W40" s="82">
        <v>0</v>
      </c>
      <c r="X40" s="82">
        <v>0</v>
      </c>
      <c r="Y40" s="82">
        <v>0</v>
      </c>
      <c r="Z40" s="82">
        <v>0</v>
      </c>
      <c r="AA40" s="82">
        <v>0</v>
      </c>
      <c r="AB40" s="82">
        <v>0</v>
      </c>
    </row>
    <row r="41" spans="1:28" x14ac:dyDescent="0.25">
      <c r="A41" s="138">
        <v>9</v>
      </c>
      <c r="B41" s="138">
        <v>11700</v>
      </c>
      <c r="C41" s="138">
        <v>11670</v>
      </c>
      <c r="D41" s="138">
        <v>30</v>
      </c>
      <c r="E41" s="138">
        <v>0</v>
      </c>
      <c r="F41" s="138">
        <v>0</v>
      </c>
      <c r="G41" s="138">
        <v>0</v>
      </c>
      <c r="H41" s="138">
        <v>0</v>
      </c>
      <c r="I41" s="138">
        <v>0</v>
      </c>
      <c r="J41" s="138">
        <v>0</v>
      </c>
      <c r="K41" s="138">
        <v>0</v>
      </c>
      <c r="L41" s="138">
        <v>0</v>
      </c>
      <c r="M41" s="138">
        <v>0</v>
      </c>
      <c r="N41" s="138">
        <v>0</v>
      </c>
      <c r="O41" s="138">
        <v>0</v>
      </c>
      <c r="P41" s="138">
        <v>0</v>
      </c>
      <c r="Q41" s="138">
        <v>0</v>
      </c>
      <c r="R41" s="138">
        <v>0</v>
      </c>
      <c r="S41" s="138">
        <v>0</v>
      </c>
      <c r="T41" s="138">
        <v>0</v>
      </c>
      <c r="U41" s="138" t="s">
        <v>4632</v>
      </c>
      <c r="V41" s="138">
        <v>0</v>
      </c>
      <c r="W41" s="138">
        <v>0</v>
      </c>
      <c r="X41" s="138" t="s">
        <v>4994</v>
      </c>
      <c r="Y41" s="138">
        <v>0</v>
      </c>
      <c r="Z41" s="138">
        <v>0</v>
      </c>
      <c r="AA41" s="138">
        <v>0</v>
      </c>
      <c r="AB41" s="138">
        <v>0</v>
      </c>
    </row>
    <row r="42" spans="1:28" x14ac:dyDescent="0.25">
      <c r="A42" s="82">
        <v>10</v>
      </c>
      <c r="B42" s="82">
        <v>11700</v>
      </c>
      <c r="C42" s="82">
        <v>11670</v>
      </c>
      <c r="D42" s="82">
        <v>30</v>
      </c>
      <c r="E42" s="82">
        <v>0</v>
      </c>
      <c r="F42" s="82">
        <v>0</v>
      </c>
      <c r="G42" s="82">
        <v>0</v>
      </c>
      <c r="H42" s="82">
        <v>0</v>
      </c>
      <c r="I42" s="82">
        <v>0</v>
      </c>
      <c r="J42" s="82">
        <v>0</v>
      </c>
      <c r="K42" s="82">
        <v>0</v>
      </c>
      <c r="L42" s="82">
        <v>0</v>
      </c>
      <c r="M42" s="82">
        <v>0</v>
      </c>
      <c r="N42" s="82">
        <v>0</v>
      </c>
      <c r="O42" s="82">
        <v>0</v>
      </c>
      <c r="P42" s="82">
        <v>0</v>
      </c>
      <c r="Q42" s="82">
        <v>0</v>
      </c>
      <c r="R42" s="82">
        <v>0</v>
      </c>
      <c r="S42" s="82">
        <v>0</v>
      </c>
      <c r="T42" s="82">
        <v>0</v>
      </c>
      <c r="U42" s="82" t="s">
        <v>4632</v>
      </c>
      <c r="V42" s="82">
        <v>0</v>
      </c>
      <c r="W42" s="82">
        <v>0</v>
      </c>
      <c r="X42" s="82" t="s">
        <v>4994</v>
      </c>
      <c r="Y42" s="82">
        <v>0</v>
      </c>
      <c r="Z42" s="82">
        <v>0</v>
      </c>
      <c r="AA42" s="82">
        <v>0</v>
      </c>
      <c r="AB42" s="82">
        <v>0</v>
      </c>
    </row>
    <row r="43" spans="1:28" x14ac:dyDescent="0.25">
      <c r="A43" s="138">
        <v>11</v>
      </c>
      <c r="B43" s="138">
        <v>11700</v>
      </c>
      <c r="C43" s="138">
        <v>11670</v>
      </c>
      <c r="D43" s="138">
        <v>30</v>
      </c>
      <c r="E43" s="138">
        <v>0</v>
      </c>
      <c r="F43" s="138">
        <v>0</v>
      </c>
      <c r="G43" s="138">
        <v>0</v>
      </c>
      <c r="H43" s="138">
        <v>0</v>
      </c>
      <c r="I43" s="138">
        <v>0</v>
      </c>
      <c r="J43" s="138">
        <v>0</v>
      </c>
      <c r="K43" s="138">
        <v>0</v>
      </c>
      <c r="L43" s="138">
        <v>0</v>
      </c>
      <c r="M43" s="138">
        <v>0</v>
      </c>
      <c r="N43" s="138">
        <v>0</v>
      </c>
      <c r="O43" s="138">
        <v>0</v>
      </c>
      <c r="P43" s="138">
        <v>0</v>
      </c>
      <c r="Q43" s="138">
        <v>0</v>
      </c>
      <c r="R43" s="138">
        <v>0</v>
      </c>
      <c r="S43" s="138">
        <v>0</v>
      </c>
      <c r="T43" s="138">
        <v>0</v>
      </c>
      <c r="U43" s="138" t="s">
        <v>4632</v>
      </c>
      <c r="V43" s="138">
        <v>0</v>
      </c>
      <c r="W43" s="138">
        <v>0</v>
      </c>
      <c r="X43" s="138" t="s">
        <v>4994</v>
      </c>
      <c r="Y43" s="138">
        <v>0</v>
      </c>
      <c r="Z43" s="138">
        <v>0</v>
      </c>
      <c r="AA43" s="138">
        <v>0</v>
      </c>
      <c r="AB43" s="138">
        <v>0</v>
      </c>
    </row>
    <row r="44" spans="1:28" x14ac:dyDescent="0.25">
      <c r="A44" s="82">
        <v>12</v>
      </c>
      <c r="B44" s="82">
        <v>11700</v>
      </c>
      <c r="C44" s="82">
        <v>11630</v>
      </c>
      <c r="D44" s="82">
        <v>70</v>
      </c>
      <c r="E44" s="82">
        <v>0</v>
      </c>
      <c r="F44" s="82">
        <v>0</v>
      </c>
      <c r="G44" s="82">
        <v>0</v>
      </c>
      <c r="H44" s="82">
        <v>0</v>
      </c>
      <c r="I44" s="82">
        <v>0</v>
      </c>
      <c r="J44" s="82">
        <v>0</v>
      </c>
      <c r="K44" s="82">
        <v>0</v>
      </c>
      <c r="L44" s="82">
        <v>0</v>
      </c>
      <c r="M44" s="82">
        <v>0</v>
      </c>
      <c r="N44" s="82" t="s">
        <v>4991</v>
      </c>
      <c r="O44" s="82">
        <v>0</v>
      </c>
      <c r="P44" s="82">
        <v>0</v>
      </c>
      <c r="Q44" s="82">
        <v>0</v>
      </c>
      <c r="R44" s="82">
        <v>0</v>
      </c>
      <c r="S44" s="82">
        <v>0</v>
      </c>
      <c r="T44" s="82" t="s">
        <v>4639</v>
      </c>
      <c r="U44" s="82">
        <v>0</v>
      </c>
      <c r="V44" s="82">
        <v>0</v>
      </c>
      <c r="W44" s="82">
        <v>0</v>
      </c>
      <c r="X44" s="82">
        <v>0</v>
      </c>
      <c r="Y44" s="82">
        <v>0</v>
      </c>
      <c r="Z44" s="82">
        <v>0</v>
      </c>
      <c r="AA44" s="82">
        <v>0</v>
      </c>
      <c r="AB44" s="82">
        <v>0</v>
      </c>
    </row>
    <row r="45" spans="1:28" x14ac:dyDescent="0.25">
      <c r="A45" s="138">
        <v>13</v>
      </c>
      <c r="B45" s="138">
        <v>11700</v>
      </c>
      <c r="C45" s="138">
        <v>11630</v>
      </c>
      <c r="D45" s="138">
        <v>70</v>
      </c>
      <c r="E45" s="138">
        <v>0</v>
      </c>
      <c r="F45" s="138">
        <v>0</v>
      </c>
      <c r="G45" s="138">
        <v>0</v>
      </c>
      <c r="H45" s="138">
        <v>0</v>
      </c>
      <c r="I45" s="138">
        <v>0</v>
      </c>
      <c r="J45" s="138">
        <v>0</v>
      </c>
      <c r="K45" s="138">
        <v>0</v>
      </c>
      <c r="L45" s="138">
        <v>0</v>
      </c>
      <c r="M45" s="138">
        <v>0</v>
      </c>
      <c r="N45" s="138" t="s">
        <v>4991</v>
      </c>
      <c r="O45" s="138">
        <v>0</v>
      </c>
      <c r="P45" s="138">
        <v>0</v>
      </c>
      <c r="Q45" s="138">
        <v>0</v>
      </c>
      <c r="R45" s="138">
        <v>0</v>
      </c>
      <c r="S45" s="138">
        <v>0</v>
      </c>
      <c r="T45" s="138" t="s">
        <v>4639</v>
      </c>
      <c r="U45" s="138">
        <v>0</v>
      </c>
      <c r="V45" s="138">
        <v>0</v>
      </c>
      <c r="W45" s="138">
        <v>0</v>
      </c>
      <c r="X45" s="138">
        <v>0</v>
      </c>
      <c r="Y45" s="138">
        <v>0</v>
      </c>
      <c r="Z45" s="138">
        <v>0</v>
      </c>
      <c r="AA45" s="138">
        <v>0</v>
      </c>
      <c r="AB45" s="138">
        <v>0</v>
      </c>
    </row>
    <row r="46" spans="1:28" x14ac:dyDescent="0.25">
      <c r="A46" s="82">
        <v>14</v>
      </c>
      <c r="B46" s="82">
        <v>11700</v>
      </c>
      <c r="C46" s="82">
        <v>11630</v>
      </c>
      <c r="D46" s="82">
        <v>70</v>
      </c>
      <c r="E46" s="82">
        <v>0</v>
      </c>
      <c r="F46" s="82">
        <v>0</v>
      </c>
      <c r="G46" s="82">
        <v>0</v>
      </c>
      <c r="H46" s="82">
        <v>0</v>
      </c>
      <c r="I46" s="82">
        <v>0</v>
      </c>
      <c r="J46" s="82">
        <v>0</v>
      </c>
      <c r="K46" s="82">
        <v>0</v>
      </c>
      <c r="L46" s="82">
        <v>0</v>
      </c>
      <c r="M46" s="82">
        <v>0</v>
      </c>
      <c r="N46" s="82" t="s">
        <v>4991</v>
      </c>
      <c r="O46" s="82">
        <v>0</v>
      </c>
      <c r="P46" s="82">
        <v>0</v>
      </c>
      <c r="Q46" s="82">
        <v>0</v>
      </c>
      <c r="R46" s="82">
        <v>0</v>
      </c>
      <c r="S46" s="82">
        <v>0</v>
      </c>
      <c r="T46" s="82" t="s">
        <v>4639</v>
      </c>
      <c r="U46" s="82">
        <v>0</v>
      </c>
      <c r="V46" s="82">
        <v>0</v>
      </c>
      <c r="W46" s="82">
        <v>0</v>
      </c>
      <c r="X46" s="82">
        <v>0</v>
      </c>
      <c r="Y46" s="82">
        <v>0</v>
      </c>
      <c r="Z46" s="82">
        <v>0</v>
      </c>
      <c r="AA46" s="82">
        <v>0</v>
      </c>
      <c r="AB46" s="82">
        <v>0</v>
      </c>
    </row>
    <row r="47" spans="1:28" x14ac:dyDescent="0.25">
      <c r="A47" s="138">
        <v>15</v>
      </c>
      <c r="B47" s="138">
        <v>11700</v>
      </c>
      <c r="C47" s="138">
        <v>11630</v>
      </c>
      <c r="D47" s="138">
        <v>70</v>
      </c>
      <c r="E47" s="138">
        <v>0</v>
      </c>
      <c r="F47" s="138">
        <v>0</v>
      </c>
      <c r="G47" s="138">
        <v>0</v>
      </c>
      <c r="H47" s="138">
        <v>0</v>
      </c>
      <c r="I47" s="138">
        <v>0</v>
      </c>
      <c r="J47" s="138">
        <v>0</v>
      </c>
      <c r="K47" s="138">
        <v>0</v>
      </c>
      <c r="L47" s="138">
        <v>0</v>
      </c>
      <c r="M47" s="138">
        <v>0</v>
      </c>
      <c r="N47" s="138" t="s">
        <v>4991</v>
      </c>
      <c r="O47" s="138">
        <v>0</v>
      </c>
      <c r="P47" s="138">
        <v>0</v>
      </c>
      <c r="Q47" s="138">
        <v>0</v>
      </c>
      <c r="R47" s="138">
        <v>0</v>
      </c>
      <c r="S47" s="138">
        <v>0</v>
      </c>
      <c r="T47" s="138" t="s">
        <v>4639</v>
      </c>
      <c r="U47" s="138">
        <v>0</v>
      </c>
      <c r="V47" s="138">
        <v>0</v>
      </c>
      <c r="W47" s="138">
        <v>0</v>
      </c>
      <c r="X47" s="138">
        <v>0</v>
      </c>
      <c r="Y47" s="138">
        <v>0</v>
      </c>
      <c r="Z47" s="138">
        <v>0</v>
      </c>
      <c r="AA47" s="138">
        <v>0</v>
      </c>
      <c r="AB47" s="138">
        <v>0</v>
      </c>
    </row>
    <row r="48" spans="1:28" x14ac:dyDescent="0.25">
      <c r="A48" s="82">
        <v>16</v>
      </c>
      <c r="B48" s="82">
        <v>11700</v>
      </c>
      <c r="C48" s="82">
        <v>11630</v>
      </c>
      <c r="D48" s="82">
        <v>70</v>
      </c>
      <c r="E48" s="82">
        <v>0</v>
      </c>
      <c r="F48" s="82">
        <v>0</v>
      </c>
      <c r="G48" s="82">
        <v>0</v>
      </c>
      <c r="H48" s="82">
        <v>0</v>
      </c>
      <c r="I48" s="82">
        <v>0</v>
      </c>
      <c r="J48" s="82">
        <v>0</v>
      </c>
      <c r="K48" s="82">
        <v>0</v>
      </c>
      <c r="L48" s="82">
        <v>0</v>
      </c>
      <c r="M48" s="82">
        <v>0</v>
      </c>
      <c r="N48" s="82" t="s">
        <v>4991</v>
      </c>
      <c r="O48" s="82">
        <v>0</v>
      </c>
      <c r="P48" s="82">
        <v>0</v>
      </c>
      <c r="Q48" s="82">
        <v>0</v>
      </c>
      <c r="R48" s="82">
        <v>0</v>
      </c>
      <c r="S48" s="82">
        <v>0</v>
      </c>
      <c r="T48" s="82" t="s">
        <v>4639</v>
      </c>
      <c r="U48" s="82">
        <v>0</v>
      </c>
      <c r="V48" s="82">
        <v>0</v>
      </c>
      <c r="W48" s="82">
        <v>0</v>
      </c>
      <c r="X48" s="82">
        <v>0</v>
      </c>
      <c r="Y48" s="82">
        <v>0</v>
      </c>
      <c r="Z48" s="82">
        <v>0</v>
      </c>
      <c r="AA48" s="82">
        <v>0</v>
      </c>
      <c r="AB48" s="82">
        <v>0</v>
      </c>
    </row>
    <row r="49" spans="1:28" x14ac:dyDescent="0.25">
      <c r="A49" s="138">
        <v>17</v>
      </c>
      <c r="B49" s="138">
        <v>11700</v>
      </c>
      <c r="C49" s="138">
        <v>11630</v>
      </c>
      <c r="D49" s="138">
        <v>70</v>
      </c>
      <c r="E49" s="138">
        <v>0</v>
      </c>
      <c r="F49" s="138">
        <v>0</v>
      </c>
      <c r="G49" s="138">
        <v>0</v>
      </c>
      <c r="H49" s="138">
        <v>0</v>
      </c>
      <c r="I49" s="138">
        <v>0</v>
      </c>
      <c r="J49" s="138">
        <v>0</v>
      </c>
      <c r="K49" s="138">
        <v>0</v>
      </c>
      <c r="L49" s="138">
        <v>0</v>
      </c>
      <c r="M49" s="138">
        <v>0</v>
      </c>
      <c r="N49" s="138" t="s">
        <v>4991</v>
      </c>
      <c r="O49" s="138">
        <v>0</v>
      </c>
      <c r="P49" s="138">
        <v>0</v>
      </c>
      <c r="Q49" s="138">
        <v>0</v>
      </c>
      <c r="R49" s="138">
        <v>0</v>
      </c>
      <c r="S49" s="138">
        <v>0</v>
      </c>
      <c r="T49" s="138" t="s">
        <v>4639</v>
      </c>
      <c r="U49" s="138">
        <v>0</v>
      </c>
      <c r="V49" s="138">
        <v>0</v>
      </c>
      <c r="W49" s="138">
        <v>0</v>
      </c>
      <c r="X49" s="138">
        <v>0</v>
      </c>
      <c r="Y49" s="138">
        <v>0</v>
      </c>
      <c r="Z49" s="138">
        <v>0</v>
      </c>
      <c r="AA49" s="138">
        <v>0</v>
      </c>
      <c r="AB49" s="138">
        <v>0</v>
      </c>
    </row>
    <row r="50" spans="1:28" x14ac:dyDescent="0.25">
      <c r="A50" s="82">
        <v>18</v>
      </c>
      <c r="B50" s="82">
        <v>11700</v>
      </c>
      <c r="C50" s="82">
        <v>11630</v>
      </c>
      <c r="D50" s="82">
        <v>70</v>
      </c>
      <c r="E50" s="82">
        <v>0</v>
      </c>
      <c r="F50" s="82">
        <v>0</v>
      </c>
      <c r="G50" s="82">
        <v>0</v>
      </c>
      <c r="H50" s="82">
        <v>0</v>
      </c>
      <c r="I50" s="82">
        <v>0</v>
      </c>
      <c r="J50" s="82">
        <v>0</v>
      </c>
      <c r="K50" s="82">
        <v>0</v>
      </c>
      <c r="L50" s="82">
        <v>0</v>
      </c>
      <c r="M50" s="82">
        <v>0</v>
      </c>
      <c r="N50" s="82" t="s">
        <v>4991</v>
      </c>
      <c r="O50" s="82">
        <v>0</v>
      </c>
      <c r="P50" s="82">
        <v>0</v>
      </c>
      <c r="Q50" s="82">
        <v>0</v>
      </c>
      <c r="R50" s="82">
        <v>0</v>
      </c>
      <c r="S50" s="82">
        <v>0</v>
      </c>
      <c r="T50" s="82" t="s">
        <v>4639</v>
      </c>
      <c r="U50" s="82">
        <v>0</v>
      </c>
      <c r="V50" s="82">
        <v>0</v>
      </c>
      <c r="W50" s="82">
        <v>0</v>
      </c>
      <c r="X50" s="82">
        <v>0</v>
      </c>
      <c r="Y50" s="82">
        <v>0</v>
      </c>
      <c r="Z50" s="82">
        <v>0</v>
      </c>
      <c r="AA50" s="82">
        <v>0</v>
      </c>
      <c r="AB50" s="82">
        <v>0</v>
      </c>
    </row>
    <row r="51" spans="1:28" x14ac:dyDescent="0.25">
      <c r="A51" s="138">
        <v>19</v>
      </c>
      <c r="B51" s="138">
        <v>11700</v>
      </c>
      <c r="C51" s="138">
        <v>11380</v>
      </c>
      <c r="D51" s="138">
        <v>320</v>
      </c>
      <c r="E51" s="138">
        <v>0</v>
      </c>
      <c r="F51" s="138">
        <v>0</v>
      </c>
      <c r="G51" s="138">
        <v>0</v>
      </c>
      <c r="H51" s="138">
        <v>0</v>
      </c>
      <c r="I51" s="138">
        <v>0</v>
      </c>
      <c r="J51" s="138">
        <v>0</v>
      </c>
      <c r="K51" s="138">
        <v>0</v>
      </c>
      <c r="L51" s="138">
        <v>0</v>
      </c>
      <c r="M51" s="138">
        <v>0</v>
      </c>
      <c r="N51" s="138" t="s">
        <v>4991</v>
      </c>
      <c r="O51" s="138">
        <v>0</v>
      </c>
      <c r="P51" s="138">
        <v>0</v>
      </c>
      <c r="Q51" s="138">
        <v>0</v>
      </c>
      <c r="R51" s="138">
        <v>0</v>
      </c>
      <c r="S51" s="138">
        <v>0</v>
      </c>
      <c r="T51" s="138">
        <v>0</v>
      </c>
      <c r="U51" s="138" t="s">
        <v>4632</v>
      </c>
      <c r="V51" s="138">
        <v>0</v>
      </c>
      <c r="W51" s="138">
        <v>0</v>
      </c>
      <c r="X51" s="138">
        <v>0</v>
      </c>
      <c r="Y51" s="138">
        <v>0</v>
      </c>
      <c r="Z51" s="138">
        <v>0</v>
      </c>
      <c r="AA51" s="138">
        <v>0</v>
      </c>
      <c r="AB51" s="138">
        <v>0</v>
      </c>
    </row>
    <row r="52" spans="1:28" x14ac:dyDescent="0.25">
      <c r="A52" s="82">
        <v>20</v>
      </c>
      <c r="B52" s="82">
        <v>11700</v>
      </c>
      <c r="C52" s="82">
        <v>11300</v>
      </c>
      <c r="D52" s="82">
        <v>400</v>
      </c>
      <c r="E52" s="82" t="s">
        <v>4633</v>
      </c>
      <c r="F52" s="82">
        <v>0</v>
      </c>
      <c r="G52" s="82">
        <v>0</v>
      </c>
      <c r="H52" s="82">
        <v>0</v>
      </c>
      <c r="I52" s="82">
        <v>0</v>
      </c>
      <c r="J52" s="82">
        <v>0</v>
      </c>
      <c r="K52" s="82">
        <v>0</v>
      </c>
      <c r="L52" s="82">
        <v>0</v>
      </c>
      <c r="M52" s="82">
        <v>0</v>
      </c>
      <c r="N52" s="82">
        <v>0</v>
      </c>
      <c r="O52" s="82">
        <v>0</v>
      </c>
      <c r="P52" s="82">
        <v>0</v>
      </c>
      <c r="Q52" s="82">
        <v>0</v>
      </c>
      <c r="R52" s="82">
        <v>0</v>
      </c>
      <c r="S52" s="82">
        <v>0</v>
      </c>
      <c r="T52" s="82">
        <v>0</v>
      </c>
      <c r="U52" s="82">
        <v>0</v>
      </c>
      <c r="V52" s="82">
        <v>0</v>
      </c>
      <c r="W52" s="82">
        <v>0</v>
      </c>
      <c r="X52" s="82">
        <v>0</v>
      </c>
      <c r="Y52" s="82">
        <v>0</v>
      </c>
      <c r="Z52" s="82">
        <v>0</v>
      </c>
      <c r="AA52" s="82">
        <v>0</v>
      </c>
      <c r="AB52" s="82">
        <v>0</v>
      </c>
    </row>
    <row r="53" spans="1:28" x14ac:dyDescent="0.25">
      <c r="A53" s="138">
        <v>21</v>
      </c>
      <c r="B53" s="138">
        <v>11700</v>
      </c>
      <c r="C53" s="138">
        <v>11300</v>
      </c>
      <c r="D53" s="138">
        <v>400</v>
      </c>
      <c r="E53" s="138" t="s">
        <v>4633</v>
      </c>
      <c r="F53" s="138">
        <v>0</v>
      </c>
      <c r="G53" s="138">
        <v>0</v>
      </c>
      <c r="H53" s="138">
        <v>0</v>
      </c>
      <c r="I53" s="138">
        <v>0</v>
      </c>
      <c r="J53" s="138">
        <v>0</v>
      </c>
      <c r="K53" s="138">
        <v>0</v>
      </c>
      <c r="L53" s="138">
        <v>0</v>
      </c>
      <c r="M53" s="138">
        <v>0</v>
      </c>
      <c r="N53" s="138">
        <v>0</v>
      </c>
      <c r="O53" s="138">
        <v>0</v>
      </c>
      <c r="P53" s="138">
        <v>0</v>
      </c>
      <c r="Q53" s="138">
        <v>0</v>
      </c>
      <c r="R53" s="138">
        <v>0</v>
      </c>
      <c r="S53" s="138">
        <v>0</v>
      </c>
      <c r="T53" s="138">
        <v>0</v>
      </c>
      <c r="U53" s="138">
        <v>0</v>
      </c>
      <c r="V53" s="138">
        <v>0</v>
      </c>
      <c r="W53" s="138">
        <v>0</v>
      </c>
      <c r="X53" s="138">
        <v>0</v>
      </c>
      <c r="Y53" s="138">
        <v>0</v>
      </c>
      <c r="Z53" s="138">
        <v>0</v>
      </c>
      <c r="AA53" s="138">
        <v>0</v>
      </c>
      <c r="AB53" s="138">
        <v>0</v>
      </c>
    </row>
    <row r="54" spans="1:28" x14ac:dyDescent="0.25">
      <c r="A54" s="82">
        <v>22</v>
      </c>
      <c r="B54" s="82">
        <v>11700</v>
      </c>
      <c r="C54" s="82">
        <v>11300</v>
      </c>
      <c r="D54" s="82">
        <v>400</v>
      </c>
      <c r="E54" s="82" t="s">
        <v>4633</v>
      </c>
      <c r="F54" s="82">
        <v>0</v>
      </c>
      <c r="G54" s="82">
        <v>0</v>
      </c>
      <c r="H54" s="82">
        <v>0</v>
      </c>
      <c r="I54" s="82">
        <v>0</v>
      </c>
      <c r="J54" s="82">
        <v>0</v>
      </c>
      <c r="K54" s="82">
        <v>0</v>
      </c>
      <c r="L54" s="82">
        <v>0</v>
      </c>
      <c r="M54" s="82">
        <v>0</v>
      </c>
      <c r="N54" s="82">
        <v>0</v>
      </c>
      <c r="O54" s="82">
        <v>0</v>
      </c>
      <c r="P54" s="82">
        <v>0</v>
      </c>
      <c r="Q54" s="82">
        <v>0</v>
      </c>
      <c r="R54" s="82">
        <v>0</v>
      </c>
      <c r="S54" s="82">
        <v>0</v>
      </c>
      <c r="T54" s="82">
        <v>0</v>
      </c>
      <c r="U54" s="82">
        <v>0</v>
      </c>
      <c r="V54" s="82">
        <v>0</v>
      </c>
      <c r="W54" s="82">
        <v>0</v>
      </c>
      <c r="X54" s="82">
        <v>0</v>
      </c>
      <c r="Y54" s="82">
        <v>0</v>
      </c>
      <c r="Z54" s="82">
        <v>0</v>
      </c>
      <c r="AA54" s="82">
        <v>0</v>
      </c>
      <c r="AB54" s="82">
        <v>0</v>
      </c>
    </row>
    <row r="55" spans="1:28" x14ac:dyDescent="0.25">
      <c r="A55" s="138">
        <v>23</v>
      </c>
      <c r="B55" s="138">
        <v>11700</v>
      </c>
      <c r="C55" s="138">
        <v>11300</v>
      </c>
      <c r="D55" s="138">
        <v>400</v>
      </c>
      <c r="E55" s="138" t="s">
        <v>4633</v>
      </c>
      <c r="F55" s="138">
        <v>0</v>
      </c>
      <c r="G55" s="138">
        <v>0</v>
      </c>
      <c r="H55" s="138">
        <v>0</v>
      </c>
      <c r="I55" s="138">
        <v>0</v>
      </c>
      <c r="J55" s="138">
        <v>0</v>
      </c>
      <c r="K55" s="138">
        <v>0</v>
      </c>
      <c r="L55" s="138">
        <v>0</v>
      </c>
      <c r="M55" s="138">
        <v>0</v>
      </c>
      <c r="N55" s="138">
        <v>0</v>
      </c>
      <c r="O55" s="138">
        <v>0</v>
      </c>
      <c r="P55" s="138">
        <v>0</v>
      </c>
      <c r="Q55" s="138">
        <v>0</v>
      </c>
      <c r="R55" s="138">
        <v>0</v>
      </c>
      <c r="S55" s="138">
        <v>0</v>
      </c>
      <c r="T55" s="138">
        <v>0</v>
      </c>
      <c r="U55" s="138">
        <v>0</v>
      </c>
      <c r="V55" s="138">
        <v>0</v>
      </c>
      <c r="W55" s="138">
        <v>0</v>
      </c>
      <c r="X55" s="138">
        <v>0</v>
      </c>
      <c r="Y55" s="138">
        <v>0</v>
      </c>
      <c r="Z55" s="138">
        <v>0</v>
      </c>
      <c r="AA55" s="138">
        <v>0</v>
      </c>
      <c r="AB55" s="138">
        <v>0</v>
      </c>
    </row>
    <row r="56" spans="1:28" x14ac:dyDescent="0.25">
      <c r="A56" s="82">
        <v>24</v>
      </c>
      <c r="B56" s="82">
        <v>11700</v>
      </c>
      <c r="C56" s="82">
        <v>11300</v>
      </c>
      <c r="D56" s="82">
        <v>400</v>
      </c>
      <c r="E56" s="82" t="s">
        <v>4633</v>
      </c>
      <c r="F56" s="82">
        <v>0</v>
      </c>
      <c r="G56" s="82">
        <v>0</v>
      </c>
      <c r="H56" s="82">
        <v>0</v>
      </c>
      <c r="I56" s="82">
        <v>0</v>
      </c>
      <c r="J56" s="82">
        <v>0</v>
      </c>
      <c r="K56" s="82">
        <v>0</v>
      </c>
      <c r="L56" s="82">
        <v>0</v>
      </c>
      <c r="M56" s="82">
        <v>0</v>
      </c>
      <c r="N56" s="82">
        <v>0</v>
      </c>
      <c r="O56" s="82">
        <v>0</v>
      </c>
      <c r="P56" s="82">
        <v>0</v>
      </c>
      <c r="Q56" s="82">
        <v>0</v>
      </c>
      <c r="R56" s="82">
        <v>0</v>
      </c>
      <c r="S56" s="82">
        <v>0</v>
      </c>
      <c r="T56" s="82">
        <v>0</v>
      </c>
      <c r="U56" s="82">
        <v>0</v>
      </c>
      <c r="V56" s="82">
        <v>0</v>
      </c>
      <c r="W56" s="82">
        <v>0</v>
      </c>
      <c r="X56" s="82">
        <v>0</v>
      </c>
      <c r="Y56" s="82">
        <v>0</v>
      </c>
      <c r="Z56" s="82">
        <v>0</v>
      </c>
      <c r="AA56" s="82">
        <v>0</v>
      </c>
      <c r="AB56" s="82">
        <v>0</v>
      </c>
    </row>
    <row r="57" spans="1:28" x14ac:dyDescent="0.25">
      <c r="A57" s="138">
        <v>25</v>
      </c>
      <c r="B57" s="138">
        <v>11700</v>
      </c>
      <c r="C57" s="138">
        <v>11300</v>
      </c>
      <c r="D57" s="138">
        <v>400</v>
      </c>
      <c r="E57" s="138" t="s">
        <v>4633</v>
      </c>
      <c r="F57" s="138">
        <v>0</v>
      </c>
      <c r="G57" s="138">
        <v>0</v>
      </c>
      <c r="H57" s="138">
        <v>0</v>
      </c>
      <c r="I57" s="138">
        <v>0</v>
      </c>
      <c r="J57" s="138">
        <v>0</v>
      </c>
      <c r="K57" s="138">
        <v>0</v>
      </c>
      <c r="L57" s="138">
        <v>0</v>
      </c>
      <c r="M57" s="138">
        <v>0</v>
      </c>
      <c r="N57" s="138">
        <v>0</v>
      </c>
      <c r="O57" s="138">
        <v>0</v>
      </c>
      <c r="P57" s="138">
        <v>0</v>
      </c>
      <c r="Q57" s="138">
        <v>0</v>
      </c>
      <c r="R57" s="138">
        <v>0</v>
      </c>
      <c r="S57" s="138">
        <v>0</v>
      </c>
      <c r="T57" s="138">
        <v>0</v>
      </c>
      <c r="U57" s="138">
        <v>0</v>
      </c>
      <c r="V57" s="138">
        <v>0</v>
      </c>
      <c r="W57" s="138">
        <v>0</v>
      </c>
      <c r="X57" s="138">
        <v>0</v>
      </c>
      <c r="Y57" s="138">
        <v>0</v>
      </c>
      <c r="Z57" s="138">
        <v>0</v>
      </c>
      <c r="AA57" s="138">
        <v>0</v>
      </c>
      <c r="AB57" s="138">
        <v>0</v>
      </c>
    </row>
    <row r="58" spans="1:28" x14ac:dyDescent="0.25">
      <c r="A58" s="82">
        <v>26</v>
      </c>
      <c r="B58" s="82">
        <v>11700</v>
      </c>
      <c r="C58" s="82">
        <v>11300</v>
      </c>
      <c r="D58" s="82">
        <v>400</v>
      </c>
      <c r="E58" s="82" t="s">
        <v>4633</v>
      </c>
      <c r="F58" s="82">
        <v>0</v>
      </c>
      <c r="G58" s="82">
        <v>0</v>
      </c>
      <c r="H58" s="82">
        <v>0</v>
      </c>
      <c r="I58" s="82">
        <v>0</v>
      </c>
      <c r="J58" s="82">
        <v>0</v>
      </c>
      <c r="K58" s="82">
        <v>0</v>
      </c>
      <c r="L58" s="82">
        <v>0</v>
      </c>
      <c r="M58" s="82">
        <v>0</v>
      </c>
      <c r="N58" s="82">
        <v>0</v>
      </c>
      <c r="O58" s="82">
        <v>0</v>
      </c>
      <c r="P58" s="82">
        <v>0</v>
      </c>
      <c r="Q58" s="82">
        <v>0</v>
      </c>
      <c r="R58" s="82">
        <v>0</v>
      </c>
      <c r="S58" s="82">
        <v>0</v>
      </c>
      <c r="T58" s="82">
        <v>0</v>
      </c>
      <c r="U58" s="82">
        <v>0</v>
      </c>
      <c r="V58" s="82">
        <v>0</v>
      </c>
      <c r="W58" s="82">
        <v>0</v>
      </c>
      <c r="X58" s="82">
        <v>0</v>
      </c>
      <c r="Y58" s="82">
        <v>0</v>
      </c>
      <c r="Z58" s="82">
        <v>0</v>
      </c>
      <c r="AA58" s="82">
        <v>0</v>
      </c>
      <c r="AB58" s="82">
        <v>0</v>
      </c>
    </row>
    <row r="59" spans="1:28" x14ac:dyDescent="0.25">
      <c r="A59" s="138">
        <v>27</v>
      </c>
      <c r="B59" s="138">
        <v>11700</v>
      </c>
      <c r="C59" s="138">
        <v>11300</v>
      </c>
      <c r="D59" s="138">
        <v>400</v>
      </c>
      <c r="E59" s="138" t="s">
        <v>4633</v>
      </c>
      <c r="F59" s="138">
        <v>0</v>
      </c>
      <c r="G59" s="138">
        <v>0</v>
      </c>
      <c r="H59" s="138">
        <v>0</v>
      </c>
      <c r="I59" s="138">
        <v>0</v>
      </c>
      <c r="J59" s="138">
        <v>0</v>
      </c>
      <c r="K59" s="138">
        <v>0</v>
      </c>
      <c r="L59" s="138">
        <v>0</v>
      </c>
      <c r="M59" s="138">
        <v>0</v>
      </c>
      <c r="N59" s="138">
        <v>0</v>
      </c>
      <c r="O59" s="138">
        <v>0</v>
      </c>
      <c r="P59" s="138">
        <v>0</v>
      </c>
      <c r="Q59" s="138">
        <v>0</v>
      </c>
      <c r="R59" s="138">
        <v>0</v>
      </c>
      <c r="S59" s="138">
        <v>0</v>
      </c>
      <c r="T59" s="138">
        <v>0</v>
      </c>
      <c r="U59" s="138">
        <v>0</v>
      </c>
      <c r="V59" s="138">
        <v>0</v>
      </c>
      <c r="W59" s="138">
        <v>0</v>
      </c>
      <c r="X59" s="138">
        <v>0</v>
      </c>
      <c r="Y59" s="138">
        <v>0</v>
      </c>
      <c r="Z59" s="138">
        <v>0</v>
      </c>
      <c r="AA59" s="138">
        <v>0</v>
      </c>
      <c r="AB59" s="138">
        <v>0</v>
      </c>
    </row>
    <row r="60" spans="1:28" x14ac:dyDescent="0.25">
      <c r="A60" s="82">
        <v>28</v>
      </c>
      <c r="B60" s="82">
        <v>11700</v>
      </c>
      <c r="C60" s="82">
        <v>11300</v>
      </c>
      <c r="D60" s="82">
        <v>400</v>
      </c>
      <c r="E60" s="82" t="s">
        <v>4633</v>
      </c>
      <c r="F60" s="82">
        <v>0</v>
      </c>
      <c r="G60" s="82">
        <v>0</v>
      </c>
      <c r="H60" s="82">
        <v>0</v>
      </c>
      <c r="I60" s="82">
        <v>0</v>
      </c>
      <c r="J60" s="82">
        <v>0</v>
      </c>
      <c r="K60" s="82">
        <v>0</v>
      </c>
      <c r="L60" s="82">
        <v>0</v>
      </c>
      <c r="M60" s="82">
        <v>0</v>
      </c>
      <c r="N60" s="82">
        <v>0</v>
      </c>
      <c r="O60" s="82">
        <v>0</v>
      </c>
      <c r="P60" s="82">
        <v>0</v>
      </c>
      <c r="Q60" s="82">
        <v>0</v>
      </c>
      <c r="R60" s="82">
        <v>0</v>
      </c>
      <c r="S60" s="82">
        <v>0</v>
      </c>
      <c r="T60" s="82">
        <v>0</v>
      </c>
      <c r="U60" s="82">
        <v>0</v>
      </c>
      <c r="V60" s="82">
        <v>0</v>
      </c>
      <c r="W60" s="82">
        <v>0</v>
      </c>
      <c r="X60" s="82">
        <v>0</v>
      </c>
      <c r="Y60" s="82">
        <v>0</v>
      </c>
      <c r="Z60" s="82">
        <v>0</v>
      </c>
      <c r="AA60" s="82">
        <v>0</v>
      </c>
      <c r="AB60" s="82">
        <v>0</v>
      </c>
    </row>
    <row r="61" spans="1:28" x14ac:dyDescent="0.25">
      <c r="A61" s="138">
        <v>29</v>
      </c>
      <c r="B61" s="138">
        <v>11700</v>
      </c>
      <c r="C61" s="138">
        <v>11260</v>
      </c>
      <c r="D61" s="138">
        <v>440</v>
      </c>
      <c r="E61" s="138">
        <v>0</v>
      </c>
      <c r="F61" s="138" t="s">
        <v>4634</v>
      </c>
      <c r="G61" s="138">
        <v>0</v>
      </c>
      <c r="H61" s="138">
        <v>0</v>
      </c>
      <c r="I61" s="138">
        <v>0</v>
      </c>
      <c r="J61" s="138">
        <v>0</v>
      </c>
      <c r="K61" s="138">
        <v>0</v>
      </c>
      <c r="L61" s="138">
        <v>0</v>
      </c>
      <c r="M61" s="138">
        <v>0</v>
      </c>
      <c r="N61" s="138">
        <v>0</v>
      </c>
      <c r="O61" s="138">
        <v>0</v>
      </c>
      <c r="P61" s="138">
        <v>0</v>
      </c>
      <c r="Q61" s="138">
        <v>0</v>
      </c>
      <c r="R61" s="138">
        <v>0</v>
      </c>
      <c r="S61" s="138">
        <v>0</v>
      </c>
      <c r="T61" s="138">
        <v>0</v>
      </c>
      <c r="U61" s="138">
        <v>0</v>
      </c>
      <c r="V61" s="138">
        <v>0</v>
      </c>
      <c r="W61" s="138">
        <v>0</v>
      </c>
      <c r="X61" s="138">
        <v>0</v>
      </c>
      <c r="Y61" s="138">
        <v>0</v>
      </c>
      <c r="Z61" s="138">
        <v>0</v>
      </c>
      <c r="AA61" s="138">
        <v>0</v>
      </c>
      <c r="AB61" s="138">
        <v>0</v>
      </c>
    </row>
    <row r="62" spans="1:28" x14ac:dyDescent="0.25">
      <c r="A62" s="82">
        <v>30</v>
      </c>
      <c r="B62" s="82">
        <v>11700</v>
      </c>
      <c r="C62" s="82">
        <v>11260</v>
      </c>
      <c r="D62" s="82">
        <v>440</v>
      </c>
      <c r="E62" s="82">
        <v>0</v>
      </c>
      <c r="F62" s="82" t="s">
        <v>4634</v>
      </c>
      <c r="G62" s="82">
        <v>0</v>
      </c>
      <c r="H62" s="82">
        <v>0</v>
      </c>
      <c r="I62" s="82">
        <v>0</v>
      </c>
      <c r="J62" s="82">
        <v>0</v>
      </c>
      <c r="K62" s="82">
        <v>0</v>
      </c>
      <c r="L62" s="82">
        <v>0</v>
      </c>
      <c r="M62" s="82">
        <v>0</v>
      </c>
      <c r="N62" s="82">
        <v>0</v>
      </c>
      <c r="O62" s="82">
        <v>0</v>
      </c>
      <c r="P62" s="82">
        <v>0</v>
      </c>
      <c r="Q62" s="82">
        <v>0</v>
      </c>
      <c r="R62" s="82">
        <v>0</v>
      </c>
      <c r="S62" s="82">
        <v>0</v>
      </c>
      <c r="T62" s="82">
        <v>0</v>
      </c>
      <c r="U62" s="82">
        <v>0</v>
      </c>
      <c r="V62" s="82">
        <v>0</v>
      </c>
      <c r="W62" s="82">
        <v>0</v>
      </c>
      <c r="X62" s="82">
        <v>0</v>
      </c>
      <c r="Y62" s="82">
        <v>0</v>
      </c>
      <c r="Z62" s="82">
        <v>0</v>
      </c>
      <c r="AA62" s="82">
        <v>0</v>
      </c>
      <c r="AB62" s="82">
        <v>0</v>
      </c>
    </row>
    <row r="63" spans="1:28" x14ac:dyDescent="0.25">
      <c r="A63" s="138">
        <v>31</v>
      </c>
      <c r="B63" s="138">
        <v>11700</v>
      </c>
      <c r="C63" s="138">
        <v>11260</v>
      </c>
      <c r="D63" s="138">
        <v>440</v>
      </c>
      <c r="E63" s="138">
        <v>0</v>
      </c>
      <c r="F63" s="138" t="s">
        <v>4634</v>
      </c>
      <c r="G63" s="138">
        <v>0</v>
      </c>
      <c r="H63" s="138">
        <v>0</v>
      </c>
      <c r="I63" s="138">
        <v>0</v>
      </c>
      <c r="J63" s="138">
        <v>0</v>
      </c>
      <c r="K63" s="138">
        <v>0</v>
      </c>
      <c r="L63" s="138">
        <v>0</v>
      </c>
      <c r="M63" s="138">
        <v>0</v>
      </c>
      <c r="N63" s="138">
        <v>0</v>
      </c>
      <c r="O63" s="138">
        <v>0</v>
      </c>
      <c r="P63" s="138">
        <v>0</v>
      </c>
      <c r="Q63" s="138">
        <v>0</v>
      </c>
      <c r="R63" s="138">
        <v>0</v>
      </c>
      <c r="S63" s="138">
        <v>0</v>
      </c>
      <c r="T63" s="138">
        <v>0</v>
      </c>
      <c r="U63" s="138">
        <v>0</v>
      </c>
      <c r="V63" s="138">
        <v>0</v>
      </c>
      <c r="W63" s="138">
        <v>0</v>
      </c>
      <c r="X63" s="138">
        <v>0</v>
      </c>
      <c r="Y63" s="138">
        <v>0</v>
      </c>
      <c r="Z63" s="138">
        <v>0</v>
      </c>
      <c r="AA63" s="138">
        <v>0</v>
      </c>
      <c r="AB63" s="138">
        <v>0</v>
      </c>
    </row>
    <row r="64" spans="1:28" x14ac:dyDescent="0.25">
      <c r="A64" s="82">
        <v>32</v>
      </c>
      <c r="B64" s="82">
        <v>11700</v>
      </c>
      <c r="C64" s="82">
        <v>11260</v>
      </c>
      <c r="D64" s="82">
        <v>440</v>
      </c>
      <c r="E64" s="82">
        <v>0</v>
      </c>
      <c r="F64" s="82" t="s">
        <v>4634</v>
      </c>
      <c r="G64" s="82">
        <v>0</v>
      </c>
      <c r="H64" s="82">
        <v>0</v>
      </c>
      <c r="I64" s="82">
        <v>0</v>
      </c>
      <c r="J64" s="82">
        <v>0</v>
      </c>
      <c r="K64" s="82">
        <v>0</v>
      </c>
      <c r="L64" s="82">
        <v>0</v>
      </c>
      <c r="M64" s="82">
        <v>0</v>
      </c>
      <c r="N64" s="82">
        <v>0</v>
      </c>
      <c r="O64" s="82">
        <v>0</v>
      </c>
      <c r="P64" s="82">
        <v>0</v>
      </c>
      <c r="Q64" s="82">
        <v>0</v>
      </c>
      <c r="R64" s="82">
        <v>0</v>
      </c>
      <c r="S64" s="82">
        <v>0</v>
      </c>
      <c r="T64" s="82">
        <v>0</v>
      </c>
      <c r="U64" s="82">
        <v>0</v>
      </c>
      <c r="V64" s="82">
        <v>0</v>
      </c>
      <c r="W64" s="82">
        <v>0</v>
      </c>
      <c r="X64" s="82">
        <v>0</v>
      </c>
      <c r="Y64" s="82">
        <v>0</v>
      </c>
      <c r="Z64" s="82">
        <v>0</v>
      </c>
      <c r="AA64" s="82">
        <v>0</v>
      </c>
      <c r="AB64" s="82">
        <v>0</v>
      </c>
    </row>
    <row r="65" spans="1:28" x14ac:dyDescent="0.25">
      <c r="A65" s="138">
        <v>33</v>
      </c>
      <c r="B65" s="138">
        <v>11700</v>
      </c>
      <c r="C65" s="138">
        <v>11260</v>
      </c>
      <c r="D65" s="138">
        <v>440</v>
      </c>
      <c r="E65" s="138">
        <v>0</v>
      </c>
      <c r="F65" s="138" t="s">
        <v>4634</v>
      </c>
      <c r="G65" s="138">
        <v>0</v>
      </c>
      <c r="H65" s="138">
        <v>0</v>
      </c>
      <c r="I65" s="138">
        <v>0</v>
      </c>
      <c r="J65" s="138">
        <v>0</v>
      </c>
      <c r="K65" s="138">
        <v>0</v>
      </c>
      <c r="L65" s="138">
        <v>0</v>
      </c>
      <c r="M65" s="138">
        <v>0</v>
      </c>
      <c r="N65" s="138">
        <v>0</v>
      </c>
      <c r="O65" s="138">
        <v>0</v>
      </c>
      <c r="P65" s="138">
        <v>0</v>
      </c>
      <c r="Q65" s="138">
        <v>0</v>
      </c>
      <c r="R65" s="138">
        <v>0</v>
      </c>
      <c r="S65" s="138">
        <v>0</v>
      </c>
      <c r="T65" s="138">
        <v>0</v>
      </c>
      <c r="U65" s="138">
        <v>0</v>
      </c>
      <c r="V65" s="138">
        <v>0</v>
      </c>
      <c r="W65" s="138">
        <v>0</v>
      </c>
      <c r="X65" s="138">
        <v>0</v>
      </c>
      <c r="Y65" s="138">
        <v>0</v>
      </c>
      <c r="Z65" s="138">
        <v>0</v>
      </c>
      <c r="AA65" s="138">
        <v>0</v>
      </c>
      <c r="AB65" s="138">
        <v>0</v>
      </c>
    </row>
    <row r="66" spans="1:28" x14ac:dyDescent="0.25">
      <c r="A66" s="82">
        <v>34</v>
      </c>
      <c r="B66" s="82">
        <v>11700</v>
      </c>
      <c r="C66" s="82">
        <v>11260</v>
      </c>
      <c r="D66" s="82">
        <v>440</v>
      </c>
      <c r="E66" s="82">
        <v>0</v>
      </c>
      <c r="F66" s="82" t="s">
        <v>4634</v>
      </c>
      <c r="G66" s="82">
        <v>0</v>
      </c>
      <c r="H66" s="82">
        <v>0</v>
      </c>
      <c r="I66" s="82">
        <v>0</v>
      </c>
      <c r="J66" s="82">
        <v>0</v>
      </c>
      <c r="K66" s="82">
        <v>0</v>
      </c>
      <c r="L66" s="82">
        <v>0</v>
      </c>
      <c r="M66" s="82">
        <v>0</v>
      </c>
      <c r="N66" s="82">
        <v>0</v>
      </c>
      <c r="O66" s="82">
        <v>0</v>
      </c>
      <c r="P66" s="82">
        <v>0</v>
      </c>
      <c r="Q66" s="82">
        <v>0</v>
      </c>
      <c r="R66" s="82">
        <v>0</v>
      </c>
      <c r="S66" s="82">
        <v>0</v>
      </c>
      <c r="T66" s="82">
        <v>0</v>
      </c>
      <c r="U66" s="82">
        <v>0</v>
      </c>
      <c r="V66" s="82">
        <v>0</v>
      </c>
      <c r="W66" s="82">
        <v>0</v>
      </c>
      <c r="X66" s="82">
        <v>0</v>
      </c>
      <c r="Y66" s="82">
        <v>0</v>
      </c>
      <c r="Z66" s="82">
        <v>0</v>
      </c>
      <c r="AA66" s="82">
        <v>0</v>
      </c>
      <c r="AB66" s="82">
        <v>0</v>
      </c>
    </row>
    <row r="67" spans="1:28" x14ac:dyDescent="0.25">
      <c r="A67" s="138">
        <v>35</v>
      </c>
      <c r="B67" s="138">
        <v>11700</v>
      </c>
      <c r="C67" s="138">
        <v>11260</v>
      </c>
      <c r="D67" s="138">
        <v>440</v>
      </c>
      <c r="E67" s="138">
        <v>0</v>
      </c>
      <c r="F67" s="138" t="s">
        <v>4634</v>
      </c>
      <c r="G67" s="138">
        <v>0</v>
      </c>
      <c r="H67" s="138">
        <v>0</v>
      </c>
      <c r="I67" s="138">
        <v>0</v>
      </c>
      <c r="J67" s="138">
        <v>0</v>
      </c>
      <c r="K67" s="138">
        <v>0</v>
      </c>
      <c r="L67" s="138">
        <v>0</v>
      </c>
      <c r="M67" s="138">
        <v>0</v>
      </c>
      <c r="N67" s="138">
        <v>0</v>
      </c>
      <c r="O67" s="138">
        <v>0</v>
      </c>
      <c r="P67" s="138">
        <v>0</v>
      </c>
      <c r="Q67" s="138">
        <v>0</v>
      </c>
      <c r="R67" s="138">
        <v>0</v>
      </c>
      <c r="S67" s="138">
        <v>0</v>
      </c>
      <c r="T67" s="138">
        <v>0</v>
      </c>
      <c r="U67" s="138">
        <v>0</v>
      </c>
      <c r="V67" s="138">
        <v>0</v>
      </c>
      <c r="W67" s="138">
        <v>0</v>
      </c>
      <c r="X67" s="138">
        <v>0</v>
      </c>
      <c r="Y67" s="138">
        <v>0</v>
      </c>
      <c r="Z67" s="138">
        <v>0</v>
      </c>
      <c r="AA67" s="138">
        <v>0</v>
      </c>
      <c r="AB67" s="138">
        <v>0</v>
      </c>
    </row>
    <row r="68" spans="1:28" x14ac:dyDescent="0.25">
      <c r="A68" s="82">
        <v>36</v>
      </c>
      <c r="B68" s="82">
        <v>11700</v>
      </c>
      <c r="C68" s="82">
        <v>11260</v>
      </c>
      <c r="D68" s="82">
        <v>440</v>
      </c>
      <c r="E68" s="82">
        <v>0</v>
      </c>
      <c r="F68" s="82" t="s">
        <v>4634</v>
      </c>
      <c r="G68" s="82">
        <v>0</v>
      </c>
      <c r="H68" s="82">
        <v>0</v>
      </c>
      <c r="I68" s="82">
        <v>0</v>
      </c>
      <c r="J68" s="82">
        <v>0</v>
      </c>
      <c r="K68" s="82">
        <v>0</v>
      </c>
      <c r="L68" s="82">
        <v>0</v>
      </c>
      <c r="M68" s="82">
        <v>0</v>
      </c>
      <c r="N68" s="82">
        <v>0</v>
      </c>
      <c r="O68" s="82">
        <v>0</v>
      </c>
      <c r="P68" s="82">
        <v>0</v>
      </c>
      <c r="Q68" s="82">
        <v>0</v>
      </c>
      <c r="R68" s="82">
        <v>0</v>
      </c>
      <c r="S68" s="82">
        <v>0</v>
      </c>
      <c r="T68" s="82">
        <v>0</v>
      </c>
      <c r="U68" s="82">
        <v>0</v>
      </c>
      <c r="V68" s="82">
        <v>0</v>
      </c>
      <c r="W68" s="82">
        <v>0</v>
      </c>
      <c r="X68" s="82">
        <v>0</v>
      </c>
      <c r="Y68" s="82">
        <v>0</v>
      </c>
      <c r="Z68" s="82">
        <v>0</v>
      </c>
      <c r="AA68" s="82">
        <v>0</v>
      </c>
      <c r="AB68" s="82">
        <v>0</v>
      </c>
    </row>
    <row r="69" spans="1:28" x14ac:dyDescent="0.25">
      <c r="A69" s="138">
        <v>37</v>
      </c>
      <c r="B69" s="138">
        <v>11700</v>
      </c>
      <c r="C69" s="138">
        <v>11260</v>
      </c>
      <c r="D69" s="138">
        <v>440</v>
      </c>
      <c r="E69" s="138">
        <v>0</v>
      </c>
      <c r="F69" s="138" t="s">
        <v>4634</v>
      </c>
      <c r="G69" s="138">
        <v>0</v>
      </c>
      <c r="H69" s="138">
        <v>0</v>
      </c>
      <c r="I69" s="138">
        <v>0</v>
      </c>
      <c r="J69" s="138">
        <v>0</v>
      </c>
      <c r="K69" s="138">
        <v>0</v>
      </c>
      <c r="L69" s="138">
        <v>0</v>
      </c>
      <c r="M69" s="138">
        <v>0</v>
      </c>
      <c r="N69" s="138">
        <v>0</v>
      </c>
      <c r="O69" s="138">
        <v>0</v>
      </c>
      <c r="P69" s="138">
        <v>0</v>
      </c>
      <c r="Q69" s="138">
        <v>0</v>
      </c>
      <c r="R69" s="138">
        <v>0</v>
      </c>
      <c r="S69" s="138">
        <v>0</v>
      </c>
      <c r="T69" s="138">
        <v>0</v>
      </c>
      <c r="U69" s="138">
        <v>0</v>
      </c>
      <c r="V69" s="138">
        <v>0</v>
      </c>
      <c r="W69" s="138">
        <v>0</v>
      </c>
      <c r="X69" s="138">
        <v>0</v>
      </c>
      <c r="Y69" s="138">
        <v>0</v>
      </c>
      <c r="Z69" s="138">
        <v>0</v>
      </c>
      <c r="AA69" s="138">
        <v>0</v>
      </c>
      <c r="AB69" s="138">
        <v>0</v>
      </c>
    </row>
    <row r="70" spans="1:28" x14ac:dyDescent="0.25">
      <c r="A70" s="82">
        <v>38</v>
      </c>
      <c r="B70" s="82">
        <v>11700</v>
      </c>
      <c r="C70" s="82">
        <v>11250</v>
      </c>
      <c r="D70" s="82">
        <v>450</v>
      </c>
      <c r="E70" s="82">
        <v>0</v>
      </c>
      <c r="F70" s="82">
        <v>0</v>
      </c>
      <c r="G70" s="82">
        <v>0</v>
      </c>
      <c r="H70" s="82">
        <v>0</v>
      </c>
      <c r="I70" s="82">
        <v>0</v>
      </c>
      <c r="J70" s="82">
        <v>0</v>
      </c>
      <c r="K70" s="82">
        <v>0</v>
      </c>
      <c r="L70" s="82">
        <v>0</v>
      </c>
      <c r="M70" s="82">
        <v>0</v>
      </c>
      <c r="N70" s="82">
        <v>0</v>
      </c>
      <c r="O70" s="82">
        <v>0</v>
      </c>
      <c r="P70" s="82">
        <v>0</v>
      </c>
      <c r="Q70" s="82">
        <v>0</v>
      </c>
      <c r="R70" s="82">
        <v>0</v>
      </c>
      <c r="S70" s="82">
        <v>0</v>
      </c>
      <c r="T70" s="82">
        <v>0</v>
      </c>
      <c r="U70" s="82">
        <v>0</v>
      </c>
      <c r="V70" s="82" t="s">
        <v>4995</v>
      </c>
      <c r="W70" s="82">
        <v>0</v>
      </c>
      <c r="X70" s="82">
        <v>0</v>
      </c>
      <c r="Y70" s="82">
        <v>0</v>
      </c>
      <c r="Z70" s="82">
        <v>0</v>
      </c>
      <c r="AA70" s="82">
        <v>0</v>
      </c>
      <c r="AB70" s="82">
        <v>0</v>
      </c>
    </row>
    <row r="71" spans="1:28" x14ac:dyDescent="0.25">
      <c r="A71" s="138">
        <v>39</v>
      </c>
      <c r="B71" s="138">
        <v>11700</v>
      </c>
      <c r="C71" s="138">
        <v>11250</v>
      </c>
      <c r="D71" s="138">
        <v>450</v>
      </c>
      <c r="E71" s="138">
        <v>0</v>
      </c>
      <c r="F71" s="138">
        <v>0</v>
      </c>
      <c r="G71" s="138">
        <v>0</v>
      </c>
      <c r="H71" s="138">
        <v>0</v>
      </c>
      <c r="I71" s="138">
        <v>0</v>
      </c>
      <c r="J71" s="138">
        <v>0</v>
      </c>
      <c r="K71" s="138">
        <v>0</v>
      </c>
      <c r="L71" s="138">
        <v>0</v>
      </c>
      <c r="M71" s="138">
        <v>0</v>
      </c>
      <c r="N71" s="138">
        <v>0</v>
      </c>
      <c r="O71" s="138">
        <v>0</v>
      </c>
      <c r="P71" s="138">
        <v>0</v>
      </c>
      <c r="Q71" s="138">
        <v>0</v>
      </c>
      <c r="R71" s="138">
        <v>0</v>
      </c>
      <c r="S71" s="138">
        <v>0</v>
      </c>
      <c r="T71" s="138">
        <v>0</v>
      </c>
      <c r="U71" s="138">
        <v>0</v>
      </c>
      <c r="V71" s="138" t="s">
        <v>4995</v>
      </c>
      <c r="W71" s="138">
        <v>0</v>
      </c>
      <c r="X71" s="138">
        <v>0</v>
      </c>
      <c r="Y71" s="138">
        <v>0</v>
      </c>
      <c r="Z71" s="138">
        <v>0</v>
      </c>
      <c r="AA71" s="138">
        <v>0</v>
      </c>
      <c r="AB71" s="138">
        <v>0</v>
      </c>
    </row>
    <row r="72" spans="1:28" x14ac:dyDescent="0.25">
      <c r="A72" s="82">
        <v>40</v>
      </c>
      <c r="B72" s="82">
        <v>11700</v>
      </c>
      <c r="C72" s="82">
        <v>11200</v>
      </c>
      <c r="D72" s="82">
        <v>500</v>
      </c>
      <c r="E72" s="82">
        <v>0</v>
      </c>
      <c r="F72" s="82">
        <v>0</v>
      </c>
      <c r="G72" s="82" t="s">
        <v>4635</v>
      </c>
      <c r="H72" s="82">
        <v>0</v>
      </c>
      <c r="I72" s="82">
        <v>0</v>
      </c>
      <c r="J72" s="82">
        <v>0</v>
      </c>
      <c r="K72" s="82">
        <v>0</v>
      </c>
      <c r="L72" s="82">
        <v>0</v>
      </c>
      <c r="M72" s="82">
        <v>0</v>
      </c>
      <c r="N72" s="82">
        <v>0</v>
      </c>
      <c r="O72" s="82">
        <v>0</v>
      </c>
      <c r="P72" s="82">
        <v>0</v>
      </c>
      <c r="Q72" s="82">
        <v>0</v>
      </c>
      <c r="R72" s="82">
        <v>0</v>
      </c>
      <c r="S72" s="82">
        <v>0</v>
      </c>
      <c r="T72" s="82">
        <v>0</v>
      </c>
      <c r="U72" s="82">
        <v>0</v>
      </c>
      <c r="V72" s="82">
        <v>0</v>
      </c>
      <c r="W72" s="82">
        <v>0</v>
      </c>
      <c r="X72" s="82">
        <v>0</v>
      </c>
      <c r="Y72" s="82">
        <v>0</v>
      </c>
      <c r="Z72" s="82">
        <v>0</v>
      </c>
      <c r="AA72" s="82">
        <v>0</v>
      </c>
      <c r="AB72" s="82">
        <v>0</v>
      </c>
    </row>
    <row r="73" spans="1:28" x14ac:dyDescent="0.25">
      <c r="A73" s="138">
        <v>41</v>
      </c>
      <c r="B73" s="138">
        <v>11700</v>
      </c>
      <c r="C73" s="138">
        <v>11200</v>
      </c>
      <c r="D73" s="138">
        <v>500</v>
      </c>
      <c r="E73" s="138">
        <v>0</v>
      </c>
      <c r="F73" s="138">
        <v>0</v>
      </c>
      <c r="G73" s="138" t="s">
        <v>4635</v>
      </c>
      <c r="H73" s="138">
        <v>0</v>
      </c>
      <c r="I73" s="138">
        <v>0</v>
      </c>
      <c r="J73" s="138">
        <v>0</v>
      </c>
      <c r="K73" s="138">
        <v>0</v>
      </c>
      <c r="L73" s="138">
        <v>0</v>
      </c>
      <c r="M73" s="138">
        <v>0</v>
      </c>
      <c r="N73" s="138">
        <v>0</v>
      </c>
      <c r="O73" s="138">
        <v>0</v>
      </c>
      <c r="P73" s="138">
        <v>0</v>
      </c>
      <c r="Q73" s="138">
        <v>0</v>
      </c>
      <c r="R73" s="138">
        <v>0</v>
      </c>
      <c r="S73" s="138">
        <v>0</v>
      </c>
      <c r="T73" s="138">
        <v>0</v>
      </c>
      <c r="U73" s="138">
        <v>0</v>
      </c>
      <c r="V73" s="138">
        <v>0</v>
      </c>
      <c r="W73" s="138">
        <v>0</v>
      </c>
      <c r="X73" s="138">
        <v>0</v>
      </c>
      <c r="Y73" s="138">
        <v>0</v>
      </c>
      <c r="Z73" s="138">
        <v>0</v>
      </c>
      <c r="AA73" s="138">
        <v>0</v>
      </c>
      <c r="AB73" s="138">
        <v>0</v>
      </c>
    </row>
    <row r="74" spans="1:28" x14ac:dyDescent="0.25">
      <c r="A74" s="82">
        <v>42</v>
      </c>
      <c r="B74" s="82">
        <v>11700</v>
      </c>
      <c r="C74" s="82">
        <v>11200</v>
      </c>
      <c r="D74" s="82">
        <v>500</v>
      </c>
      <c r="E74" s="82">
        <v>0</v>
      </c>
      <c r="F74" s="82">
        <v>0</v>
      </c>
      <c r="G74" s="82" t="s">
        <v>4635</v>
      </c>
      <c r="H74" s="82">
        <v>0</v>
      </c>
      <c r="I74" s="82">
        <v>0</v>
      </c>
      <c r="J74" s="82">
        <v>0</v>
      </c>
      <c r="K74" s="82">
        <v>0</v>
      </c>
      <c r="L74" s="82">
        <v>0</v>
      </c>
      <c r="M74" s="82">
        <v>0</v>
      </c>
      <c r="N74" s="82">
        <v>0</v>
      </c>
      <c r="O74" s="82">
        <v>0</v>
      </c>
      <c r="P74" s="82">
        <v>0</v>
      </c>
      <c r="Q74" s="82">
        <v>0</v>
      </c>
      <c r="R74" s="82">
        <v>0</v>
      </c>
      <c r="S74" s="82">
        <v>0</v>
      </c>
      <c r="T74" s="82">
        <v>0</v>
      </c>
      <c r="U74" s="82">
        <v>0</v>
      </c>
      <c r="V74" s="82">
        <v>0</v>
      </c>
      <c r="W74" s="82">
        <v>0</v>
      </c>
      <c r="X74" s="82">
        <v>0</v>
      </c>
      <c r="Y74" s="82">
        <v>0</v>
      </c>
      <c r="Z74" s="82">
        <v>0</v>
      </c>
      <c r="AA74" s="82">
        <v>0</v>
      </c>
      <c r="AB74" s="82">
        <v>0</v>
      </c>
    </row>
    <row r="75" spans="1:28" x14ac:dyDescent="0.25">
      <c r="A75" s="138">
        <v>43</v>
      </c>
      <c r="B75" s="138">
        <v>11700</v>
      </c>
      <c r="C75" s="138">
        <v>11200</v>
      </c>
      <c r="D75" s="138">
        <v>500</v>
      </c>
      <c r="E75" s="138">
        <v>0</v>
      </c>
      <c r="F75" s="138">
        <v>0</v>
      </c>
      <c r="G75" s="138" t="s">
        <v>4635</v>
      </c>
      <c r="H75" s="138">
        <v>0</v>
      </c>
      <c r="I75" s="138">
        <v>0</v>
      </c>
      <c r="J75" s="138">
        <v>0</v>
      </c>
      <c r="K75" s="138">
        <v>0</v>
      </c>
      <c r="L75" s="138">
        <v>0</v>
      </c>
      <c r="M75" s="138">
        <v>0</v>
      </c>
      <c r="N75" s="138">
        <v>0</v>
      </c>
      <c r="O75" s="138">
        <v>0</v>
      </c>
      <c r="P75" s="138">
        <v>0</v>
      </c>
      <c r="Q75" s="138">
        <v>0</v>
      </c>
      <c r="R75" s="138">
        <v>0</v>
      </c>
      <c r="S75" s="138">
        <v>0</v>
      </c>
      <c r="T75" s="138">
        <v>0</v>
      </c>
      <c r="U75" s="138">
        <v>0</v>
      </c>
      <c r="V75" s="138">
        <v>0</v>
      </c>
      <c r="W75" s="138">
        <v>0</v>
      </c>
      <c r="X75" s="138">
        <v>0</v>
      </c>
      <c r="Y75" s="138">
        <v>0</v>
      </c>
      <c r="Z75" s="138">
        <v>0</v>
      </c>
      <c r="AA75" s="138">
        <v>0</v>
      </c>
      <c r="AB75" s="138">
        <v>0</v>
      </c>
    </row>
    <row r="76" spans="1:28" x14ac:dyDescent="0.25">
      <c r="A76" s="82">
        <v>44</v>
      </c>
      <c r="B76" s="82">
        <v>11700</v>
      </c>
      <c r="C76" s="82">
        <v>11200</v>
      </c>
      <c r="D76" s="82">
        <v>500</v>
      </c>
      <c r="E76" s="82">
        <v>0</v>
      </c>
      <c r="F76" s="82">
        <v>0</v>
      </c>
      <c r="G76" s="82" t="s">
        <v>4635</v>
      </c>
      <c r="H76" s="82">
        <v>0</v>
      </c>
      <c r="I76" s="82">
        <v>0</v>
      </c>
      <c r="J76" s="82">
        <v>0</v>
      </c>
      <c r="K76" s="82">
        <v>0</v>
      </c>
      <c r="L76" s="82">
        <v>0</v>
      </c>
      <c r="M76" s="82">
        <v>0</v>
      </c>
      <c r="N76" s="82">
        <v>0</v>
      </c>
      <c r="O76" s="82">
        <v>0</v>
      </c>
      <c r="P76" s="82">
        <v>0</v>
      </c>
      <c r="Q76" s="82">
        <v>0</v>
      </c>
      <c r="R76" s="82">
        <v>0</v>
      </c>
      <c r="S76" s="82">
        <v>0</v>
      </c>
      <c r="T76" s="82">
        <v>0</v>
      </c>
      <c r="U76" s="82">
        <v>0</v>
      </c>
      <c r="V76" s="82">
        <v>0</v>
      </c>
      <c r="W76" s="82">
        <v>0</v>
      </c>
      <c r="X76" s="82">
        <v>0</v>
      </c>
      <c r="Y76" s="82">
        <v>0</v>
      </c>
      <c r="Z76" s="82">
        <v>0</v>
      </c>
      <c r="AA76" s="82">
        <v>0</v>
      </c>
      <c r="AB76" s="82">
        <v>0</v>
      </c>
    </row>
    <row r="77" spans="1:28" x14ac:dyDescent="0.25">
      <c r="A77" s="138">
        <v>45</v>
      </c>
      <c r="B77" s="138">
        <v>11700</v>
      </c>
      <c r="C77" s="138">
        <v>11200</v>
      </c>
      <c r="D77" s="138">
        <v>500</v>
      </c>
      <c r="E77" s="138">
        <v>0</v>
      </c>
      <c r="F77" s="138">
        <v>0</v>
      </c>
      <c r="G77" s="138" t="s">
        <v>4635</v>
      </c>
      <c r="H77" s="138">
        <v>0</v>
      </c>
      <c r="I77" s="138">
        <v>0</v>
      </c>
      <c r="J77" s="138">
        <v>0</v>
      </c>
      <c r="K77" s="138">
        <v>0</v>
      </c>
      <c r="L77" s="138">
        <v>0</v>
      </c>
      <c r="M77" s="138">
        <v>0</v>
      </c>
      <c r="N77" s="138">
        <v>0</v>
      </c>
      <c r="O77" s="138">
        <v>0</v>
      </c>
      <c r="P77" s="138">
        <v>0</v>
      </c>
      <c r="Q77" s="138">
        <v>0</v>
      </c>
      <c r="R77" s="138">
        <v>0</v>
      </c>
      <c r="S77" s="138">
        <v>0</v>
      </c>
      <c r="T77" s="138">
        <v>0</v>
      </c>
      <c r="U77" s="138">
        <v>0</v>
      </c>
      <c r="V77" s="138">
        <v>0</v>
      </c>
      <c r="W77" s="138">
        <v>0</v>
      </c>
      <c r="X77" s="138">
        <v>0</v>
      </c>
      <c r="Y77" s="138">
        <v>0</v>
      </c>
      <c r="Z77" s="138">
        <v>0</v>
      </c>
      <c r="AA77" s="138">
        <v>0</v>
      </c>
      <c r="AB77" s="138">
        <v>0</v>
      </c>
    </row>
    <row r="78" spans="1:28" x14ac:dyDescent="0.25">
      <c r="A78" s="82">
        <v>46</v>
      </c>
      <c r="B78" s="82">
        <v>11700</v>
      </c>
      <c r="C78" s="82">
        <v>11200</v>
      </c>
      <c r="D78" s="82">
        <v>500</v>
      </c>
      <c r="E78" s="82">
        <v>0</v>
      </c>
      <c r="F78" s="82">
        <v>0</v>
      </c>
      <c r="G78" s="82" t="s">
        <v>4635</v>
      </c>
      <c r="H78" s="82">
        <v>0</v>
      </c>
      <c r="I78" s="82">
        <v>0</v>
      </c>
      <c r="J78" s="82">
        <v>0</v>
      </c>
      <c r="K78" s="82">
        <v>0</v>
      </c>
      <c r="L78" s="82">
        <v>0</v>
      </c>
      <c r="M78" s="82">
        <v>0</v>
      </c>
      <c r="N78" s="82">
        <v>0</v>
      </c>
      <c r="O78" s="82">
        <v>0</v>
      </c>
      <c r="P78" s="82">
        <v>0</v>
      </c>
      <c r="Q78" s="82">
        <v>0</v>
      </c>
      <c r="R78" s="82">
        <v>0</v>
      </c>
      <c r="S78" s="82">
        <v>0</v>
      </c>
      <c r="T78" s="82">
        <v>0</v>
      </c>
      <c r="U78" s="82">
        <v>0</v>
      </c>
      <c r="V78" s="82">
        <v>0</v>
      </c>
      <c r="W78" s="82">
        <v>0</v>
      </c>
      <c r="X78" s="82">
        <v>0</v>
      </c>
      <c r="Y78" s="82">
        <v>0</v>
      </c>
      <c r="Z78" s="82">
        <v>0</v>
      </c>
      <c r="AA78" s="82">
        <v>0</v>
      </c>
      <c r="AB78" s="82">
        <v>0</v>
      </c>
    </row>
    <row r="79" spans="1:28" x14ac:dyDescent="0.25">
      <c r="A79" s="138">
        <v>47</v>
      </c>
      <c r="B79" s="138">
        <v>11700</v>
      </c>
      <c r="C79" s="138">
        <v>11200</v>
      </c>
      <c r="D79" s="138">
        <v>500</v>
      </c>
      <c r="E79" s="138">
        <v>0</v>
      </c>
      <c r="F79" s="138">
        <v>0</v>
      </c>
      <c r="G79" s="138" t="s">
        <v>4635</v>
      </c>
      <c r="H79" s="138">
        <v>0</v>
      </c>
      <c r="I79" s="138">
        <v>0</v>
      </c>
      <c r="J79" s="138">
        <v>0</v>
      </c>
      <c r="K79" s="138">
        <v>0</v>
      </c>
      <c r="L79" s="138">
        <v>0</v>
      </c>
      <c r="M79" s="138">
        <v>0</v>
      </c>
      <c r="N79" s="138">
        <v>0</v>
      </c>
      <c r="O79" s="138">
        <v>0</v>
      </c>
      <c r="P79" s="138">
        <v>0</v>
      </c>
      <c r="Q79" s="138">
        <v>0</v>
      </c>
      <c r="R79" s="138">
        <v>0</v>
      </c>
      <c r="S79" s="138">
        <v>0</v>
      </c>
      <c r="T79" s="138">
        <v>0</v>
      </c>
      <c r="U79" s="138">
        <v>0</v>
      </c>
      <c r="V79" s="138">
        <v>0</v>
      </c>
      <c r="W79" s="138">
        <v>0</v>
      </c>
      <c r="X79" s="138">
        <v>0</v>
      </c>
      <c r="Y79" s="138">
        <v>0</v>
      </c>
      <c r="Z79" s="138">
        <v>0</v>
      </c>
      <c r="AA79" s="138">
        <v>0</v>
      </c>
      <c r="AB79" s="138">
        <v>0</v>
      </c>
    </row>
    <row r="80" spans="1:28" x14ac:dyDescent="0.25">
      <c r="A80" s="82">
        <v>48</v>
      </c>
      <c r="B80" s="82">
        <v>11700</v>
      </c>
      <c r="C80" s="82">
        <v>11200</v>
      </c>
      <c r="D80" s="82">
        <v>500</v>
      </c>
      <c r="E80" s="82">
        <v>0</v>
      </c>
      <c r="F80" s="82">
        <v>0</v>
      </c>
      <c r="G80" s="82" t="s">
        <v>4635</v>
      </c>
      <c r="H80" s="82">
        <v>0</v>
      </c>
      <c r="I80" s="82">
        <v>0</v>
      </c>
      <c r="J80" s="82">
        <v>0</v>
      </c>
      <c r="K80" s="82">
        <v>0</v>
      </c>
      <c r="L80" s="82">
        <v>0</v>
      </c>
      <c r="M80" s="82">
        <v>0</v>
      </c>
      <c r="N80" s="82">
        <v>0</v>
      </c>
      <c r="O80" s="82">
        <v>0</v>
      </c>
      <c r="P80" s="82">
        <v>0</v>
      </c>
      <c r="Q80" s="82">
        <v>0</v>
      </c>
      <c r="R80" s="82">
        <v>0</v>
      </c>
      <c r="S80" s="82">
        <v>0</v>
      </c>
      <c r="T80" s="82">
        <v>0</v>
      </c>
      <c r="U80" s="82">
        <v>0</v>
      </c>
      <c r="V80" s="82">
        <v>0</v>
      </c>
      <c r="W80" s="82">
        <v>0</v>
      </c>
      <c r="X80" s="82">
        <v>0</v>
      </c>
      <c r="Y80" s="82">
        <v>0</v>
      </c>
      <c r="Z80" s="82">
        <v>0</v>
      </c>
      <c r="AA80" s="82">
        <v>0</v>
      </c>
      <c r="AB80" s="82">
        <v>0</v>
      </c>
    </row>
    <row r="81" spans="1:28" x14ac:dyDescent="0.25">
      <c r="A81" s="138">
        <v>49</v>
      </c>
      <c r="B81" s="138">
        <v>11700</v>
      </c>
      <c r="C81" s="138">
        <v>11160</v>
      </c>
      <c r="D81" s="138">
        <v>540</v>
      </c>
      <c r="E81" s="138">
        <v>0</v>
      </c>
      <c r="F81" s="138">
        <v>0</v>
      </c>
      <c r="G81" s="138">
        <v>0</v>
      </c>
      <c r="H81" s="138" t="s">
        <v>4636</v>
      </c>
      <c r="I81" s="138">
        <v>0</v>
      </c>
      <c r="J81" s="138">
        <v>0</v>
      </c>
      <c r="K81" s="138">
        <v>0</v>
      </c>
      <c r="L81" s="138">
        <v>0</v>
      </c>
      <c r="M81" s="138">
        <v>0</v>
      </c>
      <c r="N81" s="138">
        <v>0</v>
      </c>
      <c r="O81" s="138">
        <v>0</v>
      </c>
      <c r="P81" s="138">
        <v>0</v>
      </c>
      <c r="Q81" s="138">
        <v>0</v>
      </c>
      <c r="R81" s="138">
        <v>0</v>
      </c>
      <c r="S81" s="138">
        <v>0</v>
      </c>
      <c r="T81" s="138">
        <v>0</v>
      </c>
      <c r="U81" s="138">
        <v>0</v>
      </c>
      <c r="V81" s="138">
        <v>0</v>
      </c>
      <c r="W81" s="138">
        <v>0</v>
      </c>
      <c r="X81" s="138">
        <v>0</v>
      </c>
      <c r="Y81" s="138">
        <v>0</v>
      </c>
      <c r="Z81" s="138">
        <v>0</v>
      </c>
      <c r="AA81" s="138">
        <v>0</v>
      </c>
      <c r="AB81" s="138">
        <v>0</v>
      </c>
    </row>
    <row r="82" spans="1:28" x14ac:dyDescent="0.25">
      <c r="A82" s="82">
        <v>50</v>
      </c>
      <c r="B82" s="82">
        <v>11700</v>
      </c>
      <c r="C82" s="82">
        <v>11160</v>
      </c>
      <c r="D82" s="82">
        <v>540</v>
      </c>
      <c r="E82" s="82">
        <v>0</v>
      </c>
      <c r="F82" s="82">
        <v>0</v>
      </c>
      <c r="G82" s="82">
        <v>0</v>
      </c>
      <c r="H82" s="82" t="s">
        <v>4636</v>
      </c>
      <c r="I82" s="82">
        <v>0</v>
      </c>
      <c r="J82" s="82">
        <v>0</v>
      </c>
      <c r="K82" s="82">
        <v>0</v>
      </c>
      <c r="L82" s="82">
        <v>0</v>
      </c>
      <c r="M82" s="82">
        <v>0</v>
      </c>
      <c r="N82" s="82">
        <v>0</v>
      </c>
      <c r="O82" s="82">
        <v>0</v>
      </c>
      <c r="P82" s="82">
        <v>0</v>
      </c>
      <c r="Q82" s="82">
        <v>0</v>
      </c>
      <c r="R82" s="82">
        <v>0</v>
      </c>
      <c r="S82" s="82">
        <v>0</v>
      </c>
      <c r="T82" s="82">
        <v>0</v>
      </c>
      <c r="U82" s="82">
        <v>0</v>
      </c>
      <c r="V82" s="82">
        <v>0</v>
      </c>
      <c r="W82" s="82">
        <v>0</v>
      </c>
      <c r="X82" s="82">
        <v>0</v>
      </c>
      <c r="Y82" s="82">
        <v>0</v>
      </c>
      <c r="Z82" s="82">
        <v>0</v>
      </c>
      <c r="AA82" s="82">
        <v>0</v>
      </c>
      <c r="AB82" s="82">
        <v>0</v>
      </c>
    </row>
    <row r="83" spans="1:28" x14ac:dyDescent="0.25">
      <c r="A83" s="138">
        <v>51</v>
      </c>
      <c r="B83" s="138">
        <v>11700</v>
      </c>
      <c r="C83" s="138">
        <v>11160</v>
      </c>
      <c r="D83" s="138">
        <v>540</v>
      </c>
      <c r="E83" s="138">
        <v>0</v>
      </c>
      <c r="F83" s="138">
        <v>0</v>
      </c>
      <c r="G83" s="138">
        <v>0</v>
      </c>
      <c r="H83" s="138" t="s">
        <v>4636</v>
      </c>
      <c r="I83" s="138">
        <v>0</v>
      </c>
      <c r="J83" s="138">
        <v>0</v>
      </c>
      <c r="K83" s="138">
        <v>0</v>
      </c>
      <c r="L83" s="138">
        <v>0</v>
      </c>
      <c r="M83" s="138">
        <v>0</v>
      </c>
      <c r="N83" s="138">
        <v>0</v>
      </c>
      <c r="O83" s="138">
        <v>0</v>
      </c>
      <c r="P83" s="138">
        <v>0</v>
      </c>
      <c r="Q83" s="138">
        <v>0</v>
      </c>
      <c r="R83" s="138">
        <v>0</v>
      </c>
      <c r="S83" s="138">
        <v>0</v>
      </c>
      <c r="T83" s="138">
        <v>0</v>
      </c>
      <c r="U83" s="138">
        <v>0</v>
      </c>
      <c r="V83" s="138">
        <v>0</v>
      </c>
      <c r="W83" s="138">
        <v>0</v>
      </c>
      <c r="X83" s="138">
        <v>0</v>
      </c>
      <c r="Y83" s="138">
        <v>0</v>
      </c>
      <c r="Z83" s="138">
        <v>0</v>
      </c>
      <c r="AA83" s="138">
        <v>0</v>
      </c>
      <c r="AB83" s="138">
        <v>0</v>
      </c>
    </row>
    <row r="84" spans="1:28" x14ac:dyDescent="0.25">
      <c r="A84" s="82">
        <v>52</v>
      </c>
      <c r="B84" s="82">
        <v>11700</v>
      </c>
      <c r="C84" s="82">
        <v>11160</v>
      </c>
      <c r="D84" s="82">
        <v>540</v>
      </c>
      <c r="E84" s="82">
        <v>0</v>
      </c>
      <c r="F84" s="82">
        <v>0</v>
      </c>
      <c r="G84" s="82">
        <v>0</v>
      </c>
      <c r="H84" s="82" t="s">
        <v>4636</v>
      </c>
      <c r="I84" s="82">
        <v>0</v>
      </c>
      <c r="J84" s="82">
        <v>0</v>
      </c>
      <c r="K84" s="82">
        <v>0</v>
      </c>
      <c r="L84" s="82">
        <v>0</v>
      </c>
      <c r="M84" s="82">
        <v>0</v>
      </c>
      <c r="N84" s="82">
        <v>0</v>
      </c>
      <c r="O84" s="82">
        <v>0</v>
      </c>
      <c r="P84" s="82">
        <v>0</v>
      </c>
      <c r="Q84" s="82">
        <v>0</v>
      </c>
      <c r="R84" s="82">
        <v>0</v>
      </c>
      <c r="S84" s="82">
        <v>0</v>
      </c>
      <c r="T84" s="82">
        <v>0</v>
      </c>
      <c r="U84" s="82">
        <v>0</v>
      </c>
      <c r="V84" s="82">
        <v>0</v>
      </c>
      <c r="W84" s="82">
        <v>0</v>
      </c>
      <c r="X84" s="82">
        <v>0</v>
      </c>
      <c r="Y84" s="82">
        <v>0</v>
      </c>
      <c r="Z84" s="82">
        <v>0</v>
      </c>
      <c r="AA84" s="82">
        <v>0</v>
      </c>
      <c r="AB84" s="82">
        <v>0</v>
      </c>
    </row>
    <row r="85" spans="1:28" x14ac:dyDescent="0.25">
      <c r="A85" s="138">
        <v>53</v>
      </c>
      <c r="B85" s="138">
        <v>11700</v>
      </c>
      <c r="C85" s="138">
        <v>11160</v>
      </c>
      <c r="D85" s="138">
        <v>540</v>
      </c>
      <c r="E85" s="138">
        <v>0</v>
      </c>
      <c r="F85" s="138">
        <v>0</v>
      </c>
      <c r="G85" s="138">
        <v>0</v>
      </c>
      <c r="H85" s="138" t="s">
        <v>4636</v>
      </c>
      <c r="I85" s="138">
        <v>0</v>
      </c>
      <c r="J85" s="138">
        <v>0</v>
      </c>
      <c r="K85" s="138">
        <v>0</v>
      </c>
      <c r="L85" s="138">
        <v>0</v>
      </c>
      <c r="M85" s="138">
        <v>0</v>
      </c>
      <c r="N85" s="138">
        <v>0</v>
      </c>
      <c r="O85" s="138">
        <v>0</v>
      </c>
      <c r="P85" s="138">
        <v>0</v>
      </c>
      <c r="Q85" s="138">
        <v>0</v>
      </c>
      <c r="R85" s="138">
        <v>0</v>
      </c>
      <c r="S85" s="138">
        <v>0</v>
      </c>
      <c r="T85" s="138">
        <v>0</v>
      </c>
      <c r="U85" s="138">
        <v>0</v>
      </c>
      <c r="V85" s="138">
        <v>0</v>
      </c>
      <c r="W85" s="138">
        <v>0</v>
      </c>
      <c r="X85" s="138">
        <v>0</v>
      </c>
      <c r="Y85" s="138">
        <v>0</v>
      </c>
      <c r="Z85" s="138">
        <v>0</v>
      </c>
      <c r="AA85" s="138">
        <v>0</v>
      </c>
      <c r="AB85" s="138">
        <v>0</v>
      </c>
    </row>
    <row r="86" spans="1:28" x14ac:dyDescent="0.25">
      <c r="A86" s="82">
        <v>54</v>
      </c>
      <c r="B86" s="82">
        <v>11700</v>
      </c>
      <c r="C86" s="82">
        <v>11100</v>
      </c>
      <c r="D86" s="82">
        <v>600</v>
      </c>
      <c r="E86" s="82">
        <v>0</v>
      </c>
      <c r="F86" s="82">
        <v>0</v>
      </c>
      <c r="G86" s="82">
        <v>0</v>
      </c>
      <c r="H86" s="82">
        <v>0</v>
      </c>
      <c r="I86" s="82" t="s">
        <v>4637</v>
      </c>
      <c r="J86" s="82">
        <v>0</v>
      </c>
      <c r="K86" s="82">
        <v>0</v>
      </c>
      <c r="L86" s="82">
        <v>0</v>
      </c>
      <c r="M86" s="82">
        <v>0</v>
      </c>
      <c r="N86" s="82">
        <v>0</v>
      </c>
      <c r="O86" s="82">
        <v>0</v>
      </c>
      <c r="P86" s="82">
        <v>0</v>
      </c>
      <c r="Q86" s="82">
        <v>0</v>
      </c>
      <c r="R86" s="82">
        <v>0</v>
      </c>
      <c r="S86" s="82">
        <v>0</v>
      </c>
      <c r="T86" s="82">
        <v>0</v>
      </c>
      <c r="U86" s="82">
        <v>0</v>
      </c>
      <c r="V86" s="82">
        <v>0</v>
      </c>
      <c r="W86" s="82">
        <v>0</v>
      </c>
      <c r="X86" s="82">
        <v>0</v>
      </c>
      <c r="Y86" s="82">
        <v>0</v>
      </c>
      <c r="Z86" s="82">
        <v>0</v>
      </c>
      <c r="AA86" s="82">
        <v>0</v>
      </c>
      <c r="AB86" s="82">
        <v>0</v>
      </c>
    </row>
    <row r="87" spans="1:28" x14ac:dyDescent="0.25">
      <c r="A87" s="138">
        <v>55</v>
      </c>
      <c r="B87" s="138">
        <v>11700</v>
      </c>
      <c r="C87" s="138">
        <v>11100</v>
      </c>
      <c r="D87" s="138">
        <v>600</v>
      </c>
      <c r="E87" s="138">
        <v>0</v>
      </c>
      <c r="F87" s="138">
        <v>0</v>
      </c>
      <c r="G87" s="138">
        <v>0</v>
      </c>
      <c r="H87" s="138">
        <v>0</v>
      </c>
      <c r="I87" s="138" t="s">
        <v>4637</v>
      </c>
      <c r="J87" s="138">
        <v>0</v>
      </c>
      <c r="K87" s="138">
        <v>0</v>
      </c>
      <c r="L87" s="138">
        <v>0</v>
      </c>
      <c r="M87" s="138">
        <v>0</v>
      </c>
      <c r="N87" s="138">
        <v>0</v>
      </c>
      <c r="O87" s="138">
        <v>0</v>
      </c>
      <c r="P87" s="138">
        <v>0</v>
      </c>
      <c r="Q87" s="138">
        <v>0</v>
      </c>
      <c r="R87" s="138">
        <v>0</v>
      </c>
      <c r="S87" s="138">
        <v>0</v>
      </c>
      <c r="T87" s="138">
        <v>0</v>
      </c>
      <c r="U87" s="138">
        <v>0</v>
      </c>
      <c r="V87" s="138">
        <v>0</v>
      </c>
      <c r="W87" s="138">
        <v>0</v>
      </c>
      <c r="X87" s="138">
        <v>0</v>
      </c>
      <c r="Y87" s="138">
        <v>0</v>
      </c>
      <c r="Z87" s="138">
        <v>0</v>
      </c>
      <c r="AA87" s="138">
        <v>0</v>
      </c>
      <c r="AB87" s="138">
        <v>0</v>
      </c>
    </row>
    <row r="88" spans="1:28" x14ac:dyDescent="0.25">
      <c r="A88" s="82">
        <v>56</v>
      </c>
      <c r="B88" s="82">
        <v>11700</v>
      </c>
      <c r="C88" s="82">
        <v>11100</v>
      </c>
      <c r="D88" s="82">
        <v>600</v>
      </c>
      <c r="E88" s="82">
        <v>0</v>
      </c>
      <c r="F88" s="82">
        <v>0</v>
      </c>
      <c r="G88" s="82">
        <v>0</v>
      </c>
      <c r="H88" s="82">
        <v>0</v>
      </c>
      <c r="I88" s="82" t="s">
        <v>4637</v>
      </c>
      <c r="J88" s="82">
        <v>0</v>
      </c>
      <c r="K88" s="82">
        <v>0</v>
      </c>
      <c r="L88" s="82">
        <v>0</v>
      </c>
      <c r="M88" s="82">
        <v>0</v>
      </c>
      <c r="N88" s="82">
        <v>0</v>
      </c>
      <c r="O88" s="82">
        <v>0</v>
      </c>
      <c r="P88" s="82">
        <v>0</v>
      </c>
      <c r="Q88" s="82">
        <v>0</v>
      </c>
      <c r="R88" s="82">
        <v>0</v>
      </c>
      <c r="S88" s="82">
        <v>0</v>
      </c>
      <c r="T88" s="82">
        <v>0</v>
      </c>
      <c r="U88" s="82">
        <v>0</v>
      </c>
      <c r="V88" s="82">
        <v>0</v>
      </c>
      <c r="W88" s="82">
        <v>0</v>
      </c>
      <c r="X88" s="82">
        <v>0</v>
      </c>
      <c r="Y88" s="82">
        <v>0</v>
      </c>
      <c r="Z88" s="82">
        <v>0</v>
      </c>
      <c r="AA88" s="82">
        <v>0</v>
      </c>
      <c r="AB88" s="82">
        <v>0</v>
      </c>
    </row>
    <row r="89" spans="1:28" x14ac:dyDescent="0.25">
      <c r="A89" s="138">
        <v>57</v>
      </c>
      <c r="B89" s="138">
        <v>11700</v>
      </c>
      <c r="C89" s="138">
        <v>11100</v>
      </c>
      <c r="D89" s="138">
        <v>600</v>
      </c>
      <c r="E89" s="138">
        <v>0</v>
      </c>
      <c r="F89" s="138">
        <v>0</v>
      </c>
      <c r="G89" s="138">
        <v>0</v>
      </c>
      <c r="H89" s="138">
        <v>0</v>
      </c>
      <c r="I89" s="138" t="s">
        <v>4637</v>
      </c>
      <c r="J89" s="138">
        <v>0</v>
      </c>
      <c r="K89" s="138">
        <v>0</v>
      </c>
      <c r="L89" s="138">
        <v>0</v>
      </c>
      <c r="M89" s="138">
        <v>0</v>
      </c>
      <c r="N89" s="138">
        <v>0</v>
      </c>
      <c r="O89" s="138">
        <v>0</v>
      </c>
      <c r="P89" s="138">
        <v>0</v>
      </c>
      <c r="Q89" s="138">
        <v>0</v>
      </c>
      <c r="R89" s="138">
        <v>0</v>
      </c>
      <c r="S89" s="138">
        <v>0</v>
      </c>
      <c r="T89" s="138">
        <v>0</v>
      </c>
      <c r="U89" s="138">
        <v>0</v>
      </c>
      <c r="V89" s="138">
        <v>0</v>
      </c>
      <c r="W89" s="138">
        <v>0</v>
      </c>
      <c r="X89" s="138">
        <v>0</v>
      </c>
      <c r="Y89" s="138">
        <v>0</v>
      </c>
      <c r="Z89" s="138">
        <v>0</v>
      </c>
      <c r="AA89" s="138">
        <v>0</v>
      </c>
      <c r="AB89" s="138">
        <v>0</v>
      </c>
    </row>
    <row r="90" spans="1:28" x14ac:dyDescent="0.25">
      <c r="A90" s="82">
        <v>58</v>
      </c>
      <c r="B90" s="82">
        <v>11700</v>
      </c>
      <c r="C90" s="82">
        <v>11100</v>
      </c>
      <c r="D90" s="82">
        <v>600</v>
      </c>
      <c r="E90" s="82">
        <v>0</v>
      </c>
      <c r="F90" s="82">
        <v>0</v>
      </c>
      <c r="G90" s="82">
        <v>0</v>
      </c>
      <c r="H90" s="82">
        <v>0</v>
      </c>
      <c r="I90" s="82" t="s">
        <v>4637</v>
      </c>
      <c r="J90" s="82">
        <v>0</v>
      </c>
      <c r="K90" s="82">
        <v>0</v>
      </c>
      <c r="L90" s="82">
        <v>0</v>
      </c>
      <c r="M90" s="82">
        <v>0</v>
      </c>
      <c r="N90" s="82">
        <v>0</v>
      </c>
      <c r="O90" s="82">
        <v>0</v>
      </c>
      <c r="P90" s="82">
        <v>0</v>
      </c>
      <c r="Q90" s="82">
        <v>0</v>
      </c>
      <c r="R90" s="82">
        <v>0</v>
      </c>
      <c r="S90" s="82">
        <v>0</v>
      </c>
      <c r="T90" s="82">
        <v>0</v>
      </c>
      <c r="U90" s="82">
        <v>0</v>
      </c>
      <c r="V90" s="82">
        <v>0</v>
      </c>
      <c r="W90" s="82">
        <v>0</v>
      </c>
      <c r="X90" s="82">
        <v>0</v>
      </c>
      <c r="Y90" s="82">
        <v>0</v>
      </c>
      <c r="Z90" s="82">
        <v>0</v>
      </c>
      <c r="AA90" s="82">
        <v>0</v>
      </c>
      <c r="AB90" s="82">
        <v>0</v>
      </c>
    </row>
    <row r="91" spans="1:28" x14ac:dyDescent="0.25">
      <c r="A91" s="138">
        <v>59</v>
      </c>
      <c r="B91" s="138">
        <v>11700</v>
      </c>
      <c r="C91" s="138">
        <v>11000</v>
      </c>
      <c r="D91" s="138">
        <v>700</v>
      </c>
      <c r="E91" s="138">
        <v>0</v>
      </c>
      <c r="F91" s="138">
        <v>0</v>
      </c>
      <c r="G91" s="138">
        <v>0</v>
      </c>
      <c r="H91" s="138">
        <v>0</v>
      </c>
      <c r="I91" s="138">
        <v>0</v>
      </c>
      <c r="J91" s="138" t="s">
        <v>4626</v>
      </c>
      <c r="K91" s="138">
        <v>0</v>
      </c>
      <c r="L91" s="138">
        <v>0</v>
      </c>
      <c r="M91" s="138">
        <v>0</v>
      </c>
      <c r="N91" s="138">
        <v>0</v>
      </c>
      <c r="O91" s="138">
        <v>0</v>
      </c>
      <c r="P91" s="138">
        <v>0</v>
      </c>
      <c r="Q91" s="138">
        <v>0</v>
      </c>
      <c r="R91" s="138">
        <v>0</v>
      </c>
      <c r="S91" s="138">
        <v>0</v>
      </c>
      <c r="T91" s="138">
        <v>0</v>
      </c>
      <c r="U91" s="138">
        <v>0</v>
      </c>
      <c r="V91" s="138">
        <v>0</v>
      </c>
      <c r="W91" s="138">
        <v>0</v>
      </c>
      <c r="X91" s="138">
        <v>0</v>
      </c>
      <c r="Y91" s="138">
        <v>0</v>
      </c>
      <c r="Z91" s="138">
        <v>0</v>
      </c>
      <c r="AA91" s="138">
        <v>0</v>
      </c>
      <c r="AB91" s="138">
        <v>0</v>
      </c>
    </row>
    <row r="92" spans="1:28" x14ac:dyDescent="0.25">
      <c r="A92" s="82">
        <v>60</v>
      </c>
      <c r="B92" s="82">
        <v>11700</v>
      </c>
      <c r="C92" s="82">
        <v>11000</v>
      </c>
      <c r="D92" s="82">
        <v>700</v>
      </c>
      <c r="E92" s="82">
        <v>0</v>
      </c>
      <c r="F92" s="82">
        <v>0</v>
      </c>
      <c r="G92" s="82">
        <v>0</v>
      </c>
      <c r="H92" s="82">
        <v>0</v>
      </c>
      <c r="I92" s="82">
        <v>0</v>
      </c>
      <c r="J92" s="82" t="s">
        <v>4626</v>
      </c>
      <c r="K92" s="82">
        <v>0</v>
      </c>
      <c r="L92" s="82">
        <v>0</v>
      </c>
      <c r="M92" s="82">
        <v>0</v>
      </c>
      <c r="N92" s="82">
        <v>0</v>
      </c>
      <c r="O92" s="82">
        <v>0</v>
      </c>
      <c r="P92" s="82">
        <v>0</v>
      </c>
      <c r="Q92" s="82">
        <v>0</v>
      </c>
      <c r="R92" s="82">
        <v>0</v>
      </c>
      <c r="S92" s="82">
        <v>0</v>
      </c>
      <c r="T92" s="82">
        <v>0</v>
      </c>
      <c r="U92" s="82">
        <v>0</v>
      </c>
      <c r="V92" s="82">
        <v>0</v>
      </c>
      <c r="W92" s="82">
        <v>0</v>
      </c>
      <c r="X92" s="82">
        <v>0</v>
      </c>
      <c r="Y92" s="82">
        <v>0</v>
      </c>
      <c r="Z92" s="82">
        <v>0</v>
      </c>
      <c r="AA92" s="82">
        <v>0</v>
      </c>
      <c r="AB92" s="82">
        <v>0</v>
      </c>
    </row>
    <row r="93" spans="1:28" x14ac:dyDescent="0.25">
      <c r="A93" s="138">
        <v>61</v>
      </c>
      <c r="B93" s="138">
        <v>11700</v>
      </c>
      <c r="C93" s="138">
        <v>11000</v>
      </c>
      <c r="D93" s="138">
        <v>700</v>
      </c>
      <c r="E93" s="138">
        <v>0</v>
      </c>
      <c r="F93" s="138">
        <v>0</v>
      </c>
      <c r="G93" s="138">
        <v>0</v>
      </c>
      <c r="H93" s="138">
        <v>0</v>
      </c>
      <c r="I93" s="138">
        <v>0</v>
      </c>
      <c r="J93" s="138" t="s">
        <v>4626</v>
      </c>
      <c r="K93" s="138">
        <v>0</v>
      </c>
      <c r="L93" s="138">
        <v>0</v>
      </c>
      <c r="M93" s="138">
        <v>0</v>
      </c>
      <c r="N93" s="138">
        <v>0</v>
      </c>
      <c r="O93" s="138">
        <v>0</v>
      </c>
      <c r="P93" s="138">
        <v>0</v>
      </c>
      <c r="Q93" s="138">
        <v>0</v>
      </c>
      <c r="R93" s="138">
        <v>0</v>
      </c>
      <c r="S93" s="138">
        <v>0</v>
      </c>
      <c r="T93" s="138">
        <v>0</v>
      </c>
      <c r="U93" s="138">
        <v>0</v>
      </c>
      <c r="V93" s="138">
        <v>0</v>
      </c>
      <c r="W93" s="138">
        <v>0</v>
      </c>
      <c r="X93" s="138">
        <v>0</v>
      </c>
      <c r="Y93" s="138">
        <v>0</v>
      </c>
      <c r="Z93" s="138">
        <v>0</v>
      </c>
      <c r="AA93" s="138">
        <v>0</v>
      </c>
      <c r="AB93" s="138">
        <v>0</v>
      </c>
    </row>
    <row r="94" spans="1:28" x14ac:dyDescent="0.25">
      <c r="A94" s="82">
        <v>62</v>
      </c>
      <c r="B94" s="82">
        <v>11700</v>
      </c>
      <c r="C94" s="82">
        <v>11000</v>
      </c>
      <c r="D94" s="82">
        <v>700</v>
      </c>
      <c r="E94" s="82">
        <v>0</v>
      </c>
      <c r="F94" s="82">
        <v>0</v>
      </c>
      <c r="G94" s="82">
        <v>0</v>
      </c>
      <c r="H94" s="82">
        <v>0</v>
      </c>
      <c r="I94" s="82">
        <v>0</v>
      </c>
      <c r="J94" s="82" t="s">
        <v>4626</v>
      </c>
      <c r="K94" s="82">
        <v>0</v>
      </c>
      <c r="L94" s="82">
        <v>0</v>
      </c>
      <c r="M94" s="82">
        <v>0</v>
      </c>
      <c r="N94" s="82">
        <v>0</v>
      </c>
      <c r="O94" s="82">
        <v>0</v>
      </c>
      <c r="P94" s="82">
        <v>0</v>
      </c>
      <c r="Q94" s="82">
        <v>0</v>
      </c>
      <c r="R94" s="82">
        <v>0</v>
      </c>
      <c r="S94" s="82">
        <v>0</v>
      </c>
      <c r="T94" s="82">
        <v>0</v>
      </c>
      <c r="U94" s="82">
        <v>0</v>
      </c>
      <c r="V94" s="82">
        <v>0</v>
      </c>
      <c r="W94" s="82">
        <v>0</v>
      </c>
      <c r="X94" s="82">
        <v>0</v>
      </c>
      <c r="Y94" s="82">
        <v>0</v>
      </c>
      <c r="Z94" s="82">
        <v>0</v>
      </c>
      <c r="AA94" s="82">
        <v>0</v>
      </c>
      <c r="AB94" s="82">
        <v>0</v>
      </c>
    </row>
    <row r="95" spans="1:28" x14ac:dyDescent="0.25">
      <c r="A95" s="138">
        <v>63</v>
      </c>
      <c r="B95" s="138">
        <v>11700</v>
      </c>
      <c r="C95" s="138">
        <v>11000</v>
      </c>
      <c r="D95" s="138">
        <v>700</v>
      </c>
      <c r="E95" s="138">
        <v>0</v>
      </c>
      <c r="F95" s="138">
        <v>0</v>
      </c>
      <c r="G95" s="138">
        <v>0</v>
      </c>
      <c r="H95" s="138">
        <v>0</v>
      </c>
      <c r="I95" s="138">
        <v>0</v>
      </c>
      <c r="J95" s="138" t="s">
        <v>4626</v>
      </c>
      <c r="K95" s="138">
        <v>0</v>
      </c>
      <c r="L95" s="138">
        <v>0</v>
      </c>
      <c r="M95" s="138">
        <v>0</v>
      </c>
      <c r="N95" s="138">
        <v>0</v>
      </c>
      <c r="O95" s="138">
        <v>0</v>
      </c>
      <c r="P95" s="138">
        <v>0</v>
      </c>
      <c r="Q95" s="138">
        <v>0</v>
      </c>
      <c r="R95" s="138">
        <v>0</v>
      </c>
      <c r="S95" s="138">
        <v>0</v>
      </c>
      <c r="T95" s="138">
        <v>0</v>
      </c>
      <c r="U95" s="138">
        <v>0</v>
      </c>
      <c r="V95" s="138">
        <v>0</v>
      </c>
      <c r="W95" s="138">
        <v>0</v>
      </c>
      <c r="X95" s="138">
        <v>0</v>
      </c>
      <c r="Y95" s="138">
        <v>0</v>
      </c>
      <c r="Z95" s="138">
        <v>0</v>
      </c>
      <c r="AA95" s="138">
        <v>0</v>
      </c>
      <c r="AB95" s="138">
        <v>0</v>
      </c>
    </row>
    <row r="96" spans="1:28" x14ac:dyDescent="0.25">
      <c r="A96" s="82">
        <v>64</v>
      </c>
      <c r="B96" s="82">
        <v>11700</v>
      </c>
      <c r="C96" s="82">
        <v>10400</v>
      </c>
      <c r="D96" s="82">
        <v>1300</v>
      </c>
      <c r="E96" s="82">
        <v>0</v>
      </c>
      <c r="F96" s="82">
        <v>0</v>
      </c>
      <c r="G96" s="82">
        <v>0</v>
      </c>
      <c r="H96" s="82">
        <v>0</v>
      </c>
      <c r="I96" s="82">
        <v>0</v>
      </c>
      <c r="J96" s="82">
        <v>0</v>
      </c>
      <c r="K96" s="82">
        <v>0</v>
      </c>
      <c r="L96" s="82">
        <v>0</v>
      </c>
      <c r="M96" s="82">
        <v>0</v>
      </c>
      <c r="N96" s="82" t="s">
        <v>4991</v>
      </c>
      <c r="O96" s="82">
        <v>0</v>
      </c>
      <c r="P96" s="82">
        <v>0</v>
      </c>
      <c r="Q96" s="82">
        <v>0</v>
      </c>
      <c r="R96" s="82">
        <v>0</v>
      </c>
      <c r="S96" s="82">
        <v>0</v>
      </c>
      <c r="T96" s="82">
        <v>0</v>
      </c>
      <c r="U96" s="82">
        <v>0</v>
      </c>
      <c r="V96" s="82">
        <v>0</v>
      </c>
      <c r="W96" s="82" t="s">
        <v>4630</v>
      </c>
      <c r="X96" s="82">
        <v>0</v>
      </c>
      <c r="Y96" s="82">
        <v>0</v>
      </c>
      <c r="Z96" s="82">
        <v>0</v>
      </c>
      <c r="AA96" s="82">
        <v>0</v>
      </c>
      <c r="AB96" s="82">
        <v>0</v>
      </c>
    </row>
    <row r="97" spans="1:28" x14ac:dyDescent="0.25">
      <c r="A97" s="138">
        <v>65</v>
      </c>
      <c r="B97" s="138">
        <v>11700</v>
      </c>
      <c r="C97" s="138">
        <v>10400</v>
      </c>
      <c r="D97" s="138">
        <v>1300</v>
      </c>
      <c r="E97" s="138">
        <v>0</v>
      </c>
      <c r="F97" s="138">
        <v>0</v>
      </c>
      <c r="G97" s="138">
        <v>0</v>
      </c>
      <c r="H97" s="138">
        <v>0</v>
      </c>
      <c r="I97" s="138">
        <v>0</v>
      </c>
      <c r="J97" s="138">
        <v>0</v>
      </c>
      <c r="K97" s="138">
        <v>0</v>
      </c>
      <c r="L97" s="138">
        <v>0</v>
      </c>
      <c r="M97" s="138">
        <v>0</v>
      </c>
      <c r="N97" s="138" t="s">
        <v>4991</v>
      </c>
      <c r="O97" s="138">
        <v>0</v>
      </c>
      <c r="P97" s="138">
        <v>0</v>
      </c>
      <c r="Q97" s="138">
        <v>0</v>
      </c>
      <c r="R97" s="138">
        <v>0</v>
      </c>
      <c r="S97" s="138">
        <v>0</v>
      </c>
      <c r="T97" s="138">
        <v>0</v>
      </c>
      <c r="U97" s="138">
        <v>0</v>
      </c>
      <c r="V97" s="138">
        <v>0</v>
      </c>
      <c r="W97" s="138" t="s">
        <v>4630</v>
      </c>
      <c r="X97" s="138">
        <v>0</v>
      </c>
      <c r="Y97" s="138">
        <v>0</v>
      </c>
      <c r="Z97" s="138">
        <v>0</v>
      </c>
      <c r="AA97" s="138">
        <v>0</v>
      </c>
      <c r="AB97" s="138">
        <v>0</v>
      </c>
    </row>
    <row r="98" spans="1:28" x14ac:dyDescent="0.25">
      <c r="A98" s="82">
        <v>66</v>
      </c>
      <c r="B98" s="82">
        <v>11700</v>
      </c>
      <c r="C98" s="82">
        <v>9040</v>
      </c>
      <c r="D98" s="82">
        <v>2660</v>
      </c>
      <c r="E98" s="82">
        <v>0</v>
      </c>
      <c r="F98" s="82">
        <v>0</v>
      </c>
      <c r="G98" s="82">
        <v>0</v>
      </c>
      <c r="H98" s="82">
        <v>0</v>
      </c>
      <c r="I98" s="82">
        <v>0</v>
      </c>
      <c r="J98" s="82">
        <v>0</v>
      </c>
      <c r="K98" s="82" t="s">
        <v>4638</v>
      </c>
      <c r="L98" s="82">
        <v>0</v>
      </c>
      <c r="M98" s="82">
        <v>0</v>
      </c>
      <c r="N98" s="82">
        <v>0</v>
      </c>
      <c r="O98" s="82">
        <v>0</v>
      </c>
      <c r="P98" s="82">
        <v>0</v>
      </c>
      <c r="Q98" s="82">
        <v>0</v>
      </c>
      <c r="R98" s="82">
        <v>0</v>
      </c>
      <c r="S98" s="82">
        <v>0</v>
      </c>
      <c r="T98" s="82">
        <v>0</v>
      </c>
      <c r="U98" s="82">
        <v>0</v>
      </c>
      <c r="V98" s="82">
        <v>0</v>
      </c>
      <c r="W98" s="82">
        <v>0</v>
      </c>
      <c r="X98" s="82">
        <v>0</v>
      </c>
      <c r="Y98" s="82">
        <v>0</v>
      </c>
      <c r="Z98" s="82">
        <v>0</v>
      </c>
      <c r="AA98" s="82">
        <v>0</v>
      </c>
      <c r="AB98" s="82">
        <v>0</v>
      </c>
    </row>
    <row r="99" spans="1:28" x14ac:dyDescent="0.25">
      <c r="A99" s="138">
        <v>67</v>
      </c>
      <c r="B99" s="138">
        <v>11700</v>
      </c>
      <c r="C99" s="138">
        <v>9040</v>
      </c>
      <c r="D99" s="138">
        <v>2660</v>
      </c>
      <c r="E99" s="138">
        <v>0</v>
      </c>
      <c r="F99" s="138">
        <v>0</v>
      </c>
      <c r="G99" s="138">
        <v>0</v>
      </c>
      <c r="H99" s="138">
        <v>0</v>
      </c>
      <c r="I99" s="138">
        <v>0</v>
      </c>
      <c r="J99" s="138">
        <v>0</v>
      </c>
      <c r="K99" s="138" t="s">
        <v>4638</v>
      </c>
      <c r="L99" s="138">
        <v>0</v>
      </c>
      <c r="M99" s="138">
        <v>0</v>
      </c>
      <c r="N99" s="138">
        <v>0</v>
      </c>
      <c r="O99" s="138">
        <v>0</v>
      </c>
      <c r="P99" s="138">
        <v>0</v>
      </c>
      <c r="Q99" s="138">
        <v>0</v>
      </c>
      <c r="R99" s="138">
        <v>0</v>
      </c>
      <c r="S99" s="138">
        <v>0</v>
      </c>
      <c r="T99" s="138">
        <v>0</v>
      </c>
      <c r="U99" s="138">
        <v>0</v>
      </c>
      <c r="V99" s="138">
        <v>0</v>
      </c>
      <c r="W99" s="138">
        <v>0</v>
      </c>
      <c r="X99" s="138">
        <v>0</v>
      </c>
      <c r="Y99" s="138">
        <v>0</v>
      </c>
      <c r="Z99" s="138">
        <v>0</v>
      </c>
      <c r="AA99" s="138">
        <v>0</v>
      </c>
      <c r="AB99" s="138">
        <v>0</v>
      </c>
    </row>
    <row r="100" spans="1:28" x14ac:dyDescent="0.25">
      <c r="A100" s="82">
        <v>68</v>
      </c>
      <c r="B100" s="82">
        <v>11700</v>
      </c>
      <c r="C100" s="82">
        <v>9040</v>
      </c>
      <c r="D100" s="82">
        <v>2660</v>
      </c>
      <c r="E100" s="82">
        <v>0</v>
      </c>
      <c r="F100" s="82">
        <v>0</v>
      </c>
      <c r="G100" s="82">
        <v>0</v>
      </c>
      <c r="H100" s="82">
        <v>0</v>
      </c>
      <c r="I100" s="82">
        <v>0</v>
      </c>
      <c r="J100" s="82">
        <v>0</v>
      </c>
      <c r="K100" s="82" t="s">
        <v>4638</v>
      </c>
      <c r="L100" s="82">
        <v>0</v>
      </c>
      <c r="M100" s="82">
        <v>0</v>
      </c>
      <c r="N100" s="82">
        <v>0</v>
      </c>
      <c r="O100" s="82">
        <v>0</v>
      </c>
      <c r="P100" s="82">
        <v>0</v>
      </c>
      <c r="Q100" s="82">
        <v>0</v>
      </c>
      <c r="R100" s="82">
        <v>0</v>
      </c>
      <c r="S100" s="82">
        <v>0</v>
      </c>
      <c r="T100" s="82">
        <v>0</v>
      </c>
      <c r="U100" s="82">
        <v>0</v>
      </c>
      <c r="V100" s="82">
        <v>0</v>
      </c>
      <c r="W100" s="82">
        <v>0</v>
      </c>
      <c r="X100" s="82">
        <v>0</v>
      </c>
      <c r="Y100" s="82">
        <v>0</v>
      </c>
      <c r="Z100" s="82">
        <v>0</v>
      </c>
      <c r="AA100" s="82">
        <v>0</v>
      </c>
      <c r="AB100" s="82">
        <v>0</v>
      </c>
    </row>
    <row r="101" spans="1:28" x14ac:dyDescent="0.25">
      <c r="A101" s="138">
        <v>69</v>
      </c>
      <c r="B101" s="138">
        <v>11700</v>
      </c>
      <c r="C101" s="138">
        <v>9000</v>
      </c>
      <c r="D101" s="138">
        <v>2700</v>
      </c>
      <c r="E101" s="138">
        <v>0</v>
      </c>
      <c r="F101" s="138">
        <v>0</v>
      </c>
      <c r="G101" s="138">
        <v>0</v>
      </c>
      <c r="H101" s="138">
        <v>0</v>
      </c>
      <c r="I101" s="138">
        <v>0</v>
      </c>
      <c r="J101" s="138">
        <v>0</v>
      </c>
      <c r="K101" s="138">
        <v>0</v>
      </c>
      <c r="L101" s="138" t="s">
        <v>4628</v>
      </c>
      <c r="M101" s="138">
        <v>0</v>
      </c>
      <c r="N101" s="138">
        <v>0</v>
      </c>
      <c r="O101" s="138">
        <v>0</v>
      </c>
      <c r="P101" s="138">
        <v>0</v>
      </c>
      <c r="Q101" s="138">
        <v>0</v>
      </c>
      <c r="R101" s="138">
        <v>0</v>
      </c>
      <c r="S101" s="138">
        <v>0</v>
      </c>
      <c r="T101" s="138">
        <v>0</v>
      </c>
      <c r="U101" s="138">
        <v>0</v>
      </c>
      <c r="V101" s="138">
        <v>0</v>
      </c>
      <c r="W101" s="138">
        <v>0</v>
      </c>
      <c r="X101" s="138">
        <v>0</v>
      </c>
      <c r="Y101" s="138">
        <v>0</v>
      </c>
      <c r="Z101" s="138">
        <v>0</v>
      </c>
      <c r="AA101" s="138">
        <v>0</v>
      </c>
      <c r="AB101" s="138">
        <v>0</v>
      </c>
    </row>
    <row r="102" spans="1:28" x14ac:dyDescent="0.25">
      <c r="A102" s="82">
        <v>70</v>
      </c>
      <c r="B102" s="82">
        <v>11700</v>
      </c>
      <c r="C102" s="82">
        <v>9000</v>
      </c>
      <c r="D102" s="82">
        <v>2700</v>
      </c>
      <c r="E102" s="82">
        <v>0</v>
      </c>
      <c r="F102" s="82">
        <v>0</v>
      </c>
      <c r="G102" s="82">
        <v>0</v>
      </c>
      <c r="H102" s="82">
        <v>0</v>
      </c>
      <c r="I102" s="82">
        <v>0</v>
      </c>
      <c r="J102" s="82">
        <v>0</v>
      </c>
      <c r="K102" s="82">
        <v>0</v>
      </c>
      <c r="L102" s="82" t="s">
        <v>4628</v>
      </c>
      <c r="M102" s="82">
        <v>0</v>
      </c>
      <c r="N102" s="82">
        <v>0</v>
      </c>
      <c r="O102" s="82">
        <v>0</v>
      </c>
      <c r="P102" s="82">
        <v>0</v>
      </c>
      <c r="Q102" s="82">
        <v>0</v>
      </c>
      <c r="R102" s="82">
        <v>0</v>
      </c>
      <c r="S102" s="82">
        <v>0</v>
      </c>
      <c r="T102" s="82">
        <v>0</v>
      </c>
      <c r="U102" s="82">
        <v>0</v>
      </c>
      <c r="V102" s="82">
        <v>0</v>
      </c>
      <c r="W102" s="82">
        <v>0</v>
      </c>
      <c r="X102" s="82">
        <v>0</v>
      </c>
      <c r="Y102" s="82">
        <v>0</v>
      </c>
      <c r="Z102" s="82">
        <v>0</v>
      </c>
      <c r="AA102" s="82">
        <v>0</v>
      </c>
      <c r="AB102" s="82">
        <v>0</v>
      </c>
    </row>
    <row r="103" spans="1:28" x14ac:dyDescent="0.25">
      <c r="A103" s="138">
        <v>71</v>
      </c>
      <c r="B103" s="138">
        <v>11700</v>
      </c>
      <c r="C103" s="138">
        <v>9000</v>
      </c>
      <c r="D103" s="138">
        <v>2700</v>
      </c>
      <c r="E103" s="138">
        <v>0</v>
      </c>
      <c r="F103" s="138">
        <v>0</v>
      </c>
      <c r="G103" s="138">
        <v>0</v>
      </c>
      <c r="H103" s="138">
        <v>0</v>
      </c>
      <c r="I103" s="138">
        <v>0</v>
      </c>
      <c r="J103" s="138">
        <v>0</v>
      </c>
      <c r="K103" s="138">
        <v>0</v>
      </c>
      <c r="L103" s="138" t="s">
        <v>4628</v>
      </c>
      <c r="M103" s="138">
        <v>0</v>
      </c>
      <c r="N103" s="138">
        <v>0</v>
      </c>
      <c r="O103" s="138">
        <v>0</v>
      </c>
      <c r="P103" s="138">
        <v>0</v>
      </c>
      <c r="Q103" s="138">
        <v>0</v>
      </c>
      <c r="R103" s="138">
        <v>0</v>
      </c>
      <c r="S103" s="138">
        <v>0</v>
      </c>
      <c r="T103" s="138">
        <v>0</v>
      </c>
      <c r="U103" s="138">
        <v>0</v>
      </c>
      <c r="V103" s="138">
        <v>0</v>
      </c>
      <c r="W103" s="138">
        <v>0</v>
      </c>
      <c r="X103" s="138">
        <v>0</v>
      </c>
      <c r="Y103" s="138">
        <v>0</v>
      </c>
      <c r="Z103" s="138">
        <v>0</v>
      </c>
      <c r="AA103" s="138">
        <v>0</v>
      </c>
      <c r="AB103" s="138">
        <v>0</v>
      </c>
    </row>
    <row r="104" spans="1:28" x14ac:dyDescent="0.25">
      <c r="A104" s="82">
        <v>72</v>
      </c>
      <c r="B104" s="82">
        <v>11700</v>
      </c>
      <c r="C104" s="82">
        <v>9000</v>
      </c>
      <c r="D104" s="82">
        <v>2700</v>
      </c>
      <c r="E104" s="82">
        <v>0</v>
      </c>
      <c r="F104" s="82">
        <v>0</v>
      </c>
      <c r="G104" s="82">
        <v>0</v>
      </c>
      <c r="H104" s="82">
        <v>0</v>
      </c>
      <c r="I104" s="82">
        <v>0</v>
      </c>
      <c r="J104" s="82">
        <v>0</v>
      </c>
      <c r="K104" s="82">
        <v>0</v>
      </c>
      <c r="L104" s="82" t="s">
        <v>4628</v>
      </c>
      <c r="M104" s="82">
        <v>0</v>
      </c>
      <c r="N104" s="82">
        <v>0</v>
      </c>
      <c r="O104" s="82">
        <v>0</v>
      </c>
      <c r="P104" s="82">
        <v>0</v>
      </c>
      <c r="Q104" s="82">
        <v>0</v>
      </c>
      <c r="R104" s="82">
        <v>0</v>
      </c>
      <c r="S104" s="82">
        <v>0</v>
      </c>
      <c r="T104" s="82">
        <v>0</v>
      </c>
      <c r="U104" s="82">
        <v>0</v>
      </c>
      <c r="V104" s="82">
        <v>0</v>
      </c>
      <c r="W104" s="82">
        <v>0</v>
      </c>
      <c r="X104" s="82">
        <v>0</v>
      </c>
      <c r="Y104" s="82">
        <v>0</v>
      </c>
      <c r="Z104" s="82">
        <v>0</v>
      </c>
      <c r="AA104" s="82">
        <v>0</v>
      </c>
      <c r="AB104" s="82">
        <v>0</v>
      </c>
    </row>
    <row r="105" spans="1:28" x14ac:dyDescent="0.25">
      <c r="A105" s="138">
        <v>73</v>
      </c>
      <c r="B105" s="138">
        <v>11700</v>
      </c>
      <c r="C105" s="138">
        <v>9000</v>
      </c>
      <c r="D105" s="138">
        <v>2700</v>
      </c>
      <c r="E105" s="138">
        <v>0</v>
      </c>
      <c r="F105" s="138">
        <v>0</v>
      </c>
      <c r="G105" s="138">
        <v>0</v>
      </c>
      <c r="H105" s="138">
        <v>0</v>
      </c>
      <c r="I105" s="138">
        <v>0</v>
      </c>
      <c r="J105" s="138">
        <v>0</v>
      </c>
      <c r="K105" s="138">
        <v>0</v>
      </c>
      <c r="L105" s="138" t="s">
        <v>4628</v>
      </c>
      <c r="M105" s="138">
        <v>0</v>
      </c>
      <c r="N105" s="138">
        <v>0</v>
      </c>
      <c r="O105" s="138">
        <v>0</v>
      </c>
      <c r="P105" s="138">
        <v>0</v>
      </c>
      <c r="Q105" s="138">
        <v>0</v>
      </c>
      <c r="R105" s="138">
        <v>0</v>
      </c>
      <c r="S105" s="138">
        <v>0</v>
      </c>
      <c r="T105" s="138">
        <v>0</v>
      </c>
      <c r="U105" s="138">
        <v>0</v>
      </c>
      <c r="V105" s="138">
        <v>0</v>
      </c>
      <c r="W105" s="138">
        <v>0</v>
      </c>
      <c r="X105" s="138">
        <v>0</v>
      </c>
      <c r="Y105" s="138">
        <v>0</v>
      </c>
      <c r="Z105" s="138">
        <v>0</v>
      </c>
      <c r="AA105" s="138">
        <v>0</v>
      </c>
      <c r="AB105" s="138">
        <v>0</v>
      </c>
    </row>
    <row r="106" spans="1:28" x14ac:dyDescent="0.25">
      <c r="A106" s="82">
        <v>74</v>
      </c>
      <c r="B106" s="82">
        <v>11700</v>
      </c>
      <c r="C106" s="82">
        <v>9000</v>
      </c>
      <c r="D106" s="82">
        <v>2700</v>
      </c>
      <c r="E106" s="82">
        <v>0</v>
      </c>
      <c r="F106" s="82">
        <v>0</v>
      </c>
      <c r="G106" s="82">
        <v>0</v>
      </c>
      <c r="H106" s="82">
        <v>0</v>
      </c>
      <c r="I106" s="82">
        <v>0</v>
      </c>
      <c r="J106" s="82">
        <v>0</v>
      </c>
      <c r="K106" s="82">
        <v>0</v>
      </c>
      <c r="L106" s="82" t="s">
        <v>4628</v>
      </c>
      <c r="M106" s="82">
        <v>0</v>
      </c>
      <c r="N106" s="82">
        <v>0</v>
      </c>
      <c r="O106" s="82">
        <v>0</v>
      </c>
      <c r="P106" s="82">
        <v>0</v>
      </c>
      <c r="Q106" s="82">
        <v>0</v>
      </c>
      <c r="R106" s="82">
        <v>0</v>
      </c>
      <c r="S106" s="82">
        <v>0</v>
      </c>
      <c r="T106" s="82">
        <v>0</v>
      </c>
      <c r="U106" s="82">
        <v>0</v>
      </c>
      <c r="V106" s="82">
        <v>0</v>
      </c>
      <c r="W106" s="82">
        <v>0</v>
      </c>
      <c r="X106" s="82">
        <v>0</v>
      </c>
      <c r="Y106" s="82">
        <v>0</v>
      </c>
      <c r="Z106" s="82">
        <v>0</v>
      </c>
      <c r="AA106" s="82">
        <v>0</v>
      </c>
      <c r="AB106" s="82">
        <v>0</v>
      </c>
    </row>
    <row r="107" spans="1:28" x14ac:dyDescent="0.25">
      <c r="A107" s="138">
        <v>75</v>
      </c>
      <c r="B107" s="138">
        <v>11700</v>
      </c>
      <c r="C107" s="138">
        <v>8140</v>
      </c>
      <c r="D107" s="138">
        <v>3560</v>
      </c>
      <c r="E107" s="138">
        <v>0</v>
      </c>
      <c r="F107" s="138">
        <v>0</v>
      </c>
      <c r="G107" s="138">
        <v>0</v>
      </c>
      <c r="H107" s="138">
        <v>0</v>
      </c>
      <c r="I107" s="138">
        <v>0</v>
      </c>
      <c r="J107" s="138">
        <v>0</v>
      </c>
      <c r="K107" s="138">
        <v>0</v>
      </c>
      <c r="L107" s="138">
        <v>0</v>
      </c>
      <c r="M107" s="138" t="s">
        <v>4629</v>
      </c>
      <c r="N107" s="138">
        <v>0</v>
      </c>
      <c r="O107" s="138">
        <v>0</v>
      </c>
      <c r="P107" s="138">
        <v>0</v>
      </c>
      <c r="Q107" s="138">
        <v>0</v>
      </c>
      <c r="R107" s="138">
        <v>0</v>
      </c>
      <c r="S107" s="138">
        <v>0</v>
      </c>
      <c r="T107" s="138">
        <v>0</v>
      </c>
      <c r="U107" s="138">
        <v>0</v>
      </c>
      <c r="V107" s="138">
        <v>0</v>
      </c>
      <c r="W107" s="138">
        <v>0</v>
      </c>
      <c r="X107" s="138">
        <v>0</v>
      </c>
      <c r="Y107" s="138">
        <v>0</v>
      </c>
      <c r="Z107" s="138">
        <v>0</v>
      </c>
      <c r="AA107" s="138">
        <v>0</v>
      </c>
      <c r="AB107" s="138">
        <v>0</v>
      </c>
    </row>
    <row r="108" spans="1:28" x14ac:dyDescent="0.25">
      <c r="A108" s="82">
        <v>76</v>
      </c>
      <c r="B108" s="82">
        <v>11700</v>
      </c>
      <c r="C108" s="82">
        <v>8140</v>
      </c>
      <c r="D108" s="82">
        <v>3560</v>
      </c>
      <c r="E108" s="82">
        <v>0</v>
      </c>
      <c r="F108" s="82">
        <v>0</v>
      </c>
      <c r="G108" s="82">
        <v>0</v>
      </c>
      <c r="H108" s="82">
        <v>0</v>
      </c>
      <c r="I108" s="82">
        <v>0</v>
      </c>
      <c r="J108" s="82">
        <v>0</v>
      </c>
      <c r="K108" s="82">
        <v>0</v>
      </c>
      <c r="L108" s="82">
        <v>0</v>
      </c>
      <c r="M108" s="82" t="s">
        <v>4629</v>
      </c>
      <c r="N108" s="82">
        <v>0</v>
      </c>
      <c r="O108" s="82">
        <v>0</v>
      </c>
      <c r="P108" s="82">
        <v>0</v>
      </c>
      <c r="Q108" s="82">
        <v>0</v>
      </c>
      <c r="R108" s="82">
        <v>0</v>
      </c>
      <c r="S108" s="82">
        <v>0</v>
      </c>
      <c r="T108" s="82">
        <v>0</v>
      </c>
      <c r="U108" s="82">
        <v>0</v>
      </c>
      <c r="V108" s="82">
        <v>0</v>
      </c>
      <c r="W108" s="82">
        <v>0</v>
      </c>
      <c r="X108" s="82">
        <v>0</v>
      </c>
      <c r="Y108" s="82">
        <v>0</v>
      </c>
      <c r="Z108" s="82">
        <v>0</v>
      </c>
      <c r="AA108" s="82">
        <v>0</v>
      </c>
      <c r="AB108" s="82">
        <v>0</v>
      </c>
    </row>
    <row r="109" spans="1:28" x14ac:dyDescent="0.25">
      <c r="A109" s="138">
        <v>77</v>
      </c>
      <c r="B109" s="138">
        <v>11700</v>
      </c>
      <c r="C109" s="138">
        <v>8140</v>
      </c>
      <c r="D109" s="138">
        <v>3560</v>
      </c>
      <c r="E109" s="138">
        <v>0</v>
      </c>
      <c r="F109" s="138">
        <v>0</v>
      </c>
      <c r="G109" s="138">
        <v>0</v>
      </c>
      <c r="H109" s="138">
        <v>0</v>
      </c>
      <c r="I109" s="138">
        <v>0</v>
      </c>
      <c r="J109" s="138">
        <v>0</v>
      </c>
      <c r="K109" s="138">
        <v>0</v>
      </c>
      <c r="L109" s="138">
        <v>0</v>
      </c>
      <c r="M109" s="138" t="s">
        <v>4629</v>
      </c>
      <c r="N109" s="138">
        <v>0</v>
      </c>
      <c r="O109" s="138">
        <v>0</v>
      </c>
      <c r="P109" s="138">
        <v>0</v>
      </c>
      <c r="Q109" s="138">
        <v>0</v>
      </c>
      <c r="R109" s="138">
        <v>0</v>
      </c>
      <c r="S109" s="138">
        <v>0</v>
      </c>
      <c r="T109" s="138">
        <v>0</v>
      </c>
      <c r="U109" s="138">
        <v>0</v>
      </c>
      <c r="V109" s="138">
        <v>0</v>
      </c>
      <c r="W109" s="138">
        <v>0</v>
      </c>
      <c r="X109" s="138">
        <v>0</v>
      </c>
      <c r="Y109" s="138">
        <v>0</v>
      </c>
      <c r="Z109" s="138">
        <v>0</v>
      </c>
      <c r="AA109" s="138">
        <v>0</v>
      </c>
      <c r="AB109" s="138">
        <v>0</v>
      </c>
    </row>
    <row r="110" spans="1:28" x14ac:dyDescent="0.25">
      <c r="A110" s="82">
        <v>78</v>
      </c>
      <c r="B110" s="82">
        <v>11700</v>
      </c>
      <c r="C110" s="82">
        <v>8140</v>
      </c>
      <c r="D110" s="82">
        <v>3560</v>
      </c>
      <c r="E110" s="82">
        <v>0</v>
      </c>
      <c r="F110" s="82">
        <v>0</v>
      </c>
      <c r="G110" s="82">
        <v>0</v>
      </c>
      <c r="H110" s="82">
        <v>0</v>
      </c>
      <c r="I110" s="82">
        <v>0</v>
      </c>
      <c r="J110" s="82">
        <v>0</v>
      </c>
      <c r="K110" s="82">
        <v>0</v>
      </c>
      <c r="L110" s="82">
        <v>0</v>
      </c>
      <c r="M110" s="82" t="s">
        <v>4629</v>
      </c>
      <c r="N110" s="82">
        <v>0</v>
      </c>
      <c r="O110" s="82">
        <v>0</v>
      </c>
      <c r="P110" s="82">
        <v>0</v>
      </c>
      <c r="Q110" s="82">
        <v>0</v>
      </c>
      <c r="R110" s="82">
        <v>0</v>
      </c>
      <c r="S110" s="82">
        <v>0</v>
      </c>
      <c r="T110" s="82">
        <v>0</v>
      </c>
      <c r="U110" s="82">
        <v>0</v>
      </c>
      <c r="V110" s="82">
        <v>0</v>
      </c>
      <c r="W110" s="82">
        <v>0</v>
      </c>
      <c r="X110" s="82">
        <v>0</v>
      </c>
      <c r="Y110" s="82">
        <v>0</v>
      </c>
      <c r="Z110" s="82">
        <v>0</v>
      </c>
      <c r="AA110" s="82">
        <v>0</v>
      </c>
      <c r="AB110" s="82">
        <v>0</v>
      </c>
    </row>
    <row r="111" spans="1:28" x14ac:dyDescent="0.25">
      <c r="A111" s="138">
        <v>79</v>
      </c>
      <c r="B111" s="138">
        <v>11700</v>
      </c>
      <c r="C111" s="138">
        <v>8140</v>
      </c>
      <c r="D111" s="138">
        <v>3560</v>
      </c>
      <c r="E111" s="138">
        <v>0</v>
      </c>
      <c r="F111" s="138">
        <v>0</v>
      </c>
      <c r="G111" s="138">
        <v>0</v>
      </c>
      <c r="H111" s="138">
        <v>0</v>
      </c>
      <c r="I111" s="138">
        <v>0</v>
      </c>
      <c r="J111" s="138">
        <v>0</v>
      </c>
      <c r="K111" s="138">
        <v>0</v>
      </c>
      <c r="L111" s="138">
        <v>0</v>
      </c>
      <c r="M111" s="138" t="s">
        <v>4629</v>
      </c>
      <c r="N111" s="138">
        <v>0</v>
      </c>
      <c r="O111" s="138">
        <v>0</v>
      </c>
      <c r="P111" s="138">
        <v>0</v>
      </c>
      <c r="Q111" s="138">
        <v>0</v>
      </c>
      <c r="R111" s="138">
        <v>0</v>
      </c>
      <c r="S111" s="138">
        <v>0</v>
      </c>
      <c r="T111" s="138">
        <v>0</v>
      </c>
      <c r="U111" s="138">
        <v>0</v>
      </c>
      <c r="V111" s="138">
        <v>0</v>
      </c>
      <c r="W111" s="138">
        <v>0</v>
      </c>
      <c r="X111" s="138">
        <v>0</v>
      </c>
      <c r="Y111" s="138">
        <v>0</v>
      </c>
      <c r="Z111" s="138">
        <v>0</v>
      </c>
      <c r="AA111" s="138">
        <v>0</v>
      </c>
      <c r="AB111" s="138">
        <v>0</v>
      </c>
    </row>
    <row r="112" spans="1:28" x14ac:dyDescent="0.25">
      <c r="A112" s="82">
        <v>80</v>
      </c>
      <c r="B112" s="82">
        <v>11700</v>
      </c>
      <c r="C112" s="82">
        <v>8140</v>
      </c>
      <c r="D112" s="82">
        <v>3560</v>
      </c>
      <c r="E112" s="82">
        <v>0</v>
      </c>
      <c r="F112" s="82">
        <v>0</v>
      </c>
      <c r="G112" s="82">
        <v>0</v>
      </c>
      <c r="H112" s="82">
        <v>0</v>
      </c>
      <c r="I112" s="82">
        <v>0</v>
      </c>
      <c r="J112" s="82">
        <v>0</v>
      </c>
      <c r="K112" s="82">
        <v>0</v>
      </c>
      <c r="L112" s="82">
        <v>0</v>
      </c>
      <c r="M112" s="82" t="s">
        <v>4629</v>
      </c>
      <c r="N112" s="82">
        <v>0</v>
      </c>
      <c r="O112" s="82">
        <v>0</v>
      </c>
      <c r="P112" s="82">
        <v>0</v>
      </c>
      <c r="Q112" s="82">
        <v>0</v>
      </c>
      <c r="R112" s="82">
        <v>0</v>
      </c>
      <c r="S112" s="82">
        <v>0</v>
      </c>
      <c r="T112" s="82">
        <v>0</v>
      </c>
      <c r="U112" s="82">
        <v>0</v>
      </c>
      <c r="V112" s="82">
        <v>0</v>
      </c>
      <c r="W112" s="82">
        <v>0</v>
      </c>
      <c r="X112" s="82">
        <v>0</v>
      </c>
      <c r="Y112" s="82">
        <v>0</v>
      </c>
      <c r="Z112" s="82">
        <v>0</v>
      </c>
      <c r="AA112" s="82">
        <v>0</v>
      </c>
      <c r="AB112" s="82">
        <v>0</v>
      </c>
    </row>
    <row r="113" spans="1:28" x14ac:dyDescent="0.25">
      <c r="A113" s="138">
        <v>81</v>
      </c>
      <c r="B113" s="138">
        <v>11700</v>
      </c>
      <c r="C113" s="138">
        <v>6690</v>
      </c>
      <c r="D113" s="138">
        <v>5010</v>
      </c>
      <c r="E113" s="138">
        <v>0</v>
      </c>
      <c r="F113" s="138">
        <v>0</v>
      </c>
      <c r="G113" s="138">
        <v>0</v>
      </c>
      <c r="H113" s="138">
        <v>0</v>
      </c>
      <c r="I113" s="138">
        <v>0</v>
      </c>
      <c r="J113" s="138">
        <v>0</v>
      </c>
      <c r="K113" s="138">
        <v>0</v>
      </c>
      <c r="L113" s="138">
        <v>0</v>
      </c>
      <c r="M113" s="138">
        <v>0</v>
      </c>
      <c r="N113" s="138" t="s">
        <v>4991</v>
      </c>
      <c r="O113" s="138">
        <v>0</v>
      </c>
      <c r="P113" s="138">
        <v>0</v>
      </c>
      <c r="Q113" s="138">
        <v>0</v>
      </c>
      <c r="R113" s="138">
        <v>0</v>
      </c>
      <c r="S113" s="138">
        <v>0</v>
      </c>
      <c r="T113" s="138">
        <v>0</v>
      </c>
      <c r="U113" s="138">
        <v>0</v>
      </c>
      <c r="V113" s="138">
        <v>0</v>
      </c>
      <c r="W113" s="138">
        <v>0</v>
      </c>
      <c r="X113" s="138">
        <v>0</v>
      </c>
      <c r="Y113" s="138">
        <v>0</v>
      </c>
      <c r="Z113" s="138">
        <v>0</v>
      </c>
      <c r="AA113" s="138">
        <v>0</v>
      </c>
      <c r="AB113" s="138">
        <v>0</v>
      </c>
    </row>
    <row r="114" spans="1:28" x14ac:dyDescent="0.25">
      <c r="A114" s="82">
        <v>82</v>
      </c>
      <c r="B114" s="82">
        <v>11700</v>
      </c>
      <c r="C114" s="82">
        <v>6550</v>
      </c>
      <c r="D114" s="82">
        <v>5150</v>
      </c>
      <c r="E114" s="82">
        <v>0</v>
      </c>
      <c r="F114" s="82">
        <v>0</v>
      </c>
      <c r="G114" s="82">
        <v>0</v>
      </c>
      <c r="H114" s="82">
        <v>0</v>
      </c>
      <c r="I114" s="82">
        <v>0</v>
      </c>
      <c r="J114" s="82">
        <v>0</v>
      </c>
      <c r="K114" s="82">
        <v>0</v>
      </c>
      <c r="L114" s="82">
        <v>0</v>
      </c>
      <c r="M114" s="82">
        <v>0</v>
      </c>
      <c r="N114" s="82">
        <v>0</v>
      </c>
      <c r="O114" s="82" t="s">
        <v>4992</v>
      </c>
      <c r="P114" s="82">
        <v>0</v>
      </c>
      <c r="Q114" s="82">
        <v>0</v>
      </c>
      <c r="R114" s="82">
        <v>0</v>
      </c>
      <c r="S114" s="82">
        <v>0</v>
      </c>
      <c r="T114" s="82">
        <v>0</v>
      </c>
      <c r="U114" s="82">
        <v>0</v>
      </c>
      <c r="V114" s="82">
        <v>0</v>
      </c>
      <c r="W114" s="82">
        <v>0</v>
      </c>
      <c r="X114" s="82">
        <v>0</v>
      </c>
      <c r="Y114" s="82">
        <v>0</v>
      </c>
      <c r="Z114" s="82">
        <v>0</v>
      </c>
      <c r="AA114" s="82">
        <v>0</v>
      </c>
      <c r="AB114" s="82">
        <v>0</v>
      </c>
    </row>
    <row r="115" spans="1:28" x14ac:dyDescent="0.25">
      <c r="A115" s="138">
        <v>83</v>
      </c>
      <c r="B115" s="138">
        <v>11700</v>
      </c>
      <c r="C115" s="138">
        <v>6550</v>
      </c>
      <c r="D115" s="138">
        <v>5150</v>
      </c>
      <c r="E115" s="138">
        <v>0</v>
      </c>
      <c r="F115" s="138">
        <v>0</v>
      </c>
      <c r="G115" s="138">
        <v>0</v>
      </c>
      <c r="H115" s="138">
        <v>0</v>
      </c>
      <c r="I115" s="138">
        <v>0</v>
      </c>
      <c r="J115" s="138">
        <v>0</v>
      </c>
      <c r="K115" s="138">
        <v>0</v>
      </c>
      <c r="L115" s="138">
        <v>0</v>
      </c>
      <c r="M115" s="138">
        <v>0</v>
      </c>
      <c r="N115" s="138">
        <v>0</v>
      </c>
      <c r="O115" s="138" t="s">
        <v>4992</v>
      </c>
      <c r="P115" s="138">
        <v>0</v>
      </c>
      <c r="Q115" s="138">
        <v>0</v>
      </c>
      <c r="R115" s="138">
        <v>0</v>
      </c>
      <c r="S115" s="138">
        <v>0</v>
      </c>
      <c r="T115" s="138">
        <v>0</v>
      </c>
      <c r="U115" s="138">
        <v>0</v>
      </c>
      <c r="V115" s="138">
        <v>0</v>
      </c>
      <c r="W115" s="138">
        <v>0</v>
      </c>
      <c r="X115" s="138">
        <v>0</v>
      </c>
      <c r="Y115" s="138">
        <v>0</v>
      </c>
      <c r="Z115" s="138">
        <v>0</v>
      </c>
      <c r="AA115" s="138">
        <v>0</v>
      </c>
      <c r="AB115" s="138">
        <v>0</v>
      </c>
    </row>
    <row r="116" spans="1:28" x14ac:dyDescent="0.25">
      <c r="A116" s="82">
        <v>84</v>
      </c>
      <c r="B116" s="82">
        <v>11700</v>
      </c>
      <c r="C116" s="82">
        <v>6550</v>
      </c>
      <c r="D116" s="82">
        <v>5150</v>
      </c>
      <c r="E116" s="82">
        <v>0</v>
      </c>
      <c r="F116" s="82">
        <v>0</v>
      </c>
      <c r="G116" s="82">
        <v>0</v>
      </c>
      <c r="H116" s="82">
        <v>0</v>
      </c>
      <c r="I116" s="82">
        <v>0</v>
      </c>
      <c r="J116" s="82">
        <v>0</v>
      </c>
      <c r="K116" s="82">
        <v>0</v>
      </c>
      <c r="L116" s="82">
        <v>0</v>
      </c>
      <c r="M116" s="82">
        <v>0</v>
      </c>
      <c r="N116" s="82">
        <v>0</v>
      </c>
      <c r="O116" s="82" t="s">
        <v>4992</v>
      </c>
      <c r="P116" s="82">
        <v>0</v>
      </c>
      <c r="Q116" s="82">
        <v>0</v>
      </c>
      <c r="R116" s="82">
        <v>0</v>
      </c>
      <c r="S116" s="82">
        <v>0</v>
      </c>
      <c r="T116" s="82">
        <v>0</v>
      </c>
      <c r="U116" s="82">
        <v>0</v>
      </c>
      <c r="V116" s="82">
        <v>0</v>
      </c>
      <c r="W116" s="82">
        <v>0</v>
      </c>
      <c r="X116" s="82">
        <v>0</v>
      </c>
      <c r="Y116" s="82">
        <v>0</v>
      </c>
      <c r="Z116" s="82">
        <v>0</v>
      </c>
      <c r="AA116" s="82">
        <v>0</v>
      </c>
      <c r="AB116" s="82">
        <v>0</v>
      </c>
    </row>
    <row r="117" spans="1:28" x14ac:dyDescent="0.25">
      <c r="A117" s="138">
        <v>85</v>
      </c>
      <c r="B117" s="138">
        <v>11700</v>
      </c>
      <c r="C117" s="138">
        <v>6550</v>
      </c>
      <c r="D117" s="138">
        <v>5150</v>
      </c>
      <c r="E117" s="138">
        <v>0</v>
      </c>
      <c r="F117" s="138">
        <v>0</v>
      </c>
      <c r="G117" s="138">
        <v>0</v>
      </c>
      <c r="H117" s="138">
        <v>0</v>
      </c>
      <c r="I117" s="138">
        <v>0</v>
      </c>
      <c r="J117" s="138">
        <v>0</v>
      </c>
      <c r="K117" s="138">
        <v>0</v>
      </c>
      <c r="L117" s="138">
        <v>0</v>
      </c>
      <c r="M117" s="138">
        <v>0</v>
      </c>
      <c r="N117" s="138">
        <v>0</v>
      </c>
      <c r="O117" s="138" t="s">
        <v>4992</v>
      </c>
      <c r="P117" s="138">
        <v>0</v>
      </c>
      <c r="Q117" s="138">
        <v>0</v>
      </c>
      <c r="R117" s="138">
        <v>0</v>
      </c>
      <c r="S117" s="138">
        <v>0</v>
      </c>
      <c r="T117" s="138">
        <v>0</v>
      </c>
      <c r="U117" s="138">
        <v>0</v>
      </c>
      <c r="V117" s="138">
        <v>0</v>
      </c>
      <c r="W117" s="138">
        <v>0</v>
      </c>
      <c r="X117" s="138">
        <v>0</v>
      </c>
      <c r="Y117" s="138">
        <v>0</v>
      </c>
      <c r="Z117" s="138">
        <v>0</v>
      </c>
      <c r="AA117" s="138">
        <v>0</v>
      </c>
      <c r="AB117" s="138">
        <v>0</v>
      </c>
    </row>
    <row r="118" spans="1:28" x14ac:dyDescent="0.25">
      <c r="A118" s="82">
        <v>86</v>
      </c>
      <c r="B118" s="82">
        <v>11700</v>
      </c>
      <c r="C118" s="82">
        <v>6550</v>
      </c>
      <c r="D118" s="82">
        <v>5150</v>
      </c>
      <c r="E118" s="82">
        <v>0</v>
      </c>
      <c r="F118" s="82">
        <v>0</v>
      </c>
      <c r="G118" s="82">
        <v>0</v>
      </c>
      <c r="H118" s="82">
        <v>0</v>
      </c>
      <c r="I118" s="82">
        <v>0</v>
      </c>
      <c r="J118" s="82">
        <v>0</v>
      </c>
      <c r="K118" s="82">
        <v>0</v>
      </c>
      <c r="L118" s="82">
        <v>0</v>
      </c>
      <c r="M118" s="82">
        <v>0</v>
      </c>
      <c r="N118" s="82">
        <v>0</v>
      </c>
      <c r="O118" s="82" t="s">
        <v>4992</v>
      </c>
      <c r="P118" s="82">
        <v>0</v>
      </c>
      <c r="Q118" s="82">
        <v>0</v>
      </c>
      <c r="R118" s="82">
        <v>0</v>
      </c>
      <c r="S118" s="82">
        <v>0</v>
      </c>
      <c r="T118" s="82">
        <v>0</v>
      </c>
      <c r="U118" s="82">
        <v>0</v>
      </c>
      <c r="V118" s="82">
        <v>0</v>
      </c>
      <c r="W118" s="82">
        <v>0</v>
      </c>
      <c r="X118" s="82">
        <v>0</v>
      </c>
      <c r="Y118" s="82">
        <v>0</v>
      </c>
      <c r="Z118" s="82">
        <v>0</v>
      </c>
      <c r="AA118" s="82">
        <v>0</v>
      </c>
      <c r="AB118" s="82">
        <v>0</v>
      </c>
    </row>
    <row r="119" spans="1:28" x14ac:dyDescent="0.25">
      <c r="A119" s="138">
        <v>87</v>
      </c>
      <c r="B119" s="138">
        <v>11700</v>
      </c>
      <c r="C119" s="138">
        <v>6550</v>
      </c>
      <c r="D119" s="138">
        <v>5150</v>
      </c>
      <c r="E119" s="138">
        <v>0</v>
      </c>
      <c r="F119" s="138">
        <v>0</v>
      </c>
      <c r="G119" s="138">
        <v>0</v>
      </c>
      <c r="H119" s="138">
        <v>0</v>
      </c>
      <c r="I119" s="138">
        <v>0</v>
      </c>
      <c r="J119" s="138">
        <v>0</v>
      </c>
      <c r="K119" s="138">
        <v>0</v>
      </c>
      <c r="L119" s="138">
        <v>0</v>
      </c>
      <c r="M119" s="138">
        <v>0</v>
      </c>
      <c r="N119" s="138">
        <v>0</v>
      </c>
      <c r="O119" s="138" t="s">
        <v>4992</v>
      </c>
      <c r="P119" s="138">
        <v>0</v>
      </c>
      <c r="Q119" s="138">
        <v>0</v>
      </c>
      <c r="R119" s="138">
        <v>0</v>
      </c>
      <c r="S119" s="138">
        <v>0</v>
      </c>
      <c r="T119" s="138">
        <v>0</v>
      </c>
      <c r="U119" s="138">
        <v>0</v>
      </c>
      <c r="V119" s="138">
        <v>0</v>
      </c>
      <c r="W119" s="138">
        <v>0</v>
      </c>
      <c r="X119" s="138">
        <v>0</v>
      </c>
      <c r="Y119" s="138">
        <v>0</v>
      </c>
      <c r="Z119" s="138">
        <v>0</v>
      </c>
      <c r="AA119" s="138">
        <v>0</v>
      </c>
      <c r="AB119" s="138">
        <v>0</v>
      </c>
    </row>
    <row r="120" spans="1:28" x14ac:dyDescent="0.25">
      <c r="A120" s="82">
        <v>88</v>
      </c>
      <c r="B120" s="82">
        <v>11700</v>
      </c>
      <c r="C120" s="82">
        <v>6550</v>
      </c>
      <c r="D120" s="82">
        <v>5150</v>
      </c>
      <c r="E120" s="82">
        <v>0</v>
      </c>
      <c r="F120" s="82">
        <v>0</v>
      </c>
      <c r="G120" s="82">
        <v>0</v>
      </c>
      <c r="H120" s="82">
        <v>0</v>
      </c>
      <c r="I120" s="82">
        <v>0</v>
      </c>
      <c r="J120" s="82">
        <v>0</v>
      </c>
      <c r="K120" s="82">
        <v>0</v>
      </c>
      <c r="L120" s="82">
        <v>0</v>
      </c>
      <c r="M120" s="82">
        <v>0</v>
      </c>
      <c r="N120" s="82">
        <v>0</v>
      </c>
      <c r="O120" s="82" t="s">
        <v>4992</v>
      </c>
      <c r="P120" s="82">
        <v>0</v>
      </c>
      <c r="Q120" s="82">
        <v>0</v>
      </c>
      <c r="R120" s="82">
        <v>0</v>
      </c>
      <c r="S120" s="82">
        <v>0</v>
      </c>
      <c r="T120" s="82">
        <v>0</v>
      </c>
      <c r="U120" s="82">
        <v>0</v>
      </c>
      <c r="V120" s="82">
        <v>0</v>
      </c>
      <c r="W120" s="82">
        <v>0</v>
      </c>
      <c r="X120" s="82">
        <v>0</v>
      </c>
      <c r="Y120" s="82">
        <v>0</v>
      </c>
      <c r="Z120" s="82">
        <v>0</v>
      </c>
      <c r="AA120" s="82">
        <v>0</v>
      </c>
      <c r="AB120" s="82">
        <v>0</v>
      </c>
    </row>
    <row r="121" spans="1:28" x14ac:dyDescent="0.25">
      <c r="A121" s="138">
        <v>89</v>
      </c>
      <c r="B121" s="138">
        <v>11700</v>
      </c>
      <c r="C121" s="138">
        <v>6550</v>
      </c>
      <c r="D121" s="138">
        <v>5150</v>
      </c>
      <c r="E121" s="138">
        <v>0</v>
      </c>
      <c r="F121" s="138">
        <v>0</v>
      </c>
      <c r="G121" s="138">
        <v>0</v>
      </c>
      <c r="H121" s="138">
        <v>0</v>
      </c>
      <c r="I121" s="138">
        <v>0</v>
      </c>
      <c r="J121" s="138">
        <v>0</v>
      </c>
      <c r="K121" s="138">
        <v>0</v>
      </c>
      <c r="L121" s="138">
        <v>0</v>
      </c>
      <c r="M121" s="138">
        <v>0</v>
      </c>
      <c r="N121" s="138">
        <v>0</v>
      </c>
      <c r="O121" s="138" t="s">
        <v>4992</v>
      </c>
      <c r="P121" s="138">
        <v>0</v>
      </c>
      <c r="Q121" s="138">
        <v>0</v>
      </c>
      <c r="R121" s="138">
        <v>0</v>
      </c>
      <c r="S121" s="138">
        <v>0</v>
      </c>
      <c r="T121" s="138">
        <v>0</v>
      </c>
      <c r="U121" s="138">
        <v>0</v>
      </c>
      <c r="V121" s="138">
        <v>0</v>
      </c>
      <c r="W121" s="138">
        <v>0</v>
      </c>
      <c r="X121" s="138">
        <v>0</v>
      </c>
      <c r="Y121" s="138">
        <v>0</v>
      </c>
      <c r="Z121" s="138">
        <v>0</v>
      </c>
      <c r="AA121" s="138">
        <v>0</v>
      </c>
      <c r="AB121" s="138">
        <v>0</v>
      </c>
    </row>
    <row r="122" spans="1:28" x14ac:dyDescent="0.25">
      <c r="A122" s="82">
        <v>90</v>
      </c>
      <c r="B122" s="82">
        <v>11700</v>
      </c>
      <c r="C122" s="82">
        <v>6550</v>
      </c>
      <c r="D122" s="82">
        <v>5150</v>
      </c>
      <c r="E122" s="82">
        <v>0</v>
      </c>
      <c r="F122" s="82">
        <v>0</v>
      </c>
      <c r="G122" s="82">
        <v>0</v>
      </c>
      <c r="H122" s="82">
        <v>0</v>
      </c>
      <c r="I122" s="82">
        <v>0</v>
      </c>
      <c r="J122" s="82">
        <v>0</v>
      </c>
      <c r="K122" s="82">
        <v>0</v>
      </c>
      <c r="L122" s="82">
        <v>0</v>
      </c>
      <c r="M122" s="82">
        <v>0</v>
      </c>
      <c r="N122" s="82">
        <v>0</v>
      </c>
      <c r="O122" s="82" t="s">
        <v>4992</v>
      </c>
      <c r="P122" s="82">
        <v>0</v>
      </c>
      <c r="Q122" s="82">
        <v>0</v>
      </c>
      <c r="R122" s="82">
        <v>0</v>
      </c>
      <c r="S122" s="82">
        <v>0</v>
      </c>
      <c r="T122" s="82">
        <v>0</v>
      </c>
      <c r="U122" s="82">
        <v>0</v>
      </c>
      <c r="V122" s="82">
        <v>0</v>
      </c>
      <c r="W122" s="82">
        <v>0</v>
      </c>
      <c r="X122" s="82">
        <v>0</v>
      </c>
      <c r="Y122" s="82">
        <v>0</v>
      </c>
      <c r="Z122" s="82">
        <v>0</v>
      </c>
      <c r="AA122" s="82">
        <v>0</v>
      </c>
      <c r="AB122" s="82">
        <v>0</v>
      </c>
    </row>
    <row r="123" spans="1:28" x14ac:dyDescent="0.25">
      <c r="A123" s="138">
        <v>91</v>
      </c>
      <c r="B123" s="138">
        <v>11700</v>
      </c>
      <c r="C123" s="138">
        <v>6550</v>
      </c>
      <c r="D123" s="138">
        <v>5150</v>
      </c>
      <c r="E123" s="138">
        <v>0</v>
      </c>
      <c r="F123" s="138">
        <v>0</v>
      </c>
      <c r="G123" s="138">
        <v>0</v>
      </c>
      <c r="H123" s="138">
        <v>0</v>
      </c>
      <c r="I123" s="138">
        <v>0</v>
      </c>
      <c r="J123" s="138">
        <v>0</v>
      </c>
      <c r="K123" s="138">
        <v>0</v>
      </c>
      <c r="L123" s="138">
        <v>0</v>
      </c>
      <c r="M123" s="138">
        <v>0</v>
      </c>
      <c r="N123" s="138">
        <v>0</v>
      </c>
      <c r="O123" s="138" t="s">
        <v>4992</v>
      </c>
      <c r="P123" s="138">
        <v>0</v>
      </c>
      <c r="Q123" s="138">
        <v>0</v>
      </c>
      <c r="R123" s="138">
        <v>0</v>
      </c>
      <c r="S123" s="138">
        <v>0</v>
      </c>
      <c r="T123" s="138">
        <v>0</v>
      </c>
      <c r="U123" s="138">
        <v>0</v>
      </c>
      <c r="V123" s="138">
        <v>0</v>
      </c>
      <c r="W123" s="138">
        <v>0</v>
      </c>
      <c r="X123" s="138">
        <v>0</v>
      </c>
      <c r="Y123" s="138">
        <v>0</v>
      </c>
      <c r="Z123" s="138">
        <v>0</v>
      </c>
      <c r="AA123" s="138">
        <v>0</v>
      </c>
      <c r="AB123" s="138">
        <v>0</v>
      </c>
    </row>
    <row r="124" spans="1:28" x14ac:dyDescent="0.25">
      <c r="A124" s="82">
        <v>92</v>
      </c>
      <c r="B124" s="82">
        <v>11700</v>
      </c>
      <c r="C124" s="82">
        <v>6550</v>
      </c>
      <c r="D124" s="82">
        <v>5150</v>
      </c>
      <c r="E124" s="82">
        <v>0</v>
      </c>
      <c r="F124" s="82">
        <v>0</v>
      </c>
      <c r="G124" s="82">
        <v>0</v>
      </c>
      <c r="H124" s="82">
        <v>0</v>
      </c>
      <c r="I124" s="82">
        <v>0</v>
      </c>
      <c r="J124" s="82">
        <v>0</v>
      </c>
      <c r="K124" s="82">
        <v>0</v>
      </c>
      <c r="L124" s="82">
        <v>0</v>
      </c>
      <c r="M124" s="82">
        <v>0</v>
      </c>
      <c r="N124" s="82">
        <v>0</v>
      </c>
      <c r="O124" s="82" t="s">
        <v>4631</v>
      </c>
      <c r="P124" s="82">
        <v>0</v>
      </c>
      <c r="Q124" s="82">
        <v>0</v>
      </c>
      <c r="R124" s="82">
        <v>0</v>
      </c>
      <c r="S124" s="82">
        <v>0</v>
      </c>
      <c r="T124" s="82">
        <v>0</v>
      </c>
      <c r="U124" s="82">
        <v>0</v>
      </c>
      <c r="V124" s="82">
        <v>0</v>
      </c>
      <c r="W124" s="82">
        <v>0</v>
      </c>
      <c r="X124" s="82">
        <v>0</v>
      </c>
      <c r="Y124" s="82">
        <v>0</v>
      </c>
      <c r="Z124" s="82">
        <v>0</v>
      </c>
      <c r="AA124" s="82">
        <v>0</v>
      </c>
      <c r="AB124" s="82">
        <v>0</v>
      </c>
    </row>
    <row r="125" spans="1:28" x14ac:dyDescent="0.25">
      <c r="A125" s="138">
        <v>93</v>
      </c>
      <c r="B125" s="138">
        <v>11700</v>
      </c>
      <c r="C125" s="138">
        <v>6550</v>
      </c>
      <c r="D125" s="138">
        <v>5150</v>
      </c>
      <c r="E125" s="138">
        <v>0</v>
      </c>
      <c r="F125" s="138">
        <v>0</v>
      </c>
      <c r="G125" s="138">
        <v>0</v>
      </c>
      <c r="H125" s="138">
        <v>0</v>
      </c>
      <c r="I125" s="138">
        <v>0</v>
      </c>
      <c r="J125" s="138">
        <v>0</v>
      </c>
      <c r="K125" s="138">
        <v>0</v>
      </c>
      <c r="L125" s="138">
        <v>0</v>
      </c>
      <c r="M125" s="138">
        <v>0</v>
      </c>
      <c r="N125" s="138">
        <v>0</v>
      </c>
      <c r="O125" s="138" t="s">
        <v>4631</v>
      </c>
      <c r="P125" s="138">
        <v>0</v>
      </c>
      <c r="Q125" s="138">
        <v>0</v>
      </c>
      <c r="R125" s="138">
        <v>0</v>
      </c>
      <c r="S125" s="138">
        <v>0</v>
      </c>
      <c r="T125" s="138">
        <v>0</v>
      </c>
      <c r="U125" s="138">
        <v>0</v>
      </c>
      <c r="V125" s="138">
        <v>0</v>
      </c>
      <c r="W125" s="138">
        <v>0</v>
      </c>
      <c r="X125" s="138">
        <v>0</v>
      </c>
      <c r="Y125" s="138">
        <v>0</v>
      </c>
      <c r="Z125" s="138">
        <v>0</v>
      </c>
      <c r="AA125" s="138">
        <v>0</v>
      </c>
      <c r="AB125" s="138">
        <v>0</v>
      </c>
    </row>
    <row r="126" spans="1:28" x14ac:dyDescent="0.25">
      <c r="A126" s="82">
        <v>94</v>
      </c>
      <c r="B126" s="82">
        <v>11700</v>
      </c>
      <c r="C126" s="82">
        <v>6550</v>
      </c>
      <c r="D126" s="82">
        <v>5150</v>
      </c>
      <c r="E126" s="82">
        <v>0</v>
      </c>
      <c r="F126" s="82">
        <v>0</v>
      </c>
      <c r="G126" s="82">
        <v>0</v>
      </c>
      <c r="H126" s="82">
        <v>0</v>
      </c>
      <c r="I126" s="82">
        <v>0</v>
      </c>
      <c r="J126" s="82">
        <v>0</v>
      </c>
      <c r="K126" s="82">
        <v>0</v>
      </c>
      <c r="L126" s="82">
        <v>0</v>
      </c>
      <c r="M126" s="82">
        <v>0</v>
      </c>
      <c r="N126" s="82">
        <v>0</v>
      </c>
      <c r="O126" s="82" t="s">
        <v>4631</v>
      </c>
      <c r="P126" s="82">
        <v>0</v>
      </c>
      <c r="Q126" s="82">
        <v>0</v>
      </c>
      <c r="R126" s="82">
        <v>0</v>
      </c>
      <c r="S126" s="82">
        <v>0</v>
      </c>
      <c r="T126" s="82">
        <v>0</v>
      </c>
      <c r="U126" s="82">
        <v>0</v>
      </c>
      <c r="V126" s="82">
        <v>0</v>
      </c>
      <c r="W126" s="82">
        <v>0</v>
      </c>
      <c r="X126" s="82">
        <v>0</v>
      </c>
      <c r="Y126" s="82">
        <v>0</v>
      </c>
      <c r="Z126" s="82">
        <v>0</v>
      </c>
      <c r="AA126" s="82">
        <v>0</v>
      </c>
      <c r="AB126" s="82">
        <v>0</v>
      </c>
    </row>
    <row r="127" spans="1:28" x14ac:dyDescent="0.25">
      <c r="A127" s="138">
        <v>95</v>
      </c>
      <c r="B127" s="138">
        <v>11700</v>
      </c>
      <c r="C127" s="138">
        <v>6550</v>
      </c>
      <c r="D127" s="138">
        <v>5150</v>
      </c>
      <c r="E127" s="138">
        <v>0</v>
      </c>
      <c r="F127" s="138">
        <v>0</v>
      </c>
      <c r="G127" s="138">
        <v>0</v>
      </c>
      <c r="H127" s="138">
        <v>0</v>
      </c>
      <c r="I127" s="138">
        <v>0</v>
      </c>
      <c r="J127" s="138">
        <v>0</v>
      </c>
      <c r="K127" s="138">
        <v>0</v>
      </c>
      <c r="L127" s="138">
        <v>0</v>
      </c>
      <c r="M127" s="138">
        <v>0</v>
      </c>
      <c r="N127" s="138">
        <v>0</v>
      </c>
      <c r="O127" s="138" t="s">
        <v>4631</v>
      </c>
      <c r="P127" s="138">
        <v>0</v>
      </c>
      <c r="Q127" s="138">
        <v>0</v>
      </c>
      <c r="R127" s="138">
        <v>0</v>
      </c>
      <c r="S127" s="138">
        <v>0</v>
      </c>
      <c r="T127" s="138">
        <v>0</v>
      </c>
      <c r="U127" s="138">
        <v>0</v>
      </c>
      <c r="V127" s="138">
        <v>0</v>
      </c>
      <c r="W127" s="138">
        <v>0</v>
      </c>
      <c r="X127" s="138">
        <v>0</v>
      </c>
      <c r="Y127" s="138">
        <v>0</v>
      </c>
      <c r="Z127" s="138">
        <v>0</v>
      </c>
      <c r="AA127" s="138">
        <v>0</v>
      </c>
      <c r="AB127" s="138">
        <v>0</v>
      </c>
    </row>
    <row r="128" spans="1:28" x14ac:dyDescent="0.25">
      <c r="A128" s="82">
        <v>96</v>
      </c>
      <c r="B128" s="82">
        <v>11700</v>
      </c>
      <c r="C128" s="82">
        <v>6550</v>
      </c>
      <c r="D128" s="82">
        <v>5150</v>
      </c>
      <c r="E128" s="82">
        <v>0</v>
      </c>
      <c r="F128" s="82">
        <v>0</v>
      </c>
      <c r="G128" s="82">
        <v>0</v>
      </c>
      <c r="H128" s="82">
        <v>0</v>
      </c>
      <c r="I128" s="82">
        <v>0</v>
      </c>
      <c r="J128" s="82">
        <v>0</v>
      </c>
      <c r="K128" s="82">
        <v>0</v>
      </c>
      <c r="L128" s="82">
        <v>0</v>
      </c>
      <c r="M128" s="82">
        <v>0</v>
      </c>
      <c r="N128" s="82">
        <v>0</v>
      </c>
      <c r="O128" s="82" t="s">
        <v>4631</v>
      </c>
      <c r="P128" s="82">
        <v>0</v>
      </c>
      <c r="Q128" s="82">
        <v>0</v>
      </c>
      <c r="R128" s="82">
        <v>0</v>
      </c>
      <c r="S128" s="82">
        <v>0</v>
      </c>
      <c r="T128" s="82">
        <v>0</v>
      </c>
      <c r="U128" s="82">
        <v>0</v>
      </c>
      <c r="V128" s="82">
        <v>0</v>
      </c>
      <c r="W128" s="82">
        <v>0</v>
      </c>
      <c r="X128" s="82">
        <v>0</v>
      </c>
      <c r="Y128" s="82">
        <v>0</v>
      </c>
      <c r="Z128" s="82">
        <v>0</v>
      </c>
      <c r="AA128" s="82">
        <v>0</v>
      </c>
      <c r="AB128" s="82">
        <v>0</v>
      </c>
    </row>
    <row r="129" spans="1:28" x14ac:dyDescent="0.25">
      <c r="A129" s="138">
        <v>97</v>
      </c>
      <c r="B129" s="138">
        <v>11700</v>
      </c>
      <c r="C129" s="138">
        <v>6380</v>
      </c>
      <c r="D129" s="138">
        <v>5320</v>
      </c>
      <c r="E129" s="138">
        <v>0</v>
      </c>
      <c r="F129" s="138">
        <v>0</v>
      </c>
      <c r="G129" s="138">
        <v>0</v>
      </c>
      <c r="H129" s="138">
        <v>0</v>
      </c>
      <c r="I129" s="138">
        <v>0</v>
      </c>
      <c r="J129" s="138">
        <v>0</v>
      </c>
      <c r="K129" s="138">
        <v>0</v>
      </c>
      <c r="L129" s="138">
        <v>0</v>
      </c>
      <c r="M129" s="138">
        <v>0</v>
      </c>
      <c r="N129" s="138">
        <v>0</v>
      </c>
      <c r="O129" s="138">
        <v>0</v>
      </c>
      <c r="P129" s="138" t="s">
        <v>4625</v>
      </c>
      <c r="Q129" s="138">
        <v>0</v>
      </c>
      <c r="R129" s="138">
        <v>0</v>
      </c>
      <c r="S129" s="138">
        <v>0</v>
      </c>
      <c r="T129" s="138">
        <v>0</v>
      </c>
      <c r="U129" s="138">
        <v>0</v>
      </c>
      <c r="V129" s="138">
        <v>0</v>
      </c>
      <c r="W129" s="138">
        <v>0</v>
      </c>
      <c r="X129" s="138">
        <v>0</v>
      </c>
      <c r="Y129" s="138">
        <v>0</v>
      </c>
      <c r="Z129" s="138">
        <v>0</v>
      </c>
      <c r="AA129" s="138">
        <v>0</v>
      </c>
      <c r="AB129" s="138">
        <v>0</v>
      </c>
    </row>
    <row r="130" spans="1:28" x14ac:dyDescent="0.25">
      <c r="A130" s="82">
        <v>98</v>
      </c>
      <c r="B130" s="82">
        <v>11700</v>
      </c>
      <c r="C130" s="82">
        <v>6380</v>
      </c>
      <c r="D130" s="82">
        <v>5320</v>
      </c>
      <c r="E130" s="82">
        <v>0</v>
      </c>
      <c r="F130" s="82">
        <v>0</v>
      </c>
      <c r="G130" s="82">
        <v>0</v>
      </c>
      <c r="H130" s="82">
        <v>0</v>
      </c>
      <c r="I130" s="82">
        <v>0</v>
      </c>
      <c r="J130" s="82">
        <v>0</v>
      </c>
      <c r="K130" s="82">
        <v>0</v>
      </c>
      <c r="L130" s="82">
        <v>0</v>
      </c>
      <c r="M130" s="82">
        <v>0</v>
      </c>
      <c r="N130" s="82">
        <v>0</v>
      </c>
      <c r="O130" s="82">
        <v>0</v>
      </c>
      <c r="P130" s="82" t="s">
        <v>4625</v>
      </c>
      <c r="Q130" s="82">
        <v>0</v>
      </c>
      <c r="R130" s="82">
        <v>0</v>
      </c>
      <c r="S130" s="82">
        <v>0</v>
      </c>
      <c r="T130" s="82">
        <v>0</v>
      </c>
      <c r="U130" s="82">
        <v>0</v>
      </c>
      <c r="V130" s="82">
        <v>0</v>
      </c>
      <c r="W130" s="82">
        <v>0</v>
      </c>
      <c r="X130" s="82">
        <v>0</v>
      </c>
      <c r="Y130" s="82">
        <v>0</v>
      </c>
      <c r="Z130" s="82">
        <v>0</v>
      </c>
      <c r="AA130" s="82">
        <v>0</v>
      </c>
      <c r="AB130" s="82">
        <v>0</v>
      </c>
    </row>
    <row r="131" spans="1:28" x14ac:dyDescent="0.25">
      <c r="A131" s="138">
        <v>99</v>
      </c>
      <c r="B131" s="138">
        <v>11700</v>
      </c>
      <c r="C131" s="138">
        <v>6380</v>
      </c>
      <c r="D131" s="138">
        <v>5320</v>
      </c>
      <c r="E131" s="138">
        <v>0</v>
      </c>
      <c r="F131" s="138">
        <v>0</v>
      </c>
      <c r="G131" s="138">
        <v>0</v>
      </c>
      <c r="H131" s="138">
        <v>0</v>
      </c>
      <c r="I131" s="138">
        <v>0</v>
      </c>
      <c r="J131" s="138">
        <v>0</v>
      </c>
      <c r="K131" s="138">
        <v>0</v>
      </c>
      <c r="L131" s="138">
        <v>0</v>
      </c>
      <c r="M131" s="138">
        <v>0</v>
      </c>
      <c r="N131" s="138">
        <v>0</v>
      </c>
      <c r="O131" s="138">
        <v>0</v>
      </c>
      <c r="P131" s="138" t="s">
        <v>4625</v>
      </c>
      <c r="Q131" s="138">
        <v>0</v>
      </c>
      <c r="R131" s="138">
        <v>0</v>
      </c>
      <c r="S131" s="138">
        <v>0</v>
      </c>
      <c r="T131" s="138">
        <v>0</v>
      </c>
      <c r="U131" s="138">
        <v>0</v>
      </c>
      <c r="V131" s="138">
        <v>0</v>
      </c>
      <c r="W131" s="138">
        <v>0</v>
      </c>
      <c r="X131" s="138">
        <v>0</v>
      </c>
      <c r="Y131" s="138">
        <v>0</v>
      </c>
      <c r="Z131" s="138">
        <v>0</v>
      </c>
      <c r="AA131" s="138">
        <v>0</v>
      </c>
      <c r="AB131" s="138">
        <v>0</v>
      </c>
    </row>
    <row r="132" spans="1:28" x14ac:dyDescent="0.25">
      <c r="A132" s="82">
        <v>100</v>
      </c>
      <c r="B132" s="82">
        <v>11700</v>
      </c>
      <c r="C132" s="82">
        <v>6380</v>
      </c>
      <c r="D132" s="82">
        <v>5320</v>
      </c>
      <c r="E132" s="82">
        <v>0</v>
      </c>
      <c r="F132" s="82">
        <v>0</v>
      </c>
      <c r="G132" s="82">
        <v>0</v>
      </c>
      <c r="H132" s="82">
        <v>0</v>
      </c>
      <c r="I132" s="82">
        <v>0</v>
      </c>
      <c r="J132" s="82">
        <v>0</v>
      </c>
      <c r="K132" s="82">
        <v>0</v>
      </c>
      <c r="L132" s="82">
        <v>0</v>
      </c>
      <c r="M132" s="82">
        <v>0</v>
      </c>
      <c r="N132" s="82">
        <v>0</v>
      </c>
      <c r="O132" s="82">
        <v>0</v>
      </c>
      <c r="P132" s="82" t="s">
        <v>4625</v>
      </c>
      <c r="Q132" s="82">
        <v>0</v>
      </c>
      <c r="R132" s="82">
        <v>0</v>
      </c>
      <c r="S132" s="82">
        <v>0</v>
      </c>
      <c r="T132" s="82">
        <v>0</v>
      </c>
      <c r="U132" s="82">
        <v>0</v>
      </c>
      <c r="V132" s="82">
        <v>0</v>
      </c>
      <c r="W132" s="82">
        <v>0</v>
      </c>
      <c r="X132" s="82">
        <v>0</v>
      </c>
      <c r="Y132" s="82">
        <v>0</v>
      </c>
      <c r="Z132" s="82">
        <v>0</v>
      </c>
      <c r="AA132" s="82">
        <v>0</v>
      </c>
      <c r="AB132" s="82">
        <v>0</v>
      </c>
    </row>
    <row r="133" spans="1:28" x14ac:dyDescent="0.25">
      <c r="A133" s="138">
        <v>101</v>
      </c>
      <c r="B133" s="138">
        <v>11700</v>
      </c>
      <c r="C133" s="138">
        <v>6270</v>
      </c>
      <c r="D133" s="138">
        <v>5430</v>
      </c>
      <c r="E133" s="138">
        <v>0</v>
      </c>
      <c r="F133" s="138">
        <v>0</v>
      </c>
      <c r="G133" s="138">
        <v>0</v>
      </c>
      <c r="H133" s="138">
        <v>0</v>
      </c>
      <c r="I133" s="138">
        <v>0</v>
      </c>
      <c r="J133" s="138">
        <v>0</v>
      </c>
      <c r="K133" s="138">
        <v>0</v>
      </c>
      <c r="L133" s="138">
        <v>0</v>
      </c>
      <c r="M133" s="138">
        <v>0</v>
      </c>
      <c r="N133" s="138">
        <v>0</v>
      </c>
      <c r="O133" s="138">
        <v>0</v>
      </c>
      <c r="P133" s="138">
        <v>0</v>
      </c>
      <c r="Q133" s="138" t="s">
        <v>4622</v>
      </c>
      <c r="R133" s="138">
        <v>0</v>
      </c>
      <c r="S133" s="138">
        <v>0</v>
      </c>
      <c r="T133" s="138">
        <v>0</v>
      </c>
      <c r="U133" s="138">
        <v>0</v>
      </c>
      <c r="V133" s="138">
        <v>0</v>
      </c>
      <c r="W133" s="138">
        <v>0</v>
      </c>
      <c r="X133" s="138">
        <v>0</v>
      </c>
      <c r="Y133" s="138">
        <v>0</v>
      </c>
      <c r="Z133" s="138">
        <v>0</v>
      </c>
      <c r="AA133" s="138">
        <v>0</v>
      </c>
      <c r="AB133" s="138">
        <v>0</v>
      </c>
    </row>
    <row r="134" spans="1:28" x14ac:dyDescent="0.25">
      <c r="A134" s="82">
        <v>102</v>
      </c>
      <c r="B134" s="82">
        <v>11700</v>
      </c>
      <c r="C134" s="82">
        <v>6270</v>
      </c>
      <c r="D134" s="82">
        <v>5430</v>
      </c>
      <c r="E134" s="82">
        <v>0</v>
      </c>
      <c r="F134" s="82">
        <v>0</v>
      </c>
      <c r="G134" s="82">
        <v>0</v>
      </c>
      <c r="H134" s="82">
        <v>0</v>
      </c>
      <c r="I134" s="82">
        <v>0</v>
      </c>
      <c r="J134" s="82">
        <v>0</v>
      </c>
      <c r="K134" s="82">
        <v>0</v>
      </c>
      <c r="L134" s="82">
        <v>0</v>
      </c>
      <c r="M134" s="82">
        <v>0</v>
      </c>
      <c r="N134" s="82">
        <v>0</v>
      </c>
      <c r="O134" s="82">
        <v>0</v>
      </c>
      <c r="P134" s="82">
        <v>0</v>
      </c>
      <c r="Q134" s="82" t="s">
        <v>4622</v>
      </c>
      <c r="R134" s="82">
        <v>0</v>
      </c>
      <c r="S134" s="82">
        <v>0</v>
      </c>
      <c r="T134" s="82">
        <v>0</v>
      </c>
      <c r="U134" s="82">
        <v>0</v>
      </c>
      <c r="V134" s="82">
        <v>0</v>
      </c>
      <c r="W134" s="82">
        <v>0</v>
      </c>
      <c r="X134" s="82">
        <v>0</v>
      </c>
      <c r="Y134" s="82">
        <v>0</v>
      </c>
      <c r="Z134" s="82">
        <v>0</v>
      </c>
      <c r="AA134" s="82">
        <v>0</v>
      </c>
      <c r="AB134" s="82">
        <v>0</v>
      </c>
    </row>
    <row r="135" spans="1:28" x14ac:dyDescent="0.25">
      <c r="A135" s="138">
        <v>103</v>
      </c>
      <c r="B135" s="138">
        <v>11700</v>
      </c>
      <c r="C135" s="138">
        <v>6270</v>
      </c>
      <c r="D135" s="138">
        <v>5430</v>
      </c>
      <c r="E135" s="138">
        <v>0</v>
      </c>
      <c r="F135" s="138">
        <v>0</v>
      </c>
      <c r="G135" s="138">
        <v>0</v>
      </c>
      <c r="H135" s="138">
        <v>0</v>
      </c>
      <c r="I135" s="138">
        <v>0</v>
      </c>
      <c r="J135" s="138">
        <v>0</v>
      </c>
      <c r="K135" s="138">
        <v>0</v>
      </c>
      <c r="L135" s="138">
        <v>0</v>
      </c>
      <c r="M135" s="138">
        <v>0</v>
      </c>
      <c r="N135" s="138">
        <v>0</v>
      </c>
      <c r="O135" s="138">
        <v>0</v>
      </c>
      <c r="P135" s="138">
        <v>0</v>
      </c>
      <c r="Q135" s="138" t="s">
        <v>4622</v>
      </c>
      <c r="R135" s="138">
        <v>0</v>
      </c>
      <c r="S135" s="138">
        <v>0</v>
      </c>
      <c r="T135" s="138">
        <v>0</v>
      </c>
      <c r="U135" s="138">
        <v>0</v>
      </c>
      <c r="V135" s="138">
        <v>0</v>
      </c>
      <c r="W135" s="138">
        <v>0</v>
      </c>
      <c r="X135" s="138">
        <v>0</v>
      </c>
      <c r="Y135" s="138">
        <v>0</v>
      </c>
      <c r="Z135" s="138">
        <v>0</v>
      </c>
      <c r="AA135" s="138">
        <v>0</v>
      </c>
      <c r="AB135" s="138">
        <v>0</v>
      </c>
    </row>
    <row r="136" spans="1:28" x14ac:dyDescent="0.25">
      <c r="A136" s="82">
        <v>104</v>
      </c>
      <c r="B136" s="82">
        <v>11700</v>
      </c>
      <c r="C136" s="82">
        <v>6270</v>
      </c>
      <c r="D136" s="82">
        <v>5430</v>
      </c>
      <c r="E136" s="82">
        <v>0</v>
      </c>
      <c r="F136" s="82">
        <v>0</v>
      </c>
      <c r="G136" s="82">
        <v>0</v>
      </c>
      <c r="H136" s="82">
        <v>0</v>
      </c>
      <c r="I136" s="82">
        <v>0</v>
      </c>
      <c r="J136" s="82">
        <v>0</v>
      </c>
      <c r="K136" s="82">
        <v>0</v>
      </c>
      <c r="L136" s="82">
        <v>0</v>
      </c>
      <c r="M136" s="82">
        <v>0</v>
      </c>
      <c r="N136" s="82">
        <v>0</v>
      </c>
      <c r="O136" s="82">
        <v>0</v>
      </c>
      <c r="P136" s="82">
        <v>0</v>
      </c>
      <c r="Q136" s="82" t="s">
        <v>4622</v>
      </c>
      <c r="R136" s="82">
        <v>0</v>
      </c>
      <c r="S136" s="82">
        <v>0</v>
      </c>
      <c r="T136" s="82">
        <v>0</v>
      </c>
      <c r="U136" s="82">
        <v>0</v>
      </c>
      <c r="V136" s="82">
        <v>0</v>
      </c>
      <c r="W136" s="82">
        <v>0</v>
      </c>
      <c r="X136" s="82">
        <v>0</v>
      </c>
      <c r="Y136" s="82">
        <v>0</v>
      </c>
      <c r="Z136" s="82">
        <v>0</v>
      </c>
      <c r="AA136" s="82">
        <v>0</v>
      </c>
      <c r="AB136" s="82">
        <v>0</v>
      </c>
    </row>
    <row r="137" spans="1:28" x14ac:dyDescent="0.25">
      <c r="A137" s="138">
        <v>105</v>
      </c>
      <c r="B137" s="138">
        <v>11700</v>
      </c>
      <c r="C137" s="138">
        <v>6270</v>
      </c>
      <c r="D137" s="138">
        <v>5430</v>
      </c>
      <c r="E137" s="138">
        <v>0</v>
      </c>
      <c r="F137" s="138">
        <v>0</v>
      </c>
      <c r="G137" s="138">
        <v>0</v>
      </c>
      <c r="H137" s="138">
        <v>0</v>
      </c>
      <c r="I137" s="138">
        <v>0</v>
      </c>
      <c r="J137" s="138">
        <v>0</v>
      </c>
      <c r="K137" s="138">
        <v>0</v>
      </c>
      <c r="L137" s="138">
        <v>0</v>
      </c>
      <c r="M137" s="138">
        <v>0</v>
      </c>
      <c r="N137" s="138">
        <v>0</v>
      </c>
      <c r="O137" s="138">
        <v>0</v>
      </c>
      <c r="P137" s="138">
        <v>0</v>
      </c>
      <c r="Q137" s="138" t="s">
        <v>4622</v>
      </c>
      <c r="R137" s="138">
        <v>0</v>
      </c>
      <c r="S137" s="138">
        <v>0</v>
      </c>
      <c r="T137" s="138">
        <v>0</v>
      </c>
      <c r="U137" s="138">
        <v>0</v>
      </c>
      <c r="V137" s="138">
        <v>0</v>
      </c>
      <c r="W137" s="138">
        <v>0</v>
      </c>
      <c r="X137" s="138">
        <v>0</v>
      </c>
      <c r="Y137" s="138">
        <v>0</v>
      </c>
      <c r="Z137" s="138">
        <v>0</v>
      </c>
      <c r="AA137" s="138">
        <v>0</v>
      </c>
      <c r="AB137" s="138">
        <v>0</v>
      </c>
    </row>
    <row r="138" spans="1:28" x14ac:dyDescent="0.25">
      <c r="A138" s="82">
        <v>106</v>
      </c>
      <c r="B138" s="82">
        <v>11700</v>
      </c>
      <c r="C138" s="82">
        <v>6270</v>
      </c>
      <c r="D138" s="82">
        <v>5430</v>
      </c>
      <c r="E138" s="82">
        <v>0</v>
      </c>
      <c r="F138" s="82">
        <v>0</v>
      </c>
      <c r="G138" s="82">
        <v>0</v>
      </c>
      <c r="H138" s="82">
        <v>0</v>
      </c>
      <c r="I138" s="82">
        <v>0</v>
      </c>
      <c r="J138" s="82">
        <v>0</v>
      </c>
      <c r="K138" s="82">
        <v>0</v>
      </c>
      <c r="L138" s="82">
        <v>0</v>
      </c>
      <c r="M138" s="82">
        <v>0</v>
      </c>
      <c r="N138" s="82">
        <v>0</v>
      </c>
      <c r="O138" s="82">
        <v>0</v>
      </c>
      <c r="P138" s="82">
        <v>0</v>
      </c>
      <c r="Q138" s="82" t="s">
        <v>4622</v>
      </c>
      <c r="R138" s="82">
        <v>0</v>
      </c>
      <c r="S138" s="82">
        <v>0</v>
      </c>
      <c r="T138" s="82">
        <v>0</v>
      </c>
      <c r="U138" s="82">
        <v>0</v>
      </c>
      <c r="V138" s="82">
        <v>0</v>
      </c>
      <c r="W138" s="82">
        <v>0</v>
      </c>
      <c r="X138" s="82">
        <v>0</v>
      </c>
      <c r="Y138" s="82">
        <v>0</v>
      </c>
      <c r="Z138" s="82">
        <v>0</v>
      </c>
      <c r="AA138" s="82">
        <v>0</v>
      </c>
      <c r="AB138" s="82">
        <v>0</v>
      </c>
    </row>
    <row r="139" spans="1:28" x14ac:dyDescent="0.25">
      <c r="A139" s="138">
        <v>107</v>
      </c>
      <c r="B139" s="138">
        <v>11700</v>
      </c>
      <c r="C139" s="138">
        <v>6270</v>
      </c>
      <c r="D139" s="138">
        <v>5430</v>
      </c>
      <c r="E139" s="138">
        <v>0</v>
      </c>
      <c r="F139" s="138">
        <v>0</v>
      </c>
      <c r="G139" s="138">
        <v>0</v>
      </c>
      <c r="H139" s="138">
        <v>0</v>
      </c>
      <c r="I139" s="138">
        <v>0</v>
      </c>
      <c r="J139" s="138">
        <v>0</v>
      </c>
      <c r="K139" s="138">
        <v>0</v>
      </c>
      <c r="L139" s="138">
        <v>0</v>
      </c>
      <c r="M139" s="138">
        <v>0</v>
      </c>
      <c r="N139" s="138">
        <v>0</v>
      </c>
      <c r="O139" s="138">
        <v>0</v>
      </c>
      <c r="P139" s="138">
        <v>0</v>
      </c>
      <c r="Q139" s="138" t="s">
        <v>4622</v>
      </c>
      <c r="R139" s="138">
        <v>0</v>
      </c>
      <c r="S139" s="138">
        <v>0</v>
      </c>
      <c r="T139" s="138">
        <v>0</v>
      </c>
      <c r="U139" s="138">
        <v>0</v>
      </c>
      <c r="V139" s="138">
        <v>0</v>
      </c>
      <c r="W139" s="138">
        <v>0</v>
      </c>
      <c r="X139" s="138">
        <v>0</v>
      </c>
      <c r="Y139" s="138">
        <v>0</v>
      </c>
      <c r="Z139" s="138">
        <v>0</v>
      </c>
      <c r="AA139" s="138">
        <v>0</v>
      </c>
      <c r="AB139" s="138">
        <v>0</v>
      </c>
    </row>
    <row r="140" spans="1:28" x14ac:dyDescent="0.25">
      <c r="A140" s="82">
        <v>108</v>
      </c>
      <c r="B140" s="82">
        <v>11700</v>
      </c>
      <c r="C140" s="82">
        <v>6270</v>
      </c>
      <c r="D140" s="82">
        <v>5430</v>
      </c>
      <c r="E140" s="82">
        <v>0</v>
      </c>
      <c r="F140" s="82">
        <v>0</v>
      </c>
      <c r="G140" s="82">
        <v>0</v>
      </c>
      <c r="H140" s="82">
        <v>0</v>
      </c>
      <c r="I140" s="82">
        <v>0</v>
      </c>
      <c r="J140" s="82">
        <v>0</v>
      </c>
      <c r="K140" s="82">
        <v>0</v>
      </c>
      <c r="L140" s="82">
        <v>0</v>
      </c>
      <c r="M140" s="82">
        <v>0</v>
      </c>
      <c r="N140" s="82">
        <v>0</v>
      </c>
      <c r="O140" s="82">
        <v>0</v>
      </c>
      <c r="P140" s="82">
        <v>0</v>
      </c>
      <c r="Q140" s="82" t="s">
        <v>4622</v>
      </c>
      <c r="R140" s="82">
        <v>0</v>
      </c>
      <c r="S140" s="82">
        <v>0</v>
      </c>
      <c r="T140" s="82">
        <v>0</v>
      </c>
      <c r="U140" s="82">
        <v>0</v>
      </c>
      <c r="V140" s="82">
        <v>0</v>
      </c>
      <c r="W140" s="82">
        <v>0</v>
      </c>
      <c r="X140" s="82">
        <v>0</v>
      </c>
      <c r="Y140" s="82">
        <v>0</v>
      </c>
      <c r="Z140" s="82">
        <v>0</v>
      </c>
      <c r="AA140" s="82">
        <v>0</v>
      </c>
      <c r="AB140" s="82">
        <v>0</v>
      </c>
    </row>
    <row r="141" spans="1:28" x14ac:dyDescent="0.25">
      <c r="A141" s="138">
        <v>109</v>
      </c>
      <c r="B141" s="138">
        <v>11700</v>
      </c>
      <c r="C141" s="138">
        <v>6270</v>
      </c>
      <c r="D141" s="138">
        <v>5430</v>
      </c>
      <c r="E141" s="138">
        <v>0</v>
      </c>
      <c r="F141" s="138">
        <v>0</v>
      </c>
      <c r="G141" s="138">
        <v>0</v>
      </c>
      <c r="H141" s="138">
        <v>0</v>
      </c>
      <c r="I141" s="138">
        <v>0</v>
      </c>
      <c r="J141" s="138">
        <v>0</v>
      </c>
      <c r="K141" s="138">
        <v>0</v>
      </c>
      <c r="L141" s="138">
        <v>0</v>
      </c>
      <c r="M141" s="138">
        <v>0</v>
      </c>
      <c r="N141" s="138">
        <v>0</v>
      </c>
      <c r="O141" s="138">
        <v>0</v>
      </c>
      <c r="P141" s="138">
        <v>0</v>
      </c>
      <c r="Q141" s="138" t="s">
        <v>4622</v>
      </c>
      <c r="R141" s="138">
        <v>0</v>
      </c>
      <c r="S141" s="138">
        <v>0</v>
      </c>
      <c r="T141" s="138">
        <v>0</v>
      </c>
      <c r="U141" s="138">
        <v>0</v>
      </c>
      <c r="V141" s="138">
        <v>0</v>
      </c>
      <c r="W141" s="138">
        <v>0</v>
      </c>
      <c r="X141" s="138">
        <v>0</v>
      </c>
      <c r="Y141" s="138">
        <v>0</v>
      </c>
      <c r="Z141" s="138">
        <v>0</v>
      </c>
      <c r="AA141" s="138">
        <v>0</v>
      </c>
      <c r="AB141" s="138">
        <v>0</v>
      </c>
    </row>
    <row r="142" spans="1:28" x14ac:dyDescent="0.25">
      <c r="A142" s="82">
        <v>110</v>
      </c>
      <c r="B142" s="82">
        <v>11700</v>
      </c>
      <c r="C142" s="82">
        <v>6270</v>
      </c>
      <c r="D142" s="82">
        <v>5430</v>
      </c>
      <c r="E142" s="82">
        <v>0</v>
      </c>
      <c r="F142" s="82">
        <v>0</v>
      </c>
      <c r="G142" s="82">
        <v>0</v>
      </c>
      <c r="H142" s="82">
        <v>0</v>
      </c>
      <c r="I142" s="82">
        <v>0</v>
      </c>
      <c r="J142" s="82">
        <v>0</v>
      </c>
      <c r="K142" s="82">
        <v>0</v>
      </c>
      <c r="L142" s="82">
        <v>0</v>
      </c>
      <c r="M142" s="82">
        <v>0</v>
      </c>
      <c r="N142" s="82">
        <v>0</v>
      </c>
      <c r="O142" s="82">
        <v>0</v>
      </c>
      <c r="P142" s="82">
        <v>0</v>
      </c>
      <c r="Q142" s="82" t="s">
        <v>4622</v>
      </c>
      <c r="R142" s="82">
        <v>0</v>
      </c>
      <c r="S142" s="82">
        <v>0</v>
      </c>
      <c r="T142" s="82">
        <v>0</v>
      </c>
      <c r="U142" s="82">
        <v>0</v>
      </c>
      <c r="V142" s="82">
        <v>0</v>
      </c>
      <c r="W142" s="82">
        <v>0</v>
      </c>
      <c r="X142" s="82">
        <v>0</v>
      </c>
      <c r="Y142" s="82">
        <v>0</v>
      </c>
      <c r="Z142" s="82">
        <v>0</v>
      </c>
      <c r="AA142" s="82">
        <v>0</v>
      </c>
      <c r="AB142" s="82">
        <v>0</v>
      </c>
    </row>
    <row r="143" spans="1:28" x14ac:dyDescent="0.25">
      <c r="A143" s="138">
        <v>111</v>
      </c>
      <c r="B143" s="138">
        <v>11700</v>
      </c>
      <c r="C143" s="138">
        <v>6270</v>
      </c>
      <c r="D143" s="138">
        <v>5430</v>
      </c>
      <c r="E143" s="138">
        <v>0</v>
      </c>
      <c r="F143" s="138">
        <v>0</v>
      </c>
      <c r="G143" s="138">
        <v>0</v>
      </c>
      <c r="H143" s="138">
        <v>0</v>
      </c>
      <c r="I143" s="138">
        <v>0</v>
      </c>
      <c r="J143" s="138">
        <v>0</v>
      </c>
      <c r="K143" s="138">
        <v>0</v>
      </c>
      <c r="L143" s="138">
        <v>0</v>
      </c>
      <c r="M143" s="138">
        <v>0</v>
      </c>
      <c r="N143" s="138">
        <v>0</v>
      </c>
      <c r="O143" s="138">
        <v>0</v>
      </c>
      <c r="P143" s="138">
        <v>0</v>
      </c>
      <c r="Q143" s="138" t="s">
        <v>4622</v>
      </c>
      <c r="R143" s="138">
        <v>0</v>
      </c>
      <c r="S143" s="138">
        <v>0</v>
      </c>
      <c r="T143" s="138">
        <v>0</v>
      </c>
      <c r="U143" s="138">
        <v>0</v>
      </c>
      <c r="V143" s="138">
        <v>0</v>
      </c>
      <c r="W143" s="138">
        <v>0</v>
      </c>
      <c r="X143" s="138">
        <v>0</v>
      </c>
      <c r="Y143" s="138">
        <v>0</v>
      </c>
      <c r="Z143" s="138">
        <v>0</v>
      </c>
      <c r="AA143" s="138">
        <v>0</v>
      </c>
      <c r="AB143" s="138">
        <v>0</v>
      </c>
    </row>
    <row r="144" spans="1:28" x14ac:dyDescent="0.25">
      <c r="A144" s="82">
        <v>112</v>
      </c>
      <c r="B144" s="82">
        <v>11700</v>
      </c>
      <c r="C144" s="82">
        <v>6270</v>
      </c>
      <c r="D144" s="82">
        <v>5430</v>
      </c>
      <c r="E144" s="82">
        <v>0</v>
      </c>
      <c r="F144" s="82">
        <v>0</v>
      </c>
      <c r="G144" s="82">
        <v>0</v>
      </c>
      <c r="H144" s="82">
        <v>0</v>
      </c>
      <c r="I144" s="82">
        <v>0</v>
      </c>
      <c r="J144" s="82">
        <v>0</v>
      </c>
      <c r="K144" s="82">
        <v>0</v>
      </c>
      <c r="L144" s="82">
        <v>0</v>
      </c>
      <c r="M144" s="82">
        <v>0</v>
      </c>
      <c r="N144" s="82">
        <v>0</v>
      </c>
      <c r="O144" s="82">
        <v>0</v>
      </c>
      <c r="P144" s="82">
        <v>0</v>
      </c>
      <c r="Q144" s="82" t="s">
        <v>4622</v>
      </c>
      <c r="R144" s="82">
        <v>0</v>
      </c>
      <c r="S144" s="82">
        <v>0</v>
      </c>
      <c r="T144" s="82">
        <v>0</v>
      </c>
      <c r="U144" s="82">
        <v>0</v>
      </c>
      <c r="V144" s="82">
        <v>0</v>
      </c>
      <c r="W144" s="82">
        <v>0</v>
      </c>
      <c r="X144" s="82">
        <v>0</v>
      </c>
      <c r="Y144" s="82">
        <v>0</v>
      </c>
      <c r="Z144" s="82">
        <v>0</v>
      </c>
      <c r="AA144" s="82">
        <v>0</v>
      </c>
      <c r="AB144" s="82">
        <v>0</v>
      </c>
    </row>
    <row r="145" spans="1:28" x14ac:dyDescent="0.25">
      <c r="A145" s="138">
        <v>113</v>
      </c>
      <c r="B145" s="138">
        <v>11700</v>
      </c>
      <c r="C145" s="138">
        <v>6270</v>
      </c>
      <c r="D145" s="138">
        <v>5430</v>
      </c>
      <c r="E145" s="138">
        <v>0</v>
      </c>
      <c r="F145" s="138">
        <v>0</v>
      </c>
      <c r="G145" s="138">
        <v>0</v>
      </c>
      <c r="H145" s="138">
        <v>0</v>
      </c>
      <c r="I145" s="138">
        <v>0</v>
      </c>
      <c r="J145" s="138">
        <v>0</v>
      </c>
      <c r="K145" s="138">
        <v>0</v>
      </c>
      <c r="L145" s="138">
        <v>0</v>
      </c>
      <c r="M145" s="138">
        <v>0</v>
      </c>
      <c r="N145" s="138">
        <v>0</v>
      </c>
      <c r="O145" s="138">
        <v>0</v>
      </c>
      <c r="P145" s="138">
        <v>0</v>
      </c>
      <c r="Q145" s="138" t="s">
        <v>4622</v>
      </c>
      <c r="R145" s="138">
        <v>0</v>
      </c>
      <c r="S145" s="138">
        <v>0</v>
      </c>
      <c r="T145" s="138">
        <v>0</v>
      </c>
      <c r="U145" s="138">
        <v>0</v>
      </c>
      <c r="V145" s="138">
        <v>0</v>
      </c>
      <c r="W145" s="138">
        <v>0</v>
      </c>
      <c r="X145" s="138">
        <v>0</v>
      </c>
      <c r="Y145" s="138">
        <v>0</v>
      </c>
      <c r="Z145" s="138">
        <v>0</v>
      </c>
      <c r="AA145" s="138">
        <v>0</v>
      </c>
      <c r="AB145" s="138">
        <v>0</v>
      </c>
    </row>
    <row r="146" spans="1:28" x14ac:dyDescent="0.25">
      <c r="A146" s="82">
        <v>114</v>
      </c>
      <c r="B146" s="82">
        <v>11700</v>
      </c>
      <c r="C146" s="82">
        <v>6270</v>
      </c>
      <c r="D146" s="82">
        <v>5430</v>
      </c>
      <c r="E146" s="82">
        <v>0</v>
      </c>
      <c r="F146" s="82">
        <v>0</v>
      </c>
      <c r="G146" s="82">
        <v>0</v>
      </c>
      <c r="H146" s="82">
        <v>0</v>
      </c>
      <c r="I146" s="82">
        <v>0</v>
      </c>
      <c r="J146" s="82">
        <v>0</v>
      </c>
      <c r="K146" s="82">
        <v>0</v>
      </c>
      <c r="L146" s="82">
        <v>0</v>
      </c>
      <c r="M146" s="82">
        <v>0</v>
      </c>
      <c r="N146" s="82">
        <v>0</v>
      </c>
      <c r="O146" s="82">
        <v>0</v>
      </c>
      <c r="P146" s="82">
        <v>0</v>
      </c>
      <c r="Q146" s="82" t="s">
        <v>4622</v>
      </c>
      <c r="R146" s="82">
        <v>0</v>
      </c>
      <c r="S146" s="82">
        <v>0</v>
      </c>
      <c r="T146" s="82">
        <v>0</v>
      </c>
      <c r="U146" s="82">
        <v>0</v>
      </c>
      <c r="V146" s="82">
        <v>0</v>
      </c>
      <c r="W146" s="82">
        <v>0</v>
      </c>
      <c r="X146" s="82">
        <v>0</v>
      </c>
      <c r="Y146" s="82">
        <v>0</v>
      </c>
      <c r="Z146" s="82">
        <v>0</v>
      </c>
      <c r="AA146" s="82">
        <v>0</v>
      </c>
      <c r="AB146" s="82">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D8"/>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c r="C1" s="27"/>
      <c r="D1" s="28" t="s">
        <v>19</v>
      </c>
    </row>
    <row r="2" spans="1:4" ht="15" customHeight="1" x14ac:dyDescent="0.25">
      <c r="A2" s="42" t="s">
        <v>30</v>
      </c>
      <c r="B2" s="49"/>
      <c r="C2" s="25"/>
      <c r="D2" s="29" t="s">
        <v>49</v>
      </c>
    </row>
    <row r="3" spans="1:4" ht="15" customHeight="1" x14ac:dyDescent="0.25">
      <c r="A3" s="42" t="s">
        <v>33</v>
      </c>
      <c r="B3" s="49"/>
      <c r="C3" s="25"/>
      <c r="D3" s="29" t="s">
        <v>21</v>
      </c>
    </row>
    <row r="4" spans="1:4" ht="15" customHeight="1" x14ac:dyDescent="0.25">
      <c r="A4" s="43" t="s">
        <v>35</v>
      </c>
      <c r="B4" s="44">
        <f>IFERROR(B2/B1,0)</f>
        <v>0</v>
      </c>
      <c r="C4" s="26"/>
      <c r="D4" s="30" t="s">
        <v>18</v>
      </c>
    </row>
    <row r="5" spans="1:4" ht="15" customHeight="1" x14ac:dyDescent="0.25">
      <c r="A5" s="43" t="s">
        <v>36</v>
      </c>
      <c r="B5" s="44">
        <f>IFERROR(B3/B1,0)</f>
        <v>0</v>
      </c>
      <c r="C5" s="26"/>
      <c r="D5" s="30" t="s">
        <v>17</v>
      </c>
    </row>
    <row r="6" spans="1:4" x14ac:dyDescent="0.25">
      <c r="A6" s="35" t="s">
        <v>37</v>
      </c>
      <c r="B6" s="33">
        <f ca="1">ThongSo!B3*B7</f>
        <v>1800</v>
      </c>
      <c r="C6" s="36"/>
      <c r="D6" s="37" t="s">
        <v>28</v>
      </c>
    </row>
    <row r="7" spans="1:4" x14ac:dyDescent="0.25">
      <c r="A7" s="38" t="s">
        <v>2</v>
      </c>
      <c r="B7" s="34">
        <f ca="1">VALUE(MID(CELL("filename",$A$1),FIND("]",CELL("filename",$A$1),1)+1,200))</f>
        <v>36</v>
      </c>
      <c r="C7" s="39"/>
      <c r="D7" s="40" t="s">
        <v>29</v>
      </c>
    </row>
    <row r="8" spans="1:4" ht="30" x14ac:dyDescent="0.25">
      <c r="A8" s="32" t="s">
        <v>0</v>
      </c>
      <c r="B8" s="32" t="s">
        <v>31</v>
      </c>
      <c r="C8" s="32" t="s">
        <v>48</v>
      </c>
      <c r="D8" s="32" t="s">
        <v>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D8"/>
  <sheetViews>
    <sheetView showZeros="0" zoomScale="85" zoomScaleNormal="85" workbookViewId="0">
      <pane xSplit="4" ySplit="8" topLeftCell="E9" activePane="bottomRight" state="frozen"/>
      <selection activeCell="K242" sqref="K242"/>
      <selection pane="topRight" activeCell="K242" sqref="K242"/>
      <selection pane="bottomLeft" activeCell="K242" sqref="K242"/>
      <selection pane="bottomRight" activeCell="E9" sqref="E9"/>
    </sheetView>
  </sheetViews>
  <sheetFormatPr defaultRowHeight="15" x14ac:dyDescent="0.25"/>
  <cols>
    <col min="1" max="1" width="20.42578125" customWidth="1"/>
    <col min="2" max="2" width="12.140625" customWidth="1"/>
    <col min="3" max="3" width="12.7109375" customWidth="1"/>
    <col min="4" max="4" width="13.5703125" customWidth="1"/>
  </cols>
  <sheetData>
    <row r="1" spans="1:4" ht="15" customHeight="1" x14ac:dyDescent="0.25">
      <c r="A1" s="41" t="s">
        <v>34</v>
      </c>
      <c r="B1" s="48"/>
      <c r="C1" s="27"/>
      <c r="D1" s="28" t="s">
        <v>19</v>
      </c>
    </row>
    <row r="2" spans="1:4" ht="15" customHeight="1" x14ac:dyDescent="0.25">
      <c r="A2" s="42" t="s">
        <v>30</v>
      </c>
      <c r="B2" s="49"/>
      <c r="C2" s="25"/>
      <c r="D2" s="29" t="s">
        <v>49</v>
      </c>
    </row>
    <row r="3" spans="1:4" ht="15" customHeight="1" x14ac:dyDescent="0.25">
      <c r="A3" s="42" t="s">
        <v>33</v>
      </c>
      <c r="B3" s="49"/>
      <c r="C3" s="25"/>
      <c r="D3" s="29" t="s">
        <v>21</v>
      </c>
    </row>
    <row r="4" spans="1:4" ht="15" customHeight="1" x14ac:dyDescent="0.25">
      <c r="A4" s="43" t="s">
        <v>35</v>
      </c>
      <c r="B4" s="44">
        <f>IFERROR(B2/B1,0)</f>
        <v>0</v>
      </c>
      <c r="C4" s="26"/>
      <c r="D4" s="30" t="s">
        <v>18</v>
      </c>
    </row>
    <row r="5" spans="1:4" ht="15" customHeight="1" x14ac:dyDescent="0.25">
      <c r="A5" s="43" t="s">
        <v>36</v>
      </c>
      <c r="B5" s="44">
        <f>IFERROR(B3/B1,0)</f>
        <v>0</v>
      </c>
      <c r="C5" s="26"/>
      <c r="D5" s="30" t="s">
        <v>17</v>
      </c>
    </row>
    <row r="6" spans="1:4" x14ac:dyDescent="0.25">
      <c r="A6" s="35" t="s">
        <v>37</v>
      </c>
      <c r="B6" s="33">
        <f ca="1">ThongSo!B3*B7</f>
        <v>2000</v>
      </c>
      <c r="C6" s="36"/>
      <c r="D6" s="37" t="s">
        <v>28</v>
      </c>
    </row>
    <row r="7" spans="1:4" x14ac:dyDescent="0.25">
      <c r="A7" s="38" t="s">
        <v>2</v>
      </c>
      <c r="B7" s="34">
        <f ca="1">VALUE(MID(CELL("filename",$A$1),FIND("]",CELL("filename",$A$1),1)+1,200))</f>
        <v>40</v>
      </c>
      <c r="C7" s="39"/>
      <c r="D7" s="40" t="s">
        <v>29</v>
      </c>
    </row>
    <row r="8" spans="1:4" ht="30" x14ac:dyDescent="0.25">
      <c r="A8" s="32" t="s">
        <v>0</v>
      </c>
      <c r="B8" s="32" t="s">
        <v>31</v>
      </c>
      <c r="C8" s="32" t="s">
        <v>48</v>
      </c>
      <c r="D8" s="32" t="s">
        <v>30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C122"/>
  <sheetViews>
    <sheetView topLeftCell="A250" workbookViewId="0">
      <selection activeCell="A2" sqref="A2:C122"/>
    </sheetView>
  </sheetViews>
  <sheetFormatPr defaultRowHeight="15" x14ac:dyDescent="0.25"/>
  <cols>
    <col min="1" max="1" width="17.28515625" bestFit="1" customWidth="1"/>
    <col min="2" max="3" width="12.42578125" customWidth="1"/>
  </cols>
  <sheetData>
    <row r="1" spans="1:3" ht="45" x14ac:dyDescent="0.25">
      <c r="A1" s="144" t="s">
        <v>26</v>
      </c>
      <c r="B1" s="144" t="s">
        <v>2</v>
      </c>
      <c r="C1" s="45" t="s">
        <v>14</v>
      </c>
    </row>
    <row r="2" spans="1:3" x14ac:dyDescent="0.25">
      <c r="A2" s="82">
        <v>1610</v>
      </c>
      <c r="B2" s="82">
        <v>32</v>
      </c>
      <c r="C2" s="82">
        <v>1610</v>
      </c>
    </row>
    <row r="3" spans="1:3" x14ac:dyDescent="0.25">
      <c r="A3" s="82">
        <v>2660</v>
      </c>
      <c r="B3" s="82">
        <v>32</v>
      </c>
      <c r="C3" s="82">
        <v>2660</v>
      </c>
    </row>
    <row r="4" spans="1:3" x14ac:dyDescent="0.25">
      <c r="A4" s="82">
        <v>2660</v>
      </c>
      <c r="B4" s="82">
        <v>32</v>
      </c>
      <c r="C4" s="82">
        <v>2660</v>
      </c>
    </row>
    <row r="5" spans="1:3" x14ac:dyDescent="0.25">
      <c r="A5" s="82">
        <v>2660</v>
      </c>
      <c r="B5" s="82">
        <v>32</v>
      </c>
      <c r="C5" s="82">
        <v>2660</v>
      </c>
    </row>
    <row r="6" spans="1:3" x14ac:dyDescent="0.25">
      <c r="A6" s="82" t="s">
        <v>151</v>
      </c>
      <c r="B6" s="82">
        <v>32</v>
      </c>
      <c r="C6" s="82">
        <v>2700</v>
      </c>
    </row>
    <row r="7" spans="1:3" x14ac:dyDescent="0.25">
      <c r="A7" s="82" t="s">
        <v>151</v>
      </c>
      <c r="B7" s="82">
        <v>32</v>
      </c>
      <c r="C7" s="82">
        <v>2700</v>
      </c>
    </row>
    <row r="8" spans="1:3" x14ac:dyDescent="0.25">
      <c r="A8" s="82" t="s">
        <v>151</v>
      </c>
      <c r="B8" s="82">
        <v>32</v>
      </c>
      <c r="C8" s="82">
        <v>2700</v>
      </c>
    </row>
    <row r="9" spans="1:3" x14ac:dyDescent="0.25">
      <c r="A9" s="82" t="s">
        <v>151</v>
      </c>
      <c r="B9" s="82">
        <v>32</v>
      </c>
      <c r="C9" s="82">
        <v>2700</v>
      </c>
    </row>
    <row r="10" spans="1:3" x14ac:dyDescent="0.25">
      <c r="A10" s="82" t="s">
        <v>151</v>
      </c>
      <c r="B10" s="82">
        <v>32</v>
      </c>
      <c r="C10" s="82">
        <v>2700</v>
      </c>
    </row>
    <row r="11" spans="1:3" x14ac:dyDescent="0.25">
      <c r="A11" s="82" t="s">
        <v>151</v>
      </c>
      <c r="B11" s="82">
        <v>32</v>
      </c>
      <c r="C11" s="82">
        <v>2700</v>
      </c>
    </row>
    <row r="12" spans="1:3" x14ac:dyDescent="0.25">
      <c r="A12" s="82" t="s">
        <v>151</v>
      </c>
      <c r="B12" s="82">
        <v>32</v>
      </c>
      <c r="C12" s="82">
        <v>2700</v>
      </c>
    </row>
    <row r="13" spans="1:3" x14ac:dyDescent="0.25">
      <c r="A13" s="82" t="s">
        <v>151</v>
      </c>
      <c r="B13" s="82">
        <v>32</v>
      </c>
      <c r="C13" s="82">
        <v>2700</v>
      </c>
    </row>
    <row r="14" spans="1:3" x14ac:dyDescent="0.25">
      <c r="A14" s="82" t="s">
        <v>151</v>
      </c>
      <c r="B14" s="82">
        <v>32</v>
      </c>
      <c r="C14" s="82">
        <v>2700</v>
      </c>
    </row>
    <row r="15" spans="1:3" x14ac:dyDescent="0.25">
      <c r="A15" s="82" t="s">
        <v>151</v>
      </c>
      <c r="B15" s="82">
        <v>32</v>
      </c>
      <c r="C15" s="82">
        <v>2700</v>
      </c>
    </row>
    <row r="16" spans="1:3" x14ac:dyDescent="0.25">
      <c r="A16" s="82" t="s">
        <v>151</v>
      </c>
      <c r="B16" s="82">
        <v>32</v>
      </c>
      <c r="C16" s="82">
        <v>2700</v>
      </c>
    </row>
    <row r="17" spans="1:3" x14ac:dyDescent="0.25">
      <c r="A17" s="82" t="s">
        <v>151</v>
      </c>
      <c r="B17" s="82">
        <v>32</v>
      </c>
      <c r="C17" s="82">
        <v>2700</v>
      </c>
    </row>
    <row r="18" spans="1:3" x14ac:dyDescent="0.25">
      <c r="A18" s="82" t="s">
        <v>151</v>
      </c>
      <c r="B18" s="82">
        <v>32</v>
      </c>
      <c r="C18" s="82">
        <v>2700</v>
      </c>
    </row>
    <row r="19" spans="1:3" x14ac:dyDescent="0.25">
      <c r="A19" s="82" t="s">
        <v>151</v>
      </c>
      <c r="B19" s="82">
        <v>32</v>
      </c>
      <c r="C19" s="82">
        <v>2700</v>
      </c>
    </row>
    <row r="20" spans="1:3" x14ac:dyDescent="0.25">
      <c r="A20" s="82" t="s">
        <v>151</v>
      </c>
      <c r="B20" s="82">
        <v>32</v>
      </c>
      <c r="C20" s="82">
        <v>2700</v>
      </c>
    </row>
    <row r="21" spans="1:3" x14ac:dyDescent="0.25">
      <c r="A21" s="82" t="s">
        <v>151</v>
      </c>
      <c r="B21" s="82">
        <v>32</v>
      </c>
      <c r="C21" s="82">
        <v>2700</v>
      </c>
    </row>
    <row r="22" spans="1:3" x14ac:dyDescent="0.25">
      <c r="A22" s="82" t="s">
        <v>151</v>
      </c>
      <c r="B22" s="82">
        <v>32</v>
      </c>
      <c r="C22" s="82">
        <v>2700</v>
      </c>
    </row>
    <row r="23" spans="1:3" x14ac:dyDescent="0.25">
      <c r="A23" s="82" t="s">
        <v>151</v>
      </c>
      <c r="B23" s="82">
        <v>32</v>
      </c>
      <c r="C23" s="82">
        <v>2700</v>
      </c>
    </row>
    <row r="24" spans="1:3" x14ac:dyDescent="0.25">
      <c r="A24" s="82" t="s">
        <v>151</v>
      </c>
      <c r="B24" s="82">
        <v>32</v>
      </c>
      <c r="C24" s="82">
        <v>2700</v>
      </c>
    </row>
    <row r="25" spans="1:3" x14ac:dyDescent="0.25">
      <c r="A25" s="82" t="s">
        <v>151</v>
      </c>
      <c r="B25" s="82">
        <v>32</v>
      </c>
      <c r="C25" s="82">
        <v>2700</v>
      </c>
    </row>
    <row r="26" spans="1:3" x14ac:dyDescent="0.25">
      <c r="A26" s="82" t="s">
        <v>151</v>
      </c>
      <c r="B26" s="82">
        <v>32</v>
      </c>
      <c r="C26" s="82">
        <v>2700</v>
      </c>
    </row>
    <row r="27" spans="1:3" x14ac:dyDescent="0.25">
      <c r="A27" s="82" t="s">
        <v>151</v>
      </c>
      <c r="B27" s="82">
        <v>32</v>
      </c>
      <c r="C27" s="82">
        <v>2700</v>
      </c>
    </row>
    <row r="28" spans="1:3" x14ac:dyDescent="0.25">
      <c r="A28" s="82" t="s">
        <v>151</v>
      </c>
      <c r="B28" s="82">
        <v>32</v>
      </c>
      <c r="C28" s="82">
        <v>2700</v>
      </c>
    </row>
    <row r="29" spans="1:3" x14ac:dyDescent="0.25">
      <c r="A29" s="82" t="s">
        <v>151</v>
      </c>
      <c r="B29" s="82">
        <v>32</v>
      </c>
      <c r="C29" s="82">
        <v>2700</v>
      </c>
    </row>
    <row r="30" spans="1:3" x14ac:dyDescent="0.25">
      <c r="A30" s="82" t="s">
        <v>151</v>
      </c>
      <c r="B30" s="82">
        <v>32</v>
      </c>
      <c r="C30" s="82">
        <v>2700</v>
      </c>
    </row>
    <row r="31" spans="1:3" x14ac:dyDescent="0.25">
      <c r="A31" s="82" t="s">
        <v>151</v>
      </c>
      <c r="B31" s="82">
        <v>32</v>
      </c>
      <c r="C31" s="82">
        <v>2700</v>
      </c>
    </row>
    <row r="32" spans="1:3" x14ac:dyDescent="0.25">
      <c r="A32" s="82" t="s">
        <v>151</v>
      </c>
      <c r="B32" s="82">
        <v>32</v>
      </c>
      <c r="C32" s="82">
        <v>2700</v>
      </c>
    </row>
    <row r="33" spans="1:3" x14ac:dyDescent="0.25">
      <c r="A33" s="82">
        <v>2700</v>
      </c>
      <c r="B33" s="82">
        <v>32</v>
      </c>
      <c r="C33" s="82">
        <v>2700</v>
      </c>
    </row>
    <row r="34" spans="1:3" x14ac:dyDescent="0.25">
      <c r="A34" s="82">
        <v>2700</v>
      </c>
      <c r="B34" s="82">
        <v>32</v>
      </c>
      <c r="C34" s="82">
        <v>2700</v>
      </c>
    </row>
    <row r="35" spans="1:3" x14ac:dyDescent="0.25">
      <c r="A35" s="82">
        <v>2700</v>
      </c>
      <c r="B35" s="82">
        <v>32</v>
      </c>
      <c r="C35" s="82">
        <v>2700</v>
      </c>
    </row>
    <row r="36" spans="1:3" x14ac:dyDescent="0.25">
      <c r="A36" s="82">
        <v>2700</v>
      </c>
      <c r="B36" s="82">
        <v>32</v>
      </c>
      <c r="C36" s="82">
        <v>2700</v>
      </c>
    </row>
    <row r="37" spans="1:3" x14ac:dyDescent="0.25">
      <c r="A37" s="82">
        <v>2700</v>
      </c>
      <c r="B37" s="82">
        <v>32</v>
      </c>
      <c r="C37" s="82">
        <v>2700</v>
      </c>
    </row>
    <row r="38" spans="1:3" x14ac:dyDescent="0.25">
      <c r="A38" s="82">
        <v>2700</v>
      </c>
      <c r="B38" s="82">
        <v>32</v>
      </c>
      <c r="C38" s="82">
        <v>2700</v>
      </c>
    </row>
    <row r="39" spans="1:3" x14ac:dyDescent="0.25">
      <c r="A39" s="82" t="s">
        <v>341</v>
      </c>
      <c r="B39" s="82">
        <v>32</v>
      </c>
      <c r="C39" s="82">
        <v>2720</v>
      </c>
    </row>
    <row r="40" spans="1:3" x14ac:dyDescent="0.25">
      <c r="A40" s="82" t="s">
        <v>341</v>
      </c>
      <c r="B40" s="82">
        <v>32</v>
      </c>
      <c r="C40" s="82">
        <v>2720</v>
      </c>
    </row>
    <row r="41" spans="1:3" x14ac:dyDescent="0.25">
      <c r="A41" s="82" t="s">
        <v>341</v>
      </c>
      <c r="B41" s="82">
        <v>32</v>
      </c>
      <c r="C41" s="82">
        <v>2720</v>
      </c>
    </row>
    <row r="42" spans="1:3" x14ac:dyDescent="0.25">
      <c r="A42" s="82" t="s">
        <v>341</v>
      </c>
      <c r="B42" s="82">
        <v>32</v>
      </c>
      <c r="C42" s="82">
        <v>2720</v>
      </c>
    </row>
    <row r="43" spans="1:3" x14ac:dyDescent="0.25">
      <c r="A43" s="82" t="s">
        <v>341</v>
      </c>
      <c r="B43" s="82">
        <v>32</v>
      </c>
      <c r="C43" s="82">
        <v>2720</v>
      </c>
    </row>
    <row r="44" spans="1:3" x14ac:dyDescent="0.25">
      <c r="A44" s="82" t="s">
        <v>124</v>
      </c>
      <c r="B44" s="82">
        <v>32</v>
      </c>
      <c r="C44" s="82">
        <v>2760</v>
      </c>
    </row>
    <row r="45" spans="1:3" x14ac:dyDescent="0.25">
      <c r="A45" s="82" t="s">
        <v>182</v>
      </c>
      <c r="B45" s="82">
        <v>32</v>
      </c>
      <c r="C45" s="82">
        <v>3050</v>
      </c>
    </row>
    <row r="46" spans="1:3" x14ac:dyDescent="0.25">
      <c r="A46" s="82" t="s">
        <v>182</v>
      </c>
      <c r="B46" s="82">
        <v>32</v>
      </c>
      <c r="C46" s="82">
        <v>3050</v>
      </c>
    </row>
    <row r="47" spans="1:3" x14ac:dyDescent="0.25">
      <c r="A47" s="82" t="s">
        <v>182</v>
      </c>
      <c r="B47" s="82">
        <v>32</v>
      </c>
      <c r="C47" s="82">
        <v>3050</v>
      </c>
    </row>
    <row r="48" spans="1:3" x14ac:dyDescent="0.25">
      <c r="A48" s="82" t="s">
        <v>182</v>
      </c>
      <c r="B48" s="82">
        <v>32</v>
      </c>
      <c r="C48" s="82">
        <v>3050</v>
      </c>
    </row>
    <row r="49" spans="1:3" x14ac:dyDescent="0.25">
      <c r="A49" s="82" t="s">
        <v>182</v>
      </c>
      <c r="B49" s="82">
        <v>32</v>
      </c>
      <c r="C49" s="82">
        <v>3050</v>
      </c>
    </row>
    <row r="50" spans="1:3" x14ac:dyDescent="0.25">
      <c r="A50" s="82" t="s">
        <v>182</v>
      </c>
      <c r="B50" s="82">
        <v>32</v>
      </c>
      <c r="C50" s="82">
        <v>3050</v>
      </c>
    </row>
    <row r="51" spans="1:3" x14ac:dyDescent="0.25">
      <c r="A51" s="82" t="s">
        <v>182</v>
      </c>
      <c r="B51" s="82">
        <v>32</v>
      </c>
      <c r="C51" s="82">
        <v>3050</v>
      </c>
    </row>
    <row r="52" spans="1:3" x14ac:dyDescent="0.25">
      <c r="A52" s="82" t="s">
        <v>182</v>
      </c>
      <c r="B52" s="82">
        <v>32</v>
      </c>
      <c r="C52" s="82">
        <v>3050</v>
      </c>
    </row>
    <row r="53" spans="1:3" x14ac:dyDescent="0.25">
      <c r="A53" s="82" t="s">
        <v>4614</v>
      </c>
      <c r="B53" s="82">
        <v>32</v>
      </c>
      <c r="C53" s="82">
        <v>3065</v>
      </c>
    </row>
    <row r="54" spans="1:3" x14ac:dyDescent="0.25">
      <c r="A54" s="82" t="s">
        <v>4614</v>
      </c>
      <c r="B54" s="82">
        <v>32</v>
      </c>
      <c r="C54" s="82">
        <v>3065</v>
      </c>
    </row>
    <row r="55" spans="1:3" x14ac:dyDescent="0.25">
      <c r="A55" s="82" t="s">
        <v>4614</v>
      </c>
      <c r="B55" s="82">
        <v>32</v>
      </c>
      <c r="C55" s="82">
        <v>3065</v>
      </c>
    </row>
    <row r="56" spans="1:3" x14ac:dyDescent="0.25">
      <c r="A56" s="82" t="s">
        <v>4614</v>
      </c>
      <c r="B56" s="82">
        <v>32</v>
      </c>
      <c r="C56" s="82">
        <v>3065</v>
      </c>
    </row>
    <row r="57" spans="1:3" x14ac:dyDescent="0.25">
      <c r="A57" s="82" t="s">
        <v>4614</v>
      </c>
      <c r="B57" s="82">
        <v>32</v>
      </c>
      <c r="C57" s="82">
        <v>3065</v>
      </c>
    </row>
    <row r="58" spans="1:3" x14ac:dyDescent="0.25">
      <c r="A58" s="82" t="s">
        <v>4614</v>
      </c>
      <c r="B58" s="82">
        <v>32</v>
      </c>
      <c r="C58" s="82">
        <v>3065</v>
      </c>
    </row>
    <row r="59" spans="1:3" x14ac:dyDescent="0.25">
      <c r="A59" s="82" t="s">
        <v>4614</v>
      </c>
      <c r="B59" s="82">
        <v>32</v>
      </c>
      <c r="C59" s="82">
        <v>3065</v>
      </c>
    </row>
    <row r="60" spans="1:3" x14ac:dyDescent="0.25">
      <c r="A60" s="82" t="s">
        <v>363</v>
      </c>
      <c r="B60" s="82">
        <v>32</v>
      </c>
      <c r="C60" s="82">
        <v>3070</v>
      </c>
    </row>
    <row r="61" spans="1:3" x14ac:dyDescent="0.25">
      <c r="A61" s="82" t="s">
        <v>363</v>
      </c>
      <c r="B61" s="82">
        <v>32</v>
      </c>
      <c r="C61" s="82">
        <v>3070</v>
      </c>
    </row>
    <row r="62" spans="1:3" x14ac:dyDescent="0.25">
      <c r="A62" s="82" t="s">
        <v>363</v>
      </c>
      <c r="B62" s="82">
        <v>32</v>
      </c>
      <c r="C62" s="82">
        <v>3070</v>
      </c>
    </row>
    <row r="63" spans="1:3" x14ac:dyDescent="0.25">
      <c r="A63" s="82" t="s">
        <v>363</v>
      </c>
      <c r="B63" s="82">
        <v>32</v>
      </c>
      <c r="C63" s="82">
        <v>3070</v>
      </c>
    </row>
    <row r="64" spans="1:3" x14ac:dyDescent="0.25">
      <c r="A64" s="82" t="s">
        <v>363</v>
      </c>
      <c r="B64" s="82">
        <v>32</v>
      </c>
      <c r="C64" s="82">
        <v>3070</v>
      </c>
    </row>
    <row r="65" spans="1:3" x14ac:dyDescent="0.25">
      <c r="A65" s="82" t="s">
        <v>363</v>
      </c>
      <c r="B65" s="82">
        <v>32</v>
      </c>
      <c r="C65" s="82">
        <v>3070</v>
      </c>
    </row>
    <row r="66" spans="1:3" x14ac:dyDescent="0.25">
      <c r="A66" s="82" t="s">
        <v>363</v>
      </c>
      <c r="B66" s="82">
        <v>32</v>
      </c>
      <c r="C66" s="82">
        <v>3070</v>
      </c>
    </row>
    <row r="67" spans="1:3" x14ac:dyDescent="0.25">
      <c r="A67" s="82" t="s">
        <v>363</v>
      </c>
      <c r="B67" s="82">
        <v>32</v>
      </c>
      <c r="C67" s="82">
        <v>3070</v>
      </c>
    </row>
    <row r="68" spans="1:3" x14ac:dyDescent="0.25">
      <c r="A68" s="82" t="s">
        <v>363</v>
      </c>
      <c r="B68" s="82">
        <v>32</v>
      </c>
      <c r="C68" s="82">
        <v>3070</v>
      </c>
    </row>
    <row r="69" spans="1:3" x14ac:dyDescent="0.25">
      <c r="A69" s="82" t="s">
        <v>363</v>
      </c>
      <c r="B69" s="82">
        <v>32</v>
      </c>
      <c r="C69" s="82">
        <v>3070</v>
      </c>
    </row>
    <row r="70" spans="1:3" x14ac:dyDescent="0.25">
      <c r="A70" s="82" t="s">
        <v>363</v>
      </c>
      <c r="B70" s="82">
        <v>32</v>
      </c>
      <c r="C70" s="82">
        <v>3070</v>
      </c>
    </row>
    <row r="71" spans="1:3" x14ac:dyDescent="0.25">
      <c r="A71" s="82" t="s">
        <v>363</v>
      </c>
      <c r="B71" s="82">
        <v>32</v>
      </c>
      <c r="C71" s="82">
        <v>3070</v>
      </c>
    </row>
    <row r="72" spans="1:3" x14ac:dyDescent="0.25">
      <c r="A72" s="82" t="s">
        <v>363</v>
      </c>
      <c r="B72" s="82">
        <v>32</v>
      </c>
      <c r="C72" s="82">
        <v>3070</v>
      </c>
    </row>
    <row r="73" spans="1:3" x14ac:dyDescent="0.25">
      <c r="A73" s="82" t="s">
        <v>363</v>
      </c>
      <c r="B73" s="82">
        <v>32</v>
      </c>
      <c r="C73" s="82">
        <v>3070</v>
      </c>
    </row>
    <row r="74" spans="1:3" x14ac:dyDescent="0.25">
      <c r="A74" s="82" t="s">
        <v>153</v>
      </c>
      <c r="B74" s="82">
        <v>32</v>
      </c>
      <c r="C74" s="82">
        <v>3110</v>
      </c>
    </row>
    <row r="75" spans="1:3" x14ac:dyDescent="0.25">
      <c r="A75" s="82" t="s">
        <v>153</v>
      </c>
      <c r="B75" s="82">
        <v>32</v>
      </c>
      <c r="C75" s="82">
        <v>3110</v>
      </c>
    </row>
    <row r="76" spans="1:3" x14ac:dyDescent="0.25">
      <c r="A76" s="82" t="s">
        <v>153</v>
      </c>
      <c r="B76" s="82">
        <v>32</v>
      </c>
      <c r="C76" s="82">
        <v>3110</v>
      </c>
    </row>
    <row r="77" spans="1:3" x14ac:dyDescent="0.25">
      <c r="A77" s="82" t="s">
        <v>153</v>
      </c>
      <c r="B77" s="82">
        <v>32</v>
      </c>
      <c r="C77" s="82">
        <v>3110</v>
      </c>
    </row>
    <row r="78" spans="1:3" x14ac:dyDescent="0.25">
      <c r="A78" s="82" t="s">
        <v>153</v>
      </c>
      <c r="B78" s="82">
        <v>32</v>
      </c>
      <c r="C78" s="82">
        <v>3110</v>
      </c>
    </row>
    <row r="79" spans="1:3" x14ac:dyDescent="0.25">
      <c r="A79" s="82" t="s">
        <v>153</v>
      </c>
      <c r="B79" s="82">
        <v>32</v>
      </c>
      <c r="C79" s="82">
        <v>3110</v>
      </c>
    </row>
    <row r="80" spans="1:3" x14ac:dyDescent="0.25">
      <c r="A80" s="82" t="s">
        <v>153</v>
      </c>
      <c r="B80" s="82">
        <v>32</v>
      </c>
      <c r="C80" s="82">
        <v>3110</v>
      </c>
    </row>
    <row r="81" spans="1:3" x14ac:dyDescent="0.25">
      <c r="A81" s="82" t="s">
        <v>153</v>
      </c>
      <c r="B81" s="82">
        <v>32</v>
      </c>
      <c r="C81" s="82">
        <v>3110</v>
      </c>
    </row>
    <row r="82" spans="1:3" x14ac:dyDescent="0.25">
      <c r="A82" s="82" t="s">
        <v>153</v>
      </c>
      <c r="B82" s="82">
        <v>32</v>
      </c>
      <c r="C82" s="82">
        <v>3110</v>
      </c>
    </row>
    <row r="83" spans="1:3" x14ac:dyDescent="0.25">
      <c r="A83" s="82">
        <v>3560</v>
      </c>
      <c r="B83" s="82">
        <v>32</v>
      </c>
      <c r="C83" s="82">
        <v>3560</v>
      </c>
    </row>
    <row r="84" spans="1:3" x14ac:dyDescent="0.25">
      <c r="A84" s="82">
        <v>3560</v>
      </c>
      <c r="B84" s="82">
        <v>32</v>
      </c>
      <c r="C84" s="82">
        <v>3560</v>
      </c>
    </row>
    <row r="85" spans="1:3" x14ac:dyDescent="0.25">
      <c r="A85" s="82">
        <v>3560</v>
      </c>
      <c r="B85" s="82">
        <v>32</v>
      </c>
      <c r="C85" s="82">
        <v>3560</v>
      </c>
    </row>
    <row r="86" spans="1:3" x14ac:dyDescent="0.25">
      <c r="A86" s="82">
        <v>3560</v>
      </c>
      <c r="B86" s="82">
        <v>32</v>
      </c>
      <c r="C86" s="82">
        <v>3560</v>
      </c>
    </row>
    <row r="87" spans="1:3" x14ac:dyDescent="0.25">
      <c r="A87" s="82">
        <v>3560</v>
      </c>
      <c r="B87" s="82">
        <v>32</v>
      </c>
      <c r="C87" s="82">
        <v>3560</v>
      </c>
    </row>
    <row r="88" spans="1:3" x14ac:dyDescent="0.25">
      <c r="A88" s="82">
        <v>3560</v>
      </c>
      <c r="B88" s="82">
        <v>32</v>
      </c>
      <c r="C88" s="82">
        <v>3560</v>
      </c>
    </row>
    <row r="89" spans="1:3" x14ac:dyDescent="0.25">
      <c r="A89" s="82">
        <v>5010</v>
      </c>
      <c r="B89" s="82">
        <v>32</v>
      </c>
      <c r="C89" s="82">
        <v>5010</v>
      </c>
    </row>
    <row r="90" spans="1:3" x14ac:dyDescent="0.25">
      <c r="A90" s="82">
        <v>5150</v>
      </c>
      <c r="B90" s="82">
        <v>32</v>
      </c>
      <c r="C90" s="82">
        <v>5150</v>
      </c>
    </row>
    <row r="91" spans="1:3" x14ac:dyDescent="0.25">
      <c r="A91" s="82">
        <v>5150</v>
      </c>
      <c r="B91" s="82">
        <v>32</v>
      </c>
      <c r="C91" s="82">
        <v>5150</v>
      </c>
    </row>
    <row r="92" spans="1:3" x14ac:dyDescent="0.25">
      <c r="A92" s="82">
        <v>5150</v>
      </c>
      <c r="B92" s="82">
        <v>32</v>
      </c>
      <c r="C92" s="82">
        <v>5150</v>
      </c>
    </row>
    <row r="93" spans="1:3" x14ac:dyDescent="0.25">
      <c r="A93" s="82">
        <v>5150</v>
      </c>
      <c r="B93" s="82">
        <v>32</v>
      </c>
      <c r="C93" s="82">
        <v>5150</v>
      </c>
    </row>
    <row r="94" spans="1:3" x14ac:dyDescent="0.25">
      <c r="A94" s="82">
        <v>5150</v>
      </c>
      <c r="B94" s="82">
        <v>32</v>
      </c>
      <c r="C94" s="82">
        <v>5150</v>
      </c>
    </row>
    <row r="95" spans="1:3" x14ac:dyDescent="0.25">
      <c r="A95" s="82">
        <v>5150</v>
      </c>
      <c r="B95" s="82">
        <v>32</v>
      </c>
      <c r="C95" s="82">
        <v>5150</v>
      </c>
    </row>
    <row r="96" spans="1:3" x14ac:dyDescent="0.25">
      <c r="A96" s="82">
        <v>5150</v>
      </c>
      <c r="B96" s="82">
        <v>32</v>
      </c>
      <c r="C96" s="82">
        <v>5150</v>
      </c>
    </row>
    <row r="97" spans="1:3" x14ac:dyDescent="0.25">
      <c r="A97" s="82">
        <v>5150</v>
      </c>
      <c r="B97" s="82">
        <v>32</v>
      </c>
      <c r="C97" s="82">
        <v>5150</v>
      </c>
    </row>
    <row r="98" spans="1:3" x14ac:dyDescent="0.25">
      <c r="A98" s="82">
        <v>5150</v>
      </c>
      <c r="B98" s="82">
        <v>32</v>
      </c>
      <c r="C98" s="82">
        <v>5150</v>
      </c>
    </row>
    <row r="99" spans="1:3" x14ac:dyDescent="0.25">
      <c r="A99" s="82">
        <v>5150</v>
      </c>
      <c r="B99" s="82">
        <v>32</v>
      </c>
      <c r="C99" s="82">
        <v>5150</v>
      </c>
    </row>
    <row r="100" spans="1:3" x14ac:dyDescent="0.25">
      <c r="A100" s="82">
        <v>5150</v>
      </c>
      <c r="B100" s="82">
        <v>32</v>
      </c>
      <c r="C100" s="82">
        <v>5150</v>
      </c>
    </row>
    <row r="101" spans="1:3" x14ac:dyDescent="0.25">
      <c r="A101" s="82">
        <v>5150</v>
      </c>
      <c r="B101" s="82">
        <v>32</v>
      </c>
      <c r="C101" s="82">
        <v>5150</v>
      </c>
    </row>
    <row r="102" spans="1:3" x14ac:dyDescent="0.25">
      <c r="A102" s="82">
        <v>5150</v>
      </c>
      <c r="B102" s="82">
        <v>32</v>
      </c>
      <c r="C102" s="82">
        <v>5150</v>
      </c>
    </row>
    <row r="103" spans="1:3" x14ac:dyDescent="0.25">
      <c r="A103" s="82">
        <v>5150</v>
      </c>
      <c r="B103" s="82">
        <v>32</v>
      </c>
      <c r="C103" s="82">
        <v>5150</v>
      </c>
    </row>
    <row r="104" spans="1:3" x14ac:dyDescent="0.25">
      <c r="A104" s="82">
        <v>5150</v>
      </c>
      <c r="B104" s="82">
        <v>32</v>
      </c>
      <c r="C104" s="82">
        <v>5150</v>
      </c>
    </row>
    <row r="105" spans="1:3" x14ac:dyDescent="0.25">
      <c r="A105" s="82">
        <v>5320</v>
      </c>
      <c r="B105" s="82">
        <v>32</v>
      </c>
      <c r="C105" s="82">
        <v>5320</v>
      </c>
    </row>
    <row r="106" spans="1:3" x14ac:dyDescent="0.25">
      <c r="A106" s="82">
        <v>5320</v>
      </c>
      <c r="B106" s="82">
        <v>32</v>
      </c>
      <c r="C106" s="82">
        <v>5320</v>
      </c>
    </row>
    <row r="107" spans="1:3" x14ac:dyDescent="0.25">
      <c r="A107" s="82">
        <v>5320</v>
      </c>
      <c r="B107" s="82">
        <v>32</v>
      </c>
      <c r="C107" s="82">
        <v>5320</v>
      </c>
    </row>
    <row r="108" spans="1:3" x14ac:dyDescent="0.25">
      <c r="A108" s="82">
        <v>5320</v>
      </c>
      <c r="B108" s="82">
        <v>32</v>
      </c>
      <c r="C108" s="82">
        <v>5320</v>
      </c>
    </row>
    <row r="109" spans="1:3" x14ac:dyDescent="0.25">
      <c r="A109" s="82">
        <v>5430</v>
      </c>
      <c r="B109" s="82">
        <v>32</v>
      </c>
      <c r="C109" s="82">
        <v>5430</v>
      </c>
    </row>
    <row r="110" spans="1:3" x14ac:dyDescent="0.25">
      <c r="A110" s="82">
        <v>5430</v>
      </c>
      <c r="B110" s="82">
        <v>32</v>
      </c>
      <c r="C110" s="82">
        <v>5430</v>
      </c>
    </row>
    <row r="111" spans="1:3" x14ac:dyDescent="0.25">
      <c r="A111" s="82">
        <v>5430</v>
      </c>
      <c r="B111" s="82">
        <v>32</v>
      </c>
      <c r="C111" s="82">
        <v>5430</v>
      </c>
    </row>
    <row r="112" spans="1:3" x14ac:dyDescent="0.25">
      <c r="A112" s="82">
        <v>5430</v>
      </c>
      <c r="B112" s="82">
        <v>32</v>
      </c>
      <c r="C112" s="82">
        <v>5430</v>
      </c>
    </row>
    <row r="113" spans="1:3" x14ac:dyDescent="0.25">
      <c r="A113" s="82">
        <v>5430</v>
      </c>
      <c r="B113" s="82">
        <v>32</v>
      </c>
      <c r="C113" s="82">
        <v>5430</v>
      </c>
    </row>
    <row r="114" spans="1:3" x14ac:dyDescent="0.25">
      <c r="A114" s="82">
        <v>5430</v>
      </c>
      <c r="B114" s="82">
        <v>32</v>
      </c>
      <c r="C114" s="82">
        <v>5430</v>
      </c>
    </row>
    <row r="115" spans="1:3" x14ac:dyDescent="0.25">
      <c r="A115" s="82">
        <v>5430</v>
      </c>
      <c r="B115" s="82">
        <v>32</v>
      </c>
      <c r="C115" s="82">
        <v>5430</v>
      </c>
    </row>
    <row r="116" spans="1:3" x14ac:dyDescent="0.25">
      <c r="A116" s="82">
        <v>5430</v>
      </c>
      <c r="B116" s="82">
        <v>32</v>
      </c>
      <c r="C116" s="82">
        <v>5430</v>
      </c>
    </row>
    <row r="117" spans="1:3" x14ac:dyDescent="0.25">
      <c r="A117" s="82">
        <v>5430</v>
      </c>
      <c r="B117" s="82">
        <v>32</v>
      </c>
      <c r="C117" s="82">
        <v>5430</v>
      </c>
    </row>
    <row r="118" spans="1:3" x14ac:dyDescent="0.25">
      <c r="A118" s="82">
        <v>5430</v>
      </c>
      <c r="B118" s="82">
        <v>32</v>
      </c>
      <c r="C118" s="82">
        <v>5430</v>
      </c>
    </row>
    <row r="119" spans="1:3" x14ac:dyDescent="0.25">
      <c r="A119" s="82">
        <v>5430</v>
      </c>
      <c r="B119" s="82">
        <v>32</v>
      </c>
      <c r="C119" s="82">
        <v>5430</v>
      </c>
    </row>
    <row r="120" spans="1:3" x14ac:dyDescent="0.25">
      <c r="A120" s="82">
        <v>5430</v>
      </c>
      <c r="B120" s="82">
        <v>32</v>
      </c>
      <c r="C120" s="82">
        <v>5430</v>
      </c>
    </row>
    <row r="121" spans="1:3" x14ac:dyDescent="0.25">
      <c r="A121" s="82">
        <v>5430</v>
      </c>
      <c r="B121" s="82">
        <v>32</v>
      </c>
      <c r="C121" s="82">
        <v>5430</v>
      </c>
    </row>
    <row r="122" spans="1:3" x14ac:dyDescent="0.25">
      <c r="A122" s="82">
        <v>5430</v>
      </c>
      <c r="B122" s="82">
        <v>32</v>
      </c>
      <c r="C122" s="82">
        <v>5430</v>
      </c>
    </row>
  </sheetData>
  <sortState xmlns:xlrd2="http://schemas.microsoft.com/office/spreadsheetml/2017/richdata2" ref="A2:C122">
    <sortCondition ref="B2:B122"/>
    <sortCondition ref="C2:C122"/>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E145"/>
  <sheetViews>
    <sheetView workbookViewId="0">
      <pane ySplit="5" topLeftCell="A725" activePane="bottomLeft" state="frozen"/>
      <selection pane="bottomLeft" activeCell="G738" sqref="G738"/>
    </sheetView>
  </sheetViews>
  <sheetFormatPr defaultRowHeight="15" x14ac:dyDescent="0.25"/>
  <cols>
    <col min="1" max="1" width="24.85546875" customWidth="1"/>
    <col min="2" max="2" width="15.42578125" customWidth="1"/>
    <col min="3" max="3" width="50.28515625" customWidth="1"/>
    <col min="4" max="4" width="9.5703125" bestFit="1" customWidth="1"/>
    <col min="5" max="5" width="22" bestFit="1" customWidth="1"/>
  </cols>
  <sheetData>
    <row r="1" spans="1:5" ht="21" x14ac:dyDescent="0.35">
      <c r="A1" s="165" t="s">
        <v>41</v>
      </c>
      <c r="B1" s="165"/>
      <c r="C1" s="165"/>
      <c r="D1" s="165"/>
      <c r="E1" s="165"/>
    </row>
    <row r="2" spans="1:5" x14ac:dyDescent="0.25">
      <c r="A2" s="166" t="str">
        <f>"CÔNG TRÌNH : " &amp;ThongSo!B5</f>
        <v>CÔNG TRÌNH : MONBAY HẠ LONG</v>
      </c>
      <c r="B2" s="166"/>
      <c r="C2" s="166"/>
      <c r="D2" s="166"/>
      <c r="E2" s="166"/>
    </row>
    <row r="3" spans="1:5" x14ac:dyDescent="0.25">
      <c r="A3" s="166" t="str">
        <f>"ĐIỂM DỪNG : " &amp;SoLieuCatThep!D2</f>
        <v>ĐIỂM DỪNG : 11</v>
      </c>
      <c r="B3" s="166"/>
      <c r="C3" s="166"/>
      <c r="D3" s="166"/>
      <c r="E3" s="166"/>
    </row>
    <row r="5" spans="1:5" x14ac:dyDescent="0.25">
      <c r="A5" s="46" t="s">
        <v>44</v>
      </c>
      <c r="B5" s="46" t="s">
        <v>45</v>
      </c>
      <c r="C5" s="46" t="s">
        <v>42</v>
      </c>
      <c r="D5" s="46" t="s">
        <v>43</v>
      </c>
      <c r="E5" s="47" t="s">
        <v>52</v>
      </c>
    </row>
    <row r="6" spans="1:5" x14ac:dyDescent="0.25">
      <c r="A6" s="86" t="s">
        <v>72</v>
      </c>
      <c r="B6" s="86"/>
      <c r="C6" s="86"/>
      <c r="D6" s="86"/>
      <c r="E6" s="86"/>
    </row>
    <row r="7" spans="1:5" x14ac:dyDescent="0.25">
      <c r="A7" s="82" t="s">
        <v>73</v>
      </c>
      <c r="B7" s="82">
        <v>11700</v>
      </c>
      <c r="C7" s="82"/>
      <c r="D7" s="82"/>
      <c r="E7" s="82">
        <v>61</v>
      </c>
    </row>
    <row r="8" spans="1:5" x14ac:dyDescent="0.25">
      <c r="A8" s="82" t="s">
        <v>151</v>
      </c>
      <c r="B8" s="82">
        <v>2700</v>
      </c>
      <c r="C8" s="82" t="s">
        <v>5003</v>
      </c>
      <c r="D8" s="82">
        <v>40</v>
      </c>
      <c r="E8" s="82" t="s">
        <v>74</v>
      </c>
    </row>
    <row r="9" spans="1:5" x14ac:dyDescent="0.25">
      <c r="A9" s="82" t="s">
        <v>151</v>
      </c>
      <c r="B9" s="82">
        <v>2700</v>
      </c>
      <c r="C9" s="82" t="s">
        <v>5003</v>
      </c>
      <c r="D9" s="82">
        <v>40</v>
      </c>
      <c r="E9" s="82" t="s">
        <v>74</v>
      </c>
    </row>
    <row r="10" spans="1:5" x14ac:dyDescent="0.25">
      <c r="A10" s="82" t="s">
        <v>151</v>
      </c>
      <c r="B10" s="82">
        <v>2700</v>
      </c>
      <c r="C10" s="82" t="s">
        <v>5003</v>
      </c>
      <c r="D10" s="82">
        <v>40</v>
      </c>
      <c r="E10" s="82" t="s">
        <v>74</v>
      </c>
    </row>
    <row r="11" spans="1:5" x14ac:dyDescent="0.25">
      <c r="A11" s="82" t="s">
        <v>151</v>
      </c>
      <c r="B11" s="82">
        <v>2700</v>
      </c>
      <c r="C11" s="82" t="s">
        <v>5003</v>
      </c>
      <c r="D11" s="82">
        <v>40</v>
      </c>
      <c r="E11" s="82" t="s">
        <v>74</v>
      </c>
    </row>
    <row r="12" spans="1:5" x14ac:dyDescent="0.25">
      <c r="A12" s="82" t="s">
        <v>151</v>
      </c>
      <c r="B12" s="82">
        <v>2700</v>
      </c>
      <c r="C12" s="82" t="s">
        <v>5004</v>
      </c>
      <c r="D12" s="82">
        <v>520</v>
      </c>
      <c r="E12" s="82" t="s">
        <v>74</v>
      </c>
    </row>
    <row r="13" spans="1:5" x14ac:dyDescent="0.25">
      <c r="A13" s="82" t="s">
        <v>151</v>
      </c>
      <c r="B13" s="82">
        <v>2700</v>
      </c>
      <c r="C13" s="82" t="s">
        <v>5004</v>
      </c>
      <c r="D13" s="82">
        <v>520</v>
      </c>
      <c r="E13" s="82" t="s">
        <v>74</v>
      </c>
    </row>
    <row r="14" spans="1:5" x14ac:dyDescent="0.25">
      <c r="A14" s="82" t="s">
        <v>151</v>
      </c>
      <c r="B14" s="82">
        <v>2700</v>
      </c>
      <c r="C14" s="82" t="s">
        <v>5004</v>
      </c>
      <c r="D14" s="82">
        <v>520</v>
      </c>
      <c r="E14" s="82" t="s">
        <v>74</v>
      </c>
    </row>
    <row r="15" spans="1:5" x14ac:dyDescent="0.25">
      <c r="A15" s="82" t="s">
        <v>151</v>
      </c>
      <c r="B15" s="82">
        <v>2700</v>
      </c>
      <c r="C15" s="82" t="s">
        <v>5004</v>
      </c>
      <c r="D15" s="82">
        <v>520</v>
      </c>
      <c r="E15" s="82" t="s">
        <v>74</v>
      </c>
    </row>
    <row r="16" spans="1:5" x14ac:dyDescent="0.25">
      <c r="A16" s="82" t="s">
        <v>151</v>
      </c>
      <c r="B16" s="82">
        <v>2700</v>
      </c>
      <c r="C16" s="82" t="s">
        <v>5005</v>
      </c>
      <c r="D16" s="82">
        <v>1010</v>
      </c>
      <c r="E16" s="82" t="s">
        <v>74</v>
      </c>
    </row>
    <row r="17" spans="1:5" x14ac:dyDescent="0.25">
      <c r="A17" s="82" t="s">
        <v>151</v>
      </c>
      <c r="B17" s="82">
        <v>2700</v>
      </c>
      <c r="C17" s="82" t="s">
        <v>5005</v>
      </c>
      <c r="D17" s="82">
        <v>1010</v>
      </c>
      <c r="E17" s="82" t="s">
        <v>74</v>
      </c>
    </row>
    <row r="18" spans="1:5" x14ac:dyDescent="0.25">
      <c r="A18" s="82" t="s">
        <v>151</v>
      </c>
      <c r="B18" s="82">
        <v>2700</v>
      </c>
      <c r="C18" s="82" t="s">
        <v>5005</v>
      </c>
      <c r="D18" s="82">
        <v>1010</v>
      </c>
      <c r="E18" s="82" t="s">
        <v>74</v>
      </c>
    </row>
    <row r="19" spans="1:5" x14ac:dyDescent="0.25">
      <c r="A19" s="82" t="s">
        <v>151</v>
      </c>
      <c r="B19" s="82">
        <v>2700</v>
      </c>
      <c r="C19" s="82" t="s">
        <v>5005</v>
      </c>
      <c r="D19" s="82">
        <v>1010</v>
      </c>
      <c r="E19" s="82" t="s">
        <v>74</v>
      </c>
    </row>
    <row r="20" spans="1:5" x14ac:dyDescent="0.25">
      <c r="A20" s="82" t="s">
        <v>151</v>
      </c>
      <c r="B20" s="82">
        <v>2700</v>
      </c>
      <c r="C20" s="82" t="s">
        <v>5005</v>
      </c>
      <c r="D20" s="82">
        <v>1010</v>
      </c>
      <c r="E20" s="82" t="s">
        <v>74</v>
      </c>
    </row>
    <row r="21" spans="1:5" x14ac:dyDescent="0.25">
      <c r="A21" s="82" t="s">
        <v>151</v>
      </c>
      <c r="B21" s="82">
        <v>2700</v>
      </c>
      <c r="C21" s="82" t="s">
        <v>5005</v>
      </c>
      <c r="D21" s="82">
        <v>1010</v>
      </c>
      <c r="E21" s="82" t="s">
        <v>74</v>
      </c>
    </row>
    <row r="22" spans="1:5" x14ac:dyDescent="0.25">
      <c r="A22" s="82" t="s">
        <v>151</v>
      </c>
      <c r="B22" s="82">
        <v>2700</v>
      </c>
      <c r="C22" s="82" t="s">
        <v>5005</v>
      </c>
      <c r="D22" s="82">
        <v>1010</v>
      </c>
      <c r="E22" s="82" t="s">
        <v>74</v>
      </c>
    </row>
    <row r="23" spans="1:5" x14ac:dyDescent="0.25">
      <c r="A23" s="82" t="s">
        <v>151</v>
      </c>
      <c r="B23" s="82">
        <v>2700</v>
      </c>
      <c r="C23" s="82" t="s">
        <v>5005</v>
      </c>
      <c r="D23" s="82">
        <v>1010</v>
      </c>
      <c r="E23" s="82" t="s">
        <v>74</v>
      </c>
    </row>
    <row r="24" spans="1:5" x14ac:dyDescent="0.25">
      <c r="A24" s="82" t="s">
        <v>151</v>
      </c>
      <c r="B24" s="82">
        <v>2700</v>
      </c>
      <c r="C24" s="82" t="s">
        <v>5005</v>
      </c>
      <c r="D24" s="82">
        <v>1010</v>
      </c>
      <c r="E24" s="82" t="s">
        <v>74</v>
      </c>
    </row>
    <row r="25" spans="1:5" x14ac:dyDescent="0.25">
      <c r="A25" s="82" t="s">
        <v>151</v>
      </c>
      <c r="B25" s="82">
        <v>2700</v>
      </c>
      <c r="C25" s="82" t="s">
        <v>5005</v>
      </c>
      <c r="D25" s="82">
        <v>1010</v>
      </c>
      <c r="E25" s="82" t="s">
        <v>74</v>
      </c>
    </row>
    <row r="26" spans="1:5" x14ac:dyDescent="0.25">
      <c r="A26" s="82" t="s">
        <v>151</v>
      </c>
      <c r="B26" s="82">
        <v>2700</v>
      </c>
      <c r="C26" s="82" t="s">
        <v>5005</v>
      </c>
      <c r="D26" s="82">
        <v>1010</v>
      </c>
      <c r="E26" s="82" t="s">
        <v>74</v>
      </c>
    </row>
    <row r="27" spans="1:5" x14ac:dyDescent="0.25">
      <c r="A27" s="82" t="s">
        <v>151</v>
      </c>
      <c r="B27" s="82">
        <v>2700</v>
      </c>
      <c r="C27" s="82" t="s">
        <v>5005</v>
      </c>
      <c r="D27" s="82">
        <v>1010</v>
      </c>
      <c r="E27" s="82" t="s">
        <v>74</v>
      </c>
    </row>
    <row r="28" spans="1:5" x14ac:dyDescent="0.25">
      <c r="A28" s="82" t="s">
        <v>151</v>
      </c>
      <c r="B28" s="82">
        <v>2700</v>
      </c>
      <c r="C28" s="82" t="s">
        <v>5005</v>
      </c>
      <c r="D28" s="82">
        <v>1010</v>
      </c>
      <c r="E28" s="82" t="s">
        <v>74</v>
      </c>
    </row>
    <row r="29" spans="1:5" x14ac:dyDescent="0.25">
      <c r="A29" s="82" t="s">
        <v>151</v>
      </c>
      <c r="B29" s="82">
        <v>2700</v>
      </c>
      <c r="C29" s="82" t="s">
        <v>5005</v>
      </c>
      <c r="D29" s="82">
        <v>1010</v>
      </c>
      <c r="E29" s="82" t="s">
        <v>74</v>
      </c>
    </row>
    <row r="30" spans="1:5" x14ac:dyDescent="0.25">
      <c r="A30" s="82" t="s">
        <v>151</v>
      </c>
      <c r="B30" s="82">
        <v>2700</v>
      </c>
      <c r="C30" s="82" t="s">
        <v>5005</v>
      </c>
      <c r="D30" s="82">
        <v>1010</v>
      </c>
      <c r="E30" s="82" t="s">
        <v>74</v>
      </c>
    </row>
    <row r="31" spans="1:5" x14ac:dyDescent="0.25">
      <c r="A31" s="82" t="s">
        <v>151</v>
      </c>
      <c r="B31" s="82">
        <v>2700</v>
      </c>
      <c r="C31" s="82" t="s">
        <v>5006</v>
      </c>
      <c r="D31" s="82">
        <v>1610</v>
      </c>
      <c r="E31" s="82" t="s">
        <v>75</v>
      </c>
    </row>
    <row r="32" spans="1:5" x14ac:dyDescent="0.25">
      <c r="A32" s="82">
        <v>1</v>
      </c>
      <c r="B32" s="82">
        <v>11700</v>
      </c>
      <c r="C32" s="82" t="s">
        <v>5007</v>
      </c>
      <c r="D32" s="82">
        <v>0</v>
      </c>
      <c r="E32" s="82"/>
    </row>
    <row r="33" spans="1:5" x14ac:dyDescent="0.25">
      <c r="A33" s="82">
        <v>2</v>
      </c>
      <c r="B33" s="82">
        <v>11700</v>
      </c>
      <c r="C33" s="82" t="s">
        <v>5007</v>
      </c>
      <c r="D33" s="82">
        <v>0</v>
      </c>
      <c r="E33" s="82"/>
    </row>
    <row r="34" spans="1:5" x14ac:dyDescent="0.25">
      <c r="A34" s="82">
        <v>3</v>
      </c>
      <c r="B34" s="82">
        <v>11700</v>
      </c>
      <c r="C34" s="82" t="s">
        <v>5007</v>
      </c>
      <c r="D34" s="82">
        <v>0</v>
      </c>
      <c r="E34" s="82"/>
    </row>
    <row r="35" spans="1:5" x14ac:dyDescent="0.25">
      <c r="A35" s="82">
        <v>4</v>
      </c>
      <c r="B35" s="82">
        <v>11700</v>
      </c>
      <c r="C35" s="82" t="s">
        <v>5008</v>
      </c>
      <c r="D35" s="82">
        <v>0</v>
      </c>
      <c r="E35" s="82"/>
    </row>
    <row r="36" spans="1:5" x14ac:dyDescent="0.25">
      <c r="A36" s="82">
        <v>5</v>
      </c>
      <c r="B36" s="82">
        <v>11700</v>
      </c>
      <c r="C36" s="82" t="s">
        <v>5008</v>
      </c>
      <c r="D36" s="82">
        <v>0</v>
      </c>
      <c r="E36" s="82"/>
    </row>
    <row r="37" spans="1:5" x14ac:dyDescent="0.25">
      <c r="A37" s="82">
        <v>6</v>
      </c>
      <c r="B37" s="82">
        <v>11700</v>
      </c>
      <c r="C37" s="82" t="s">
        <v>5008</v>
      </c>
      <c r="D37" s="82">
        <v>0</v>
      </c>
      <c r="E37" s="82"/>
    </row>
    <row r="38" spans="1:5" x14ac:dyDescent="0.25">
      <c r="A38" s="82">
        <v>7</v>
      </c>
      <c r="B38" s="82">
        <v>11700</v>
      </c>
      <c r="C38" s="82" t="s">
        <v>5008</v>
      </c>
      <c r="D38" s="82">
        <v>0</v>
      </c>
      <c r="E38" s="82"/>
    </row>
    <row r="39" spans="1:5" x14ac:dyDescent="0.25">
      <c r="A39" s="82">
        <v>8</v>
      </c>
      <c r="B39" s="82">
        <v>11700</v>
      </c>
      <c r="C39" s="82" t="s">
        <v>5008</v>
      </c>
      <c r="D39" s="82">
        <v>0</v>
      </c>
      <c r="E39" s="82"/>
    </row>
    <row r="40" spans="1:5" x14ac:dyDescent="0.25">
      <c r="A40" s="82">
        <v>9</v>
      </c>
      <c r="B40" s="82">
        <v>11700</v>
      </c>
      <c r="C40" s="82" t="s">
        <v>5009</v>
      </c>
      <c r="D40" s="82">
        <v>30</v>
      </c>
      <c r="E40" s="82" t="s">
        <v>74</v>
      </c>
    </row>
    <row r="41" spans="1:5" x14ac:dyDescent="0.25">
      <c r="A41" s="82">
        <v>10</v>
      </c>
      <c r="B41" s="82">
        <v>11700</v>
      </c>
      <c r="C41" s="82" t="s">
        <v>5009</v>
      </c>
      <c r="D41" s="82">
        <v>30</v>
      </c>
      <c r="E41" s="82" t="s">
        <v>74</v>
      </c>
    </row>
    <row r="42" spans="1:5" x14ac:dyDescent="0.25">
      <c r="A42" s="82">
        <v>11</v>
      </c>
      <c r="B42" s="82">
        <v>11700</v>
      </c>
      <c r="C42" s="82" t="s">
        <v>5009</v>
      </c>
      <c r="D42" s="82">
        <v>30</v>
      </c>
      <c r="E42" s="82" t="s">
        <v>74</v>
      </c>
    </row>
    <row r="43" spans="1:5" x14ac:dyDescent="0.25">
      <c r="A43" s="82">
        <v>12</v>
      </c>
      <c r="B43" s="82">
        <v>11700</v>
      </c>
      <c r="C43" s="82" t="s">
        <v>5010</v>
      </c>
      <c r="D43" s="82">
        <v>70</v>
      </c>
      <c r="E43" s="82" t="s">
        <v>74</v>
      </c>
    </row>
    <row r="44" spans="1:5" x14ac:dyDescent="0.25">
      <c r="A44" s="82">
        <v>13</v>
      </c>
      <c r="B44" s="82">
        <v>11700</v>
      </c>
      <c r="C44" s="82" t="s">
        <v>5010</v>
      </c>
      <c r="D44" s="82">
        <v>70</v>
      </c>
      <c r="E44" s="82" t="s">
        <v>74</v>
      </c>
    </row>
    <row r="45" spans="1:5" x14ac:dyDescent="0.25">
      <c r="A45" s="82">
        <v>14</v>
      </c>
      <c r="B45" s="82">
        <v>11700</v>
      </c>
      <c r="C45" s="82" t="s">
        <v>5010</v>
      </c>
      <c r="D45" s="82">
        <v>70</v>
      </c>
      <c r="E45" s="82" t="s">
        <v>74</v>
      </c>
    </row>
    <row r="46" spans="1:5" x14ac:dyDescent="0.25">
      <c r="A46" s="82">
        <v>15</v>
      </c>
      <c r="B46" s="82">
        <v>11700</v>
      </c>
      <c r="C46" s="82" t="s">
        <v>5010</v>
      </c>
      <c r="D46" s="82">
        <v>70</v>
      </c>
      <c r="E46" s="82" t="s">
        <v>74</v>
      </c>
    </row>
    <row r="47" spans="1:5" x14ac:dyDescent="0.25">
      <c r="A47" s="82">
        <v>16</v>
      </c>
      <c r="B47" s="82">
        <v>11700</v>
      </c>
      <c r="C47" s="82" t="s">
        <v>5010</v>
      </c>
      <c r="D47" s="82">
        <v>70</v>
      </c>
      <c r="E47" s="82" t="s">
        <v>74</v>
      </c>
    </row>
    <row r="48" spans="1:5" x14ac:dyDescent="0.25">
      <c r="A48" s="82">
        <v>17</v>
      </c>
      <c r="B48" s="82">
        <v>11700</v>
      </c>
      <c r="C48" s="82" t="s">
        <v>5010</v>
      </c>
      <c r="D48" s="82">
        <v>70</v>
      </c>
      <c r="E48" s="82" t="s">
        <v>74</v>
      </c>
    </row>
    <row r="49" spans="1:5" x14ac:dyDescent="0.25">
      <c r="A49" s="82">
        <v>18</v>
      </c>
      <c r="B49" s="82">
        <v>11700</v>
      </c>
      <c r="C49" s="82" t="s">
        <v>5010</v>
      </c>
      <c r="D49" s="82">
        <v>70</v>
      </c>
      <c r="E49" s="82" t="s">
        <v>74</v>
      </c>
    </row>
    <row r="50" spans="1:5" x14ac:dyDescent="0.25">
      <c r="A50" s="82">
        <v>19</v>
      </c>
      <c r="B50" s="82">
        <v>11700</v>
      </c>
      <c r="C50" s="82" t="s">
        <v>5011</v>
      </c>
      <c r="D50" s="82">
        <v>320</v>
      </c>
      <c r="E50" s="82" t="s">
        <v>74</v>
      </c>
    </row>
    <row r="51" spans="1:5" x14ac:dyDescent="0.25">
      <c r="A51" s="82">
        <v>20</v>
      </c>
      <c r="B51" s="82">
        <v>11700</v>
      </c>
      <c r="C51" s="82" t="s">
        <v>5012</v>
      </c>
      <c r="D51" s="82">
        <v>400</v>
      </c>
      <c r="E51" s="82" t="s">
        <v>74</v>
      </c>
    </row>
    <row r="52" spans="1:5" x14ac:dyDescent="0.25">
      <c r="A52" s="82">
        <v>21</v>
      </c>
      <c r="B52" s="82">
        <v>11700</v>
      </c>
      <c r="C52" s="82" t="s">
        <v>5012</v>
      </c>
      <c r="D52" s="82">
        <v>400</v>
      </c>
      <c r="E52" s="82" t="s">
        <v>74</v>
      </c>
    </row>
    <row r="53" spans="1:5" x14ac:dyDescent="0.25">
      <c r="A53" s="82">
        <v>22</v>
      </c>
      <c r="B53" s="82">
        <v>11700</v>
      </c>
      <c r="C53" s="82" t="s">
        <v>5012</v>
      </c>
      <c r="D53" s="82">
        <v>400</v>
      </c>
      <c r="E53" s="82" t="s">
        <v>74</v>
      </c>
    </row>
    <row r="54" spans="1:5" x14ac:dyDescent="0.25">
      <c r="A54" s="82">
        <v>23</v>
      </c>
      <c r="B54" s="82">
        <v>11700</v>
      </c>
      <c r="C54" s="82" t="s">
        <v>5012</v>
      </c>
      <c r="D54" s="82">
        <v>400</v>
      </c>
      <c r="E54" s="82" t="s">
        <v>74</v>
      </c>
    </row>
    <row r="55" spans="1:5" x14ac:dyDescent="0.25">
      <c r="A55" s="82">
        <v>24</v>
      </c>
      <c r="B55" s="82">
        <v>11700</v>
      </c>
      <c r="C55" s="82" t="s">
        <v>5012</v>
      </c>
      <c r="D55" s="82">
        <v>400</v>
      </c>
      <c r="E55" s="82" t="s">
        <v>74</v>
      </c>
    </row>
    <row r="56" spans="1:5" x14ac:dyDescent="0.25">
      <c r="A56" s="82">
        <v>25</v>
      </c>
      <c r="B56" s="82">
        <v>11700</v>
      </c>
      <c r="C56" s="82" t="s">
        <v>5012</v>
      </c>
      <c r="D56" s="82">
        <v>400</v>
      </c>
      <c r="E56" s="82" t="s">
        <v>74</v>
      </c>
    </row>
    <row r="57" spans="1:5" x14ac:dyDescent="0.25">
      <c r="A57" s="82">
        <v>26</v>
      </c>
      <c r="B57" s="82">
        <v>11700</v>
      </c>
      <c r="C57" s="82" t="s">
        <v>5012</v>
      </c>
      <c r="D57" s="82">
        <v>400</v>
      </c>
      <c r="E57" s="82" t="s">
        <v>74</v>
      </c>
    </row>
    <row r="58" spans="1:5" x14ac:dyDescent="0.25">
      <c r="A58" s="82">
        <v>27</v>
      </c>
      <c r="B58" s="82">
        <v>11700</v>
      </c>
      <c r="C58" s="82" t="s">
        <v>5012</v>
      </c>
      <c r="D58" s="82">
        <v>400</v>
      </c>
      <c r="E58" s="82" t="s">
        <v>74</v>
      </c>
    </row>
    <row r="59" spans="1:5" x14ac:dyDescent="0.25">
      <c r="A59" s="82">
        <v>28</v>
      </c>
      <c r="B59" s="82">
        <v>11700</v>
      </c>
      <c r="C59" s="82" t="s">
        <v>5012</v>
      </c>
      <c r="D59" s="82">
        <v>400</v>
      </c>
      <c r="E59" s="82" t="s">
        <v>74</v>
      </c>
    </row>
    <row r="60" spans="1:5" x14ac:dyDescent="0.25">
      <c r="A60" s="82">
        <v>29</v>
      </c>
      <c r="B60" s="82">
        <v>11700</v>
      </c>
      <c r="C60" s="82" t="s">
        <v>5013</v>
      </c>
      <c r="D60" s="82">
        <v>440</v>
      </c>
      <c r="E60" s="82" t="s">
        <v>74</v>
      </c>
    </row>
    <row r="61" spans="1:5" x14ac:dyDescent="0.25">
      <c r="A61" s="82">
        <v>30</v>
      </c>
      <c r="B61" s="82">
        <v>11700</v>
      </c>
      <c r="C61" s="82" t="s">
        <v>5013</v>
      </c>
      <c r="D61" s="82">
        <v>440</v>
      </c>
      <c r="E61" s="82" t="s">
        <v>74</v>
      </c>
    </row>
    <row r="62" spans="1:5" x14ac:dyDescent="0.25">
      <c r="A62" s="82">
        <v>31</v>
      </c>
      <c r="B62" s="82">
        <v>11700</v>
      </c>
      <c r="C62" s="82" t="s">
        <v>5013</v>
      </c>
      <c r="D62" s="82">
        <v>440</v>
      </c>
      <c r="E62" s="82" t="s">
        <v>74</v>
      </c>
    </row>
    <row r="63" spans="1:5" x14ac:dyDescent="0.25">
      <c r="A63" s="82">
        <v>32</v>
      </c>
      <c r="B63" s="82">
        <v>11700</v>
      </c>
      <c r="C63" s="82" t="s">
        <v>5013</v>
      </c>
      <c r="D63" s="82">
        <v>440</v>
      </c>
      <c r="E63" s="82" t="s">
        <v>74</v>
      </c>
    </row>
    <row r="64" spans="1:5" x14ac:dyDescent="0.25">
      <c r="A64" s="82">
        <v>33</v>
      </c>
      <c r="B64" s="82">
        <v>11700</v>
      </c>
      <c r="C64" s="82" t="s">
        <v>5013</v>
      </c>
      <c r="D64" s="82">
        <v>440</v>
      </c>
      <c r="E64" s="82" t="s">
        <v>74</v>
      </c>
    </row>
    <row r="65" spans="1:5" x14ac:dyDescent="0.25">
      <c r="A65" s="82">
        <v>34</v>
      </c>
      <c r="B65" s="82">
        <v>11700</v>
      </c>
      <c r="C65" s="82" t="s">
        <v>5013</v>
      </c>
      <c r="D65" s="82">
        <v>440</v>
      </c>
      <c r="E65" s="82" t="s">
        <v>74</v>
      </c>
    </row>
    <row r="66" spans="1:5" x14ac:dyDescent="0.25">
      <c r="A66" s="82">
        <v>35</v>
      </c>
      <c r="B66" s="82">
        <v>11700</v>
      </c>
      <c r="C66" s="82" t="s">
        <v>5013</v>
      </c>
      <c r="D66" s="82">
        <v>440</v>
      </c>
      <c r="E66" s="82" t="s">
        <v>74</v>
      </c>
    </row>
    <row r="67" spans="1:5" x14ac:dyDescent="0.25">
      <c r="A67" s="82">
        <v>36</v>
      </c>
      <c r="B67" s="82">
        <v>11700</v>
      </c>
      <c r="C67" s="82" t="s">
        <v>5013</v>
      </c>
      <c r="D67" s="82">
        <v>440</v>
      </c>
      <c r="E67" s="82" t="s">
        <v>74</v>
      </c>
    </row>
    <row r="68" spans="1:5" x14ac:dyDescent="0.25">
      <c r="A68" s="82">
        <v>37</v>
      </c>
      <c r="B68" s="82">
        <v>11700</v>
      </c>
      <c r="C68" s="82" t="s">
        <v>5013</v>
      </c>
      <c r="D68" s="82">
        <v>440</v>
      </c>
      <c r="E68" s="82" t="s">
        <v>74</v>
      </c>
    </row>
    <row r="69" spans="1:5" x14ac:dyDescent="0.25">
      <c r="A69" s="82">
        <v>38</v>
      </c>
      <c r="B69" s="82">
        <v>11700</v>
      </c>
      <c r="C69" s="82" t="s">
        <v>5014</v>
      </c>
      <c r="D69" s="82">
        <v>450</v>
      </c>
      <c r="E69" s="82" t="s">
        <v>74</v>
      </c>
    </row>
    <row r="70" spans="1:5" x14ac:dyDescent="0.25">
      <c r="A70" s="82">
        <v>39</v>
      </c>
      <c r="B70" s="82">
        <v>11700</v>
      </c>
      <c r="C70" s="82" t="s">
        <v>5014</v>
      </c>
      <c r="D70" s="82">
        <v>450</v>
      </c>
      <c r="E70" s="82" t="s">
        <v>74</v>
      </c>
    </row>
    <row r="71" spans="1:5" x14ac:dyDescent="0.25">
      <c r="A71" s="82">
        <v>40</v>
      </c>
      <c r="B71" s="82">
        <v>11700</v>
      </c>
      <c r="C71" s="82" t="s">
        <v>5015</v>
      </c>
      <c r="D71" s="82">
        <v>500</v>
      </c>
      <c r="E71" s="82" t="s">
        <v>74</v>
      </c>
    </row>
    <row r="72" spans="1:5" x14ac:dyDescent="0.25">
      <c r="A72" s="82">
        <v>41</v>
      </c>
      <c r="B72" s="82">
        <v>11700</v>
      </c>
      <c r="C72" s="82" t="s">
        <v>5015</v>
      </c>
      <c r="D72" s="82">
        <v>500</v>
      </c>
      <c r="E72" s="82" t="s">
        <v>74</v>
      </c>
    </row>
    <row r="73" spans="1:5" x14ac:dyDescent="0.25">
      <c r="A73" s="82">
        <v>42</v>
      </c>
      <c r="B73" s="82">
        <v>11700</v>
      </c>
      <c r="C73" s="82" t="s">
        <v>5015</v>
      </c>
      <c r="D73" s="82">
        <v>500</v>
      </c>
      <c r="E73" s="82" t="s">
        <v>74</v>
      </c>
    </row>
    <row r="74" spans="1:5" x14ac:dyDescent="0.25">
      <c r="A74" s="82">
        <v>43</v>
      </c>
      <c r="B74" s="82">
        <v>11700</v>
      </c>
      <c r="C74" s="82" t="s">
        <v>5015</v>
      </c>
      <c r="D74" s="82">
        <v>500</v>
      </c>
      <c r="E74" s="82" t="s">
        <v>74</v>
      </c>
    </row>
    <row r="75" spans="1:5" x14ac:dyDescent="0.25">
      <c r="A75" s="82">
        <v>44</v>
      </c>
      <c r="B75" s="82">
        <v>11700</v>
      </c>
      <c r="C75" s="82" t="s">
        <v>5015</v>
      </c>
      <c r="D75" s="82">
        <v>500</v>
      </c>
      <c r="E75" s="82" t="s">
        <v>74</v>
      </c>
    </row>
    <row r="76" spans="1:5" x14ac:dyDescent="0.25">
      <c r="A76" s="82">
        <v>45</v>
      </c>
      <c r="B76" s="82">
        <v>11700</v>
      </c>
      <c r="C76" s="82" t="s">
        <v>5015</v>
      </c>
      <c r="D76" s="82">
        <v>500</v>
      </c>
      <c r="E76" s="82" t="s">
        <v>74</v>
      </c>
    </row>
    <row r="77" spans="1:5" x14ac:dyDescent="0.25">
      <c r="A77" s="82">
        <v>46</v>
      </c>
      <c r="B77" s="82">
        <v>11700</v>
      </c>
      <c r="C77" s="82" t="s">
        <v>5015</v>
      </c>
      <c r="D77" s="82">
        <v>500</v>
      </c>
      <c r="E77" s="82" t="s">
        <v>74</v>
      </c>
    </row>
    <row r="78" spans="1:5" x14ac:dyDescent="0.25">
      <c r="A78" s="82">
        <v>47</v>
      </c>
      <c r="B78" s="82">
        <v>11700</v>
      </c>
      <c r="C78" s="82" t="s">
        <v>5015</v>
      </c>
      <c r="D78" s="82">
        <v>500</v>
      </c>
      <c r="E78" s="82" t="s">
        <v>74</v>
      </c>
    </row>
    <row r="79" spans="1:5" x14ac:dyDescent="0.25">
      <c r="A79" s="82">
        <v>48</v>
      </c>
      <c r="B79" s="82">
        <v>11700</v>
      </c>
      <c r="C79" s="82" t="s">
        <v>5015</v>
      </c>
      <c r="D79" s="82">
        <v>500</v>
      </c>
      <c r="E79" s="82" t="s">
        <v>74</v>
      </c>
    </row>
    <row r="80" spans="1:5" x14ac:dyDescent="0.25">
      <c r="A80" s="82">
        <v>49</v>
      </c>
      <c r="B80" s="82">
        <v>11700</v>
      </c>
      <c r="C80" s="82" t="s">
        <v>5016</v>
      </c>
      <c r="D80" s="82">
        <v>540</v>
      </c>
      <c r="E80" s="82" t="s">
        <v>74</v>
      </c>
    </row>
    <row r="81" spans="1:5" x14ac:dyDescent="0.25">
      <c r="A81" s="82">
        <v>50</v>
      </c>
      <c r="B81" s="82">
        <v>11700</v>
      </c>
      <c r="C81" s="82" t="s">
        <v>5016</v>
      </c>
      <c r="D81" s="82">
        <v>540</v>
      </c>
      <c r="E81" s="82" t="s">
        <v>74</v>
      </c>
    </row>
    <row r="82" spans="1:5" x14ac:dyDescent="0.25">
      <c r="A82" s="82">
        <v>51</v>
      </c>
      <c r="B82" s="82">
        <v>11700</v>
      </c>
      <c r="C82" s="82" t="s">
        <v>5016</v>
      </c>
      <c r="D82" s="82">
        <v>540</v>
      </c>
      <c r="E82" s="82" t="s">
        <v>74</v>
      </c>
    </row>
    <row r="83" spans="1:5" x14ac:dyDescent="0.25">
      <c r="A83" s="82">
        <v>52</v>
      </c>
      <c r="B83" s="82">
        <v>11700</v>
      </c>
      <c r="C83" s="82" t="s">
        <v>5016</v>
      </c>
      <c r="D83" s="82">
        <v>540</v>
      </c>
      <c r="E83" s="82" t="s">
        <v>74</v>
      </c>
    </row>
    <row r="84" spans="1:5" x14ac:dyDescent="0.25">
      <c r="A84" s="82">
        <v>53</v>
      </c>
      <c r="B84" s="82">
        <v>11700</v>
      </c>
      <c r="C84" s="82" t="s">
        <v>5016</v>
      </c>
      <c r="D84" s="82">
        <v>540</v>
      </c>
      <c r="E84" s="82" t="s">
        <v>74</v>
      </c>
    </row>
    <row r="85" spans="1:5" x14ac:dyDescent="0.25">
      <c r="A85" s="82">
        <v>54</v>
      </c>
      <c r="B85" s="82">
        <v>11700</v>
      </c>
      <c r="C85" s="82" t="s">
        <v>5017</v>
      </c>
      <c r="D85" s="82">
        <v>600</v>
      </c>
      <c r="E85" s="82" t="s">
        <v>74</v>
      </c>
    </row>
    <row r="86" spans="1:5" x14ac:dyDescent="0.25">
      <c r="A86" s="82">
        <v>55</v>
      </c>
      <c r="B86" s="82">
        <v>11700</v>
      </c>
      <c r="C86" s="82" t="s">
        <v>5017</v>
      </c>
      <c r="D86" s="82">
        <v>600</v>
      </c>
      <c r="E86" s="82" t="s">
        <v>74</v>
      </c>
    </row>
    <row r="87" spans="1:5" x14ac:dyDescent="0.25">
      <c r="A87" s="82">
        <v>56</v>
      </c>
      <c r="B87" s="82">
        <v>11700</v>
      </c>
      <c r="C87" s="82" t="s">
        <v>5017</v>
      </c>
      <c r="D87" s="82">
        <v>600</v>
      </c>
      <c r="E87" s="82" t="s">
        <v>74</v>
      </c>
    </row>
    <row r="88" spans="1:5" x14ac:dyDescent="0.25">
      <c r="A88" s="82">
        <v>57</v>
      </c>
      <c r="B88" s="82">
        <v>11700</v>
      </c>
      <c r="C88" s="82" t="s">
        <v>5017</v>
      </c>
      <c r="D88" s="82">
        <v>600</v>
      </c>
      <c r="E88" s="82" t="s">
        <v>74</v>
      </c>
    </row>
    <row r="89" spans="1:5" x14ac:dyDescent="0.25">
      <c r="A89" s="82">
        <v>58</v>
      </c>
      <c r="B89" s="82">
        <v>11700</v>
      </c>
      <c r="C89" s="82" t="s">
        <v>5017</v>
      </c>
      <c r="D89" s="82">
        <v>600</v>
      </c>
      <c r="E89" s="82" t="s">
        <v>74</v>
      </c>
    </row>
    <row r="90" spans="1:5" x14ac:dyDescent="0.25">
      <c r="A90" s="82">
        <v>59</v>
      </c>
      <c r="B90" s="82">
        <v>11700</v>
      </c>
      <c r="C90" s="82" t="s">
        <v>5018</v>
      </c>
      <c r="D90" s="82">
        <v>700</v>
      </c>
      <c r="E90" s="82" t="s">
        <v>74</v>
      </c>
    </row>
    <row r="91" spans="1:5" x14ac:dyDescent="0.25">
      <c r="A91" s="82">
        <v>60</v>
      </c>
      <c r="B91" s="82">
        <v>11700</v>
      </c>
      <c r="C91" s="82" t="s">
        <v>5018</v>
      </c>
      <c r="D91" s="82">
        <v>700</v>
      </c>
      <c r="E91" s="82" t="s">
        <v>74</v>
      </c>
    </row>
    <row r="92" spans="1:5" x14ac:dyDescent="0.25">
      <c r="A92" s="82">
        <v>61</v>
      </c>
      <c r="B92" s="82">
        <v>11700</v>
      </c>
      <c r="C92" s="82" t="s">
        <v>5018</v>
      </c>
      <c r="D92" s="82">
        <v>700</v>
      </c>
      <c r="E92" s="82" t="s">
        <v>74</v>
      </c>
    </row>
    <row r="93" spans="1:5" x14ac:dyDescent="0.25">
      <c r="A93" s="82">
        <v>62</v>
      </c>
      <c r="B93" s="82">
        <v>11700</v>
      </c>
      <c r="C93" s="82" t="s">
        <v>5018</v>
      </c>
      <c r="D93" s="82">
        <v>700</v>
      </c>
      <c r="E93" s="82" t="s">
        <v>74</v>
      </c>
    </row>
    <row r="94" spans="1:5" x14ac:dyDescent="0.25">
      <c r="A94" s="82">
        <v>63</v>
      </c>
      <c r="B94" s="82">
        <v>11700</v>
      </c>
      <c r="C94" s="82" t="s">
        <v>5018</v>
      </c>
      <c r="D94" s="82">
        <v>700</v>
      </c>
      <c r="E94" s="82" t="s">
        <v>74</v>
      </c>
    </row>
    <row r="95" spans="1:5" x14ac:dyDescent="0.25">
      <c r="A95" s="82">
        <v>64</v>
      </c>
      <c r="B95" s="82">
        <v>11700</v>
      </c>
      <c r="C95" s="82" t="s">
        <v>5019</v>
      </c>
      <c r="D95" s="82">
        <v>1300</v>
      </c>
      <c r="E95" s="82" t="s">
        <v>74</v>
      </c>
    </row>
    <row r="96" spans="1:5" x14ac:dyDescent="0.25">
      <c r="A96" s="82">
        <v>65</v>
      </c>
      <c r="B96" s="82">
        <v>11700</v>
      </c>
      <c r="C96" s="82" t="s">
        <v>5019</v>
      </c>
      <c r="D96" s="82">
        <v>1300</v>
      </c>
      <c r="E96" s="82" t="s">
        <v>74</v>
      </c>
    </row>
    <row r="97" spans="1:5" x14ac:dyDescent="0.25">
      <c r="A97" s="82">
        <v>66</v>
      </c>
      <c r="B97" s="82">
        <v>11700</v>
      </c>
      <c r="C97" s="82" t="s">
        <v>5020</v>
      </c>
      <c r="D97" s="82">
        <v>2660</v>
      </c>
      <c r="E97" s="82" t="s">
        <v>75</v>
      </c>
    </row>
    <row r="98" spans="1:5" x14ac:dyDescent="0.25">
      <c r="A98" s="82">
        <v>67</v>
      </c>
      <c r="B98" s="82">
        <v>11700</v>
      </c>
      <c r="C98" s="82" t="s">
        <v>5020</v>
      </c>
      <c r="D98" s="82">
        <v>2660</v>
      </c>
      <c r="E98" s="82" t="s">
        <v>75</v>
      </c>
    </row>
    <row r="99" spans="1:5" x14ac:dyDescent="0.25">
      <c r="A99" s="82">
        <v>68</v>
      </c>
      <c r="B99" s="82">
        <v>11700</v>
      </c>
      <c r="C99" s="82" t="s">
        <v>5020</v>
      </c>
      <c r="D99" s="82">
        <v>2660</v>
      </c>
      <c r="E99" s="82" t="s">
        <v>75</v>
      </c>
    </row>
    <row r="100" spans="1:5" x14ac:dyDescent="0.25">
      <c r="A100" s="82">
        <v>69</v>
      </c>
      <c r="B100" s="82">
        <v>11700</v>
      </c>
      <c r="C100" s="82" t="s">
        <v>5021</v>
      </c>
      <c r="D100" s="82">
        <v>2700</v>
      </c>
      <c r="E100" s="82" t="s">
        <v>75</v>
      </c>
    </row>
    <row r="101" spans="1:5" x14ac:dyDescent="0.25">
      <c r="A101" s="82">
        <v>70</v>
      </c>
      <c r="B101" s="82">
        <v>11700</v>
      </c>
      <c r="C101" s="82" t="s">
        <v>5021</v>
      </c>
      <c r="D101" s="82">
        <v>2700</v>
      </c>
      <c r="E101" s="82" t="s">
        <v>75</v>
      </c>
    </row>
    <row r="102" spans="1:5" x14ac:dyDescent="0.25">
      <c r="A102" s="82">
        <v>71</v>
      </c>
      <c r="B102" s="82">
        <v>11700</v>
      </c>
      <c r="C102" s="82" t="s">
        <v>5021</v>
      </c>
      <c r="D102" s="82">
        <v>2700</v>
      </c>
      <c r="E102" s="82" t="s">
        <v>75</v>
      </c>
    </row>
    <row r="103" spans="1:5" x14ac:dyDescent="0.25">
      <c r="A103" s="82">
        <v>72</v>
      </c>
      <c r="B103" s="82">
        <v>11700</v>
      </c>
      <c r="C103" s="82" t="s">
        <v>5021</v>
      </c>
      <c r="D103" s="82">
        <v>2700</v>
      </c>
      <c r="E103" s="82" t="s">
        <v>75</v>
      </c>
    </row>
    <row r="104" spans="1:5" x14ac:dyDescent="0.25">
      <c r="A104" s="82">
        <v>73</v>
      </c>
      <c r="B104" s="82">
        <v>11700</v>
      </c>
      <c r="C104" s="82" t="s">
        <v>5021</v>
      </c>
      <c r="D104" s="82">
        <v>2700</v>
      </c>
      <c r="E104" s="82" t="s">
        <v>75</v>
      </c>
    </row>
    <row r="105" spans="1:5" x14ac:dyDescent="0.25">
      <c r="A105" s="82">
        <v>74</v>
      </c>
      <c r="B105" s="82">
        <v>11700</v>
      </c>
      <c r="C105" s="82" t="s">
        <v>5021</v>
      </c>
      <c r="D105" s="82">
        <v>2700</v>
      </c>
      <c r="E105" s="82" t="s">
        <v>75</v>
      </c>
    </row>
    <row r="106" spans="1:5" x14ac:dyDescent="0.25">
      <c r="A106" s="82">
        <v>75</v>
      </c>
      <c r="B106" s="82">
        <v>11700</v>
      </c>
      <c r="C106" s="82" t="s">
        <v>5022</v>
      </c>
      <c r="D106" s="82">
        <v>3560</v>
      </c>
      <c r="E106" s="82" t="s">
        <v>75</v>
      </c>
    </row>
    <row r="107" spans="1:5" x14ac:dyDescent="0.25">
      <c r="A107" s="82">
        <v>76</v>
      </c>
      <c r="B107" s="82">
        <v>11700</v>
      </c>
      <c r="C107" s="82" t="s">
        <v>5022</v>
      </c>
      <c r="D107" s="82">
        <v>3560</v>
      </c>
      <c r="E107" s="82" t="s">
        <v>75</v>
      </c>
    </row>
    <row r="108" spans="1:5" x14ac:dyDescent="0.25">
      <c r="A108" s="82">
        <v>77</v>
      </c>
      <c r="B108" s="82">
        <v>11700</v>
      </c>
      <c r="C108" s="82" t="s">
        <v>5022</v>
      </c>
      <c r="D108" s="82">
        <v>3560</v>
      </c>
      <c r="E108" s="82" t="s">
        <v>75</v>
      </c>
    </row>
    <row r="109" spans="1:5" x14ac:dyDescent="0.25">
      <c r="A109" s="82">
        <v>78</v>
      </c>
      <c r="B109" s="82">
        <v>11700</v>
      </c>
      <c r="C109" s="82" t="s">
        <v>5022</v>
      </c>
      <c r="D109" s="82">
        <v>3560</v>
      </c>
      <c r="E109" s="82" t="s">
        <v>75</v>
      </c>
    </row>
    <row r="110" spans="1:5" x14ac:dyDescent="0.25">
      <c r="A110" s="82">
        <v>79</v>
      </c>
      <c r="B110" s="82">
        <v>11700</v>
      </c>
      <c r="C110" s="82" t="s">
        <v>5022</v>
      </c>
      <c r="D110" s="82">
        <v>3560</v>
      </c>
      <c r="E110" s="82" t="s">
        <v>75</v>
      </c>
    </row>
    <row r="111" spans="1:5" x14ac:dyDescent="0.25">
      <c r="A111" s="82">
        <v>80</v>
      </c>
      <c r="B111" s="82">
        <v>11700</v>
      </c>
      <c r="C111" s="82" t="s">
        <v>5022</v>
      </c>
      <c r="D111" s="82">
        <v>3560</v>
      </c>
      <c r="E111" s="82" t="s">
        <v>75</v>
      </c>
    </row>
    <row r="112" spans="1:5" x14ac:dyDescent="0.25">
      <c r="A112" s="82">
        <v>81</v>
      </c>
      <c r="B112" s="82">
        <v>11700</v>
      </c>
      <c r="C112" s="82" t="s">
        <v>5023</v>
      </c>
      <c r="D112" s="82">
        <v>5010</v>
      </c>
      <c r="E112" s="82" t="s">
        <v>75</v>
      </c>
    </row>
    <row r="113" spans="1:5" x14ac:dyDescent="0.25">
      <c r="A113" s="82">
        <v>82</v>
      </c>
      <c r="B113" s="82">
        <v>11700</v>
      </c>
      <c r="C113" s="82" t="s">
        <v>5024</v>
      </c>
      <c r="D113" s="82">
        <v>5150</v>
      </c>
      <c r="E113" s="82" t="s">
        <v>75</v>
      </c>
    </row>
    <row r="114" spans="1:5" x14ac:dyDescent="0.25">
      <c r="A114" s="82">
        <v>83</v>
      </c>
      <c r="B114" s="82">
        <v>11700</v>
      </c>
      <c r="C114" s="82" t="s">
        <v>5024</v>
      </c>
      <c r="D114" s="82">
        <v>5150</v>
      </c>
      <c r="E114" s="82" t="s">
        <v>75</v>
      </c>
    </row>
    <row r="115" spans="1:5" x14ac:dyDescent="0.25">
      <c r="A115" s="82">
        <v>84</v>
      </c>
      <c r="B115" s="82">
        <v>11700</v>
      </c>
      <c r="C115" s="82" t="s">
        <v>5024</v>
      </c>
      <c r="D115" s="82">
        <v>5150</v>
      </c>
      <c r="E115" s="82" t="s">
        <v>75</v>
      </c>
    </row>
    <row r="116" spans="1:5" x14ac:dyDescent="0.25">
      <c r="A116" s="82">
        <v>85</v>
      </c>
      <c r="B116" s="82">
        <v>11700</v>
      </c>
      <c r="C116" s="82" t="s">
        <v>5024</v>
      </c>
      <c r="D116" s="82">
        <v>5150</v>
      </c>
      <c r="E116" s="82" t="s">
        <v>75</v>
      </c>
    </row>
    <row r="117" spans="1:5" x14ac:dyDescent="0.25">
      <c r="A117" s="82">
        <v>86</v>
      </c>
      <c r="B117" s="82">
        <v>11700</v>
      </c>
      <c r="C117" s="82" t="s">
        <v>5024</v>
      </c>
      <c r="D117" s="82">
        <v>5150</v>
      </c>
      <c r="E117" s="82" t="s">
        <v>75</v>
      </c>
    </row>
    <row r="118" spans="1:5" x14ac:dyDescent="0.25">
      <c r="A118" s="82">
        <v>87</v>
      </c>
      <c r="B118" s="82">
        <v>11700</v>
      </c>
      <c r="C118" s="82" t="s">
        <v>5024</v>
      </c>
      <c r="D118" s="82">
        <v>5150</v>
      </c>
      <c r="E118" s="82" t="s">
        <v>75</v>
      </c>
    </row>
    <row r="119" spans="1:5" x14ac:dyDescent="0.25">
      <c r="A119" s="82">
        <v>88</v>
      </c>
      <c r="B119" s="82">
        <v>11700</v>
      </c>
      <c r="C119" s="82" t="s">
        <v>5024</v>
      </c>
      <c r="D119" s="82">
        <v>5150</v>
      </c>
      <c r="E119" s="82" t="s">
        <v>75</v>
      </c>
    </row>
    <row r="120" spans="1:5" x14ac:dyDescent="0.25">
      <c r="A120" s="82">
        <v>89</v>
      </c>
      <c r="B120" s="82">
        <v>11700</v>
      </c>
      <c r="C120" s="82" t="s">
        <v>5024</v>
      </c>
      <c r="D120" s="82">
        <v>5150</v>
      </c>
      <c r="E120" s="82" t="s">
        <v>75</v>
      </c>
    </row>
    <row r="121" spans="1:5" x14ac:dyDescent="0.25">
      <c r="A121" s="82">
        <v>90</v>
      </c>
      <c r="B121" s="82">
        <v>11700</v>
      </c>
      <c r="C121" s="82" t="s">
        <v>5024</v>
      </c>
      <c r="D121" s="82">
        <v>5150</v>
      </c>
      <c r="E121" s="82" t="s">
        <v>75</v>
      </c>
    </row>
    <row r="122" spans="1:5" x14ac:dyDescent="0.25">
      <c r="A122" s="82">
        <v>91</v>
      </c>
      <c r="B122" s="82">
        <v>11700</v>
      </c>
      <c r="C122" s="82" t="s">
        <v>5024</v>
      </c>
      <c r="D122" s="82">
        <v>5150</v>
      </c>
      <c r="E122" s="82" t="s">
        <v>75</v>
      </c>
    </row>
    <row r="123" spans="1:5" x14ac:dyDescent="0.25">
      <c r="A123" s="82">
        <v>92</v>
      </c>
      <c r="B123" s="82">
        <v>11700</v>
      </c>
      <c r="C123" s="82" t="s">
        <v>5025</v>
      </c>
      <c r="D123" s="82">
        <v>5150</v>
      </c>
      <c r="E123" s="82" t="s">
        <v>75</v>
      </c>
    </row>
    <row r="124" spans="1:5" x14ac:dyDescent="0.25">
      <c r="A124" s="82">
        <v>93</v>
      </c>
      <c r="B124" s="82">
        <v>11700</v>
      </c>
      <c r="C124" s="82" t="s">
        <v>5025</v>
      </c>
      <c r="D124" s="82">
        <v>5150</v>
      </c>
      <c r="E124" s="82" t="s">
        <v>75</v>
      </c>
    </row>
    <row r="125" spans="1:5" x14ac:dyDescent="0.25">
      <c r="A125" s="82">
        <v>94</v>
      </c>
      <c r="B125" s="82">
        <v>11700</v>
      </c>
      <c r="C125" s="82" t="s">
        <v>5025</v>
      </c>
      <c r="D125" s="82">
        <v>5150</v>
      </c>
      <c r="E125" s="82" t="s">
        <v>75</v>
      </c>
    </row>
    <row r="126" spans="1:5" x14ac:dyDescent="0.25">
      <c r="A126" s="82">
        <v>95</v>
      </c>
      <c r="B126" s="82">
        <v>11700</v>
      </c>
      <c r="C126" s="82" t="s">
        <v>5025</v>
      </c>
      <c r="D126" s="82">
        <v>5150</v>
      </c>
      <c r="E126" s="82" t="s">
        <v>75</v>
      </c>
    </row>
    <row r="127" spans="1:5" x14ac:dyDescent="0.25">
      <c r="A127" s="82">
        <v>96</v>
      </c>
      <c r="B127" s="82">
        <v>11700</v>
      </c>
      <c r="C127" s="82" t="s">
        <v>5025</v>
      </c>
      <c r="D127" s="82">
        <v>5150</v>
      </c>
      <c r="E127" s="82" t="s">
        <v>75</v>
      </c>
    </row>
    <row r="128" spans="1:5" x14ac:dyDescent="0.25">
      <c r="A128" s="82">
        <v>97</v>
      </c>
      <c r="B128" s="82">
        <v>11700</v>
      </c>
      <c r="C128" s="82" t="s">
        <v>5026</v>
      </c>
      <c r="D128" s="82">
        <v>5320</v>
      </c>
      <c r="E128" s="82" t="s">
        <v>75</v>
      </c>
    </row>
    <row r="129" spans="1:5" x14ac:dyDescent="0.25">
      <c r="A129" s="82">
        <v>98</v>
      </c>
      <c r="B129" s="82">
        <v>11700</v>
      </c>
      <c r="C129" s="82" t="s">
        <v>5026</v>
      </c>
      <c r="D129" s="82">
        <v>5320</v>
      </c>
      <c r="E129" s="82" t="s">
        <v>75</v>
      </c>
    </row>
    <row r="130" spans="1:5" x14ac:dyDescent="0.25">
      <c r="A130" s="82">
        <v>99</v>
      </c>
      <c r="B130" s="82">
        <v>11700</v>
      </c>
      <c r="C130" s="82" t="s">
        <v>5026</v>
      </c>
      <c r="D130" s="82">
        <v>5320</v>
      </c>
      <c r="E130" s="82" t="s">
        <v>75</v>
      </c>
    </row>
    <row r="131" spans="1:5" x14ac:dyDescent="0.25">
      <c r="A131" s="82">
        <v>100</v>
      </c>
      <c r="B131" s="82">
        <v>11700</v>
      </c>
      <c r="C131" s="82" t="s">
        <v>5026</v>
      </c>
      <c r="D131" s="82">
        <v>5320</v>
      </c>
      <c r="E131" s="82" t="s">
        <v>75</v>
      </c>
    </row>
    <row r="132" spans="1:5" x14ac:dyDescent="0.25">
      <c r="A132" s="82">
        <v>101</v>
      </c>
      <c r="B132" s="82">
        <v>11700</v>
      </c>
      <c r="C132" s="82" t="s">
        <v>5027</v>
      </c>
      <c r="D132" s="82">
        <v>5430</v>
      </c>
      <c r="E132" s="82" t="s">
        <v>75</v>
      </c>
    </row>
    <row r="133" spans="1:5" x14ac:dyDescent="0.25">
      <c r="A133" s="82">
        <v>102</v>
      </c>
      <c r="B133" s="82">
        <v>11700</v>
      </c>
      <c r="C133" s="82" t="s">
        <v>5027</v>
      </c>
      <c r="D133" s="82">
        <v>5430</v>
      </c>
      <c r="E133" s="82" t="s">
        <v>75</v>
      </c>
    </row>
    <row r="134" spans="1:5" x14ac:dyDescent="0.25">
      <c r="A134" s="82">
        <v>103</v>
      </c>
      <c r="B134" s="82">
        <v>11700</v>
      </c>
      <c r="C134" s="82" t="s">
        <v>5027</v>
      </c>
      <c r="D134" s="82">
        <v>5430</v>
      </c>
      <c r="E134" s="82" t="s">
        <v>75</v>
      </c>
    </row>
    <row r="135" spans="1:5" x14ac:dyDescent="0.25">
      <c r="A135" s="82">
        <v>104</v>
      </c>
      <c r="B135" s="82">
        <v>11700</v>
      </c>
      <c r="C135" s="82" t="s">
        <v>5027</v>
      </c>
      <c r="D135" s="82">
        <v>5430</v>
      </c>
      <c r="E135" s="82" t="s">
        <v>75</v>
      </c>
    </row>
    <row r="136" spans="1:5" x14ac:dyDescent="0.25">
      <c r="A136" s="82">
        <v>105</v>
      </c>
      <c r="B136" s="82">
        <v>11700</v>
      </c>
      <c r="C136" s="82" t="s">
        <v>5027</v>
      </c>
      <c r="D136" s="82">
        <v>5430</v>
      </c>
      <c r="E136" s="82" t="s">
        <v>75</v>
      </c>
    </row>
    <row r="137" spans="1:5" x14ac:dyDescent="0.25">
      <c r="A137" s="82">
        <v>106</v>
      </c>
      <c r="B137" s="82">
        <v>11700</v>
      </c>
      <c r="C137" s="82" t="s">
        <v>5027</v>
      </c>
      <c r="D137" s="82">
        <v>5430</v>
      </c>
      <c r="E137" s="82" t="s">
        <v>75</v>
      </c>
    </row>
    <row r="138" spans="1:5" x14ac:dyDescent="0.25">
      <c r="A138" s="82">
        <v>107</v>
      </c>
      <c r="B138" s="82">
        <v>11700</v>
      </c>
      <c r="C138" s="82" t="s">
        <v>5027</v>
      </c>
      <c r="D138" s="82">
        <v>5430</v>
      </c>
      <c r="E138" s="82" t="s">
        <v>75</v>
      </c>
    </row>
    <row r="139" spans="1:5" x14ac:dyDescent="0.25">
      <c r="A139" s="82">
        <v>108</v>
      </c>
      <c r="B139" s="82">
        <v>11700</v>
      </c>
      <c r="C139" s="82" t="s">
        <v>5027</v>
      </c>
      <c r="D139" s="82">
        <v>5430</v>
      </c>
      <c r="E139" s="82" t="s">
        <v>75</v>
      </c>
    </row>
    <row r="140" spans="1:5" x14ac:dyDescent="0.25">
      <c r="A140" s="82">
        <v>109</v>
      </c>
      <c r="B140" s="82">
        <v>11700</v>
      </c>
      <c r="C140" s="82" t="s">
        <v>5027</v>
      </c>
      <c r="D140" s="82">
        <v>5430</v>
      </c>
      <c r="E140" s="82" t="s">
        <v>75</v>
      </c>
    </row>
    <row r="141" spans="1:5" x14ac:dyDescent="0.25">
      <c r="A141" s="82">
        <v>110</v>
      </c>
      <c r="B141" s="82">
        <v>11700</v>
      </c>
      <c r="C141" s="82" t="s">
        <v>5027</v>
      </c>
      <c r="D141" s="82">
        <v>5430</v>
      </c>
      <c r="E141" s="82" t="s">
        <v>75</v>
      </c>
    </row>
    <row r="142" spans="1:5" x14ac:dyDescent="0.25">
      <c r="A142" s="82">
        <v>111</v>
      </c>
      <c r="B142" s="82">
        <v>11700</v>
      </c>
      <c r="C142" s="82" t="s">
        <v>5027</v>
      </c>
      <c r="D142" s="82">
        <v>5430</v>
      </c>
      <c r="E142" s="82" t="s">
        <v>75</v>
      </c>
    </row>
    <row r="143" spans="1:5" x14ac:dyDescent="0.25">
      <c r="A143" s="82">
        <v>112</v>
      </c>
      <c r="B143" s="82">
        <v>11700</v>
      </c>
      <c r="C143" s="82" t="s">
        <v>5027</v>
      </c>
      <c r="D143" s="82">
        <v>5430</v>
      </c>
      <c r="E143" s="82" t="s">
        <v>75</v>
      </c>
    </row>
    <row r="144" spans="1:5" x14ac:dyDescent="0.25">
      <c r="A144" s="82">
        <v>113</v>
      </c>
      <c r="B144" s="82">
        <v>11700</v>
      </c>
      <c r="C144" s="82" t="s">
        <v>5027</v>
      </c>
      <c r="D144" s="82">
        <v>5430</v>
      </c>
      <c r="E144" s="82" t="s">
        <v>75</v>
      </c>
    </row>
    <row r="145" spans="1:5" x14ac:dyDescent="0.25">
      <c r="A145" s="82">
        <v>114</v>
      </c>
      <c r="B145" s="82">
        <v>11700</v>
      </c>
      <c r="C145" s="82" t="s">
        <v>5027</v>
      </c>
      <c r="D145" s="82">
        <v>5430</v>
      </c>
      <c r="E145" s="82" t="s">
        <v>75</v>
      </c>
    </row>
  </sheetData>
  <mergeCells count="3">
    <mergeCell ref="A1:E1"/>
    <mergeCell ref="A2:E2"/>
    <mergeCell ref="A3:E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F32"/>
  <sheetViews>
    <sheetView workbookViewId="0">
      <pane ySplit="5" topLeftCell="A252" activePane="bottomLeft" state="frozen"/>
      <selection pane="bottomLeft" activeCell="A3" sqref="A3:XFD255"/>
    </sheetView>
  </sheetViews>
  <sheetFormatPr defaultRowHeight="15" x14ac:dyDescent="0.25"/>
  <cols>
    <col min="1" max="1" width="26.5703125" style="52" bestFit="1" customWidth="1"/>
    <col min="2" max="2" width="12.28515625" customWidth="1"/>
    <col min="3" max="3" width="10.28515625" customWidth="1"/>
    <col min="4" max="4" width="64.42578125" customWidth="1"/>
    <col min="5" max="5" width="9.5703125" customWidth="1"/>
    <col min="6" max="6" width="17.28515625" customWidth="1"/>
  </cols>
  <sheetData>
    <row r="1" spans="1:6" ht="21" x14ac:dyDescent="0.35">
      <c r="A1" s="165" t="s">
        <v>41</v>
      </c>
      <c r="B1" s="165"/>
      <c r="C1" s="165"/>
      <c r="D1" s="165"/>
      <c r="E1" s="165"/>
      <c r="F1" s="165"/>
    </row>
    <row r="2" spans="1:6" x14ac:dyDescent="0.25">
      <c r="A2" s="166" t="str">
        <f>"CÔNG TRÌNH : " &amp;ThongSo!B5</f>
        <v>CÔNG TRÌNH : MONBAY HẠ LONG</v>
      </c>
      <c r="B2" s="166"/>
      <c r="C2" s="166"/>
      <c r="D2" s="166"/>
      <c r="E2" s="166"/>
      <c r="F2" s="166"/>
    </row>
    <row r="3" spans="1:6" x14ac:dyDescent="0.25">
      <c r="A3" s="166" t="str">
        <f>"ĐIỂM DỪNG : " &amp;SoLieuCatThep!D2</f>
        <v>ĐIỂM DỪNG : 11</v>
      </c>
      <c r="B3" s="166"/>
      <c r="C3" s="166"/>
      <c r="D3" s="166"/>
      <c r="E3" s="166"/>
      <c r="F3" s="166"/>
    </row>
    <row r="5" spans="1:6" x14ac:dyDescent="0.25">
      <c r="A5" s="46" t="s">
        <v>50</v>
      </c>
      <c r="B5" s="46" t="s">
        <v>51</v>
      </c>
      <c r="C5" s="46" t="s">
        <v>45</v>
      </c>
      <c r="D5" s="46" t="s">
        <v>42</v>
      </c>
      <c r="E5" s="46" t="s">
        <v>43</v>
      </c>
      <c r="F5" s="47" t="s">
        <v>46</v>
      </c>
    </row>
    <row r="6" spans="1:6" x14ac:dyDescent="0.25">
      <c r="A6" s="87" t="s">
        <v>72</v>
      </c>
      <c r="B6" s="86"/>
      <c r="C6" s="86"/>
      <c r="D6" s="86"/>
      <c r="E6" s="86"/>
      <c r="F6" s="86"/>
    </row>
    <row r="7" spans="1:6" x14ac:dyDescent="0.25">
      <c r="A7" s="85" t="s">
        <v>73</v>
      </c>
      <c r="B7" s="82">
        <v>61</v>
      </c>
      <c r="C7" s="82">
        <v>11700</v>
      </c>
      <c r="D7" s="82"/>
      <c r="E7" s="82"/>
      <c r="F7" s="82"/>
    </row>
    <row r="8" spans="1:6" x14ac:dyDescent="0.25">
      <c r="A8" s="85" t="s">
        <v>151</v>
      </c>
      <c r="B8" s="82">
        <v>4</v>
      </c>
      <c r="C8" s="82">
        <v>2700</v>
      </c>
      <c r="D8" s="82" t="s">
        <v>5003</v>
      </c>
      <c r="E8" s="82">
        <v>40</v>
      </c>
      <c r="F8" s="82" t="s">
        <v>74</v>
      </c>
    </row>
    <row r="9" spans="1:6" x14ac:dyDescent="0.25">
      <c r="A9" s="85" t="s">
        <v>151</v>
      </c>
      <c r="B9" s="82">
        <v>4</v>
      </c>
      <c r="C9" s="82">
        <v>2700</v>
      </c>
      <c r="D9" s="82" t="s">
        <v>5004</v>
      </c>
      <c r="E9" s="82">
        <v>520</v>
      </c>
      <c r="F9" s="82" t="s">
        <v>74</v>
      </c>
    </row>
    <row r="10" spans="1:6" x14ac:dyDescent="0.25">
      <c r="A10" s="85" t="s">
        <v>151</v>
      </c>
      <c r="B10" s="82">
        <v>15</v>
      </c>
      <c r="C10" s="82">
        <v>2700</v>
      </c>
      <c r="D10" s="82" t="s">
        <v>5005</v>
      </c>
      <c r="E10" s="82">
        <v>1010</v>
      </c>
      <c r="F10" s="82" t="s">
        <v>74</v>
      </c>
    </row>
    <row r="11" spans="1:6" x14ac:dyDescent="0.25">
      <c r="A11" s="85" t="s">
        <v>151</v>
      </c>
      <c r="B11" s="82">
        <v>1</v>
      </c>
      <c r="C11" s="82">
        <v>2700</v>
      </c>
      <c r="D11" s="82" t="s">
        <v>5006</v>
      </c>
      <c r="E11" s="82">
        <v>1610</v>
      </c>
      <c r="F11" s="82" t="s">
        <v>75</v>
      </c>
    </row>
    <row r="12" spans="1:6" x14ac:dyDescent="0.25">
      <c r="A12" s="85">
        <v>6</v>
      </c>
      <c r="B12" s="82">
        <v>3</v>
      </c>
      <c r="C12" s="82">
        <v>11700</v>
      </c>
      <c r="D12" s="82" t="s">
        <v>5007</v>
      </c>
      <c r="E12" s="82">
        <v>0</v>
      </c>
      <c r="F12" s="82"/>
    </row>
    <row r="13" spans="1:6" x14ac:dyDescent="0.25">
      <c r="A13" s="85">
        <v>7</v>
      </c>
      <c r="B13" s="82">
        <v>5</v>
      </c>
      <c r="C13" s="82">
        <v>11700</v>
      </c>
      <c r="D13" s="82" t="s">
        <v>5008</v>
      </c>
      <c r="E13" s="82">
        <v>0</v>
      </c>
      <c r="F13" s="82"/>
    </row>
    <row r="14" spans="1:6" x14ac:dyDescent="0.25">
      <c r="A14" s="85">
        <v>8</v>
      </c>
      <c r="B14" s="82">
        <v>3</v>
      </c>
      <c r="C14" s="82">
        <v>11700</v>
      </c>
      <c r="D14" s="82" t="s">
        <v>5009</v>
      </c>
      <c r="E14" s="82">
        <v>30</v>
      </c>
      <c r="F14" s="82" t="s">
        <v>74</v>
      </c>
    </row>
    <row r="15" spans="1:6" x14ac:dyDescent="0.25">
      <c r="A15" s="85">
        <v>9</v>
      </c>
      <c r="B15" s="82">
        <v>7</v>
      </c>
      <c r="C15" s="82">
        <v>11700</v>
      </c>
      <c r="D15" s="82" t="s">
        <v>5010</v>
      </c>
      <c r="E15" s="82">
        <v>70</v>
      </c>
      <c r="F15" s="82" t="s">
        <v>74</v>
      </c>
    </row>
    <row r="16" spans="1:6" x14ac:dyDescent="0.25">
      <c r="A16" s="85">
        <v>10</v>
      </c>
      <c r="B16" s="82">
        <v>1</v>
      </c>
      <c r="C16" s="82">
        <v>11700</v>
      </c>
      <c r="D16" s="82" t="s">
        <v>5011</v>
      </c>
      <c r="E16" s="82">
        <v>320</v>
      </c>
      <c r="F16" s="82" t="s">
        <v>74</v>
      </c>
    </row>
    <row r="17" spans="1:6" x14ac:dyDescent="0.25">
      <c r="A17" s="85">
        <v>11</v>
      </c>
      <c r="B17" s="82">
        <v>9</v>
      </c>
      <c r="C17" s="82">
        <v>11700</v>
      </c>
      <c r="D17" s="82" t="s">
        <v>5012</v>
      </c>
      <c r="E17" s="82">
        <v>400</v>
      </c>
      <c r="F17" s="82" t="s">
        <v>74</v>
      </c>
    </row>
    <row r="18" spans="1:6" x14ac:dyDescent="0.25">
      <c r="A18" s="85">
        <v>12</v>
      </c>
      <c r="B18" s="82">
        <v>9</v>
      </c>
      <c r="C18" s="82">
        <v>11700</v>
      </c>
      <c r="D18" s="82" t="s">
        <v>5013</v>
      </c>
      <c r="E18" s="82">
        <v>440</v>
      </c>
      <c r="F18" s="82" t="s">
        <v>74</v>
      </c>
    </row>
    <row r="19" spans="1:6" x14ac:dyDescent="0.25">
      <c r="A19" s="85">
        <v>13</v>
      </c>
      <c r="B19" s="82">
        <v>2</v>
      </c>
      <c r="C19" s="82">
        <v>11700</v>
      </c>
      <c r="D19" s="82" t="s">
        <v>5014</v>
      </c>
      <c r="E19" s="82">
        <v>450</v>
      </c>
      <c r="F19" s="82" t="s">
        <v>74</v>
      </c>
    </row>
    <row r="20" spans="1:6" x14ac:dyDescent="0.25">
      <c r="A20" s="85">
        <v>14</v>
      </c>
      <c r="B20" s="82">
        <v>9</v>
      </c>
      <c r="C20" s="82">
        <v>11700</v>
      </c>
      <c r="D20" s="82" t="s">
        <v>5015</v>
      </c>
      <c r="E20" s="82">
        <v>500</v>
      </c>
      <c r="F20" s="82" t="s">
        <v>74</v>
      </c>
    </row>
    <row r="21" spans="1:6" x14ac:dyDescent="0.25">
      <c r="A21" s="85">
        <v>15</v>
      </c>
      <c r="B21" s="82">
        <v>5</v>
      </c>
      <c r="C21" s="82">
        <v>11700</v>
      </c>
      <c r="D21" s="82" t="s">
        <v>5016</v>
      </c>
      <c r="E21" s="82">
        <v>540</v>
      </c>
      <c r="F21" s="82" t="s">
        <v>74</v>
      </c>
    </row>
    <row r="22" spans="1:6" x14ac:dyDescent="0.25">
      <c r="A22" s="85">
        <v>16</v>
      </c>
      <c r="B22" s="82">
        <v>5</v>
      </c>
      <c r="C22" s="82">
        <v>11700</v>
      </c>
      <c r="D22" s="82" t="s">
        <v>5017</v>
      </c>
      <c r="E22" s="82">
        <v>600</v>
      </c>
      <c r="F22" s="82" t="s">
        <v>74</v>
      </c>
    </row>
    <row r="23" spans="1:6" x14ac:dyDescent="0.25">
      <c r="A23" s="85">
        <v>17</v>
      </c>
      <c r="B23" s="82">
        <v>5</v>
      </c>
      <c r="C23" s="82">
        <v>11700</v>
      </c>
      <c r="D23" s="82" t="s">
        <v>5018</v>
      </c>
      <c r="E23" s="82">
        <v>700</v>
      </c>
      <c r="F23" s="82" t="s">
        <v>74</v>
      </c>
    </row>
    <row r="24" spans="1:6" x14ac:dyDescent="0.25">
      <c r="A24" s="85">
        <v>18</v>
      </c>
      <c r="B24" s="82">
        <v>2</v>
      </c>
      <c r="C24" s="82">
        <v>11700</v>
      </c>
      <c r="D24" s="82" t="s">
        <v>5019</v>
      </c>
      <c r="E24" s="82">
        <v>1300</v>
      </c>
      <c r="F24" s="82" t="s">
        <v>74</v>
      </c>
    </row>
    <row r="25" spans="1:6" x14ac:dyDescent="0.25">
      <c r="A25" s="85">
        <v>19</v>
      </c>
      <c r="B25" s="82">
        <v>3</v>
      </c>
      <c r="C25" s="82">
        <v>11700</v>
      </c>
      <c r="D25" s="82" t="s">
        <v>5020</v>
      </c>
      <c r="E25" s="82">
        <v>2660</v>
      </c>
      <c r="F25" s="82" t="s">
        <v>75</v>
      </c>
    </row>
    <row r="26" spans="1:6" x14ac:dyDescent="0.25">
      <c r="A26" s="85">
        <v>20</v>
      </c>
      <c r="B26" s="82">
        <v>6</v>
      </c>
      <c r="C26" s="82">
        <v>11700</v>
      </c>
      <c r="D26" s="82" t="s">
        <v>5021</v>
      </c>
      <c r="E26" s="82">
        <v>2700</v>
      </c>
      <c r="F26" s="82" t="s">
        <v>75</v>
      </c>
    </row>
    <row r="27" spans="1:6" x14ac:dyDescent="0.25">
      <c r="A27" s="85">
        <v>21</v>
      </c>
      <c r="B27" s="82">
        <v>6</v>
      </c>
      <c r="C27" s="82">
        <v>11700</v>
      </c>
      <c r="D27" s="82" t="s">
        <v>5022</v>
      </c>
      <c r="E27" s="82">
        <v>3560</v>
      </c>
      <c r="F27" s="82" t="s">
        <v>75</v>
      </c>
    </row>
    <row r="28" spans="1:6" x14ac:dyDescent="0.25">
      <c r="A28" s="85">
        <v>22</v>
      </c>
      <c r="B28" s="82">
        <v>1</v>
      </c>
      <c r="C28" s="82">
        <v>11700</v>
      </c>
      <c r="D28" s="82" t="s">
        <v>5023</v>
      </c>
      <c r="E28" s="82">
        <v>5010</v>
      </c>
      <c r="F28" s="82" t="s">
        <v>75</v>
      </c>
    </row>
    <row r="29" spans="1:6" x14ac:dyDescent="0.25">
      <c r="A29" s="85">
        <v>23</v>
      </c>
      <c r="B29" s="82">
        <v>10</v>
      </c>
      <c r="C29" s="82">
        <v>11700</v>
      </c>
      <c r="D29" s="82" t="s">
        <v>5024</v>
      </c>
      <c r="E29" s="82">
        <v>5150</v>
      </c>
      <c r="F29" s="82" t="s">
        <v>75</v>
      </c>
    </row>
    <row r="30" spans="1:6" x14ac:dyDescent="0.25">
      <c r="A30" s="85">
        <v>24</v>
      </c>
      <c r="B30" s="82">
        <v>5</v>
      </c>
      <c r="C30" s="82">
        <v>11700</v>
      </c>
      <c r="D30" s="82" t="s">
        <v>5025</v>
      </c>
      <c r="E30" s="82">
        <v>5150</v>
      </c>
      <c r="F30" s="82" t="s">
        <v>75</v>
      </c>
    </row>
    <row r="31" spans="1:6" x14ac:dyDescent="0.25">
      <c r="A31" s="85">
        <v>25</v>
      </c>
      <c r="B31" s="82">
        <v>4</v>
      </c>
      <c r="C31" s="82">
        <v>11700</v>
      </c>
      <c r="D31" s="82" t="s">
        <v>5026</v>
      </c>
      <c r="E31" s="82">
        <v>5320</v>
      </c>
      <c r="F31" s="82" t="s">
        <v>75</v>
      </c>
    </row>
    <row r="32" spans="1:6" x14ac:dyDescent="0.25">
      <c r="A32" s="85">
        <v>26</v>
      </c>
      <c r="B32" s="82">
        <v>14</v>
      </c>
      <c r="C32" s="82">
        <v>11700</v>
      </c>
      <c r="D32" s="82" t="s">
        <v>5027</v>
      </c>
      <c r="E32" s="82">
        <v>5430</v>
      </c>
      <c r="F32" s="82" t="s">
        <v>75</v>
      </c>
    </row>
  </sheetData>
  <mergeCells count="3">
    <mergeCell ref="A1:F1"/>
    <mergeCell ref="A2:F2"/>
    <mergeCell ref="A3:F3"/>
  </mergeCells>
  <pageMargins left="0.7" right="0.7" top="0.75" bottom="0.75" header="0.3" footer="0.3"/>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F388"/>
  <sheetViews>
    <sheetView workbookViewId="0">
      <selection activeCell="A2" sqref="A2:F380"/>
    </sheetView>
  </sheetViews>
  <sheetFormatPr defaultRowHeight="15" x14ac:dyDescent="0.25"/>
  <cols>
    <col min="1" max="1" width="9.85546875" customWidth="1"/>
    <col min="4" max="5" width="11.5703125" customWidth="1"/>
    <col min="6" max="6" width="10.28515625" customWidth="1"/>
  </cols>
  <sheetData>
    <row r="1" spans="1:6" ht="45" x14ac:dyDescent="0.25">
      <c r="A1" s="79" t="s">
        <v>7</v>
      </c>
      <c r="B1" s="80" t="s">
        <v>2</v>
      </c>
      <c r="C1" s="80" t="s">
        <v>5</v>
      </c>
      <c r="D1" s="79" t="s">
        <v>14</v>
      </c>
      <c r="E1" s="81" t="s">
        <v>66</v>
      </c>
      <c r="F1" s="81" t="s">
        <v>53</v>
      </c>
    </row>
    <row r="2" spans="1:6" x14ac:dyDescent="0.25">
      <c r="A2" s="82">
        <v>4</v>
      </c>
      <c r="B2" s="82">
        <v>10</v>
      </c>
      <c r="C2" s="82">
        <v>22</v>
      </c>
      <c r="D2" s="82">
        <v>640</v>
      </c>
      <c r="E2" s="82">
        <v>12</v>
      </c>
      <c r="F2" s="82">
        <f t="shared" ref="F2:F65" si="0">C2-E2</f>
        <v>10</v>
      </c>
    </row>
    <row r="3" spans="1:6" x14ac:dyDescent="0.25">
      <c r="A3" s="82">
        <v>2</v>
      </c>
      <c r="B3" s="82">
        <v>10</v>
      </c>
      <c r="C3" s="82">
        <v>1</v>
      </c>
      <c r="D3" s="82">
        <v>650</v>
      </c>
      <c r="E3" s="82">
        <v>1</v>
      </c>
      <c r="F3" s="82">
        <f t="shared" si="0"/>
        <v>0</v>
      </c>
    </row>
    <row r="4" spans="1:6" x14ac:dyDescent="0.25">
      <c r="A4" s="82">
        <v>5</v>
      </c>
      <c r="B4" s="82">
        <v>10</v>
      </c>
      <c r="C4" s="82">
        <v>75</v>
      </c>
      <c r="D4" s="82">
        <v>660</v>
      </c>
      <c r="E4" s="82"/>
      <c r="F4" s="82">
        <f t="shared" si="0"/>
        <v>75</v>
      </c>
    </row>
    <row r="5" spans="1:6" x14ac:dyDescent="0.25">
      <c r="A5" s="82">
        <v>9</v>
      </c>
      <c r="B5" s="82">
        <v>10</v>
      </c>
      <c r="C5" s="82">
        <v>6</v>
      </c>
      <c r="D5" s="82">
        <v>1900</v>
      </c>
      <c r="E5" s="82"/>
      <c r="F5" s="82">
        <f t="shared" si="0"/>
        <v>6</v>
      </c>
    </row>
    <row r="6" spans="1:6" x14ac:dyDescent="0.25">
      <c r="A6" s="82">
        <v>9</v>
      </c>
      <c r="B6" s="82">
        <v>10</v>
      </c>
      <c r="C6" s="82">
        <v>1</v>
      </c>
      <c r="D6" s="82">
        <v>3860</v>
      </c>
      <c r="E6" s="82"/>
      <c r="F6" s="82">
        <f t="shared" si="0"/>
        <v>1</v>
      </c>
    </row>
    <row r="7" spans="1:6" x14ac:dyDescent="0.25">
      <c r="A7" s="82">
        <v>3</v>
      </c>
      <c r="B7" s="82">
        <v>10</v>
      </c>
      <c r="C7" s="82">
        <v>1</v>
      </c>
      <c r="D7" s="82">
        <v>4420</v>
      </c>
      <c r="E7" s="82">
        <v>1</v>
      </c>
      <c r="F7" s="82">
        <f t="shared" si="0"/>
        <v>0</v>
      </c>
    </row>
    <row r="8" spans="1:6" x14ac:dyDescent="0.25">
      <c r="A8" s="82">
        <v>4</v>
      </c>
      <c r="B8" s="82">
        <v>10</v>
      </c>
      <c r="C8" s="82">
        <v>1</v>
      </c>
      <c r="D8" s="82">
        <v>4590</v>
      </c>
      <c r="E8" s="82">
        <v>1</v>
      </c>
      <c r="F8" s="82">
        <f t="shared" si="0"/>
        <v>0</v>
      </c>
    </row>
    <row r="9" spans="1:6" x14ac:dyDescent="0.25">
      <c r="A9" s="82">
        <v>1</v>
      </c>
      <c r="B9" s="82">
        <v>10</v>
      </c>
      <c r="C9" s="82">
        <v>1</v>
      </c>
      <c r="D9" s="82">
        <v>9340</v>
      </c>
      <c r="E9" s="82">
        <v>1</v>
      </c>
      <c r="F9" s="82">
        <f t="shared" si="0"/>
        <v>0</v>
      </c>
    </row>
    <row r="10" spans="1:6" x14ac:dyDescent="0.25">
      <c r="A10" s="82">
        <v>5</v>
      </c>
      <c r="B10" s="82">
        <v>10</v>
      </c>
      <c r="C10" s="82">
        <v>1</v>
      </c>
      <c r="D10" s="82">
        <v>10320</v>
      </c>
      <c r="E10" s="82">
        <v>1</v>
      </c>
      <c r="F10" s="82">
        <f t="shared" si="0"/>
        <v>0</v>
      </c>
    </row>
    <row r="11" spans="1:6" x14ac:dyDescent="0.25">
      <c r="A11" s="82">
        <v>2</v>
      </c>
      <c r="B11" s="82">
        <v>10</v>
      </c>
      <c r="C11" s="82">
        <v>1</v>
      </c>
      <c r="D11" s="82">
        <v>10910</v>
      </c>
      <c r="E11" s="82">
        <v>1</v>
      </c>
      <c r="F11" s="82">
        <f t="shared" si="0"/>
        <v>0</v>
      </c>
    </row>
    <row r="12" spans="1:6" x14ac:dyDescent="0.25">
      <c r="A12" s="82">
        <v>5</v>
      </c>
      <c r="B12" s="82">
        <v>12</v>
      </c>
      <c r="C12" s="82">
        <v>2</v>
      </c>
      <c r="D12" s="82">
        <v>2110</v>
      </c>
      <c r="E12" s="82"/>
      <c r="F12" s="82">
        <f t="shared" si="0"/>
        <v>2</v>
      </c>
    </row>
    <row r="13" spans="1:6" x14ac:dyDescent="0.25">
      <c r="A13" s="82">
        <v>5</v>
      </c>
      <c r="B13" s="82">
        <v>12</v>
      </c>
      <c r="C13" s="82">
        <v>2</v>
      </c>
      <c r="D13" s="82">
        <v>2420</v>
      </c>
      <c r="E13" s="82"/>
      <c r="F13" s="82">
        <f t="shared" si="0"/>
        <v>2</v>
      </c>
    </row>
    <row r="14" spans="1:6" x14ac:dyDescent="0.25">
      <c r="A14" s="82">
        <v>6</v>
      </c>
      <c r="B14" s="82">
        <v>14</v>
      </c>
      <c r="C14" s="82">
        <v>23</v>
      </c>
      <c r="D14" s="82">
        <v>740</v>
      </c>
      <c r="E14" s="82">
        <v>2</v>
      </c>
      <c r="F14" s="82">
        <f t="shared" si="0"/>
        <v>21</v>
      </c>
    </row>
    <row r="15" spans="1:6" x14ac:dyDescent="0.25">
      <c r="A15" s="82">
        <v>5</v>
      </c>
      <c r="B15" s="82">
        <v>14</v>
      </c>
      <c r="C15" s="82">
        <v>20</v>
      </c>
      <c r="D15" s="82">
        <v>780</v>
      </c>
      <c r="E15" s="82"/>
      <c r="F15" s="82">
        <f t="shared" si="0"/>
        <v>20</v>
      </c>
    </row>
    <row r="16" spans="1:6" x14ac:dyDescent="0.25">
      <c r="A16" s="82">
        <v>1</v>
      </c>
      <c r="B16" s="82">
        <v>14</v>
      </c>
      <c r="C16" s="82">
        <v>1</v>
      </c>
      <c r="D16" s="82">
        <v>820</v>
      </c>
      <c r="E16" s="82">
        <v>1</v>
      </c>
      <c r="F16" s="82">
        <f t="shared" si="0"/>
        <v>0</v>
      </c>
    </row>
    <row r="17" spans="1:6" x14ac:dyDescent="0.25">
      <c r="A17" s="82">
        <v>7</v>
      </c>
      <c r="B17" s="82">
        <v>14</v>
      </c>
      <c r="C17" s="82">
        <v>36</v>
      </c>
      <c r="D17" s="82">
        <v>850</v>
      </c>
      <c r="E17" s="82"/>
      <c r="F17" s="82">
        <f t="shared" si="0"/>
        <v>36</v>
      </c>
    </row>
    <row r="18" spans="1:6" x14ac:dyDescent="0.25">
      <c r="A18" s="82">
        <v>6</v>
      </c>
      <c r="B18" s="82">
        <v>14</v>
      </c>
      <c r="C18" s="82">
        <v>103</v>
      </c>
      <c r="D18" s="82">
        <v>990</v>
      </c>
      <c r="E18" s="82"/>
      <c r="F18" s="82">
        <f t="shared" si="0"/>
        <v>103</v>
      </c>
    </row>
    <row r="19" spans="1:6" x14ac:dyDescent="0.25">
      <c r="A19" s="82">
        <v>2</v>
      </c>
      <c r="B19" s="82">
        <v>14</v>
      </c>
      <c r="C19" s="82">
        <v>30</v>
      </c>
      <c r="D19" s="82">
        <v>1000</v>
      </c>
      <c r="E19" s="82">
        <v>30</v>
      </c>
      <c r="F19" s="82">
        <f t="shared" si="0"/>
        <v>0</v>
      </c>
    </row>
    <row r="20" spans="1:6" x14ac:dyDescent="0.25">
      <c r="A20" s="82">
        <v>10</v>
      </c>
      <c r="B20" s="82">
        <v>14</v>
      </c>
      <c r="C20" s="82">
        <v>2275</v>
      </c>
      <c r="D20" s="82">
        <v>1020</v>
      </c>
      <c r="E20" s="82">
        <v>180</v>
      </c>
      <c r="F20" s="82">
        <f t="shared" si="0"/>
        <v>2095</v>
      </c>
    </row>
    <row r="21" spans="1:6" x14ac:dyDescent="0.25">
      <c r="A21" s="82">
        <v>8</v>
      </c>
      <c r="B21" s="82">
        <v>14</v>
      </c>
      <c r="C21" s="82">
        <v>126</v>
      </c>
      <c r="D21" s="82">
        <v>1050</v>
      </c>
      <c r="E21" s="82">
        <v>0</v>
      </c>
      <c r="F21" s="82">
        <f t="shared" si="0"/>
        <v>126</v>
      </c>
    </row>
    <row r="22" spans="1:6" x14ac:dyDescent="0.25">
      <c r="A22" s="82">
        <v>6</v>
      </c>
      <c r="B22" s="82">
        <v>14</v>
      </c>
      <c r="C22" s="82">
        <v>24</v>
      </c>
      <c r="D22" s="82">
        <v>1060</v>
      </c>
      <c r="E22" s="82"/>
      <c r="F22" s="82">
        <f t="shared" si="0"/>
        <v>24</v>
      </c>
    </row>
    <row r="23" spans="1:6" x14ac:dyDescent="0.25">
      <c r="A23" s="82">
        <v>6</v>
      </c>
      <c r="B23" s="82">
        <v>14</v>
      </c>
      <c r="C23" s="82">
        <v>1</v>
      </c>
      <c r="D23" s="82">
        <v>1090</v>
      </c>
      <c r="E23" s="82"/>
      <c r="F23" s="82">
        <f t="shared" si="0"/>
        <v>1</v>
      </c>
    </row>
    <row r="24" spans="1:6" x14ac:dyDescent="0.25">
      <c r="A24" s="82">
        <v>7</v>
      </c>
      <c r="B24" s="82">
        <v>14</v>
      </c>
      <c r="C24" s="82">
        <v>1</v>
      </c>
      <c r="D24" s="82">
        <v>1130</v>
      </c>
      <c r="E24" s="82"/>
      <c r="F24" s="82">
        <f t="shared" si="0"/>
        <v>1</v>
      </c>
    </row>
    <row r="25" spans="1:6" x14ac:dyDescent="0.25">
      <c r="A25" s="82">
        <v>6</v>
      </c>
      <c r="B25" s="82">
        <v>14</v>
      </c>
      <c r="C25" s="82">
        <v>125</v>
      </c>
      <c r="D25" s="82">
        <v>1140</v>
      </c>
      <c r="E25" s="82"/>
      <c r="F25" s="82">
        <f t="shared" si="0"/>
        <v>125</v>
      </c>
    </row>
    <row r="26" spans="1:6" x14ac:dyDescent="0.25">
      <c r="A26" s="82">
        <v>3</v>
      </c>
      <c r="B26" s="82">
        <v>14</v>
      </c>
      <c r="C26" s="82">
        <v>7</v>
      </c>
      <c r="D26" s="82">
        <v>1160</v>
      </c>
      <c r="E26" s="82">
        <v>7</v>
      </c>
      <c r="F26" s="82">
        <f t="shared" si="0"/>
        <v>0</v>
      </c>
    </row>
    <row r="27" spans="1:6" x14ac:dyDescent="0.25">
      <c r="A27" s="82">
        <v>6</v>
      </c>
      <c r="B27" s="82">
        <v>14</v>
      </c>
      <c r="C27" s="82">
        <v>1</v>
      </c>
      <c r="D27" s="82">
        <v>1200</v>
      </c>
      <c r="E27" s="82"/>
      <c r="F27" s="82">
        <f t="shared" si="0"/>
        <v>1</v>
      </c>
    </row>
    <row r="28" spans="1:6" x14ac:dyDescent="0.25">
      <c r="A28" s="82">
        <v>9</v>
      </c>
      <c r="B28" s="82">
        <v>14</v>
      </c>
      <c r="C28" s="82">
        <v>51</v>
      </c>
      <c r="D28" s="82">
        <v>1440</v>
      </c>
      <c r="E28" s="82">
        <v>103</v>
      </c>
      <c r="F28" s="82">
        <f t="shared" si="0"/>
        <v>-52</v>
      </c>
    </row>
    <row r="29" spans="1:6" x14ac:dyDescent="0.25">
      <c r="A29" s="82">
        <v>6</v>
      </c>
      <c r="B29" s="82">
        <v>14</v>
      </c>
      <c r="C29" s="82">
        <v>12</v>
      </c>
      <c r="D29" s="82">
        <v>1470</v>
      </c>
      <c r="E29" s="82">
        <v>36</v>
      </c>
      <c r="F29" s="82">
        <f t="shared" si="0"/>
        <v>-24</v>
      </c>
    </row>
    <row r="30" spans="1:6" x14ac:dyDescent="0.25">
      <c r="A30" s="82">
        <v>1</v>
      </c>
      <c r="B30" s="82">
        <v>14</v>
      </c>
      <c r="C30" s="82">
        <v>30</v>
      </c>
      <c r="D30" s="82">
        <v>1500</v>
      </c>
      <c r="E30" s="82">
        <v>30</v>
      </c>
      <c r="F30" s="82">
        <f t="shared" si="0"/>
        <v>0</v>
      </c>
    </row>
    <row r="31" spans="1:6" x14ac:dyDescent="0.25">
      <c r="A31" s="82">
        <v>6</v>
      </c>
      <c r="B31" s="82">
        <v>14</v>
      </c>
      <c r="C31" s="82">
        <v>23</v>
      </c>
      <c r="D31" s="82">
        <v>1560</v>
      </c>
      <c r="E31" s="82">
        <v>69</v>
      </c>
      <c r="F31" s="82">
        <f t="shared" si="0"/>
        <v>-46</v>
      </c>
    </row>
    <row r="32" spans="1:6" x14ac:dyDescent="0.25">
      <c r="A32" s="82">
        <v>6</v>
      </c>
      <c r="B32" s="82">
        <v>14</v>
      </c>
      <c r="C32" s="82">
        <v>530</v>
      </c>
      <c r="D32" s="82">
        <v>1590</v>
      </c>
      <c r="E32" s="82">
        <v>1590</v>
      </c>
      <c r="F32" s="82">
        <f t="shared" si="0"/>
        <v>-1060</v>
      </c>
    </row>
    <row r="33" spans="1:6" x14ac:dyDescent="0.25">
      <c r="A33" s="82">
        <v>5</v>
      </c>
      <c r="B33" s="82">
        <v>14</v>
      </c>
      <c r="C33" s="82">
        <v>24</v>
      </c>
      <c r="D33" s="82">
        <v>1800</v>
      </c>
      <c r="E33" s="82">
        <v>26</v>
      </c>
      <c r="F33" s="82">
        <f t="shared" si="0"/>
        <v>-2</v>
      </c>
    </row>
    <row r="34" spans="1:6" x14ac:dyDescent="0.25">
      <c r="A34" s="82">
        <v>1</v>
      </c>
      <c r="B34" s="82">
        <v>14</v>
      </c>
      <c r="C34" s="82">
        <v>36</v>
      </c>
      <c r="D34" s="82">
        <v>2000</v>
      </c>
      <c r="E34" s="82">
        <v>36</v>
      </c>
      <c r="F34" s="82">
        <f t="shared" si="0"/>
        <v>0</v>
      </c>
    </row>
    <row r="35" spans="1:6" x14ac:dyDescent="0.25">
      <c r="A35" s="82">
        <v>3</v>
      </c>
      <c r="B35" s="82">
        <v>14</v>
      </c>
      <c r="C35" s="82">
        <v>18</v>
      </c>
      <c r="D35" s="82">
        <v>2100</v>
      </c>
      <c r="E35" s="82">
        <v>18</v>
      </c>
      <c r="F35" s="82">
        <f t="shared" si="0"/>
        <v>0</v>
      </c>
    </row>
    <row r="36" spans="1:6" x14ac:dyDescent="0.25">
      <c r="A36" s="82">
        <v>3</v>
      </c>
      <c r="B36" s="82">
        <v>14</v>
      </c>
      <c r="C36" s="82">
        <v>12</v>
      </c>
      <c r="D36" s="82">
        <v>2130</v>
      </c>
      <c r="E36" s="82">
        <v>12</v>
      </c>
      <c r="F36" s="82">
        <f t="shared" si="0"/>
        <v>0</v>
      </c>
    </row>
    <row r="37" spans="1:6" x14ac:dyDescent="0.25">
      <c r="A37" s="82">
        <v>10</v>
      </c>
      <c r="B37" s="82">
        <v>14</v>
      </c>
      <c r="C37" s="82">
        <v>20</v>
      </c>
      <c r="D37" s="82">
        <v>2250</v>
      </c>
      <c r="E37" s="82">
        <v>60</v>
      </c>
      <c r="F37" s="82">
        <f t="shared" si="0"/>
        <v>-40</v>
      </c>
    </row>
    <row r="38" spans="1:6" x14ac:dyDescent="0.25">
      <c r="A38" s="82">
        <v>3</v>
      </c>
      <c r="B38" s="82">
        <v>14</v>
      </c>
      <c r="C38" s="82">
        <v>66</v>
      </c>
      <c r="D38" s="82">
        <v>2300</v>
      </c>
      <c r="E38" s="82">
        <v>66</v>
      </c>
      <c r="F38" s="82">
        <f t="shared" si="0"/>
        <v>0</v>
      </c>
    </row>
    <row r="39" spans="1:6" x14ac:dyDescent="0.25">
      <c r="A39" s="82">
        <v>6</v>
      </c>
      <c r="B39" s="82">
        <v>14</v>
      </c>
      <c r="C39" s="82">
        <v>1</v>
      </c>
      <c r="D39" s="82">
        <v>2460</v>
      </c>
      <c r="E39" s="82">
        <v>3</v>
      </c>
      <c r="F39" s="82">
        <f t="shared" si="0"/>
        <v>-2</v>
      </c>
    </row>
    <row r="40" spans="1:6" x14ac:dyDescent="0.25">
      <c r="A40" s="82">
        <v>8</v>
      </c>
      <c r="B40" s="82">
        <v>14</v>
      </c>
      <c r="C40" s="82">
        <v>7</v>
      </c>
      <c r="D40" s="82">
        <v>2530</v>
      </c>
      <c r="E40" s="82">
        <v>7</v>
      </c>
      <c r="F40" s="82">
        <f t="shared" si="0"/>
        <v>0</v>
      </c>
    </row>
    <row r="41" spans="1:6" x14ac:dyDescent="0.25">
      <c r="A41" s="82">
        <v>5</v>
      </c>
      <c r="B41" s="82">
        <v>14</v>
      </c>
      <c r="C41" s="82">
        <v>24</v>
      </c>
      <c r="D41" s="82">
        <v>3510</v>
      </c>
      <c r="E41" s="82">
        <v>24</v>
      </c>
      <c r="F41" s="82">
        <f t="shared" si="0"/>
        <v>0</v>
      </c>
    </row>
    <row r="42" spans="1:6" x14ac:dyDescent="0.25">
      <c r="A42" s="82">
        <v>5</v>
      </c>
      <c r="B42" s="82">
        <v>14</v>
      </c>
      <c r="C42" s="82">
        <v>24</v>
      </c>
      <c r="D42" s="82">
        <v>3520</v>
      </c>
      <c r="E42" s="82">
        <v>24</v>
      </c>
      <c r="F42" s="82">
        <f t="shared" si="0"/>
        <v>0</v>
      </c>
    </row>
    <row r="43" spans="1:6" x14ac:dyDescent="0.25">
      <c r="A43" s="82">
        <v>4</v>
      </c>
      <c r="B43" s="82">
        <v>14</v>
      </c>
      <c r="C43" s="82">
        <v>68</v>
      </c>
      <c r="D43" s="82">
        <v>3770</v>
      </c>
      <c r="E43" s="82">
        <v>68</v>
      </c>
      <c r="F43" s="82">
        <f t="shared" si="0"/>
        <v>0</v>
      </c>
    </row>
    <row r="44" spans="1:6" x14ac:dyDescent="0.25">
      <c r="A44" s="82">
        <v>7</v>
      </c>
      <c r="B44" s="82">
        <v>14</v>
      </c>
      <c r="C44" s="82">
        <v>83</v>
      </c>
      <c r="D44" s="82">
        <v>3800</v>
      </c>
      <c r="E44" s="82">
        <v>127</v>
      </c>
      <c r="F44" s="82">
        <f t="shared" si="0"/>
        <v>-44</v>
      </c>
    </row>
    <row r="45" spans="1:6" x14ac:dyDescent="0.25">
      <c r="A45" s="82">
        <v>7</v>
      </c>
      <c r="B45" s="82">
        <v>14</v>
      </c>
      <c r="C45" s="82">
        <v>720</v>
      </c>
      <c r="D45" s="82">
        <v>3830</v>
      </c>
      <c r="E45" s="82">
        <v>984</v>
      </c>
      <c r="F45" s="82">
        <f t="shared" si="0"/>
        <v>-264</v>
      </c>
    </row>
    <row r="46" spans="1:6" x14ac:dyDescent="0.25">
      <c r="A46" s="82">
        <v>4</v>
      </c>
      <c r="B46" s="82">
        <v>14</v>
      </c>
      <c r="C46" s="82">
        <v>24</v>
      </c>
      <c r="D46" s="82">
        <v>4000</v>
      </c>
      <c r="E46" s="82">
        <v>24</v>
      </c>
      <c r="F46" s="82">
        <f t="shared" si="0"/>
        <v>0</v>
      </c>
    </row>
    <row r="47" spans="1:6" x14ac:dyDescent="0.25">
      <c r="A47" s="82">
        <v>2</v>
      </c>
      <c r="B47" s="82">
        <v>14</v>
      </c>
      <c r="C47" s="82">
        <v>144</v>
      </c>
      <c r="D47" s="82">
        <v>4330</v>
      </c>
      <c r="E47" s="82">
        <v>144</v>
      </c>
      <c r="F47" s="82">
        <f t="shared" si="0"/>
        <v>0</v>
      </c>
    </row>
    <row r="48" spans="1:6" x14ac:dyDescent="0.25">
      <c r="A48" s="82">
        <v>1</v>
      </c>
      <c r="B48" s="82">
        <v>14</v>
      </c>
      <c r="C48" s="82">
        <v>66</v>
      </c>
      <c r="D48" s="82">
        <v>4830</v>
      </c>
      <c r="E48" s="82">
        <v>66</v>
      </c>
      <c r="F48" s="82">
        <f t="shared" si="0"/>
        <v>0</v>
      </c>
    </row>
    <row r="49" spans="1:6" x14ac:dyDescent="0.25">
      <c r="A49" s="82">
        <v>3</v>
      </c>
      <c r="B49" s="82">
        <v>14</v>
      </c>
      <c r="C49" s="82">
        <v>3</v>
      </c>
      <c r="D49" s="82">
        <v>4900</v>
      </c>
      <c r="E49" s="82">
        <v>3</v>
      </c>
      <c r="F49" s="82">
        <f t="shared" si="0"/>
        <v>0</v>
      </c>
    </row>
    <row r="50" spans="1:6" x14ac:dyDescent="0.25">
      <c r="A50" s="82">
        <v>1</v>
      </c>
      <c r="B50" s="82">
        <v>14</v>
      </c>
      <c r="C50" s="82">
        <v>87</v>
      </c>
      <c r="D50" s="82">
        <v>5030</v>
      </c>
      <c r="E50" s="82">
        <v>87</v>
      </c>
      <c r="F50" s="82">
        <f t="shared" si="0"/>
        <v>0</v>
      </c>
    </row>
    <row r="51" spans="1:6" x14ac:dyDescent="0.25">
      <c r="A51" s="82">
        <v>4</v>
      </c>
      <c r="B51" s="82">
        <v>14</v>
      </c>
      <c r="C51" s="82">
        <v>159</v>
      </c>
      <c r="D51" s="82">
        <v>5170</v>
      </c>
      <c r="E51" s="82">
        <v>159</v>
      </c>
      <c r="F51" s="82">
        <f t="shared" si="0"/>
        <v>0</v>
      </c>
    </row>
    <row r="52" spans="1:6" x14ac:dyDescent="0.25">
      <c r="A52" s="82">
        <v>10</v>
      </c>
      <c r="B52" s="82">
        <v>14</v>
      </c>
      <c r="C52" s="82">
        <v>92</v>
      </c>
      <c r="D52" s="82">
        <v>5200</v>
      </c>
      <c r="E52" s="82">
        <v>208</v>
      </c>
      <c r="F52" s="82">
        <f t="shared" si="0"/>
        <v>-116</v>
      </c>
    </row>
    <row r="53" spans="1:6" x14ac:dyDescent="0.25">
      <c r="A53" s="82">
        <v>10</v>
      </c>
      <c r="B53" s="82">
        <v>14</v>
      </c>
      <c r="C53" s="82">
        <v>125</v>
      </c>
      <c r="D53" s="82">
        <v>5230</v>
      </c>
      <c r="E53" s="82">
        <v>308</v>
      </c>
      <c r="F53" s="82">
        <f t="shared" si="0"/>
        <v>-183</v>
      </c>
    </row>
    <row r="54" spans="1:6" x14ac:dyDescent="0.25">
      <c r="A54" s="82">
        <v>5</v>
      </c>
      <c r="B54" s="82">
        <v>14</v>
      </c>
      <c r="C54" s="82">
        <v>40</v>
      </c>
      <c r="D54" s="82">
        <v>5570</v>
      </c>
      <c r="E54" s="82">
        <v>40</v>
      </c>
      <c r="F54" s="82">
        <f t="shared" si="0"/>
        <v>0</v>
      </c>
    </row>
    <row r="55" spans="1:6" x14ac:dyDescent="0.25">
      <c r="A55" s="82">
        <v>6</v>
      </c>
      <c r="B55" s="82">
        <v>14</v>
      </c>
      <c r="C55" s="82">
        <v>8</v>
      </c>
      <c r="D55" s="82">
        <v>5830</v>
      </c>
      <c r="E55" s="82">
        <v>24</v>
      </c>
      <c r="F55" s="82">
        <f t="shared" si="0"/>
        <v>-16</v>
      </c>
    </row>
    <row r="56" spans="1:6" x14ac:dyDescent="0.25">
      <c r="A56" s="82">
        <v>10</v>
      </c>
      <c r="B56" s="82">
        <v>16</v>
      </c>
      <c r="C56" s="82">
        <v>1220</v>
      </c>
      <c r="D56" s="82">
        <v>860</v>
      </c>
      <c r="E56" s="82">
        <v>0</v>
      </c>
      <c r="F56" s="82">
        <f t="shared" si="0"/>
        <v>1220</v>
      </c>
    </row>
    <row r="57" spans="1:6" x14ac:dyDescent="0.25">
      <c r="A57" s="82">
        <v>1</v>
      </c>
      <c r="B57" s="82">
        <v>16</v>
      </c>
      <c r="C57" s="82">
        <v>1</v>
      </c>
      <c r="D57" s="82">
        <v>900</v>
      </c>
      <c r="E57" s="82"/>
      <c r="F57" s="82">
        <f t="shared" si="0"/>
        <v>1</v>
      </c>
    </row>
    <row r="58" spans="1:6" x14ac:dyDescent="0.25">
      <c r="A58" s="82">
        <v>4</v>
      </c>
      <c r="B58" s="82">
        <v>16</v>
      </c>
      <c r="C58" s="82">
        <v>1</v>
      </c>
      <c r="D58" s="82">
        <v>910</v>
      </c>
      <c r="E58" s="82"/>
      <c r="F58" s="82">
        <f t="shared" si="0"/>
        <v>1</v>
      </c>
    </row>
    <row r="59" spans="1:6" x14ac:dyDescent="0.25">
      <c r="A59" s="82">
        <v>6</v>
      </c>
      <c r="B59" s="82">
        <v>16</v>
      </c>
      <c r="C59" s="82">
        <v>2</v>
      </c>
      <c r="D59" s="82">
        <v>920</v>
      </c>
      <c r="E59" s="82"/>
      <c r="F59" s="82">
        <f t="shared" si="0"/>
        <v>2</v>
      </c>
    </row>
    <row r="60" spans="1:6" x14ac:dyDescent="0.25">
      <c r="A60" s="82">
        <v>10</v>
      </c>
      <c r="B60" s="82">
        <v>16</v>
      </c>
      <c r="C60" s="82">
        <v>229</v>
      </c>
      <c r="D60" s="82">
        <v>960</v>
      </c>
      <c r="E60" s="82">
        <v>0</v>
      </c>
      <c r="F60" s="82">
        <f t="shared" si="0"/>
        <v>229</v>
      </c>
    </row>
    <row r="61" spans="1:6" x14ac:dyDescent="0.25">
      <c r="A61" s="82">
        <v>2</v>
      </c>
      <c r="B61" s="82">
        <v>16</v>
      </c>
      <c r="C61" s="82">
        <v>6</v>
      </c>
      <c r="D61" s="82">
        <v>1000</v>
      </c>
      <c r="E61" s="82"/>
      <c r="F61" s="82">
        <f t="shared" si="0"/>
        <v>6</v>
      </c>
    </row>
    <row r="62" spans="1:6" x14ac:dyDescent="0.25">
      <c r="A62" s="82">
        <v>1</v>
      </c>
      <c r="B62" s="82">
        <v>16</v>
      </c>
      <c r="C62" s="82">
        <v>442</v>
      </c>
      <c r="D62" s="82">
        <v>1020</v>
      </c>
      <c r="E62" s="82"/>
      <c r="F62" s="82">
        <f t="shared" si="0"/>
        <v>442</v>
      </c>
    </row>
    <row r="63" spans="1:6" x14ac:dyDescent="0.25">
      <c r="A63" s="82">
        <v>7</v>
      </c>
      <c r="B63" s="82">
        <v>16</v>
      </c>
      <c r="C63" s="82">
        <v>32</v>
      </c>
      <c r="D63" s="82">
        <v>1120</v>
      </c>
      <c r="E63" s="82"/>
      <c r="F63" s="82">
        <f t="shared" si="0"/>
        <v>32</v>
      </c>
    </row>
    <row r="64" spans="1:6" x14ac:dyDescent="0.25">
      <c r="A64" s="82">
        <v>3</v>
      </c>
      <c r="B64" s="82">
        <v>16</v>
      </c>
      <c r="C64" s="82">
        <v>34</v>
      </c>
      <c r="D64" s="82">
        <v>1360</v>
      </c>
      <c r="E64" s="82">
        <v>0</v>
      </c>
      <c r="F64" s="82">
        <f t="shared" si="0"/>
        <v>34</v>
      </c>
    </row>
    <row r="65" spans="1:6" x14ac:dyDescent="0.25">
      <c r="A65" s="82">
        <v>3</v>
      </c>
      <c r="B65" s="82">
        <v>16</v>
      </c>
      <c r="C65" s="82">
        <v>1</v>
      </c>
      <c r="D65" s="82">
        <v>1470</v>
      </c>
      <c r="E65" s="82"/>
      <c r="F65" s="82">
        <f t="shared" si="0"/>
        <v>1</v>
      </c>
    </row>
    <row r="66" spans="1:6" x14ac:dyDescent="0.25">
      <c r="A66" s="82">
        <v>3</v>
      </c>
      <c r="B66" s="82">
        <v>16</v>
      </c>
      <c r="C66" s="82">
        <v>23</v>
      </c>
      <c r="D66" s="82">
        <v>1580</v>
      </c>
      <c r="E66" s="82"/>
      <c r="F66" s="82">
        <f t="shared" ref="F66:F129" si="1">C66-E66</f>
        <v>23</v>
      </c>
    </row>
    <row r="67" spans="1:6" x14ac:dyDescent="0.25">
      <c r="A67" s="82">
        <v>5</v>
      </c>
      <c r="B67" s="82">
        <v>16</v>
      </c>
      <c r="C67" s="82">
        <v>1</v>
      </c>
      <c r="D67" s="82">
        <v>1590</v>
      </c>
      <c r="E67" s="82"/>
      <c r="F67" s="82">
        <f t="shared" si="1"/>
        <v>1</v>
      </c>
    </row>
    <row r="68" spans="1:6" x14ac:dyDescent="0.25">
      <c r="A68" s="82">
        <v>1</v>
      </c>
      <c r="B68" s="82">
        <v>16</v>
      </c>
      <c r="C68" s="82">
        <v>1</v>
      </c>
      <c r="D68" s="82">
        <v>1660</v>
      </c>
      <c r="E68" s="82"/>
      <c r="F68" s="82">
        <f t="shared" si="1"/>
        <v>1</v>
      </c>
    </row>
    <row r="69" spans="1:6" x14ac:dyDescent="0.25">
      <c r="A69" s="82">
        <v>4</v>
      </c>
      <c r="B69" s="82">
        <v>16</v>
      </c>
      <c r="C69" s="82">
        <v>1</v>
      </c>
      <c r="D69" s="82">
        <v>1670</v>
      </c>
      <c r="E69" s="82"/>
      <c r="F69" s="82">
        <f t="shared" si="1"/>
        <v>1</v>
      </c>
    </row>
    <row r="70" spans="1:6" x14ac:dyDescent="0.25">
      <c r="A70" s="82">
        <v>6</v>
      </c>
      <c r="B70" s="82">
        <v>16</v>
      </c>
      <c r="C70" s="82">
        <v>73</v>
      </c>
      <c r="D70" s="82">
        <v>2240</v>
      </c>
      <c r="E70" s="82">
        <v>146</v>
      </c>
      <c r="F70" s="82">
        <f t="shared" si="1"/>
        <v>-73</v>
      </c>
    </row>
    <row r="71" spans="1:6" x14ac:dyDescent="0.25">
      <c r="A71" s="82">
        <v>3</v>
      </c>
      <c r="B71" s="82">
        <v>16</v>
      </c>
      <c r="C71" s="82">
        <v>115</v>
      </c>
      <c r="D71" s="82">
        <v>2320</v>
      </c>
      <c r="E71" s="82">
        <v>115</v>
      </c>
      <c r="F71" s="82">
        <f t="shared" si="1"/>
        <v>0</v>
      </c>
    </row>
    <row r="72" spans="1:6" x14ac:dyDescent="0.25">
      <c r="A72" s="82">
        <v>6</v>
      </c>
      <c r="B72" s="82">
        <v>16</v>
      </c>
      <c r="C72" s="82">
        <v>1</v>
      </c>
      <c r="D72" s="82">
        <v>2440</v>
      </c>
      <c r="E72" s="82">
        <v>2</v>
      </c>
      <c r="F72" s="82">
        <f t="shared" si="1"/>
        <v>-1</v>
      </c>
    </row>
    <row r="73" spans="1:6" x14ac:dyDescent="0.25">
      <c r="A73" s="82">
        <v>7</v>
      </c>
      <c r="B73" s="82">
        <v>16</v>
      </c>
      <c r="C73" s="82">
        <v>1</v>
      </c>
      <c r="D73" s="82">
        <v>2520</v>
      </c>
      <c r="E73" s="82">
        <v>4</v>
      </c>
      <c r="F73" s="82">
        <f t="shared" si="1"/>
        <v>-3</v>
      </c>
    </row>
    <row r="74" spans="1:6" x14ac:dyDescent="0.25">
      <c r="A74" s="82">
        <v>6</v>
      </c>
      <c r="B74" s="82">
        <v>16</v>
      </c>
      <c r="C74" s="82">
        <v>52</v>
      </c>
      <c r="D74" s="82">
        <v>2640</v>
      </c>
      <c r="E74" s="82">
        <v>156</v>
      </c>
      <c r="F74" s="82">
        <f t="shared" si="1"/>
        <v>-104</v>
      </c>
    </row>
    <row r="75" spans="1:6" x14ac:dyDescent="0.25">
      <c r="A75" s="82">
        <v>7</v>
      </c>
      <c r="B75" s="82">
        <v>16</v>
      </c>
      <c r="C75" s="82">
        <v>1</v>
      </c>
      <c r="D75" s="82">
        <v>2700</v>
      </c>
      <c r="E75" s="82">
        <v>4</v>
      </c>
      <c r="F75" s="82">
        <f t="shared" si="1"/>
        <v>-3</v>
      </c>
    </row>
    <row r="76" spans="1:6" x14ac:dyDescent="0.25">
      <c r="A76" s="82">
        <v>6</v>
      </c>
      <c r="B76" s="82">
        <v>16</v>
      </c>
      <c r="C76" s="82">
        <v>147</v>
      </c>
      <c r="D76" s="82">
        <v>3630</v>
      </c>
      <c r="E76" s="82">
        <v>441</v>
      </c>
      <c r="F76" s="82">
        <f t="shared" si="1"/>
        <v>-294</v>
      </c>
    </row>
    <row r="77" spans="1:6" x14ac:dyDescent="0.25">
      <c r="A77" s="82">
        <v>6</v>
      </c>
      <c r="B77" s="82">
        <v>16</v>
      </c>
      <c r="C77" s="82">
        <v>105</v>
      </c>
      <c r="D77" s="82">
        <v>3830</v>
      </c>
      <c r="E77" s="82">
        <v>315</v>
      </c>
      <c r="F77" s="82">
        <f t="shared" si="1"/>
        <v>-210</v>
      </c>
    </row>
    <row r="78" spans="1:6" x14ac:dyDescent="0.25">
      <c r="A78" s="82">
        <v>1</v>
      </c>
      <c r="B78" s="82">
        <v>16</v>
      </c>
      <c r="C78" s="82">
        <v>67</v>
      </c>
      <c r="D78" s="82">
        <v>4330</v>
      </c>
      <c r="E78" s="82">
        <v>67</v>
      </c>
      <c r="F78" s="82">
        <f t="shared" si="1"/>
        <v>0</v>
      </c>
    </row>
    <row r="79" spans="1:6" x14ac:dyDescent="0.25">
      <c r="A79" s="82">
        <v>2</v>
      </c>
      <c r="B79" s="82">
        <v>16</v>
      </c>
      <c r="C79" s="82">
        <v>130</v>
      </c>
      <c r="D79" s="82">
        <v>5030</v>
      </c>
      <c r="E79" s="82">
        <v>130</v>
      </c>
      <c r="F79" s="82">
        <f t="shared" si="1"/>
        <v>0</v>
      </c>
    </row>
    <row r="80" spans="1:6" x14ac:dyDescent="0.25">
      <c r="A80" s="82">
        <v>7</v>
      </c>
      <c r="B80" s="82">
        <v>16</v>
      </c>
      <c r="C80" s="82">
        <v>186</v>
      </c>
      <c r="D80" s="82">
        <v>5230</v>
      </c>
      <c r="E80" s="82">
        <v>744</v>
      </c>
      <c r="F80" s="82">
        <f t="shared" si="1"/>
        <v>-558</v>
      </c>
    </row>
    <row r="81" spans="1:6" x14ac:dyDescent="0.25">
      <c r="A81" s="82">
        <v>4</v>
      </c>
      <c r="B81" s="82">
        <v>16</v>
      </c>
      <c r="C81" s="82">
        <v>1</v>
      </c>
      <c r="D81" s="82">
        <v>7040</v>
      </c>
      <c r="E81" s="82">
        <v>1</v>
      </c>
      <c r="F81" s="82">
        <f t="shared" si="1"/>
        <v>0</v>
      </c>
    </row>
    <row r="82" spans="1:6" x14ac:dyDescent="0.25">
      <c r="A82" s="82">
        <v>3</v>
      </c>
      <c r="B82" s="82">
        <v>16</v>
      </c>
      <c r="C82" s="82">
        <v>1</v>
      </c>
      <c r="D82" s="82">
        <v>9170</v>
      </c>
      <c r="E82" s="82">
        <v>1</v>
      </c>
      <c r="F82" s="82">
        <f t="shared" si="1"/>
        <v>0</v>
      </c>
    </row>
    <row r="83" spans="1:6" x14ac:dyDescent="0.25">
      <c r="A83" s="82">
        <v>5</v>
      </c>
      <c r="B83" s="82">
        <v>16</v>
      </c>
      <c r="C83" s="82">
        <v>1</v>
      </c>
      <c r="D83" s="82">
        <v>9670</v>
      </c>
      <c r="E83" s="82">
        <v>1</v>
      </c>
      <c r="F83" s="82">
        <f t="shared" si="1"/>
        <v>0</v>
      </c>
    </row>
    <row r="84" spans="1:6" x14ac:dyDescent="0.25">
      <c r="A84" s="82">
        <v>2</v>
      </c>
      <c r="B84" s="82">
        <v>18</v>
      </c>
      <c r="C84" s="82">
        <v>12</v>
      </c>
      <c r="D84" s="82">
        <v>1000</v>
      </c>
      <c r="E84" s="82"/>
      <c r="F84" s="82">
        <f t="shared" si="1"/>
        <v>12</v>
      </c>
    </row>
    <row r="85" spans="1:6" x14ac:dyDescent="0.25">
      <c r="A85" s="82">
        <v>8</v>
      </c>
      <c r="B85" s="82">
        <v>18</v>
      </c>
      <c r="C85" s="82">
        <v>42</v>
      </c>
      <c r="D85" s="82">
        <v>1050</v>
      </c>
      <c r="E85" s="82">
        <v>0</v>
      </c>
      <c r="F85" s="82">
        <f t="shared" si="1"/>
        <v>42</v>
      </c>
    </row>
    <row r="86" spans="1:6" x14ac:dyDescent="0.25">
      <c r="A86" s="82">
        <v>9</v>
      </c>
      <c r="B86" s="82">
        <v>18</v>
      </c>
      <c r="C86" s="82">
        <v>1</v>
      </c>
      <c r="D86" s="82">
        <v>1260</v>
      </c>
      <c r="E86" s="82"/>
      <c r="F86" s="82">
        <f t="shared" si="1"/>
        <v>1</v>
      </c>
    </row>
    <row r="87" spans="1:6" x14ac:dyDescent="0.25">
      <c r="A87" s="82">
        <v>3</v>
      </c>
      <c r="B87" s="82">
        <v>18</v>
      </c>
      <c r="C87" s="82">
        <v>11</v>
      </c>
      <c r="D87" s="82">
        <v>1280</v>
      </c>
      <c r="E87" s="82"/>
      <c r="F87" s="82">
        <f t="shared" si="1"/>
        <v>11</v>
      </c>
    </row>
    <row r="88" spans="1:6" x14ac:dyDescent="0.25">
      <c r="A88" s="82">
        <v>6</v>
      </c>
      <c r="B88" s="82">
        <v>18</v>
      </c>
      <c r="C88" s="82">
        <v>6</v>
      </c>
      <c r="D88" s="82">
        <v>1290</v>
      </c>
      <c r="E88" s="82"/>
      <c r="F88" s="82">
        <f t="shared" si="1"/>
        <v>6</v>
      </c>
    </row>
    <row r="89" spans="1:6" x14ac:dyDescent="0.25">
      <c r="A89" s="82">
        <v>6</v>
      </c>
      <c r="B89" s="82">
        <v>18</v>
      </c>
      <c r="C89" s="82">
        <v>6</v>
      </c>
      <c r="D89" s="82">
        <v>1420</v>
      </c>
      <c r="E89" s="82"/>
      <c r="F89" s="82">
        <f t="shared" si="1"/>
        <v>6</v>
      </c>
    </row>
    <row r="90" spans="1:6" x14ac:dyDescent="0.25">
      <c r="A90" s="82">
        <v>9</v>
      </c>
      <c r="B90" s="82">
        <v>18</v>
      </c>
      <c r="C90" s="82">
        <v>20</v>
      </c>
      <c r="D90" s="82">
        <v>1440</v>
      </c>
      <c r="E90" s="82"/>
      <c r="F90" s="82">
        <f t="shared" si="1"/>
        <v>20</v>
      </c>
    </row>
    <row r="91" spans="1:6" x14ac:dyDescent="0.25">
      <c r="A91" s="82">
        <v>6</v>
      </c>
      <c r="B91" s="82">
        <v>18</v>
      </c>
      <c r="C91" s="82">
        <v>1</v>
      </c>
      <c r="D91" s="82">
        <v>1450</v>
      </c>
      <c r="E91" s="82"/>
      <c r="F91" s="82">
        <f t="shared" si="1"/>
        <v>1</v>
      </c>
    </row>
    <row r="92" spans="1:6" x14ac:dyDescent="0.25">
      <c r="A92" s="82">
        <v>4</v>
      </c>
      <c r="B92" s="82">
        <v>18</v>
      </c>
      <c r="C92" s="82">
        <v>6</v>
      </c>
      <c r="D92" s="82">
        <v>1460</v>
      </c>
      <c r="E92" s="82">
        <v>6</v>
      </c>
      <c r="F92" s="82">
        <f t="shared" si="1"/>
        <v>0</v>
      </c>
    </row>
    <row r="93" spans="1:6" x14ac:dyDescent="0.25">
      <c r="A93" s="82">
        <v>2</v>
      </c>
      <c r="B93" s="82">
        <v>18</v>
      </c>
      <c r="C93" s="82">
        <v>3</v>
      </c>
      <c r="D93" s="82">
        <v>1470</v>
      </c>
      <c r="E93" s="82">
        <v>3</v>
      </c>
      <c r="F93" s="82">
        <f t="shared" si="1"/>
        <v>0</v>
      </c>
    </row>
    <row r="94" spans="1:6" x14ac:dyDescent="0.25">
      <c r="A94" s="82">
        <v>1</v>
      </c>
      <c r="B94" s="82">
        <v>18</v>
      </c>
      <c r="C94" s="82">
        <v>12</v>
      </c>
      <c r="D94" s="82">
        <v>1500</v>
      </c>
      <c r="E94" s="82">
        <v>12</v>
      </c>
      <c r="F94" s="82">
        <f t="shared" si="1"/>
        <v>0</v>
      </c>
    </row>
    <row r="95" spans="1:6" x14ac:dyDescent="0.25">
      <c r="A95" s="82">
        <v>1</v>
      </c>
      <c r="B95" s="82">
        <v>18</v>
      </c>
      <c r="C95" s="82">
        <v>1</v>
      </c>
      <c r="D95" s="82">
        <v>1570</v>
      </c>
      <c r="E95" s="82">
        <v>1</v>
      </c>
      <c r="F95" s="82">
        <f t="shared" si="1"/>
        <v>0</v>
      </c>
    </row>
    <row r="96" spans="1:6" x14ac:dyDescent="0.25">
      <c r="A96" s="82">
        <v>2</v>
      </c>
      <c r="B96" s="82">
        <v>18</v>
      </c>
      <c r="C96" s="82">
        <v>1</v>
      </c>
      <c r="D96" s="82">
        <v>1740</v>
      </c>
      <c r="E96" s="82">
        <v>1</v>
      </c>
      <c r="F96" s="82">
        <f t="shared" si="1"/>
        <v>0</v>
      </c>
    </row>
    <row r="97" spans="1:6" x14ac:dyDescent="0.25">
      <c r="A97" s="82">
        <v>4</v>
      </c>
      <c r="B97" s="82">
        <v>18</v>
      </c>
      <c r="C97" s="82">
        <v>3</v>
      </c>
      <c r="D97" s="82">
        <v>1860</v>
      </c>
      <c r="E97" s="82"/>
      <c r="F97" s="82">
        <f t="shared" si="1"/>
        <v>3</v>
      </c>
    </row>
    <row r="98" spans="1:6" x14ac:dyDescent="0.25">
      <c r="A98" s="82">
        <v>3</v>
      </c>
      <c r="B98" s="82">
        <v>18</v>
      </c>
      <c r="C98" s="82">
        <v>1</v>
      </c>
      <c r="D98" s="82">
        <v>1890</v>
      </c>
      <c r="E98" s="82"/>
      <c r="F98" s="82">
        <f t="shared" si="1"/>
        <v>1</v>
      </c>
    </row>
    <row r="99" spans="1:6" x14ac:dyDescent="0.25">
      <c r="A99" s="82">
        <v>1</v>
      </c>
      <c r="B99" s="82">
        <v>18</v>
      </c>
      <c r="C99" s="82">
        <v>2</v>
      </c>
      <c r="D99" s="82">
        <v>1930</v>
      </c>
      <c r="E99" s="82">
        <v>2</v>
      </c>
      <c r="F99" s="82">
        <f t="shared" si="1"/>
        <v>0</v>
      </c>
    </row>
    <row r="100" spans="1:6" x14ac:dyDescent="0.25">
      <c r="A100" s="82">
        <v>6</v>
      </c>
      <c r="B100" s="82">
        <v>18</v>
      </c>
      <c r="C100" s="82">
        <v>6</v>
      </c>
      <c r="D100" s="82">
        <v>2060</v>
      </c>
      <c r="E100" s="82">
        <v>6</v>
      </c>
      <c r="F100" s="82">
        <f t="shared" si="1"/>
        <v>0</v>
      </c>
    </row>
    <row r="101" spans="1:6" x14ac:dyDescent="0.25">
      <c r="A101" s="82">
        <v>3</v>
      </c>
      <c r="B101" s="82">
        <v>18</v>
      </c>
      <c r="C101" s="82">
        <v>12</v>
      </c>
      <c r="D101" s="82">
        <v>2100</v>
      </c>
      <c r="E101" s="82">
        <v>12</v>
      </c>
      <c r="F101" s="82">
        <f t="shared" si="1"/>
        <v>0</v>
      </c>
    </row>
    <row r="102" spans="1:6" x14ac:dyDescent="0.25">
      <c r="A102" s="82">
        <v>4</v>
      </c>
      <c r="B102" s="82">
        <v>18</v>
      </c>
      <c r="C102" s="82">
        <v>2</v>
      </c>
      <c r="D102" s="82">
        <v>2150</v>
      </c>
      <c r="E102" s="82">
        <v>2</v>
      </c>
      <c r="F102" s="82">
        <f t="shared" si="1"/>
        <v>0</v>
      </c>
    </row>
    <row r="103" spans="1:6" x14ac:dyDescent="0.25">
      <c r="A103" s="82">
        <v>6</v>
      </c>
      <c r="B103" s="82">
        <v>18</v>
      </c>
      <c r="C103" s="82">
        <v>6</v>
      </c>
      <c r="D103" s="82">
        <v>2220</v>
      </c>
      <c r="E103" s="82">
        <v>6</v>
      </c>
      <c r="F103" s="82">
        <f t="shared" si="1"/>
        <v>0</v>
      </c>
    </row>
    <row r="104" spans="1:6" x14ac:dyDescent="0.25">
      <c r="A104" s="82">
        <v>1</v>
      </c>
      <c r="B104" s="82">
        <v>18</v>
      </c>
      <c r="C104" s="82">
        <v>12</v>
      </c>
      <c r="D104" s="82">
        <v>2250</v>
      </c>
      <c r="E104" s="82">
        <v>12</v>
      </c>
      <c r="F104" s="82">
        <f t="shared" si="1"/>
        <v>0</v>
      </c>
    </row>
    <row r="105" spans="1:6" x14ac:dyDescent="0.25">
      <c r="A105" s="82">
        <v>3</v>
      </c>
      <c r="B105" s="82">
        <v>18</v>
      </c>
      <c r="C105" s="82">
        <v>12</v>
      </c>
      <c r="D105" s="82">
        <v>2300</v>
      </c>
      <c r="E105" s="82">
        <v>10</v>
      </c>
      <c r="F105" s="82">
        <f t="shared" si="1"/>
        <v>2</v>
      </c>
    </row>
    <row r="106" spans="1:6" x14ac:dyDescent="0.25">
      <c r="A106" s="82">
        <v>2</v>
      </c>
      <c r="B106" s="82">
        <v>18</v>
      </c>
      <c r="C106" s="82">
        <v>3</v>
      </c>
      <c r="D106" s="82">
        <v>2470</v>
      </c>
      <c r="E106" s="82">
        <v>3</v>
      </c>
      <c r="F106" s="82">
        <f t="shared" si="1"/>
        <v>0</v>
      </c>
    </row>
    <row r="107" spans="1:6" x14ac:dyDescent="0.25">
      <c r="A107" s="82">
        <v>1</v>
      </c>
      <c r="B107" s="82">
        <v>18</v>
      </c>
      <c r="C107" s="82">
        <v>6</v>
      </c>
      <c r="D107" s="82">
        <v>2800</v>
      </c>
      <c r="E107" s="82">
        <v>6</v>
      </c>
      <c r="F107" s="82">
        <f t="shared" si="1"/>
        <v>0</v>
      </c>
    </row>
    <row r="108" spans="1:6" x14ac:dyDescent="0.25">
      <c r="A108" s="82">
        <v>6</v>
      </c>
      <c r="B108" s="82">
        <v>18</v>
      </c>
      <c r="C108" s="82">
        <v>1</v>
      </c>
      <c r="D108" s="82">
        <v>2820</v>
      </c>
      <c r="E108" s="82"/>
      <c r="F108" s="82">
        <f t="shared" si="1"/>
        <v>1</v>
      </c>
    </row>
    <row r="109" spans="1:6" x14ac:dyDescent="0.25">
      <c r="A109" s="82">
        <v>9</v>
      </c>
      <c r="B109" s="82">
        <v>18</v>
      </c>
      <c r="C109" s="82">
        <v>3</v>
      </c>
      <c r="D109" s="82">
        <v>2890</v>
      </c>
      <c r="E109" s="82"/>
      <c r="F109" s="82">
        <f t="shared" si="1"/>
        <v>3</v>
      </c>
    </row>
    <row r="110" spans="1:6" x14ac:dyDescent="0.25">
      <c r="A110" s="82">
        <v>13</v>
      </c>
      <c r="B110" s="82">
        <v>18</v>
      </c>
      <c r="C110" s="82">
        <v>12</v>
      </c>
      <c r="D110" s="82">
        <v>2900</v>
      </c>
      <c r="E110" s="82"/>
      <c r="F110" s="82">
        <f t="shared" si="1"/>
        <v>12</v>
      </c>
    </row>
    <row r="111" spans="1:6" x14ac:dyDescent="0.25">
      <c r="A111" s="82">
        <v>6</v>
      </c>
      <c r="B111" s="82">
        <v>18</v>
      </c>
      <c r="C111" s="82">
        <v>3</v>
      </c>
      <c r="D111" s="82">
        <v>3060</v>
      </c>
      <c r="E111" s="82">
        <v>6</v>
      </c>
      <c r="F111" s="82">
        <f t="shared" si="1"/>
        <v>-3</v>
      </c>
    </row>
    <row r="112" spans="1:6" x14ac:dyDescent="0.25">
      <c r="A112" s="82">
        <v>7</v>
      </c>
      <c r="B112" s="82">
        <v>18</v>
      </c>
      <c r="C112" s="82">
        <v>9</v>
      </c>
      <c r="D112" s="82">
        <v>3240</v>
      </c>
      <c r="E112" s="82">
        <v>12</v>
      </c>
      <c r="F112" s="82">
        <f t="shared" si="1"/>
        <v>-3</v>
      </c>
    </row>
    <row r="113" spans="1:6" x14ac:dyDescent="0.25">
      <c r="A113" s="82">
        <v>6</v>
      </c>
      <c r="B113" s="82">
        <v>18</v>
      </c>
      <c r="C113" s="82">
        <v>6</v>
      </c>
      <c r="D113" s="82">
        <v>3310</v>
      </c>
      <c r="E113" s="82">
        <v>18</v>
      </c>
      <c r="F113" s="82">
        <f t="shared" si="1"/>
        <v>-12</v>
      </c>
    </row>
    <row r="114" spans="1:6" x14ac:dyDescent="0.25">
      <c r="A114" s="82">
        <v>6</v>
      </c>
      <c r="B114" s="82">
        <v>18</v>
      </c>
      <c r="C114" s="82">
        <v>3</v>
      </c>
      <c r="D114" s="82">
        <v>3340</v>
      </c>
      <c r="E114" s="82"/>
      <c r="F114" s="82">
        <f t="shared" si="1"/>
        <v>3</v>
      </c>
    </row>
    <row r="115" spans="1:6" x14ac:dyDescent="0.25">
      <c r="A115" s="82">
        <v>7</v>
      </c>
      <c r="B115" s="82">
        <v>18</v>
      </c>
      <c r="C115" s="82">
        <v>12</v>
      </c>
      <c r="D115" s="82">
        <v>3440</v>
      </c>
      <c r="E115" s="82"/>
      <c r="F115" s="82">
        <f t="shared" si="1"/>
        <v>12</v>
      </c>
    </row>
    <row r="116" spans="1:6" x14ac:dyDescent="0.25">
      <c r="A116" s="82">
        <v>13</v>
      </c>
      <c r="B116" s="82">
        <v>18</v>
      </c>
      <c r="C116" s="82">
        <v>6</v>
      </c>
      <c r="D116" s="82">
        <v>3500</v>
      </c>
      <c r="E116" s="82"/>
      <c r="F116" s="82">
        <f t="shared" si="1"/>
        <v>6</v>
      </c>
    </row>
    <row r="117" spans="1:6" x14ac:dyDescent="0.25">
      <c r="A117" s="82">
        <v>5</v>
      </c>
      <c r="B117" s="82">
        <v>18</v>
      </c>
      <c r="C117" s="82">
        <v>12</v>
      </c>
      <c r="D117" s="82">
        <v>3510</v>
      </c>
      <c r="E117" s="82">
        <v>12</v>
      </c>
      <c r="F117" s="82">
        <f t="shared" si="1"/>
        <v>0</v>
      </c>
    </row>
    <row r="118" spans="1:6" x14ac:dyDescent="0.25">
      <c r="A118" s="82">
        <v>5</v>
      </c>
      <c r="B118" s="82">
        <v>18</v>
      </c>
      <c r="C118" s="82">
        <v>12</v>
      </c>
      <c r="D118" s="82">
        <v>3520</v>
      </c>
      <c r="E118" s="82">
        <v>12</v>
      </c>
      <c r="F118" s="82">
        <f t="shared" si="1"/>
        <v>0</v>
      </c>
    </row>
    <row r="119" spans="1:6" x14ac:dyDescent="0.25">
      <c r="A119" s="82">
        <v>4</v>
      </c>
      <c r="B119" s="82">
        <v>18</v>
      </c>
      <c r="C119" s="82">
        <v>11</v>
      </c>
      <c r="D119" s="82">
        <v>3600</v>
      </c>
      <c r="E119" s="82">
        <v>11</v>
      </c>
      <c r="F119" s="82">
        <f t="shared" si="1"/>
        <v>0</v>
      </c>
    </row>
    <row r="120" spans="1:6" x14ac:dyDescent="0.25">
      <c r="A120" s="82">
        <v>8</v>
      </c>
      <c r="B120" s="82">
        <v>18</v>
      </c>
      <c r="C120" s="82">
        <v>60</v>
      </c>
      <c r="D120" s="82">
        <v>3800</v>
      </c>
      <c r="E120" s="82">
        <v>68</v>
      </c>
      <c r="F120" s="82">
        <f t="shared" si="1"/>
        <v>-8</v>
      </c>
    </row>
    <row r="121" spans="1:6" x14ac:dyDescent="0.25">
      <c r="A121" s="82">
        <v>4</v>
      </c>
      <c r="B121" s="82">
        <v>18</v>
      </c>
      <c r="C121" s="82">
        <v>12</v>
      </c>
      <c r="D121" s="82">
        <v>4000</v>
      </c>
      <c r="E121" s="82">
        <v>8</v>
      </c>
      <c r="F121" s="82">
        <f t="shared" si="1"/>
        <v>4</v>
      </c>
    </row>
    <row r="122" spans="1:6" x14ac:dyDescent="0.25">
      <c r="A122" s="82">
        <v>1</v>
      </c>
      <c r="B122" s="82">
        <v>18</v>
      </c>
      <c r="C122" s="82">
        <v>3</v>
      </c>
      <c r="D122" s="82">
        <v>4790</v>
      </c>
      <c r="E122" s="82">
        <v>3</v>
      </c>
      <c r="F122" s="82">
        <f t="shared" si="1"/>
        <v>0</v>
      </c>
    </row>
    <row r="123" spans="1:6" x14ac:dyDescent="0.25">
      <c r="A123" s="82">
        <v>3</v>
      </c>
      <c r="B123" s="82">
        <v>18</v>
      </c>
      <c r="C123" s="82">
        <v>11</v>
      </c>
      <c r="D123" s="82">
        <v>4900</v>
      </c>
      <c r="E123" s="82">
        <v>11</v>
      </c>
      <c r="F123" s="82">
        <f t="shared" si="1"/>
        <v>0</v>
      </c>
    </row>
    <row r="124" spans="1:6" x14ac:dyDescent="0.25">
      <c r="A124" s="82">
        <v>9</v>
      </c>
      <c r="B124" s="82">
        <v>18</v>
      </c>
      <c r="C124" s="82">
        <v>1</v>
      </c>
      <c r="D124" s="82">
        <v>4970</v>
      </c>
      <c r="E124" s="82">
        <v>1</v>
      </c>
      <c r="F124" s="82">
        <f t="shared" si="1"/>
        <v>0</v>
      </c>
    </row>
    <row r="125" spans="1:6" x14ac:dyDescent="0.25">
      <c r="A125" s="82">
        <v>2</v>
      </c>
      <c r="B125" s="82">
        <v>18</v>
      </c>
      <c r="C125" s="82">
        <v>1</v>
      </c>
      <c r="D125" s="82">
        <v>6060</v>
      </c>
      <c r="E125" s="82">
        <v>1</v>
      </c>
      <c r="F125" s="82">
        <f t="shared" si="1"/>
        <v>0</v>
      </c>
    </row>
    <row r="126" spans="1:6" x14ac:dyDescent="0.25">
      <c r="A126" s="82">
        <v>7</v>
      </c>
      <c r="B126" s="82">
        <v>18</v>
      </c>
      <c r="C126" s="82">
        <v>1</v>
      </c>
      <c r="D126" s="82">
        <v>6230</v>
      </c>
      <c r="E126" s="82">
        <v>5</v>
      </c>
      <c r="F126" s="82">
        <f t="shared" si="1"/>
        <v>-4</v>
      </c>
    </row>
    <row r="127" spans="1:6" x14ac:dyDescent="0.25">
      <c r="A127" s="82">
        <v>6</v>
      </c>
      <c r="B127" s="82">
        <v>20</v>
      </c>
      <c r="C127" s="82">
        <v>5</v>
      </c>
      <c r="D127" s="82">
        <v>1010</v>
      </c>
      <c r="E127" s="82"/>
      <c r="F127" s="82">
        <f t="shared" si="1"/>
        <v>5</v>
      </c>
    </row>
    <row r="128" spans="1:6" x14ac:dyDescent="0.25">
      <c r="A128" s="82">
        <v>9</v>
      </c>
      <c r="B128" s="82">
        <v>20</v>
      </c>
      <c r="C128" s="82">
        <v>3</v>
      </c>
      <c r="D128" s="82">
        <v>1040</v>
      </c>
      <c r="E128" s="82">
        <v>0</v>
      </c>
      <c r="F128" s="82">
        <f t="shared" si="1"/>
        <v>3</v>
      </c>
    </row>
    <row r="129" spans="1:6" x14ac:dyDescent="0.25">
      <c r="A129" s="82">
        <v>5</v>
      </c>
      <c r="B129" s="82">
        <v>20</v>
      </c>
      <c r="C129" s="82">
        <v>3</v>
      </c>
      <c r="D129" s="82">
        <v>1100</v>
      </c>
      <c r="E129" s="82"/>
      <c r="F129" s="82">
        <f t="shared" si="1"/>
        <v>3</v>
      </c>
    </row>
    <row r="130" spans="1:6" x14ac:dyDescent="0.25">
      <c r="A130" s="82">
        <v>5</v>
      </c>
      <c r="B130" s="82">
        <v>20</v>
      </c>
      <c r="C130" s="82">
        <v>2</v>
      </c>
      <c r="D130" s="82">
        <v>1200</v>
      </c>
      <c r="E130" s="82"/>
      <c r="F130" s="82">
        <f t="shared" ref="F130:F193" si="2">C130-E130</f>
        <v>2</v>
      </c>
    </row>
    <row r="131" spans="1:6" x14ac:dyDescent="0.25">
      <c r="A131" s="82">
        <v>6</v>
      </c>
      <c r="B131" s="82">
        <v>20</v>
      </c>
      <c r="C131" s="82">
        <v>2</v>
      </c>
      <c r="D131" s="82">
        <v>1260</v>
      </c>
      <c r="E131" s="82"/>
      <c r="F131" s="82">
        <f t="shared" si="2"/>
        <v>2</v>
      </c>
    </row>
    <row r="132" spans="1:6" x14ac:dyDescent="0.25">
      <c r="A132" s="82">
        <v>6</v>
      </c>
      <c r="B132" s="82">
        <v>20</v>
      </c>
      <c r="C132" s="82">
        <v>5</v>
      </c>
      <c r="D132" s="82">
        <v>1310</v>
      </c>
      <c r="E132" s="82"/>
      <c r="F132" s="82">
        <f t="shared" si="2"/>
        <v>5</v>
      </c>
    </row>
    <row r="133" spans="1:6" x14ac:dyDescent="0.25">
      <c r="A133" s="82">
        <v>5</v>
      </c>
      <c r="B133" s="82">
        <v>20</v>
      </c>
      <c r="C133" s="82">
        <v>2</v>
      </c>
      <c r="D133" s="82">
        <v>1470</v>
      </c>
      <c r="E133" s="82"/>
      <c r="F133" s="82">
        <f t="shared" si="2"/>
        <v>2</v>
      </c>
    </row>
    <row r="134" spans="1:6" x14ac:dyDescent="0.25">
      <c r="A134" s="82">
        <v>6</v>
      </c>
      <c r="B134" s="82">
        <v>20</v>
      </c>
      <c r="C134" s="82">
        <v>6</v>
      </c>
      <c r="D134" s="82">
        <v>1510</v>
      </c>
      <c r="E134" s="82"/>
      <c r="F134" s="82">
        <f t="shared" si="2"/>
        <v>6</v>
      </c>
    </row>
    <row r="135" spans="1:6" x14ac:dyDescent="0.25">
      <c r="A135" s="82">
        <v>5</v>
      </c>
      <c r="B135" s="82">
        <v>20</v>
      </c>
      <c r="C135" s="82">
        <v>6</v>
      </c>
      <c r="D135" s="82">
        <v>1540</v>
      </c>
      <c r="E135" s="82"/>
      <c r="F135" s="82">
        <f t="shared" si="2"/>
        <v>6</v>
      </c>
    </row>
    <row r="136" spans="1:6" x14ac:dyDescent="0.25">
      <c r="A136" s="82">
        <v>6</v>
      </c>
      <c r="B136" s="82">
        <v>20</v>
      </c>
      <c r="C136" s="82">
        <v>40</v>
      </c>
      <c r="D136" s="82">
        <v>1620</v>
      </c>
      <c r="E136" s="82"/>
      <c r="F136" s="82">
        <f t="shared" si="2"/>
        <v>40</v>
      </c>
    </row>
    <row r="137" spans="1:6" x14ac:dyDescent="0.25">
      <c r="A137" s="82">
        <v>6</v>
      </c>
      <c r="B137" s="82">
        <v>20</v>
      </c>
      <c r="C137" s="82">
        <v>2</v>
      </c>
      <c r="D137" s="82">
        <v>1660</v>
      </c>
      <c r="E137" s="82"/>
      <c r="F137" s="82">
        <f t="shared" si="2"/>
        <v>2</v>
      </c>
    </row>
    <row r="138" spans="1:6" x14ac:dyDescent="0.25">
      <c r="A138" s="82">
        <v>9</v>
      </c>
      <c r="B138" s="82">
        <v>20</v>
      </c>
      <c r="C138" s="82">
        <v>313</v>
      </c>
      <c r="D138" s="82">
        <v>1920</v>
      </c>
      <c r="E138" s="82">
        <v>0</v>
      </c>
      <c r="F138" s="82">
        <f t="shared" si="2"/>
        <v>313</v>
      </c>
    </row>
    <row r="139" spans="1:6" x14ac:dyDescent="0.25">
      <c r="A139" s="82">
        <v>13</v>
      </c>
      <c r="B139" s="82">
        <v>20</v>
      </c>
      <c r="C139" s="82">
        <v>284</v>
      </c>
      <c r="D139" s="82">
        <v>3590</v>
      </c>
      <c r="E139" s="82"/>
      <c r="F139" s="82">
        <f t="shared" si="2"/>
        <v>284</v>
      </c>
    </row>
    <row r="140" spans="1:6" x14ac:dyDescent="0.25">
      <c r="A140" s="82">
        <v>6</v>
      </c>
      <c r="B140" s="82">
        <v>20</v>
      </c>
      <c r="C140" s="82">
        <v>131</v>
      </c>
      <c r="D140" s="82">
        <v>3680</v>
      </c>
      <c r="E140" s="82">
        <v>262</v>
      </c>
      <c r="F140" s="82">
        <f t="shared" si="2"/>
        <v>-131</v>
      </c>
    </row>
    <row r="141" spans="1:6" x14ac:dyDescent="0.25">
      <c r="A141" s="82">
        <v>5</v>
      </c>
      <c r="B141" s="82">
        <v>20</v>
      </c>
      <c r="C141" s="82">
        <v>5</v>
      </c>
      <c r="D141" s="82">
        <v>3800</v>
      </c>
      <c r="E141" s="82">
        <v>5</v>
      </c>
      <c r="F141" s="82">
        <f t="shared" si="2"/>
        <v>0</v>
      </c>
    </row>
    <row r="142" spans="1:6" x14ac:dyDescent="0.25">
      <c r="A142" s="82">
        <v>9</v>
      </c>
      <c r="B142" s="82">
        <v>20</v>
      </c>
      <c r="C142" s="82">
        <v>625</v>
      </c>
      <c r="D142" s="82">
        <v>3830</v>
      </c>
      <c r="E142" s="82">
        <v>1134</v>
      </c>
      <c r="F142" s="82">
        <f t="shared" si="2"/>
        <v>-509</v>
      </c>
    </row>
    <row r="143" spans="1:6" x14ac:dyDescent="0.25">
      <c r="A143" s="82">
        <v>5</v>
      </c>
      <c r="B143" s="82">
        <v>20</v>
      </c>
      <c r="C143" s="82">
        <v>2</v>
      </c>
      <c r="D143" s="82">
        <v>4050</v>
      </c>
      <c r="E143" s="82">
        <v>2</v>
      </c>
      <c r="F143" s="82">
        <f t="shared" si="2"/>
        <v>0</v>
      </c>
    </row>
    <row r="144" spans="1:6" x14ac:dyDescent="0.25">
      <c r="A144" s="82">
        <v>5</v>
      </c>
      <c r="B144" s="82">
        <v>20</v>
      </c>
      <c r="C144" s="82">
        <v>5</v>
      </c>
      <c r="D144" s="82">
        <v>4100</v>
      </c>
      <c r="E144" s="82">
        <v>5</v>
      </c>
      <c r="F144" s="82">
        <f t="shared" si="2"/>
        <v>0</v>
      </c>
    </row>
    <row r="145" spans="1:6" x14ac:dyDescent="0.25">
      <c r="A145" s="82">
        <v>5</v>
      </c>
      <c r="B145" s="82">
        <v>20</v>
      </c>
      <c r="C145" s="82">
        <v>6</v>
      </c>
      <c r="D145" s="82">
        <v>4300</v>
      </c>
      <c r="E145" s="82">
        <v>6</v>
      </c>
      <c r="F145" s="82">
        <f t="shared" si="2"/>
        <v>0</v>
      </c>
    </row>
    <row r="146" spans="1:6" x14ac:dyDescent="0.25">
      <c r="A146" s="82">
        <v>3</v>
      </c>
      <c r="B146" s="82">
        <v>20</v>
      </c>
      <c r="C146" s="82">
        <v>75</v>
      </c>
      <c r="D146" s="82">
        <v>4330</v>
      </c>
      <c r="E146" s="82">
        <v>75</v>
      </c>
      <c r="F146" s="82">
        <f t="shared" si="2"/>
        <v>0</v>
      </c>
    </row>
    <row r="147" spans="1:6" x14ac:dyDescent="0.25">
      <c r="A147" s="82">
        <v>5</v>
      </c>
      <c r="B147" s="82">
        <v>20</v>
      </c>
      <c r="C147" s="82">
        <v>2</v>
      </c>
      <c r="D147" s="82">
        <v>4450</v>
      </c>
      <c r="E147" s="82">
        <v>2</v>
      </c>
      <c r="F147" s="82">
        <f t="shared" si="2"/>
        <v>0</v>
      </c>
    </row>
    <row r="148" spans="1:6" x14ac:dyDescent="0.25">
      <c r="A148" s="82">
        <v>5</v>
      </c>
      <c r="B148" s="82">
        <v>20</v>
      </c>
      <c r="C148" s="82">
        <v>53</v>
      </c>
      <c r="D148" s="82">
        <v>5170</v>
      </c>
      <c r="E148" s="82">
        <v>53</v>
      </c>
      <c r="F148" s="82">
        <f t="shared" si="2"/>
        <v>0</v>
      </c>
    </row>
    <row r="149" spans="1:6" x14ac:dyDescent="0.25">
      <c r="A149" s="82">
        <v>13</v>
      </c>
      <c r="B149" s="82">
        <v>20</v>
      </c>
      <c r="C149" s="82">
        <v>57</v>
      </c>
      <c r="D149" s="82">
        <v>5230</v>
      </c>
      <c r="E149" s="82"/>
      <c r="F149" s="82">
        <f t="shared" si="2"/>
        <v>57</v>
      </c>
    </row>
    <row r="150" spans="1:6" x14ac:dyDescent="0.25">
      <c r="A150" s="82">
        <v>6</v>
      </c>
      <c r="B150" s="82">
        <v>20</v>
      </c>
      <c r="C150" s="82">
        <v>1</v>
      </c>
      <c r="D150" s="82">
        <v>6810</v>
      </c>
      <c r="E150" s="82">
        <v>2</v>
      </c>
      <c r="F150" s="82">
        <f t="shared" si="2"/>
        <v>-1</v>
      </c>
    </row>
    <row r="151" spans="1:6" x14ac:dyDescent="0.25">
      <c r="A151" s="82">
        <v>3</v>
      </c>
      <c r="B151" s="82">
        <v>20</v>
      </c>
      <c r="C151" s="82">
        <v>1</v>
      </c>
      <c r="D151" s="82">
        <v>7310</v>
      </c>
      <c r="E151" s="82">
        <v>1</v>
      </c>
      <c r="F151" s="82">
        <f t="shared" si="2"/>
        <v>0</v>
      </c>
    </row>
    <row r="152" spans="1:6" x14ac:dyDescent="0.25">
      <c r="A152" s="82">
        <v>7</v>
      </c>
      <c r="B152" s="82">
        <v>22</v>
      </c>
      <c r="C152" s="82">
        <v>117</v>
      </c>
      <c r="D152" s="82">
        <v>1260</v>
      </c>
      <c r="E152" s="82"/>
      <c r="F152" s="82">
        <f t="shared" si="2"/>
        <v>117</v>
      </c>
    </row>
    <row r="153" spans="1:6" x14ac:dyDescent="0.25">
      <c r="A153" s="82">
        <v>6</v>
      </c>
      <c r="B153" s="82">
        <v>22</v>
      </c>
      <c r="C153" s="82">
        <v>1</v>
      </c>
      <c r="D153" s="82">
        <v>1470</v>
      </c>
      <c r="E153" s="82"/>
      <c r="F153" s="82">
        <f t="shared" si="2"/>
        <v>1</v>
      </c>
    </row>
    <row r="154" spans="1:6" x14ac:dyDescent="0.25">
      <c r="A154" s="82">
        <v>7</v>
      </c>
      <c r="B154" s="82">
        <v>22</v>
      </c>
      <c r="C154" s="82">
        <v>38</v>
      </c>
      <c r="D154" s="82">
        <v>1500</v>
      </c>
      <c r="E154" s="82">
        <v>0</v>
      </c>
      <c r="F154" s="82">
        <f t="shared" si="2"/>
        <v>38</v>
      </c>
    </row>
    <row r="155" spans="1:6" x14ac:dyDescent="0.25">
      <c r="A155" s="82">
        <v>6</v>
      </c>
      <c r="B155" s="82">
        <v>22</v>
      </c>
      <c r="C155" s="82">
        <v>77</v>
      </c>
      <c r="D155" s="82">
        <v>2560</v>
      </c>
      <c r="E155" s="82"/>
      <c r="F155" s="82">
        <f t="shared" si="2"/>
        <v>77</v>
      </c>
    </row>
    <row r="156" spans="1:6" x14ac:dyDescent="0.25">
      <c r="A156" s="82">
        <v>6</v>
      </c>
      <c r="B156" s="82">
        <v>22</v>
      </c>
      <c r="C156" s="82">
        <v>154</v>
      </c>
      <c r="D156" s="82">
        <v>4330</v>
      </c>
      <c r="E156" s="82">
        <v>462</v>
      </c>
      <c r="F156" s="82">
        <f t="shared" si="2"/>
        <v>-308</v>
      </c>
    </row>
    <row r="157" spans="1:6" x14ac:dyDescent="0.25">
      <c r="A157" s="82">
        <v>5</v>
      </c>
      <c r="B157" s="82">
        <v>25</v>
      </c>
      <c r="C157" s="82">
        <v>2</v>
      </c>
      <c r="D157" s="82">
        <v>1270</v>
      </c>
      <c r="E157" s="82"/>
      <c r="F157" s="82">
        <f t="shared" si="2"/>
        <v>2</v>
      </c>
    </row>
    <row r="158" spans="1:6" x14ac:dyDescent="0.25">
      <c r="A158" s="82">
        <v>5</v>
      </c>
      <c r="B158" s="82">
        <v>25</v>
      </c>
      <c r="C158" s="82">
        <v>2</v>
      </c>
      <c r="D158" s="82">
        <v>1950</v>
      </c>
      <c r="E158" s="82"/>
      <c r="F158" s="82">
        <f t="shared" si="2"/>
        <v>2</v>
      </c>
    </row>
    <row r="159" spans="1:6" x14ac:dyDescent="0.25">
      <c r="A159" s="82">
        <v>5</v>
      </c>
      <c r="B159" s="82">
        <v>25</v>
      </c>
      <c r="C159" s="82">
        <v>2</v>
      </c>
      <c r="D159" s="82">
        <v>2010</v>
      </c>
      <c r="E159" s="82"/>
      <c r="F159" s="82">
        <f t="shared" si="2"/>
        <v>2</v>
      </c>
    </row>
    <row r="160" spans="1:6" x14ac:dyDescent="0.25">
      <c r="A160" s="82">
        <v>5</v>
      </c>
      <c r="B160" s="82">
        <v>25</v>
      </c>
      <c r="C160" s="82">
        <v>3</v>
      </c>
      <c r="D160" s="82">
        <v>2100</v>
      </c>
      <c r="E160" s="82"/>
      <c r="F160" s="82">
        <f t="shared" si="2"/>
        <v>3</v>
      </c>
    </row>
    <row r="161" spans="1:6" x14ac:dyDescent="0.25">
      <c r="A161" s="82">
        <v>5</v>
      </c>
      <c r="B161" s="82">
        <v>25</v>
      </c>
      <c r="C161" s="82">
        <v>2</v>
      </c>
      <c r="D161" s="82">
        <v>2240</v>
      </c>
      <c r="E161" s="82"/>
      <c r="F161" s="82">
        <f t="shared" si="2"/>
        <v>2</v>
      </c>
    </row>
    <row r="162" spans="1:6" x14ac:dyDescent="0.25">
      <c r="A162" s="82">
        <v>6</v>
      </c>
      <c r="B162" s="82">
        <v>25</v>
      </c>
      <c r="C162" s="82">
        <v>7</v>
      </c>
      <c r="D162" s="82">
        <v>2280</v>
      </c>
      <c r="E162" s="82">
        <v>0</v>
      </c>
      <c r="F162" s="82">
        <f t="shared" si="2"/>
        <v>7</v>
      </c>
    </row>
    <row r="163" spans="1:6" x14ac:dyDescent="0.25">
      <c r="A163" s="82">
        <v>5</v>
      </c>
      <c r="B163" s="82">
        <v>25</v>
      </c>
      <c r="C163" s="82">
        <v>1</v>
      </c>
      <c r="D163" s="82">
        <v>2330</v>
      </c>
      <c r="E163" s="82"/>
      <c r="F163" s="82">
        <f t="shared" si="2"/>
        <v>1</v>
      </c>
    </row>
    <row r="164" spans="1:6" x14ac:dyDescent="0.25">
      <c r="A164" s="82">
        <v>5</v>
      </c>
      <c r="B164" s="82">
        <v>25</v>
      </c>
      <c r="C164" s="82">
        <v>5</v>
      </c>
      <c r="D164" s="82">
        <v>2375</v>
      </c>
      <c r="E164" s="82"/>
      <c r="F164" s="82">
        <f t="shared" si="2"/>
        <v>5</v>
      </c>
    </row>
    <row r="165" spans="1:6" x14ac:dyDescent="0.25">
      <c r="A165" s="82">
        <v>5</v>
      </c>
      <c r="B165" s="82">
        <v>25</v>
      </c>
      <c r="C165" s="82">
        <v>2</v>
      </c>
      <c r="D165" s="82">
        <v>2510</v>
      </c>
      <c r="E165" s="82"/>
      <c r="F165" s="82">
        <f t="shared" si="2"/>
        <v>2</v>
      </c>
    </row>
    <row r="166" spans="1:6" x14ac:dyDescent="0.25">
      <c r="A166" s="82">
        <v>5</v>
      </c>
      <c r="B166" s="82">
        <v>25</v>
      </c>
      <c r="C166" s="82">
        <v>2</v>
      </c>
      <c r="D166" s="82">
        <v>2785</v>
      </c>
      <c r="E166" s="82"/>
      <c r="F166" s="82">
        <f t="shared" si="2"/>
        <v>2</v>
      </c>
    </row>
    <row r="167" spans="1:6" x14ac:dyDescent="0.25">
      <c r="A167" s="82">
        <v>5</v>
      </c>
      <c r="B167" s="82">
        <v>25</v>
      </c>
      <c r="C167" s="82">
        <v>2</v>
      </c>
      <c r="D167" s="82">
        <v>3050</v>
      </c>
      <c r="E167" s="82">
        <v>2</v>
      </c>
      <c r="F167" s="82">
        <f t="shared" si="2"/>
        <v>0</v>
      </c>
    </row>
    <row r="168" spans="1:6" x14ac:dyDescent="0.25">
      <c r="A168" s="82">
        <v>5</v>
      </c>
      <c r="B168" s="82">
        <v>25</v>
      </c>
      <c r="C168" s="82">
        <v>2</v>
      </c>
      <c r="D168" s="82">
        <v>3100</v>
      </c>
      <c r="E168" s="82">
        <v>2</v>
      </c>
      <c r="F168" s="82">
        <f t="shared" si="2"/>
        <v>0</v>
      </c>
    </row>
    <row r="169" spans="1:6" x14ac:dyDescent="0.25">
      <c r="A169" s="82">
        <v>5</v>
      </c>
      <c r="B169" s="82">
        <v>25</v>
      </c>
      <c r="C169" s="82">
        <v>2</v>
      </c>
      <c r="D169" s="82">
        <v>3155</v>
      </c>
      <c r="E169" s="82">
        <v>2</v>
      </c>
      <c r="F169" s="82">
        <f t="shared" si="2"/>
        <v>0</v>
      </c>
    </row>
    <row r="170" spans="1:6" x14ac:dyDescent="0.25">
      <c r="A170" s="82">
        <v>5</v>
      </c>
      <c r="B170" s="82">
        <v>25</v>
      </c>
      <c r="C170" s="82">
        <v>1</v>
      </c>
      <c r="D170" s="82">
        <v>3600</v>
      </c>
      <c r="E170" s="82">
        <v>1</v>
      </c>
      <c r="F170" s="82">
        <f t="shared" si="2"/>
        <v>0</v>
      </c>
    </row>
    <row r="171" spans="1:6" x14ac:dyDescent="0.25">
      <c r="A171" s="82">
        <v>5</v>
      </c>
      <c r="B171" s="82">
        <v>25</v>
      </c>
      <c r="C171" s="82">
        <v>9</v>
      </c>
      <c r="D171" s="82">
        <v>3700</v>
      </c>
      <c r="E171" s="82">
        <v>9</v>
      </c>
      <c r="F171" s="82">
        <f t="shared" si="2"/>
        <v>0</v>
      </c>
    </row>
    <row r="172" spans="1:6" x14ac:dyDescent="0.25">
      <c r="A172" s="82">
        <v>5</v>
      </c>
      <c r="B172" s="82">
        <v>25</v>
      </c>
      <c r="C172" s="82">
        <v>3</v>
      </c>
      <c r="D172" s="82">
        <v>3715</v>
      </c>
      <c r="E172" s="82">
        <v>3</v>
      </c>
      <c r="F172" s="82">
        <f t="shared" si="2"/>
        <v>0</v>
      </c>
    </row>
    <row r="173" spans="1:6" x14ac:dyDescent="0.25">
      <c r="A173" s="82">
        <v>5</v>
      </c>
      <c r="B173" s="82">
        <v>25</v>
      </c>
      <c r="C173" s="82">
        <v>2</v>
      </c>
      <c r="D173" s="82">
        <v>3795</v>
      </c>
      <c r="E173" s="82">
        <v>2</v>
      </c>
      <c r="F173" s="82">
        <f t="shared" si="2"/>
        <v>0</v>
      </c>
    </row>
    <row r="174" spans="1:6" x14ac:dyDescent="0.25">
      <c r="A174" s="82">
        <v>5</v>
      </c>
      <c r="B174" s="82">
        <v>25</v>
      </c>
      <c r="C174" s="82">
        <v>4</v>
      </c>
      <c r="D174" s="82">
        <v>3800</v>
      </c>
      <c r="E174" s="82">
        <v>4</v>
      </c>
      <c r="F174" s="82">
        <f t="shared" si="2"/>
        <v>0</v>
      </c>
    </row>
    <row r="175" spans="1:6" x14ac:dyDescent="0.25">
      <c r="A175" s="82">
        <v>6</v>
      </c>
      <c r="B175" s="82">
        <v>25</v>
      </c>
      <c r="C175" s="82">
        <v>103</v>
      </c>
      <c r="D175" s="82">
        <v>3830</v>
      </c>
      <c r="E175" s="82"/>
      <c r="F175" s="82">
        <f t="shared" si="2"/>
        <v>103</v>
      </c>
    </row>
    <row r="176" spans="1:6" x14ac:dyDescent="0.25">
      <c r="A176" s="82">
        <v>5</v>
      </c>
      <c r="B176" s="82">
        <v>25</v>
      </c>
      <c r="C176" s="82">
        <v>4</v>
      </c>
      <c r="D176" s="82">
        <v>3875</v>
      </c>
      <c r="E176" s="82">
        <v>4</v>
      </c>
      <c r="F176" s="82">
        <f t="shared" si="2"/>
        <v>0</v>
      </c>
    </row>
    <row r="177" spans="1:6" x14ac:dyDescent="0.25">
      <c r="A177" s="82">
        <v>5</v>
      </c>
      <c r="B177" s="82">
        <v>25</v>
      </c>
      <c r="C177" s="82">
        <v>4</v>
      </c>
      <c r="D177" s="82">
        <v>5170</v>
      </c>
      <c r="E177" s="82">
        <v>4</v>
      </c>
      <c r="F177" s="82">
        <f t="shared" si="2"/>
        <v>0</v>
      </c>
    </row>
    <row r="178" spans="1:6" x14ac:dyDescent="0.25">
      <c r="A178" s="82">
        <v>5</v>
      </c>
      <c r="B178" s="82">
        <v>25</v>
      </c>
      <c r="C178" s="82">
        <v>1</v>
      </c>
      <c r="D178" s="82">
        <v>5480</v>
      </c>
      <c r="E178" s="82">
        <v>1</v>
      </c>
      <c r="F178" s="82">
        <f t="shared" si="2"/>
        <v>0</v>
      </c>
    </row>
    <row r="179" spans="1:6" x14ac:dyDescent="0.25">
      <c r="A179" s="82">
        <v>5</v>
      </c>
      <c r="B179" s="82">
        <v>25</v>
      </c>
      <c r="C179" s="82">
        <v>2</v>
      </c>
      <c r="D179" s="82">
        <v>5495</v>
      </c>
      <c r="E179" s="82">
        <v>2</v>
      </c>
      <c r="F179" s="82">
        <f t="shared" si="2"/>
        <v>0</v>
      </c>
    </row>
    <row r="180" spans="1:6" x14ac:dyDescent="0.25">
      <c r="A180" s="82">
        <v>3</v>
      </c>
      <c r="B180" s="82">
        <v>32</v>
      </c>
      <c r="C180" s="82">
        <v>2</v>
      </c>
      <c r="D180" s="82">
        <v>1600</v>
      </c>
      <c r="E180" s="82">
        <v>2</v>
      </c>
      <c r="F180" s="82">
        <f t="shared" si="2"/>
        <v>0</v>
      </c>
    </row>
    <row r="181" spans="1:6" x14ac:dyDescent="0.25">
      <c r="A181" s="82">
        <v>4</v>
      </c>
      <c r="B181" s="82">
        <v>32</v>
      </c>
      <c r="C181" s="82">
        <v>1</v>
      </c>
      <c r="D181" s="82">
        <v>1610</v>
      </c>
      <c r="E181" s="82">
        <v>1</v>
      </c>
      <c r="F181" s="82">
        <f t="shared" si="2"/>
        <v>0</v>
      </c>
    </row>
    <row r="182" spans="1:6" x14ac:dyDescent="0.25">
      <c r="A182" s="82">
        <v>8</v>
      </c>
      <c r="B182" s="82">
        <v>32</v>
      </c>
      <c r="C182" s="82">
        <v>388</v>
      </c>
      <c r="D182" s="82">
        <v>1700</v>
      </c>
      <c r="E182" s="82">
        <v>738</v>
      </c>
      <c r="F182" s="82">
        <f t="shared" si="2"/>
        <v>-350</v>
      </c>
    </row>
    <row r="183" spans="1:6" x14ac:dyDescent="0.25">
      <c r="A183" s="82">
        <v>1</v>
      </c>
      <c r="B183" s="82">
        <v>32</v>
      </c>
      <c r="C183" s="82">
        <v>4</v>
      </c>
      <c r="D183" s="82">
        <v>1730</v>
      </c>
      <c r="E183" s="82">
        <v>4</v>
      </c>
      <c r="F183" s="82">
        <f t="shared" si="2"/>
        <v>0</v>
      </c>
    </row>
    <row r="184" spans="1:6" x14ac:dyDescent="0.25">
      <c r="A184" s="82">
        <v>2</v>
      </c>
      <c r="B184" s="82">
        <v>32</v>
      </c>
      <c r="C184" s="82">
        <v>8</v>
      </c>
      <c r="D184" s="82">
        <v>1750</v>
      </c>
      <c r="E184" s="82">
        <v>8</v>
      </c>
      <c r="F184" s="82">
        <f t="shared" si="2"/>
        <v>0</v>
      </c>
    </row>
    <row r="185" spans="1:6" x14ac:dyDescent="0.25">
      <c r="A185" s="82">
        <v>6</v>
      </c>
      <c r="B185" s="82">
        <v>32</v>
      </c>
      <c r="C185" s="82">
        <v>42</v>
      </c>
      <c r="D185" s="82">
        <v>1760</v>
      </c>
      <c r="E185" s="82">
        <v>52</v>
      </c>
      <c r="F185" s="82">
        <f t="shared" si="2"/>
        <v>-10</v>
      </c>
    </row>
    <row r="186" spans="1:6" x14ac:dyDescent="0.25">
      <c r="A186" s="82">
        <v>7</v>
      </c>
      <c r="B186" s="82">
        <v>32</v>
      </c>
      <c r="C186" s="82">
        <v>1</v>
      </c>
      <c r="D186" s="82">
        <v>1775</v>
      </c>
      <c r="E186" s="82">
        <v>5</v>
      </c>
      <c r="F186" s="82">
        <f t="shared" si="2"/>
        <v>-4</v>
      </c>
    </row>
    <row r="187" spans="1:6" x14ac:dyDescent="0.25">
      <c r="A187" s="82">
        <v>6</v>
      </c>
      <c r="B187" s="82">
        <v>32</v>
      </c>
      <c r="C187" s="82">
        <v>10</v>
      </c>
      <c r="D187" s="82">
        <v>1780</v>
      </c>
      <c r="E187" s="82">
        <v>21</v>
      </c>
      <c r="F187" s="82">
        <f t="shared" si="2"/>
        <v>-11</v>
      </c>
    </row>
    <row r="188" spans="1:6" x14ac:dyDescent="0.25">
      <c r="A188" s="82">
        <v>6</v>
      </c>
      <c r="B188" s="82">
        <v>32</v>
      </c>
      <c r="C188" s="82">
        <v>10</v>
      </c>
      <c r="D188" s="82">
        <v>1785</v>
      </c>
      <c r="E188" s="82">
        <v>20</v>
      </c>
      <c r="F188" s="82">
        <f t="shared" si="2"/>
        <v>-10</v>
      </c>
    </row>
    <row r="189" spans="1:6" x14ac:dyDescent="0.25">
      <c r="A189" s="82">
        <v>3</v>
      </c>
      <c r="B189" s="82">
        <v>32</v>
      </c>
      <c r="C189" s="82">
        <v>7</v>
      </c>
      <c r="D189" s="82">
        <v>1790</v>
      </c>
      <c r="E189" s="82">
        <v>7</v>
      </c>
      <c r="F189" s="82">
        <f t="shared" si="2"/>
        <v>0</v>
      </c>
    </row>
    <row r="190" spans="1:6" x14ac:dyDescent="0.25">
      <c r="A190" s="82">
        <v>7</v>
      </c>
      <c r="B190" s="82">
        <v>32</v>
      </c>
      <c r="C190" s="82">
        <v>29</v>
      </c>
      <c r="D190" s="82">
        <v>1800</v>
      </c>
      <c r="E190" s="82">
        <v>111</v>
      </c>
      <c r="F190" s="82">
        <f t="shared" si="2"/>
        <v>-82</v>
      </c>
    </row>
    <row r="191" spans="1:6" x14ac:dyDescent="0.25">
      <c r="A191" s="82">
        <v>6</v>
      </c>
      <c r="B191" s="82">
        <v>32</v>
      </c>
      <c r="C191" s="82">
        <v>9</v>
      </c>
      <c r="D191" s="82">
        <v>1810</v>
      </c>
      <c r="E191" s="82">
        <v>36</v>
      </c>
      <c r="F191" s="82">
        <f t="shared" si="2"/>
        <v>-27</v>
      </c>
    </row>
    <row r="192" spans="1:6" x14ac:dyDescent="0.25">
      <c r="A192" s="82">
        <v>2</v>
      </c>
      <c r="B192" s="82">
        <v>32</v>
      </c>
      <c r="C192" s="82">
        <v>10</v>
      </c>
      <c r="D192" s="82">
        <v>1830</v>
      </c>
      <c r="E192" s="82">
        <v>10</v>
      </c>
      <c r="F192" s="82">
        <f t="shared" si="2"/>
        <v>0</v>
      </c>
    </row>
    <row r="193" spans="1:6" x14ac:dyDescent="0.25">
      <c r="A193" s="82">
        <v>6</v>
      </c>
      <c r="B193" s="82">
        <v>32</v>
      </c>
      <c r="C193" s="82">
        <v>2</v>
      </c>
      <c r="D193" s="82">
        <v>1835</v>
      </c>
      <c r="E193" s="82">
        <v>8</v>
      </c>
      <c r="F193" s="82">
        <f t="shared" si="2"/>
        <v>-6</v>
      </c>
    </row>
    <row r="194" spans="1:6" x14ac:dyDescent="0.25">
      <c r="A194" s="82">
        <v>6</v>
      </c>
      <c r="B194" s="82">
        <v>32</v>
      </c>
      <c r="C194" s="82">
        <v>20</v>
      </c>
      <c r="D194" s="82">
        <v>1850</v>
      </c>
      <c r="E194" s="82">
        <v>66</v>
      </c>
      <c r="F194" s="82">
        <f t="shared" ref="F194:F257" si="3">C194-E194</f>
        <v>-46</v>
      </c>
    </row>
    <row r="195" spans="1:6" x14ac:dyDescent="0.25">
      <c r="A195" s="82">
        <v>7</v>
      </c>
      <c r="B195" s="82">
        <v>32</v>
      </c>
      <c r="C195" s="82">
        <v>4</v>
      </c>
      <c r="D195" s="82">
        <v>1895</v>
      </c>
      <c r="E195" s="82">
        <v>20</v>
      </c>
      <c r="F195" s="82">
        <f t="shared" si="3"/>
        <v>-16</v>
      </c>
    </row>
    <row r="196" spans="1:6" x14ac:dyDescent="0.25">
      <c r="A196" s="82">
        <v>2</v>
      </c>
      <c r="B196" s="82">
        <v>32</v>
      </c>
      <c r="C196" s="82">
        <v>3</v>
      </c>
      <c r="D196" s="82">
        <v>1900</v>
      </c>
      <c r="E196" s="82">
        <v>3</v>
      </c>
      <c r="F196" s="82">
        <f t="shared" si="3"/>
        <v>0</v>
      </c>
    </row>
    <row r="197" spans="1:6" x14ac:dyDescent="0.25">
      <c r="A197" s="82">
        <v>3</v>
      </c>
      <c r="B197" s="82">
        <v>32</v>
      </c>
      <c r="C197" s="82">
        <v>5</v>
      </c>
      <c r="D197" s="82">
        <v>1980</v>
      </c>
      <c r="E197" s="82">
        <v>5</v>
      </c>
      <c r="F197" s="82">
        <f t="shared" si="3"/>
        <v>0</v>
      </c>
    </row>
    <row r="198" spans="1:6" x14ac:dyDescent="0.25">
      <c r="A198" s="82">
        <v>6</v>
      </c>
      <c r="B198" s="82">
        <v>32</v>
      </c>
      <c r="C198" s="82">
        <v>10</v>
      </c>
      <c r="D198" s="82">
        <v>2000</v>
      </c>
      <c r="E198" s="82">
        <v>20</v>
      </c>
      <c r="F198" s="82">
        <f t="shared" si="3"/>
        <v>-10</v>
      </c>
    </row>
    <row r="199" spans="1:6" x14ac:dyDescent="0.25">
      <c r="A199" s="82">
        <v>5</v>
      </c>
      <c r="B199" s="82">
        <v>32</v>
      </c>
      <c r="C199" s="82">
        <v>21</v>
      </c>
      <c r="D199" s="82">
        <v>2015</v>
      </c>
      <c r="E199" s="82">
        <v>42</v>
      </c>
      <c r="F199" s="82">
        <f t="shared" si="3"/>
        <v>-21</v>
      </c>
    </row>
    <row r="200" spans="1:6" x14ac:dyDescent="0.25">
      <c r="A200" s="82">
        <v>6</v>
      </c>
      <c r="B200" s="82">
        <v>32</v>
      </c>
      <c r="C200" s="82">
        <v>14</v>
      </c>
      <c r="D200" s="82">
        <v>2040</v>
      </c>
      <c r="E200" s="82">
        <v>28</v>
      </c>
      <c r="F200" s="82">
        <f t="shared" si="3"/>
        <v>-14</v>
      </c>
    </row>
    <row r="201" spans="1:6" x14ac:dyDescent="0.25">
      <c r="A201" s="82">
        <v>7</v>
      </c>
      <c r="B201" s="82">
        <v>32</v>
      </c>
      <c r="C201" s="82">
        <v>1</v>
      </c>
      <c r="D201" s="82">
        <v>2055</v>
      </c>
      <c r="E201" s="82">
        <v>5</v>
      </c>
      <c r="F201" s="82">
        <f t="shared" si="3"/>
        <v>-4</v>
      </c>
    </row>
    <row r="202" spans="1:6" x14ac:dyDescent="0.25">
      <c r="A202" s="82">
        <v>6</v>
      </c>
      <c r="B202" s="82">
        <v>32</v>
      </c>
      <c r="C202" s="82">
        <v>10</v>
      </c>
      <c r="D202" s="82">
        <v>2100</v>
      </c>
      <c r="E202" s="82">
        <v>20</v>
      </c>
      <c r="F202" s="82">
        <f t="shared" si="3"/>
        <v>-10</v>
      </c>
    </row>
    <row r="203" spans="1:6" x14ac:dyDescent="0.25">
      <c r="A203" s="82">
        <v>6</v>
      </c>
      <c r="B203" s="82">
        <v>32</v>
      </c>
      <c r="C203" s="82">
        <v>21</v>
      </c>
      <c r="D203" s="82">
        <v>2115</v>
      </c>
      <c r="E203" s="82">
        <v>36</v>
      </c>
      <c r="F203" s="82">
        <f t="shared" si="3"/>
        <v>-15</v>
      </c>
    </row>
    <row r="204" spans="1:6" x14ac:dyDescent="0.25">
      <c r="A204" s="82">
        <v>3</v>
      </c>
      <c r="B204" s="82">
        <v>32</v>
      </c>
      <c r="C204" s="82">
        <v>7</v>
      </c>
      <c r="D204" s="82">
        <v>2130</v>
      </c>
      <c r="E204" s="82">
        <v>7</v>
      </c>
      <c r="F204" s="82">
        <f t="shared" si="3"/>
        <v>0</v>
      </c>
    </row>
    <row r="205" spans="1:6" x14ac:dyDescent="0.25">
      <c r="A205" s="82">
        <v>6</v>
      </c>
      <c r="B205" s="82">
        <v>32</v>
      </c>
      <c r="C205" s="82">
        <v>10</v>
      </c>
      <c r="D205" s="82">
        <v>2135</v>
      </c>
      <c r="E205" s="82">
        <v>48</v>
      </c>
      <c r="F205" s="82">
        <f t="shared" si="3"/>
        <v>-38</v>
      </c>
    </row>
    <row r="206" spans="1:6" x14ac:dyDescent="0.25">
      <c r="A206" s="82">
        <v>3</v>
      </c>
      <c r="B206" s="82">
        <v>32</v>
      </c>
      <c r="C206" s="82">
        <v>3</v>
      </c>
      <c r="D206" s="82">
        <v>2170</v>
      </c>
      <c r="E206" s="82">
        <v>3</v>
      </c>
      <c r="F206" s="82">
        <f t="shared" si="3"/>
        <v>0</v>
      </c>
    </row>
    <row r="207" spans="1:6" x14ac:dyDescent="0.25">
      <c r="A207" s="82">
        <v>6</v>
      </c>
      <c r="B207" s="82">
        <v>32</v>
      </c>
      <c r="C207" s="82">
        <v>9</v>
      </c>
      <c r="D207" s="82">
        <v>2180</v>
      </c>
      <c r="E207" s="82">
        <v>36</v>
      </c>
      <c r="F207" s="82">
        <f t="shared" si="3"/>
        <v>-27</v>
      </c>
    </row>
    <row r="208" spans="1:6" x14ac:dyDescent="0.25">
      <c r="A208" s="82">
        <v>3</v>
      </c>
      <c r="B208" s="82">
        <v>32</v>
      </c>
      <c r="C208" s="82">
        <v>7</v>
      </c>
      <c r="D208" s="82">
        <v>2230</v>
      </c>
      <c r="E208" s="82">
        <v>7</v>
      </c>
      <c r="F208" s="82">
        <f t="shared" si="3"/>
        <v>0</v>
      </c>
    </row>
    <row r="209" spans="1:6" x14ac:dyDescent="0.25">
      <c r="A209" s="82">
        <v>6</v>
      </c>
      <c r="B209" s="82">
        <v>32</v>
      </c>
      <c r="C209" s="82">
        <v>21</v>
      </c>
      <c r="D209" s="82">
        <v>2240</v>
      </c>
      <c r="E209" s="82">
        <v>84</v>
      </c>
      <c r="F209" s="82">
        <f t="shared" si="3"/>
        <v>-63</v>
      </c>
    </row>
    <row r="210" spans="1:6" x14ac:dyDescent="0.25">
      <c r="A210" s="82">
        <v>6</v>
      </c>
      <c r="B210" s="82">
        <v>32</v>
      </c>
      <c r="C210" s="82">
        <v>11</v>
      </c>
      <c r="D210" s="82">
        <v>2275</v>
      </c>
      <c r="E210" s="82">
        <v>44</v>
      </c>
      <c r="F210" s="82">
        <f t="shared" si="3"/>
        <v>-33</v>
      </c>
    </row>
    <row r="211" spans="1:6" x14ac:dyDescent="0.25">
      <c r="A211" s="82">
        <v>6</v>
      </c>
      <c r="B211" s="82">
        <v>32</v>
      </c>
      <c r="C211" s="82">
        <v>21</v>
      </c>
      <c r="D211" s="82">
        <v>2280</v>
      </c>
      <c r="E211" s="82">
        <v>58</v>
      </c>
      <c r="F211" s="82">
        <f t="shared" si="3"/>
        <v>-37</v>
      </c>
    </row>
    <row r="212" spans="1:6" x14ac:dyDescent="0.25">
      <c r="A212" s="82">
        <v>4</v>
      </c>
      <c r="B212" s="82">
        <v>32</v>
      </c>
      <c r="C212" s="82">
        <v>3</v>
      </c>
      <c r="D212" s="82">
        <v>2310</v>
      </c>
      <c r="E212" s="82">
        <v>3</v>
      </c>
      <c r="F212" s="82">
        <f t="shared" si="3"/>
        <v>0</v>
      </c>
    </row>
    <row r="213" spans="1:6" x14ac:dyDescent="0.25">
      <c r="A213" s="82">
        <v>3</v>
      </c>
      <c r="B213" s="82">
        <v>32</v>
      </c>
      <c r="C213" s="82">
        <v>9</v>
      </c>
      <c r="D213" s="82">
        <v>2320</v>
      </c>
      <c r="E213" s="82">
        <v>9</v>
      </c>
      <c r="F213" s="82">
        <f t="shared" si="3"/>
        <v>0</v>
      </c>
    </row>
    <row r="214" spans="1:6" x14ac:dyDescent="0.25">
      <c r="A214" s="82">
        <v>3</v>
      </c>
      <c r="B214" s="82">
        <v>32</v>
      </c>
      <c r="C214" s="82">
        <v>13</v>
      </c>
      <c r="D214" s="82">
        <v>2330</v>
      </c>
      <c r="E214" s="82">
        <v>13</v>
      </c>
      <c r="F214" s="82">
        <f t="shared" si="3"/>
        <v>0</v>
      </c>
    </row>
    <row r="215" spans="1:6" x14ac:dyDescent="0.25">
      <c r="A215" s="82">
        <v>6</v>
      </c>
      <c r="B215" s="82">
        <v>32</v>
      </c>
      <c r="C215" s="82">
        <v>18</v>
      </c>
      <c r="D215" s="82">
        <v>2340</v>
      </c>
      <c r="E215" s="82">
        <v>36</v>
      </c>
      <c r="F215" s="82">
        <f t="shared" si="3"/>
        <v>-18</v>
      </c>
    </row>
    <row r="216" spans="1:6" x14ac:dyDescent="0.25">
      <c r="A216" s="82">
        <v>5</v>
      </c>
      <c r="B216" s="82">
        <v>32</v>
      </c>
      <c r="C216" s="82">
        <v>2</v>
      </c>
      <c r="D216" s="82">
        <v>2380</v>
      </c>
      <c r="E216" s="82">
        <v>4</v>
      </c>
      <c r="F216" s="82">
        <f t="shared" si="3"/>
        <v>-2</v>
      </c>
    </row>
    <row r="217" spans="1:6" x14ac:dyDescent="0.25">
      <c r="A217" s="82">
        <v>2</v>
      </c>
      <c r="B217" s="82">
        <v>32</v>
      </c>
      <c r="C217" s="82">
        <v>17</v>
      </c>
      <c r="D217" s="82">
        <v>2390</v>
      </c>
      <c r="E217" s="82">
        <v>17</v>
      </c>
      <c r="F217" s="82">
        <f t="shared" si="3"/>
        <v>0</v>
      </c>
    </row>
    <row r="218" spans="1:6" x14ac:dyDescent="0.25">
      <c r="A218" s="82">
        <v>3</v>
      </c>
      <c r="B218" s="82">
        <v>32</v>
      </c>
      <c r="C218" s="82">
        <v>5</v>
      </c>
      <c r="D218" s="82">
        <v>2410</v>
      </c>
      <c r="E218" s="82">
        <v>5</v>
      </c>
      <c r="F218" s="82">
        <f t="shared" si="3"/>
        <v>0</v>
      </c>
    </row>
    <row r="219" spans="1:6" x14ac:dyDescent="0.25">
      <c r="A219" s="82">
        <v>5</v>
      </c>
      <c r="B219" s="82">
        <v>32</v>
      </c>
      <c r="C219" s="82">
        <v>3</v>
      </c>
      <c r="D219" s="82">
        <v>2440</v>
      </c>
      <c r="E219" s="82">
        <v>3</v>
      </c>
      <c r="F219" s="82">
        <f t="shared" si="3"/>
        <v>0</v>
      </c>
    </row>
    <row r="220" spans="1:6" x14ac:dyDescent="0.25">
      <c r="A220" s="82">
        <v>5</v>
      </c>
      <c r="B220" s="82">
        <v>32</v>
      </c>
      <c r="C220" s="82">
        <v>10</v>
      </c>
      <c r="D220" s="82">
        <v>2445</v>
      </c>
      <c r="E220" s="82">
        <v>10</v>
      </c>
      <c r="F220" s="82">
        <f t="shared" si="3"/>
        <v>0</v>
      </c>
    </row>
    <row r="221" spans="1:6" x14ac:dyDescent="0.25">
      <c r="A221" s="82">
        <v>3</v>
      </c>
      <c r="B221" s="82">
        <v>32</v>
      </c>
      <c r="C221" s="82">
        <v>5</v>
      </c>
      <c r="D221" s="82">
        <v>2450</v>
      </c>
      <c r="E221" s="82">
        <v>5</v>
      </c>
      <c r="F221" s="82">
        <f t="shared" si="3"/>
        <v>0</v>
      </c>
    </row>
    <row r="222" spans="1:6" x14ac:dyDescent="0.25">
      <c r="A222" s="82">
        <v>5</v>
      </c>
      <c r="B222" s="82">
        <v>32</v>
      </c>
      <c r="C222" s="82">
        <v>37</v>
      </c>
      <c r="D222" s="82">
        <v>2455</v>
      </c>
      <c r="E222" s="82">
        <v>37</v>
      </c>
      <c r="F222" s="82">
        <f t="shared" si="3"/>
        <v>0</v>
      </c>
    </row>
    <row r="223" spans="1:6" x14ac:dyDescent="0.25">
      <c r="A223" s="82">
        <v>3</v>
      </c>
      <c r="B223" s="82">
        <v>32</v>
      </c>
      <c r="C223" s="82">
        <v>19</v>
      </c>
      <c r="D223" s="82">
        <v>2500</v>
      </c>
      <c r="E223" s="82">
        <v>19</v>
      </c>
      <c r="F223" s="82">
        <f t="shared" si="3"/>
        <v>0</v>
      </c>
    </row>
    <row r="224" spans="1:6" x14ac:dyDescent="0.25">
      <c r="A224" s="82">
        <v>5</v>
      </c>
      <c r="B224" s="82">
        <v>32</v>
      </c>
      <c r="C224" s="82">
        <v>17</v>
      </c>
      <c r="D224" s="82">
        <v>2505</v>
      </c>
      <c r="E224" s="82">
        <v>17</v>
      </c>
      <c r="F224" s="82">
        <f t="shared" si="3"/>
        <v>0</v>
      </c>
    </row>
    <row r="225" spans="1:6" x14ac:dyDescent="0.25">
      <c r="A225" s="82">
        <v>1</v>
      </c>
      <c r="B225" s="82">
        <v>32</v>
      </c>
      <c r="C225" s="82">
        <v>6</v>
      </c>
      <c r="D225" s="82">
        <v>2520</v>
      </c>
      <c r="E225" s="82">
        <v>6</v>
      </c>
      <c r="F225" s="82">
        <f t="shared" si="3"/>
        <v>0</v>
      </c>
    </row>
    <row r="226" spans="1:6" x14ac:dyDescent="0.25">
      <c r="A226" s="82">
        <v>6</v>
      </c>
      <c r="B226" s="82">
        <v>32</v>
      </c>
      <c r="C226" s="82">
        <v>12</v>
      </c>
      <c r="D226" s="82">
        <v>2555</v>
      </c>
      <c r="E226" s="82">
        <v>36</v>
      </c>
      <c r="F226" s="82">
        <f t="shared" si="3"/>
        <v>-24</v>
      </c>
    </row>
    <row r="227" spans="1:6" x14ac:dyDescent="0.25">
      <c r="A227" s="82">
        <v>7</v>
      </c>
      <c r="B227" s="82">
        <v>32</v>
      </c>
      <c r="C227" s="82">
        <v>1</v>
      </c>
      <c r="D227" s="82">
        <v>2560</v>
      </c>
      <c r="E227" s="82">
        <v>3</v>
      </c>
      <c r="F227" s="82">
        <f t="shared" si="3"/>
        <v>-2</v>
      </c>
    </row>
    <row r="228" spans="1:6" x14ac:dyDescent="0.25">
      <c r="A228" s="82">
        <v>9</v>
      </c>
      <c r="B228" s="82">
        <v>32</v>
      </c>
      <c r="C228" s="82">
        <v>3</v>
      </c>
      <c r="D228" s="82">
        <v>2640</v>
      </c>
      <c r="E228" s="82">
        <v>9</v>
      </c>
      <c r="F228" s="82">
        <f t="shared" si="3"/>
        <v>-6</v>
      </c>
    </row>
    <row r="229" spans="1:6" x14ac:dyDescent="0.25">
      <c r="A229" s="82">
        <v>7</v>
      </c>
      <c r="B229" s="82">
        <v>32</v>
      </c>
      <c r="C229" s="82">
        <v>1</v>
      </c>
      <c r="D229" s="82">
        <v>2660</v>
      </c>
      <c r="E229" s="82">
        <v>4</v>
      </c>
      <c r="F229" s="82">
        <f t="shared" si="3"/>
        <v>-3</v>
      </c>
    </row>
    <row r="230" spans="1:6" x14ac:dyDescent="0.25">
      <c r="A230" s="82">
        <v>1</v>
      </c>
      <c r="B230" s="82">
        <v>32</v>
      </c>
      <c r="C230" s="82">
        <v>4</v>
      </c>
      <c r="D230" s="82">
        <v>2690</v>
      </c>
      <c r="E230" s="82">
        <v>4</v>
      </c>
      <c r="F230" s="82">
        <f t="shared" si="3"/>
        <v>0</v>
      </c>
    </row>
    <row r="231" spans="1:6" x14ac:dyDescent="0.25">
      <c r="A231" s="82">
        <v>9</v>
      </c>
      <c r="B231" s="82">
        <v>32</v>
      </c>
      <c r="C231" s="82">
        <v>245</v>
      </c>
      <c r="D231" s="82">
        <v>2700</v>
      </c>
      <c r="E231" s="82">
        <v>218</v>
      </c>
      <c r="F231" s="82">
        <f t="shared" si="3"/>
        <v>27</v>
      </c>
    </row>
    <row r="232" spans="1:6" x14ac:dyDescent="0.25">
      <c r="A232" s="82">
        <v>7</v>
      </c>
      <c r="B232" s="82">
        <v>32</v>
      </c>
      <c r="C232" s="82">
        <v>5</v>
      </c>
      <c r="D232" s="82">
        <v>2720</v>
      </c>
      <c r="E232" s="82"/>
      <c r="F232" s="82">
        <f t="shared" si="3"/>
        <v>5</v>
      </c>
    </row>
    <row r="233" spans="1:6" x14ac:dyDescent="0.25">
      <c r="A233" s="82">
        <v>10</v>
      </c>
      <c r="B233" s="82">
        <v>32</v>
      </c>
      <c r="C233" s="82">
        <v>13</v>
      </c>
      <c r="D233" s="82">
        <v>2760</v>
      </c>
      <c r="E233" s="82">
        <v>12</v>
      </c>
      <c r="F233" s="82">
        <f t="shared" si="3"/>
        <v>1</v>
      </c>
    </row>
    <row r="234" spans="1:6" x14ac:dyDescent="0.25">
      <c r="A234" s="82">
        <v>7</v>
      </c>
      <c r="B234" s="82">
        <v>32</v>
      </c>
      <c r="C234" s="82">
        <v>9</v>
      </c>
      <c r="D234" s="82">
        <v>2780</v>
      </c>
      <c r="E234" s="82">
        <v>36</v>
      </c>
      <c r="F234" s="82">
        <f t="shared" si="3"/>
        <v>-27</v>
      </c>
    </row>
    <row r="235" spans="1:6" x14ac:dyDescent="0.25">
      <c r="A235" s="82">
        <v>7</v>
      </c>
      <c r="B235" s="82">
        <v>32</v>
      </c>
      <c r="C235" s="82">
        <v>17</v>
      </c>
      <c r="D235" s="82">
        <v>2800</v>
      </c>
      <c r="E235" s="82">
        <v>27</v>
      </c>
      <c r="F235" s="82">
        <f t="shared" si="3"/>
        <v>-10</v>
      </c>
    </row>
    <row r="236" spans="1:6" x14ac:dyDescent="0.25">
      <c r="A236" s="82">
        <v>6</v>
      </c>
      <c r="B236" s="82">
        <v>32</v>
      </c>
      <c r="C236" s="82">
        <v>12</v>
      </c>
      <c r="D236" s="82">
        <v>2810</v>
      </c>
      <c r="E236" s="82">
        <v>12</v>
      </c>
      <c r="F236" s="82">
        <f t="shared" si="3"/>
        <v>0</v>
      </c>
    </row>
    <row r="237" spans="1:6" x14ac:dyDescent="0.25">
      <c r="A237" s="82">
        <v>7</v>
      </c>
      <c r="B237" s="82">
        <v>32</v>
      </c>
      <c r="C237" s="82">
        <v>5</v>
      </c>
      <c r="D237" s="82">
        <v>2835</v>
      </c>
      <c r="E237" s="82">
        <v>5</v>
      </c>
      <c r="F237" s="82">
        <f t="shared" si="3"/>
        <v>0</v>
      </c>
    </row>
    <row r="238" spans="1:6" x14ac:dyDescent="0.25">
      <c r="A238" s="82">
        <v>9</v>
      </c>
      <c r="B238" s="82">
        <v>32</v>
      </c>
      <c r="C238" s="82">
        <v>23</v>
      </c>
      <c r="D238" s="82">
        <v>2850</v>
      </c>
      <c r="E238" s="82">
        <v>32</v>
      </c>
      <c r="F238" s="82">
        <f t="shared" si="3"/>
        <v>-9</v>
      </c>
    </row>
    <row r="239" spans="1:6" x14ac:dyDescent="0.25">
      <c r="A239" s="82">
        <v>9</v>
      </c>
      <c r="B239" s="82">
        <v>32</v>
      </c>
      <c r="C239" s="82">
        <v>1</v>
      </c>
      <c r="D239" s="82">
        <v>2880</v>
      </c>
      <c r="E239" s="82">
        <v>2</v>
      </c>
      <c r="F239" s="82">
        <f t="shared" si="3"/>
        <v>-1</v>
      </c>
    </row>
    <row r="240" spans="1:6" x14ac:dyDescent="0.25">
      <c r="A240" s="82">
        <v>2</v>
      </c>
      <c r="B240" s="82">
        <v>32</v>
      </c>
      <c r="C240" s="82">
        <v>8</v>
      </c>
      <c r="D240" s="82">
        <v>2890</v>
      </c>
      <c r="E240" s="82">
        <v>9</v>
      </c>
      <c r="F240" s="82">
        <f t="shared" si="3"/>
        <v>-1</v>
      </c>
    </row>
    <row r="241" spans="1:6" x14ac:dyDescent="0.25">
      <c r="A241" s="82">
        <v>9</v>
      </c>
      <c r="B241" s="82">
        <v>32</v>
      </c>
      <c r="C241" s="82">
        <v>13</v>
      </c>
      <c r="D241" s="82">
        <v>2900</v>
      </c>
      <c r="E241" s="82">
        <v>14</v>
      </c>
      <c r="F241" s="82">
        <f t="shared" si="3"/>
        <v>-1</v>
      </c>
    </row>
    <row r="242" spans="1:6" x14ac:dyDescent="0.25">
      <c r="A242" s="82">
        <v>6</v>
      </c>
      <c r="B242" s="82">
        <v>32</v>
      </c>
      <c r="C242" s="82">
        <v>10</v>
      </c>
      <c r="D242" s="82">
        <v>2930</v>
      </c>
      <c r="E242" s="82">
        <v>30</v>
      </c>
      <c r="F242" s="82">
        <f t="shared" si="3"/>
        <v>-20</v>
      </c>
    </row>
    <row r="243" spans="1:6" x14ac:dyDescent="0.25">
      <c r="A243" s="82">
        <v>6</v>
      </c>
      <c r="B243" s="82">
        <v>32</v>
      </c>
      <c r="C243" s="82">
        <v>6</v>
      </c>
      <c r="D243" s="82">
        <v>2940</v>
      </c>
      <c r="E243" s="82">
        <v>6</v>
      </c>
      <c r="F243" s="82">
        <f t="shared" si="3"/>
        <v>0</v>
      </c>
    </row>
    <row r="244" spans="1:6" x14ac:dyDescent="0.25">
      <c r="A244" s="82">
        <v>6</v>
      </c>
      <c r="B244" s="82">
        <v>32</v>
      </c>
      <c r="C244" s="82">
        <v>6</v>
      </c>
      <c r="D244" s="82">
        <v>2960</v>
      </c>
      <c r="E244" s="82">
        <v>6</v>
      </c>
      <c r="F244" s="82">
        <f t="shared" si="3"/>
        <v>0</v>
      </c>
    </row>
    <row r="245" spans="1:6" x14ac:dyDescent="0.25">
      <c r="A245" s="82">
        <v>9</v>
      </c>
      <c r="B245" s="82">
        <v>32</v>
      </c>
      <c r="C245" s="82">
        <v>1</v>
      </c>
      <c r="D245" s="82">
        <v>2965</v>
      </c>
      <c r="E245" s="82">
        <v>2</v>
      </c>
      <c r="F245" s="82">
        <f t="shared" si="3"/>
        <v>-1</v>
      </c>
    </row>
    <row r="246" spans="1:6" x14ac:dyDescent="0.25">
      <c r="A246" s="82">
        <v>3</v>
      </c>
      <c r="B246" s="82">
        <v>32</v>
      </c>
      <c r="C246" s="82">
        <v>14</v>
      </c>
      <c r="D246" s="82">
        <v>2970</v>
      </c>
      <c r="E246" s="82">
        <v>20</v>
      </c>
      <c r="F246" s="82">
        <f t="shared" si="3"/>
        <v>-6</v>
      </c>
    </row>
    <row r="247" spans="1:6" x14ac:dyDescent="0.25">
      <c r="A247" s="82">
        <v>5</v>
      </c>
      <c r="B247" s="82">
        <v>32</v>
      </c>
      <c r="C247" s="82">
        <v>2</v>
      </c>
      <c r="D247" s="82">
        <v>3000</v>
      </c>
      <c r="E247" s="82">
        <v>4</v>
      </c>
      <c r="F247" s="82">
        <f t="shared" si="3"/>
        <v>-2</v>
      </c>
    </row>
    <row r="248" spans="1:6" x14ac:dyDescent="0.25">
      <c r="A248" s="82">
        <v>6</v>
      </c>
      <c r="B248" s="82">
        <v>32</v>
      </c>
      <c r="C248" s="82">
        <v>8</v>
      </c>
      <c r="D248" s="82">
        <v>3020</v>
      </c>
      <c r="E248" s="82">
        <v>16</v>
      </c>
      <c r="F248" s="82">
        <f t="shared" si="3"/>
        <v>-8</v>
      </c>
    </row>
    <row r="249" spans="1:6" x14ac:dyDescent="0.25">
      <c r="A249" s="82">
        <v>5</v>
      </c>
      <c r="B249" s="82">
        <v>32</v>
      </c>
      <c r="C249" s="82">
        <v>2</v>
      </c>
      <c r="D249" s="82">
        <v>3030</v>
      </c>
      <c r="E249" s="82">
        <v>4</v>
      </c>
      <c r="F249" s="82">
        <f t="shared" si="3"/>
        <v>-2</v>
      </c>
    </row>
    <row r="250" spans="1:6" x14ac:dyDescent="0.25">
      <c r="A250" s="82">
        <v>3</v>
      </c>
      <c r="B250" s="82">
        <v>32</v>
      </c>
      <c r="C250" s="82">
        <v>10</v>
      </c>
      <c r="D250" s="82">
        <v>3040</v>
      </c>
      <c r="E250" s="82">
        <v>12</v>
      </c>
      <c r="F250" s="82">
        <f t="shared" si="3"/>
        <v>-2</v>
      </c>
    </row>
    <row r="251" spans="1:6" x14ac:dyDescent="0.25">
      <c r="A251" s="82">
        <v>9</v>
      </c>
      <c r="B251" s="82">
        <v>32</v>
      </c>
      <c r="C251" s="82">
        <v>8</v>
      </c>
      <c r="D251" s="82">
        <v>3050</v>
      </c>
      <c r="E251" s="82"/>
      <c r="F251" s="82">
        <f t="shared" si="3"/>
        <v>8</v>
      </c>
    </row>
    <row r="252" spans="1:6" x14ac:dyDescent="0.25">
      <c r="A252" s="82">
        <v>6</v>
      </c>
      <c r="B252" s="82">
        <v>32</v>
      </c>
      <c r="C252" s="82">
        <v>7</v>
      </c>
      <c r="D252" s="82">
        <v>3065</v>
      </c>
      <c r="E252" s="82"/>
      <c r="F252" s="82">
        <f t="shared" si="3"/>
        <v>7</v>
      </c>
    </row>
    <row r="253" spans="1:6" x14ac:dyDescent="0.25">
      <c r="A253" s="82">
        <v>7</v>
      </c>
      <c r="B253" s="82">
        <v>32</v>
      </c>
      <c r="C253" s="82">
        <v>20</v>
      </c>
      <c r="D253" s="82">
        <v>3070</v>
      </c>
      <c r="E253" s="82">
        <v>6</v>
      </c>
      <c r="F253" s="82">
        <f t="shared" si="3"/>
        <v>14</v>
      </c>
    </row>
    <row r="254" spans="1:6" x14ac:dyDescent="0.25">
      <c r="A254" s="82">
        <v>9</v>
      </c>
      <c r="B254" s="82">
        <v>32</v>
      </c>
      <c r="C254" s="82">
        <v>10</v>
      </c>
      <c r="D254" s="82">
        <v>3110</v>
      </c>
      <c r="E254" s="82"/>
      <c r="F254" s="82">
        <f t="shared" si="3"/>
        <v>10</v>
      </c>
    </row>
    <row r="255" spans="1:6" x14ac:dyDescent="0.25">
      <c r="A255" s="82">
        <v>8</v>
      </c>
      <c r="B255" s="82">
        <v>32</v>
      </c>
      <c r="C255" s="82">
        <v>7</v>
      </c>
      <c r="D255" s="82">
        <v>3190</v>
      </c>
      <c r="E255" s="82">
        <v>14</v>
      </c>
      <c r="F255" s="82">
        <f t="shared" si="3"/>
        <v>-7</v>
      </c>
    </row>
    <row r="256" spans="1:6" x14ac:dyDescent="0.25">
      <c r="A256" s="82">
        <v>7</v>
      </c>
      <c r="B256" s="82">
        <v>32</v>
      </c>
      <c r="C256" s="82">
        <v>4</v>
      </c>
      <c r="D256" s="82">
        <v>3245</v>
      </c>
      <c r="E256" s="82">
        <v>20</v>
      </c>
      <c r="F256" s="82">
        <f t="shared" si="3"/>
        <v>-16</v>
      </c>
    </row>
    <row r="257" spans="1:6" x14ac:dyDescent="0.25">
      <c r="A257" s="82">
        <v>9</v>
      </c>
      <c r="B257" s="82">
        <v>32</v>
      </c>
      <c r="C257" s="82">
        <v>12</v>
      </c>
      <c r="D257" s="82">
        <v>3295</v>
      </c>
      <c r="E257" s="82">
        <v>24</v>
      </c>
      <c r="F257" s="82">
        <f t="shared" si="3"/>
        <v>-12</v>
      </c>
    </row>
    <row r="258" spans="1:6" x14ac:dyDescent="0.25">
      <c r="A258" s="82">
        <v>7</v>
      </c>
      <c r="B258" s="82">
        <v>32</v>
      </c>
      <c r="C258" s="82">
        <v>3</v>
      </c>
      <c r="D258" s="82">
        <v>3300</v>
      </c>
      <c r="E258" s="82">
        <v>15</v>
      </c>
      <c r="F258" s="82">
        <f t="shared" ref="F258:F321" si="4">C258-E258</f>
        <v>-12</v>
      </c>
    </row>
    <row r="259" spans="1:6" x14ac:dyDescent="0.25">
      <c r="A259" s="82">
        <v>1</v>
      </c>
      <c r="B259" s="82">
        <v>32</v>
      </c>
      <c r="C259" s="82">
        <v>7</v>
      </c>
      <c r="D259" s="82">
        <v>3320</v>
      </c>
      <c r="E259" s="82">
        <v>7</v>
      </c>
      <c r="F259" s="82">
        <f t="shared" si="4"/>
        <v>0</v>
      </c>
    </row>
    <row r="260" spans="1:6" x14ac:dyDescent="0.25">
      <c r="A260" s="82">
        <v>8</v>
      </c>
      <c r="B260" s="82">
        <v>32</v>
      </c>
      <c r="C260" s="82">
        <v>21</v>
      </c>
      <c r="D260" s="82">
        <v>3370</v>
      </c>
      <c r="E260" s="82">
        <v>75</v>
      </c>
      <c r="F260" s="82">
        <f t="shared" si="4"/>
        <v>-54</v>
      </c>
    </row>
    <row r="261" spans="1:6" x14ac:dyDescent="0.25">
      <c r="A261" s="82">
        <v>1</v>
      </c>
      <c r="B261" s="82">
        <v>32</v>
      </c>
      <c r="C261" s="82">
        <v>12</v>
      </c>
      <c r="D261" s="82">
        <v>3400</v>
      </c>
      <c r="E261" s="82">
        <v>12</v>
      </c>
      <c r="F261" s="82">
        <f t="shared" si="4"/>
        <v>0</v>
      </c>
    </row>
    <row r="262" spans="1:6" x14ac:dyDescent="0.25">
      <c r="A262" s="82">
        <v>7</v>
      </c>
      <c r="B262" s="82">
        <v>32</v>
      </c>
      <c r="C262" s="82">
        <v>14</v>
      </c>
      <c r="D262" s="82">
        <v>3410</v>
      </c>
      <c r="E262" s="82">
        <v>46</v>
      </c>
      <c r="F262" s="82">
        <f t="shared" si="4"/>
        <v>-32</v>
      </c>
    </row>
    <row r="263" spans="1:6" x14ac:dyDescent="0.25">
      <c r="A263" s="82">
        <v>3</v>
      </c>
      <c r="B263" s="82">
        <v>32</v>
      </c>
      <c r="C263" s="82">
        <v>4</v>
      </c>
      <c r="D263" s="82">
        <v>3440</v>
      </c>
      <c r="E263" s="82">
        <v>4</v>
      </c>
      <c r="F263" s="82">
        <f t="shared" si="4"/>
        <v>0</v>
      </c>
    </row>
    <row r="264" spans="1:6" x14ac:dyDescent="0.25">
      <c r="A264" s="82">
        <v>1</v>
      </c>
      <c r="B264" s="82">
        <v>32</v>
      </c>
      <c r="C264" s="82">
        <v>6</v>
      </c>
      <c r="D264" s="82">
        <v>3500</v>
      </c>
      <c r="E264" s="82">
        <v>6</v>
      </c>
      <c r="F264" s="82">
        <f t="shared" si="4"/>
        <v>0</v>
      </c>
    </row>
    <row r="265" spans="1:6" x14ac:dyDescent="0.25">
      <c r="A265" s="82">
        <v>3</v>
      </c>
      <c r="B265" s="82">
        <v>32</v>
      </c>
      <c r="C265" s="82">
        <v>51</v>
      </c>
      <c r="D265" s="82">
        <v>3520</v>
      </c>
      <c r="E265" s="82">
        <v>51</v>
      </c>
      <c r="F265" s="82">
        <f t="shared" si="4"/>
        <v>0</v>
      </c>
    </row>
    <row r="266" spans="1:6" x14ac:dyDescent="0.25">
      <c r="A266" s="82">
        <v>9</v>
      </c>
      <c r="B266" s="82">
        <v>32</v>
      </c>
      <c r="C266" s="82">
        <v>6</v>
      </c>
      <c r="D266" s="82">
        <v>3540</v>
      </c>
      <c r="E266" s="82">
        <v>12</v>
      </c>
      <c r="F266" s="82">
        <f t="shared" si="4"/>
        <v>-6</v>
      </c>
    </row>
    <row r="267" spans="1:6" x14ac:dyDescent="0.25">
      <c r="A267" s="82">
        <v>6</v>
      </c>
      <c r="B267" s="82">
        <v>32</v>
      </c>
      <c r="C267" s="82">
        <v>6</v>
      </c>
      <c r="D267" s="82">
        <v>3580</v>
      </c>
      <c r="E267" s="82">
        <v>18</v>
      </c>
      <c r="F267" s="82">
        <f t="shared" si="4"/>
        <v>-12</v>
      </c>
    </row>
    <row r="268" spans="1:6" x14ac:dyDescent="0.25">
      <c r="A268" s="82">
        <v>6</v>
      </c>
      <c r="B268" s="82">
        <v>32</v>
      </c>
      <c r="C268" s="82">
        <v>2</v>
      </c>
      <c r="D268" s="82">
        <v>3595</v>
      </c>
      <c r="E268" s="82">
        <v>6</v>
      </c>
      <c r="F268" s="82">
        <f t="shared" si="4"/>
        <v>-4</v>
      </c>
    </row>
    <row r="269" spans="1:6" x14ac:dyDescent="0.25">
      <c r="A269" s="82">
        <v>6</v>
      </c>
      <c r="B269" s="82">
        <v>32</v>
      </c>
      <c r="C269" s="82">
        <v>11</v>
      </c>
      <c r="D269" s="82">
        <v>3610</v>
      </c>
      <c r="E269" s="82">
        <v>29</v>
      </c>
      <c r="F269" s="82">
        <f t="shared" si="4"/>
        <v>-18</v>
      </c>
    </row>
    <row r="270" spans="1:6" x14ac:dyDescent="0.25">
      <c r="A270" s="82">
        <v>3</v>
      </c>
      <c r="B270" s="82">
        <v>32</v>
      </c>
      <c r="C270" s="82">
        <v>11</v>
      </c>
      <c r="D270" s="82">
        <v>3620</v>
      </c>
      <c r="E270" s="82">
        <v>11</v>
      </c>
      <c r="F270" s="82">
        <f t="shared" si="4"/>
        <v>0</v>
      </c>
    </row>
    <row r="271" spans="1:6" x14ac:dyDescent="0.25">
      <c r="A271" s="82">
        <v>6</v>
      </c>
      <c r="B271" s="82">
        <v>32</v>
      </c>
      <c r="C271" s="82">
        <v>14</v>
      </c>
      <c r="D271" s="82">
        <v>3630</v>
      </c>
      <c r="E271" s="82">
        <v>22</v>
      </c>
      <c r="F271" s="82">
        <f t="shared" si="4"/>
        <v>-8</v>
      </c>
    </row>
    <row r="272" spans="1:6" x14ac:dyDescent="0.25">
      <c r="A272" s="82">
        <v>8</v>
      </c>
      <c r="B272" s="82">
        <v>32</v>
      </c>
      <c r="C272" s="82">
        <v>4</v>
      </c>
      <c r="D272" s="82">
        <v>3645</v>
      </c>
      <c r="E272" s="82">
        <v>8</v>
      </c>
      <c r="F272" s="82">
        <f t="shared" si="4"/>
        <v>-4</v>
      </c>
    </row>
    <row r="273" spans="1:6" x14ac:dyDescent="0.25">
      <c r="A273" s="82">
        <v>6</v>
      </c>
      <c r="B273" s="82">
        <v>32</v>
      </c>
      <c r="C273" s="82">
        <v>9</v>
      </c>
      <c r="D273" s="82">
        <v>3650</v>
      </c>
      <c r="E273" s="82">
        <v>18</v>
      </c>
      <c r="F273" s="82">
        <f t="shared" si="4"/>
        <v>-9</v>
      </c>
    </row>
    <row r="274" spans="1:6" x14ac:dyDescent="0.25">
      <c r="A274" s="82">
        <v>7</v>
      </c>
      <c r="B274" s="82">
        <v>32</v>
      </c>
      <c r="C274" s="82">
        <v>42</v>
      </c>
      <c r="D274" s="82">
        <v>3670</v>
      </c>
      <c r="E274" s="82">
        <v>126</v>
      </c>
      <c r="F274" s="82">
        <f t="shared" si="4"/>
        <v>-84</v>
      </c>
    </row>
    <row r="275" spans="1:6" x14ac:dyDescent="0.25">
      <c r="A275" s="82">
        <v>6</v>
      </c>
      <c r="B275" s="82">
        <v>32</v>
      </c>
      <c r="C275" s="82">
        <v>9</v>
      </c>
      <c r="D275" s="82">
        <v>3680</v>
      </c>
      <c r="E275" s="82">
        <v>18</v>
      </c>
      <c r="F275" s="82">
        <f t="shared" si="4"/>
        <v>-9</v>
      </c>
    </row>
    <row r="276" spans="1:6" x14ac:dyDescent="0.25">
      <c r="A276" s="82">
        <v>9</v>
      </c>
      <c r="B276" s="82">
        <v>32</v>
      </c>
      <c r="C276" s="82">
        <v>25</v>
      </c>
      <c r="D276" s="82">
        <v>3700</v>
      </c>
      <c r="E276" s="82">
        <v>66</v>
      </c>
      <c r="F276" s="82">
        <f t="shared" si="4"/>
        <v>-41</v>
      </c>
    </row>
    <row r="277" spans="1:6" x14ac:dyDescent="0.25">
      <c r="A277" s="82">
        <v>6</v>
      </c>
      <c r="B277" s="82">
        <v>32</v>
      </c>
      <c r="C277" s="82">
        <v>13</v>
      </c>
      <c r="D277" s="82">
        <v>3710</v>
      </c>
      <c r="E277" s="82">
        <v>26</v>
      </c>
      <c r="F277" s="82">
        <f t="shared" si="4"/>
        <v>-13</v>
      </c>
    </row>
    <row r="278" spans="1:6" x14ac:dyDescent="0.25">
      <c r="A278" s="82">
        <v>6</v>
      </c>
      <c r="B278" s="82">
        <v>32</v>
      </c>
      <c r="C278" s="82">
        <v>26</v>
      </c>
      <c r="D278" s="82">
        <v>3800</v>
      </c>
      <c r="E278" s="82">
        <v>37</v>
      </c>
      <c r="F278" s="82">
        <f t="shared" si="4"/>
        <v>-11</v>
      </c>
    </row>
    <row r="279" spans="1:6" x14ac:dyDescent="0.25">
      <c r="A279" s="82">
        <v>9</v>
      </c>
      <c r="B279" s="82">
        <v>32</v>
      </c>
      <c r="C279" s="82">
        <v>7</v>
      </c>
      <c r="D279" s="82">
        <v>3840</v>
      </c>
      <c r="E279" s="82">
        <v>14</v>
      </c>
      <c r="F279" s="82">
        <f t="shared" si="4"/>
        <v>-7</v>
      </c>
    </row>
    <row r="280" spans="1:6" x14ac:dyDescent="0.25">
      <c r="A280" s="82">
        <v>1</v>
      </c>
      <c r="B280" s="82">
        <v>32</v>
      </c>
      <c r="C280" s="82">
        <v>10</v>
      </c>
      <c r="D280" s="82">
        <v>3850</v>
      </c>
      <c r="E280" s="82">
        <v>10</v>
      </c>
      <c r="F280" s="82">
        <f t="shared" si="4"/>
        <v>0</v>
      </c>
    </row>
    <row r="281" spans="1:6" x14ac:dyDescent="0.25">
      <c r="A281" s="82">
        <v>9</v>
      </c>
      <c r="B281" s="82">
        <v>32</v>
      </c>
      <c r="C281" s="82">
        <v>24</v>
      </c>
      <c r="D281" s="82">
        <v>3900</v>
      </c>
      <c r="E281" s="82">
        <v>33</v>
      </c>
      <c r="F281" s="82">
        <f t="shared" si="4"/>
        <v>-9</v>
      </c>
    </row>
    <row r="282" spans="1:6" x14ac:dyDescent="0.25">
      <c r="A282" s="82">
        <v>1</v>
      </c>
      <c r="B282" s="82">
        <v>32</v>
      </c>
      <c r="C282" s="82">
        <v>1</v>
      </c>
      <c r="D282" s="82">
        <v>3920</v>
      </c>
      <c r="E282" s="82">
        <v>1</v>
      </c>
      <c r="F282" s="82">
        <f t="shared" si="4"/>
        <v>0</v>
      </c>
    </row>
    <row r="283" spans="1:6" x14ac:dyDescent="0.25">
      <c r="A283" s="82">
        <v>3</v>
      </c>
      <c r="B283" s="82">
        <v>32</v>
      </c>
      <c r="C283" s="82">
        <v>3</v>
      </c>
      <c r="D283" s="82">
        <v>3930</v>
      </c>
      <c r="E283" s="82">
        <v>3</v>
      </c>
      <c r="F283" s="82">
        <f t="shared" si="4"/>
        <v>0</v>
      </c>
    </row>
    <row r="284" spans="1:6" x14ac:dyDescent="0.25">
      <c r="A284" s="82">
        <v>9</v>
      </c>
      <c r="B284" s="82">
        <v>32</v>
      </c>
      <c r="C284" s="82">
        <v>6</v>
      </c>
      <c r="D284" s="82">
        <v>3950</v>
      </c>
      <c r="E284" s="82">
        <v>6</v>
      </c>
      <c r="F284" s="82">
        <f t="shared" si="4"/>
        <v>0</v>
      </c>
    </row>
    <row r="285" spans="1:6" x14ac:dyDescent="0.25">
      <c r="A285" s="82">
        <v>6</v>
      </c>
      <c r="B285" s="82">
        <v>32</v>
      </c>
      <c r="C285" s="82">
        <v>11</v>
      </c>
      <c r="D285" s="82">
        <v>3960</v>
      </c>
      <c r="E285" s="82">
        <v>22</v>
      </c>
      <c r="F285" s="82">
        <f t="shared" si="4"/>
        <v>-11</v>
      </c>
    </row>
    <row r="286" spans="1:6" x14ac:dyDescent="0.25">
      <c r="A286" s="82">
        <v>6</v>
      </c>
      <c r="B286" s="82">
        <v>32</v>
      </c>
      <c r="C286" s="82">
        <v>10</v>
      </c>
      <c r="D286" s="82">
        <v>3975</v>
      </c>
      <c r="E286" s="82">
        <v>42</v>
      </c>
      <c r="F286" s="82">
        <f t="shared" si="4"/>
        <v>-32</v>
      </c>
    </row>
    <row r="287" spans="1:6" x14ac:dyDescent="0.25">
      <c r="A287" s="82">
        <v>9</v>
      </c>
      <c r="B287" s="82">
        <v>32</v>
      </c>
      <c r="C287" s="82">
        <v>7</v>
      </c>
      <c r="D287" s="82">
        <v>3980</v>
      </c>
      <c r="E287" s="82">
        <v>7</v>
      </c>
      <c r="F287" s="82">
        <f t="shared" si="4"/>
        <v>0</v>
      </c>
    </row>
    <row r="288" spans="1:6" x14ac:dyDescent="0.25">
      <c r="A288" s="82">
        <v>6</v>
      </c>
      <c r="B288" s="82">
        <v>32</v>
      </c>
      <c r="C288" s="82">
        <v>11</v>
      </c>
      <c r="D288" s="82">
        <v>3990</v>
      </c>
      <c r="E288" s="82">
        <v>12</v>
      </c>
      <c r="F288" s="82">
        <f t="shared" si="4"/>
        <v>-1</v>
      </c>
    </row>
    <row r="289" spans="1:6" x14ac:dyDescent="0.25">
      <c r="A289" s="82">
        <v>6</v>
      </c>
      <c r="B289" s="82">
        <v>32</v>
      </c>
      <c r="C289" s="82">
        <v>9</v>
      </c>
      <c r="D289" s="82">
        <v>4040</v>
      </c>
      <c r="E289" s="82">
        <v>14</v>
      </c>
      <c r="F289" s="82">
        <f t="shared" si="4"/>
        <v>-5</v>
      </c>
    </row>
    <row r="290" spans="1:6" x14ac:dyDescent="0.25">
      <c r="A290" s="82">
        <v>9</v>
      </c>
      <c r="B290" s="82">
        <v>32</v>
      </c>
      <c r="C290" s="82">
        <v>12</v>
      </c>
      <c r="D290" s="82">
        <v>4050</v>
      </c>
      <c r="E290" s="82">
        <v>13</v>
      </c>
      <c r="F290" s="82">
        <f t="shared" si="4"/>
        <v>-1</v>
      </c>
    </row>
    <row r="291" spans="1:6" x14ac:dyDescent="0.25">
      <c r="A291" s="82">
        <v>6</v>
      </c>
      <c r="B291" s="82">
        <v>32</v>
      </c>
      <c r="C291" s="82">
        <v>11</v>
      </c>
      <c r="D291" s="82">
        <v>4070</v>
      </c>
      <c r="E291" s="82">
        <v>55</v>
      </c>
      <c r="F291" s="82">
        <f t="shared" si="4"/>
        <v>-44</v>
      </c>
    </row>
    <row r="292" spans="1:6" x14ac:dyDescent="0.25">
      <c r="A292" s="82">
        <v>6</v>
      </c>
      <c r="B292" s="82">
        <v>32</v>
      </c>
      <c r="C292" s="82">
        <v>10</v>
      </c>
      <c r="D292" s="82">
        <v>4090</v>
      </c>
      <c r="E292" s="82">
        <v>39</v>
      </c>
      <c r="F292" s="82">
        <f t="shared" si="4"/>
        <v>-29</v>
      </c>
    </row>
    <row r="293" spans="1:6" x14ac:dyDescent="0.25">
      <c r="A293" s="82">
        <v>6</v>
      </c>
      <c r="B293" s="82">
        <v>32</v>
      </c>
      <c r="C293" s="82">
        <v>8</v>
      </c>
      <c r="D293" s="82">
        <v>4100</v>
      </c>
      <c r="E293" s="82">
        <v>24</v>
      </c>
      <c r="F293" s="82">
        <f t="shared" si="4"/>
        <v>-16</v>
      </c>
    </row>
    <row r="294" spans="1:6" x14ac:dyDescent="0.25">
      <c r="A294" s="82">
        <v>9</v>
      </c>
      <c r="B294" s="82">
        <v>32</v>
      </c>
      <c r="C294" s="82">
        <v>8</v>
      </c>
      <c r="D294" s="82">
        <v>4120</v>
      </c>
      <c r="E294" s="82">
        <v>10</v>
      </c>
      <c r="F294" s="82">
        <f t="shared" si="4"/>
        <v>-2</v>
      </c>
    </row>
    <row r="295" spans="1:6" x14ac:dyDescent="0.25">
      <c r="A295" s="82">
        <v>3</v>
      </c>
      <c r="B295" s="82">
        <v>32</v>
      </c>
      <c r="C295" s="82">
        <v>6</v>
      </c>
      <c r="D295" s="82">
        <v>4170</v>
      </c>
      <c r="E295" s="82">
        <v>6</v>
      </c>
      <c r="F295" s="82">
        <f t="shared" si="4"/>
        <v>0</v>
      </c>
    </row>
    <row r="296" spans="1:6" x14ac:dyDescent="0.25">
      <c r="A296" s="82">
        <v>6</v>
      </c>
      <c r="B296" s="82">
        <v>32</v>
      </c>
      <c r="C296" s="82">
        <v>21</v>
      </c>
      <c r="D296" s="82">
        <v>4220</v>
      </c>
      <c r="E296" s="82">
        <v>41</v>
      </c>
      <c r="F296" s="82">
        <f t="shared" si="4"/>
        <v>-20</v>
      </c>
    </row>
    <row r="297" spans="1:6" x14ac:dyDescent="0.25">
      <c r="A297" s="82">
        <v>7</v>
      </c>
      <c r="B297" s="82">
        <v>32</v>
      </c>
      <c r="C297" s="82">
        <v>17</v>
      </c>
      <c r="D297" s="82">
        <v>4250</v>
      </c>
      <c r="E297" s="82">
        <v>53</v>
      </c>
      <c r="F297" s="82">
        <f t="shared" si="4"/>
        <v>-36</v>
      </c>
    </row>
    <row r="298" spans="1:6" x14ac:dyDescent="0.25">
      <c r="A298" s="82">
        <v>1</v>
      </c>
      <c r="B298" s="82">
        <v>32</v>
      </c>
      <c r="C298" s="82">
        <v>1</v>
      </c>
      <c r="D298" s="82">
        <v>4280</v>
      </c>
      <c r="E298" s="82">
        <v>1</v>
      </c>
      <c r="F298" s="82">
        <f t="shared" si="4"/>
        <v>0</v>
      </c>
    </row>
    <row r="299" spans="1:6" x14ac:dyDescent="0.25">
      <c r="A299" s="82">
        <v>7</v>
      </c>
      <c r="B299" s="82">
        <v>32</v>
      </c>
      <c r="C299" s="82">
        <v>9</v>
      </c>
      <c r="D299" s="82">
        <v>4300</v>
      </c>
      <c r="E299" s="82">
        <v>34</v>
      </c>
      <c r="F299" s="82">
        <f t="shared" si="4"/>
        <v>-25</v>
      </c>
    </row>
    <row r="300" spans="1:6" x14ac:dyDescent="0.25">
      <c r="A300" s="82">
        <v>3</v>
      </c>
      <c r="B300" s="82">
        <v>32</v>
      </c>
      <c r="C300" s="82">
        <v>13</v>
      </c>
      <c r="D300" s="82">
        <v>4310</v>
      </c>
      <c r="E300" s="82">
        <v>13</v>
      </c>
      <c r="F300" s="82">
        <f t="shared" si="4"/>
        <v>0</v>
      </c>
    </row>
    <row r="301" spans="1:6" x14ac:dyDescent="0.25">
      <c r="A301" s="82">
        <v>3</v>
      </c>
      <c r="B301" s="82">
        <v>32</v>
      </c>
      <c r="C301" s="82">
        <v>15</v>
      </c>
      <c r="D301" s="82">
        <v>4320</v>
      </c>
      <c r="E301" s="82">
        <v>15</v>
      </c>
      <c r="F301" s="82">
        <f t="shared" si="4"/>
        <v>0</v>
      </c>
    </row>
    <row r="302" spans="1:6" x14ac:dyDescent="0.25">
      <c r="A302" s="82">
        <v>6</v>
      </c>
      <c r="B302" s="82">
        <v>32</v>
      </c>
      <c r="C302" s="82">
        <v>10</v>
      </c>
      <c r="D302" s="82">
        <v>4345</v>
      </c>
      <c r="E302" s="82">
        <v>20</v>
      </c>
      <c r="F302" s="82">
        <f t="shared" si="4"/>
        <v>-10</v>
      </c>
    </row>
    <row r="303" spans="1:6" x14ac:dyDescent="0.25">
      <c r="A303" s="82">
        <v>7</v>
      </c>
      <c r="B303" s="82">
        <v>32</v>
      </c>
      <c r="C303" s="82">
        <v>16</v>
      </c>
      <c r="D303" s="82">
        <v>4350</v>
      </c>
      <c r="E303" s="82">
        <v>43</v>
      </c>
      <c r="F303" s="82">
        <f t="shared" si="4"/>
        <v>-27</v>
      </c>
    </row>
    <row r="304" spans="1:6" x14ac:dyDescent="0.25">
      <c r="A304" s="82">
        <v>6</v>
      </c>
      <c r="B304" s="82">
        <v>32</v>
      </c>
      <c r="C304" s="82">
        <v>10</v>
      </c>
      <c r="D304" s="82">
        <v>4365</v>
      </c>
      <c r="E304" s="82">
        <v>20</v>
      </c>
      <c r="F304" s="82">
        <f t="shared" si="4"/>
        <v>-10</v>
      </c>
    </row>
    <row r="305" spans="1:6" x14ac:dyDescent="0.25">
      <c r="A305" s="82">
        <v>1</v>
      </c>
      <c r="B305" s="82">
        <v>32</v>
      </c>
      <c r="C305" s="82">
        <v>9</v>
      </c>
      <c r="D305" s="82">
        <v>4370</v>
      </c>
      <c r="E305" s="82">
        <v>9</v>
      </c>
      <c r="F305" s="82">
        <f t="shared" si="4"/>
        <v>0</v>
      </c>
    </row>
    <row r="306" spans="1:6" x14ac:dyDescent="0.25">
      <c r="A306" s="82">
        <v>2</v>
      </c>
      <c r="B306" s="82">
        <v>32</v>
      </c>
      <c r="C306" s="82">
        <v>4</v>
      </c>
      <c r="D306" s="82">
        <v>4380</v>
      </c>
      <c r="E306" s="82">
        <v>4</v>
      </c>
      <c r="F306" s="82">
        <f t="shared" si="4"/>
        <v>0</v>
      </c>
    </row>
    <row r="307" spans="1:6" x14ac:dyDescent="0.25">
      <c r="A307" s="82">
        <v>2</v>
      </c>
      <c r="B307" s="82">
        <v>32</v>
      </c>
      <c r="C307" s="82">
        <v>11</v>
      </c>
      <c r="D307" s="82">
        <v>4385</v>
      </c>
      <c r="E307" s="82">
        <v>11</v>
      </c>
      <c r="F307" s="82">
        <f t="shared" si="4"/>
        <v>0</v>
      </c>
    </row>
    <row r="308" spans="1:6" x14ac:dyDescent="0.25">
      <c r="A308" s="82">
        <v>3</v>
      </c>
      <c r="B308" s="82">
        <v>32</v>
      </c>
      <c r="C308" s="82">
        <v>34</v>
      </c>
      <c r="D308" s="82">
        <v>4400</v>
      </c>
      <c r="E308" s="82">
        <v>34</v>
      </c>
      <c r="F308" s="82">
        <f t="shared" si="4"/>
        <v>0</v>
      </c>
    </row>
    <row r="309" spans="1:6" x14ac:dyDescent="0.25">
      <c r="A309" s="82">
        <v>2</v>
      </c>
      <c r="B309" s="82">
        <v>32</v>
      </c>
      <c r="C309" s="82">
        <v>21</v>
      </c>
      <c r="D309" s="82">
        <v>4435</v>
      </c>
      <c r="E309" s="82">
        <v>21</v>
      </c>
      <c r="F309" s="82">
        <f t="shared" si="4"/>
        <v>0</v>
      </c>
    </row>
    <row r="310" spans="1:6" x14ac:dyDescent="0.25">
      <c r="A310" s="82">
        <v>2</v>
      </c>
      <c r="B310" s="82">
        <v>32</v>
      </c>
      <c r="C310" s="82">
        <v>3</v>
      </c>
      <c r="D310" s="82">
        <v>4440</v>
      </c>
      <c r="E310" s="82">
        <v>3</v>
      </c>
      <c r="F310" s="82">
        <f t="shared" si="4"/>
        <v>0</v>
      </c>
    </row>
    <row r="311" spans="1:6" x14ac:dyDescent="0.25">
      <c r="A311" s="82">
        <v>2</v>
      </c>
      <c r="B311" s="82">
        <v>32</v>
      </c>
      <c r="C311" s="82">
        <v>21</v>
      </c>
      <c r="D311" s="82">
        <v>4450</v>
      </c>
      <c r="E311" s="82">
        <v>21</v>
      </c>
      <c r="F311" s="82">
        <f t="shared" si="4"/>
        <v>0</v>
      </c>
    </row>
    <row r="312" spans="1:6" x14ac:dyDescent="0.25">
      <c r="A312" s="82">
        <v>2</v>
      </c>
      <c r="B312" s="82">
        <v>32</v>
      </c>
      <c r="C312" s="82">
        <v>10</v>
      </c>
      <c r="D312" s="82">
        <v>4480</v>
      </c>
      <c r="E312" s="82">
        <v>10</v>
      </c>
      <c r="F312" s="82">
        <f t="shared" si="4"/>
        <v>0</v>
      </c>
    </row>
    <row r="313" spans="1:6" x14ac:dyDescent="0.25">
      <c r="A313" s="82">
        <v>3</v>
      </c>
      <c r="B313" s="82">
        <v>32</v>
      </c>
      <c r="C313" s="82">
        <v>7</v>
      </c>
      <c r="D313" s="82">
        <v>4490</v>
      </c>
      <c r="E313" s="82">
        <v>7</v>
      </c>
      <c r="F313" s="82">
        <f t="shared" si="4"/>
        <v>0</v>
      </c>
    </row>
    <row r="314" spans="1:6" x14ac:dyDescent="0.25">
      <c r="A314" s="82">
        <v>2</v>
      </c>
      <c r="B314" s="82">
        <v>32</v>
      </c>
      <c r="C314" s="82">
        <v>8</v>
      </c>
      <c r="D314" s="82">
        <v>4500</v>
      </c>
      <c r="E314" s="82">
        <v>8</v>
      </c>
      <c r="F314" s="82">
        <f t="shared" si="4"/>
        <v>0</v>
      </c>
    </row>
    <row r="315" spans="1:6" x14ac:dyDescent="0.25">
      <c r="A315" s="82">
        <v>6</v>
      </c>
      <c r="B315" s="82">
        <v>32</v>
      </c>
      <c r="C315" s="82">
        <v>17</v>
      </c>
      <c r="D315" s="82">
        <v>4550</v>
      </c>
      <c r="E315" s="82">
        <v>35</v>
      </c>
      <c r="F315" s="82">
        <f t="shared" si="4"/>
        <v>-18</v>
      </c>
    </row>
    <row r="316" spans="1:6" x14ac:dyDescent="0.25">
      <c r="A316" s="82">
        <v>10</v>
      </c>
      <c r="B316" s="82">
        <v>32</v>
      </c>
      <c r="C316" s="82">
        <v>7</v>
      </c>
      <c r="D316" s="82">
        <v>4560</v>
      </c>
      <c r="E316" s="82">
        <v>21</v>
      </c>
      <c r="F316" s="82">
        <f t="shared" si="4"/>
        <v>-14</v>
      </c>
    </row>
    <row r="317" spans="1:6" x14ac:dyDescent="0.25">
      <c r="A317" s="82">
        <v>4</v>
      </c>
      <c r="B317" s="82">
        <v>32</v>
      </c>
      <c r="C317" s="82">
        <v>13</v>
      </c>
      <c r="D317" s="82">
        <v>4580</v>
      </c>
      <c r="E317" s="82">
        <v>13</v>
      </c>
      <c r="F317" s="82">
        <f t="shared" si="4"/>
        <v>0</v>
      </c>
    </row>
    <row r="318" spans="1:6" x14ac:dyDescent="0.25">
      <c r="A318" s="82">
        <v>10</v>
      </c>
      <c r="B318" s="82">
        <v>32</v>
      </c>
      <c r="C318" s="82">
        <v>18</v>
      </c>
      <c r="D318" s="82">
        <v>4600</v>
      </c>
      <c r="E318" s="82">
        <v>36</v>
      </c>
      <c r="F318" s="82">
        <f t="shared" si="4"/>
        <v>-18</v>
      </c>
    </row>
    <row r="319" spans="1:6" x14ac:dyDescent="0.25">
      <c r="A319" s="82">
        <v>2</v>
      </c>
      <c r="B319" s="82">
        <v>32</v>
      </c>
      <c r="C319" s="82">
        <v>11</v>
      </c>
      <c r="D319" s="82">
        <v>4605</v>
      </c>
      <c r="E319" s="82">
        <v>11</v>
      </c>
      <c r="F319" s="82">
        <f t="shared" si="4"/>
        <v>0</v>
      </c>
    </row>
    <row r="320" spans="1:6" x14ac:dyDescent="0.25">
      <c r="A320" s="82">
        <v>4</v>
      </c>
      <c r="B320" s="82">
        <v>32</v>
      </c>
      <c r="C320" s="82">
        <v>5</v>
      </c>
      <c r="D320" s="82">
        <v>4610</v>
      </c>
      <c r="E320" s="82">
        <v>5</v>
      </c>
      <c r="F320" s="82">
        <f t="shared" si="4"/>
        <v>0</v>
      </c>
    </row>
    <row r="321" spans="1:6" x14ac:dyDescent="0.25">
      <c r="A321" s="82">
        <v>1</v>
      </c>
      <c r="B321" s="82">
        <v>32</v>
      </c>
      <c r="C321" s="82">
        <v>1</v>
      </c>
      <c r="D321" s="82">
        <v>4630</v>
      </c>
      <c r="E321" s="82">
        <v>1</v>
      </c>
      <c r="F321" s="82">
        <f t="shared" si="4"/>
        <v>0</v>
      </c>
    </row>
    <row r="322" spans="1:6" x14ac:dyDescent="0.25">
      <c r="A322" s="82">
        <v>2</v>
      </c>
      <c r="B322" s="82">
        <v>32</v>
      </c>
      <c r="C322" s="82">
        <v>2</v>
      </c>
      <c r="D322" s="82">
        <v>4635</v>
      </c>
      <c r="E322" s="82">
        <v>2</v>
      </c>
      <c r="F322" s="82">
        <f t="shared" ref="F322:F385" si="5">C322-E322</f>
        <v>0</v>
      </c>
    </row>
    <row r="323" spans="1:6" x14ac:dyDescent="0.25">
      <c r="A323" s="82">
        <v>1</v>
      </c>
      <c r="B323" s="82">
        <v>32</v>
      </c>
      <c r="C323" s="82">
        <v>7</v>
      </c>
      <c r="D323" s="82">
        <v>4650</v>
      </c>
      <c r="E323" s="82">
        <v>7</v>
      </c>
      <c r="F323" s="82">
        <f t="shared" si="5"/>
        <v>0</v>
      </c>
    </row>
    <row r="324" spans="1:6" x14ac:dyDescent="0.25">
      <c r="A324" s="82">
        <v>4</v>
      </c>
      <c r="B324" s="82">
        <v>32</v>
      </c>
      <c r="C324" s="82">
        <v>1</v>
      </c>
      <c r="D324" s="82">
        <v>4660</v>
      </c>
      <c r="E324" s="82">
        <v>1</v>
      </c>
      <c r="F324" s="82">
        <f t="shared" si="5"/>
        <v>0</v>
      </c>
    </row>
    <row r="325" spans="1:6" x14ac:dyDescent="0.25">
      <c r="A325" s="82">
        <v>5</v>
      </c>
      <c r="B325" s="82">
        <v>32</v>
      </c>
      <c r="C325" s="82">
        <v>63</v>
      </c>
      <c r="D325" s="82">
        <v>4680</v>
      </c>
      <c r="E325" s="82">
        <v>63</v>
      </c>
      <c r="F325" s="82">
        <f t="shared" si="5"/>
        <v>0</v>
      </c>
    </row>
    <row r="326" spans="1:6" x14ac:dyDescent="0.25">
      <c r="A326" s="82">
        <v>6</v>
      </c>
      <c r="B326" s="82">
        <v>32</v>
      </c>
      <c r="C326" s="82">
        <v>10</v>
      </c>
      <c r="D326" s="82">
        <v>4695</v>
      </c>
      <c r="E326" s="82">
        <v>30</v>
      </c>
      <c r="F326" s="82">
        <f t="shared" si="5"/>
        <v>-20</v>
      </c>
    </row>
    <row r="327" spans="1:6" x14ac:dyDescent="0.25">
      <c r="A327" s="82">
        <v>5</v>
      </c>
      <c r="B327" s="82">
        <v>32</v>
      </c>
      <c r="C327" s="82">
        <v>3</v>
      </c>
      <c r="D327" s="82">
        <v>4700</v>
      </c>
      <c r="E327" s="82">
        <v>3</v>
      </c>
      <c r="F327" s="82">
        <f t="shared" si="5"/>
        <v>0</v>
      </c>
    </row>
    <row r="328" spans="1:6" x14ac:dyDescent="0.25">
      <c r="A328" s="82">
        <v>3</v>
      </c>
      <c r="B328" s="82">
        <v>32</v>
      </c>
      <c r="C328" s="82">
        <v>5</v>
      </c>
      <c r="D328" s="82">
        <v>4740</v>
      </c>
      <c r="E328" s="82">
        <v>5</v>
      </c>
      <c r="F328" s="82">
        <f t="shared" si="5"/>
        <v>0</v>
      </c>
    </row>
    <row r="329" spans="1:6" x14ac:dyDescent="0.25">
      <c r="A329" s="82">
        <v>4</v>
      </c>
      <c r="B329" s="82">
        <v>32</v>
      </c>
      <c r="C329" s="82">
        <v>5</v>
      </c>
      <c r="D329" s="82">
        <v>4750</v>
      </c>
      <c r="E329" s="82">
        <v>5</v>
      </c>
      <c r="F329" s="82">
        <f t="shared" si="5"/>
        <v>0</v>
      </c>
    </row>
    <row r="330" spans="1:6" x14ac:dyDescent="0.25">
      <c r="A330" s="82">
        <v>5</v>
      </c>
      <c r="B330" s="82">
        <v>32</v>
      </c>
      <c r="C330" s="82">
        <v>2</v>
      </c>
      <c r="D330" s="82">
        <v>4760</v>
      </c>
      <c r="E330" s="82">
        <v>2</v>
      </c>
      <c r="F330" s="82">
        <f t="shared" si="5"/>
        <v>0</v>
      </c>
    </row>
    <row r="331" spans="1:6" x14ac:dyDescent="0.25">
      <c r="A331" s="82">
        <v>3</v>
      </c>
      <c r="B331" s="82">
        <v>32</v>
      </c>
      <c r="C331" s="82">
        <v>5</v>
      </c>
      <c r="D331" s="82">
        <v>4790</v>
      </c>
      <c r="E331" s="82">
        <v>5</v>
      </c>
      <c r="F331" s="82">
        <f t="shared" si="5"/>
        <v>0</v>
      </c>
    </row>
    <row r="332" spans="1:6" x14ac:dyDescent="0.25">
      <c r="A332" s="82">
        <v>5</v>
      </c>
      <c r="B332" s="82">
        <v>32</v>
      </c>
      <c r="C332" s="82">
        <v>14</v>
      </c>
      <c r="D332" s="82">
        <v>4800</v>
      </c>
      <c r="E332" s="82">
        <v>14</v>
      </c>
      <c r="F332" s="82">
        <f t="shared" si="5"/>
        <v>0</v>
      </c>
    </row>
    <row r="333" spans="1:6" x14ac:dyDescent="0.25">
      <c r="A333" s="82">
        <v>3</v>
      </c>
      <c r="B333" s="82">
        <v>32</v>
      </c>
      <c r="C333" s="82">
        <v>16</v>
      </c>
      <c r="D333" s="82">
        <v>4830</v>
      </c>
      <c r="E333" s="82">
        <v>16</v>
      </c>
      <c r="F333" s="82">
        <f t="shared" si="5"/>
        <v>0</v>
      </c>
    </row>
    <row r="334" spans="1:6" x14ac:dyDescent="0.25">
      <c r="A334" s="82">
        <v>4</v>
      </c>
      <c r="B334" s="82">
        <v>32</v>
      </c>
      <c r="C334" s="82">
        <v>5</v>
      </c>
      <c r="D334" s="82">
        <v>4850</v>
      </c>
      <c r="E334" s="82">
        <v>5</v>
      </c>
      <c r="F334" s="82">
        <f t="shared" si="5"/>
        <v>0</v>
      </c>
    </row>
    <row r="335" spans="1:6" x14ac:dyDescent="0.25">
      <c r="A335" s="82">
        <v>5</v>
      </c>
      <c r="B335" s="82">
        <v>32</v>
      </c>
      <c r="C335" s="82">
        <v>7</v>
      </c>
      <c r="D335" s="82">
        <v>4860</v>
      </c>
      <c r="E335" s="82">
        <v>7</v>
      </c>
      <c r="F335" s="82">
        <f t="shared" si="5"/>
        <v>0</v>
      </c>
    </row>
    <row r="336" spans="1:6" x14ac:dyDescent="0.25">
      <c r="A336" s="82">
        <v>3</v>
      </c>
      <c r="B336" s="82">
        <v>32</v>
      </c>
      <c r="C336" s="82">
        <v>4</v>
      </c>
      <c r="D336" s="82">
        <v>4880</v>
      </c>
      <c r="E336" s="82">
        <v>4</v>
      </c>
      <c r="F336" s="82">
        <f t="shared" si="5"/>
        <v>0</v>
      </c>
    </row>
    <row r="337" spans="1:6" x14ac:dyDescent="0.25">
      <c r="A337" s="82">
        <v>3</v>
      </c>
      <c r="B337" s="82">
        <v>32</v>
      </c>
      <c r="C337" s="82">
        <v>1</v>
      </c>
      <c r="D337" s="82">
        <v>4950</v>
      </c>
      <c r="E337" s="82">
        <v>1</v>
      </c>
      <c r="F337" s="82">
        <f t="shared" si="5"/>
        <v>0</v>
      </c>
    </row>
    <row r="338" spans="1:6" x14ac:dyDescent="0.25">
      <c r="A338" s="82">
        <v>5</v>
      </c>
      <c r="B338" s="82">
        <v>32</v>
      </c>
      <c r="C338" s="82">
        <v>2</v>
      </c>
      <c r="D338" s="82">
        <v>4970</v>
      </c>
      <c r="E338" s="82">
        <v>2</v>
      </c>
      <c r="F338" s="82">
        <f t="shared" si="5"/>
        <v>0</v>
      </c>
    </row>
    <row r="339" spans="1:6" x14ac:dyDescent="0.25">
      <c r="A339" s="82">
        <v>5</v>
      </c>
      <c r="B339" s="82">
        <v>32</v>
      </c>
      <c r="C339" s="82">
        <v>2</v>
      </c>
      <c r="D339" s="82">
        <v>5000</v>
      </c>
      <c r="E339" s="82">
        <v>2</v>
      </c>
      <c r="F339" s="82">
        <f t="shared" si="5"/>
        <v>0</v>
      </c>
    </row>
    <row r="340" spans="1:6" x14ac:dyDescent="0.25">
      <c r="A340" s="82">
        <v>4</v>
      </c>
      <c r="B340" s="82">
        <v>32</v>
      </c>
      <c r="C340" s="82">
        <v>4</v>
      </c>
      <c r="D340" s="82">
        <v>5005</v>
      </c>
      <c r="E340" s="82">
        <v>4</v>
      </c>
      <c r="F340" s="82">
        <f t="shared" si="5"/>
        <v>0</v>
      </c>
    </row>
    <row r="341" spans="1:6" x14ac:dyDescent="0.25">
      <c r="A341" s="82">
        <v>8</v>
      </c>
      <c r="B341" s="82">
        <v>32</v>
      </c>
      <c r="C341" s="82">
        <v>2</v>
      </c>
      <c r="D341" s="82">
        <v>5065</v>
      </c>
      <c r="E341" s="82">
        <v>2</v>
      </c>
      <c r="F341" s="82">
        <f t="shared" si="5"/>
        <v>0</v>
      </c>
    </row>
    <row r="342" spans="1:6" x14ac:dyDescent="0.25">
      <c r="A342" s="82">
        <v>1</v>
      </c>
      <c r="B342" s="82">
        <v>32</v>
      </c>
      <c r="C342" s="82">
        <v>3</v>
      </c>
      <c r="D342" s="82">
        <v>5080</v>
      </c>
      <c r="E342" s="82">
        <v>3</v>
      </c>
      <c r="F342" s="82">
        <f t="shared" si="5"/>
        <v>0</v>
      </c>
    </row>
    <row r="343" spans="1:6" x14ac:dyDescent="0.25">
      <c r="A343" s="82">
        <v>5</v>
      </c>
      <c r="B343" s="82">
        <v>32</v>
      </c>
      <c r="C343" s="82">
        <v>4</v>
      </c>
      <c r="D343" s="82">
        <v>5100</v>
      </c>
      <c r="E343" s="82">
        <v>4</v>
      </c>
      <c r="F343" s="82">
        <f t="shared" si="5"/>
        <v>0</v>
      </c>
    </row>
    <row r="344" spans="1:6" x14ac:dyDescent="0.25">
      <c r="A344" s="82">
        <v>5</v>
      </c>
      <c r="B344" s="82">
        <v>32</v>
      </c>
      <c r="C344" s="82">
        <v>2</v>
      </c>
      <c r="D344" s="82">
        <v>5120</v>
      </c>
      <c r="E344" s="82">
        <v>2</v>
      </c>
      <c r="F344" s="82">
        <f t="shared" si="5"/>
        <v>0</v>
      </c>
    </row>
    <row r="345" spans="1:6" x14ac:dyDescent="0.25">
      <c r="A345" s="82">
        <v>8</v>
      </c>
      <c r="B345" s="82">
        <v>32</v>
      </c>
      <c r="C345" s="82">
        <v>6</v>
      </c>
      <c r="D345" s="82">
        <v>5130</v>
      </c>
      <c r="E345" s="82">
        <v>6</v>
      </c>
      <c r="F345" s="82">
        <f t="shared" si="5"/>
        <v>0</v>
      </c>
    </row>
    <row r="346" spans="1:6" x14ac:dyDescent="0.25">
      <c r="A346" s="82">
        <v>4</v>
      </c>
      <c r="B346" s="82">
        <v>32</v>
      </c>
      <c r="C346" s="82">
        <v>4</v>
      </c>
      <c r="D346" s="82">
        <v>5135</v>
      </c>
      <c r="E346" s="82">
        <v>4</v>
      </c>
      <c r="F346" s="82">
        <f t="shared" si="5"/>
        <v>0</v>
      </c>
    </row>
    <row r="347" spans="1:6" x14ac:dyDescent="0.25">
      <c r="A347" s="82">
        <v>4</v>
      </c>
      <c r="B347" s="82">
        <v>32</v>
      </c>
      <c r="C347" s="82">
        <v>3</v>
      </c>
      <c r="D347" s="82">
        <v>5180</v>
      </c>
      <c r="E347" s="82">
        <v>3</v>
      </c>
      <c r="F347" s="82">
        <f t="shared" si="5"/>
        <v>0</v>
      </c>
    </row>
    <row r="348" spans="1:6" x14ac:dyDescent="0.25">
      <c r="A348" s="82">
        <v>5</v>
      </c>
      <c r="B348" s="82">
        <v>32</v>
      </c>
      <c r="C348" s="82">
        <v>1</v>
      </c>
      <c r="D348" s="82">
        <v>5200</v>
      </c>
      <c r="E348" s="82">
        <v>1</v>
      </c>
      <c r="F348" s="82">
        <f t="shared" si="5"/>
        <v>0</v>
      </c>
    </row>
    <row r="349" spans="1:6" x14ac:dyDescent="0.25">
      <c r="A349" s="82">
        <v>1</v>
      </c>
      <c r="B349" s="82">
        <v>32</v>
      </c>
      <c r="C349" s="82">
        <v>7</v>
      </c>
      <c r="D349" s="82">
        <v>5230</v>
      </c>
      <c r="E349" s="82">
        <v>7</v>
      </c>
      <c r="F349" s="82">
        <f t="shared" si="5"/>
        <v>0</v>
      </c>
    </row>
    <row r="350" spans="1:6" x14ac:dyDescent="0.25">
      <c r="A350" s="82">
        <v>4</v>
      </c>
      <c r="B350" s="82">
        <v>32</v>
      </c>
      <c r="C350" s="82">
        <v>4</v>
      </c>
      <c r="D350" s="82">
        <v>5260</v>
      </c>
      <c r="E350" s="82">
        <v>4</v>
      </c>
      <c r="F350" s="82">
        <f t="shared" si="5"/>
        <v>0</v>
      </c>
    </row>
    <row r="351" spans="1:6" x14ac:dyDescent="0.25">
      <c r="A351" s="82">
        <v>6</v>
      </c>
      <c r="B351" s="82">
        <v>32</v>
      </c>
      <c r="C351" s="82">
        <v>10</v>
      </c>
      <c r="D351" s="82">
        <v>5270</v>
      </c>
      <c r="E351" s="82">
        <v>30</v>
      </c>
      <c r="F351" s="82">
        <f t="shared" si="5"/>
        <v>-20</v>
      </c>
    </row>
    <row r="352" spans="1:6" x14ac:dyDescent="0.25">
      <c r="A352" s="82">
        <v>6</v>
      </c>
      <c r="B352" s="82">
        <v>32</v>
      </c>
      <c r="C352" s="82">
        <v>2</v>
      </c>
      <c r="D352" s="82">
        <v>5300</v>
      </c>
      <c r="E352" s="82">
        <v>6</v>
      </c>
      <c r="F352" s="82">
        <f t="shared" si="5"/>
        <v>-4</v>
      </c>
    </row>
    <row r="353" spans="1:6" x14ac:dyDescent="0.25">
      <c r="A353" s="82">
        <v>4</v>
      </c>
      <c r="B353" s="82">
        <v>32</v>
      </c>
      <c r="C353" s="82">
        <v>1</v>
      </c>
      <c r="D353" s="82">
        <v>5310</v>
      </c>
      <c r="E353" s="82">
        <v>1</v>
      </c>
      <c r="F353" s="82">
        <f t="shared" si="5"/>
        <v>0</v>
      </c>
    </row>
    <row r="354" spans="1:6" x14ac:dyDescent="0.25">
      <c r="A354" s="82">
        <v>6</v>
      </c>
      <c r="B354" s="82">
        <v>32</v>
      </c>
      <c r="C354" s="82">
        <v>4</v>
      </c>
      <c r="D354" s="82">
        <v>5315</v>
      </c>
      <c r="E354" s="82">
        <v>12</v>
      </c>
      <c r="F354" s="82">
        <f t="shared" si="5"/>
        <v>-8</v>
      </c>
    </row>
    <row r="355" spans="1:6" x14ac:dyDescent="0.25">
      <c r="A355" s="82">
        <v>6</v>
      </c>
      <c r="B355" s="82">
        <v>32</v>
      </c>
      <c r="C355" s="82">
        <v>15</v>
      </c>
      <c r="D355" s="82">
        <v>5340</v>
      </c>
      <c r="E355" s="82">
        <v>45</v>
      </c>
      <c r="F355" s="82">
        <f t="shared" si="5"/>
        <v>-30</v>
      </c>
    </row>
    <row r="356" spans="1:6" x14ac:dyDescent="0.25">
      <c r="A356" s="82">
        <v>4</v>
      </c>
      <c r="B356" s="82">
        <v>32</v>
      </c>
      <c r="C356" s="82">
        <v>3</v>
      </c>
      <c r="D356" s="82">
        <v>5345</v>
      </c>
      <c r="E356" s="82">
        <v>3</v>
      </c>
      <c r="F356" s="82">
        <f t="shared" si="5"/>
        <v>0</v>
      </c>
    </row>
    <row r="357" spans="1:6" x14ac:dyDescent="0.25">
      <c r="A357" s="82">
        <v>5</v>
      </c>
      <c r="B357" s="82">
        <v>32</v>
      </c>
      <c r="C357" s="82">
        <v>1</v>
      </c>
      <c r="D357" s="82">
        <v>5350</v>
      </c>
      <c r="E357" s="82">
        <v>1</v>
      </c>
      <c r="F357" s="82">
        <f t="shared" si="5"/>
        <v>0</v>
      </c>
    </row>
    <row r="358" spans="1:6" x14ac:dyDescent="0.25">
      <c r="A358" s="82">
        <v>2</v>
      </c>
      <c r="B358" s="82">
        <v>32</v>
      </c>
      <c r="C358" s="82">
        <v>2</v>
      </c>
      <c r="D358" s="82">
        <v>5390</v>
      </c>
      <c r="E358" s="82">
        <v>2</v>
      </c>
      <c r="F358" s="82">
        <f t="shared" si="5"/>
        <v>0</v>
      </c>
    </row>
    <row r="359" spans="1:6" x14ac:dyDescent="0.25">
      <c r="A359" s="82">
        <v>5</v>
      </c>
      <c r="B359" s="82">
        <v>32</v>
      </c>
      <c r="C359" s="82">
        <v>2</v>
      </c>
      <c r="D359" s="82">
        <v>5410</v>
      </c>
      <c r="E359" s="82">
        <v>2</v>
      </c>
      <c r="F359" s="82">
        <f t="shared" si="5"/>
        <v>0</v>
      </c>
    </row>
    <row r="360" spans="1:6" x14ac:dyDescent="0.25">
      <c r="A360" s="82">
        <v>5</v>
      </c>
      <c r="B360" s="82">
        <v>32</v>
      </c>
      <c r="C360" s="82">
        <v>2</v>
      </c>
      <c r="D360" s="82">
        <v>5420</v>
      </c>
      <c r="E360" s="82">
        <v>2</v>
      </c>
      <c r="F360" s="82">
        <f t="shared" si="5"/>
        <v>0</v>
      </c>
    </row>
    <row r="361" spans="1:6" x14ac:dyDescent="0.25">
      <c r="A361" s="82">
        <v>2</v>
      </c>
      <c r="B361" s="82">
        <v>32</v>
      </c>
      <c r="C361" s="82">
        <v>13</v>
      </c>
      <c r="D361" s="82">
        <v>5430</v>
      </c>
      <c r="E361" s="82">
        <v>13</v>
      </c>
      <c r="F361" s="82">
        <f t="shared" si="5"/>
        <v>0</v>
      </c>
    </row>
    <row r="362" spans="1:6" x14ac:dyDescent="0.25">
      <c r="A362" s="82">
        <v>5</v>
      </c>
      <c r="B362" s="82">
        <v>32</v>
      </c>
      <c r="C362" s="82">
        <v>5</v>
      </c>
      <c r="D362" s="82">
        <v>5445</v>
      </c>
      <c r="E362" s="82">
        <v>5</v>
      </c>
      <c r="F362" s="82">
        <f t="shared" si="5"/>
        <v>0</v>
      </c>
    </row>
    <row r="363" spans="1:6" x14ac:dyDescent="0.25">
      <c r="A363" s="82">
        <v>5</v>
      </c>
      <c r="B363" s="82">
        <v>32</v>
      </c>
      <c r="C363" s="82">
        <v>2</v>
      </c>
      <c r="D363" s="82">
        <v>5450</v>
      </c>
      <c r="E363" s="82">
        <v>2</v>
      </c>
      <c r="F363" s="82">
        <f t="shared" si="5"/>
        <v>0</v>
      </c>
    </row>
    <row r="364" spans="1:6" x14ac:dyDescent="0.25">
      <c r="A364" s="82">
        <v>5</v>
      </c>
      <c r="B364" s="82">
        <v>32</v>
      </c>
      <c r="C364" s="82">
        <v>6</v>
      </c>
      <c r="D364" s="82">
        <v>5460</v>
      </c>
      <c r="E364" s="82">
        <v>6</v>
      </c>
      <c r="F364" s="82">
        <f t="shared" si="5"/>
        <v>0</v>
      </c>
    </row>
    <row r="365" spans="1:6" x14ac:dyDescent="0.25">
      <c r="A365" s="82">
        <v>6</v>
      </c>
      <c r="B365" s="82">
        <v>32</v>
      </c>
      <c r="C365" s="82">
        <v>2</v>
      </c>
      <c r="D365" s="82">
        <v>5510</v>
      </c>
      <c r="E365" s="82">
        <v>6</v>
      </c>
      <c r="F365" s="82">
        <f t="shared" si="5"/>
        <v>-4</v>
      </c>
    </row>
    <row r="366" spans="1:6" x14ac:dyDescent="0.25">
      <c r="A366" s="82">
        <v>4</v>
      </c>
      <c r="B366" s="82">
        <v>32</v>
      </c>
      <c r="C366" s="82">
        <v>17</v>
      </c>
      <c r="D366" s="82">
        <v>5555</v>
      </c>
      <c r="E366" s="82">
        <v>17</v>
      </c>
      <c r="F366" s="82">
        <f t="shared" si="5"/>
        <v>0</v>
      </c>
    </row>
    <row r="367" spans="1:6" x14ac:dyDescent="0.25">
      <c r="A367" s="82">
        <v>5</v>
      </c>
      <c r="B367" s="82">
        <v>32</v>
      </c>
      <c r="C367" s="82">
        <v>4</v>
      </c>
      <c r="D367" s="82">
        <v>5560</v>
      </c>
      <c r="E367" s="82">
        <v>4</v>
      </c>
      <c r="F367" s="82">
        <f t="shared" si="5"/>
        <v>0</v>
      </c>
    </row>
    <row r="368" spans="1:6" x14ac:dyDescent="0.25">
      <c r="A368" s="82">
        <v>4</v>
      </c>
      <c r="B368" s="82">
        <v>32</v>
      </c>
      <c r="C368" s="82">
        <v>5</v>
      </c>
      <c r="D368" s="82">
        <v>5585</v>
      </c>
      <c r="E368" s="82">
        <v>5</v>
      </c>
      <c r="F368" s="82">
        <f t="shared" si="5"/>
        <v>0</v>
      </c>
    </row>
    <row r="369" spans="1:6" x14ac:dyDescent="0.25">
      <c r="A369" s="82">
        <v>4</v>
      </c>
      <c r="B369" s="82">
        <v>32</v>
      </c>
      <c r="C369" s="82">
        <v>4</v>
      </c>
      <c r="D369" s="82">
        <v>5600</v>
      </c>
      <c r="E369" s="82">
        <v>4</v>
      </c>
      <c r="F369" s="82">
        <f t="shared" si="5"/>
        <v>0</v>
      </c>
    </row>
    <row r="370" spans="1:6" x14ac:dyDescent="0.25">
      <c r="A370" s="82">
        <v>5</v>
      </c>
      <c r="B370" s="82">
        <v>32</v>
      </c>
      <c r="C370" s="82">
        <v>6</v>
      </c>
      <c r="D370" s="82">
        <v>5645</v>
      </c>
      <c r="E370" s="82">
        <v>6</v>
      </c>
      <c r="F370" s="82">
        <f t="shared" si="5"/>
        <v>0</v>
      </c>
    </row>
    <row r="371" spans="1:6" x14ac:dyDescent="0.25">
      <c r="A371" s="82">
        <v>4</v>
      </c>
      <c r="B371" s="82">
        <v>32</v>
      </c>
      <c r="C371" s="82">
        <v>7</v>
      </c>
      <c r="D371" s="82">
        <v>5665</v>
      </c>
      <c r="E371" s="82">
        <v>7</v>
      </c>
      <c r="F371" s="82">
        <f t="shared" si="5"/>
        <v>0</v>
      </c>
    </row>
    <row r="372" spans="1:6" x14ac:dyDescent="0.25">
      <c r="A372" s="82">
        <v>5</v>
      </c>
      <c r="B372" s="82">
        <v>32</v>
      </c>
      <c r="C372" s="82">
        <v>4</v>
      </c>
      <c r="D372" s="82">
        <v>5685</v>
      </c>
      <c r="E372" s="82">
        <v>4</v>
      </c>
      <c r="F372" s="82">
        <f t="shared" si="5"/>
        <v>0</v>
      </c>
    </row>
    <row r="373" spans="1:6" x14ac:dyDescent="0.25">
      <c r="A373" s="82">
        <v>5</v>
      </c>
      <c r="B373" s="82">
        <v>32</v>
      </c>
      <c r="C373" s="82">
        <v>2</v>
      </c>
      <c r="D373" s="82">
        <v>5700</v>
      </c>
      <c r="E373" s="82">
        <v>2</v>
      </c>
      <c r="F373" s="82">
        <f t="shared" si="5"/>
        <v>0</v>
      </c>
    </row>
    <row r="374" spans="1:6" x14ac:dyDescent="0.25">
      <c r="A374" s="82">
        <v>5</v>
      </c>
      <c r="B374" s="82">
        <v>32</v>
      </c>
      <c r="C374" s="82">
        <v>2</v>
      </c>
      <c r="D374" s="82">
        <v>5760</v>
      </c>
      <c r="E374" s="82">
        <v>2</v>
      </c>
      <c r="F374" s="82">
        <f t="shared" si="5"/>
        <v>0</v>
      </c>
    </row>
    <row r="375" spans="1:6" x14ac:dyDescent="0.25">
      <c r="A375" s="82">
        <v>5</v>
      </c>
      <c r="B375" s="82">
        <v>32</v>
      </c>
      <c r="C375" s="82">
        <v>7</v>
      </c>
      <c r="D375" s="82">
        <v>5775</v>
      </c>
      <c r="E375" s="82">
        <v>7</v>
      </c>
      <c r="F375" s="82">
        <f t="shared" si="5"/>
        <v>0</v>
      </c>
    </row>
    <row r="376" spans="1:6" x14ac:dyDescent="0.25">
      <c r="A376" s="82">
        <v>5</v>
      </c>
      <c r="B376" s="82">
        <v>32</v>
      </c>
      <c r="C376" s="82">
        <v>1</v>
      </c>
      <c r="D376" s="82">
        <v>5900</v>
      </c>
      <c r="E376" s="82">
        <v>1</v>
      </c>
      <c r="F376" s="82">
        <f t="shared" si="5"/>
        <v>0</v>
      </c>
    </row>
    <row r="377" spans="1:6" x14ac:dyDescent="0.25">
      <c r="A377" s="82">
        <v>4</v>
      </c>
      <c r="B377" s="82">
        <v>32</v>
      </c>
      <c r="C377" s="82">
        <v>1</v>
      </c>
      <c r="D377" s="82">
        <v>5910</v>
      </c>
      <c r="E377" s="82">
        <v>1</v>
      </c>
      <c r="F377" s="82">
        <f t="shared" si="5"/>
        <v>0</v>
      </c>
    </row>
    <row r="378" spans="1:6" x14ac:dyDescent="0.25">
      <c r="A378" s="82">
        <v>6</v>
      </c>
      <c r="B378" s="82">
        <v>32</v>
      </c>
      <c r="C378" s="82">
        <v>1</v>
      </c>
      <c r="D378" s="82">
        <v>6125</v>
      </c>
      <c r="E378" s="82">
        <v>3</v>
      </c>
      <c r="F378" s="82">
        <f t="shared" si="5"/>
        <v>-2</v>
      </c>
    </row>
    <row r="379" spans="1:6" x14ac:dyDescent="0.25">
      <c r="A379" s="82">
        <v>2</v>
      </c>
      <c r="B379" s="82">
        <v>32</v>
      </c>
      <c r="C379" s="82">
        <v>1</v>
      </c>
      <c r="D379" s="82">
        <v>6170</v>
      </c>
      <c r="E379" s="82">
        <v>1</v>
      </c>
      <c r="F379" s="82">
        <f t="shared" si="5"/>
        <v>0</v>
      </c>
    </row>
    <row r="380" spans="1:6" x14ac:dyDescent="0.25">
      <c r="A380" s="82">
        <v>1</v>
      </c>
      <c r="B380" s="82">
        <v>32</v>
      </c>
      <c r="C380" s="82">
        <v>1</v>
      </c>
      <c r="D380" s="82">
        <v>6450</v>
      </c>
      <c r="E380" s="82">
        <v>1</v>
      </c>
      <c r="F380" s="82">
        <f t="shared" si="5"/>
        <v>0</v>
      </c>
    </row>
    <row r="381" spans="1:6" x14ac:dyDescent="0.25">
      <c r="A381" s="82">
        <v>11</v>
      </c>
      <c r="B381" s="82">
        <v>32</v>
      </c>
      <c r="C381" s="82">
        <v>1</v>
      </c>
      <c r="D381" s="82">
        <v>1610</v>
      </c>
      <c r="E381" s="82"/>
      <c r="F381" s="82">
        <f t="shared" si="5"/>
        <v>1</v>
      </c>
    </row>
    <row r="382" spans="1:6" x14ac:dyDescent="0.25">
      <c r="A382" s="82">
        <v>11</v>
      </c>
      <c r="B382" s="82">
        <v>32</v>
      </c>
      <c r="C382" s="82">
        <v>3</v>
      </c>
      <c r="D382" s="82">
        <v>2660</v>
      </c>
      <c r="E382" s="82"/>
      <c r="F382" s="82">
        <f t="shared" si="5"/>
        <v>3</v>
      </c>
    </row>
    <row r="383" spans="1:6" x14ac:dyDescent="0.25">
      <c r="A383" s="82">
        <v>11</v>
      </c>
      <c r="B383" s="82">
        <v>32</v>
      </c>
      <c r="C383" s="82">
        <v>6</v>
      </c>
      <c r="D383" s="82">
        <v>2700</v>
      </c>
      <c r="E383" s="82"/>
      <c r="F383" s="82">
        <f t="shared" si="5"/>
        <v>6</v>
      </c>
    </row>
    <row r="384" spans="1:6" x14ac:dyDescent="0.25">
      <c r="A384" s="82">
        <v>11</v>
      </c>
      <c r="B384" s="82">
        <v>32</v>
      </c>
      <c r="C384" s="82">
        <v>6</v>
      </c>
      <c r="D384" s="82">
        <v>3560</v>
      </c>
      <c r="E384" s="82"/>
      <c r="F384" s="82">
        <f t="shared" si="5"/>
        <v>6</v>
      </c>
    </row>
    <row r="385" spans="1:6" x14ac:dyDescent="0.25">
      <c r="A385" s="82">
        <v>11</v>
      </c>
      <c r="B385" s="82">
        <v>32</v>
      </c>
      <c r="C385" s="82">
        <v>1</v>
      </c>
      <c r="D385" s="82">
        <v>5010</v>
      </c>
      <c r="E385" s="82"/>
      <c r="F385" s="82">
        <f t="shared" si="5"/>
        <v>1</v>
      </c>
    </row>
    <row r="386" spans="1:6" x14ac:dyDescent="0.25">
      <c r="A386" s="82">
        <v>11</v>
      </c>
      <c r="B386" s="82">
        <v>32</v>
      </c>
      <c r="C386" s="82">
        <v>15</v>
      </c>
      <c r="D386" s="82">
        <v>5150</v>
      </c>
      <c r="E386" s="82"/>
      <c r="F386" s="82">
        <f t="shared" ref="F386:F449" si="6">C386-E386</f>
        <v>15</v>
      </c>
    </row>
    <row r="387" spans="1:6" x14ac:dyDescent="0.25">
      <c r="A387" s="82">
        <v>11</v>
      </c>
      <c r="B387" s="82">
        <v>32</v>
      </c>
      <c r="C387" s="82">
        <v>4</v>
      </c>
      <c r="D387" s="82">
        <v>5320</v>
      </c>
      <c r="E387" s="82"/>
      <c r="F387" s="82">
        <f t="shared" si="6"/>
        <v>4</v>
      </c>
    </row>
    <row r="388" spans="1:6" x14ac:dyDescent="0.25">
      <c r="A388" s="82">
        <v>11</v>
      </c>
      <c r="B388" s="82">
        <v>32</v>
      </c>
      <c r="C388" s="82">
        <v>14</v>
      </c>
      <c r="D388" s="82">
        <v>5430</v>
      </c>
      <c r="E388" s="82"/>
      <c r="F388" s="82">
        <f t="shared" si="6"/>
        <v>14</v>
      </c>
    </row>
  </sheetData>
  <sortState xmlns:xlrd2="http://schemas.microsoft.com/office/spreadsheetml/2017/richdata2" ref="A2:F380">
    <sortCondition ref="B2:B380"/>
    <sortCondition ref="D2:D380"/>
  </sortSt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826DC-C888-4C4E-8509-AB0FB6C80F6E}">
  <sheetPr>
    <tabColor rgb="FFFF0000"/>
  </sheetPr>
  <dimension ref="A1:DQ2570"/>
  <sheetViews>
    <sheetView tabSelected="1" zoomScaleNormal="100" workbookViewId="0">
      <pane ySplit="8" topLeftCell="A9" activePane="bottomLeft" state="frozen"/>
      <selection pane="bottomLeft" activeCell="K19" sqref="K19"/>
    </sheetView>
  </sheetViews>
  <sheetFormatPr defaultRowHeight="15" x14ac:dyDescent="0.25"/>
  <cols>
    <col min="1" max="1" width="12.7109375" style="150" customWidth="1"/>
    <col min="2" max="3" width="9.140625" style="150"/>
    <col min="4" max="4" width="53.7109375" style="150" customWidth="1"/>
    <col min="5" max="5" width="10.7109375" style="150" customWidth="1"/>
    <col min="6" max="6" width="11.5703125" style="150" customWidth="1"/>
    <col min="7" max="7" width="9.140625" style="150"/>
    <col min="8" max="8" width="15.5703125" style="153" customWidth="1"/>
    <col min="9" max="9" width="11.5703125" style="153" customWidth="1"/>
    <col min="10" max="10" width="27" style="150" customWidth="1"/>
    <col min="11" max="11" width="22.42578125" style="150" customWidth="1"/>
    <col min="12" max="12" width="13.42578125" style="153" customWidth="1"/>
    <col min="13" max="13" width="16.28515625" style="153" customWidth="1"/>
    <col min="14" max="14" width="14.28515625" style="153" customWidth="1"/>
    <col min="15" max="16" width="12.5703125" style="150" customWidth="1"/>
    <col min="17" max="16384" width="9.140625" style="150"/>
  </cols>
  <sheetData>
    <row r="1" spans="1:121" s="151" customFormat="1" ht="21" customHeight="1" x14ac:dyDescent="0.25">
      <c r="A1" s="171" t="s">
        <v>41</v>
      </c>
      <c r="B1" s="171"/>
      <c r="C1" s="171"/>
      <c r="D1" s="171"/>
      <c r="E1" s="171"/>
      <c r="F1" s="171"/>
      <c r="G1" s="172" t="s">
        <v>68</v>
      </c>
      <c r="H1" s="172" t="s">
        <v>67</v>
      </c>
      <c r="I1" s="173" t="s">
        <v>69</v>
      </c>
      <c r="J1" s="168" t="s">
        <v>272</v>
      </c>
      <c r="K1" s="168" t="s">
        <v>273</v>
      </c>
      <c r="L1" s="168" t="s">
        <v>269</v>
      </c>
      <c r="M1" s="168" t="s">
        <v>270</v>
      </c>
      <c r="N1" s="168" t="s">
        <v>271</v>
      </c>
      <c r="O1" s="168" t="s">
        <v>70</v>
      </c>
      <c r="P1" s="168" t="s">
        <v>322</v>
      </c>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0"/>
      <c r="BB1" s="150"/>
      <c r="BC1" s="150"/>
      <c r="BD1" s="150"/>
      <c r="BE1" s="150"/>
      <c r="BF1" s="150"/>
      <c r="BG1" s="150"/>
      <c r="BH1" s="150"/>
      <c r="BI1" s="150"/>
      <c r="BJ1" s="150"/>
      <c r="BK1" s="150"/>
      <c r="BL1" s="150"/>
      <c r="BM1" s="150"/>
      <c r="BN1" s="150"/>
      <c r="BO1" s="150"/>
      <c r="BP1" s="150"/>
      <c r="BQ1" s="150"/>
      <c r="BR1" s="150"/>
      <c r="BS1" s="150"/>
      <c r="BT1" s="150"/>
      <c r="BU1" s="150"/>
      <c r="BV1" s="150"/>
      <c r="BW1" s="150"/>
      <c r="BX1" s="150"/>
      <c r="BY1" s="150"/>
      <c r="BZ1" s="150"/>
      <c r="CA1" s="150"/>
      <c r="CB1" s="150"/>
      <c r="CC1" s="150"/>
      <c r="CD1" s="150"/>
      <c r="CE1" s="150"/>
      <c r="CF1" s="150"/>
      <c r="CG1" s="150"/>
      <c r="CH1" s="150"/>
      <c r="CI1" s="150"/>
      <c r="CJ1" s="150"/>
      <c r="CK1" s="150"/>
      <c r="CL1" s="150"/>
      <c r="CM1" s="150"/>
      <c r="CN1" s="150"/>
      <c r="CO1" s="150"/>
      <c r="CP1" s="150"/>
      <c r="CQ1" s="150"/>
      <c r="CR1" s="150"/>
      <c r="CS1" s="150"/>
      <c r="CT1" s="150"/>
      <c r="CU1" s="150"/>
      <c r="CV1" s="150"/>
      <c r="CW1" s="150"/>
      <c r="CX1" s="150"/>
      <c r="CY1" s="150"/>
      <c r="CZ1" s="150"/>
      <c r="DA1" s="150"/>
      <c r="DB1" s="150"/>
      <c r="DC1" s="150"/>
      <c r="DD1" s="150"/>
      <c r="DE1" s="150"/>
      <c r="DF1" s="150"/>
      <c r="DG1" s="150"/>
      <c r="DH1" s="150"/>
      <c r="DI1" s="150"/>
      <c r="DJ1" s="150"/>
      <c r="DK1" s="150"/>
      <c r="DL1" s="150"/>
      <c r="DM1" s="150"/>
      <c r="DN1" s="150"/>
      <c r="DO1" s="150"/>
      <c r="DP1" s="150"/>
      <c r="DQ1" s="150"/>
    </row>
    <row r="2" spans="1:121" s="151" customFormat="1" ht="16.899999999999999" customHeight="1" x14ac:dyDescent="0.25">
      <c r="A2" s="171"/>
      <c r="B2" s="171"/>
      <c r="C2" s="171"/>
      <c r="D2" s="171"/>
      <c r="E2" s="171"/>
      <c r="F2" s="171"/>
      <c r="G2" s="172"/>
      <c r="H2" s="172"/>
      <c r="I2" s="173"/>
      <c r="J2" s="168"/>
      <c r="K2" s="168"/>
      <c r="L2" s="168"/>
      <c r="M2" s="168"/>
      <c r="N2" s="168"/>
      <c r="O2" s="168"/>
      <c r="P2" s="168"/>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row>
    <row r="3" spans="1:121" s="151" customFormat="1" ht="25.5" customHeight="1" x14ac:dyDescent="0.25">
      <c r="A3" s="170" t="str">
        <f>"CÔNG TRÌNH : " &amp;ThongSo!B5</f>
        <v>CÔNG TRÌNH : MONBAY HẠ LONG</v>
      </c>
      <c r="B3" s="170"/>
      <c r="C3" s="170"/>
      <c r="D3" s="170"/>
      <c r="E3" s="170"/>
      <c r="F3" s="170"/>
      <c r="G3" s="146" t="s">
        <v>265</v>
      </c>
      <c r="H3" s="146" t="s">
        <v>266</v>
      </c>
      <c r="I3" s="146" t="s">
        <v>267</v>
      </c>
      <c r="J3" s="146" t="s">
        <v>302</v>
      </c>
      <c r="K3" s="146" t="s">
        <v>303</v>
      </c>
      <c r="L3" s="146" t="s">
        <v>298</v>
      </c>
      <c r="M3" s="146" t="s">
        <v>304</v>
      </c>
      <c r="N3" s="146" t="s">
        <v>299</v>
      </c>
      <c r="O3" s="146" t="s">
        <v>305</v>
      </c>
      <c r="P3" s="146" t="s">
        <v>282</v>
      </c>
      <c r="Q3" s="150"/>
      <c r="R3" s="150"/>
      <c r="S3" s="150"/>
      <c r="T3" s="150"/>
      <c r="U3" s="150"/>
      <c r="V3" s="150"/>
      <c r="W3" s="150"/>
      <c r="X3" s="150"/>
      <c r="Y3" s="150"/>
      <c r="Z3" s="150"/>
      <c r="AA3" s="150"/>
      <c r="AB3" s="150"/>
      <c r="AC3" s="150"/>
      <c r="AD3" s="150"/>
      <c r="AE3" s="150"/>
      <c r="AF3" s="150"/>
      <c r="AG3" s="150"/>
      <c r="AH3" s="150"/>
      <c r="AI3" s="150"/>
      <c r="AJ3" s="150"/>
      <c r="AK3" s="150"/>
      <c r="AL3" s="150"/>
      <c r="AM3" s="150"/>
      <c r="AN3" s="150"/>
      <c r="AO3" s="150"/>
      <c r="AP3" s="150"/>
      <c r="AQ3" s="150"/>
      <c r="AR3" s="150"/>
      <c r="AS3" s="150"/>
      <c r="AT3" s="150"/>
      <c r="AU3" s="150"/>
      <c r="AV3" s="150"/>
      <c r="AW3" s="150"/>
      <c r="AX3" s="150"/>
      <c r="AY3" s="150"/>
      <c r="AZ3" s="150"/>
      <c r="BA3" s="150"/>
      <c r="BB3" s="150"/>
      <c r="BC3" s="150"/>
      <c r="BD3" s="150"/>
      <c r="BE3" s="150"/>
      <c r="BF3" s="150"/>
      <c r="BG3" s="150"/>
      <c r="BH3" s="150"/>
      <c r="BI3" s="150"/>
      <c r="BJ3" s="150"/>
      <c r="BK3" s="150"/>
      <c r="BL3" s="150"/>
      <c r="BM3" s="150"/>
      <c r="BN3" s="150"/>
      <c r="BO3" s="150"/>
      <c r="BP3" s="150"/>
      <c r="BQ3" s="150"/>
      <c r="BR3" s="150"/>
      <c r="BS3" s="150"/>
      <c r="BT3" s="150"/>
      <c r="BU3" s="150"/>
      <c r="BV3" s="150"/>
      <c r="BW3" s="150"/>
      <c r="BX3" s="150"/>
      <c r="BY3" s="150"/>
      <c r="BZ3" s="150"/>
      <c r="CA3" s="150"/>
      <c r="CB3" s="150"/>
      <c r="CC3" s="150"/>
      <c r="CD3" s="150"/>
      <c r="CE3" s="150"/>
      <c r="CF3" s="150"/>
      <c r="CG3" s="150"/>
      <c r="CH3" s="150"/>
      <c r="CI3" s="150"/>
      <c r="CJ3" s="150"/>
      <c r="CK3" s="150"/>
      <c r="CL3" s="150"/>
      <c r="CM3" s="150"/>
      <c r="CN3" s="150"/>
      <c r="CO3" s="150"/>
      <c r="CP3" s="150"/>
      <c r="CQ3" s="150"/>
      <c r="CR3" s="150"/>
      <c r="CS3" s="150"/>
      <c r="CT3" s="150"/>
      <c r="CU3" s="150"/>
      <c r="CV3" s="150"/>
      <c r="CW3" s="150"/>
      <c r="CX3" s="150"/>
      <c r="CY3" s="150"/>
      <c r="CZ3" s="150"/>
      <c r="DA3" s="150"/>
      <c r="DB3" s="150"/>
      <c r="DC3" s="150"/>
      <c r="DD3" s="150"/>
      <c r="DE3" s="150"/>
      <c r="DF3" s="150"/>
      <c r="DG3" s="150"/>
      <c r="DH3" s="150"/>
      <c r="DI3" s="150"/>
      <c r="DJ3" s="150"/>
      <c r="DK3" s="150"/>
      <c r="DL3" s="150"/>
      <c r="DM3" s="150"/>
      <c r="DN3" s="150"/>
      <c r="DO3" s="150"/>
      <c r="DP3" s="150"/>
      <c r="DQ3" s="150"/>
    </row>
    <row r="4" spans="1:121" ht="21" customHeight="1" x14ac:dyDescent="0.25">
      <c r="A4" s="170"/>
      <c r="B4" s="170"/>
      <c r="C4" s="170"/>
      <c r="D4" s="170"/>
      <c r="E4" s="170"/>
      <c r="F4" s="170"/>
      <c r="G4" s="147"/>
      <c r="H4" s="152">
        <f>IF(C4=11700,ROUND(VLOOKUP(G4,ThongSo!$F$2:$I$15,4,0)*B4*11.7,3),0)</f>
        <v>0</v>
      </c>
      <c r="I4" s="152" t="str">
        <f>IF(F4="Sắt vụn",ROUND(VLOOKUP(G4,ThongSo!$F$2:$I$15,4,0)*B4*E4/1000,3),"-")</f>
        <v>-</v>
      </c>
      <c r="J4" s="178">
        <f>SUM(H8:H2355)+'TH Thep'!G1+'TH Thep'!J1</f>
        <v>1138815.9685000065</v>
      </c>
      <c r="K4" s="178">
        <f>'TH Thep'!L1</f>
        <v>1072999.8079599997</v>
      </c>
      <c r="L4" s="179">
        <f>SUM(I:I)</f>
        <v>18173.791000000019</v>
      </c>
      <c r="M4" s="179">
        <f>SLThepDu!F1</f>
        <v>17387.593999999994</v>
      </c>
      <c r="N4" s="177">
        <f>IF(L4&lt;&gt;0,L4/J4,"-")</f>
        <v>1.5958496809574649E-2</v>
      </c>
      <c r="O4" s="177">
        <f>IF(M4&lt;&gt;0,M4/J4,"-")</f>
        <v>1.5268133290141773E-2</v>
      </c>
      <c r="P4" s="177">
        <f>N4+O4</f>
        <v>3.1226630099716421E-2</v>
      </c>
    </row>
    <row r="5" spans="1:121" x14ac:dyDescent="0.25">
      <c r="A5" s="167"/>
      <c r="B5" s="167"/>
      <c r="C5" s="167"/>
      <c r="D5" s="167"/>
      <c r="E5" s="167"/>
      <c r="F5" s="174"/>
      <c r="G5" s="147"/>
      <c r="H5" s="152">
        <f>IF(C5=11700,ROUND(VLOOKUP(G5,ThongSo!$F$2:$I$15,4,0)*B5*11.7,3),0)</f>
        <v>0</v>
      </c>
      <c r="I5" s="152" t="str">
        <f>IF(F5="Sắt vụn",ROUND(VLOOKUP(G5,ThongSo!$F$2:$I$15,4,0)*B5*E5/1000,3),"-")</f>
        <v>-</v>
      </c>
    </row>
    <row r="6" spans="1:121" ht="21" x14ac:dyDescent="0.35">
      <c r="A6" s="169" t="s">
        <v>41</v>
      </c>
      <c r="B6" s="169"/>
      <c r="C6" s="169"/>
      <c r="D6" s="169"/>
      <c r="E6" s="169"/>
      <c r="F6" s="169"/>
      <c r="G6" s="148"/>
      <c r="H6" s="152">
        <f>IF(C6=11700,ROUND(VLOOKUP(G6,ThongSo!$F$2:$I$15,4,0)*B6*11.7,3),0)</f>
        <v>0</v>
      </c>
      <c r="I6" s="152" t="str">
        <f>IF(F6="Sắt vụn",ROUND(VLOOKUP(G6,ThongSo!$F$2:$I$15,4,0)*B6*E6/1000,3),"-")</f>
        <v>-</v>
      </c>
    </row>
    <row r="7" spans="1:121" x14ac:dyDescent="0.25">
      <c r="A7" s="167" t="str">
        <f>"CÔNG TRÌNH : " &amp;ThongSo!B11</f>
        <v xml:space="preserve">CÔNG TRÌNH : </v>
      </c>
      <c r="B7" s="167"/>
      <c r="C7" s="167"/>
      <c r="D7" s="167"/>
      <c r="E7" s="167"/>
      <c r="F7" s="167"/>
      <c r="G7" s="148"/>
      <c r="H7" s="152">
        <f>IF(C7=11700,ROUND(VLOOKUP(G7,ThongSo!$F$2:$I$15,4,0)*B7*11.7,3),0)</f>
        <v>0</v>
      </c>
      <c r="I7" s="152" t="str">
        <f>IF(F7="Sắt vụn",ROUND(VLOOKUP(G7,ThongSo!$F$2:$I$15,4,0)*B7*E7/1000,3),"-")</f>
        <v>-</v>
      </c>
      <c r="J7" s="145"/>
    </row>
    <row r="8" spans="1:121" x14ac:dyDescent="0.25">
      <c r="A8" s="167">
        <v>1</v>
      </c>
      <c r="B8" s="167"/>
      <c r="C8" s="167"/>
      <c r="D8" s="167"/>
      <c r="E8" s="167"/>
      <c r="F8" s="167"/>
      <c r="G8" s="148"/>
      <c r="H8" s="152">
        <f>IF(C8=11700,ROUND(VLOOKUP(G8,ThongSo!$F$2:$I$15,4,0)*B8*11.7,3),0)</f>
        <v>0</v>
      </c>
      <c r="I8" s="152" t="str">
        <f>IF(F8="Sắt vụn",ROUND(VLOOKUP(G8,ThongSo!$F$2:$I$15,4,0)*B8*E8/1000,3),"-")</f>
        <v>-</v>
      </c>
      <c r="L8" s="150"/>
      <c r="M8" s="150"/>
      <c r="N8" s="150"/>
    </row>
    <row r="9" spans="1:121" x14ac:dyDescent="0.25">
      <c r="A9" s="154"/>
      <c r="G9" s="148"/>
      <c r="H9" s="152">
        <f>IF(C9=11700,ROUND(VLOOKUP(G9,ThongSo!$F$2:$I$15,4,0)*B9*11.7,3),0)</f>
        <v>0</v>
      </c>
      <c r="I9" s="152" t="str">
        <f>IF(F9="Sắt vụn",ROUND(VLOOKUP(G9,ThongSo!$F$2:$I$15,4,0)*B9*E9/1000,3),"-")</f>
        <v>-</v>
      </c>
      <c r="L9" s="150"/>
      <c r="M9" s="150"/>
      <c r="N9" s="150"/>
    </row>
    <row r="10" spans="1:121" x14ac:dyDescent="0.25">
      <c r="A10" s="155" t="s">
        <v>50</v>
      </c>
      <c r="B10" s="155" t="s">
        <v>51</v>
      </c>
      <c r="C10" s="155" t="s">
        <v>45</v>
      </c>
      <c r="D10" s="155" t="s">
        <v>42</v>
      </c>
      <c r="E10" s="155" t="s">
        <v>43</v>
      </c>
      <c r="F10" s="156" t="s">
        <v>46</v>
      </c>
      <c r="G10" s="148"/>
      <c r="H10" s="152">
        <f>IF(C10=11700,ROUND(VLOOKUP(G10,ThongSo!$F$2:$I$15,4,0)*B10*11.7,3),0)</f>
        <v>0</v>
      </c>
      <c r="I10" s="152" t="str">
        <f>IF(F10="Sắt vụn",ROUND(VLOOKUP(G10,ThongSo!$F$2:$I$15,4,0)*B10*E10/1000,3),"-")</f>
        <v>-</v>
      </c>
      <c r="L10" s="150"/>
      <c r="M10" s="150"/>
      <c r="N10" s="150"/>
    </row>
    <row r="11" spans="1:121" x14ac:dyDescent="0.25">
      <c r="A11" s="157" t="s">
        <v>72</v>
      </c>
      <c r="B11" s="158"/>
      <c r="C11" s="158"/>
      <c r="D11" s="158"/>
      <c r="E11" s="158"/>
      <c r="F11" s="158"/>
      <c r="G11" s="148"/>
      <c r="H11" s="152">
        <f>IF(C11=11700,ROUND(VLOOKUP(G11,ThongSo!$F$2:$I$15,4,0)*B11*11.7,3),0)</f>
        <v>0</v>
      </c>
      <c r="I11" s="152" t="str">
        <f>IF(F11="Sắt vụn",ROUND(VLOOKUP(G11,ThongSo!$F$2:$I$15,4,0)*B11*E11/1000,3),"-")</f>
        <v>-</v>
      </c>
      <c r="L11" s="150"/>
      <c r="M11" s="150"/>
      <c r="N11" s="150"/>
    </row>
    <row r="12" spans="1:121" x14ac:dyDescent="0.25">
      <c r="A12" s="159" t="s">
        <v>73</v>
      </c>
      <c r="B12" s="160">
        <v>520</v>
      </c>
      <c r="C12" s="160">
        <v>11700</v>
      </c>
      <c r="D12" s="160"/>
      <c r="E12" s="160"/>
      <c r="F12" s="160"/>
      <c r="G12" s="148">
        <v>32</v>
      </c>
      <c r="H12" s="152">
        <f>IF(C12=11700,ROUND(VLOOKUP(G12,ThongSo!$F$2:$I$15,4,0)*B12*11.7,3),0)</f>
        <v>38390.04</v>
      </c>
      <c r="I12" s="152" t="str">
        <f>IF(F12="Sắt vụn",ROUND(VLOOKUP(G12,ThongSo!$F$2:$I$15,4,0)*B12*E12/1000,3),"-")</f>
        <v>-</v>
      </c>
      <c r="L12" s="150"/>
      <c r="M12" s="150"/>
      <c r="N12" s="150"/>
    </row>
    <row r="13" spans="1:121" x14ac:dyDescent="0.25">
      <c r="A13" s="159">
        <v>2</v>
      </c>
      <c r="B13" s="160">
        <v>11</v>
      </c>
      <c r="C13" s="160">
        <v>11700</v>
      </c>
      <c r="D13" s="160" t="s">
        <v>2877</v>
      </c>
      <c r="E13" s="160">
        <v>0</v>
      </c>
      <c r="F13" s="160"/>
      <c r="G13" s="148">
        <v>32</v>
      </c>
      <c r="H13" s="152">
        <f>IF(C13=11700,ROUND(VLOOKUP(G13,ThongSo!$F$2:$I$15,4,0)*B13*11.7,3),0)</f>
        <v>812.09699999999998</v>
      </c>
      <c r="I13" s="152" t="str">
        <f>IF(F13="Sắt vụn",ROUND(VLOOKUP(G13,ThongSo!$F$2:$I$15,4,0)*B13*E13/1000,3),"-")</f>
        <v>-</v>
      </c>
      <c r="L13" s="150"/>
      <c r="M13" s="150"/>
      <c r="N13" s="150"/>
    </row>
    <row r="14" spans="1:121" x14ac:dyDescent="0.25">
      <c r="A14" s="159">
        <v>3</v>
      </c>
      <c r="B14" s="160">
        <v>8</v>
      </c>
      <c r="C14" s="160">
        <v>11700</v>
      </c>
      <c r="D14" s="160" t="s">
        <v>2878</v>
      </c>
      <c r="E14" s="160">
        <v>0</v>
      </c>
      <c r="F14" s="160"/>
      <c r="G14" s="148">
        <v>32</v>
      </c>
      <c r="H14" s="152">
        <f>IF(C14=11700,ROUND(VLOOKUP(G14,ThongSo!$F$2:$I$15,4,0)*B14*11.7,3),0)</f>
        <v>590.61599999999999</v>
      </c>
      <c r="I14" s="152" t="str">
        <f>IF(F14="Sắt vụn",ROUND(VLOOKUP(G14,ThongSo!$F$2:$I$15,4,0)*B14*E14/1000,3),"-")</f>
        <v>-</v>
      </c>
      <c r="L14" s="150"/>
      <c r="M14" s="150"/>
      <c r="N14" s="150"/>
    </row>
    <row r="15" spans="1:121" x14ac:dyDescent="0.25">
      <c r="A15" s="159">
        <v>4</v>
      </c>
      <c r="B15" s="160">
        <v>6</v>
      </c>
      <c r="C15" s="160">
        <v>11700</v>
      </c>
      <c r="D15" s="160" t="s">
        <v>2879</v>
      </c>
      <c r="E15" s="160">
        <v>0</v>
      </c>
      <c r="F15" s="160"/>
      <c r="G15" s="148">
        <v>32</v>
      </c>
      <c r="H15" s="152">
        <f>IF(C15=11700,ROUND(VLOOKUP(G15,ThongSo!$F$2:$I$15,4,0)*B15*11.7,3),0)</f>
        <v>442.96199999999999</v>
      </c>
      <c r="I15" s="152" t="str">
        <f>IF(F15="Sắt vụn",ROUND(VLOOKUP(G15,ThongSo!$F$2:$I$15,4,0)*B15*E15/1000,3),"-")</f>
        <v>-</v>
      </c>
      <c r="L15" s="150"/>
      <c r="M15" s="150"/>
      <c r="N15" s="150"/>
    </row>
    <row r="16" spans="1:121" x14ac:dyDescent="0.25">
      <c r="A16" s="159">
        <v>5</v>
      </c>
      <c r="B16" s="160">
        <v>7</v>
      </c>
      <c r="C16" s="160">
        <v>11700</v>
      </c>
      <c r="D16" s="160" t="s">
        <v>2880</v>
      </c>
      <c r="E16" s="160">
        <v>0</v>
      </c>
      <c r="F16" s="160"/>
      <c r="G16" s="148">
        <v>32</v>
      </c>
      <c r="H16" s="152">
        <f>IF(C16=11700,ROUND(VLOOKUP(G16,ThongSo!$F$2:$I$15,4,0)*B16*11.7,3),0)</f>
        <v>516.78899999999999</v>
      </c>
      <c r="I16" s="152" t="str">
        <f>IF(F16="Sắt vụn",ROUND(VLOOKUP(G16,ThongSo!$F$2:$I$15,4,0)*B16*E16/1000,3),"-")</f>
        <v>-</v>
      </c>
      <c r="L16" s="150"/>
      <c r="M16" s="150"/>
      <c r="N16" s="150"/>
    </row>
    <row r="17" spans="1:14" x14ac:dyDescent="0.25">
      <c r="A17" s="159">
        <v>6</v>
      </c>
      <c r="B17" s="160">
        <v>3</v>
      </c>
      <c r="C17" s="160">
        <v>11700</v>
      </c>
      <c r="D17" s="160" t="s">
        <v>2881</v>
      </c>
      <c r="E17" s="160">
        <v>0</v>
      </c>
      <c r="F17" s="160"/>
      <c r="G17" s="148">
        <v>32</v>
      </c>
      <c r="H17" s="152">
        <f>IF(C17=11700,ROUND(VLOOKUP(G17,ThongSo!$F$2:$I$15,4,0)*B17*11.7,3),0)</f>
        <v>221.48099999999999</v>
      </c>
      <c r="I17" s="152" t="str">
        <f>IF(F17="Sắt vụn",ROUND(VLOOKUP(G17,ThongSo!$F$2:$I$15,4,0)*B17*E17/1000,3),"-")</f>
        <v>-</v>
      </c>
      <c r="L17" s="150"/>
      <c r="M17" s="150"/>
      <c r="N17" s="150"/>
    </row>
    <row r="18" spans="1:14" x14ac:dyDescent="0.25">
      <c r="A18" s="159">
        <v>7</v>
      </c>
      <c r="B18" s="160">
        <v>3</v>
      </c>
      <c r="C18" s="160">
        <v>11700</v>
      </c>
      <c r="D18" s="160" t="s">
        <v>2882</v>
      </c>
      <c r="E18" s="160">
        <v>0</v>
      </c>
      <c r="F18" s="160"/>
      <c r="G18" s="148">
        <v>32</v>
      </c>
      <c r="H18" s="152">
        <f>IF(C18=11700,ROUND(VLOOKUP(G18,ThongSo!$F$2:$I$15,4,0)*B18*11.7,3),0)</f>
        <v>221.48099999999999</v>
      </c>
      <c r="I18" s="152" t="str">
        <f>IF(F18="Sắt vụn",ROUND(VLOOKUP(G18,ThongSo!$F$2:$I$15,4,0)*B18*E18/1000,3),"-")</f>
        <v>-</v>
      </c>
      <c r="L18" s="150"/>
      <c r="M18" s="150"/>
      <c r="N18" s="150"/>
    </row>
    <row r="19" spans="1:14" x14ac:dyDescent="0.25">
      <c r="A19" s="159">
        <v>8</v>
      </c>
      <c r="B19" s="160">
        <v>2</v>
      </c>
      <c r="C19" s="160">
        <v>11700</v>
      </c>
      <c r="D19" s="160" t="s">
        <v>2883</v>
      </c>
      <c r="E19" s="160">
        <v>0</v>
      </c>
      <c r="F19" s="160"/>
      <c r="G19" s="148">
        <v>32</v>
      </c>
      <c r="H19" s="152">
        <f>IF(C19=11700,ROUND(VLOOKUP(G19,ThongSo!$F$2:$I$15,4,0)*B19*11.7,3),0)</f>
        <v>147.654</v>
      </c>
      <c r="I19" s="152" t="str">
        <f>IF(F19="Sắt vụn",ROUND(VLOOKUP(G19,ThongSo!$F$2:$I$15,4,0)*B19*E19/1000,3),"-")</f>
        <v>-</v>
      </c>
      <c r="L19" s="150"/>
      <c r="M19" s="150"/>
      <c r="N19" s="150"/>
    </row>
    <row r="20" spans="1:14" x14ac:dyDescent="0.25">
      <c r="A20" s="159">
        <v>9</v>
      </c>
      <c r="B20" s="160">
        <v>5</v>
      </c>
      <c r="C20" s="160">
        <v>11700</v>
      </c>
      <c r="D20" s="160" t="s">
        <v>2884</v>
      </c>
      <c r="E20" s="160">
        <v>0</v>
      </c>
      <c r="F20" s="160"/>
      <c r="G20" s="148">
        <v>32</v>
      </c>
      <c r="H20" s="152">
        <f>IF(C20=11700,ROUND(VLOOKUP(G20,ThongSo!$F$2:$I$15,4,0)*B20*11.7,3),0)</f>
        <v>369.13499999999999</v>
      </c>
      <c r="I20" s="152" t="str">
        <f>IF(F20="Sắt vụn",ROUND(VLOOKUP(G20,ThongSo!$F$2:$I$15,4,0)*B20*E20/1000,3),"-")</f>
        <v>-</v>
      </c>
      <c r="L20" s="150"/>
      <c r="M20" s="150"/>
      <c r="N20" s="150"/>
    </row>
    <row r="21" spans="1:14" x14ac:dyDescent="0.25">
      <c r="A21" s="159">
        <v>10</v>
      </c>
      <c r="B21" s="160">
        <v>7</v>
      </c>
      <c r="C21" s="160">
        <v>11700</v>
      </c>
      <c r="D21" s="160" t="s">
        <v>2885</v>
      </c>
      <c r="E21" s="160">
        <v>0</v>
      </c>
      <c r="F21" s="160"/>
      <c r="G21" s="148">
        <v>32</v>
      </c>
      <c r="H21" s="152">
        <f>IF(C21=11700,ROUND(VLOOKUP(G21,ThongSo!$F$2:$I$15,4,0)*B21*11.7,3),0)</f>
        <v>516.78899999999999</v>
      </c>
      <c r="I21" s="152" t="str">
        <f>IF(F21="Sắt vụn",ROUND(VLOOKUP(G21,ThongSo!$F$2:$I$15,4,0)*B21*E21/1000,3),"-")</f>
        <v>-</v>
      </c>
      <c r="L21" s="150"/>
      <c r="M21" s="150"/>
      <c r="N21" s="150"/>
    </row>
    <row r="22" spans="1:14" x14ac:dyDescent="0.25">
      <c r="A22" s="159">
        <v>11</v>
      </c>
      <c r="B22" s="160">
        <v>5</v>
      </c>
      <c r="C22" s="160">
        <v>11700</v>
      </c>
      <c r="D22" s="160" t="s">
        <v>2886</v>
      </c>
      <c r="E22" s="160">
        <v>0</v>
      </c>
      <c r="F22" s="160"/>
      <c r="G22" s="148">
        <v>32</v>
      </c>
      <c r="H22" s="152">
        <f>IF(C22=11700,ROUND(VLOOKUP(G22,ThongSo!$F$2:$I$15,4,0)*B22*11.7,3),0)</f>
        <v>369.13499999999999</v>
      </c>
      <c r="I22" s="152" t="str">
        <f>IF(F22="Sắt vụn",ROUND(VLOOKUP(G22,ThongSo!$F$2:$I$15,4,0)*B22*E22/1000,3),"-")</f>
        <v>-</v>
      </c>
      <c r="L22" s="150"/>
      <c r="M22" s="150"/>
      <c r="N22" s="150"/>
    </row>
    <row r="23" spans="1:14" x14ac:dyDescent="0.25">
      <c r="A23" s="159">
        <v>12</v>
      </c>
      <c r="B23" s="160">
        <v>7</v>
      </c>
      <c r="C23" s="160">
        <v>11700</v>
      </c>
      <c r="D23" s="160" t="s">
        <v>2887</v>
      </c>
      <c r="E23" s="160">
        <v>0</v>
      </c>
      <c r="F23" s="160"/>
      <c r="G23" s="148">
        <v>32</v>
      </c>
      <c r="H23" s="152">
        <f>IF(C23=11700,ROUND(VLOOKUP(G23,ThongSo!$F$2:$I$15,4,0)*B23*11.7,3),0)</f>
        <v>516.78899999999999</v>
      </c>
      <c r="I23" s="152" t="str">
        <f>IF(F23="Sắt vụn",ROUND(VLOOKUP(G23,ThongSo!$F$2:$I$15,4,0)*B23*E23/1000,3),"-")</f>
        <v>-</v>
      </c>
      <c r="L23" s="150"/>
      <c r="M23" s="150"/>
      <c r="N23" s="150"/>
    </row>
    <row r="24" spans="1:14" x14ac:dyDescent="0.25">
      <c r="A24" s="159">
        <v>13</v>
      </c>
      <c r="B24" s="160">
        <v>1</v>
      </c>
      <c r="C24" s="160">
        <v>11700</v>
      </c>
      <c r="D24" s="160" t="s">
        <v>2888</v>
      </c>
      <c r="E24" s="160">
        <v>0</v>
      </c>
      <c r="F24" s="160"/>
      <c r="G24" s="148">
        <v>32</v>
      </c>
      <c r="H24" s="152">
        <f>IF(C24=11700,ROUND(VLOOKUP(G24,ThongSo!$F$2:$I$15,4,0)*B24*11.7,3),0)</f>
        <v>73.826999999999998</v>
      </c>
      <c r="I24" s="152" t="str">
        <f>IF(F24="Sắt vụn",ROUND(VLOOKUP(G24,ThongSo!$F$2:$I$15,4,0)*B24*E24/1000,3),"-")</f>
        <v>-</v>
      </c>
      <c r="L24" s="150"/>
      <c r="M24" s="150"/>
      <c r="N24" s="150"/>
    </row>
    <row r="25" spans="1:14" x14ac:dyDescent="0.25">
      <c r="A25" s="159">
        <v>14</v>
      </c>
      <c r="B25" s="160">
        <v>4</v>
      </c>
      <c r="C25" s="160">
        <v>11700</v>
      </c>
      <c r="D25" s="160" t="s">
        <v>2889</v>
      </c>
      <c r="E25" s="160">
        <v>0</v>
      </c>
      <c r="F25" s="160"/>
      <c r="G25" s="148">
        <v>32</v>
      </c>
      <c r="H25" s="152">
        <f>IF(C25=11700,ROUND(VLOOKUP(G25,ThongSo!$F$2:$I$15,4,0)*B25*11.7,3),0)</f>
        <v>295.30799999999999</v>
      </c>
      <c r="I25" s="152" t="str">
        <f>IF(F25="Sắt vụn",ROUND(VLOOKUP(G25,ThongSo!$F$2:$I$15,4,0)*B25*E25/1000,3),"-")</f>
        <v>-</v>
      </c>
      <c r="L25" s="150"/>
      <c r="M25" s="150"/>
      <c r="N25" s="150"/>
    </row>
    <row r="26" spans="1:14" x14ac:dyDescent="0.25">
      <c r="A26" s="159">
        <v>15</v>
      </c>
      <c r="B26" s="160">
        <v>6</v>
      </c>
      <c r="C26" s="160">
        <v>11700</v>
      </c>
      <c r="D26" s="160" t="s">
        <v>2890</v>
      </c>
      <c r="E26" s="160">
        <v>0</v>
      </c>
      <c r="F26" s="160"/>
      <c r="G26" s="148">
        <v>32</v>
      </c>
      <c r="H26" s="152">
        <f>IF(C26=11700,ROUND(VLOOKUP(G26,ThongSo!$F$2:$I$15,4,0)*B26*11.7,3),0)</f>
        <v>442.96199999999999</v>
      </c>
      <c r="I26" s="152" t="str">
        <f>IF(F26="Sắt vụn",ROUND(VLOOKUP(G26,ThongSo!$F$2:$I$15,4,0)*B26*E26/1000,3),"-")</f>
        <v>-</v>
      </c>
      <c r="L26" s="150"/>
      <c r="M26" s="150"/>
      <c r="N26" s="150"/>
    </row>
    <row r="27" spans="1:14" x14ac:dyDescent="0.25">
      <c r="A27" s="159">
        <v>16</v>
      </c>
      <c r="B27" s="160">
        <v>4</v>
      </c>
      <c r="C27" s="160">
        <v>11700</v>
      </c>
      <c r="D27" s="160" t="s">
        <v>2891</v>
      </c>
      <c r="E27" s="160">
        <v>0</v>
      </c>
      <c r="F27" s="160"/>
      <c r="G27" s="148">
        <v>32</v>
      </c>
      <c r="H27" s="152">
        <f>IF(C27=11700,ROUND(VLOOKUP(G27,ThongSo!$F$2:$I$15,4,0)*B27*11.7,3),0)</f>
        <v>295.30799999999999</v>
      </c>
      <c r="I27" s="152" t="str">
        <f>IF(F27="Sắt vụn",ROUND(VLOOKUP(G27,ThongSo!$F$2:$I$15,4,0)*B27*E27/1000,3),"-")</f>
        <v>-</v>
      </c>
      <c r="L27" s="150"/>
      <c r="M27" s="150"/>
      <c r="N27" s="150"/>
    </row>
    <row r="28" spans="1:14" x14ac:dyDescent="0.25">
      <c r="A28" s="159">
        <v>17</v>
      </c>
      <c r="B28" s="160">
        <v>1</v>
      </c>
      <c r="C28" s="160">
        <v>11700</v>
      </c>
      <c r="D28" s="160" t="s">
        <v>2892</v>
      </c>
      <c r="E28" s="160">
        <v>0</v>
      </c>
      <c r="F28" s="160"/>
      <c r="G28" s="148">
        <v>32</v>
      </c>
      <c r="H28" s="152">
        <f>IF(C28=11700,ROUND(VLOOKUP(G28,ThongSo!$F$2:$I$15,4,0)*B28*11.7,3),0)</f>
        <v>73.826999999999998</v>
      </c>
      <c r="I28" s="152" t="str">
        <f>IF(F28="Sắt vụn",ROUND(VLOOKUP(G28,ThongSo!$F$2:$I$15,4,0)*B28*E28/1000,3),"-")</f>
        <v>-</v>
      </c>
      <c r="L28" s="150"/>
      <c r="M28" s="150"/>
      <c r="N28" s="150"/>
    </row>
    <row r="29" spans="1:14" x14ac:dyDescent="0.25">
      <c r="A29" s="159">
        <v>18</v>
      </c>
      <c r="B29" s="160">
        <v>6</v>
      </c>
      <c r="C29" s="160">
        <v>11700</v>
      </c>
      <c r="D29" s="160" t="s">
        <v>2893</v>
      </c>
      <c r="E29" s="160">
        <v>0</v>
      </c>
      <c r="F29" s="160"/>
      <c r="G29" s="148">
        <v>32</v>
      </c>
      <c r="H29" s="152">
        <f>IF(C29=11700,ROUND(VLOOKUP(G29,ThongSo!$F$2:$I$15,4,0)*B29*11.7,3),0)</f>
        <v>442.96199999999999</v>
      </c>
      <c r="I29" s="152" t="str">
        <f>IF(F29="Sắt vụn",ROUND(VLOOKUP(G29,ThongSo!$F$2:$I$15,4,0)*B29*E29/1000,3),"-")</f>
        <v>-</v>
      </c>
      <c r="L29" s="150"/>
      <c r="M29" s="150"/>
      <c r="N29" s="150"/>
    </row>
    <row r="30" spans="1:14" x14ac:dyDescent="0.25">
      <c r="A30" s="159">
        <v>19</v>
      </c>
      <c r="B30" s="160">
        <v>3</v>
      </c>
      <c r="C30" s="160">
        <v>11700</v>
      </c>
      <c r="D30" s="160" t="s">
        <v>2894</v>
      </c>
      <c r="E30" s="160">
        <v>0</v>
      </c>
      <c r="F30" s="160"/>
      <c r="G30" s="148">
        <v>32</v>
      </c>
      <c r="H30" s="152">
        <f>IF(C30=11700,ROUND(VLOOKUP(G30,ThongSo!$F$2:$I$15,4,0)*B30*11.7,3),0)</f>
        <v>221.48099999999999</v>
      </c>
      <c r="I30" s="152" t="str">
        <f>IF(F30="Sắt vụn",ROUND(VLOOKUP(G30,ThongSo!$F$2:$I$15,4,0)*B30*E30/1000,3),"-")</f>
        <v>-</v>
      </c>
      <c r="L30" s="150"/>
      <c r="M30" s="150"/>
      <c r="N30" s="150"/>
    </row>
    <row r="31" spans="1:14" x14ac:dyDescent="0.25">
      <c r="A31" s="159">
        <v>20</v>
      </c>
      <c r="B31" s="160">
        <v>3</v>
      </c>
      <c r="C31" s="160">
        <v>11700</v>
      </c>
      <c r="D31" s="160" t="s">
        <v>2895</v>
      </c>
      <c r="E31" s="160">
        <v>0</v>
      </c>
      <c r="F31" s="160"/>
      <c r="G31" s="148">
        <v>32</v>
      </c>
      <c r="H31" s="152">
        <f>IF(C31=11700,ROUND(VLOOKUP(G31,ThongSo!$F$2:$I$15,4,0)*B31*11.7,3),0)</f>
        <v>221.48099999999999</v>
      </c>
      <c r="I31" s="152" t="str">
        <f>IF(F31="Sắt vụn",ROUND(VLOOKUP(G31,ThongSo!$F$2:$I$15,4,0)*B31*E31/1000,3),"-")</f>
        <v>-</v>
      </c>
      <c r="L31" s="150"/>
      <c r="M31" s="150"/>
      <c r="N31" s="150"/>
    </row>
    <row r="32" spans="1:14" x14ac:dyDescent="0.25">
      <c r="A32" s="159">
        <v>21</v>
      </c>
      <c r="B32" s="160">
        <v>6</v>
      </c>
      <c r="C32" s="160">
        <v>11700</v>
      </c>
      <c r="D32" s="160" t="s">
        <v>2896</v>
      </c>
      <c r="E32" s="160">
        <v>0</v>
      </c>
      <c r="F32" s="160"/>
      <c r="G32" s="148">
        <v>32</v>
      </c>
      <c r="H32" s="152">
        <f>IF(C32=11700,ROUND(VLOOKUP(G32,ThongSo!$F$2:$I$15,4,0)*B32*11.7,3),0)</f>
        <v>442.96199999999999</v>
      </c>
      <c r="I32" s="152" t="str">
        <f>IF(F32="Sắt vụn",ROUND(VLOOKUP(G32,ThongSo!$F$2:$I$15,4,0)*B32*E32/1000,3),"-")</f>
        <v>-</v>
      </c>
      <c r="L32" s="150"/>
      <c r="M32" s="150"/>
      <c r="N32" s="150"/>
    </row>
    <row r="33" spans="1:14" x14ac:dyDescent="0.25">
      <c r="A33" s="159">
        <v>22</v>
      </c>
      <c r="B33" s="160">
        <v>7</v>
      </c>
      <c r="C33" s="160">
        <v>11700</v>
      </c>
      <c r="D33" s="160" t="s">
        <v>2897</v>
      </c>
      <c r="E33" s="160">
        <v>0</v>
      </c>
      <c r="F33" s="160"/>
      <c r="G33" s="148">
        <v>32</v>
      </c>
      <c r="H33" s="152">
        <f>IF(C33=11700,ROUND(VLOOKUP(G33,ThongSo!$F$2:$I$15,4,0)*B33*11.7,3),0)</f>
        <v>516.78899999999999</v>
      </c>
      <c r="I33" s="152" t="str">
        <f>IF(F33="Sắt vụn",ROUND(VLOOKUP(G33,ThongSo!$F$2:$I$15,4,0)*B33*E33/1000,3),"-")</f>
        <v>-</v>
      </c>
      <c r="L33" s="150"/>
      <c r="M33" s="150"/>
      <c r="N33" s="150"/>
    </row>
    <row r="34" spans="1:14" x14ac:dyDescent="0.25">
      <c r="A34" s="159">
        <v>23</v>
      </c>
      <c r="B34" s="160">
        <v>3</v>
      </c>
      <c r="C34" s="160">
        <v>11700</v>
      </c>
      <c r="D34" s="160" t="s">
        <v>2898</v>
      </c>
      <c r="E34" s="160">
        <v>0</v>
      </c>
      <c r="F34" s="160"/>
      <c r="G34" s="148">
        <v>32</v>
      </c>
      <c r="H34" s="152">
        <f>IF(C34=11700,ROUND(VLOOKUP(G34,ThongSo!$F$2:$I$15,4,0)*B34*11.7,3),0)</f>
        <v>221.48099999999999</v>
      </c>
      <c r="I34" s="152" t="str">
        <f>IF(F34="Sắt vụn",ROUND(VLOOKUP(G34,ThongSo!$F$2:$I$15,4,0)*B34*E34/1000,3),"-")</f>
        <v>-</v>
      </c>
      <c r="L34" s="150"/>
      <c r="M34" s="150"/>
      <c r="N34" s="150"/>
    </row>
    <row r="35" spans="1:14" x14ac:dyDescent="0.25">
      <c r="A35" s="159">
        <v>24</v>
      </c>
      <c r="B35" s="160">
        <v>9</v>
      </c>
      <c r="C35" s="160">
        <v>11700</v>
      </c>
      <c r="D35" s="160" t="s">
        <v>2899</v>
      </c>
      <c r="E35" s="160">
        <v>0</v>
      </c>
      <c r="F35" s="160"/>
      <c r="G35" s="148">
        <v>32</v>
      </c>
      <c r="H35" s="152">
        <f>IF(C35=11700,ROUND(VLOOKUP(G35,ThongSo!$F$2:$I$15,4,0)*B35*11.7,3),0)</f>
        <v>664.44299999999998</v>
      </c>
      <c r="I35" s="152" t="str">
        <f>IF(F35="Sắt vụn",ROUND(VLOOKUP(G35,ThongSo!$F$2:$I$15,4,0)*B35*E35/1000,3),"-")</f>
        <v>-</v>
      </c>
      <c r="L35" s="150"/>
      <c r="M35" s="150"/>
      <c r="N35" s="150"/>
    </row>
    <row r="36" spans="1:14" x14ac:dyDescent="0.25">
      <c r="A36" s="159">
        <v>25</v>
      </c>
      <c r="B36" s="160">
        <v>3</v>
      </c>
      <c r="C36" s="160">
        <v>11700</v>
      </c>
      <c r="D36" s="160" t="s">
        <v>2900</v>
      </c>
      <c r="E36" s="160">
        <v>0</v>
      </c>
      <c r="F36" s="160"/>
      <c r="G36" s="148">
        <v>32</v>
      </c>
      <c r="H36" s="152">
        <f>IF(C36=11700,ROUND(VLOOKUP(G36,ThongSo!$F$2:$I$15,4,0)*B36*11.7,3),0)</f>
        <v>221.48099999999999</v>
      </c>
      <c r="I36" s="152" t="str">
        <f>IF(F36="Sắt vụn",ROUND(VLOOKUP(G36,ThongSo!$F$2:$I$15,4,0)*B36*E36/1000,3),"-")</f>
        <v>-</v>
      </c>
      <c r="L36" s="150"/>
      <c r="M36" s="150"/>
      <c r="N36" s="150"/>
    </row>
    <row r="37" spans="1:14" x14ac:dyDescent="0.25">
      <c r="A37" s="159">
        <v>26</v>
      </c>
      <c r="B37" s="160">
        <v>5</v>
      </c>
      <c r="C37" s="160">
        <v>11700</v>
      </c>
      <c r="D37" s="160" t="s">
        <v>2901</v>
      </c>
      <c r="E37" s="160">
        <v>0</v>
      </c>
      <c r="F37" s="160"/>
      <c r="G37" s="148">
        <v>32</v>
      </c>
      <c r="H37" s="152">
        <f>IF(C37=11700,ROUND(VLOOKUP(G37,ThongSo!$F$2:$I$15,4,0)*B37*11.7,3),0)</f>
        <v>369.13499999999999</v>
      </c>
      <c r="I37" s="152" t="str">
        <f>IF(F37="Sắt vụn",ROUND(VLOOKUP(G37,ThongSo!$F$2:$I$15,4,0)*B37*E37/1000,3),"-")</f>
        <v>-</v>
      </c>
      <c r="L37" s="150"/>
      <c r="M37" s="150"/>
      <c r="N37" s="150"/>
    </row>
    <row r="38" spans="1:14" x14ac:dyDescent="0.25">
      <c r="A38" s="159">
        <v>27</v>
      </c>
      <c r="B38" s="160">
        <v>1</v>
      </c>
      <c r="C38" s="160">
        <v>11700</v>
      </c>
      <c r="D38" s="160" t="s">
        <v>2902</v>
      </c>
      <c r="E38" s="160">
        <v>0</v>
      </c>
      <c r="F38" s="160"/>
      <c r="G38" s="148">
        <v>32</v>
      </c>
      <c r="H38" s="152">
        <f>IF(C38=11700,ROUND(VLOOKUP(G38,ThongSo!$F$2:$I$15,4,0)*B38*11.7,3),0)</f>
        <v>73.826999999999998</v>
      </c>
      <c r="I38" s="152" t="str">
        <f>IF(F38="Sắt vụn",ROUND(VLOOKUP(G38,ThongSo!$F$2:$I$15,4,0)*B38*E38/1000,3),"-")</f>
        <v>-</v>
      </c>
      <c r="L38" s="150"/>
      <c r="M38" s="150"/>
      <c r="N38" s="150"/>
    </row>
    <row r="39" spans="1:14" x14ac:dyDescent="0.25">
      <c r="A39" s="159">
        <v>28</v>
      </c>
      <c r="B39" s="160">
        <v>5</v>
      </c>
      <c r="C39" s="160">
        <v>11700</v>
      </c>
      <c r="D39" s="160" t="s">
        <v>2903</v>
      </c>
      <c r="E39" s="160">
        <v>0</v>
      </c>
      <c r="F39" s="160"/>
      <c r="G39" s="148">
        <v>32</v>
      </c>
      <c r="H39" s="152">
        <f>IF(C39=11700,ROUND(VLOOKUP(G39,ThongSo!$F$2:$I$15,4,0)*B39*11.7,3),0)</f>
        <v>369.13499999999999</v>
      </c>
      <c r="I39" s="152" t="str">
        <f>IF(F39="Sắt vụn",ROUND(VLOOKUP(G39,ThongSo!$F$2:$I$15,4,0)*B39*E39/1000,3),"-")</f>
        <v>-</v>
      </c>
      <c r="L39" s="150"/>
      <c r="M39" s="150"/>
      <c r="N39" s="150"/>
    </row>
    <row r="40" spans="1:14" x14ac:dyDescent="0.25">
      <c r="A40" s="159">
        <v>29</v>
      </c>
      <c r="B40" s="160">
        <v>2</v>
      </c>
      <c r="C40" s="160">
        <v>11700</v>
      </c>
      <c r="D40" s="160" t="s">
        <v>2904</v>
      </c>
      <c r="E40" s="160">
        <v>0</v>
      </c>
      <c r="F40" s="160"/>
      <c r="G40" s="148">
        <v>32</v>
      </c>
      <c r="H40" s="152">
        <f>IF(C40=11700,ROUND(VLOOKUP(G40,ThongSo!$F$2:$I$15,4,0)*B40*11.7,3),0)</f>
        <v>147.654</v>
      </c>
      <c r="I40" s="152" t="str">
        <f>IF(F40="Sắt vụn",ROUND(VLOOKUP(G40,ThongSo!$F$2:$I$15,4,0)*B40*E40/1000,3),"-")</f>
        <v>-</v>
      </c>
      <c r="L40" s="150"/>
      <c r="M40" s="150"/>
      <c r="N40" s="150"/>
    </row>
    <row r="41" spans="1:14" x14ac:dyDescent="0.25">
      <c r="A41" s="159">
        <v>30</v>
      </c>
      <c r="B41" s="160">
        <v>4</v>
      </c>
      <c r="C41" s="160">
        <v>11700</v>
      </c>
      <c r="D41" s="160" t="s">
        <v>2905</v>
      </c>
      <c r="E41" s="160">
        <v>0</v>
      </c>
      <c r="F41" s="160"/>
      <c r="G41" s="148">
        <v>32</v>
      </c>
      <c r="H41" s="152">
        <f>IF(C41=11700,ROUND(VLOOKUP(G41,ThongSo!$F$2:$I$15,4,0)*B41*11.7,3),0)</f>
        <v>295.30799999999999</v>
      </c>
      <c r="I41" s="152" t="str">
        <f>IF(F41="Sắt vụn",ROUND(VLOOKUP(G41,ThongSo!$F$2:$I$15,4,0)*B41*E41/1000,3),"-")</f>
        <v>-</v>
      </c>
      <c r="L41" s="150"/>
      <c r="M41" s="150"/>
      <c r="N41" s="150"/>
    </row>
    <row r="42" spans="1:14" x14ac:dyDescent="0.25">
      <c r="A42" s="159">
        <v>31</v>
      </c>
      <c r="B42" s="160">
        <v>8</v>
      </c>
      <c r="C42" s="160">
        <v>11700</v>
      </c>
      <c r="D42" s="160" t="s">
        <v>2906</v>
      </c>
      <c r="E42" s="160">
        <v>0</v>
      </c>
      <c r="F42" s="160"/>
      <c r="G42" s="148">
        <v>32</v>
      </c>
      <c r="H42" s="152">
        <f>IF(C42=11700,ROUND(VLOOKUP(G42,ThongSo!$F$2:$I$15,4,0)*B42*11.7,3),0)</f>
        <v>590.61599999999999</v>
      </c>
      <c r="I42" s="152" t="str">
        <f>IF(F42="Sắt vụn",ROUND(VLOOKUP(G42,ThongSo!$F$2:$I$15,4,0)*B42*E42/1000,3),"-")</f>
        <v>-</v>
      </c>
      <c r="L42" s="150"/>
      <c r="M42" s="150"/>
      <c r="N42" s="150"/>
    </row>
    <row r="43" spans="1:14" x14ac:dyDescent="0.25">
      <c r="A43" s="159">
        <v>32</v>
      </c>
      <c r="B43" s="160">
        <v>3</v>
      </c>
      <c r="C43" s="160">
        <v>11700</v>
      </c>
      <c r="D43" s="160" t="s">
        <v>2907</v>
      </c>
      <c r="E43" s="160">
        <v>0</v>
      </c>
      <c r="F43" s="160"/>
      <c r="G43" s="148">
        <v>32</v>
      </c>
      <c r="H43" s="152">
        <f>IF(C43=11700,ROUND(VLOOKUP(G43,ThongSo!$F$2:$I$15,4,0)*B43*11.7,3),0)</f>
        <v>221.48099999999999</v>
      </c>
      <c r="I43" s="152" t="str">
        <f>IF(F43="Sắt vụn",ROUND(VLOOKUP(G43,ThongSo!$F$2:$I$15,4,0)*B43*E43/1000,3),"-")</f>
        <v>-</v>
      </c>
      <c r="L43" s="150"/>
      <c r="M43" s="150"/>
      <c r="N43" s="150"/>
    </row>
    <row r="44" spans="1:14" x14ac:dyDescent="0.25">
      <c r="A44" s="159">
        <v>33</v>
      </c>
      <c r="B44" s="160">
        <v>3</v>
      </c>
      <c r="C44" s="160">
        <v>11700</v>
      </c>
      <c r="D44" s="160" t="s">
        <v>2908</v>
      </c>
      <c r="E44" s="160">
        <v>0</v>
      </c>
      <c r="F44" s="160"/>
      <c r="G44" s="148">
        <v>32</v>
      </c>
      <c r="H44" s="152">
        <f>IF(C44=11700,ROUND(VLOOKUP(G44,ThongSo!$F$2:$I$15,4,0)*B44*11.7,3),0)</f>
        <v>221.48099999999999</v>
      </c>
      <c r="I44" s="152" t="str">
        <f>IF(F44="Sắt vụn",ROUND(VLOOKUP(G44,ThongSo!$F$2:$I$15,4,0)*B44*E44/1000,3),"-")</f>
        <v>-</v>
      </c>
      <c r="L44" s="150"/>
      <c r="M44" s="150"/>
      <c r="N44" s="150"/>
    </row>
    <row r="45" spans="1:14" x14ac:dyDescent="0.25">
      <c r="A45" s="159">
        <v>34</v>
      </c>
      <c r="B45" s="160">
        <v>4</v>
      </c>
      <c r="C45" s="160">
        <v>11700</v>
      </c>
      <c r="D45" s="160" t="s">
        <v>2909</v>
      </c>
      <c r="E45" s="160">
        <v>0</v>
      </c>
      <c r="F45" s="160"/>
      <c r="G45" s="148">
        <v>32</v>
      </c>
      <c r="H45" s="152">
        <f>IF(C45=11700,ROUND(VLOOKUP(G45,ThongSo!$F$2:$I$15,4,0)*B45*11.7,3),0)</f>
        <v>295.30799999999999</v>
      </c>
      <c r="I45" s="152" t="str">
        <f>IF(F45="Sắt vụn",ROUND(VLOOKUP(G45,ThongSo!$F$2:$I$15,4,0)*B45*E45/1000,3),"-")</f>
        <v>-</v>
      </c>
      <c r="L45" s="150"/>
      <c r="M45" s="150"/>
      <c r="N45" s="150"/>
    </row>
    <row r="46" spans="1:14" x14ac:dyDescent="0.25">
      <c r="A46" s="159">
        <v>35</v>
      </c>
      <c r="B46" s="160">
        <v>1</v>
      </c>
      <c r="C46" s="160">
        <v>11700</v>
      </c>
      <c r="D46" s="160" t="s">
        <v>2910</v>
      </c>
      <c r="E46" s="160">
        <v>0</v>
      </c>
      <c r="F46" s="160"/>
      <c r="G46" s="148">
        <v>32</v>
      </c>
      <c r="H46" s="152">
        <f>IF(C46=11700,ROUND(VLOOKUP(G46,ThongSo!$F$2:$I$15,4,0)*B46*11.7,3),0)</f>
        <v>73.826999999999998</v>
      </c>
      <c r="I46" s="152" t="str">
        <f>IF(F46="Sắt vụn",ROUND(VLOOKUP(G46,ThongSo!$F$2:$I$15,4,0)*B46*E46/1000,3),"-")</f>
        <v>-</v>
      </c>
      <c r="L46" s="150"/>
      <c r="M46" s="150"/>
      <c r="N46" s="150"/>
    </row>
    <row r="47" spans="1:14" x14ac:dyDescent="0.25">
      <c r="A47" s="159">
        <v>36</v>
      </c>
      <c r="B47" s="160">
        <v>2</v>
      </c>
      <c r="C47" s="160">
        <v>11700</v>
      </c>
      <c r="D47" s="160" t="s">
        <v>2911</v>
      </c>
      <c r="E47" s="160">
        <v>0</v>
      </c>
      <c r="F47" s="160"/>
      <c r="G47" s="148">
        <v>32</v>
      </c>
      <c r="H47" s="152">
        <f>IF(C47=11700,ROUND(VLOOKUP(G47,ThongSo!$F$2:$I$15,4,0)*B47*11.7,3),0)</f>
        <v>147.654</v>
      </c>
      <c r="I47" s="152" t="str">
        <f>IF(F47="Sắt vụn",ROUND(VLOOKUP(G47,ThongSo!$F$2:$I$15,4,0)*B47*E47/1000,3),"-")</f>
        <v>-</v>
      </c>
      <c r="L47" s="150"/>
      <c r="M47" s="150"/>
      <c r="N47" s="150"/>
    </row>
    <row r="48" spans="1:14" x14ac:dyDescent="0.25">
      <c r="A48" s="159">
        <v>37</v>
      </c>
      <c r="B48" s="160">
        <v>1</v>
      </c>
      <c r="C48" s="160">
        <v>11700</v>
      </c>
      <c r="D48" s="160" t="s">
        <v>2912</v>
      </c>
      <c r="E48" s="160">
        <v>0</v>
      </c>
      <c r="F48" s="160"/>
      <c r="G48" s="148">
        <v>32</v>
      </c>
      <c r="H48" s="152">
        <f>IF(C48=11700,ROUND(VLOOKUP(G48,ThongSo!$F$2:$I$15,4,0)*B48*11.7,3),0)</f>
        <v>73.826999999999998</v>
      </c>
      <c r="I48" s="152" t="str">
        <f>IF(F48="Sắt vụn",ROUND(VLOOKUP(G48,ThongSo!$F$2:$I$15,4,0)*B48*E48/1000,3),"-")</f>
        <v>-</v>
      </c>
      <c r="L48" s="150"/>
      <c r="M48" s="150"/>
      <c r="N48" s="150"/>
    </row>
    <row r="49" spans="1:14" x14ac:dyDescent="0.25">
      <c r="A49" s="159">
        <v>38</v>
      </c>
      <c r="B49" s="160">
        <v>1</v>
      </c>
      <c r="C49" s="160">
        <v>11700</v>
      </c>
      <c r="D49" s="160" t="s">
        <v>2913</v>
      </c>
      <c r="E49" s="160">
        <v>0</v>
      </c>
      <c r="F49" s="160"/>
      <c r="G49" s="148">
        <v>32</v>
      </c>
      <c r="H49" s="152">
        <f>IF(C49=11700,ROUND(VLOOKUP(G49,ThongSo!$F$2:$I$15,4,0)*B49*11.7,3),0)</f>
        <v>73.826999999999998</v>
      </c>
      <c r="I49" s="152" t="str">
        <f>IF(F49="Sắt vụn",ROUND(VLOOKUP(G49,ThongSo!$F$2:$I$15,4,0)*B49*E49/1000,3),"-")</f>
        <v>-</v>
      </c>
      <c r="L49" s="150"/>
      <c r="M49" s="150"/>
      <c r="N49" s="150"/>
    </row>
    <row r="50" spans="1:14" x14ac:dyDescent="0.25">
      <c r="A50" s="159">
        <v>39</v>
      </c>
      <c r="B50" s="160">
        <v>3</v>
      </c>
      <c r="C50" s="160">
        <v>11700</v>
      </c>
      <c r="D50" s="160" t="s">
        <v>2914</v>
      </c>
      <c r="E50" s="160">
        <v>0</v>
      </c>
      <c r="F50" s="160"/>
      <c r="G50" s="148">
        <v>32</v>
      </c>
      <c r="H50" s="152">
        <f>IF(C50=11700,ROUND(VLOOKUP(G50,ThongSo!$F$2:$I$15,4,0)*B50*11.7,3),0)</f>
        <v>221.48099999999999</v>
      </c>
      <c r="I50" s="152" t="str">
        <f>IF(F50="Sắt vụn",ROUND(VLOOKUP(G50,ThongSo!$F$2:$I$15,4,0)*B50*E50/1000,3),"-")</f>
        <v>-</v>
      </c>
      <c r="L50" s="150"/>
      <c r="M50" s="150"/>
      <c r="N50" s="150"/>
    </row>
    <row r="51" spans="1:14" x14ac:dyDescent="0.25">
      <c r="A51" s="159">
        <v>40</v>
      </c>
      <c r="B51" s="160">
        <v>3</v>
      </c>
      <c r="C51" s="160">
        <v>11700</v>
      </c>
      <c r="D51" s="160" t="s">
        <v>2915</v>
      </c>
      <c r="E51" s="160">
        <v>0</v>
      </c>
      <c r="F51" s="160"/>
      <c r="G51" s="148">
        <v>32</v>
      </c>
      <c r="H51" s="152">
        <f>IF(C51=11700,ROUND(VLOOKUP(G51,ThongSo!$F$2:$I$15,4,0)*B51*11.7,3),0)</f>
        <v>221.48099999999999</v>
      </c>
      <c r="I51" s="152" t="str">
        <f>IF(F51="Sắt vụn",ROUND(VLOOKUP(G51,ThongSo!$F$2:$I$15,4,0)*B51*E51/1000,3),"-")</f>
        <v>-</v>
      </c>
      <c r="L51" s="150"/>
      <c r="M51" s="150"/>
      <c r="N51" s="150"/>
    </row>
    <row r="52" spans="1:14" x14ac:dyDescent="0.25">
      <c r="A52" s="159">
        <v>41</v>
      </c>
      <c r="B52" s="160">
        <v>9</v>
      </c>
      <c r="C52" s="160">
        <v>11700</v>
      </c>
      <c r="D52" s="160" t="s">
        <v>2916</v>
      </c>
      <c r="E52" s="160">
        <v>0</v>
      </c>
      <c r="F52" s="160"/>
      <c r="G52" s="148">
        <v>32</v>
      </c>
      <c r="H52" s="152">
        <f>IF(C52=11700,ROUND(VLOOKUP(G52,ThongSo!$F$2:$I$15,4,0)*B52*11.7,3),0)</f>
        <v>664.44299999999998</v>
      </c>
      <c r="I52" s="152" t="str">
        <f>IF(F52="Sắt vụn",ROUND(VLOOKUP(G52,ThongSo!$F$2:$I$15,4,0)*B52*E52/1000,3),"-")</f>
        <v>-</v>
      </c>
      <c r="L52" s="150"/>
      <c r="M52" s="150"/>
      <c r="N52" s="150"/>
    </row>
    <row r="53" spans="1:14" x14ac:dyDescent="0.25">
      <c r="A53" s="159">
        <v>42</v>
      </c>
      <c r="B53" s="160">
        <v>6</v>
      </c>
      <c r="C53" s="160">
        <v>11700</v>
      </c>
      <c r="D53" s="160" t="s">
        <v>2917</v>
      </c>
      <c r="E53" s="160">
        <v>0</v>
      </c>
      <c r="F53" s="160"/>
      <c r="G53" s="148">
        <v>32</v>
      </c>
      <c r="H53" s="152">
        <f>IF(C53=11700,ROUND(VLOOKUP(G53,ThongSo!$F$2:$I$15,4,0)*B53*11.7,3),0)</f>
        <v>442.96199999999999</v>
      </c>
      <c r="I53" s="152" t="str">
        <f>IF(F53="Sắt vụn",ROUND(VLOOKUP(G53,ThongSo!$F$2:$I$15,4,0)*B53*E53/1000,3),"-")</f>
        <v>-</v>
      </c>
      <c r="L53" s="150"/>
      <c r="M53" s="150"/>
      <c r="N53" s="150"/>
    </row>
    <row r="54" spans="1:14" x14ac:dyDescent="0.25">
      <c r="A54" s="159">
        <v>43</v>
      </c>
      <c r="B54" s="160">
        <v>3</v>
      </c>
      <c r="C54" s="160">
        <v>11700</v>
      </c>
      <c r="D54" s="160" t="s">
        <v>2918</v>
      </c>
      <c r="E54" s="160">
        <v>0</v>
      </c>
      <c r="F54" s="160"/>
      <c r="G54" s="148">
        <v>32</v>
      </c>
      <c r="H54" s="152">
        <f>IF(C54=11700,ROUND(VLOOKUP(G54,ThongSo!$F$2:$I$15,4,0)*B54*11.7,3),0)</f>
        <v>221.48099999999999</v>
      </c>
      <c r="I54" s="152" t="str">
        <f>IF(F54="Sắt vụn",ROUND(VLOOKUP(G54,ThongSo!$F$2:$I$15,4,0)*B54*E54/1000,3),"-")</f>
        <v>-</v>
      </c>
      <c r="L54" s="150"/>
      <c r="M54" s="150"/>
      <c r="N54" s="150"/>
    </row>
    <row r="55" spans="1:14" x14ac:dyDescent="0.25">
      <c r="A55" s="159">
        <v>44</v>
      </c>
      <c r="B55" s="160">
        <v>3</v>
      </c>
      <c r="C55" s="160">
        <v>11700</v>
      </c>
      <c r="D55" s="160" t="s">
        <v>2919</v>
      </c>
      <c r="E55" s="160">
        <v>0</v>
      </c>
      <c r="F55" s="160"/>
      <c r="G55" s="148">
        <v>32</v>
      </c>
      <c r="H55" s="152">
        <f>IF(C55=11700,ROUND(VLOOKUP(G55,ThongSo!$F$2:$I$15,4,0)*B55*11.7,3),0)</f>
        <v>221.48099999999999</v>
      </c>
      <c r="I55" s="152" t="str">
        <f>IF(F55="Sắt vụn",ROUND(VLOOKUP(G55,ThongSo!$F$2:$I$15,4,0)*B55*E55/1000,3),"-")</f>
        <v>-</v>
      </c>
      <c r="L55" s="150"/>
      <c r="M55" s="150"/>
      <c r="N55" s="150"/>
    </row>
    <row r="56" spans="1:14" x14ac:dyDescent="0.25">
      <c r="A56" s="159">
        <v>45</v>
      </c>
      <c r="B56" s="160">
        <v>1</v>
      </c>
      <c r="C56" s="160">
        <v>11700</v>
      </c>
      <c r="D56" s="160" t="s">
        <v>2920</v>
      </c>
      <c r="E56" s="160">
        <v>0</v>
      </c>
      <c r="F56" s="160"/>
      <c r="G56" s="148">
        <v>32</v>
      </c>
      <c r="H56" s="152">
        <f>IF(C56=11700,ROUND(VLOOKUP(G56,ThongSo!$F$2:$I$15,4,0)*B56*11.7,3),0)</f>
        <v>73.826999999999998</v>
      </c>
      <c r="I56" s="152" t="str">
        <f>IF(F56="Sắt vụn",ROUND(VLOOKUP(G56,ThongSo!$F$2:$I$15,4,0)*B56*E56/1000,3),"-")</f>
        <v>-</v>
      </c>
      <c r="L56" s="150"/>
      <c r="M56" s="150"/>
      <c r="N56" s="150"/>
    </row>
    <row r="57" spans="1:14" x14ac:dyDescent="0.25">
      <c r="A57" s="159">
        <v>46</v>
      </c>
      <c r="B57" s="160">
        <v>1</v>
      </c>
      <c r="C57" s="160">
        <v>11700</v>
      </c>
      <c r="D57" s="160" t="s">
        <v>2921</v>
      </c>
      <c r="E57" s="160">
        <v>0</v>
      </c>
      <c r="F57" s="160"/>
      <c r="G57" s="148">
        <v>32</v>
      </c>
      <c r="H57" s="152">
        <f>IF(C57=11700,ROUND(VLOOKUP(G57,ThongSo!$F$2:$I$15,4,0)*B57*11.7,3),0)</f>
        <v>73.826999999999998</v>
      </c>
      <c r="I57" s="152" t="str">
        <f>IF(F57="Sắt vụn",ROUND(VLOOKUP(G57,ThongSo!$F$2:$I$15,4,0)*B57*E57/1000,3),"-")</f>
        <v>-</v>
      </c>
      <c r="L57" s="150"/>
      <c r="M57" s="150"/>
      <c r="N57" s="150"/>
    </row>
    <row r="58" spans="1:14" x14ac:dyDescent="0.25">
      <c r="A58" s="159">
        <v>47</v>
      </c>
      <c r="B58" s="160">
        <v>3</v>
      </c>
      <c r="C58" s="160">
        <v>11700</v>
      </c>
      <c r="D58" s="160" t="s">
        <v>2922</v>
      </c>
      <c r="E58" s="160">
        <v>0</v>
      </c>
      <c r="F58" s="160"/>
      <c r="G58" s="148">
        <v>32</v>
      </c>
      <c r="H58" s="152">
        <f>IF(C58=11700,ROUND(VLOOKUP(G58,ThongSo!$F$2:$I$15,4,0)*B58*11.7,3),0)</f>
        <v>221.48099999999999</v>
      </c>
      <c r="I58" s="152" t="str">
        <f>IF(F58="Sắt vụn",ROUND(VLOOKUP(G58,ThongSo!$F$2:$I$15,4,0)*B58*E58/1000,3),"-")</f>
        <v>-</v>
      </c>
      <c r="L58" s="150"/>
      <c r="M58" s="150"/>
      <c r="N58" s="150"/>
    </row>
    <row r="59" spans="1:14" x14ac:dyDescent="0.25">
      <c r="A59" s="159">
        <v>48</v>
      </c>
      <c r="B59" s="160">
        <v>1</v>
      </c>
      <c r="C59" s="160">
        <v>11700</v>
      </c>
      <c r="D59" s="160" t="s">
        <v>2923</v>
      </c>
      <c r="E59" s="160">
        <v>0</v>
      </c>
      <c r="F59" s="160"/>
      <c r="G59" s="148">
        <v>32</v>
      </c>
      <c r="H59" s="152">
        <f>IF(C59=11700,ROUND(VLOOKUP(G59,ThongSo!$F$2:$I$15,4,0)*B59*11.7,3),0)</f>
        <v>73.826999999999998</v>
      </c>
      <c r="I59" s="152" t="str">
        <f>IF(F59="Sắt vụn",ROUND(VLOOKUP(G59,ThongSo!$F$2:$I$15,4,0)*B59*E59/1000,3),"-")</f>
        <v>-</v>
      </c>
      <c r="L59" s="150"/>
      <c r="M59" s="150"/>
      <c r="N59" s="150"/>
    </row>
    <row r="60" spans="1:14" x14ac:dyDescent="0.25">
      <c r="A60" s="159">
        <v>49</v>
      </c>
      <c r="B60" s="160">
        <v>2</v>
      </c>
      <c r="C60" s="160">
        <v>11700</v>
      </c>
      <c r="D60" s="160" t="s">
        <v>2924</v>
      </c>
      <c r="E60" s="160">
        <v>0</v>
      </c>
      <c r="F60" s="160"/>
      <c r="G60" s="148">
        <v>32</v>
      </c>
      <c r="H60" s="152">
        <f>IF(C60=11700,ROUND(VLOOKUP(G60,ThongSo!$F$2:$I$15,4,0)*B60*11.7,3),0)</f>
        <v>147.654</v>
      </c>
      <c r="I60" s="152" t="str">
        <f>IF(F60="Sắt vụn",ROUND(VLOOKUP(G60,ThongSo!$F$2:$I$15,4,0)*B60*E60/1000,3),"-")</f>
        <v>-</v>
      </c>
      <c r="L60" s="150"/>
      <c r="M60" s="150"/>
      <c r="N60" s="150"/>
    </row>
    <row r="61" spans="1:14" x14ac:dyDescent="0.25">
      <c r="A61" s="159">
        <v>50</v>
      </c>
      <c r="B61" s="160">
        <v>2</v>
      </c>
      <c r="C61" s="160">
        <v>11700</v>
      </c>
      <c r="D61" s="160" t="s">
        <v>2925</v>
      </c>
      <c r="E61" s="160">
        <v>0</v>
      </c>
      <c r="F61" s="160"/>
      <c r="G61" s="148">
        <v>32</v>
      </c>
      <c r="H61" s="152">
        <f>IF(C61=11700,ROUND(VLOOKUP(G61,ThongSo!$F$2:$I$15,4,0)*B61*11.7,3),0)</f>
        <v>147.654</v>
      </c>
      <c r="I61" s="152" t="str">
        <f>IF(F61="Sắt vụn",ROUND(VLOOKUP(G61,ThongSo!$F$2:$I$15,4,0)*B61*E61/1000,3),"-")</f>
        <v>-</v>
      </c>
      <c r="L61" s="150"/>
      <c r="M61" s="150"/>
      <c r="N61" s="150"/>
    </row>
    <row r="62" spans="1:14" x14ac:dyDescent="0.25">
      <c r="A62" s="159">
        <v>51</v>
      </c>
      <c r="B62" s="160">
        <v>3</v>
      </c>
      <c r="C62" s="160">
        <v>11700</v>
      </c>
      <c r="D62" s="160" t="s">
        <v>2926</v>
      </c>
      <c r="E62" s="160">
        <v>0</v>
      </c>
      <c r="F62" s="160"/>
      <c r="G62" s="148">
        <v>32</v>
      </c>
      <c r="H62" s="152">
        <f>IF(C62=11700,ROUND(VLOOKUP(G62,ThongSo!$F$2:$I$15,4,0)*B62*11.7,3),0)</f>
        <v>221.48099999999999</v>
      </c>
      <c r="I62" s="152" t="str">
        <f>IF(F62="Sắt vụn",ROUND(VLOOKUP(G62,ThongSo!$F$2:$I$15,4,0)*B62*E62/1000,3),"-")</f>
        <v>-</v>
      </c>
      <c r="L62" s="150"/>
      <c r="M62" s="150"/>
      <c r="N62" s="150"/>
    </row>
    <row r="63" spans="1:14" x14ac:dyDescent="0.25">
      <c r="A63" s="159">
        <v>52</v>
      </c>
      <c r="B63" s="160">
        <v>1</v>
      </c>
      <c r="C63" s="160">
        <v>11700</v>
      </c>
      <c r="D63" s="160" t="s">
        <v>2927</v>
      </c>
      <c r="E63" s="160">
        <v>0</v>
      </c>
      <c r="F63" s="160"/>
      <c r="G63" s="148">
        <v>32</v>
      </c>
      <c r="H63" s="152">
        <f>IF(C63=11700,ROUND(VLOOKUP(G63,ThongSo!$F$2:$I$15,4,0)*B63*11.7,3),0)</f>
        <v>73.826999999999998</v>
      </c>
      <c r="I63" s="152" t="str">
        <f>IF(F63="Sắt vụn",ROUND(VLOOKUP(G63,ThongSo!$F$2:$I$15,4,0)*B63*E63/1000,3),"-")</f>
        <v>-</v>
      </c>
      <c r="L63" s="150"/>
      <c r="M63" s="150"/>
      <c r="N63" s="150"/>
    </row>
    <row r="64" spans="1:14" x14ac:dyDescent="0.25">
      <c r="A64" s="159">
        <v>53</v>
      </c>
      <c r="B64" s="160">
        <v>1</v>
      </c>
      <c r="C64" s="160">
        <v>11700</v>
      </c>
      <c r="D64" s="160" t="s">
        <v>2928</v>
      </c>
      <c r="E64" s="160">
        <v>0</v>
      </c>
      <c r="F64" s="160"/>
      <c r="G64" s="148">
        <v>32</v>
      </c>
      <c r="H64" s="152">
        <f>IF(C64=11700,ROUND(VLOOKUP(G64,ThongSo!$F$2:$I$15,4,0)*B64*11.7,3),0)</f>
        <v>73.826999999999998</v>
      </c>
      <c r="I64" s="152" t="str">
        <f>IF(F64="Sắt vụn",ROUND(VLOOKUP(G64,ThongSo!$F$2:$I$15,4,0)*B64*E64/1000,3),"-")</f>
        <v>-</v>
      </c>
      <c r="L64" s="150"/>
      <c r="M64" s="150"/>
      <c r="N64" s="150"/>
    </row>
    <row r="65" spans="1:14" x14ac:dyDescent="0.25">
      <c r="A65" s="159">
        <v>54</v>
      </c>
      <c r="B65" s="160">
        <v>3</v>
      </c>
      <c r="C65" s="160">
        <v>11700</v>
      </c>
      <c r="D65" s="160" t="s">
        <v>2929</v>
      </c>
      <c r="E65" s="160">
        <v>0</v>
      </c>
      <c r="F65" s="160"/>
      <c r="G65" s="148">
        <v>32</v>
      </c>
      <c r="H65" s="152">
        <f>IF(C65=11700,ROUND(VLOOKUP(G65,ThongSo!$F$2:$I$15,4,0)*B65*11.7,3),0)</f>
        <v>221.48099999999999</v>
      </c>
      <c r="I65" s="152" t="str">
        <f>IF(F65="Sắt vụn",ROUND(VLOOKUP(G65,ThongSo!$F$2:$I$15,4,0)*B65*E65/1000,3),"-")</f>
        <v>-</v>
      </c>
      <c r="L65" s="150"/>
      <c r="M65" s="150"/>
      <c r="N65" s="150"/>
    </row>
    <row r="66" spans="1:14" x14ac:dyDescent="0.25">
      <c r="A66" s="159">
        <v>55</v>
      </c>
      <c r="B66" s="160">
        <v>1</v>
      </c>
      <c r="C66" s="160">
        <v>11700</v>
      </c>
      <c r="D66" s="160" t="s">
        <v>2930</v>
      </c>
      <c r="E66" s="160">
        <v>0</v>
      </c>
      <c r="F66" s="160"/>
      <c r="G66" s="148">
        <v>32</v>
      </c>
      <c r="H66" s="152">
        <f>IF(C66=11700,ROUND(VLOOKUP(G66,ThongSo!$F$2:$I$15,4,0)*B66*11.7,3),0)</f>
        <v>73.826999999999998</v>
      </c>
      <c r="I66" s="152" t="str">
        <f>IF(F66="Sắt vụn",ROUND(VLOOKUP(G66,ThongSo!$F$2:$I$15,4,0)*B66*E66/1000,3),"-")</f>
        <v>-</v>
      </c>
      <c r="L66" s="150"/>
      <c r="M66" s="150"/>
      <c r="N66" s="150"/>
    </row>
    <row r="67" spans="1:14" x14ac:dyDescent="0.25">
      <c r="A67" s="159">
        <v>56</v>
      </c>
      <c r="B67" s="160">
        <v>1</v>
      </c>
      <c r="C67" s="160">
        <v>11700</v>
      </c>
      <c r="D67" s="160" t="s">
        <v>2931</v>
      </c>
      <c r="E67" s="160">
        <v>0</v>
      </c>
      <c r="F67" s="160"/>
      <c r="G67" s="148">
        <v>32</v>
      </c>
      <c r="H67" s="152">
        <f>IF(C67=11700,ROUND(VLOOKUP(G67,ThongSo!$F$2:$I$15,4,0)*B67*11.7,3),0)</f>
        <v>73.826999999999998</v>
      </c>
      <c r="I67" s="152" t="str">
        <f>IF(F67="Sắt vụn",ROUND(VLOOKUP(G67,ThongSo!$F$2:$I$15,4,0)*B67*E67/1000,3),"-")</f>
        <v>-</v>
      </c>
      <c r="L67" s="150"/>
      <c r="M67" s="150"/>
      <c r="N67" s="150"/>
    </row>
    <row r="68" spans="1:14" x14ac:dyDescent="0.25">
      <c r="A68" s="159">
        <v>57</v>
      </c>
      <c r="B68" s="160">
        <v>1</v>
      </c>
      <c r="C68" s="160">
        <v>11700</v>
      </c>
      <c r="D68" s="160" t="s">
        <v>2932</v>
      </c>
      <c r="E68" s="160">
        <v>0</v>
      </c>
      <c r="F68" s="160"/>
      <c r="G68" s="148">
        <v>32</v>
      </c>
      <c r="H68" s="152">
        <f>IF(C68=11700,ROUND(VLOOKUP(G68,ThongSo!$F$2:$I$15,4,0)*B68*11.7,3),0)</f>
        <v>73.826999999999998</v>
      </c>
      <c r="I68" s="152" t="str">
        <f>IF(F68="Sắt vụn",ROUND(VLOOKUP(G68,ThongSo!$F$2:$I$15,4,0)*B68*E68/1000,3),"-")</f>
        <v>-</v>
      </c>
      <c r="L68" s="150"/>
      <c r="M68" s="150"/>
      <c r="N68" s="150"/>
    </row>
    <row r="69" spans="1:14" x14ac:dyDescent="0.25">
      <c r="A69" s="159">
        <v>58</v>
      </c>
      <c r="B69" s="160">
        <v>1</v>
      </c>
      <c r="C69" s="160">
        <v>11700</v>
      </c>
      <c r="D69" s="160" t="s">
        <v>2933</v>
      </c>
      <c r="E69" s="160">
        <v>0</v>
      </c>
      <c r="F69" s="160"/>
      <c r="G69" s="148">
        <v>32</v>
      </c>
      <c r="H69" s="152">
        <f>IF(C69=11700,ROUND(VLOOKUP(G69,ThongSo!$F$2:$I$15,4,0)*B69*11.7,3),0)</f>
        <v>73.826999999999998</v>
      </c>
      <c r="I69" s="152" t="str">
        <f>IF(F69="Sắt vụn",ROUND(VLOOKUP(G69,ThongSo!$F$2:$I$15,4,0)*B69*E69/1000,3),"-")</f>
        <v>-</v>
      </c>
      <c r="L69" s="150"/>
      <c r="M69" s="150"/>
      <c r="N69" s="150"/>
    </row>
    <row r="70" spans="1:14" x14ac:dyDescent="0.25">
      <c r="A70" s="159">
        <v>59</v>
      </c>
      <c r="B70" s="160">
        <v>4</v>
      </c>
      <c r="C70" s="160">
        <v>11700</v>
      </c>
      <c r="D70" s="160" t="s">
        <v>2934</v>
      </c>
      <c r="E70" s="160">
        <v>0</v>
      </c>
      <c r="F70" s="160"/>
      <c r="G70" s="148">
        <v>32</v>
      </c>
      <c r="H70" s="152">
        <f>IF(C70=11700,ROUND(VLOOKUP(G70,ThongSo!$F$2:$I$15,4,0)*B70*11.7,3),0)</f>
        <v>295.30799999999999</v>
      </c>
      <c r="I70" s="152" t="str">
        <f>IF(F70="Sắt vụn",ROUND(VLOOKUP(G70,ThongSo!$F$2:$I$15,4,0)*B70*E70/1000,3),"-")</f>
        <v>-</v>
      </c>
      <c r="L70" s="150"/>
      <c r="M70" s="150"/>
      <c r="N70" s="150"/>
    </row>
    <row r="71" spans="1:14" x14ac:dyDescent="0.25">
      <c r="A71" s="159">
        <v>60</v>
      </c>
      <c r="B71" s="160">
        <v>2</v>
      </c>
      <c r="C71" s="160">
        <v>11700</v>
      </c>
      <c r="D71" s="160" t="s">
        <v>2935</v>
      </c>
      <c r="E71" s="160">
        <v>0</v>
      </c>
      <c r="F71" s="160"/>
      <c r="G71" s="148">
        <v>32</v>
      </c>
      <c r="H71" s="152">
        <f>IF(C71=11700,ROUND(VLOOKUP(G71,ThongSo!$F$2:$I$15,4,0)*B71*11.7,3),0)</f>
        <v>147.654</v>
      </c>
      <c r="I71" s="152" t="str">
        <f>IF(F71="Sắt vụn",ROUND(VLOOKUP(G71,ThongSo!$F$2:$I$15,4,0)*B71*E71/1000,3),"-")</f>
        <v>-</v>
      </c>
      <c r="L71" s="150"/>
      <c r="M71" s="150"/>
      <c r="N71" s="150"/>
    </row>
    <row r="72" spans="1:14" x14ac:dyDescent="0.25">
      <c r="A72" s="159">
        <v>61</v>
      </c>
      <c r="B72" s="160">
        <v>1</v>
      </c>
      <c r="C72" s="160">
        <v>11700</v>
      </c>
      <c r="D72" s="160" t="s">
        <v>2936</v>
      </c>
      <c r="E72" s="160">
        <v>0</v>
      </c>
      <c r="F72" s="160"/>
      <c r="G72" s="148">
        <v>32</v>
      </c>
      <c r="H72" s="152">
        <f>IF(C72=11700,ROUND(VLOOKUP(G72,ThongSo!$F$2:$I$15,4,0)*B72*11.7,3),0)</f>
        <v>73.826999999999998</v>
      </c>
      <c r="I72" s="152" t="str">
        <f>IF(F72="Sắt vụn",ROUND(VLOOKUP(G72,ThongSo!$F$2:$I$15,4,0)*B72*E72/1000,3),"-")</f>
        <v>-</v>
      </c>
      <c r="L72" s="150"/>
      <c r="M72" s="150"/>
      <c r="N72" s="150"/>
    </row>
    <row r="73" spans="1:14" x14ac:dyDescent="0.25">
      <c r="A73" s="159">
        <v>62</v>
      </c>
      <c r="B73" s="160">
        <v>1</v>
      </c>
      <c r="C73" s="160">
        <v>11700</v>
      </c>
      <c r="D73" s="160" t="s">
        <v>2937</v>
      </c>
      <c r="E73" s="160">
        <v>0</v>
      </c>
      <c r="F73" s="160"/>
      <c r="G73" s="148">
        <v>32</v>
      </c>
      <c r="H73" s="152">
        <f>IF(C73=11700,ROUND(VLOOKUP(G73,ThongSo!$F$2:$I$15,4,0)*B73*11.7,3),0)</f>
        <v>73.826999999999998</v>
      </c>
      <c r="I73" s="152" t="str">
        <f>IF(F73="Sắt vụn",ROUND(VLOOKUP(G73,ThongSo!$F$2:$I$15,4,0)*B73*E73/1000,3),"-")</f>
        <v>-</v>
      </c>
      <c r="L73" s="150"/>
      <c r="M73" s="150"/>
      <c r="N73" s="150"/>
    </row>
    <row r="74" spans="1:14" x14ac:dyDescent="0.25">
      <c r="A74" s="159">
        <v>63</v>
      </c>
      <c r="B74" s="160">
        <v>1</v>
      </c>
      <c r="C74" s="160">
        <v>11700</v>
      </c>
      <c r="D74" s="160" t="s">
        <v>2938</v>
      </c>
      <c r="E74" s="160">
        <v>0</v>
      </c>
      <c r="F74" s="160"/>
      <c r="G74" s="148">
        <v>32</v>
      </c>
      <c r="H74" s="152">
        <f>IF(C74=11700,ROUND(VLOOKUP(G74,ThongSo!$F$2:$I$15,4,0)*B74*11.7,3),0)</f>
        <v>73.826999999999998</v>
      </c>
      <c r="I74" s="152" t="str">
        <f>IF(F74="Sắt vụn",ROUND(VLOOKUP(G74,ThongSo!$F$2:$I$15,4,0)*B74*E74/1000,3),"-")</f>
        <v>-</v>
      </c>
      <c r="L74" s="150"/>
      <c r="M74" s="150"/>
      <c r="N74" s="150"/>
    </row>
    <row r="75" spans="1:14" x14ac:dyDescent="0.25">
      <c r="A75" s="159">
        <v>64</v>
      </c>
      <c r="B75" s="160">
        <v>4</v>
      </c>
      <c r="C75" s="160">
        <v>11700</v>
      </c>
      <c r="D75" s="160" t="s">
        <v>2939</v>
      </c>
      <c r="E75" s="160">
        <v>0</v>
      </c>
      <c r="F75" s="160"/>
      <c r="G75" s="148">
        <v>32</v>
      </c>
      <c r="H75" s="152">
        <f>IF(C75=11700,ROUND(VLOOKUP(G75,ThongSo!$F$2:$I$15,4,0)*B75*11.7,3),0)</f>
        <v>295.30799999999999</v>
      </c>
      <c r="I75" s="152" t="str">
        <f>IF(F75="Sắt vụn",ROUND(VLOOKUP(G75,ThongSo!$F$2:$I$15,4,0)*B75*E75/1000,3),"-")</f>
        <v>-</v>
      </c>
      <c r="L75" s="150"/>
      <c r="M75" s="150"/>
      <c r="N75" s="150"/>
    </row>
    <row r="76" spans="1:14" x14ac:dyDescent="0.25">
      <c r="A76" s="159">
        <v>65</v>
      </c>
      <c r="B76" s="160">
        <v>1</v>
      </c>
      <c r="C76" s="160">
        <v>11700</v>
      </c>
      <c r="D76" s="160" t="s">
        <v>2940</v>
      </c>
      <c r="E76" s="160">
        <v>0</v>
      </c>
      <c r="F76" s="160"/>
      <c r="G76" s="148">
        <v>32</v>
      </c>
      <c r="H76" s="152">
        <f>IF(C76=11700,ROUND(VLOOKUP(G76,ThongSo!$F$2:$I$15,4,0)*B76*11.7,3),0)</f>
        <v>73.826999999999998</v>
      </c>
      <c r="I76" s="152" t="str">
        <f>IF(F76="Sắt vụn",ROUND(VLOOKUP(G76,ThongSo!$F$2:$I$15,4,0)*B76*E76/1000,3),"-")</f>
        <v>-</v>
      </c>
      <c r="L76" s="150"/>
      <c r="M76" s="150"/>
      <c r="N76" s="150"/>
    </row>
    <row r="77" spans="1:14" x14ac:dyDescent="0.25">
      <c r="A77" s="159">
        <v>66</v>
      </c>
      <c r="B77" s="160">
        <v>2</v>
      </c>
      <c r="C77" s="160">
        <v>11700</v>
      </c>
      <c r="D77" s="160" t="s">
        <v>2941</v>
      </c>
      <c r="E77" s="160">
        <v>10</v>
      </c>
      <c r="F77" s="160" t="s">
        <v>74</v>
      </c>
      <c r="G77" s="148">
        <v>32</v>
      </c>
      <c r="H77" s="152">
        <f>IF(C77=11700,ROUND(VLOOKUP(G77,ThongSo!$F$2:$I$15,4,0)*B77*11.7,3),0)</f>
        <v>147.654</v>
      </c>
      <c r="I77" s="152">
        <f>IF(F77="Sắt vụn",ROUND(VLOOKUP(G77,ThongSo!$F$2:$I$15,4,0)*B77*E77/1000,3),"-")</f>
        <v>0.126</v>
      </c>
      <c r="L77" s="150"/>
      <c r="M77" s="150"/>
      <c r="N77" s="150"/>
    </row>
    <row r="78" spans="1:14" x14ac:dyDescent="0.25">
      <c r="A78" s="159">
        <v>67</v>
      </c>
      <c r="B78" s="160">
        <v>3</v>
      </c>
      <c r="C78" s="160">
        <v>11700</v>
      </c>
      <c r="D78" s="160" t="s">
        <v>2942</v>
      </c>
      <c r="E78" s="160">
        <v>10</v>
      </c>
      <c r="F78" s="160" t="s">
        <v>74</v>
      </c>
      <c r="G78" s="148">
        <v>32</v>
      </c>
      <c r="H78" s="152">
        <f>IF(C78=11700,ROUND(VLOOKUP(G78,ThongSo!$F$2:$I$15,4,0)*B78*11.7,3),0)</f>
        <v>221.48099999999999</v>
      </c>
      <c r="I78" s="152">
        <f>IF(F78="Sắt vụn",ROUND(VLOOKUP(G78,ThongSo!$F$2:$I$15,4,0)*B78*E78/1000,3),"-")</f>
        <v>0.189</v>
      </c>
      <c r="L78" s="150"/>
      <c r="M78" s="150"/>
      <c r="N78" s="150"/>
    </row>
    <row r="79" spans="1:14" x14ac:dyDescent="0.25">
      <c r="A79" s="159">
        <v>68</v>
      </c>
      <c r="B79" s="160">
        <v>3</v>
      </c>
      <c r="C79" s="160">
        <v>11700</v>
      </c>
      <c r="D79" s="160" t="s">
        <v>2943</v>
      </c>
      <c r="E79" s="160">
        <v>10</v>
      </c>
      <c r="F79" s="160" t="s">
        <v>74</v>
      </c>
      <c r="G79" s="148">
        <v>32</v>
      </c>
      <c r="H79" s="152">
        <f>IF(C79=11700,ROUND(VLOOKUP(G79,ThongSo!$F$2:$I$15,4,0)*B79*11.7,3),0)</f>
        <v>221.48099999999999</v>
      </c>
      <c r="I79" s="152">
        <f>IF(F79="Sắt vụn",ROUND(VLOOKUP(G79,ThongSo!$F$2:$I$15,4,0)*B79*E79/1000,3),"-")</f>
        <v>0.189</v>
      </c>
      <c r="L79" s="150"/>
      <c r="M79" s="150"/>
      <c r="N79" s="150"/>
    </row>
    <row r="80" spans="1:14" x14ac:dyDescent="0.25">
      <c r="A80" s="159">
        <v>69</v>
      </c>
      <c r="B80" s="160">
        <v>7</v>
      </c>
      <c r="C80" s="160">
        <v>11700</v>
      </c>
      <c r="D80" s="160" t="s">
        <v>2944</v>
      </c>
      <c r="E80" s="160">
        <v>10</v>
      </c>
      <c r="F80" s="160" t="s">
        <v>74</v>
      </c>
      <c r="G80" s="148">
        <v>32</v>
      </c>
      <c r="H80" s="152">
        <f>IF(C80=11700,ROUND(VLOOKUP(G80,ThongSo!$F$2:$I$15,4,0)*B80*11.7,3),0)</f>
        <v>516.78899999999999</v>
      </c>
      <c r="I80" s="152">
        <f>IF(F80="Sắt vụn",ROUND(VLOOKUP(G80,ThongSo!$F$2:$I$15,4,0)*B80*E80/1000,3),"-")</f>
        <v>0.442</v>
      </c>
      <c r="L80" s="150"/>
      <c r="M80" s="150"/>
      <c r="N80" s="150"/>
    </row>
    <row r="81" spans="1:14" x14ac:dyDescent="0.25">
      <c r="A81" s="159">
        <v>70</v>
      </c>
      <c r="B81" s="160">
        <v>2</v>
      </c>
      <c r="C81" s="160">
        <v>11700</v>
      </c>
      <c r="D81" s="160" t="s">
        <v>2945</v>
      </c>
      <c r="E81" s="160">
        <v>10</v>
      </c>
      <c r="F81" s="160" t="s">
        <v>74</v>
      </c>
      <c r="G81" s="148">
        <v>32</v>
      </c>
      <c r="H81" s="152">
        <f>IF(C81=11700,ROUND(VLOOKUP(G81,ThongSo!$F$2:$I$15,4,0)*B81*11.7,3),0)</f>
        <v>147.654</v>
      </c>
      <c r="I81" s="152">
        <f>IF(F81="Sắt vụn",ROUND(VLOOKUP(G81,ThongSo!$F$2:$I$15,4,0)*B81*E81/1000,3),"-")</f>
        <v>0.126</v>
      </c>
      <c r="L81" s="150"/>
      <c r="M81" s="150"/>
      <c r="N81" s="150"/>
    </row>
    <row r="82" spans="1:14" x14ac:dyDescent="0.25">
      <c r="A82" s="159">
        <v>71</v>
      </c>
      <c r="B82" s="160">
        <v>2</v>
      </c>
      <c r="C82" s="160">
        <v>11700</v>
      </c>
      <c r="D82" s="160" t="s">
        <v>2946</v>
      </c>
      <c r="E82" s="160">
        <v>10</v>
      </c>
      <c r="F82" s="160" t="s">
        <v>74</v>
      </c>
      <c r="G82" s="148">
        <v>32</v>
      </c>
      <c r="H82" s="152">
        <f>IF(C82=11700,ROUND(VLOOKUP(G82,ThongSo!$F$2:$I$15,4,0)*B82*11.7,3),0)</f>
        <v>147.654</v>
      </c>
      <c r="I82" s="152">
        <f>IF(F82="Sắt vụn",ROUND(VLOOKUP(G82,ThongSo!$F$2:$I$15,4,0)*B82*E82/1000,3),"-")</f>
        <v>0.126</v>
      </c>
      <c r="L82" s="150"/>
      <c r="M82" s="150"/>
      <c r="N82" s="150"/>
    </row>
    <row r="83" spans="1:14" x14ac:dyDescent="0.25">
      <c r="A83" s="159">
        <v>72</v>
      </c>
      <c r="B83" s="160">
        <v>1</v>
      </c>
      <c r="C83" s="160">
        <v>11700</v>
      </c>
      <c r="D83" s="160" t="s">
        <v>2947</v>
      </c>
      <c r="E83" s="160">
        <v>10</v>
      </c>
      <c r="F83" s="160" t="s">
        <v>74</v>
      </c>
      <c r="G83" s="148">
        <v>32</v>
      </c>
      <c r="H83" s="152">
        <f>IF(C83=11700,ROUND(VLOOKUP(G83,ThongSo!$F$2:$I$15,4,0)*B83*11.7,3),0)</f>
        <v>73.826999999999998</v>
      </c>
      <c r="I83" s="152">
        <f>IF(F83="Sắt vụn",ROUND(VLOOKUP(G83,ThongSo!$F$2:$I$15,4,0)*B83*E83/1000,3),"-")</f>
        <v>6.3E-2</v>
      </c>
      <c r="L83" s="150"/>
      <c r="M83" s="150"/>
      <c r="N83" s="150"/>
    </row>
    <row r="84" spans="1:14" x14ac:dyDescent="0.25">
      <c r="A84" s="159">
        <v>73</v>
      </c>
      <c r="B84" s="160">
        <v>4</v>
      </c>
      <c r="C84" s="160">
        <v>11700</v>
      </c>
      <c r="D84" s="160" t="s">
        <v>2948</v>
      </c>
      <c r="E84" s="160">
        <v>10</v>
      </c>
      <c r="F84" s="160" t="s">
        <v>74</v>
      </c>
      <c r="G84" s="148">
        <v>32</v>
      </c>
      <c r="H84" s="152">
        <f>IF(C84=11700,ROUND(VLOOKUP(G84,ThongSo!$F$2:$I$15,4,0)*B84*11.7,3),0)</f>
        <v>295.30799999999999</v>
      </c>
      <c r="I84" s="152">
        <f>IF(F84="Sắt vụn",ROUND(VLOOKUP(G84,ThongSo!$F$2:$I$15,4,0)*B84*E84/1000,3),"-")</f>
        <v>0.252</v>
      </c>
      <c r="L84" s="150"/>
      <c r="M84" s="150"/>
      <c r="N84" s="150"/>
    </row>
    <row r="85" spans="1:14" x14ac:dyDescent="0.25">
      <c r="A85" s="159">
        <v>74</v>
      </c>
      <c r="B85" s="160">
        <v>2</v>
      </c>
      <c r="C85" s="160">
        <v>11700</v>
      </c>
      <c r="D85" s="160" t="s">
        <v>2949</v>
      </c>
      <c r="E85" s="160">
        <v>10</v>
      </c>
      <c r="F85" s="160" t="s">
        <v>74</v>
      </c>
      <c r="G85" s="148">
        <v>32</v>
      </c>
      <c r="H85" s="152">
        <f>IF(C85=11700,ROUND(VLOOKUP(G85,ThongSo!$F$2:$I$15,4,0)*B85*11.7,3),0)</f>
        <v>147.654</v>
      </c>
      <c r="I85" s="152">
        <f>IF(F85="Sắt vụn",ROUND(VLOOKUP(G85,ThongSo!$F$2:$I$15,4,0)*B85*E85/1000,3),"-")</f>
        <v>0.126</v>
      </c>
      <c r="L85" s="150"/>
      <c r="M85" s="150"/>
      <c r="N85" s="150"/>
    </row>
    <row r="86" spans="1:14" x14ac:dyDescent="0.25">
      <c r="A86" s="159">
        <v>75</v>
      </c>
      <c r="B86" s="160">
        <v>3</v>
      </c>
      <c r="C86" s="160">
        <v>11700</v>
      </c>
      <c r="D86" s="160" t="s">
        <v>2950</v>
      </c>
      <c r="E86" s="160">
        <v>20</v>
      </c>
      <c r="F86" s="160" t="s">
        <v>74</v>
      </c>
      <c r="G86" s="148">
        <v>32</v>
      </c>
      <c r="H86" s="152">
        <f>IF(C86=11700,ROUND(VLOOKUP(G86,ThongSo!$F$2:$I$15,4,0)*B86*11.7,3),0)</f>
        <v>221.48099999999999</v>
      </c>
      <c r="I86" s="152">
        <f>IF(F86="Sắt vụn",ROUND(VLOOKUP(G86,ThongSo!$F$2:$I$15,4,0)*B86*E86/1000,3),"-")</f>
        <v>0.379</v>
      </c>
      <c r="L86" s="150"/>
      <c r="M86" s="150"/>
      <c r="N86" s="150"/>
    </row>
    <row r="87" spans="1:14" x14ac:dyDescent="0.25">
      <c r="A87" s="159">
        <v>76</v>
      </c>
      <c r="B87" s="160">
        <v>4</v>
      </c>
      <c r="C87" s="160">
        <v>11700</v>
      </c>
      <c r="D87" s="160" t="s">
        <v>2951</v>
      </c>
      <c r="E87" s="160">
        <v>20</v>
      </c>
      <c r="F87" s="160" t="s">
        <v>74</v>
      </c>
      <c r="G87" s="148">
        <v>32</v>
      </c>
      <c r="H87" s="152">
        <f>IF(C87=11700,ROUND(VLOOKUP(G87,ThongSo!$F$2:$I$15,4,0)*B87*11.7,3),0)</f>
        <v>295.30799999999999</v>
      </c>
      <c r="I87" s="152">
        <f>IF(F87="Sắt vụn",ROUND(VLOOKUP(G87,ThongSo!$F$2:$I$15,4,0)*B87*E87/1000,3),"-")</f>
        <v>0.505</v>
      </c>
      <c r="L87" s="150"/>
      <c r="M87" s="150"/>
      <c r="N87" s="150"/>
    </row>
    <row r="88" spans="1:14" x14ac:dyDescent="0.25">
      <c r="A88" s="159">
        <v>77</v>
      </c>
      <c r="B88" s="160">
        <v>1</v>
      </c>
      <c r="C88" s="160">
        <v>11700</v>
      </c>
      <c r="D88" s="160" t="s">
        <v>2952</v>
      </c>
      <c r="E88" s="160">
        <v>20</v>
      </c>
      <c r="F88" s="160" t="s">
        <v>74</v>
      </c>
      <c r="G88" s="148">
        <v>32</v>
      </c>
      <c r="H88" s="152">
        <f>IF(C88=11700,ROUND(VLOOKUP(G88,ThongSo!$F$2:$I$15,4,0)*B88*11.7,3),0)</f>
        <v>73.826999999999998</v>
      </c>
      <c r="I88" s="152">
        <f>IF(F88="Sắt vụn",ROUND(VLOOKUP(G88,ThongSo!$F$2:$I$15,4,0)*B88*E88/1000,3),"-")</f>
        <v>0.126</v>
      </c>
      <c r="L88" s="150"/>
      <c r="M88" s="150"/>
      <c r="N88" s="150"/>
    </row>
    <row r="89" spans="1:14" x14ac:dyDescent="0.25">
      <c r="A89" s="159">
        <v>78</v>
      </c>
      <c r="B89" s="160">
        <v>1</v>
      </c>
      <c r="C89" s="160">
        <v>11700</v>
      </c>
      <c r="D89" s="160" t="s">
        <v>2953</v>
      </c>
      <c r="E89" s="160">
        <v>20</v>
      </c>
      <c r="F89" s="160" t="s">
        <v>74</v>
      </c>
      <c r="G89" s="148">
        <v>32</v>
      </c>
      <c r="H89" s="152">
        <f>IF(C89=11700,ROUND(VLOOKUP(G89,ThongSo!$F$2:$I$15,4,0)*B89*11.7,3),0)</f>
        <v>73.826999999999998</v>
      </c>
      <c r="I89" s="152">
        <f>IF(F89="Sắt vụn",ROUND(VLOOKUP(G89,ThongSo!$F$2:$I$15,4,0)*B89*E89/1000,3),"-")</f>
        <v>0.126</v>
      </c>
      <c r="L89" s="150"/>
      <c r="M89" s="150"/>
      <c r="N89" s="150"/>
    </row>
    <row r="90" spans="1:14" x14ac:dyDescent="0.25">
      <c r="A90" s="159">
        <v>79</v>
      </c>
      <c r="B90" s="160">
        <v>4</v>
      </c>
      <c r="C90" s="160">
        <v>11700</v>
      </c>
      <c r="D90" s="160" t="s">
        <v>2954</v>
      </c>
      <c r="E90" s="160">
        <v>30</v>
      </c>
      <c r="F90" s="160" t="s">
        <v>74</v>
      </c>
      <c r="G90" s="148">
        <v>32</v>
      </c>
      <c r="H90" s="152">
        <f>IF(C90=11700,ROUND(VLOOKUP(G90,ThongSo!$F$2:$I$15,4,0)*B90*11.7,3),0)</f>
        <v>295.30799999999999</v>
      </c>
      <c r="I90" s="152">
        <f>IF(F90="Sắt vụn",ROUND(VLOOKUP(G90,ThongSo!$F$2:$I$15,4,0)*B90*E90/1000,3),"-")</f>
        <v>0.75700000000000001</v>
      </c>
      <c r="L90" s="150"/>
      <c r="M90" s="150"/>
      <c r="N90" s="150"/>
    </row>
    <row r="91" spans="1:14" x14ac:dyDescent="0.25">
      <c r="A91" s="159">
        <v>80</v>
      </c>
      <c r="B91" s="160">
        <v>7</v>
      </c>
      <c r="C91" s="160">
        <v>11700</v>
      </c>
      <c r="D91" s="160" t="s">
        <v>2955</v>
      </c>
      <c r="E91" s="160">
        <v>30</v>
      </c>
      <c r="F91" s="160" t="s">
        <v>74</v>
      </c>
      <c r="G91" s="148">
        <v>32</v>
      </c>
      <c r="H91" s="152">
        <f>IF(C91=11700,ROUND(VLOOKUP(G91,ThongSo!$F$2:$I$15,4,0)*B91*11.7,3),0)</f>
        <v>516.78899999999999</v>
      </c>
      <c r="I91" s="152">
        <f>IF(F91="Sắt vụn",ROUND(VLOOKUP(G91,ThongSo!$F$2:$I$15,4,0)*B91*E91/1000,3),"-")</f>
        <v>1.325</v>
      </c>
      <c r="L91" s="150"/>
      <c r="M91" s="150"/>
      <c r="N91" s="150"/>
    </row>
    <row r="92" spans="1:14" x14ac:dyDescent="0.25">
      <c r="A92" s="159">
        <v>81</v>
      </c>
      <c r="B92" s="160">
        <v>1</v>
      </c>
      <c r="C92" s="160">
        <v>11700</v>
      </c>
      <c r="D92" s="160" t="s">
        <v>2956</v>
      </c>
      <c r="E92" s="160">
        <v>30</v>
      </c>
      <c r="F92" s="160" t="s">
        <v>74</v>
      </c>
      <c r="G92" s="148">
        <v>32</v>
      </c>
      <c r="H92" s="152">
        <f>IF(C92=11700,ROUND(VLOOKUP(G92,ThongSo!$F$2:$I$15,4,0)*B92*11.7,3),0)</f>
        <v>73.826999999999998</v>
      </c>
      <c r="I92" s="152">
        <f>IF(F92="Sắt vụn",ROUND(VLOOKUP(G92,ThongSo!$F$2:$I$15,4,0)*B92*E92/1000,3),"-")</f>
        <v>0.189</v>
      </c>
      <c r="L92" s="150"/>
      <c r="M92" s="150"/>
      <c r="N92" s="150"/>
    </row>
    <row r="93" spans="1:14" x14ac:dyDescent="0.25">
      <c r="A93" s="159">
        <v>82</v>
      </c>
      <c r="B93" s="160">
        <v>4</v>
      </c>
      <c r="C93" s="160">
        <v>11700</v>
      </c>
      <c r="D93" s="160" t="s">
        <v>2957</v>
      </c>
      <c r="E93" s="160">
        <v>30</v>
      </c>
      <c r="F93" s="160" t="s">
        <v>74</v>
      </c>
      <c r="G93" s="148">
        <v>32</v>
      </c>
      <c r="H93" s="152">
        <f>IF(C93=11700,ROUND(VLOOKUP(G93,ThongSo!$F$2:$I$15,4,0)*B93*11.7,3),0)</f>
        <v>295.30799999999999</v>
      </c>
      <c r="I93" s="152">
        <f>IF(F93="Sắt vụn",ROUND(VLOOKUP(G93,ThongSo!$F$2:$I$15,4,0)*B93*E93/1000,3),"-")</f>
        <v>0.75700000000000001</v>
      </c>
      <c r="L93" s="150"/>
      <c r="M93" s="150"/>
      <c r="N93" s="150"/>
    </row>
    <row r="94" spans="1:14" x14ac:dyDescent="0.25">
      <c r="A94" s="159">
        <v>83</v>
      </c>
      <c r="B94" s="160">
        <v>3</v>
      </c>
      <c r="C94" s="160">
        <v>11700</v>
      </c>
      <c r="D94" s="160" t="s">
        <v>2958</v>
      </c>
      <c r="E94" s="160">
        <v>30</v>
      </c>
      <c r="F94" s="160" t="s">
        <v>74</v>
      </c>
      <c r="G94" s="148">
        <v>32</v>
      </c>
      <c r="H94" s="152">
        <f>IF(C94=11700,ROUND(VLOOKUP(G94,ThongSo!$F$2:$I$15,4,0)*B94*11.7,3),0)</f>
        <v>221.48099999999999</v>
      </c>
      <c r="I94" s="152">
        <f>IF(F94="Sắt vụn",ROUND(VLOOKUP(G94,ThongSo!$F$2:$I$15,4,0)*B94*E94/1000,3),"-")</f>
        <v>0.56799999999999995</v>
      </c>
      <c r="L94" s="150"/>
      <c r="M94" s="150"/>
      <c r="N94" s="150"/>
    </row>
    <row r="95" spans="1:14" x14ac:dyDescent="0.25">
      <c r="A95" s="159">
        <v>84</v>
      </c>
      <c r="B95" s="160">
        <v>3</v>
      </c>
      <c r="C95" s="160">
        <v>11700</v>
      </c>
      <c r="D95" s="160" t="s">
        <v>2959</v>
      </c>
      <c r="E95" s="160">
        <v>30</v>
      </c>
      <c r="F95" s="160" t="s">
        <v>74</v>
      </c>
      <c r="G95" s="148">
        <v>32</v>
      </c>
      <c r="H95" s="152">
        <f>IF(C95=11700,ROUND(VLOOKUP(G95,ThongSo!$F$2:$I$15,4,0)*B95*11.7,3),0)</f>
        <v>221.48099999999999</v>
      </c>
      <c r="I95" s="152">
        <f>IF(F95="Sắt vụn",ROUND(VLOOKUP(G95,ThongSo!$F$2:$I$15,4,0)*B95*E95/1000,3),"-")</f>
        <v>0.56799999999999995</v>
      </c>
      <c r="L95" s="150"/>
      <c r="M95" s="150"/>
      <c r="N95" s="150"/>
    </row>
    <row r="96" spans="1:14" x14ac:dyDescent="0.25">
      <c r="A96" s="159">
        <v>85</v>
      </c>
      <c r="B96" s="160">
        <v>3</v>
      </c>
      <c r="C96" s="160">
        <v>11700</v>
      </c>
      <c r="D96" s="160" t="s">
        <v>2960</v>
      </c>
      <c r="E96" s="160">
        <v>40</v>
      </c>
      <c r="F96" s="160" t="s">
        <v>74</v>
      </c>
      <c r="G96" s="148">
        <v>32</v>
      </c>
      <c r="H96" s="152">
        <f>IF(C96=11700,ROUND(VLOOKUP(G96,ThongSo!$F$2:$I$15,4,0)*B96*11.7,3),0)</f>
        <v>221.48099999999999</v>
      </c>
      <c r="I96" s="152">
        <f>IF(F96="Sắt vụn",ROUND(VLOOKUP(G96,ThongSo!$F$2:$I$15,4,0)*B96*E96/1000,3),"-")</f>
        <v>0.75700000000000001</v>
      </c>
      <c r="L96" s="150"/>
      <c r="M96" s="150"/>
      <c r="N96" s="150"/>
    </row>
    <row r="97" spans="1:14" x14ac:dyDescent="0.25">
      <c r="A97" s="159">
        <v>86</v>
      </c>
      <c r="B97" s="160">
        <v>5</v>
      </c>
      <c r="C97" s="160">
        <v>11700</v>
      </c>
      <c r="D97" s="160" t="s">
        <v>2961</v>
      </c>
      <c r="E97" s="160">
        <v>40</v>
      </c>
      <c r="F97" s="160" t="s">
        <v>74</v>
      </c>
      <c r="G97" s="148">
        <v>32</v>
      </c>
      <c r="H97" s="152">
        <f>IF(C97=11700,ROUND(VLOOKUP(G97,ThongSo!$F$2:$I$15,4,0)*B97*11.7,3),0)</f>
        <v>369.13499999999999</v>
      </c>
      <c r="I97" s="152">
        <f>IF(F97="Sắt vụn",ROUND(VLOOKUP(G97,ThongSo!$F$2:$I$15,4,0)*B97*E97/1000,3),"-")</f>
        <v>1.262</v>
      </c>
      <c r="L97" s="150"/>
      <c r="M97" s="150"/>
      <c r="N97" s="150"/>
    </row>
    <row r="98" spans="1:14" x14ac:dyDescent="0.25">
      <c r="A98" s="159">
        <v>87</v>
      </c>
      <c r="B98" s="160">
        <v>8</v>
      </c>
      <c r="C98" s="160">
        <v>11700</v>
      </c>
      <c r="D98" s="160" t="s">
        <v>2962</v>
      </c>
      <c r="E98" s="160">
        <v>50</v>
      </c>
      <c r="F98" s="160" t="s">
        <v>74</v>
      </c>
      <c r="G98" s="148">
        <v>32</v>
      </c>
      <c r="H98" s="152">
        <f>IF(C98=11700,ROUND(VLOOKUP(G98,ThongSo!$F$2:$I$15,4,0)*B98*11.7,3),0)</f>
        <v>590.61599999999999</v>
      </c>
      <c r="I98" s="152">
        <f>IF(F98="Sắt vụn",ROUND(VLOOKUP(G98,ThongSo!$F$2:$I$15,4,0)*B98*E98/1000,3),"-")</f>
        <v>2.524</v>
      </c>
      <c r="L98" s="150"/>
      <c r="M98" s="150"/>
      <c r="N98" s="150"/>
    </row>
    <row r="99" spans="1:14" x14ac:dyDescent="0.25">
      <c r="A99" s="159">
        <v>88</v>
      </c>
      <c r="B99" s="160">
        <v>1</v>
      </c>
      <c r="C99" s="160">
        <v>11700</v>
      </c>
      <c r="D99" s="160" t="s">
        <v>2963</v>
      </c>
      <c r="E99" s="160">
        <v>50</v>
      </c>
      <c r="F99" s="160" t="s">
        <v>74</v>
      </c>
      <c r="G99" s="148">
        <v>32</v>
      </c>
      <c r="H99" s="152">
        <f>IF(C99=11700,ROUND(VLOOKUP(G99,ThongSo!$F$2:$I$15,4,0)*B99*11.7,3),0)</f>
        <v>73.826999999999998</v>
      </c>
      <c r="I99" s="152">
        <f>IF(F99="Sắt vụn",ROUND(VLOOKUP(G99,ThongSo!$F$2:$I$15,4,0)*B99*E99/1000,3),"-")</f>
        <v>0.316</v>
      </c>
      <c r="L99" s="150"/>
      <c r="M99" s="150"/>
      <c r="N99" s="150"/>
    </row>
    <row r="100" spans="1:14" x14ac:dyDescent="0.25">
      <c r="A100" s="159">
        <v>89</v>
      </c>
      <c r="B100" s="160">
        <v>2</v>
      </c>
      <c r="C100" s="160">
        <v>11700</v>
      </c>
      <c r="D100" s="160" t="s">
        <v>2964</v>
      </c>
      <c r="E100" s="160">
        <v>50</v>
      </c>
      <c r="F100" s="160" t="s">
        <v>74</v>
      </c>
      <c r="G100" s="148">
        <v>32</v>
      </c>
      <c r="H100" s="152">
        <f>IF(C100=11700,ROUND(VLOOKUP(G100,ThongSo!$F$2:$I$15,4,0)*B100*11.7,3),0)</f>
        <v>147.654</v>
      </c>
      <c r="I100" s="152">
        <f>IF(F100="Sắt vụn",ROUND(VLOOKUP(G100,ThongSo!$F$2:$I$15,4,0)*B100*E100/1000,3),"-")</f>
        <v>0.63100000000000001</v>
      </c>
      <c r="L100" s="150"/>
      <c r="M100" s="150"/>
      <c r="N100" s="150"/>
    </row>
    <row r="101" spans="1:14" x14ac:dyDescent="0.25">
      <c r="A101" s="159">
        <v>90</v>
      </c>
      <c r="B101" s="160">
        <v>9</v>
      </c>
      <c r="C101" s="160">
        <v>11700</v>
      </c>
      <c r="D101" s="160" t="s">
        <v>2965</v>
      </c>
      <c r="E101" s="160">
        <v>50</v>
      </c>
      <c r="F101" s="160" t="s">
        <v>74</v>
      </c>
      <c r="G101" s="148">
        <v>32</v>
      </c>
      <c r="H101" s="152">
        <f>IF(C101=11700,ROUND(VLOOKUP(G101,ThongSo!$F$2:$I$15,4,0)*B101*11.7,3),0)</f>
        <v>664.44299999999998</v>
      </c>
      <c r="I101" s="152">
        <f>IF(F101="Sắt vụn",ROUND(VLOOKUP(G101,ThongSo!$F$2:$I$15,4,0)*B101*E101/1000,3),"-")</f>
        <v>2.84</v>
      </c>
      <c r="L101" s="150"/>
      <c r="M101" s="150"/>
      <c r="N101" s="150"/>
    </row>
    <row r="102" spans="1:14" x14ac:dyDescent="0.25">
      <c r="A102" s="159">
        <v>91</v>
      </c>
      <c r="B102" s="160">
        <v>2</v>
      </c>
      <c r="C102" s="160">
        <v>11700</v>
      </c>
      <c r="D102" s="160" t="s">
        <v>2966</v>
      </c>
      <c r="E102" s="160">
        <v>70</v>
      </c>
      <c r="F102" s="160" t="s">
        <v>74</v>
      </c>
      <c r="G102" s="148">
        <v>32</v>
      </c>
      <c r="H102" s="152">
        <f>IF(C102=11700,ROUND(VLOOKUP(G102,ThongSo!$F$2:$I$15,4,0)*B102*11.7,3),0)</f>
        <v>147.654</v>
      </c>
      <c r="I102" s="152">
        <f>IF(F102="Sắt vụn",ROUND(VLOOKUP(G102,ThongSo!$F$2:$I$15,4,0)*B102*E102/1000,3),"-")</f>
        <v>0.88300000000000001</v>
      </c>
      <c r="L102" s="150"/>
      <c r="M102" s="150"/>
      <c r="N102" s="150"/>
    </row>
    <row r="103" spans="1:14" x14ac:dyDescent="0.25">
      <c r="A103" s="159">
        <v>92</v>
      </c>
      <c r="B103" s="160">
        <v>2</v>
      </c>
      <c r="C103" s="160">
        <v>11700</v>
      </c>
      <c r="D103" s="160" t="s">
        <v>2967</v>
      </c>
      <c r="E103" s="160">
        <v>100</v>
      </c>
      <c r="F103" s="160" t="s">
        <v>74</v>
      </c>
      <c r="G103" s="148">
        <v>32</v>
      </c>
      <c r="H103" s="152">
        <f>IF(C103=11700,ROUND(VLOOKUP(G103,ThongSo!$F$2:$I$15,4,0)*B103*11.7,3),0)</f>
        <v>147.654</v>
      </c>
      <c r="I103" s="152">
        <f>IF(F103="Sắt vụn",ROUND(VLOOKUP(G103,ThongSo!$F$2:$I$15,4,0)*B103*E103/1000,3),"-")</f>
        <v>1.262</v>
      </c>
      <c r="L103" s="150"/>
      <c r="M103" s="150"/>
      <c r="N103" s="150"/>
    </row>
    <row r="104" spans="1:14" x14ac:dyDescent="0.25">
      <c r="A104" s="159">
        <v>93</v>
      </c>
      <c r="B104" s="160">
        <v>2</v>
      </c>
      <c r="C104" s="160">
        <v>11700</v>
      </c>
      <c r="D104" s="160" t="s">
        <v>2968</v>
      </c>
      <c r="E104" s="160">
        <v>130</v>
      </c>
      <c r="F104" s="160" t="s">
        <v>74</v>
      </c>
      <c r="G104" s="148">
        <v>32</v>
      </c>
      <c r="H104" s="152">
        <f>IF(C104=11700,ROUND(VLOOKUP(G104,ThongSo!$F$2:$I$15,4,0)*B104*11.7,3),0)</f>
        <v>147.654</v>
      </c>
      <c r="I104" s="152">
        <f>IF(F104="Sắt vụn",ROUND(VLOOKUP(G104,ThongSo!$F$2:$I$15,4,0)*B104*E104/1000,3),"-")</f>
        <v>1.641</v>
      </c>
      <c r="L104" s="150"/>
      <c r="M104" s="150"/>
      <c r="N104" s="150"/>
    </row>
    <row r="105" spans="1:14" x14ac:dyDescent="0.25">
      <c r="A105" s="159">
        <v>94</v>
      </c>
      <c r="B105" s="160">
        <v>1</v>
      </c>
      <c r="C105" s="160">
        <v>11700</v>
      </c>
      <c r="D105" s="160" t="s">
        <v>2969</v>
      </c>
      <c r="E105" s="160">
        <v>130</v>
      </c>
      <c r="F105" s="160" t="s">
        <v>74</v>
      </c>
      <c r="G105" s="148">
        <v>32</v>
      </c>
      <c r="H105" s="152">
        <f>IF(C105=11700,ROUND(VLOOKUP(G105,ThongSo!$F$2:$I$15,4,0)*B105*11.7,3),0)</f>
        <v>73.826999999999998</v>
      </c>
      <c r="I105" s="152">
        <f>IF(F105="Sắt vụn",ROUND(VLOOKUP(G105,ThongSo!$F$2:$I$15,4,0)*B105*E105/1000,3),"-")</f>
        <v>0.82</v>
      </c>
      <c r="L105" s="150"/>
      <c r="M105" s="150"/>
      <c r="N105" s="150"/>
    </row>
    <row r="106" spans="1:14" x14ac:dyDescent="0.25">
      <c r="A106" s="159">
        <v>95</v>
      </c>
      <c r="B106" s="160">
        <v>1</v>
      </c>
      <c r="C106" s="160">
        <v>11700</v>
      </c>
      <c r="D106" s="160" t="s">
        <v>2970</v>
      </c>
      <c r="E106" s="160">
        <v>130</v>
      </c>
      <c r="F106" s="160" t="s">
        <v>74</v>
      </c>
      <c r="G106" s="148">
        <v>32</v>
      </c>
      <c r="H106" s="152">
        <f>IF(C106=11700,ROUND(VLOOKUP(G106,ThongSo!$F$2:$I$15,4,0)*B106*11.7,3),0)</f>
        <v>73.826999999999998</v>
      </c>
      <c r="I106" s="152">
        <f>IF(F106="Sắt vụn",ROUND(VLOOKUP(G106,ThongSo!$F$2:$I$15,4,0)*B106*E106/1000,3),"-")</f>
        <v>0.82</v>
      </c>
      <c r="L106" s="150"/>
      <c r="M106" s="150"/>
      <c r="N106" s="150"/>
    </row>
    <row r="107" spans="1:14" x14ac:dyDescent="0.25">
      <c r="A107" s="159">
        <v>96</v>
      </c>
      <c r="B107" s="160">
        <v>1</v>
      </c>
      <c r="C107" s="160">
        <v>11700</v>
      </c>
      <c r="D107" s="160" t="s">
        <v>2971</v>
      </c>
      <c r="E107" s="160">
        <v>130</v>
      </c>
      <c r="F107" s="160" t="s">
        <v>74</v>
      </c>
      <c r="G107" s="148">
        <v>32</v>
      </c>
      <c r="H107" s="152">
        <f>IF(C107=11700,ROUND(VLOOKUP(G107,ThongSo!$F$2:$I$15,4,0)*B107*11.7,3),0)</f>
        <v>73.826999999999998</v>
      </c>
      <c r="I107" s="152">
        <f>IF(F107="Sắt vụn",ROUND(VLOOKUP(G107,ThongSo!$F$2:$I$15,4,0)*B107*E107/1000,3),"-")</f>
        <v>0.82</v>
      </c>
      <c r="L107" s="150"/>
      <c r="M107" s="150"/>
      <c r="N107" s="150"/>
    </row>
    <row r="108" spans="1:14" x14ac:dyDescent="0.25">
      <c r="A108" s="159">
        <v>97</v>
      </c>
      <c r="B108" s="160">
        <v>2</v>
      </c>
      <c r="C108" s="160">
        <v>11700</v>
      </c>
      <c r="D108" s="160" t="s">
        <v>2972</v>
      </c>
      <c r="E108" s="160">
        <v>140</v>
      </c>
      <c r="F108" s="160" t="s">
        <v>74</v>
      </c>
      <c r="G108" s="148">
        <v>32</v>
      </c>
      <c r="H108" s="152">
        <f>IF(C108=11700,ROUND(VLOOKUP(G108,ThongSo!$F$2:$I$15,4,0)*B108*11.7,3),0)</f>
        <v>147.654</v>
      </c>
      <c r="I108" s="152">
        <f>IF(F108="Sắt vụn",ROUND(VLOOKUP(G108,ThongSo!$F$2:$I$15,4,0)*B108*E108/1000,3),"-")</f>
        <v>1.7669999999999999</v>
      </c>
      <c r="L108" s="150"/>
      <c r="M108" s="150"/>
      <c r="N108" s="150"/>
    </row>
    <row r="109" spans="1:14" x14ac:dyDescent="0.25">
      <c r="A109" s="159">
        <v>98</v>
      </c>
      <c r="B109" s="160">
        <v>3</v>
      </c>
      <c r="C109" s="160">
        <v>11700</v>
      </c>
      <c r="D109" s="160" t="s">
        <v>2973</v>
      </c>
      <c r="E109" s="160">
        <v>170</v>
      </c>
      <c r="F109" s="160" t="s">
        <v>74</v>
      </c>
      <c r="G109" s="148">
        <v>32</v>
      </c>
      <c r="H109" s="152">
        <f>IF(C109=11700,ROUND(VLOOKUP(G109,ThongSo!$F$2:$I$15,4,0)*B109*11.7,3),0)</f>
        <v>221.48099999999999</v>
      </c>
      <c r="I109" s="152">
        <f>IF(F109="Sắt vụn",ROUND(VLOOKUP(G109,ThongSo!$F$2:$I$15,4,0)*B109*E109/1000,3),"-")</f>
        <v>3.218</v>
      </c>
      <c r="L109" s="150"/>
      <c r="M109" s="150"/>
      <c r="N109" s="150"/>
    </row>
    <row r="110" spans="1:14" x14ac:dyDescent="0.25">
      <c r="A110" s="159">
        <v>99</v>
      </c>
      <c r="B110" s="160">
        <v>1</v>
      </c>
      <c r="C110" s="160">
        <v>11700</v>
      </c>
      <c r="D110" s="160" t="s">
        <v>2974</v>
      </c>
      <c r="E110" s="160">
        <v>170</v>
      </c>
      <c r="F110" s="160" t="s">
        <v>74</v>
      </c>
      <c r="G110" s="148">
        <v>32</v>
      </c>
      <c r="H110" s="152">
        <f>IF(C110=11700,ROUND(VLOOKUP(G110,ThongSo!$F$2:$I$15,4,0)*B110*11.7,3),0)</f>
        <v>73.826999999999998</v>
      </c>
      <c r="I110" s="152">
        <f>IF(F110="Sắt vụn",ROUND(VLOOKUP(G110,ThongSo!$F$2:$I$15,4,0)*B110*E110/1000,3),"-")</f>
        <v>1.073</v>
      </c>
      <c r="L110" s="150"/>
      <c r="M110" s="150"/>
      <c r="N110" s="150"/>
    </row>
    <row r="111" spans="1:14" x14ac:dyDescent="0.25">
      <c r="A111" s="159">
        <v>100</v>
      </c>
      <c r="B111" s="160">
        <v>1</v>
      </c>
      <c r="C111" s="160">
        <v>11700</v>
      </c>
      <c r="D111" s="160" t="s">
        <v>2975</v>
      </c>
      <c r="E111" s="160">
        <v>170</v>
      </c>
      <c r="F111" s="160" t="s">
        <v>74</v>
      </c>
      <c r="G111" s="148">
        <v>32</v>
      </c>
      <c r="H111" s="152">
        <f>IF(C111=11700,ROUND(VLOOKUP(G111,ThongSo!$F$2:$I$15,4,0)*B111*11.7,3),0)</f>
        <v>73.826999999999998</v>
      </c>
      <c r="I111" s="152">
        <f>IF(F111="Sắt vụn",ROUND(VLOOKUP(G111,ThongSo!$F$2:$I$15,4,0)*B111*E111/1000,3),"-")</f>
        <v>1.073</v>
      </c>
      <c r="L111" s="150"/>
      <c r="M111" s="150"/>
      <c r="N111" s="150"/>
    </row>
    <row r="112" spans="1:14" x14ac:dyDescent="0.25">
      <c r="A112" s="159">
        <v>101</v>
      </c>
      <c r="B112" s="160">
        <v>2</v>
      </c>
      <c r="C112" s="160">
        <v>11700</v>
      </c>
      <c r="D112" s="160" t="s">
        <v>2976</v>
      </c>
      <c r="E112" s="160">
        <v>200</v>
      </c>
      <c r="F112" s="160" t="s">
        <v>74</v>
      </c>
      <c r="G112" s="148">
        <v>32</v>
      </c>
      <c r="H112" s="152">
        <f>IF(C112=11700,ROUND(VLOOKUP(G112,ThongSo!$F$2:$I$15,4,0)*B112*11.7,3),0)</f>
        <v>147.654</v>
      </c>
      <c r="I112" s="152">
        <f>IF(F112="Sắt vụn",ROUND(VLOOKUP(G112,ThongSo!$F$2:$I$15,4,0)*B112*E112/1000,3),"-")</f>
        <v>2.524</v>
      </c>
      <c r="L112" s="150"/>
      <c r="M112" s="150"/>
      <c r="N112" s="150"/>
    </row>
    <row r="113" spans="1:14" x14ac:dyDescent="0.25">
      <c r="A113" s="159">
        <v>102</v>
      </c>
      <c r="B113" s="160">
        <v>8</v>
      </c>
      <c r="C113" s="160">
        <v>11700</v>
      </c>
      <c r="D113" s="160" t="s">
        <v>2977</v>
      </c>
      <c r="E113" s="160">
        <v>220</v>
      </c>
      <c r="F113" s="160" t="s">
        <v>74</v>
      </c>
      <c r="G113" s="148">
        <v>32</v>
      </c>
      <c r="H113" s="152">
        <f>IF(C113=11700,ROUND(VLOOKUP(G113,ThongSo!$F$2:$I$15,4,0)*B113*11.7,3),0)</f>
        <v>590.61599999999999</v>
      </c>
      <c r="I113" s="152">
        <f>IF(F113="Sắt vụn",ROUND(VLOOKUP(G113,ThongSo!$F$2:$I$15,4,0)*B113*E113/1000,3),"-")</f>
        <v>11.106</v>
      </c>
      <c r="L113" s="150"/>
      <c r="M113" s="150"/>
      <c r="N113" s="150"/>
    </row>
    <row r="114" spans="1:14" x14ac:dyDescent="0.25">
      <c r="A114" s="159">
        <v>103</v>
      </c>
      <c r="B114" s="160">
        <v>6</v>
      </c>
      <c r="C114" s="160">
        <v>11700</v>
      </c>
      <c r="D114" s="160" t="s">
        <v>2978</v>
      </c>
      <c r="E114" s="160">
        <v>220</v>
      </c>
      <c r="F114" s="160" t="s">
        <v>74</v>
      </c>
      <c r="G114" s="148">
        <v>32</v>
      </c>
      <c r="H114" s="152">
        <f>IF(C114=11700,ROUND(VLOOKUP(G114,ThongSo!$F$2:$I$15,4,0)*B114*11.7,3),0)</f>
        <v>442.96199999999999</v>
      </c>
      <c r="I114" s="152">
        <f>IF(F114="Sắt vụn",ROUND(VLOOKUP(G114,ThongSo!$F$2:$I$15,4,0)*B114*E114/1000,3),"-")</f>
        <v>8.3290000000000006</v>
      </c>
      <c r="L114" s="150"/>
      <c r="M114" s="150"/>
      <c r="N114" s="150"/>
    </row>
    <row r="115" spans="1:14" x14ac:dyDescent="0.25">
      <c r="A115" s="159">
        <v>104</v>
      </c>
      <c r="B115" s="160">
        <v>3</v>
      </c>
      <c r="C115" s="160">
        <v>11700</v>
      </c>
      <c r="D115" s="160" t="s">
        <v>2979</v>
      </c>
      <c r="E115" s="160">
        <v>400</v>
      </c>
      <c r="F115" s="160" t="s">
        <v>74</v>
      </c>
      <c r="G115" s="148">
        <v>32</v>
      </c>
      <c r="H115" s="152">
        <f>IF(C115=11700,ROUND(VLOOKUP(G115,ThongSo!$F$2:$I$15,4,0)*B115*11.7,3),0)</f>
        <v>221.48099999999999</v>
      </c>
      <c r="I115" s="152">
        <f>IF(F115="Sắt vụn",ROUND(VLOOKUP(G115,ThongSo!$F$2:$I$15,4,0)*B115*E115/1000,3),"-")</f>
        <v>7.5720000000000001</v>
      </c>
      <c r="L115" s="150"/>
      <c r="M115" s="150"/>
      <c r="N115" s="150"/>
    </row>
    <row r="116" spans="1:14" x14ac:dyDescent="0.25">
      <c r="A116" s="159">
        <v>105</v>
      </c>
      <c r="B116" s="160">
        <v>1</v>
      </c>
      <c r="C116" s="160">
        <v>11700</v>
      </c>
      <c r="D116" s="160" t="s">
        <v>2980</v>
      </c>
      <c r="E116" s="160">
        <v>460</v>
      </c>
      <c r="F116" s="160" t="s">
        <v>74</v>
      </c>
      <c r="G116" s="148">
        <v>32</v>
      </c>
      <c r="H116" s="152">
        <f>IF(C116=11700,ROUND(VLOOKUP(G116,ThongSo!$F$2:$I$15,4,0)*B116*11.7,3),0)</f>
        <v>73.826999999999998</v>
      </c>
      <c r="I116" s="152">
        <f>IF(F116="Sắt vụn",ROUND(VLOOKUP(G116,ThongSo!$F$2:$I$15,4,0)*B116*E116/1000,3),"-")</f>
        <v>2.903</v>
      </c>
      <c r="L116" s="150"/>
      <c r="M116" s="150"/>
      <c r="N116" s="150"/>
    </row>
    <row r="117" spans="1:14" x14ac:dyDescent="0.25">
      <c r="A117" s="159">
        <v>106</v>
      </c>
      <c r="B117" s="160">
        <v>3</v>
      </c>
      <c r="C117" s="160">
        <v>11700</v>
      </c>
      <c r="D117" s="160" t="s">
        <v>2981</v>
      </c>
      <c r="E117" s="160">
        <v>520</v>
      </c>
      <c r="F117" s="160" t="s">
        <v>74</v>
      </c>
      <c r="G117" s="148">
        <v>32</v>
      </c>
      <c r="H117" s="152">
        <f>IF(C117=11700,ROUND(VLOOKUP(G117,ThongSo!$F$2:$I$15,4,0)*B117*11.7,3),0)</f>
        <v>221.48099999999999</v>
      </c>
      <c r="I117" s="152">
        <f>IF(F117="Sắt vụn",ROUND(VLOOKUP(G117,ThongSo!$F$2:$I$15,4,0)*B117*E117/1000,3),"-")</f>
        <v>9.8439999999999994</v>
      </c>
      <c r="L117" s="150"/>
      <c r="M117" s="150"/>
      <c r="N117" s="150"/>
    </row>
    <row r="118" spans="1:14" x14ac:dyDescent="0.25">
      <c r="A118" s="159">
        <v>107</v>
      </c>
      <c r="B118" s="160">
        <v>1</v>
      </c>
      <c r="C118" s="160">
        <v>11700</v>
      </c>
      <c r="D118" s="160" t="s">
        <v>2982</v>
      </c>
      <c r="E118" s="160">
        <v>540</v>
      </c>
      <c r="F118" s="160" t="s">
        <v>74</v>
      </c>
      <c r="G118" s="148">
        <v>32</v>
      </c>
      <c r="H118" s="152">
        <f>IF(C118=11700,ROUND(VLOOKUP(G118,ThongSo!$F$2:$I$15,4,0)*B118*11.7,3),0)</f>
        <v>73.826999999999998</v>
      </c>
      <c r="I118" s="152">
        <f>IF(F118="Sắt vụn",ROUND(VLOOKUP(G118,ThongSo!$F$2:$I$15,4,0)*B118*E118/1000,3),"-")</f>
        <v>3.407</v>
      </c>
      <c r="L118" s="150"/>
      <c r="M118" s="150"/>
      <c r="N118" s="150"/>
    </row>
    <row r="119" spans="1:14" x14ac:dyDescent="0.25">
      <c r="A119" s="159">
        <v>108</v>
      </c>
      <c r="B119" s="160">
        <v>2</v>
      </c>
      <c r="C119" s="160">
        <v>11700</v>
      </c>
      <c r="D119" s="160" t="s">
        <v>2983</v>
      </c>
      <c r="E119" s="160">
        <v>1080</v>
      </c>
      <c r="F119" s="160" t="s">
        <v>74</v>
      </c>
      <c r="G119" s="148">
        <v>32</v>
      </c>
      <c r="H119" s="152">
        <f>IF(C119=11700,ROUND(VLOOKUP(G119,ThongSo!$F$2:$I$15,4,0)*B119*11.7,3),0)</f>
        <v>147.654</v>
      </c>
      <c r="I119" s="152">
        <f>IF(F119="Sắt vụn",ROUND(VLOOKUP(G119,ThongSo!$F$2:$I$15,4,0)*B119*E119/1000,3),"-")</f>
        <v>13.63</v>
      </c>
      <c r="L119" s="150"/>
      <c r="M119" s="150"/>
      <c r="N119" s="150"/>
    </row>
    <row r="120" spans="1:14" x14ac:dyDescent="0.25">
      <c r="A120" s="159">
        <v>109</v>
      </c>
      <c r="B120" s="160">
        <v>1</v>
      </c>
      <c r="C120" s="160">
        <v>11700</v>
      </c>
      <c r="D120" s="160" t="s">
        <v>2984</v>
      </c>
      <c r="E120" s="160">
        <v>1140</v>
      </c>
      <c r="F120" s="160" t="s">
        <v>74</v>
      </c>
      <c r="G120" s="148">
        <v>32</v>
      </c>
      <c r="H120" s="152">
        <f>IF(C120=11700,ROUND(VLOOKUP(G120,ThongSo!$F$2:$I$15,4,0)*B120*11.7,3),0)</f>
        <v>73.826999999999998</v>
      </c>
      <c r="I120" s="152">
        <f>IF(F120="Sắt vụn",ROUND(VLOOKUP(G120,ThongSo!$F$2:$I$15,4,0)*B120*E120/1000,3),"-")</f>
        <v>7.1929999999999996</v>
      </c>
      <c r="L120" s="150"/>
      <c r="M120" s="150"/>
      <c r="N120" s="150"/>
    </row>
    <row r="121" spans="1:14" x14ac:dyDescent="0.25">
      <c r="A121" s="159">
        <v>110</v>
      </c>
      <c r="B121" s="160">
        <v>3</v>
      </c>
      <c r="C121" s="160">
        <v>11700</v>
      </c>
      <c r="D121" s="160" t="s">
        <v>2985</v>
      </c>
      <c r="E121" s="160">
        <v>1200</v>
      </c>
      <c r="F121" s="160" t="s">
        <v>74</v>
      </c>
      <c r="G121" s="148">
        <v>32</v>
      </c>
      <c r="H121" s="152">
        <f>IF(C121=11700,ROUND(VLOOKUP(G121,ThongSo!$F$2:$I$15,4,0)*B121*11.7,3),0)</f>
        <v>221.48099999999999</v>
      </c>
      <c r="I121" s="152">
        <f>IF(F121="Sắt vụn",ROUND(VLOOKUP(G121,ThongSo!$F$2:$I$15,4,0)*B121*E121/1000,3),"-")</f>
        <v>22.716000000000001</v>
      </c>
      <c r="L121" s="150"/>
      <c r="M121" s="150"/>
      <c r="N121" s="150"/>
    </row>
    <row r="122" spans="1:14" x14ac:dyDescent="0.25">
      <c r="A122" s="159">
        <v>111</v>
      </c>
      <c r="B122" s="160">
        <v>7</v>
      </c>
      <c r="C122" s="160">
        <v>11700</v>
      </c>
      <c r="D122" s="160" t="s">
        <v>2986</v>
      </c>
      <c r="E122" s="160">
        <v>1700</v>
      </c>
      <c r="F122" s="160" t="s">
        <v>75</v>
      </c>
      <c r="G122" s="148">
        <v>32</v>
      </c>
      <c r="H122" s="152">
        <f>IF(C122=11700,ROUND(VLOOKUP(G122,ThongSo!$F$2:$I$15,4,0)*B122*11.7,3),0)</f>
        <v>516.78899999999999</v>
      </c>
      <c r="I122" s="152" t="str">
        <f>IF(F122="Sắt vụn",ROUND(VLOOKUP(G122,ThongSo!$F$2:$I$15,4,0)*B122*E122/1000,3),"-")</f>
        <v>-</v>
      </c>
      <c r="L122" s="150"/>
      <c r="M122" s="150"/>
      <c r="N122" s="150"/>
    </row>
    <row r="123" spans="1:14" x14ac:dyDescent="0.25">
      <c r="A123" s="159">
        <v>112</v>
      </c>
      <c r="B123" s="160">
        <v>6</v>
      </c>
      <c r="C123" s="160">
        <v>11700</v>
      </c>
      <c r="D123" s="160" t="s">
        <v>2987</v>
      </c>
      <c r="E123" s="160">
        <v>1700</v>
      </c>
      <c r="F123" s="160" t="s">
        <v>75</v>
      </c>
      <c r="G123" s="148">
        <v>32</v>
      </c>
      <c r="H123" s="152">
        <f>IF(C123=11700,ROUND(VLOOKUP(G123,ThongSo!$F$2:$I$15,4,0)*B123*11.7,3),0)</f>
        <v>442.96199999999999</v>
      </c>
      <c r="I123" s="152" t="str">
        <f>IF(F123="Sắt vụn",ROUND(VLOOKUP(G123,ThongSo!$F$2:$I$15,4,0)*B123*E123/1000,3),"-")</f>
        <v>-</v>
      </c>
      <c r="L123" s="150"/>
      <c r="M123" s="150"/>
      <c r="N123" s="150"/>
    </row>
    <row r="124" spans="1:14" x14ac:dyDescent="0.25">
      <c r="A124" s="159">
        <v>113</v>
      </c>
      <c r="B124" s="160">
        <v>4</v>
      </c>
      <c r="C124" s="160">
        <v>11700</v>
      </c>
      <c r="D124" s="160" t="s">
        <v>2988</v>
      </c>
      <c r="E124" s="160">
        <v>1730</v>
      </c>
      <c r="F124" s="160" t="s">
        <v>75</v>
      </c>
      <c r="G124" s="148">
        <v>32</v>
      </c>
      <c r="H124" s="152">
        <f>IF(C124=11700,ROUND(VLOOKUP(G124,ThongSo!$F$2:$I$15,4,0)*B124*11.7,3),0)</f>
        <v>295.30799999999999</v>
      </c>
      <c r="I124" s="152" t="str">
        <f>IF(F124="Sắt vụn",ROUND(VLOOKUP(G124,ThongSo!$F$2:$I$15,4,0)*B124*E124/1000,3),"-")</f>
        <v>-</v>
      </c>
      <c r="L124" s="150"/>
      <c r="M124" s="150"/>
      <c r="N124" s="150"/>
    </row>
    <row r="125" spans="1:14" x14ac:dyDescent="0.25">
      <c r="A125" s="159">
        <v>114</v>
      </c>
      <c r="B125" s="160">
        <v>6</v>
      </c>
      <c r="C125" s="160">
        <v>11700</v>
      </c>
      <c r="D125" s="160" t="s">
        <v>2989</v>
      </c>
      <c r="E125" s="160">
        <v>1760</v>
      </c>
      <c r="F125" s="160" t="s">
        <v>75</v>
      </c>
      <c r="G125" s="148">
        <v>32</v>
      </c>
      <c r="H125" s="152">
        <f>IF(C125=11700,ROUND(VLOOKUP(G125,ThongSo!$F$2:$I$15,4,0)*B125*11.7,3),0)</f>
        <v>442.96199999999999</v>
      </c>
      <c r="I125" s="152" t="str">
        <f>IF(F125="Sắt vụn",ROUND(VLOOKUP(G125,ThongSo!$F$2:$I$15,4,0)*B125*E125/1000,3),"-")</f>
        <v>-</v>
      </c>
      <c r="L125" s="150"/>
      <c r="M125" s="150"/>
      <c r="N125" s="150"/>
    </row>
    <row r="126" spans="1:14" x14ac:dyDescent="0.25">
      <c r="A126" s="159">
        <v>115</v>
      </c>
      <c r="B126" s="160">
        <v>6</v>
      </c>
      <c r="C126" s="160">
        <v>11700</v>
      </c>
      <c r="D126" s="160" t="s">
        <v>2990</v>
      </c>
      <c r="E126" s="160">
        <v>1760</v>
      </c>
      <c r="F126" s="160" t="s">
        <v>75</v>
      </c>
      <c r="G126" s="148">
        <v>32</v>
      </c>
      <c r="H126" s="152">
        <f>IF(C126=11700,ROUND(VLOOKUP(G126,ThongSo!$F$2:$I$15,4,0)*B126*11.7,3),0)</f>
        <v>442.96199999999999</v>
      </c>
      <c r="I126" s="152" t="str">
        <f>IF(F126="Sắt vụn",ROUND(VLOOKUP(G126,ThongSo!$F$2:$I$15,4,0)*B126*E126/1000,3),"-")</f>
        <v>-</v>
      </c>
      <c r="L126" s="150"/>
      <c r="M126" s="150"/>
      <c r="N126" s="150"/>
    </row>
    <row r="127" spans="1:14" x14ac:dyDescent="0.25">
      <c r="A127" s="159">
        <v>116</v>
      </c>
      <c r="B127" s="160">
        <v>6</v>
      </c>
      <c r="C127" s="160">
        <v>11700</v>
      </c>
      <c r="D127" s="160" t="s">
        <v>2991</v>
      </c>
      <c r="E127" s="160">
        <v>2330</v>
      </c>
      <c r="F127" s="160" t="s">
        <v>75</v>
      </c>
      <c r="G127" s="148">
        <v>32</v>
      </c>
      <c r="H127" s="152">
        <f>IF(C127=11700,ROUND(VLOOKUP(G127,ThongSo!$F$2:$I$15,4,0)*B127*11.7,3),0)</f>
        <v>442.96199999999999</v>
      </c>
      <c r="I127" s="152" t="str">
        <f>IF(F127="Sắt vụn",ROUND(VLOOKUP(G127,ThongSo!$F$2:$I$15,4,0)*B127*E127/1000,3),"-")</f>
        <v>-</v>
      </c>
      <c r="L127" s="150"/>
      <c r="M127" s="150"/>
      <c r="N127" s="150"/>
    </row>
    <row r="128" spans="1:14" x14ac:dyDescent="0.25">
      <c r="A128" s="159">
        <v>117</v>
      </c>
      <c r="B128" s="160">
        <v>13</v>
      </c>
      <c r="C128" s="160">
        <v>11700</v>
      </c>
      <c r="D128" s="160" t="s">
        <v>2992</v>
      </c>
      <c r="E128" s="160">
        <v>2500</v>
      </c>
      <c r="F128" s="160" t="s">
        <v>75</v>
      </c>
      <c r="G128" s="148">
        <v>32</v>
      </c>
      <c r="H128" s="152">
        <f>IF(C128=11700,ROUND(VLOOKUP(G128,ThongSo!$F$2:$I$15,4,0)*B128*11.7,3),0)</f>
        <v>959.75099999999998</v>
      </c>
      <c r="I128" s="152" t="str">
        <f>IF(F128="Sắt vụn",ROUND(VLOOKUP(G128,ThongSo!$F$2:$I$15,4,0)*B128*E128/1000,3),"-")</f>
        <v>-</v>
      </c>
      <c r="L128" s="150"/>
      <c r="M128" s="150"/>
      <c r="N128" s="150"/>
    </row>
    <row r="129" spans="1:14" x14ac:dyDescent="0.25">
      <c r="A129" s="159">
        <v>118</v>
      </c>
      <c r="B129" s="160">
        <v>6</v>
      </c>
      <c r="C129" s="160">
        <v>11700</v>
      </c>
      <c r="D129" s="160" t="s">
        <v>2993</v>
      </c>
      <c r="E129" s="160">
        <v>2520</v>
      </c>
      <c r="F129" s="160" t="s">
        <v>75</v>
      </c>
      <c r="G129" s="148">
        <v>32</v>
      </c>
      <c r="H129" s="152">
        <f>IF(C129=11700,ROUND(VLOOKUP(G129,ThongSo!$F$2:$I$15,4,0)*B129*11.7,3),0)</f>
        <v>442.96199999999999</v>
      </c>
      <c r="I129" s="152" t="str">
        <f>IF(F129="Sắt vụn",ROUND(VLOOKUP(G129,ThongSo!$F$2:$I$15,4,0)*B129*E129/1000,3),"-")</f>
        <v>-</v>
      </c>
      <c r="L129" s="150"/>
      <c r="M129" s="150"/>
      <c r="N129" s="150"/>
    </row>
    <row r="130" spans="1:14" x14ac:dyDescent="0.25">
      <c r="A130" s="159">
        <v>119</v>
      </c>
      <c r="B130" s="160">
        <v>4</v>
      </c>
      <c r="C130" s="160">
        <v>11700</v>
      </c>
      <c r="D130" s="160" t="s">
        <v>2994</v>
      </c>
      <c r="E130" s="160">
        <v>2690</v>
      </c>
      <c r="F130" s="160" t="s">
        <v>75</v>
      </c>
      <c r="G130" s="148">
        <v>32</v>
      </c>
      <c r="H130" s="152">
        <f>IF(C130=11700,ROUND(VLOOKUP(G130,ThongSo!$F$2:$I$15,4,0)*B130*11.7,3),0)</f>
        <v>295.30799999999999</v>
      </c>
      <c r="I130" s="152" t="str">
        <f>IF(F130="Sắt vụn",ROUND(VLOOKUP(G130,ThongSo!$F$2:$I$15,4,0)*B130*E130/1000,3),"-")</f>
        <v>-</v>
      </c>
      <c r="L130" s="150"/>
      <c r="M130" s="150"/>
      <c r="N130" s="150"/>
    </row>
    <row r="131" spans="1:14" x14ac:dyDescent="0.25">
      <c r="A131" s="159">
        <v>120</v>
      </c>
      <c r="B131" s="160">
        <v>6</v>
      </c>
      <c r="C131" s="160">
        <v>11700</v>
      </c>
      <c r="D131" s="160" t="s">
        <v>2995</v>
      </c>
      <c r="E131" s="160">
        <v>2700</v>
      </c>
      <c r="F131" s="160" t="s">
        <v>75</v>
      </c>
      <c r="G131" s="148">
        <v>32</v>
      </c>
      <c r="H131" s="152">
        <f>IF(C131=11700,ROUND(VLOOKUP(G131,ThongSo!$F$2:$I$15,4,0)*B131*11.7,3),0)</f>
        <v>442.96199999999999</v>
      </c>
      <c r="I131" s="152" t="str">
        <f>IF(F131="Sắt vụn",ROUND(VLOOKUP(G131,ThongSo!$F$2:$I$15,4,0)*B131*E131/1000,3),"-")</f>
        <v>-</v>
      </c>
      <c r="L131" s="150"/>
      <c r="M131" s="150"/>
      <c r="N131" s="150"/>
    </row>
    <row r="132" spans="1:14" x14ac:dyDescent="0.25">
      <c r="A132" s="159">
        <v>121</v>
      </c>
      <c r="B132" s="160">
        <v>4</v>
      </c>
      <c r="C132" s="160">
        <v>11700</v>
      </c>
      <c r="D132" s="160" t="s">
        <v>2996</v>
      </c>
      <c r="E132" s="160">
        <v>2700</v>
      </c>
      <c r="F132" s="160" t="s">
        <v>75</v>
      </c>
      <c r="G132" s="148">
        <v>32</v>
      </c>
      <c r="H132" s="152">
        <f>IF(C132=11700,ROUND(VLOOKUP(G132,ThongSo!$F$2:$I$15,4,0)*B132*11.7,3),0)</f>
        <v>295.30799999999999</v>
      </c>
      <c r="I132" s="152" t="str">
        <f>IF(F132="Sắt vụn",ROUND(VLOOKUP(G132,ThongSo!$F$2:$I$15,4,0)*B132*E132/1000,3),"-")</f>
        <v>-</v>
      </c>
      <c r="L132" s="150"/>
      <c r="M132" s="150"/>
      <c r="N132" s="150"/>
    </row>
    <row r="133" spans="1:14" x14ac:dyDescent="0.25">
      <c r="A133" s="159">
        <v>122</v>
      </c>
      <c r="B133" s="160">
        <v>7</v>
      </c>
      <c r="C133" s="160">
        <v>11700</v>
      </c>
      <c r="D133" s="160" t="s">
        <v>2997</v>
      </c>
      <c r="E133" s="160">
        <v>2700</v>
      </c>
      <c r="F133" s="160" t="s">
        <v>75</v>
      </c>
      <c r="G133" s="148">
        <v>32</v>
      </c>
      <c r="H133" s="152">
        <f>IF(C133=11700,ROUND(VLOOKUP(G133,ThongSo!$F$2:$I$15,4,0)*B133*11.7,3),0)</f>
        <v>516.78899999999999</v>
      </c>
      <c r="I133" s="152" t="str">
        <f>IF(F133="Sắt vụn",ROUND(VLOOKUP(G133,ThongSo!$F$2:$I$15,4,0)*B133*E133/1000,3),"-")</f>
        <v>-</v>
      </c>
      <c r="L133" s="150"/>
      <c r="M133" s="150"/>
      <c r="N133" s="150"/>
    </row>
    <row r="134" spans="1:14" x14ac:dyDescent="0.25">
      <c r="A134" s="159">
        <v>123</v>
      </c>
      <c r="B134" s="160">
        <v>7</v>
      </c>
      <c r="C134" s="160">
        <v>11700</v>
      </c>
      <c r="D134" s="160" t="s">
        <v>2998</v>
      </c>
      <c r="E134" s="160">
        <v>2700</v>
      </c>
      <c r="F134" s="160" t="s">
        <v>75</v>
      </c>
      <c r="G134" s="148">
        <v>32</v>
      </c>
      <c r="H134" s="152">
        <f>IF(C134=11700,ROUND(VLOOKUP(G134,ThongSo!$F$2:$I$15,4,0)*B134*11.7,3),0)</f>
        <v>516.78899999999999</v>
      </c>
      <c r="I134" s="152" t="str">
        <f>IF(F134="Sắt vụn",ROUND(VLOOKUP(G134,ThongSo!$F$2:$I$15,4,0)*B134*E134/1000,3),"-")</f>
        <v>-</v>
      </c>
      <c r="L134" s="150"/>
      <c r="M134" s="150"/>
      <c r="N134" s="150"/>
    </row>
    <row r="135" spans="1:14" x14ac:dyDescent="0.25">
      <c r="A135" s="159">
        <v>124</v>
      </c>
      <c r="B135" s="160">
        <v>13</v>
      </c>
      <c r="C135" s="160">
        <v>11700</v>
      </c>
      <c r="D135" s="160" t="s">
        <v>2999</v>
      </c>
      <c r="E135" s="160">
        <v>2800</v>
      </c>
      <c r="F135" s="160" t="s">
        <v>75</v>
      </c>
      <c r="G135" s="148">
        <v>32</v>
      </c>
      <c r="H135" s="152">
        <f>IF(C135=11700,ROUND(VLOOKUP(G135,ThongSo!$F$2:$I$15,4,0)*B135*11.7,3),0)</f>
        <v>959.75099999999998</v>
      </c>
      <c r="I135" s="152" t="str">
        <f>IF(F135="Sắt vụn",ROUND(VLOOKUP(G135,ThongSo!$F$2:$I$15,4,0)*B135*E135/1000,3),"-")</f>
        <v>-</v>
      </c>
      <c r="L135" s="150"/>
      <c r="M135" s="150"/>
      <c r="N135" s="150"/>
    </row>
    <row r="136" spans="1:14" x14ac:dyDescent="0.25">
      <c r="A136" s="159">
        <v>125</v>
      </c>
      <c r="B136" s="160">
        <v>6</v>
      </c>
      <c r="C136" s="160">
        <v>11700</v>
      </c>
      <c r="D136" s="160" t="s">
        <v>3000</v>
      </c>
      <c r="E136" s="160">
        <v>3070</v>
      </c>
      <c r="F136" s="160" t="s">
        <v>75</v>
      </c>
      <c r="G136" s="148">
        <v>32</v>
      </c>
      <c r="H136" s="152">
        <f>IF(C136=11700,ROUND(VLOOKUP(G136,ThongSo!$F$2:$I$15,4,0)*B136*11.7,3),0)</f>
        <v>442.96199999999999</v>
      </c>
      <c r="I136" s="152" t="str">
        <f>IF(F136="Sắt vụn",ROUND(VLOOKUP(G136,ThongSo!$F$2:$I$15,4,0)*B136*E136/1000,3),"-")</f>
        <v>-</v>
      </c>
      <c r="L136" s="150"/>
      <c r="M136" s="150"/>
      <c r="N136" s="150"/>
    </row>
    <row r="137" spans="1:14" x14ac:dyDescent="0.25">
      <c r="A137" s="159">
        <v>126</v>
      </c>
      <c r="B137" s="160">
        <v>7</v>
      </c>
      <c r="C137" s="160">
        <v>11700</v>
      </c>
      <c r="D137" s="160" t="s">
        <v>3001</v>
      </c>
      <c r="E137" s="160">
        <v>3320</v>
      </c>
      <c r="F137" s="160" t="s">
        <v>75</v>
      </c>
      <c r="G137" s="148">
        <v>32</v>
      </c>
      <c r="H137" s="152">
        <f>IF(C137=11700,ROUND(VLOOKUP(G137,ThongSo!$F$2:$I$15,4,0)*B137*11.7,3),0)</f>
        <v>516.78899999999999</v>
      </c>
      <c r="I137" s="152" t="str">
        <f>IF(F137="Sắt vụn",ROUND(VLOOKUP(G137,ThongSo!$F$2:$I$15,4,0)*B137*E137/1000,3),"-")</f>
        <v>-</v>
      </c>
      <c r="L137" s="150"/>
      <c r="M137" s="150"/>
      <c r="N137" s="150"/>
    </row>
    <row r="138" spans="1:14" x14ac:dyDescent="0.25">
      <c r="A138" s="159">
        <v>127</v>
      </c>
      <c r="B138" s="160">
        <v>12</v>
      </c>
      <c r="C138" s="160">
        <v>11700</v>
      </c>
      <c r="D138" s="160" t="s">
        <v>3002</v>
      </c>
      <c r="E138" s="160">
        <v>3400</v>
      </c>
      <c r="F138" s="160" t="s">
        <v>75</v>
      </c>
      <c r="G138" s="148">
        <v>32</v>
      </c>
      <c r="H138" s="152">
        <f>IF(C138=11700,ROUND(VLOOKUP(G138,ThongSo!$F$2:$I$15,4,0)*B138*11.7,3),0)</f>
        <v>885.92399999999998</v>
      </c>
      <c r="I138" s="152" t="str">
        <f>IF(F138="Sắt vụn",ROUND(VLOOKUP(G138,ThongSo!$F$2:$I$15,4,0)*B138*E138/1000,3),"-")</f>
        <v>-</v>
      </c>
      <c r="L138" s="150"/>
      <c r="M138" s="150"/>
      <c r="N138" s="150"/>
    </row>
    <row r="139" spans="1:14" x14ac:dyDescent="0.25">
      <c r="A139" s="159">
        <v>128</v>
      </c>
      <c r="B139" s="160">
        <v>6</v>
      </c>
      <c r="C139" s="160">
        <v>11700</v>
      </c>
      <c r="D139" s="160" t="s">
        <v>3003</v>
      </c>
      <c r="E139" s="160">
        <v>3500</v>
      </c>
      <c r="F139" s="160" t="s">
        <v>75</v>
      </c>
      <c r="G139" s="148">
        <v>32</v>
      </c>
      <c r="H139" s="152">
        <f>IF(C139=11700,ROUND(VLOOKUP(G139,ThongSo!$F$2:$I$15,4,0)*B139*11.7,3),0)</f>
        <v>442.96199999999999</v>
      </c>
      <c r="I139" s="152" t="str">
        <f>IF(F139="Sắt vụn",ROUND(VLOOKUP(G139,ThongSo!$F$2:$I$15,4,0)*B139*E139/1000,3),"-")</f>
        <v>-</v>
      </c>
      <c r="L139" s="150"/>
      <c r="M139" s="150"/>
      <c r="N139" s="150"/>
    </row>
    <row r="140" spans="1:14" x14ac:dyDescent="0.25">
      <c r="A140" s="159">
        <v>129</v>
      </c>
      <c r="B140" s="160">
        <v>11</v>
      </c>
      <c r="C140" s="160">
        <v>11700</v>
      </c>
      <c r="D140" s="160" t="s">
        <v>3004</v>
      </c>
      <c r="E140" s="160">
        <v>3520</v>
      </c>
      <c r="F140" s="160" t="s">
        <v>75</v>
      </c>
      <c r="G140" s="148">
        <v>32</v>
      </c>
      <c r="H140" s="152">
        <f>IF(C140=11700,ROUND(VLOOKUP(G140,ThongSo!$F$2:$I$15,4,0)*B140*11.7,3),0)</f>
        <v>812.09699999999998</v>
      </c>
      <c r="I140" s="152" t="str">
        <f>IF(F140="Sắt vụn",ROUND(VLOOKUP(G140,ThongSo!$F$2:$I$15,4,0)*B140*E140/1000,3),"-")</f>
        <v>-</v>
      </c>
      <c r="L140" s="150"/>
      <c r="M140" s="150"/>
      <c r="N140" s="150"/>
    </row>
    <row r="141" spans="1:14" x14ac:dyDescent="0.25">
      <c r="A141" s="159">
        <v>130</v>
      </c>
      <c r="B141" s="160">
        <v>9</v>
      </c>
      <c r="C141" s="160">
        <v>11700</v>
      </c>
      <c r="D141" s="160" t="s">
        <v>3005</v>
      </c>
      <c r="E141" s="160">
        <v>3520</v>
      </c>
      <c r="F141" s="160" t="s">
        <v>75</v>
      </c>
      <c r="G141" s="148">
        <v>32</v>
      </c>
      <c r="H141" s="152">
        <f>IF(C141=11700,ROUND(VLOOKUP(G141,ThongSo!$F$2:$I$15,4,0)*B141*11.7,3),0)</f>
        <v>664.44299999999998</v>
      </c>
      <c r="I141" s="152" t="str">
        <f>IF(F141="Sắt vụn",ROUND(VLOOKUP(G141,ThongSo!$F$2:$I$15,4,0)*B141*E141/1000,3),"-")</f>
        <v>-</v>
      </c>
      <c r="L141" s="150"/>
      <c r="M141" s="150"/>
      <c r="N141" s="150"/>
    </row>
    <row r="142" spans="1:14" x14ac:dyDescent="0.25">
      <c r="A142" s="159">
        <v>131</v>
      </c>
      <c r="B142" s="160">
        <v>8</v>
      </c>
      <c r="C142" s="160">
        <v>11700</v>
      </c>
      <c r="D142" s="160" t="s">
        <v>3006</v>
      </c>
      <c r="E142" s="160">
        <v>3520</v>
      </c>
      <c r="F142" s="160" t="s">
        <v>75</v>
      </c>
      <c r="G142" s="148">
        <v>32</v>
      </c>
      <c r="H142" s="152">
        <f>IF(C142=11700,ROUND(VLOOKUP(G142,ThongSo!$F$2:$I$15,4,0)*B142*11.7,3),0)</f>
        <v>590.61599999999999</v>
      </c>
      <c r="I142" s="152" t="str">
        <f>IF(F142="Sắt vụn",ROUND(VLOOKUP(G142,ThongSo!$F$2:$I$15,4,0)*B142*E142/1000,3),"-")</f>
        <v>-</v>
      </c>
      <c r="L142" s="150"/>
      <c r="M142" s="150"/>
      <c r="N142" s="150"/>
    </row>
    <row r="143" spans="1:14" x14ac:dyDescent="0.25">
      <c r="A143" s="159">
        <v>132</v>
      </c>
      <c r="B143" s="160">
        <v>6</v>
      </c>
      <c r="C143" s="160">
        <v>11700</v>
      </c>
      <c r="D143" s="160" t="s">
        <v>3007</v>
      </c>
      <c r="E143" s="160">
        <v>3630</v>
      </c>
      <c r="F143" s="160" t="s">
        <v>75</v>
      </c>
      <c r="G143" s="148">
        <v>32</v>
      </c>
      <c r="H143" s="152">
        <f>IF(C143=11700,ROUND(VLOOKUP(G143,ThongSo!$F$2:$I$15,4,0)*B143*11.7,3),0)</f>
        <v>442.96199999999999</v>
      </c>
      <c r="I143" s="152" t="str">
        <f>IF(F143="Sắt vụn",ROUND(VLOOKUP(G143,ThongSo!$F$2:$I$15,4,0)*B143*E143/1000,3),"-")</f>
        <v>-</v>
      </c>
      <c r="L143" s="150"/>
      <c r="M143" s="150"/>
      <c r="N143" s="150"/>
    </row>
    <row r="144" spans="1:14" x14ac:dyDescent="0.25">
      <c r="A144" s="159">
        <v>133</v>
      </c>
      <c r="B144" s="160">
        <v>6</v>
      </c>
      <c r="C144" s="160">
        <v>11700</v>
      </c>
      <c r="D144" s="160" t="s">
        <v>3008</v>
      </c>
      <c r="E144" s="160">
        <v>3800</v>
      </c>
      <c r="F144" s="160" t="s">
        <v>75</v>
      </c>
      <c r="G144" s="148">
        <v>32</v>
      </c>
      <c r="H144" s="152">
        <f>IF(C144=11700,ROUND(VLOOKUP(G144,ThongSo!$F$2:$I$15,4,0)*B144*11.7,3),0)</f>
        <v>442.96199999999999</v>
      </c>
      <c r="I144" s="152" t="str">
        <f>IF(F144="Sắt vụn",ROUND(VLOOKUP(G144,ThongSo!$F$2:$I$15,4,0)*B144*E144/1000,3),"-")</f>
        <v>-</v>
      </c>
      <c r="L144" s="150"/>
      <c r="M144" s="150"/>
      <c r="N144" s="150"/>
    </row>
    <row r="145" spans="1:14" x14ac:dyDescent="0.25">
      <c r="A145" s="159">
        <v>134</v>
      </c>
      <c r="B145" s="160">
        <v>10</v>
      </c>
      <c r="C145" s="160">
        <v>11700</v>
      </c>
      <c r="D145" s="160" t="s">
        <v>3009</v>
      </c>
      <c r="E145" s="160">
        <v>3850</v>
      </c>
      <c r="F145" s="160" t="s">
        <v>75</v>
      </c>
      <c r="G145" s="148">
        <v>32</v>
      </c>
      <c r="H145" s="152">
        <f>IF(C145=11700,ROUND(VLOOKUP(G145,ThongSo!$F$2:$I$15,4,0)*B145*11.7,3),0)</f>
        <v>738.27</v>
      </c>
      <c r="I145" s="152" t="str">
        <f>IF(F145="Sắt vụn",ROUND(VLOOKUP(G145,ThongSo!$F$2:$I$15,4,0)*B145*E145/1000,3),"-")</f>
        <v>-</v>
      </c>
      <c r="L145" s="150"/>
      <c r="M145" s="150"/>
      <c r="N145" s="150"/>
    </row>
    <row r="146" spans="1:14" x14ac:dyDescent="0.25">
      <c r="A146" s="159">
        <v>135</v>
      </c>
      <c r="B146" s="160">
        <v>1</v>
      </c>
      <c r="C146" s="160">
        <v>11700</v>
      </c>
      <c r="D146" s="160" t="s">
        <v>3010</v>
      </c>
      <c r="E146" s="160">
        <v>3920</v>
      </c>
      <c r="F146" s="160" t="s">
        <v>75</v>
      </c>
      <c r="G146" s="148">
        <v>32</v>
      </c>
      <c r="H146" s="152">
        <f>IF(C146=11700,ROUND(VLOOKUP(G146,ThongSo!$F$2:$I$15,4,0)*B146*11.7,3),0)</f>
        <v>73.826999999999998</v>
      </c>
      <c r="I146" s="152" t="str">
        <f>IF(F146="Sắt vụn",ROUND(VLOOKUP(G146,ThongSo!$F$2:$I$15,4,0)*B146*E146/1000,3),"-")</f>
        <v>-</v>
      </c>
      <c r="L146" s="150"/>
      <c r="M146" s="150"/>
      <c r="N146" s="150"/>
    </row>
    <row r="147" spans="1:14" x14ac:dyDescent="0.25">
      <c r="A147" s="159">
        <v>136</v>
      </c>
      <c r="B147" s="160">
        <v>1</v>
      </c>
      <c r="C147" s="160">
        <v>11700</v>
      </c>
      <c r="D147" s="160" t="s">
        <v>3011</v>
      </c>
      <c r="E147" s="160">
        <v>4280</v>
      </c>
      <c r="F147" s="160" t="s">
        <v>75</v>
      </c>
      <c r="G147" s="148">
        <v>32</v>
      </c>
      <c r="H147" s="152">
        <f>IF(C147=11700,ROUND(VLOOKUP(G147,ThongSo!$F$2:$I$15,4,0)*B147*11.7,3),0)</f>
        <v>73.826999999999998</v>
      </c>
      <c r="I147" s="152" t="str">
        <f>IF(F147="Sắt vụn",ROUND(VLOOKUP(G147,ThongSo!$F$2:$I$15,4,0)*B147*E147/1000,3),"-")</f>
        <v>-</v>
      </c>
      <c r="L147" s="150"/>
      <c r="M147" s="150"/>
      <c r="N147" s="150"/>
    </row>
    <row r="148" spans="1:14" x14ac:dyDescent="0.25">
      <c r="A148" s="159">
        <v>137</v>
      </c>
      <c r="B148" s="160">
        <v>7</v>
      </c>
      <c r="C148" s="160">
        <v>11700</v>
      </c>
      <c r="D148" s="160" t="s">
        <v>3012</v>
      </c>
      <c r="E148" s="160">
        <v>4350</v>
      </c>
      <c r="F148" s="160" t="s">
        <v>75</v>
      </c>
      <c r="G148" s="148">
        <v>32</v>
      </c>
      <c r="H148" s="152">
        <f>IF(C148=11700,ROUND(VLOOKUP(G148,ThongSo!$F$2:$I$15,4,0)*B148*11.7,3),0)</f>
        <v>516.78899999999999</v>
      </c>
      <c r="I148" s="152" t="str">
        <f>IF(F148="Sắt vụn",ROUND(VLOOKUP(G148,ThongSo!$F$2:$I$15,4,0)*B148*E148/1000,3),"-")</f>
        <v>-</v>
      </c>
      <c r="L148" s="150"/>
      <c r="M148" s="150"/>
      <c r="N148" s="150"/>
    </row>
    <row r="149" spans="1:14" x14ac:dyDescent="0.25">
      <c r="A149" s="159">
        <v>138</v>
      </c>
      <c r="B149" s="160">
        <v>9</v>
      </c>
      <c r="C149" s="160">
        <v>11700</v>
      </c>
      <c r="D149" s="160" t="s">
        <v>3013</v>
      </c>
      <c r="E149" s="160">
        <v>4370</v>
      </c>
      <c r="F149" s="160" t="s">
        <v>75</v>
      </c>
      <c r="G149" s="148">
        <v>32</v>
      </c>
      <c r="H149" s="152">
        <f>IF(C149=11700,ROUND(VLOOKUP(G149,ThongSo!$F$2:$I$15,4,0)*B149*11.7,3),0)</f>
        <v>664.44299999999998</v>
      </c>
      <c r="I149" s="152" t="str">
        <f>IF(F149="Sắt vụn",ROUND(VLOOKUP(G149,ThongSo!$F$2:$I$15,4,0)*B149*E149/1000,3),"-")</f>
        <v>-</v>
      </c>
      <c r="L149" s="150"/>
      <c r="M149" s="150"/>
      <c r="N149" s="150"/>
    </row>
    <row r="150" spans="1:14" x14ac:dyDescent="0.25">
      <c r="A150" s="159">
        <v>139</v>
      </c>
      <c r="B150" s="160">
        <v>6</v>
      </c>
      <c r="C150" s="160">
        <v>11700</v>
      </c>
      <c r="D150" s="160" t="s">
        <v>3014</v>
      </c>
      <c r="E150" s="160">
        <v>4450</v>
      </c>
      <c r="F150" s="160" t="s">
        <v>75</v>
      </c>
      <c r="G150" s="148">
        <v>32</v>
      </c>
      <c r="H150" s="152">
        <f>IF(C150=11700,ROUND(VLOOKUP(G150,ThongSo!$F$2:$I$15,4,0)*B150*11.7,3),0)</f>
        <v>442.96199999999999</v>
      </c>
      <c r="I150" s="152" t="str">
        <f>IF(F150="Sắt vụn",ROUND(VLOOKUP(G150,ThongSo!$F$2:$I$15,4,0)*B150*E150/1000,3),"-")</f>
        <v>-</v>
      </c>
      <c r="L150" s="150"/>
      <c r="M150" s="150"/>
      <c r="N150" s="150"/>
    </row>
    <row r="151" spans="1:14" x14ac:dyDescent="0.25">
      <c r="A151" s="159">
        <v>140</v>
      </c>
      <c r="B151" s="160">
        <v>8</v>
      </c>
      <c r="C151" s="160">
        <v>11700</v>
      </c>
      <c r="D151" s="160" t="s">
        <v>3015</v>
      </c>
      <c r="E151" s="160">
        <v>4450</v>
      </c>
      <c r="F151" s="160" t="s">
        <v>75</v>
      </c>
      <c r="G151" s="148">
        <v>32</v>
      </c>
      <c r="H151" s="152">
        <f>IF(C151=11700,ROUND(VLOOKUP(G151,ThongSo!$F$2:$I$15,4,0)*B151*11.7,3),0)</f>
        <v>590.61599999999999</v>
      </c>
      <c r="I151" s="152" t="str">
        <f>IF(F151="Sắt vụn",ROUND(VLOOKUP(G151,ThongSo!$F$2:$I$15,4,0)*B151*E151/1000,3),"-")</f>
        <v>-</v>
      </c>
      <c r="L151" s="150"/>
      <c r="M151" s="150"/>
      <c r="N151" s="150"/>
    </row>
    <row r="152" spans="1:14" x14ac:dyDescent="0.25">
      <c r="A152" s="159">
        <v>141</v>
      </c>
      <c r="B152" s="160">
        <v>1</v>
      </c>
      <c r="C152" s="160">
        <v>11700</v>
      </c>
      <c r="D152" s="160" t="s">
        <v>3016</v>
      </c>
      <c r="E152" s="160">
        <v>4550</v>
      </c>
      <c r="F152" s="160" t="s">
        <v>75</v>
      </c>
      <c r="G152" s="148">
        <v>32</v>
      </c>
      <c r="H152" s="152">
        <f>IF(C152=11700,ROUND(VLOOKUP(G152,ThongSo!$F$2:$I$15,4,0)*B152*11.7,3),0)</f>
        <v>73.826999999999998</v>
      </c>
      <c r="I152" s="152" t="str">
        <f>IF(F152="Sắt vụn",ROUND(VLOOKUP(G152,ThongSo!$F$2:$I$15,4,0)*B152*E152/1000,3),"-")</f>
        <v>-</v>
      </c>
      <c r="L152" s="150"/>
      <c r="M152" s="150"/>
      <c r="N152" s="150"/>
    </row>
    <row r="153" spans="1:14" x14ac:dyDescent="0.25">
      <c r="A153" s="159">
        <v>142</v>
      </c>
      <c r="B153" s="160">
        <v>7</v>
      </c>
      <c r="C153" s="160">
        <v>11700</v>
      </c>
      <c r="D153" s="160" t="s">
        <v>3017</v>
      </c>
      <c r="E153" s="160">
        <v>4550</v>
      </c>
      <c r="F153" s="160" t="s">
        <v>75</v>
      </c>
      <c r="G153" s="148">
        <v>32</v>
      </c>
      <c r="H153" s="152">
        <f>IF(C153=11700,ROUND(VLOOKUP(G153,ThongSo!$F$2:$I$15,4,0)*B153*11.7,3),0)</f>
        <v>516.78899999999999</v>
      </c>
      <c r="I153" s="152" t="str">
        <f>IF(F153="Sắt vụn",ROUND(VLOOKUP(G153,ThongSo!$F$2:$I$15,4,0)*B153*E153/1000,3),"-")</f>
        <v>-</v>
      </c>
      <c r="L153" s="150"/>
      <c r="M153" s="150"/>
      <c r="N153" s="150"/>
    </row>
    <row r="154" spans="1:14" x14ac:dyDescent="0.25">
      <c r="A154" s="159">
        <v>143</v>
      </c>
      <c r="B154" s="160">
        <v>1</v>
      </c>
      <c r="C154" s="160">
        <v>11700</v>
      </c>
      <c r="D154" s="160" t="s">
        <v>3018</v>
      </c>
      <c r="E154" s="160">
        <v>4630</v>
      </c>
      <c r="F154" s="160" t="s">
        <v>75</v>
      </c>
      <c r="G154" s="148">
        <v>32</v>
      </c>
      <c r="H154" s="152">
        <f>IF(C154=11700,ROUND(VLOOKUP(G154,ThongSo!$F$2:$I$15,4,0)*B154*11.7,3),0)</f>
        <v>73.826999999999998</v>
      </c>
      <c r="I154" s="152" t="str">
        <f>IF(F154="Sắt vụn",ROUND(VLOOKUP(G154,ThongSo!$F$2:$I$15,4,0)*B154*E154/1000,3),"-")</f>
        <v>-</v>
      </c>
      <c r="L154" s="150"/>
      <c r="M154" s="150"/>
      <c r="N154" s="150"/>
    </row>
    <row r="155" spans="1:14" x14ac:dyDescent="0.25">
      <c r="A155" s="159">
        <v>144</v>
      </c>
      <c r="B155" s="160">
        <v>7</v>
      </c>
      <c r="C155" s="160">
        <v>11700</v>
      </c>
      <c r="D155" s="160" t="s">
        <v>3019</v>
      </c>
      <c r="E155" s="160">
        <v>4650</v>
      </c>
      <c r="F155" s="160" t="s">
        <v>75</v>
      </c>
      <c r="G155" s="148">
        <v>32</v>
      </c>
      <c r="H155" s="152">
        <f>IF(C155=11700,ROUND(VLOOKUP(G155,ThongSo!$F$2:$I$15,4,0)*B155*11.7,3),0)</f>
        <v>516.78899999999999</v>
      </c>
      <c r="I155" s="152" t="str">
        <f>IF(F155="Sắt vụn",ROUND(VLOOKUP(G155,ThongSo!$F$2:$I$15,4,0)*B155*E155/1000,3),"-")</f>
        <v>-</v>
      </c>
      <c r="L155" s="150"/>
      <c r="M155" s="150"/>
      <c r="N155" s="150"/>
    </row>
    <row r="156" spans="1:14" x14ac:dyDescent="0.25">
      <c r="A156" s="159">
        <v>145</v>
      </c>
      <c r="B156" s="160">
        <v>6</v>
      </c>
      <c r="C156" s="160">
        <v>11700</v>
      </c>
      <c r="D156" s="160" t="s">
        <v>3020</v>
      </c>
      <c r="E156" s="160">
        <v>4830</v>
      </c>
      <c r="F156" s="160" t="s">
        <v>75</v>
      </c>
      <c r="G156" s="148">
        <v>32</v>
      </c>
      <c r="H156" s="152">
        <f>IF(C156=11700,ROUND(VLOOKUP(G156,ThongSo!$F$2:$I$15,4,0)*B156*11.7,3),0)</f>
        <v>442.96199999999999</v>
      </c>
      <c r="I156" s="152" t="str">
        <f>IF(F156="Sắt vụn",ROUND(VLOOKUP(G156,ThongSo!$F$2:$I$15,4,0)*B156*E156/1000,3),"-")</f>
        <v>-</v>
      </c>
      <c r="L156" s="150"/>
      <c r="M156" s="150"/>
      <c r="N156" s="150"/>
    </row>
    <row r="157" spans="1:14" x14ac:dyDescent="0.25">
      <c r="A157" s="159">
        <v>146</v>
      </c>
      <c r="B157" s="160">
        <v>3</v>
      </c>
      <c r="C157" s="160">
        <v>11700</v>
      </c>
      <c r="D157" s="160" t="s">
        <v>3021</v>
      </c>
      <c r="E157" s="160">
        <v>5080</v>
      </c>
      <c r="F157" s="160" t="s">
        <v>75</v>
      </c>
      <c r="G157" s="148">
        <v>32</v>
      </c>
      <c r="H157" s="152">
        <f>IF(C157=11700,ROUND(VLOOKUP(G157,ThongSo!$F$2:$I$15,4,0)*B157*11.7,3),0)</f>
        <v>221.48099999999999</v>
      </c>
      <c r="I157" s="152" t="str">
        <f>IF(F157="Sắt vụn",ROUND(VLOOKUP(G157,ThongSo!$F$2:$I$15,4,0)*B157*E157/1000,3),"-")</f>
        <v>-</v>
      </c>
      <c r="L157" s="150"/>
      <c r="M157" s="150"/>
      <c r="N157" s="150"/>
    </row>
    <row r="158" spans="1:14" x14ac:dyDescent="0.25">
      <c r="A158" s="159">
        <v>147</v>
      </c>
      <c r="B158" s="160">
        <v>5</v>
      </c>
      <c r="C158" s="160">
        <v>11700</v>
      </c>
      <c r="D158" s="160" t="s">
        <v>3022</v>
      </c>
      <c r="E158" s="160">
        <v>5230</v>
      </c>
      <c r="F158" s="160" t="s">
        <v>75</v>
      </c>
      <c r="G158" s="148">
        <v>32</v>
      </c>
      <c r="H158" s="152">
        <f>IF(C158=11700,ROUND(VLOOKUP(G158,ThongSo!$F$2:$I$15,4,0)*B158*11.7,3),0)</f>
        <v>369.13499999999999</v>
      </c>
      <c r="I158" s="152" t="str">
        <f>IF(F158="Sắt vụn",ROUND(VLOOKUP(G158,ThongSo!$F$2:$I$15,4,0)*B158*E158/1000,3),"-")</f>
        <v>-</v>
      </c>
      <c r="L158" s="150"/>
      <c r="M158" s="150"/>
      <c r="N158" s="150"/>
    </row>
    <row r="159" spans="1:14" x14ac:dyDescent="0.25">
      <c r="A159" s="159">
        <v>148</v>
      </c>
      <c r="B159" s="160">
        <v>2</v>
      </c>
      <c r="C159" s="160">
        <v>11700</v>
      </c>
      <c r="D159" s="160" t="s">
        <v>3023</v>
      </c>
      <c r="E159" s="160">
        <v>5230</v>
      </c>
      <c r="F159" s="160" t="s">
        <v>75</v>
      </c>
      <c r="G159" s="148">
        <v>32</v>
      </c>
      <c r="H159" s="152">
        <f>IF(C159=11700,ROUND(VLOOKUP(G159,ThongSo!$F$2:$I$15,4,0)*B159*11.7,3),0)</f>
        <v>147.654</v>
      </c>
      <c r="I159" s="152" t="str">
        <f>IF(F159="Sắt vụn",ROUND(VLOOKUP(G159,ThongSo!$F$2:$I$15,4,0)*B159*E159/1000,3),"-")</f>
        <v>-</v>
      </c>
      <c r="L159" s="150"/>
      <c r="M159" s="150"/>
      <c r="N159" s="150"/>
    </row>
    <row r="160" spans="1:14" x14ac:dyDescent="0.25">
      <c r="A160" s="159">
        <v>149</v>
      </c>
      <c r="B160" s="160">
        <v>1</v>
      </c>
      <c r="C160" s="160">
        <v>11700</v>
      </c>
      <c r="D160" s="160" t="s">
        <v>3024</v>
      </c>
      <c r="E160" s="160">
        <v>6450</v>
      </c>
      <c r="F160" s="160" t="s">
        <v>75</v>
      </c>
      <c r="G160" s="148">
        <v>32</v>
      </c>
      <c r="H160" s="152">
        <f>IF(C160=11700,ROUND(VLOOKUP(G160,ThongSo!$F$2:$I$15,4,0)*B160*11.7,3),0)</f>
        <v>73.826999999999998</v>
      </c>
      <c r="I160" s="152" t="str">
        <f>IF(F160="Sắt vụn",ROUND(VLOOKUP(G160,ThongSo!$F$2:$I$15,4,0)*B160*E160/1000,3),"-")</f>
        <v>-</v>
      </c>
      <c r="L160" s="150"/>
      <c r="M160" s="150"/>
      <c r="N160" s="150"/>
    </row>
    <row r="161" spans="1:14" x14ac:dyDescent="0.25">
      <c r="A161" s="157" t="s">
        <v>80</v>
      </c>
      <c r="B161" s="158"/>
      <c r="C161" s="158"/>
      <c r="D161" s="158"/>
      <c r="E161" s="158"/>
      <c r="F161" s="158"/>
      <c r="G161" s="148"/>
      <c r="H161" s="152">
        <f>IF(C161=11700,ROUND(VLOOKUP(G161,ThongSo!$F$2:$I$15,4,0)*B161*11.7,3),0)</f>
        <v>0</v>
      </c>
      <c r="I161" s="152" t="str">
        <f>IF(F161="Sắt vụn",ROUND(VLOOKUP(G161,ThongSo!$F$2:$I$15,4,0)*B161*E161/1000,3),"-")</f>
        <v>-</v>
      </c>
      <c r="L161" s="150"/>
      <c r="M161" s="150"/>
      <c r="N161" s="150"/>
    </row>
    <row r="162" spans="1:14" x14ac:dyDescent="0.25">
      <c r="A162" s="159" t="s">
        <v>73</v>
      </c>
      <c r="B162" s="160">
        <v>96</v>
      </c>
      <c r="C162" s="160">
        <v>11700</v>
      </c>
      <c r="D162" s="160"/>
      <c r="E162" s="160"/>
      <c r="F162" s="160"/>
      <c r="G162" s="148">
        <v>18</v>
      </c>
      <c r="H162" s="152">
        <f>IF(C162=11700,ROUND(VLOOKUP(G162,ThongSo!$F$2:$I$15,4,0)*B162*11.7,3),0)</f>
        <v>2246.4</v>
      </c>
      <c r="I162" s="152" t="str">
        <f>IF(F162="Sắt vụn",ROUND(VLOOKUP(G162,ThongSo!$F$2:$I$15,4,0)*B162*E162/1000,3),"-")</f>
        <v>-</v>
      </c>
      <c r="L162" s="150"/>
      <c r="M162" s="150"/>
      <c r="N162" s="150"/>
    </row>
    <row r="163" spans="1:14" x14ac:dyDescent="0.25">
      <c r="A163" s="159">
        <v>151</v>
      </c>
      <c r="B163" s="160">
        <v>1</v>
      </c>
      <c r="C163" s="160">
        <v>11700</v>
      </c>
      <c r="D163" s="160" t="s">
        <v>3025</v>
      </c>
      <c r="E163" s="160">
        <v>0</v>
      </c>
      <c r="F163" s="160"/>
      <c r="G163" s="148">
        <v>18</v>
      </c>
      <c r="H163" s="152">
        <f>IF(C163=11700,ROUND(VLOOKUP(G163,ThongSo!$F$2:$I$15,4,0)*B163*11.7,3),0)</f>
        <v>23.4</v>
      </c>
      <c r="I163" s="152" t="str">
        <f>IF(F163="Sắt vụn",ROUND(VLOOKUP(G163,ThongSo!$F$2:$I$15,4,0)*B163*E163/1000,3),"-")</f>
        <v>-</v>
      </c>
      <c r="L163" s="150"/>
      <c r="M163" s="150"/>
      <c r="N163" s="150"/>
    </row>
    <row r="164" spans="1:14" x14ac:dyDescent="0.25">
      <c r="A164" s="159">
        <v>152</v>
      </c>
      <c r="B164" s="160">
        <v>1</v>
      </c>
      <c r="C164" s="160">
        <v>11700</v>
      </c>
      <c r="D164" s="160" t="s">
        <v>3026</v>
      </c>
      <c r="E164" s="160">
        <v>0</v>
      </c>
      <c r="F164" s="160"/>
      <c r="G164" s="148">
        <v>18</v>
      </c>
      <c r="H164" s="152">
        <f>IF(C164=11700,ROUND(VLOOKUP(G164,ThongSo!$F$2:$I$15,4,0)*B164*11.7,3),0)</f>
        <v>23.4</v>
      </c>
      <c r="I164" s="152" t="str">
        <f>IF(F164="Sắt vụn",ROUND(VLOOKUP(G164,ThongSo!$F$2:$I$15,4,0)*B164*E164/1000,3),"-")</f>
        <v>-</v>
      </c>
      <c r="L164" s="150"/>
      <c r="M164" s="150"/>
      <c r="N164" s="150"/>
    </row>
    <row r="165" spans="1:14" x14ac:dyDescent="0.25">
      <c r="A165" s="159">
        <v>153</v>
      </c>
      <c r="B165" s="160">
        <v>1</v>
      </c>
      <c r="C165" s="160">
        <v>11700</v>
      </c>
      <c r="D165" s="160" t="s">
        <v>3027</v>
      </c>
      <c r="E165" s="160">
        <v>20</v>
      </c>
      <c r="F165" s="160" t="s">
        <v>74</v>
      </c>
      <c r="G165" s="148">
        <v>18</v>
      </c>
      <c r="H165" s="152">
        <f>IF(C165=11700,ROUND(VLOOKUP(G165,ThongSo!$F$2:$I$15,4,0)*B165*11.7,3),0)</f>
        <v>23.4</v>
      </c>
      <c r="I165" s="152">
        <f>IF(F165="Sắt vụn",ROUND(VLOOKUP(G165,ThongSo!$F$2:$I$15,4,0)*B165*E165/1000,3),"-")</f>
        <v>0.04</v>
      </c>
      <c r="L165" s="150"/>
      <c r="M165" s="150"/>
      <c r="N165" s="150"/>
    </row>
    <row r="166" spans="1:14" x14ac:dyDescent="0.25">
      <c r="A166" s="159">
        <v>154</v>
      </c>
      <c r="B166" s="160">
        <v>12</v>
      </c>
      <c r="C166" s="160">
        <v>11700</v>
      </c>
      <c r="D166" s="160" t="s">
        <v>3028</v>
      </c>
      <c r="E166" s="160">
        <v>100</v>
      </c>
      <c r="F166" s="160" t="s">
        <v>74</v>
      </c>
      <c r="G166" s="148">
        <v>18</v>
      </c>
      <c r="H166" s="152">
        <f>IF(C166=11700,ROUND(VLOOKUP(G166,ThongSo!$F$2:$I$15,4,0)*B166*11.7,3),0)</f>
        <v>280.8</v>
      </c>
      <c r="I166" s="152">
        <f>IF(F166="Sắt vụn",ROUND(VLOOKUP(G166,ThongSo!$F$2:$I$15,4,0)*B166*E166/1000,3),"-")</f>
        <v>2.4</v>
      </c>
      <c r="L166" s="150"/>
      <c r="M166" s="150"/>
      <c r="N166" s="150"/>
    </row>
    <row r="167" spans="1:14" x14ac:dyDescent="0.25">
      <c r="A167" s="159">
        <v>155</v>
      </c>
      <c r="B167" s="160">
        <v>2</v>
      </c>
      <c r="C167" s="160">
        <v>11700</v>
      </c>
      <c r="D167" s="160" t="s">
        <v>3029</v>
      </c>
      <c r="E167" s="160">
        <v>100</v>
      </c>
      <c r="F167" s="160" t="s">
        <v>74</v>
      </c>
      <c r="G167" s="148">
        <v>18</v>
      </c>
      <c r="H167" s="152">
        <f>IF(C167=11700,ROUND(VLOOKUP(G167,ThongSo!$F$2:$I$15,4,0)*B167*11.7,3),0)</f>
        <v>46.8</v>
      </c>
      <c r="I167" s="152">
        <f>IF(F167="Sắt vụn",ROUND(VLOOKUP(G167,ThongSo!$F$2:$I$15,4,0)*B167*E167/1000,3),"-")</f>
        <v>0.4</v>
      </c>
      <c r="L167" s="150"/>
      <c r="M167" s="150"/>
      <c r="N167" s="150"/>
    </row>
    <row r="168" spans="1:14" x14ac:dyDescent="0.25">
      <c r="A168" s="159">
        <v>156</v>
      </c>
      <c r="B168" s="160">
        <v>1</v>
      </c>
      <c r="C168" s="160">
        <v>11700</v>
      </c>
      <c r="D168" s="160" t="s">
        <v>3030</v>
      </c>
      <c r="E168" s="160">
        <v>160</v>
      </c>
      <c r="F168" s="160" t="s">
        <v>74</v>
      </c>
      <c r="G168" s="148">
        <v>18</v>
      </c>
      <c r="H168" s="152">
        <f>IF(C168=11700,ROUND(VLOOKUP(G168,ThongSo!$F$2:$I$15,4,0)*B168*11.7,3),0)</f>
        <v>23.4</v>
      </c>
      <c r="I168" s="152">
        <f>IF(F168="Sắt vụn",ROUND(VLOOKUP(G168,ThongSo!$F$2:$I$15,4,0)*B168*E168/1000,3),"-")</f>
        <v>0.32</v>
      </c>
      <c r="L168" s="150"/>
      <c r="M168" s="150"/>
      <c r="N168" s="150"/>
    </row>
    <row r="169" spans="1:14" x14ac:dyDescent="0.25">
      <c r="A169" s="159">
        <v>157</v>
      </c>
      <c r="B169" s="160">
        <v>2</v>
      </c>
      <c r="C169" s="160">
        <v>11700</v>
      </c>
      <c r="D169" s="160" t="s">
        <v>3031</v>
      </c>
      <c r="E169" s="160">
        <v>260</v>
      </c>
      <c r="F169" s="160" t="s">
        <v>74</v>
      </c>
      <c r="G169" s="148">
        <v>18</v>
      </c>
      <c r="H169" s="152">
        <f>IF(C169=11700,ROUND(VLOOKUP(G169,ThongSo!$F$2:$I$15,4,0)*B169*11.7,3),0)</f>
        <v>46.8</v>
      </c>
      <c r="I169" s="152">
        <f>IF(F169="Sắt vụn",ROUND(VLOOKUP(G169,ThongSo!$F$2:$I$15,4,0)*B169*E169/1000,3),"-")</f>
        <v>1.04</v>
      </c>
      <c r="L169" s="150"/>
      <c r="M169" s="150"/>
      <c r="N169" s="150"/>
    </row>
    <row r="170" spans="1:14" x14ac:dyDescent="0.25">
      <c r="A170" s="159">
        <v>158</v>
      </c>
      <c r="B170" s="160">
        <v>1</v>
      </c>
      <c r="C170" s="160">
        <v>11700</v>
      </c>
      <c r="D170" s="160" t="s">
        <v>3032</v>
      </c>
      <c r="E170" s="160">
        <v>260</v>
      </c>
      <c r="F170" s="160" t="s">
        <v>74</v>
      </c>
      <c r="G170" s="148">
        <v>18</v>
      </c>
      <c r="H170" s="152">
        <f>IF(C170=11700,ROUND(VLOOKUP(G170,ThongSo!$F$2:$I$15,4,0)*B170*11.7,3),0)</f>
        <v>23.4</v>
      </c>
      <c r="I170" s="152">
        <f>IF(F170="Sắt vụn",ROUND(VLOOKUP(G170,ThongSo!$F$2:$I$15,4,0)*B170*E170/1000,3),"-")</f>
        <v>0.52</v>
      </c>
      <c r="L170" s="150"/>
      <c r="M170" s="150"/>
      <c r="N170" s="150"/>
    </row>
    <row r="171" spans="1:14" x14ac:dyDescent="0.25">
      <c r="A171" s="159">
        <v>159</v>
      </c>
      <c r="B171" s="160">
        <v>2</v>
      </c>
      <c r="C171" s="160">
        <v>11700</v>
      </c>
      <c r="D171" s="160" t="s">
        <v>3033</v>
      </c>
      <c r="E171" s="160">
        <v>260</v>
      </c>
      <c r="F171" s="160" t="s">
        <v>74</v>
      </c>
      <c r="G171" s="148">
        <v>18</v>
      </c>
      <c r="H171" s="152">
        <f>IF(C171=11700,ROUND(VLOOKUP(G171,ThongSo!$F$2:$I$15,4,0)*B171*11.7,3),0)</f>
        <v>46.8</v>
      </c>
      <c r="I171" s="152">
        <f>IF(F171="Sắt vụn",ROUND(VLOOKUP(G171,ThongSo!$F$2:$I$15,4,0)*B171*E171/1000,3),"-")</f>
        <v>1.04</v>
      </c>
      <c r="L171" s="150"/>
      <c r="M171" s="150"/>
      <c r="N171" s="150"/>
    </row>
    <row r="172" spans="1:14" x14ac:dyDescent="0.25">
      <c r="A172" s="159">
        <v>160</v>
      </c>
      <c r="B172" s="160">
        <v>12</v>
      </c>
      <c r="C172" s="160">
        <v>11700</v>
      </c>
      <c r="D172" s="160" t="s">
        <v>3034</v>
      </c>
      <c r="E172" s="160">
        <v>1500</v>
      </c>
      <c r="F172" s="160" t="s">
        <v>75</v>
      </c>
      <c r="G172" s="148">
        <v>18</v>
      </c>
      <c r="H172" s="152">
        <f>IF(C172=11700,ROUND(VLOOKUP(G172,ThongSo!$F$2:$I$15,4,0)*B172*11.7,3),0)</f>
        <v>280.8</v>
      </c>
      <c r="I172" s="152" t="str">
        <f>IF(F172="Sắt vụn",ROUND(VLOOKUP(G172,ThongSo!$F$2:$I$15,4,0)*B172*E172/1000,3),"-")</f>
        <v>-</v>
      </c>
      <c r="L172" s="150"/>
      <c r="M172" s="150"/>
      <c r="N172" s="150"/>
    </row>
    <row r="173" spans="1:14" x14ac:dyDescent="0.25">
      <c r="A173" s="159">
        <v>161</v>
      </c>
      <c r="B173" s="160">
        <v>1</v>
      </c>
      <c r="C173" s="160">
        <v>11700</v>
      </c>
      <c r="D173" s="160" t="s">
        <v>3035</v>
      </c>
      <c r="E173" s="160">
        <v>1570</v>
      </c>
      <c r="F173" s="160" t="s">
        <v>75</v>
      </c>
      <c r="G173" s="148">
        <v>18</v>
      </c>
      <c r="H173" s="152">
        <f>IF(C173=11700,ROUND(VLOOKUP(G173,ThongSo!$F$2:$I$15,4,0)*B173*11.7,3),0)</f>
        <v>23.4</v>
      </c>
      <c r="I173" s="152" t="str">
        <f>IF(F173="Sắt vụn",ROUND(VLOOKUP(G173,ThongSo!$F$2:$I$15,4,0)*B173*E173/1000,3),"-")</f>
        <v>-</v>
      </c>
      <c r="L173" s="150"/>
      <c r="M173" s="150"/>
      <c r="N173" s="150"/>
    </row>
    <row r="174" spans="1:14" x14ac:dyDescent="0.25">
      <c r="A174" s="159">
        <v>162</v>
      </c>
      <c r="B174" s="160">
        <v>2</v>
      </c>
      <c r="C174" s="160">
        <v>11700</v>
      </c>
      <c r="D174" s="160" t="s">
        <v>3036</v>
      </c>
      <c r="E174" s="160">
        <v>1930</v>
      </c>
      <c r="F174" s="160" t="s">
        <v>75</v>
      </c>
      <c r="G174" s="148">
        <v>18</v>
      </c>
      <c r="H174" s="152">
        <f>IF(C174=11700,ROUND(VLOOKUP(G174,ThongSo!$F$2:$I$15,4,0)*B174*11.7,3),0)</f>
        <v>46.8</v>
      </c>
      <c r="I174" s="152" t="str">
        <f>IF(F174="Sắt vụn",ROUND(VLOOKUP(G174,ThongSo!$F$2:$I$15,4,0)*B174*E174/1000,3),"-")</f>
        <v>-</v>
      </c>
      <c r="L174" s="150"/>
      <c r="M174" s="150"/>
      <c r="N174" s="150"/>
    </row>
    <row r="175" spans="1:14" x14ac:dyDescent="0.25">
      <c r="A175" s="159">
        <v>163</v>
      </c>
      <c r="B175" s="160">
        <v>12</v>
      </c>
      <c r="C175" s="160">
        <v>11700</v>
      </c>
      <c r="D175" s="160" t="s">
        <v>3037</v>
      </c>
      <c r="E175" s="160">
        <v>2250</v>
      </c>
      <c r="F175" s="160" t="s">
        <v>75</v>
      </c>
      <c r="G175" s="148">
        <v>18</v>
      </c>
      <c r="H175" s="152">
        <f>IF(C175=11700,ROUND(VLOOKUP(G175,ThongSo!$F$2:$I$15,4,0)*B175*11.7,3),0)</f>
        <v>280.8</v>
      </c>
      <c r="I175" s="152" t="str">
        <f>IF(F175="Sắt vụn",ROUND(VLOOKUP(G175,ThongSo!$F$2:$I$15,4,0)*B175*E175/1000,3),"-")</f>
        <v>-</v>
      </c>
      <c r="L175" s="150"/>
      <c r="M175" s="150"/>
      <c r="N175" s="150"/>
    </row>
    <row r="176" spans="1:14" x14ac:dyDescent="0.25">
      <c r="A176" s="159">
        <v>164</v>
      </c>
      <c r="B176" s="160">
        <v>6</v>
      </c>
      <c r="C176" s="160">
        <v>11700</v>
      </c>
      <c r="D176" s="160" t="s">
        <v>3038</v>
      </c>
      <c r="E176" s="160">
        <v>2800</v>
      </c>
      <c r="F176" s="160" t="s">
        <v>75</v>
      </c>
      <c r="G176" s="148">
        <v>18</v>
      </c>
      <c r="H176" s="152">
        <f>IF(C176=11700,ROUND(VLOOKUP(G176,ThongSo!$F$2:$I$15,4,0)*B176*11.7,3),0)</f>
        <v>140.4</v>
      </c>
      <c r="I176" s="152" t="str">
        <f>IF(F176="Sắt vụn",ROUND(VLOOKUP(G176,ThongSo!$F$2:$I$15,4,0)*B176*E176/1000,3),"-")</f>
        <v>-</v>
      </c>
      <c r="L176" s="150"/>
      <c r="M176" s="150"/>
      <c r="N176" s="150"/>
    </row>
    <row r="177" spans="1:14" x14ac:dyDescent="0.25">
      <c r="A177" s="159">
        <v>165</v>
      </c>
      <c r="B177" s="160">
        <v>3</v>
      </c>
      <c r="C177" s="160">
        <v>11700</v>
      </c>
      <c r="D177" s="160" t="s">
        <v>3039</v>
      </c>
      <c r="E177" s="160">
        <v>4790</v>
      </c>
      <c r="F177" s="160" t="s">
        <v>75</v>
      </c>
      <c r="G177" s="148">
        <v>18</v>
      </c>
      <c r="H177" s="152">
        <f>IF(C177=11700,ROUND(VLOOKUP(G177,ThongSo!$F$2:$I$15,4,0)*B177*11.7,3),0)</f>
        <v>70.2</v>
      </c>
      <c r="I177" s="152" t="str">
        <f>IF(F177="Sắt vụn",ROUND(VLOOKUP(G177,ThongSo!$F$2:$I$15,4,0)*B177*E177/1000,3),"-")</f>
        <v>-</v>
      </c>
      <c r="L177" s="150"/>
      <c r="M177" s="150"/>
      <c r="N177" s="150"/>
    </row>
    <row r="178" spans="1:14" x14ac:dyDescent="0.25">
      <c r="A178" s="157" t="s">
        <v>81</v>
      </c>
      <c r="B178" s="158"/>
      <c r="C178" s="158"/>
      <c r="D178" s="158"/>
      <c r="E178" s="158"/>
      <c r="F178" s="158"/>
      <c r="G178" s="148"/>
      <c r="H178" s="152">
        <f>IF(C178=11700,ROUND(VLOOKUP(G178,ThongSo!$F$2:$I$15,4,0)*B178*11.7,3),0)</f>
        <v>0</v>
      </c>
      <c r="I178" s="152" t="str">
        <f>IF(F178="Sắt vụn",ROUND(VLOOKUP(G178,ThongSo!$F$2:$I$15,4,0)*B178*E178/1000,3),"-")</f>
        <v>-</v>
      </c>
      <c r="L178" s="150"/>
      <c r="M178" s="150"/>
      <c r="N178" s="150"/>
    </row>
    <row r="179" spans="1:14" x14ac:dyDescent="0.25">
      <c r="A179" s="159">
        <v>166</v>
      </c>
      <c r="B179" s="160">
        <v>32</v>
      </c>
      <c r="C179" s="160">
        <v>11700</v>
      </c>
      <c r="D179" s="160" t="s">
        <v>3040</v>
      </c>
      <c r="E179" s="160">
        <v>0</v>
      </c>
      <c r="F179" s="160"/>
      <c r="G179" s="148">
        <v>16</v>
      </c>
      <c r="H179" s="152">
        <f>IF(C179=11700,ROUND(VLOOKUP(G179,ThongSo!$F$2:$I$15,4,0)*B179*11.7,3),0)</f>
        <v>591.55200000000002</v>
      </c>
      <c r="I179" s="152" t="str">
        <f>IF(F179="Sắt vụn",ROUND(VLOOKUP(G179,ThongSo!$F$2:$I$15,4,0)*B179*E179/1000,3),"-")</f>
        <v>-</v>
      </c>
      <c r="L179" s="150"/>
      <c r="M179" s="150"/>
      <c r="N179" s="150"/>
    </row>
    <row r="180" spans="1:14" x14ac:dyDescent="0.25">
      <c r="A180" s="159">
        <v>167</v>
      </c>
      <c r="B180" s="160">
        <v>1</v>
      </c>
      <c r="C180" s="160">
        <v>11700</v>
      </c>
      <c r="D180" s="160" t="s">
        <v>3041</v>
      </c>
      <c r="E180" s="160">
        <v>0</v>
      </c>
      <c r="F180" s="160"/>
      <c r="G180" s="148">
        <v>16</v>
      </c>
      <c r="H180" s="152">
        <f>IF(C180=11700,ROUND(VLOOKUP(G180,ThongSo!$F$2:$I$15,4,0)*B180*11.7,3),0)</f>
        <v>18.486000000000001</v>
      </c>
      <c r="I180" s="152" t="str">
        <f>IF(F180="Sắt vụn",ROUND(VLOOKUP(G180,ThongSo!$F$2:$I$15,4,0)*B180*E180/1000,3),"-")</f>
        <v>-</v>
      </c>
      <c r="L180" s="150"/>
      <c r="M180" s="150"/>
      <c r="N180" s="150"/>
    </row>
    <row r="181" spans="1:14" x14ac:dyDescent="0.25">
      <c r="A181" s="159">
        <v>168</v>
      </c>
      <c r="B181" s="160">
        <v>65</v>
      </c>
      <c r="C181" s="160">
        <v>11700</v>
      </c>
      <c r="D181" s="160" t="s">
        <v>3042</v>
      </c>
      <c r="E181" s="160">
        <v>0</v>
      </c>
      <c r="F181" s="160"/>
      <c r="G181" s="148">
        <v>16</v>
      </c>
      <c r="H181" s="152">
        <f>IF(C181=11700,ROUND(VLOOKUP(G181,ThongSo!$F$2:$I$15,4,0)*B181*11.7,3),0)</f>
        <v>1201.5899999999999</v>
      </c>
      <c r="I181" s="152" t="str">
        <f>IF(F181="Sắt vụn",ROUND(VLOOKUP(G181,ThongSo!$F$2:$I$15,4,0)*B181*E181/1000,3),"-")</f>
        <v>-</v>
      </c>
      <c r="L181" s="150"/>
      <c r="M181" s="150"/>
      <c r="N181" s="150"/>
    </row>
    <row r="182" spans="1:14" x14ac:dyDescent="0.25">
      <c r="A182" s="159">
        <v>169</v>
      </c>
      <c r="B182" s="160">
        <v>3</v>
      </c>
      <c r="C182" s="160">
        <v>11700</v>
      </c>
      <c r="D182" s="160" t="s">
        <v>3043</v>
      </c>
      <c r="E182" s="160">
        <v>0</v>
      </c>
      <c r="F182" s="160"/>
      <c r="G182" s="148">
        <v>16</v>
      </c>
      <c r="H182" s="152">
        <f>IF(C182=11700,ROUND(VLOOKUP(G182,ThongSo!$F$2:$I$15,4,0)*B182*11.7,3),0)</f>
        <v>55.457999999999998</v>
      </c>
      <c r="I182" s="152" t="str">
        <f>IF(F182="Sắt vụn",ROUND(VLOOKUP(G182,ThongSo!$F$2:$I$15,4,0)*B182*E182/1000,3),"-")</f>
        <v>-</v>
      </c>
      <c r="L182" s="150"/>
      <c r="M182" s="150"/>
      <c r="N182" s="150"/>
    </row>
    <row r="183" spans="1:14" x14ac:dyDescent="0.25">
      <c r="A183" s="159">
        <v>170</v>
      </c>
      <c r="B183" s="160">
        <v>68</v>
      </c>
      <c r="C183" s="160">
        <v>11700</v>
      </c>
      <c r="D183" s="160" t="s">
        <v>3044</v>
      </c>
      <c r="E183" s="160">
        <v>10</v>
      </c>
      <c r="F183" s="160" t="s">
        <v>74</v>
      </c>
      <c r="G183" s="148">
        <v>16</v>
      </c>
      <c r="H183" s="152">
        <f>IF(C183=11700,ROUND(VLOOKUP(G183,ThongSo!$F$2:$I$15,4,0)*B183*11.7,3),0)</f>
        <v>1257.048</v>
      </c>
      <c r="I183" s="152">
        <f>IF(F183="Sắt vụn",ROUND(VLOOKUP(G183,ThongSo!$F$2:$I$15,4,0)*B183*E183/1000,3),"-")</f>
        <v>1.0740000000000001</v>
      </c>
      <c r="L183" s="150"/>
      <c r="M183" s="150"/>
      <c r="N183" s="150"/>
    </row>
    <row r="184" spans="1:14" x14ac:dyDescent="0.25">
      <c r="A184" s="159">
        <v>171</v>
      </c>
      <c r="B184" s="160">
        <v>5</v>
      </c>
      <c r="C184" s="160">
        <v>11700</v>
      </c>
      <c r="D184" s="160" t="s">
        <v>3045</v>
      </c>
      <c r="E184" s="160">
        <v>190</v>
      </c>
      <c r="F184" s="160" t="s">
        <v>74</v>
      </c>
      <c r="G184" s="148">
        <v>16</v>
      </c>
      <c r="H184" s="152">
        <f>IF(C184=11700,ROUND(VLOOKUP(G184,ThongSo!$F$2:$I$15,4,0)*B184*11.7,3),0)</f>
        <v>92.43</v>
      </c>
      <c r="I184" s="152">
        <f>IF(F184="Sắt vụn",ROUND(VLOOKUP(G184,ThongSo!$F$2:$I$15,4,0)*B184*E184/1000,3),"-")</f>
        <v>1.5009999999999999</v>
      </c>
      <c r="L184" s="150"/>
      <c r="M184" s="150"/>
      <c r="N184" s="150"/>
    </row>
    <row r="185" spans="1:14" x14ac:dyDescent="0.25">
      <c r="A185" s="159">
        <v>172</v>
      </c>
      <c r="B185" s="160">
        <v>126</v>
      </c>
      <c r="C185" s="160">
        <v>11700</v>
      </c>
      <c r="D185" s="160" t="s">
        <v>3046</v>
      </c>
      <c r="E185" s="160">
        <v>300</v>
      </c>
      <c r="F185" s="160" t="s">
        <v>74</v>
      </c>
      <c r="G185" s="148">
        <v>16</v>
      </c>
      <c r="H185" s="152">
        <f>IF(C185=11700,ROUND(VLOOKUP(G185,ThongSo!$F$2:$I$15,4,0)*B185*11.7,3),0)</f>
        <v>2329.2359999999999</v>
      </c>
      <c r="I185" s="152">
        <f>IF(F185="Sắt vụn",ROUND(VLOOKUP(G185,ThongSo!$F$2:$I$15,4,0)*B185*E185/1000,3),"-")</f>
        <v>59.723999999999997</v>
      </c>
      <c r="L185" s="150"/>
      <c r="M185" s="150"/>
      <c r="N185" s="150"/>
    </row>
    <row r="186" spans="1:14" x14ac:dyDescent="0.25">
      <c r="A186" s="159">
        <v>173</v>
      </c>
      <c r="B186" s="160">
        <v>44</v>
      </c>
      <c r="C186" s="160">
        <v>11700</v>
      </c>
      <c r="D186" s="160" t="s">
        <v>3047</v>
      </c>
      <c r="E186" s="160">
        <v>860</v>
      </c>
      <c r="F186" s="160" t="s">
        <v>75</v>
      </c>
      <c r="G186" s="148">
        <v>16</v>
      </c>
      <c r="H186" s="152">
        <f>IF(C186=11700,ROUND(VLOOKUP(G186,ThongSo!$F$2:$I$15,4,0)*B186*11.7,3),0)</f>
        <v>813.38400000000001</v>
      </c>
      <c r="I186" s="152" t="str">
        <f>IF(F186="Sắt vụn",ROUND(VLOOKUP(G186,ThongSo!$F$2:$I$15,4,0)*B186*E186/1000,3),"-")</f>
        <v>-</v>
      </c>
      <c r="L186" s="150"/>
      <c r="M186" s="150"/>
      <c r="N186" s="150"/>
    </row>
    <row r="187" spans="1:14" x14ac:dyDescent="0.25">
      <c r="A187" s="159">
        <v>174</v>
      </c>
      <c r="B187" s="160">
        <v>1</v>
      </c>
      <c r="C187" s="160">
        <v>11700</v>
      </c>
      <c r="D187" s="160" t="s">
        <v>3048</v>
      </c>
      <c r="E187" s="160">
        <v>900</v>
      </c>
      <c r="F187" s="160" t="s">
        <v>75</v>
      </c>
      <c r="G187" s="148">
        <v>16</v>
      </c>
      <c r="H187" s="152">
        <f>IF(C187=11700,ROUND(VLOOKUP(G187,ThongSo!$F$2:$I$15,4,0)*B187*11.7,3),0)</f>
        <v>18.486000000000001</v>
      </c>
      <c r="I187" s="152" t="str">
        <f>IF(F187="Sắt vụn",ROUND(VLOOKUP(G187,ThongSo!$F$2:$I$15,4,0)*B187*E187/1000,3),"-")</f>
        <v>-</v>
      </c>
      <c r="L187" s="150"/>
      <c r="M187" s="150"/>
      <c r="N187" s="150"/>
    </row>
    <row r="188" spans="1:14" x14ac:dyDescent="0.25">
      <c r="A188" s="159">
        <v>175</v>
      </c>
      <c r="B188" s="160">
        <v>26</v>
      </c>
      <c r="C188" s="160">
        <v>11700</v>
      </c>
      <c r="D188" s="160" t="s">
        <v>3049</v>
      </c>
      <c r="E188" s="160">
        <v>960</v>
      </c>
      <c r="F188" s="160" t="s">
        <v>75</v>
      </c>
      <c r="G188" s="148">
        <v>16</v>
      </c>
      <c r="H188" s="152">
        <f>IF(C188=11700,ROUND(VLOOKUP(G188,ThongSo!$F$2:$I$15,4,0)*B188*11.7,3),0)</f>
        <v>480.63600000000002</v>
      </c>
      <c r="I188" s="152" t="str">
        <f>IF(F188="Sắt vụn",ROUND(VLOOKUP(G188,ThongSo!$F$2:$I$15,4,0)*B188*E188/1000,3),"-")</f>
        <v>-</v>
      </c>
      <c r="L188" s="150"/>
      <c r="M188" s="150"/>
      <c r="N188" s="150"/>
    </row>
    <row r="189" spans="1:14" x14ac:dyDescent="0.25">
      <c r="A189" s="159">
        <v>176</v>
      </c>
      <c r="B189" s="160">
        <v>357</v>
      </c>
      <c r="C189" s="160">
        <v>11700</v>
      </c>
      <c r="D189" s="160" t="s">
        <v>3050</v>
      </c>
      <c r="E189" s="160">
        <v>1020</v>
      </c>
      <c r="F189" s="160" t="s">
        <v>75</v>
      </c>
      <c r="G189" s="148">
        <v>16</v>
      </c>
      <c r="H189" s="152">
        <f>IF(C189=11700,ROUND(VLOOKUP(G189,ThongSo!$F$2:$I$15,4,0)*B189*11.7,3),0)</f>
        <v>6599.5020000000004</v>
      </c>
      <c r="I189" s="152" t="str">
        <f>IF(F189="Sắt vụn",ROUND(VLOOKUP(G189,ThongSo!$F$2:$I$15,4,0)*B189*E189/1000,3),"-")</f>
        <v>-</v>
      </c>
      <c r="L189" s="150"/>
      <c r="M189" s="150"/>
      <c r="N189" s="150"/>
    </row>
    <row r="190" spans="1:14" x14ac:dyDescent="0.25">
      <c r="A190" s="159">
        <v>177</v>
      </c>
      <c r="B190" s="160">
        <v>1</v>
      </c>
      <c r="C190" s="160">
        <v>11700</v>
      </c>
      <c r="D190" s="160" t="s">
        <v>3051</v>
      </c>
      <c r="E190" s="160">
        <v>1020</v>
      </c>
      <c r="F190" s="160" t="s">
        <v>75</v>
      </c>
      <c r="G190" s="148">
        <v>16</v>
      </c>
      <c r="H190" s="152">
        <f>IF(C190=11700,ROUND(VLOOKUP(G190,ThongSo!$F$2:$I$15,4,0)*B190*11.7,3),0)</f>
        <v>18.486000000000001</v>
      </c>
      <c r="I190" s="152" t="str">
        <f>IF(F190="Sắt vụn",ROUND(VLOOKUP(G190,ThongSo!$F$2:$I$15,4,0)*B190*E190/1000,3),"-")</f>
        <v>-</v>
      </c>
      <c r="L190" s="150"/>
      <c r="M190" s="150"/>
      <c r="N190" s="150"/>
    </row>
    <row r="191" spans="1:14" x14ac:dyDescent="0.25">
      <c r="A191" s="159">
        <v>178</v>
      </c>
      <c r="B191" s="160">
        <v>84</v>
      </c>
      <c r="C191" s="160">
        <v>11700</v>
      </c>
      <c r="D191" s="160" t="s">
        <v>3052</v>
      </c>
      <c r="E191" s="160">
        <v>1020</v>
      </c>
      <c r="F191" s="160" t="s">
        <v>75</v>
      </c>
      <c r="G191" s="148">
        <v>16</v>
      </c>
      <c r="H191" s="152">
        <f>IF(C191=11700,ROUND(VLOOKUP(G191,ThongSo!$F$2:$I$15,4,0)*B191*11.7,3),0)</f>
        <v>1552.8240000000001</v>
      </c>
      <c r="I191" s="152" t="str">
        <f>IF(F191="Sắt vụn",ROUND(VLOOKUP(G191,ThongSo!$F$2:$I$15,4,0)*B191*E191/1000,3),"-")</f>
        <v>-</v>
      </c>
      <c r="L191" s="150"/>
      <c r="M191" s="150"/>
      <c r="N191" s="150"/>
    </row>
    <row r="192" spans="1:14" x14ac:dyDescent="0.25">
      <c r="A192" s="159">
        <v>179</v>
      </c>
      <c r="B192" s="160">
        <v>32</v>
      </c>
      <c r="C192" s="160">
        <v>11700</v>
      </c>
      <c r="D192" s="160" t="s">
        <v>3053</v>
      </c>
      <c r="E192" s="160">
        <v>1360</v>
      </c>
      <c r="F192" s="160" t="s">
        <v>75</v>
      </c>
      <c r="G192" s="148">
        <v>16</v>
      </c>
      <c r="H192" s="152">
        <f>IF(C192=11700,ROUND(VLOOKUP(G192,ThongSo!$F$2:$I$15,4,0)*B192*11.7,3),0)</f>
        <v>591.55200000000002</v>
      </c>
      <c r="I192" s="152" t="str">
        <f>IF(F192="Sắt vụn",ROUND(VLOOKUP(G192,ThongSo!$F$2:$I$15,4,0)*B192*E192/1000,3),"-")</f>
        <v>-</v>
      </c>
      <c r="L192" s="150"/>
      <c r="M192" s="150"/>
      <c r="N192" s="150"/>
    </row>
    <row r="193" spans="1:14" x14ac:dyDescent="0.25">
      <c r="A193" s="159">
        <v>180</v>
      </c>
      <c r="B193" s="160">
        <v>1</v>
      </c>
      <c r="C193" s="160">
        <v>11700</v>
      </c>
      <c r="D193" s="160" t="s">
        <v>3054</v>
      </c>
      <c r="E193" s="160">
        <v>1660</v>
      </c>
      <c r="F193" s="160" t="s">
        <v>75</v>
      </c>
      <c r="G193" s="148">
        <v>16</v>
      </c>
      <c r="H193" s="152">
        <f>IF(C193=11700,ROUND(VLOOKUP(G193,ThongSo!$F$2:$I$15,4,0)*B193*11.7,3),0)</f>
        <v>18.486000000000001</v>
      </c>
      <c r="I193" s="152" t="str">
        <f>IF(F193="Sắt vụn",ROUND(VLOOKUP(G193,ThongSo!$F$2:$I$15,4,0)*B193*E193/1000,3),"-")</f>
        <v>-</v>
      </c>
      <c r="L193" s="150"/>
      <c r="M193" s="150"/>
      <c r="N193" s="150"/>
    </row>
    <row r="194" spans="1:14" x14ac:dyDescent="0.25">
      <c r="A194" s="159">
        <v>181</v>
      </c>
      <c r="B194" s="160">
        <v>67</v>
      </c>
      <c r="C194" s="160">
        <v>11700</v>
      </c>
      <c r="D194" s="160" t="s">
        <v>3055</v>
      </c>
      <c r="E194" s="160">
        <v>4330</v>
      </c>
      <c r="F194" s="160" t="s">
        <v>75</v>
      </c>
      <c r="G194" s="148">
        <v>16</v>
      </c>
      <c r="H194" s="152">
        <f>IF(C194=11700,ROUND(VLOOKUP(G194,ThongSo!$F$2:$I$15,4,0)*B194*11.7,3),0)</f>
        <v>1238.5619999999999</v>
      </c>
      <c r="I194" s="152" t="str">
        <f>IF(F194="Sắt vụn",ROUND(VLOOKUP(G194,ThongSo!$F$2:$I$15,4,0)*B194*E194/1000,3),"-")</f>
        <v>-</v>
      </c>
      <c r="L194" s="150"/>
      <c r="M194" s="150"/>
      <c r="N194" s="150"/>
    </row>
    <row r="195" spans="1:14" x14ac:dyDescent="0.25">
      <c r="A195" s="157" t="s">
        <v>82</v>
      </c>
      <c r="B195" s="158"/>
      <c r="C195" s="158"/>
      <c r="D195" s="158"/>
      <c r="E195" s="158"/>
      <c r="F195" s="158"/>
      <c r="G195" s="148"/>
      <c r="H195" s="152">
        <f>IF(C195=11700,ROUND(VLOOKUP(G195,ThongSo!$F$2:$I$15,4,0)*B195*11.7,3),0)</f>
        <v>0</v>
      </c>
      <c r="I195" s="152" t="str">
        <f>IF(F195="Sắt vụn",ROUND(VLOOKUP(G195,ThongSo!$F$2:$I$15,4,0)*B195*E195/1000,3),"-")</f>
        <v>-</v>
      </c>
      <c r="L195" s="150"/>
      <c r="M195" s="150"/>
      <c r="N195" s="150"/>
    </row>
    <row r="196" spans="1:14" x14ac:dyDescent="0.25">
      <c r="A196" s="159" t="s">
        <v>73</v>
      </c>
      <c r="B196" s="160">
        <v>234</v>
      </c>
      <c r="C196" s="160">
        <v>11700</v>
      </c>
      <c r="D196" s="160"/>
      <c r="E196" s="160"/>
      <c r="F196" s="160"/>
      <c r="G196" s="148">
        <v>14</v>
      </c>
      <c r="H196" s="152">
        <f>IF(C196=11700,ROUND(VLOOKUP(G196,ThongSo!$F$2:$I$15,4,0)*B196*11.7,3),0)</f>
        <v>3312.7379999999998</v>
      </c>
      <c r="I196" s="152" t="str">
        <f>IF(F196="Sắt vụn",ROUND(VLOOKUP(G196,ThongSo!$F$2:$I$15,4,0)*B196*E196/1000,3),"-")</f>
        <v>-</v>
      </c>
      <c r="L196" s="150"/>
      <c r="M196" s="150"/>
      <c r="N196" s="150"/>
    </row>
    <row r="197" spans="1:14" x14ac:dyDescent="0.25">
      <c r="A197" s="159">
        <v>183</v>
      </c>
      <c r="B197" s="160">
        <v>15</v>
      </c>
      <c r="C197" s="160">
        <v>11700</v>
      </c>
      <c r="D197" s="160" t="s">
        <v>3056</v>
      </c>
      <c r="E197" s="160">
        <v>0</v>
      </c>
      <c r="F197" s="160"/>
      <c r="G197" s="148">
        <v>14</v>
      </c>
      <c r="H197" s="152">
        <f>IF(C197=11700,ROUND(VLOOKUP(G197,ThongSo!$F$2:$I$15,4,0)*B197*11.7,3),0)</f>
        <v>212.35499999999999</v>
      </c>
      <c r="I197" s="152" t="str">
        <f>IF(F197="Sắt vụn",ROUND(VLOOKUP(G197,ThongSo!$F$2:$I$15,4,0)*B197*E197/1000,3),"-")</f>
        <v>-</v>
      </c>
      <c r="L197" s="150"/>
      <c r="M197" s="150"/>
      <c r="N197" s="150"/>
    </row>
    <row r="198" spans="1:14" x14ac:dyDescent="0.25">
      <c r="A198" s="159">
        <v>184</v>
      </c>
      <c r="B198" s="160">
        <v>21</v>
      </c>
      <c r="C198" s="160">
        <v>11700</v>
      </c>
      <c r="D198" s="160" t="s">
        <v>3057</v>
      </c>
      <c r="E198" s="160">
        <v>0</v>
      </c>
      <c r="F198" s="160"/>
      <c r="G198" s="148">
        <v>14</v>
      </c>
      <c r="H198" s="152">
        <f>IF(C198=11700,ROUND(VLOOKUP(G198,ThongSo!$F$2:$I$15,4,0)*B198*11.7,3),0)</f>
        <v>297.29700000000003</v>
      </c>
      <c r="I198" s="152" t="str">
        <f>IF(F198="Sắt vụn",ROUND(VLOOKUP(G198,ThongSo!$F$2:$I$15,4,0)*B198*E198/1000,3),"-")</f>
        <v>-</v>
      </c>
      <c r="L198" s="150"/>
      <c r="M198" s="150"/>
      <c r="N198" s="150"/>
    </row>
    <row r="199" spans="1:14" x14ac:dyDescent="0.25">
      <c r="A199" s="159">
        <v>185</v>
      </c>
      <c r="B199" s="160">
        <v>6</v>
      </c>
      <c r="C199" s="160">
        <v>11700</v>
      </c>
      <c r="D199" s="160" t="s">
        <v>3058</v>
      </c>
      <c r="E199" s="160">
        <v>0</v>
      </c>
      <c r="F199" s="160"/>
      <c r="G199" s="148">
        <v>14</v>
      </c>
      <c r="H199" s="152">
        <f>IF(C199=11700,ROUND(VLOOKUP(G199,ThongSo!$F$2:$I$15,4,0)*B199*11.7,3),0)</f>
        <v>84.941999999999993</v>
      </c>
      <c r="I199" s="152" t="str">
        <f>IF(F199="Sắt vụn",ROUND(VLOOKUP(G199,ThongSo!$F$2:$I$15,4,0)*B199*E199/1000,3),"-")</f>
        <v>-</v>
      </c>
      <c r="L199" s="150"/>
      <c r="M199" s="150"/>
      <c r="N199" s="150"/>
    </row>
    <row r="200" spans="1:14" x14ac:dyDescent="0.25">
      <c r="A200" s="159">
        <v>186</v>
      </c>
      <c r="B200" s="160">
        <v>42</v>
      </c>
      <c r="C200" s="160">
        <v>11700</v>
      </c>
      <c r="D200" s="160" t="s">
        <v>3059</v>
      </c>
      <c r="E200" s="160">
        <v>0</v>
      </c>
      <c r="F200" s="160"/>
      <c r="G200" s="148">
        <v>14</v>
      </c>
      <c r="H200" s="152">
        <f>IF(C200=11700,ROUND(VLOOKUP(G200,ThongSo!$F$2:$I$15,4,0)*B200*11.7,3),0)</f>
        <v>594.59400000000005</v>
      </c>
      <c r="I200" s="152" t="str">
        <f>IF(F200="Sắt vụn",ROUND(VLOOKUP(G200,ThongSo!$F$2:$I$15,4,0)*B200*E200/1000,3),"-")</f>
        <v>-</v>
      </c>
      <c r="L200" s="150"/>
      <c r="M200" s="150"/>
      <c r="N200" s="150"/>
    </row>
    <row r="201" spans="1:14" x14ac:dyDescent="0.25">
      <c r="A201" s="159">
        <v>187</v>
      </c>
      <c r="B201" s="160">
        <v>6</v>
      </c>
      <c r="C201" s="160">
        <v>11700</v>
      </c>
      <c r="D201" s="160" t="s">
        <v>3060</v>
      </c>
      <c r="E201" s="160">
        <v>0</v>
      </c>
      <c r="F201" s="160"/>
      <c r="G201" s="148">
        <v>14</v>
      </c>
      <c r="H201" s="152">
        <f>IF(C201=11700,ROUND(VLOOKUP(G201,ThongSo!$F$2:$I$15,4,0)*B201*11.7,3),0)</f>
        <v>84.941999999999993</v>
      </c>
      <c r="I201" s="152" t="str">
        <f>IF(F201="Sắt vụn",ROUND(VLOOKUP(G201,ThongSo!$F$2:$I$15,4,0)*B201*E201/1000,3),"-")</f>
        <v>-</v>
      </c>
      <c r="L201" s="150"/>
      <c r="M201" s="150"/>
      <c r="N201" s="150"/>
    </row>
    <row r="202" spans="1:14" x14ac:dyDescent="0.25">
      <c r="A202" s="159">
        <v>188</v>
      </c>
      <c r="B202" s="160">
        <v>24</v>
      </c>
      <c r="C202" s="160">
        <v>11700</v>
      </c>
      <c r="D202" s="160" t="s">
        <v>3061</v>
      </c>
      <c r="E202" s="160">
        <v>0</v>
      </c>
      <c r="F202" s="160"/>
      <c r="G202" s="148">
        <v>14</v>
      </c>
      <c r="H202" s="152">
        <f>IF(C202=11700,ROUND(VLOOKUP(G202,ThongSo!$F$2:$I$15,4,0)*B202*11.7,3),0)</f>
        <v>339.76799999999997</v>
      </c>
      <c r="I202" s="152" t="str">
        <f>IF(F202="Sắt vụn",ROUND(VLOOKUP(G202,ThongSo!$F$2:$I$15,4,0)*B202*E202/1000,3),"-")</f>
        <v>-</v>
      </c>
      <c r="L202" s="150"/>
      <c r="M202" s="150"/>
      <c r="N202" s="150"/>
    </row>
    <row r="203" spans="1:14" x14ac:dyDescent="0.25">
      <c r="A203" s="159">
        <v>189</v>
      </c>
      <c r="B203" s="160">
        <v>24</v>
      </c>
      <c r="C203" s="160">
        <v>11700</v>
      </c>
      <c r="D203" s="160" t="s">
        <v>3062</v>
      </c>
      <c r="E203" s="160">
        <v>0</v>
      </c>
      <c r="F203" s="160"/>
      <c r="G203" s="148">
        <v>14</v>
      </c>
      <c r="H203" s="152">
        <f>IF(C203=11700,ROUND(VLOOKUP(G203,ThongSo!$F$2:$I$15,4,0)*B203*11.7,3),0)</f>
        <v>339.76799999999997</v>
      </c>
      <c r="I203" s="152" t="str">
        <f>IF(F203="Sắt vụn",ROUND(VLOOKUP(G203,ThongSo!$F$2:$I$15,4,0)*B203*E203/1000,3),"-")</f>
        <v>-</v>
      </c>
      <c r="L203" s="150"/>
      <c r="M203" s="150"/>
      <c r="N203" s="150"/>
    </row>
    <row r="204" spans="1:14" x14ac:dyDescent="0.25">
      <c r="A204" s="159">
        <v>190</v>
      </c>
      <c r="B204" s="160">
        <v>33</v>
      </c>
      <c r="C204" s="160">
        <v>11700</v>
      </c>
      <c r="D204" s="160" t="s">
        <v>3063</v>
      </c>
      <c r="E204" s="160">
        <v>0</v>
      </c>
      <c r="F204" s="160"/>
      <c r="G204" s="148">
        <v>14</v>
      </c>
      <c r="H204" s="152">
        <f>IF(C204=11700,ROUND(VLOOKUP(G204,ThongSo!$F$2:$I$15,4,0)*B204*11.7,3),0)</f>
        <v>467.18099999999998</v>
      </c>
      <c r="I204" s="152" t="str">
        <f>IF(F204="Sắt vụn",ROUND(VLOOKUP(G204,ThongSo!$F$2:$I$15,4,0)*B204*E204/1000,3),"-")</f>
        <v>-</v>
      </c>
      <c r="L204" s="150"/>
      <c r="M204" s="150"/>
      <c r="N204" s="150"/>
    </row>
    <row r="205" spans="1:14" x14ac:dyDescent="0.25">
      <c r="A205" s="159">
        <v>191</v>
      </c>
      <c r="B205" s="160">
        <v>15</v>
      </c>
      <c r="C205" s="160">
        <v>11700</v>
      </c>
      <c r="D205" s="160" t="s">
        <v>3064</v>
      </c>
      <c r="E205" s="160">
        <v>0</v>
      </c>
      <c r="F205" s="160"/>
      <c r="G205" s="148">
        <v>14</v>
      </c>
      <c r="H205" s="152">
        <f>IF(C205=11700,ROUND(VLOOKUP(G205,ThongSo!$F$2:$I$15,4,0)*B205*11.7,3),0)</f>
        <v>212.35499999999999</v>
      </c>
      <c r="I205" s="152" t="str">
        <f>IF(F205="Sắt vụn",ROUND(VLOOKUP(G205,ThongSo!$F$2:$I$15,4,0)*B205*E205/1000,3),"-")</f>
        <v>-</v>
      </c>
      <c r="L205" s="150"/>
      <c r="M205" s="150"/>
      <c r="N205" s="150"/>
    </row>
    <row r="206" spans="1:14" x14ac:dyDescent="0.25">
      <c r="A206" s="159">
        <v>192</v>
      </c>
      <c r="B206" s="160">
        <v>15</v>
      </c>
      <c r="C206" s="160">
        <v>11700</v>
      </c>
      <c r="D206" s="160" t="s">
        <v>3065</v>
      </c>
      <c r="E206" s="160">
        <v>0</v>
      </c>
      <c r="F206" s="160"/>
      <c r="G206" s="148">
        <v>14</v>
      </c>
      <c r="H206" s="152">
        <f>IF(C206=11700,ROUND(VLOOKUP(G206,ThongSo!$F$2:$I$15,4,0)*B206*11.7,3),0)</f>
        <v>212.35499999999999</v>
      </c>
      <c r="I206" s="152" t="str">
        <f>IF(F206="Sắt vụn",ROUND(VLOOKUP(G206,ThongSo!$F$2:$I$15,4,0)*B206*E206/1000,3),"-")</f>
        <v>-</v>
      </c>
      <c r="L206" s="150"/>
      <c r="M206" s="150"/>
      <c r="N206" s="150"/>
    </row>
    <row r="207" spans="1:14" x14ac:dyDescent="0.25">
      <c r="A207" s="159">
        <v>193</v>
      </c>
      <c r="B207" s="160">
        <v>81</v>
      </c>
      <c r="C207" s="160">
        <v>11700</v>
      </c>
      <c r="D207" s="160" t="s">
        <v>3066</v>
      </c>
      <c r="E207" s="160">
        <v>10</v>
      </c>
      <c r="F207" s="160" t="s">
        <v>74</v>
      </c>
      <c r="G207" s="148">
        <v>14</v>
      </c>
      <c r="H207" s="152">
        <f>IF(C207=11700,ROUND(VLOOKUP(G207,ThongSo!$F$2:$I$15,4,0)*B207*11.7,3),0)</f>
        <v>1146.7170000000001</v>
      </c>
      <c r="I207" s="152">
        <f>IF(F207="Sắt vụn",ROUND(VLOOKUP(G207,ThongSo!$F$2:$I$15,4,0)*B207*E207/1000,3),"-")</f>
        <v>0.98</v>
      </c>
      <c r="L207" s="150"/>
      <c r="M207" s="150"/>
      <c r="N207" s="150"/>
    </row>
    <row r="208" spans="1:14" x14ac:dyDescent="0.25">
      <c r="A208" s="159">
        <v>194</v>
      </c>
      <c r="B208" s="160">
        <v>17</v>
      </c>
      <c r="C208" s="160">
        <v>11700</v>
      </c>
      <c r="D208" s="160" t="s">
        <v>3067</v>
      </c>
      <c r="E208" s="160">
        <v>10</v>
      </c>
      <c r="F208" s="160" t="s">
        <v>74</v>
      </c>
      <c r="G208" s="148">
        <v>14</v>
      </c>
      <c r="H208" s="152">
        <f>IF(C208=11700,ROUND(VLOOKUP(G208,ThongSo!$F$2:$I$15,4,0)*B208*11.7,3),0)</f>
        <v>240.66900000000001</v>
      </c>
      <c r="I208" s="152">
        <f>IF(F208="Sắt vụn",ROUND(VLOOKUP(G208,ThongSo!$F$2:$I$15,4,0)*B208*E208/1000,3),"-")</f>
        <v>0.20599999999999999</v>
      </c>
      <c r="L208" s="150"/>
      <c r="M208" s="150"/>
      <c r="N208" s="150"/>
    </row>
    <row r="209" spans="1:14" x14ac:dyDescent="0.25">
      <c r="A209" s="159">
        <v>195</v>
      </c>
      <c r="B209" s="160">
        <v>21</v>
      </c>
      <c r="C209" s="160">
        <v>11700</v>
      </c>
      <c r="D209" s="160" t="s">
        <v>3068</v>
      </c>
      <c r="E209" s="160">
        <v>10</v>
      </c>
      <c r="F209" s="160" t="s">
        <v>74</v>
      </c>
      <c r="G209" s="148">
        <v>14</v>
      </c>
      <c r="H209" s="152">
        <f>IF(C209=11700,ROUND(VLOOKUP(G209,ThongSo!$F$2:$I$15,4,0)*B209*11.7,3),0)</f>
        <v>297.29700000000003</v>
      </c>
      <c r="I209" s="152">
        <f>IF(F209="Sắt vụn",ROUND(VLOOKUP(G209,ThongSo!$F$2:$I$15,4,0)*B209*E209/1000,3),"-")</f>
        <v>0.254</v>
      </c>
      <c r="L209" s="150"/>
      <c r="M209" s="150"/>
      <c r="N209" s="150"/>
    </row>
    <row r="210" spans="1:14" x14ac:dyDescent="0.25">
      <c r="A210" s="159">
        <v>196</v>
      </c>
      <c r="B210" s="160">
        <v>3</v>
      </c>
      <c r="C210" s="160">
        <v>11700</v>
      </c>
      <c r="D210" s="160" t="s">
        <v>3069</v>
      </c>
      <c r="E210" s="160">
        <v>10</v>
      </c>
      <c r="F210" s="160" t="s">
        <v>74</v>
      </c>
      <c r="G210" s="148">
        <v>14</v>
      </c>
      <c r="H210" s="152">
        <f>IF(C210=11700,ROUND(VLOOKUP(G210,ThongSo!$F$2:$I$15,4,0)*B210*11.7,3),0)</f>
        <v>42.470999999999997</v>
      </c>
      <c r="I210" s="152">
        <f>IF(F210="Sắt vụn",ROUND(VLOOKUP(G210,ThongSo!$F$2:$I$15,4,0)*B210*E210/1000,3),"-")</f>
        <v>3.5999999999999997E-2</v>
      </c>
      <c r="L210" s="150"/>
      <c r="M210" s="150"/>
      <c r="N210" s="150"/>
    </row>
    <row r="211" spans="1:14" x14ac:dyDescent="0.25">
      <c r="A211" s="159">
        <v>197</v>
      </c>
      <c r="B211" s="160">
        <v>15</v>
      </c>
      <c r="C211" s="160">
        <v>11700</v>
      </c>
      <c r="D211" s="160" t="s">
        <v>3070</v>
      </c>
      <c r="E211" s="160">
        <v>20</v>
      </c>
      <c r="F211" s="160" t="s">
        <v>74</v>
      </c>
      <c r="G211" s="148">
        <v>14</v>
      </c>
      <c r="H211" s="152">
        <f>IF(C211=11700,ROUND(VLOOKUP(G211,ThongSo!$F$2:$I$15,4,0)*B211*11.7,3),0)</f>
        <v>212.35499999999999</v>
      </c>
      <c r="I211" s="152">
        <f>IF(F211="Sắt vụn",ROUND(VLOOKUP(G211,ThongSo!$F$2:$I$15,4,0)*B211*E211/1000,3),"-")</f>
        <v>0.36299999999999999</v>
      </c>
      <c r="L211" s="150"/>
      <c r="M211" s="150"/>
      <c r="N211" s="150"/>
    </row>
    <row r="212" spans="1:14" x14ac:dyDescent="0.25">
      <c r="A212" s="159">
        <v>198</v>
      </c>
      <c r="B212" s="160">
        <v>58</v>
      </c>
      <c r="C212" s="160">
        <v>11700</v>
      </c>
      <c r="D212" s="160" t="s">
        <v>3071</v>
      </c>
      <c r="E212" s="160">
        <v>20</v>
      </c>
      <c r="F212" s="160" t="s">
        <v>74</v>
      </c>
      <c r="G212" s="148">
        <v>14</v>
      </c>
      <c r="H212" s="152">
        <f>IF(C212=11700,ROUND(VLOOKUP(G212,ThongSo!$F$2:$I$15,4,0)*B212*11.7,3),0)</f>
        <v>821.10599999999999</v>
      </c>
      <c r="I212" s="152">
        <f>IF(F212="Sắt vụn",ROUND(VLOOKUP(G212,ThongSo!$F$2:$I$15,4,0)*B212*E212/1000,3),"-")</f>
        <v>1.4039999999999999</v>
      </c>
      <c r="L212" s="150"/>
      <c r="M212" s="150"/>
      <c r="N212" s="150"/>
    </row>
    <row r="213" spans="1:14" x14ac:dyDescent="0.25">
      <c r="A213" s="159">
        <v>199</v>
      </c>
      <c r="B213" s="160">
        <v>1</v>
      </c>
      <c r="C213" s="160">
        <v>11700</v>
      </c>
      <c r="D213" s="160" t="s">
        <v>3072</v>
      </c>
      <c r="E213" s="160">
        <v>20</v>
      </c>
      <c r="F213" s="160" t="s">
        <v>74</v>
      </c>
      <c r="G213" s="148">
        <v>14</v>
      </c>
      <c r="H213" s="152">
        <f>IF(C213=11700,ROUND(VLOOKUP(G213,ThongSo!$F$2:$I$15,4,0)*B213*11.7,3),0)</f>
        <v>14.157</v>
      </c>
      <c r="I213" s="152">
        <f>IF(F213="Sắt vụn",ROUND(VLOOKUP(G213,ThongSo!$F$2:$I$15,4,0)*B213*E213/1000,3),"-")</f>
        <v>2.4E-2</v>
      </c>
      <c r="L213" s="150"/>
      <c r="M213" s="150"/>
      <c r="N213" s="150"/>
    </row>
    <row r="214" spans="1:14" x14ac:dyDescent="0.25">
      <c r="A214" s="159">
        <v>200</v>
      </c>
      <c r="B214" s="160">
        <v>6</v>
      </c>
      <c r="C214" s="160">
        <v>11700</v>
      </c>
      <c r="D214" s="160" t="s">
        <v>3073</v>
      </c>
      <c r="E214" s="160">
        <v>20</v>
      </c>
      <c r="F214" s="160" t="s">
        <v>74</v>
      </c>
      <c r="G214" s="148">
        <v>14</v>
      </c>
      <c r="H214" s="152">
        <f>IF(C214=11700,ROUND(VLOOKUP(G214,ThongSo!$F$2:$I$15,4,0)*B214*11.7,3),0)</f>
        <v>84.941999999999993</v>
      </c>
      <c r="I214" s="152">
        <f>IF(F214="Sắt vụn",ROUND(VLOOKUP(G214,ThongSo!$F$2:$I$15,4,0)*B214*E214/1000,3),"-")</f>
        <v>0.14499999999999999</v>
      </c>
      <c r="L214" s="150"/>
      <c r="M214" s="150"/>
      <c r="N214" s="150"/>
    </row>
    <row r="215" spans="1:14" x14ac:dyDescent="0.25">
      <c r="A215" s="159">
        <v>201</v>
      </c>
      <c r="B215" s="160">
        <v>82</v>
      </c>
      <c r="C215" s="160">
        <v>11700</v>
      </c>
      <c r="D215" s="160" t="s">
        <v>3074</v>
      </c>
      <c r="E215" s="160">
        <v>20</v>
      </c>
      <c r="F215" s="160" t="s">
        <v>74</v>
      </c>
      <c r="G215" s="148">
        <v>14</v>
      </c>
      <c r="H215" s="152">
        <f>IF(C215=11700,ROUND(VLOOKUP(G215,ThongSo!$F$2:$I$15,4,0)*B215*11.7,3),0)</f>
        <v>1160.874</v>
      </c>
      <c r="I215" s="152">
        <f>IF(F215="Sắt vụn",ROUND(VLOOKUP(G215,ThongSo!$F$2:$I$15,4,0)*B215*E215/1000,3),"-")</f>
        <v>1.984</v>
      </c>
      <c r="L215" s="150"/>
      <c r="M215" s="150"/>
      <c r="N215" s="150"/>
    </row>
    <row r="216" spans="1:14" x14ac:dyDescent="0.25">
      <c r="A216" s="159">
        <v>202</v>
      </c>
      <c r="B216" s="160">
        <v>7</v>
      </c>
      <c r="C216" s="160">
        <v>11700</v>
      </c>
      <c r="D216" s="160" t="s">
        <v>3075</v>
      </c>
      <c r="E216" s="160">
        <v>40</v>
      </c>
      <c r="F216" s="160" t="s">
        <v>74</v>
      </c>
      <c r="G216" s="148">
        <v>14</v>
      </c>
      <c r="H216" s="152">
        <f>IF(C216=11700,ROUND(VLOOKUP(G216,ThongSo!$F$2:$I$15,4,0)*B216*11.7,3),0)</f>
        <v>99.099000000000004</v>
      </c>
      <c r="I216" s="152">
        <f>IF(F216="Sắt vụn",ROUND(VLOOKUP(G216,ThongSo!$F$2:$I$15,4,0)*B216*E216/1000,3),"-")</f>
        <v>0.33900000000000002</v>
      </c>
      <c r="L216" s="150"/>
      <c r="M216" s="150"/>
      <c r="N216" s="150"/>
    </row>
    <row r="217" spans="1:14" x14ac:dyDescent="0.25">
      <c r="A217" s="159">
        <v>203</v>
      </c>
      <c r="B217" s="160">
        <v>67</v>
      </c>
      <c r="C217" s="160">
        <v>11700</v>
      </c>
      <c r="D217" s="160" t="s">
        <v>3076</v>
      </c>
      <c r="E217" s="160">
        <v>40</v>
      </c>
      <c r="F217" s="160" t="s">
        <v>74</v>
      </c>
      <c r="G217" s="148">
        <v>14</v>
      </c>
      <c r="H217" s="152">
        <f>IF(C217=11700,ROUND(VLOOKUP(G217,ThongSo!$F$2:$I$15,4,0)*B217*11.7,3),0)</f>
        <v>948.51900000000001</v>
      </c>
      <c r="I217" s="152">
        <f>IF(F217="Sắt vụn",ROUND(VLOOKUP(G217,ThongSo!$F$2:$I$15,4,0)*B217*E217/1000,3),"-")</f>
        <v>3.2429999999999999</v>
      </c>
      <c r="L217" s="150"/>
      <c r="M217" s="150"/>
      <c r="N217" s="150"/>
    </row>
    <row r="218" spans="1:14" x14ac:dyDescent="0.25">
      <c r="A218" s="159">
        <v>204</v>
      </c>
      <c r="B218" s="160">
        <v>62</v>
      </c>
      <c r="C218" s="160">
        <v>11700</v>
      </c>
      <c r="D218" s="160" t="s">
        <v>3077</v>
      </c>
      <c r="E218" s="160">
        <v>50</v>
      </c>
      <c r="F218" s="160" t="s">
        <v>74</v>
      </c>
      <c r="G218" s="148">
        <v>14</v>
      </c>
      <c r="H218" s="152">
        <f>IF(C218=11700,ROUND(VLOOKUP(G218,ThongSo!$F$2:$I$15,4,0)*B218*11.7,3),0)</f>
        <v>877.73400000000004</v>
      </c>
      <c r="I218" s="152">
        <f>IF(F218="Sắt vụn",ROUND(VLOOKUP(G218,ThongSo!$F$2:$I$15,4,0)*B218*E218/1000,3),"-")</f>
        <v>3.7509999999999999</v>
      </c>
      <c r="L218" s="150"/>
      <c r="M218" s="150"/>
      <c r="N218" s="150"/>
    </row>
    <row r="219" spans="1:14" x14ac:dyDescent="0.25">
      <c r="A219" s="159">
        <v>205</v>
      </c>
      <c r="B219" s="160">
        <v>1</v>
      </c>
      <c r="C219" s="160">
        <v>11700</v>
      </c>
      <c r="D219" s="160" t="s">
        <v>3078</v>
      </c>
      <c r="E219" s="160">
        <v>50</v>
      </c>
      <c r="F219" s="160" t="s">
        <v>74</v>
      </c>
      <c r="G219" s="148">
        <v>14</v>
      </c>
      <c r="H219" s="152">
        <f>IF(C219=11700,ROUND(VLOOKUP(G219,ThongSo!$F$2:$I$15,4,0)*B219*11.7,3),0)</f>
        <v>14.157</v>
      </c>
      <c r="I219" s="152">
        <f>IF(F219="Sắt vụn",ROUND(VLOOKUP(G219,ThongSo!$F$2:$I$15,4,0)*B219*E219/1000,3),"-")</f>
        <v>6.0999999999999999E-2</v>
      </c>
      <c r="L219" s="150"/>
      <c r="M219" s="150"/>
      <c r="N219" s="150"/>
    </row>
    <row r="220" spans="1:14" x14ac:dyDescent="0.25">
      <c r="A220" s="159">
        <v>206</v>
      </c>
      <c r="B220" s="160">
        <v>23</v>
      </c>
      <c r="C220" s="160">
        <v>11700</v>
      </c>
      <c r="D220" s="160" t="s">
        <v>3079</v>
      </c>
      <c r="E220" s="160">
        <v>50</v>
      </c>
      <c r="F220" s="160" t="s">
        <v>74</v>
      </c>
      <c r="G220" s="148">
        <v>14</v>
      </c>
      <c r="H220" s="152">
        <f>IF(C220=11700,ROUND(VLOOKUP(G220,ThongSo!$F$2:$I$15,4,0)*B220*11.7,3),0)</f>
        <v>325.61099999999999</v>
      </c>
      <c r="I220" s="152">
        <f>IF(F220="Sắt vụn",ROUND(VLOOKUP(G220,ThongSo!$F$2:$I$15,4,0)*B220*E220/1000,3),"-")</f>
        <v>1.3919999999999999</v>
      </c>
      <c r="L220" s="150"/>
      <c r="M220" s="150"/>
      <c r="N220" s="150"/>
    </row>
    <row r="221" spans="1:14" x14ac:dyDescent="0.25">
      <c r="A221" s="159">
        <v>207</v>
      </c>
      <c r="B221" s="160">
        <v>30</v>
      </c>
      <c r="C221" s="160">
        <v>11700</v>
      </c>
      <c r="D221" s="160" t="s">
        <v>3080</v>
      </c>
      <c r="E221" s="160">
        <v>80</v>
      </c>
      <c r="F221" s="160" t="s">
        <v>74</v>
      </c>
      <c r="G221" s="148">
        <v>14</v>
      </c>
      <c r="H221" s="152">
        <f>IF(C221=11700,ROUND(VLOOKUP(G221,ThongSo!$F$2:$I$15,4,0)*B221*11.7,3),0)</f>
        <v>424.71</v>
      </c>
      <c r="I221" s="152">
        <f>IF(F221="Sắt vụn",ROUND(VLOOKUP(G221,ThongSo!$F$2:$I$15,4,0)*B221*E221/1000,3),"-")</f>
        <v>2.9039999999999999</v>
      </c>
      <c r="L221" s="150"/>
      <c r="M221" s="150"/>
      <c r="N221" s="150"/>
    </row>
    <row r="222" spans="1:14" x14ac:dyDescent="0.25">
      <c r="A222" s="159">
        <v>208</v>
      </c>
      <c r="B222" s="160">
        <v>30</v>
      </c>
      <c r="C222" s="160">
        <v>11700</v>
      </c>
      <c r="D222" s="160" t="s">
        <v>3081</v>
      </c>
      <c r="E222" s="160">
        <v>90</v>
      </c>
      <c r="F222" s="160" t="s">
        <v>74</v>
      </c>
      <c r="G222" s="148">
        <v>14</v>
      </c>
      <c r="H222" s="152">
        <f>IF(C222=11700,ROUND(VLOOKUP(G222,ThongSo!$F$2:$I$15,4,0)*B222*11.7,3),0)</f>
        <v>424.71</v>
      </c>
      <c r="I222" s="152">
        <f>IF(F222="Sắt vụn",ROUND(VLOOKUP(G222,ThongSo!$F$2:$I$15,4,0)*B222*E222/1000,3),"-")</f>
        <v>3.2669999999999999</v>
      </c>
      <c r="L222" s="150"/>
      <c r="M222" s="150"/>
      <c r="N222" s="150"/>
    </row>
    <row r="223" spans="1:14" x14ac:dyDescent="0.25">
      <c r="A223" s="159">
        <v>209</v>
      </c>
      <c r="B223" s="160">
        <v>1</v>
      </c>
      <c r="C223" s="160">
        <v>11700</v>
      </c>
      <c r="D223" s="160" t="s">
        <v>3082</v>
      </c>
      <c r="E223" s="160">
        <v>90</v>
      </c>
      <c r="F223" s="160" t="s">
        <v>74</v>
      </c>
      <c r="G223" s="148">
        <v>14</v>
      </c>
      <c r="H223" s="152">
        <f>IF(C223=11700,ROUND(VLOOKUP(G223,ThongSo!$F$2:$I$15,4,0)*B223*11.7,3),0)</f>
        <v>14.157</v>
      </c>
      <c r="I223" s="152">
        <f>IF(F223="Sắt vụn",ROUND(VLOOKUP(G223,ThongSo!$F$2:$I$15,4,0)*B223*E223/1000,3),"-")</f>
        <v>0.109</v>
      </c>
      <c r="L223" s="150"/>
      <c r="M223" s="150"/>
      <c r="N223" s="150"/>
    </row>
    <row r="224" spans="1:14" x14ac:dyDescent="0.25">
      <c r="A224" s="159">
        <v>210</v>
      </c>
      <c r="B224" s="160">
        <v>54</v>
      </c>
      <c r="C224" s="160">
        <v>11700</v>
      </c>
      <c r="D224" s="160" t="s">
        <v>3083</v>
      </c>
      <c r="E224" s="160">
        <v>100</v>
      </c>
      <c r="F224" s="160" t="s">
        <v>74</v>
      </c>
      <c r="G224" s="148">
        <v>14</v>
      </c>
      <c r="H224" s="152">
        <f>IF(C224=11700,ROUND(VLOOKUP(G224,ThongSo!$F$2:$I$15,4,0)*B224*11.7,3),0)</f>
        <v>764.47799999999995</v>
      </c>
      <c r="I224" s="152">
        <f>IF(F224="Sắt vụn",ROUND(VLOOKUP(G224,ThongSo!$F$2:$I$15,4,0)*B224*E224/1000,3),"-")</f>
        <v>6.5339999999999998</v>
      </c>
      <c r="L224" s="150"/>
      <c r="M224" s="150"/>
      <c r="N224" s="150"/>
    </row>
    <row r="225" spans="1:14" x14ac:dyDescent="0.25">
      <c r="A225" s="159">
        <v>211</v>
      </c>
      <c r="B225" s="160">
        <v>19</v>
      </c>
      <c r="C225" s="160">
        <v>11700</v>
      </c>
      <c r="D225" s="160" t="s">
        <v>3084</v>
      </c>
      <c r="E225" s="160">
        <v>140</v>
      </c>
      <c r="F225" s="160" t="s">
        <v>74</v>
      </c>
      <c r="G225" s="148">
        <v>14</v>
      </c>
      <c r="H225" s="152">
        <f>IF(C225=11700,ROUND(VLOOKUP(G225,ThongSo!$F$2:$I$15,4,0)*B225*11.7,3),0)</f>
        <v>268.983</v>
      </c>
      <c r="I225" s="152">
        <f>IF(F225="Sắt vụn",ROUND(VLOOKUP(G225,ThongSo!$F$2:$I$15,4,0)*B225*E225/1000,3),"-")</f>
        <v>3.2189999999999999</v>
      </c>
      <c r="L225" s="150"/>
      <c r="M225" s="150"/>
      <c r="N225" s="150"/>
    </row>
    <row r="226" spans="1:14" x14ac:dyDescent="0.25">
      <c r="A226" s="159">
        <v>212</v>
      </c>
      <c r="B226" s="160">
        <v>73</v>
      </c>
      <c r="C226" s="160">
        <v>11700</v>
      </c>
      <c r="D226" s="160" t="s">
        <v>3085</v>
      </c>
      <c r="E226" s="160">
        <v>150</v>
      </c>
      <c r="F226" s="160" t="s">
        <v>74</v>
      </c>
      <c r="G226" s="148">
        <v>14</v>
      </c>
      <c r="H226" s="152">
        <f>IF(C226=11700,ROUND(VLOOKUP(G226,ThongSo!$F$2:$I$15,4,0)*B226*11.7,3),0)</f>
        <v>1033.461</v>
      </c>
      <c r="I226" s="152">
        <f>IF(F226="Sắt vụn",ROUND(VLOOKUP(G226,ThongSo!$F$2:$I$15,4,0)*B226*E226/1000,3),"-")</f>
        <v>13.25</v>
      </c>
      <c r="L226" s="150"/>
      <c r="M226" s="150"/>
      <c r="N226" s="150"/>
    </row>
    <row r="227" spans="1:14" x14ac:dyDescent="0.25">
      <c r="A227" s="159">
        <v>213</v>
      </c>
      <c r="B227" s="160">
        <v>2</v>
      </c>
      <c r="C227" s="160">
        <v>11700</v>
      </c>
      <c r="D227" s="160" t="s">
        <v>3086</v>
      </c>
      <c r="E227" s="160">
        <v>190</v>
      </c>
      <c r="F227" s="160" t="s">
        <v>74</v>
      </c>
      <c r="G227" s="148">
        <v>14</v>
      </c>
      <c r="H227" s="152">
        <f>IF(C227=11700,ROUND(VLOOKUP(G227,ThongSo!$F$2:$I$15,4,0)*B227*11.7,3),0)</f>
        <v>28.314</v>
      </c>
      <c r="I227" s="152">
        <f>IF(F227="Sắt vụn",ROUND(VLOOKUP(G227,ThongSo!$F$2:$I$15,4,0)*B227*E227/1000,3),"-")</f>
        <v>0.46</v>
      </c>
      <c r="L227" s="150"/>
      <c r="M227" s="150"/>
      <c r="N227" s="150"/>
    </row>
    <row r="228" spans="1:14" x14ac:dyDescent="0.25">
      <c r="A228" s="159">
        <v>214</v>
      </c>
      <c r="B228" s="160">
        <v>61</v>
      </c>
      <c r="C228" s="160">
        <v>11700</v>
      </c>
      <c r="D228" s="160" t="s">
        <v>3087</v>
      </c>
      <c r="E228" s="160">
        <v>220</v>
      </c>
      <c r="F228" s="160" t="s">
        <v>74</v>
      </c>
      <c r="G228" s="148">
        <v>14</v>
      </c>
      <c r="H228" s="152">
        <f>IF(C228=11700,ROUND(VLOOKUP(G228,ThongSo!$F$2:$I$15,4,0)*B228*11.7,3),0)</f>
        <v>863.577</v>
      </c>
      <c r="I228" s="152">
        <f>IF(F228="Sắt vụn",ROUND(VLOOKUP(G228,ThongSo!$F$2:$I$15,4,0)*B228*E228/1000,3),"-")</f>
        <v>16.238</v>
      </c>
      <c r="L228" s="150"/>
      <c r="M228" s="150"/>
      <c r="N228" s="150"/>
    </row>
    <row r="229" spans="1:14" x14ac:dyDescent="0.25">
      <c r="A229" s="159">
        <v>215</v>
      </c>
      <c r="B229" s="160">
        <v>1</v>
      </c>
      <c r="C229" s="160">
        <v>11700</v>
      </c>
      <c r="D229" s="160" t="s">
        <v>3088</v>
      </c>
      <c r="E229" s="160">
        <v>820</v>
      </c>
      <c r="F229" s="160" t="s">
        <v>75</v>
      </c>
      <c r="G229" s="148">
        <v>14</v>
      </c>
      <c r="H229" s="152">
        <f>IF(C229=11700,ROUND(VLOOKUP(G229,ThongSo!$F$2:$I$15,4,0)*B229*11.7,3),0)</f>
        <v>14.157</v>
      </c>
      <c r="I229" s="152" t="str">
        <f>IF(F229="Sắt vụn",ROUND(VLOOKUP(G229,ThongSo!$F$2:$I$15,4,0)*B229*E229/1000,3),"-")</f>
        <v>-</v>
      </c>
      <c r="L229" s="150"/>
      <c r="M229" s="150"/>
      <c r="N229" s="150"/>
    </row>
    <row r="230" spans="1:14" x14ac:dyDescent="0.25">
      <c r="A230" s="159">
        <v>216</v>
      </c>
      <c r="B230" s="160">
        <v>56</v>
      </c>
      <c r="C230" s="160">
        <v>11700</v>
      </c>
      <c r="D230" s="160" t="s">
        <v>3089</v>
      </c>
      <c r="E230" s="160">
        <v>1020</v>
      </c>
      <c r="F230" s="160" t="s">
        <v>75</v>
      </c>
      <c r="G230" s="148">
        <v>14</v>
      </c>
      <c r="H230" s="152">
        <f>IF(C230=11700,ROUND(VLOOKUP(G230,ThongSo!$F$2:$I$15,4,0)*B230*11.7,3),0)</f>
        <v>792.79200000000003</v>
      </c>
      <c r="I230" s="152" t="str">
        <f>IF(F230="Sắt vụn",ROUND(VLOOKUP(G230,ThongSo!$F$2:$I$15,4,0)*B230*E230/1000,3),"-")</f>
        <v>-</v>
      </c>
      <c r="L230" s="150"/>
      <c r="M230" s="150"/>
      <c r="N230" s="150"/>
    </row>
    <row r="231" spans="1:14" x14ac:dyDescent="0.25">
      <c r="A231" s="159">
        <v>217</v>
      </c>
      <c r="B231" s="160">
        <v>101</v>
      </c>
      <c r="C231" s="160">
        <v>11700</v>
      </c>
      <c r="D231" s="160" t="s">
        <v>3090</v>
      </c>
      <c r="E231" s="160">
        <v>1020</v>
      </c>
      <c r="F231" s="160" t="s">
        <v>75</v>
      </c>
      <c r="G231" s="148">
        <v>14</v>
      </c>
      <c r="H231" s="152">
        <f>IF(C231=11700,ROUND(VLOOKUP(G231,ThongSo!$F$2:$I$15,4,0)*B231*11.7,3),0)</f>
        <v>1429.857</v>
      </c>
      <c r="I231" s="152" t="str">
        <f>IF(F231="Sắt vụn",ROUND(VLOOKUP(G231,ThongSo!$F$2:$I$15,4,0)*B231*E231/1000,3),"-")</f>
        <v>-</v>
      </c>
      <c r="L231" s="150"/>
      <c r="M231" s="150"/>
      <c r="N231" s="150"/>
    </row>
    <row r="232" spans="1:14" x14ac:dyDescent="0.25">
      <c r="A232" s="159">
        <v>218</v>
      </c>
      <c r="B232" s="160">
        <v>1</v>
      </c>
      <c r="C232" s="160">
        <v>11700</v>
      </c>
      <c r="D232" s="160" t="s">
        <v>3091</v>
      </c>
      <c r="E232" s="160">
        <v>1020</v>
      </c>
      <c r="F232" s="160" t="s">
        <v>75</v>
      </c>
      <c r="G232" s="148">
        <v>14</v>
      </c>
      <c r="H232" s="152">
        <f>IF(C232=11700,ROUND(VLOOKUP(G232,ThongSo!$F$2:$I$15,4,0)*B232*11.7,3),0)</f>
        <v>14.157</v>
      </c>
      <c r="I232" s="152" t="str">
        <f>IF(F232="Sắt vụn",ROUND(VLOOKUP(G232,ThongSo!$F$2:$I$15,4,0)*B232*E232/1000,3),"-")</f>
        <v>-</v>
      </c>
      <c r="L232" s="150"/>
      <c r="M232" s="150"/>
      <c r="N232" s="150"/>
    </row>
    <row r="233" spans="1:14" x14ac:dyDescent="0.25">
      <c r="A233" s="159">
        <v>219</v>
      </c>
      <c r="B233" s="160">
        <v>60</v>
      </c>
      <c r="C233" s="160">
        <v>11700</v>
      </c>
      <c r="D233" s="160" t="s">
        <v>3092</v>
      </c>
      <c r="E233" s="160">
        <v>1020</v>
      </c>
      <c r="F233" s="160" t="s">
        <v>75</v>
      </c>
      <c r="G233" s="148">
        <v>14</v>
      </c>
      <c r="H233" s="152">
        <f>IF(C233=11700,ROUND(VLOOKUP(G233,ThongSo!$F$2:$I$15,4,0)*B233*11.7,3),0)</f>
        <v>849.42</v>
      </c>
      <c r="I233" s="152" t="str">
        <f>IF(F233="Sắt vụn",ROUND(VLOOKUP(G233,ThongSo!$F$2:$I$15,4,0)*B233*E233/1000,3),"-")</f>
        <v>-</v>
      </c>
      <c r="L233" s="150"/>
      <c r="M233" s="150"/>
      <c r="N233" s="150"/>
    </row>
    <row r="234" spans="1:14" x14ac:dyDescent="0.25">
      <c r="A234" s="159">
        <v>220</v>
      </c>
      <c r="B234" s="160">
        <v>166</v>
      </c>
      <c r="C234" s="160">
        <v>11700</v>
      </c>
      <c r="D234" s="160" t="s">
        <v>3093</v>
      </c>
      <c r="E234" s="160">
        <v>1020</v>
      </c>
      <c r="F234" s="160" t="s">
        <v>75</v>
      </c>
      <c r="G234" s="148">
        <v>14</v>
      </c>
      <c r="H234" s="152">
        <f>IF(C234=11700,ROUND(VLOOKUP(G234,ThongSo!$F$2:$I$15,4,0)*B234*11.7,3),0)</f>
        <v>2350.0619999999999</v>
      </c>
      <c r="I234" s="152" t="str">
        <f>IF(F234="Sắt vụn",ROUND(VLOOKUP(G234,ThongSo!$F$2:$I$15,4,0)*B234*E234/1000,3),"-")</f>
        <v>-</v>
      </c>
      <c r="L234" s="150"/>
      <c r="M234" s="150"/>
      <c r="N234" s="150"/>
    </row>
    <row r="235" spans="1:14" x14ac:dyDescent="0.25">
      <c r="A235" s="159">
        <v>221</v>
      </c>
      <c r="B235" s="160">
        <v>1</v>
      </c>
      <c r="C235" s="160">
        <v>11700</v>
      </c>
      <c r="D235" s="160" t="s">
        <v>3094</v>
      </c>
      <c r="E235" s="160">
        <v>1020</v>
      </c>
      <c r="F235" s="160" t="s">
        <v>75</v>
      </c>
      <c r="G235" s="148">
        <v>14</v>
      </c>
      <c r="H235" s="152">
        <f>IF(C235=11700,ROUND(VLOOKUP(G235,ThongSo!$F$2:$I$15,4,0)*B235*11.7,3),0)</f>
        <v>14.157</v>
      </c>
      <c r="I235" s="152" t="str">
        <f>IF(F235="Sắt vụn",ROUND(VLOOKUP(G235,ThongSo!$F$2:$I$15,4,0)*B235*E235/1000,3),"-")</f>
        <v>-</v>
      </c>
      <c r="L235" s="150"/>
      <c r="M235" s="150"/>
      <c r="N235" s="150"/>
    </row>
    <row r="236" spans="1:14" x14ac:dyDescent="0.25">
      <c r="A236" s="159">
        <v>222</v>
      </c>
      <c r="B236" s="160">
        <v>165</v>
      </c>
      <c r="C236" s="160">
        <v>11700</v>
      </c>
      <c r="D236" s="160" t="s">
        <v>3095</v>
      </c>
      <c r="E236" s="160">
        <v>1020</v>
      </c>
      <c r="F236" s="160" t="s">
        <v>75</v>
      </c>
      <c r="G236" s="148">
        <v>14</v>
      </c>
      <c r="H236" s="152">
        <f>IF(C236=11700,ROUND(VLOOKUP(G236,ThongSo!$F$2:$I$15,4,0)*B236*11.7,3),0)</f>
        <v>2335.9050000000002</v>
      </c>
      <c r="I236" s="152" t="str">
        <f>IF(F236="Sắt vụn",ROUND(VLOOKUP(G236,ThongSo!$F$2:$I$15,4,0)*B236*E236/1000,3),"-")</f>
        <v>-</v>
      </c>
      <c r="L236" s="150"/>
      <c r="M236" s="150"/>
      <c r="N236" s="150"/>
    </row>
    <row r="237" spans="1:14" x14ac:dyDescent="0.25">
      <c r="A237" s="159">
        <v>223</v>
      </c>
      <c r="B237" s="160">
        <v>3</v>
      </c>
      <c r="C237" s="160">
        <v>11700</v>
      </c>
      <c r="D237" s="160" t="s">
        <v>3096</v>
      </c>
      <c r="E237" s="160">
        <v>1160</v>
      </c>
      <c r="F237" s="160" t="s">
        <v>75</v>
      </c>
      <c r="G237" s="148">
        <v>14</v>
      </c>
      <c r="H237" s="152">
        <f>IF(C237=11700,ROUND(VLOOKUP(G237,ThongSo!$F$2:$I$15,4,0)*B237*11.7,3),0)</f>
        <v>42.470999999999997</v>
      </c>
      <c r="I237" s="152" t="str">
        <f>IF(F237="Sắt vụn",ROUND(VLOOKUP(G237,ThongSo!$F$2:$I$15,4,0)*B237*E237/1000,3),"-")</f>
        <v>-</v>
      </c>
      <c r="L237" s="150"/>
      <c r="M237" s="150"/>
      <c r="N237" s="150"/>
    </row>
    <row r="238" spans="1:14" x14ac:dyDescent="0.25">
      <c r="A238" s="159">
        <v>224</v>
      </c>
      <c r="B238" s="160">
        <v>30</v>
      </c>
      <c r="C238" s="160">
        <v>11700</v>
      </c>
      <c r="D238" s="160" t="s">
        <v>3097</v>
      </c>
      <c r="E238" s="160">
        <v>1500</v>
      </c>
      <c r="F238" s="160" t="s">
        <v>75</v>
      </c>
      <c r="G238" s="148">
        <v>14</v>
      </c>
      <c r="H238" s="152">
        <f>IF(C238=11700,ROUND(VLOOKUP(G238,ThongSo!$F$2:$I$15,4,0)*B238*11.7,3),0)</f>
        <v>424.71</v>
      </c>
      <c r="I238" s="152" t="str">
        <f>IF(F238="Sắt vụn",ROUND(VLOOKUP(G238,ThongSo!$F$2:$I$15,4,0)*B238*E238/1000,3),"-")</f>
        <v>-</v>
      </c>
      <c r="L238" s="150"/>
      <c r="M238" s="150"/>
      <c r="N238" s="150"/>
    </row>
    <row r="239" spans="1:14" x14ac:dyDescent="0.25">
      <c r="A239" s="159">
        <v>225</v>
      </c>
      <c r="B239" s="160">
        <v>24</v>
      </c>
      <c r="C239" s="160">
        <v>11700</v>
      </c>
      <c r="D239" s="160" t="s">
        <v>3098</v>
      </c>
      <c r="E239" s="160">
        <v>2000</v>
      </c>
      <c r="F239" s="160" t="s">
        <v>75</v>
      </c>
      <c r="G239" s="148">
        <v>14</v>
      </c>
      <c r="H239" s="152">
        <f>IF(C239=11700,ROUND(VLOOKUP(G239,ThongSo!$F$2:$I$15,4,0)*B239*11.7,3),0)</f>
        <v>339.76799999999997</v>
      </c>
      <c r="I239" s="152" t="str">
        <f>IF(F239="Sắt vụn",ROUND(VLOOKUP(G239,ThongSo!$F$2:$I$15,4,0)*B239*E239/1000,3),"-")</f>
        <v>-</v>
      </c>
      <c r="L239" s="150"/>
      <c r="M239" s="150"/>
      <c r="N239" s="150"/>
    </row>
    <row r="240" spans="1:14" x14ac:dyDescent="0.25">
      <c r="A240" s="159">
        <v>226</v>
      </c>
      <c r="B240" s="160">
        <v>12</v>
      </c>
      <c r="C240" s="160">
        <v>11700</v>
      </c>
      <c r="D240" s="160" t="s">
        <v>3099</v>
      </c>
      <c r="E240" s="160">
        <v>2000</v>
      </c>
      <c r="F240" s="160" t="s">
        <v>75</v>
      </c>
      <c r="G240" s="148">
        <v>14</v>
      </c>
      <c r="H240" s="152">
        <f>IF(C240=11700,ROUND(VLOOKUP(G240,ThongSo!$F$2:$I$15,4,0)*B240*11.7,3),0)</f>
        <v>169.88399999999999</v>
      </c>
      <c r="I240" s="152" t="str">
        <f>IF(F240="Sắt vụn",ROUND(VLOOKUP(G240,ThongSo!$F$2:$I$15,4,0)*B240*E240/1000,3),"-")</f>
        <v>-</v>
      </c>
      <c r="L240" s="150"/>
      <c r="M240" s="150"/>
      <c r="N240" s="150"/>
    </row>
    <row r="241" spans="1:14" x14ac:dyDescent="0.25">
      <c r="A241" s="159">
        <v>227</v>
      </c>
      <c r="B241" s="160">
        <v>71</v>
      </c>
      <c r="C241" s="160">
        <v>11700</v>
      </c>
      <c r="D241" s="160" t="s">
        <v>3100</v>
      </c>
      <c r="E241" s="160">
        <v>3830</v>
      </c>
      <c r="F241" s="160" t="s">
        <v>75</v>
      </c>
      <c r="G241" s="148">
        <v>14</v>
      </c>
      <c r="H241" s="152">
        <f>IF(C241=11700,ROUND(VLOOKUP(G241,ThongSo!$F$2:$I$15,4,0)*B241*11.7,3),0)</f>
        <v>1005.147</v>
      </c>
      <c r="I241" s="152" t="str">
        <f>IF(F241="Sắt vụn",ROUND(VLOOKUP(G241,ThongSo!$F$2:$I$15,4,0)*B241*E241/1000,3),"-")</f>
        <v>-</v>
      </c>
      <c r="L241" s="150"/>
      <c r="M241" s="150"/>
      <c r="N241" s="150"/>
    </row>
    <row r="242" spans="1:14" x14ac:dyDescent="0.25">
      <c r="A242" s="159">
        <v>228</v>
      </c>
      <c r="B242" s="160">
        <v>66</v>
      </c>
      <c r="C242" s="160">
        <v>11700</v>
      </c>
      <c r="D242" s="160" t="s">
        <v>3101</v>
      </c>
      <c r="E242" s="160">
        <v>4830</v>
      </c>
      <c r="F242" s="160" t="s">
        <v>75</v>
      </c>
      <c r="G242" s="148">
        <v>14</v>
      </c>
      <c r="H242" s="152">
        <f>IF(C242=11700,ROUND(VLOOKUP(G242,ThongSo!$F$2:$I$15,4,0)*B242*11.7,3),0)</f>
        <v>934.36199999999997</v>
      </c>
      <c r="I242" s="152" t="str">
        <f>IF(F242="Sắt vụn",ROUND(VLOOKUP(G242,ThongSo!$F$2:$I$15,4,0)*B242*E242/1000,3),"-")</f>
        <v>-</v>
      </c>
      <c r="L242" s="150"/>
      <c r="M242" s="150"/>
      <c r="N242" s="150"/>
    </row>
    <row r="243" spans="1:14" x14ac:dyDescent="0.25">
      <c r="A243" s="159">
        <v>229</v>
      </c>
      <c r="B243" s="160">
        <v>87</v>
      </c>
      <c r="C243" s="160">
        <v>11700</v>
      </c>
      <c r="D243" s="160" t="s">
        <v>3102</v>
      </c>
      <c r="E243" s="160">
        <v>5030</v>
      </c>
      <c r="F243" s="160" t="s">
        <v>75</v>
      </c>
      <c r="G243" s="148">
        <v>14</v>
      </c>
      <c r="H243" s="152">
        <f>IF(C243=11700,ROUND(VLOOKUP(G243,ThongSo!$F$2:$I$15,4,0)*B243*11.7,3),0)</f>
        <v>1231.6590000000001</v>
      </c>
      <c r="I243" s="152" t="str">
        <f>IF(F243="Sắt vụn",ROUND(VLOOKUP(G243,ThongSo!$F$2:$I$15,4,0)*B243*E243/1000,3),"-")</f>
        <v>-</v>
      </c>
      <c r="L243" s="150"/>
      <c r="M243" s="150"/>
      <c r="N243" s="150"/>
    </row>
    <row r="244" spans="1:14" x14ac:dyDescent="0.25">
      <c r="A244" s="157" t="s">
        <v>84</v>
      </c>
      <c r="B244" s="158"/>
      <c r="C244" s="158"/>
      <c r="D244" s="158"/>
      <c r="E244" s="158"/>
      <c r="F244" s="158"/>
      <c r="G244" s="148"/>
      <c r="H244" s="152">
        <f>IF(C244=11700,ROUND(VLOOKUP(G244,ThongSo!$F$2:$I$15,4,0)*B244*11.7,3),0)</f>
        <v>0</v>
      </c>
      <c r="I244" s="152" t="str">
        <f>IF(F244="Sắt vụn",ROUND(VLOOKUP(G244,ThongSo!$F$2:$I$15,4,0)*B244*E244/1000,3),"-")</f>
        <v>-</v>
      </c>
      <c r="L244" s="150"/>
      <c r="M244" s="150"/>
      <c r="N244" s="150"/>
    </row>
    <row r="245" spans="1:14" x14ac:dyDescent="0.25">
      <c r="A245" s="159">
        <v>230</v>
      </c>
      <c r="B245" s="160">
        <v>18</v>
      </c>
      <c r="C245" s="160">
        <v>11700</v>
      </c>
      <c r="D245" s="160" t="s">
        <v>3103</v>
      </c>
      <c r="E245" s="160">
        <v>50</v>
      </c>
      <c r="F245" s="160" t="s">
        <v>74</v>
      </c>
      <c r="G245" s="148">
        <v>10</v>
      </c>
      <c r="H245" s="152">
        <f>IF(C245=11700,ROUND(VLOOKUP(G245,ThongSo!$F$2:$I$15,4,0)*B245*11.7,3),0)</f>
        <v>129.94</v>
      </c>
      <c r="I245" s="152">
        <f>IF(F245="Sắt vụn",ROUND(VLOOKUP(G245,ThongSo!$F$2:$I$15,4,0)*B245*E245/1000,3),"-")</f>
        <v>0.55500000000000005</v>
      </c>
      <c r="L245" s="150"/>
      <c r="M245" s="150"/>
      <c r="N245" s="150"/>
    </row>
    <row r="246" spans="1:14" x14ac:dyDescent="0.25">
      <c r="A246" s="159">
        <v>231</v>
      </c>
      <c r="B246" s="160">
        <v>1</v>
      </c>
      <c r="C246" s="160">
        <v>11700</v>
      </c>
      <c r="D246" s="160" t="s">
        <v>3104</v>
      </c>
      <c r="E246" s="160">
        <v>60</v>
      </c>
      <c r="F246" s="160" t="s">
        <v>74</v>
      </c>
      <c r="G246" s="148">
        <v>10</v>
      </c>
      <c r="H246" s="152">
        <f>IF(C246=11700,ROUND(VLOOKUP(G246,ThongSo!$F$2:$I$15,4,0)*B246*11.7,3),0)</f>
        <v>7.2190000000000003</v>
      </c>
      <c r="I246" s="152">
        <f>IF(F246="Sắt vụn",ROUND(VLOOKUP(G246,ThongSo!$F$2:$I$15,4,0)*B246*E246/1000,3),"-")</f>
        <v>3.6999999999999998E-2</v>
      </c>
      <c r="L246" s="150"/>
      <c r="M246" s="150"/>
      <c r="N246" s="150"/>
    </row>
    <row r="247" spans="1:14" x14ac:dyDescent="0.25">
      <c r="A247" s="159">
        <v>232</v>
      </c>
      <c r="B247" s="160">
        <v>1</v>
      </c>
      <c r="C247" s="160">
        <v>11700</v>
      </c>
      <c r="D247" s="160" t="s">
        <v>3105</v>
      </c>
      <c r="E247" s="160">
        <v>290</v>
      </c>
      <c r="F247" s="160" t="s">
        <v>74</v>
      </c>
      <c r="G247" s="148">
        <v>10</v>
      </c>
      <c r="H247" s="152">
        <f>IF(C247=11700,ROUND(VLOOKUP(G247,ThongSo!$F$2:$I$15,4,0)*B247*11.7,3),0)</f>
        <v>7.2190000000000003</v>
      </c>
      <c r="I247" s="152">
        <f>IF(F247="Sắt vụn",ROUND(VLOOKUP(G247,ThongSo!$F$2:$I$15,4,0)*B247*E247/1000,3),"-")</f>
        <v>0.17899999999999999</v>
      </c>
      <c r="L247" s="150"/>
      <c r="M247" s="150"/>
      <c r="N247" s="150"/>
    </row>
    <row r="248" spans="1:14" x14ac:dyDescent="0.25">
      <c r="A248" s="159">
        <v>233</v>
      </c>
      <c r="B248" s="160">
        <v>3</v>
      </c>
      <c r="C248" s="160">
        <v>11700</v>
      </c>
      <c r="D248" s="160" t="s">
        <v>3106</v>
      </c>
      <c r="E248" s="160">
        <v>490</v>
      </c>
      <c r="F248" s="160" t="s">
        <v>74</v>
      </c>
      <c r="G248" s="148">
        <v>10</v>
      </c>
      <c r="H248" s="152">
        <f>IF(C248=11700,ROUND(VLOOKUP(G248,ThongSo!$F$2:$I$15,4,0)*B248*11.7,3),0)</f>
        <v>21.657</v>
      </c>
      <c r="I248" s="152">
        <f>IF(F248="Sắt vụn",ROUND(VLOOKUP(G248,ThongSo!$F$2:$I$15,4,0)*B248*E248/1000,3),"-")</f>
        <v>0.90700000000000003</v>
      </c>
      <c r="L248" s="150"/>
      <c r="M248" s="150"/>
      <c r="N248" s="150"/>
    </row>
    <row r="249" spans="1:14" x14ac:dyDescent="0.25">
      <c r="A249" s="159">
        <v>234</v>
      </c>
      <c r="B249" s="160">
        <v>1</v>
      </c>
      <c r="C249" s="160">
        <v>11700</v>
      </c>
      <c r="D249" s="160" t="s">
        <v>3107</v>
      </c>
      <c r="E249" s="160">
        <v>9340</v>
      </c>
      <c r="F249" s="160" t="s">
        <v>75</v>
      </c>
      <c r="G249" s="148">
        <v>10</v>
      </c>
      <c r="H249" s="152">
        <f>IF(C249=11700,ROUND(VLOOKUP(G249,ThongSo!$F$2:$I$15,4,0)*B249*11.7,3),0)</f>
        <v>7.2190000000000003</v>
      </c>
      <c r="I249" s="152" t="str">
        <f>IF(F249="Sắt vụn",ROUND(VLOOKUP(G249,ThongSo!$F$2:$I$15,4,0)*B249*E249/1000,3),"-")</f>
        <v>-</v>
      </c>
      <c r="L249" s="150"/>
      <c r="M249" s="150"/>
      <c r="N249" s="150"/>
    </row>
    <row r="250" spans="1:14" x14ac:dyDescent="0.25">
      <c r="A250" s="154"/>
      <c r="G250" s="148"/>
      <c r="H250" s="152">
        <f>IF(C250=11700,ROUND(VLOOKUP(G250,ThongSo!$F$2:$I$15,4,0)*B250*11.7,3),0)</f>
        <v>0</v>
      </c>
      <c r="I250" s="152" t="str">
        <f>IF(F250="Sắt vụn",ROUND(VLOOKUP(G250,ThongSo!$F$2:$I$15,4,0)*B250*E250/1000,3),"-")</f>
        <v>-</v>
      </c>
      <c r="L250" s="150"/>
      <c r="M250" s="150"/>
      <c r="N250" s="150"/>
    </row>
    <row r="251" spans="1:14" x14ac:dyDescent="0.25">
      <c r="A251" s="167">
        <v>2</v>
      </c>
      <c r="B251" s="167"/>
      <c r="C251" s="167"/>
      <c r="D251" s="167"/>
      <c r="E251" s="167"/>
      <c r="F251" s="167"/>
      <c r="G251" s="148"/>
      <c r="H251" s="152">
        <f>IF(C251=11700,ROUND(VLOOKUP(G251,ThongSo!$F$2:$I$15,4,0)*B251*11.7,3),0)</f>
        <v>0</v>
      </c>
      <c r="I251" s="152" t="str">
        <f>IF(F251="Sắt vụn",ROUND(VLOOKUP(G251,ThongSo!$F$2:$I$15,4,0)*B251*E251/1000,3),"-")</f>
        <v>-</v>
      </c>
      <c r="L251" s="150"/>
      <c r="M251" s="150"/>
      <c r="N251" s="150"/>
    </row>
    <row r="252" spans="1:14" x14ac:dyDescent="0.25">
      <c r="A252" s="154"/>
      <c r="G252" s="148"/>
      <c r="H252" s="152">
        <f>IF(C252=11700,ROUND(VLOOKUP(G252,ThongSo!$F$2:$I$15,4,0)*B252*11.7,3),0)</f>
        <v>0</v>
      </c>
      <c r="I252" s="152" t="str">
        <f>IF(F252="Sắt vụn",ROUND(VLOOKUP(G252,ThongSo!$F$2:$I$15,4,0)*B252*E252/1000,3),"-")</f>
        <v>-</v>
      </c>
      <c r="L252" s="150"/>
      <c r="M252" s="150"/>
      <c r="N252" s="150"/>
    </row>
    <row r="253" spans="1:14" x14ac:dyDescent="0.25">
      <c r="A253" s="155" t="s">
        <v>50</v>
      </c>
      <c r="B253" s="155" t="s">
        <v>51</v>
      </c>
      <c r="C253" s="155" t="s">
        <v>45</v>
      </c>
      <c r="D253" s="155" t="s">
        <v>42</v>
      </c>
      <c r="E253" s="155" t="s">
        <v>43</v>
      </c>
      <c r="F253" s="156" t="s">
        <v>46</v>
      </c>
      <c r="G253" s="148"/>
      <c r="H253" s="152">
        <f>IF(C253=11700,ROUND(VLOOKUP(G253,ThongSo!$F$2:$I$15,4,0)*B253*11.7,3),0)</f>
        <v>0</v>
      </c>
      <c r="I253" s="152" t="str">
        <f>IF(F253="Sắt vụn",ROUND(VLOOKUP(G253,ThongSo!$F$2:$I$15,4,0)*B253*E253/1000,3),"-")</f>
        <v>-</v>
      </c>
      <c r="L253" s="150"/>
      <c r="M253" s="150"/>
      <c r="N253" s="150"/>
    </row>
    <row r="254" spans="1:14" x14ac:dyDescent="0.25">
      <c r="A254" s="157" t="s">
        <v>72</v>
      </c>
      <c r="B254" s="158"/>
      <c r="C254" s="158"/>
      <c r="D254" s="158"/>
      <c r="E254" s="158"/>
      <c r="F254" s="158"/>
      <c r="G254" s="148"/>
      <c r="H254" s="152">
        <f>IF(C254=11700,ROUND(VLOOKUP(G254,ThongSo!$F$2:$I$15,4,0)*B254*11.7,3),0)</f>
        <v>0</v>
      </c>
      <c r="I254" s="152" t="str">
        <f>IF(F254="Sắt vụn",ROUND(VLOOKUP(G254,ThongSo!$F$2:$I$15,4,0)*B254*E254/1000,3),"-")</f>
        <v>-</v>
      </c>
      <c r="L254" s="150"/>
      <c r="M254" s="150"/>
      <c r="N254" s="150"/>
    </row>
    <row r="255" spans="1:14" x14ac:dyDescent="0.25">
      <c r="A255" s="159" t="s">
        <v>73</v>
      </c>
      <c r="B255" s="160">
        <v>488</v>
      </c>
      <c r="C255" s="160">
        <v>11700</v>
      </c>
      <c r="D255" s="160"/>
      <c r="E255" s="160"/>
      <c r="F255" s="160"/>
      <c r="G255" s="148">
        <v>32</v>
      </c>
      <c r="H255" s="152">
        <f>IF(C255=11700,ROUND(VLOOKUP(G255,ThongSo!$F$2:$I$15,4,0)*B255*11.7,3),0)</f>
        <v>36027.576000000001</v>
      </c>
      <c r="I255" s="152" t="str">
        <f>IF(F255="Sắt vụn",ROUND(VLOOKUP(G255,ThongSo!$F$2:$I$15,4,0)*B255*E255/1000,3),"-")</f>
        <v>-</v>
      </c>
      <c r="L255" s="150"/>
      <c r="M255" s="150"/>
      <c r="N255" s="150"/>
    </row>
    <row r="256" spans="1:14" x14ac:dyDescent="0.25">
      <c r="A256" s="159" t="s">
        <v>162</v>
      </c>
      <c r="B256" s="160">
        <v>1</v>
      </c>
      <c r="C256" s="160">
        <v>1700</v>
      </c>
      <c r="D256" s="160" t="s">
        <v>3112</v>
      </c>
      <c r="E256" s="160">
        <v>460</v>
      </c>
      <c r="F256" s="160" t="s">
        <v>74</v>
      </c>
      <c r="G256" s="148">
        <v>32</v>
      </c>
      <c r="H256" s="152">
        <f>IF(C256=11700,ROUND(VLOOKUP(G256,ThongSo!$F$2:$I$15,4,0)*B256*11.7,3),0)</f>
        <v>0</v>
      </c>
      <c r="I256" s="152">
        <f>IF(F256="Sắt vụn",ROUND(VLOOKUP(G256,ThongSo!$F$2:$I$15,4,0)*B256*E256/1000,3),"-")</f>
        <v>2.903</v>
      </c>
      <c r="L256" s="150"/>
      <c r="M256" s="150"/>
      <c r="N256" s="150"/>
    </row>
    <row r="257" spans="1:14" x14ac:dyDescent="0.25">
      <c r="A257" s="159" t="s">
        <v>162</v>
      </c>
      <c r="B257" s="160">
        <v>12</v>
      </c>
      <c r="C257" s="160">
        <v>1700</v>
      </c>
      <c r="D257" s="160" t="s">
        <v>3113</v>
      </c>
      <c r="E257" s="160">
        <v>610</v>
      </c>
      <c r="F257" s="160" t="s">
        <v>74</v>
      </c>
      <c r="G257" s="148">
        <v>32</v>
      </c>
      <c r="H257" s="152">
        <f>IF(C257=11700,ROUND(VLOOKUP(G257,ThongSo!$F$2:$I$15,4,0)*B257*11.7,3),0)</f>
        <v>0</v>
      </c>
      <c r="I257" s="152">
        <f>IF(F257="Sắt vụn",ROUND(VLOOKUP(G257,ThongSo!$F$2:$I$15,4,0)*B257*E257/1000,3),"-")</f>
        <v>46.189</v>
      </c>
      <c r="L257" s="150"/>
      <c r="M257" s="150"/>
      <c r="N257" s="150"/>
    </row>
    <row r="258" spans="1:14" x14ac:dyDescent="0.25">
      <c r="A258" s="159" t="s">
        <v>135</v>
      </c>
      <c r="B258" s="160">
        <v>4</v>
      </c>
      <c r="C258" s="160">
        <v>1730</v>
      </c>
      <c r="D258" s="160" t="s">
        <v>3113</v>
      </c>
      <c r="E258" s="160">
        <v>640</v>
      </c>
      <c r="F258" s="160" t="s">
        <v>74</v>
      </c>
      <c r="G258" s="148">
        <v>32</v>
      </c>
      <c r="H258" s="152">
        <f>IF(C258=11700,ROUND(VLOOKUP(G258,ThongSo!$F$2:$I$15,4,0)*B258*11.7,3),0)</f>
        <v>0</v>
      </c>
      <c r="I258" s="152">
        <f>IF(F258="Sắt vụn",ROUND(VLOOKUP(G258,ThongSo!$F$2:$I$15,4,0)*B258*E258/1000,3),"-")</f>
        <v>16.154</v>
      </c>
      <c r="L258" s="150"/>
      <c r="M258" s="150"/>
      <c r="N258" s="150"/>
    </row>
    <row r="259" spans="1:14" x14ac:dyDescent="0.25">
      <c r="A259" s="159" t="s">
        <v>176</v>
      </c>
      <c r="B259" s="160">
        <v>3</v>
      </c>
      <c r="C259" s="160">
        <v>1760</v>
      </c>
      <c r="D259" s="160" t="s">
        <v>3113</v>
      </c>
      <c r="E259" s="160">
        <v>670</v>
      </c>
      <c r="F259" s="160" t="s">
        <v>74</v>
      </c>
      <c r="G259" s="148">
        <v>32</v>
      </c>
      <c r="H259" s="152">
        <f>IF(C259=11700,ROUND(VLOOKUP(G259,ThongSo!$F$2:$I$15,4,0)*B259*11.7,3),0)</f>
        <v>0</v>
      </c>
      <c r="I259" s="152">
        <f>IF(F259="Sắt vụn",ROUND(VLOOKUP(G259,ThongSo!$F$2:$I$15,4,0)*B259*E259/1000,3),"-")</f>
        <v>12.683</v>
      </c>
      <c r="L259" s="150"/>
      <c r="M259" s="150"/>
      <c r="N259" s="150"/>
    </row>
    <row r="260" spans="1:14" x14ac:dyDescent="0.25">
      <c r="A260" s="159" t="s">
        <v>221</v>
      </c>
      <c r="B260" s="160">
        <v>6</v>
      </c>
      <c r="C260" s="160">
        <v>2330</v>
      </c>
      <c r="D260" s="160" t="s">
        <v>3114</v>
      </c>
      <c r="E260" s="160">
        <v>440</v>
      </c>
      <c r="F260" s="160" t="s">
        <v>74</v>
      </c>
      <c r="G260" s="148">
        <v>32</v>
      </c>
      <c r="H260" s="152">
        <f>IF(C260=11700,ROUND(VLOOKUP(G260,ThongSo!$F$2:$I$15,4,0)*B260*11.7,3),0)</f>
        <v>0</v>
      </c>
      <c r="I260" s="152">
        <f>IF(F260="Sắt vụn",ROUND(VLOOKUP(G260,ThongSo!$F$2:$I$15,4,0)*B260*E260/1000,3),"-")</f>
        <v>16.658000000000001</v>
      </c>
      <c r="L260" s="150"/>
      <c r="M260" s="150"/>
      <c r="N260" s="150"/>
    </row>
    <row r="261" spans="1:14" x14ac:dyDescent="0.25">
      <c r="A261" s="159" t="s">
        <v>211</v>
      </c>
      <c r="B261" s="160">
        <v>13</v>
      </c>
      <c r="C261" s="160">
        <v>2500</v>
      </c>
      <c r="D261" s="160" t="s">
        <v>3114</v>
      </c>
      <c r="E261" s="160">
        <v>610</v>
      </c>
      <c r="F261" s="160" t="s">
        <v>74</v>
      </c>
      <c r="G261" s="148">
        <v>32</v>
      </c>
      <c r="H261" s="152">
        <f>IF(C261=11700,ROUND(VLOOKUP(G261,ThongSo!$F$2:$I$15,4,0)*B261*11.7,3),0)</f>
        <v>0</v>
      </c>
      <c r="I261" s="152">
        <f>IF(F261="Sắt vụn",ROUND(VLOOKUP(G261,ThongSo!$F$2:$I$15,4,0)*B261*E261/1000,3),"-")</f>
        <v>50.037999999999997</v>
      </c>
      <c r="L261" s="150"/>
      <c r="M261" s="150"/>
      <c r="N261" s="150"/>
    </row>
    <row r="262" spans="1:14" x14ac:dyDescent="0.25">
      <c r="A262" s="159" t="s">
        <v>181</v>
      </c>
      <c r="B262" s="160">
        <v>6</v>
      </c>
      <c r="C262" s="160">
        <v>2520</v>
      </c>
      <c r="D262" s="160" t="s">
        <v>3114</v>
      </c>
      <c r="E262" s="160">
        <v>630</v>
      </c>
      <c r="F262" s="160" t="s">
        <v>74</v>
      </c>
      <c r="G262" s="148">
        <v>32</v>
      </c>
      <c r="H262" s="152">
        <f>IF(C262=11700,ROUND(VLOOKUP(G262,ThongSo!$F$2:$I$15,4,0)*B262*11.7,3),0)</f>
        <v>0</v>
      </c>
      <c r="I262" s="152">
        <f>IF(F262="Sắt vụn",ROUND(VLOOKUP(G262,ThongSo!$F$2:$I$15,4,0)*B262*E262/1000,3),"-")</f>
        <v>23.852</v>
      </c>
      <c r="L262" s="150"/>
      <c r="M262" s="150"/>
      <c r="N262" s="150"/>
    </row>
    <row r="263" spans="1:14" x14ac:dyDescent="0.25">
      <c r="A263" s="159" t="s">
        <v>238</v>
      </c>
      <c r="B263" s="160">
        <v>4</v>
      </c>
      <c r="C263" s="160">
        <v>2690</v>
      </c>
      <c r="D263" s="160" t="s">
        <v>3115</v>
      </c>
      <c r="E263" s="160">
        <v>100</v>
      </c>
      <c r="F263" s="160" t="s">
        <v>74</v>
      </c>
      <c r="G263" s="148">
        <v>32</v>
      </c>
      <c r="H263" s="152">
        <f>IF(C263=11700,ROUND(VLOOKUP(G263,ThongSo!$F$2:$I$15,4,0)*B263*11.7,3),0)</f>
        <v>0</v>
      </c>
      <c r="I263" s="152">
        <f>IF(F263="Sắt vụn",ROUND(VLOOKUP(G263,ThongSo!$F$2:$I$15,4,0)*B263*E263/1000,3),"-")</f>
        <v>2.524</v>
      </c>
      <c r="L263" s="150"/>
      <c r="M263" s="150"/>
      <c r="N263" s="150"/>
    </row>
    <row r="264" spans="1:14" x14ac:dyDescent="0.25">
      <c r="A264" s="159" t="s">
        <v>151</v>
      </c>
      <c r="B264" s="160">
        <v>23</v>
      </c>
      <c r="C264" s="160">
        <v>2700</v>
      </c>
      <c r="D264" s="160" t="s">
        <v>3115</v>
      </c>
      <c r="E264" s="160">
        <v>110</v>
      </c>
      <c r="F264" s="160" t="s">
        <v>74</v>
      </c>
      <c r="G264" s="148">
        <v>32</v>
      </c>
      <c r="H264" s="152">
        <f>IF(C264=11700,ROUND(VLOOKUP(G264,ThongSo!$F$2:$I$15,4,0)*B264*11.7,3),0)</f>
        <v>0</v>
      </c>
      <c r="I264" s="152">
        <f>IF(F264="Sắt vụn",ROUND(VLOOKUP(G264,ThongSo!$F$2:$I$15,4,0)*B264*E264/1000,3),"-")</f>
        <v>15.964</v>
      </c>
      <c r="L264" s="150"/>
      <c r="M264" s="150"/>
      <c r="N264" s="150"/>
    </row>
    <row r="265" spans="1:14" x14ac:dyDescent="0.25">
      <c r="A265" s="159" t="s">
        <v>151</v>
      </c>
      <c r="B265" s="160">
        <v>1</v>
      </c>
      <c r="C265" s="160">
        <v>2700</v>
      </c>
      <c r="D265" s="160" t="s">
        <v>3114</v>
      </c>
      <c r="E265" s="160">
        <v>810</v>
      </c>
      <c r="F265" s="160" t="s">
        <v>74</v>
      </c>
      <c r="G265" s="148">
        <v>32</v>
      </c>
      <c r="H265" s="152">
        <f>IF(C265=11700,ROUND(VLOOKUP(G265,ThongSo!$F$2:$I$15,4,0)*B265*11.7,3),0)</f>
        <v>0</v>
      </c>
      <c r="I265" s="152">
        <f>IF(F265="Sắt vụn",ROUND(VLOOKUP(G265,ThongSo!$F$2:$I$15,4,0)*B265*E265/1000,3),"-")</f>
        <v>5.1109999999999998</v>
      </c>
      <c r="L265" s="150"/>
      <c r="M265" s="150"/>
      <c r="N265" s="150"/>
    </row>
    <row r="266" spans="1:14" x14ac:dyDescent="0.25">
      <c r="A266" s="159" t="s">
        <v>169</v>
      </c>
      <c r="B266" s="160">
        <v>1</v>
      </c>
      <c r="C266" s="160">
        <v>2800</v>
      </c>
      <c r="D266" s="160" t="s">
        <v>3114</v>
      </c>
      <c r="E266" s="160">
        <v>910</v>
      </c>
      <c r="F266" s="160" t="s">
        <v>74</v>
      </c>
      <c r="G266" s="148">
        <v>32</v>
      </c>
      <c r="H266" s="152">
        <f>IF(C266=11700,ROUND(VLOOKUP(G266,ThongSo!$F$2:$I$15,4,0)*B266*11.7,3),0)</f>
        <v>0</v>
      </c>
      <c r="I266" s="152">
        <f>IF(F266="Sắt vụn",ROUND(VLOOKUP(G266,ThongSo!$F$2:$I$15,4,0)*B266*E266/1000,3),"-")</f>
        <v>5.742</v>
      </c>
      <c r="L266" s="150"/>
      <c r="M266" s="150"/>
      <c r="N266" s="150"/>
    </row>
    <row r="267" spans="1:14" x14ac:dyDescent="0.25">
      <c r="A267" s="159" t="s">
        <v>363</v>
      </c>
      <c r="B267" s="160">
        <v>6</v>
      </c>
      <c r="C267" s="160">
        <v>3070</v>
      </c>
      <c r="D267" s="160" t="s">
        <v>3116</v>
      </c>
      <c r="E267" s="160">
        <v>100</v>
      </c>
      <c r="F267" s="160" t="s">
        <v>74</v>
      </c>
      <c r="G267" s="148">
        <v>32</v>
      </c>
      <c r="H267" s="152">
        <f>IF(C267=11700,ROUND(VLOOKUP(G267,ThongSo!$F$2:$I$15,4,0)*B267*11.7,3),0)</f>
        <v>0</v>
      </c>
      <c r="I267" s="152">
        <f>IF(F267="Sắt vụn",ROUND(VLOOKUP(G267,ThongSo!$F$2:$I$15,4,0)*B267*E267/1000,3),"-")</f>
        <v>3.786</v>
      </c>
      <c r="L267" s="150"/>
      <c r="M267" s="150"/>
      <c r="N267" s="150"/>
    </row>
    <row r="268" spans="1:14" x14ac:dyDescent="0.25">
      <c r="A268" s="159" t="s">
        <v>240</v>
      </c>
      <c r="B268" s="160">
        <v>7</v>
      </c>
      <c r="C268" s="160">
        <v>3320</v>
      </c>
      <c r="D268" s="160" t="s">
        <v>3117</v>
      </c>
      <c r="E268" s="160">
        <v>40</v>
      </c>
      <c r="F268" s="160" t="s">
        <v>74</v>
      </c>
      <c r="G268" s="148">
        <v>32</v>
      </c>
      <c r="H268" s="152">
        <f>IF(C268=11700,ROUND(VLOOKUP(G268,ThongSo!$F$2:$I$15,4,0)*B268*11.7,3),0)</f>
        <v>0</v>
      </c>
      <c r="I268" s="152">
        <f>IF(F268="Sắt vụn",ROUND(VLOOKUP(G268,ThongSo!$F$2:$I$15,4,0)*B268*E268/1000,3),"-")</f>
        <v>1.7669999999999999</v>
      </c>
      <c r="L268" s="150"/>
      <c r="M268" s="150"/>
      <c r="N268" s="150"/>
    </row>
    <row r="269" spans="1:14" x14ac:dyDescent="0.25">
      <c r="A269" s="159" t="s">
        <v>201</v>
      </c>
      <c r="B269" s="160">
        <v>6</v>
      </c>
      <c r="C269" s="160">
        <v>3400</v>
      </c>
      <c r="D269" s="160" t="s">
        <v>3118</v>
      </c>
      <c r="E269" s="160">
        <v>20</v>
      </c>
      <c r="F269" s="160" t="s">
        <v>74</v>
      </c>
      <c r="G269" s="148">
        <v>32</v>
      </c>
      <c r="H269" s="152">
        <f>IF(C269=11700,ROUND(VLOOKUP(G269,ThongSo!$F$2:$I$15,4,0)*B269*11.7,3),0)</f>
        <v>0</v>
      </c>
      <c r="I269" s="152">
        <f>IF(F269="Sắt vụn",ROUND(VLOOKUP(G269,ThongSo!$F$2:$I$15,4,0)*B269*E269/1000,3),"-")</f>
        <v>0.75700000000000001</v>
      </c>
      <c r="L269" s="150"/>
      <c r="M269" s="150"/>
      <c r="N269" s="150"/>
    </row>
    <row r="270" spans="1:14" x14ac:dyDescent="0.25">
      <c r="A270" s="159" t="s">
        <v>201</v>
      </c>
      <c r="B270" s="160">
        <v>6</v>
      </c>
      <c r="C270" s="160">
        <v>3400</v>
      </c>
      <c r="D270" s="160" t="s">
        <v>3119</v>
      </c>
      <c r="E270" s="160">
        <v>160</v>
      </c>
      <c r="F270" s="160" t="s">
        <v>74</v>
      </c>
      <c r="G270" s="148">
        <v>32</v>
      </c>
      <c r="H270" s="152">
        <f>IF(C270=11700,ROUND(VLOOKUP(G270,ThongSo!$F$2:$I$15,4,0)*B270*11.7,3),0)</f>
        <v>0</v>
      </c>
      <c r="I270" s="152">
        <f>IF(F270="Sắt vụn",ROUND(VLOOKUP(G270,ThongSo!$F$2:$I$15,4,0)*B270*E270/1000,3),"-")</f>
        <v>6.0579999999999998</v>
      </c>
      <c r="L270" s="150"/>
      <c r="M270" s="150"/>
      <c r="N270" s="150"/>
    </row>
    <row r="271" spans="1:14" x14ac:dyDescent="0.25">
      <c r="A271" s="159" t="s">
        <v>183</v>
      </c>
      <c r="B271" s="160">
        <v>6</v>
      </c>
      <c r="C271" s="160">
        <v>3500</v>
      </c>
      <c r="D271" s="160" t="s">
        <v>3120</v>
      </c>
      <c r="E271" s="160">
        <v>20</v>
      </c>
      <c r="F271" s="160" t="s">
        <v>74</v>
      </c>
      <c r="G271" s="148">
        <v>32</v>
      </c>
      <c r="H271" s="152">
        <f>IF(C271=11700,ROUND(VLOOKUP(G271,ThongSo!$F$2:$I$15,4,0)*B271*11.7,3),0)</f>
        <v>0</v>
      </c>
      <c r="I271" s="152">
        <f>IF(F271="Sắt vụn",ROUND(VLOOKUP(G271,ThongSo!$F$2:$I$15,4,0)*B271*E271/1000,3),"-")</f>
        <v>0.75700000000000001</v>
      </c>
      <c r="L271" s="150"/>
      <c r="M271" s="150"/>
      <c r="N271" s="150"/>
    </row>
    <row r="272" spans="1:14" x14ac:dyDescent="0.25">
      <c r="A272" s="159" t="s">
        <v>192</v>
      </c>
      <c r="B272" s="160">
        <v>1</v>
      </c>
      <c r="C272" s="160">
        <v>3520</v>
      </c>
      <c r="D272" s="160" t="s">
        <v>3120</v>
      </c>
      <c r="E272" s="160">
        <v>40</v>
      </c>
      <c r="F272" s="160" t="s">
        <v>74</v>
      </c>
      <c r="G272" s="148">
        <v>32</v>
      </c>
      <c r="H272" s="152">
        <f>IF(C272=11700,ROUND(VLOOKUP(G272,ThongSo!$F$2:$I$15,4,0)*B272*11.7,3),0)</f>
        <v>0</v>
      </c>
      <c r="I272" s="152">
        <f>IF(F272="Sắt vụn",ROUND(VLOOKUP(G272,ThongSo!$F$2:$I$15,4,0)*B272*E272/1000,3),"-")</f>
        <v>0.252</v>
      </c>
      <c r="L272" s="150"/>
      <c r="M272" s="150"/>
      <c r="N272" s="150"/>
    </row>
    <row r="273" spans="1:14" x14ac:dyDescent="0.25">
      <c r="A273" s="159" t="s">
        <v>192</v>
      </c>
      <c r="B273" s="160">
        <v>16</v>
      </c>
      <c r="C273" s="160">
        <v>3520</v>
      </c>
      <c r="D273" s="160" t="s">
        <v>3119</v>
      </c>
      <c r="E273" s="160">
        <v>280</v>
      </c>
      <c r="F273" s="160" t="s">
        <v>74</v>
      </c>
      <c r="G273" s="148">
        <v>32</v>
      </c>
      <c r="H273" s="152">
        <f>IF(C273=11700,ROUND(VLOOKUP(G273,ThongSo!$F$2:$I$15,4,0)*B273*11.7,3),0)</f>
        <v>0</v>
      </c>
      <c r="I273" s="152">
        <f>IF(F273="Sắt vụn",ROUND(VLOOKUP(G273,ThongSo!$F$2:$I$15,4,0)*B273*E273/1000,3),"-")</f>
        <v>28.268999999999998</v>
      </c>
      <c r="L273" s="150"/>
      <c r="M273" s="150"/>
      <c r="N273" s="150"/>
    </row>
    <row r="274" spans="1:14" x14ac:dyDescent="0.25">
      <c r="A274" s="159" t="s">
        <v>192</v>
      </c>
      <c r="B274" s="160">
        <v>11</v>
      </c>
      <c r="C274" s="160">
        <v>3520</v>
      </c>
      <c r="D274" s="160" t="s">
        <v>3121</v>
      </c>
      <c r="E274" s="160">
        <v>430</v>
      </c>
      <c r="F274" s="160" t="s">
        <v>74</v>
      </c>
      <c r="G274" s="148">
        <v>32</v>
      </c>
      <c r="H274" s="152">
        <f>IF(C274=11700,ROUND(VLOOKUP(G274,ThongSo!$F$2:$I$15,4,0)*B274*11.7,3),0)</f>
        <v>0</v>
      </c>
      <c r="I274" s="152">
        <f>IF(F274="Sắt vụn",ROUND(VLOOKUP(G274,ThongSo!$F$2:$I$15,4,0)*B274*E274/1000,3),"-")</f>
        <v>29.846</v>
      </c>
      <c r="L274" s="150"/>
      <c r="M274" s="150"/>
      <c r="N274" s="150"/>
    </row>
    <row r="275" spans="1:14" x14ac:dyDescent="0.25">
      <c r="A275" s="159" t="s">
        <v>251</v>
      </c>
      <c r="B275" s="160">
        <v>6</v>
      </c>
      <c r="C275" s="160">
        <v>3630</v>
      </c>
      <c r="D275" s="160" t="s">
        <v>3122</v>
      </c>
      <c r="E275" s="160">
        <v>50</v>
      </c>
      <c r="F275" s="160" t="s">
        <v>74</v>
      </c>
      <c r="G275" s="148">
        <v>32</v>
      </c>
      <c r="H275" s="152">
        <f>IF(C275=11700,ROUND(VLOOKUP(G275,ThongSo!$F$2:$I$15,4,0)*B275*11.7,3),0)</f>
        <v>0</v>
      </c>
      <c r="I275" s="152">
        <f>IF(F275="Sắt vụn",ROUND(VLOOKUP(G275,ThongSo!$F$2:$I$15,4,0)*B275*E275/1000,3),"-")</f>
        <v>1.893</v>
      </c>
      <c r="L275" s="150"/>
      <c r="M275" s="150"/>
      <c r="N275" s="150"/>
    </row>
    <row r="276" spans="1:14" x14ac:dyDescent="0.25">
      <c r="A276" s="159" t="s">
        <v>172</v>
      </c>
      <c r="B276" s="160">
        <v>6</v>
      </c>
      <c r="C276" s="160">
        <v>3800</v>
      </c>
      <c r="D276" s="160" t="s">
        <v>3123</v>
      </c>
      <c r="E276" s="160">
        <v>110</v>
      </c>
      <c r="F276" s="160" t="s">
        <v>74</v>
      </c>
      <c r="G276" s="148">
        <v>32</v>
      </c>
      <c r="H276" s="152">
        <f>IF(C276=11700,ROUND(VLOOKUP(G276,ThongSo!$F$2:$I$15,4,0)*B276*11.7,3),0)</f>
        <v>0</v>
      </c>
      <c r="I276" s="152">
        <f>IF(F276="Sắt vụn",ROUND(VLOOKUP(G276,ThongSo!$F$2:$I$15,4,0)*B276*E276/1000,3),"-")</f>
        <v>4.165</v>
      </c>
      <c r="L276" s="150"/>
      <c r="M276" s="150"/>
      <c r="N276" s="150"/>
    </row>
    <row r="277" spans="1:14" x14ac:dyDescent="0.25">
      <c r="A277" s="159" t="s">
        <v>212</v>
      </c>
      <c r="B277" s="160">
        <v>10</v>
      </c>
      <c r="C277" s="160">
        <v>3850</v>
      </c>
      <c r="D277" s="160" t="s">
        <v>3124</v>
      </c>
      <c r="E277" s="160">
        <v>10</v>
      </c>
      <c r="F277" s="160" t="s">
        <v>74</v>
      </c>
      <c r="G277" s="148">
        <v>32</v>
      </c>
      <c r="H277" s="152">
        <f>IF(C277=11700,ROUND(VLOOKUP(G277,ThongSo!$F$2:$I$15,4,0)*B277*11.7,3),0)</f>
        <v>0</v>
      </c>
      <c r="I277" s="152">
        <f>IF(F277="Sắt vụn",ROUND(VLOOKUP(G277,ThongSo!$F$2:$I$15,4,0)*B277*E277/1000,3),"-")</f>
        <v>0.63100000000000001</v>
      </c>
      <c r="L277" s="150"/>
      <c r="M277" s="150"/>
      <c r="N277" s="150"/>
    </row>
    <row r="278" spans="1:14" x14ac:dyDescent="0.25">
      <c r="A278" s="159" t="s">
        <v>337</v>
      </c>
      <c r="B278" s="160">
        <v>1</v>
      </c>
      <c r="C278" s="160">
        <v>3920</v>
      </c>
      <c r="D278" s="160" t="s">
        <v>3125</v>
      </c>
      <c r="E278" s="160">
        <v>20</v>
      </c>
      <c r="F278" s="160" t="s">
        <v>74</v>
      </c>
      <c r="G278" s="148">
        <v>32</v>
      </c>
      <c r="H278" s="152">
        <f>IF(C278=11700,ROUND(VLOOKUP(G278,ThongSo!$F$2:$I$15,4,0)*B278*11.7,3),0)</f>
        <v>0</v>
      </c>
      <c r="I278" s="152">
        <f>IF(F278="Sắt vụn",ROUND(VLOOKUP(G278,ThongSo!$F$2:$I$15,4,0)*B278*E278/1000,3),"-")</f>
        <v>0.126</v>
      </c>
      <c r="L278" s="150"/>
      <c r="M278" s="150"/>
      <c r="N278" s="150"/>
    </row>
    <row r="279" spans="1:14" x14ac:dyDescent="0.25">
      <c r="A279" s="159" t="s">
        <v>329</v>
      </c>
      <c r="B279" s="160">
        <v>1</v>
      </c>
      <c r="C279" s="160">
        <v>4280</v>
      </c>
      <c r="D279" s="160" t="s">
        <v>3126</v>
      </c>
      <c r="E279" s="160">
        <v>30</v>
      </c>
      <c r="F279" s="160" t="s">
        <v>74</v>
      </c>
      <c r="G279" s="148">
        <v>32</v>
      </c>
      <c r="H279" s="152">
        <f>IF(C279=11700,ROUND(VLOOKUP(G279,ThongSo!$F$2:$I$15,4,0)*B279*11.7,3),0)</f>
        <v>0</v>
      </c>
      <c r="I279" s="152">
        <f>IF(F279="Sắt vụn",ROUND(VLOOKUP(G279,ThongSo!$F$2:$I$15,4,0)*B279*E279/1000,3),"-")</f>
        <v>0.189</v>
      </c>
      <c r="L279" s="150"/>
      <c r="M279" s="150"/>
      <c r="N279" s="150"/>
    </row>
    <row r="280" spans="1:14" x14ac:dyDescent="0.25">
      <c r="A280" s="159" t="s">
        <v>352</v>
      </c>
      <c r="B280" s="160">
        <v>7</v>
      </c>
      <c r="C280" s="160">
        <v>4350</v>
      </c>
      <c r="D280" s="160" t="s">
        <v>3127</v>
      </c>
      <c r="E280" s="160">
        <v>35</v>
      </c>
      <c r="F280" s="160" t="s">
        <v>74</v>
      </c>
      <c r="G280" s="148">
        <v>32</v>
      </c>
      <c r="H280" s="152">
        <f>IF(C280=11700,ROUND(VLOOKUP(G280,ThongSo!$F$2:$I$15,4,0)*B280*11.7,3),0)</f>
        <v>0</v>
      </c>
      <c r="I280" s="152">
        <f>IF(F280="Sắt vụn",ROUND(VLOOKUP(G280,ThongSo!$F$2:$I$15,4,0)*B280*E280/1000,3),"-")</f>
        <v>1.546</v>
      </c>
      <c r="L280" s="150"/>
      <c r="M280" s="150"/>
      <c r="N280" s="150"/>
    </row>
    <row r="281" spans="1:14" x14ac:dyDescent="0.25">
      <c r="A281" s="159" t="s">
        <v>339</v>
      </c>
      <c r="B281" s="160">
        <v>6</v>
      </c>
      <c r="C281" s="160">
        <v>4370</v>
      </c>
      <c r="D281" s="160" t="s">
        <v>3127</v>
      </c>
      <c r="E281" s="160">
        <v>55</v>
      </c>
      <c r="F281" s="160" t="s">
        <v>74</v>
      </c>
      <c r="G281" s="148">
        <v>32</v>
      </c>
      <c r="H281" s="152">
        <f>IF(C281=11700,ROUND(VLOOKUP(G281,ThongSo!$F$2:$I$15,4,0)*B281*11.7,3),0)</f>
        <v>0</v>
      </c>
      <c r="I281" s="152">
        <f>IF(F281="Sắt vụn",ROUND(VLOOKUP(G281,ThongSo!$F$2:$I$15,4,0)*B281*E281/1000,3),"-")</f>
        <v>2.0819999999999999</v>
      </c>
      <c r="L281" s="150"/>
      <c r="M281" s="150"/>
      <c r="N281" s="150"/>
    </row>
    <row r="282" spans="1:14" x14ac:dyDescent="0.25">
      <c r="A282" s="159" t="s">
        <v>339</v>
      </c>
      <c r="B282" s="160">
        <v>1</v>
      </c>
      <c r="C282" s="160">
        <v>4370</v>
      </c>
      <c r="D282" s="160" t="s">
        <v>3126</v>
      </c>
      <c r="E282" s="160">
        <v>120</v>
      </c>
      <c r="F282" s="160" t="s">
        <v>74</v>
      </c>
      <c r="G282" s="148">
        <v>32</v>
      </c>
      <c r="H282" s="152">
        <f>IF(C282=11700,ROUND(VLOOKUP(G282,ThongSo!$F$2:$I$15,4,0)*B282*11.7,3),0)</f>
        <v>0</v>
      </c>
      <c r="I282" s="152">
        <f>IF(F282="Sắt vụn",ROUND(VLOOKUP(G282,ThongSo!$F$2:$I$15,4,0)*B282*E282/1000,3),"-")</f>
        <v>0.75700000000000001</v>
      </c>
      <c r="L282" s="150"/>
      <c r="M282" s="150"/>
      <c r="N282" s="150"/>
    </row>
    <row r="283" spans="1:14" x14ac:dyDescent="0.25">
      <c r="A283" s="159" t="s">
        <v>339</v>
      </c>
      <c r="B283" s="160">
        <v>2</v>
      </c>
      <c r="C283" s="160">
        <v>4370</v>
      </c>
      <c r="D283" s="160" t="s">
        <v>3128</v>
      </c>
      <c r="E283" s="160">
        <v>290</v>
      </c>
      <c r="F283" s="160" t="s">
        <v>74</v>
      </c>
      <c r="G283" s="148">
        <v>32</v>
      </c>
      <c r="H283" s="152">
        <f>IF(C283=11700,ROUND(VLOOKUP(G283,ThongSo!$F$2:$I$15,4,0)*B283*11.7,3),0)</f>
        <v>0</v>
      </c>
      <c r="I283" s="152">
        <f>IF(F283="Sắt vụn",ROUND(VLOOKUP(G283,ThongSo!$F$2:$I$15,4,0)*B283*E283/1000,3),"-")</f>
        <v>3.66</v>
      </c>
      <c r="L283" s="150"/>
      <c r="M283" s="150"/>
      <c r="N283" s="150"/>
    </row>
    <row r="284" spans="1:14" x14ac:dyDescent="0.25">
      <c r="A284" s="159" t="s">
        <v>330</v>
      </c>
      <c r="B284" s="160">
        <v>7</v>
      </c>
      <c r="C284" s="160">
        <v>4450</v>
      </c>
      <c r="D284" s="160" t="s">
        <v>3129</v>
      </c>
      <c r="E284" s="160">
        <v>0</v>
      </c>
      <c r="F284" s="160"/>
      <c r="G284" s="148">
        <v>32</v>
      </c>
      <c r="H284" s="152">
        <f>IF(C284=11700,ROUND(VLOOKUP(G284,ThongSo!$F$2:$I$15,4,0)*B284*11.7,3),0)</f>
        <v>0</v>
      </c>
      <c r="I284" s="152" t="str">
        <f>IF(F284="Sắt vụn",ROUND(VLOOKUP(G284,ThongSo!$F$2:$I$15,4,0)*B284*E284/1000,3),"-")</f>
        <v>-</v>
      </c>
      <c r="L284" s="150"/>
      <c r="M284" s="150"/>
      <c r="N284" s="150"/>
    </row>
    <row r="285" spans="1:14" x14ac:dyDescent="0.25">
      <c r="A285" s="159" t="s">
        <v>330</v>
      </c>
      <c r="B285" s="160">
        <v>2</v>
      </c>
      <c r="C285" s="160">
        <v>4450</v>
      </c>
      <c r="D285" s="160" t="s">
        <v>3130</v>
      </c>
      <c r="E285" s="160">
        <v>25</v>
      </c>
      <c r="F285" s="160" t="s">
        <v>74</v>
      </c>
      <c r="G285" s="148">
        <v>32</v>
      </c>
      <c r="H285" s="152">
        <f>IF(C285=11700,ROUND(VLOOKUP(G285,ThongSo!$F$2:$I$15,4,0)*B285*11.7,3),0)</f>
        <v>0</v>
      </c>
      <c r="I285" s="152">
        <f>IF(F285="Sắt vụn",ROUND(VLOOKUP(G285,ThongSo!$F$2:$I$15,4,0)*B285*E285/1000,3),"-")</f>
        <v>0.316</v>
      </c>
      <c r="L285" s="150"/>
      <c r="M285" s="150"/>
      <c r="N285" s="150"/>
    </row>
    <row r="286" spans="1:14" x14ac:dyDescent="0.25">
      <c r="A286" s="159" t="s">
        <v>330</v>
      </c>
      <c r="B286" s="160">
        <v>5</v>
      </c>
      <c r="C286" s="160">
        <v>4450</v>
      </c>
      <c r="D286" s="160" t="s">
        <v>3128</v>
      </c>
      <c r="E286" s="160">
        <v>370</v>
      </c>
      <c r="F286" s="160" t="s">
        <v>74</v>
      </c>
      <c r="G286" s="148">
        <v>32</v>
      </c>
      <c r="H286" s="152">
        <f>IF(C286=11700,ROUND(VLOOKUP(G286,ThongSo!$F$2:$I$15,4,0)*B286*11.7,3),0)</f>
        <v>0</v>
      </c>
      <c r="I286" s="152">
        <f>IF(F286="Sắt vụn",ROUND(VLOOKUP(G286,ThongSo!$F$2:$I$15,4,0)*B286*E286/1000,3),"-")</f>
        <v>11.673999999999999</v>
      </c>
      <c r="L286" s="150"/>
      <c r="M286" s="150"/>
      <c r="N286" s="150"/>
    </row>
    <row r="287" spans="1:14" x14ac:dyDescent="0.25">
      <c r="A287" s="159" t="s">
        <v>173</v>
      </c>
      <c r="B287" s="160">
        <v>8</v>
      </c>
      <c r="C287" s="160">
        <v>4550</v>
      </c>
      <c r="D287" s="160" t="s">
        <v>3131</v>
      </c>
      <c r="E287" s="160">
        <v>50</v>
      </c>
      <c r="F287" s="160" t="s">
        <v>74</v>
      </c>
      <c r="G287" s="148">
        <v>32</v>
      </c>
      <c r="H287" s="152">
        <f>IF(C287=11700,ROUND(VLOOKUP(G287,ThongSo!$F$2:$I$15,4,0)*B287*11.7,3),0)</f>
        <v>0</v>
      </c>
      <c r="I287" s="152">
        <f>IF(F287="Sắt vụn",ROUND(VLOOKUP(G287,ThongSo!$F$2:$I$15,4,0)*B287*E287/1000,3),"-")</f>
        <v>2.524</v>
      </c>
      <c r="L287" s="150"/>
      <c r="M287" s="150"/>
      <c r="N287" s="150"/>
    </row>
    <row r="288" spans="1:14" x14ac:dyDescent="0.25">
      <c r="A288" s="159" t="s">
        <v>252</v>
      </c>
      <c r="B288" s="160">
        <v>1</v>
      </c>
      <c r="C288" s="160">
        <v>4630</v>
      </c>
      <c r="D288" s="160" t="s">
        <v>3132</v>
      </c>
      <c r="E288" s="160">
        <v>40</v>
      </c>
      <c r="F288" s="160" t="s">
        <v>74</v>
      </c>
      <c r="G288" s="148">
        <v>32</v>
      </c>
      <c r="H288" s="152">
        <f>IF(C288=11700,ROUND(VLOOKUP(G288,ThongSo!$F$2:$I$15,4,0)*B288*11.7,3),0)</f>
        <v>0</v>
      </c>
      <c r="I288" s="152">
        <f>IF(F288="Sắt vụn",ROUND(VLOOKUP(G288,ThongSo!$F$2:$I$15,4,0)*B288*E288/1000,3),"-")</f>
        <v>0.252</v>
      </c>
      <c r="L288" s="150"/>
      <c r="M288" s="150"/>
      <c r="N288" s="150"/>
    </row>
    <row r="289" spans="1:14" x14ac:dyDescent="0.25">
      <c r="A289" s="159" t="s">
        <v>210</v>
      </c>
      <c r="B289" s="160">
        <v>7</v>
      </c>
      <c r="C289" s="160">
        <v>4650</v>
      </c>
      <c r="D289" s="160" t="s">
        <v>3132</v>
      </c>
      <c r="E289" s="160">
        <v>60</v>
      </c>
      <c r="F289" s="160" t="s">
        <v>74</v>
      </c>
      <c r="G289" s="148">
        <v>32</v>
      </c>
      <c r="H289" s="152">
        <f>IF(C289=11700,ROUND(VLOOKUP(G289,ThongSo!$F$2:$I$15,4,0)*B289*11.7,3),0)</f>
        <v>0</v>
      </c>
      <c r="I289" s="152">
        <f>IF(F289="Sắt vụn",ROUND(VLOOKUP(G289,ThongSo!$F$2:$I$15,4,0)*B289*E289/1000,3),"-")</f>
        <v>2.65</v>
      </c>
      <c r="L289" s="150"/>
      <c r="M289" s="150"/>
      <c r="N289" s="150"/>
    </row>
    <row r="290" spans="1:14" x14ac:dyDescent="0.25">
      <c r="A290" s="159" t="s">
        <v>147</v>
      </c>
      <c r="B290" s="160">
        <v>6</v>
      </c>
      <c r="C290" s="160">
        <v>4830</v>
      </c>
      <c r="D290" s="160" t="s">
        <v>3133</v>
      </c>
      <c r="E290" s="160">
        <v>30</v>
      </c>
      <c r="F290" s="160" t="s">
        <v>74</v>
      </c>
      <c r="G290" s="148">
        <v>32</v>
      </c>
      <c r="H290" s="152">
        <f>IF(C290=11700,ROUND(VLOOKUP(G290,ThongSo!$F$2:$I$15,4,0)*B290*11.7,3),0)</f>
        <v>0</v>
      </c>
      <c r="I290" s="152">
        <f>IF(F290="Sắt vụn",ROUND(VLOOKUP(G290,ThongSo!$F$2:$I$15,4,0)*B290*E290/1000,3),"-")</f>
        <v>1.1359999999999999</v>
      </c>
      <c r="L290" s="150"/>
      <c r="M290" s="150"/>
      <c r="N290" s="150"/>
    </row>
    <row r="291" spans="1:14" x14ac:dyDescent="0.25">
      <c r="A291" s="159" t="s">
        <v>3110</v>
      </c>
      <c r="B291" s="160">
        <v>3</v>
      </c>
      <c r="C291" s="160">
        <v>5080</v>
      </c>
      <c r="D291" s="160" t="s">
        <v>3133</v>
      </c>
      <c r="E291" s="160">
        <v>280</v>
      </c>
      <c r="F291" s="160" t="s">
        <v>74</v>
      </c>
      <c r="G291" s="148">
        <v>32</v>
      </c>
      <c r="H291" s="152">
        <f>IF(C291=11700,ROUND(VLOOKUP(G291,ThongSo!$F$2:$I$15,4,0)*B291*11.7,3),0)</f>
        <v>0</v>
      </c>
      <c r="I291" s="152">
        <f>IF(F291="Sắt vụn",ROUND(VLOOKUP(G291,ThongSo!$F$2:$I$15,4,0)*B291*E291/1000,3),"-")</f>
        <v>5.3</v>
      </c>
      <c r="L291" s="150"/>
      <c r="M291" s="150"/>
      <c r="N291" s="150"/>
    </row>
    <row r="292" spans="1:14" x14ac:dyDescent="0.25">
      <c r="A292" s="159" t="s">
        <v>359</v>
      </c>
      <c r="B292" s="160">
        <v>7</v>
      </c>
      <c r="C292" s="160">
        <v>5230</v>
      </c>
      <c r="D292" s="160" t="s">
        <v>3134</v>
      </c>
      <c r="E292" s="160">
        <v>30</v>
      </c>
      <c r="F292" s="160" t="s">
        <v>74</v>
      </c>
      <c r="G292" s="148">
        <v>32</v>
      </c>
      <c r="H292" s="152">
        <f>IF(C292=11700,ROUND(VLOOKUP(G292,ThongSo!$F$2:$I$15,4,0)*B292*11.7,3),0)</f>
        <v>0</v>
      </c>
      <c r="I292" s="152">
        <f>IF(F292="Sắt vụn",ROUND(VLOOKUP(G292,ThongSo!$F$2:$I$15,4,0)*B292*E292/1000,3),"-")</f>
        <v>1.325</v>
      </c>
      <c r="L292" s="150"/>
      <c r="M292" s="150"/>
      <c r="N292" s="150"/>
    </row>
    <row r="293" spans="1:14" x14ac:dyDescent="0.25">
      <c r="A293" s="159" t="s">
        <v>3111</v>
      </c>
      <c r="B293" s="160">
        <v>1</v>
      </c>
      <c r="C293" s="160">
        <v>6450</v>
      </c>
      <c r="D293" s="160" t="s">
        <v>3135</v>
      </c>
      <c r="E293" s="160">
        <v>90</v>
      </c>
      <c r="F293" s="160" t="s">
        <v>74</v>
      </c>
      <c r="G293" s="148">
        <v>32</v>
      </c>
      <c r="H293" s="152">
        <f>IF(C293=11700,ROUND(VLOOKUP(G293,ThongSo!$F$2:$I$15,4,0)*B293*11.7,3),0)</f>
        <v>0</v>
      </c>
      <c r="I293" s="152">
        <f>IF(F293="Sắt vụn",ROUND(VLOOKUP(G293,ThongSo!$F$2:$I$15,4,0)*B293*E293/1000,3),"-")</f>
        <v>0.56799999999999995</v>
      </c>
      <c r="L293" s="150"/>
      <c r="M293" s="150"/>
      <c r="N293" s="150"/>
    </row>
    <row r="294" spans="1:14" x14ac:dyDescent="0.25">
      <c r="A294" s="159">
        <v>40</v>
      </c>
      <c r="B294" s="160">
        <v>5</v>
      </c>
      <c r="C294" s="160">
        <v>11700</v>
      </c>
      <c r="D294" s="160" t="s">
        <v>3136</v>
      </c>
      <c r="E294" s="160">
        <v>0</v>
      </c>
      <c r="F294" s="160"/>
      <c r="G294" s="148">
        <v>32</v>
      </c>
      <c r="H294" s="152">
        <f>IF(C294=11700,ROUND(VLOOKUP(G294,ThongSo!$F$2:$I$15,4,0)*B294*11.7,3),0)</f>
        <v>369.13499999999999</v>
      </c>
      <c r="I294" s="152" t="str">
        <f>IF(F294="Sắt vụn",ROUND(VLOOKUP(G294,ThongSo!$F$2:$I$15,4,0)*B294*E294/1000,3),"-")</f>
        <v>-</v>
      </c>
      <c r="L294" s="150"/>
      <c r="M294" s="150"/>
      <c r="N294" s="150"/>
    </row>
    <row r="295" spans="1:14" x14ac:dyDescent="0.25">
      <c r="A295" s="159">
        <v>41</v>
      </c>
      <c r="B295" s="160">
        <v>2</v>
      </c>
      <c r="C295" s="160">
        <v>11700</v>
      </c>
      <c r="D295" s="160" t="s">
        <v>3137</v>
      </c>
      <c r="E295" s="160">
        <v>0</v>
      </c>
      <c r="F295" s="160"/>
      <c r="G295" s="148">
        <v>32</v>
      </c>
      <c r="H295" s="152">
        <f>IF(C295=11700,ROUND(VLOOKUP(G295,ThongSo!$F$2:$I$15,4,0)*B295*11.7,3),0)</f>
        <v>147.654</v>
      </c>
      <c r="I295" s="152" t="str">
        <f>IF(F295="Sắt vụn",ROUND(VLOOKUP(G295,ThongSo!$F$2:$I$15,4,0)*B295*E295/1000,3),"-")</f>
        <v>-</v>
      </c>
      <c r="L295" s="150"/>
      <c r="M295" s="150"/>
      <c r="N295" s="150"/>
    </row>
    <row r="296" spans="1:14" x14ac:dyDescent="0.25">
      <c r="A296" s="159">
        <v>42</v>
      </c>
      <c r="B296" s="160">
        <v>7</v>
      </c>
      <c r="C296" s="160">
        <v>11700</v>
      </c>
      <c r="D296" s="160" t="s">
        <v>3138</v>
      </c>
      <c r="E296" s="160">
        <v>0</v>
      </c>
      <c r="F296" s="160"/>
      <c r="G296" s="148">
        <v>32</v>
      </c>
      <c r="H296" s="152">
        <f>IF(C296=11700,ROUND(VLOOKUP(G296,ThongSo!$F$2:$I$15,4,0)*B296*11.7,3),0)</f>
        <v>516.78899999999999</v>
      </c>
      <c r="I296" s="152" t="str">
        <f>IF(F296="Sắt vụn",ROUND(VLOOKUP(G296,ThongSo!$F$2:$I$15,4,0)*B296*E296/1000,3),"-")</f>
        <v>-</v>
      </c>
      <c r="L296" s="150"/>
      <c r="M296" s="150"/>
      <c r="N296" s="150"/>
    </row>
    <row r="297" spans="1:14" x14ac:dyDescent="0.25">
      <c r="A297" s="159">
        <v>43</v>
      </c>
      <c r="B297" s="160">
        <v>2</v>
      </c>
      <c r="C297" s="160">
        <v>11700</v>
      </c>
      <c r="D297" s="160" t="s">
        <v>3139</v>
      </c>
      <c r="E297" s="160">
        <v>0</v>
      </c>
      <c r="F297" s="160"/>
      <c r="G297" s="148">
        <v>32</v>
      </c>
      <c r="H297" s="152">
        <f>IF(C297=11700,ROUND(VLOOKUP(G297,ThongSo!$F$2:$I$15,4,0)*B297*11.7,3),0)</f>
        <v>147.654</v>
      </c>
      <c r="I297" s="152" t="str">
        <f>IF(F297="Sắt vụn",ROUND(VLOOKUP(G297,ThongSo!$F$2:$I$15,4,0)*B297*E297/1000,3),"-")</f>
        <v>-</v>
      </c>
      <c r="L297" s="150"/>
      <c r="M297" s="150"/>
      <c r="N297" s="150"/>
    </row>
    <row r="298" spans="1:14" x14ac:dyDescent="0.25">
      <c r="A298" s="159">
        <v>44</v>
      </c>
      <c r="B298" s="160">
        <v>4</v>
      </c>
      <c r="C298" s="160">
        <v>11700</v>
      </c>
      <c r="D298" s="160" t="s">
        <v>3140</v>
      </c>
      <c r="E298" s="160">
        <v>0</v>
      </c>
      <c r="F298" s="160"/>
      <c r="G298" s="148">
        <v>32</v>
      </c>
      <c r="H298" s="152">
        <f>IF(C298=11700,ROUND(VLOOKUP(G298,ThongSo!$F$2:$I$15,4,0)*B298*11.7,3),0)</f>
        <v>295.30799999999999</v>
      </c>
      <c r="I298" s="152" t="str">
        <f>IF(F298="Sắt vụn",ROUND(VLOOKUP(G298,ThongSo!$F$2:$I$15,4,0)*B298*E298/1000,3),"-")</f>
        <v>-</v>
      </c>
      <c r="L298" s="150"/>
      <c r="M298" s="150"/>
      <c r="N298" s="150"/>
    </row>
    <row r="299" spans="1:14" x14ac:dyDescent="0.25">
      <c r="A299" s="159">
        <v>45</v>
      </c>
      <c r="B299" s="160">
        <v>3</v>
      </c>
      <c r="C299" s="160">
        <v>11700</v>
      </c>
      <c r="D299" s="160" t="s">
        <v>3141</v>
      </c>
      <c r="E299" s="160">
        <v>0</v>
      </c>
      <c r="F299" s="160"/>
      <c r="G299" s="148">
        <v>32</v>
      </c>
      <c r="H299" s="152">
        <f>IF(C299=11700,ROUND(VLOOKUP(G299,ThongSo!$F$2:$I$15,4,0)*B299*11.7,3),0)</f>
        <v>221.48099999999999</v>
      </c>
      <c r="I299" s="152" t="str">
        <f>IF(F299="Sắt vụn",ROUND(VLOOKUP(G299,ThongSo!$F$2:$I$15,4,0)*B299*E299/1000,3),"-")</f>
        <v>-</v>
      </c>
      <c r="L299" s="150"/>
      <c r="M299" s="150"/>
      <c r="N299" s="150"/>
    </row>
    <row r="300" spans="1:14" x14ac:dyDescent="0.25">
      <c r="A300" s="159">
        <v>46</v>
      </c>
      <c r="B300" s="160">
        <v>12</v>
      </c>
      <c r="C300" s="160">
        <v>11700</v>
      </c>
      <c r="D300" s="160" t="s">
        <v>3142</v>
      </c>
      <c r="E300" s="160">
        <v>0</v>
      </c>
      <c r="F300" s="160"/>
      <c r="G300" s="148">
        <v>32</v>
      </c>
      <c r="H300" s="152">
        <f>IF(C300=11700,ROUND(VLOOKUP(G300,ThongSo!$F$2:$I$15,4,0)*B300*11.7,3),0)</f>
        <v>885.92399999999998</v>
      </c>
      <c r="I300" s="152" t="str">
        <f>IF(F300="Sắt vụn",ROUND(VLOOKUP(G300,ThongSo!$F$2:$I$15,4,0)*B300*E300/1000,3),"-")</f>
        <v>-</v>
      </c>
      <c r="L300" s="150"/>
      <c r="M300" s="150"/>
      <c r="N300" s="150"/>
    </row>
    <row r="301" spans="1:14" x14ac:dyDescent="0.25">
      <c r="A301" s="159">
        <v>47</v>
      </c>
      <c r="B301" s="160">
        <v>6</v>
      </c>
      <c r="C301" s="160">
        <v>11700</v>
      </c>
      <c r="D301" s="160" t="s">
        <v>3143</v>
      </c>
      <c r="E301" s="160">
        <v>0</v>
      </c>
      <c r="F301" s="160"/>
      <c r="G301" s="148">
        <v>32</v>
      </c>
      <c r="H301" s="152">
        <f>IF(C301=11700,ROUND(VLOOKUP(G301,ThongSo!$F$2:$I$15,4,0)*B301*11.7,3),0)</f>
        <v>442.96199999999999</v>
      </c>
      <c r="I301" s="152" t="str">
        <f>IF(F301="Sắt vụn",ROUND(VLOOKUP(G301,ThongSo!$F$2:$I$15,4,0)*B301*E301/1000,3),"-")</f>
        <v>-</v>
      </c>
      <c r="L301" s="150"/>
      <c r="M301" s="150"/>
      <c r="N301" s="150"/>
    </row>
    <row r="302" spans="1:14" x14ac:dyDescent="0.25">
      <c r="A302" s="159">
        <v>48</v>
      </c>
      <c r="B302" s="160">
        <v>1</v>
      </c>
      <c r="C302" s="160">
        <v>11700</v>
      </c>
      <c r="D302" s="160" t="s">
        <v>3144</v>
      </c>
      <c r="E302" s="160">
        <v>0</v>
      </c>
      <c r="F302" s="160"/>
      <c r="G302" s="148">
        <v>32</v>
      </c>
      <c r="H302" s="152">
        <f>IF(C302=11700,ROUND(VLOOKUP(G302,ThongSo!$F$2:$I$15,4,0)*B302*11.7,3),0)</f>
        <v>73.826999999999998</v>
      </c>
      <c r="I302" s="152" t="str">
        <f>IF(F302="Sắt vụn",ROUND(VLOOKUP(G302,ThongSo!$F$2:$I$15,4,0)*B302*E302/1000,3),"-")</f>
        <v>-</v>
      </c>
      <c r="L302" s="150"/>
      <c r="M302" s="150"/>
      <c r="N302" s="150"/>
    </row>
    <row r="303" spans="1:14" x14ac:dyDescent="0.25">
      <c r="A303" s="159">
        <v>49</v>
      </c>
      <c r="B303" s="160">
        <v>1</v>
      </c>
      <c r="C303" s="160">
        <v>11700</v>
      </c>
      <c r="D303" s="160" t="s">
        <v>3145</v>
      </c>
      <c r="E303" s="160">
        <v>0</v>
      </c>
      <c r="F303" s="160"/>
      <c r="G303" s="148">
        <v>32</v>
      </c>
      <c r="H303" s="152">
        <f>IF(C303=11700,ROUND(VLOOKUP(G303,ThongSo!$F$2:$I$15,4,0)*B303*11.7,3),0)</f>
        <v>73.826999999999998</v>
      </c>
      <c r="I303" s="152" t="str">
        <f>IF(F303="Sắt vụn",ROUND(VLOOKUP(G303,ThongSo!$F$2:$I$15,4,0)*B303*E303/1000,3),"-")</f>
        <v>-</v>
      </c>
      <c r="L303" s="150"/>
      <c r="M303" s="150"/>
      <c r="N303" s="150"/>
    </row>
    <row r="304" spans="1:14" x14ac:dyDescent="0.25">
      <c r="A304" s="159">
        <v>50</v>
      </c>
      <c r="B304" s="160">
        <v>4</v>
      </c>
      <c r="C304" s="160">
        <v>11700</v>
      </c>
      <c r="D304" s="160" t="s">
        <v>3146</v>
      </c>
      <c r="E304" s="160">
        <v>10</v>
      </c>
      <c r="F304" s="160" t="s">
        <v>74</v>
      </c>
      <c r="G304" s="148">
        <v>32</v>
      </c>
      <c r="H304" s="152">
        <f>IF(C304=11700,ROUND(VLOOKUP(G304,ThongSo!$F$2:$I$15,4,0)*B304*11.7,3),0)</f>
        <v>295.30799999999999</v>
      </c>
      <c r="I304" s="152">
        <f>IF(F304="Sắt vụn",ROUND(VLOOKUP(G304,ThongSo!$F$2:$I$15,4,0)*B304*E304/1000,3),"-")</f>
        <v>0.252</v>
      </c>
      <c r="L304" s="150"/>
      <c r="M304" s="150"/>
      <c r="N304" s="150"/>
    </row>
    <row r="305" spans="1:14" x14ac:dyDescent="0.25">
      <c r="A305" s="159">
        <v>51</v>
      </c>
      <c r="B305" s="160">
        <v>6</v>
      </c>
      <c r="C305" s="160">
        <v>11700</v>
      </c>
      <c r="D305" s="160" t="s">
        <v>3147</v>
      </c>
      <c r="E305" s="160">
        <v>10</v>
      </c>
      <c r="F305" s="160" t="s">
        <v>74</v>
      </c>
      <c r="G305" s="148">
        <v>32</v>
      </c>
      <c r="H305" s="152">
        <f>IF(C305=11700,ROUND(VLOOKUP(G305,ThongSo!$F$2:$I$15,4,0)*B305*11.7,3),0)</f>
        <v>442.96199999999999</v>
      </c>
      <c r="I305" s="152">
        <f>IF(F305="Sắt vụn",ROUND(VLOOKUP(G305,ThongSo!$F$2:$I$15,4,0)*B305*E305/1000,3),"-")</f>
        <v>0.379</v>
      </c>
      <c r="L305" s="150"/>
      <c r="M305" s="150"/>
      <c r="N305" s="150"/>
    </row>
    <row r="306" spans="1:14" x14ac:dyDescent="0.25">
      <c r="A306" s="159">
        <v>52</v>
      </c>
      <c r="B306" s="160">
        <v>5</v>
      </c>
      <c r="C306" s="160">
        <v>11700</v>
      </c>
      <c r="D306" s="160" t="s">
        <v>3148</v>
      </c>
      <c r="E306" s="160">
        <v>10</v>
      </c>
      <c r="F306" s="160" t="s">
        <v>74</v>
      </c>
      <c r="G306" s="148">
        <v>32</v>
      </c>
      <c r="H306" s="152">
        <f>IF(C306=11700,ROUND(VLOOKUP(G306,ThongSo!$F$2:$I$15,4,0)*B306*11.7,3),0)</f>
        <v>369.13499999999999</v>
      </c>
      <c r="I306" s="152">
        <f>IF(F306="Sắt vụn",ROUND(VLOOKUP(G306,ThongSo!$F$2:$I$15,4,0)*B306*E306/1000,3),"-")</f>
        <v>0.316</v>
      </c>
      <c r="L306" s="150"/>
      <c r="M306" s="150"/>
      <c r="N306" s="150"/>
    </row>
    <row r="307" spans="1:14" x14ac:dyDescent="0.25">
      <c r="A307" s="159">
        <v>53</v>
      </c>
      <c r="B307" s="160">
        <v>1</v>
      </c>
      <c r="C307" s="160">
        <v>11700</v>
      </c>
      <c r="D307" s="160" t="s">
        <v>3149</v>
      </c>
      <c r="E307" s="160">
        <v>10</v>
      </c>
      <c r="F307" s="160" t="s">
        <v>74</v>
      </c>
      <c r="G307" s="148">
        <v>32</v>
      </c>
      <c r="H307" s="152">
        <f>IF(C307=11700,ROUND(VLOOKUP(G307,ThongSo!$F$2:$I$15,4,0)*B307*11.7,3),0)</f>
        <v>73.826999999999998</v>
      </c>
      <c r="I307" s="152">
        <f>IF(F307="Sắt vụn",ROUND(VLOOKUP(G307,ThongSo!$F$2:$I$15,4,0)*B307*E307/1000,3),"-")</f>
        <v>6.3E-2</v>
      </c>
      <c r="L307" s="150"/>
      <c r="M307" s="150"/>
      <c r="N307" s="150"/>
    </row>
    <row r="308" spans="1:14" x14ac:dyDescent="0.25">
      <c r="A308" s="159">
        <v>54</v>
      </c>
      <c r="B308" s="160">
        <v>10</v>
      </c>
      <c r="C308" s="160">
        <v>11700</v>
      </c>
      <c r="D308" s="160" t="s">
        <v>3150</v>
      </c>
      <c r="E308" s="160">
        <v>20</v>
      </c>
      <c r="F308" s="160" t="s">
        <v>74</v>
      </c>
      <c r="G308" s="148">
        <v>32</v>
      </c>
      <c r="H308" s="152">
        <f>IF(C308=11700,ROUND(VLOOKUP(G308,ThongSo!$F$2:$I$15,4,0)*B308*11.7,3),0)</f>
        <v>738.27</v>
      </c>
      <c r="I308" s="152">
        <f>IF(F308="Sắt vụn",ROUND(VLOOKUP(G308,ThongSo!$F$2:$I$15,4,0)*B308*E308/1000,3),"-")</f>
        <v>1.262</v>
      </c>
      <c r="L308" s="150"/>
      <c r="M308" s="150"/>
      <c r="N308" s="150"/>
    </row>
    <row r="309" spans="1:14" x14ac:dyDescent="0.25">
      <c r="A309" s="159">
        <v>55</v>
      </c>
      <c r="B309" s="160">
        <v>4</v>
      </c>
      <c r="C309" s="160">
        <v>11700</v>
      </c>
      <c r="D309" s="160" t="s">
        <v>3151</v>
      </c>
      <c r="E309" s="160">
        <v>20</v>
      </c>
      <c r="F309" s="160" t="s">
        <v>74</v>
      </c>
      <c r="G309" s="148">
        <v>32</v>
      </c>
      <c r="H309" s="152">
        <f>IF(C309=11700,ROUND(VLOOKUP(G309,ThongSo!$F$2:$I$15,4,0)*B309*11.7,3),0)</f>
        <v>295.30799999999999</v>
      </c>
      <c r="I309" s="152">
        <f>IF(F309="Sắt vụn",ROUND(VLOOKUP(G309,ThongSo!$F$2:$I$15,4,0)*B309*E309/1000,3),"-")</f>
        <v>0.505</v>
      </c>
      <c r="L309" s="150"/>
      <c r="M309" s="150"/>
      <c r="N309" s="150"/>
    </row>
    <row r="310" spans="1:14" x14ac:dyDescent="0.25">
      <c r="A310" s="159">
        <v>56</v>
      </c>
      <c r="B310" s="160">
        <v>4</v>
      </c>
      <c r="C310" s="160">
        <v>11700</v>
      </c>
      <c r="D310" s="160" t="s">
        <v>3152</v>
      </c>
      <c r="E310" s="160">
        <v>20</v>
      </c>
      <c r="F310" s="160" t="s">
        <v>74</v>
      </c>
      <c r="G310" s="148">
        <v>32</v>
      </c>
      <c r="H310" s="152">
        <f>IF(C310=11700,ROUND(VLOOKUP(G310,ThongSo!$F$2:$I$15,4,0)*B310*11.7,3),0)</f>
        <v>295.30799999999999</v>
      </c>
      <c r="I310" s="152">
        <f>IF(F310="Sắt vụn",ROUND(VLOOKUP(G310,ThongSo!$F$2:$I$15,4,0)*B310*E310/1000,3),"-")</f>
        <v>0.505</v>
      </c>
      <c r="L310" s="150"/>
      <c r="M310" s="150"/>
      <c r="N310" s="150"/>
    </row>
    <row r="311" spans="1:14" x14ac:dyDescent="0.25">
      <c r="A311" s="159">
        <v>57</v>
      </c>
      <c r="B311" s="160">
        <v>6</v>
      </c>
      <c r="C311" s="160">
        <v>11700</v>
      </c>
      <c r="D311" s="160" t="s">
        <v>3153</v>
      </c>
      <c r="E311" s="160">
        <v>20</v>
      </c>
      <c r="F311" s="160" t="s">
        <v>74</v>
      </c>
      <c r="G311" s="148">
        <v>32</v>
      </c>
      <c r="H311" s="152">
        <f>IF(C311=11700,ROUND(VLOOKUP(G311,ThongSo!$F$2:$I$15,4,0)*B311*11.7,3),0)</f>
        <v>442.96199999999999</v>
      </c>
      <c r="I311" s="152">
        <f>IF(F311="Sắt vụn",ROUND(VLOOKUP(G311,ThongSo!$F$2:$I$15,4,0)*B311*E311/1000,3),"-")</f>
        <v>0.75700000000000001</v>
      </c>
      <c r="L311" s="150"/>
      <c r="M311" s="150"/>
      <c r="N311" s="150"/>
    </row>
    <row r="312" spans="1:14" x14ac:dyDescent="0.25">
      <c r="A312" s="159">
        <v>58</v>
      </c>
      <c r="B312" s="160">
        <v>6</v>
      </c>
      <c r="C312" s="160">
        <v>11700</v>
      </c>
      <c r="D312" s="160" t="s">
        <v>3154</v>
      </c>
      <c r="E312" s="160">
        <v>30</v>
      </c>
      <c r="F312" s="160" t="s">
        <v>74</v>
      </c>
      <c r="G312" s="148">
        <v>32</v>
      </c>
      <c r="H312" s="152">
        <f>IF(C312=11700,ROUND(VLOOKUP(G312,ThongSo!$F$2:$I$15,4,0)*B312*11.7,3),0)</f>
        <v>442.96199999999999</v>
      </c>
      <c r="I312" s="152">
        <f>IF(F312="Sắt vụn",ROUND(VLOOKUP(G312,ThongSo!$F$2:$I$15,4,0)*B312*E312/1000,3),"-")</f>
        <v>1.1359999999999999</v>
      </c>
      <c r="L312" s="150"/>
      <c r="M312" s="150"/>
      <c r="N312" s="150"/>
    </row>
    <row r="313" spans="1:14" x14ac:dyDescent="0.25">
      <c r="A313" s="159">
        <v>59</v>
      </c>
      <c r="B313" s="160">
        <v>1</v>
      </c>
      <c r="C313" s="160">
        <v>11700</v>
      </c>
      <c r="D313" s="160" t="s">
        <v>3155</v>
      </c>
      <c r="E313" s="160">
        <v>40</v>
      </c>
      <c r="F313" s="160" t="s">
        <v>74</v>
      </c>
      <c r="G313" s="148">
        <v>32</v>
      </c>
      <c r="H313" s="152">
        <f>IF(C313=11700,ROUND(VLOOKUP(G313,ThongSo!$F$2:$I$15,4,0)*B313*11.7,3),0)</f>
        <v>73.826999999999998</v>
      </c>
      <c r="I313" s="152">
        <f>IF(F313="Sắt vụn",ROUND(VLOOKUP(G313,ThongSo!$F$2:$I$15,4,0)*B313*E313/1000,3),"-")</f>
        <v>0.252</v>
      </c>
      <c r="L313" s="150"/>
      <c r="M313" s="150"/>
      <c r="N313" s="150"/>
    </row>
    <row r="314" spans="1:14" x14ac:dyDescent="0.25">
      <c r="A314" s="159">
        <v>60</v>
      </c>
      <c r="B314" s="160">
        <v>5</v>
      </c>
      <c r="C314" s="160">
        <v>11700</v>
      </c>
      <c r="D314" s="160" t="s">
        <v>3156</v>
      </c>
      <c r="E314" s="160">
        <v>50</v>
      </c>
      <c r="F314" s="160" t="s">
        <v>74</v>
      </c>
      <c r="G314" s="148">
        <v>32</v>
      </c>
      <c r="H314" s="152">
        <f>IF(C314=11700,ROUND(VLOOKUP(G314,ThongSo!$F$2:$I$15,4,0)*B314*11.7,3),0)</f>
        <v>369.13499999999999</v>
      </c>
      <c r="I314" s="152">
        <f>IF(F314="Sắt vụn",ROUND(VLOOKUP(G314,ThongSo!$F$2:$I$15,4,0)*B314*E314/1000,3),"-")</f>
        <v>1.5780000000000001</v>
      </c>
      <c r="L314" s="150"/>
      <c r="M314" s="150"/>
      <c r="N314" s="150"/>
    </row>
    <row r="315" spans="1:14" x14ac:dyDescent="0.25">
      <c r="A315" s="159">
        <v>61</v>
      </c>
      <c r="B315" s="160">
        <v>5</v>
      </c>
      <c r="C315" s="160">
        <v>11700</v>
      </c>
      <c r="D315" s="160" t="s">
        <v>3157</v>
      </c>
      <c r="E315" s="160">
        <v>60</v>
      </c>
      <c r="F315" s="160" t="s">
        <v>74</v>
      </c>
      <c r="G315" s="148">
        <v>32</v>
      </c>
      <c r="H315" s="152">
        <f>IF(C315=11700,ROUND(VLOOKUP(G315,ThongSo!$F$2:$I$15,4,0)*B315*11.7,3),0)</f>
        <v>369.13499999999999</v>
      </c>
      <c r="I315" s="152">
        <f>IF(F315="Sắt vụn",ROUND(VLOOKUP(G315,ThongSo!$F$2:$I$15,4,0)*B315*E315/1000,3),"-")</f>
        <v>1.893</v>
      </c>
      <c r="L315" s="150"/>
      <c r="M315" s="150"/>
      <c r="N315" s="150"/>
    </row>
    <row r="316" spans="1:14" x14ac:dyDescent="0.25">
      <c r="A316" s="159">
        <v>62</v>
      </c>
      <c r="B316" s="160">
        <v>1</v>
      </c>
      <c r="C316" s="160">
        <v>11700</v>
      </c>
      <c r="D316" s="160" t="s">
        <v>3158</v>
      </c>
      <c r="E316" s="160">
        <v>60</v>
      </c>
      <c r="F316" s="160" t="s">
        <v>74</v>
      </c>
      <c r="G316" s="148">
        <v>32</v>
      </c>
      <c r="H316" s="152">
        <f>IF(C316=11700,ROUND(VLOOKUP(G316,ThongSo!$F$2:$I$15,4,0)*B316*11.7,3),0)</f>
        <v>73.826999999999998</v>
      </c>
      <c r="I316" s="152">
        <f>IF(F316="Sắt vụn",ROUND(VLOOKUP(G316,ThongSo!$F$2:$I$15,4,0)*B316*E316/1000,3),"-")</f>
        <v>0.379</v>
      </c>
      <c r="L316" s="150"/>
      <c r="M316" s="150"/>
      <c r="N316" s="150"/>
    </row>
    <row r="317" spans="1:14" x14ac:dyDescent="0.25">
      <c r="A317" s="159">
        <v>63</v>
      </c>
      <c r="B317" s="160">
        <v>4</v>
      </c>
      <c r="C317" s="160">
        <v>11700</v>
      </c>
      <c r="D317" s="160" t="s">
        <v>3159</v>
      </c>
      <c r="E317" s="160">
        <v>60</v>
      </c>
      <c r="F317" s="160" t="s">
        <v>74</v>
      </c>
      <c r="G317" s="148">
        <v>32</v>
      </c>
      <c r="H317" s="152">
        <f>IF(C317=11700,ROUND(VLOOKUP(G317,ThongSo!$F$2:$I$15,4,0)*B317*11.7,3),0)</f>
        <v>295.30799999999999</v>
      </c>
      <c r="I317" s="152">
        <f>IF(F317="Sắt vụn",ROUND(VLOOKUP(G317,ThongSo!$F$2:$I$15,4,0)*B317*E317/1000,3),"-")</f>
        <v>1.514</v>
      </c>
      <c r="L317" s="150"/>
      <c r="M317" s="150"/>
      <c r="N317" s="150"/>
    </row>
    <row r="318" spans="1:14" x14ac:dyDescent="0.25">
      <c r="A318" s="159">
        <v>64</v>
      </c>
      <c r="B318" s="160">
        <v>1</v>
      </c>
      <c r="C318" s="160">
        <v>11700</v>
      </c>
      <c r="D318" s="160" t="s">
        <v>3160</v>
      </c>
      <c r="E318" s="160">
        <v>60</v>
      </c>
      <c r="F318" s="160" t="s">
        <v>74</v>
      </c>
      <c r="G318" s="148">
        <v>32</v>
      </c>
      <c r="H318" s="152">
        <f>IF(C318=11700,ROUND(VLOOKUP(G318,ThongSo!$F$2:$I$15,4,0)*B318*11.7,3),0)</f>
        <v>73.826999999999998</v>
      </c>
      <c r="I318" s="152">
        <f>IF(F318="Sắt vụn",ROUND(VLOOKUP(G318,ThongSo!$F$2:$I$15,4,0)*B318*E318/1000,3),"-")</f>
        <v>0.379</v>
      </c>
      <c r="L318" s="150"/>
      <c r="M318" s="150"/>
      <c r="N318" s="150"/>
    </row>
    <row r="319" spans="1:14" x14ac:dyDescent="0.25">
      <c r="A319" s="159">
        <v>65</v>
      </c>
      <c r="B319" s="160">
        <v>8</v>
      </c>
      <c r="C319" s="160">
        <v>11700</v>
      </c>
      <c r="D319" s="160" t="s">
        <v>3161</v>
      </c>
      <c r="E319" s="160">
        <v>70</v>
      </c>
      <c r="F319" s="160" t="s">
        <v>74</v>
      </c>
      <c r="G319" s="148">
        <v>32</v>
      </c>
      <c r="H319" s="152">
        <f>IF(C319=11700,ROUND(VLOOKUP(G319,ThongSo!$F$2:$I$15,4,0)*B319*11.7,3),0)</f>
        <v>590.61599999999999</v>
      </c>
      <c r="I319" s="152">
        <f>IF(F319="Sắt vụn",ROUND(VLOOKUP(G319,ThongSo!$F$2:$I$15,4,0)*B319*E319/1000,3),"-")</f>
        <v>3.5339999999999998</v>
      </c>
      <c r="L319" s="150"/>
      <c r="M319" s="150"/>
      <c r="N319" s="150"/>
    </row>
    <row r="320" spans="1:14" x14ac:dyDescent="0.25">
      <c r="A320" s="159">
        <v>66</v>
      </c>
      <c r="B320" s="160">
        <v>1</v>
      </c>
      <c r="C320" s="160">
        <v>11700</v>
      </c>
      <c r="D320" s="160" t="s">
        <v>3162</v>
      </c>
      <c r="E320" s="160">
        <v>70</v>
      </c>
      <c r="F320" s="160" t="s">
        <v>74</v>
      </c>
      <c r="G320" s="148">
        <v>32</v>
      </c>
      <c r="H320" s="152">
        <f>IF(C320=11700,ROUND(VLOOKUP(G320,ThongSo!$F$2:$I$15,4,0)*B320*11.7,3),0)</f>
        <v>73.826999999999998</v>
      </c>
      <c r="I320" s="152">
        <f>IF(F320="Sắt vụn",ROUND(VLOOKUP(G320,ThongSo!$F$2:$I$15,4,0)*B320*E320/1000,3),"-")</f>
        <v>0.442</v>
      </c>
      <c r="L320" s="150"/>
      <c r="M320" s="150"/>
      <c r="N320" s="150"/>
    </row>
    <row r="321" spans="1:14" x14ac:dyDescent="0.25">
      <c r="A321" s="159">
        <v>67</v>
      </c>
      <c r="B321" s="160">
        <v>2</v>
      </c>
      <c r="C321" s="160">
        <v>11700</v>
      </c>
      <c r="D321" s="160" t="s">
        <v>3163</v>
      </c>
      <c r="E321" s="160">
        <v>70</v>
      </c>
      <c r="F321" s="160" t="s">
        <v>74</v>
      </c>
      <c r="G321" s="148">
        <v>32</v>
      </c>
      <c r="H321" s="152">
        <f>IF(C321=11700,ROUND(VLOOKUP(G321,ThongSo!$F$2:$I$15,4,0)*B321*11.7,3),0)</f>
        <v>147.654</v>
      </c>
      <c r="I321" s="152">
        <f>IF(F321="Sắt vụn",ROUND(VLOOKUP(G321,ThongSo!$F$2:$I$15,4,0)*B321*E321/1000,3),"-")</f>
        <v>0.88300000000000001</v>
      </c>
      <c r="L321" s="150"/>
      <c r="M321" s="150"/>
      <c r="N321" s="150"/>
    </row>
    <row r="322" spans="1:14" x14ac:dyDescent="0.25">
      <c r="A322" s="159">
        <v>68</v>
      </c>
      <c r="B322" s="160">
        <v>5</v>
      </c>
      <c r="C322" s="160">
        <v>11700</v>
      </c>
      <c r="D322" s="160" t="s">
        <v>3164</v>
      </c>
      <c r="E322" s="160">
        <v>80</v>
      </c>
      <c r="F322" s="160" t="s">
        <v>74</v>
      </c>
      <c r="G322" s="148">
        <v>32</v>
      </c>
      <c r="H322" s="152">
        <f>IF(C322=11700,ROUND(VLOOKUP(G322,ThongSo!$F$2:$I$15,4,0)*B322*11.7,3),0)</f>
        <v>369.13499999999999</v>
      </c>
      <c r="I322" s="152">
        <f>IF(F322="Sắt vụn",ROUND(VLOOKUP(G322,ThongSo!$F$2:$I$15,4,0)*B322*E322/1000,3),"-")</f>
        <v>2.524</v>
      </c>
      <c r="L322" s="150"/>
      <c r="M322" s="150"/>
      <c r="N322" s="150"/>
    </row>
    <row r="323" spans="1:14" x14ac:dyDescent="0.25">
      <c r="A323" s="159">
        <v>69</v>
      </c>
      <c r="B323" s="160">
        <v>5</v>
      </c>
      <c r="C323" s="160">
        <v>11700</v>
      </c>
      <c r="D323" s="160" t="s">
        <v>3165</v>
      </c>
      <c r="E323" s="160">
        <v>80</v>
      </c>
      <c r="F323" s="160" t="s">
        <v>74</v>
      </c>
      <c r="G323" s="148">
        <v>32</v>
      </c>
      <c r="H323" s="152">
        <f>IF(C323=11700,ROUND(VLOOKUP(G323,ThongSo!$F$2:$I$15,4,0)*B323*11.7,3),0)</f>
        <v>369.13499999999999</v>
      </c>
      <c r="I323" s="152">
        <f>IF(F323="Sắt vụn",ROUND(VLOOKUP(G323,ThongSo!$F$2:$I$15,4,0)*B323*E323/1000,3),"-")</f>
        <v>2.524</v>
      </c>
      <c r="L323" s="150"/>
      <c r="M323" s="150"/>
      <c r="N323" s="150"/>
    </row>
    <row r="324" spans="1:14" x14ac:dyDescent="0.25">
      <c r="A324" s="159">
        <v>70</v>
      </c>
      <c r="B324" s="160">
        <v>11</v>
      </c>
      <c r="C324" s="160">
        <v>11700</v>
      </c>
      <c r="D324" s="160" t="s">
        <v>3166</v>
      </c>
      <c r="E324" s="160">
        <v>90</v>
      </c>
      <c r="F324" s="160" t="s">
        <v>74</v>
      </c>
      <c r="G324" s="148">
        <v>32</v>
      </c>
      <c r="H324" s="152">
        <f>IF(C324=11700,ROUND(VLOOKUP(G324,ThongSo!$F$2:$I$15,4,0)*B324*11.7,3),0)</f>
        <v>812.09699999999998</v>
      </c>
      <c r="I324" s="152">
        <f>IF(F324="Sắt vụn",ROUND(VLOOKUP(G324,ThongSo!$F$2:$I$15,4,0)*B324*E324/1000,3),"-")</f>
        <v>6.2469999999999999</v>
      </c>
      <c r="L324" s="150"/>
      <c r="M324" s="150"/>
      <c r="N324" s="150"/>
    </row>
    <row r="325" spans="1:14" x14ac:dyDescent="0.25">
      <c r="A325" s="159">
        <v>71</v>
      </c>
      <c r="B325" s="160">
        <v>7</v>
      </c>
      <c r="C325" s="160">
        <v>11700</v>
      </c>
      <c r="D325" s="160" t="s">
        <v>3167</v>
      </c>
      <c r="E325" s="160">
        <v>90</v>
      </c>
      <c r="F325" s="160" t="s">
        <v>74</v>
      </c>
      <c r="G325" s="148">
        <v>32</v>
      </c>
      <c r="H325" s="152">
        <f>IF(C325=11700,ROUND(VLOOKUP(G325,ThongSo!$F$2:$I$15,4,0)*B325*11.7,3),0)</f>
        <v>516.78899999999999</v>
      </c>
      <c r="I325" s="152">
        <f>IF(F325="Sắt vụn",ROUND(VLOOKUP(G325,ThongSo!$F$2:$I$15,4,0)*B325*E325/1000,3),"-")</f>
        <v>3.9750000000000001</v>
      </c>
      <c r="L325" s="150"/>
      <c r="M325" s="150"/>
      <c r="N325" s="150"/>
    </row>
    <row r="326" spans="1:14" x14ac:dyDescent="0.25">
      <c r="A326" s="159">
        <v>72</v>
      </c>
      <c r="B326" s="160">
        <v>7</v>
      </c>
      <c r="C326" s="160">
        <v>11700</v>
      </c>
      <c r="D326" s="160" t="s">
        <v>3168</v>
      </c>
      <c r="E326" s="160">
        <v>100</v>
      </c>
      <c r="F326" s="160" t="s">
        <v>74</v>
      </c>
      <c r="G326" s="148">
        <v>32</v>
      </c>
      <c r="H326" s="152">
        <f>IF(C326=11700,ROUND(VLOOKUP(G326,ThongSo!$F$2:$I$15,4,0)*B326*11.7,3),0)</f>
        <v>516.78899999999999</v>
      </c>
      <c r="I326" s="152">
        <f>IF(F326="Sắt vụn",ROUND(VLOOKUP(G326,ThongSo!$F$2:$I$15,4,0)*B326*E326/1000,3),"-")</f>
        <v>4.4169999999999998</v>
      </c>
      <c r="L326" s="150"/>
      <c r="M326" s="150"/>
      <c r="N326" s="150"/>
    </row>
    <row r="327" spans="1:14" x14ac:dyDescent="0.25">
      <c r="A327" s="159">
        <v>73</v>
      </c>
      <c r="B327" s="160">
        <v>12</v>
      </c>
      <c r="C327" s="160">
        <v>11700</v>
      </c>
      <c r="D327" s="160" t="s">
        <v>3169</v>
      </c>
      <c r="E327" s="160">
        <v>100</v>
      </c>
      <c r="F327" s="160" t="s">
        <v>74</v>
      </c>
      <c r="G327" s="148">
        <v>32</v>
      </c>
      <c r="H327" s="152">
        <f>IF(C327=11700,ROUND(VLOOKUP(G327,ThongSo!$F$2:$I$15,4,0)*B327*11.7,3),0)</f>
        <v>885.92399999999998</v>
      </c>
      <c r="I327" s="152">
        <f>IF(F327="Sắt vụn",ROUND(VLOOKUP(G327,ThongSo!$F$2:$I$15,4,0)*B327*E327/1000,3),"-")</f>
        <v>7.5720000000000001</v>
      </c>
      <c r="L327" s="150"/>
      <c r="M327" s="150"/>
      <c r="N327" s="150"/>
    </row>
    <row r="328" spans="1:14" x14ac:dyDescent="0.25">
      <c r="A328" s="159">
        <v>74</v>
      </c>
      <c r="B328" s="160">
        <v>1</v>
      </c>
      <c r="C328" s="160">
        <v>11700</v>
      </c>
      <c r="D328" s="160" t="s">
        <v>3170</v>
      </c>
      <c r="E328" s="160">
        <v>100</v>
      </c>
      <c r="F328" s="160" t="s">
        <v>74</v>
      </c>
      <c r="G328" s="148">
        <v>32</v>
      </c>
      <c r="H328" s="152">
        <f>IF(C328=11700,ROUND(VLOOKUP(G328,ThongSo!$F$2:$I$15,4,0)*B328*11.7,3),0)</f>
        <v>73.826999999999998</v>
      </c>
      <c r="I328" s="152">
        <f>IF(F328="Sắt vụn",ROUND(VLOOKUP(G328,ThongSo!$F$2:$I$15,4,0)*B328*E328/1000,3),"-")</f>
        <v>0.63100000000000001</v>
      </c>
      <c r="L328" s="150"/>
      <c r="M328" s="150"/>
      <c r="N328" s="150"/>
    </row>
    <row r="329" spans="1:14" x14ac:dyDescent="0.25">
      <c r="A329" s="159">
        <v>75</v>
      </c>
      <c r="B329" s="160">
        <v>2</v>
      </c>
      <c r="C329" s="160">
        <v>11700</v>
      </c>
      <c r="D329" s="160" t="s">
        <v>3171</v>
      </c>
      <c r="E329" s="160">
        <v>120</v>
      </c>
      <c r="F329" s="160" t="s">
        <v>74</v>
      </c>
      <c r="G329" s="148">
        <v>32</v>
      </c>
      <c r="H329" s="152">
        <f>IF(C329=11700,ROUND(VLOOKUP(G329,ThongSo!$F$2:$I$15,4,0)*B329*11.7,3),0)</f>
        <v>147.654</v>
      </c>
      <c r="I329" s="152">
        <f>IF(F329="Sắt vụn",ROUND(VLOOKUP(G329,ThongSo!$F$2:$I$15,4,0)*B329*E329/1000,3),"-")</f>
        <v>1.514</v>
      </c>
      <c r="L329" s="150"/>
      <c r="M329" s="150"/>
      <c r="N329" s="150"/>
    </row>
    <row r="330" spans="1:14" x14ac:dyDescent="0.25">
      <c r="A330" s="159">
        <v>76</v>
      </c>
      <c r="B330" s="160">
        <v>1</v>
      </c>
      <c r="C330" s="160">
        <v>11700</v>
      </c>
      <c r="D330" s="160" t="s">
        <v>3172</v>
      </c>
      <c r="E330" s="160">
        <v>120</v>
      </c>
      <c r="F330" s="160" t="s">
        <v>74</v>
      </c>
      <c r="G330" s="148">
        <v>32</v>
      </c>
      <c r="H330" s="152">
        <f>IF(C330=11700,ROUND(VLOOKUP(G330,ThongSo!$F$2:$I$15,4,0)*B330*11.7,3),0)</f>
        <v>73.826999999999998</v>
      </c>
      <c r="I330" s="152">
        <f>IF(F330="Sắt vụn",ROUND(VLOOKUP(G330,ThongSo!$F$2:$I$15,4,0)*B330*E330/1000,3),"-")</f>
        <v>0.75700000000000001</v>
      </c>
      <c r="L330" s="150"/>
      <c r="M330" s="150"/>
      <c r="N330" s="150"/>
    </row>
    <row r="331" spans="1:14" x14ac:dyDescent="0.25">
      <c r="A331" s="159">
        <v>77</v>
      </c>
      <c r="B331" s="160">
        <v>4</v>
      </c>
      <c r="C331" s="160">
        <v>11700</v>
      </c>
      <c r="D331" s="160" t="s">
        <v>3173</v>
      </c>
      <c r="E331" s="160">
        <v>140</v>
      </c>
      <c r="F331" s="160" t="s">
        <v>74</v>
      </c>
      <c r="G331" s="148">
        <v>32</v>
      </c>
      <c r="H331" s="152">
        <f>IF(C331=11700,ROUND(VLOOKUP(G331,ThongSo!$F$2:$I$15,4,0)*B331*11.7,3),0)</f>
        <v>295.30799999999999</v>
      </c>
      <c r="I331" s="152">
        <f>IF(F331="Sắt vụn",ROUND(VLOOKUP(G331,ThongSo!$F$2:$I$15,4,0)*B331*E331/1000,3),"-")</f>
        <v>3.5339999999999998</v>
      </c>
      <c r="L331" s="150"/>
      <c r="M331" s="150"/>
      <c r="N331" s="150"/>
    </row>
    <row r="332" spans="1:14" x14ac:dyDescent="0.25">
      <c r="A332" s="159">
        <v>78</v>
      </c>
      <c r="B332" s="160">
        <v>3</v>
      </c>
      <c r="C332" s="160">
        <v>11700</v>
      </c>
      <c r="D332" s="160" t="s">
        <v>3174</v>
      </c>
      <c r="E332" s="160">
        <v>180</v>
      </c>
      <c r="F332" s="160" t="s">
        <v>74</v>
      </c>
      <c r="G332" s="148">
        <v>32</v>
      </c>
      <c r="H332" s="152">
        <f>IF(C332=11700,ROUND(VLOOKUP(G332,ThongSo!$F$2:$I$15,4,0)*B332*11.7,3),0)</f>
        <v>221.48099999999999</v>
      </c>
      <c r="I332" s="152">
        <f>IF(F332="Sắt vụn",ROUND(VLOOKUP(G332,ThongSo!$F$2:$I$15,4,0)*B332*E332/1000,3),"-")</f>
        <v>3.407</v>
      </c>
      <c r="L332" s="150"/>
      <c r="M332" s="150"/>
      <c r="N332" s="150"/>
    </row>
    <row r="333" spans="1:14" x14ac:dyDescent="0.25">
      <c r="A333" s="159">
        <v>79</v>
      </c>
      <c r="B333" s="160">
        <v>3</v>
      </c>
      <c r="C333" s="160">
        <v>11700</v>
      </c>
      <c r="D333" s="160" t="s">
        <v>3175</v>
      </c>
      <c r="E333" s="160">
        <v>220</v>
      </c>
      <c r="F333" s="160" t="s">
        <v>74</v>
      </c>
      <c r="G333" s="148">
        <v>32</v>
      </c>
      <c r="H333" s="152">
        <f>IF(C333=11700,ROUND(VLOOKUP(G333,ThongSo!$F$2:$I$15,4,0)*B333*11.7,3),0)</f>
        <v>221.48099999999999</v>
      </c>
      <c r="I333" s="152">
        <f>IF(F333="Sắt vụn",ROUND(VLOOKUP(G333,ThongSo!$F$2:$I$15,4,0)*B333*E333/1000,3),"-")</f>
        <v>4.165</v>
      </c>
      <c r="L333" s="150"/>
      <c r="M333" s="150"/>
      <c r="N333" s="150"/>
    </row>
    <row r="334" spans="1:14" x14ac:dyDescent="0.25">
      <c r="A334" s="159">
        <v>80</v>
      </c>
      <c r="B334" s="160">
        <v>2</v>
      </c>
      <c r="C334" s="160">
        <v>11700</v>
      </c>
      <c r="D334" s="160" t="s">
        <v>3176</v>
      </c>
      <c r="E334" s="160">
        <v>230</v>
      </c>
      <c r="F334" s="160" t="s">
        <v>74</v>
      </c>
      <c r="G334" s="148">
        <v>32</v>
      </c>
      <c r="H334" s="152">
        <f>IF(C334=11700,ROUND(VLOOKUP(G334,ThongSo!$F$2:$I$15,4,0)*B334*11.7,3),0)</f>
        <v>147.654</v>
      </c>
      <c r="I334" s="152">
        <f>IF(F334="Sắt vụn",ROUND(VLOOKUP(G334,ThongSo!$F$2:$I$15,4,0)*B334*E334/1000,3),"-")</f>
        <v>2.903</v>
      </c>
      <c r="L334" s="150"/>
      <c r="M334" s="150"/>
      <c r="N334" s="150"/>
    </row>
    <row r="335" spans="1:14" x14ac:dyDescent="0.25">
      <c r="A335" s="159">
        <v>81</v>
      </c>
      <c r="B335" s="160">
        <v>5</v>
      </c>
      <c r="C335" s="160">
        <v>11700</v>
      </c>
      <c r="D335" s="160" t="s">
        <v>3177</v>
      </c>
      <c r="E335" s="160">
        <v>280</v>
      </c>
      <c r="F335" s="160" t="s">
        <v>74</v>
      </c>
      <c r="G335" s="148">
        <v>32</v>
      </c>
      <c r="H335" s="152">
        <f>IF(C335=11700,ROUND(VLOOKUP(G335,ThongSo!$F$2:$I$15,4,0)*B335*11.7,3),0)</f>
        <v>369.13499999999999</v>
      </c>
      <c r="I335" s="152">
        <f>IF(F335="Sắt vụn",ROUND(VLOOKUP(G335,ThongSo!$F$2:$I$15,4,0)*B335*E335/1000,3),"-")</f>
        <v>8.8339999999999996</v>
      </c>
      <c r="L335" s="150"/>
      <c r="M335" s="150"/>
      <c r="N335" s="150"/>
    </row>
    <row r="336" spans="1:14" x14ac:dyDescent="0.25">
      <c r="A336" s="159">
        <v>82</v>
      </c>
      <c r="B336" s="160">
        <v>5</v>
      </c>
      <c r="C336" s="160">
        <v>11700</v>
      </c>
      <c r="D336" s="160" t="s">
        <v>3178</v>
      </c>
      <c r="E336" s="160">
        <v>280</v>
      </c>
      <c r="F336" s="160" t="s">
        <v>74</v>
      </c>
      <c r="G336" s="148">
        <v>32</v>
      </c>
      <c r="H336" s="152">
        <f>IF(C336=11700,ROUND(VLOOKUP(G336,ThongSo!$F$2:$I$15,4,0)*B336*11.7,3),0)</f>
        <v>369.13499999999999</v>
      </c>
      <c r="I336" s="152">
        <f>IF(F336="Sắt vụn",ROUND(VLOOKUP(G336,ThongSo!$F$2:$I$15,4,0)*B336*E336/1000,3),"-")</f>
        <v>8.8339999999999996</v>
      </c>
      <c r="L336" s="150"/>
      <c r="M336" s="150"/>
      <c r="N336" s="150"/>
    </row>
    <row r="337" spans="1:14" x14ac:dyDescent="0.25">
      <c r="A337" s="159">
        <v>83</v>
      </c>
      <c r="B337" s="160">
        <v>4</v>
      </c>
      <c r="C337" s="160">
        <v>11700</v>
      </c>
      <c r="D337" s="160" t="s">
        <v>3179</v>
      </c>
      <c r="E337" s="160">
        <v>300</v>
      </c>
      <c r="F337" s="160" t="s">
        <v>74</v>
      </c>
      <c r="G337" s="148">
        <v>32</v>
      </c>
      <c r="H337" s="152">
        <f>IF(C337=11700,ROUND(VLOOKUP(G337,ThongSo!$F$2:$I$15,4,0)*B337*11.7,3),0)</f>
        <v>295.30799999999999</v>
      </c>
      <c r="I337" s="152">
        <f>IF(F337="Sắt vụn",ROUND(VLOOKUP(G337,ThongSo!$F$2:$I$15,4,0)*B337*E337/1000,3),"-")</f>
        <v>7.5720000000000001</v>
      </c>
      <c r="L337" s="150"/>
      <c r="M337" s="150"/>
      <c r="N337" s="150"/>
    </row>
    <row r="338" spans="1:14" x14ac:dyDescent="0.25">
      <c r="A338" s="159">
        <v>84</v>
      </c>
      <c r="B338" s="160">
        <v>1</v>
      </c>
      <c r="C338" s="160">
        <v>11700</v>
      </c>
      <c r="D338" s="160" t="s">
        <v>3180</v>
      </c>
      <c r="E338" s="160">
        <v>305</v>
      </c>
      <c r="F338" s="160" t="s">
        <v>74</v>
      </c>
      <c r="G338" s="148">
        <v>32</v>
      </c>
      <c r="H338" s="152">
        <f>IF(C338=11700,ROUND(VLOOKUP(G338,ThongSo!$F$2:$I$15,4,0)*B338*11.7,3),0)</f>
        <v>73.826999999999998</v>
      </c>
      <c r="I338" s="152">
        <f>IF(F338="Sắt vụn",ROUND(VLOOKUP(G338,ThongSo!$F$2:$I$15,4,0)*B338*E338/1000,3),"-")</f>
        <v>1.925</v>
      </c>
      <c r="L338" s="150"/>
      <c r="M338" s="150"/>
      <c r="N338" s="150"/>
    </row>
    <row r="339" spans="1:14" x14ac:dyDescent="0.25">
      <c r="A339" s="159">
        <v>85</v>
      </c>
      <c r="B339" s="160">
        <v>7</v>
      </c>
      <c r="C339" s="160">
        <v>11700</v>
      </c>
      <c r="D339" s="160" t="s">
        <v>3181</v>
      </c>
      <c r="E339" s="160">
        <v>320</v>
      </c>
      <c r="F339" s="160" t="s">
        <v>74</v>
      </c>
      <c r="G339" s="148">
        <v>32</v>
      </c>
      <c r="H339" s="152">
        <f>IF(C339=11700,ROUND(VLOOKUP(G339,ThongSo!$F$2:$I$15,4,0)*B339*11.7,3),0)</f>
        <v>516.78899999999999</v>
      </c>
      <c r="I339" s="152">
        <f>IF(F339="Sắt vụn",ROUND(VLOOKUP(G339,ThongSo!$F$2:$I$15,4,0)*B339*E339/1000,3),"-")</f>
        <v>14.134</v>
      </c>
      <c r="L339" s="150"/>
      <c r="M339" s="150"/>
      <c r="N339" s="150"/>
    </row>
    <row r="340" spans="1:14" x14ac:dyDescent="0.25">
      <c r="A340" s="159">
        <v>86</v>
      </c>
      <c r="B340" s="160">
        <v>2</v>
      </c>
      <c r="C340" s="160">
        <v>11700</v>
      </c>
      <c r="D340" s="160" t="s">
        <v>3182</v>
      </c>
      <c r="E340" s="160">
        <v>350</v>
      </c>
      <c r="F340" s="160" t="s">
        <v>74</v>
      </c>
      <c r="G340" s="148">
        <v>32</v>
      </c>
      <c r="H340" s="152">
        <f>IF(C340=11700,ROUND(VLOOKUP(G340,ThongSo!$F$2:$I$15,4,0)*B340*11.7,3),0)</f>
        <v>147.654</v>
      </c>
      <c r="I340" s="152">
        <f>IF(F340="Sắt vụn",ROUND(VLOOKUP(G340,ThongSo!$F$2:$I$15,4,0)*B340*E340/1000,3),"-")</f>
        <v>4.4169999999999998</v>
      </c>
      <c r="L340" s="150"/>
      <c r="M340" s="150"/>
      <c r="N340" s="150"/>
    </row>
    <row r="341" spans="1:14" x14ac:dyDescent="0.25">
      <c r="A341" s="159">
        <v>87</v>
      </c>
      <c r="B341" s="160">
        <v>1</v>
      </c>
      <c r="C341" s="160">
        <v>11700</v>
      </c>
      <c r="D341" s="160" t="s">
        <v>3183</v>
      </c>
      <c r="E341" s="160">
        <v>360</v>
      </c>
      <c r="F341" s="160" t="s">
        <v>74</v>
      </c>
      <c r="G341" s="148">
        <v>32</v>
      </c>
      <c r="H341" s="152">
        <f>IF(C341=11700,ROUND(VLOOKUP(G341,ThongSo!$F$2:$I$15,4,0)*B341*11.7,3),0)</f>
        <v>73.826999999999998</v>
      </c>
      <c r="I341" s="152">
        <f>IF(F341="Sắt vụn",ROUND(VLOOKUP(G341,ThongSo!$F$2:$I$15,4,0)*B341*E341/1000,3),"-")</f>
        <v>2.2719999999999998</v>
      </c>
      <c r="L341" s="150"/>
      <c r="M341" s="150"/>
      <c r="N341" s="150"/>
    </row>
    <row r="342" spans="1:14" x14ac:dyDescent="0.25">
      <c r="A342" s="159">
        <v>88</v>
      </c>
      <c r="B342" s="160">
        <v>3</v>
      </c>
      <c r="C342" s="160">
        <v>11700</v>
      </c>
      <c r="D342" s="160" t="s">
        <v>3184</v>
      </c>
      <c r="E342" s="160">
        <v>395</v>
      </c>
      <c r="F342" s="160" t="s">
        <v>74</v>
      </c>
      <c r="G342" s="148">
        <v>32</v>
      </c>
      <c r="H342" s="152">
        <f>IF(C342=11700,ROUND(VLOOKUP(G342,ThongSo!$F$2:$I$15,4,0)*B342*11.7,3),0)</f>
        <v>221.48099999999999</v>
      </c>
      <c r="I342" s="152">
        <f>IF(F342="Sắt vụn",ROUND(VLOOKUP(G342,ThongSo!$F$2:$I$15,4,0)*B342*E342/1000,3),"-")</f>
        <v>7.4770000000000003</v>
      </c>
      <c r="L342" s="150"/>
      <c r="M342" s="150"/>
      <c r="N342" s="150"/>
    </row>
    <row r="343" spans="1:14" x14ac:dyDescent="0.25">
      <c r="A343" s="159">
        <v>89</v>
      </c>
      <c r="B343" s="160">
        <v>6</v>
      </c>
      <c r="C343" s="160">
        <v>11700</v>
      </c>
      <c r="D343" s="160" t="s">
        <v>3185</v>
      </c>
      <c r="E343" s="160">
        <v>420</v>
      </c>
      <c r="F343" s="160" t="s">
        <v>74</v>
      </c>
      <c r="G343" s="148">
        <v>32</v>
      </c>
      <c r="H343" s="152">
        <f>IF(C343=11700,ROUND(VLOOKUP(G343,ThongSo!$F$2:$I$15,4,0)*B343*11.7,3),0)</f>
        <v>442.96199999999999</v>
      </c>
      <c r="I343" s="152">
        <f>IF(F343="Sắt vụn",ROUND(VLOOKUP(G343,ThongSo!$F$2:$I$15,4,0)*B343*E343/1000,3),"-")</f>
        <v>15.901</v>
      </c>
      <c r="L343" s="150"/>
      <c r="M343" s="150"/>
      <c r="N343" s="150"/>
    </row>
    <row r="344" spans="1:14" x14ac:dyDescent="0.25">
      <c r="A344" s="159">
        <v>90</v>
      </c>
      <c r="B344" s="160">
        <v>9</v>
      </c>
      <c r="C344" s="160">
        <v>11700</v>
      </c>
      <c r="D344" s="160" t="s">
        <v>3186</v>
      </c>
      <c r="E344" s="160">
        <v>420</v>
      </c>
      <c r="F344" s="160" t="s">
        <v>74</v>
      </c>
      <c r="G344" s="148">
        <v>32</v>
      </c>
      <c r="H344" s="152">
        <f>IF(C344=11700,ROUND(VLOOKUP(G344,ThongSo!$F$2:$I$15,4,0)*B344*11.7,3),0)</f>
        <v>664.44299999999998</v>
      </c>
      <c r="I344" s="152">
        <f>IF(F344="Sắt vụn",ROUND(VLOOKUP(G344,ThongSo!$F$2:$I$15,4,0)*B344*E344/1000,3),"-")</f>
        <v>23.852</v>
      </c>
      <c r="L344" s="150"/>
      <c r="M344" s="150"/>
      <c r="N344" s="150"/>
    </row>
    <row r="345" spans="1:14" x14ac:dyDescent="0.25">
      <c r="A345" s="159">
        <v>91</v>
      </c>
      <c r="B345" s="160">
        <v>3</v>
      </c>
      <c r="C345" s="160">
        <v>11700</v>
      </c>
      <c r="D345" s="160" t="s">
        <v>3187</v>
      </c>
      <c r="E345" s="160">
        <v>425</v>
      </c>
      <c r="F345" s="160" t="s">
        <v>74</v>
      </c>
      <c r="G345" s="148">
        <v>32</v>
      </c>
      <c r="H345" s="152">
        <f>IF(C345=11700,ROUND(VLOOKUP(G345,ThongSo!$F$2:$I$15,4,0)*B345*11.7,3),0)</f>
        <v>221.48099999999999</v>
      </c>
      <c r="I345" s="152">
        <f>IF(F345="Sắt vụn",ROUND(VLOOKUP(G345,ThongSo!$F$2:$I$15,4,0)*B345*E345/1000,3),"-")</f>
        <v>8.0449999999999999</v>
      </c>
      <c r="L345" s="150"/>
      <c r="M345" s="150"/>
      <c r="N345" s="150"/>
    </row>
    <row r="346" spans="1:14" x14ac:dyDescent="0.25">
      <c r="A346" s="159">
        <v>92</v>
      </c>
      <c r="B346" s="160">
        <v>3</v>
      </c>
      <c r="C346" s="160">
        <v>11700</v>
      </c>
      <c r="D346" s="160" t="s">
        <v>3188</v>
      </c>
      <c r="E346" s="160">
        <v>430</v>
      </c>
      <c r="F346" s="160" t="s">
        <v>74</v>
      </c>
      <c r="G346" s="148">
        <v>32</v>
      </c>
      <c r="H346" s="152">
        <f>IF(C346=11700,ROUND(VLOOKUP(G346,ThongSo!$F$2:$I$15,4,0)*B346*11.7,3),0)</f>
        <v>221.48099999999999</v>
      </c>
      <c r="I346" s="152">
        <f>IF(F346="Sắt vụn",ROUND(VLOOKUP(G346,ThongSo!$F$2:$I$15,4,0)*B346*E346/1000,3),"-")</f>
        <v>8.14</v>
      </c>
      <c r="L346" s="150"/>
      <c r="M346" s="150"/>
      <c r="N346" s="150"/>
    </row>
    <row r="347" spans="1:14" x14ac:dyDescent="0.25">
      <c r="A347" s="159">
        <v>93</v>
      </c>
      <c r="B347" s="160">
        <v>10</v>
      </c>
      <c r="C347" s="160">
        <v>11700</v>
      </c>
      <c r="D347" s="160" t="s">
        <v>3189</v>
      </c>
      <c r="E347" s="160">
        <v>440</v>
      </c>
      <c r="F347" s="160" t="s">
        <v>74</v>
      </c>
      <c r="G347" s="148">
        <v>32</v>
      </c>
      <c r="H347" s="152">
        <f>IF(C347=11700,ROUND(VLOOKUP(G347,ThongSo!$F$2:$I$15,4,0)*B347*11.7,3),0)</f>
        <v>738.27</v>
      </c>
      <c r="I347" s="152">
        <f>IF(F347="Sắt vụn",ROUND(VLOOKUP(G347,ThongSo!$F$2:$I$15,4,0)*B347*E347/1000,3),"-")</f>
        <v>27.763999999999999</v>
      </c>
      <c r="L347" s="150"/>
      <c r="M347" s="150"/>
      <c r="N347" s="150"/>
    </row>
    <row r="348" spans="1:14" x14ac:dyDescent="0.25">
      <c r="A348" s="159">
        <v>94</v>
      </c>
      <c r="B348" s="160">
        <v>1</v>
      </c>
      <c r="C348" s="160">
        <v>11700</v>
      </c>
      <c r="D348" s="160" t="s">
        <v>3190</v>
      </c>
      <c r="E348" s="160">
        <v>440</v>
      </c>
      <c r="F348" s="160" t="s">
        <v>74</v>
      </c>
      <c r="G348" s="148">
        <v>32</v>
      </c>
      <c r="H348" s="152">
        <f>IF(C348=11700,ROUND(VLOOKUP(G348,ThongSo!$F$2:$I$15,4,0)*B348*11.7,3),0)</f>
        <v>73.826999999999998</v>
      </c>
      <c r="I348" s="152">
        <f>IF(F348="Sắt vụn",ROUND(VLOOKUP(G348,ThongSo!$F$2:$I$15,4,0)*B348*E348/1000,3),"-")</f>
        <v>2.7759999999999998</v>
      </c>
      <c r="L348" s="150"/>
      <c r="M348" s="150"/>
      <c r="N348" s="150"/>
    </row>
    <row r="349" spans="1:14" x14ac:dyDescent="0.25">
      <c r="A349" s="159">
        <v>95</v>
      </c>
      <c r="B349" s="160">
        <v>5</v>
      </c>
      <c r="C349" s="160">
        <v>11700</v>
      </c>
      <c r="D349" s="160" t="s">
        <v>3191</v>
      </c>
      <c r="E349" s="160">
        <v>480</v>
      </c>
      <c r="F349" s="160" t="s">
        <v>74</v>
      </c>
      <c r="G349" s="148">
        <v>32</v>
      </c>
      <c r="H349" s="152">
        <f>IF(C349=11700,ROUND(VLOOKUP(G349,ThongSo!$F$2:$I$15,4,0)*B349*11.7,3),0)</f>
        <v>369.13499999999999</v>
      </c>
      <c r="I349" s="152">
        <f>IF(F349="Sắt vụn",ROUND(VLOOKUP(G349,ThongSo!$F$2:$I$15,4,0)*B349*E349/1000,3),"-")</f>
        <v>15.144</v>
      </c>
      <c r="L349" s="150"/>
      <c r="M349" s="150"/>
      <c r="N349" s="150"/>
    </row>
    <row r="350" spans="1:14" x14ac:dyDescent="0.25">
      <c r="A350" s="159">
        <v>96</v>
      </c>
      <c r="B350" s="160">
        <v>1</v>
      </c>
      <c r="C350" s="160">
        <v>11700</v>
      </c>
      <c r="D350" s="160" t="s">
        <v>3192</v>
      </c>
      <c r="E350" s="160">
        <v>480</v>
      </c>
      <c r="F350" s="160" t="s">
        <v>74</v>
      </c>
      <c r="G350" s="148">
        <v>32</v>
      </c>
      <c r="H350" s="152">
        <f>IF(C350=11700,ROUND(VLOOKUP(G350,ThongSo!$F$2:$I$15,4,0)*B350*11.7,3),0)</f>
        <v>73.826999999999998</v>
      </c>
      <c r="I350" s="152">
        <f>IF(F350="Sắt vụn",ROUND(VLOOKUP(G350,ThongSo!$F$2:$I$15,4,0)*B350*E350/1000,3),"-")</f>
        <v>3.0289999999999999</v>
      </c>
      <c r="L350" s="150"/>
      <c r="M350" s="150"/>
      <c r="N350" s="150"/>
    </row>
    <row r="351" spans="1:14" x14ac:dyDescent="0.25">
      <c r="A351" s="159">
        <v>97</v>
      </c>
      <c r="B351" s="160">
        <v>4</v>
      </c>
      <c r="C351" s="160">
        <v>11700</v>
      </c>
      <c r="D351" s="160" t="s">
        <v>3193</v>
      </c>
      <c r="E351" s="160">
        <v>480</v>
      </c>
      <c r="F351" s="160" t="s">
        <v>74</v>
      </c>
      <c r="G351" s="148">
        <v>32</v>
      </c>
      <c r="H351" s="152">
        <f>IF(C351=11700,ROUND(VLOOKUP(G351,ThongSo!$F$2:$I$15,4,0)*B351*11.7,3),0)</f>
        <v>295.30799999999999</v>
      </c>
      <c r="I351" s="152">
        <f>IF(F351="Sắt vụn",ROUND(VLOOKUP(G351,ThongSo!$F$2:$I$15,4,0)*B351*E351/1000,3),"-")</f>
        <v>12.115</v>
      </c>
      <c r="L351" s="150"/>
      <c r="M351" s="150"/>
      <c r="N351" s="150"/>
    </row>
    <row r="352" spans="1:14" x14ac:dyDescent="0.25">
      <c r="A352" s="159">
        <v>98</v>
      </c>
      <c r="B352" s="160">
        <v>7</v>
      </c>
      <c r="C352" s="160">
        <v>11700</v>
      </c>
      <c r="D352" s="160" t="s">
        <v>3194</v>
      </c>
      <c r="E352" s="160">
        <v>490</v>
      </c>
      <c r="F352" s="160" t="s">
        <v>74</v>
      </c>
      <c r="G352" s="148">
        <v>32</v>
      </c>
      <c r="H352" s="152">
        <f>IF(C352=11700,ROUND(VLOOKUP(G352,ThongSo!$F$2:$I$15,4,0)*B352*11.7,3),0)</f>
        <v>516.78899999999999</v>
      </c>
      <c r="I352" s="152">
        <f>IF(F352="Sắt vụn",ROUND(VLOOKUP(G352,ThongSo!$F$2:$I$15,4,0)*B352*E352/1000,3),"-")</f>
        <v>21.643000000000001</v>
      </c>
      <c r="L352" s="150"/>
      <c r="M352" s="150"/>
      <c r="N352" s="150"/>
    </row>
    <row r="353" spans="1:14" x14ac:dyDescent="0.25">
      <c r="A353" s="159">
        <v>99</v>
      </c>
      <c r="B353" s="160">
        <v>14</v>
      </c>
      <c r="C353" s="160">
        <v>11700</v>
      </c>
      <c r="D353" s="160" t="s">
        <v>3195</v>
      </c>
      <c r="E353" s="160">
        <v>505</v>
      </c>
      <c r="F353" s="160" t="s">
        <v>74</v>
      </c>
      <c r="G353" s="148">
        <v>32</v>
      </c>
      <c r="H353" s="152">
        <f>IF(C353=11700,ROUND(VLOOKUP(G353,ThongSo!$F$2:$I$15,4,0)*B353*11.7,3),0)</f>
        <v>1033.578</v>
      </c>
      <c r="I353" s="152">
        <f>IF(F353="Sắt vụn",ROUND(VLOOKUP(G353,ThongSo!$F$2:$I$15,4,0)*B353*E353/1000,3),"-")</f>
        <v>44.612000000000002</v>
      </c>
      <c r="L353" s="150"/>
      <c r="M353" s="150"/>
      <c r="N353" s="150"/>
    </row>
    <row r="354" spans="1:14" x14ac:dyDescent="0.25">
      <c r="A354" s="159">
        <v>100</v>
      </c>
      <c r="B354" s="160">
        <v>3</v>
      </c>
      <c r="C354" s="160">
        <v>11700</v>
      </c>
      <c r="D354" s="160" t="s">
        <v>3196</v>
      </c>
      <c r="E354" s="160">
        <v>520</v>
      </c>
      <c r="F354" s="160" t="s">
        <v>74</v>
      </c>
      <c r="G354" s="148">
        <v>32</v>
      </c>
      <c r="H354" s="152">
        <f>IF(C354=11700,ROUND(VLOOKUP(G354,ThongSo!$F$2:$I$15,4,0)*B354*11.7,3),0)</f>
        <v>221.48099999999999</v>
      </c>
      <c r="I354" s="152">
        <f>IF(F354="Sắt vụn",ROUND(VLOOKUP(G354,ThongSo!$F$2:$I$15,4,0)*B354*E354/1000,3),"-")</f>
        <v>9.8439999999999994</v>
      </c>
      <c r="L354" s="150"/>
      <c r="M354" s="150"/>
      <c r="N354" s="150"/>
    </row>
    <row r="355" spans="1:14" x14ac:dyDescent="0.25">
      <c r="A355" s="159">
        <v>101</v>
      </c>
      <c r="B355" s="160">
        <v>1</v>
      </c>
      <c r="C355" s="160">
        <v>11700</v>
      </c>
      <c r="D355" s="160" t="s">
        <v>3197</v>
      </c>
      <c r="E355" s="160">
        <v>530</v>
      </c>
      <c r="F355" s="160" t="s">
        <v>74</v>
      </c>
      <c r="G355" s="148">
        <v>32</v>
      </c>
      <c r="H355" s="152">
        <f>IF(C355=11700,ROUND(VLOOKUP(G355,ThongSo!$F$2:$I$15,4,0)*B355*11.7,3),0)</f>
        <v>73.826999999999998</v>
      </c>
      <c r="I355" s="152">
        <f>IF(F355="Sắt vụn",ROUND(VLOOKUP(G355,ThongSo!$F$2:$I$15,4,0)*B355*E355/1000,3),"-")</f>
        <v>3.3439999999999999</v>
      </c>
      <c r="L355" s="150"/>
      <c r="M355" s="150"/>
      <c r="N355" s="150"/>
    </row>
    <row r="356" spans="1:14" x14ac:dyDescent="0.25">
      <c r="A356" s="159">
        <v>102</v>
      </c>
      <c r="B356" s="160">
        <v>11</v>
      </c>
      <c r="C356" s="160">
        <v>11700</v>
      </c>
      <c r="D356" s="160" t="s">
        <v>3198</v>
      </c>
      <c r="E356" s="160">
        <v>560</v>
      </c>
      <c r="F356" s="160" t="s">
        <v>74</v>
      </c>
      <c r="G356" s="148">
        <v>32</v>
      </c>
      <c r="H356" s="152">
        <f>IF(C356=11700,ROUND(VLOOKUP(G356,ThongSo!$F$2:$I$15,4,0)*B356*11.7,3),0)</f>
        <v>812.09699999999998</v>
      </c>
      <c r="I356" s="152">
        <f>IF(F356="Sắt vụn",ROUND(VLOOKUP(G356,ThongSo!$F$2:$I$15,4,0)*B356*E356/1000,3),"-")</f>
        <v>38.869999999999997</v>
      </c>
      <c r="L356" s="150"/>
      <c r="M356" s="150"/>
      <c r="N356" s="150"/>
    </row>
    <row r="357" spans="1:14" x14ac:dyDescent="0.25">
      <c r="A357" s="159">
        <v>103</v>
      </c>
      <c r="B357" s="160">
        <v>1</v>
      </c>
      <c r="C357" s="160">
        <v>11700</v>
      </c>
      <c r="D357" s="160" t="s">
        <v>3199</v>
      </c>
      <c r="E357" s="160">
        <v>560</v>
      </c>
      <c r="F357" s="160" t="s">
        <v>74</v>
      </c>
      <c r="G357" s="148">
        <v>32</v>
      </c>
      <c r="H357" s="152">
        <f>IF(C357=11700,ROUND(VLOOKUP(G357,ThongSo!$F$2:$I$15,4,0)*B357*11.7,3),0)</f>
        <v>73.826999999999998</v>
      </c>
      <c r="I357" s="152">
        <f>IF(F357="Sắt vụn",ROUND(VLOOKUP(G357,ThongSo!$F$2:$I$15,4,0)*B357*E357/1000,3),"-")</f>
        <v>3.5339999999999998</v>
      </c>
      <c r="L357" s="150"/>
      <c r="M357" s="150"/>
      <c r="N357" s="150"/>
    </row>
    <row r="358" spans="1:14" x14ac:dyDescent="0.25">
      <c r="A358" s="159">
        <v>104</v>
      </c>
      <c r="B358" s="160">
        <v>4</v>
      </c>
      <c r="C358" s="160">
        <v>11700</v>
      </c>
      <c r="D358" s="160" t="s">
        <v>3200</v>
      </c>
      <c r="E358" s="160">
        <v>640</v>
      </c>
      <c r="F358" s="160" t="s">
        <v>74</v>
      </c>
      <c r="G358" s="148">
        <v>32</v>
      </c>
      <c r="H358" s="152">
        <f>IF(C358=11700,ROUND(VLOOKUP(G358,ThongSo!$F$2:$I$15,4,0)*B358*11.7,3),0)</f>
        <v>295.30799999999999</v>
      </c>
      <c r="I358" s="152">
        <f>IF(F358="Sắt vụn",ROUND(VLOOKUP(G358,ThongSo!$F$2:$I$15,4,0)*B358*E358/1000,3),"-")</f>
        <v>16.154</v>
      </c>
      <c r="L358" s="150"/>
      <c r="M358" s="150"/>
      <c r="N358" s="150"/>
    </row>
    <row r="359" spans="1:14" x14ac:dyDescent="0.25">
      <c r="A359" s="159">
        <v>105</v>
      </c>
      <c r="B359" s="160">
        <v>11</v>
      </c>
      <c r="C359" s="160">
        <v>11700</v>
      </c>
      <c r="D359" s="160" t="s">
        <v>3201</v>
      </c>
      <c r="E359" s="160">
        <v>670</v>
      </c>
      <c r="F359" s="160" t="s">
        <v>74</v>
      </c>
      <c r="G359" s="148">
        <v>32</v>
      </c>
      <c r="H359" s="152">
        <f>IF(C359=11700,ROUND(VLOOKUP(G359,ThongSo!$F$2:$I$15,4,0)*B359*11.7,3),0)</f>
        <v>812.09699999999998</v>
      </c>
      <c r="I359" s="152">
        <f>IF(F359="Sắt vụn",ROUND(VLOOKUP(G359,ThongSo!$F$2:$I$15,4,0)*B359*E359/1000,3),"-")</f>
        <v>46.505000000000003</v>
      </c>
      <c r="L359" s="150"/>
      <c r="M359" s="150"/>
      <c r="N359" s="150"/>
    </row>
    <row r="360" spans="1:14" x14ac:dyDescent="0.25">
      <c r="A360" s="159">
        <v>106</v>
      </c>
      <c r="B360" s="160">
        <v>11</v>
      </c>
      <c r="C360" s="160">
        <v>11700</v>
      </c>
      <c r="D360" s="160" t="s">
        <v>3202</v>
      </c>
      <c r="E360" s="160">
        <v>670</v>
      </c>
      <c r="F360" s="160" t="s">
        <v>74</v>
      </c>
      <c r="G360" s="148">
        <v>32</v>
      </c>
      <c r="H360" s="152">
        <f>IF(C360=11700,ROUND(VLOOKUP(G360,ThongSo!$F$2:$I$15,4,0)*B360*11.7,3),0)</f>
        <v>812.09699999999998</v>
      </c>
      <c r="I360" s="152">
        <f>IF(F360="Sắt vụn",ROUND(VLOOKUP(G360,ThongSo!$F$2:$I$15,4,0)*B360*E360/1000,3),"-")</f>
        <v>46.505000000000003</v>
      </c>
      <c r="L360" s="150"/>
      <c r="M360" s="150"/>
      <c r="N360" s="150"/>
    </row>
    <row r="361" spans="1:14" x14ac:dyDescent="0.25">
      <c r="A361" s="159">
        <v>107</v>
      </c>
      <c r="B361" s="160">
        <v>4</v>
      </c>
      <c r="C361" s="160">
        <v>11700</v>
      </c>
      <c r="D361" s="160" t="s">
        <v>3203</v>
      </c>
      <c r="E361" s="160">
        <v>690</v>
      </c>
      <c r="F361" s="160" t="s">
        <v>74</v>
      </c>
      <c r="G361" s="148">
        <v>32</v>
      </c>
      <c r="H361" s="152">
        <f>IF(C361=11700,ROUND(VLOOKUP(G361,ThongSo!$F$2:$I$15,4,0)*B361*11.7,3),0)</f>
        <v>295.30799999999999</v>
      </c>
      <c r="I361" s="152">
        <f>IF(F361="Sắt vụn",ROUND(VLOOKUP(G361,ThongSo!$F$2:$I$15,4,0)*B361*E361/1000,3),"-")</f>
        <v>17.416</v>
      </c>
      <c r="L361" s="150"/>
      <c r="M361" s="150"/>
      <c r="N361" s="150"/>
    </row>
    <row r="362" spans="1:14" x14ac:dyDescent="0.25">
      <c r="A362" s="159">
        <v>108</v>
      </c>
      <c r="B362" s="160">
        <v>10</v>
      </c>
      <c r="C362" s="160">
        <v>11700</v>
      </c>
      <c r="D362" s="160" t="s">
        <v>3204</v>
      </c>
      <c r="E362" s="160">
        <v>700</v>
      </c>
      <c r="F362" s="160" t="s">
        <v>74</v>
      </c>
      <c r="G362" s="148">
        <v>32</v>
      </c>
      <c r="H362" s="152">
        <f>IF(C362=11700,ROUND(VLOOKUP(G362,ThongSo!$F$2:$I$15,4,0)*B362*11.7,3),0)</f>
        <v>738.27</v>
      </c>
      <c r="I362" s="152">
        <f>IF(F362="Sắt vụn",ROUND(VLOOKUP(G362,ThongSo!$F$2:$I$15,4,0)*B362*E362/1000,3),"-")</f>
        <v>44.17</v>
      </c>
      <c r="L362" s="150"/>
      <c r="M362" s="150"/>
      <c r="N362" s="150"/>
    </row>
    <row r="363" spans="1:14" x14ac:dyDescent="0.25">
      <c r="A363" s="159">
        <v>109</v>
      </c>
      <c r="B363" s="160">
        <v>2</v>
      </c>
      <c r="C363" s="160">
        <v>11700</v>
      </c>
      <c r="D363" s="160" t="s">
        <v>3205</v>
      </c>
      <c r="E363" s="160">
        <v>700</v>
      </c>
      <c r="F363" s="160" t="s">
        <v>74</v>
      </c>
      <c r="G363" s="148">
        <v>32</v>
      </c>
      <c r="H363" s="152">
        <f>IF(C363=11700,ROUND(VLOOKUP(G363,ThongSo!$F$2:$I$15,4,0)*B363*11.7,3),0)</f>
        <v>147.654</v>
      </c>
      <c r="I363" s="152">
        <f>IF(F363="Sắt vụn",ROUND(VLOOKUP(G363,ThongSo!$F$2:$I$15,4,0)*B363*E363/1000,3),"-")</f>
        <v>8.8339999999999996</v>
      </c>
      <c r="L363" s="150"/>
      <c r="M363" s="150"/>
      <c r="N363" s="150"/>
    </row>
    <row r="364" spans="1:14" x14ac:dyDescent="0.25">
      <c r="A364" s="159">
        <v>110</v>
      </c>
      <c r="B364" s="160">
        <v>11</v>
      </c>
      <c r="C364" s="160">
        <v>11700</v>
      </c>
      <c r="D364" s="160" t="s">
        <v>3206</v>
      </c>
      <c r="E364" s="160">
        <v>700</v>
      </c>
      <c r="F364" s="160" t="s">
        <v>74</v>
      </c>
      <c r="G364" s="148">
        <v>32</v>
      </c>
      <c r="H364" s="152">
        <f>IF(C364=11700,ROUND(VLOOKUP(G364,ThongSo!$F$2:$I$15,4,0)*B364*11.7,3),0)</f>
        <v>812.09699999999998</v>
      </c>
      <c r="I364" s="152">
        <f>IF(F364="Sắt vụn",ROUND(VLOOKUP(G364,ThongSo!$F$2:$I$15,4,0)*B364*E364/1000,3),"-")</f>
        <v>48.587000000000003</v>
      </c>
      <c r="L364" s="150"/>
      <c r="M364" s="150"/>
      <c r="N364" s="150"/>
    </row>
    <row r="365" spans="1:14" x14ac:dyDescent="0.25">
      <c r="A365" s="159">
        <v>111</v>
      </c>
      <c r="B365" s="160">
        <v>11</v>
      </c>
      <c r="C365" s="160">
        <v>11700</v>
      </c>
      <c r="D365" s="160" t="s">
        <v>3207</v>
      </c>
      <c r="E365" s="160">
        <v>700</v>
      </c>
      <c r="F365" s="160" t="s">
        <v>74</v>
      </c>
      <c r="G365" s="148">
        <v>32</v>
      </c>
      <c r="H365" s="152">
        <f>IF(C365=11700,ROUND(VLOOKUP(G365,ThongSo!$F$2:$I$15,4,0)*B365*11.7,3),0)</f>
        <v>812.09699999999998</v>
      </c>
      <c r="I365" s="152">
        <f>IF(F365="Sắt vụn",ROUND(VLOOKUP(G365,ThongSo!$F$2:$I$15,4,0)*B365*E365/1000,3),"-")</f>
        <v>48.587000000000003</v>
      </c>
      <c r="L365" s="150"/>
      <c r="M365" s="150"/>
      <c r="N365" s="150"/>
    </row>
    <row r="366" spans="1:14" x14ac:dyDescent="0.25">
      <c r="A366" s="159">
        <v>112</v>
      </c>
      <c r="B366" s="160">
        <v>10</v>
      </c>
      <c r="C366" s="160">
        <v>11700</v>
      </c>
      <c r="D366" s="160" t="s">
        <v>3208</v>
      </c>
      <c r="E366" s="160">
        <v>700</v>
      </c>
      <c r="F366" s="160" t="s">
        <v>74</v>
      </c>
      <c r="G366" s="148">
        <v>32</v>
      </c>
      <c r="H366" s="152">
        <f>IF(C366=11700,ROUND(VLOOKUP(G366,ThongSo!$F$2:$I$15,4,0)*B366*11.7,3),0)</f>
        <v>738.27</v>
      </c>
      <c r="I366" s="152">
        <f>IF(F366="Sắt vụn",ROUND(VLOOKUP(G366,ThongSo!$F$2:$I$15,4,0)*B366*E366/1000,3),"-")</f>
        <v>44.17</v>
      </c>
      <c r="L366" s="150"/>
      <c r="M366" s="150"/>
      <c r="N366" s="150"/>
    </row>
    <row r="367" spans="1:14" x14ac:dyDescent="0.25">
      <c r="A367" s="159">
        <v>113</v>
      </c>
      <c r="B367" s="160">
        <v>10</v>
      </c>
      <c r="C367" s="160">
        <v>11700</v>
      </c>
      <c r="D367" s="160" t="s">
        <v>3209</v>
      </c>
      <c r="E367" s="160">
        <v>700</v>
      </c>
      <c r="F367" s="160" t="s">
        <v>74</v>
      </c>
      <c r="G367" s="148">
        <v>32</v>
      </c>
      <c r="H367" s="152">
        <f>IF(C367=11700,ROUND(VLOOKUP(G367,ThongSo!$F$2:$I$15,4,0)*B367*11.7,3),0)</f>
        <v>738.27</v>
      </c>
      <c r="I367" s="152">
        <f>IF(F367="Sắt vụn",ROUND(VLOOKUP(G367,ThongSo!$F$2:$I$15,4,0)*B367*E367/1000,3),"-")</f>
        <v>44.17</v>
      </c>
      <c r="L367" s="150"/>
      <c r="M367" s="150"/>
      <c r="N367" s="150"/>
    </row>
    <row r="368" spans="1:14" x14ac:dyDescent="0.25">
      <c r="A368" s="159">
        <v>114</v>
      </c>
      <c r="B368" s="160">
        <v>11</v>
      </c>
      <c r="C368" s="160">
        <v>11700</v>
      </c>
      <c r="D368" s="160" t="s">
        <v>3210</v>
      </c>
      <c r="E368" s="160">
        <v>700</v>
      </c>
      <c r="F368" s="160" t="s">
        <v>74</v>
      </c>
      <c r="G368" s="148">
        <v>32</v>
      </c>
      <c r="H368" s="152">
        <f>IF(C368=11700,ROUND(VLOOKUP(G368,ThongSo!$F$2:$I$15,4,0)*B368*11.7,3),0)</f>
        <v>812.09699999999998</v>
      </c>
      <c r="I368" s="152">
        <f>IF(F368="Sắt vụn",ROUND(VLOOKUP(G368,ThongSo!$F$2:$I$15,4,0)*B368*E368/1000,3),"-")</f>
        <v>48.587000000000003</v>
      </c>
      <c r="L368" s="150"/>
      <c r="M368" s="150"/>
      <c r="N368" s="150"/>
    </row>
    <row r="369" spans="1:14" x14ac:dyDescent="0.25">
      <c r="A369" s="159">
        <v>115</v>
      </c>
      <c r="B369" s="160">
        <v>7</v>
      </c>
      <c r="C369" s="160">
        <v>11700</v>
      </c>
      <c r="D369" s="160" t="s">
        <v>3211</v>
      </c>
      <c r="E369" s="160">
        <v>700</v>
      </c>
      <c r="F369" s="160" t="s">
        <v>74</v>
      </c>
      <c r="G369" s="148">
        <v>32</v>
      </c>
      <c r="H369" s="152">
        <f>IF(C369=11700,ROUND(VLOOKUP(G369,ThongSo!$F$2:$I$15,4,0)*B369*11.7,3),0)</f>
        <v>516.78899999999999</v>
      </c>
      <c r="I369" s="152">
        <f>IF(F369="Sắt vụn",ROUND(VLOOKUP(G369,ThongSo!$F$2:$I$15,4,0)*B369*E369/1000,3),"-")</f>
        <v>30.919</v>
      </c>
      <c r="L369" s="150"/>
      <c r="M369" s="150"/>
      <c r="N369" s="150"/>
    </row>
    <row r="370" spans="1:14" x14ac:dyDescent="0.25">
      <c r="A370" s="159">
        <v>116</v>
      </c>
      <c r="B370" s="160">
        <v>6</v>
      </c>
      <c r="C370" s="160">
        <v>11700</v>
      </c>
      <c r="D370" s="160" t="s">
        <v>3212</v>
      </c>
      <c r="E370" s="160">
        <v>700</v>
      </c>
      <c r="F370" s="160" t="s">
        <v>74</v>
      </c>
      <c r="G370" s="148">
        <v>32</v>
      </c>
      <c r="H370" s="152">
        <f>IF(C370=11700,ROUND(VLOOKUP(G370,ThongSo!$F$2:$I$15,4,0)*B370*11.7,3),0)</f>
        <v>442.96199999999999</v>
      </c>
      <c r="I370" s="152">
        <f>IF(F370="Sắt vụn",ROUND(VLOOKUP(G370,ThongSo!$F$2:$I$15,4,0)*B370*E370/1000,3),"-")</f>
        <v>26.501999999999999</v>
      </c>
      <c r="L370" s="150"/>
      <c r="M370" s="150"/>
      <c r="N370" s="150"/>
    </row>
    <row r="371" spans="1:14" x14ac:dyDescent="0.25">
      <c r="A371" s="159">
        <v>117</v>
      </c>
      <c r="B371" s="160">
        <v>1</v>
      </c>
      <c r="C371" s="160">
        <v>11700</v>
      </c>
      <c r="D371" s="160" t="s">
        <v>3213</v>
      </c>
      <c r="E371" s="160">
        <v>710</v>
      </c>
      <c r="F371" s="160" t="s">
        <v>74</v>
      </c>
      <c r="G371" s="148">
        <v>32</v>
      </c>
      <c r="H371" s="152">
        <f>IF(C371=11700,ROUND(VLOOKUP(G371,ThongSo!$F$2:$I$15,4,0)*B371*11.7,3),0)</f>
        <v>73.826999999999998</v>
      </c>
      <c r="I371" s="152">
        <f>IF(F371="Sắt vụn",ROUND(VLOOKUP(G371,ThongSo!$F$2:$I$15,4,0)*B371*E371/1000,3),"-")</f>
        <v>4.4800000000000004</v>
      </c>
      <c r="L371" s="150"/>
      <c r="M371" s="150"/>
      <c r="N371" s="150"/>
    </row>
    <row r="372" spans="1:14" x14ac:dyDescent="0.25">
      <c r="A372" s="159">
        <v>118</v>
      </c>
      <c r="B372" s="160">
        <v>11</v>
      </c>
      <c r="C372" s="160">
        <v>11700</v>
      </c>
      <c r="D372" s="160" t="s">
        <v>3214</v>
      </c>
      <c r="E372" s="160">
        <v>730</v>
      </c>
      <c r="F372" s="160" t="s">
        <v>74</v>
      </c>
      <c r="G372" s="148">
        <v>32</v>
      </c>
      <c r="H372" s="152">
        <f>IF(C372=11700,ROUND(VLOOKUP(G372,ThongSo!$F$2:$I$15,4,0)*B372*11.7,3),0)</f>
        <v>812.09699999999998</v>
      </c>
      <c r="I372" s="152">
        <f>IF(F372="Sắt vụn",ROUND(VLOOKUP(G372,ThongSo!$F$2:$I$15,4,0)*B372*E372/1000,3),"-")</f>
        <v>50.668999999999997</v>
      </c>
      <c r="L372" s="150"/>
      <c r="M372" s="150"/>
      <c r="N372" s="150"/>
    </row>
    <row r="373" spans="1:14" x14ac:dyDescent="0.25">
      <c r="A373" s="159">
        <v>119</v>
      </c>
      <c r="B373" s="160">
        <v>11</v>
      </c>
      <c r="C373" s="160">
        <v>11700</v>
      </c>
      <c r="D373" s="160" t="s">
        <v>3215</v>
      </c>
      <c r="E373" s="160">
        <v>730</v>
      </c>
      <c r="F373" s="160" t="s">
        <v>74</v>
      </c>
      <c r="G373" s="148">
        <v>32</v>
      </c>
      <c r="H373" s="152">
        <f>IF(C373=11700,ROUND(VLOOKUP(G373,ThongSo!$F$2:$I$15,4,0)*B373*11.7,3),0)</f>
        <v>812.09699999999998</v>
      </c>
      <c r="I373" s="152">
        <f>IF(F373="Sắt vụn",ROUND(VLOOKUP(G373,ThongSo!$F$2:$I$15,4,0)*B373*E373/1000,3),"-")</f>
        <v>50.668999999999997</v>
      </c>
      <c r="L373" s="150"/>
      <c r="M373" s="150"/>
      <c r="N373" s="150"/>
    </row>
    <row r="374" spans="1:14" x14ac:dyDescent="0.25">
      <c r="A374" s="159">
        <v>120</v>
      </c>
      <c r="B374" s="160">
        <v>21</v>
      </c>
      <c r="C374" s="160">
        <v>11700</v>
      </c>
      <c r="D374" s="160" t="s">
        <v>3216</v>
      </c>
      <c r="E374" s="160">
        <v>740</v>
      </c>
      <c r="F374" s="160" t="s">
        <v>74</v>
      </c>
      <c r="G374" s="148">
        <v>32</v>
      </c>
      <c r="H374" s="152">
        <f>IF(C374=11700,ROUND(VLOOKUP(G374,ThongSo!$F$2:$I$15,4,0)*B374*11.7,3),0)</f>
        <v>1550.367</v>
      </c>
      <c r="I374" s="152">
        <f>IF(F374="Sắt vụn",ROUND(VLOOKUP(G374,ThongSo!$F$2:$I$15,4,0)*B374*E374/1000,3),"-")</f>
        <v>98.057000000000002</v>
      </c>
      <c r="L374" s="150"/>
      <c r="M374" s="150"/>
      <c r="N374" s="150"/>
    </row>
    <row r="375" spans="1:14" x14ac:dyDescent="0.25">
      <c r="A375" s="159">
        <v>121</v>
      </c>
      <c r="B375" s="160">
        <v>21</v>
      </c>
      <c r="C375" s="160">
        <v>11700</v>
      </c>
      <c r="D375" s="160" t="s">
        <v>3217</v>
      </c>
      <c r="E375" s="160">
        <v>740</v>
      </c>
      <c r="F375" s="160" t="s">
        <v>74</v>
      </c>
      <c r="G375" s="148">
        <v>32</v>
      </c>
      <c r="H375" s="152">
        <f>IF(C375=11700,ROUND(VLOOKUP(G375,ThongSo!$F$2:$I$15,4,0)*B375*11.7,3),0)</f>
        <v>1550.367</v>
      </c>
      <c r="I375" s="152">
        <f>IF(F375="Sắt vụn",ROUND(VLOOKUP(G375,ThongSo!$F$2:$I$15,4,0)*B375*E375/1000,3),"-")</f>
        <v>98.057000000000002</v>
      </c>
      <c r="L375" s="150"/>
      <c r="M375" s="150"/>
      <c r="N375" s="150"/>
    </row>
    <row r="376" spans="1:14" x14ac:dyDescent="0.25">
      <c r="A376" s="159">
        <v>122</v>
      </c>
      <c r="B376" s="160">
        <v>3</v>
      </c>
      <c r="C376" s="160">
        <v>11700</v>
      </c>
      <c r="D376" s="160" t="s">
        <v>3218</v>
      </c>
      <c r="E376" s="160">
        <v>860</v>
      </c>
      <c r="F376" s="160" t="s">
        <v>74</v>
      </c>
      <c r="G376" s="148">
        <v>32</v>
      </c>
      <c r="H376" s="152">
        <f>IF(C376=11700,ROUND(VLOOKUP(G376,ThongSo!$F$2:$I$15,4,0)*B376*11.7,3),0)</f>
        <v>221.48099999999999</v>
      </c>
      <c r="I376" s="152">
        <f>IF(F376="Sắt vụn",ROUND(VLOOKUP(G376,ThongSo!$F$2:$I$15,4,0)*B376*E376/1000,3),"-")</f>
        <v>16.28</v>
      </c>
      <c r="L376" s="150"/>
      <c r="M376" s="150"/>
      <c r="N376" s="150"/>
    </row>
    <row r="377" spans="1:14" x14ac:dyDescent="0.25">
      <c r="A377" s="159">
        <v>123</v>
      </c>
      <c r="B377" s="160">
        <v>13</v>
      </c>
      <c r="C377" s="160">
        <v>11700</v>
      </c>
      <c r="D377" s="160" t="s">
        <v>3219</v>
      </c>
      <c r="E377" s="160">
        <v>900</v>
      </c>
      <c r="F377" s="160" t="s">
        <v>74</v>
      </c>
      <c r="G377" s="148">
        <v>32</v>
      </c>
      <c r="H377" s="152">
        <f>IF(C377=11700,ROUND(VLOOKUP(G377,ThongSo!$F$2:$I$15,4,0)*B377*11.7,3),0)</f>
        <v>959.75099999999998</v>
      </c>
      <c r="I377" s="152">
        <f>IF(F377="Sắt vụn",ROUND(VLOOKUP(G377,ThongSo!$F$2:$I$15,4,0)*B377*E377/1000,3),"-")</f>
        <v>73.826999999999998</v>
      </c>
      <c r="L377" s="150"/>
      <c r="M377" s="150"/>
      <c r="N377" s="150"/>
    </row>
    <row r="378" spans="1:14" x14ac:dyDescent="0.25">
      <c r="A378" s="159">
        <v>124</v>
      </c>
      <c r="B378" s="160">
        <v>10</v>
      </c>
      <c r="C378" s="160">
        <v>11700</v>
      </c>
      <c r="D378" s="160" t="s">
        <v>3220</v>
      </c>
      <c r="E378" s="160">
        <v>940</v>
      </c>
      <c r="F378" s="160" t="s">
        <v>74</v>
      </c>
      <c r="G378" s="148">
        <v>32</v>
      </c>
      <c r="H378" s="152">
        <f>IF(C378=11700,ROUND(VLOOKUP(G378,ThongSo!$F$2:$I$15,4,0)*B378*11.7,3),0)</f>
        <v>738.27</v>
      </c>
      <c r="I378" s="152">
        <f>IF(F378="Sắt vụn",ROUND(VLOOKUP(G378,ThongSo!$F$2:$I$15,4,0)*B378*E378/1000,3),"-")</f>
        <v>59.314</v>
      </c>
      <c r="L378" s="150"/>
      <c r="M378" s="150"/>
      <c r="N378" s="150"/>
    </row>
    <row r="379" spans="1:14" x14ac:dyDescent="0.25">
      <c r="A379" s="159">
        <v>125</v>
      </c>
      <c r="B379" s="160">
        <v>21</v>
      </c>
      <c r="C379" s="160">
        <v>11700</v>
      </c>
      <c r="D379" s="160" t="s">
        <v>3221</v>
      </c>
      <c r="E379" s="160">
        <v>960</v>
      </c>
      <c r="F379" s="160" t="s">
        <v>74</v>
      </c>
      <c r="G379" s="148">
        <v>32</v>
      </c>
      <c r="H379" s="152">
        <f>IF(C379=11700,ROUND(VLOOKUP(G379,ThongSo!$F$2:$I$15,4,0)*B379*11.7,3),0)</f>
        <v>1550.367</v>
      </c>
      <c r="I379" s="152">
        <f>IF(F379="Sắt vụn",ROUND(VLOOKUP(G379,ThongSo!$F$2:$I$15,4,0)*B379*E379/1000,3),"-")</f>
        <v>127.21</v>
      </c>
      <c r="L379" s="150"/>
      <c r="M379" s="150"/>
      <c r="N379" s="150"/>
    </row>
    <row r="380" spans="1:14" x14ac:dyDescent="0.25">
      <c r="A380" s="159">
        <v>126</v>
      </c>
      <c r="B380" s="160">
        <v>6</v>
      </c>
      <c r="C380" s="160">
        <v>11700</v>
      </c>
      <c r="D380" s="160" t="s">
        <v>3222</v>
      </c>
      <c r="E380" s="160">
        <v>980</v>
      </c>
      <c r="F380" s="160" t="s">
        <v>74</v>
      </c>
      <c r="G380" s="148">
        <v>32</v>
      </c>
      <c r="H380" s="152">
        <f>IF(C380=11700,ROUND(VLOOKUP(G380,ThongSo!$F$2:$I$15,4,0)*B380*11.7,3),0)</f>
        <v>442.96199999999999</v>
      </c>
      <c r="I380" s="152">
        <f>IF(F380="Sắt vụn",ROUND(VLOOKUP(G380,ThongSo!$F$2:$I$15,4,0)*B380*E380/1000,3),"-")</f>
        <v>37.103000000000002</v>
      </c>
      <c r="L380" s="150"/>
      <c r="M380" s="150"/>
      <c r="N380" s="150"/>
    </row>
    <row r="381" spans="1:14" x14ac:dyDescent="0.25">
      <c r="A381" s="159">
        <v>127</v>
      </c>
      <c r="B381" s="160">
        <v>21</v>
      </c>
      <c r="C381" s="160">
        <v>11700</v>
      </c>
      <c r="D381" s="160" t="s">
        <v>3223</v>
      </c>
      <c r="E381" s="160">
        <v>1010</v>
      </c>
      <c r="F381" s="160" t="s">
        <v>74</v>
      </c>
      <c r="G381" s="148">
        <v>32</v>
      </c>
      <c r="H381" s="152">
        <f>IF(C381=11700,ROUND(VLOOKUP(G381,ThongSo!$F$2:$I$15,4,0)*B381*11.7,3),0)</f>
        <v>1550.367</v>
      </c>
      <c r="I381" s="152">
        <f>IF(F381="Sắt vụn",ROUND(VLOOKUP(G381,ThongSo!$F$2:$I$15,4,0)*B381*E381/1000,3),"-")</f>
        <v>133.83500000000001</v>
      </c>
      <c r="L381" s="150"/>
      <c r="M381" s="150"/>
      <c r="N381" s="150"/>
    </row>
    <row r="382" spans="1:14" x14ac:dyDescent="0.25">
      <c r="A382" s="159">
        <v>128</v>
      </c>
      <c r="B382" s="160">
        <v>21</v>
      </c>
      <c r="C382" s="160">
        <v>11700</v>
      </c>
      <c r="D382" s="160" t="s">
        <v>3224</v>
      </c>
      <c r="E382" s="160">
        <v>1060</v>
      </c>
      <c r="F382" s="160" t="s">
        <v>74</v>
      </c>
      <c r="G382" s="148">
        <v>32</v>
      </c>
      <c r="H382" s="152">
        <f>IF(C382=11700,ROUND(VLOOKUP(G382,ThongSo!$F$2:$I$15,4,0)*B382*11.7,3),0)</f>
        <v>1550.367</v>
      </c>
      <c r="I382" s="152">
        <f>IF(F382="Sắt vụn",ROUND(VLOOKUP(G382,ThongSo!$F$2:$I$15,4,0)*B382*E382/1000,3),"-")</f>
        <v>140.46100000000001</v>
      </c>
      <c r="L382" s="150"/>
      <c r="M382" s="150"/>
      <c r="N382" s="150"/>
    </row>
    <row r="383" spans="1:14" x14ac:dyDescent="0.25">
      <c r="A383" s="159">
        <v>129</v>
      </c>
      <c r="B383" s="160">
        <v>2</v>
      </c>
      <c r="C383" s="160">
        <v>11700</v>
      </c>
      <c r="D383" s="160" t="s">
        <v>3225</v>
      </c>
      <c r="E383" s="160">
        <v>1110</v>
      </c>
      <c r="F383" s="160" t="s">
        <v>74</v>
      </c>
      <c r="G383" s="148">
        <v>32</v>
      </c>
      <c r="H383" s="152">
        <f>IF(C383=11700,ROUND(VLOOKUP(G383,ThongSo!$F$2:$I$15,4,0)*B383*11.7,3),0)</f>
        <v>147.654</v>
      </c>
      <c r="I383" s="152">
        <f>IF(F383="Sắt vụn",ROUND(VLOOKUP(G383,ThongSo!$F$2:$I$15,4,0)*B383*E383/1000,3),"-")</f>
        <v>14.007999999999999</v>
      </c>
      <c r="L383" s="150"/>
      <c r="M383" s="150"/>
      <c r="N383" s="150"/>
    </row>
    <row r="384" spans="1:14" x14ac:dyDescent="0.25">
      <c r="A384" s="159">
        <v>130</v>
      </c>
      <c r="B384" s="160">
        <v>11</v>
      </c>
      <c r="C384" s="160">
        <v>11700</v>
      </c>
      <c r="D384" s="160" t="s">
        <v>3226</v>
      </c>
      <c r="E384" s="160">
        <v>1140</v>
      </c>
      <c r="F384" s="160" t="s">
        <v>74</v>
      </c>
      <c r="G384" s="148">
        <v>32</v>
      </c>
      <c r="H384" s="152">
        <f>IF(C384=11700,ROUND(VLOOKUP(G384,ThongSo!$F$2:$I$15,4,0)*B384*11.7,3),0)</f>
        <v>812.09699999999998</v>
      </c>
      <c r="I384" s="152">
        <f>IF(F384="Sắt vụn",ROUND(VLOOKUP(G384,ThongSo!$F$2:$I$15,4,0)*B384*E384/1000,3),"-")</f>
        <v>79.126999999999995</v>
      </c>
      <c r="L384" s="150"/>
      <c r="M384" s="150"/>
      <c r="N384" s="150"/>
    </row>
    <row r="385" spans="1:14" x14ac:dyDescent="0.25">
      <c r="A385" s="159">
        <v>131</v>
      </c>
      <c r="B385" s="160">
        <v>11</v>
      </c>
      <c r="C385" s="160">
        <v>11700</v>
      </c>
      <c r="D385" s="160" t="s">
        <v>3227</v>
      </c>
      <c r="E385" s="160">
        <v>1180</v>
      </c>
      <c r="F385" s="160" t="s">
        <v>74</v>
      </c>
      <c r="G385" s="148">
        <v>32</v>
      </c>
      <c r="H385" s="152">
        <f>IF(C385=11700,ROUND(VLOOKUP(G385,ThongSo!$F$2:$I$15,4,0)*B385*11.7,3),0)</f>
        <v>812.09699999999998</v>
      </c>
      <c r="I385" s="152">
        <f>IF(F385="Sắt vụn",ROUND(VLOOKUP(G385,ThongSo!$F$2:$I$15,4,0)*B385*E385/1000,3),"-")</f>
        <v>81.903999999999996</v>
      </c>
      <c r="L385" s="150"/>
      <c r="M385" s="150"/>
      <c r="N385" s="150"/>
    </row>
    <row r="386" spans="1:14" x14ac:dyDescent="0.25">
      <c r="A386" s="159">
        <v>132</v>
      </c>
      <c r="B386" s="160">
        <v>10</v>
      </c>
      <c r="C386" s="160">
        <v>11700</v>
      </c>
      <c r="D386" s="160" t="s">
        <v>3228</v>
      </c>
      <c r="E386" s="160">
        <v>1190</v>
      </c>
      <c r="F386" s="160" t="s">
        <v>74</v>
      </c>
      <c r="G386" s="148">
        <v>32</v>
      </c>
      <c r="H386" s="152">
        <f>IF(C386=11700,ROUND(VLOOKUP(G386,ThongSo!$F$2:$I$15,4,0)*B386*11.7,3),0)</f>
        <v>738.27</v>
      </c>
      <c r="I386" s="152">
        <f>IF(F386="Sắt vụn",ROUND(VLOOKUP(G386,ThongSo!$F$2:$I$15,4,0)*B386*E386/1000,3),"-")</f>
        <v>75.088999999999999</v>
      </c>
      <c r="L386" s="150"/>
      <c r="M386" s="150"/>
      <c r="N386" s="150"/>
    </row>
    <row r="387" spans="1:14" x14ac:dyDescent="0.25">
      <c r="A387" s="159">
        <v>133</v>
      </c>
      <c r="B387" s="160">
        <v>10</v>
      </c>
      <c r="C387" s="160">
        <v>11700</v>
      </c>
      <c r="D387" s="160" t="s">
        <v>3229</v>
      </c>
      <c r="E387" s="160">
        <v>1250</v>
      </c>
      <c r="F387" s="160" t="s">
        <v>74</v>
      </c>
      <c r="G387" s="148">
        <v>32</v>
      </c>
      <c r="H387" s="152">
        <f>IF(C387=11700,ROUND(VLOOKUP(G387,ThongSo!$F$2:$I$15,4,0)*B387*11.7,3),0)</f>
        <v>738.27</v>
      </c>
      <c r="I387" s="152">
        <f>IF(F387="Sắt vụn",ROUND(VLOOKUP(G387,ThongSo!$F$2:$I$15,4,0)*B387*E387/1000,3),"-")</f>
        <v>78.875</v>
      </c>
      <c r="L387" s="150"/>
      <c r="M387" s="150"/>
      <c r="N387" s="150"/>
    </row>
    <row r="388" spans="1:14" x14ac:dyDescent="0.25">
      <c r="A388" s="159">
        <v>134</v>
      </c>
      <c r="B388" s="160">
        <v>11</v>
      </c>
      <c r="C388" s="160">
        <v>11700</v>
      </c>
      <c r="D388" s="160" t="s">
        <v>3230</v>
      </c>
      <c r="E388" s="160">
        <v>1250</v>
      </c>
      <c r="F388" s="160" t="s">
        <v>74</v>
      </c>
      <c r="G388" s="148">
        <v>32</v>
      </c>
      <c r="H388" s="152">
        <f>IF(C388=11700,ROUND(VLOOKUP(G388,ThongSo!$F$2:$I$15,4,0)*B388*11.7,3),0)</f>
        <v>812.09699999999998</v>
      </c>
      <c r="I388" s="152">
        <f>IF(F388="Sắt vụn",ROUND(VLOOKUP(G388,ThongSo!$F$2:$I$15,4,0)*B388*E388/1000,3),"-")</f>
        <v>86.763000000000005</v>
      </c>
      <c r="L388" s="150"/>
      <c r="M388" s="150"/>
      <c r="N388" s="150"/>
    </row>
    <row r="389" spans="1:14" x14ac:dyDescent="0.25">
      <c r="A389" s="159">
        <v>135</v>
      </c>
      <c r="B389" s="160">
        <v>7</v>
      </c>
      <c r="C389" s="160">
        <v>11700</v>
      </c>
      <c r="D389" s="160" t="s">
        <v>3231</v>
      </c>
      <c r="E389" s="160">
        <v>1500</v>
      </c>
      <c r="F389" s="160" t="s">
        <v>74</v>
      </c>
      <c r="G389" s="148">
        <v>32</v>
      </c>
      <c r="H389" s="152">
        <f>IF(C389=11700,ROUND(VLOOKUP(G389,ThongSo!$F$2:$I$15,4,0)*B389*11.7,3),0)</f>
        <v>516.78899999999999</v>
      </c>
      <c r="I389" s="152">
        <f>IF(F389="Sắt vụn",ROUND(VLOOKUP(G389,ThongSo!$F$2:$I$15,4,0)*B389*E389/1000,3),"-")</f>
        <v>66.254999999999995</v>
      </c>
      <c r="L389" s="150"/>
      <c r="M389" s="150"/>
      <c r="N389" s="150"/>
    </row>
    <row r="390" spans="1:14" x14ac:dyDescent="0.25">
      <c r="A390" s="159">
        <v>136</v>
      </c>
      <c r="B390" s="160">
        <v>11</v>
      </c>
      <c r="C390" s="160">
        <v>11700</v>
      </c>
      <c r="D390" s="160" t="s">
        <v>3232</v>
      </c>
      <c r="E390" s="160">
        <v>1510</v>
      </c>
      <c r="F390" s="160" t="s">
        <v>74</v>
      </c>
      <c r="G390" s="148">
        <v>32</v>
      </c>
      <c r="H390" s="152">
        <f>IF(C390=11700,ROUND(VLOOKUP(G390,ThongSo!$F$2:$I$15,4,0)*B390*11.7,3),0)</f>
        <v>812.09699999999998</v>
      </c>
      <c r="I390" s="152">
        <f>IF(F390="Sắt vụn",ROUND(VLOOKUP(G390,ThongSo!$F$2:$I$15,4,0)*B390*E390/1000,3),"-")</f>
        <v>104.809</v>
      </c>
      <c r="L390" s="150"/>
      <c r="M390" s="150"/>
      <c r="N390" s="150"/>
    </row>
    <row r="391" spans="1:14" x14ac:dyDescent="0.25">
      <c r="A391" s="159">
        <v>137</v>
      </c>
      <c r="B391" s="160">
        <v>6</v>
      </c>
      <c r="C391" s="160">
        <v>11700</v>
      </c>
      <c r="D391" s="160" t="s">
        <v>3233</v>
      </c>
      <c r="E391" s="160">
        <v>1540</v>
      </c>
      <c r="F391" s="160" t="s">
        <v>74</v>
      </c>
      <c r="G391" s="148">
        <v>32</v>
      </c>
      <c r="H391" s="152">
        <f>IF(C391=11700,ROUND(VLOOKUP(G391,ThongSo!$F$2:$I$15,4,0)*B391*11.7,3),0)</f>
        <v>442.96199999999999</v>
      </c>
      <c r="I391" s="152">
        <f>IF(F391="Sắt vụn",ROUND(VLOOKUP(G391,ThongSo!$F$2:$I$15,4,0)*B391*E391/1000,3),"-")</f>
        <v>58.304000000000002</v>
      </c>
      <c r="L391" s="150"/>
      <c r="M391" s="150"/>
      <c r="N391" s="150"/>
    </row>
    <row r="392" spans="1:14" x14ac:dyDescent="0.25">
      <c r="A392" s="159">
        <v>138</v>
      </c>
      <c r="B392" s="160">
        <v>12</v>
      </c>
      <c r="C392" s="160">
        <v>11700</v>
      </c>
      <c r="D392" s="160" t="s">
        <v>3234</v>
      </c>
      <c r="E392" s="160">
        <v>1700</v>
      </c>
      <c r="F392" s="160" t="s">
        <v>75</v>
      </c>
      <c r="G392" s="148">
        <v>32</v>
      </c>
      <c r="H392" s="152">
        <f>IF(C392=11700,ROUND(VLOOKUP(G392,ThongSo!$F$2:$I$15,4,0)*B392*11.7,3),0)</f>
        <v>885.92399999999998</v>
      </c>
      <c r="I392" s="152" t="str">
        <f>IF(F392="Sắt vụn",ROUND(VLOOKUP(G392,ThongSo!$F$2:$I$15,4,0)*B392*E392/1000,3),"-")</f>
        <v>-</v>
      </c>
      <c r="L392" s="150"/>
      <c r="M392" s="150"/>
      <c r="N392" s="150"/>
    </row>
    <row r="393" spans="1:14" x14ac:dyDescent="0.25">
      <c r="A393" s="159">
        <v>139</v>
      </c>
      <c r="B393" s="160">
        <v>10</v>
      </c>
      <c r="C393" s="160">
        <v>11700</v>
      </c>
      <c r="D393" s="160" t="s">
        <v>3235</v>
      </c>
      <c r="E393" s="160">
        <v>1700</v>
      </c>
      <c r="F393" s="160" t="s">
        <v>75</v>
      </c>
      <c r="G393" s="148">
        <v>32</v>
      </c>
      <c r="H393" s="152">
        <f>IF(C393=11700,ROUND(VLOOKUP(G393,ThongSo!$F$2:$I$15,4,0)*B393*11.7,3),0)</f>
        <v>738.27</v>
      </c>
      <c r="I393" s="152" t="str">
        <f>IF(F393="Sắt vụn",ROUND(VLOOKUP(G393,ThongSo!$F$2:$I$15,4,0)*B393*E393/1000,3),"-")</f>
        <v>-</v>
      </c>
      <c r="L393" s="150"/>
      <c r="M393" s="150"/>
      <c r="N393" s="150"/>
    </row>
    <row r="394" spans="1:14" x14ac:dyDescent="0.25">
      <c r="A394" s="159">
        <v>140</v>
      </c>
      <c r="B394" s="160">
        <v>11</v>
      </c>
      <c r="C394" s="160">
        <v>11700</v>
      </c>
      <c r="D394" s="160" t="s">
        <v>3236</v>
      </c>
      <c r="E394" s="160">
        <v>1700</v>
      </c>
      <c r="F394" s="160" t="s">
        <v>75</v>
      </c>
      <c r="G394" s="148">
        <v>32</v>
      </c>
      <c r="H394" s="152">
        <f>IF(C394=11700,ROUND(VLOOKUP(G394,ThongSo!$F$2:$I$15,4,0)*B394*11.7,3),0)</f>
        <v>812.09699999999998</v>
      </c>
      <c r="I394" s="152" t="str">
        <f>IF(F394="Sắt vụn",ROUND(VLOOKUP(G394,ThongSo!$F$2:$I$15,4,0)*B394*E394/1000,3),"-")</f>
        <v>-</v>
      </c>
      <c r="L394" s="150"/>
      <c r="M394" s="150"/>
      <c r="N394" s="150"/>
    </row>
    <row r="395" spans="1:14" x14ac:dyDescent="0.25">
      <c r="A395" s="159">
        <v>141</v>
      </c>
      <c r="B395" s="160">
        <v>4</v>
      </c>
      <c r="C395" s="160">
        <v>11700</v>
      </c>
      <c r="D395" s="160" t="s">
        <v>3237</v>
      </c>
      <c r="E395" s="160">
        <v>1700</v>
      </c>
      <c r="F395" s="160" t="s">
        <v>75</v>
      </c>
      <c r="G395" s="148">
        <v>32</v>
      </c>
      <c r="H395" s="152">
        <f>IF(C395=11700,ROUND(VLOOKUP(G395,ThongSo!$F$2:$I$15,4,0)*B395*11.7,3),0)</f>
        <v>295.30799999999999</v>
      </c>
      <c r="I395" s="152" t="str">
        <f>IF(F395="Sắt vụn",ROUND(VLOOKUP(G395,ThongSo!$F$2:$I$15,4,0)*B395*E395/1000,3),"-")</f>
        <v>-</v>
      </c>
      <c r="L395" s="150"/>
      <c r="M395" s="150"/>
      <c r="N395" s="150"/>
    </row>
    <row r="396" spans="1:14" x14ac:dyDescent="0.25">
      <c r="A396" s="159">
        <v>142</v>
      </c>
      <c r="B396" s="160">
        <v>4</v>
      </c>
      <c r="C396" s="160">
        <v>11700</v>
      </c>
      <c r="D396" s="160" t="s">
        <v>3238</v>
      </c>
      <c r="E396" s="160">
        <v>1700</v>
      </c>
      <c r="F396" s="160" t="s">
        <v>75</v>
      </c>
      <c r="G396" s="148">
        <v>32</v>
      </c>
      <c r="H396" s="152">
        <f>IF(C396=11700,ROUND(VLOOKUP(G396,ThongSo!$F$2:$I$15,4,0)*B396*11.7,3),0)</f>
        <v>295.30799999999999</v>
      </c>
      <c r="I396" s="152" t="str">
        <f>IF(F396="Sắt vụn",ROUND(VLOOKUP(G396,ThongSo!$F$2:$I$15,4,0)*B396*E396/1000,3),"-")</f>
        <v>-</v>
      </c>
      <c r="L396" s="150"/>
      <c r="M396" s="150"/>
      <c r="N396" s="150"/>
    </row>
    <row r="397" spans="1:14" x14ac:dyDescent="0.25">
      <c r="A397" s="159">
        <v>143</v>
      </c>
      <c r="B397" s="160">
        <v>6</v>
      </c>
      <c r="C397" s="160">
        <v>11700</v>
      </c>
      <c r="D397" s="160" t="s">
        <v>3239</v>
      </c>
      <c r="E397" s="160">
        <v>1700</v>
      </c>
      <c r="F397" s="160" t="s">
        <v>75</v>
      </c>
      <c r="G397" s="148">
        <v>32</v>
      </c>
      <c r="H397" s="152">
        <f>IF(C397=11700,ROUND(VLOOKUP(G397,ThongSo!$F$2:$I$15,4,0)*B397*11.7,3),0)</f>
        <v>442.96199999999999</v>
      </c>
      <c r="I397" s="152" t="str">
        <f>IF(F397="Sắt vụn",ROUND(VLOOKUP(G397,ThongSo!$F$2:$I$15,4,0)*B397*E397/1000,3),"-")</f>
        <v>-</v>
      </c>
      <c r="L397" s="150"/>
      <c r="M397" s="150"/>
      <c r="N397" s="150"/>
    </row>
    <row r="398" spans="1:14" x14ac:dyDescent="0.25">
      <c r="A398" s="159">
        <v>144</v>
      </c>
      <c r="B398" s="160">
        <v>8</v>
      </c>
      <c r="C398" s="160">
        <v>11700</v>
      </c>
      <c r="D398" s="160" t="s">
        <v>3240</v>
      </c>
      <c r="E398" s="160">
        <v>1750</v>
      </c>
      <c r="F398" s="160" t="s">
        <v>75</v>
      </c>
      <c r="G398" s="148">
        <v>32</v>
      </c>
      <c r="H398" s="152">
        <f>IF(C398=11700,ROUND(VLOOKUP(G398,ThongSo!$F$2:$I$15,4,0)*B398*11.7,3),0)</f>
        <v>590.61599999999999</v>
      </c>
      <c r="I398" s="152" t="str">
        <f>IF(F398="Sắt vụn",ROUND(VLOOKUP(G398,ThongSo!$F$2:$I$15,4,0)*B398*E398/1000,3),"-")</f>
        <v>-</v>
      </c>
      <c r="L398" s="150"/>
      <c r="M398" s="150"/>
      <c r="N398" s="150"/>
    </row>
    <row r="399" spans="1:14" x14ac:dyDescent="0.25">
      <c r="A399" s="159">
        <v>145</v>
      </c>
      <c r="B399" s="160">
        <v>3</v>
      </c>
      <c r="C399" s="160">
        <v>11700</v>
      </c>
      <c r="D399" s="160" t="s">
        <v>3241</v>
      </c>
      <c r="E399" s="160">
        <v>1760</v>
      </c>
      <c r="F399" s="160" t="s">
        <v>75</v>
      </c>
      <c r="G399" s="148">
        <v>32</v>
      </c>
      <c r="H399" s="152">
        <f>IF(C399=11700,ROUND(VLOOKUP(G399,ThongSo!$F$2:$I$15,4,0)*B399*11.7,3),0)</f>
        <v>221.48099999999999</v>
      </c>
      <c r="I399" s="152" t="str">
        <f>IF(F399="Sắt vụn",ROUND(VLOOKUP(G399,ThongSo!$F$2:$I$15,4,0)*B399*E399/1000,3),"-")</f>
        <v>-</v>
      </c>
      <c r="L399" s="150"/>
      <c r="M399" s="150"/>
      <c r="N399" s="150"/>
    </row>
    <row r="400" spans="1:14" x14ac:dyDescent="0.25">
      <c r="A400" s="159">
        <v>146</v>
      </c>
      <c r="B400" s="160">
        <v>8</v>
      </c>
      <c r="C400" s="160">
        <v>11700</v>
      </c>
      <c r="D400" s="160" t="s">
        <v>3242</v>
      </c>
      <c r="E400" s="160">
        <v>1760</v>
      </c>
      <c r="F400" s="160" t="s">
        <v>75</v>
      </c>
      <c r="G400" s="148">
        <v>32</v>
      </c>
      <c r="H400" s="152">
        <f>IF(C400=11700,ROUND(VLOOKUP(G400,ThongSo!$F$2:$I$15,4,0)*B400*11.7,3),0)</f>
        <v>590.61599999999999</v>
      </c>
      <c r="I400" s="152" t="str">
        <f>IF(F400="Sắt vụn",ROUND(VLOOKUP(G400,ThongSo!$F$2:$I$15,4,0)*B400*E400/1000,3),"-")</f>
        <v>-</v>
      </c>
      <c r="L400" s="150"/>
      <c r="M400" s="150"/>
      <c r="N400" s="150"/>
    </row>
    <row r="401" spans="1:14" x14ac:dyDescent="0.25">
      <c r="A401" s="159">
        <v>147</v>
      </c>
      <c r="B401" s="160">
        <v>4</v>
      </c>
      <c r="C401" s="160">
        <v>11700</v>
      </c>
      <c r="D401" s="160" t="s">
        <v>3243</v>
      </c>
      <c r="E401" s="160">
        <v>1760</v>
      </c>
      <c r="F401" s="160" t="s">
        <v>75</v>
      </c>
      <c r="G401" s="148">
        <v>32</v>
      </c>
      <c r="H401" s="152">
        <f>IF(C401=11700,ROUND(VLOOKUP(G401,ThongSo!$F$2:$I$15,4,0)*B401*11.7,3),0)</f>
        <v>295.30799999999999</v>
      </c>
      <c r="I401" s="152" t="str">
        <f>IF(F401="Sắt vụn",ROUND(VLOOKUP(G401,ThongSo!$F$2:$I$15,4,0)*B401*E401/1000,3),"-")</f>
        <v>-</v>
      </c>
      <c r="L401" s="150"/>
      <c r="M401" s="150"/>
      <c r="N401" s="150"/>
    </row>
    <row r="402" spans="1:14" x14ac:dyDescent="0.25">
      <c r="A402" s="159">
        <v>148</v>
      </c>
      <c r="B402" s="160">
        <v>3</v>
      </c>
      <c r="C402" s="160">
        <v>11700</v>
      </c>
      <c r="D402" s="160" t="s">
        <v>3244</v>
      </c>
      <c r="E402" s="160">
        <v>1760</v>
      </c>
      <c r="F402" s="160" t="s">
        <v>75</v>
      </c>
      <c r="G402" s="148">
        <v>32</v>
      </c>
      <c r="H402" s="152">
        <f>IF(C402=11700,ROUND(VLOOKUP(G402,ThongSo!$F$2:$I$15,4,0)*B402*11.7,3),0)</f>
        <v>221.48099999999999</v>
      </c>
      <c r="I402" s="152" t="str">
        <f>IF(F402="Sắt vụn",ROUND(VLOOKUP(G402,ThongSo!$F$2:$I$15,4,0)*B402*E402/1000,3),"-")</f>
        <v>-</v>
      </c>
      <c r="L402" s="150"/>
      <c r="M402" s="150"/>
      <c r="N402" s="150"/>
    </row>
    <row r="403" spans="1:14" x14ac:dyDescent="0.25">
      <c r="A403" s="159">
        <v>149</v>
      </c>
      <c r="B403" s="160">
        <v>4</v>
      </c>
      <c r="C403" s="160">
        <v>11700</v>
      </c>
      <c r="D403" s="160" t="s">
        <v>3245</v>
      </c>
      <c r="E403" s="160">
        <v>1800</v>
      </c>
      <c r="F403" s="160" t="s">
        <v>75</v>
      </c>
      <c r="G403" s="148">
        <v>32</v>
      </c>
      <c r="H403" s="152">
        <f>IF(C403=11700,ROUND(VLOOKUP(G403,ThongSo!$F$2:$I$15,4,0)*B403*11.7,3),0)</f>
        <v>295.30799999999999</v>
      </c>
      <c r="I403" s="152" t="str">
        <f>IF(F403="Sắt vụn",ROUND(VLOOKUP(G403,ThongSo!$F$2:$I$15,4,0)*B403*E403/1000,3),"-")</f>
        <v>-</v>
      </c>
      <c r="L403" s="150"/>
      <c r="M403" s="150"/>
      <c r="N403" s="150"/>
    </row>
    <row r="404" spans="1:14" x14ac:dyDescent="0.25">
      <c r="A404" s="159">
        <v>150</v>
      </c>
      <c r="B404" s="160">
        <v>10</v>
      </c>
      <c r="C404" s="160">
        <v>11700</v>
      </c>
      <c r="D404" s="160" t="s">
        <v>3246</v>
      </c>
      <c r="E404" s="160">
        <v>1830</v>
      </c>
      <c r="F404" s="160" t="s">
        <v>75</v>
      </c>
      <c r="G404" s="148">
        <v>32</v>
      </c>
      <c r="H404" s="152">
        <f>IF(C404=11700,ROUND(VLOOKUP(G404,ThongSo!$F$2:$I$15,4,0)*B404*11.7,3),0)</f>
        <v>738.27</v>
      </c>
      <c r="I404" s="152" t="str">
        <f>IF(F404="Sắt vụn",ROUND(VLOOKUP(G404,ThongSo!$F$2:$I$15,4,0)*B404*E404/1000,3),"-")</f>
        <v>-</v>
      </c>
      <c r="L404" s="150"/>
      <c r="M404" s="150"/>
      <c r="N404" s="150"/>
    </row>
    <row r="405" spans="1:14" x14ac:dyDescent="0.25">
      <c r="A405" s="159">
        <v>151</v>
      </c>
      <c r="B405" s="160">
        <v>3</v>
      </c>
      <c r="C405" s="160">
        <v>11700</v>
      </c>
      <c r="D405" s="160" t="s">
        <v>3247</v>
      </c>
      <c r="E405" s="160">
        <v>1900</v>
      </c>
      <c r="F405" s="160" t="s">
        <v>75</v>
      </c>
      <c r="G405" s="148">
        <v>32</v>
      </c>
      <c r="H405" s="152">
        <f>IF(C405=11700,ROUND(VLOOKUP(G405,ThongSo!$F$2:$I$15,4,0)*B405*11.7,3),0)</f>
        <v>221.48099999999999</v>
      </c>
      <c r="I405" s="152" t="str">
        <f>IF(F405="Sắt vụn",ROUND(VLOOKUP(G405,ThongSo!$F$2:$I$15,4,0)*B405*E405/1000,3),"-")</f>
        <v>-</v>
      </c>
      <c r="L405" s="150"/>
      <c r="M405" s="150"/>
      <c r="N405" s="150"/>
    </row>
    <row r="406" spans="1:14" x14ac:dyDescent="0.25">
      <c r="A406" s="159">
        <v>152</v>
      </c>
      <c r="B406" s="160">
        <v>9</v>
      </c>
      <c r="C406" s="160">
        <v>11700</v>
      </c>
      <c r="D406" s="160" t="s">
        <v>3248</v>
      </c>
      <c r="E406" s="160">
        <v>2390</v>
      </c>
      <c r="F406" s="160" t="s">
        <v>75</v>
      </c>
      <c r="G406" s="148">
        <v>32</v>
      </c>
      <c r="H406" s="152">
        <f>IF(C406=11700,ROUND(VLOOKUP(G406,ThongSo!$F$2:$I$15,4,0)*B406*11.7,3),0)</f>
        <v>664.44299999999998</v>
      </c>
      <c r="I406" s="152" t="str">
        <f>IF(F406="Sắt vụn",ROUND(VLOOKUP(G406,ThongSo!$F$2:$I$15,4,0)*B406*E406/1000,3),"-")</f>
        <v>-</v>
      </c>
      <c r="L406" s="150"/>
      <c r="M406" s="150"/>
      <c r="N406" s="150"/>
    </row>
    <row r="407" spans="1:14" x14ac:dyDescent="0.25">
      <c r="A407" s="159">
        <v>153</v>
      </c>
      <c r="B407" s="160">
        <v>8</v>
      </c>
      <c r="C407" s="160">
        <v>11700</v>
      </c>
      <c r="D407" s="160" t="s">
        <v>3249</v>
      </c>
      <c r="E407" s="160">
        <v>2390</v>
      </c>
      <c r="F407" s="160" t="s">
        <v>75</v>
      </c>
      <c r="G407" s="148">
        <v>32</v>
      </c>
      <c r="H407" s="152">
        <f>IF(C407=11700,ROUND(VLOOKUP(G407,ThongSo!$F$2:$I$15,4,0)*B407*11.7,3),0)</f>
        <v>590.61599999999999</v>
      </c>
      <c r="I407" s="152" t="str">
        <f>IF(F407="Sắt vụn",ROUND(VLOOKUP(G407,ThongSo!$F$2:$I$15,4,0)*B407*E407/1000,3),"-")</f>
        <v>-</v>
      </c>
      <c r="L407" s="150"/>
      <c r="M407" s="150"/>
      <c r="N407" s="150"/>
    </row>
    <row r="408" spans="1:14" x14ac:dyDescent="0.25">
      <c r="A408" s="159">
        <v>154</v>
      </c>
      <c r="B408" s="160">
        <v>7</v>
      </c>
      <c r="C408" s="160">
        <v>11700</v>
      </c>
      <c r="D408" s="160" t="s">
        <v>3250</v>
      </c>
      <c r="E408" s="160">
        <v>2700</v>
      </c>
      <c r="F408" s="160" t="s">
        <v>75</v>
      </c>
      <c r="G408" s="148">
        <v>32</v>
      </c>
      <c r="H408" s="152">
        <f>IF(C408=11700,ROUND(VLOOKUP(G408,ThongSo!$F$2:$I$15,4,0)*B408*11.7,3),0)</f>
        <v>516.78899999999999</v>
      </c>
      <c r="I408" s="152" t="str">
        <f>IF(F408="Sắt vụn",ROUND(VLOOKUP(G408,ThongSo!$F$2:$I$15,4,0)*B408*E408/1000,3),"-")</f>
        <v>-</v>
      </c>
      <c r="L408" s="150"/>
      <c r="M408" s="150"/>
      <c r="N408" s="150"/>
    </row>
    <row r="409" spans="1:14" x14ac:dyDescent="0.25">
      <c r="A409" s="159">
        <v>155</v>
      </c>
      <c r="B409" s="160">
        <v>10</v>
      </c>
      <c r="C409" s="160">
        <v>11700</v>
      </c>
      <c r="D409" s="160" t="s">
        <v>3251</v>
      </c>
      <c r="E409" s="160">
        <v>2700</v>
      </c>
      <c r="F409" s="160" t="s">
        <v>75</v>
      </c>
      <c r="G409" s="148">
        <v>32</v>
      </c>
      <c r="H409" s="152">
        <f>IF(C409=11700,ROUND(VLOOKUP(G409,ThongSo!$F$2:$I$15,4,0)*B409*11.7,3),0)</f>
        <v>738.27</v>
      </c>
      <c r="I409" s="152" t="str">
        <f>IF(F409="Sắt vụn",ROUND(VLOOKUP(G409,ThongSo!$F$2:$I$15,4,0)*B409*E409/1000,3),"-")</f>
        <v>-</v>
      </c>
      <c r="L409" s="150"/>
      <c r="M409" s="150"/>
      <c r="N409" s="150"/>
    </row>
    <row r="410" spans="1:14" x14ac:dyDescent="0.25">
      <c r="A410" s="159">
        <v>156</v>
      </c>
      <c r="B410" s="160">
        <v>13</v>
      </c>
      <c r="C410" s="160">
        <v>11700</v>
      </c>
      <c r="D410" s="160" t="s">
        <v>3252</v>
      </c>
      <c r="E410" s="160">
        <v>2700</v>
      </c>
      <c r="F410" s="160" t="s">
        <v>75</v>
      </c>
      <c r="G410" s="148">
        <v>32</v>
      </c>
      <c r="H410" s="152">
        <f>IF(C410=11700,ROUND(VLOOKUP(G410,ThongSo!$F$2:$I$15,4,0)*B410*11.7,3),0)</f>
        <v>959.75099999999998</v>
      </c>
      <c r="I410" s="152" t="str">
        <f>IF(F410="Sắt vụn",ROUND(VLOOKUP(G410,ThongSo!$F$2:$I$15,4,0)*B410*E410/1000,3),"-")</f>
        <v>-</v>
      </c>
      <c r="L410" s="150"/>
      <c r="M410" s="150"/>
      <c r="N410" s="150"/>
    </row>
    <row r="411" spans="1:14" x14ac:dyDescent="0.25">
      <c r="A411" s="159">
        <v>157</v>
      </c>
      <c r="B411" s="160">
        <v>13</v>
      </c>
      <c r="C411" s="160">
        <v>11700</v>
      </c>
      <c r="D411" s="160" t="s">
        <v>3253</v>
      </c>
      <c r="E411" s="160">
        <v>2700</v>
      </c>
      <c r="F411" s="160" t="s">
        <v>75</v>
      </c>
      <c r="G411" s="148">
        <v>32</v>
      </c>
      <c r="H411" s="152">
        <f>IF(C411=11700,ROUND(VLOOKUP(G411,ThongSo!$F$2:$I$15,4,0)*B411*11.7,3),0)</f>
        <v>959.75099999999998</v>
      </c>
      <c r="I411" s="152" t="str">
        <f>IF(F411="Sắt vụn",ROUND(VLOOKUP(G411,ThongSo!$F$2:$I$15,4,0)*B411*E411/1000,3),"-")</f>
        <v>-</v>
      </c>
      <c r="L411" s="150"/>
      <c r="M411" s="150"/>
      <c r="N411" s="150"/>
    </row>
    <row r="412" spans="1:14" x14ac:dyDescent="0.25">
      <c r="A412" s="159">
        <v>158</v>
      </c>
      <c r="B412" s="160">
        <v>2</v>
      </c>
      <c r="C412" s="160">
        <v>11700</v>
      </c>
      <c r="D412" s="160" t="s">
        <v>3254</v>
      </c>
      <c r="E412" s="160">
        <v>2700</v>
      </c>
      <c r="F412" s="160" t="s">
        <v>75</v>
      </c>
      <c r="G412" s="148">
        <v>32</v>
      </c>
      <c r="H412" s="152">
        <f>IF(C412=11700,ROUND(VLOOKUP(G412,ThongSo!$F$2:$I$15,4,0)*B412*11.7,3),0)</f>
        <v>147.654</v>
      </c>
      <c r="I412" s="152" t="str">
        <f>IF(F412="Sắt vụn",ROUND(VLOOKUP(G412,ThongSo!$F$2:$I$15,4,0)*B412*E412/1000,3),"-")</f>
        <v>-</v>
      </c>
      <c r="L412" s="150"/>
      <c r="M412" s="150"/>
      <c r="N412" s="150"/>
    </row>
    <row r="413" spans="1:14" x14ac:dyDescent="0.25">
      <c r="A413" s="159">
        <v>159</v>
      </c>
      <c r="B413" s="160">
        <v>10</v>
      </c>
      <c r="C413" s="160">
        <v>11700</v>
      </c>
      <c r="D413" s="160" t="s">
        <v>3255</v>
      </c>
      <c r="E413" s="160">
        <v>2700</v>
      </c>
      <c r="F413" s="160" t="s">
        <v>75</v>
      </c>
      <c r="G413" s="148">
        <v>32</v>
      </c>
      <c r="H413" s="152">
        <f>IF(C413=11700,ROUND(VLOOKUP(G413,ThongSo!$F$2:$I$15,4,0)*B413*11.7,3),0)</f>
        <v>738.27</v>
      </c>
      <c r="I413" s="152" t="str">
        <f>IF(F413="Sắt vụn",ROUND(VLOOKUP(G413,ThongSo!$F$2:$I$15,4,0)*B413*E413/1000,3),"-")</f>
        <v>-</v>
      </c>
      <c r="L413" s="150"/>
      <c r="M413" s="150"/>
      <c r="N413" s="150"/>
    </row>
    <row r="414" spans="1:14" x14ac:dyDescent="0.25">
      <c r="A414" s="159">
        <v>160</v>
      </c>
      <c r="B414" s="160">
        <v>11</v>
      </c>
      <c r="C414" s="160">
        <v>11700</v>
      </c>
      <c r="D414" s="160" t="s">
        <v>3256</v>
      </c>
      <c r="E414" s="160">
        <v>2700</v>
      </c>
      <c r="F414" s="160" t="s">
        <v>75</v>
      </c>
      <c r="G414" s="148">
        <v>32</v>
      </c>
      <c r="H414" s="152">
        <f>IF(C414=11700,ROUND(VLOOKUP(G414,ThongSo!$F$2:$I$15,4,0)*B414*11.7,3),0)</f>
        <v>812.09699999999998</v>
      </c>
      <c r="I414" s="152" t="str">
        <f>IF(F414="Sắt vụn",ROUND(VLOOKUP(G414,ThongSo!$F$2:$I$15,4,0)*B414*E414/1000,3),"-")</f>
        <v>-</v>
      </c>
      <c r="L414" s="150"/>
      <c r="M414" s="150"/>
      <c r="N414" s="150"/>
    </row>
    <row r="415" spans="1:14" x14ac:dyDescent="0.25">
      <c r="A415" s="159">
        <v>161</v>
      </c>
      <c r="B415" s="160">
        <v>10</v>
      </c>
      <c r="C415" s="160">
        <v>11700</v>
      </c>
      <c r="D415" s="160" t="s">
        <v>3257</v>
      </c>
      <c r="E415" s="160">
        <v>2700</v>
      </c>
      <c r="F415" s="160" t="s">
        <v>75</v>
      </c>
      <c r="G415" s="148">
        <v>32</v>
      </c>
      <c r="H415" s="152">
        <f>IF(C415=11700,ROUND(VLOOKUP(G415,ThongSo!$F$2:$I$15,4,0)*B415*11.7,3),0)</f>
        <v>738.27</v>
      </c>
      <c r="I415" s="152" t="str">
        <f>IF(F415="Sắt vụn",ROUND(VLOOKUP(G415,ThongSo!$F$2:$I$15,4,0)*B415*E415/1000,3),"-")</f>
        <v>-</v>
      </c>
      <c r="L415" s="150"/>
      <c r="M415" s="150"/>
      <c r="N415" s="150"/>
    </row>
    <row r="416" spans="1:14" x14ac:dyDescent="0.25">
      <c r="A416" s="159">
        <v>162</v>
      </c>
      <c r="B416" s="160">
        <v>10</v>
      </c>
      <c r="C416" s="160">
        <v>11700</v>
      </c>
      <c r="D416" s="160" t="s">
        <v>3258</v>
      </c>
      <c r="E416" s="160">
        <v>2700</v>
      </c>
      <c r="F416" s="160" t="s">
        <v>75</v>
      </c>
      <c r="G416" s="148">
        <v>32</v>
      </c>
      <c r="H416" s="152">
        <f>IF(C416=11700,ROUND(VLOOKUP(G416,ThongSo!$F$2:$I$15,4,0)*B416*11.7,3),0)</f>
        <v>738.27</v>
      </c>
      <c r="I416" s="152" t="str">
        <f>IF(F416="Sắt vụn",ROUND(VLOOKUP(G416,ThongSo!$F$2:$I$15,4,0)*B416*E416/1000,3),"-")</f>
        <v>-</v>
      </c>
      <c r="L416" s="150"/>
      <c r="M416" s="150"/>
      <c r="N416" s="150"/>
    </row>
    <row r="417" spans="1:14" x14ac:dyDescent="0.25">
      <c r="A417" s="159">
        <v>163</v>
      </c>
      <c r="B417" s="160">
        <v>8</v>
      </c>
      <c r="C417" s="160">
        <v>11700</v>
      </c>
      <c r="D417" s="160" t="s">
        <v>3259</v>
      </c>
      <c r="E417" s="160">
        <v>2890</v>
      </c>
      <c r="F417" s="160" t="s">
        <v>75</v>
      </c>
      <c r="G417" s="148">
        <v>32</v>
      </c>
      <c r="H417" s="152">
        <f>IF(C417=11700,ROUND(VLOOKUP(G417,ThongSo!$F$2:$I$15,4,0)*B417*11.7,3),0)</f>
        <v>590.61599999999999</v>
      </c>
      <c r="I417" s="152" t="str">
        <f>IF(F417="Sắt vụn",ROUND(VLOOKUP(G417,ThongSo!$F$2:$I$15,4,0)*B417*E417/1000,3),"-")</f>
        <v>-</v>
      </c>
      <c r="L417" s="150"/>
      <c r="M417" s="150"/>
      <c r="N417" s="150"/>
    </row>
    <row r="418" spans="1:14" x14ac:dyDescent="0.25">
      <c r="A418" s="159">
        <v>164</v>
      </c>
      <c r="B418" s="160">
        <v>5</v>
      </c>
      <c r="C418" s="160">
        <v>11700</v>
      </c>
      <c r="D418" s="160" t="s">
        <v>3260</v>
      </c>
      <c r="E418" s="160">
        <v>2970</v>
      </c>
      <c r="F418" s="160" t="s">
        <v>75</v>
      </c>
      <c r="G418" s="148">
        <v>32</v>
      </c>
      <c r="H418" s="152">
        <f>IF(C418=11700,ROUND(VLOOKUP(G418,ThongSo!$F$2:$I$15,4,0)*B418*11.7,3),0)</f>
        <v>369.13499999999999</v>
      </c>
      <c r="I418" s="152" t="str">
        <f>IF(F418="Sắt vụn",ROUND(VLOOKUP(G418,ThongSo!$F$2:$I$15,4,0)*B418*E418/1000,3),"-")</f>
        <v>-</v>
      </c>
      <c r="L418" s="150"/>
      <c r="M418" s="150"/>
      <c r="N418" s="150"/>
    </row>
    <row r="419" spans="1:14" x14ac:dyDescent="0.25">
      <c r="A419" s="159">
        <v>165</v>
      </c>
      <c r="B419" s="160">
        <v>9</v>
      </c>
      <c r="C419" s="160">
        <v>11700</v>
      </c>
      <c r="D419" s="160" t="s">
        <v>3261</v>
      </c>
      <c r="E419" s="160">
        <v>3800</v>
      </c>
      <c r="F419" s="160" t="s">
        <v>75</v>
      </c>
      <c r="G419" s="148">
        <v>32</v>
      </c>
      <c r="H419" s="152">
        <f>IF(C419=11700,ROUND(VLOOKUP(G419,ThongSo!$F$2:$I$15,4,0)*B419*11.7,3),0)</f>
        <v>664.44299999999998</v>
      </c>
      <c r="I419" s="152" t="str">
        <f>IF(F419="Sắt vụn",ROUND(VLOOKUP(G419,ThongSo!$F$2:$I$15,4,0)*B419*E419/1000,3),"-")</f>
        <v>-</v>
      </c>
      <c r="L419" s="150"/>
      <c r="M419" s="150"/>
      <c r="N419" s="150"/>
    </row>
    <row r="420" spans="1:14" x14ac:dyDescent="0.25">
      <c r="A420" s="159">
        <v>166</v>
      </c>
      <c r="B420" s="160">
        <v>7</v>
      </c>
      <c r="C420" s="160">
        <v>11700</v>
      </c>
      <c r="D420" s="160" t="s">
        <v>3262</v>
      </c>
      <c r="E420" s="160">
        <v>3900</v>
      </c>
      <c r="F420" s="160" t="s">
        <v>75</v>
      </c>
      <c r="G420" s="148">
        <v>32</v>
      </c>
      <c r="H420" s="152">
        <f>IF(C420=11700,ROUND(VLOOKUP(G420,ThongSo!$F$2:$I$15,4,0)*B420*11.7,3),0)</f>
        <v>516.78899999999999</v>
      </c>
      <c r="I420" s="152" t="str">
        <f>IF(F420="Sắt vụn",ROUND(VLOOKUP(G420,ThongSo!$F$2:$I$15,4,0)*B420*E420/1000,3),"-")</f>
        <v>-</v>
      </c>
      <c r="L420" s="150"/>
      <c r="M420" s="150"/>
      <c r="N420" s="150"/>
    </row>
    <row r="421" spans="1:14" x14ac:dyDescent="0.25">
      <c r="A421" s="159">
        <v>167</v>
      </c>
      <c r="B421" s="160">
        <v>3</v>
      </c>
      <c r="C421" s="160">
        <v>11700</v>
      </c>
      <c r="D421" s="160" t="s">
        <v>3263</v>
      </c>
      <c r="E421" s="160">
        <v>4120</v>
      </c>
      <c r="F421" s="160" t="s">
        <v>75</v>
      </c>
      <c r="G421" s="148">
        <v>32</v>
      </c>
      <c r="H421" s="152">
        <f>IF(C421=11700,ROUND(VLOOKUP(G421,ThongSo!$F$2:$I$15,4,0)*B421*11.7,3),0)</f>
        <v>221.48099999999999</v>
      </c>
      <c r="I421" s="152" t="str">
        <f>IF(F421="Sắt vụn",ROUND(VLOOKUP(G421,ThongSo!$F$2:$I$15,4,0)*B421*E421/1000,3),"-")</f>
        <v>-</v>
      </c>
      <c r="L421" s="150"/>
      <c r="M421" s="150"/>
      <c r="N421" s="150"/>
    </row>
    <row r="422" spans="1:14" x14ac:dyDescent="0.25">
      <c r="A422" s="159">
        <v>168</v>
      </c>
      <c r="B422" s="160">
        <v>3</v>
      </c>
      <c r="C422" s="160">
        <v>11700</v>
      </c>
      <c r="D422" s="160" t="s">
        <v>3264</v>
      </c>
      <c r="E422" s="160">
        <v>4120</v>
      </c>
      <c r="F422" s="160" t="s">
        <v>75</v>
      </c>
      <c r="G422" s="148">
        <v>32</v>
      </c>
      <c r="H422" s="152">
        <f>IF(C422=11700,ROUND(VLOOKUP(G422,ThongSo!$F$2:$I$15,4,0)*B422*11.7,3),0)</f>
        <v>221.48099999999999</v>
      </c>
      <c r="I422" s="152" t="str">
        <f>IF(F422="Sắt vụn",ROUND(VLOOKUP(G422,ThongSo!$F$2:$I$15,4,0)*B422*E422/1000,3),"-")</f>
        <v>-</v>
      </c>
      <c r="L422" s="150"/>
      <c r="M422" s="150"/>
      <c r="N422" s="150"/>
    </row>
    <row r="423" spans="1:14" x14ac:dyDescent="0.25">
      <c r="A423" s="159">
        <v>169</v>
      </c>
      <c r="B423" s="160">
        <v>11</v>
      </c>
      <c r="C423" s="160">
        <v>11700</v>
      </c>
      <c r="D423" s="160" t="s">
        <v>3265</v>
      </c>
      <c r="E423" s="160">
        <v>4220</v>
      </c>
      <c r="F423" s="160" t="s">
        <v>75</v>
      </c>
      <c r="G423" s="148">
        <v>32</v>
      </c>
      <c r="H423" s="152">
        <f>IF(C423=11700,ROUND(VLOOKUP(G423,ThongSo!$F$2:$I$15,4,0)*B423*11.7,3),0)</f>
        <v>812.09699999999998</v>
      </c>
      <c r="I423" s="152" t="str">
        <f>IF(F423="Sắt vụn",ROUND(VLOOKUP(G423,ThongSo!$F$2:$I$15,4,0)*B423*E423/1000,3),"-")</f>
        <v>-</v>
      </c>
      <c r="L423" s="150"/>
      <c r="M423" s="150"/>
      <c r="N423" s="150"/>
    </row>
    <row r="424" spans="1:14" x14ac:dyDescent="0.25">
      <c r="A424" s="159">
        <v>170</v>
      </c>
      <c r="B424" s="160">
        <v>2</v>
      </c>
      <c r="C424" s="160">
        <v>11700</v>
      </c>
      <c r="D424" s="160" t="s">
        <v>3266</v>
      </c>
      <c r="E424" s="160">
        <v>4250</v>
      </c>
      <c r="F424" s="160" t="s">
        <v>75</v>
      </c>
      <c r="G424" s="148">
        <v>32</v>
      </c>
      <c r="H424" s="152">
        <f>IF(C424=11700,ROUND(VLOOKUP(G424,ThongSo!$F$2:$I$15,4,0)*B424*11.7,3),0)</f>
        <v>147.654</v>
      </c>
      <c r="I424" s="152" t="str">
        <f>IF(F424="Sắt vụn",ROUND(VLOOKUP(G424,ThongSo!$F$2:$I$15,4,0)*B424*E424/1000,3),"-")</f>
        <v>-</v>
      </c>
      <c r="L424" s="150"/>
      <c r="M424" s="150"/>
      <c r="N424" s="150"/>
    </row>
    <row r="425" spans="1:14" x14ac:dyDescent="0.25">
      <c r="A425" s="159">
        <v>171</v>
      </c>
      <c r="B425" s="160">
        <v>11</v>
      </c>
      <c r="C425" s="160">
        <v>11700</v>
      </c>
      <c r="D425" s="160" t="s">
        <v>3267</v>
      </c>
      <c r="E425" s="160">
        <v>4320</v>
      </c>
      <c r="F425" s="160" t="s">
        <v>75</v>
      </c>
      <c r="G425" s="148">
        <v>32</v>
      </c>
      <c r="H425" s="152">
        <f>IF(C425=11700,ROUND(VLOOKUP(G425,ThongSo!$F$2:$I$15,4,0)*B425*11.7,3),0)</f>
        <v>812.09699999999998</v>
      </c>
      <c r="I425" s="152" t="str">
        <f>IF(F425="Sắt vụn",ROUND(VLOOKUP(G425,ThongSo!$F$2:$I$15,4,0)*B425*E425/1000,3),"-")</f>
        <v>-</v>
      </c>
      <c r="L425" s="150"/>
      <c r="M425" s="150"/>
      <c r="N425" s="150"/>
    </row>
    <row r="426" spans="1:14" x14ac:dyDescent="0.25">
      <c r="A426" s="159">
        <v>172</v>
      </c>
      <c r="B426" s="160">
        <v>4</v>
      </c>
      <c r="C426" s="160">
        <v>11700</v>
      </c>
      <c r="D426" s="160" t="s">
        <v>3268</v>
      </c>
      <c r="E426" s="160">
        <v>4380</v>
      </c>
      <c r="F426" s="160" t="s">
        <v>75</v>
      </c>
      <c r="G426" s="148">
        <v>32</v>
      </c>
      <c r="H426" s="152">
        <f>IF(C426=11700,ROUND(VLOOKUP(G426,ThongSo!$F$2:$I$15,4,0)*B426*11.7,3),0)</f>
        <v>295.30799999999999</v>
      </c>
      <c r="I426" s="152" t="str">
        <f>IF(F426="Sắt vụn",ROUND(VLOOKUP(G426,ThongSo!$F$2:$I$15,4,0)*B426*E426/1000,3),"-")</f>
        <v>-</v>
      </c>
      <c r="L426" s="150"/>
      <c r="M426" s="150"/>
      <c r="N426" s="150"/>
    </row>
    <row r="427" spans="1:14" x14ac:dyDescent="0.25">
      <c r="A427" s="159">
        <v>173</v>
      </c>
      <c r="B427" s="160">
        <v>11</v>
      </c>
      <c r="C427" s="160">
        <v>11700</v>
      </c>
      <c r="D427" s="160" t="s">
        <v>3269</v>
      </c>
      <c r="E427" s="160">
        <v>4385</v>
      </c>
      <c r="F427" s="160" t="s">
        <v>75</v>
      </c>
      <c r="G427" s="148">
        <v>32</v>
      </c>
      <c r="H427" s="152">
        <f>IF(C427=11700,ROUND(VLOOKUP(G427,ThongSo!$F$2:$I$15,4,0)*B427*11.7,3),0)</f>
        <v>812.09699999999998</v>
      </c>
      <c r="I427" s="152" t="str">
        <f>IF(F427="Sắt vụn",ROUND(VLOOKUP(G427,ThongSo!$F$2:$I$15,4,0)*B427*E427/1000,3),"-")</f>
        <v>-</v>
      </c>
      <c r="L427" s="150"/>
      <c r="M427" s="150"/>
      <c r="N427" s="150"/>
    </row>
    <row r="428" spans="1:14" x14ac:dyDescent="0.25">
      <c r="A428" s="159">
        <v>174</v>
      </c>
      <c r="B428" s="160">
        <v>25</v>
      </c>
      <c r="C428" s="160">
        <v>11700</v>
      </c>
      <c r="D428" s="160" t="s">
        <v>3270</v>
      </c>
      <c r="E428" s="160">
        <v>4400</v>
      </c>
      <c r="F428" s="160" t="s">
        <v>75</v>
      </c>
      <c r="G428" s="148">
        <v>32</v>
      </c>
      <c r="H428" s="152">
        <f>IF(C428=11700,ROUND(VLOOKUP(G428,ThongSo!$F$2:$I$15,4,0)*B428*11.7,3),0)</f>
        <v>1845.675</v>
      </c>
      <c r="I428" s="152" t="str">
        <f>IF(F428="Sắt vụn",ROUND(VLOOKUP(G428,ThongSo!$F$2:$I$15,4,0)*B428*E428/1000,3),"-")</f>
        <v>-</v>
      </c>
      <c r="L428" s="150"/>
      <c r="M428" s="150"/>
      <c r="N428" s="150"/>
    </row>
    <row r="429" spans="1:14" x14ac:dyDescent="0.25">
      <c r="A429" s="159">
        <v>175</v>
      </c>
      <c r="B429" s="160">
        <v>21</v>
      </c>
      <c r="C429" s="160">
        <v>11700</v>
      </c>
      <c r="D429" s="160" t="s">
        <v>3271</v>
      </c>
      <c r="E429" s="160">
        <v>4435</v>
      </c>
      <c r="F429" s="160" t="s">
        <v>75</v>
      </c>
      <c r="G429" s="148">
        <v>32</v>
      </c>
      <c r="H429" s="152">
        <f>IF(C429=11700,ROUND(VLOOKUP(G429,ThongSo!$F$2:$I$15,4,0)*B429*11.7,3),0)</f>
        <v>1550.367</v>
      </c>
      <c r="I429" s="152" t="str">
        <f>IF(F429="Sắt vụn",ROUND(VLOOKUP(G429,ThongSo!$F$2:$I$15,4,0)*B429*E429/1000,3),"-")</f>
        <v>-</v>
      </c>
      <c r="L429" s="150"/>
      <c r="M429" s="150"/>
      <c r="N429" s="150"/>
    </row>
    <row r="430" spans="1:14" x14ac:dyDescent="0.25">
      <c r="A430" s="159">
        <v>176</v>
      </c>
      <c r="B430" s="160">
        <v>3</v>
      </c>
      <c r="C430" s="160">
        <v>11700</v>
      </c>
      <c r="D430" s="160" t="s">
        <v>3272</v>
      </c>
      <c r="E430" s="160">
        <v>4440</v>
      </c>
      <c r="F430" s="160" t="s">
        <v>75</v>
      </c>
      <c r="G430" s="148">
        <v>32</v>
      </c>
      <c r="H430" s="152">
        <f>IF(C430=11700,ROUND(VLOOKUP(G430,ThongSo!$F$2:$I$15,4,0)*B430*11.7,3),0)</f>
        <v>221.48099999999999</v>
      </c>
      <c r="I430" s="152" t="str">
        <f>IF(F430="Sắt vụn",ROUND(VLOOKUP(G430,ThongSo!$F$2:$I$15,4,0)*B430*E430/1000,3),"-")</f>
        <v>-</v>
      </c>
      <c r="L430" s="150"/>
      <c r="M430" s="150"/>
      <c r="N430" s="150"/>
    </row>
    <row r="431" spans="1:14" x14ac:dyDescent="0.25">
      <c r="A431" s="159">
        <v>177</v>
      </c>
      <c r="B431" s="160">
        <v>7</v>
      </c>
      <c r="C431" s="160">
        <v>11700</v>
      </c>
      <c r="D431" s="160" t="s">
        <v>3273</v>
      </c>
      <c r="E431" s="160">
        <v>4450</v>
      </c>
      <c r="F431" s="160" t="s">
        <v>75</v>
      </c>
      <c r="G431" s="148">
        <v>32</v>
      </c>
      <c r="H431" s="152">
        <f>IF(C431=11700,ROUND(VLOOKUP(G431,ThongSo!$F$2:$I$15,4,0)*B431*11.7,3),0)</f>
        <v>516.78899999999999</v>
      </c>
      <c r="I431" s="152" t="str">
        <f>IF(F431="Sắt vụn",ROUND(VLOOKUP(G431,ThongSo!$F$2:$I$15,4,0)*B431*E431/1000,3),"-")</f>
        <v>-</v>
      </c>
      <c r="L431" s="150"/>
      <c r="M431" s="150"/>
      <c r="N431" s="150"/>
    </row>
    <row r="432" spans="1:14" x14ac:dyDescent="0.25">
      <c r="A432" s="159">
        <v>178</v>
      </c>
      <c r="B432" s="160">
        <v>10</v>
      </c>
      <c r="C432" s="160">
        <v>11700</v>
      </c>
      <c r="D432" s="160" t="s">
        <v>3274</v>
      </c>
      <c r="E432" s="160">
        <v>4480</v>
      </c>
      <c r="F432" s="160" t="s">
        <v>75</v>
      </c>
      <c r="G432" s="148">
        <v>32</v>
      </c>
      <c r="H432" s="152">
        <f>IF(C432=11700,ROUND(VLOOKUP(G432,ThongSo!$F$2:$I$15,4,0)*B432*11.7,3),0)</f>
        <v>738.27</v>
      </c>
      <c r="I432" s="152" t="str">
        <f>IF(F432="Sắt vụn",ROUND(VLOOKUP(G432,ThongSo!$F$2:$I$15,4,0)*B432*E432/1000,3),"-")</f>
        <v>-</v>
      </c>
      <c r="L432" s="150"/>
      <c r="M432" s="150"/>
      <c r="N432" s="150"/>
    </row>
    <row r="433" spans="1:14" x14ac:dyDescent="0.25">
      <c r="A433" s="159">
        <v>179</v>
      </c>
      <c r="B433" s="160">
        <v>8</v>
      </c>
      <c r="C433" s="160">
        <v>11700</v>
      </c>
      <c r="D433" s="160" t="s">
        <v>3275</v>
      </c>
      <c r="E433" s="160">
        <v>4500</v>
      </c>
      <c r="F433" s="160" t="s">
        <v>75</v>
      </c>
      <c r="G433" s="148">
        <v>32</v>
      </c>
      <c r="H433" s="152">
        <f>IF(C433=11700,ROUND(VLOOKUP(G433,ThongSo!$F$2:$I$15,4,0)*B433*11.7,3),0)</f>
        <v>590.61599999999999</v>
      </c>
      <c r="I433" s="152" t="str">
        <f>IF(F433="Sắt vụn",ROUND(VLOOKUP(G433,ThongSo!$F$2:$I$15,4,0)*B433*E433/1000,3),"-")</f>
        <v>-</v>
      </c>
      <c r="L433" s="150"/>
      <c r="M433" s="150"/>
      <c r="N433" s="150"/>
    </row>
    <row r="434" spans="1:14" x14ac:dyDescent="0.25">
      <c r="A434" s="159">
        <v>180</v>
      </c>
      <c r="B434" s="160">
        <v>10</v>
      </c>
      <c r="C434" s="160">
        <v>11700</v>
      </c>
      <c r="D434" s="160" t="s">
        <v>3276</v>
      </c>
      <c r="E434" s="160">
        <v>4580</v>
      </c>
      <c r="F434" s="160" t="s">
        <v>75</v>
      </c>
      <c r="G434" s="148">
        <v>32</v>
      </c>
      <c r="H434" s="152">
        <f>IF(C434=11700,ROUND(VLOOKUP(G434,ThongSo!$F$2:$I$15,4,0)*B434*11.7,3),0)</f>
        <v>738.27</v>
      </c>
      <c r="I434" s="152" t="str">
        <f>IF(F434="Sắt vụn",ROUND(VLOOKUP(G434,ThongSo!$F$2:$I$15,4,0)*B434*E434/1000,3),"-")</f>
        <v>-</v>
      </c>
      <c r="L434" s="150"/>
      <c r="M434" s="150"/>
      <c r="N434" s="150"/>
    </row>
    <row r="435" spans="1:14" x14ac:dyDescent="0.25">
      <c r="A435" s="159">
        <v>181</v>
      </c>
      <c r="B435" s="160">
        <v>1</v>
      </c>
      <c r="C435" s="160">
        <v>11700</v>
      </c>
      <c r="D435" s="160" t="s">
        <v>3277</v>
      </c>
      <c r="E435" s="160">
        <v>4600</v>
      </c>
      <c r="F435" s="160" t="s">
        <v>75</v>
      </c>
      <c r="G435" s="148">
        <v>32</v>
      </c>
      <c r="H435" s="152">
        <f>IF(C435=11700,ROUND(VLOOKUP(G435,ThongSo!$F$2:$I$15,4,0)*B435*11.7,3),0)</f>
        <v>73.826999999999998</v>
      </c>
      <c r="I435" s="152" t="str">
        <f>IF(F435="Sắt vụn",ROUND(VLOOKUP(G435,ThongSo!$F$2:$I$15,4,0)*B435*E435/1000,3),"-")</f>
        <v>-</v>
      </c>
      <c r="L435" s="150"/>
      <c r="M435" s="150"/>
      <c r="N435" s="150"/>
    </row>
    <row r="436" spans="1:14" x14ac:dyDescent="0.25">
      <c r="A436" s="159">
        <v>182</v>
      </c>
      <c r="B436" s="160">
        <v>11</v>
      </c>
      <c r="C436" s="160">
        <v>11700</v>
      </c>
      <c r="D436" s="160" t="s">
        <v>3278</v>
      </c>
      <c r="E436" s="160">
        <v>4605</v>
      </c>
      <c r="F436" s="160" t="s">
        <v>75</v>
      </c>
      <c r="G436" s="148">
        <v>32</v>
      </c>
      <c r="H436" s="152">
        <f>IF(C436=11700,ROUND(VLOOKUP(G436,ThongSo!$F$2:$I$15,4,0)*B436*11.7,3),0)</f>
        <v>812.09699999999998</v>
      </c>
      <c r="I436" s="152" t="str">
        <f>IF(F436="Sắt vụn",ROUND(VLOOKUP(G436,ThongSo!$F$2:$I$15,4,0)*B436*E436/1000,3),"-")</f>
        <v>-</v>
      </c>
      <c r="L436" s="150"/>
      <c r="M436" s="150"/>
      <c r="N436" s="150"/>
    </row>
    <row r="437" spans="1:14" x14ac:dyDescent="0.25">
      <c r="A437" s="159">
        <v>183</v>
      </c>
      <c r="B437" s="160">
        <v>2</v>
      </c>
      <c r="C437" s="160">
        <v>11700</v>
      </c>
      <c r="D437" s="160" t="s">
        <v>3279</v>
      </c>
      <c r="E437" s="160">
        <v>4635</v>
      </c>
      <c r="F437" s="160" t="s">
        <v>75</v>
      </c>
      <c r="G437" s="148">
        <v>32</v>
      </c>
      <c r="H437" s="152">
        <f>IF(C437=11700,ROUND(VLOOKUP(G437,ThongSo!$F$2:$I$15,4,0)*B437*11.7,3),0)</f>
        <v>147.654</v>
      </c>
      <c r="I437" s="152" t="str">
        <f>IF(F437="Sắt vụn",ROUND(VLOOKUP(G437,ThongSo!$F$2:$I$15,4,0)*B437*E437/1000,3),"-")</f>
        <v>-</v>
      </c>
      <c r="L437" s="150"/>
      <c r="M437" s="150"/>
      <c r="N437" s="150"/>
    </row>
    <row r="438" spans="1:14" x14ac:dyDescent="0.25">
      <c r="A438" s="159">
        <v>184</v>
      </c>
      <c r="B438" s="160">
        <v>2</v>
      </c>
      <c r="C438" s="160">
        <v>11700</v>
      </c>
      <c r="D438" s="160" t="s">
        <v>3280</v>
      </c>
      <c r="E438" s="160">
        <v>5390</v>
      </c>
      <c r="F438" s="160" t="s">
        <v>75</v>
      </c>
      <c r="G438" s="148">
        <v>32</v>
      </c>
      <c r="H438" s="152">
        <f>IF(C438=11700,ROUND(VLOOKUP(G438,ThongSo!$F$2:$I$15,4,0)*B438*11.7,3),0)</f>
        <v>147.654</v>
      </c>
      <c r="I438" s="152" t="str">
        <f>IF(F438="Sắt vụn",ROUND(VLOOKUP(G438,ThongSo!$F$2:$I$15,4,0)*B438*E438/1000,3),"-")</f>
        <v>-</v>
      </c>
      <c r="L438" s="150"/>
      <c r="M438" s="150"/>
      <c r="N438" s="150"/>
    </row>
    <row r="439" spans="1:14" x14ac:dyDescent="0.25">
      <c r="A439" s="159">
        <v>185</v>
      </c>
      <c r="B439" s="160">
        <v>13</v>
      </c>
      <c r="C439" s="160">
        <v>11700</v>
      </c>
      <c r="D439" s="160" t="s">
        <v>3281</v>
      </c>
      <c r="E439" s="160">
        <v>5430</v>
      </c>
      <c r="F439" s="160" t="s">
        <v>75</v>
      </c>
      <c r="G439" s="148">
        <v>32</v>
      </c>
      <c r="H439" s="152">
        <f>IF(C439=11700,ROUND(VLOOKUP(G439,ThongSo!$F$2:$I$15,4,0)*B439*11.7,3),0)</f>
        <v>959.75099999999998</v>
      </c>
      <c r="I439" s="152" t="str">
        <f>IF(F439="Sắt vụn",ROUND(VLOOKUP(G439,ThongSo!$F$2:$I$15,4,0)*B439*E439/1000,3),"-")</f>
        <v>-</v>
      </c>
      <c r="L439" s="150"/>
      <c r="M439" s="150"/>
      <c r="N439" s="150"/>
    </row>
    <row r="440" spans="1:14" x14ac:dyDescent="0.25">
      <c r="A440" s="159">
        <v>186</v>
      </c>
      <c r="B440" s="160">
        <v>1</v>
      </c>
      <c r="C440" s="160">
        <v>11700</v>
      </c>
      <c r="D440" s="160" t="s">
        <v>3282</v>
      </c>
      <c r="E440" s="160">
        <v>6170</v>
      </c>
      <c r="F440" s="160" t="s">
        <v>75</v>
      </c>
      <c r="G440" s="148">
        <v>32</v>
      </c>
      <c r="H440" s="152">
        <f>IF(C440=11700,ROUND(VLOOKUP(G440,ThongSo!$F$2:$I$15,4,0)*B440*11.7,3),0)</f>
        <v>73.826999999999998</v>
      </c>
      <c r="I440" s="152" t="str">
        <f>IF(F440="Sắt vụn",ROUND(VLOOKUP(G440,ThongSo!$F$2:$I$15,4,0)*B440*E440/1000,3),"-")</f>
        <v>-</v>
      </c>
      <c r="L440" s="150"/>
      <c r="M440" s="150"/>
      <c r="N440" s="150"/>
    </row>
    <row r="441" spans="1:14" x14ac:dyDescent="0.25">
      <c r="A441" s="157" t="s">
        <v>80</v>
      </c>
      <c r="B441" s="158"/>
      <c r="C441" s="158"/>
      <c r="D441" s="158"/>
      <c r="E441" s="158"/>
      <c r="F441" s="158"/>
      <c r="G441" s="148"/>
      <c r="H441" s="152">
        <f>IF(C441=11700,ROUND(VLOOKUP(G441,ThongSo!$F$2:$I$15,4,0)*B441*11.7,3),0)</f>
        <v>0</v>
      </c>
      <c r="I441" s="152" t="str">
        <f>IF(F441="Sắt vụn",ROUND(VLOOKUP(G441,ThongSo!$F$2:$I$15,4,0)*B441*E441/1000,3),"-")</f>
        <v>-</v>
      </c>
      <c r="L441" s="150"/>
      <c r="M441" s="150"/>
      <c r="N441" s="150"/>
    </row>
    <row r="442" spans="1:14" x14ac:dyDescent="0.25">
      <c r="A442" s="159" t="s">
        <v>73</v>
      </c>
      <c r="B442" s="160">
        <v>144</v>
      </c>
      <c r="C442" s="160">
        <v>11700</v>
      </c>
      <c r="D442" s="160"/>
      <c r="E442" s="160"/>
      <c r="F442" s="160"/>
      <c r="G442" s="148">
        <v>18</v>
      </c>
      <c r="H442" s="152">
        <f>IF(C442=11700,ROUND(VLOOKUP(G442,ThongSo!$F$2:$I$15,4,0)*B442*11.7,3),0)</f>
        <v>3369.6</v>
      </c>
      <c r="I442" s="152" t="str">
        <f>IF(F442="Sắt vụn",ROUND(VLOOKUP(G442,ThongSo!$F$2:$I$15,4,0)*B442*E442/1000,3),"-")</f>
        <v>-</v>
      </c>
      <c r="L442" s="150"/>
      <c r="M442" s="150"/>
      <c r="N442" s="150"/>
    </row>
    <row r="443" spans="1:14" x14ac:dyDescent="0.25">
      <c r="A443" s="159" t="s">
        <v>215</v>
      </c>
      <c r="B443" s="160">
        <v>12</v>
      </c>
      <c r="C443" s="160">
        <v>1500</v>
      </c>
      <c r="D443" s="160" t="s">
        <v>3283</v>
      </c>
      <c r="E443" s="160">
        <v>480</v>
      </c>
      <c r="F443" s="160" t="s">
        <v>74</v>
      </c>
      <c r="G443" s="148">
        <v>18</v>
      </c>
      <c r="H443" s="152">
        <f>IF(C443=11700,ROUND(VLOOKUP(G443,ThongSo!$F$2:$I$15,4,0)*B443*11.7,3),0)</f>
        <v>0</v>
      </c>
      <c r="I443" s="152">
        <f>IF(F443="Sắt vụn",ROUND(VLOOKUP(G443,ThongSo!$F$2:$I$15,4,0)*B443*E443/1000,3),"-")</f>
        <v>11.52</v>
      </c>
      <c r="L443" s="150"/>
      <c r="M443" s="150"/>
      <c r="N443" s="150"/>
    </row>
    <row r="444" spans="1:14" x14ac:dyDescent="0.25">
      <c r="A444" s="159" t="s">
        <v>220</v>
      </c>
      <c r="B444" s="160">
        <v>12</v>
      </c>
      <c r="C444" s="160">
        <v>2250</v>
      </c>
      <c r="D444" s="160" t="s">
        <v>3284</v>
      </c>
      <c r="E444" s="160">
        <v>310</v>
      </c>
      <c r="F444" s="160" t="s">
        <v>74</v>
      </c>
      <c r="G444" s="148">
        <v>18</v>
      </c>
      <c r="H444" s="152">
        <f>IF(C444=11700,ROUND(VLOOKUP(G444,ThongSo!$F$2:$I$15,4,0)*B444*11.7,3),0)</f>
        <v>0</v>
      </c>
      <c r="I444" s="152">
        <f>IF(F444="Sắt vụn",ROUND(VLOOKUP(G444,ThongSo!$F$2:$I$15,4,0)*B444*E444/1000,3),"-")</f>
        <v>7.44</v>
      </c>
      <c r="L444" s="150"/>
      <c r="M444" s="150"/>
      <c r="N444" s="150"/>
    </row>
    <row r="445" spans="1:14" x14ac:dyDescent="0.25">
      <c r="A445" s="159" t="s">
        <v>234</v>
      </c>
      <c r="B445" s="160">
        <v>3</v>
      </c>
      <c r="C445" s="160">
        <v>4790</v>
      </c>
      <c r="D445" s="160" t="s">
        <v>3285</v>
      </c>
      <c r="E445" s="160">
        <v>1470</v>
      </c>
      <c r="F445" s="160" t="s">
        <v>75</v>
      </c>
      <c r="G445" s="148">
        <v>18</v>
      </c>
      <c r="H445" s="152">
        <f>IF(C445=11700,ROUND(VLOOKUP(G445,ThongSo!$F$2:$I$15,4,0)*B445*11.7,3),0)</f>
        <v>0</v>
      </c>
      <c r="I445" s="152" t="str">
        <f>IF(F445="Sắt vụn",ROUND(VLOOKUP(G445,ThongSo!$F$2:$I$15,4,0)*B445*E445/1000,3),"-")</f>
        <v>-</v>
      </c>
      <c r="L445" s="150"/>
      <c r="M445" s="150"/>
      <c r="N445" s="150"/>
    </row>
    <row r="446" spans="1:14" x14ac:dyDescent="0.25">
      <c r="A446" s="159">
        <v>191</v>
      </c>
      <c r="B446" s="160">
        <v>3</v>
      </c>
      <c r="C446" s="160">
        <v>11700</v>
      </c>
      <c r="D446" s="160" t="s">
        <v>3286</v>
      </c>
      <c r="E446" s="160">
        <v>0</v>
      </c>
      <c r="F446" s="160"/>
      <c r="G446" s="148">
        <v>18</v>
      </c>
      <c r="H446" s="152">
        <f>IF(C446=11700,ROUND(VLOOKUP(G446,ThongSo!$F$2:$I$15,4,0)*B446*11.7,3),0)</f>
        <v>70.2</v>
      </c>
      <c r="I446" s="152" t="str">
        <f>IF(F446="Sắt vụn",ROUND(VLOOKUP(G446,ThongSo!$F$2:$I$15,4,0)*B446*E446/1000,3),"-")</f>
        <v>-</v>
      </c>
      <c r="L446" s="150"/>
      <c r="M446" s="150"/>
      <c r="N446" s="150"/>
    </row>
    <row r="447" spans="1:14" x14ac:dyDescent="0.25">
      <c r="A447" s="159">
        <v>192</v>
      </c>
      <c r="B447" s="160">
        <v>3</v>
      </c>
      <c r="C447" s="160">
        <v>11700</v>
      </c>
      <c r="D447" s="160" t="s">
        <v>3287</v>
      </c>
      <c r="E447" s="160">
        <v>0</v>
      </c>
      <c r="F447" s="160"/>
      <c r="G447" s="148">
        <v>18</v>
      </c>
      <c r="H447" s="152">
        <f>IF(C447=11700,ROUND(VLOOKUP(G447,ThongSo!$F$2:$I$15,4,0)*B447*11.7,3),0)</f>
        <v>70.2</v>
      </c>
      <c r="I447" s="152" t="str">
        <f>IF(F447="Sắt vụn",ROUND(VLOOKUP(G447,ThongSo!$F$2:$I$15,4,0)*B447*E447/1000,3),"-")</f>
        <v>-</v>
      </c>
      <c r="L447" s="150"/>
      <c r="M447" s="150"/>
      <c r="N447" s="150"/>
    </row>
    <row r="448" spans="1:14" x14ac:dyDescent="0.25">
      <c r="A448" s="159">
        <v>193</v>
      </c>
      <c r="B448" s="160">
        <v>3</v>
      </c>
      <c r="C448" s="160">
        <v>11700</v>
      </c>
      <c r="D448" s="160" t="s">
        <v>3288</v>
      </c>
      <c r="E448" s="160">
        <v>190</v>
      </c>
      <c r="F448" s="160" t="s">
        <v>74</v>
      </c>
      <c r="G448" s="148">
        <v>18</v>
      </c>
      <c r="H448" s="152">
        <f>IF(C448=11700,ROUND(VLOOKUP(G448,ThongSo!$F$2:$I$15,4,0)*B448*11.7,3),0)</f>
        <v>70.2</v>
      </c>
      <c r="I448" s="152">
        <f>IF(F448="Sắt vụn",ROUND(VLOOKUP(G448,ThongSo!$F$2:$I$15,4,0)*B448*E448/1000,3),"-")</f>
        <v>1.1399999999999999</v>
      </c>
      <c r="L448" s="150"/>
      <c r="M448" s="150"/>
      <c r="N448" s="150"/>
    </row>
    <row r="449" spans="1:14" x14ac:dyDescent="0.25">
      <c r="A449" s="159">
        <v>194</v>
      </c>
      <c r="B449" s="160">
        <v>1</v>
      </c>
      <c r="C449" s="160">
        <v>11700</v>
      </c>
      <c r="D449" s="160" t="s">
        <v>3289</v>
      </c>
      <c r="E449" s="160">
        <v>420</v>
      </c>
      <c r="F449" s="160" t="s">
        <v>74</v>
      </c>
      <c r="G449" s="148">
        <v>18</v>
      </c>
      <c r="H449" s="152">
        <f>IF(C449=11700,ROUND(VLOOKUP(G449,ThongSo!$F$2:$I$15,4,0)*B449*11.7,3),0)</f>
        <v>23.4</v>
      </c>
      <c r="I449" s="152">
        <f>IF(F449="Sắt vụn",ROUND(VLOOKUP(G449,ThongSo!$F$2:$I$15,4,0)*B449*E449/1000,3),"-")</f>
        <v>0.84</v>
      </c>
      <c r="L449" s="150"/>
      <c r="M449" s="150"/>
      <c r="N449" s="150"/>
    </row>
    <row r="450" spans="1:14" x14ac:dyDescent="0.25">
      <c r="A450" s="159">
        <v>195</v>
      </c>
      <c r="B450" s="160">
        <v>12</v>
      </c>
      <c r="C450" s="160">
        <v>11700</v>
      </c>
      <c r="D450" s="160" t="s">
        <v>3290</v>
      </c>
      <c r="E450" s="160">
        <v>1000</v>
      </c>
      <c r="F450" s="160" t="s">
        <v>75</v>
      </c>
      <c r="G450" s="148">
        <v>18</v>
      </c>
      <c r="H450" s="152">
        <f>IF(C450=11700,ROUND(VLOOKUP(G450,ThongSo!$F$2:$I$15,4,0)*B450*11.7,3),0)</f>
        <v>280.8</v>
      </c>
      <c r="I450" s="152" t="str">
        <f>IF(F450="Sắt vụn",ROUND(VLOOKUP(G450,ThongSo!$F$2:$I$15,4,0)*B450*E450/1000,3),"-")</f>
        <v>-</v>
      </c>
      <c r="L450" s="150"/>
      <c r="M450" s="150"/>
      <c r="N450" s="150"/>
    </row>
    <row r="451" spans="1:14" x14ac:dyDescent="0.25">
      <c r="A451" s="159">
        <v>196</v>
      </c>
      <c r="B451" s="160">
        <v>1</v>
      </c>
      <c r="C451" s="160">
        <v>11700</v>
      </c>
      <c r="D451" s="160" t="s">
        <v>3291</v>
      </c>
      <c r="E451" s="160">
        <v>1740</v>
      </c>
      <c r="F451" s="160" t="s">
        <v>75</v>
      </c>
      <c r="G451" s="148">
        <v>18</v>
      </c>
      <c r="H451" s="152">
        <f>IF(C451=11700,ROUND(VLOOKUP(G451,ThongSo!$F$2:$I$15,4,0)*B451*11.7,3),0)</f>
        <v>23.4</v>
      </c>
      <c r="I451" s="152" t="str">
        <f>IF(F451="Sắt vụn",ROUND(VLOOKUP(G451,ThongSo!$F$2:$I$15,4,0)*B451*E451/1000,3),"-")</f>
        <v>-</v>
      </c>
      <c r="L451" s="150"/>
      <c r="M451" s="150"/>
      <c r="N451" s="150"/>
    </row>
    <row r="452" spans="1:14" x14ac:dyDescent="0.25">
      <c r="A452" s="159">
        <v>197</v>
      </c>
      <c r="B452" s="160">
        <v>3</v>
      </c>
      <c r="C452" s="160">
        <v>11700</v>
      </c>
      <c r="D452" s="160" t="s">
        <v>3292</v>
      </c>
      <c r="E452" s="160">
        <v>2470</v>
      </c>
      <c r="F452" s="160" t="s">
        <v>75</v>
      </c>
      <c r="G452" s="148">
        <v>18</v>
      </c>
      <c r="H452" s="152">
        <f>IF(C452=11700,ROUND(VLOOKUP(G452,ThongSo!$F$2:$I$15,4,0)*B452*11.7,3),0)</f>
        <v>70.2</v>
      </c>
      <c r="I452" s="152" t="str">
        <f>IF(F452="Sắt vụn",ROUND(VLOOKUP(G452,ThongSo!$F$2:$I$15,4,0)*B452*E452/1000,3),"-")</f>
        <v>-</v>
      </c>
      <c r="L452" s="150"/>
      <c r="M452" s="150"/>
      <c r="N452" s="150"/>
    </row>
    <row r="453" spans="1:14" x14ac:dyDescent="0.25">
      <c r="A453" s="159">
        <v>198</v>
      </c>
      <c r="B453" s="160">
        <v>1</v>
      </c>
      <c r="C453" s="160">
        <v>11700</v>
      </c>
      <c r="D453" s="160" t="s">
        <v>3293</v>
      </c>
      <c r="E453" s="160">
        <v>6060</v>
      </c>
      <c r="F453" s="160" t="s">
        <v>75</v>
      </c>
      <c r="G453" s="148">
        <v>18</v>
      </c>
      <c r="H453" s="152">
        <f>IF(C453=11700,ROUND(VLOOKUP(G453,ThongSo!$F$2:$I$15,4,0)*B453*11.7,3),0)</f>
        <v>23.4</v>
      </c>
      <c r="I453" s="152" t="str">
        <f>IF(F453="Sắt vụn",ROUND(VLOOKUP(G453,ThongSo!$F$2:$I$15,4,0)*B453*E453/1000,3),"-")</f>
        <v>-</v>
      </c>
      <c r="L453" s="150"/>
      <c r="M453" s="150"/>
      <c r="N453" s="150"/>
    </row>
    <row r="454" spans="1:14" x14ac:dyDescent="0.25">
      <c r="A454" s="157" t="s">
        <v>81</v>
      </c>
      <c r="B454" s="158"/>
      <c r="C454" s="158"/>
      <c r="D454" s="158"/>
      <c r="E454" s="158"/>
      <c r="F454" s="158"/>
      <c r="G454" s="148"/>
      <c r="H454" s="152">
        <f>IF(C454=11700,ROUND(VLOOKUP(G454,ThongSo!$F$2:$I$15,4,0)*B454*11.7,3),0)</f>
        <v>0</v>
      </c>
      <c r="I454" s="152" t="str">
        <f>IF(F454="Sắt vụn",ROUND(VLOOKUP(G454,ThongSo!$F$2:$I$15,4,0)*B454*E454/1000,3),"-")</f>
        <v>-</v>
      </c>
      <c r="L454" s="150"/>
      <c r="M454" s="150"/>
      <c r="N454" s="150"/>
    </row>
    <row r="455" spans="1:14" x14ac:dyDescent="0.25">
      <c r="A455" s="159" t="s">
        <v>310</v>
      </c>
      <c r="B455" s="160">
        <v>61</v>
      </c>
      <c r="C455" s="160">
        <v>4330</v>
      </c>
      <c r="D455" s="160" t="s">
        <v>3294</v>
      </c>
      <c r="E455" s="160">
        <v>270</v>
      </c>
      <c r="F455" s="160" t="s">
        <v>74</v>
      </c>
      <c r="G455" s="148">
        <v>16</v>
      </c>
      <c r="H455" s="152">
        <f>IF(C455=11700,ROUND(VLOOKUP(G455,ThongSo!$F$2:$I$15,4,0)*B455*11.7,3),0)</f>
        <v>0</v>
      </c>
      <c r="I455" s="152">
        <f>IF(F455="Sắt vụn",ROUND(VLOOKUP(G455,ThongSo!$F$2:$I$15,4,0)*B455*E455/1000,3),"-")</f>
        <v>26.023</v>
      </c>
      <c r="L455" s="150"/>
      <c r="M455" s="150"/>
      <c r="N455" s="150"/>
    </row>
    <row r="456" spans="1:14" x14ac:dyDescent="0.25">
      <c r="A456" s="159" t="s">
        <v>310</v>
      </c>
      <c r="B456" s="160">
        <v>6</v>
      </c>
      <c r="C456" s="160">
        <v>4330</v>
      </c>
      <c r="D456" s="160" t="s">
        <v>3295</v>
      </c>
      <c r="E456" s="160">
        <v>1000</v>
      </c>
      <c r="F456" s="160" t="s">
        <v>75</v>
      </c>
      <c r="G456" s="148">
        <v>16</v>
      </c>
      <c r="H456" s="152">
        <f>IF(C456=11700,ROUND(VLOOKUP(G456,ThongSo!$F$2:$I$15,4,0)*B456*11.7,3),0)</f>
        <v>0</v>
      </c>
      <c r="I456" s="152" t="str">
        <f>IF(F456="Sắt vụn",ROUND(VLOOKUP(G456,ThongSo!$F$2:$I$15,4,0)*B456*E456/1000,3),"-")</f>
        <v>-</v>
      </c>
      <c r="L456" s="150"/>
      <c r="M456" s="150"/>
      <c r="N456" s="150"/>
    </row>
    <row r="457" spans="1:14" x14ac:dyDescent="0.25">
      <c r="A457" s="159">
        <v>201</v>
      </c>
      <c r="B457" s="160">
        <v>59</v>
      </c>
      <c r="C457" s="160">
        <v>11700</v>
      </c>
      <c r="D457" s="160" t="s">
        <v>3296</v>
      </c>
      <c r="E457" s="160">
        <v>240</v>
      </c>
      <c r="F457" s="160" t="s">
        <v>74</v>
      </c>
      <c r="G457" s="148">
        <v>16</v>
      </c>
      <c r="H457" s="152">
        <f>IF(C457=11700,ROUND(VLOOKUP(G457,ThongSo!$F$2:$I$15,4,0)*B457*11.7,3),0)</f>
        <v>1090.674</v>
      </c>
      <c r="I457" s="152">
        <f>IF(F457="Sắt vụn",ROUND(VLOOKUP(G457,ThongSo!$F$2:$I$15,4,0)*B457*E457/1000,3),"-")</f>
        <v>22.373000000000001</v>
      </c>
      <c r="L457" s="150"/>
      <c r="M457" s="150"/>
      <c r="N457" s="150"/>
    </row>
    <row r="458" spans="1:14" x14ac:dyDescent="0.25">
      <c r="A458" s="159">
        <v>202</v>
      </c>
      <c r="B458" s="160">
        <v>16</v>
      </c>
      <c r="C458" s="160">
        <v>11700</v>
      </c>
      <c r="D458" s="160" t="s">
        <v>3297</v>
      </c>
      <c r="E458" s="160">
        <v>860</v>
      </c>
      <c r="F458" s="160" t="s">
        <v>75</v>
      </c>
      <c r="G458" s="148">
        <v>16</v>
      </c>
      <c r="H458" s="152">
        <f>IF(C458=11700,ROUND(VLOOKUP(G458,ThongSo!$F$2:$I$15,4,0)*B458*11.7,3),0)</f>
        <v>295.77600000000001</v>
      </c>
      <c r="I458" s="152" t="str">
        <f>IF(F458="Sắt vụn",ROUND(VLOOKUP(G458,ThongSo!$F$2:$I$15,4,0)*B458*E458/1000,3),"-")</f>
        <v>-</v>
      </c>
      <c r="L458" s="150"/>
      <c r="M458" s="150"/>
      <c r="N458" s="150"/>
    </row>
    <row r="459" spans="1:14" x14ac:dyDescent="0.25">
      <c r="A459" s="159">
        <v>203</v>
      </c>
      <c r="B459" s="160">
        <v>1</v>
      </c>
      <c r="C459" s="160">
        <v>11700</v>
      </c>
      <c r="D459" s="160" t="s">
        <v>3298</v>
      </c>
      <c r="E459" s="160">
        <v>860</v>
      </c>
      <c r="F459" s="160" t="s">
        <v>75</v>
      </c>
      <c r="G459" s="148">
        <v>16</v>
      </c>
      <c r="H459" s="152">
        <f>IF(C459=11700,ROUND(VLOOKUP(G459,ThongSo!$F$2:$I$15,4,0)*B459*11.7,3),0)</f>
        <v>18.486000000000001</v>
      </c>
      <c r="I459" s="152" t="str">
        <f>IF(F459="Sắt vụn",ROUND(VLOOKUP(G459,ThongSo!$F$2:$I$15,4,0)*B459*E459/1000,3),"-")</f>
        <v>-</v>
      </c>
      <c r="L459" s="150"/>
      <c r="M459" s="150"/>
      <c r="N459" s="150"/>
    </row>
    <row r="460" spans="1:14" x14ac:dyDescent="0.25">
      <c r="A460" s="159">
        <v>204</v>
      </c>
      <c r="B460" s="160">
        <v>81</v>
      </c>
      <c r="C460" s="160">
        <v>11700</v>
      </c>
      <c r="D460" s="160" t="s">
        <v>3299</v>
      </c>
      <c r="E460" s="160">
        <v>860</v>
      </c>
      <c r="F460" s="160" t="s">
        <v>75</v>
      </c>
      <c r="G460" s="148">
        <v>16</v>
      </c>
      <c r="H460" s="152">
        <f>IF(C460=11700,ROUND(VLOOKUP(G460,ThongSo!$F$2:$I$15,4,0)*B460*11.7,3),0)</f>
        <v>1497.366</v>
      </c>
      <c r="I460" s="152" t="str">
        <f>IF(F460="Sắt vụn",ROUND(VLOOKUP(G460,ThongSo!$F$2:$I$15,4,0)*B460*E460/1000,3),"-")</f>
        <v>-</v>
      </c>
      <c r="L460" s="150"/>
      <c r="M460" s="150"/>
      <c r="N460" s="150"/>
    </row>
    <row r="461" spans="1:14" x14ac:dyDescent="0.25">
      <c r="A461" s="159">
        <v>205</v>
      </c>
      <c r="B461" s="160">
        <v>61</v>
      </c>
      <c r="C461" s="160">
        <v>11700</v>
      </c>
      <c r="D461" s="160" t="s">
        <v>3300</v>
      </c>
      <c r="E461" s="160">
        <v>960</v>
      </c>
      <c r="F461" s="160" t="s">
        <v>75</v>
      </c>
      <c r="G461" s="148">
        <v>16</v>
      </c>
      <c r="H461" s="152">
        <f>IF(C461=11700,ROUND(VLOOKUP(G461,ThongSo!$F$2:$I$15,4,0)*B461*11.7,3),0)</f>
        <v>1127.646</v>
      </c>
      <c r="I461" s="152" t="str">
        <f>IF(F461="Sắt vụn",ROUND(VLOOKUP(G461,ThongSo!$F$2:$I$15,4,0)*B461*E461/1000,3),"-")</f>
        <v>-</v>
      </c>
      <c r="L461" s="150"/>
      <c r="M461" s="150"/>
      <c r="N461" s="150"/>
    </row>
    <row r="462" spans="1:14" x14ac:dyDescent="0.25">
      <c r="A462" s="159">
        <v>206</v>
      </c>
      <c r="B462" s="160">
        <v>130</v>
      </c>
      <c r="C462" s="160">
        <v>11700</v>
      </c>
      <c r="D462" s="160" t="s">
        <v>3301</v>
      </c>
      <c r="E462" s="160">
        <v>5030</v>
      </c>
      <c r="F462" s="160" t="s">
        <v>75</v>
      </c>
      <c r="G462" s="148">
        <v>16</v>
      </c>
      <c r="H462" s="152">
        <f>IF(C462=11700,ROUND(VLOOKUP(G462,ThongSo!$F$2:$I$15,4,0)*B462*11.7,3),0)</f>
        <v>2403.1799999999998</v>
      </c>
      <c r="I462" s="152" t="str">
        <f>IF(F462="Sắt vụn",ROUND(VLOOKUP(G462,ThongSo!$F$2:$I$15,4,0)*B462*E462/1000,3),"-")</f>
        <v>-</v>
      </c>
      <c r="L462" s="150"/>
      <c r="M462" s="150"/>
      <c r="N462" s="150"/>
    </row>
    <row r="463" spans="1:14" x14ac:dyDescent="0.25">
      <c r="A463" s="157" t="s">
        <v>82</v>
      </c>
      <c r="B463" s="158"/>
      <c r="C463" s="158"/>
      <c r="D463" s="158"/>
      <c r="E463" s="158"/>
      <c r="F463" s="158"/>
      <c r="G463" s="148"/>
      <c r="H463" s="152">
        <f>IF(C463=11700,ROUND(VLOOKUP(G463,ThongSo!$F$2:$I$15,4,0)*B463*11.7,3),0)</f>
        <v>0</v>
      </c>
      <c r="I463" s="152" t="str">
        <f>IF(F463="Sắt vụn",ROUND(VLOOKUP(G463,ThongSo!$F$2:$I$15,4,0)*B463*E463/1000,3),"-")</f>
        <v>-</v>
      </c>
      <c r="L463" s="150"/>
      <c r="M463" s="150"/>
      <c r="N463" s="150"/>
    </row>
    <row r="464" spans="1:14" x14ac:dyDescent="0.25">
      <c r="A464" s="159" t="s">
        <v>73</v>
      </c>
      <c r="B464" s="160">
        <v>588</v>
      </c>
      <c r="C464" s="160">
        <v>11700</v>
      </c>
      <c r="D464" s="160"/>
      <c r="E464" s="160"/>
      <c r="F464" s="160"/>
      <c r="G464" s="148">
        <v>14</v>
      </c>
      <c r="H464" s="152">
        <f>IF(C464=11700,ROUND(VLOOKUP(G464,ThongSo!$F$2:$I$15,4,0)*B464*11.7,3),0)</f>
        <v>8324.3160000000007</v>
      </c>
      <c r="I464" s="152" t="str">
        <f>IF(F464="Sắt vụn",ROUND(VLOOKUP(G464,ThongSo!$F$2:$I$15,4,0)*B464*E464/1000,3),"-")</f>
        <v>-</v>
      </c>
      <c r="L464" s="150"/>
      <c r="M464" s="150"/>
      <c r="N464" s="150"/>
    </row>
    <row r="465" spans="1:14" x14ac:dyDescent="0.25">
      <c r="A465" s="159" t="s">
        <v>215</v>
      </c>
      <c r="B465" s="160">
        <v>30</v>
      </c>
      <c r="C465" s="160">
        <v>1500</v>
      </c>
      <c r="D465" s="160" t="s">
        <v>3302</v>
      </c>
      <c r="E465" s="160">
        <v>130</v>
      </c>
      <c r="F465" s="160" t="s">
        <v>74</v>
      </c>
      <c r="G465" s="148">
        <v>14</v>
      </c>
      <c r="H465" s="152">
        <f>IF(C465=11700,ROUND(VLOOKUP(G465,ThongSo!$F$2:$I$15,4,0)*B465*11.7,3),0)</f>
        <v>0</v>
      </c>
      <c r="I465" s="152">
        <f>IF(F465="Sắt vụn",ROUND(VLOOKUP(G465,ThongSo!$F$2:$I$15,4,0)*B465*E465/1000,3),"-")</f>
        <v>4.7190000000000003</v>
      </c>
      <c r="L465" s="150"/>
      <c r="M465" s="150"/>
      <c r="N465" s="150"/>
    </row>
    <row r="466" spans="1:14" x14ac:dyDescent="0.25">
      <c r="A466" s="159" t="s">
        <v>165</v>
      </c>
      <c r="B466" s="160">
        <v>36</v>
      </c>
      <c r="C466" s="160">
        <v>2000</v>
      </c>
      <c r="D466" s="160" t="s">
        <v>3303</v>
      </c>
      <c r="E466" s="160">
        <v>120</v>
      </c>
      <c r="F466" s="160" t="s">
        <v>74</v>
      </c>
      <c r="G466" s="148">
        <v>14</v>
      </c>
      <c r="H466" s="152">
        <f>IF(C466=11700,ROUND(VLOOKUP(G466,ThongSo!$F$2:$I$15,4,0)*B466*11.7,3),0)</f>
        <v>0</v>
      </c>
      <c r="I466" s="152">
        <f>IF(F466="Sắt vụn",ROUND(VLOOKUP(G466,ThongSo!$F$2:$I$15,4,0)*B466*E466/1000,3),"-")</f>
        <v>5.2270000000000003</v>
      </c>
      <c r="L466" s="150"/>
      <c r="M466" s="150"/>
      <c r="N466" s="150"/>
    </row>
    <row r="467" spans="1:14" x14ac:dyDescent="0.25">
      <c r="A467" s="159" t="s">
        <v>228</v>
      </c>
      <c r="B467" s="160">
        <v>27</v>
      </c>
      <c r="C467" s="160">
        <v>3830</v>
      </c>
      <c r="D467" s="160" t="s">
        <v>3304</v>
      </c>
      <c r="E467" s="160">
        <v>20</v>
      </c>
      <c r="F467" s="160" t="s">
        <v>74</v>
      </c>
      <c r="G467" s="148">
        <v>14</v>
      </c>
      <c r="H467" s="152">
        <f>IF(C467=11700,ROUND(VLOOKUP(G467,ThongSo!$F$2:$I$15,4,0)*B467*11.7,3),0)</f>
        <v>0</v>
      </c>
      <c r="I467" s="152">
        <f>IF(F467="Sắt vụn",ROUND(VLOOKUP(G467,ThongSo!$F$2:$I$15,4,0)*B467*E467/1000,3),"-")</f>
        <v>0.65300000000000002</v>
      </c>
      <c r="L467" s="150"/>
      <c r="M467" s="150"/>
      <c r="N467" s="150"/>
    </row>
    <row r="468" spans="1:14" x14ac:dyDescent="0.25">
      <c r="A468" s="159" t="s">
        <v>228</v>
      </c>
      <c r="B468" s="160">
        <v>9</v>
      </c>
      <c r="C468" s="160">
        <v>3830</v>
      </c>
      <c r="D468" s="160" t="s">
        <v>3305</v>
      </c>
      <c r="E468" s="160">
        <v>70</v>
      </c>
      <c r="F468" s="160" t="s">
        <v>74</v>
      </c>
      <c r="G468" s="148">
        <v>14</v>
      </c>
      <c r="H468" s="152">
        <f>IF(C468=11700,ROUND(VLOOKUP(G468,ThongSo!$F$2:$I$15,4,0)*B468*11.7,3),0)</f>
        <v>0</v>
      </c>
      <c r="I468" s="152">
        <f>IF(F468="Sắt vụn",ROUND(VLOOKUP(G468,ThongSo!$F$2:$I$15,4,0)*B468*E468/1000,3),"-")</f>
        <v>0.76200000000000001</v>
      </c>
      <c r="L468" s="150"/>
      <c r="M468" s="150"/>
      <c r="N468" s="150"/>
    </row>
    <row r="469" spans="1:14" x14ac:dyDescent="0.25">
      <c r="A469" s="159" t="s">
        <v>228</v>
      </c>
      <c r="B469" s="160">
        <v>35</v>
      </c>
      <c r="C469" s="160">
        <v>3830</v>
      </c>
      <c r="D469" s="160" t="s">
        <v>3306</v>
      </c>
      <c r="E469" s="160">
        <v>110</v>
      </c>
      <c r="F469" s="160" t="s">
        <v>74</v>
      </c>
      <c r="G469" s="148">
        <v>14</v>
      </c>
      <c r="H469" s="152">
        <f>IF(C469=11700,ROUND(VLOOKUP(G469,ThongSo!$F$2:$I$15,4,0)*B469*11.7,3),0)</f>
        <v>0</v>
      </c>
      <c r="I469" s="152">
        <f>IF(F469="Sắt vụn",ROUND(VLOOKUP(G469,ThongSo!$F$2:$I$15,4,0)*B469*E469/1000,3),"-")</f>
        <v>4.6589999999999998</v>
      </c>
      <c r="L469" s="150"/>
      <c r="M469" s="150"/>
      <c r="N469" s="150"/>
    </row>
    <row r="470" spans="1:14" x14ac:dyDescent="0.25">
      <c r="A470" s="159" t="s">
        <v>147</v>
      </c>
      <c r="B470" s="160">
        <v>54</v>
      </c>
      <c r="C470" s="160">
        <v>4830</v>
      </c>
      <c r="D470" s="160" t="s">
        <v>3307</v>
      </c>
      <c r="E470" s="160">
        <v>30</v>
      </c>
      <c r="F470" s="160" t="s">
        <v>74</v>
      </c>
      <c r="G470" s="148">
        <v>14</v>
      </c>
      <c r="H470" s="152">
        <f>IF(C470=11700,ROUND(VLOOKUP(G470,ThongSo!$F$2:$I$15,4,0)*B470*11.7,3),0)</f>
        <v>0</v>
      </c>
      <c r="I470" s="152">
        <f>IF(F470="Sắt vụn",ROUND(VLOOKUP(G470,ThongSo!$F$2:$I$15,4,0)*B470*E470/1000,3),"-")</f>
        <v>1.96</v>
      </c>
      <c r="L470" s="150"/>
      <c r="M470" s="150"/>
      <c r="N470" s="150"/>
    </row>
    <row r="471" spans="1:14" x14ac:dyDescent="0.25">
      <c r="A471" s="159" t="s">
        <v>147</v>
      </c>
      <c r="B471" s="160">
        <v>12</v>
      </c>
      <c r="C471" s="160">
        <v>4830</v>
      </c>
      <c r="D471" s="160" t="s">
        <v>3308</v>
      </c>
      <c r="E471" s="160">
        <v>90</v>
      </c>
      <c r="F471" s="160" t="s">
        <v>74</v>
      </c>
      <c r="G471" s="148">
        <v>14</v>
      </c>
      <c r="H471" s="152">
        <f>IF(C471=11700,ROUND(VLOOKUP(G471,ThongSo!$F$2:$I$15,4,0)*B471*11.7,3),0)</f>
        <v>0</v>
      </c>
      <c r="I471" s="152">
        <f>IF(F471="Sắt vụn",ROUND(VLOOKUP(G471,ThongSo!$F$2:$I$15,4,0)*B471*E471/1000,3),"-")</f>
        <v>1.3069999999999999</v>
      </c>
      <c r="L471" s="150"/>
      <c r="M471" s="150"/>
      <c r="N471" s="150"/>
    </row>
    <row r="472" spans="1:14" x14ac:dyDescent="0.25">
      <c r="A472" s="159" t="s">
        <v>3109</v>
      </c>
      <c r="B472" s="160">
        <v>6</v>
      </c>
      <c r="C472" s="160">
        <v>5030</v>
      </c>
      <c r="D472" s="160" t="s">
        <v>3309</v>
      </c>
      <c r="E472" s="160">
        <v>0</v>
      </c>
      <c r="F472" s="160"/>
      <c r="G472" s="148">
        <v>14</v>
      </c>
      <c r="H472" s="152">
        <f>IF(C472=11700,ROUND(VLOOKUP(G472,ThongSo!$F$2:$I$15,4,0)*B472*11.7,3),0)</f>
        <v>0</v>
      </c>
      <c r="I472" s="152" t="str">
        <f>IF(F472="Sắt vụn",ROUND(VLOOKUP(G472,ThongSo!$F$2:$I$15,4,0)*B472*E472/1000,3),"-")</f>
        <v>-</v>
      </c>
      <c r="L472" s="150"/>
      <c r="M472" s="150"/>
      <c r="N472" s="150"/>
    </row>
    <row r="473" spans="1:14" x14ac:dyDescent="0.25">
      <c r="A473" s="159" t="s">
        <v>3109</v>
      </c>
      <c r="B473" s="160">
        <v>6</v>
      </c>
      <c r="C473" s="160">
        <v>5030</v>
      </c>
      <c r="D473" s="160" t="s">
        <v>3310</v>
      </c>
      <c r="E473" s="160">
        <v>10</v>
      </c>
      <c r="F473" s="160" t="s">
        <v>74</v>
      </c>
      <c r="G473" s="148">
        <v>14</v>
      </c>
      <c r="H473" s="152">
        <f>IF(C473=11700,ROUND(VLOOKUP(G473,ThongSo!$F$2:$I$15,4,0)*B473*11.7,3),0)</f>
        <v>0</v>
      </c>
      <c r="I473" s="152">
        <f>IF(F473="Sắt vụn",ROUND(VLOOKUP(G473,ThongSo!$F$2:$I$15,4,0)*B473*E473/1000,3),"-")</f>
        <v>7.2999999999999995E-2</v>
      </c>
      <c r="L473" s="150"/>
      <c r="M473" s="150"/>
      <c r="N473" s="150"/>
    </row>
    <row r="474" spans="1:14" x14ac:dyDescent="0.25">
      <c r="A474" s="159" t="s">
        <v>3109</v>
      </c>
      <c r="B474" s="160">
        <v>75</v>
      </c>
      <c r="C474" s="160">
        <v>5030</v>
      </c>
      <c r="D474" s="160" t="s">
        <v>3311</v>
      </c>
      <c r="E474" s="160">
        <v>10</v>
      </c>
      <c r="F474" s="160" t="s">
        <v>74</v>
      </c>
      <c r="G474" s="148">
        <v>14</v>
      </c>
      <c r="H474" s="152">
        <f>IF(C474=11700,ROUND(VLOOKUP(G474,ThongSo!$F$2:$I$15,4,0)*B474*11.7,3),0)</f>
        <v>0</v>
      </c>
      <c r="I474" s="152">
        <f>IF(F474="Sắt vụn",ROUND(VLOOKUP(G474,ThongSo!$F$2:$I$15,4,0)*B474*E474/1000,3),"-")</f>
        <v>0.90800000000000003</v>
      </c>
      <c r="L474" s="150"/>
      <c r="M474" s="150"/>
      <c r="N474" s="150"/>
    </row>
    <row r="475" spans="1:14" x14ac:dyDescent="0.25">
      <c r="A475" s="159">
        <v>218</v>
      </c>
      <c r="B475" s="160">
        <v>6</v>
      </c>
      <c r="C475" s="160">
        <v>11700</v>
      </c>
      <c r="D475" s="160" t="s">
        <v>3312</v>
      </c>
      <c r="E475" s="160">
        <v>0</v>
      </c>
      <c r="F475" s="160"/>
      <c r="G475" s="148">
        <v>14</v>
      </c>
      <c r="H475" s="152">
        <f>IF(C475=11700,ROUND(VLOOKUP(G475,ThongSo!$F$2:$I$15,4,0)*B475*11.7,3),0)</f>
        <v>84.941999999999993</v>
      </c>
      <c r="I475" s="152" t="str">
        <f>IF(F475="Sắt vụn",ROUND(VLOOKUP(G475,ThongSo!$F$2:$I$15,4,0)*B475*E475/1000,3),"-")</f>
        <v>-</v>
      </c>
      <c r="L475" s="150"/>
      <c r="M475" s="150"/>
      <c r="N475" s="150"/>
    </row>
    <row r="476" spans="1:14" x14ac:dyDescent="0.25">
      <c r="A476" s="159">
        <v>219</v>
      </c>
      <c r="B476" s="160">
        <v>12</v>
      </c>
      <c r="C476" s="160">
        <v>11700</v>
      </c>
      <c r="D476" s="160" t="s">
        <v>3313</v>
      </c>
      <c r="E476" s="160">
        <v>0</v>
      </c>
      <c r="F476" s="160"/>
      <c r="G476" s="148">
        <v>14</v>
      </c>
      <c r="H476" s="152">
        <f>IF(C476=11700,ROUND(VLOOKUP(G476,ThongSo!$F$2:$I$15,4,0)*B476*11.7,3),0)</f>
        <v>169.88399999999999</v>
      </c>
      <c r="I476" s="152" t="str">
        <f>IF(F476="Sắt vụn",ROUND(VLOOKUP(G476,ThongSo!$F$2:$I$15,4,0)*B476*E476/1000,3),"-")</f>
        <v>-</v>
      </c>
      <c r="L476" s="150"/>
      <c r="M476" s="150"/>
      <c r="N476" s="150"/>
    </row>
    <row r="477" spans="1:14" x14ac:dyDescent="0.25">
      <c r="A477" s="159">
        <v>220</v>
      </c>
      <c r="B477" s="160">
        <v>6</v>
      </c>
      <c r="C477" s="160">
        <v>11700</v>
      </c>
      <c r="D477" s="160" t="s">
        <v>3314</v>
      </c>
      <c r="E477" s="160">
        <v>0</v>
      </c>
      <c r="F477" s="160"/>
      <c r="G477" s="148">
        <v>14</v>
      </c>
      <c r="H477" s="152">
        <f>IF(C477=11700,ROUND(VLOOKUP(G477,ThongSo!$F$2:$I$15,4,0)*B477*11.7,3),0)</f>
        <v>84.941999999999993</v>
      </c>
      <c r="I477" s="152" t="str">
        <f>IF(F477="Sắt vụn",ROUND(VLOOKUP(G477,ThongSo!$F$2:$I$15,4,0)*B477*E477/1000,3),"-")</f>
        <v>-</v>
      </c>
      <c r="L477" s="150"/>
      <c r="M477" s="150"/>
      <c r="N477" s="150"/>
    </row>
    <row r="478" spans="1:14" x14ac:dyDescent="0.25">
      <c r="A478" s="159">
        <v>221</v>
      </c>
      <c r="B478" s="160">
        <v>6</v>
      </c>
      <c r="C478" s="160">
        <v>11700</v>
      </c>
      <c r="D478" s="160" t="s">
        <v>3315</v>
      </c>
      <c r="E478" s="160">
        <v>0</v>
      </c>
      <c r="F478" s="160"/>
      <c r="G478" s="148">
        <v>14</v>
      </c>
      <c r="H478" s="152">
        <f>IF(C478=11700,ROUND(VLOOKUP(G478,ThongSo!$F$2:$I$15,4,0)*B478*11.7,3),0)</f>
        <v>84.941999999999993</v>
      </c>
      <c r="I478" s="152" t="str">
        <f>IF(F478="Sắt vụn",ROUND(VLOOKUP(G478,ThongSo!$F$2:$I$15,4,0)*B478*E478/1000,3),"-")</f>
        <v>-</v>
      </c>
      <c r="L478" s="150"/>
      <c r="M478" s="150"/>
      <c r="N478" s="150"/>
    </row>
    <row r="479" spans="1:14" x14ac:dyDescent="0.25">
      <c r="A479" s="159">
        <v>222</v>
      </c>
      <c r="B479" s="160">
        <v>13</v>
      </c>
      <c r="C479" s="160">
        <v>11700</v>
      </c>
      <c r="D479" s="160" t="s">
        <v>3316</v>
      </c>
      <c r="E479" s="160">
        <v>0</v>
      </c>
      <c r="F479" s="160"/>
      <c r="G479" s="148">
        <v>14</v>
      </c>
      <c r="H479" s="152">
        <f>IF(C479=11700,ROUND(VLOOKUP(G479,ThongSo!$F$2:$I$15,4,0)*B479*11.7,3),0)</f>
        <v>184.041</v>
      </c>
      <c r="I479" s="152" t="str">
        <f>IF(F479="Sắt vụn",ROUND(VLOOKUP(G479,ThongSo!$F$2:$I$15,4,0)*B479*E479/1000,3),"-")</f>
        <v>-</v>
      </c>
      <c r="L479" s="150"/>
      <c r="M479" s="150"/>
      <c r="N479" s="150"/>
    </row>
    <row r="480" spans="1:14" x14ac:dyDescent="0.25">
      <c r="A480" s="159">
        <v>223</v>
      </c>
      <c r="B480" s="160">
        <v>27</v>
      </c>
      <c r="C480" s="160">
        <v>11700</v>
      </c>
      <c r="D480" s="160" t="s">
        <v>3317</v>
      </c>
      <c r="E480" s="160">
        <v>0</v>
      </c>
      <c r="F480" s="160"/>
      <c r="G480" s="148">
        <v>14</v>
      </c>
      <c r="H480" s="152">
        <f>IF(C480=11700,ROUND(VLOOKUP(G480,ThongSo!$F$2:$I$15,4,0)*B480*11.7,3),0)</f>
        <v>382.23899999999998</v>
      </c>
      <c r="I480" s="152" t="str">
        <f>IF(F480="Sắt vụn",ROUND(VLOOKUP(G480,ThongSo!$F$2:$I$15,4,0)*B480*E480/1000,3),"-")</f>
        <v>-</v>
      </c>
      <c r="L480" s="150"/>
      <c r="M480" s="150"/>
      <c r="N480" s="150"/>
    </row>
    <row r="481" spans="1:14" x14ac:dyDescent="0.25">
      <c r="A481" s="159">
        <v>224</v>
      </c>
      <c r="B481" s="160">
        <v>63</v>
      </c>
      <c r="C481" s="160">
        <v>11700</v>
      </c>
      <c r="D481" s="160" t="s">
        <v>3318</v>
      </c>
      <c r="E481" s="160">
        <v>0</v>
      </c>
      <c r="F481" s="160"/>
      <c r="G481" s="148">
        <v>14</v>
      </c>
      <c r="H481" s="152">
        <f>IF(C481=11700,ROUND(VLOOKUP(G481,ThongSo!$F$2:$I$15,4,0)*B481*11.7,3),0)</f>
        <v>891.89099999999996</v>
      </c>
      <c r="I481" s="152" t="str">
        <f>IF(F481="Sắt vụn",ROUND(VLOOKUP(G481,ThongSo!$F$2:$I$15,4,0)*B481*E481/1000,3),"-")</f>
        <v>-</v>
      </c>
      <c r="L481" s="150"/>
      <c r="M481" s="150"/>
      <c r="N481" s="150"/>
    </row>
    <row r="482" spans="1:14" x14ac:dyDescent="0.25">
      <c r="A482" s="159">
        <v>225</v>
      </c>
      <c r="B482" s="160">
        <v>1</v>
      </c>
      <c r="C482" s="160">
        <v>11700</v>
      </c>
      <c r="D482" s="160" t="s">
        <v>3319</v>
      </c>
      <c r="E482" s="160">
        <v>10</v>
      </c>
      <c r="F482" s="160" t="s">
        <v>74</v>
      </c>
      <c r="G482" s="148">
        <v>14</v>
      </c>
      <c r="H482" s="152">
        <f>IF(C482=11700,ROUND(VLOOKUP(G482,ThongSo!$F$2:$I$15,4,0)*B482*11.7,3),0)</f>
        <v>14.157</v>
      </c>
      <c r="I482" s="152">
        <f>IF(F482="Sắt vụn",ROUND(VLOOKUP(G482,ThongSo!$F$2:$I$15,4,0)*B482*E482/1000,3),"-")</f>
        <v>1.2E-2</v>
      </c>
      <c r="L482" s="150"/>
      <c r="M482" s="150"/>
      <c r="N482" s="150"/>
    </row>
    <row r="483" spans="1:14" x14ac:dyDescent="0.25">
      <c r="A483" s="159">
        <v>226</v>
      </c>
      <c r="B483" s="160">
        <v>27</v>
      </c>
      <c r="C483" s="160">
        <v>11700</v>
      </c>
      <c r="D483" s="160" t="s">
        <v>3320</v>
      </c>
      <c r="E483" s="160">
        <v>10</v>
      </c>
      <c r="F483" s="160" t="s">
        <v>74</v>
      </c>
      <c r="G483" s="148">
        <v>14</v>
      </c>
      <c r="H483" s="152">
        <f>IF(C483=11700,ROUND(VLOOKUP(G483,ThongSo!$F$2:$I$15,4,0)*B483*11.7,3),0)</f>
        <v>382.23899999999998</v>
      </c>
      <c r="I483" s="152">
        <f>IF(F483="Sắt vụn",ROUND(VLOOKUP(G483,ThongSo!$F$2:$I$15,4,0)*B483*E483/1000,3),"-")</f>
        <v>0.32700000000000001</v>
      </c>
      <c r="L483" s="150"/>
      <c r="M483" s="150"/>
      <c r="N483" s="150"/>
    </row>
    <row r="484" spans="1:14" x14ac:dyDescent="0.25">
      <c r="A484" s="159">
        <v>227</v>
      </c>
      <c r="B484" s="160">
        <v>70</v>
      </c>
      <c r="C484" s="160">
        <v>11700</v>
      </c>
      <c r="D484" s="160" t="s">
        <v>3321</v>
      </c>
      <c r="E484" s="160">
        <v>30</v>
      </c>
      <c r="F484" s="160" t="s">
        <v>74</v>
      </c>
      <c r="G484" s="148">
        <v>14</v>
      </c>
      <c r="H484" s="152">
        <f>IF(C484=11700,ROUND(VLOOKUP(G484,ThongSo!$F$2:$I$15,4,0)*B484*11.7,3),0)</f>
        <v>990.99</v>
      </c>
      <c r="I484" s="152">
        <f>IF(F484="Sắt vụn",ROUND(VLOOKUP(G484,ThongSo!$F$2:$I$15,4,0)*B484*E484/1000,3),"-")</f>
        <v>2.5409999999999999</v>
      </c>
      <c r="L484" s="150"/>
      <c r="M484" s="150"/>
      <c r="N484" s="150"/>
    </row>
    <row r="485" spans="1:14" x14ac:dyDescent="0.25">
      <c r="A485" s="159">
        <v>228</v>
      </c>
      <c r="B485" s="160">
        <v>96</v>
      </c>
      <c r="C485" s="160">
        <v>11700</v>
      </c>
      <c r="D485" s="160" t="s">
        <v>3322</v>
      </c>
      <c r="E485" s="160">
        <v>70</v>
      </c>
      <c r="F485" s="160" t="s">
        <v>74</v>
      </c>
      <c r="G485" s="148">
        <v>14</v>
      </c>
      <c r="H485" s="152">
        <f>IF(C485=11700,ROUND(VLOOKUP(G485,ThongSo!$F$2:$I$15,4,0)*B485*11.7,3),0)</f>
        <v>1359.0719999999999</v>
      </c>
      <c r="I485" s="152">
        <f>IF(F485="Sắt vụn",ROUND(VLOOKUP(G485,ThongSo!$F$2:$I$15,4,0)*B485*E485/1000,3),"-")</f>
        <v>8.1310000000000002</v>
      </c>
      <c r="L485" s="150"/>
      <c r="M485" s="150"/>
      <c r="N485" s="150"/>
    </row>
    <row r="486" spans="1:14" x14ac:dyDescent="0.25">
      <c r="A486" s="159">
        <v>229</v>
      </c>
      <c r="B486" s="160">
        <v>110</v>
      </c>
      <c r="C486" s="160">
        <v>11700</v>
      </c>
      <c r="D486" s="160" t="s">
        <v>3323</v>
      </c>
      <c r="E486" s="160">
        <v>80</v>
      </c>
      <c r="F486" s="160" t="s">
        <v>74</v>
      </c>
      <c r="G486" s="148">
        <v>14</v>
      </c>
      <c r="H486" s="152">
        <f>IF(C486=11700,ROUND(VLOOKUP(G486,ThongSo!$F$2:$I$15,4,0)*B486*11.7,3),0)</f>
        <v>1557.27</v>
      </c>
      <c r="I486" s="152">
        <f>IF(F486="Sắt vụn",ROUND(VLOOKUP(G486,ThongSo!$F$2:$I$15,4,0)*B486*E486/1000,3),"-")</f>
        <v>10.648</v>
      </c>
      <c r="L486" s="150"/>
      <c r="M486" s="150"/>
      <c r="N486" s="150"/>
    </row>
    <row r="487" spans="1:14" x14ac:dyDescent="0.25">
      <c r="A487" s="159">
        <v>230</v>
      </c>
      <c r="B487" s="160">
        <v>144</v>
      </c>
      <c r="C487" s="160">
        <v>11700</v>
      </c>
      <c r="D487" s="160" t="s">
        <v>3324</v>
      </c>
      <c r="E487" s="160">
        <v>90</v>
      </c>
      <c r="F487" s="160" t="s">
        <v>74</v>
      </c>
      <c r="G487" s="148">
        <v>14</v>
      </c>
      <c r="H487" s="152">
        <f>IF(C487=11700,ROUND(VLOOKUP(G487,ThongSo!$F$2:$I$15,4,0)*B487*11.7,3),0)</f>
        <v>2038.6079999999999</v>
      </c>
      <c r="I487" s="152">
        <f>IF(F487="Sắt vụn",ROUND(VLOOKUP(G487,ThongSo!$F$2:$I$15,4,0)*B487*E487/1000,3),"-")</f>
        <v>15.682</v>
      </c>
      <c r="L487" s="150"/>
      <c r="M487" s="150"/>
      <c r="N487" s="150"/>
    </row>
    <row r="488" spans="1:14" x14ac:dyDescent="0.25">
      <c r="A488" s="159">
        <v>231</v>
      </c>
      <c r="B488" s="160">
        <v>240</v>
      </c>
      <c r="C488" s="160">
        <v>11700</v>
      </c>
      <c r="D488" s="160" t="s">
        <v>3325</v>
      </c>
      <c r="E488" s="160">
        <v>90</v>
      </c>
      <c r="F488" s="160" t="s">
        <v>74</v>
      </c>
      <c r="G488" s="148">
        <v>14</v>
      </c>
      <c r="H488" s="152">
        <f>IF(C488=11700,ROUND(VLOOKUP(G488,ThongSo!$F$2:$I$15,4,0)*B488*11.7,3),0)</f>
        <v>3397.68</v>
      </c>
      <c r="I488" s="152">
        <f>IF(F488="Sắt vụn",ROUND(VLOOKUP(G488,ThongSo!$F$2:$I$15,4,0)*B488*E488/1000,3),"-")</f>
        <v>26.135999999999999</v>
      </c>
      <c r="L488" s="150"/>
      <c r="M488" s="150"/>
      <c r="N488" s="150"/>
    </row>
    <row r="489" spans="1:14" x14ac:dyDescent="0.25">
      <c r="A489" s="159">
        <v>232</v>
      </c>
      <c r="B489" s="160">
        <v>1</v>
      </c>
      <c r="C489" s="160">
        <v>11700</v>
      </c>
      <c r="D489" s="160" t="s">
        <v>3326</v>
      </c>
      <c r="E489" s="160">
        <v>110</v>
      </c>
      <c r="F489" s="160" t="s">
        <v>74</v>
      </c>
      <c r="G489" s="148">
        <v>14</v>
      </c>
      <c r="H489" s="152">
        <f>IF(C489=11700,ROUND(VLOOKUP(G489,ThongSo!$F$2:$I$15,4,0)*B489*11.7,3),0)</f>
        <v>14.157</v>
      </c>
      <c r="I489" s="152">
        <f>IF(F489="Sắt vụn",ROUND(VLOOKUP(G489,ThongSo!$F$2:$I$15,4,0)*B489*E489/1000,3),"-")</f>
        <v>0.13300000000000001</v>
      </c>
      <c r="L489" s="150"/>
      <c r="M489" s="150"/>
      <c r="N489" s="150"/>
    </row>
    <row r="490" spans="1:14" x14ac:dyDescent="0.25">
      <c r="A490" s="159">
        <v>233</v>
      </c>
      <c r="B490" s="160">
        <v>6</v>
      </c>
      <c r="C490" s="160">
        <v>11700</v>
      </c>
      <c r="D490" s="160" t="s">
        <v>3327</v>
      </c>
      <c r="E490" s="160">
        <v>120</v>
      </c>
      <c r="F490" s="160" t="s">
        <v>74</v>
      </c>
      <c r="G490" s="148">
        <v>14</v>
      </c>
      <c r="H490" s="152">
        <f>IF(C490=11700,ROUND(VLOOKUP(G490,ThongSo!$F$2:$I$15,4,0)*B490*11.7,3),0)</f>
        <v>84.941999999999993</v>
      </c>
      <c r="I490" s="152">
        <f>IF(F490="Sắt vụn",ROUND(VLOOKUP(G490,ThongSo!$F$2:$I$15,4,0)*B490*E490/1000,3),"-")</f>
        <v>0.871</v>
      </c>
      <c r="L490" s="150"/>
      <c r="M490" s="150"/>
      <c r="N490" s="150"/>
    </row>
    <row r="491" spans="1:14" x14ac:dyDescent="0.25">
      <c r="A491" s="159">
        <v>234</v>
      </c>
      <c r="B491" s="160">
        <v>96</v>
      </c>
      <c r="C491" s="160">
        <v>11700</v>
      </c>
      <c r="D491" s="160" t="s">
        <v>3328</v>
      </c>
      <c r="E491" s="160">
        <v>120</v>
      </c>
      <c r="F491" s="160" t="s">
        <v>74</v>
      </c>
      <c r="G491" s="148">
        <v>14</v>
      </c>
      <c r="H491" s="152">
        <f>IF(C491=11700,ROUND(VLOOKUP(G491,ThongSo!$F$2:$I$15,4,0)*B491*11.7,3),0)</f>
        <v>1359.0719999999999</v>
      </c>
      <c r="I491" s="152">
        <f>IF(F491="Sắt vụn",ROUND(VLOOKUP(G491,ThongSo!$F$2:$I$15,4,0)*B491*E491/1000,3),"-")</f>
        <v>13.939</v>
      </c>
      <c r="L491" s="150"/>
      <c r="M491" s="150"/>
      <c r="N491" s="150"/>
    </row>
    <row r="492" spans="1:14" x14ac:dyDescent="0.25">
      <c r="A492" s="159">
        <v>235</v>
      </c>
      <c r="B492" s="160">
        <v>81</v>
      </c>
      <c r="C492" s="160">
        <v>11700</v>
      </c>
      <c r="D492" s="160" t="s">
        <v>3329</v>
      </c>
      <c r="E492" s="160">
        <v>120</v>
      </c>
      <c r="F492" s="160" t="s">
        <v>74</v>
      </c>
      <c r="G492" s="148">
        <v>14</v>
      </c>
      <c r="H492" s="152">
        <f>IF(C492=11700,ROUND(VLOOKUP(G492,ThongSo!$F$2:$I$15,4,0)*B492*11.7,3),0)</f>
        <v>1146.7170000000001</v>
      </c>
      <c r="I492" s="152">
        <f>IF(F492="Sắt vụn",ROUND(VLOOKUP(G492,ThongSo!$F$2:$I$15,4,0)*B492*E492/1000,3),"-")</f>
        <v>11.760999999999999</v>
      </c>
      <c r="L492" s="150"/>
      <c r="M492" s="150"/>
      <c r="N492" s="150"/>
    </row>
    <row r="493" spans="1:14" x14ac:dyDescent="0.25">
      <c r="A493" s="159">
        <v>236</v>
      </c>
      <c r="B493" s="160">
        <v>46</v>
      </c>
      <c r="C493" s="160">
        <v>11700</v>
      </c>
      <c r="D493" s="160" t="s">
        <v>3330</v>
      </c>
      <c r="E493" s="160">
        <v>130</v>
      </c>
      <c r="F493" s="160" t="s">
        <v>74</v>
      </c>
      <c r="G493" s="148">
        <v>14</v>
      </c>
      <c r="H493" s="152">
        <f>IF(C493=11700,ROUND(VLOOKUP(G493,ThongSo!$F$2:$I$15,4,0)*B493*11.7,3),0)</f>
        <v>651.22199999999998</v>
      </c>
      <c r="I493" s="152">
        <f>IF(F493="Sắt vụn",ROUND(VLOOKUP(G493,ThongSo!$F$2:$I$15,4,0)*B493*E493/1000,3),"-")</f>
        <v>7.2359999999999998</v>
      </c>
      <c r="L493" s="150"/>
      <c r="M493" s="150"/>
      <c r="N493" s="150"/>
    </row>
    <row r="494" spans="1:14" x14ac:dyDescent="0.25">
      <c r="A494" s="159">
        <v>237</v>
      </c>
      <c r="B494" s="160">
        <v>167</v>
      </c>
      <c r="C494" s="160">
        <v>11700</v>
      </c>
      <c r="D494" s="160" t="s">
        <v>3331</v>
      </c>
      <c r="E494" s="160">
        <v>160</v>
      </c>
      <c r="F494" s="160" t="s">
        <v>74</v>
      </c>
      <c r="G494" s="148">
        <v>14</v>
      </c>
      <c r="H494" s="152">
        <f>IF(C494=11700,ROUND(VLOOKUP(G494,ThongSo!$F$2:$I$15,4,0)*B494*11.7,3),0)</f>
        <v>2364.2190000000001</v>
      </c>
      <c r="I494" s="152">
        <f>IF(F494="Sắt vụn",ROUND(VLOOKUP(G494,ThongSo!$F$2:$I$15,4,0)*B494*E494/1000,3),"-")</f>
        <v>32.331000000000003</v>
      </c>
      <c r="L494" s="150"/>
      <c r="M494" s="150"/>
      <c r="N494" s="150"/>
    </row>
    <row r="495" spans="1:14" x14ac:dyDescent="0.25">
      <c r="A495" s="159">
        <v>238</v>
      </c>
      <c r="B495" s="160">
        <v>396</v>
      </c>
      <c r="C495" s="160">
        <v>11700</v>
      </c>
      <c r="D495" s="160" t="s">
        <v>3332</v>
      </c>
      <c r="E495" s="160">
        <v>170</v>
      </c>
      <c r="F495" s="160" t="s">
        <v>74</v>
      </c>
      <c r="G495" s="148">
        <v>14</v>
      </c>
      <c r="H495" s="152">
        <f>IF(C495=11700,ROUND(VLOOKUP(G495,ThongSo!$F$2:$I$15,4,0)*B495*11.7,3),0)</f>
        <v>5606.1719999999996</v>
      </c>
      <c r="I495" s="152">
        <f>IF(F495="Sắt vụn",ROUND(VLOOKUP(G495,ThongSo!$F$2:$I$15,4,0)*B495*E495/1000,3),"-")</f>
        <v>81.456999999999994</v>
      </c>
      <c r="L495" s="150"/>
      <c r="M495" s="150"/>
      <c r="N495" s="150"/>
    </row>
    <row r="496" spans="1:14" x14ac:dyDescent="0.25">
      <c r="A496" s="159">
        <v>239</v>
      </c>
      <c r="B496" s="160">
        <v>407</v>
      </c>
      <c r="C496" s="160">
        <v>11700</v>
      </c>
      <c r="D496" s="160" t="s">
        <v>3333</v>
      </c>
      <c r="E496" s="160">
        <v>170</v>
      </c>
      <c r="F496" s="160" t="s">
        <v>74</v>
      </c>
      <c r="G496" s="148">
        <v>14</v>
      </c>
      <c r="H496" s="152">
        <f>IF(C496=11700,ROUND(VLOOKUP(G496,ThongSo!$F$2:$I$15,4,0)*B496*11.7,3),0)</f>
        <v>5761.8990000000003</v>
      </c>
      <c r="I496" s="152">
        <f>IF(F496="Sắt vụn",ROUND(VLOOKUP(G496,ThongSo!$F$2:$I$15,4,0)*B496*E496/1000,3),"-")</f>
        <v>83.72</v>
      </c>
      <c r="L496" s="150"/>
      <c r="M496" s="150"/>
      <c r="N496" s="150"/>
    </row>
    <row r="497" spans="1:14" x14ac:dyDescent="0.25">
      <c r="A497" s="159">
        <v>240</v>
      </c>
      <c r="B497" s="160">
        <v>6</v>
      </c>
      <c r="C497" s="160">
        <v>11700</v>
      </c>
      <c r="D497" s="160" t="s">
        <v>3334</v>
      </c>
      <c r="E497" s="160">
        <v>170</v>
      </c>
      <c r="F497" s="160" t="s">
        <v>74</v>
      </c>
      <c r="G497" s="148">
        <v>14</v>
      </c>
      <c r="H497" s="152">
        <f>IF(C497=11700,ROUND(VLOOKUP(G497,ThongSo!$F$2:$I$15,4,0)*B497*11.7,3),0)</f>
        <v>84.941999999999993</v>
      </c>
      <c r="I497" s="152">
        <f>IF(F497="Sắt vụn",ROUND(VLOOKUP(G497,ThongSo!$F$2:$I$15,4,0)*B497*E497/1000,3),"-")</f>
        <v>1.234</v>
      </c>
      <c r="L497" s="150"/>
      <c r="M497" s="150"/>
      <c r="N497" s="150"/>
    </row>
    <row r="498" spans="1:14" x14ac:dyDescent="0.25">
      <c r="A498" s="159">
        <v>241</v>
      </c>
      <c r="B498" s="160">
        <v>149</v>
      </c>
      <c r="C498" s="160">
        <v>11700</v>
      </c>
      <c r="D498" s="160" t="s">
        <v>3335</v>
      </c>
      <c r="E498" s="160">
        <v>320</v>
      </c>
      <c r="F498" s="160" t="s">
        <v>74</v>
      </c>
      <c r="G498" s="148">
        <v>14</v>
      </c>
      <c r="H498" s="152">
        <f>IF(C498=11700,ROUND(VLOOKUP(G498,ThongSo!$F$2:$I$15,4,0)*B498*11.7,3),0)</f>
        <v>2109.393</v>
      </c>
      <c r="I498" s="152">
        <f>IF(F498="Sắt vụn",ROUND(VLOOKUP(G498,ThongSo!$F$2:$I$15,4,0)*B498*E498/1000,3),"-")</f>
        <v>57.692999999999998</v>
      </c>
      <c r="L498" s="150"/>
      <c r="M498" s="150"/>
      <c r="N498" s="150"/>
    </row>
    <row r="499" spans="1:14" x14ac:dyDescent="0.25">
      <c r="A499" s="159">
        <v>242</v>
      </c>
      <c r="B499" s="160">
        <v>346</v>
      </c>
      <c r="C499" s="160">
        <v>11700</v>
      </c>
      <c r="D499" s="160" t="s">
        <v>3336</v>
      </c>
      <c r="E499" s="160">
        <v>320</v>
      </c>
      <c r="F499" s="160" t="s">
        <v>74</v>
      </c>
      <c r="G499" s="148">
        <v>14</v>
      </c>
      <c r="H499" s="152">
        <f>IF(C499=11700,ROUND(VLOOKUP(G499,ThongSo!$F$2:$I$15,4,0)*B499*11.7,3),0)</f>
        <v>4898.3220000000001</v>
      </c>
      <c r="I499" s="152">
        <f>IF(F499="Sắt vụn",ROUND(VLOOKUP(G499,ThongSo!$F$2:$I$15,4,0)*B499*E499/1000,3),"-")</f>
        <v>133.971</v>
      </c>
      <c r="L499" s="150"/>
      <c r="M499" s="150"/>
      <c r="N499" s="150"/>
    </row>
    <row r="500" spans="1:14" x14ac:dyDescent="0.25">
      <c r="A500" s="159">
        <v>243</v>
      </c>
      <c r="B500" s="160">
        <v>506</v>
      </c>
      <c r="C500" s="160">
        <v>11700</v>
      </c>
      <c r="D500" s="160" t="s">
        <v>3337</v>
      </c>
      <c r="E500" s="160">
        <v>320</v>
      </c>
      <c r="F500" s="160" t="s">
        <v>74</v>
      </c>
      <c r="G500" s="148">
        <v>14</v>
      </c>
      <c r="H500" s="152">
        <f>IF(C500=11700,ROUND(VLOOKUP(G500,ThongSo!$F$2:$I$15,4,0)*B500*11.7,3),0)</f>
        <v>7163.442</v>
      </c>
      <c r="I500" s="152">
        <f>IF(F500="Sắt vụn",ROUND(VLOOKUP(G500,ThongSo!$F$2:$I$15,4,0)*B500*E500/1000,3),"-")</f>
        <v>195.923</v>
      </c>
      <c r="L500" s="150"/>
      <c r="M500" s="150"/>
      <c r="N500" s="150"/>
    </row>
    <row r="501" spans="1:14" x14ac:dyDescent="0.25">
      <c r="A501" s="159">
        <v>244</v>
      </c>
      <c r="B501" s="160">
        <v>18</v>
      </c>
      <c r="C501" s="160">
        <v>11700</v>
      </c>
      <c r="D501" s="160" t="s">
        <v>3338</v>
      </c>
      <c r="E501" s="160">
        <v>330</v>
      </c>
      <c r="F501" s="160" t="s">
        <v>74</v>
      </c>
      <c r="G501" s="148">
        <v>14</v>
      </c>
      <c r="H501" s="152">
        <f>IF(C501=11700,ROUND(VLOOKUP(G501,ThongSo!$F$2:$I$15,4,0)*B501*11.7,3),0)</f>
        <v>254.82599999999999</v>
      </c>
      <c r="I501" s="152">
        <f>IF(F501="Sắt vụn",ROUND(VLOOKUP(G501,ThongSo!$F$2:$I$15,4,0)*B501*E501/1000,3),"-")</f>
        <v>7.1870000000000003</v>
      </c>
      <c r="L501" s="150"/>
      <c r="M501" s="150"/>
      <c r="N501" s="150"/>
    </row>
    <row r="502" spans="1:14" x14ac:dyDescent="0.25">
      <c r="A502" s="159">
        <v>245</v>
      </c>
      <c r="B502" s="160">
        <v>1</v>
      </c>
      <c r="C502" s="160">
        <v>11700</v>
      </c>
      <c r="D502" s="160" t="s">
        <v>3339</v>
      </c>
      <c r="E502" s="160">
        <v>330</v>
      </c>
      <c r="F502" s="160" t="s">
        <v>74</v>
      </c>
      <c r="G502" s="148">
        <v>14</v>
      </c>
      <c r="H502" s="152">
        <f>IF(C502=11700,ROUND(VLOOKUP(G502,ThongSo!$F$2:$I$15,4,0)*B502*11.7,3),0)</f>
        <v>14.157</v>
      </c>
      <c r="I502" s="152">
        <f>IF(F502="Sắt vụn",ROUND(VLOOKUP(G502,ThongSo!$F$2:$I$15,4,0)*B502*E502/1000,3),"-")</f>
        <v>0.39900000000000002</v>
      </c>
      <c r="L502" s="150"/>
      <c r="M502" s="150"/>
      <c r="N502" s="150"/>
    </row>
    <row r="503" spans="1:14" x14ac:dyDescent="0.25">
      <c r="A503" s="159">
        <v>246</v>
      </c>
      <c r="B503" s="160">
        <v>74</v>
      </c>
      <c r="C503" s="160">
        <v>11700</v>
      </c>
      <c r="D503" s="160" t="s">
        <v>3340</v>
      </c>
      <c r="E503" s="160">
        <v>330</v>
      </c>
      <c r="F503" s="160" t="s">
        <v>74</v>
      </c>
      <c r="G503" s="148">
        <v>14</v>
      </c>
      <c r="H503" s="152">
        <f>IF(C503=11700,ROUND(VLOOKUP(G503,ThongSo!$F$2:$I$15,4,0)*B503*11.7,3),0)</f>
        <v>1047.6179999999999</v>
      </c>
      <c r="I503" s="152">
        <f>IF(F503="Sắt vụn",ROUND(VLOOKUP(G503,ThongSo!$F$2:$I$15,4,0)*B503*E503/1000,3),"-")</f>
        <v>29.547999999999998</v>
      </c>
      <c r="L503" s="150"/>
      <c r="M503" s="150"/>
      <c r="N503" s="150"/>
    </row>
    <row r="504" spans="1:14" x14ac:dyDescent="0.25">
      <c r="A504" s="159">
        <v>247</v>
      </c>
      <c r="B504" s="160">
        <v>1</v>
      </c>
      <c r="C504" s="160">
        <v>11700</v>
      </c>
      <c r="D504" s="160" t="s">
        <v>3341</v>
      </c>
      <c r="E504" s="160">
        <v>330</v>
      </c>
      <c r="F504" s="160" t="s">
        <v>74</v>
      </c>
      <c r="G504" s="148">
        <v>14</v>
      </c>
      <c r="H504" s="152">
        <f>IF(C504=11700,ROUND(VLOOKUP(G504,ThongSo!$F$2:$I$15,4,0)*B504*11.7,3),0)</f>
        <v>14.157</v>
      </c>
      <c r="I504" s="152">
        <f>IF(F504="Sắt vụn",ROUND(VLOOKUP(G504,ThongSo!$F$2:$I$15,4,0)*B504*E504/1000,3),"-")</f>
        <v>0.39900000000000002</v>
      </c>
      <c r="L504" s="150"/>
      <c r="M504" s="150"/>
      <c r="N504" s="150"/>
    </row>
    <row r="505" spans="1:14" x14ac:dyDescent="0.25">
      <c r="A505" s="159">
        <v>248</v>
      </c>
      <c r="B505" s="160">
        <v>138</v>
      </c>
      <c r="C505" s="160">
        <v>11700</v>
      </c>
      <c r="D505" s="160" t="s">
        <v>3342</v>
      </c>
      <c r="E505" s="160">
        <v>330</v>
      </c>
      <c r="F505" s="160" t="s">
        <v>74</v>
      </c>
      <c r="G505" s="148">
        <v>14</v>
      </c>
      <c r="H505" s="152">
        <f>IF(C505=11700,ROUND(VLOOKUP(G505,ThongSo!$F$2:$I$15,4,0)*B505*11.7,3),0)</f>
        <v>1953.6659999999999</v>
      </c>
      <c r="I505" s="152">
        <f>IF(F505="Sắt vụn",ROUND(VLOOKUP(G505,ThongSo!$F$2:$I$15,4,0)*B505*E505/1000,3),"-")</f>
        <v>55.103000000000002</v>
      </c>
      <c r="L505" s="150"/>
      <c r="M505" s="150"/>
      <c r="N505" s="150"/>
    </row>
    <row r="506" spans="1:14" x14ac:dyDescent="0.25">
      <c r="A506" s="159">
        <v>249</v>
      </c>
      <c r="B506" s="160">
        <v>27</v>
      </c>
      <c r="C506" s="160">
        <v>11700</v>
      </c>
      <c r="D506" s="160" t="s">
        <v>3343</v>
      </c>
      <c r="E506" s="160">
        <v>340</v>
      </c>
      <c r="F506" s="160" t="s">
        <v>74</v>
      </c>
      <c r="G506" s="148">
        <v>14</v>
      </c>
      <c r="H506" s="152">
        <f>IF(C506=11700,ROUND(VLOOKUP(G506,ThongSo!$F$2:$I$15,4,0)*B506*11.7,3),0)</f>
        <v>382.23899999999998</v>
      </c>
      <c r="I506" s="152">
        <f>IF(F506="Sắt vụn",ROUND(VLOOKUP(G506,ThongSo!$F$2:$I$15,4,0)*B506*E506/1000,3),"-")</f>
        <v>11.108000000000001</v>
      </c>
      <c r="L506" s="150"/>
      <c r="M506" s="150"/>
      <c r="N506" s="150"/>
    </row>
    <row r="507" spans="1:14" x14ac:dyDescent="0.25">
      <c r="A507" s="159">
        <v>250</v>
      </c>
      <c r="B507" s="160">
        <v>111</v>
      </c>
      <c r="C507" s="160">
        <v>11700</v>
      </c>
      <c r="D507" s="160" t="s">
        <v>3344</v>
      </c>
      <c r="E507" s="160">
        <v>410</v>
      </c>
      <c r="F507" s="160" t="s">
        <v>74</v>
      </c>
      <c r="G507" s="148">
        <v>14</v>
      </c>
      <c r="H507" s="152">
        <f>IF(C507=11700,ROUND(VLOOKUP(G507,ThongSo!$F$2:$I$15,4,0)*B507*11.7,3),0)</f>
        <v>1571.4269999999999</v>
      </c>
      <c r="I507" s="152">
        <f>IF(F507="Sắt vụn",ROUND(VLOOKUP(G507,ThongSo!$F$2:$I$15,4,0)*B507*E507/1000,3),"-")</f>
        <v>55.067</v>
      </c>
      <c r="L507" s="150"/>
      <c r="M507" s="150"/>
      <c r="N507" s="150"/>
    </row>
    <row r="508" spans="1:14" x14ac:dyDescent="0.25">
      <c r="A508" s="159">
        <v>251</v>
      </c>
      <c r="B508" s="160">
        <v>30</v>
      </c>
      <c r="C508" s="160">
        <v>11700</v>
      </c>
      <c r="D508" s="160" t="s">
        <v>3345</v>
      </c>
      <c r="E508" s="160">
        <v>1000</v>
      </c>
      <c r="F508" s="160" t="s">
        <v>75</v>
      </c>
      <c r="G508" s="148">
        <v>14</v>
      </c>
      <c r="H508" s="152">
        <f>IF(C508=11700,ROUND(VLOOKUP(G508,ThongSo!$F$2:$I$15,4,0)*B508*11.7,3),0)</f>
        <v>424.71</v>
      </c>
      <c r="I508" s="152" t="str">
        <f>IF(F508="Sắt vụn",ROUND(VLOOKUP(G508,ThongSo!$F$2:$I$15,4,0)*B508*E508/1000,3),"-")</f>
        <v>-</v>
      </c>
      <c r="L508" s="150"/>
      <c r="M508" s="150"/>
      <c r="N508" s="150"/>
    </row>
    <row r="509" spans="1:14" x14ac:dyDescent="0.25">
      <c r="A509" s="159">
        <v>252</v>
      </c>
      <c r="B509" s="160">
        <v>151</v>
      </c>
      <c r="C509" s="160">
        <v>11700</v>
      </c>
      <c r="D509" s="160" t="s">
        <v>3346</v>
      </c>
      <c r="E509" s="160">
        <v>1020</v>
      </c>
      <c r="F509" s="160" t="s">
        <v>75</v>
      </c>
      <c r="G509" s="148">
        <v>14</v>
      </c>
      <c r="H509" s="152">
        <f>IF(C509=11700,ROUND(VLOOKUP(G509,ThongSo!$F$2:$I$15,4,0)*B509*11.7,3),0)</f>
        <v>2137.7069999999999</v>
      </c>
      <c r="I509" s="152" t="str">
        <f>IF(F509="Sắt vụn",ROUND(VLOOKUP(G509,ThongSo!$F$2:$I$15,4,0)*B509*E509/1000,3),"-")</f>
        <v>-</v>
      </c>
      <c r="L509" s="150"/>
      <c r="M509" s="150"/>
      <c r="N509" s="150"/>
    </row>
    <row r="510" spans="1:14" x14ac:dyDescent="0.25">
      <c r="A510" s="159">
        <v>253</v>
      </c>
      <c r="B510" s="160">
        <v>1</v>
      </c>
      <c r="C510" s="160">
        <v>11700</v>
      </c>
      <c r="D510" s="160" t="s">
        <v>3347</v>
      </c>
      <c r="E510" s="160">
        <v>1020</v>
      </c>
      <c r="F510" s="160" t="s">
        <v>75</v>
      </c>
      <c r="G510" s="148">
        <v>14</v>
      </c>
      <c r="H510" s="152">
        <f>IF(C510=11700,ROUND(VLOOKUP(G510,ThongSo!$F$2:$I$15,4,0)*B510*11.7,3),0)</f>
        <v>14.157</v>
      </c>
      <c r="I510" s="152" t="str">
        <f>IF(F510="Sắt vụn",ROUND(VLOOKUP(G510,ThongSo!$F$2:$I$15,4,0)*B510*E510/1000,3),"-")</f>
        <v>-</v>
      </c>
      <c r="L510" s="150"/>
      <c r="M510" s="150"/>
      <c r="N510" s="150"/>
    </row>
    <row r="511" spans="1:14" x14ac:dyDescent="0.25">
      <c r="A511" s="159">
        <v>254</v>
      </c>
      <c r="B511" s="160">
        <v>272</v>
      </c>
      <c r="C511" s="160">
        <v>11700</v>
      </c>
      <c r="D511" s="160" t="s">
        <v>3348</v>
      </c>
      <c r="E511" s="160">
        <v>1020</v>
      </c>
      <c r="F511" s="160" t="s">
        <v>75</v>
      </c>
      <c r="G511" s="148">
        <v>14</v>
      </c>
      <c r="H511" s="152">
        <f>IF(C511=11700,ROUND(VLOOKUP(G511,ThongSo!$F$2:$I$15,4,0)*B511*11.7,3),0)</f>
        <v>3850.7040000000002</v>
      </c>
      <c r="I511" s="152" t="str">
        <f>IF(F511="Sắt vụn",ROUND(VLOOKUP(G511,ThongSo!$F$2:$I$15,4,0)*B511*E511/1000,3),"-")</f>
        <v>-</v>
      </c>
      <c r="L511" s="150"/>
      <c r="M511" s="150"/>
      <c r="N511" s="150"/>
    </row>
    <row r="512" spans="1:14" x14ac:dyDescent="0.25">
      <c r="A512" s="159">
        <v>255</v>
      </c>
      <c r="B512" s="160">
        <v>1</v>
      </c>
      <c r="C512" s="160">
        <v>11700</v>
      </c>
      <c r="D512" s="160" t="s">
        <v>3349</v>
      </c>
      <c r="E512" s="160">
        <v>1020</v>
      </c>
      <c r="F512" s="160" t="s">
        <v>75</v>
      </c>
      <c r="G512" s="148">
        <v>14</v>
      </c>
      <c r="H512" s="152">
        <f>IF(C512=11700,ROUND(VLOOKUP(G512,ThongSo!$F$2:$I$15,4,0)*B512*11.7,3),0)</f>
        <v>14.157</v>
      </c>
      <c r="I512" s="152" t="str">
        <f>IF(F512="Sắt vụn",ROUND(VLOOKUP(G512,ThongSo!$F$2:$I$15,4,0)*B512*E512/1000,3),"-")</f>
        <v>-</v>
      </c>
      <c r="L512" s="150"/>
      <c r="M512" s="150"/>
      <c r="N512" s="150"/>
    </row>
    <row r="513" spans="1:14" x14ac:dyDescent="0.25">
      <c r="A513" s="159">
        <v>256</v>
      </c>
      <c r="B513" s="160">
        <v>71</v>
      </c>
      <c r="C513" s="160">
        <v>11700</v>
      </c>
      <c r="D513" s="160" t="s">
        <v>3350</v>
      </c>
      <c r="E513" s="160">
        <v>1020</v>
      </c>
      <c r="F513" s="160" t="s">
        <v>75</v>
      </c>
      <c r="G513" s="148">
        <v>14</v>
      </c>
      <c r="H513" s="152">
        <f>IF(C513=11700,ROUND(VLOOKUP(G513,ThongSo!$F$2:$I$15,4,0)*B513*11.7,3),0)</f>
        <v>1005.147</v>
      </c>
      <c r="I513" s="152" t="str">
        <f>IF(F513="Sắt vụn",ROUND(VLOOKUP(G513,ThongSo!$F$2:$I$15,4,0)*B513*E513/1000,3),"-")</f>
        <v>-</v>
      </c>
      <c r="L513" s="150"/>
      <c r="M513" s="150"/>
      <c r="N513" s="150"/>
    </row>
    <row r="514" spans="1:14" x14ac:dyDescent="0.25">
      <c r="A514" s="159">
        <v>257</v>
      </c>
      <c r="B514" s="160">
        <v>1</v>
      </c>
      <c r="C514" s="160">
        <v>11700</v>
      </c>
      <c r="D514" s="160" t="s">
        <v>3351</v>
      </c>
      <c r="E514" s="160">
        <v>1160</v>
      </c>
      <c r="F514" s="160" t="s">
        <v>75</v>
      </c>
      <c r="G514" s="148">
        <v>14</v>
      </c>
      <c r="H514" s="152">
        <f>IF(C514=11700,ROUND(VLOOKUP(G514,ThongSo!$F$2:$I$15,4,0)*B514*11.7,3),0)</f>
        <v>14.157</v>
      </c>
      <c r="I514" s="152" t="str">
        <f>IF(F514="Sắt vụn",ROUND(VLOOKUP(G514,ThongSo!$F$2:$I$15,4,0)*B514*E514/1000,3),"-")</f>
        <v>-</v>
      </c>
      <c r="L514" s="150"/>
      <c r="M514" s="150"/>
      <c r="N514" s="150"/>
    </row>
    <row r="515" spans="1:14" x14ac:dyDescent="0.25">
      <c r="A515" s="159">
        <v>258</v>
      </c>
      <c r="B515" s="160">
        <v>82</v>
      </c>
      <c r="C515" s="160">
        <v>11700</v>
      </c>
      <c r="D515" s="160" t="s">
        <v>3352</v>
      </c>
      <c r="E515" s="160">
        <v>3830</v>
      </c>
      <c r="F515" s="160" t="s">
        <v>75</v>
      </c>
      <c r="G515" s="148">
        <v>14</v>
      </c>
      <c r="H515" s="152">
        <f>IF(C515=11700,ROUND(VLOOKUP(G515,ThongSo!$F$2:$I$15,4,0)*B515*11.7,3),0)</f>
        <v>1160.874</v>
      </c>
      <c r="I515" s="152" t="str">
        <f>IF(F515="Sắt vụn",ROUND(VLOOKUP(G515,ThongSo!$F$2:$I$15,4,0)*B515*E515/1000,3),"-")</f>
        <v>-</v>
      </c>
      <c r="L515" s="150"/>
      <c r="M515" s="150"/>
      <c r="N515" s="150"/>
    </row>
    <row r="516" spans="1:14" x14ac:dyDescent="0.25">
      <c r="A516" s="159">
        <v>259</v>
      </c>
      <c r="B516" s="160">
        <v>150</v>
      </c>
      <c r="C516" s="160">
        <v>11700</v>
      </c>
      <c r="D516" s="160" t="s">
        <v>3353</v>
      </c>
      <c r="E516" s="160">
        <v>3830</v>
      </c>
      <c r="F516" s="160" t="s">
        <v>75</v>
      </c>
      <c r="G516" s="148">
        <v>14</v>
      </c>
      <c r="H516" s="152">
        <f>IF(C516=11700,ROUND(VLOOKUP(G516,ThongSo!$F$2:$I$15,4,0)*B516*11.7,3),0)</f>
        <v>2123.5500000000002</v>
      </c>
      <c r="I516" s="152" t="str">
        <f>IF(F516="Sắt vụn",ROUND(VLOOKUP(G516,ThongSo!$F$2:$I$15,4,0)*B516*E516/1000,3),"-")</f>
        <v>-</v>
      </c>
      <c r="L516" s="150"/>
      <c r="M516" s="150"/>
      <c r="N516" s="150"/>
    </row>
    <row r="517" spans="1:14" x14ac:dyDescent="0.25">
      <c r="A517" s="159">
        <v>260</v>
      </c>
      <c r="B517" s="160">
        <v>277</v>
      </c>
      <c r="C517" s="160">
        <v>11700</v>
      </c>
      <c r="D517" s="160" t="s">
        <v>3354</v>
      </c>
      <c r="E517" s="160">
        <v>3830</v>
      </c>
      <c r="F517" s="160" t="s">
        <v>75</v>
      </c>
      <c r="G517" s="148">
        <v>14</v>
      </c>
      <c r="H517" s="152">
        <f>IF(C517=11700,ROUND(VLOOKUP(G517,ThongSo!$F$2:$I$15,4,0)*B517*11.7,3),0)</f>
        <v>3921.489</v>
      </c>
      <c r="I517" s="152" t="str">
        <f>IF(F517="Sắt vụn",ROUND(VLOOKUP(G517,ThongSo!$F$2:$I$15,4,0)*B517*E517/1000,3),"-")</f>
        <v>-</v>
      </c>
      <c r="L517" s="150"/>
      <c r="M517" s="150"/>
      <c r="N517" s="150"/>
    </row>
    <row r="518" spans="1:14" x14ac:dyDescent="0.25">
      <c r="A518" s="159">
        <v>261</v>
      </c>
      <c r="B518" s="160">
        <v>144</v>
      </c>
      <c r="C518" s="160">
        <v>11700</v>
      </c>
      <c r="D518" s="160" t="s">
        <v>3355</v>
      </c>
      <c r="E518" s="160">
        <v>4330</v>
      </c>
      <c r="F518" s="160" t="s">
        <v>75</v>
      </c>
      <c r="G518" s="148">
        <v>14</v>
      </c>
      <c r="H518" s="152">
        <f>IF(C518=11700,ROUND(VLOOKUP(G518,ThongSo!$F$2:$I$15,4,0)*B518*11.7,3),0)</f>
        <v>2038.6079999999999</v>
      </c>
      <c r="I518" s="152" t="str">
        <f>IF(F518="Sắt vụn",ROUND(VLOOKUP(G518,ThongSo!$F$2:$I$15,4,0)*B518*E518/1000,3),"-")</f>
        <v>-</v>
      </c>
      <c r="L518" s="150"/>
      <c r="M518" s="150"/>
      <c r="N518" s="150"/>
    </row>
    <row r="519" spans="1:14" x14ac:dyDescent="0.25">
      <c r="A519" s="157" t="s">
        <v>84</v>
      </c>
      <c r="B519" s="158"/>
      <c r="C519" s="158"/>
      <c r="D519" s="158"/>
      <c r="E519" s="158"/>
      <c r="F519" s="158"/>
      <c r="G519" s="148"/>
      <c r="H519" s="152">
        <f>IF(C519=11700,ROUND(VLOOKUP(G519,ThongSo!$F$2:$I$15,4,0)*B519*11.7,3),0)</f>
        <v>0</v>
      </c>
      <c r="I519" s="152" t="str">
        <f>IF(F519="Sắt vụn",ROUND(VLOOKUP(G519,ThongSo!$F$2:$I$15,4,0)*B519*E519/1000,3),"-")</f>
        <v>-</v>
      </c>
      <c r="L519" s="150"/>
      <c r="M519" s="150"/>
      <c r="N519" s="150"/>
    </row>
    <row r="520" spans="1:14" x14ac:dyDescent="0.25">
      <c r="A520" s="159" t="s">
        <v>3108</v>
      </c>
      <c r="B520" s="160">
        <v>1</v>
      </c>
      <c r="C520" s="160">
        <v>9340</v>
      </c>
      <c r="D520" s="160" t="s">
        <v>3356</v>
      </c>
      <c r="E520" s="160">
        <v>650</v>
      </c>
      <c r="F520" s="160" t="s">
        <v>75</v>
      </c>
      <c r="G520" s="148">
        <v>10</v>
      </c>
      <c r="H520" s="152">
        <f>IF(C520=11700,ROUND(VLOOKUP(G520,ThongSo!$F$2:$I$15,4,0)*B520*11.7,3),0)</f>
        <v>0</v>
      </c>
      <c r="I520" s="152" t="str">
        <f>IF(F520="Sắt vụn",ROUND(VLOOKUP(G520,ThongSo!$F$2:$I$15,4,0)*B520*E520/1000,3),"-")</f>
        <v>-</v>
      </c>
      <c r="L520" s="150"/>
      <c r="M520" s="150"/>
      <c r="N520" s="150"/>
    </row>
    <row r="521" spans="1:14" x14ac:dyDescent="0.25">
      <c r="A521" s="159">
        <v>263</v>
      </c>
      <c r="B521" s="160">
        <v>12</v>
      </c>
      <c r="C521" s="160">
        <v>11700</v>
      </c>
      <c r="D521" s="160" t="s">
        <v>3357</v>
      </c>
      <c r="E521" s="160">
        <v>640</v>
      </c>
      <c r="F521" s="160" t="s">
        <v>75</v>
      </c>
      <c r="G521" s="148">
        <v>10</v>
      </c>
      <c r="H521" s="152">
        <f>IF(C521=11700,ROUND(VLOOKUP(G521,ThongSo!$F$2:$I$15,4,0)*B521*11.7,3),0)</f>
        <v>86.626999999999995</v>
      </c>
      <c r="I521" s="152" t="str">
        <f>IF(F521="Sắt vụn",ROUND(VLOOKUP(G521,ThongSo!$F$2:$I$15,4,0)*B521*E521/1000,3),"-")</f>
        <v>-</v>
      </c>
      <c r="L521" s="150"/>
      <c r="M521" s="150"/>
      <c r="N521" s="150"/>
    </row>
    <row r="522" spans="1:14" x14ac:dyDescent="0.25">
      <c r="A522" s="159">
        <v>264</v>
      </c>
      <c r="B522" s="160">
        <v>1</v>
      </c>
      <c r="C522" s="160">
        <v>11700</v>
      </c>
      <c r="D522" s="160" t="s">
        <v>3358</v>
      </c>
      <c r="E522" s="160">
        <v>10910</v>
      </c>
      <c r="F522" s="160" t="s">
        <v>75</v>
      </c>
      <c r="G522" s="148">
        <v>10</v>
      </c>
      <c r="H522" s="152">
        <f>IF(C522=11700,ROUND(VLOOKUP(G522,ThongSo!$F$2:$I$15,4,0)*B522*11.7,3),0)</f>
        <v>7.2190000000000003</v>
      </c>
      <c r="I522" s="152" t="str">
        <f>IF(F522="Sắt vụn",ROUND(VLOOKUP(G522,ThongSo!$F$2:$I$15,4,0)*B522*E522/1000,3),"-")</f>
        <v>-</v>
      </c>
      <c r="L522" s="150"/>
      <c r="M522" s="150"/>
      <c r="N522" s="150"/>
    </row>
    <row r="523" spans="1:14" x14ac:dyDescent="0.25">
      <c r="A523" s="154"/>
      <c r="G523" s="148"/>
      <c r="H523" s="152">
        <f>IF(C523=11700,ROUND(VLOOKUP(G523,ThongSo!$F$2:$I$15,4,0)*B523*11.7,3),0)</f>
        <v>0</v>
      </c>
      <c r="I523" s="152" t="str">
        <f>IF(F523="Sắt vụn",ROUND(VLOOKUP(G523,ThongSo!$F$2:$I$15,4,0)*B523*E523/1000,3),"-")</f>
        <v>-</v>
      </c>
      <c r="L523" s="150"/>
      <c r="M523" s="150"/>
      <c r="N523" s="150"/>
    </row>
    <row r="524" spans="1:14" x14ac:dyDescent="0.25">
      <c r="A524" s="167">
        <v>3</v>
      </c>
      <c r="B524" s="167"/>
      <c r="C524" s="167"/>
      <c r="D524" s="167"/>
      <c r="E524" s="167"/>
      <c r="F524" s="167"/>
      <c r="G524" s="148"/>
      <c r="H524" s="152">
        <f>IF(C524=11700,ROUND(VLOOKUP(G524,ThongSo!$F$2:$I$15,4,0)*B524*11.7,3),0)</f>
        <v>0</v>
      </c>
      <c r="I524" s="152" t="str">
        <f>IF(F524="Sắt vụn",ROUND(VLOOKUP(G524,ThongSo!$F$2:$I$15,4,0)*B524*E524/1000,3),"-")</f>
        <v>-</v>
      </c>
      <c r="L524" s="150"/>
      <c r="M524" s="150"/>
      <c r="N524" s="150"/>
    </row>
    <row r="525" spans="1:14" x14ac:dyDescent="0.25">
      <c r="A525" s="154"/>
      <c r="G525" s="148"/>
      <c r="H525" s="152">
        <f>IF(C525=11700,ROUND(VLOOKUP(G525,ThongSo!$F$2:$I$15,4,0)*B525*11.7,3),0)</f>
        <v>0</v>
      </c>
      <c r="I525" s="152" t="str">
        <f>IF(F525="Sắt vụn",ROUND(VLOOKUP(G525,ThongSo!$F$2:$I$15,4,0)*B525*E525/1000,3),"-")</f>
        <v>-</v>
      </c>
      <c r="L525" s="150"/>
      <c r="M525" s="150"/>
      <c r="N525" s="150"/>
    </row>
    <row r="526" spans="1:14" x14ac:dyDescent="0.25">
      <c r="A526" s="155" t="s">
        <v>50</v>
      </c>
      <c r="B526" s="155" t="s">
        <v>51</v>
      </c>
      <c r="C526" s="155" t="s">
        <v>45</v>
      </c>
      <c r="D526" s="155" t="s">
        <v>42</v>
      </c>
      <c r="E526" s="155" t="s">
        <v>43</v>
      </c>
      <c r="F526" s="156" t="s">
        <v>46</v>
      </c>
      <c r="G526" s="148"/>
      <c r="H526" s="152">
        <f>IF(C526=11700,ROUND(VLOOKUP(G526,ThongSo!$F$2:$I$15,4,0)*B526*11.7,3),0)</f>
        <v>0</v>
      </c>
      <c r="I526" s="152" t="str">
        <f>IF(F526="Sắt vụn",ROUND(VLOOKUP(G526,ThongSo!$F$2:$I$15,4,0)*B526*E526/1000,3),"-")</f>
        <v>-</v>
      </c>
      <c r="L526" s="150"/>
      <c r="M526" s="150"/>
      <c r="N526" s="150"/>
    </row>
    <row r="527" spans="1:14" x14ac:dyDescent="0.25">
      <c r="A527" s="157" t="s">
        <v>72</v>
      </c>
      <c r="B527" s="158"/>
      <c r="C527" s="158"/>
      <c r="D527" s="158"/>
      <c r="E527" s="158"/>
      <c r="F527" s="158"/>
      <c r="G527" s="148"/>
      <c r="H527" s="152">
        <f>IF(C527=11700,ROUND(VLOOKUP(G527,ThongSo!$F$2:$I$15,4,0)*B527*11.7,3),0)</f>
        <v>0</v>
      </c>
      <c r="I527" s="152" t="str">
        <f>IF(F527="Sắt vụn",ROUND(VLOOKUP(G527,ThongSo!$F$2:$I$15,4,0)*B527*E527/1000,3),"-")</f>
        <v>-</v>
      </c>
      <c r="L527" s="150"/>
      <c r="M527" s="150"/>
      <c r="N527" s="150"/>
    </row>
    <row r="528" spans="1:14" x14ac:dyDescent="0.25">
      <c r="A528" s="159" t="s">
        <v>73</v>
      </c>
      <c r="B528" s="160">
        <v>361</v>
      </c>
      <c r="C528" s="160">
        <v>11700</v>
      </c>
      <c r="D528" s="160"/>
      <c r="E528" s="160"/>
      <c r="F528" s="160"/>
      <c r="G528" s="148">
        <v>32</v>
      </c>
      <c r="H528" s="152">
        <f>IF(C528=11700,ROUND(VLOOKUP(G528,ThongSo!$F$2:$I$15,4,0)*B528*11.7,3),0)</f>
        <v>26651.546999999999</v>
      </c>
      <c r="I528" s="152" t="str">
        <f>IF(F528="Sắt vụn",ROUND(VLOOKUP(G528,ThongSo!$F$2:$I$15,4,0)*B528*E528/1000,3),"-")</f>
        <v>-</v>
      </c>
      <c r="L528" s="150"/>
      <c r="M528" s="150"/>
      <c r="N528" s="150"/>
    </row>
    <row r="529" spans="1:14" x14ac:dyDescent="0.25">
      <c r="A529" s="159" t="s">
        <v>162</v>
      </c>
      <c r="B529" s="160">
        <v>17</v>
      </c>
      <c r="C529" s="160">
        <v>1700</v>
      </c>
      <c r="D529" s="160" t="s">
        <v>3363</v>
      </c>
      <c r="E529" s="160">
        <v>310</v>
      </c>
      <c r="F529" s="160" t="s">
        <v>74</v>
      </c>
      <c r="G529" s="148">
        <v>32</v>
      </c>
      <c r="H529" s="152">
        <f>IF(C529=11700,ROUND(VLOOKUP(G529,ThongSo!$F$2:$I$15,4,0)*B529*11.7,3),0)</f>
        <v>0</v>
      </c>
      <c r="I529" s="152">
        <f>IF(F529="Sắt vụn",ROUND(VLOOKUP(G529,ThongSo!$F$2:$I$15,4,0)*B529*E529/1000,3),"-")</f>
        <v>33.253999999999998</v>
      </c>
      <c r="L529" s="150"/>
      <c r="M529" s="150"/>
      <c r="N529" s="150"/>
    </row>
    <row r="530" spans="1:14" x14ac:dyDescent="0.25">
      <c r="A530" s="159" t="s">
        <v>162</v>
      </c>
      <c r="B530" s="160">
        <v>14</v>
      </c>
      <c r="C530" s="160">
        <v>1700</v>
      </c>
      <c r="D530" s="160" t="s">
        <v>3364</v>
      </c>
      <c r="E530" s="160">
        <v>310</v>
      </c>
      <c r="F530" s="160" t="s">
        <v>74</v>
      </c>
      <c r="G530" s="148">
        <v>32</v>
      </c>
      <c r="H530" s="152">
        <f>IF(C530=11700,ROUND(VLOOKUP(G530,ThongSo!$F$2:$I$15,4,0)*B530*11.7,3),0)</f>
        <v>0</v>
      </c>
      <c r="I530" s="152">
        <f>IF(F530="Sắt vụn",ROUND(VLOOKUP(G530,ThongSo!$F$2:$I$15,4,0)*B530*E530/1000,3),"-")</f>
        <v>27.385000000000002</v>
      </c>
      <c r="L530" s="150"/>
      <c r="M530" s="150"/>
      <c r="N530" s="150"/>
    </row>
    <row r="531" spans="1:14" x14ac:dyDescent="0.25">
      <c r="A531" s="159" t="s">
        <v>162</v>
      </c>
      <c r="B531" s="160">
        <v>16</v>
      </c>
      <c r="C531" s="160">
        <v>1700</v>
      </c>
      <c r="D531" s="160" t="s">
        <v>3365</v>
      </c>
      <c r="E531" s="160">
        <v>310</v>
      </c>
      <c r="F531" s="160" t="s">
        <v>74</v>
      </c>
      <c r="G531" s="148">
        <v>32</v>
      </c>
      <c r="H531" s="152">
        <f>IF(C531=11700,ROUND(VLOOKUP(G531,ThongSo!$F$2:$I$15,4,0)*B531*11.7,3),0)</f>
        <v>0</v>
      </c>
      <c r="I531" s="152">
        <f>IF(F531="Sắt vụn",ROUND(VLOOKUP(G531,ThongSo!$F$2:$I$15,4,0)*B531*E531/1000,3),"-")</f>
        <v>31.297999999999998</v>
      </c>
      <c r="L531" s="150"/>
      <c r="M531" s="150"/>
      <c r="N531" s="150"/>
    </row>
    <row r="532" spans="1:14" x14ac:dyDescent="0.25">
      <c r="A532" s="159" t="s">
        <v>136</v>
      </c>
      <c r="B532" s="160">
        <v>2</v>
      </c>
      <c r="C532" s="160">
        <v>1750</v>
      </c>
      <c r="D532" s="160" t="s">
        <v>3365</v>
      </c>
      <c r="E532" s="160">
        <v>360</v>
      </c>
      <c r="F532" s="160" t="s">
        <v>74</v>
      </c>
      <c r="G532" s="148">
        <v>32</v>
      </c>
      <c r="H532" s="152">
        <f>IF(C532=11700,ROUND(VLOOKUP(G532,ThongSo!$F$2:$I$15,4,0)*B532*11.7,3),0)</f>
        <v>0</v>
      </c>
      <c r="I532" s="152">
        <f>IF(F532="Sắt vụn",ROUND(VLOOKUP(G532,ThongSo!$F$2:$I$15,4,0)*B532*E532/1000,3),"-")</f>
        <v>4.5430000000000001</v>
      </c>
      <c r="L532" s="150"/>
      <c r="M532" s="150"/>
      <c r="N532" s="150"/>
    </row>
    <row r="533" spans="1:14" x14ac:dyDescent="0.25">
      <c r="A533" s="159" t="s">
        <v>136</v>
      </c>
      <c r="B533" s="160">
        <v>6</v>
      </c>
      <c r="C533" s="160">
        <v>1750</v>
      </c>
      <c r="D533" s="160" t="s">
        <v>3366</v>
      </c>
      <c r="E533" s="160">
        <v>660</v>
      </c>
      <c r="F533" s="160" t="s">
        <v>74</v>
      </c>
      <c r="G533" s="148">
        <v>32</v>
      </c>
      <c r="H533" s="152">
        <f>IF(C533=11700,ROUND(VLOOKUP(G533,ThongSo!$F$2:$I$15,4,0)*B533*11.7,3),0)</f>
        <v>0</v>
      </c>
      <c r="I533" s="152">
        <f>IF(F533="Sắt vụn",ROUND(VLOOKUP(G533,ThongSo!$F$2:$I$15,4,0)*B533*E533/1000,3),"-")</f>
        <v>24.988</v>
      </c>
      <c r="L533" s="150"/>
      <c r="M533" s="150"/>
      <c r="N533" s="150"/>
    </row>
    <row r="534" spans="1:14" x14ac:dyDescent="0.25">
      <c r="A534" s="159" t="s">
        <v>176</v>
      </c>
      <c r="B534" s="160">
        <v>9</v>
      </c>
      <c r="C534" s="160">
        <v>1760</v>
      </c>
      <c r="D534" s="160" t="s">
        <v>3366</v>
      </c>
      <c r="E534" s="160">
        <v>670</v>
      </c>
      <c r="F534" s="160" t="s">
        <v>74</v>
      </c>
      <c r="G534" s="148">
        <v>32</v>
      </c>
      <c r="H534" s="152">
        <f>IF(C534=11700,ROUND(VLOOKUP(G534,ThongSo!$F$2:$I$15,4,0)*B534*11.7,3),0)</f>
        <v>0</v>
      </c>
      <c r="I534" s="152">
        <f>IF(F534="Sắt vụn",ROUND(VLOOKUP(G534,ThongSo!$F$2:$I$15,4,0)*B534*E534/1000,3),"-")</f>
        <v>38.048999999999999</v>
      </c>
      <c r="L534" s="150"/>
      <c r="M534" s="150"/>
      <c r="N534" s="150"/>
    </row>
    <row r="535" spans="1:14" x14ac:dyDescent="0.25">
      <c r="A535" s="159" t="s">
        <v>176</v>
      </c>
      <c r="B535" s="160">
        <v>18</v>
      </c>
      <c r="C535" s="160">
        <v>1760</v>
      </c>
      <c r="D535" s="160" t="s">
        <v>3367</v>
      </c>
      <c r="E535" s="160">
        <v>670</v>
      </c>
      <c r="F535" s="160" t="s">
        <v>74</v>
      </c>
      <c r="G535" s="148">
        <v>32</v>
      </c>
      <c r="H535" s="152">
        <f>IF(C535=11700,ROUND(VLOOKUP(G535,ThongSo!$F$2:$I$15,4,0)*B535*11.7,3),0)</f>
        <v>0</v>
      </c>
      <c r="I535" s="152">
        <f>IF(F535="Sắt vụn",ROUND(VLOOKUP(G535,ThongSo!$F$2:$I$15,4,0)*B535*E535/1000,3),"-")</f>
        <v>76.099000000000004</v>
      </c>
      <c r="L535" s="150"/>
      <c r="M535" s="150"/>
      <c r="N535" s="150"/>
    </row>
    <row r="536" spans="1:14" x14ac:dyDescent="0.25">
      <c r="A536" s="159" t="s">
        <v>120</v>
      </c>
      <c r="B536" s="160">
        <v>4</v>
      </c>
      <c r="C536" s="160">
        <v>1800</v>
      </c>
      <c r="D536" s="160" t="s">
        <v>3367</v>
      </c>
      <c r="E536" s="160">
        <v>710</v>
      </c>
      <c r="F536" s="160" t="s">
        <v>74</v>
      </c>
      <c r="G536" s="148">
        <v>32</v>
      </c>
      <c r="H536" s="152">
        <f>IF(C536=11700,ROUND(VLOOKUP(G536,ThongSo!$F$2:$I$15,4,0)*B536*11.7,3),0)</f>
        <v>0</v>
      </c>
      <c r="I536" s="152">
        <f>IF(F536="Sắt vụn",ROUND(VLOOKUP(G536,ThongSo!$F$2:$I$15,4,0)*B536*E536/1000,3),"-")</f>
        <v>17.920000000000002</v>
      </c>
      <c r="L536" s="150"/>
      <c r="M536" s="150"/>
      <c r="N536" s="150"/>
    </row>
    <row r="537" spans="1:14" x14ac:dyDescent="0.25">
      <c r="A537" s="159" t="s">
        <v>236</v>
      </c>
      <c r="B537" s="160">
        <v>9</v>
      </c>
      <c r="C537" s="160">
        <v>1830</v>
      </c>
      <c r="D537" s="160" t="s">
        <v>3367</v>
      </c>
      <c r="E537" s="160">
        <v>740</v>
      </c>
      <c r="F537" s="160" t="s">
        <v>74</v>
      </c>
      <c r="G537" s="148">
        <v>32</v>
      </c>
      <c r="H537" s="152">
        <f>IF(C537=11700,ROUND(VLOOKUP(G537,ThongSo!$F$2:$I$15,4,0)*B537*11.7,3),0)</f>
        <v>0</v>
      </c>
      <c r="I537" s="152">
        <f>IF(F537="Sắt vụn",ROUND(VLOOKUP(G537,ThongSo!$F$2:$I$15,4,0)*B537*E537/1000,3),"-")</f>
        <v>42.024999999999999</v>
      </c>
      <c r="L537" s="150"/>
      <c r="M537" s="150"/>
      <c r="N537" s="150"/>
    </row>
    <row r="538" spans="1:14" x14ac:dyDescent="0.25">
      <c r="A538" s="159" t="s">
        <v>236</v>
      </c>
      <c r="B538" s="160">
        <v>1</v>
      </c>
      <c r="C538" s="160">
        <v>1830</v>
      </c>
      <c r="D538" s="160" t="s">
        <v>3368</v>
      </c>
      <c r="E538" s="160">
        <v>740</v>
      </c>
      <c r="F538" s="160" t="s">
        <v>74</v>
      </c>
      <c r="G538" s="148">
        <v>32</v>
      </c>
      <c r="H538" s="152">
        <f>IF(C538=11700,ROUND(VLOOKUP(G538,ThongSo!$F$2:$I$15,4,0)*B538*11.7,3),0)</f>
        <v>0</v>
      </c>
      <c r="I538" s="152">
        <f>IF(F538="Sắt vụn",ROUND(VLOOKUP(G538,ThongSo!$F$2:$I$15,4,0)*B538*E538/1000,3),"-")</f>
        <v>4.6689999999999996</v>
      </c>
      <c r="L538" s="150"/>
      <c r="M538" s="150"/>
      <c r="N538" s="150"/>
    </row>
    <row r="539" spans="1:14" x14ac:dyDescent="0.25">
      <c r="A539" s="159" t="s">
        <v>137</v>
      </c>
      <c r="B539" s="160">
        <v>3</v>
      </c>
      <c r="C539" s="160">
        <v>1900</v>
      </c>
      <c r="D539" s="160" t="s">
        <v>3368</v>
      </c>
      <c r="E539" s="160">
        <v>810</v>
      </c>
      <c r="F539" s="160" t="s">
        <v>74</v>
      </c>
      <c r="G539" s="148">
        <v>32</v>
      </c>
      <c r="H539" s="152">
        <f>IF(C539=11700,ROUND(VLOOKUP(G539,ThongSo!$F$2:$I$15,4,0)*B539*11.7,3),0)</f>
        <v>0</v>
      </c>
      <c r="I539" s="152">
        <f>IF(F539="Sắt vụn",ROUND(VLOOKUP(G539,ThongSo!$F$2:$I$15,4,0)*B539*E539/1000,3),"-")</f>
        <v>15.333</v>
      </c>
      <c r="L539" s="150"/>
      <c r="M539" s="150"/>
      <c r="N539" s="150"/>
    </row>
    <row r="540" spans="1:14" x14ac:dyDescent="0.25">
      <c r="A540" s="159" t="s">
        <v>149</v>
      </c>
      <c r="B540" s="160">
        <v>11</v>
      </c>
      <c r="C540" s="160">
        <v>2390</v>
      </c>
      <c r="D540" s="160" t="s">
        <v>3369</v>
      </c>
      <c r="E540" s="160">
        <v>210</v>
      </c>
      <c r="F540" s="160" t="s">
        <v>74</v>
      </c>
      <c r="G540" s="148">
        <v>32</v>
      </c>
      <c r="H540" s="152">
        <f>IF(C540=11700,ROUND(VLOOKUP(G540,ThongSo!$F$2:$I$15,4,0)*B540*11.7,3),0)</f>
        <v>0</v>
      </c>
      <c r="I540" s="152">
        <f>IF(F540="Sắt vụn",ROUND(VLOOKUP(G540,ThongSo!$F$2:$I$15,4,0)*B540*E540/1000,3),"-")</f>
        <v>14.576000000000001</v>
      </c>
      <c r="L540" s="150"/>
      <c r="M540" s="150"/>
      <c r="N540" s="150"/>
    </row>
    <row r="541" spans="1:14" x14ac:dyDescent="0.25">
      <c r="A541" s="159" t="s">
        <v>149</v>
      </c>
      <c r="B541" s="160">
        <v>1</v>
      </c>
      <c r="C541" s="160">
        <v>2390</v>
      </c>
      <c r="D541" s="160" t="s">
        <v>3370</v>
      </c>
      <c r="E541" s="160">
        <v>210</v>
      </c>
      <c r="F541" s="160" t="s">
        <v>74</v>
      </c>
      <c r="G541" s="148">
        <v>32</v>
      </c>
      <c r="H541" s="152">
        <f>IF(C541=11700,ROUND(VLOOKUP(G541,ThongSo!$F$2:$I$15,4,0)*B541*11.7,3),0)</f>
        <v>0</v>
      </c>
      <c r="I541" s="152">
        <f>IF(F541="Sắt vụn",ROUND(VLOOKUP(G541,ThongSo!$F$2:$I$15,4,0)*B541*E541/1000,3),"-")</f>
        <v>1.325</v>
      </c>
      <c r="L541" s="150"/>
      <c r="M541" s="150"/>
      <c r="N541" s="150"/>
    </row>
    <row r="542" spans="1:14" x14ac:dyDescent="0.25">
      <c r="A542" s="159" t="s">
        <v>149</v>
      </c>
      <c r="B542" s="160">
        <v>2</v>
      </c>
      <c r="C542" s="160">
        <v>2390</v>
      </c>
      <c r="D542" s="160" t="s">
        <v>3371</v>
      </c>
      <c r="E542" s="160">
        <v>210</v>
      </c>
      <c r="F542" s="160" t="s">
        <v>74</v>
      </c>
      <c r="G542" s="148">
        <v>32</v>
      </c>
      <c r="H542" s="152">
        <f>IF(C542=11700,ROUND(VLOOKUP(G542,ThongSo!$F$2:$I$15,4,0)*B542*11.7,3),0)</f>
        <v>0</v>
      </c>
      <c r="I542" s="152">
        <f>IF(F542="Sắt vụn",ROUND(VLOOKUP(G542,ThongSo!$F$2:$I$15,4,0)*B542*E542/1000,3),"-")</f>
        <v>2.65</v>
      </c>
      <c r="L542" s="150"/>
      <c r="M542" s="150"/>
      <c r="N542" s="150"/>
    </row>
    <row r="543" spans="1:14" x14ac:dyDescent="0.25">
      <c r="A543" s="159" t="s">
        <v>151</v>
      </c>
      <c r="B543" s="160">
        <v>4</v>
      </c>
      <c r="C543" s="160">
        <v>2700</v>
      </c>
      <c r="D543" s="160" t="s">
        <v>3372</v>
      </c>
      <c r="E543" s="160">
        <v>60</v>
      </c>
      <c r="F543" s="160" t="s">
        <v>74</v>
      </c>
      <c r="G543" s="148">
        <v>32</v>
      </c>
      <c r="H543" s="152">
        <f>IF(C543=11700,ROUND(VLOOKUP(G543,ThongSo!$F$2:$I$15,4,0)*B543*11.7,3),0)</f>
        <v>0</v>
      </c>
      <c r="I543" s="152">
        <f>IF(F543="Sắt vụn",ROUND(VLOOKUP(G543,ThongSo!$F$2:$I$15,4,0)*B543*E543/1000,3),"-")</f>
        <v>1.514</v>
      </c>
      <c r="L543" s="150"/>
      <c r="M543" s="150"/>
      <c r="N543" s="150"/>
    </row>
    <row r="544" spans="1:14" x14ac:dyDescent="0.25">
      <c r="A544" s="159" t="s">
        <v>151</v>
      </c>
      <c r="B544" s="160">
        <v>23</v>
      </c>
      <c r="C544" s="160">
        <v>2700</v>
      </c>
      <c r="D544" s="160" t="s">
        <v>3373</v>
      </c>
      <c r="E544" s="160">
        <v>110</v>
      </c>
      <c r="F544" s="160" t="s">
        <v>74</v>
      </c>
      <c r="G544" s="148">
        <v>32</v>
      </c>
      <c r="H544" s="152">
        <f>IF(C544=11700,ROUND(VLOOKUP(G544,ThongSo!$F$2:$I$15,4,0)*B544*11.7,3),0)</f>
        <v>0</v>
      </c>
      <c r="I544" s="152">
        <f>IF(F544="Sắt vụn",ROUND(VLOOKUP(G544,ThongSo!$F$2:$I$15,4,0)*B544*E544/1000,3),"-")</f>
        <v>15.964</v>
      </c>
      <c r="L544" s="150"/>
      <c r="M544" s="150"/>
      <c r="N544" s="150"/>
    </row>
    <row r="545" spans="1:14" x14ac:dyDescent="0.25">
      <c r="A545" s="159" t="s">
        <v>151</v>
      </c>
      <c r="B545" s="160">
        <v>5</v>
      </c>
      <c r="C545" s="160">
        <v>2700</v>
      </c>
      <c r="D545" s="160" t="s">
        <v>3374</v>
      </c>
      <c r="E545" s="160">
        <v>200</v>
      </c>
      <c r="F545" s="160" t="s">
        <v>74</v>
      </c>
      <c r="G545" s="148">
        <v>32</v>
      </c>
      <c r="H545" s="152">
        <f>IF(C545=11700,ROUND(VLOOKUP(G545,ThongSo!$F$2:$I$15,4,0)*B545*11.7,3),0)</f>
        <v>0</v>
      </c>
      <c r="I545" s="152">
        <f>IF(F545="Sắt vụn",ROUND(VLOOKUP(G545,ThongSo!$F$2:$I$15,4,0)*B545*E545/1000,3),"-")</f>
        <v>6.31</v>
      </c>
      <c r="L545" s="150"/>
      <c r="M545" s="150"/>
      <c r="N545" s="150"/>
    </row>
    <row r="546" spans="1:14" x14ac:dyDescent="0.25">
      <c r="A546" s="159" t="s">
        <v>151</v>
      </c>
      <c r="B546" s="160">
        <v>6</v>
      </c>
      <c r="C546" s="160">
        <v>2700</v>
      </c>
      <c r="D546" s="160" t="s">
        <v>3375</v>
      </c>
      <c r="E546" s="160">
        <v>250</v>
      </c>
      <c r="F546" s="160" t="s">
        <v>74</v>
      </c>
      <c r="G546" s="148">
        <v>32</v>
      </c>
      <c r="H546" s="152">
        <f>IF(C546=11700,ROUND(VLOOKUP(G546,ThongSo!$F$2:$I$15,4,0)*B546*11.7,3),0)</f>
        <v>0</v>
      </c>
      <c r="I546" s="152">
        <f>IF(F546="Sắt vụn",ROUND(VLOOKUP(G546,ThongSo!$F$2:$I$15,4,0)*B546*E546/1000,3),"-")</f>
        <v>9.4649999999999999</v>
      </c>
      <c r="L546" s="150"/>
      <c r="M546" s="150"/>
      <c r="N546" s="150"/>
    </row>
    <row r="547" spans="1:14" x14ac:dyDescent="0.25">
      <c r="A547" s="159" t="s">
        <v>170</v>
      </c>
      <c r="B547" s="160">
        <v>7</v>
      </c>
      <c r="C547" s="160">
        <v>2890</v>
      </c>
      <c r="D547" s="160" t="s">
        <v>3376</v>
      </c>
      <c r="E547" s="160">
        <v>55</v>
      </c>
      <c r="F547" s="160" t="s">
        <v>74</v>
      </c>
      <c r="G547" s="148">
        <v>32</v>
      </c>
      <c r="H547" s="152">
        <f>IF(C547=11700,ROUND(VLOOKUP(G547,ThongSo!$F$2:$I$15,4,0)*B547*11.7,3),0)</f>
        <v>0</v>
      </c>
      <c r="I547" s="152">
        <f>IF(F547="Sắt vụn",ROUND(VLOOKUP(G547,ThongSo!$F$2:$I$15,4,0)*B547*E547/1000,3),"-")</f>
        <v>2.4289999999999998</v>
      </c>
      <c r="L547" s="150"/>
      <c r="M547" s="150"/>
      <c r="N547" s="150"/>
    </row>
    <row r="548" spans="1:14" x14ac:dyDescent="0.25">
      <c r="A548" s="159" t="s">
        <v>222</v>
      </c>
      <c r="B548" s="160">
        <v>5</v>
      </c>
      <c r="C548" s="160">
        <v>2970</v>
      </c>
      <c r="D548" s="160" t="s">
        <v>3377</v>
      </c>
      <c r="E548" s="160">
        <v>75</v>
      </c>
      <c r="F548" s="160" t="s">
        <v>74</v>
      </c>
      <c r="G548" s="148">
        <v>32</v>
      </c>
      <c r="H548" s="152">
        <f>IF(C548=11700,ROUND(VLOOKUP(G548,ThongSo!$F$2:$I$15,4,0)*B548*11.7,3),0)</f>
        <v>0</v>
      </c>
      <c r="I548" s="152">
        <f>IF(F548="Sắt vụn",ROUND(VLOOKUP(G548,ThongSo!$F$2:$I$15,4,0)*B548*E548/1000,3),"-")</f>
        <v>2.3660000000000001</v>
      </c>
      <c r="L548" s="150"/>
      <c r="M548" s="150"/>
      <c r="N548" s="150"/>
    </row>
    <row r="549" spans="1:14" x14ac:dyDescent="0.25">
      <c r="A549" s="159" t="s">
        <v>172</v>
      </c>
      <c r="B549" s="160">
        <v>3</v>
      </c>
      <c r="C549" s="160">
        <v>3800</v>
      </c>
      <c r="D549" s="160" t="s">
        <v>3378</v>
      </c>
      <c r="E549" s="160">
        <v>0</v>
      </c>
      <c r="F549" s="160"/>
      <c r="G549" s="148">
        <v>32</v>
      </c>
      <c r="H549" s="152">
        <f>IF(C549=11700,ROUND(VLOOKUP(G549,ThongSo!$F$2:$I$15,4,0)*B549*11.7,3),0)</f>
        <v>0</v>
      </c>
      <c r="I549" s="152" t="str">
        <f>IF(F549="Sắt vụn",ROUND(VLOOKUP(G549,ThongSo!$F$2:$I$15,4,0)*B549*E549/1000,3),"-")</f>
        <v>-</v>
      </c>
      <c r="L549" s="150"/>
      <c r="M549" s="150"/>
      <c r="N549" s="150"/>
    </row>
    <row r="550" spans="1:14" x14ac:dyDescent="0.25">
      <c r="A550" s="159" t="s">
        <v>172</v>
      </c>
      <c r="B550" s="160">
        <v>3</v>
      </c>
      <c r="C550" s="160">
        <v>3800</v>
      </c>
      <c r="D550" s="160" t="s">
        <v>3379</v>
      </c>
      <c r="E550" s="160">
        <v>0</v>
      </c>
      <c r="F550" s="160"/>
      <c r="G550" s="148">
        <v>32</v>
      </c>
      <c r="H550" s="152">
        <f>IF(C550=11700,ROUND(VLOOKUP(G550,ThongSo!$F$2:$I$15,4,0)*B550*11.7,3),0)</f>
        <v>0</v>
      </c>
      <c r="I550" s="152" t="str">
        <f>IF(F550="Sắt vụn",ROUND(VLOOKUP(G550,ThongSo!$F$2:$I$15,4,0)*B550*E550/1000,3),"-")</f>
        <v>-</v>
      </c>
      <c r="L550" s="150"/>
      <c r="M550" s="150"/>
      <c r="N550" s="150"/>
    </row>
    <row r="551" spans="1:14" x14ac:dyDescent="0.25">
      <c r="A551" s="159" t="s">
        <v>172</v>
      </c>
      <c r="B551" s="160">
        <v>3</v>
      </c>
      <c r="C551" s="160">
        <v>3800</v>
      </c>
      <c r="D551" s="160" t="s">
        <v>3380</v>
      </c>
      <c r="E551" s="160">
        <v>20</v>
      </c>
      <c r="F551" s="160" t="s">
        <v>74</v>
      </c>
      <c r="G551" s="148">
        <v>32</v>
      </c>
      <c r="H551" s="152">
        <f>IF(C551=11700,ROUND(VLOOKUP(G551,ThongSo!$F$2:$I$15,4,0)*B551*11.7,3),0)</f>
        <v>0</v>
      </c>
      <c r="I551" s="152">
        <f>IF(F551="Sắt vụn",ROUND(VLOOKUP(G551,ThongSo!$F$2:$I$15,4,0)*B551*E551/1000,3),"-")</f>
        <v>0.379</v>
      </c>
      <c r="L551" s="150"/>
      <c r="M551" s="150"/>
      <c r="N551" s="150"/>
    </row>
    <row r="552" spans="1:14" x14ac:dyDescent="0.25">
      <c r="A552" s="159" t="s">
        <v>185</v>
      </c>
      <c r="B552" s="160">
        <v>7</v>
      </c>
      <c r="C552" s="160">
        <v>3900</v>
      </c>
      <c r="D552" s="160" t="s">
        <v>3381</v>
      </c>
      <c r="E552" s="160">
        <v>0</v>
      </c>
      <c r="F552" s="160"/>
      <c r="G552" s="148">
        <v>32</v>
      </c>
      <c r="H552" s="152">
        <f>IF(C552=11700,ROUND(VLOOKUP(G552,ThongSo!$F$2:$I$15,4,0)*B552*11.7,3),0)</f>
        <v>0</v>
      </c>
      <c r="I552" s="152" t="str">
        <f>IF(F552="Sắt vụn",ROUND(VLOOKUP(G552,ThongSo!$F$2:$I$15,4,0)*B552*E552/1000,3),"-")</f>
        <v>-</v>
      </c>
      <c r="L552" s="150"/>
      <c r="M552" s="150"/>
      <c r="N552" s="150"/>
    </row>
    <row r="553" spans="1:14" x14ac:dyDescent="0.25">
      <c r="A553" s="159" t="s">
        <v>328</v>
      </c>
      <c r="B553" s="160">
        <v>6</v>
      </c>
      <c r="C553" s="160">
        <v>4120</v>
      </c>
      <c r="D553" s="160" t="s">
        <v>3382</v>
      </c>
      <c r="E553" s="160">
        <v>110</v>
      </c>
      <c r="F553" s="160" t="s">
        <v>74</v>
      </c>
      <c r="G553" s="148">
        <v>32</v>
      </c>
      <c r="H553" s="152">
        <f>IF(C553=11700,ROUND(VLOOKUP(G553,ThongSo!$F$2:$I$15,4,0)*B553*11.7,3),0)</f>
        <v>0</v>
      </c>
      <c r="I553" s="152">
        <f>IF(F553="Sắt vụn",ROUND(VLOOKUP(G553,ThongSo!$F$2:$I$15,4,0)*B553*E553/1000,3),"-")</f>
        <v>4.165</v>
      </c>
      <c r="L553" s="150"/>
      <c r="M553" s="150"/>
      <c r="N553" s="150"/>
    </row>
    <row r="554" spans="1:14" x14ac:dyDescent="0.25">
      <c r="A554" s="159" t="s">
        <v>197</v>
      </c>
      <c r="B554" s="160">
        <v>1</v>
      </c>
      <c r="C554" s="160">
        <v>4220</v>
      </c>
      <c r="D554" s="160" t="s">
        <v>3382</v>
      </c>
      <c r="E554" s="160">
        <v>210</v>
      </c>
      <c r="F554" s="160" t="s">
        <v>74</v>
      </c>
      <c r="G554" s="148">
        <v>32</v>
      </c>
      <c r="H554" s="152">
        <f>IF(C554=11700,ROUND(VLOOKUP(G554,ThongSo!$F$2:$I$15,4,0)*B554*11.7,3),0)</f>
        <v>0</v>
      </c>
      <c r="I554" s="152">
        <f>IF(F554="Sắt vụn",ROUND(VLOOKUP(G554,ThongSo!$F$2:$I$15,4,0)*B554*E554/1000,3),"-")</f>
        <v>1.325</v>
      </c>
      <c r="L554" s="150"/>
      <c r="M554" s="150"/>
      <c r="N554" s="150"/>
    </row>
    <row r="555" spans="1:14" x14ac:dyDescent="0.25">
      <c r="A555" s="159" t="s">
        <v>197</v>
      </c>
      <c r="B555" s="160">
        <v>9</v>
      </c>
      <c r="C555" s="160">
        <v>4220</v>
      </c>
      <c r="D555" s="160" t="s">
        <v>3383</v>
      </c>
      <c r="E555" s="160">
        <v>240</v>
      </c>
      <c r="F555" s="160" t="s">
        <v>74</v>
      </c>
      <c r="G555" s="148">
        <v>32</v>
      </c>
      <c r="H555" s="152">
        <f>IF(C555=11700,ROUND(VLOOKUP(G555,ThongSo!$F$2:$I$15,4,0)*B555*11.7,3),0)</f>
        <v>0</v>
      </c>
      <c r="I555" s="152">
        <f>IF(F555="Sắt vụn",ROUND(VLOOKUP(G555,ThongSo!$F$2:$I$15,4,0)*B555*E555/1000,3),"-")</f>
        <v>13.63</v>
      </c>
      <c r="L555" s="150"/>
      <c r="M555" s="150"/>
      <c r="N555" s="150"/>
    </row>
    <row r="556" spans="1:14" x14ac:dyDescent="0.25">
      <c r="A556" s="159" t="s">
        <v>197</v>
      </c>
      <c r="B556" s="160">
        <v>1</v>
      </c>
      <c r="C556" s="160">
        <v>4220</v>
      </c>
      <c r="D556" s="160" t="s">
        <v>3384</v>
      </c>
      <c r="E556" s="160">
        <v>250</v>
      </c>
      <c r="F556" s="160" t="s">
        <v>74</v>
      </c>
      <c r="G556" s="148">
        <v>32</v>
      </c>
      <c r="H556" s="152">
        <f>IF(C556=11700,ROUND(VLOOKUP(G556,ThongSo!$F$2:$I$15,4,0)*B556*11.7,3),0)</f>
        <v>0</v>
      </c>
      <c r="I556" s="152">
        <f>IF(F556="Sắt vụn",ROUND(VLOOKUP(G556,ThongSo!$F$2:$I$15,4,0)*B556*E556/1000,3),"-")</f>
        <v>1.5780000000000001</v>
      </c>
      <c r="L556" s="150"/>
      <c r="M556" s="150"/>
      <c r="N556" s="150"/>
    </row>
    <row r="557" spans="1:14" x14ac:dyDescent="0.25">
      <c r="A557" s="159" t="s">
        <v>130</v>
      </c>
      <c r="B557" s="160">
        <v>2</v>
      </c>
      <c r="C557" s="160">
        <v>4250</v>
      </c>
      <c r="D557" s="160" t="s">
        <v>3385</v>
      </c>
      <c r="E557" s="160">
        <v>20</v>
      </c>
      <c r="F557" s="160" t="s">
        <v>74</v>
      </c>
      <c r="G557" s="148">
        <v>32</v>
      </c>
      <c r="H557" s="152">
        <f>IF(C557=11700,ROUND(VLOOKUP(G557,ThongSo!$F$2:$I$15,4,0)*B557*11.7,3),0)</f>
        <v>0</v>
      </c>
      <c r="I557" s="152">
        <f>IF(F557="Sắt vụn",ROUND(VLOOKUP(G557,ThongSo!$F$2:$I$15,4,0)*B557*E557/1000,3),"-")</f>
        <v>0.252</v>
      </c>
      <c r="L557" s="150"/>
      <c r="M557" s="150"/>
      <c r="N557" s="150"/>
    </row>
    <row r="558" spans="1:14" x14ac:dyDescent="0.25">
      <c r="A558" s="159" t="s">
        <v>131</v>
      </c>
      <c r="B558" s="160">
        <v>5</v>
      </c>
      <c r="C558" s="160">
        <v>4320</v>
      </c>
      <c r="D558" s="160" t="s">
        <v>3384</v>
      </c>
      <c r="E558" s="160">
        <v>350</v>
      </c>
      <c r="F558" s="160" t="s">
        <v>74</v>
      </c>
      <c r="G558" s="148">
        <v>32</v>
      </c>
      <c r="H558" s="152">
        <f>IF(C558=11700,ROUND(VLOOKUP(G558,ThongSo!$F$2:$I$15,4,0)*B558*11.7,3),0)</f>
        <v>0</v>
      </c>
      <c r="I558" s="152">
        <f>IF(F558="Sắt vụn",ROUND(VLOOKUP(G558,ThongSo!$F$2:$I$15,4,0)*B558*E558/1000,3),"-")</f>
        <v>11.042999999999999</v>
      </c>
      <c r="L558" s="150"/>
      <c r="M558" s="150"/>
      <c r="N558" s="150"/>
    </row>
    <row r="559" spans="1:14" x14ac:dyDescent="0.25">
      <c r="A559" s="159" t="s">
        <v>131</v>
      </c>
      <c r="B559" s="160">
        <v>4</v>
      </c>
      <c r="C559" s="160">
        <v>4320</v>
      </c>
      <c r="D559" s="160" t="s">
        <v>3381</v>
      </c>
      <c r="E559" s="160">
        <v>420</v>
      </c>
      <c r="F559" s="160" t="s">
        <v>74</v>
      </c>
      <c r="G559" s="148">
        <v>32</v>
      </c>
      <c r="H559" s="152">
        <f>IF(C559=11700,ROUND(VLOOKUP(G559,ThongSo!$F$2:$I$15,4,0)*B559*11.7,3),0)</f>
        <v>0</v>
      </c>
      <c r="I559" s="152">
        <f>IF(F559="Sắt vụn",ROUND(VLOOKUP(G559,ThongSo!$F$2:$I$15,4,0)*B559*E559/1000,3),"-")</f>
        <v>10.601000000000001</v>
      </c>
      <c r="L559" s="150"/>
      <c r="M559" s="150"/>
      <c r="N559" s="150"/>
    </row>
    <row r="560" spans="1:14" x14ac:dyDescent="0.25">
      <c r="A560" s="159" t="s">
        <v>131</v>
      </c>
      <c r="B560" s="160">
        <v>2</v>
      </c>
      <c r="C560" s="160">
        <v>4320</v>
      </c>
      <c r="D560" s="160" t="s">
        <v>3386</v>
      </c>
      <c r="E560" s="160">
        <v>420</v>
      </c>
      <c r="F560" s="160" t="s">
        <v>74</v>
      </c>
      <c r="G560" s="148">
        <v>32</v>
      </c>
      <c r="H560" s="152">
        <f>IF(C560=11700,ROUND(VLOOKUP(G560,ThongSo!$F$2:$I$15,4,0)*B560*11.7,3),0)</f>
        <v>0</v>
      </c>
      <c r="I560" s="152">
        <f>IF(F560="Sắt vụn",ROUND(VLOOKUP(G560,ThongSo!$F$2:$I$15,4,0)*B560*E560/1000,3),"-")</f>
        <v>5.3</v>
      </c>
      <c r="L560" s="150"/>
      <c r="M560" s="150"/>
      <c r="N560" s="150"/>
    </row>
    <row r="561" spans="1:14" x14ac:dyDescent="0.25">
      <c r="A561" s="159" t="s">
        <v>213</v>
      </c>
      <c r="B561" s="160">
        <v>4</v>
      </c>
      <c r="C561" s="160">
        <v>4380</v>
      </c>
      <c r="D561" s="160" t="s">
        <v>3386</v>
      </c>
      <c r="E561" s="160">
        <v>480</v>
      </c>
      <c r="F561" s="160" t="s">
        <v>74</v>
      </c>
      <c r="G561" s="148">
        <v>32</v>
      </c>
      <c r="H561" s="152">
        <f>IF(C561=11700,ROUND(VLOOKUP(G561,ThongSo!$F$2:$I$15,4,0)*B561*11.7,3),0)</f>
        <v>0</v>
      </c>
      <c r="I561" s="152">
        <f>IF(F561="Sắt vụn",ROUND(VLOOKUP(G561,ThongSo!$F$2:$I$15,4,0)*B561*E561/1000,3),"-")</f>
        <v>12.115</v>
      </c>
      <c r="L561" s="150"/>
      <c r="M561" s="150"/>
      <c r="N561" s="150"/>
    </row>
    <row r="562" spans="1:14" x14ac:dyDescent="0.25">
      <c r="A562" s="159" t="s">
        <v>360</v>
      </c>
      <c r="B562" s="160">
        <v>4</v>
      </c>
      <c r="C562" s="160">
        <v>4385</v>
      </c>
      <c r="D562" s="160" t="s">
        <v>3386</v>
      </c>
      <c r="E562" s="160">
        <v>485</v>
      </c>
      <c r="F562" s="160" t="s">
        <v>74</v>
      </c>
      <c r="G562" s="148">
        <v>32</v>
      </c>
      <c r="H562" s="152">
        <f>IF(C562=11700,ROUND(VLOOKUP(G562,ThongSo!$F$2:$I$15,4,0)*B562*11.7,3),0)</f>
        <v>0</v>
      </c>
      <c r="I562" s="152">
        <f>IF(F562="Sắt vụn",ROUND(VLOOKUP(G562,ThongSo!$F$2:$I$15,4,0)*B562*E562/1000,3),"-")</f>
        <v>12.241</v>
      </c>
      <c r="L562" s="150"/>
      <c r="M562" s="150"/>
      <c r="N562" s="150"/>
    </row>
    <row r="563" spans="1:14" x14ac:dyDescent="0.25">
      <c r="A563" s="159" t="s">
        <v>360</v>
      </c>
      <c r="B563" s="160">
        <v>5</v>
      </c>
      <c r="C563" s="160">
        <v>4385</v>
      </c>
      <c r="D563" s="160" t="s">
        <v>3387</v>
      </c>
      <c r="E563" s="160">
        <v>485</v>
      </c>
      <c r="F563" s="160" t="s">
        <v>74</v>
      </c>
      <c r="G563" s="148">
        <v>32</v>
      </c>
      <c r="H563" s="152">
        <f>IF(C563=11700,ROUND(VLOOKUP(G563,ThongSo!$F$2:$I$15,4,0)*B563*11.7,3),0)</f>
        <v>0</v>
      </c>
      <c r="I563" s="152">
        <f>IF(F563="Sắt vụn",ROUND(VLOOKUP(G563,ThongSo!$F$2:$I$15,4,0)*B563*E563/1000,3),"-")</f>
        <v>15.302</v>
      </c>
      <c r="L563" s="150"/>
      <c r="M563" s="150"/>
      <c r="N563" s="150"/>
    </row>
    <row r="564" spans="1:14" x14ac:dyDescent="0.25">
      <c r="A564" s="159" t="s">
        <v>360</v>
      </c>
      <c r="B564" s="160">
        <v>2</v>
      </c>
      <c r="C564" s="160">
        <v>4385</v>
      </c>
      <c r="D564" s="160" t="s">
        <v>3388</v>
      </c>
      <c r="E564" s="160">
        <v>505</v>
      </c>
      <c r="F564" s="160" t="s">
        <v>74</v>
      </c>
      <c r="G564" s="148">
        <v>32</v>
      </c>
      <c r="H564" s="152">
        <f>IF(C564=11700,ROUND(VLOOKUP(G564,ThongSo!$F$2:$I$15,4,0)*B564*11.7,3),0)</f>
        <v>0</v>
      </c>
      <c r="I564" s="152">
        <f>IF(F564="Sắt vụn",ROUND(VLOOKUP(G564,ThongSo!$F$2:$I$15,4,0)*B564*E564/1000,3),"-")</f>
        <v>6.3730000000000002</v>
      </c>
      <c r="L564" s="150"/>
      <c r="M564" s="150"/>
      <c r="N564" s="150"/>
    </row>
    <row r="565" spans="1:14" x14ac:dyDescent="0.25">
      <c r="A565" s="159" t="s">
        <v>145</v>
      </c>
      <c r="B565" s="160">
        <v>4</v>
      </c>
      <c r="C565" s="160">
        <v>4400</v>
      </c>
      <c r="D565" s="160" t="s">
        <v>3389</v>
      </c>
      <c r="E565" s="160">
        <v>0</v>
      </c>
      <c r="F565" s="160"/>
      <c r="G565" s="148">
        <v>32</v>
      </c>
      <c r="H565" s="152">
        <f>IF(C565=11700,ROUND(VLOOKUP(G565,ThongSo!$F$2:$I$15,4,0)*B565*11.7,3),0)</f>
        <v>0</v>
      </c>
      <c r="I565" s="152" t="str">
        <f>IF(F565="Sắt vụn",ROUND(VLOOKUP(G565,ThongSo!$F$2:$I$15,4,0)*B565*E565/1000,3),"-")</f>
        <v>-</v>
      </c>
      <c r="L565" s="150"/>
      <c r="M565" s="150"/>
      <c r="N565" s="150"/>
    </row>
    <row r="566" spans="1:14" x14ac:dyDescent="0.25">
      <c r="A566" s="159" t="s">
        <v>145</v>
      </c>
      <c r="B566" s="160">
        <v>4</v>
      </c>
      <c r="C566" s="160">
        <v>4400</v>
      </c>
      <c r="D566" s="160" t="s">
        <v>3390</v>
      </c>
      <c r="E566" s="160">
        <v>10</v>
      </c>
      <c r="F566" s="160" t="s">
        <v>74</v>
      </c>
      <c r="G566" s="148">
        <v>32</v>
      </c>
      <c r="H566" s="152">
        <f>IF(C566=11700,ROUND(VLOOKUP(G566,ThongSo!$F$2:$I$15,4,0)*B566*11.7,3),0)</f>
        <v>0</v>
      </c>
      <c r="I566" s="152">
        <f>IF(F566="Sắt vụn",ROUND(VLOOKUP(G566,ThongSo!$F$2:$I$15,4,0)*B566*E566/1000,3),"-")</f>
        <v>0.252</v>
      </c>
      <c r="L566" s="150"/>
      <c r="M566" s="150"/>
      <c r="N566" s="150"/>
    </row>
    <row r="567" spans="1:14" x14ac:dyDescent="0.25">
      <c r="A567" s="159" t="s">
        <v>145</v>
      </c>
      <c r="B567" s="160">
        <v>2</v>
      </c>
      <c r="C567" s="160">
        <v>4400</v>
      </c>
      <c r="D567" s="160" t="s">
        <v>3388</v>
      </c>
      <c r="E567" s="160">
        <v>520</v>
      </c>
      <c r="F567" s="160" t="s">
        <v>74</v>
      </c>
      <c r="G567" s="148">
        <v>32</v>
      </c>
      <c r="H567" s="152">
        <f>IF(C567=11700,ROUND(VLOOKUP(G567,ThongSo!$F$2:$I$15,4,0)*B567*11.7,3),0)</f>
        <v>0</v>
      </c>
      <c r="I567" s="152">
        <f>IF(F567="Sắt vụn",ROUND(VLOOKUP(G567,ThongSo!$F$2:$I$15,4,0)*B567*E567/1000,3),"-")</f>
        <v>6.5620000000000003</v>
      </c>
      <c r="L567" s="150"/>
      <c r="M567" s="150"/>
      <c r="N567" s="150"/>
    </row>
    <row r="568" spans="1:14" x14ac:dyDescent="0.25">
      <c r="A568" s="159" t="s">
        <v>145</v>
      </c>
      <c r="B568" s="160">
        <v>4</v>
      </c>
      <c r="C568" s="160">
        <v>4400</v>
      </c>
      <c r="D568" s="160" t="s">
        <v>3380</v>
      </c>
      <c r="E568" s="160">
        <v>620</v>
      </c>
      <c r="F568" s="160" t="s">
        <v>74</v>
      </c>
      <c r="G568" s="148">
        <v>32</v>
      </c>
      <c r="H568" s="152">
        <f>IF(C568=11700,ROUND(VLOOKUP(G568,ThongSo!$F$2:$I$15,4,0)*B568*11.7,3),0)</f>
        <v>0</v>
      </c>
      <c r="I568" s="152">
        <f>IF(F568="Sắt vụn",ROUND(VLOOKUP(G568,ThongSo!$F$2:$I$15,4,0)*B568*E568/1000,3),"-")</f>
        <v>15.648999999999999</v>
      </c>
      <c r="L568" s="150"/>
      <c r="M568" s="150"/>
      <c r="N568" s="150"/>
    </row>
    <row r="569" spans="1:14" x14ac:dyDescent="0.25">
      <c r="A569" s="159" t="s">
        <v>145</v>
      </c>
      <c r="B569" s="160">
        <v>11</v>
      </c>
      <c r="C569" s="160">
        <v>4400</v>
      </c>
      <c r="D569" s="160" t="s">
        <v>3391</v>
      </c>
      <c r="E569" s="160">
        <v>810</v>
      </c>
      <c r="F569" s="160" t="s">
        <v>74</v>
      </c>
      <c r="G569" s="148">
        <v>32</v>
      </c>
      <c r="H569" s="152">
        <f>IF(C569=11700,ROUND(VLOOKUP(G569,ThongSo!$F$2:$I$15,4,0)*B569*11.7,3),0)</f>
        <v>0</v>
      </c>
      <c r="I569" s="152">
        <f>IF(F569="Sắt vụn",ROUND(VLOOKUP(G569,ThongSo!$F$2:$I$15,4,0)*B569*E569/1000,3),"-")</f>
        <v>56.222000000000001</v>
      </c>
      <c r="L569" s="150"/>
      <c r="M569" s="150"/>
      <c r="N569" s="150"/>
    </row>
    <row r="570" spans="1:14" x14ac:dyDescent="0.25">
      <c r="A570" s="159" t="s">
        <v>377</v>
      </c>
      <c r="B570" s="160">
        <v>12</v>
      </c>
      <c r="C570" s="160">
        <v>4435</v>
      </c>
      <c r="D570" s="160" t="s">
        <v>3391</v>
      </c>
      <c r="E570" s="160">
        <v>845</v>
      </c>
      <c r="F570" s="160" t="s">
        <v>74</v>
      </c>
      <c r="G570" s="148">
        <v>32</v>
      </c>
      <c r="H570" s="152">
        <f>IF(C570=11700,ROUND(VLOOKUP(G570,ThongSo!$F$2:$I$15,4,0)*B570*11.7,3),0)</f>
        <v>0</v>
      </c>
      <c r="I570" s="152">
        <f>IF(F570="Sắt vụn",ROUND(VLOOKUP(G570,ThongSo!$F$2:$I$15,4,0)*B570*E570/1000,3),"-")</f>
        <v>63.982999999999997</v>
      </c>
      <c r="L570" s="150"/>
      <c r="M570" s="150"/>
      <c r="N570" s="150"/>
    </row>
    <row r="571" spans="1:14" x14ac:dyDescent="0.25">
      <c r="A571" s="159" t="s">
        <v>377</v>
      </c>
      <c r="B571" s="160">
        <v>4</v>
      </c>
      <c r="C571" s="160">
        <v>4435</v>
      </c>
      <c r="D571" s="160" t="s">
        <v>3392</v>
      </c>
      <c r="E571" s="160">
        <v>895</v>
      </c>
      <c r="F571" s="160" t="s">
        <v>74</v>
      </c>
      <c r="G571" s="148">
        <v>32</v>
      </c>
      <c r="H571" s="152">
        <f>IF(C571=11700,ROUND(VLOOKUP(G571,ThongSo!$F$2:$I$15,4,0)*B571*11.7,3),0)</f>
        <v>0</v>
      </c>
      <c r="I571" s="152">
        <f>IF(F571="Sắt vụn",ROUND(VLOOKUP(G571,ThongSo!$F$2:$I$15,4,0)*B571*E571/1000,3),"-")</f>
        <v>22.59</v>
      </c>
      <c r="L571" s="150"/>
      <c r="M571" s="150"/>
      <c r="N571" s="150"/>
    </row>
    <row r="572" spans="1:14" x14ac:dyDescent="0.25">
      <c r="A572" s="159" t="s">
        <v>377</v>
      </c>
      <c r="B572" s="160">
        <v>5</v>
      </c>
      <c r="C572" s="160">
        <v>4435</v>
      </c>
      <c r="D572" s="160" t="s">
        <v>3393</v>
      </c>
      <c r="E572" s="160">
        <v>925</v>
      </c>
      <c r="F572" s="160" t="s">
        <v>74</v>
      </c>
      <c r="G572" s="148">
        <v>32</v>
      </c>
      <c r="H572" s="152">
        <f>IF(C572=11700,ROUND(VLOOKUP(G572,ThongSo!$F$2:$I$15,4,0)*B572*11.7,3),0)</f>
        <v>0</v>
      </c>
      <c r="I572" s="152">
        <f>IF(F572="Sắt vụn",ROUND(VLOOKUP(G572,ThongSo!$F$2:$I$15,4,0)*B572*E572/1000,3),"-")</f>
        <v>29.184000000000001</v>
      </c>
      <c r="L572" s="150"/>
      <c r="M572" s="150"/>
      <c r="N572" s="150"/>
    </row>
    <row r="573" spans="1:14" x14ac:dyDescent="0.25">
      <c r="A573" s="159" t="s">
        <v>365</v>
      </c>
      <c r="B573" s="160">
        <v>3</v>
      </c>
      <c r="C573" s="160">
        <v>4440</v>
      </c>
      <c r="D573" s="160" t="s">
        <v>3393</v>
      </c>
      <c r="E573" s="160">
        <v>930</v>
      </c>
      <c r="F573" s="160" t="s">
        <v>74</v>
      </c>
      <c r="G573" s="148">
        <v>32</v>
      </c>
      <c r="H573" s="152">
        <f>IF(C573=11700,ROUND(VLOOKUP(G573,ThongSo!$F$2:$I$15,4,0)*B573*11.7,3),0)</f>
        <v>0</v>
      </c>
      <c r="I573" s="152">
        <f>IF(F573="Sắt vụn",ROUND(VLOOKUP(G573,ThongSo!$F$2:$I$15,4,0)*B573*E573/1000,3),"-")</f>
        <v>17.605</v>
      </c>
      <c r="L573" s="150"/>
      <c r="M573" s="150"/>
      <c r="N573" s="150"/>
    </row>
    <row r="574" spans="1:14" x14ac:dyDescent="0.25">
      <c r="A574" s="159" t="s">
        <v>330</v>
      </c>
      <c r="B574" s="160">
        <v>3</v>
      </c>
      <c r="C574" s="160">
        <v>4450</v>
      </c>
      <c r="D574" s="160" t="s">
        <v>3393</v>
      </c>
      <c r="E574" s="160">
        <v>940</v>
      </c>
      <c r="F574" s="160" t="s">
        <v>74</v>
      </c>
      <c r="G574" s="148">
        <v>32</v>
      </c>
      <c r="H574" s="152">
        <f>IF(C574=11700,ROUND(VLOOKUP(G574,ThongSo!$F$2:$I$15,4,0)*B574*11.7,3),0)</f>
        <v>0</v>
      </c>
      <c r="I574" s="152">
        <f>IF(F574="Sắt vụn",ROUND(VLOOKUP(G574,ThongSo!$F$2:$I$15,4,0)*B574*E574/1000,3),"-")</f>
        <v>17.794</v>
      </c>
      <c r="L574" s="150"/>
      <c r="M574" s="150"/>
      <c r="N574" s="150"/>
    </row>
    <row r="575" spans="1:14" x14ac:dyDescent="0.25">
      <c r="A575" s="159" t="s">
        <v>330</v>
      </c>
      <c r="B575" s="160">
        <v>2</v>
      </c>
      <c r="C575" s="160">
        <v>4450</v>
      </c>
      <c r="D575" s="160" t="s">
        <v>3394</v>
      </c>
      <c r="E575" s="160">
        <v>955</v>
      </c>
      <c r="F575" s="160" t="s">
        <v>74</v>
      </c>
      <c r="G575" s="148">
        <v>32</v>
      </c>
      <c r="H575" s="152">
        <f>IF(C575=11700,ROUND(VLOOKUP(G575,ThongSo!$F$2:$I$15,4,0)*B575*11.7,3),0)</f>
        <v>0</v>
      </c>
      <c r="I575" s="152">
        <f>IF(F575="Sắt vụn",ROUND(VLOOKUP(G575,ThongSo!$F$2:$I$15,4,0)*B575*E575/1000,3),"-")</f>
        <v>12.052</v>
      </c>
      <c r="L575" s="150"/>
      <c r="M575" s="150"/>
      <c r="N575" s="150"/>
    </row>
    <row r="576" spans="1:14" x14ac:dyDescent="0.25">
      <c r="A576" s="159" t="s">
        <v>330</v>
      </c>
      <c r="B576" s="160">
        <v>2</v>
      </c>
      <c r="C576" s="160">
        <v>4450</v>
      </c>
      <c r="D576" s="160" t="s">
        <v>3395</v>
      </c>
      <c r="E576" s="160">
        <v>1030</v>
      </c>
      <c r="F576" s="160" t="s">
        <v>74</v>
      </c>
      <c r="G576" s="148">
        <v>32</v>
      </c>
      <c r="H576" s="152">
        <f>IF(C576=11700,ROUND(VLOOKUP(G576,ThongSo!$F$2:$I$15,4,0)*B576*11.7,3),0)</f>
        <v>0</v>
      </c>
      <c r="I576" s="152">
        <f>IF(F576="Sắt vụn",ROUND(VLOOKUP(G576,ThongSo!$F$2:$I$15,4,0)*B576*E576/1000,3),"-")</f>
        <v>12.999000000000001</v>
      </c>
      <c r="L576" s="150"/>
      <c r="M576" s="150"/>
      <c r="N576" s="150"/>
    </row>
    <row r="577" spans="1:14" x14ac:dyDescent="0.25">
      <c r="A577" s="159" t="s">
        <v>353</v>
      </c>
      <c r="B577" s="160">
        <v>5</v>
      </c>
      <c r="C577" s="160">
        <v>4480</v>
      </c>
      <c r="D577" s="160" t="s">
        <v>3395</v>
      </c>
      <c r="E577" s="160">
        <v>1060</v>
      </c>
      <c r="F577" s="160" t="s">
        <v>74</v>
      </c>
      <c r="G577" s="148">
        <v>32</v>
      </c>
      <c r="H577" s="152">
        <f>IF(C577=11700,ROUND(VLOOKUP(G577,ThongSo!$F$2:$I$15,4,0)*B577*11.7,3),0)</f>
        <v>0</v>
      </c>
      <c r="I577" s="152">
        <f>IF(F577="Sắt vụn",ROUND(VLOOKUP(G577,ThongSo!$F$2:$I$15,4,0)*B577*E577/1000,3),"-")</f>
        <v>33.442999999999998</v>
      </c>
      <c r="L577" s="150"/>
      <c r="M577" s="150"/>
      <c r="N577" s="150"/>
    </row>
    <row r="578" spans="1:14" x14ac:dyDescent="0.25">
      <c r="A578" s="159" t="s">
        <v>353</v>
      </c>
      <c r="B578" s="160">
        <v>5</v>
      </c>
      <c r="C578" s="160">
        <v>4480</v>
      </c>
      <c r="D578" s="160" t="s">
        <v>3396</v>
      </c>
      <c r="E578" s="160">
        <v>1060</v>
      </c>
      <c r="F578" s="160" t="s">
        <v>74</v>
      </c>
      <c r="G578" s="148">
        <v>32</v>
      </c>
      <c r="H578" s="152">
        <f>IF(C578=11700,ROUND(VLOOKUP(G578,ThongSo!$F$2:$I$15,4,0)*B578*11.7,3),0)</f>
        <v>0</v>
      </c>
      <c r="I578" s="152">
        <f>IF(F578="Sắt vụn",ROUND(VLOOKUP(G578,ThongSo!$F$2:$I$15,4,0)*B578*E578/1000,3),"-")</f>
        <v>33.442999999999998</v>
      </c>
      <c r="L578" s="150"/>
      <c r="M578" s="150"/>
      <c r="N578" s="150"/>
    </row>
    <row r="579" spans="1:14" x14ac:dyDescent="0.25">
      <c r="A579" s="159" t="s">
        <v>230</v>
      </c>
      <c r="B579" s="160">
        <v>4</v>
      </c>
      <c r="C579" s="160">
        <v>4500</v>
      </c>
      <c r="D579" s="160" t="s">
        <v>3397</v>
      </c>
      <c r="E579" s="160">
        <v>10</v>
      </c>
      <c r="F579" s="160" t="s">
        <v>74</v>
      </c>
      <c r="G579" s="148">
        <v>32</v>
      </c>
      <c r="H579" s="152">
        <f>IF(C579=11700,ROUND(VLOOKUP(G579,ThongSo!$F$2:$I$15,4,0)*B579*11.7,3),0)</f>
        <v>0</v>
      </c>
      <c r="I579" s="152">
        <f>IF(F579="Sắt vụn",ROUND(VLOOKUP(G579,ThongSo!$F$2:$I$15,4,0)*B579*E579/1000,3),"-")</f>
        <v>0.252</v>
      </c>
      <c r="L579" s="150"/>
      <c r="M579" s="150"/>
      <c r="N579" s="150"/>
    </row>
    <row r="580" spans="1:14" x14ac:dyDescent="0.25">
      <c r="A580" s="159" t="s">
        <v>230</v>
      </c>
      <c r="B580" s="160">
        <v>2</v>
      </c>
      <c r="C580" s="160">
        <v>4500</v>
      </c>
      <c r="D580" s="160" t="s">
        <v>3396</v>
      </c>
      <c r="E580" s="160">
        <v>1080</v>
      </c>
      <c r="F580" s="160" t="s">
        <v>74</v>
      </c>
      <c r="G580" s="148">
        <v>32</v>
      </c>
      <c r="H580" s="152">
        <f>IF(C580=11700,ROUND(VLOOKUP(G580,ThongSo!$F$2:$I$15,4,0)*B580*11.7,3),0)</f>
        <v>0</v>
      </c>
      <c r="I580" s="152">
        <f>IF(F580="Sắt vụn",ROUND(VLOOKUP(G580,ThongSo!$F$2:$I$15,4,0)*B580*E580/1000,3),"-")</f>
        <v>13.63</v>
      </c>
      <c r="L580" s="150"/>
      <c r="M580" s="150"/>
      <c r="N580" s="150"/>
    </row>
    <row r="581" spans="1:14" x14ac:dyDescent="0.25">
      <c r="A581" s="159" t="s">
        <v>230</v>
      </c>
      <c r="B581" s="160">
        <v>2</v>
      </c>
      <c r="C581" s="160">
        <v>4500</v>
      </c>
      <c r="D581" s="160" t="s">
        <v>3398</v>
      </c>
      <c r="E581" s="160">
        <v>1175</v>
      </c>
      <c r="F581" s="160" t="s">
        <v>74</v>
      </c>
      <c r="G581" s="148">
        <v>32</v>
      </c>
      <c r="H581" s="152">
        <f>IF(C581=11700,ROUND(VLOOKUP(G581,ThongSo!$F$2:$I$15,4,0)*B581*11.7,3),0)</f>
        <v>0</v>
      </c>
      <c r="I581" s="152">
        <f>IF(F581="Sắt vụn",ROUND(VLOOKUP(G581,ThongSo!$F$2:$I$15,4,0)*B581*E581/1000,3),"-")</f>
        <v>14.829000000000001</v>
      </c>
      <c r="L581" s="150"/>
      <c r="M581" s="150"/>
      <c r="N581" s="150"/>
    </row>
    <row r="582" spans="1:14" x14ac:dyDescent="0.25">
      <c r="A582" s="159" t="s">
        <v>311</v>
      </c>
      <c r="B582" s="160">
        <v>5</v>
      </c>
      <c r="C582" s="160">
        <v>4580</v>
      </c>
      <c r="D582" s="160" t="s">
        <v>3399</v>
      </c>
      <c r="E582" s="160">
        <v>20</v>
      </c>
      <c r="F582" s="160" t="s">
        <v>74</v>
      </c>
      <c r="G582" s="148">
        <v>32</v>
      </c>
      <c r="H582" s="152">
        <f>IF(C582=11700,ROUND(VLOOKUP(G582,ThongSo!$F$2:$I$15,4,0)*B582*11.7,3),0)</f>
        <v>0</v>
      </c>
      <c r="I582" s="152">
        <f>IF(F582="Sắt vụn",ROUND(VLOOKUP(G582,ThongSo!$F$2:$I$15,4,0)*B582*E582/1000,3),"-")</f>
        <v>0.63100000000000001</v>
      </c>
      <c r="L582" s="150"/>
      <c r="M582" s="150"/>
      <c r="N582" s="150"/>
    </row>
    <row r="583" spans="1:14" x14ac:dyDescent="0.25">
      <c r="A583" s="159" t="s">
        <v>311</v>
      </c>
      <c r="B583" s="160">
        <v>5</v>
      </c>
      <c r="C583" s="160">
        <v>4580</v>
      </c>
      <c r="D583" s="160" t="s">
        <v>3400</v>
      </c>
      <c r="E583" s="160">
        <v>30</v>
      </c>
      <c r="F583" s="160" t="s">
        <v>74</v>
      </c>
      <c r="G583" s="148">
        <v>32</v>
      </c>
      <c r="H583" s="152">
        <f>IF(C583=11700,ROUND(VLOOKUP(G583,ThongSo!$F$2:$I$15,4,0)*B583*11.7,3),0)</f>
        <v>0</v>
      </c>
      <c r="I583" s="152">
        <f>IF(F583="Sắt vụn",ROUND(VLOOKUP(G583,ThongSo!$F$2:$I$15,4,0)*B583*E583/1000,3),"-")</f>
        <v>0.94699999999999995</v>
      </c>
      <c r="L583" s="150"/>
      <c r="M583" s="150"/>
      <c r="N583" s="150"/>
    </row>
    <row r="584" spans="1:14" x14ac:dyDescent="0.25">
      <c r="A584" s="159" t="s">
        <v>146</v>
      </c>
      <c r="B584" s="160">
        <v>1</v>
      </c>
      <c r="C584" s="160">
        <v>4600</v>
      </c>
      <c r="D584" s="160" t="s">
        <v>3400</v>
      </c>
      <c r="E584" s="160">
        <v>50</v>
      </c>
      <c r="F584" s="160" t="s">
        <v>74</v>
      </c>
      <c r="G584" s="148">
        <v>32</v>
      </c>
      <c r="H584" s="152">
        <f>IF(C584=11700,ROUND(VLOOKUP(G584,ThongSo!$F$2:$I$15,4,0)*B584*11.7,3),0)</f>
        <v>0</v>
      </c>
      <c r="I584" s="152">
        <f>IF(F584="Sắt vụn",ROUND(VLOOKUP(G584,ThongSo!$F$2:$I$15,4,0)*B584*E584/1000,3),"-")</f>
        <v>0.316</v>
      </c>
      <c r="L584" s="150"/>
      <c r="M584" s="150"/>
      <c r="N584" s="150"/>
    </row>
    <row r="585" spans="1:14" x14ac:dyDescent="0.25">
      <c r="A585" s="159" t="s">
        <v>231</v>
      </c>
      <c r="B585" s="160">
        <v>1</v>
      </c>
      <c r="C585" s="160">
        <v>4605</v>
      </c>
      <c r="D585" s="160" t="s">
        <v>3400</v>
      </c>
      <c r="E585" s="160">
        <v>55</v>
      </c>
      <c r="F585" s="160" t="s">
        <v>74</v>
      </c>
      <c r="G585" s="148">
        <v>32</v>
      </c>
      <c r="H585" s="152">
        <f>IF(C585=11700,ROUND(VLOOKUP(G585,ThongSo!$F$2:$I$15,4,0)*B585*11.7,3),0)</f>
        <v>0</v>
      </c>
      <c r="I585" s="152">
        <f>IF(F585="Sắt vụn",ROUND(VLOOKUP(G585,ThongSo!$F$2:$I$15,4,0)*B585*E585/1000,3),"-")</f>
        <v>0.34699999999999998</v>
      </c>
      <c r="L585" s="150"/>
      <c r="M585" s="150"/>
      <c r="N585" s="150"/>
    </row>
    <row r="586" spans="1:14" x14ac:dyDescent="0.25">
      <c r="A586" s="159" t="s">
        <v>231</v>
      </c>
      <c r="B586" s="160">
        <v>9</v>
      </c>
      <c r="C586" s="160">
        <v>4605</v>
      </c>
      <c r="D586" s="160" t="s">
        <v>3398</v>
      </c>
      <c r="E586" s="160">
        <v>1280</v>
      </c>
      <c r="F586" s="160" t="s">
        <v>74</v>
      </c>
      <c r="G586" s="148">
        <v>32</v>
      </c>
      <c r="H586" s="152">
        <f>IF(C586=11700,ROUND(VLOOKUP(G586,ThongSo!$F$2:$I$15,4,0)*B586*11.7,3),0)</f>
        <v>0</v>
      </c>
      <c r="I586" s="152">
        <f>IF(F586="Sắt vụn",ROUND(VLOOKUP(G586,ThongSo!$F$2:$I$15,4,0)*B586*E586/1000,3),"-")</f>
        <v>72.691000000000003</v>
      </c>
      <c r="L586" s="150"/>
      <c r="M586" s="150"/>
      <c r="N586" s="150"/>
    </row>
    <row r="587" spans="1:14" x14ac:dyDescent="0.25">
      <c r="A587" s="159" t="s">
        <v>231</v>
      </c>
      <c r="B587" s="160">
        <v>1</v>
      </c>
      <c r="C587" s="160">
        <v>4605</v>
      </c>
      <c r="D587" s="160" t="s">
        <v>3401</v>
      </c>
      <c r="E587" s="160">
        <v>1295</v>
      </c>
      <c r="F587" s="160" t="s">
        <v>74</v>
      </c>
      <c r="G587" s="148">
        <v>32</v>
      </c>
      <c r="H587" s="152">
        <f>IF(C587=11700,ROUND(VLOOKUP(G587,ThongSo!$F$2:$I$15,4,0)*B587*11.7,3),0)</f>
        <v>0</v>
      </c>
      <c r="I587" s="152">
        <f>IF(F587="Sắt vụn",ROUND(VLOOKUP(G587,ThongSo!$F$2:$I$15,4,0)*B587*E587/1000,3),"-")</f>
        <v>8.1709999999999994</v>
      </c>
      <c r="L587" s="150"/>
      <c r="M587" s="150"/>
      <c r="N587" s="150"/>
    </row>
    <row r="588" spans="1:14" x14ac:dyDescent="0.25">
      <c r="A588" s="159" t="s">
        <v>232</v>
      </c>
      <c r="B588" s="160">
        <v>2</v>
      </c>
      <c r="C588" s="160">
        <v>4635</v>
      </c>
      <c r="D588" s="160" t="s">
        <v>3402</v>
      </c>
      <c r="E588" s="160">
        <v>25</v>
      </c>
      <c r="F588" s="160" t="s">
        <v>74</v>
      </c>
      <c r="G588" s="148">
        <v>32</v>
      </c>
      <c r="H588" s="152">
        <f>IF(C588=11700,ROUND(VLOOKUP(G588,ThongSo!$F$2:$I$15,4,0)*B588*11.7,3),0)</f>
        <v>0</v>
      </c>
      <c r="I588" s="152">
        <f>IF(F588="Sắt vụn",ROUND(VLOOKUP(G588,ThongSo!$F$2:$I$15,4,0)*B588*E588/1000,3),"-")</f>
        <v>0.316</v>
      </c>
      <c r="L588" s="150"/>
      <c r="M588" s="150"/>
      <c r="N588" s="150"/>
    </row>
    <row r="589" spans="1:14" x14ac:dyDescent="0.25">
      <c r="A589" s="159" t="s">
        <v>174</v>
      </c>
      <c r="B589" s="160">
        <v>2</v>
      </c>
      <c r="C589" s="160">
        <v>5390</v>
      </c>
      <c r="D589" s="160" t="s">
        <v>3403</v>
      </c>
      <c r="E589" s="160">
        <v>10</v>
      </c>
      <c r="F589" s="160" t="s">
        <v>74</v>
      </c>
      <c r="G589" s="148">
        <v>32</v>
      </c>
      <c r="H589" s="152">
        <f>IF(C589=11700,ROUND(VLOOKUP(G589,ThongSo!$F$2:$I$15,4,0)*B589*11.7,3),0)</f>
        <v>0</v>
      </c>
      <c r="I589" s="152">
        <f>IF(F589="Sắt vụn",ROUND(VLOOKUP(G589,ThongSo!$F$2:$I$15,4,0)*B589*E589/1000,3),"-")</f>
        <v>0.126</v>
      </c>
      <c r="L589" s="150"/>
      <c r="M589" s="150"/>
      <c r="N589" s="150"/>
    </row>
    <row r="590" spans="1:14" x14ac:dyDescent="0.25">
      <c r="A590" s="159" t="s">
        <v>3361</v>
      </c>
      <c r="B590" s="160">
        <v>6</v>
      </c>
      <c r="C590" s="160">
        <v>5430</v>
      </c>
      <c r="D590" s="160" t="s">
        <v>3403</v>
      </c>
      <c r="E590" s="160">
        <v>50</v>
      </c>
      <c r="F590" s="160" t="s">
        <v>74</v>
      </c>
      <c r="G590" s="148">
        <v>32</v>
      </c>
      <c r="H590" s="152">
        <f>IF(C590=11700,ROUND(VLOOKUP(G590,ThongSo!$F$2:$I$15,4,0)*B590*11.7,3),0)</f>
        <v>0</v>
      </c>
      <c r="I590" s="152">
        <f>IF(F590="Sắt vụn",ROUND(VLOOKUP(G590,ThongSo!$F$2:$I$15,4,0)*B590*E590/1000,3),"-")</f>
        <v>1.893</v>
      </c>
      <c r="L590" s="150"/>
      <c r="M590" s="150"/>
      <c r="N590" s="150"/>
    </row>
    <row r="591" spans="1:14" x14ac:dyDescent="0.25">
      <c r="A591" s="159" t="s">
        <v>3361</v>
      </c>
      <c r="B591" s="160">
        <v>7</v>
      </c>
      <c r="C591" s="160">
        <v>5430</v>
      </c>
      <c r="D591" s="160" t="s">
        <v>3404</v>
      </c>
      <c r="E591" s="160">
        <v>50</v>
      </c>
      <c r="F591" s="160" t="s">
        <v>74</v>
      </c>
      <c r="G591" s="148">
        <v>32</v>
      </c>
      <c r="H591" s="152">
        <f>IF(C591=11700,ROUND(VLOOKUP(G591,ThongSo!$F$2:$I$15,4,0)*B591*11.7,3),0)</f>
        <v>0</v>
      </c>
      <c r="I591" s="152">
        <f>IF(F591="Sắt vụn",ROUND(VLOOKUP(G591,ThongSo!$F$2:$I$15,4,0)*B591*E591/1000,3),"-")</f>
        <v>2.2090000000000001</v>
      </c>
      <c r="L591" s="150"/>
      <c r="M591" s="150"/>
      <c r="N591" s="150"/>
    </row>
    <row r="592" spans="1:14" x14ac:dyDescent="0.25">
      <c r="A592" s="159" t="s">
        <v>3362</v>
      </c>
      <c r="B592" s="160">
        <v>1</v>
      </c>
      <c r="C592" s="160">
        <v>6170</v>
      </c>
      <c r="D592" s="160" t="s">
        <v>3405</v>
      </c>
      <c r="E592" s="160">
        <v>0</v>
      </c>
      <c r="F592" s="160"/>
      <c r="G592" s="148">
        <v>32</v>
      </c>
      <c r="H592" s="152">
        <f>IF(C592=11700,ROUND(VLOOKUP(G592,ThongSo!$F$2:$I$15,4,0)*B592*11.7,3),0)</f>
        <v>0</v>
      </c>
      <c r="I592" s="152" t="str">
        <f>IF(F592="Sắt vụn",ROUND(VLOOKUP(G592,ThongSo!$F$2:$I$15,4,0)*B592*E592/1000,3),"-")</f>
        <v>-</v>
      </c>
      <c r="L592" s="150"/>
      <c r="M592" s="150"/>
      <c r="N592" s="150"/>
    </row>
    <row r="593" spans="1:14" x14ac:dyDescent="0.25">
      <c r="A593" s="159">
        <v>66</v>
      </c>
      <c r="B593" s="160">
        <v>10</v>
      </c>
      <c r="C593" s="160">
        <v>11700</v>
      </c>
      <c r="D593" s="160" t="s">
        <v>3406</v>
      </c>
      <c r="E593" s="160">
        <v>0</v>
      </c>
      <c r="F593" s="160"/>
      <c r="G593" s="148">
        <v>32</v>
      </c>
      <c r="H593" s="152">
        <f>IF(C593=11700,ROUND(VLOOKUP(G593,ThongSo!$F$2:$I$15,4,0)*B593*11.7,3),0)</f>
        <v>738.27</v>
      </c>
      <c r="I593" s="152" t="str">
        <f>IF(F593="Sắt vụn",ROUND(VLOOKUP(G593,ThongSo!$F$2:$I$15,4,0)*B593*E593/1000,3),"-")</f>
        <v>-</v>
      </c>
      <c r="L593" s="150"/>
      <c r="M593" s="150"/>
      <c r="N593" s="150"/>
    </row>
    <row r="594" spans="1:14" x14ac:dyDescent="0.25">
      <c r="A594" s="159">
        <v>67</v>
      </c>
      <c r="B594" s="160">
        <v>4</v>
      </c>
      <c r="C594" s="160">
        <v>11700</v>
      </c>
      <c r="D594" s="160" t="s">
        <v>3407</v>
      </c>
      <c r="E594" s="160">
        <v>0</v>
      </c>
      <c r="F594" s="160"/>
      <c r="G594" s="148">
        <v>32</v>
      </c>
      <c r="H594" s="152">
        <f>IF(C594=11700,ROUND(VLOOKUP(G594,ThongSo!$F$2:$I$15,4,0)*B594*11.7,3),0)</f>
        <v>295.30799999999999</v>
      </c>
      <c r="I594" s="152" t="str">
        <f>IF(F594="Sắt vụn",ROUND(VLOOKUP(G594,ThongSo!$F$2:$I$15,4,0)*B594*E594/1000,3),"-")</f>
        <v>-</v>
      </c>
      <c r="L594" s="150"/>
      <c r="M594" s="150"/>
      <c r="N594" s="150"/>
    </row>
    <row r="595" spans="1:14" x14ac:dyDescent="0.25">
      <c r="A595" s="159">
        <v>68</v>
      </c>
      <c r="B595" s="160">
        <v>3</v>
      </c>
      <c r="C595" s="160">
        <v>11700</v>
      </c>
      <c r="D595" s="160" t="s">
        <v>3408</v>
      </c>
      <c r="E595" s="160">
        <v>0</v>
      </c>
      <c r="F595" s="160"/>
      <c r="G595" s="148">
        <v>32</v>
      </c>
      <c r="H595" s="152">
        <f>IF(C595=11700,ROUND(VLOOKUP(G595,ThongSo!$F$2:$I$15,4,0)*B595*11.7,3),0)</f>
        <v>221.48099999999999</v>
      </c>
      <c r="I595" s="152" t="str">
        <f>IF(F595="Sắt vụn",ROUND(VLOOKUP(G595,ThongSo!$F$2:$I$15,4,0)*B595*E595/1000,3),"-")</f>
        <v>-</v>
      </c>
      <c r="L595" s="150"/>
      <c r="M595" s="150"/>
      <c r="N595" s="150"/>
    </row>
    <row r="596" spans="1:14" x14ac:dyDescent="0.25">
      <c r="A596" s="159">
        <v>69</v>
      </c>
      <c r="B596" s="160">
        <v>3</v>
      </c>
      <c r="C596" s="160">
        <v>11700</v>
      </c>
      <c r="D596" s="160" t="s">
        <v>3409</v>
      </c>
      <c r="E596" s="160">
        <v>0</v>
      </c>
      <c r="F596" s="160"/>
      <c r="G596" s="148">
        <v>32</v>
      </c>
      <c r="H596" s="152">
        <f>IF(C596=11700,ROUND(VLOOKUP(G596,ThongSo!$F$2:$I$15,4,0)*B596*11.7,3),0)</f>
        <v>221.48099999999999</v>
      </c>
      <c r="I596" s="152" t="str">
        <f>IF(F596="Sắt vụn",ROUND(VLOOKUP(G596,ThongSo!$F$2:$I$15,4,0)*B596*E596/1000,3),"-")</f>
        <v>-</v>
      </c>
      <c r="L596" s="150"/>
      <c r="M596" s="150"/>
      <c r="N596" s="150"/>
    </row>
    <row r="597" spans="1:14" x14ac:dyDescent="0.25">
      <c r="A597" s="159">
        <v>70</v>
      </c>
      <c r="B597" s="160">
        <v>2</v>
      </c>
      <c r="C597" s="160">
        <v>11700</v>
      </c>
      <c r="D597" s="160" t="s">
        <v>3410</v>
      </c>
      <c r="E597" s="160">
        <v>0</v>
      </c>
      <c r="F597" s="160"/>
      <c r="G597" s="148">
        <v>32</v>
      </c>
      <c r="H597" s="152">
        <f>IF(C597=11700,ROUND(VLOOKUP(G597,ThongSo!$F$2:$I$15,4,0)*B597*11.7,3),0)</f>
        <v>147.654</v>
      </c>
      <c r="I597" s="152" t="str">
        <f>IF(F597="Sắt vụn",ROUND(VLOOKUP(G597,ThongSo!$F$2:$I$15,4,0)*B597*E597/1000,3),"-")</f>
        <v>-</v>
      </c>
      <c r="L597" s="150"/>
      <c r="M597" s="150"/>
      <c r="N597" s="150"/>
    </row>
    <row r="598" spans="1:14" x14ac:dyDescent="0.25">
      <c r="A598" s="159">
        <v>71</v>
      </c>
      <c r="B598" s="160">
        <v>3</v>
      </c>
      <c r="C598" s="160">
        <v>11700</v>
      </c>
      <c r="D598" s="160" t="s">
        <v>3411</v>
      </c>
      <c r="E598" s="160">
        <v>0</v>
      </c>
      <c r="F598" s="160"/>
      <c r="G598" s="148">
        <v>32</v>
      </c>
      <c r="H598" s="152">
        <f>IF(C598=11700,ROUND(VLOOKUP(G598,ThongSo!$F$2:$I$15,4,0)*B598*11.7,3),0)</f>
        <v>221.48099999999999</v>
      </c>
      <c r="I598" s="152" t="str">
        <f>IF(F598="Sắt vụn",ROUND(VLOOKUP(G598,ThongSo!$F$2:$I$15,4,0)*B598*E598/1000,3),"-")</f>
        <v>-</v>
      </c>
      <c r="L598" s="150"/>
      <c r="M598" s="150"/>
      <c r="N598" s="150"/>
    </row>
    <row r="599" spans="1:14" x14ac:dyDescent="0.25">
      <c r="A599" s="159">
        <v>72</v>
      </c>
      <c r="B599" s="160">
        <v>3</v>
      </c>
      <c r="C599" s="160">
        <v>11700</v>
      </c>
      <c r="D599" s="160" t="s">
        <v>3412</v>
      </c>
      <c r="E599" s="160">
        <v>0</v>
      </c>
      <c r="F599" s="160"/>
      <c r="G599" s="148">
        <v>32</v>
      </c>
      <c r="H599" s="152">
        <f>IF(C599=11700,ROUND(VLOOKUP(G599,ThongSo!$F$2:$I$15,4,0)*B599*11.7,3),0)</f>
        <v>221.48099999999999</v>
      </c>
      <c r="I599" s="152" t="str">
        <f>IF(F599="Sắt vụn",ROUND(VLOOKUP(G599,ThongSo!$F$2:$I$15,4,0)*B599*E599/1000,3),"-")</f>
        <v>-</v>
      </c>
      <c r="L599" s="150"/>
      <c r="M599" s="150"/>
      <c r="N599" s="150"/>
    </row>
    <row r="600" spans="1:14" x14ac:dyDescent="0.25">
      <c r="A600" s="159">
        <v>73</v>
      </c>
      <c r="B600" s="160">
        <v>1</v>
      </c>
      <c r="C600" s="160">
        <v>11700</v>
      </c>
      <c r="D600" s="160" t="s">
        <v>3413</v>
      </c>
      <c r="E600" s="160">
        <v>0</v>
      </c>
      <c r="F600" s="160"/>
      <c r="G600" s="148">
        <v>32</v>
      </c>
      <c r="H600" s="152">
        <f>IF(C600=11700,ROUND(VLOOKUP(G600,ThongSo!$F$2:$I$15,4,0)*B600*11.7,3),0)</f>
        <v>73.826999999999998</v>
      </c>
      <c r="I600" s="152" t="str">
        <f>IF(F600="Sắt vụn",ROUND(VLOOKUP(G600,ThongSo!$F$2:$I$15,4,0)*B600*E600/1000,3),"-")</f>
        <v>-</v>
      </c>
      <c r="L600" s="150"/>
      <c r="M600" s="150"/>
      <c r="N600" s="150"/>
    </row>
    <row r="601" spans="1:14" x14ac:dyDescent="0.25">
      <c r="A601" s="159">
        <v>74</v>
      </c>
      <c r="B601" s="160">
        <v>3</v>
      </c>
      <c r="C601" s="160">
        <v>11700</v>
      </c>
      <c r="D601" s="160" t="s">
        <v>3414</v>
      </c>
      <c r="E601" s="160">
        <v>0</v>
      </c>
      <c r="F601" s="160"/>
      <c r="G601" s="148">
        <v>32</v>
      </c>
      <c r="H601" s="152">
        <f>IF(C601=11700,ROUND(VLOOKUP(G601,ThongSo!$F$2:$I$15,4,0)*B601*11.7,3),0)</f>
        <v>221.48099999999999</v>
      </c>
      <c r="I601" s="152" t="str">
        <f>IF(F601="Sắt vụn",ROUND(VLOOKUP(G601,ThongSo!$F$2:$I$15,4,0)*B601*E601/1000,3),"-")</f>
        <v>-</v>
      </c>
      <c r="L601" s="150"/>
      <c r="M601" s="150"/>
      <c r="N601" s="150"/>
    </row>
    <row r="602" spans="1:14" x14ac:dyDescent="0.25">
      <c r="A602" s="159">
        <v>75</v>
      </c>
      <c r="B602" s="160">
        <v>2</v>
      </c>
      <c r="C602" s="160">
        <v>11700</v>
      </c>
      <c r="D602" s="160" t="s">
        <v>3415</v>
      </c>
      <c r="E602" s="160">
        <v>0</v>
      </c>
      <c r="F602" s="160"/>
      <c r="G602" s="148">
        <v>32</v>
      </c>
      <c r="H602" s="152">
        <f>IF(C602=11700,ROUND(VLOOKUP(G602,ThongSo!$F$2:$I$15,4,0)*B602*11.7,3),0)</f>
        <v>147.654</v>
      </c>
      <c r="I602" s="152" t="str">
        <f>IF(F602="Sắt vụn",ROUND(VLOOKUP(G602,ThongSo!$F$2:$I$15,4,0)*B602*E602/1000,3),"-")</f>
        <v>-</v>
      </c>
      <c r="L602" s="150"/>
      <c r="M602" s="150"/>
      <c r="N602" s="150"/>
    </row>
    <row r="603" spans="1:14" x14ac:dyDescent="0.25">
      <c r="A603" s="159">
        <v>76</v>
      </c>
      <c r="B603" s="160">
        <v>2</v>
      </c>
      <c r="C603" s="160">
        <v>11700</v>
      </c>
      <c r="D603" s="160" t="s">
        <v>3416</v>
      </c>
      <c r="E603" s="160">
        <v>5</v>
      </c>
      <c r="F603" s="160" t="s">
        <v>74</v>
      </c>
      <c r="G603" s="148">
        <v>32</v>
      </c>
      <c r="H603" s="152">
        <f>IF(C603=11700,ROUND(VLOOKUP(G603,ThongSo!$F$2:$I$15,4,0)*B603*11.7,3),0)</f>
        <v>147.654</v>
      </c>
      <c r="I603" s="152">
        <f>IF(F603="Sắt vụn",ROUND(VLOOKUP(G603,ThongSo!$F$2:$I$15,4,0)*B603*E603/1000,3),"-")</f>
        <v>6.3E-2</v>
      </c>
      <c r="L603" s="150"/>
      <c r="M603" s="150"/>
      <c r="N603" s="150"/>
    </row>
    <row r="604" spans="1:14" x14ac:dyDescent="0.25">
      <c r="A604" s="159">
        <v>77</v>
      </c>
      <c r="B604" s="160">
        <v>1</v>
      </c>
      <c r="C604" s="160">
        <v>11700</v>
      </c>
      <c r="D604" s="160" t="s">
        <v>3417</v>
      </c>
      <c r="E604" s="160">
        <v>5</v>
      </c>
      <c r="F604" s="160" t="s">
        <v>74</v>
      </c>
      <c r="G604" s="148">
        <v>32</v>
      </c>
      <c r="H604" s="152">
        <f>IF(C604=11700,ROUND(VLOOKUP(G604,ThongSo!$F$2:$I$15,4,0)*B604*11.7,3),0)</f>
        <v>73.826999999999998</v>
      </c>
      <c r="I604" s="152">
        <f>IF(F604="Sắt vụn",ROUND(VLOOKUP(G604,ThongSo!$F$2:$I$15,4,0)*B604*E604/1000,3),"-")</f>
        <v>3.2000000000000001E-2</v>
      </c>
      <c r="L604" s="150"/>
      <c r="M604" s="150"/>
      <c r="N604" s="150"/>
    </row>
    <row r="605" spans="1:14" x14ac:dyDescent="0.25">
      <c r="A605" s="159">
        <v>78</v>
      </c>
      <c r="B605" s="160">
        <v>3</v>
      </c>
      <c r="C605" s="160">
        <v>11700</v>
      </c>
      <c r="D605" s="160" t="s">
        <v>3418</v>
      </c>
      <c r="E605" s="160">
        <v>5</v>
      </c>
      <c r="F605" s="160" t="s">
        <v>74</v>
      </c>
      <c r="G605" s="148">
        <v>32</v>
      </c>
      <c r="H605" s="152">
        <f>IF(C605=11700,ROUND(VLOOKUP(G605,ThongSo!$F$2:$I$15,4,0)*B605*11.7,3),0)</f>
        <v>221.48099999999999</v>
      </c>
      <c r="I605" s="152">
        <f>IF(F605="Sắt vụn",ROUND(VLOOKUP(G605,ThongSo!$F$2:$I$15,4,0)*B605*E605/1000,3),"-")</f>
        <v>9.5000000000000001E-2</v>
      </c>
      <c r="L605" s="150"/>
      <c r="M605" s="150"/>
      <c r="N605" s="150"/>
    </row>
    <row r="606" spans="1:14" x14ac:dyDescent="0.25">
      <c r="A606" s="159">
        <v>79</v>
      </c>
      <c r="B606" s="160">
        <v>1</v>
      </c>
      <c r="C606" s="160">
        <v>11700</v>
      </c>
      <c r="D606" s="160" t="s">
        <v>3419</v>
      </c>
      <c r="E606" s="160">
        <v>5</v>
      </c>
      <c r="F606" s="160" t="s">
        <v>74</v>
      </c>
      <c r="G606" s="148">
        <v>32</v>
      </c>
      <c r="H606" s="152">
        <f>IF(C606=11700,ROUND(VLOOKUP(G606,ThongSo!$F$2:$I$15,4,0)*B606*11.7,3),0)</f>
        <v>73.826999999999998</v>
      </c>
      <c r="I606" s="152">
        <f>IF(F606="Sắt vụn",ROUND(VLOOKUP(G606,ThongSo!$F$2:$I$15,4,0)*B606*E606/1000,3),"-")</f>
        <v>3.2000000000000001E-2</v>
      </c>
      <c r="L606" s="150"/>
      <c r="M606" s="150"/>
      <c r="N606" s="150"/>
    </row>
    <row r="607" spans="1:14" x14ac:dyDescent="0.25">
      <c r="A607" s="159">
        <v>80</v>
      </c>
      <c r="B607" s="160">
        <v>4</v>
      </c>
      <c r="C607" s="160">
        <v>11700</v>
      </c>
      <c r="D607" s="160" t="s">
        <v>3420</v>
      </c>
      <c r="E607" s="160">
        <v>10</v>
      </c>
      <c r="F607" s="160" t="s">
        <v>74</v>
      </c>
      <c r="G607" s="148">
        <v>32</v>
      </c>
      <c r="H607" s="152">
        <f>IF(C607=11700,ROUND(VLOOKUP(G607,ThongSo!$F$2:$I$15,4,0)*B607*11.7,3),0)</f>
        <v>295.30799999999999</v>
      </c>
      <c r="I607" s="152">
        <f>IF(F607="Sắt vụn",ROUND(VLOOKUP(G607,ThongSo!$F$2:$I$15,4,0)*B607*E607/1000,3),"-")</f>
        <v>0.252</v>
      </c>
      <c r="L607" s="150"/>
      <c r="M607" s="150"/>
      <c r="N607" s="150"/>
    </row>
    <row r="608" spans="1:14" x14ac:dyDescent="0.25">
      <c r="A608" s="159">
        <v>81</v>
      </c>
      <c r="B608" s="160">
        <v>1</v>
      </c>
      <c r="C608" s="160">
        <v>11700</v>
      </c>
      <c r="D608" s="160" t="s">
        <v>3421</v>
      </c>
      <c r="E608" s="160">
        <v>15</v>
      </c>
      <c r="F608" s="160" t="s">
        <v>74</v>
      </c>
      <c r="G608" s="148">
        <v>32</v>
      </c>
      <c r="H608" s="152">
        <f>IF(C608=11700,ROUND(VLOOKUP(G608,ThongSo!$F$2:$I$15,4,0)*B608*11.7,3),0)</f>
        <v>73.826999999999998</v>
      </c>
      <c r="I608" s="152">
        <f>IF(F608="Sắt vụn",ROUND(VLOOKUP(G608,ThongSo!$F$2:$I$15,4,0)*B608*E608/1000,3),"-")</f>
        <v>9.5000000000000001E-2</v>
      </c>
      <c r="L608" s="150"/>
      <c r="M608" s="150"/>
      <c r="N608" s="150"/>
    </row>
    <row r="609" spans="1:14" x14ac:dyDescent="0.25">
      <c r="A609" s="159">
        <v>82</v>
      </c>
      <c r="B609" s="160">
        <v>1</v>
      </c>
      <c r="C609" s="160">
        <v>11700</v>
      </c>
      <c r="D609" s="160" t="s">
        <v>3422</v>
      </c>
      <c r="E609" s="160">
        <v>15</v>
      </c>
      <c r="F609" s="160" t="s">
        <v>74</v>
      </c>
      <c r="G609" s="148">
        <v>32</v>
      </c>
      <c r="H609" s="152">
        <f>IF(C609=11700,ROUND(VLOOKUP(G609,ThongSo!$F$2:$I$15,4,0)*B609*11.7,3),0)</f>
        <v>73.826999999999998</v>
      </c>
      <c r="I609" s="152">
        <f>IF(F609="Sắt vụn",ROUND(VLOOKUP(G609,ThongSo!$F$2:$I$15,4,0)*B609*E609/1000,3),"-")</f>
        <v>9.5000000000000001E-2</v>
      </c>
      <c r="L609" s="150"/>
      <c r="M609" s="150"/>
      <c r="N609" s="150"/>
    </row>
    <row r="610" spans="1:14" x14ac:dyDescent="0.25">
      <c r="A610" s="159">
        <v>83</v>
      </c>
      <c r="B610" s="160">
        <v>5</v>
      </c>
      <c r="C610" s="160">
        <v>11700</v>
      </c>
      <c r="D610" s="160" t="s">
        <v>3423</v>
      </c>
      <c r="E610" s="160">
        <v>20</v>
      </c>
      <c r="F610" s="160" t="s">
        <v>74</v>
      </c>
      <c r="G610" s="148">
        <v>32</v>
      </c>
      <c r="H610" s="152">
        <f>IF(C610=11700,ROUND(VLOOKUP(G610,ThongSo!$F$2:$I$15,4,0)*B610*11.7,3),0)</f>
        <v>369.13499999999999</v>
      </c>
      <c r="I610" s="152">
        <f>IF(F610="Sắt vụn",ROUND(VLOOKUP(G610,ThongSo!$F$2:$I$15,4,0)*B610*E610/1000,3),"-")</f>
        <v>0.63100000000000001</v>
      </c>
      <c r="L610" s="150"/>
      <c r="M610" s="150"/>
      <c r="N610" s="150"/>
    </row>
    <row r="611" spans="1:14" x14ac:dyDescent="0.25">
      <c r="A611" s="159">
        <v>84</v>
      </c>
      <c r="B611" s="160">
        <v>1</v>
      </c>
      <c r="C611" s="160">
        <v>11700</v>
      </c>
      <c r="D611" s="160" t="s">
        <v>3424</v>
      </c>
      <c r="E611" s="160">
        <v>20</v>
      </c>
      <c r="F611" s="160" t="s">
        <v>74</v>
      </c>
      <c r="G611" s="148">
        <v>32</v>
      </c>
      <c r="H611" s="152">
        <f>IF(C611=11700,ROUND(VLOOKUP(G611,ThongSo!$F$2:$I$15,4,0)*B611*11.7,3),0)</f>
        <v>73.826999999999998</v>
      </c>
      <c r="I611" s="152">
        <f>IF(F611="Sắt vụn",ROUND(VLOOKUP(G611,ThongSo!$F$2:$I$15,4,0)*B611*E611/1000,3),"-")</f>
        <v>0.126</v>
      </c>
      <c r="L611" s="150"/>
      <c r="M611" s="150"/>
      <c r="N611" s="150"/>
    </row>
    <row r="612" spans="1:14" x14ac:dyDescent="0.25">
      <c r="A612" s="159">
        <v>85</v>
      </c>
      <c r="B612" s="160">
        <v>3</v>
      </c>
      <c r="C612" s="160">
        <v>11700</v>
      </c>
      <c r="D612" s="160" t="s">
        <v>3425</v>
      </c>
      <c r="E612" s="160">
        <v>30</v>
      </c>
      <c r="F612" s="160" t="s">
        <v>74</v>
      </c>
      <c r="G612" s="148">
        <v>32</v>
      </c>
      <c r="H612" s="152">
        <f>IF(C612=11700,ROUND(VLOOKUP(G612,ThongSo!$F$2:$I$15,4,0)*B612*11.7,3),0)</f>
        <v>221.48099999999999</v>
      </c>
      <c r="I612" s="152">
        <f>IF(F612="Sắt vụn",ROUND(VLOOKUP(G612,ThongSo!$F$2:$I$15,4,0)*B612*E612/1000,3),"-")</f>
        <v>0.56799999999999995</v>
      </c>
      <c r="L612" s="150"/>
      <c r="M612" s="150"/>
      <c r="N612" s="150"/>
    </row>
    <row r="613" spans="1:14" x14ac:dyDescent="0.25">
      <c r="A613" s="159">
        <v>86</v>
      </c>
      <c r="B613" s="160">
        <v>1</v>
      </c>
      <c r="C613" s="160">
        <v>11700</v>
      </c>
      <c r="D613" s="160" t="s">
        <v>3426</v>
      </c>
      <c r="E613" s="160">
        <v>40</v>
      </c>
      <c r="F613" s="160" t="s">
        <v>74</v>
      </c>
      <c r="G613" s="148">
        <v>32</v>
      </c>
      <c r="H613" s="152">
        <f>IF(C613=11700,ROUND(VLOOKUP(G613,ThongSo!$F$2:$I$15,4,0)*B613*11.7,3),0)</f>
        <v>73.826999999999998</v>
      </c>
      <c r="I613" s="152">
        <f>IF(F613="Sắt vụn",ROUND(VLOOKUP(G613,ThongSo!$F$2:$I$15,4,0)*B613*E613/1000,3),"-")</f>
        <v>0.252</v>
      </c>
      <c r="L613" s="150"/>
      <c r="M613" s="150"/>
      <c r="N613" s="150"/>
    </row>
    <row r="614" spans="1:14" x14ac:dyDescent="0.25">
      <c r="A614" s="159">
        <v>87</v>
      </c>
      <c r="B614" s="160">
        <v>4</v>
      </c>
      <c r="C614" s="160">
        <v>11700</v>
      </c>
      <c r="D614" s="160" t="s">
        <v>3427</v>
      </c>
      <c r="E614" s="160">
        <v>45</v>
      </c>
      <c r="F614" s="160" t="s">
        <v>74</v>
      </c>
      <c r="G614" s="148">
        <v>32</v>
      </c>
      <c r="H614" s="152">
        <f>IF(C614=11700,ROUND(VLOOKUP(G614,ThongSo!$F$2:$I$15,4,0)*B614*11.7,3),0)</f>
        <v>295.30799999999999</v>
      </c>
      <c r="I614" s="152">
        <f>IF(F614="Sắt vụn",ROUND(VLOOKUP(G614,ThongSo!$F$2:$I$15,4,0)*B614*E614/1000,3),"-")</f>
        <v>1.1359999999999999</v>
      </c>
      <c r="L614" s="150"/>
      <c r="M614" s="150"/>
      <c r="N614" s="150"/>
    </row>
    <row r="615" spans="1:14" x14ac:dyDescent="0.25">
      <c r="A615" s="159">
        <v>88</v>
      </c>
      <c r="B615" s="160">
        <v>5</v>
      </c>
      <c r="C615" s="160">
        <v>11700</v>
      </c>
      <c r="D615" s="160" t="s">
        <v>3428</v>
      </c>
      <c r="E615" s="160">
        <v>50</v>
      </c>
      <c r="F615" s="160" t="s">
        <v>74</v>
      </c>
      <c r="G615" s="148">
        <v>32</v>
      </c>
      <c r="H615" s="152">
        <f>IF(C615=11700,ROUND(VLOOKUP(G615,ThongSo!$F$2:$I$15,4,0)*B615*11.7,3),0)</f>
        <v>369.13499999999999</v>
      </c>
      <c r="I615" s="152">
        <f>IF(F615="Sắt vụn",ROUND(VLOOKUP(G615,ThongSo!$F$2:$I$15,4,0)*B615*E615/1000,3),"-")</f>
        <v>1.5780000000000001</v>
      </c>
      <c r="L615" s="150"/>
      <c r="M615" s="150"/>
      <c r="N615" s="150"/>
    </row>
    <row r="616" spans="1:14" x14ac:dyDescent="0.25">
      <c r="A616" s="159">
        <v>89</v>
      </c>
      <c r="B616" s="160">
        <v>5</v>
      </c>
      <c r="C616" s="160">
        <v>11700</v>
      </c>
      <c r="D616" s="160" t="s">
        <v>3429</v>
      </c>
      <c r="E616" s="160">
        <v>50</v>
      </c>
      <c r="F616" s="160" t="s">
        <v>74</v>
      </c>
      <c r="G616" s="148">
        <v>32</v>
      </c>
      <c r="H616" s="152">
        <f>IF(C616=11700,ROUND(VLOOKUP(G616,ThongSo!$F$2:$I$15,4,0)*B616*11.7,3),0)</f>
        <v>369.13499999999999</v>
      </c>
      <c r="I616" s="152">
        <f>IF(F616="Sắt vụn",ROUND(VLOOKUP(G616,ThongSo!$F$2:$I$15,4,0)*B616*E616/1000,3),"-")</f>
        <v>1.5780000000000001</v>
      </c>
      <c r="L616" s="150"/>
      <c r="M616" s="150"/>
      <c r="N616" s="150"/>
    </row>
    <row r="617" spans="1:14" x14ac:dyDescent="0.25">
      <c r="A617" s="159">
        <v>90</v>
      </c>
      <c r="B617" s="160">
        <v>1</v>
      </c>
      <c r="C617" s="160">
        <v>11700</v>
      </c>
      <c r="D617" s="160" t="s">
        <v>3430</v>
      </c>
      <c r="E617" s="160">
        <v>50</v>
      </c>
      <c r="F617" s="160" t="s">
        <v>74</v>
      </c>
      <c r="G617" s="148">
        <v>32</v>
      </c>
      <c r="H617" s="152">
        <f>IF(C617=11700,ROUND(VLOOKUP(G617,ThongSo!$F$2:$I$15,4,0)*B617*11.7,3),0)</f>
        <v>73.826999999999998</v>
      </c>
      <c r="I617" s="152">
        <f>IF(F617="Sắt vụn",ROUND(VLOOKUP(G617,ThongSo!$F$2:$I$15,4,0)*B617*E617/1000,3),"-")</f>
        <v>0.316</v>
      </c>
      <c r="L617" s="150"/>
      <c r="M617" s="150"/>
      <c r="N617" s="150"/>
    </row>
    <row r="618" spans="1:14" x14ac:dyDescent="0.25">
      <c r="A618" s="159">
        <v>91</v>
      </c>
      <c r="B618" s="160">
        <v>4</v>
      </c>
      <c r="C618" s="160">
        <v>11700</v>
      </c>
      <c r="D618" s="160" t="s">
        <v>3431</v>
      </c>
      <c r="E618" s="160">
        <v>50</v>
      </c>
      <c r="F618" s="160" t="s">
        <v>74</v>
      </c>
      <c r="G618" s="148">
        <v>32</v>
      </c>
      <c r="H618" s="152">
        <f>IF(C618=11700,ROUND(VLOOKUP(G618,ThongSo!$F$2:$I$15,4,0)*B618*11.7,3),0)</f>
        <v>295.30799999999999</v>
      </c>
      <c r="I618" s="152">
        <f>IF(F618="Sắt vụn",ROUND(VLOOKUP(G618,ThongSo!$F$2:$I$15,4,0)*B618*E618/1000,3),"-")</f>
        <v>1.262</v>
      </c>
      <c r="L618" s="150"/>
      <c r="M618" s="150"/>
      <c r="N618" s="150"/>
    </row>
    <row r="619" spans="1:14" x14ac:dyDescent="0.25">
      <c r="A619" s="159">
        <v>92</v>
      </c>
      <c r="B619" s="160">
        <v>4</v>
      </c>
      <c r="C619" s="160">
        <v>11700</v>
      </c>
      <c r="D619" s="160" t="s">
        <v>3432</v>
      </c>
      <c r="E619" s="160">
        <v>50</v>
      </c>
      <c r="F619" s="160" t="s">
        <v>74</v>
      </c>
      <c r="G619" s="148">
        <v>32</v>
      </c>
      <c r="H619" s="152">
        <f>IF(C619=11700,ROUND(VLOOKUP(G619,ThongSo!$F$2:$I$15,4,0)*B619*11.7,3),0)</f>
        <v>295.30799999999999</v>
      </c>
      <c r="I619" s="152">
        <f>IF(F619="Sắt vụn",ROUND(VLOOKUP(G619,ThongSo!$F$2:$I$15,4,0)*B619*E619/1000,3),"-")</f>
        <v>1.262</v>
      </c>
      <c r="L619" s="150"/>
      <c r="M619" s="150"/>
      <c r="N619" s="150"/>
    </row>
    <row r="620" spans="1:14" x14ac:dyDescent="0.25">
      <c r="A620" s="159">
        <v>93</v>
      </c>
      <c r="B620" s="160">
        <v>7</v>
      </c>
      <c r="C620" s="160">
        <v>11700</v>
      </c>
      <c r="D620" s="160" t="s">
        <v>3433</v>
      </c>
      <c r="E620" s="160">
        <v>60</v>
      </c>
      <c r="F620" s="160" t="s">
        <v>74</v>
      </c>
      <c r="G620" s="148">
        <v>32</v>
      </c>
      <c r="H620" s="152">
        <f>IF(C620=11700,ROUND(VLOOKUP(G620,ThongSo!$F$2:$I$15,4,0)*B620*11.7,3),0)</f>
        <v>516.78899999999999</v>
      </c>
      <c r="I620" s="152">
        <f>IF(F620="Sắt vụn",ROUND(VLOOKUP(G620,ThongSo!$F$2:$I$15,4,0)*B620*E620/1000,3),"-")</f>
        <v>2.65</v>
      </c>
      <c r="L620" s="150"/>
      <c r="M620" s="150"/>
      <c r="N620" s="150"/>
    </row>
    <row r="621" spans="1:14" x14ac:dyDescent="0.25">
      <c r="A621" s="159">
        <v>94</v>
      </c>
      <c r="B621" s="160">
        <v>3</v>
      </c>
      <c r="C621" s="160">
        <v>11700</v>
      </c>
      <c r="D621" s="160" t="s">
        <v>3434</v>
      </c>
      <c r="E621" s="160">
        <v>70</v>
      </c>
      <c r="F621" s="160" t="s">
        <v>74</v>
      </c>
      <c r="G621" s="148">
        <v>32</v>
      </c>
      <c r="H621" s="152">
        <f>IF(C621=11700,ROUND(VLOOKUP(G621,ThongSo!$F$2:$I$15,4,0)*B621*11.7,3),0)</f>
        <v>221.48099999999999</v>
      </c>
      <c r="I621" s="152">
        <f>IF(F621="Sắt vụn",ROUND(VLOOKUP(G621,ThongSo!$F$2:$I$15,4,0)*B621*E621/1000,3),"-")</f>
        <v>1.325</v>
      </c>
      <c r="L621" s="150"/>
      <c r="M621" s="150"/>
      <c r="N621" s="150"/>
    </row>
    <row r="622" spans="1:14" x14ac:dyDescent="0.25">
      <c r="A622" s="159">
        <v>95</v>
      </c>
      <c r="B622" s="160">
        <v>5</v>
      </c>
      <c r="C622" s="160">
        <v>11700</v>
      </c>
      <c r="D622" s="160" t="s">
        <v>3435</v>
      </c>
      <c r="E622" s="160">
        <v>75</v>
      </c>
      <c r="F622" s="160" t="s">
        <v>74</v>
      </c>
      <c r="G622" s="148">
        <v>32</v>
      </c>
      <c r="H622" s="152">
        <f>IF(C622=11700,ROUND(VLOOKUP(G622,ThongSo!$F$2:$I$15,4,0)*B622*11.7,3),0)</f>
        <v>369.13499999999999</v>
      </c>
      <c r="I622" s="152">
        <f>IF(F622="Sắt vụn",ROUND(VLOOKUP(G622,ThongSo!$F$2:$I$15,4,0)*B622*E622/1000,3),"-")</f>
        <v>2.3660000000000001</v>
      </c>
      <c r="L622" s="150"/>
      <c r="M622" s="150"/>
      <c r="N622" s="150"/>
    </row>
    <row r="623" spans="1:14" x14ac:dyDescent="0.25">
      <c r="A623" s="159">
        <v>96</v>
      </c>
      <c r="B623" s="160">
        <v>5</v>
      </c>
      <c r="C623" s="160">
        <v>11700</v>
      </c>
      <c r="D623" s="160" t="s">
        <v>3436</v>
      </c>
      <c r="E623" s="160">
        <v>100</v>
      </c>
      <c r="F623" s="160" t="s">
        <v>74</v>
      </c>
      <c r="G623" s="148">
        <v>32</v>
      </c>
      <c r="H623" s="152">
        <f>IF(C623=11700,ROUND(VLOOKUP(G623,ThongSo!$F$2:$I$15,4,0)*B623*11.7,3),0)</f>
        <v>369.13499999999999</v>
      </c>
      <c r="I623" s="152">
        <f>IF(F623="Sắt vụn",ROUND(VLOOKUP(G623,ThongSo!$F$2:$I$15,4,0)*B623*E623/1000,3),"-")</f>
        <v>3.1549999999999998</v>
      </c>
      <c r="L623" s="150"/>
      <c r="M623" s="150"/>
      <c r="N623" s="150"/>
    </row>
    <row r="624" spans="1:14" x14ac:dyDescent="0.25">
      <c r="A624" s="159">
        <v>97</v>
      </c>
      <c r="B624" s="160">
        <v>2</v>
      </c>
      <c r="C624" s="160">
        <v>11700</v>
      </c>
      <c r="D624" s="160" t="s">
        <v>3437</v>
      </c>
      <c r="E624" s="160">
        <v>100</v>
      </c>
      <c r="F624" s="160" t="s">
        <v>74</v>
      </c>
      <c r="G624" s="148">
        <v>32</v>
      </c>
      <c r="H624" s="152">
        <f>IF(C624=11700,ROUND(VLOOKUP(G624,ThongSo!$F$2:$I$15,4,0)*B624*11.7,3),0)</f>
        <v>147.654</v>
      </c>
      <c r="I624" s="152">
        <f>IF(F624="Sắt vụn",ROUND(VLOOKUP(G624,ThongSo!$F$2:$I$15,4,0)*B624*E624/1000,3),"-")</f>
        <v>1.262</v>
      </c>
      <c r="L624" s="150"/>
      <c r="M624" s="150"/>
      <c r="N624" s="150"/>
    </row>
    <row r="625" spans="1:14" x14ac:dyDescent="0.25">
      <c r="A625" s="159">
        <v>98</v>
      </c>
      <c r="B625" s="160">
        <v>4</v>
      </c>
      <c r="C625" s="160">
        <v>11700</v>
      </c>
      <c r="D625" s="160" t="s">
        <v>3438</v>
      </c>
      <c r="E625" s="160">
        <v>110</v>
      </c>
      <c r="F625" s="160" t="s">
        <v>74</v>
      </c>
      <c r="G625" s="148">
        <v>32</v>
      </c>
      <c r="H625" s="152">
        <f>IF(C625=11700,ROUND(VLOOKUP(G625,ThongSo!$F$2:$I$15,4,0)*B625*11.7,3),0)</f>
        <v>295.30799999999999</v>
      </c>
      <c r="I625" s="152">
        <f>IF(F625="Sắt vụn",ROUND(VLOOKUP(G625,ThongSo!$F$2:$I$15,4,0)*B625*E625/1000,3),"-")</f>
        <v>2.7759999999999998</v>
      </c>
      <c r="L625" s="150"/>
      <c r="M625" s="150"/>
      <c r="N625" s="150"/>
    </row>
    <row r="626" spans="1:14" x14ac:dyDescent="0.25">
      <c r="A626" s="159">
        <v>99</v>
      </c>
      <c r="B626" s="160">
        <v>4</v>
      </c>
      <c r="C626" s="160">
        <v>11700</v>
      </c>
      <c r="D626" s="160" t="s">
        <v>3439</v>
      </c>
      <c r="E626" s="160">
        <v>230</v>
      </c>
      <c r="F626" s="160" t="s">
        <v>74</v>
      </c>
      <c r="G626" s="148">
        <v>32</v>
      </c>
      <c r="H626" s="152">
        <f>IF(C626=11700,ROUND(VLOOKUP(G626,ThongSo!$F$2:$I$15,4,0)*B626*11.7,3),0)</f>
        <v>295.30799999999999</v>
      </c>
      <c r="I626" s="152">
        <f>IF(F626="Sắt vụn",ROUND(VLOOKUP(G626,ThongSo!$F$2:$I$15,4,0)*B626*E626/1000,3),"-")</f>
        <v>5.8049999999999997</v>
      </c>
      <c r="L626" s="150"/>
      <c r="M626" s="150"/>
      <c r="N626" s="150"/>
    </row>
    <row r="627" spans="1:14" x14ac:dyDescent="0.25">
      <c r="A627" s="159">
        <v>100</v>
      </c>
      <c r="B627" s="160">
        <v>3</v>
      </c>
      <c r="C627" s="160">
        <v>11700</v>
      </c>
      <c r="D627" s="160" t="s">
        <v>3440</v>
      </c>
      <c r="E627" s="160">
        <v>240</v>
      </c>
      <c r="F627" s="160" t="s">
        <v>74</v>
      </c>
      <c r="G627" s="148">
        <v>32</v>
      </c>
      <c r="H627" s="152">
        <f>IF(C627=11700,ROUND(VLOOKUP(G627,ThongSo!$F$2:$I$15,4,0)*B627*11.7,3),0)</f>
        <v>221.48099999999999</v>
      </c>
      <c r="I627" s="152">
        <f>IF(F627="Sắt vụn",ROUND(VLOOKUP(G627,ThongSo!$F$2:$I$15,4,0)*B627*E627/1000,3),"-")</f>
        <v>4.5430000000000001</v>
      </c>
      <c r="L627" s="150"/>
      <c r="M627" s="150"/>
      <c r="N627" s="150"/>
    </row>
    <row r="628" spans="1:14" x14ac:dyDescent="0.25">
      <c r="A628" s="159">
        <v>101</v>
      </c>
      <c r="B628" s="160">
        <v>3</v>
      </c>
      <c r="C628" s="160">
        <v>11700</v>
      </c>
      <c r="D628" s="160" t="s">
        <v>3441</v>
      </c>
      <c r="E628" s="160">
        <v>350</v>
      </c>
      <c r="F628" s="160" t="s">
        <v>74</v>
      </c>
      <c r="G628" s="148">
        <v>32</v>
      </c>
      <c r="H628" s="152">
        <f>IF(C628=11700,ROUND(VLOOKUP(G628,ThongSo!$F$2:$I$15,4,0)*B628*11.7,3),0)</f>
        <v>221.48099999999999</v>
      </c>
      <c r="I628" s="152">
        <f>IF(F628="Sắt vụn",ROUND(VLOOKUP(G628,ThongSo!$F$2:$I$15,4,0)*B628*E628/1000,3),"-")</f>
        <v>6.6260000000000003</v>
      </c>
      <c r="L628" s="150"/>
      <c r="M628" s="150"/>
      <c r="N628" s="150"/>
    </row>
    <row r="629" spans="1:14" x14ac:dyDescent="0.25">
      <c r="A629" s="159">
        <v>102</v>
      </c>
      <c r="B629" s="160">
        <v>9</v>
      </c>
      <c r="C629" s="160">
        <v>11700</v>
      </c>
      <c r="D629" s="160" t="s">
        <v>3442</v>
      </c>
      <c r="E629" s="160">
        <v>380</v>
      </c>
      <c r="F629" s="160" t="s">
        <v>74</v>
      </c>
      <c r="G629" s="148">
        <v>32</v>
      </c>
      <c r="H629" s="152">
        <f>IF(C629=11700,ROUND(VLOOKUP(G629,ThongSo!$F$2:$I$15,4,0)*B629*11.7,3),0)</f>
        <v>664.44299999999998</v>
      </c>
      <c r="I629" s="152">
        <f>IF(F629="Sắt vụn",ROUND(VLOOKUP(G629,ThongSo!$F$2:$I$15,4,0)*B629*E629/1000,3),"-")</f>
        <v>21.58</v>
      </c>
      <c r="L629" s="150"/>
      <c r="M629" s="150"/>
      <c r="N629" s="150"/>
    </row>
    <row r="630" spans="1:14" x14ac:dyDescent="0.25">
      <c r="A630" s="159">
        <v>103</v>
      </c>
      <c r="B630" s="160">
        <v>7</v>
      </c>
      <c r="C630" s="160">
        <v>11700</v>
      </c>
      <c r="D630" s="160" t="s">
        <v>3443</v>
      </c>
      <c r="E630" s="160">
        <v>400</v>
      </c>
      <c r="F630" s="160" t="s">
        <v>74</v>
      </c>
      <c r="G630" s="148">
        <v>32</v>
      </c>
      <c r="H630" s="152">
        <f>IF(C630=11700,ROUND(VLOOKUP(G630,ThongSo!$F$2:$I$15,4,0)*B630*11.7,3),0)</f>
        <v>516.78899999999999</v>
      </c>
      <c r="I630" s="152">
        <f>IF(F630="Sắt vụn",ROUND(VLOOKUP(G630,ThongSo!$F$2:$I$15,4,0)*B630*E630/1000,3),"-")</f>
        <v>17.667999999999999</v>
      </c>
      <c r="L630" s="150"/>
      <c r="M630" s="150"/>
      <c r="N630" s="150"/>
    </row>
    <row r="631" spans="1:14" x14ac:dyDescent="0.25">
      <c r="A631" s="159">
        <v>104</v>
      </c>
      <c r="B631" s="160">
        <v>9</v>
      </c>
      <c r="C631" s="160">
        <v>11700</v>
      </c>
      <c r="D631" s="160" t="s">
        <v>3444</v>
      </c>
      <c r="E631" s="160">
        <v>430</v>
      </c>
      <c r="F631" s="160" t="s">
        <v>74</v>
      </c>
      <c r="G631" s="148">
        <v>32</v>
      </c>
      <c r="H631" s="152">
        <f>IF(C631=11700,ROUND(VLOOKUP(G631,ThongSo!$F$2:$I$15,4,0)*B631*11.7,3),0)</f>
        <v>664.44299999999998</v>
      </c>
      <c r="I631" s="152">
        <f>IF(F631="Sắt vụn",ROUND(VLOOKUP(G631,ThongSo!$F$2:$I$15,4,0)*B631*E631/1000,3),"-")</f>
        <v>24.42</v>
      </c>
      <c r="L631" s="150"/>
      <c r="M631" s="150"/>
      <c r="N631" s="150"/>
    </row>
    <row r="632" spans="1:14" x14ac:dyDescent="0.25">
      <c r="A632" s="159">
        <v>105</v>
      </c>
      <c r="B632" s="160">
        <v>4</v>
      </c>
      <c r="C632" s="160">
        <v>11700</v>
      </c>
      <c r="D632" s="160" t="s">
        <v>3445</v>
      </c>
      <c r="E632" s="160">
        <v>440</v>
      </c>
      <c r="F632" s="160" t="s">
        <v>74</v>
      </c>
      <c r="G632" s="148">
        <v>32</v>
      </c>
      <c r="H632" s="152">
        <f>IF(C632=11700,ROUND(VLOOKUP(G632,ThongSo!$F$2:$I$15,4,0)*B632*11.7,3),0)</f>
        <v>295.30799999999999</v>
      </c>
      <c r="I632" s="152">
        <f>IF(F632="Sắt vụn",ROUND(VLOOKUP(G632,ThongSo!$F$2:$I$15,4,0)*B632*E632/1000,3),"-")</f>
        <v>11.106</v>
      </c>
      <c r="L632" s="150"/>
      <c r="M632" s="150"/>
      <c r="N632" s="150"/>
    </row>
    <row r="633" spans="1:14" x14ac:dyDescent="0.25">
      <c r="A633" s="159">
        <v>106</v>
      </c>
      <c r="B633" s="160">
        <v>5</v>
      </c>
      <c r="C633" s="160">
        <v>11700</v>
      </c>
      <c r="D633" s="160" t="s">
        <v>3446</v>
      </c>
      <c r="E633" s="160">
        <v>450</v>
      </c>
      <c r="F633" s="160" t="s">
        <v>74</v>
      </c>
      <c r="G633" s="148">
        <v>32</v>
      </c>
      <c r="H633" s="152">
        <f>IF(C633=11700,ROUND(VLOOKUP(G633,ThongSo!$F$2:$I$15,4,0)*B633*11.7,3),0)</f>
        <v>369.13499999999999</v>
      </c>
      <c r="I633" s="152">
        <f>IF(F633="Sắt vụn",ROUND(VLOOKUP(G633,ThongSo!$F$2:$I$15,4,0)*B633*E633/1000,3),"-")</f>
        <v>14.198</v>
      </c>
      <c r="L633" s="150"/>
      <c r="M633" s="150"/>
      <c r="N633" s="150"/>
    </row>
    <row r="634" spans="1:14" x14ac:dyDescent="0.25">
      <c r="A634" s="159">
        <v>107</v>
      </c>
      <c r="B634" s="160">
        <v>5</v>
      </c>
      <c r="C634" s="160">
        <v>11700</v>
      </c>
      <c r="D634" s="160" t="s">
        <v>3447</v>
      </c>
      <c r="E634" s="160">
        <v>480</v>
      </c>
      <c r="F634" s="160" t="s">
        <v>74</v>
      </c>
      <c r="G634" s="148">
        <v>32</v>
      </c>
      <c r="H634" s="152">
        <f>IF(C634=11700,ROUND(VLOOKUP(G634,ThongSo!$F$2:$I$15,4,0)*B634*11.7,3),0)</f>
        <v>369.13499999999999</v>
      </c>
      <c r="I634" s="152">
        <f>IF(F634="Sắt vụn",ROUND(VLOOKUP(G634,ThongSo!$F$2:$I$15,4,0)*B634*E634/1000,3),"-")</f>
        <v>15.144</v>
      </c>
      <c r="L634" s="150"/>
      <c r="M634" s="150"/>
      <c r="N634" s="150"/>
    </row>
    <row r="635" spans="1:14" x14ac:dyDescent="0.25">
      <c r="A635" s="159">
        <v>108</v>
      </c>
      <c r="B635" s="160">
        <v>6</v>
      </c>
      <c r="C635" s="160">
        <v>11700</v>
      </c>
      <c r="D635" s="160" t="s">
        <v>3448</v>
      </c>
      <c r="E635" s="160">
        <v>700</v>
      </c>
      <c r="F635" s="160" t="s">
        <v>74</v>
      </c>
      <c r="G635" s="148">
        <v>32</v>
      </c>
      <c r="H635" s="152">
        <f>IF(C635=11700,ROUND(VLOOKUP(G635,ThongSo!$F$2:$I$15,4,0)*B635*11.7,3),0)</f>
        <v>442.96199999999999</v>
      </c>
      <c r="I635" s="152">
        <f>IF(F635="Sắt vụn",ROUND(VLOOKUP(G635,ThongSo!$F$2:$I$15,4,0)*B635*E635/1000,3),"-")</f>
        <v>26.501999999999999</v>
      </c>
      <c r="L635" s="150"/>
      <c r="M635" s="150"/>
      <c r="N635" s="150"/>
    </row>
    <row r="636" spans="1:14" x14ac:dyDescent="0.25">
      <c r="A636" s="159">
        <v>109</v>
      </c>
      <c r="B636" s="160">
        <v>6</v>
      </c>
      <c r="C636" s="160">
        <v>11700</v>
      </c>
      <c r="D636" s="160" t="s">
        <v>3449</v>
      </c>
      <c r="E636" s="160">
        <v>700</v>
      </c>
      <c r="F636" s="160" t="s">
        <v>74</v>
      </c>
      <c r="G636" s="148">
        <v>32</v>
      </c>
      <c r="H636" s="152">
        <f>IF(C636=11700,ROUND(VLOOKUP(G636,ThongSo!$F$2:$I$15,4,0)*B636*11.7,3),0)</f>
        <v>442.96199999999999</v>
      </c>
      <c r="I636" s="152">
        <f>IF(F636="Sắt vụn",ROUND(VLOOKUP(G636,ThongSo!$F$2:$I$15,4,0)*B636*E636/1000,3),"-")</f>
        <v>26.501999999999999</v>
      </c>
      <c r="L636" s="150"/>
      <c r="M636" s="150"/>
      <c r="N636" s="150"/>
    </row>
    <row r="637" spans="1:14" x14ac:dyDescent="0.25">
      <c r="A637" s="159">
        <v>110</v>
      </c>
      <c r="B637" s="160">
        <v>5</v>
      </c>
      <c r="C637" s="160">
        <v>11700</v>
      </c>
      <c r="D637" s="160" t="s">
        <v>3450</v>
      </c>
      <c r="E637" s="160">
        <v>700</v>
      </c>
      <c r="F637" s="160" t="s">
        <v>74</v>
      </c>
      <c r="G637" s="148">
        <v>32</v>
      </c>
      <c r="H637" s="152">
        <f>IF(C637=11700,ROUND(VLOOKUP(G637,ThongSo!$F$2:$I$15,4,0)*B637*11.7,3),0)</f>
        <v>369.13499999999999</v>
      </c>
      <c r="I637" s="152">
        <f>IF(F637="Sắt vụn",ROUND(VLOOKUP(G637,ThongSo!$F$2:$I$15,4,0)*B637*E637/1000,3),"-")</f>
        <v>22.085000000000001</v>
      </c>
      <c r="L637" s="150"/>
      <c r="M637" s="150"/>
      <c r="N637" s="150"/>
    </row>
    <row r="638" spans="1:14" x14ac:dyDescent="0.25">
      <c r="A638" s="159">
        <v>111</v>
      </c>
      <c r="B638" s="160">
        <v>6</v>
      </c>
      <c r="C638" s="160">
        <v>11700</v>
      </c>
      <c r="D638" s="160" t="s">
        <v>3451</v>
      </c>
      <c r="E638" s="160">
        <v>700</v>
      </c>
      <c r="F638" s="160" t="s">
        <v>74</v>
      </c>
      <c r="G638" s="148">
        <v>32</v>
      </c>
      <c r="H638" s="152">
        <f>IF(C638=11700,ROUND(VLOOKUP(G638,ThongSo!$F$2:$I$15,4,0)*B638*11.7,3),0)</f>
        <v>442.96199999999999</v>
      </c>
      <c r="I638" s="152">
        <f>IF(F638="Sắt vụn",ROUND(VLOOKUP(G638,ThongSo!$F$2:$I$15,4,0)*B638*E638/1000,3),"-")</f>
        <v>26.501999999999999</v>
      </c>
      <c r="L638" s="150"/>
      <c r="M638" s="150"/>
      <c r="N638" s="150"/>
    </row>
    <row r="639" spans="1:14" x14ac:dyDescent="0.25">
      <c r="A639" s="159">
        <v>112</v>
      </c>
      <c r="B639" s="160">
        <v>5</v>
      </c>
      <c r="C639" s="160">
        <v>11700</v>
      </c>
      <c r="D639" s="160" t="s">
        <v>3452</v>
      </c>
      <c r="E639" s="160">
        <v>700</v>
      </c>
      <c r="F639" s="160" t="s">
        <v>74</v>
      </c>
      <c r="G639" s="148">
        <v>32</v>
      </c>
      <c r="H639" s="152">
        <f>IF(C639=11700,ROUND(VLOOKUP(G639,ThongSo!$F$2:$I$15,4,0)*B639*11.7,3),0)</f>
        <v>369.13499999999999</v>
      </c>
      <c r="I639" s="152">
        <f>IF(F639="Sắt vụn",ROUND(VLOOKUP(G639,ThongSo!$F$2:$I$15,4,0)*B639*E639/1000,3),"-")</f>
        <v>22.085000000000001</v>
      </c>
      <c r="L639" s="150"/>
      <c r="M639" s="150"/>
      <c r="N639" s="150"/>
    </row>
    <row r="640" spans="1:14" x14ac:dyDescent="0.25">
      <c r="A640" s="159">
        <v>113</v>
      </c>
      <c r="B640" s="160">
        <v>5</v>
      </c>
      <c r="C640" s="160">
        <v>11700</v>
      </c>
      <c r="D640" s="160" t="s">
        <v>3453</v>
      </c>
      <c r="E640" s="160">
        <v>700</v>
      </c>
      <c r="F640" s="160" t="s">
        <v>74</v>
      </c>
      <c r="G640" s="148">
        <v>32</v>
      </c>
      <c r="H640" s="152">
        <f>IF(C640=11700,ROUND(VLOOKUP(G640,ThongSo!$F$2:$I$15,4,0)*B640*11.7,3),0)</f>
        <v>369.13499999999999</v>
      </c>
      <c r="I640" s="152">
        <f>IF(F640="Sắt vụn",ROUND(VLOOKUP(G640,ThongSo!$F$2:$I$15,4,0)*B640*E640/1000,3),"-")</f>
        <v>22.085000000000001</v>
      </c>
      <c r="L640" s="150"/>
      <c r="M640" s="150"/>
      <c r="N640" s="150"/>
    </row>
    <row r="641" spans="1:14" x14ac:dyDescent="0.25">
      <c r="A641" s="159">
        <v>114</v>
      </c>
      <c r="B641" s="160">
        <v>6</v>
      </c>
      <c r="C641" s="160">
        <v>11700</v>
      </c>
      <c r="D641" s="160" t="s">
        <v>3454</v>
      </c>
      <c r="E641" s="160">
        <v>700</v>
      </c>
      <c r="F641" s="160" t="s">
        <v>74</v>
      </c>
      <c r="G641" s="148">
        <v>32</v>
      </c>
      <c r="H641" s="152">
        <f>IF(C641=11700,ROUND(VLOOKUP(G641,ThongSo!$F$2:$I$15,4,0)*B641*11.7,3),0)</f>
        <v>442.96199999999999</v>
      </c>
      <c r="I641" s="152">
        <f>IF(F641="Sắt vụn",ROUND(VLOOKUP(G641,ThongSo!$F$2:$I$15,4,0)*B641*E641/1000,3),"-")</f>
        <v>26.501999999999999</v>
      </c>
      <c r="L641" s="150"/>
      <c r="M641" s="150"/>
      <c r="N641" s="150"/>
    </row>
    <row r="642" spans="1:14" x14ac:dyDescent="0.25">
      <c r="A642" s="159">
        <v>115</v>
      </c>
      <c r="B642" s="160">
        <v>7</v>
      </c>
      <c r="C642" s="160">
        <v>11700</v>
      </c>
      <c r="D642" s="160" t="s">
        <v>3455</v>
      </c>
      <c r="E642" s="160">
        <v>960</v>
      </c>
      <c r="F642" s="160" t="s">
        <v>74</v>
      </c>
      <c r="G642" s="148">
        <v>32</v>
      </c>
      <c r="H642" s="152">
        <f>IF(C642=11700,ROUND(VLOOKUP(G642,ThongSo!$F$2:$I$15,4,0)*B642*11.7,3),0)</f>
        <v>516.78899999999999</v>
      </c>
      <c r="I642" s="152">
        <f>IF(F642="Sắt vụn",ROUND(VLOOKUP(G642,ThongSo!$F$2:$I$15,4,0)*B642*E642/1000,3),"-")</f>
        <v>42.402999999999999</v>
      </c>
      <c r="L642" s="150"/>
      <c r="M642" s="150"/>
      <c r="N642" s="150"/>
    </row>
    <row r="643" spans="1:14" x14ac:dyDescent="0.25">
      <c r="A643" s="159">
        <v>116</v>
      </c>
      <c r="B643" s="160">
        <v>1</v>
      </c>
      <c r="C643" s="160">
        <v>11700</v>
      </c>
      <c r="D643" s="160" t="s">
        <v>3456</v>
      </c>
      <c r="E643" s="160">
        <v>970</v>
      </c>
      <c r="F643" s="160" t="s">
        <v>74</v>
      </c>
      <c r="G643" s="148">
        <v>32</v>
      </c>
      <c r="H643" s="152">
        <f>IF(C643=11700,ROUND(VLOOKUP(G643,ThongSo!$F$2:$I$15,4,0)*B643*11.7,3),0)</f>
        <v>73.826999999999998</v>
      </c>
      <c r="I643" s="152">
        <f>IF(F643="Sắt vụn",ROUND(VLOOKUP(G643,ThongSo!$F$2:$I$15,4,0)*B643*E643/1000,3),"-")</f>
        <v>6.1210000000000004</v>
      </c>
      <c r="L643" s="150"/>
      <c r="M643" s="150"/>
      <c r="N643" s="150"/>
    </row>
    <row r="644" spans="1:14" x14ac:dyDescent="0.25">
      <c r="A644" s="159">
        <v>117</v>
      </c>
      <c r="B644" s="160">
        <v>18</v>
      </c>
      <c r="C644" s="160">
        <v>11700</v>
      </c>
      <c r="D644" s="160" t="s">
        <v>3457</v>
      </c>
      <c r="E644" s="160">
        <v>1005</v>
      </c>
      <c r="F644" s="160" t="s">
        <v>74</v>
      </c>
      <c r="G644" s="148">
        <v>32</v>
      </c>
      <c r="H644" s="152">
        <f>IF(C644=11700,ROUND(VLOOKUP(G644,ThongSo!$F$2:$I$15,4,0)*B644*11.7,3),0)</f>
        <v>1328.886</v>
      </c>
      <c r="I644" s="152">
        <f>IF(F644="Sắt vụn",ROUND(VLOOKUP(G644,ThongSo!$F$2:$I$15,4,0)*B644*E644/1000,3),"-")</f>
        <v>114.148</v>
      </c>
      <c r="L644" s="150"/>
      <c r="M644" s="150"/>
      <c r="N644" s="150"/>
    </row>
    <row r="645" spans="1:14" x14ac:dyDescent="0.25">
      <c r="A645" s="159">
        <v>118</v>
      </c>
      <c r="B645" s="160">
        <v>6</v>
      </c>
      <c r="C645" s="160">
        <v>11700</v>
      </c>
      <c r="D645" s="160" t="s">
        <v>3458</v>
      </c>
      <c r="E645" s="160">
        <v>1020</v>
      </c>
      <c r="F645" s="160" t="s">
        <v>74</v>
      </c>
      <c r="G645" s="148">
        <v>32</v>
      </c>
      <c r="H645" s="152">
        <f>IF(C645=11700,ROUND(VLOOKUP(G645,ThongSo!$F$2:$I$15,4,0)*B645*11.7,3),0)</f>
        <v>442.96199999999999</v>
      </c>
      <c r="I645" s="152">
        <f>IF(F645="Sắt vụn",ROUND(VLOOKUP(G645,ThongSo!$F$2:$I$15,4,0)*B645*E645/1000,3),"-")</f>
        <v>38.616999999999997</v>
      </c>
      <c r="L645" s="150"/>
      <c r="M645" s="150"/>
      <c r="N645" s="150"/>
    </row>
    <row r="646" spans="1:14" x14ac:dyDescent="0.25">
      <c r="A646" s="159">
        <v>119</v>
      </c>
      <c r="B646" s="160">
        <v>4</v>
      </c>
      <c r="C646" s="160">
        <v>11700</v>
      </c>
      <c r="D646" s="160" t="s">
        <v>3459</v>
      </c>
      <c r="E646" s="160">
        <v>1085</v>
      </c>
      <c r="F646" s="160" t="s">
        <v>74</v>
      </c>
      <c r="G646" s="148">
        <v>32</v>
      </c>
      <c r="H646" s="152">
        <f>IF(C646=11700,ROUND(VLOOKUP(G646,ThongSo!$F$2:$I$15,4,0)*B646*11.7,3),0)</f>
        <v>295.30799999999999</v>
      </c>
      <c r="I646" s="152">
        <f>IF(F646="Sắt vụn",ROUND(VLOOKUP(G646,ThongSo!$F$2:$I$15,4,0)*B646*E646/1000,3),"-")</f>
        <v>27.385000000000002</v>
      </c>
      <c r="L646" s="150"/>
      <c r="M646" s="150"/>
      <c r="N646" s="150"/>
    </row>
    <row r="647" spans="1:14" x14ac:dyDescent="0.25">
      <c r="A647" s="159">
        <v>120</v>
      </c>
      <c r="B647" s="160">
        <v>3</v>
      </c>
      <c r="C647" s="160">
        <v>11700</v>
      </c>
      <c r="D647" s="160" t="s">
        <v>3460</v>
      </c>
      <c r="E647" s="160">
        <v>1120</v>
      </c>
      <c r="F647" s="160" t="s">
        <v>74</v>
      </c>
      <c r="G647" s="148">
        <v>32</v>
      </c>
      <c r="H647" s="152">
        <f>IF(C647=11700,ROUND(VLOOKUP(G647,ThongSo!$F$2:$I$15,4,0)*B647*11.7,3),0)</f>
        <v>221.48099999999999</v>
      </c>
      <c r="I647" s="152">
        <f>IF(F647="Sắt vụn",ROUND(VLOOKUP(G647,ThongSo!$F$2:$I$15,4,0)*B647*E647/1000,3),"-")</f>
        <v>21.202000000000002</v>
      </c>
      <c r="L647" s="150"/>
      <c r="M647" s="150"/>
      <c r="N647" s="150"/>
    </row>
    <row r="648" spans="1:14" x14ac:dyDescent="0.25">
      <c r="A648" s="159">
        <v>121</v>
      </c>
      <c r="B648" s="160">
        <v>11</v>
      </c>
      <c r="C648" s="160">
        <v>11700</v>
      </c>
      <c r="D648" s="160" t="s">
        <v>3461</v>
      </c>
      <c r="E648" s="160">
        <v>1130</v>
      </c>
      <c r="F648" s="160" t="s">
        <v>74</v>
      </c>
      <c r="G648" s="148">
        <v>32</v>
      </c>
      <c r="H648" s="152">
        <f>IF(C648=11700,ROUND(VLOOKUP(G648,ThongSo!$F$2:$I$15,4,0)*B648*11.7,3),0)</f>
        <v>812.09699999999998</v>
      </c>
      <c r="I648" s="152">
        <f>IF(F648="Sắt vụn",ROUND(VLOOKUP(G648,ThongSo!$F$2:$I$15,4,0)*B648*E648/1000,3),"-")</f>
        <v>78.433000000000007</v>
      </c>
      <c r="L648" s="150"/>
      <c r="M648" s="150"/>
      <c r="N648" s="150"/>
    </row>
    <row r="649" spans="1:14" x14ac:dyDescent="0.25">
      <c r="A649" s="159">
        <v>122</v>
      </c>
      <c r="B649" s="160">
        <v>6</v>
      </c>
      <c r="C649" s="160">
        <v>11700</v>
      </c>
      <c r="D649" s="160" t="s">
        <v>3462</v>
      </c>
      <c r="E649" s="160">
        <v>1130</v>
      </c>
      <c r="F649" s="160" t="s">
        <v>74</v>
      </c>
      <c r="G649" s="148">
        <v>32</v>
      </c>
      <c r="H649" s="152">
        <f>IF(C649=11700,ROUND(VLOOKUP(G649,ThongSo!$F$2:$I$15,4,0)*B649*11.7,3),0)</f>
        <v>442.96199999999999</v>
      </c>
      <c r="I649" s="152">
        <f>IF(F649="Sắt vụn",ROUND(VLOOKUP(G649,ThongSo!$F$2:$I$15,4,0)*B649*E649/1000,3),"-")</f>
        <v>42.781999999999996</v>
      </c>
      <c r="L649" s="150"/>
      <c r="M649" s="150"/>
      <c r="N649" s="150"/>
    </row>
    <row r="650" spans="1:14" x14ac:dyDescent="0.25">
      <c r="A650" s="159">
        <v>123</v>
      </c>
      <c r="B650" s="160">
        <v>4</v>
      </c>
      <c r="C650" s="160">
        <v>11700</v>
      </c>
      <c r="D650" s="160" t="s">
        <v>3463</v>
      </c>
      <c r="E650" s="160">
        <v>1500</v>
      </c>
      <c r="F650" s="160" t="s">
        <v>74</v>
      </c>
      <c r="G650" s="148">
        <v>32</v>
      </c>
      <c r="H650" s="152">
        <f>IF(C650=11700,ROUND(VLOOKUP(G650,ThongSo!$F$2:$I$15,4,0)*B650*11.7,3),0)</f>
        <v>295.30799999999999</v>
      </c>
      <c r="I650" s="152">
        <f>IF(F650="Sắt vụn",ROUND(VLOOKUP(G650,ThongSo!$F$2:$I$15,4,0)*B650*E650/1000,3),"-")</f>
        <v>37.86</v>
      </c>
      <c r="L650" s="150"/>
      <c r="M650" s="150"/>
      <c r="N650" s="150"/>
    </row>
    <row r="651" spans="1:14" x14ac:dyDescent="0.25">
      <c r="A651" s="159">
        <v>124</v>
      </c>
      <c r="B651" s="160">
        <v>1</v>
      </c>
      <c r="C651" s="160">
        <v>11700</v>
      </c>
      <c r="D651" s="160" t="s">
        <v>3464</v>
      </c>
      <c r="E651" s="160">
        <v>1550</v>
      </c>
      <c r="F651" s="160" t="s">
        <v>74</v>
      </c>
      <c r="G651" s="148">
        <v>32</v>
      </c>
      <c r="H651" s="152">
        <f>IF(C651=11700,ROUND(VLOOKUP(G651,ThongSo!$F$2:$I$15,4,0)*B651*11.7,3),0)</f>
        <v>73.826999999999998</v>
      </c>
      <c r="I651" s="152">
        <f>IF(F651="Sắt vụn",ROUND(VLOOKUP(G651,ThongSo!$F$2:$I$15,4,0)*B651*E651/1000,3),"-")</f>
        <v>9.7810000000000006</v>
      </c>
      <c r="L651" s="150"/>
      <c r="M651" s="150"/>
      <c r="N651" s="150"/>
    </row>
    <row r="652" spans="1:14" x14ac:dyDescent="0.25">
      <c r="A652" s="159">
        <v>125</v>
      </c>
      <c r="B652" s="160">
        <v>11</v>
      </c>
      <c r="C652" s="160">
        <v>11700</v>
      </c>
      <c r="D652" s="160" t="s">
        <v>3465</v>
      </c>
      <c r="E652" s="160">
        <v>1560</v>
      </c>
      <c r="F652" s="160" t="s">
        <v>74</v>
      </c>
      <c r="G652" s="148">
        <v>32</v>
      </c>
      <c r="H652" s="152">
        <f>IF(C652=11700,ROUND(VLOOKUP(G652,ThongSo!$F$2:$I$15,4,0)*B652*11.7,3),0)</f>
        <v>812.09699999999998</v>
      </c>
      <c r="I652" s="152">
        <f>IF(F652="Sắt vụn",ROUND(VLOOKUP(G652,ThongSo!$F$2:$I$15,4,0)*B652*E652/1000,3),"-")</f>
        <v>108.28</v>
      </c>
      <c r="L652" s="150"/>
      <c r="M652" s="150"/>
      <c r="N652" s="150"/>
    </row>
    <row r="653" spans="1:14" x14ac:dyDescent="0.25">
      <c r="A653" s="159">
        <v>126</v>
      </c>
      <c r="B653" s="160">
        <v>2</v>
      </c>
      <c r="C653" s="160">
        <v>11700</v>
      </c>
      <c r="D653" s="160" t="s">
        <v>3466</v>
      </c>
      <c r="E653" s="160">
        <v>1600</v>
      </c>
      <c r="F653" s="160" t="s">
        <v>75</v>
      </c>
      <c r="G653" s="148">
        <v>32</v>
      </c>
      <c r="H653" s="152">
        <f>IF(C653=11700,ROUND(VLOOKUP(G653,ThongSo!$F$2:$I$15,4,0)*B653*11.7,3),0)</f>
        <v>147.654</v>
      </c>
      <c r="I653" s="152" t="str">
        <f>IF(F653="Sắt vụn",ROUND(VLOOKUP(G653,ThongSo!$F$2:$I$15,4,0)*B653*E653/1000,3),"-")</f>
        <v>-</v>
      </c>
      <c r="L653" s="150"/>
      <c r="M653" s="150"/>
      <c r="N653" s="150"/>
    </row>
    <row r="654" spans="1:14" x14ac:dyDescent="0.25">
      <c r="A654" s="159">
        <v>127</v>
      </c>
      <c r="B654" s="160">
        <v>5</v>
      </c>
      <c r="C654" s="160">
        <v>11700</v>
      </c>
      <c r="D654" s="160" t="s">
        <v>3467</v>
      </c>
      <c r="E654" s="160">
        <v>1700</v>
      </c>
      <c r="F654" s="160" t="s">
        <v>75</v>
      </c>
      <c r="G654" s="148">
        <v>32</v>
      </c>
      <c r="H654" s="152">
        <f>IF(C654=11700,ROUND(VLOOKUP(G654,ThongSo!$F$2:$I$15,4,0)*B654*11.7,3),0)</f>
        <v>369.13499999999999</v>
      </c>
      <c r="I654" s="152" t="str">
        <f>IF(F654="Sắt vụn",ROUND(VLOOKUP(G654,ThongSo!$F$2:$I$15,4,0)*B654*E654/1000,3),"-")</f>
        <v>-</v>
      </c>
      <c r="L654" s="150"/>
      <c r="M654" s="150"/>
      <c r="N654" s="150"/>
    </row>
    <row r="655" spans="1:14" x14ac:dyDescent="0.25">
      <c r="A655" s="159">
        <v>128</v>
      </c>
      <c r="B655" s="160">
        <v>6</v>
      </c>
      <c r="C655" s="160">
        <v>11700</v>
      </c>
      <c r="D655" s="160" t="s">
        <v>3468</v>
      </c>
      <c r="E655" s="160">
        <v>1700</v>
      </c>
      <c r="F655" s="160" t="s">
        <v>75</v>
      </c>
      <c r="G655" s="148">
        <v>32</v>
      </c>
      <c r="H655" s="152">
        <f>IF(C655=11700,ROUND(VLOOKUP(G655,ThongSo!$F$2:$I$15,4,0)*B655*11.7,3),0)</f>
        <v>442.96199999999999</v>
      </c>
      <c r="I655" s="152" t="str">
        <f>IF(F655="Sắt vụn",ROUND(VLOOKUP(G655,ThongSo!$F$2:$I$15,4,0)*B655*E655/1000,3),"-")</f>
        <v>-</v>
      </c>
      <c r="L655" s="150"/>
      <c r="M655" s="150"/>
      <c r="N655" s="150"/>
    </row>
    <row r="656" spans="1:14" x14ac:dyDescent="0.25">
      <c r="A656" s="159">
        <v>129</v>
      </c>
      <c r="B656" s="160">
        <v>5</v>
      </c>
      <c r="C656" s="160">
        <v>11700</v>
      </c>
      <c r="D656" s="160" t="s">
        <v>3469</v>
      </c>
      <c r="E656" s="160">
        <v>1700</v>
      </c>
      <c r="F656" s="160" t="s">
        <v>75</v>
      </c>
      <c r="G656" s="148">
        <v>32</v>
      </c>
      <c r="H656" s="152">
        <f>IF(C656=11700,ROUND(VLOOKUP(G656,ThongSo!$F$2:$I$15,4,0)*B656*11.7,3),0)</f>
        <v>369.13499999999999</v>
      </c>
      <c r="I656" s="152" t="str">
        <f>IF(F656="Sắt vụn",ROUND(VLOOKUP(G656,ThongSo!$F$2:$I$15,4,0)*B656*E656/1000,3),"-")</f>
        <v>-</v>
      </c>
      <c r="L656" s="150"/>
      <c r="M656" s="150"/>
      <c r="N656" s="150"/>
    </row>
    <row r="657" spans="1:14" x14ac:dyDescent="0.25">
      <c r="A657" s="159">
        <v>130</v>
      </c>
      <c r="B657" s="160">
        <v>3</v>
      </c>
      <c r="C657" s="160">
        <v>11700</v>
      </c>
      <c r="D657" s="160" t="s">
        <v>3470</v>
      </c>
      <c r="E657" s="160">
        <v>1700</v>
      </c>
      <c r="F657" s="160" t="s">
        <v>75</v>
      </c>
      <c r="G657" s="148">
        <v>32</v>
      </c>
      <c r="H657" s="152">
        <f>IF(C657=11700,ROUND(VLOOKUP(G657,ThongSo!$F$2:$I$15,4,0)*B657*11.7,3),0)</f>
        <v>221.48099999999999</v>
      </c>
      <c r="I657" s="152" t="str">
        <f>IF(F657="Sắt vụn",ROUND(VLOOKUP(G657,ThongSo!$F$2:$I$15,4,0)*B657*E657/1000,3),"-")</f>
        <v>-</v>
      </c>
      <c r="L657" s="150"/>
      <c r="M657" s="150"/>
      <c r="N657" s="150"/>
    </row>
    <row r="658" spans="1:14" x14ac:dyDescent="0.25">
      <c r="A658" s="159">
        <v>131</v>
      </c>
      <c r="B658" s="160">
        <v>2</v>
      </c>
      <c r="C658" s="160">
        <v>11700</v>
      </c>
      <c r="D658" s="160" t="s">
        <v>3471</v>
      </c>
      <c r="E658" s="160">
        <v>1760</v>
      </c>
      <c r="F658" s="160" t="s">
        <v>75</v>
      </c>
      <c r="G658" s="148">
        <v>32</v>
      </c>
      <c r="H658" s="152">
        <f>IF(C658=11700,ROUND(VLOOKUP(G658,ThongSo!$F$2:$I$15,4,0)*B658*11.7,3),0)</f>
        <v>147.654</v>
      </c>
      <c r="I658" s="152" t="str">
        <f>IF(F658="Sắt vụn",ROUND(VLOOKUP(G658,ThongSo!$F$2:$I$15,4,0)*B658*E658/1000,3),"-")</f>
        <v>-</v>
      </c>
      <c r="L658" s="150"/>
      <c r="M658" s="150"/>
      <c r="N658" s="150"/>
    </row>
    <row r="659" spans="1:14" x14ac:dyDescent="0.25">
      <c r="A659" s="159">
        <v>132</v>
      </c>
      <c r="B659" s="160">
        <v>7</v>
      </c>
      <c r="C659" s="160">
        <v>11700</v>
      </c>
      <c r="D659" s="160" t="s">
        <v>3472</v>
      </c>
      <c r="E659" s="160">
        <v>1790</v>
      </c>
      <c r="F659" s="160" t="s">
        <v>75</v>
      </c>
      <c r="G659" s="148">
        <v>32</v>
      </c>
      <c r="H659" s="152">
        <f>IF(C659=11700,ROUND(VLOOKUP(G659,ThongSo!$F$2:$I$15,4,0)*B659*11.7,3),0)</f>
        <v>516.78899999999999</v>
      </c>
      <c r="I659" s="152" t="str">
        <f>IF(F659="Sắt vụn",ROUND(VLOOKUP(G659,ThongSo!$F$2:$I$15,4,0)*B659*E659/1000,3),"-")</f>
        <v>-</v>
      </c>
      <c r="L659" s="150"/>
      <c r="M659" s="150"/>
      <c r="N659" s="150"/>
    </row>
    <row r="660" spans="1:14" x14ac:dyDescent="0.25">
      <c r="A660" s="159">
        <v>133</v>
      </c>
      <c r="B660" s="160">
        <v>5</v>
      </c>
      <c r="C660" s="160">
        <v>11700</v>
      </c>
      <c r="D660" s="160" t="s">
        <v>3473</v>
      </c>
      <c r="E660" s="160">
        <v>1980</v>
      </c>
      <c r="F660" s="160" t="s">
        <v>75</v>
      </c>
      <c r="G660" s="148">
        <v>32</v>
      </c>
      <c r="H660" s="152">
        <f>IF(C660=11700,ROUND(VLOOKUP(G660,ThongSo!$F$2:$I$15,4,0)*B660*11.7,3),0)</f>
        <v>369.13499999999999</v>
      </c>
      <c r="I660" s="152" t="str">
        <f>IF(F660="Sắt vụn",ROUND(VLOOKUP(G660,ThongSo!$F$2:$I$15,4,0)*B660*E660/1000,3),"-")</f>
        <v>-</v>
      </c>
      <c r="L660" s="150"/>
      <c r="M660" s="150"/>
      <c r="N660" s="150"/>
    </row>
    <row r="661" spans="1:14" x14ac:dyDescent="0.25">
      <c r="A661" s="159">
        <v>134</v>
      </c>
      <c r="B661" s="160">
        <v>4</v>
      </c>
      <c r="C661" s="160">
        <v>11700</v>
      </c>
      <c r="D661" s="160" t="s">
        <v>3474</v>
      </c>
      <c r="E661" s="160">
        <v>2130</v>
      </c>
      <c r="F661" s="160" t="s">
        <v>75</v>
      </c>
      <c r="G661" s="148">
        <v>32</v>
      </c>
      <c r="H661" s="152">
        <f>IF(C661=11700,ROUND(VLOOKUP(G661,ThongSo!$F$2:$I$15,4,0)*B661*11.7,3),0)</f>
        <v>295.30799999999999</v>
      </c>
      <c r="I661" s="152" t="str">
        <f>IF(F661="Sắt vụn",ROUND(VLOOKUP(G661,ThongSo!$F$2:$I$15,4,0)*B661*E661/1000,3),"-")</f>
        <v>-</v>
      </c>
      <c r="L661" s="150"/>
      <c r="M661" s="150"/>
      <c r="N661" s="150"/>
    </row>
    <row r="662" spans="1:14" x14ac:dyDescent="0.25">
      <c r="A662" s="159">
        <v>135</v>
      </c>
      <c r="B662" s="160">
        <v>3</v>
      </c>
      <c r="C662" s="160">
        <v>11700</v>
      </c>
      <c r="D662" s="160" t="s">
        <v>3475</v>
      </c>
      <c r="E662" s="160">
        <v>2130</v>
      </c>
      <c r="F662" s="160" t="s">
        <v>75</v>
      </c>
      <c r="G662" s="148">
        <v>32</v>
      </c>
      <c r="H662" s="152">
        <f>IF(C662=11700,ROUND(VLOOKUP(G662,ThongSo!$F$2:$I$15,4,0)*B662*11.7,3),0)</f>
        <v>221.48099999999999</v>
      </c>
      <c r="I662" s="152" t="str">
        <f>IF(F662="Sắt vụn",ROUND(VLOOKUP(G662,ThongSo!$F$2:$I$15,4,0)*B662*E662/1000,3),"-")</f>
        <v>-</v>
      </c>
      <c r="L662" s="150"/>
      <c r="M662" s="150"/>
      <c r="N662" s="150"/>
    </row>
    <row r="663" spans="1:14" x14ac:dyDescent="0.25">
      <c r="A663" s="159">
        <v>136</v>
      </c>
      <c r="B663" s="160">
        <v>3</v>
      </c>
      <c r="C663" s="160">
        <v>11700</v>
      </c>
      <c r="D663" s="160" t="s">
        <v>3476</v>
      </c>
      <c r="E663" s="160">
        <v>2170</v>
      </c>
      <c r="F663" s="160" t="s">
        <v>75</v>
      </c>
      <c r="G663" s="148">
        <v>32</v>
      </c>
      <c r="H663" s="152">
        <f>IF(C663=11700,ROUND(VLOOKUP(G663,ThongSo!$F$2:$I$15,4,0)*B663*11.7,3),0)</f>
        <v>221.48099999999999</v>
      </c>
      <c r="I663" s="152" t="str">
        <f>IF(F663="Sắt vụn",ROUND(VLOOKUP(G663,ThongSo!$F$2:$I$15,4,0)*B663*E663/1000,3),"-")</f>
        <v>-</v>
      </c>
      <c r="L663" s="150"/>
      <c r="M663" s="150"/>
      <c r="N663" s="150"/>
    </row>
    <row r="664" spans="1:14" x14ac:dyDescent="0.25">
      <c r="A664" s="159">
        <v>137</v>
      </c>
      <c r="B664" s="160">
        <v>4</v>
      </c>
      <c r="C664" s="160">
        <v>11700</v>
      </c>
      <c r="D664" s="160" t="s">
        <v>3477</v>
      </c>
      <c r="E664" s="160">
        <v>2230</v>
      </c>
      <c r="F664" s="160" t="s">
        <v>75</v>
      </c>
      <c r="G664" s="148">
        <v>32</v>
      </c>
      <c r="H664" s="152">
        <f>IF(C664=11700,ROUND(VLOOKUP(G664,ThongSo!$F$2:$I$15,4,0)*B664*11.7,3),0)</f>
        <v>295.30799999999999</v>
      </c>
      <c r="I664" s="152" t="str">
        <f>IF(F664="Sắt vụn",ROUND(VLOOKUP(G664,ThongSo!$F$2:$I$15,4,0)*B664*E664/1000,3),"-")</f>
        <v>-</v>
      </c>
      <c r="L664" s="150"/>
      <c r="M664" s="150"/>
      <c r="N664" s="150"/>
    </row>
    <row r="665" spans="1:14" x14ac:dyDescent="0.25">
      <c r="A665" s="159">
        <v>138</v>
      </c>
      <c r="B665" s="160">
        <v>3</v>
      </c>
      <c r="C665" s="160">
        <v>11700</v>
      </c>
      <c r="D665" s="160" t="s">
        <v>3478</v>
      </c>
      <c r="E665" s="160">
        <v>2230</v>
      </c>
      <c r="F665" s="160" t="s">
        <v>75</v>
      </c>
      <c r="G665" s="148">
        <v>32</v>
      </c>
      <c r="H665" s="152">
        <f>IF(C665=11700,ROUND(VLOOKUP(G665,ThongSo!$F$2:$I$15,4,0)*B665*11.7,3),0)</f>
        <v>221.48099999999999</v>
      </c>
      <c r="I665" s="152" t="str">
        <f>IF(F665="Sắt vụn",ROUND(VLOOKUP(G665,ThongSo!$F$2:$I$15,4,0)*B665*E665/1000,3),"-")</f>
        <v>-</v>
      </c>
      <c r="L665" s="150"/>
      <c r="M665" s="150"/>
      <c r="N665" s="150"/>
    </row>
    <row r="666" spans="1:14" x14ac:dyDescent="0.25">
      <c r="A666" s="159">
        <v>139</v>
      </c>
      <c r="B666" s="160">
        <v>5</v>
      </c>
      <c r="C666" s="160">
        <v>11700</v>
      </c>
      <c r="D666" s="160" t="s">
        <v>3479</v>
      </c>
      <c r="E666" s="160">
        <v>2320</v>
      </c>
      <c r="F666" s="160" t="s">
        <v>75</v>
      </c>
      <c r="G666" s="148">
        <v>32</v>
      </c>
      <c r="H666" s="152">
        <f>IF(C666=11700,ROUND(VLOOKUP(G666,ThongSo!$F$2:$I$15,4,0)*B666*11.7,3),0)</f>
        <v>369.13499999999999</v>
      </c>
      <c r="I666" s="152" t="str">
        <f>IF(F666="Sắt vụn",ROUND(VLOOKUP(G666,ThongSo!$F$2:$I$15,4,0)*B666*E666/1000,3),"-")</f>
        <v>-</v>
      </c>
      <c r="L666" s="150"/>
      <c r="M666" s="150"/>
      <c r="N666" s="150"/>
    </row>
    <row r="667" spans="1:14" x14ac:dyDescent="0.25">
      <c r="A667" s="159">
        <v>140</v>
      </c>
      <c r="B667" s="160">
        <v>4</v>
      </c>
      <c r="C667" s="160">
        <v>11700</v>
      </c>
      <c r="D667" s="160" t="s">
        <v>3480</v>
      </c>
      <c r="E667" s="160">
        <v>2320</v>
      </c>
      <c r="F667" s="160" t="s">
        <v>75</v>
      </c>
      <c r="G667" s="148">
        <v>32</v>
      </c>
      <c r="H667" s="152">
        <f>IF(C667=11700,ROUND(VLOOKUP(G667,ThongSo!$F$2:$I$15,4,0)*B667*11.7,3),0)</f>
        <v>295.30799999999999</v>
      </c>
      <c r="I667" s="152" t="str">
        <f>IF(F667="Sắt vụn",ROUND(VLOOKUP(G667,ThongSo!$F$2:$I$15,4,0)*B667*E667/1000,3),"-")</f>
        <v>-</v>
      </c>
      <c r="L667" s="150"/>
      <c r="M667" s="150"/>
      <c r="N667" s="150"/>
    </row>
    <row r="668" spans="1:14" x14ac:dyDescent="0.25">
      <c r="A668" s="159">
        <v>141</v>
      </c>
      <c r="B668" s="160">
        <v>4</v>
      </c>
      <c r="C668" s="160">
        <v>11700</v>
      </c>
      <c r="D668" s="160" t="s">
        <v>3481</v>
      </c>
      <c r="E668" s="160">
        <v>2330</v>
      </c>
      <c r="F668" s="160" t="s">
        <v>75</v>
      </c>
      <c r="G668" s="148">
        <v>32</v>
      </c>
      <c r="H668" s="152">
        <f>IF(C668=11700,ROUND(VLOOKUP(G668,ThongSo!$F$2:$I$15,4,0)*B668*11.7,3),0)</f>
        <v>295.30799999999999</v>
      </c>
      <c r="I668" s="152" t="str">
        <f>IF(F668="Sắt vụn",ROUND(VLOOKUP(G668,ThongSo!$F$2:$I$15,4,0)*B668*E668/1000,3),"-")</f>
        <v>-</v>
      </c>
      <c r="L668" s="150"/>
      <c r="M668" s="150"/>
      <c r="N668" s="150"/>
    </row>
    <row r="669" spans="1:14" x14ac:dyDescent="0.25">
      <c r="A669" s="159">
        <v>142</v>
      </c>
      <c r="B669" s="160">
        <v>3</v>
      </c>
      <c r="C669" s="160">
        <v>11700</v>
      </c>
      <c r="D669" s="160" t="s">
        <v>3482</v>
      </c>
      <c r="E669" s="160">
        <v>2330</v>
      </c>
      <c r="F669" s="160" t="s">
        <v>75</v>
      </c>
      <c r="G669" s="148">
        <v>32</v>
      </c>
      <c r="H669" s="152">
        <f>IF(C669=11700,ROUND(VLOOKUP(G669,ThongSo!$F$2:$I$15,4,0)*B669*11.7,3),0)</f>
        <v>221.48099999999999</v>
      </c>
      <c r="I669" s="152" t="str">
        <f>IF(F669="Sắt vụn",ROUND(VLOOKUP(G669,ThongSo!$F$2:$I$15,4,0)*B669*E669/1000,3),"-")</f>
        <v>-</v>
      </c>
      <c r="L669" s="150"/>
      <c r="M669" s="150"/>
      <c r="N669" s="150"/>
    </row>
    <row r="670" spans="1:14" x14ac:dyDescent="0.25">
      <c r="A670" s="159">
        <v>143</v>
      </c>
      <c r="B670" s="160">
        <v>5</v>
      </c>
      <c r="C670" s="160">
        <v>11700</v>
      </c>
      <c r="D670" s="160" t="s">
        <v>3483</v>
      </c>
      <c r="E670" s="160">
        <v>2410</v>
      </c>
      <c r="F670" s="160" t="s">
        <v>75</v>
      </c>
      <c r="G670" s="148">
        <v>32</v>
      </c>
      <c r="H670" s="152">
        <f>IF(C670=11700,ROUND(VLOOKUP(G670,ThongSo!$F$2:$I$15,4,0)*B670*11.7,3),0)</f>
        <v>369.13499999999999</v>
      </c>
      <c r="I670" s="152" t="str">
        <f>IF(F670="Sắt vụn",ROUND(VLOOKUP(G670,ThongSo!$F$2:$I$15,4,0)*B670*E670/1000,3),"-")</f>
        <v>-</v>
      </c>
      <c r="L670" s="150"/>
      <c r="M670" s="150"/>
      <c r="N670" s="150"/>
    </row>
    <row r="671" spans="1:14" x14ac:dyDescent="0.25">
      <c r="A671" s="159">
        <v>144</v>
      </c>
      <c r="B671" s="160">
        <v>5</v>
      </c>
      <c r="C671" s="160">
        <v>11700</v>
      </c>
      <c r="D671" s="160" t="s">
        <v>3484</v>
      </c>
      <c r="E671" s="160">
        <v>2450</v>
      </c>
      <c r="F671" s="160" t="s">
        <v>75</v>
      </c>
      <c r="G671" s="148">
        <v>32</v>
      </c>
      <c r="H671" s="152">
        <f>IF(C671=11700,ROUND(VLOOKUP(G671,ThongSo!$F$2:$I$15,4,0)*B671*11.7,3),0)</f>
        <v>369.13499999999999</v>
      </c>
      <c r="I671" s="152" t="str">
        <f>IF(F671="Sắt vụn",ROUND(VLOOKUP(G671,ThongSo!$F$2:$I$15,4,0)*B671*E671/1000,3),"-")</f>
        <v>-</v>
      </c>
      <c r="L671" s="150"/>
      <c r="M671" s="150"/>
      <c r="N671" s="150"/>
    </row>
    <row r="672" spans="1:14" x14ac:dyDescent="0.25">
      <c r="A672" s="159">
        <v>145</v>
      </c>
      <c r="B672" s="160">
        <v>6</v>
      </c>
      <c r="C672" s="160">
        <v>11700</v>
      </c>
      <c r="D672" s="160" t="s">
        <v>3485</v>
      </c>
      <c r="E672" s="160">
        <v>2500</v>
      </c>
      <c r="F672" s="160" t="s">
        <v>75</v>
      </c>
      <c r="G672" s="148">
        <v>32</v>
      </c>
      <c r="H672" s="152">
        <f>IF(C672=11700,ROUND(VLOOKUP(G672,ThongSo!$F$2:$I$15,4,0)*B672*11.7,3),0)</f>
        <v>442.96199999999999</v>
      </c>
      <c r="I672" s="152" t="str">
        <f>IF(F672="Sắt vụn",ROUND(VLOOKUP(G672,ThongSo!$F$2:$I$15,4,0)*B672*E672/1000,3),"-")</f>
        <v>-</v>
      </c>
      <c r="L672" s="150"/>
      <c r="M672" s="150"/>
      <c r="N672" s="150"/>
    </row>
    <row r="673" spans="1:14" x14ac:dyDescent="0.25">
      <c r="A673" s="159">
        <v>146</v>
      </c>
      <c r="B673" s="160">
        <v>5</v>
      </c>
      <c r="C673" s="160">
        <v>11700</v>
      </c>
      <c r="D673" s="160" t="s">
        <v>3486</v>
      </c>
      <c r="E673" s="160">
        <v>2700</v>
      </c>
      <c r="F673" s="160" t="s">
        <v>75</v>
      </c>
      <c r="G673" s="148">
        <v>32</v>
      </c>
      <c r="H673" s="152">
        <f>IF(C673=11700,ROUND(VLOOKUP(G673,ThongSo!$F$2:$I$15,4,0)*B673*11.7,3),0)</f>
        <v>369.13499999999999</v>
      </c>
      <c r="I673" s="152" t="str">
        <f>IF(F673="Sắt vụn",ROUND(VLOOKUP(G673,ThongSo!$F$2:$I$15,4,0)*B673*E673/1000,3),"-")</f>
        <v>-</v>
      </c>
      <c r="L673" s="150"/>
      <c r="M673" s="150"/>
      <c r="N673" s="150"/>
    </row>
    <row r="674" spans="1:14" x14ac:dyDescent="0.25">
      <c r="A674" s="159">
        <v>147</v>
      </c>
      <c r="B674" s="160">
        <v>7</v>
      </c>
      <c r="C674" s="160">
        <v>11700</v>
      </c>
      <c r="D674" s="160" t="s">
        <v>3487</v>
      </c>
      <c r="E674" s="160">
        <v>2700</v>
      </c>
      <c r="F674" s="160" t="s">
        <v>75</v>
      </c>
      <c r="G674" s="148">
        <v>32</v>
      </c>
      <c r="H674" s="152">
        <f>IF(C674=11700,ROUND(VLOOKUP(G674,ThongSo!$F$2:$I$15,4,0)*B674*11.7,3),0)</f>
        <v>516.78899999999999</v>
      </c>
      <c r="I674" s="152" t="str">
        <f>IF(F674="Sắt vụn",ROUND(VLOOKUP(G674,ThongSo!$F$2:$I$15,4,0)*B674*E674/1000,3),"-")</f>
        <v>-</v>
      </c>
      <c r="L674" s="150"/>
      <c r="M674" s="150"/>
      <c r="N674" s="150"/>
    </row>
    <row r="675" spans="1:14" x14ac:dyDescent="0.25">
      <c r="A675" s="159">
        <v>148</v>
      </c>
      <c r="B675" s="160">
        <v>5</v>
      </c>
      <c r="C675" s="160">
        <v>11700</v>
      </c>
      <c r="D675" s="160" t="s">
        <v>3488</v>
      </c>
      <c r="E675" s="160">
        <v>2700</v>
      </c>
      <c r="F675" s="160" t="s">
        <v>75</v>
      </c>
      <c r="G675" s="148">
        <v>32</v>
      </c>
      <c r="H675" s="152">
        <f>IF(C675=11700,ROUND(VLOOKUP(G675,ThongSo!$F$2:$I$15,4,0)*B675*11.7,3),0)</f>
        <v>369.13499999999999</v>
      </c>
      <c r="I675" s="152" t="str">
        <f>IF(F675="Sắt vụn",ROUND(VLOOKUP(G675,ThongSo!$F$2:$I$15,4,0)*B675*E675/1000,3),"-")</f>
        <v>-</v>
      </c>
      <c r="L675" s="150"/>
      <c r="M675" s="150"/>
      <c r="N675" s="150"/>
    </row>
    <row r="676" spans="1:14" x14ac:dyDescent="0.25">
      <c r="A676" s="159">
        <v>149</v>
      </c>
      <c r="B676" s="160">
        <v>5</v>
      </c>
      <c r="C676" s="160">
        <v>11700</v>
      </c>
      <c r="D676" s="160" t="s">
        <v>3489</v>
      </c>
      <c r="E676" s="160">
        <v>2700</v>
      </c>
      <c r="F676" s="160" t="s">
        <v>75</v>
      </c>
      <c r="G676" s="148">
        <v>32</v>
      </c>
      <c r="H676" s="152">
        <f>IF(C676=11700,ROUND(VLOOKUP(G676,ThongSo!$F$2:$I$15,4,0)*B676*11.7,3),0)</f>
        <v>369.13499999999999</v>
      </c>
      <c r="I676" s="152" t="str">
        <f>IF(F676="Sắt vụn",ROUND(VLOOKUP(G676,ThongSo!$F$2:$I$15,4,0)*B676*E676/1000,3),"-")</f>
        <v>-</v>
      </c>
      <c r="L676" s="150"/>
      <c r="M676" s="150"/>
      <c r="N676" s="150"/>
    </row>
    <row r="677" spans="1:14" x14ac:dyDescent="0.25">
      <c r="A677" s="159">
        <v>150</v>
      </c>
      <c r="B677" s="160">
        <v>2</v>
      </c>
      <c r="C677" s="160">
        <v>11700</v>
      </c>
      <c r="D677" s="160" t="s">
        <v>3490</v>
      </c>
      <c r="E677" s="160">
        <v>2700</v>
      </c>
      <c r="F677" s="160" t="s">
        <v>75</v>
      </c>
      <c r="G677" s="148">
        <v>32</v>
      </c>
      <c r="H677" s="152">
        <f>IF(C677=11700,ROUND(VLOOKUP(G677,ThongSo!$F$2:$I$15,4,0)*B677*11.7,3),0)</f>
        <v>147.654</v>
      </c>
      <c r="I677" s="152" t="str">
        <f>IF(F677="Sắt vụn",ROUND(VLOOKUP(G677,ThongSo!$F$2:$I$15,4,0)*B677*E677/1000,3),"-")</f>
        <v>-</v>
      </c>
      <c r="L677" s="150"/>
      <c r="M677" s="150"/>
      <c r="N677" s="150"/>
    </row>
    <row r="678" spans="1:14" x14ac:dyDescent="0.25">
      <c r="A678" s="159">
        <v>151</v>
      </c>
      <c r="B678" s="160">
        <v>5</v>
      </c>
      <c r="C678" s="160">
        <v>11700</v>
      </c>
      <c r="D678" s="160" t="s">
        <v>3491</v>
      </c>
      <c r="E678" s="160">
        <v>2700</v>
      </c>
      <c r="F678" s="160" t="s">
        <v>75</v>
      </c>
      <c r="G678" s="148">
        <v>32</v>
      </c>
      <c r="H678" s="152">
        <f>IF(C678=11700,ROUND(VLOOKUP(G678,ThongSo!$F$2:$I$15,4,0)*B678*11.7,3),0)</f>
        <v>369.13499999999999</v>
      </c>
      <c r="I678" s="152" t="str">
        <f>IF(F678="Sắt vụn",ROUND(VLOOKUP(G678,ThongSo!$F$2:$I$15,4,0)*B678*E678/1000,3),"-")</f>
        <v>-</v>
      </c>
      <c r="L678" s="150"/>
      <c r="M678" s="150"/>
      <c r="N678" s="150"/>
    </row>
    <row r="679" spans="1:14" x14ac:dyDescent="0.25">
      <c r="A679" s="159">
        <v>152</v>
      </c>
      <c r="B679" s="160">
        <v>2</v>
      </c>
      <c r="C679" s="160">
        <v>11700</v>
      </c>
      <c r="D679" s="160" t="s">
        <v>3492</v>
      </c>
      <c r="E679" s="160">
        <v>2970</v>
      </c>
      <c r="F679" s="160" t="s">
        <v>75</v>
      </c>
      <c r="G679" s="148">
        <v>32</v>
      </c>
      <c r="H679" s="152">
        <f>IF(C679=11700,ROUND(VLOOKUP(G679,ThongSo!$F$2:$I$15,4,0)*B679*11.7,3),0)</f>
        <v>147.654</v>
      </c>
      <c r="I679" s="152" t="str">
        <f>IF(F679="Sắt vụn",ROUND(VLOOKUP(G679,ThongSo!$F$2:$I$15,4,0)*B679*E679/1000,3),"-")</f>
        <v>-</v>
      </c>
      <c r="L679" s="150"/>
      <c r="M679" s="150"/>
      <c r="N679" s="150"/>
    </row>
    <row r="680" spans="1:14" x14ac:dyDescent="0.25">
      <c r="A680" s="159">
        <v>153</v>
      </c>
      <c r="B680" s="160">
        <v>7</v>
      </c>
      <c r="C680" s="160">
        <v>11700</v>
      </c>
      <c r="D680" s="160" t="s">
        <v>3493</v>
      </c>
      <c r="E680" s="160">
        <v>2970</v>
      </c>
      <c r="F680" s="160" t="s">
        <v>75</v>
      </c>
      <c r="G680" s="148">
        <v>32</v>
      </c>
      <c r="H680" s="152">
        <f>IF(C680=11700,ROUND(VLOOKUP(G680,ThongSo!$F$2:$I$15,4,0)*B680*11.7,3),0)</f>
        <v>516.78899999999999</v>
      </c>
      <c r="I680" s="152" t="str">
        <f>IF(F680="Sắt vụn",ROUND(VLOOKUP(G680,ThongSo!$F$2:$I$15,4,0)*B680*E680/1000,3),"-")</f>
        <v>-</v>
      </c>
      <c r="L680" s="150"/>
      <c r="M680" s="150"/>
      <c r="N680" s="150"/>
    </row>
    <row r="681" spans="1:14" x14ac:dyDescent="0.25">
      <c r="A681" s="159">
        <v>154</v>
      </c>
      <c r="B681" s="160">
        <v>10</v>
      </c>
      <c r="C681" s="160">
        <v>11700</v>
      </c>
      <c r="D681" s="160" t="s">
        <v>3494</v>
      </c>
      <c r="E681" s="160">
        <v>3040</v>
      </c>
      <c r="F681" s="160" t="s">
        <v>75</v>
      </c>
      <c r="G681" s="148">
        <v>32</v>
      </c>
      <c r="H681" s="152">
        <f>IF(C681=11700,ROUND(VLOOKUP(G681,ThongSo!$F$2:$I$15,4,0)*B681*11.7,3),0)</f>
        <v>738.27</v>
      </c>
      <c r="I681" s="152" t="str">
        <f>IF(F681="Sắt vụn",ROUND(VLOOKUP(G681,ThongSo!$F$2:$I$15,4,0)*B681*E681/1000,3),"-")</f>
        <v>-</v>
      </c>
      <c r="L681" s="150"/>
      <c r="M681" s="150"/>
      <c r="N681" s="150"/>
    </row>
    <row r="682" spans="1:14" x14ac:dyDescent="0.25">
      <c r="A682" s="159">
        <v>155</v>
      </c>
      <c r="B682" s="160">
        <v>4</v>
      </c>
      <c r="C682" s="160">
        <v>11700</v>
      </c>
      <c r="D682" s="160" t="s">
        <v>3495</v>
      </c>
      <c r="E682" s="160">
        <v>3440</v>
      </c>
      <c r="F682" s="160" t="s">
        <v>75</v>
      </c>
      <c r="G682" s="148">
        <v>32</v>
      </c>
      <c r="H682" s="152">
        <f>IF(C682=11700,ROUND(VLOOKUP(G682,ThongSo!$F$2:$I$15,4,0)*B682*11.7,3),0)</f>
        <v>295.30799999999999</v>
      </c>
      <c r="I682" s="152" t="str">
        <f>IF(F682="Sắt vụn",ROUND(VLOOKUP(G682,ThongSo!$F$2:$I$15,4,0)*B682*E682/1000,3),"-")</f>
        <v>-</v>
      </c>
      <c r="L682" s="150"/>
      <c r="M682" s="150"/>
      <c r="N682" s="150"/>
    </row>
    <row r="683" spans="1:14" x14ac:dyDescent="0.25">
      <c r="A683" s="159">
        <v>156</v>
      </c>
      <c r="B683" s="160">
        <v>4</v>
      </c>
      <c r="C683" s="160">
        <v>11700</v>
      </c>
      <c r="D683" s="160" t="s">
        <v>3496</v>
      </c>
      <c r="E683" s="160">
        <v>3520</v>
      </c>
      <c r="F683" s="160" t="s">
        <v>75</v>
      </c>
      <c r="G683" s="148">
        <v>32</v>
      </c>
      <c r="H683" s="152">
        <f>IF(C683=11700,ROUND(VLOOKUP(G683,ThongSo!$F$2:$I$15,4,0)*B683*11.7,3),0)</f>
        <v>295.30799999999999</v>
      </c>
      <c r="I683" s="152" t="str">
        <f>IF(F683="Sắt vụn",ROUND(VLOOKUP(G683,ThongSo!$F$2:$I$15,4,0)*B683*E683/1000,3),"-")</f>
        <v>-</v>
      </c>
      <c r="L683" s="150"/>
      <c r="M683" s="150"/>
      <c r="N683" s="150"/>
    </row>
    <row r="684" spans="1:14" x14ac:dyDescent="0.25">
      <c r="A684" s="159">
        <v>157</v>
      </c>
      <c r="B684" s="160">
        <v>7</v>
      </c>
      <c r="C684" s="160">
        <v>11700</v>
      </c>
      <c r="D684" s="160" t="s">
        <v>3497</v>
      </c>
      <c r="E684" s="160">
        <v>3520</v>
      </c>
      <c r="F684" s="160" t="s">
        <v>75</v>
      </c>
      <c r="G684" s="148">
        <v>32</v>
      </c>
      <c r="H684" s="152">
        <f>IF(C684=11700,ROUND(VLOOKUP(G684,ThongSo!$F$2:$I$15,4,0)*B684*11.7,3),0)</f>
        <v>516.78899999999999</v>
      </c>
      <c r="I684" s="152" t="str">
        <f>IF(F684="Sắt vụn",ROUND(VLOOKUP(G684,ThongSo!$F$2:$I$15,4,0)*B684*E684/1000,3),"-")</f>
        <v>-</v>
      </c>
      <c r="L684" s="150"/>
      <c r="M684" s="150"/>
      <c r="N684" s="150"/>
    </row>
    <row r="685" spans="1:14" x14ac:dyDescent="0.25">
      <c r="A685" s="159">
        <v>158</v>
      </c>
      <c r="B685" s="160">
        <v>7</v>
      </c>
      <c r="C685" s="160">
        <v>11700</v>
      </c>
      <c r="D685" s="160" t="s">
        <v>3498</v>
      </c>
      <c r="E685" s="160">
        <v>3520</v>
      </c>
      <c r="F685" s="160" t="s">
        <v>75</v>
      </c>
      <c r="G685" s="148">
        <v>32</v>
      </c>
      <c r="H685" s="152">
        <f>IF(C685=11700,ROUND(VLOOKUP(G685,ThongSo!$F$2:$I$15,4,0)*B685*11.7,3),0)</f>
        <v>516.78899999999999</v>
      </c>
      <c r="I685" s="152" t="str">
        <f>IF(F685="Sắt vụn",ROUND(VLOOKUP(G685,ThongSo!$F$2:$I$15,4,0)*B685*E685/1000,3),"-")</f>
        <v>-</v>
      </c>
      <c r="L685" s="150"/>
      <c r="M685" s="150"/>
      <c r="N685" s="150"/>
    </row>
    <row r="686" spans="1:14" x14ac:dyDescent="0.25">
      <c r="A686" s="159">
        <v>159</v>
      </c>
      <c r="B686" s="160">
        <v>5</v>
      </c>
      <c r="C686" s="160">
        <v>11700</v>
      </c>
      <c r="D686" s="160" t="s">
        <v>3499</v>
      </c>
      <c r="E686" s="160">
        <v>3520</v>
      </c>
      <c r="F686" s="160" t="s">
        <v>75</v>
      </c>
      <c r="G686" s="148">
        <v>32</v>
      </c>
      <c r="H686" s="152">
        <f>IF(C686=11700,ROUND(VLOOKUP(G686,ThongSo!$F$2:$I$15,4,0)*B686*11.7,3),0)</f>
        <v>369.13499999999999</v>
      </c>
      <c r="I686" s="152" t="str">
        <f>IF(F686="Sắt vụn",ROUND(VLOOKUP(G686,ThongSo!$F$2:$I$15,4,0)*B686*E686/1000,3),"-")</f>
        <v>-</v>
      </c>
      <c r="L686" s="150"/>
      <c r="M686" s="150"/>
      <c r="N686" s="150"/>
    </row>
    <row r="687" spans="1:14" x14ac:dyDescent="0.25">
      <c r="A687" s="159">
        <v>160</v>
      </c>
      <c r="B687" s="160">
        <v>11</v>
      </c>
      <c r="C687" s="160">
        <v>11700</v>
      </c>
      <c r="D687" s="160" t="s">
        <v>3500</v>
      </c>
      <c r="E687" s="160">
        <v>3620</v>
      </c>
      <c r="F687" s="160" t="s">
        <v>75</v>
      </c>
      <c r="G687" s="148">
        <v>32</v>
      </c>
      <c r="H687" s="152">
        <f>IF(C687=11700,ROUND(VLOOKUP(G687,ThongSo!$F$2:$I$15,4,0)*B687*11.7,3),0)</f>
        <v>812.09699999999998</v>
      </c>
      <c r="I687" s="152" t="str">
        <f>IF(F687="Sắt vụn",ROUND(VLOOKUP(G687,ThongSo!$F$2:$I$15,4,0)*B687*E687/1000,3),"-")</f>
        <v>-</v>
      </c>
      <c r="L687" s="150"/>
      <c r="M687" s="150"/>
      <c r="N687" s="150"/>
    </row>
    <row r="688" spans="1:14" x14ac:dyDescent="0.25">
      <c r="A688" s="159">
        <v>161</v>
      </c>
      <c r="B688" s="160">
        <v>3</v>
      </c>
      <c r="C688" s="160">
        <v>11700</v>
      </c>
      <c r="D688" s="160" t="s">
        <v>3501</v>
      </c>
      <c r="E688" s="160">
        <v>3930</v>
      </c>
      <c r="F688" s="160" t="s">
        <v>75</v>
      </c>
      <c r="G688" s="148">
        <v>32</v>
      </c>
      <c r="H688" s="152">
        <f>IF(C688=11700,ROUND(VLOOKUP(G688,ThongSo!$F$2:$I$15,4,0)*B688*11.7,3),0)</f>
        <v>221.48099999999999</v>
      </c>
      <c r="I688" s="152" t="str">
        <f>IF(F688="Sắt vụn",ROUND(VLOOKUP(G688,ThongSo!$F$2:$I$15,4,0)*B688*E688/1000,3),"-")</f>
        <v>-</v>
      </c>
      <c r="L688" s="150"/>
      <c r="M688" s="150"/>
      <c r="N688" s="150"/>
    </row>
    <row r="689" spans="1:14" x14ac:dyDescent="0.25">
      <c r="A689" s="159">
        <v>162</v>
      </c>
      <c r="B689" s="160">
        <v>6</v>
      </c>
      <c r="C689" s="160">
        <v>11700</v>
      </c>
      <c r="D689" s="160" t="s">
        <v>3502</v>
      </c>
      <c r="E689" s="160">
        <v>4170</v>
      </c>
      <c r="F689" s="160" t="s">
        <v>75</v>
      </c>
      <c r="G689" s="148">
        <v>32</v>
      </c>
      <c r="H689" s="152">
        <f>IF(C689=11700,ROUND(VLOOKUP(G689,ThongSo!$F$2:$I$15,4,0)*B689*11.7,3),0)</f>
        <v>442.96199999999999</v>
      </c>
      <c r="I689" s="152" t="str">
        <f>IF(F689="Sắt vụn",ROUND(VLOOKUP(G689,ThongSo!$F$2:$I$15,4,0)*B689*E689/1000,3),"-")</f>
        <v>-</v>
      </c>
      <c r="L689" s="150"/>
      <c r="M689" s="150"/>
      <c r="N689" s="150"/>
    </row>
    <row r="690" spans="1:14" x14ac:dyDescent="0.25">
      <c r="A690" s="159">
        <v>163</v>
      </c>
      <c r="B690" s="160">
        <v>13</v>
      </c>
      <c r="C690" s="160">
        <v>11700</v>
      </c>
      <c r="D690" s="160" t="s">
        <v>3503</v>
      </c>
      <c r="E690" s="160">
        <v>4310</v>
      </c>
      <c r="F690" s="160" t="s">
        <v>75</v>
      </c>
      <c r="G690" s="148">
        <v>32</v>
      </c>
      <c r="H690" s="152">
        <f>IF(C690=11700,ROUND(VLOOKUP(G690,ThongSo!$F$2:$I$15,4,0)*B690*11.7,3),0)</f>
        <v>959.75099999999998</v>
      </c>
      <c r="I690" s="152" t="str">
        <f>IF(F690="Sắt vụn",ROUND(VLOOKUP(G690,ThongSo!$F$2:$I$15,4,0)*B690*E690/1000,3),"-")</f>
        <v>-</v>
      </c>
      <c r="L690" s="150"/>
      <c r="M690" s="150"/>
      <c r="N690" s="150"/>
    </row>
    <row r="691" spans="1:14" x14ac:dyDescent="0.25">
      <c r="A691" s="159">
        <v>164</v>
      </c>
      <c r="B691" s="160">
        <v>4</v>
      </c>
      <c r="C691" s="160">
        <v>11700</v>
      </c>
      <c r="D691" s="160" t="s">
        <v>3504</v>
      </c>
      <c r="E691" s="160">
        <v>4320</v>
      </c>
      <c r="F691" s="160" t="s">
        <v>75</v>
      </c>
      <c r="G691" s="148">
        <v>32</v>
      </c>
      <c r="H691" s="152">
        <f>IF(C691=11700,ROUND(VLOOKUP(G691,ThongSo!$F$2:$I$15,4,0)*B691*11.7,3),0)</f>
        <v>295.30799999999999</v>
      </c>
      <c r="I691" s="152" t="str">
        <f>IF(F691="Sắt vụn",ROUND(VLOOKUP(G691,ThongSo!$F$2:$I$15,4,0)*B691*E691/1000,3),"-")</f>
        <v>-</v>
      </c>
      <c r="L691" s="150"/>
      <c r="M691" s="150"/>
      <c r="N691" s="150"/>
    </row>
    <row r="692" spans="1:14" x14ac:dyDescent="0.25">
      <c r="A692" s="159">
        <v>165</v>
      </c>
      <c r="B692" s="160">
        <v>3</v>
      </c>
      <c r="C692" s="160">
        <v>11700</v>
      </c>
      <c r="D692" s="160" t="s">
        <v>3505</v>
      </c>
      <c r="E692" s="160">
        <v>4400</v>
      </c>
      <c r="F692" s="160" t="s">
        <v>75</v>
      </c>
      <c r="G692" s="148">
        <v>32</v>
      </c>
      <c r="H692" s="152">
        <f>IF(C692=11700,ROUND(VLOOKUP(G692,ThongSo!$F$2:$I$15,4,0)*B692*11.7,3),0)</f>
        <v>221.48099999999999</v>
      </c>
      <c r="I692" s="152" t="str">
        <f>IF(F692="Sắt vụn",ROUND(VLOOKUP(G692,ThongSo!$F$2:$I$15,4,0)*B692*E692/1000,3),"-")</f>
        <v>-</v>
      </c>
      <c r="L692" s="150"/>
      <c r="M692" s="150"/>
      <c r="N692" s="150"/>
    </row>
    <row r="693" spans="1:14" x14ac:dyDescent="0.25">
      <c r="A693" s="159">
        <v>166</v>
      </c>
      <c r="B693" s="160">
        <v>6</v>
      </c>
      <c r="C693" s="160">
        <v>11700</v>
      </c>
      <c r="D693" s="160" t="s">
        <v>3506</v>
      </c>
      <c r="E693" s="160">
        <v>4400</v>
      </c>
      <c r="F693" s="160" t="s">
        <v>75</v>
      </c>
      <c r="G693" s="148">
        <v>32</v>
      </c>
      <c r="H693" s="152">
        <f>IF(C693=11700,ROUND(VLOOKUP(G693,ThongSo!$F$2:$I$15,4,0)*B693*11.7,3),0)</f>
        <v>442.96199999999999</v>
      </c>
      <c r="I693" s="152" t="str">
        <f>IF(F693="Sắt vụn",ROUND(VLOOKUP(G693,ThongSo!$F$2:$I$15,4,0)*B693*E693/1000,3),"-")</f>
        <v>-</v>
      </c>
      <c r="L693" s="150"/>
      <c r="M693" s="150"/>
      <c r="N693" s="150"/>
    </row>
    <row r="694" spans="1:14" x14ac:dyDescent="0.25">
      <c r="A694" s="159">
        <v>167</v>
      </c>
      <c r="B694" s="160">
        <v>7</v>
      </c>
      <c r="C694" s="160">
        <v>11700</v>
      </c>
      <c r="D694" s="160" t="s">
        <v>3507</v>
      </c>
      <c r="E694" s="160">
        <v>4490</v>
      </c>
      <c r="F694" s="160" t="s">
        <v>75</v>
      </c>
      <c r="G694" s="148">
        <v>32</v>
      </c>
      <c r="H694" s="152">
        <f>IF(C694=11700,ROUND(VLOOKUP(G694,ThongSo!$F$2:$I$15,4,0)*B694*11.7,3),0)</f>
        <v>516.78899999999999</v>
      </c>
      <c r="I694" s="152" t="str">
        <f>IF(F694="Sắt vụn",ROUND(VLOOKUP(G694,ThongSo!$F$2:$I$15,4,0)*B694*E694/1000,3),"-")</f>
        <v>-</v>
      </c>
      <c r="L694" s="150"/>
      <c r="M694" s="150"/>
      <c r="N694" s="150"/>
    </row>
    <row r="695" spans="1:14" x14ac:dyDescent="0.25">
      <c r="A695" s="159">
        <v>168</v>
      </c>
      <c r="B695" s="160">
        <v>5</v>
      </c>
      <c r="C695" s="160">
        <v>11700</v>
      </c>
      <c r="D695" s="160" t="s">
        <v>3508</v>
      </c>
      <c r="E695" s="160">
        <v>4740</v>
      </c>
      <c r="F695" s="160" t="s">
        <v>75</v>
      </c>
      <c r="G695" s="148">
        <v>32</v>
      </c>
      <c r="H695" s="152">
        <f>IF(C695=11700,ROUND(VLOOKUP(G695,ThongSo!$F$2:$I$15,4,0)*B695*11.7,3),0)</f>
        <v>369.13499999999999</v>
      </c>
      <c r="I695" s="152" t="str">
        <f>IF(F695="Sắt vụn",ROUND(VLOOKUP(G695,ThongSo!$F$2:$I$15,4,0)*B695*E695/1000,3),"-")</f>
        <v>-</v>
      </c>
      <c r="L695" s="150"/>
      <c r="M695" s="150"/>
      <c r="N695" s="150"/>
    </row>
    <row r="696" spans="1:14" x14ac:dyDescent="0.25">
      <c r="A696" s="159">
        <v>169</v>
      </c>
      <c r="B696" s="160">
        <v>5</v>
      </c>
      <c r="C696" s="160">
        <v>11700</v>
      </c>
      <c r="D696" s="160" t="s">
        <v>3509</v>
      </c>
      <c r="E696" s="160">
        <v>4790</v>
      </c>
      <c r="F696" s="160" t="s">
        <v>75</v>
      </c>
      <c r="G696" s="148">
        <v>32</v>
      </c>
      <c r="H696" s="152">
        <f>IF(C696=11700,ROUND(VLOOKUP(G696,ThongSo!$F$2:$I$15,4,0)*B696*11.7,3),0)</f>
        <v>369.13499999999999</v>
      </c>
      <c r="I696" s="152" t="str">
        <f>IF(F696="Sắt vụn",ROUND(VLOOKUP(G696,ThongSo!$F$2:$I$15,4,0)*B696*E696/1000,3),"-")</f>
        <v>-</v>
      </c>
      <c r="L696" s="150"/>
      <c r="M696" s="150"/>
      <c r="N696" s="150"/>
    </row>
    <row r="697" spans="1:14" x14ac:dyDescent="0.25">
      <c r="A697" s="159">
        <v>170</v>
      </c>
      <c r="B697" s="160">
        <v>11</v>
      </c>
      <c r="C697" s="160">
        <v>11700</v>
      </c>
      <c r="D697" s="160" t="s">
        <v>3510</v>
      </c>
      <c r="E697" s="160">
        <v>4800</v>
      </c>
      <c r="F697" s="160" t="s">
        <v>75</v>
      </c>
      <c r="G697" s="148">
        <v>32</v>
      </c>
      <c r="H697" s="152">
        <f>IF(C697=11700,ROUND(VLOOKUP(G697,ThongSo!$F$2:$I$15,4,0)*B697*11.7,3),0)</f>
        <v>812.09699999999998</v>
      </c>
      <c r="I697" s="152" t="str">
        <f>IF(F697="Sắt vụn",ROUND(VLOOKUP(G697,ThongSo!$F$2:$I$15,4,0)*B697*E697/1000,3),"-")</f>
        <v>-</v>
      </c>
      <c r="L697" s="150"/>
      <c r="M697" s="150"/>
      <c r="N697" s="150"/>
    </row>
    <row r="698" spans="1:14" x14ac:dyDescent="0.25">
      <c r="A698" s="159">
        <v>171</v>
      </c>
      <c r="B698" s="160">
        <v>10</v>
      </c>
      <c r="C698" s="160">
        <v>11700</v>
      </c>
      <c r="D698" s="160" t="s">
        <v>3511</v>
      </c>
      <c r="E698" s="160">
        <v>4830</v>
      </c>
      <c r="F698" s="160" t="s">
        <v>75</v>
      </c>
      <c r="G698" s="148">
        <v>32</v>
      </c>
      <c r="H698" s="152">
        <f>IF(C698=11700,ROUND(VLOOKUP(G698,ThongSo!$F$2:$I$15,4,0)*B698*11.7,3),0)</f>
        <v>738.27</v>
      </c>
      <c r="I698" s="152" t="str">
        <f>IF(F698="Sắt vụn",ROUND(VLOOKUP(G698,ThongSo!$F$2:$I$15,4,0)*B698*E698/1000,3),"-")</f>
        <v>-</v>
      </c>
      <c r="L698" s="150"/>
      <c r="M698" s="150"/>
      <c r="N698" s="150"/>
    </row>
    <row r="699" spans="1:14" x14ac:dyDescent="0.25">
      <c r="A699" s="159">
        <v>172</v>
      </c>
      <c r="B699" s="160">
        <v>4</v>
      </c>
      <c r="C699" s="160">
        <v>11700</v>
      </c>
      <c r="D699" s="160" t="s">
        <v>3512</v>
      </c>
      <c r="E699" s="160">
        <v>4880</v>
      </c>
      <c r="F699" s="160" t="s">
        <v>75</v>
      </c>
      <c r="G699" s="148">
        <v>32</v>
      </c>
      <c r="H699" s="152">
        <f>IF(C699=11700,ROUND(VLOOKUP(G699,ThongSo!$F$2:$I$15,4,0)*B699*11.7,3),0)</f>
        <v>295.30799999999999</v>
      </c>
      <c r="I699" s="152" t="str">
        <f>IF(F699="Sắt vụn",ROUND(VLOOKUP(G699,ThongSo!$F$2:$I$15,4,0)*B699*E699/1000,3),"-")</f>
        <v>-</v>
      </c>
      <c r="L699" s="150"/>
      <c r="M699" s="150"/>
      <c r="N699" s="150"/>
    </row>
    <row r="700" spans="1:14" x14ac:dyDescent="0.25">
      <c r="A700" s="159">
        <v>173</v>
      </c>
      <c r="B700" s="160">
        <v>1</v>
      </c>
      <c r="C700" s="160">
        <v>11700</v>
      </c>
      <c r="D700" s="160" t="s">
        <v>3513</v>
      </c>
      <c r="E700" s="160">
        <v>4950</v>
      </c>
      <c r="F700" s="160" t="s">
        <v>75</v>
      </c>
      <c r="G700" s="148">
        <v>32</v>
      </c>
      <c r="H700" s="152">
        <f>IF(C700=11700,ROUND(VLOOKUP(G700,ThongSo!$F$2:$I$15,4,0)*B700*11.7,3),0)</f>
        <v>73.826999999999998</v>
      </c>
      <c r="I700" s="152" t="str">
        <f>IF(F700="Sắt vụn",ROUND(VLOOKUP(G700,ThongSo!$F$2:$I$15,4,0)*B700*E700/1000,3),"-")</f>
        <v>-</v>
      </c>
      <c r="L700" s="150"/>
      <c r="M700" s="150"/>
      <c r="N700" s="150"/>
    </row>
    <row r="701" spans="1:14" x14ac:dyDescent="0.25">
      <c r="A701" s="157" t="s">
        <v>79</v>
      </c>
      <c r="B701" s="158"/>
      <c r="C701" s="158"/>
      <c r="D701" s="158"/>
      <c r="E701" s="158"/>
      <c r="F701" s="158"/>
      <c r="G701" s="148"/>
      <c r="H701" s="152">
        <f>IF(C701=11700,ROUND(VLOOKUP(G701,ThongSo!$F$2:$I$15,4,0)*B701*11.7,3),0)</f>
        <v>0</v>
      </c>
      <c r="I701" s="152" t="str">
        <f>IF(F701="Sắt vụn",ROUND(VLOOKUP(G701,ThongSo!$F$2:$I$15,4,0)*B701*E701/1000,3),"-")</f>
        <v>-</v>
      </c>
      <c r="L701" s="150"/>
      <c r="M701" s="150"/>
      <c r="N701" s="150"/>
    </row>
    <row r="702" spans="1:14" x14ac:dyDescent="0.25">
      <c r="A702" s="159">
        <v>174</v>
      </c>
      <c r="B702" s="160">
        <v>37</v>
      </c>
      <c r="C702" s="160">
        <v>11700</v>
      </c>
      <c r="D702" s="160" t="s">
        <v>3514</v>
      </c>
      <c r="E702" s="160">
        <v>30</v>
      </c>
      <c r="F702" s="160" t="s">
        <v>74</v>
      </c>
      <c r="G702" s="148">
        <v>20</v>
      </c>
      <c r="H702" s="152">
        <f>IF(C702=11700,ROUND(VLOOKUP(G702,ThongSo!$F$2:$I$15,4,0)*B702*11.7,3),0)</f>
        <v>1069.2629999999999</v>
      </c>
      <c r="I702" s="152">
        <f>IF(F702="Sắt vụn",ROUND(VLOOKUP(G702,ThongSo!$F$2:$I$15,4,0)*B702*E702/1000,3),"-")</f>
        <v>2.742</v>
      </c>
      <c r="L702" s="150"/>
      <c r="M702" s="150"/>
      <c r="N702" s="150"/>
    </row>
    <row r="703" spans="1:14" x14ac:dyDescent="0.25">
      <c r="A703" s="159">
        <v>175</v>
      </c>
      <c r="B703" s="160">
        <v>14</v>
      </c>
      <c r="C703" s="160">
        <v>11700</v>
      </c>
      <c r="D703" s="160" t="s">
        <v>3515</v>
      </c>
      <c r="E703" s="160">
        <v>50</v>
      </c>
      <c r="F703" s="160" t="s">
        <v>74</v>
      </c>
      <c r="G703" s="148">
        <v>20</v>
      </c>
      <c r="H703" s="152">
        <f>IF(C703=11700,ROUND(VLOOKUP(G703,ThongSo!$F$2:$I$15,4,0)*B703*11.7,3),0)</f>
        <v>404.58600000000001</v>
      </c>
      <c r="I703" s="152">
        <f>IF(F703="Sắt vụn",ROUND(VLOOKUP(G703,ThongSo!$F$2:$I$15,4,0)*B703*E703/1000,3),"-")</f>
        <v>1.7290000000000001</v>
      </c>
      <c r="L703" s="150"/>
      <c r="M703" s="150"/>
      <c r="N703" s="150"/>
    </row>
    <row r="704" spans="1:14" x14ac:dyDescent="0.25">
      <c r="A704" s="159">
        <v>176</v>
      </c>
      <c r="B704" s="160">
        <v>1</v>
      </c>
      <c r="C704" s="160">
        <v>11700</v>
      </c>
      <c r="D704" s="160" t="s">
        <v>3516</v>
      </c>
      <c r="E704" s="160">
        <v>150</v>
      </c>
      <c r="F704" s="160" t="s">
        <v>74</v>
      </c>
      <c r="G704" s="148">
        <v>20</v>
      </c>
      <c r="H704" s="152">
        <f>IF(C704=11700,ROUND(VLOOKUP(G704,ThongSo!$F$2:$I$15,4,0)*B704*11.7,3),0)</f>
        <v>28.899000000000001</v>
      </c>
      <c r="I704" s="152">
        <f>IF(F704="Sắt vụn",ROUND(VLOOKUP(G704,ThongSo!$F$2:$I$15,4,0)*B704*E704/1000,3),"-")</f>
        <v>0.371</v>
      </c>
      <c r="L704" s="150"/>
      <c r="M704" s="150"/>
      <c r="N704" s="150"/>
    </row>
    <row r="705" spans="1:14" x14ac:dyDescent="0.25">
      <c r="A705" s="159">
        <v>177</v>
      </c>
      <c r="B705" s="160">
        <v>51</v>
      </c>
      <c r="C705" s="160">
        <v>11700</v>
      </c>
      <c r="D705" s="160" t="s">
        <v>3517</v>
      </c>
      <c r="E705" s="160">
        <v>250</v>
      </c>
      <c r="F705" s="160" t="s">
        <v>74</v>
      </c>
      <c r="G705" s="148">
        <v>20</v>
      </c>
      <c r="H705" s="152">
        <f>IF(C705=11700,ROUND(VLOOKUP(G705,ThongSo!$F$2:$I$15,4,0)*B705*11.7,3),0)</f>
        <v>1473.8489999999999</v>
      </c>
      <c r="I705" s="152">
        <f>IF(F705="Sắt vụn",ROUND(VLOOKUP(G705,ThongSo!$F$2:$I$15,4,0)*B705*E705/1000,3),"-")</f>
        <v>31.492999999999999</v>
      </c>
      <c r="L705" s="150"/>
      <c r="M705" s="150"/>
      <c r="N705" s="150"/>
    </row>
    <row r="706" spans="1:14" x14ac:dyDescent="0.25">
      <c r="A706" s="159">
        <v>178</v>
      </c>
      <c r="B706" s="160">
        <v>23</v>
      </c>
      <c r="C706" s="160">
        <v>11700</v>
      </c>
      <c r="D706" s="160" t="s">
        <v>3518</v>
      </c>
      <c r="E706" s="160">
        <v>540</v>
      </c>
      <c r="F706" s="160" t="s">
        <v>74</v>
      </c>
      <c r="G706" s="148">
        <v>20</v>
      </c>
      <c r="H706" s="152">
        <f>IF(C706=11700,ROUND(VLOOKUP(G706,ThongSo!$F$2:$I$15,4,0)*B706*11.7,3),0)</f>
        <v>664.67700000000002</v>
      </c>
      <c r="I706" s="152">
        <f>IF(F706="Sắt vụn",ROUND(VLOOKUP(G706,ThongSo!$F$2:$I$15,4,0)*B706*E706/1000,3),"-")</f>
        <v>30.677</v>
      </c>
      <c r="L706" s="150"/>
      <c r="M706" s="150"/>
      <c r="N706" s="150"/>
    </row>
    <row r="707" spans="1:14" x14ac:dyDescent="0.25">
      <c r="A707" s="159">
        <v>179</v>
      </c>
      <c r="B707" s="160">
        <v>1</v>
      </c>
      <c r="C707" s="160">
        <v>11700</v>
      </c>
      <c r="D707" s="160" t="s">
        <v>3519</v>
      </c>
      <c r="E707" s="160">
        <v>540</v>
      </c>
      <c r="F707" s="160" t="s">
        <v>74</v>
      </c>
      <c r="G707" s="148">
        <v>20</v>
      </c>
      <c r="H707" s="152">
        <f>IF(C707=11700,ROUND(VLOOKUP(G707,ThongSo!$F$2:$I$15,4,0)*B707*11.7,3),0)</f>
        <v>28.899000000000001</v>
      </c>
      <c r="I707" s="152">
        <f>IF(F707="Sắt vụn",ROUND(VLOOKUP(G707,ThongSo!$F$2:$I$15,4,0)*B707*E707/1000,3),"-")</f>
        <v>1.3340000000000001</v>
      </c>
      <c r="L707" s="150"/>
      <c r="M707" s="150"/>
      <c r="N707" s="150"/>
    </row>
    <row r="708" spans="1:14" x14ac:dyDescent="0.25">
      <c r="A708" s="159">
        <v>180</v>
      </c>
      <c r="B708" s="160">
        <v>131</v>
      </c>
      <c r="C708" s="160">
        <v>11700</v>
      </c>
      <c r="D708" s="160" t="s">
        <v>3520</v>
      </c>
      <c r="E708" s="160">
        <v>540</v>
      </c>
      <c r="F708" s="160" t="s">
        <v>74</v>
      </c>
      <c r="G708" s="148">
        <v>20</v>
      </c>
      <c r="H708" s="152">
        <f>IF(C708=11700,ROUND(VLOOKUP(G708,ThongSo!$F$2:$I$15,4,0)*B708*11.7,3),0)</f>
        <v>3785.7689999999998</v>
      </c>
      <c r="I708" s="152">
        <f>IF(F708="Sắt vụn",ROUND(VLOOKUP(G708,ThongSo!$F$2:$I$15,4,0)*B708*E708/1000,3),"-")</f>
        <v>174.72800000000001</v>
      </c>
      <c r="L708" s="150"/>
      <c r="M708" s="150"/>
      <c r="N708" s="150"/>
    </row>
    <row r="709" spans="1:14" x14ac:dyDescent="0.25">
      <c r="A709" s="159">
        <v>181</v>
      </c>
      <c r="B709" s="160">
        <v>75</v>
      </c>
      <c r="C709" s="160">
        <v>11700</v>
      </c>
      <c r="D709" s="160" t="s">
        <v>3521</v>
      </c>
      <c r="E709" s="160">
        <v>4330</v>
      </c>
      <c r="F709" s="160" t="s">
        <v>75</v>
      </c>
      <c r="G709" s="148">
        <v>20</v>
      </c>
      <c r="H709" s="152">
        <f>IF(C709=11700,ROUND(VLOOKUP(G709,ThongSo!$F$2:$I$15,4,0)*B709*11.7,3),0)</f>
        <v>2167.4250000000002</v>
      </c>
      <c r="I709" s="152" t="str">
        <f>IF(F709="Sắt vụn",ROUND(VLOOKUP(G709,ThongSo!$F$2:$I$15,4,0)*B709*E709/1000,3),"-")</f>
        <v>-</v>
      </c>
      <c r="L709" s="150"/>
      <c r="M709" s="150"/>
      <c r="N709" s="150"/>
    </row>
    <row r="710" spans="1:14" x14ac:dyDescent="0.25">
      <c r="A710" s="159">
        <v>182</v>
      </c>
      <c r="B710" s="160">
        <v>1</v>
      </c>
      <c r="C710" s="160">
        <v>11700</v>
      </c>
      <c r="D710" s="160" t="s">
        <v>3522</v>
      </c>
      <c r="E710" s="160">
        <v>7310</v>
      </c>
      <c r="F710" s="160" t="s">
        <v>75</v>
      </c>
      <c r="G710" s="148">
        <v>20</v>
      </c>
      <c r="H710" s="152">
        <f>IF(C710=11700,ROUND(VLOOKUP(G710,ThongSo!$F$2:$I$15,4,0)*B710*11.7,3),0)</f>
        <v>28.899000000000001</v>
      </c>
      <c r="I710" s="152" t="str">
        <f>IF(F710="Sắt vụn",ROUND(VLOOKUP(G710,ThongSo!$F$2:$I$15,4,0)*B710*E710/1000,3),"-")</f>
        <v>-</v>
      </c>
      <c r="L710" s="150"/>
      <c r="M710" s="150"/>
      <c r="N710" s="150"/>
    </row>
    <row r="711" spans="1:14" x14ac:dyDescent="0.25">
      <c r="A711" s="157" t="s">
        <v>80</v>
      </c>
      <c r="B711" s="158"/>
      <c r="C711" s="158"/>
      <c r="D711" s="158"/>
      <c r="E711" s="158"/>
      <c r="F711" s="158"/>
      <c r="G711" s="148"/>
      <c r="H711" s="152">
        <f>IF(C711=11700,ROUND(VLOOKUP(G711,ThongSo!$F$2:$I$15,4,0)*B711*11.7,3),0)</f>
        <v>0</v>
      </c>
      <c r="I711" s="152" t="str">
        <f>IF(F711="Sắt vụn",ROUND(VLOOKUP(G711,ThongSo!$F$2:$I$15,4,0)*B711*E711/1000,3),"-")</f>
        <v>-</v>
      </c>
      <c r="L711" s="150"/>
      <c r="M711" s="150"/>
      <c r="N711" s="150"/>
    </row>
    <row r="712" spans="1:14" x14ac:dyDescent="0.25">
      <c r="A712" s="159" t="s">
        <v>73</v>
      </c>
      <c r="B712" s="160">
        <v>108</v>
      </c>
      <c r="C712" s="160">
        <v>11700</v>
      </c>
      <c r="D712" s="160"/>
      <c r="E712" s="160"/>
      <c r="F712" s="160"/>
      <c r="G712" s="148">
        <v>18</v>
      </c>
      <c r="H712" s="152">
        <f>IF(C712=11700,ROUND(VLOOKUP(G712,ThongSo!$F$2:$I$15,4,0)*B712*11.7,3),0)</f>
        <v>2527.1999999999998</v>
      </c>
      <c r="I712" s="152" t="str">
        <f>IF(F712="Sắt vụn",ROUND(VLOOKUP(G712,ThongSo!$F$2:$I$15,4,0)*B712*E712/1000,3),"-")</f>
        <v>-</v>
      </c>
      <c r="L712" s="150"/>
      <c r="M712" s="150"/>
      <c r="N712" s="150"/>
    </row>
    <row r="713" spans="1:14" x14ac:dyDescent="0.25">
      <c r="A713" s="159" t="s">
        <v>187</v>
      </c>
      <c r="B713" s="160">
        <v>3</v>
      </c>
      <c r="C713" s="160">
        <v>1470</v>
      </c>
      <c r="D713" s="160" t="s">
        <v>3523</v>
      </c>
      <c r="E713" s="160">
        <v>140</v>
      </c>
      <c r="F713" s="160" t="s">
        <v>74</v>
      </c>
      <c r="G713" s="148">
        <v>18</v>
      </c>
      <c r="H713" s="152">
        <f>IF(C713=11700,ROUND(VLOOKUP(G713,ThongSo!$F$2:$I$15,4,0)*B713*11.7,3),0)</f>
        <v>0</v>
      </c>
      <c r="I713" s="152">
        <f>IF(F713="Sắt vụn",ROUND(VLOOKUP(G713,ThongSo!$F$2:$I$15,4,0)*B713*E713/1000,3),"-")</f>
        <v>0.84</v>
      </c>
      <c r="L713" s="150"/>
      <c r="M713" s="150"/>
      <c r="N713" s="150"/>
    </row>
    <row r="714" spans="1:14" x14ac:dyDescent="0.25">
      <c r="A714" s="159" t="s">
        <v>340</v>
      </c>
      <c r="B714" s="160">
        <v>1</v>
      </c>
      <c r="C714" s="160">
        <v>1570</v>
      </c>
      <c r="D714" s="160" t="s">
        <v>3523</v>
      </c>
      <c r="E714" s="160">
        <v>240</v>
      </c>
      <c r="F714" s="160" t="s">
        <v>74</v>
      </c>
      <c r="G714" s="148">
        <v>18</v>
      </c>
      <c r="H714" s="152">
        <f>IF(C714=11700,ROUND(VLOOKUP(G714,ThongSo!$F$2:$I$15,4,0)*B714*11.7,3),0)</f>
        <v>0</v>
      </c>
      <c r="I714" s="152">
        <f>IF(F714="Sắt vụn",ROUND(VLOOKUP(G714,ThongSo!$F$2:$I$15,4,0)*B714*E714/1000,3),"-")</f>
        <v>0.48</v>
      </c>
      <c r="L714" s="150"/>
      <c r="M714" s="150"/>
      <c r="N714" s="150"/>
    </row>
    <row r="715" spans="1:14" x14ac:dyDescent="0.25">
      <c r="A715" s="159" t="s">
        <v>148</v>
      </c>
      <c r="B715" s="160">
        <v>1</v>
      </c>
      <c r="C715" s="160">
        <v>1740</v>
      </c>
      <c r="D715" s="160" t="s">
        <v>3524</v>
      </c>
      <c r="E715" s="160">
        <v>20</v>
      </c>
      <c r="F715" s="160" t="s">
        <v>74</v>
      </c>
      <c r="G715" s="148">
        <v>18</v>
      </c>
      <c r="H715" s="152">
        <f>IF(C715=11700,ROUND(VLOOKUP(G715,ThongSo!$F$2:$I$15,4,0)*B715*11.7,3),0)</f>
        <v>0</v>
      </c>
      <c r="I715" s="152">
        <f>IF(F715="Sắt vụn",ROUND(VLOOKUP(G715,ThongSo!$F$2:$I$15,4,0)*B715*E715/1000,3),"-")</f>
        <v>0.04</v>
      </c>
      <c r="L715" s="150"/>
      <c r="M715" s="150"/>
      <c r="N715" s="150"/>
    </row>
    <row r="716" spans="1:14" x14ac:dyDescent="0.25">
      <c r="A716" s="159" t="s">
        <v>218</v>
      </c>
      <c r="B716" s="160">
        <v>2</v>
      </c>
      <c r="C716" s="160">
        <v>1930</v>
      </c>
      <c r="D716" s="160" t="s">
        <v>3524</v>
      </c>
      <c r="E716" s="160">
        <v>210</v>
      </c>
      <c r="F716" s="160" t="s">
        <v>74</v>
      </c>
      <c r="G716" s="148">
        <v>18</v>
      </c>
      <c r="H716" s="152">
        <f>IF(C716=11700,ROUND(VLOOKUP(G716,ThongSo!$F$2:$I$15,4,0)*B716*11.7,3),0)</f>
        <v>0</v>
      </c>
      <c r="I716" s="152">
        <f>IF(F716="Sắt vụn",ROUND(VLOOKUP(G716,ThongSo!$F$2:$I$15,4,0)*B716*E716/1000,3),"-")</f>
        <v>0.84</v>
      </c>
      <c r="L716" s="150"/>
      <c r="M716" s="150"/>
      <c r="N716" s="150"/>
    </row>
    <row r="717" spans="1:14" x14ac:dyDescent="0.25">
      <c r="A717" s="159" t="s">
        <v>333</v>
      </c>
      <c r="B717" s="160">
        <v>3</v>
      </c>
      <c r="C717" s="160">
        <v>2470</v>
      </c>
      <c r="D717" s="160" t="s">
        <v>3525</v>
      </c>
      <c r="E717" s="160">
        <v>160</v>
      </c>
      <c r="F717" s="160" t="s">
        <v>74</v>
      </c>
      <c r="G717" s="148">
        <v>18</v>
      </c>
      <c r="H717" s="152">
        <f>IF(C717=11700,ROUND(VLOOKUP(G717,ThongSo!$F$2:$I$15,4,0)*B717*11.7,3),0)</f>
        <v>0</v>
      </c>
      <c r="I717" s="152">
        <f>IF(F717="Sắt vụn",ROUND(VLOOKUP(G717,ThongSo!$F$2:$I$15,4,0)*B717*E717/1000,3),"-")</f>
        <v>0.96</v>
      </c>
      <c r="L717" s="150"/>
      <c r="M717" s="150"/>
      <c r="N717" s="150"/>
    </row>
    <row r="718" spans="1:14" x14ac:dyDescent="0.25">
      <c r="A718" s="159" t="s">
        <v>169</v>
      </c>
      <c r="B718" s="160">
        <v>6</v>
      </c>
      <c r="C718" s="160">
        <v>2800</v>
      </c>
      <c r="D718" s="160" t="s">
        <v>3526</v>
      </c>
      <c r="E718" s="160">
        <v>50</v>
      </c>
      <c r="F718" s="160" t="s">
        <v>74</v>
      </c>
      <c r="G718" s="148">
        <v>18</v>
      </c>
      <c r="H718" s="152">
        <f>IF(C718=11700,ROUND(VLOOKUP(G718,ThongSo!$F$2:$I$15,4,0)*B718*11.7,3),0)</f>
        <v>0</v>
      </c>
      <c r="I718" s="152">
        <f>IF(F718="Sắt vụn",ROUND(VLOOKUP(G718,ThongSo!$F$2:$I$15,4,0)*B718*E718/1000,3),"-")</f>
        <v>0.6</v>
      </c>
      <c r="L718" s="150"/>
      <c r="M718" s="150"/>
      <c r="N718" s="150"/>
    </row>
    <row r="719" spans="1:14" x14ac:dyDescent="0.25">
      <c r="A719" s="159" t="s">
        <v>3360</v>
      </c>
      <c r="B719" s="160">
        <v>1</v>
      </c>
      <c r="C719" s="160">
        <v>6060</v>
      </c>
      <c r="D719" s="160" t="s">
        <v>3527</v>
      </c>
      <c r="E719" s="160">
        <v>0</v>
      </c>
      <c r="F719" s="160"/>
      <c r="G719" s="148">
        <v>18</v>
      </c>
      <c r="H719" s="152">
        <f>IF(C719=11700,ROUND(VLOOKUP(G719,ThongSo!$F$2:$I$15,4,0)*B719*11.7,3),0)</f>
        <v>0</v>
      </c>
      <c r="I719" s="152" t="str">
        <f>IF(F719="Sắt vụn",ROUND(VLOOKUP(G719,ThongSo!$F$2:$I$15,4,0)*B719*E719/1000,3),"-")</f>
        <v>-</v>
      </c>
      <c r="L719" s="150"/>
      <c r="M719" s="150"/>
      <c r="N719" s="150"/>
    </row>
    <row r="720" spans="1:14" x14ac:dyDescent="0.25">
      <c r="A720" s="159">
        <v>191</v>
      </c>
      <c r="B720" s="160">
        <v>6</v>
      </c>
      <c r="C720" s="160">
        <v>11700</v>
      </c>
      <c r="D720" s="160" t="s">
        <v>3528</v>
      </c>
      <c r="E720" s="160">
        <v>0</v>
      </c>
      <c r="F720" s="160"/>
      <c r="G720" s="148">
        <v>18</v>
      </c>
      <c r="H720" s="152">
        <f>IF(C720=11700,ROUND(VLOOKUP(G720,ThongSo!$F$2:$I$15,4,0)*B720*11.7,3),0)</f>
        <v>140.4</v>
      </c>
      <c r="I720" s="152" t="str">
        <f>IF(F720="Sắt vụn",ROUND(VLOOKUP(G720,ThongSo!$F$2:$I$15,4,0)*B720*E720/1000,3),"-")</f>
        <v>-</v>
      </c>
      <c r="L720" s="150"/>
      <c r="M720" s="150"/>
      <c r="N720" s="150"/>
    </row>
    <row r="721" spans="1:14" x14ac:dyDescent="0.25">
      <c r="A721" s="159">
        <v>192</v>
      </c>
      <c r="B721" s="160">
        <v>6</v>
      </c>
      <c r="C721" s="160">
        <v>11700</v>
      </c>
      <c r="D721" s="160" t="s">
        <v>3529</v>
      </c>
      <c r="E721" s="160">
        <v>0</v>
      </c>
      <c r="F721" s="160"/>
      <c r="G721" s="148">
        <v>18</v>
      </c>
      <c r="H721" s="152">
        <f>IF(C721=11700,ROUND(VLOOKUP(G721,ThongSo!$F$2:$I$15,4,0)*B721*11.7,3),0)</f>
        <v>140.4</v>
      </c>
      <c r="I721" s="152" t="str">
        <f>IF(F721="Sắt vụn",ROUND(VLOOKUP(G721,ThongSo!$F$2:$I$15,4,0)*B721*E721/1000,3),"-")</f>
        <v>-</v>
      </c>
      <c r="L721" s="150"/>
      <c r="M721" s="150"/>
      <c r="N721" s="150"/>
    </row>
    <row r="722" spans="1:14" x14ac:dyDescent="0.25">
      <c r="A722" s="159">
        <v>193</v>
      </c>
      <c r="B722" s="160">
        <v>1</v>
      </c>
      <c r="C722" s="160">
        <v>11700</v>
      </c>
      <c r="D722" s="160" t="s">
        <v>3530</v>
      </c>
      <c r="E722" s="160">
        <v>0</v>
      </c>
      <c r="F722" s="160"/>
      <c r="G722" s="148">
        <v>18</v>
      </c>
      <c r="H722" s="152">
        <f>IF(C722=11700,ROUND(VLOOKUP(G722,ThongSo!$F$2:$I$15,4,0)*B722*11.7,3),0)</f>
        <v>23.4</v>
      </c>
      <c r="I722" s="152" t="str">
        <f>IF(F722="Sắt vụn",ROUND(VLOOKUP(G722,ThongSo!$F$2:$I$15,4,0)*B722*E722/1000,3),"-")</f>
        <v>-</v>
      </c>
      <c r="L722" s="150"/>
      <c r="M722" s="150"/>
      <c r="N722" s="150"/>
    </row>
    <row r="723" spans="1:14" x14ac:dyDescent="0.25">
      <c r="A723" s="159">
        <v>194</v>
      </c>
      <c r="B723" s="160">
        <v>2</v>
      </c>
      <c r="C723" s="160">
        <v>11700</v>
      </c>
      <c r="D723" s="160" t="s">
        <v>3531</v>
      </c>
      <c r="E723" s="160">
        <v>10</v>
      </c>
      <c r="F723" s="160" t="s">
        <v>74</v>
      </c>
      <c r="G723" s="148">
        <v>18</v>
      </c>
      <c r="H723" s="152">
        <f>IF(C723=11700,ROUND(VLOOKUP(G723,ThongSo!$F$2:$I$15,4,0)*B723*11.7,3),0)</f>
        <v>46.8</v>
      </c>
      <c r="I723" s="152">
        <f>IF(F723="Sắt vụn",ROUND(VLOOKUP(G723,ThongSo!$F$2:$I$15,4,0)*B723*E723/1000,3),"-")</f>
        <v>0.04</v>
      </c>
      <c r="L723" s="150"/>
      <c r="M723" s="150"/>
      <c r="N723" s="150"/>
    </row>
    <row r="724" spans="1:14" x14ac:dyDescent="0.25">
      <c r="A724" s="159">
        <v>195</v>
      </c>
      <c r="B724" s="160">
        <v>6</v>
      </c>
      <c r="C724" s="160">
        <v>11700</v>
      </c>
      <c r="D724" s="160" t="s">
        <v>3532</v>
      </c>
      <c r="E724" s="160">
        <v>20</v>
      </c>
      <c r="F724" s="160" t="s">
        <v>74</v>
      </c>
      <c r="G724" s="148">
        <v>18</v>
      </c>
      <c r="H724" s="152">
        <f>IF(C724=11700,ROUND(VLOOKUP(G724,ThongSo!$F$2:$I$15,4,0)*B724*11.7,3),0)</f>
        <v>140.4</v>
      </c>
      <c r="I724" s="152">
        <f>IF(F724="Sắt vụn",ROUND(VLOOKUP(G724,ThongSo!$F$2:$I$15,4,0)*B724*E724/1000,3),"-")</f>
        <v>0.24</v>
      </c>
      <c r="L724" s="150"/>
      <c r="M724" s="150"/>
      <c r="N724" s="150"/>
    </row>
    <row r="725" spans="1:14" x14ac:dyDescent="0.25">
      <c r="A725" s="159">
        <v>196</v>
      </c>
      <c r="B725" s="160">
        <v>46</v>
      </c>
      <c r="C725" s="160">
        <v>11700</v>
      </c>
      <c r="D725" s="160" t="s">
        <v>3533</v>
      </c>
      <c r="E725" s="160">
        <v>30</v>
      </c>
      <c r="F725" s="160" t="s">
        <v>74</v>
      </c>
      <c r="G725" s="148">
        <v>18</v>
      </c>
      <c r="H725" s="152">
        <f>IF(C725=11700,ROUND(VLOOKUP(G725,ThongSo!$F$2:$I$15,4,0)*B725*11.7,3),0)</f>
        <v>1076.4000000000001</v>
      </c>
      <c r="I725" s="152">
        <f>IF(F725="Sắt vụn",ROUND(VLOOKUP(G725,ThongSo!$F$2:$I$15,4,0)*B725*E725/1000,3),"-")</f>
        <v>2.76</v>
      </c>
      <c r="L725" s="150"/>
      <c r="M725" s="150"/>
      <c r="N725" s="150"/>
    </row>
    <row r="726" spans="1:14" x14ac:dyDescent="0.25">
      <c r="A726" s="159">
        <v>197</v>
      </c>
      <c r="B726" s="160">
        <v>12</v>
      </c>
      <c r="C726" s="160">
        <v>11700</v>
      </c>
      <c r="D726" s="160" t="s">
        <v>3534</v>
      </c>
      <c r="E726" s="160">
        <v>40</v>
      </c>
      <c r="F726" s="160" t="s">
        <v>74</v>
      </c>
      <c r="G726" s="148">
        <v>18</v>
      </c>
      <c r="H726" s="152">
        <f>IF(C726=11700,ROUND(VLOOKUP(G726,ThongSo!$F$2:$I$15,4,0)*B726*11.7,3),0)</f>
        <v>280.8</v>
      </c>
      <c r="I726" s="152">
        <f>IF(F726="Sắt vụn",ROUND(VLOOKUP(G726,ThongSo!$F$2:$I$15,4,0)*B726*E726/1000,3),"-")</f>
        <v>0.96</v>
      </c>
      <c r="L726" s="150"/>
      <c r="M726" s="150"/>
      <c r="N726" s="150"/>
    </row>
    <row r="727" spans="1:14" x14ac:dyDescent="0.25">
      <c r="A727" s="159">
        <v>198</v>
      </c>
      <c r="B727" s="160">
        <v>1</v>
      </c>
      <c r="C727" s="160">
        <v>11700</v>
      </c>
      <c r="D727" s="160" t="s">
        <v>3535</v>
      </c>
      <c r="E727" s="160">
        <v>40</v>
      </c>
      <c r="F727" s="160" t="s">
        <v>74</v>
      </c>
      <c r="G727" s="148">
        <v>18</v>
      </c>
      <c r="H727" s="152">
        <f>IF(C727=11700,ROUND(VLOOKUP(G727,ThongSo!$F$2:$I$15,4,0)*B727*11.7,3),0)</f>
        <v>23.4</v>
      </c>
      <c r="I727" s="152">
        <f>IF(F727="Sắt vụn",ROUND(VLOOKUP(G727,ThongSo!$F$2:$I$15,4,0)*B727*E727/1000,3),"-")</f>
        <v>0.08</v>
      </c>
      <c r="L727" s="150"/>
      <c r="M727" s="150"/>
      <c r="N727" s="150"/>
    </row>
    <row r="728" spans="1:14" x14ac:dyDescent="0.25">
      <c r="A728" s="159">
        <v>199</v>
      </c>
      <c r="B728" s="160">
        <v>1</v>
      </c>
      <c r="C728" s="160">
        <v>11700</v>
      </c>
      <c r="D728" s="160" t="s">
        <v>3536</v>
      </c>
      <c r="E728" s="160">
        <v>150</v>
      </c>
      <c r="F728" s="160" t="s">
        <v>74</v>
      </c>
      <c r="G728" s="148">
        <v>18</v>
      </c>
      <c r="H728" s="152">
        <f>IF(C728=11700,ROUND(VLOOKUP(G728,ThongSo!$F$2:$I$15,4,0)*B728*11.7,3),0)</f>
        <v>23.4</v>
      </c>
      <c r="I728" s="152">
        <f>IF(F728="Sắt vụn",ROUND(VLOOKUP(G728,ThongSo!$F$2:$I$15,4,0)*B728*E728/1000,3),"-")</f>
        <v>0.3</v>
      </c>
      <c r="L728" s="150"/>
      <c r="M728" s="150"/>
      <c r="N728" s="150"/>
    </row>
    <row r="729" spans="1:14" x14ac:dyDescent="0.25">
      <c r="A729" s="159">
        <v>200</v>
      </c>
      <c r="B729" s="160">
        <v>19</v>
      </c>
      <c r="C729" s="160">
        <v>11700</v>
      </c>
      <c r="D729" s="160" t="s">
        <v>3537</v>
      </c>
      <c r="E729" s="160">
        <v>180</v>
      </c>
      <c r="F729" s="160" t="s">
        <v>74</v>
      </c>
      <c r="G729" s="148">
        <v>18</v>
      </c>
      <c r="H729" s="152">
        <f>IF(C729=11700,ROUND(VLOOKUP(G729,ThongSo!$F$2:$I$15,4,0)*B729*11.7,3),0)</f>
        <v>444.6</v>
      </c>
      <c r="I729" s="152">
        <f>IF(F729="Sắt vụn",ROUND(VLOOKUP(G729,ThongSo!$F$2:$I$15,4,0)*B729*E729/1000,3),"-")</f>
        <v>6.84</v>
      </c>
      <c r="L729" s="150"/>
      <c r="M729" s="150"/>
      <c r="N729" s="150"/>
    </row>
    <row r="730" spans="1:14" x14ac:dyDescent="0.25">
      <c r="A730" s="159">
        <v>201</v>
      </c>
      <c r="B730" s="160">
        <v>1</v>
      </c>
      <c r="C730" s="160">
        <v>11700</v>
      </c>
      <c r="D730" s="160" t="s">
        <v>3538</v>
      </c>
      <c r="E730" s="160">
        <v>360</v>
      </c>
      <c r="F730" s="160" t="s">
        <v>74</v>
      </c>
      <c r="G730" s="148">
        <v>18</v>
      </c>
      <c r="H730" s="152">
        <f>IF(C730=11700,ROUND(VLOOKUP(G730,ThongSo!$F$2:$I$15,4,0)*B730*11.7,3),0)</f>
        <v>23.4</v>
      </c>
      <c r="I730" s="152">
        <f>IF(F730="Sắt vụn",ROUND(VLOOKUP(G730,ThongSo!$F$2:$I$15,4,0)*B730*E730/1000,3),"-")</f>
        <v>0.72</v>
      </c>
      <c r="L730" s="150"/>
      <c r="M730" s="150"/>
      <c r="N730" s="150"/>
    </row>
    <row r="731" spans="1:14" x14ac:dyDescent="0.25">
      <c r="A731" s="159">
        <v>202</v>
      </c>
      <c r="B731" s="160">
        <v>1</v>
      </c>
      <c r="C731" s="160">
        <v>11700</v>
      </c>
      <c r="D731" s="160" t="s">
        <v>3539</v>
      </c>
      <c r="E731" s="160">
        <v>470</v>
      </c>
      <c r="F731" s="160" t="s">
        <v>74</v>
      </c>
      <c r="G731" s="148">
        <v>18</v>
      </c>
      <c r="H731" s="152">
        <f>IF(C731=11700,ROUND(VLOOKUP(G731,ThongSo!$F$2:$I$15,4,0)*B731*11.7,3),0)</f>
        <v>23.4</v>
      </c>
      <c r="I731" s="152">
        <f>IF(F731="Sắt vụn",ROUND(VLOOKUP(G731,ThongSo!$F$2:$I$15,4,0)*B731*E731/1000,3),"-")</f>
        <v>0.94</v>
      </c>
      <c r="L731" s="150"/>
      <c r="M731" s="150"/>
      <c r="N731" s="150"/>
    </row>
    <row r="732" spans="1:14" x14ac:dyDescent="0.25">
      <c r="A732" s="159">
        <v>203</v>
      </c>
      <c r="B732" s="160">
        <v>5</v>
      </c>
      <c r="C732" s="160">
        <v>11700</v>
      </c>
      <c r="D732" s="160" t="s">
        <v>3540</v>
      </c>
      <c r="E732" s="160">
        <v>1280</v>
      </c>
      <c r="F732" s="160" t="s">
        <v>75</v>
      </c>
      <c r="G732" s="148">
        <v>18</v>
      </c>
      <c r="H732" s="152">
        <f>IF(C732=11700,ROUND(VLOOKUP(G732,ThongSo!$F$2:$I$15,4,0)*B732*11.7,3),0)</f>
        <v>117</v>
      </c>
      <c r="I732" s="152" t="str">
        <f>IF(F732="Sắt vụn",ROUND(VLOOKUP(G732,ThongSo!$F$2:$I$15,4,0)*B732*E732/1000,3),"-")</f>
        <v>-</v>
      </c>
      <c r="L732" s="150"/>
      <c r="M732" s="150"/>
      <c r="N732" s="150"/>
    </row>
    <row r="733" spans="1:14" x14ac:dyDescent="0.25">
      <c r="A733" s="159">
        <v>204</v>
      </c>
      <c r="B733" s="160">
        <v>6</v>
      </c>
      <c r="C733" s="160">
        <v>11700</v>
      </c>
      <c r="D733" s="160" t="s">
        <v>3541</v>
      </c>
      <c r="E733" s="160">
        <v>1280</v>
      </c>
      <c r="F733" s="160" t="s">
        <v>75</v>
      </c>
      <c r="G733" s="148">
        <v>18</v>
      </c>
      <c r="H733" s="152">
        <f>IF(C733=11700,ROUND(VLOOKUP(G733,ThongSo!$F$2:$I$15,4,0)*B733*11.7,3),0)</f>
        <v>140.4</v>
      </c>
      <c r="I733" s="152" t="str">
        <f>IF(F733="Sắt vụn",ROUND(VLOOKUP(G733,ThongSo!$F$2:$I$15,4,0)*B733*E733/1000,3),"-")</f>
        <v>-</v>
      </c>
      <c r="L733" s="150"/>
      <c r="M733" s="150"/>
      <c r="N733" s="150"/>
    </row>
    <row r="734" spans="1:14" x14ac:dyDescent="0.25">
      <c r="A734" s="159">
        <v>205</v>
      </c>
      <c r="B734" s="160">
        <v>1</v>
      </c>
      <c r="C734" s="160">
        <v>11700</v>
      </c>
      <c r="D734" s="160" t="s">
        <v>3542</v>
      </c>
      <c r="E734" s="160">
        <v>1890</v>
      </c>
      <c r="F734" s="160" t="s">
        <v>75</v>
      </c>
      <c r="G734" s="148">
        <v>18</v>
      </c>
      <c r="H734" s="152">
        <f>IF(C734=11700,ROUND(VLOOKUP(G734,ThongSo!$F$2:$I$15,4,0)*B734*11.7,3),0)</f>
        <v>23.4</v>
      </c>
      <c r="I734" s="152" t="str">
        <f>IF(F734="Sắt vụn",ROUND(VLOOKUP(G734,ThongSo!$F$2:$I$15,4,0)*B734*E734/1000,3),"-")</f>
        <v>-</v>
      </c>
      <c r="L734" s="150"/>
      <c r="M734" s="150"/>
      <c r="N734" s="150"/>
    </row>
    <row r="735" spans="1:14" x14ac:dyDescent="0.25">
      <c r="A735" s="159">
        <v>206</v>
      </c>
      <c r="B735" s="160">
        <v>12</v>
      </c>
      <c r="C735" s="160">
        <v>11700</v>
      </c>
      <c r="D735" s="160" t="s">
        <v>3543</v>
      </c>
      <c r="E735" s="160">
        <v>2100</v>
      </c>
      <c r="F735" s="160" t="s">
        <v>75</v>
      </c>
      <c r="G735" s="148">
        <v>18</v>
      </c>
      <c r="H735" s="152">
        <f>IF(C735=11700,ROUND(VLOOKUP(G735,ThongSo!$F$2:$I$15,4,0)*B735*11.7,3),0)</f>
        <v>280.8</v>
      </c>
      <c r="I735" s="152" t="str">
        <f>IF(F735="Sắt vụn",ROUND(VLOOKUP(G735,ThongSo!$F$2:$I$15,4,0)*B735*E735/1000,3),"-")</f>
        <v>-</v>
      </c>
      <c r="L735" s="150"/>
      <c r="M735" s="150"/>
      <c r="N735" s="150"/>
    </row>
    <row r="736" spans="1:14" x14ac:dyDescent="0.25">
      <c r="A736" s="159">
        <v>207</v>
      </c>
      <c r="B736" s="160">
        <v>12</v>
      </c>
      <c r="C736" s="160">
        <v>11700</v>
      </c>
      <c r="D736" s="160" t="s">
        <v>3544</v>
      </c>
      <c r="E736" s="160">
        <v>2300</v>
      </c>
      <c r="F736" s="160" t="s">
        <v>75</v>
      </c>
      <c r="G736" s="148">
        <v>18</v>
      </c>
      <c r="H736" s="152">
        <f>IF(C736=11700,ROUND(VLOOKUP(G736,ThongSo!$F$2:$I$15,4,0)*B736*11.7,3),0)</f>
        <v>280.8</v>
      </c>
      <c r="I736" s="152" t="str">
        <f>IF(F736="Sắt vụn",ROUND(VLOOKUP(G736,ThongSo!$F$2:$I$15,4,0)*B736*E736/1000,3),"-")</f>
        <v>-</v>
      </c>
      <c r="L736" s="150"/>
      <c r="M736" s="150"/>
      <c r="N736" s="150"/>
    </row>
    <row r="737" spans="1:14" x14ac:dyDescent="0.25">
      <c r="A737" s="159">
        <v>208</v>
      </c>
      <c r="B737" s="160">
        <v>11</v>
      </c>
      <c r="C737" s="160">
        <v>11700</v>
      </c>
      <c r="D737" s="160" t="s">
        <v>3545</v>
      </c>
      <c r="E737" s="160">
        <v>4900</v>
      </c>
      <c r="F737" s="160" t="s">
        <v>75</v>
      </c>
      <c r="G737" s="148">
        <v>18</v>
      </c>
      <c r="H737" s="152">
        <f>IF(C737=11700,ROUND(VLOOKUP(G737,ThongSo!$F$2:$I$15,4,0)*B737*11.7,3),0)</f>
        <v>257.39999999999998</v>
      </c>
      <c r="I737" s="152" t="str">
        <f>IF(F737="Sắt vụn",ROUND(VLOOKUP(G737,ThongSo!$F$2:$I$15,4,0)*B737*E737/1000,3),"-")</f>
        <v>-</v>
      </c>
      <c r="L737" s="150"/>
      <c r="M737" s="150"/>
      <c r="N737" s="150"/>
    </row>
    <row r="738" spans="1:14" x14ac:dyDescent="0.25">
      <c r="A738" s="157" t="s">
        <v>81</v>
      </c>
      <c r="B738" s="158"/>
      <c r="C738" s="158"/>
      <c r="D738" s="158"/>
      <c r="E738" s="158"/>
      <c r="F738" s="158"/>
      <c r="G738" s="148"/>
      <c r="H738" s="152">
        <f>IF(C738=11700,ROUND(VLOOKUP(G738,ThongSo!$F$2:$I$15,4,0)*B738*11.7,3),0)</f>
        <v>0</v>
      </c>
      <c r="I738" s="152" t="str">
        <f>IF(F738="Sắt vụn",ROUND(VLOOKUP(G738,ThongSo!$F$2:$I$15,4,0)*B738*E738/1000,3),"-")</f>
        <v>-</v>
      </c>
      <c r="L738" s="150"/>
      <c r="M738" s="150"/>
      <c r="N738" s="150"/>
    </row>
    <row r="739" spans="1:14" x14ac:dyDescent="0.25">
      <c r="A739" s="159" t="s">
        <v>3109</v>
      </c>
      <c r="B739" s="160">
        <v>15</v>
      </c>
      <c r="C739" s="160">
        <v>5030</v>
      </c>
      <c r="D739" s="160" t="s">
        <v>3546</v>
      </c>
      <c r="E739" s="160">
        <v>490</v>
      </c>
      <c r="F739" s="160" t="s">
        <v>74</v>
      </c>
      <c r="G739" s="148">
        <v>16</v>
      </c>
      <c r="H739" s="152">
        <f>IF(C739=11700,ROUND(VLOOKUP(G739,ThongSo!$F$2:$I$15,4,0)*B739*11.7,3),0)</f>
        <v>0</v>
      </c>
      <c r="I739" s="152">
        <f>IF(F739="Sắt vụn",ROUND(VLOOKUP(G739,ThongSo!$F$2:$I$15,4,0)*B739*E739/1000,3),"-")</f>
        <v>11.613</v>
      </c>
      <c r="L739" s="150"/>
      <c r="M739" s="150"/>
      <c r="N739" s="150"/>
    </row>
    <row r="740" spans="1:14" x14ac:dyDescent="0.25">
      <c r="A740" s="159" t="s">
        <v>3109</v>
      </c>
      <c r="B740" s="160">
        <v>115</v>
      </c>
      <c r="C740" s="160">
        <v>5030</v>
      </c>
      <c r="D740" s="160" t="s">
        <v>3547</v>
      </c>
      <c r="E740" s="160">
        <v>2320</v>
      </c>
      <c r="F740" s="160" t="s">
        <v>75</v>
      </c>
      <c r="G740" s="148">
        <v>16</v>
      </c>
      <c r="H740" s="152">
        <f>IF(C740=11700,ROUND(VLOOKUP(G740,ThongSo!$F$2:$I$15,4,0)*B740*11.7,3),0)</f>
        <v>0</v>
      </c>
      <c r="I740" s="152" t="str">
        <f>IF(F740="Sắt vụn",ROUND(VLOOKUP(G740,ThongSo!$F$2:$I$15,4,0)*B740*E740/1000,3),"-")</f>
        <v>-</v>
      </c>
      <c r="L740" s="150"/>
      <c r="M740" s="150"/>
      <c r="N740" s="150"/>
    </row>
    <row r="741" spans="1:14" x14ac:dyDescent="0.25">
      <c r="A741" s="159">
        <v>211</v>
      </c>
      <c r="B741" s="160">
        <v>77</v>
      </c>
      <c r="C741" s="160">
        <v>11700</v>
      </c>
      <c r="D741" s="160" t="s">
        <v>3548</v>
      </c>
      <c r="E741" s="160">
        <v>410</v>
      </c>
      <c r="F741" s="160" t="s">
        <v>74</v>
      </c>
      <c r="G741" s="148">
        <v>16</v>
      </c>
      <c r="H741" s="152">
        <f>IF(C741=11700,ROUND(VLOOKUP(G741,ThongSo!$F$2:$I$15,4,0)*B741*11.7,3),0)</f>
        <v>1423.422</v>
      </c>
      <c r="I741" s="152">
        <f>IF(F741="Sắt vụn",ROUND(VLOOKUP(G741,ThongSo!$F$2:$I$15,4,0)*B741*E741/1000,3),"-")</f>
        <v>49.881</v>
      </c>
      <c r="L741" s="150"/>
      <c r="M741" s="150"/>
      <c r="N741" s="150"/>
    </row>
    <row r="742" spans="1:14" x14ac:dyDescent="0.25">
      <c r="A742" s="159">
        <v>212</v>
      </c>
      <c r="B742" s="160">
        <v>1</v>
      </c>
      <c r="C742" s="160">
        <v>11700</v>
      </c>
      <c r="D742" s="160" t="s">
        <v>3549</v>
      </c>
      <c r="E742" s="160">
        <v>410</v>
      </c>
      <c r="F742" s="160" t="s">
        <v>74</v>
      </c>
      <c r="G742" s="148">
        <v>16</v>
      </c>
      <c r="H742" s="152">
        <f>IF(C742=11700,ROUND(VLOOKUP(G742,ThongSo!$F$2:$I$15,4,0)*B742*11.7,3),0)</f>
        <v>18.486000000000001</v>
      </c>
      <c r="I742" s="152">
        <f>IF(F742="Sắt vụn",ROUND(VLOOKUP(G742,ThongSo!$F$2:$I$15,4,0)*B742*E742/1000,3),"-")</f>
        <v>0.64800000000000002</v>
      </c>
      <c r="L742" s="150"/>
      <c r="M742" s="150"/>
      <c r="N742" s="150"/>
    </row>
    <row r="743" spans="1:14" x14ac:dyDescent="0.25">
      <c r="A743" s="159">
        <v>213</v>
      </c>
      <c r="B743" s="160">
        <v>7</v>
      </c>
      <c r="C743" s="160">
        <v>11700</v>
      </c>
      <c r="D743" s="160" t="s">
        <v>3550</v>
      </c>
      <c r="E743" s="160">
        <v>410</v>
      </c>
      <c r="F743" s="160" t="s">
        <v>74</v>
      </c>
      <c r="G743" s="148">
        <v>16</v>
      </c>
      <c r="H743" s="152">
        <f>IF(C743=11700,ROUND(VLOOKUP(G743,ThongSo!$F$2:$I$15,4,0)*B743*11.7,3),0)</f>
        <v>129.40199999999999</v>
      </c>
      <c r="I743" s="152">
        <f>IF(F743="Sắt vụn",ROUND(VLOOKUP(G743,ThongSo!$F$2:$I$15,4,0)*B743*E743/1000,3),"-")</f>
        <v>4.5350000000000001</v>
      </c>
      <c r="L743" s="150"/>
      <c r="M743" s="150"/>
      <c r="N743" s="150"/>
    </row>
    <row r="744" spans="1:14" x14ac:dyDescent="0.25">
      <c r="A744" s="159">
        <v>214</v>
      </c>
      <c r="B744" s="160">
        <v>10</v>
      </c>
      <c r="C744" s="160">
        <v>11700</v>
      </c>
      <c r="D744" s="160" t="s">
        <v>3551</v>
      </c>
      <c r="E744" s="160">
        <v>660</v>
      </c>
      <c r="F744" s="160" t="s">
        <v>74</v>
      </c>
      <c r="G744" s="148">
        <v>16</v>
      </c>
      <c r="H744" s="152">
        <f>IF(C744=11700,ROUND(VLOOKUP(G744,ThongSo!$F$2:$I$15,4,0)*B744*11.7,3),0)</f>
        <v>184.86</v>
      </c>
      <c r="I744" s="152">
        <f>IF(F744="Sắt vụn",ROUND(VLOOKUP(G744,ThongSo!$F$2:$I$15,4,0)*B744*E744/1000,3),"-")</f>
        <v>10.428000000000001</v>
      </c>
      <c r="L744" s="150"/>
      <c r="M744" s="150"/>
      <c r="N744" s="150"/>
    </row>
    <row r="745" spans="1:14" x14ac:dyDescent="0.25">
      <c r="A745" s="159">
        <v>215</v>
      </c>
      <c r="B745" s="160">
        <v>2</v>
      </c>
      <c r="C745" s="160">
        <v>11700</v>
      </c>
      <c r="D745" s="160" t="s">
        <v>3552</v>
      </c>
      <c r="E745" s="160">
        <v>1360</v>
      </c>
      <c r="F745" s="160" t="s">
        <v>75</v>
      </c>
      <c r="G745" s="148">
        <v>16</v>
      </c>
      <c r="H745" s="152">
        <f>IF(C745=11700,ROUND(VLOOKUP(G745,ThongSo!$F$2:$I$15,4,0)*B745*11.7,3),0)</f>
        <v>36.972000000000001</v>
      </c>
      <c r="I745" s="152" t="str">
        <f>IF(F745="Sắt vụn",ROUND(VLOOKUP(G745,ThongSo!$F$2:$I$15,4,0)*B745*E745/1000,3),"-")</f>
        <v>-</v>
      </c>
      <c r="L745" s="150"/>
      <c r="M745" s="150"/>
      <c r="N745" s="150"/>
    </row>
    <row r="746" spans="1:14" x14ac:dyDescent="0.25">
      <c r="A746" s="159">
        <v>216</v>
      </c>
      <c r="B746" s="160">
        <v>1</v>
      </c>
      <c r="C746" s="160">
        <v>11700</v>
      </c>
      <c r="D746" s="160" t="s">
        <v>3553</v>
      </c>
      <c r="E746" s="160">
        <v>1470</v>
      </c>
      <c r="F746" s="160" t="s">
        <v>75</v>
      </c>
      <c r="G746" s="148">
        <v>16</v>
      </c>
      <c r="H746" s="152">
        <f>IF(C746=11700,ROUND(VLOOKUP(G746,ThongSo!$F$2:$I$15,4,0)*B746*11.7,3),0)</f>
        <v>18.486000000000001</v>
      </c>
      <c r="I746" s="152" t="str">
        <f>IF(F746="Sắt vụn",ROUND(VLOOKUP(G746,ThongSo!$F$2:$I$15,4,0)*B746*E746/1000,3),"-")</f>
        <v>-</v>
      </c>
      <c r="L746" s="150"/>
      <c r="M746" s="150"/>
      <c r="N746" s="150"/>
    </row>
    <row r="747" spans="1:14" x14ac:dyDescent="0.25">
      <c r="A747" s="159">
        <v>217</v>
      </c>
      <c r="B747" s="160">
        <v>23</v>
      </c>
      <c r="C747" s="160">
        <v>11700</v>
      </c>
      <c r="D747" s="160" t="s">
        <v>3554</v>
      </c>
      <c r="E747" s="160">
        <v>1580</v>
      </c>
      <c r="F747" s="160" t="s">
        <v>75</v>
      </c>
      <c r="G747" s="148">
        <v>16</v>
      </c>
      <c r="H747" s="152">
        <f>IF(C747=11700,ROUND(VLOOKUP(G747,ThongSo!$F$2:$I$15,4,0)*B747*11.7,3),0)</f>
        <v>425.178</v>
      </c>
      <c r="I747" s="152" t="str">
        <f>IF(F747="Sắt vụn",ROUND(VLOOKUP(G747,ThongSo!$F$2:$I$15,4,0)*B747*E747/1000,3),"-")</f>
        <v>-</v>
      </c>
      <c r="L747" s="150"/>
      <c r="M747" s="150"/>
      <c r="N747" s="150"/>
    </row>
    <row r="748" spans="1:14" x14ac:dyDescent="0.25">
      <c r="A748" s="159">
        <v>218</v>
      </c>
      <c r="B748" s="160">
        <v>1</v>
      </c>
      <c r="C748" s="160">
        <v>11700</v>
      </c>
      <c r="D748" s="160" t="s">
        <v>3555</v>
      </c>
      <c r="E748" s="160">
        <v>9170</v>
      </c>
      <c r="F748" s="160" t="s">
        <v>75</v>
      </c>
      <c r="G748" s="148">
        <v>16</v>
      </c>
      <c r="H748" s="152">
        <f>IF(C748=11700,ROUND(VLOOKUP(G748,ThongSo!$F$2:$I$15,4,0)*B748*11.7,3),0)</f>
        <v>18.486000000000001</v>
      </c>
      <c r="I748" s="152" t="str">
        <f>IF(F748="Sắt vụn",ROUND(VLOOKUP(G748,ThongSo!$F$2:$I$15,4,0)*B748*E748/1000,3),"-")</f>
        <v>-</v>
      </c>
      <c r="L748" s="150"/>
      <c r="M748" s="150"/>
      <c r="N748" s="150"/>
    </row>
    <row r="749" spans="1:14" x14ac:dyDescent="0.25">
      <c r="A749" s="157" t="s">
        <v>82</v>
      </c>
      <c r="B749" s="158"/>
      <c r="C749" s="158"/>
      <c r="D749" s="158"/>
      <c r="E749" s="158"/>
      <c r="F749" s="158"/>
      <c r="G749" s="148"/>
      <c r="H749" s="152">
        <f>IF(C749=11700,ROUND(VLOOKUP(G749,ThongSo!$F$2:$I$15,4,0)*B749*11.7,3),0)</f>
        <v>0</v>
      </c>
      <c r="I749" s="152" t="str">
        <f>IF(F749="Sắt vụn",ROUND(VLOOKUP(G749,ThongSo!$F$2:$I$15,4,0)*B749*E749/1000,3),"-")</f>
        <v>-</v>
      </c>
      <c r="L749" s="150"/>
      <c r="M749" s="150"/>
      <c r="N749" s="150"/>
    </row>
    <row r="750" spans="1:14" x14ac:dyDescent="0.25">
      <c r="A750" s="159" t="s">
        <v>73</v>
      </c>
      <c r="B750" s="160">
        <v>303</v>
      </c>
      <c r="C750" s="160">
        <v>11700</v>
      </c>
      <c r="D750" s="160"/>
      <c r="E750" s="160"/>
      <c r="F750" s="160"/>
      <c r="G750" s="148">
        <v>14</v>
      </c>
      <c r="H750" s="152">
        <f>IF(C750=11700,ROUND(VLOOKUP(G750,ThongSo!$F$2:$I$15,4,0)*B750*11.7,3),0)</f>
        <v>4289.5709999999999</v>
      </c>
      <c r="I750" s="152" t="str">
        <f>IF(F750="Sắt vụn",ROUND(VLOOKUP(G750,ThongSo!$F$2:$I$15,4,0)*B750*E750/1000,3),"-")</f>
        <v>-</v>
      </c>
      <c r="L750" s="150"/>
      <c r="M750" s="150"/>
      <c r="N750" s="150"/>
    </row>
    <row r="751" spans="1:14" x14ac:dyDescent="0.25">
      <c r="A751" s="159" t="s">
        <v>88</v>
      </c>
      <c r="B751" s="160">
        <v>1</v>
      </c>
      <c r="C751" s="160">
        <v>820</v>
      </c>
      <c r="D751" s="160" t="s">
        <v>3556</v>
      </c>
      <c r="E751" s="160">
        <v>30</v>
      </c>
      <c r="F751" s="160" t="s">
        <v>74</v>
      </c>
      <c r="G751" s="148">
        <v>14</v>
      </c>
      <c r="H751" s="152">
        <f>IF(C751=11700,ROUND(VLOOKUP(G751,ThongSo!$F$2:$I$15,4,0)*B751*11.7,3),0)</f>
        <v>0</v>
      </c>
      <c r="I751" s="152">
        <f>IF(F751="Sắt vụn",ROUND(VLOOKUP(G751,ThongSo!$F$2:$I$15,4,0)*B751*E751/1000,3),"-")</f>
        <v>3.5999999999999997E-2</v>
      </c>
      <c r="L751" s="150"/>
      <c r="M751" s="150"/>
      <c r="N751" s="150"/>
    </row>
    <row r="752" spans="1:14" x14ac:dyDescent="0.25">
      <c r="A752" s="159" t="s">
        <v>96</v>
      </c>
      <c r="B752" s="160">
        <v>8</v>
      </c>
      <c r="C752" s="160">
        <v>1000</v>
      </c>
      <c r="D752" s="160" t="s">
        <v>3556</v>
      </c>
      <c r="E752" s="160">
        <v>210</v>
      </c>
      <c r="F752" s="160" t="s">
        <v>74</v>
      </c>
      <c r="G752" s="148">
        <v>14</v>
      </c>
      <c r="H752" s="152">
        <f>IF(C752=11700,ROUND(VLOOKUP(G752,ThongSo!$F$2:$I$15,4,0)*B752*11.7,3),0)</f>
        <v>0</v>
      </c>
      <c r="I752" s="152">
        <f>IF(F752="Sắt vụn",ROUND(VLOOKUP(G752,ThongSo!$F$2:$I$15,4,0)*B752*E752/1000,3),"-")</f>
        <v>2.0329999999999999</v>
      </c>
      <c r="L752" s="150"/>
      <c r="M752" s="150"/>
      <c r="N752" s="150"/>
    </row>
    <row r="753" spans="1:14" x14ac:dyDescent="0.25">
      <c r="A753" s="159" t="s">
        <v>228</v>
      </c>
      <c r="B753" s="160">
        <v>186</v>
      </c>
      <c r="C753" s="160">
        <v>3830</v>
      </c>
      <c r="D753" s="160" t="s">
        <v>3557</v>
      </c>
      <c r="E753" s="160">
        <v>10</v>
      </c>
      <c r="F753" s="160" t="s">
        <v>74</v>
      </c>
      <c r="G753" s="148">
        <v>14</v>
      </c>
      <c r="H753" s="152">
        <f>IF(C753=11700,ROUND(VLOOKUP(G753,ThongSo!$F$2:$I$15,4,0)*B753*11.7,3),0)</f>
        <v>0</v>
      </c>
      <c r="I753" s="152">
        <f>IF(F753="Sắt vụn",ROUND(VLOOKUP(G753,ThongSo!$F$2:$I$15,4,0)*B753*E753/1000,3),"-")</f>
        <v>2.2509999999999999</v>
      </c>
      <c r="L753" s="150"/>
      <c r="M753" s="150"/>
      <c r="N753" s="150"/>
    </row>
    <row r="754" spans="1:14" x14ac:dyDescent="0.25">
      <c r="A754" s="159" t="s">
        <v>228</v>
      </c>
      <c r="B754" s="160">
        <v>18</v>
      </c>
      <c r="C754" s="160">
        <v>3830</v>
      </c>
      <c r="D754" s="160" t="s">
        <v>3558</v>
      </c>
      <c r="E754" s="160">
        <v>30</v>
      </c>
      <c r="F754" s="160" t="s">
        <v>74</v>
      </c>
      <c r="G754" s="148">
        <v>14</v>
      </c>
      <c r="H754" s="152">
        <f>IF(C754=11700,ROUND(VLOOKUP(G754,ThongSo!$F$2:$I$15,4,0)*B754*11.7,3),0)</f>
        <v>0</v>
      </c>
      <c r="I754" s="152">
        <f>IF(F754="Sắt vụn",ROUND(VLOOKUP(G754,ThongSo!$F$2:$I$15,4,0)*B754*E754/1000,3),"-")</f>
        <v>0.65300000000000002</v>
      </c>
      <c r="L754" s="150"/>
      <c r="M754" s="150"/>
      <c r="N754" s="150"/>
    </row>
    <row r="755" spans="1:14" x14ac:dyDescent="0.25">
      <c r="A755" s="159" t="s">
        <v>228</v>
      </c>
      <c r="B755" s="160">
        <v>12</v>
      </c>
      <c r="C755" s="160">
        <v>3830</v>
      </c>
      <c r="D755" s="160" t="s">
        <v>3559</v>
      </c>
      <c r="E755" s="160">
        <v>60</v>
      </c>
      <c r="F755" s="160" t="s">
        <v>74</v>
      </c>
      <c r="G755" s="148">
        <v>14</v>
      </c>
      <c r="H755" s="152">
        <f>IF(C755=11700,ROUND(VLOOKUP(G755,ThongSo!$F$2:$I$15,4,0)*B755*11.7,3),0)</f>
        <v>0</v>
      </c>
      <c r="I755" s="152">
        <f>IF(F755="Sắt vụn",ROUND(VLOOKUP(G755,ThongSo!$F$2:$I$15,4,0)*B755*E755/1000,3),"-")</f>
        <v>0.871</v>
      </c>
      <c r="L755" s="150"/>
      <c r="M755" s="150"/>
      <c r="N755" s="150"/>
    </row>
    <row r="756" spans="1:14" x14ac:dyDescent="0.25">
      <c r="A756" s="159" t="s">
        <v>228</v>
      </c>
      <c r="B756" s="160">
        <v>12</v>
      </c>
      <c r="C756" s="160">
        <v>3830</v>
      </c>
      <c r="D756" s="160" t="s">
        <v>3560</v>
      </c>
      <c r="E756" s="160">
        <v>60</v>
      </c>
      <c r="F756" s="160" t="s">
        <v>74</v>
      </c>
      <c r="G756" s="148">
        <v>14</v>
      </c>
      <c r="H756" s="152">
        <f>IF(C756=11700,ROUND(VLOOKUP(G756,ThongSo!$F$2:$I$15,4,0)*B756*11.7,3),0)</f>
        <v>0</v>
      </c>
      <c r="I756" s="152">
        <f>IF(F756="Sắt vụn",ROUND(VLOOKUP(G756,ThongSo!$F$2:$I$15,4,0)*B756*E756/1000,3),"-")</f>
        <v>0.871</v>
      </c>
      <c r="L756" s="150"/>
      <c r="M756" s="150"/>
      <c r="N756" s="150"/>
    </row>
    <row r="757" spans="1:14" x14ac:dyDescent="0.25">
      <c r="A757" s="159" t="s">
        <v>228</v>
      </c>
      <c r="B757" s="160">
        <v>106</v>
      </c>
      <c r="C757" s="160">
        <v>3830</v>
      </c>
      <c r="D757" s="160" t="s">
        <v>3561</v>
      </c>
      <c r="E757" s="160">
        <v>110</v>
      </c>
      <c r="F757" s="160" t="s">
        <v>74</v>
      </c>
      <c r="G757" s="148">
        <v>14</v>
      </c>
      <c r="H757" s="152">
        <f>IF(C757=11700,ROUND(VLOOKUP(G757,ThongSo!$F$2:$I$15,4,0)*B757*11.7,3),0)</f>
        <v>0</v>
      </c>
      <c r="I757" s="152">
        <f>IF(F757="Sắt vụn",ROUND(VLOOKUP(G757,ThongSo!$F$2:$I$15,4,0)*B757*E757/1000,3),"-")</f>
        <v>14.109</v>
      </c>
      <c r="L757" s="150"/>
      <c r="M757" s="150"/>
      <c r="N757" s="150"/>
    </row>
    <row r="758" spans="1:14" x14ac:dyDescent="0.25">
      <c r="A758" s="159" t="s">
        <v>228</v>
      </c>
      <c r="B758" s="160">
        <v>74</v>
      </c>
      <c r="C758" s="160">
        <v>3830</v>
      </c>
      <c r="D758" s="160" t="s">
        <v>3562</v>
      </c>
      <c r="E758" s="160">
        <v>110</v>
      </c>
      <c r="F758" s="160" t="s">
        <v>74</v>
      </c>
      <c r="G758" s="148">
        <v>14</v>
      </c>
      <c r="H758" s="152">
        <f>IF(C758=11700,ROUND(VLOOKUP(G758,ThongSo!$F$2:$I$15,4,0)*B758*11.7,3),0)</f>
        <v>0</v>
      </c>
      <c r="I758" s="152">
        <f>IF(F758="Sắt vụn",ROUND(VLOOKUP(G758,ThongSo!$F$2:$I$15,4,0)*B758*E758/1000,3),"-")</f>
        <v>9.8490000000000002</v>
      </c>
      <c r="L758" s="150"/>
      <c r="M758" s="150"/>
      <c r="N758" s="150"/>
    </row>
    <row r="759" spans="1:14" x14ac:dyDescent="0.25">
      <c r="A759" s="159" t="s">
        <v>228</v>
      </c>
      <c r="B759" s="160">
        <v>26</v>
      </c>
      <c r="C759" s="160">
        <v>3830</v>
      </c>
      <c r="D759" s="160" t="s">
        <v>3563</v>
      </c>
      <c r="E759" s="160">
        <v>110</v>
      </c>
      <c r="F759" s="160" t="s">
        <v>74</v>
      </c>
      <c r="G759" s="148">
        <v>14</v>
      </c>
      <c r="H759" s="152">
        <f>IF(C759=11700,ROUND(VLOOKUP(G759,ThongSo!$F$2:$I$15,4,0)*B759*11.7,3),0)</f>
        <v>0</v>
      </c>
      <c r="I759" s="152">
        <f>IF(F759="Sắt vụn",ROUND(VLOOKUP(G759,ThongSo!$F$2:$I$15,4,0)*B759*E759/1000,3),"-")</f>
        <v>3.4609999999999999</v>
      </c>
      <c r="L759" s="150"/>
      <c r="M759" s="150"/>
      <c r="N759" s="150"/>
    </row>
    <row r="760" spans="1:14" x14ac:dyDescent="0.25">
      <c r="A760" s="159" t="s">
        <v>228</v>
      </c>
      <c r="B760" s="160">
        <v>75</v>
      </c>
      <c r="C760" s="160">
        <v>3830</v>
      </c>
      <c r="D760" s="160" t="s">
        <v>3564</v>
      </c>
      <c r="E760" s="160">
        <v>460</v>
      </c>
      <c r="F760" s="160" t="s">
        <v>74</v>
      </c>
      <c r="G760" s="148">
        <v>14</v>
      </c>
      <c r="H760" s="152">
        <f>IF(C760=11700,ROUND(VLOOKUP(G760,ThongSo!$F$2:$I$15,4,0)*B760*11.7,3),0)</f>
        <v>0</v>
      </c>
      <c r="I760" s="152">
        <f>IF(F760="Sắt vụn",ROUND(VLOOKUP(G760,ThongSo!$F$2:$I$15,4,0)*B760*E760/1000,3),"-")</f>
        <v>41.744999999999997</v>
      </c>
      <c r="L760" s="150"/>
      <c r="M760" s="150"/>
      <c r="N760" s="150"/>
    </row>
    <row r="761" spans="1:14" x14ac:dyDescent="0.25">
      <c r="A761" s="159" t="s">
        <v>310</v>
      </c>
      <c r="B761" s="160">
        <v>115</v>
      </c>
      <c r="C761" s="160">
        <v>4330</v>
      </c>
      <c r="D761" s="160" t="s">
        <v>3565</v>
      </c>
      <c r="E761" s="160">
        <v>10</v>
      </c>
      <c r="F761" s="160" t="s">
        <v>74</v>
      </c>
      <c r="G761" s="148">
        <v>14</v>
      </c>
      <c r="H761" s="152">
        <f>IF(C761=11700,ROUND(VLOOKUP(G761,ThongSo!$F$2:$I$15,4,0)*B761*11.7,3),0)</f>
        <v>0</v>
      </c>
      <c r="I761" s="152">
        <f>IF(F761="Sắt vụn",ROUND(VLOOKUP(G761,ThongSo!$F$2:$I$15,4,0)*B761*E761/1000,3),"-")</f>
        <v>1.3919999999999999</v>
      </c>
      <c r="L761" s="150"/>
      <c r="M761" s="150"/>
      <c r="N761" s="150"/>
    </row>
    <row r="762" spans="1:14" x14ac:dyDescent="0.25">
      <c r="A762" s="159" t="s">
        <v>310</v>
      </c>
      <c r="B762" s="160">
        <v>11</v>
      </c>
      <c r="C762" s="160">
        <v>4330</v>
      </c>
      <c r="D762" s="160" t="s">
        <v>3566</v>
      </c>
      <c r="E762" s="160">
        <v>10</v>
      </c>
      <c r="F762" s="160" t="s">
        <v>74</v>
      </c>
      <c r="G762" s="148">
        <v>14</v>
      </c>
      <c r="H762" s="152">
        <f>IF(C762=11700,ROUND(VLOOKUP(G762,ThongSo!$F$2:$I$15,4,0)*B762*11.7,3),0)</f>
        <v>0</v>
      </c>
      <c r="I762" s="152">
        <f>IF(F762="Sắt vụn",ROUND(VLOOKUP(G762,ThongSo!$F$2:$I$15,4,0)*B762*E762/1000,3),"-")</f>
        <v>0.13300000000000001</v>
      </c>
      <c r="L762" s="150"/>
      <c r="M762" s="150"/>
      <c r="N762" s="150"/>
    </row>
    <row r="763" spans="1:14" x14ac:dyDescent="0.25">
      <c r="A763" s="159" t="s">
        <v>310</v>
      </c>
      <c r="B763" s="160">
        <v>18</v>
      </c>
      <c r="C763" s="160">
        <v>4330</v>
      </c>
      <c r="D763" s="160" t="s">
        <v>3567</v>
      </c>
      <c r="E763" s="160">
        <v>10</v>
      </c>
      <c r="F763" s="160" t="s">
        <v>74</v>
      </c>
      <c r="G763" s="148">
        <v>14</v>
      </c>
      <c r="H763" s="152">
        <f>IF(C763=11700,ROUND(VLOOKUP(G763,ThongSo!$F$2:$I$15,4,0)*B763*11.7,3),0)</f>
        <v>0</v>
      </c>
      <c r="I763" s="152">
        <f>IF(F763="Sắt vụn",ROUND(VLOOKUP(G763,ThongSo!$F$2:$I$15,4,0)*B763*E763/1000,3),"-")</f>
        <v>0.218</v>
      </c>
      <c r="L763" s="150"/>
      <c r="M763" s="150"/>
      <c r="N763" s="150"/>
    </row>
    <row r="764" spans="1:14" x14ac:dyDescent="0.25">
      <c r="A764" s="159">
        <v>233</v>
      </c>
      <c r="B764" s="160">
        <v>12</v>
      </c>
      <c r="C764" s="160">
        <v>11700</v>
      </c>
      <c r="D764" s="160" t="s">
        <v>3568</v>
      </c>
      <c r="E764" s="160">
        <v>0</v>
      </c>
      <c r="F764" s="160"/>
      <c r="G764" s="148">
        <v>14</v>
      </c>
      <c r="H764" s="152">
        <f>IF(C764=11700,ROUND(VLOOKUP(G764,ThongSo!$F$2:$I$15,4,0)*B764*11.7,3),0)</f>
        <v>169.88399999999999</v>
      </c>
      <c r="I764" s="152" t="str">
        <f>IF(F764="Sắt vụn",ROUND(VLOOKUP(G764,ThongSo!$F$2:$I$15,4,0)*B764*E764/1000,3),"-")</f>
        <v>-</v>
      </c>
      <c r="L764" s="150"/>
      <c r="M764" s="150"/>
      <c r="N764" s="150"/>
    </row>
    <row r="765" spans="1:14" x14ac:dyDescent="0.25">
      <c r="A765" s="159">
        <v>234</v>
      </c>
      <c r="B765" s="160">
        <v>12</v>
      </c>
      <c r="C765" s="160">
        <v>11700</v>
      </c>
      <c r="D765" s="160" t="s">
        <v>3569</v>
      </c>
      <c r="E765" s="160">
        <v>0</v>
      </c>
      <c r="F765" s="160"/>
      <c r="G765" s="148">
        <v>14</v>
      </c>
      <c r="H765" s="152">
        <f>IF(C765=11700,ROUND(VLOOKUP(G765,ThongSo!$F$2:$I$15,4,0)*B765*11.7,3),0)</f>
        <v>169.88399999999999</v>
      </c>
      <c r="I765" s="152" t="str">
        <f>IF(F765="Sắt vụn",ROUND(VLOOKUP(G765,ThongSo!$F$2:$I$15,4,0)*B765*E765/1000,3),"-")</f>
        <v>-</v>
      </c>
      <c r="L765" s="150"/>
      <c r="M765" s="150"/>
      <c r="N765" s="150"/>
    </row>
    <row r="766" spans="1:14" x14ac:dyDescent="0.25">
      <c r="A766" s="159">
        <v>235</v>
      </c>
      <c r="B766" s="160">
        <v>24</v>
      </c>
      <c r="C766" s="160">
        <v>11700</v>
      </c>
      <c r="D766" s="160" t="s">
        <v>3570</v>
      </c>
      <c r="E766" s="160">
        <v>0</v>
      </c>
      <c r="F766" s="160"/>
      <c r="G766" s="148">
        <v>14</v>
      </c>
      <c r="H766" s="152">
        <f>IF(C766=11700,ROUND(VLOOKUP(G766,ThongSo!$F$2:$I$15,4,0)*B766*11.7,3),0)</f>
        <v>339.76799999999997</v>
      </c>
      <c r="I766" s="152" t="str">
        <f>IF(F766="Sắt vụn",ROUND(VLOOKUP(G766,ThongSo!$F$2:$I$15,4,0)*B766*E766/1000,3),"-")</f>
        <v>-</v>
      </c>
      <c r="L766" s="150"/>
      <c r="M766" s="150"/>
      <c r="N766" s="150"/>
    </row>
    <row r="767" spans="1:14" x14ac:dyDescent="0.25">
      <c r="A767" s="159">
        <v>236</v>
      </c>
      <c r="B767" s="160">
        <v>9</v>
      </c>
      <c r="C767" s="160">
        <v>11700</v>
      </c>
      <c r="D767" s="160" t="s">
        <v>3571</v>
      </c>
      <c r="E767" s="160">
        <v>0</v>
      </c>
      <c r="F767" s="160"/>
      <c r="G767" s="148">
        <v>14</v>
      </c>
      <c r="H767" s="152">
        <f>IF(C767=11700,ROUND(VLOOKUP(G767,ThongSo!$F$2:$I$15,4,0)*B767*11.7,3),0)</f>
        <v>127.413</v>
      </c>
      <c r="I767" s="152" t="str">
        <f>IF(F767="Sắt vụn",ROUND(VLOOKUP(G767,ThongSo!$F$2:$I$15,4,0)*B767*E767/1000,3),"-")</f>
        <v>-</v>
      </c>
      <c r="L767" s="150"/>
      <c r="M767" s="150"/>
      <c r="N767" s="150"/>
    </row>
    <row r="768" spans="1:14" x14ac:dyDescent="0.25">
      <c r="A768" s="159">
        <v>237</v>
      </c>
      <c r="B768" s="160">
        <v>12</v>
      </c>
      <c r="C768" s="160">
        <v>11700</v>
      </c>
      <c r="D768" s="160" t="s">
        <v>3572</v>
      </c>
      <c r="E768" s="160">
        <v>0</v>
      </c>
      <c r="F768" s="160"/>
      <c r="G768" s="148">
        <v>14</v>
      </c>
      <c r="H768" s="152">
        <f>IF(C768=11700,ROUND(VLOOKUP(G768,ThongSo!$F$2:$I$15,4,0)*B768*11.7,3),0)</f>
        <v>169.88399999999999</v>
      </c>
      <c r="I768" s="152" t="str">
        <f>IF(F768="Sắt vụn",ROUND(VLOOKUP(G768,ThongSo!$F$2:$I$15,4,0)*B768*E768/1000,3),"-")</f>
        <v>-</v>
      </c>
      <c r="L768" s="150"/>
      <c r="M768" s="150"/>
      <c r="N768" s="150"/>
    </row>
    <row r="769" spans="1:14" x14ac:dyDescent="0.25">
      <c r="A769" s="159">
        <v>238</v>
      </c>
      <c r="B769" s="160">
        <v>18</v>
      </c>
      <c r="C769" s="160">
        <v>11700</v>
      </c>
      <c r="D769" s="160" t="s">
        <v>3573</v>
      </c>
      <c r="E769" s="160">
        <v>0</v>
      </c>
      <c r="F769" s="160"/>
      <c r="G769" s="148">
        <v>14</v>
      </c>
      <c r="H769" s="152">
        <f>IF(C769=11700,ROUND(VLOOKUP(G769,ThongSo!$F$2:$I$15,4,0)*B769*11.7,3),0)</f>
        <v>254.82599999999999</v>
      </c>
      <c r="I769" s="152" t="str">
        <f>IF(F769="Sắt vụn",ROUND(VLOOKUP(G769,ThongSo!$F$2:$I$15,4,0)*B769*E769/1000,3),"-")</f>
        <v>-</v>
      </c>
      <c r="L769" s="150"/>
      <c r="M769" s="150"/>
      <c r="N769" s="150"/>
    </row>
    <row r="770" spans="1:14" x14ac:dyDescent="0.25">
      <c r="A770" s="159">
        <v>239</v>
      </c>
      <c r="B770" s="160">
        <v>35</v>
      </c>
      <c r="C770" s="160">
        <v>11700</v>
      </c>
      <c r="D770" s="160" t="s">
        <v>3574</v>
      </c>
      <c r="E770" s="160">
        <v>0</v>
      </c>
      <c r="F770" s="160"/>
      <c r="G770" s="148">
        <v>14</v>
      </c>
      <c r="H770" s="152">
        <f>IF(C770=11700,ROUND(VLOOKUP(G770,ThongSo!$F$2:$I$15,4,0)*B770*11.7,3),0)</f>
        <v>495.495</v>
      </c>
      <c r="I770" s="152" t="str">
        <f>IF(F770="Sắt vụn",ROUND(VLOOKUP(G770,ThongSo!$F$2:$I$15,4,0)*B770*E770/1000,3),"-")</f>
        <v>-</v>
      </c>
      <c r="L770" s="150"/>
      <c r="M770" s="150"/>
      <c r="N770" s="150"/>
    </row>
    <row r="771" spans="1:14" x14ac:dyDescent="0.25">
      <c r="A771" s="159">
        <v>240</v>
      </c>
      <c r="B771" s="160">
        <v>57</v>
      </c>
      <c r="C771" s="160">
        <v>11700</v>
      </c>
      <c r="D771" s="160" t="s">
        <v>3575</v>
      </c>
      <c r="E771" s="160">
        <v>0</v>
      </c>
      <c r="F771" s="160"/>
      <c r="G771" s="148">
        <v>14</v>
      </c>
      <c r="H771" s="152">
        <f>IF(C771=11700,ROUND(VLOOKUP(G771,ThongSo!$F$2:$I$15,4,0)*B771*11.7,3),0)</f>
        <v>806.94899999999996</v>
      </c>
      <c r="I771" s="152" t="str">
        <f>IF(F771="Sắt vụn",ROUND(VLOOKUP(G771,ThongSo!$F$2:$I$15,4,0)*B771*E771/1000,3),"-")</f>
        <v>-</v>
      </c>
      <c r="L771" s="150"/>
      <c r="M771" s="150"/>
      <c r="N771" s="150"/>
    </row>
    <row r="772" spans="1:14" x14ac:dyDescent="0.25">
      <c r="A772" s="159">
        <v>241</v>
      </c>
      <c r="B772" s="160">
        <v>1</v>
      </c>
      <c r="C772" s="160">
        <v>11700</v>
      </c>
      <c r="D772" s="160" t="s">
        <v>3576</v>
      </c>
      <c r="E772" s="160">
        <v>0</v>
      </c>
      <c r="F772" s="160"/>
      <c r="G772" s="148">
        <v>14</v>
      </c>
      <c r="H772" s="152">
        <f>IF(C772=11700,ROUND(VLOOKUP(G772,ThongSo!$F$2:$I$15,4,0)*B772*11.7,3),0)</f>
        <v>14.157</v>
      </c>
      <c r="I772" s="152" t="str">
        <f>IF(F772="Sắt vụn",ROUND(VLOOKUP(G772,ThongSo!$F$2:$I$15,4,0)*B772*E772/1000,3),"-")</f>
        <v>-</v>
      </c>
      <c r="L772" s="150"/>
      <c r="M772" s="150"/>
      <c r="N772" s="150"/>
    </row>
    <row r="773" spans="1:14" x14ac:dyDescent="0.25">
      <c r="A773" s="159">
        <v>242</v>
      </c>
      <c r="B773" s="160">
        <v>53</v>
      </c>
      <c r="C773" s="160">
        <v>11700</v>
      </c>
      <c r="D773" s="160" t="s">
        <v>3577</v>
      </c>
      <c r="E773" s="160">
        <v>0</v>
      </c>
      <c r="F773" s="160"/>
      <c r="G773" s="148">
        <v>14</v>
      </c>
      <c r="H773" s="152">
        <f>IF(C773=11700,ROUND(VLOOKUP(G773,ThongSo!$F$2:$I$15,4,0)*B773*11.7,3),0)</f>
        <v>750.32100000000003</v>
      </c>
      <c r="I773" s="152" t="str">
        <f>IF(F773="Sắt vụn",ROUND(VLOOKUP(G773,ThongSo!$F$2:$I$15,4,0)*B773*E773/1000,3),"-")</f>
        <v>-</v>
      </c>
      <c r="L773" s="150"/>
      <c r="M773" s="150"/>
      <c r="N773" s="150"/>
    </row>
    <row r="774" spans="1:14" x14ac:dyDescent="0.25">
      <c r="A774" s="159">
        <v>243</v>
      </c>
      <c r="B774" s="160">
        <v>42</v>
      </c>
      <c r="C774" s="160">
        <v>11700</v>
      </c>
      <c r="D774" s="160" t="s">
        <v>3578</v>
      </c>
      <c r="E774" s="160">
        <v>0</v>
      </c>
      <c r="F774" s="160"/>
      <c r="G774" s="148">
        <v>14</v>
      </c>
      <c r="H774" s="152">
        <f>IF(C774=11700,ROUND(VLOOKUP(G774,ThongSo!$F$2:$I$15,4,0)*B774*11.7,3),0)</f>
        <v>594.59400000000005</v>
      </c>
      <c r="I774" s="152" t="str">
        <f>IF(F774="Sắt vụn",ROUND(VLOOKUP(G774,ThongSo!$F$2:$I$15,4,0)*B774*E774/1000,3),"-")</f>
        <v>-</v>
      </c>
      <c r="L774" s="150"/>
      <c r="M774" s="150"/>
      <c r="N774" s="150"/>
    </row>
    <row r="775" spans="1:14" x14ac:dyDescent="0.25">
      <c r="A775" s="159">
        <v>244</v>
      </c>
      <c r="B775" s="160">
        <v>12</v>
      </c>
      <c r="C775" s="160">
        <v>11700</v>
      </c>
      <c r="D775" s="160" t="s">
        <v>3579</v>
      </c>
      <c r="E775" s="160">
        <v>0</v>
      </c>
      <c r="F775" s="160"/>
      <c r="G775" s="148">
        <v>14</v>
      </c>
      <c r="H775" s="152">
        <f>IF(C775=11700,ROUND(VLOOKUP(G775,ThongSo!$F$2:$I$15,4,0)*B775*11.7,3),0)</f>
        <v>169.88399999999999</v>
      </c>
      <c r="I775" s="152" t="str">
        <f>IF(F775="Sắt vụn",ROUND(VLOOKUP(G775,ThongSo!$F$2:$I$15,4,0)*B775*E775/1000,3),"-")</f>
        <v>-</v>
      </c>
      <c r="L775" s="150"/>
      <c r="M775" s="150"/>
      <c r="N775" s="150"/>
    </row>
    <row r="776" spans="1:14" x14ac:dyDescent="0.25">
      <c r="A776" s="159">
        <v>245</v>
      </c>
      <c r="B776" s="160">
        <v>11</v>
      </c>
      <c r="C776" s="160">
        <v>11700</v>
      </c>
      <c r="D776" s="160" t="s">
        <v>3580</v>
      </c>
      <c r="E776" s="160">
        <v>0</v>
      </c>
      <c r="F776" s="160"/>
      <c r="G776" s="148">
        <v>14</v>
      </c>
      <c r="H776" s="152">
        <f>IF(C776=11700,ROUND(VLOOKUP(G776,ThongSo!$F$2:$I$15,4,0)*B776*11.7,3),0)</f>
        <v>155.727</v>
      </c>
      <c r="I776" s="152" t="str">
        <f>IF(F776="Sắt vụn",ROUND(VLOOKUP(G776,ThongSo!$F$2:$I$15,4,0)*B776*E776/1000,3),"-")</f>
        <v>-</v>
      </c>
      <c r="L776" s="150"/>
      <c r="M776" s="150"/>
      <c r="N776" s="150"/>
    </row>
    <row r="777" spans="1:14" x14ac:dyDescent="0.25">
      <c r="A777" s="159">
        <v>246</v>
      </c>
      <c r="B777" s="160">
        <v>62</v>
      </c>
      <c r="C777" s="160">
        <v>11700</v>
      </c>
      <c r="D777" s="160" t="s">
        <v>3581</v>
      </c>
      <c r="E777" s="160">
        <v>10</v>
      </c>
      <c r="F777" s="160" t="s">
        <v>74</v>
      </c>
      <c r="G777" s="148">
        <v>14</v>
      </c>
      <c r="H777" s="152">
        <f>IF(C777=11700,ROUND(VLOOKUP(G777,ThongSo!$F$2:$I$15,4,0)*B777*11.7,3),0)</f>
        <v>877.73400000000004</v>
      </c>
      <c r="I777" s="152">
        <f>IF(F777="Sắt vụn",ROUND(VLOOKUP(G777,ThongSo!$F$2:$I$15,4,0)*B777*E777/1000,3),"-")</f>
        <v>0.75</v>
      </c>
      <c r="L777" s="150"/>
      <c r="M777" s="150"/>
      <c r="N777" s="150"/>
    </row>
    <row r="778" spans="1:14" x14ac:dyDescent="0.25">
      <c r="A778" s="159">
        <v>247</v>
      </c>
      <c r="B778" s="160">
        <v>1</v>
      </c>
      <c r="C778" s="160">
        <v>11700</v>
      </c>
      <c r="D778" s="160" t="s">
        <v>3582</v>
      </c>
      <c r="E778" s="160">
        <v>10</v>
      </c>
      <c r="F778" s="160" t="s">
        <v>74</v>
      </c>
      <c r="G778" s="148">
        <v>14</v>
      </c>
      <c r="H778" s="152">
        <f>IF(C778=11700,ROUND(VLOOKUP(G778,ThongSo!$F$2:$I$15,4,0)*B778*11.7,3),0)</f>
        <v>14.157</v>
      </c>
      <c r="I778" s="152">
        <f>IF(F778="Sắt vụn",ROUND(VLOOKUP(G778,ThongSo!$F$2:$I$15,4,0)*B778*E778/1000,3),"-")</f>
        <v>1.2E-2</v>
      </c>
      <c r="L778" s="150"/>
      <c r="M778" s="150"/>
      <c r="N778" s="150"/>
    </row>
    <row r="779" spans="1:14" x14ac:dyDescent="0.25">
      <c r="A779" s="159">
        <v>248</v>
      </c>
      <c r="B779" s="160">
        <v>23</v>
      </c>
      <c r="C779" s="160">
        <v>11700</v>
      </c>
      <c r="D779" s="160" t="s">
        <v>3583</v>
      </c>
      <c r="E779" s="160">
        <v>10</v>
      </c>
      <c r="F779" s="160" t="s">
        <v>74</v>
      </c>
      <c r="G779" s="148">
        <v>14</v>
      </c>
      <c r="H779" s="152">
        <f>IF(C779=11700,ROUND(VLOOKUP(G779,ThongSo!$F$2:$I$15,4,0)*B779*11.7,3),0)</f>
        <v>325.61099999999999</v>
      </c>
      <c r="I779" s="152">
        <f>IF(F779="Sắt vụn",ROUND(VLOOKUP(G779,ThongSo!$F$2:$I$15,4,0)*B779*E779/1000,3),"-")</f>
        <v>0.27800000000000002</v>
      </c>
      <c r="L779" s="150"/>
      <c r="M779" s="150"/>
      <c r="N779" s="150"/>
    </row>
    <row r="780" spans="1:14" x14ac:dyDescent="0.25">
      <c r="A780" s="159">
        <v>249</v>
      </c>
      <c r="B780" s="160">
        <v>28</v>
      </c>
      <c r="C780" s="160">
        <v>11700</v>
      </c>
      <c r="D780" s="160" t="s">
        <v>3584</v>
      </c>
      <c r="E780" s="160">
        <v>10</v>
      </c>
      <c r="F780" s="160" t="s">
        <v>74</v>
      </c>
      <c r="G780" s="148">
        <v>14</v>
      </c>
      <c r="H780" s="152">
        <f>IF(C780=11700,ROUND(VLOOKUP(G780,ThongSo!$F$2:$I$15,4,0)*B780*11.7,3),0)</f>
        <v>396.39600000000002</v>
      </c>
      <c r="I780" s="152">
        <f>IF(F780="Sắt vụn",ROUND(VLOOKUP(G780,ThongSo!$F$2:$I$15,4,0)*B780*E780/1000,3),"-")</f>
        <v>0.33900000000000002</v>
      </c>
      <c r="L780" s="150"/>
      <c r="M780" s="150"/>
      <c r="N780" s="150"/>
    </row>
    <row r="781" spans="1:14" x14ac:dyDescent="0.25">
      <c r="A781" s="159">
        <v>250</v>
      </c>
      <c r="B781" s="160">
        <v>1</v>
      </c>
      <c r="C781" s="160">
        <v>11700</v>
      </c>
      <c r="D781" s="160" t="s">
        <v>3585</v>
      </c>
      <c r="E781" s="160">
        <v>10</v>
      </c>
      <c r="F781" s="160" t="s">
        <v>74</v>
      </c>
      <c r="G781" s="148">
        <v>14</v>
      </c>
      <c r="H781" s="152">
        <f>IF(C781=11700,ROUND(VLOOKUP(G781,ThongSo!$F$2:$I$15,4,0)*B781*11.7,3),0)</f>
        <v>14.157</v>
      </c>
      <c r="I781" s="152">
        <f>IF(F781="Sắt vụn",ROUND(VLOOKUP(G781,ThongSo!$F$2:$I$15,4,0)*B781*E781/1000,3),"-")</f>
        <v>1.2E-2</v>
      </c>
      <c r="L781" s="150"/>
      <c r="M781" s="150"/>
      <c r="N781" s="150"/>
    </row>
    <row r="782" spans="1:14" x14ac:dyDescent="0.25">
      <c r="A782" s="159">
        <v>251</v>
      </c>
      <c r="B782" s="160">
        <v>43</v>
      </c>
      <c r="C782" s="160">
        <v>11700</v>
      </c>
      <c r="D782" s="160" t="s">
        <v>3586</v>
      </c>
      <c r="E782" s="160">
        <v>10</v>
      </c>
      <c r="F782" s="160" t="s">
        <v>74</v>
      </c>
      <c r="G782" s="148">
        <v>14</v>
      </c>
      <c r="H782" s="152">
        <f>IF(C782=11700,ROUND(VLOOKUP(G782,ThongSo!$F$2:$I$15,4,0)*B782*11.7,3),0)</f>
        <v>608.75099999999998</v>
      </c>
      <c r="I782" s="152">
        <f>IF(F782="Sắt vụn",ROUND(VLOOKUP(G782,ThongSo!$F$2:$I$15,4,0)*B782*E782/1000,3),"-")</f>
        <v>0.52</v>
      </c>
      <c r="L782" s="150"/>
      <c r="M782" s="150"/>
      <c r="N782" s="150"/>
    </row>
    <row r="783" spans="1:14" x14ac:dyDescent="0.25">
      <c r="A783" s="159">
        <v>252</v>
      </c>
      <c r="B783" s="160">
        <v>1</v>
      </c>
      <c r="C783" s="160">
        <v>11700</v>
      </c>
      <c r="D783" s="160" t="s">
        <v>3587</v>
      </c>
      <c r="E783" s="160">
        <v>30</v>
      </c>
      <c r="F783" s="160" t="s">
        <v>74</v>
      </c>
      <c r="G783" s="148">
        <v>14</v>
      </c>
      <c r="H783" s="152">
        <f>IF(C783=11700,ROUND(VLOOKUP(G783,ThongSo!$F$2:$I$15,4,0)*B783*11.7,3),0)</f>
        <v>14.157</v>
      </c>
      <c r="I783" s="152">
        <f>IF(F783="Sắt vụn",ROUND(VLOOKUP(G783,ThongSo!$F$2:$I$15,4,0)*B783*E783/1000,3),"-")</f>
        <v>3.5999999999999997E-2</v>
      </c>
      <c r="L783" s="150"/>
      <c r="M783" s="150"/>
      <c r="N783" s="150"/>
    </row>
    <row r="784" spans="1:14" x14ac:dyDescent="0.25">
      <c r="A784" s="159">
        <v>253</v>
      </c>
      <c r="B784" s="160">
        <v>101</v>
      </c>
      <c r="C784" s="160">
        <v>11700</v>
      </c>
      <c r="D784" s="160" t="s">
        <v>3588</v>
      </c>
      <c r="E784" s="160">
        <v>90</v>
      </c>
      <c r="F784" s="160" t="s">
        <v>74</v>
      </c>
      <c r="G784" s="148">
        <v>14</v>
      </c>
      <c r="H784" s="152">
        <f>IF(C784=11700,ROUND(VLOOKUP(G784,ThongSo!$F$2:$I$15,4,0)*B784*11.7,3),0)</f>
        <v>1429.857</v>
      </c>
      <c r="I784" s="152">
        <f>IF(F784="Sắt vụn",ROUND(VLOOKUP(G784,ThongSo!$F$2:$I$15,4,0)*B784*E784/1000,3),"-")</f>
        <v>10.999000000000001</v>
      </c>
      <c r="L784" s="150"/>
      <c r="M784" s="150"/>
      <c r="N784" s="150"/>
    </row>
    <row r="785" spans="1:14" x14ac:dyDescent="0.25">
      <c r="A785" s="159">
        <v>254</v>
      </c>
      <c r="B785" s="160">
        <v>134</v>
      </c>
      <c r="C785" s="160">
        <v>11700</v>
      </c>
      <c r="D785" s="160" t="s">
        <v>3589</v>
      </c>
      <c r="E785" s="160">
        <v>90</v>
      </c>
      <c r="F785" s="160" t="s">
        <v>74</v>
      </c>
      <c r="G785" s="148">
        <v>14</v>
      </c>
      <c r="H785" s="152">
        <f>IF(C785=11700,ROUND(VLOOKUP(G785,ThongSo!$F$2:$I$15,4,0)*B785*11.7,3),0)</f>
        <v>1897.038</v>
      </c>
      <c r="I785" s="152">
        <f>IF(F785="Sắt vụn",ROUND(VLOOKUP(G785,ThongSo!$F$2:$I$15,4,0)*B785*E785/1000,3),"-")</f>
        <v>14.593</v>
      </c>
      <c r="L785" s="150"/>
      <c r="M785" s="150"/>
      <c r="N785" s="150"/>
    </row>
    <row r="786" spans="1:14" x14ac:dyDescent="0.25">
      <c r="A786" s="159">
        <v>255</v>
      </c>
      <c r="B786" s="160">
        <v>20</v>
      </c>
      <c r="C786" s="160">
        <v>11700</v>
      </c>
      <c r="D786" s="160" t="s">
        <v>3590</v>
      </c>
      <c r="E786" s="160">
        <v>100</v>
      </c>
      <c r="F786" s="160" t="s">
        <v>74</v>
      </c>
      <c r="G786" s="148">
        <v>14</v>
      </c>
      <c r="H786" s="152">
        <f>IF(C786=11700,ROUND(VLOOKUP(G786,ThongSo!$F$2:$I$15,4,0)*B786*11.7,3),0)</f>
        <v>283.14</v>
      </c>
      <c r="I786" s="152">
        <f>IF(F786="Sắt vụn",ROUND(VLOOKUP(G786,ThongSo!$F$2:$I$15,4,0)*B786*E786/1000,3),"-")</f>
        <v>2.42</v>
      </c>
      <c r="L786" s="150"/>
      <c r="M786" s="150"/>
      <c r="N786" s="150"/>
    </row>
    <row r="787" spans="1:14" x14ac:dyDescent="0.25">
      <c r="A787" s="159">
        <v>256</v>
      </c>
      <c r="B787" s="160">
        <v>115</v>
      </c>
      <c r="C787" s="160">
        <v>11700</v>
      </c>
      <c r="D787" s="160" t="s">
        <v>3591</v>
      </c>
      <c r="E787" s="160">
        <v>190</v>
      </c>
      <c r="F787" s="160" t="s">
        <v>74</v>
      </c>
      <c r="G787" s="148">
        <v>14</v>
      </c>
      <c r="H787" s="152">
        <f>IF(C787=11700,ROUND(VLOOKUP(G787,ThongSo!$F$2:$I$15,4,0)*B787*11.7,3),0)</f>
        <v>1628.0550000000001</v>
      </c>
      <c r="I787" s="152">
        <f>IF(F787="Sắt vụn",ROUND(VLOOKUP(G787,ThongSo!$F$2:$I$15,4,0)*B787*E787/1000,3),"-")</f>
        <v>26.439</v>
      </c>
      <c r="L787" s="150"/>
      <c r="M787" s="150"/>
      <c r="N787" s="150"/>
    </row>
    <row r="788" spans="1:14" x14ac:dyDescent="0.25">
      <c r="A788" s="159">
        <v>257</v>
      </c>
      <c r="B788" s="160">
        <v>100</v>
      </c>
      <c r="C788" s="160">
        <v>11700</v>
      </c>
      <c r="D788" s="160" t="s">
        <v>3592</v>
      </c>
      <c r="E788" s="160">
        <v>190</v>
      </c>
      <c r="F788" s="160" t="s">
        <v>74</v>
      </c>
      <c r="G788" s="148">
        <v>14</v>
      </c>
      <c r="H788" s="152">
        <f>IF(C788=11700,ROUND(VLOOKUP(G788,ThongSo!$F$2:$I$15,4,0)*B788*11.7,3),0)</f>
        <v>1415.7</v>
      </c>
      <c r="I788" s="152">
        <f>IF(F788="Sắt vụn",ROUND(VLOOKUP(G788,ThongSo!$F$2:$I$15,4,0)*B788*E788/1000,3),"-")</f>
        <v>22.99</v>
      </c>
      <c r="L788" s="150"/>
      <c r="M788" s="150"/>
      <c r="N788" s="150"/>
    </row>
    <row r="789" spans="1:14" x14ac:dyDescent="0.25">
      <c r="A789" s="159">
        <v>258</v>
      </c>
      <c r="B789" s="160">
        <v>84</v>
      </c>
      <c r="C789" s="160">
        <v>11700</v>
      </c>
      <c r="D789" s="160" t="s">
        <v>3593</v>
      </c>
      <c r="E789" s="160">
        <v>320</v>
      </c>
      <c r="F789" s="160" t="s">
        <v>74</v>
      </c>
      <c r="G789" s="148">
        <v>14</v>
      </c>
      <c r="H789" s="152">
        <f>IF(C789=11700,ROUND(VLOOKUP(G789,ThongSo!$F$2:$I$15,4,0)*B789*11.7,3),0)</f>
        <v>1189.1880000000001</v>
      </c>
      <c r="I789" s="152">
        <f>IF(F789="Sắt vụn",ROUND(VLOOKUP(G789,ThongSo!$F$2:$I$15,4,0)*B789*E789/1000,3),"-")</f>
        <v>32.524999999999999</v>
      </c>
      <c r="L789" s="150"/>
      <c r="M789" s="150"/>
      <c r="N789" s="150"/>
    </row>
    <row r="790" spans="1:14" x14ac:dyDescent="0.25">
      <c r="A790" s="159">
        <v>259</v>
      </c>
      <c r="B790" s="160">
        <v>13</v>
      </c>
      <c r="C790" s="160">
        <v>11700</v>
      </c>
      <c r="D790" s="160" t="s">
        <v>3594</v>
      </c>
      <c r="E790" s="160">
        <v>320</v>
      </c>
      <c r="F790" s="160" t="s">
        <v>74</v>
      </c>
      <c r="G790" s="148">
        <v>14</v>
      </c>
      <c r="H790" s="152">
        <f>IF(C790=11700,ROUND(VLOOKUP(G790,ThongSo!$F$2:$I$15,4,0)*B790*11.7,3),0)</f>
        <v>184.041</v>
      </c>
      <c r="I790" s="152">
        <f>IF(F790="Sắt vụn",ROUND(VLOOKUP(G790,ThongSo!$F$2:$I$15,4,0)*B790*E790/1000,3),"-")</f>
        <v>5.0339999999999998</v>
      </c>
      <c r="L790" s="150"/>
      <c r="M790" s="150"/>
      <c r="N790" s="150"/>
    </row>
    <row r="791" spans="1:14" x14ac:dyDescent="0.25">
      <c r="A791" s="159">
        <v>260</v>
      </c>
      <c r="B791" s="160">
        <v>26</v>
      </c>
      <c r="C791" s="160">
        <v>11700</v>
      </c>
      <c r="D791" s="160" t="s">
        <v>3595</v>
      </c>
      <c r="E791" s="160">
        <v>330</v>
      </c>
      <c r="F791" s="160" t="s">
        <v>74</v>
      </c>
      <c r="G791" s="148">
        <v>14</v>
      </c>
      <c r="H791" s="152">
        <f>IF(C791=11700,ROUND(VLOOKUP(G791,ThongSo!$F$2:$I$15,4,0)*B791*11.7,3),0)</f>
        <v>368.08199999999999</v>
      </c>
      <c r="I791" s="152">
        <f>IF(F791="Sắt vụn",ROUND(VLOOKUP(G791,ThongSo!$F$2:$I$15,4,0)*B791*E791/1000,3),"-")</f>
        <v>10.382</v>
      </c>
      <c r="L791" s="150"/>
      <c r="M791" s="150"/>
      <c r="N791" s="150"/>
    </row>
    <row r="792" spans="1:14" x14ac:dyDescent="0.25">
      <c r="A792" s="159">
        <v>261</v>
      </c>
      <c r="B792" s="160">
        <v>5</v>
      </c>
      <c r="C792" s="160">
        <v>11700</v>
      </c>
      <c r="D792" s="160" t="s">
        <v>3596</v>
      </c>
      <c r="E792" s="160">
        <v>490</v>
      </c>
      <c r="F792" s="160" t="s">
        <v>74</v>
      </c>
      <c r="G792" s="148">
        <v>14</v>
      </c>
      <c r="H792" s="152">
        <f>IF(C792=11700,ROUND(VLOOKUP(G792,ThongSo!$F$2:$I$15,4,0)*B792*11.7,3),0)</f>
        <v>70.784999999999997</v>
      </c>
      <c r="I792" s="152">
        <f>IF(F792="Sắt vụn",ROUND(VLOOKUP(G792,ThongSo!$F$2:$I$15,4,0)*B792*E792/1000,3),"-")</f>
        <v>2.9649999999999999</v>
      </c>
      <c r="L792" s="150"/>
      <c r="M792" s="150"/>
      <c r="N792" s="150"/>
    </row>
    <row r="793" spans="1:14" x14ac:dyDescent="0.25">
      <c r="A793" s="159">
        <v>262</v>
      </c>
      <c r="B793" s="160">
        <v>68</v>
      </c>
      <c r="C793" s="160">
        <v>11700</v>
      </c>
      <c r="D793" s="160" t="s">
        <v>3597</v>
      </c>
      <c r="E793" s="160">
        <v>490</v>
      </c>
      <c r="F793" s="160" t="s">
        <v>74</v>
      </c>
      <c r="G793" s="148">
        <v>14</v>
      </c>
      <c r="H793" s="152">
        <f>IF(C793=11700,ROUND(VLOOKUP(G793,ThongSo!$F$2:$I$15,4,0)*B793*11.7,3),0)</f>
        <v>962.67600000000004</v>
      </c>
      <c r="I793" s="152">
        <f>IF(F793="Sắt vụn",ROUND(VLOOKUP(G793,ThongSo!$F$2:$I$15,4,0)*B793*E793/1000,3),"-")</f>
        <v>40.317</v>
      </c>
      <c r="L793" s="150"/>
      <c r="M793" s="150"/>
      <c r="N793" s="150"/>
    </row>
    <row r="794" spans="1:14" x14ac:dyDescent="0.25">
      <c r="A794" s="159">
        <v>263</v>
      </c>
      <c r="B794" s="160">
        <v>1</v>
      </c>
      <c r="C794" s="160">
        <v>11700</v>
      </c>
      <c r="D794" s="160" t="s">
        <v>3598</v>
      </c>
      <c r="E794" s="160">
        <v>490</v>
      </c>
      <c r="F794" s="160" t="s">
        <v>74</v>
      </c>
      <c r="G794" s="148">
        <v>14</v>
      </c>
      <c r="H794" s="152">
        <f>IF(C794=11700,ROUND(VLOOKUP(G794,ThongSo!$F$2:$I$15,4,0)*B794*11.7,3),0)</f>
        <v>14.157</v>
      </c>
      <c r="I794" s="152">
        <f>IF(F794="Sắt vụn",ROUND(VLOOKUP(G794,ThongSo!$F$2:$I$15,4,0)*B794*E794/1000,3),"-")</f>
        <v>0.59299999999999997</v>
      </c>
      <c r="L794" s="150"/>
      <c r="M794" s="150"/>
      <c r="N794" s="150"/>
    </row>
    <row r="795" spans="1:14" x14ac:dyDescent="0.25">
      <c r="A795" s="159">
        <v>264</v>
      </c>
      <c r="B795" s="160">
        <v>31</v>
      </c>
      <c r="C795" s="160">
        <v>11700</v>
      </c>
      <c r="D795" s="160" t="s">
        <v>3599</v>
      </c>
      <c r="E795" s="160">
        <v>490</v>
      </c>
      <c r="F795" s="160" t="s">
        <v>74</v>
      </c>
      <c r="G795" s="148">
        <v>14</v>
      </c>
      <c r="H795" s="152">
        <f>IF(C795=11700,ROUND(VLOOKUP(G795,ThongSo!$F$2:$I$15,4,0)*B795*11.7,3),0)</f>
        <v>438.86700000000002</v>
      </c>
      <c r="I795" s="152">
        <f>IF(F795="Sắt vụn",ROUND(VLOOKUP(G795,ThongSo!$F$2:$I$15,4,0)*B795*E795/1000,3),"-")</f>
        <v>18.38</v>
      </c>
      <c r="L795" s="150"/>
      <c r="M795" s="150"/>
      <c r="N795" s="150"/>
    </row>
    <row r="796" spans="1:14" x14ac:dyDescent="0.25">
      <c r="A796" s="159">
        <v>265</v>
      </c>
      <c r="B796" s="160">
        <v>1</v>
      </c>
      <c r="C796" s="160">
        <v>11700</v>
      </c>
      <c r="D796" s="160" t="s">
        <v>3600</v>
      </c>
      <c r="E796" s="160">
        <v>550</v>
      </c>
      <c r="F796" s="160" t="s">
        <v>74</v>
      </c>
      <c r="G796" s="148">
        <v>14</v>
      </c>
      <c r="H796" s="152">
        <f>IF(C796=11700,ROUND(VLOOKUP(G796,ThongSo!$F$2:$I$15,4,0)*B796*11.7,3),0)</f>
        <v>14.157</v>
      </c>
      <c r="I796" s="152">
        <f>IF(F796="Sắt vụn",ROUND(VLOOKUP(G796,ThongSo!$F$2:$I$15,4,0)*B796*E796/1000,3),"-")</f>
        <v>0.66600000000000004</v>
      </c>
      <c r="L796" s="150"/>
      <c r="M796" s="150"/>
      <c r="N796" s="150"/>
    </row>
    <row r="797" spans="1:14" x14ac:dyDescent="0.25">
      <c r="A797" s="159">
        <v>266</v>
      </c>
      <c r="B797" s="160">
        <v>146</v>
      </c>
      <c r="C797" s="160">
        <v>11700</v>
      </c>
      <c r="D797" s="160" t="s">
        <v>3601</v>
      </c>
      <c r="E797" s="160">
        <v>660</v>
      </c>
      <c r="F797" s="160" t="s">
        <v>74</v>
      </c>
      <c r="G797" s="148">
        <v>14</v>
      </c>
      <c r="H797" s="152">
        <f>IF(C797=11700,ROUND(VLOOKUP(G797,ThongSo!$F$2:$I$15,4,0)*B797*11.7,3),0)</f>
        <v>2066.922</v>
      </c>
      <c r="I797" s="152">
        <f>IF(F797="Sắt vụn",ROUND(VLOOKUP(G797,ThongSo!$F$2:$I$15,4,0)*B797*E797/1000,3),"-")</f>
        <v>116.596</v>
      </c>
      <c r="L797" s="150"/>
      <c r="M797" s="150"/>
      <c r="N797" s="150"/>
    </row>
    <row r="798" spans="1:14" x14ac:dyDescent="0.25">
      <c r="A798" s="159">
        <v>267</v>
      </c>
      <c r="B798" s="160">
        <v>349</v>
      </c>
      <c r="C798" s="160">
        <v>11700</v>
      </c>
      <c r="D798" s="160" t="s">
        <v>3602</v>
      </c>
      <c r="E798" s="160">
        <v>1020</v>
      </c>
      <c r="F798" s="160" t="s">
        <v>75</v>
      </c>
      <c r="G798" s="148">
        <v>14</v>
      </c>
      <c r="H798" s="152">
        <f>IF(C798=11700,ROUND(VLOOKUP(G798,ThongSo!$F$2:$I$15,4,0)*B798*11.7,3),0)</f>
        <v>4940.7929999999997</v>
      </c>
      <c r="I798" s="152" t="str">
        <f>IF(F798="Sắt vụn",ROUND(VLOOKUP(G798,ThongSo!$F$2:$I$15,4,0)*B798*E798/1000,3),"-")</f>
        <v>-</v>
      </c>
      <c r="L798" s="150"/>
      <c r="M798" s="150"/>
      <c r="N798" s="150"/>
    </row>
    <row r="799" spans="1:14" x14ac:dyDescent="0.25">
      <c r="A799" s="159">
        <v>268</v>
      </c>
      <c r="B799" s="160">
        <v>1</v>
      </c>
      <c r="C799" s="160">
        <v>11700</v>
      </c>
      <c r="D799" s="160" t="s">
        <v>3603</v>
      </c>
      <c r="E799" s="160">
        <v>1020</v>
      </c>
      <c r="F799" s="160" t="s">
        <v>75</v>
      </c>
      <c r="G799" s="148">
        <v>14</v>
      </c>
      <c r="H799" s="152">
        <f>IF(C799=11700,ROUND(VLOOKUP(G799,ThongSo!$F$2:$I$15,4,0)*B799*11.7,3),0)</f>
        <v>14.157</v>
      </c>
      <c r="I799" s="152" t="str">
        <f>IF(F799="Sắt vụn",ROUND(VLOOKUP(G799,ThongSo!$F$2:$I$15,4,0)*B799*E799/1000,3),"-")</f>
        <v>-</v>
      </c>
      <c r="L799" s="150"/>
      <c r="M799" s="150"/>
      <c r="N799" s="150"/>
    </row>
    <row r="800" spans="1:14" x14ac:dyDescent="0.25">
      <c r="A800" s="159">
        <v>269</v>
      </c>
      <c r="B800" s="160">
        <v>169</v>
      </c>
      <c r="C800" s="160">
        <v>11700</v>
      </c>
      <c r="D800" s="160" t="s">
        <v>3604</v>
      </c>
      <c r="E800" s="160">
        <v>1020</v>
      </c>
      <c r="F800" s="160" t="s">
        <v>75</v>
      </c>
      <c r="G800" s="148">
        <v>14</v>
      </c>
      <c r="H800" s="152">
        <f>IF(C800=11700,ROUND(VLOOKUP(G800,ThongSo!$F$2:$I$15,4,0)*B800*11.7,3),0)</f>
        <v>2392.5329999999999</v>
      </c>
      <c r="I800" s="152" t="str">
        <f>IF(F800="Sắt vụn",ROUND(VLOOKUP(G800,ThongSo!$F$2:$I$15,4,0)*B800*E800/1000,3),"-")</f>
        <v>-</v>
      </c>
      <c r="L800" s="150"/>
      <c r="M800" s="150"/>
      <c r="N800" s="150"/>
    </row>
    <row r="801" spans="1:14" x14ac:dyDescent="0.25">
      <c r="A801" s="159">
        <v>270</v>
      </c>
      <c r="B801" s="160">
        <v>1</v>
      </c>
      <c r="C801" s="160">
        <v>11700</v>
      </c>
      <c r="D801" s="160" t="s">
        <v>3605</v>
      </c>
      <c r="E801" s="160">
        <v>1020</v>
      </c>
      <c r="F801" s="160" t="s">
        <v>75</v>
      </c>
      <c r="G801" s="148">
        <v>14</v>
      </c>
      <c r="H801" s="152">
        <f>IF(C801=11700,ROUND(VLOOKUP(G801,ThongSo!$F$2:$I$15,4,0)*B801*11.7,3),0)</f>
        <v>14.157</v>
      </c>
      <c r="I801" s="152" t="str">
        <f>IF(F801="Sắt vụn",ROUND(VLOOKUP(G801,ThongSo!$F$2:$I$15,4,0)*B801*E801/1000,3),"-")</f>
        <v>-</v>
      </c>
      <c r="L801" s="150"/>
      <c r="M801" s="150"/>
      <c r="N801" s="150"/>
    </row>
    <row r="802" spans="1:14" x14ac:dyDescent="0.25">
      <c r="A802" s="159">
        <v>271</v>
      </c>
      <c r="B802" s="160">
        <v>114</v>
      </c>
      <c r="C802" s="160">
        <v>11700</v>
      </c>
      <c r="D802" s="160" t="s">
        <v>3606</v>
      </c>
      <c r="E802" s="160">
        <v>1020</v>
      </c>
      <c r="F802" s="160" t="s">
        <v>75</v>
      </c>
      <c r="G802" s="148">
        <v>14</v>
      </c>
      <c r="H802" s="152">
        <f>IF(C802=11700,ROUND(VLOOKUP(G802,ThongSo!$F$2:$I$15,4,0)*B802*11.7,3),0)</f>
        <v>1613.8979999999999</v>
      </c>
      <c r="I802" s="152" t="str">
        <f>IF(F802="Sắt vụn",ROUND(VLOOKUP(G802,ThongSo!$F$2:$I$15,4,0)*B802*E802/1000,3),"-")</f>
        <v>-</v>
      </c>
      <c r="L802" s="150"/>
      <c r="M802" s="150"/>
      <c r="N802" s="150"/>
    </row>
    <row r="803" spans="1:14" x14ac:dyDescent="0.25">
      <c r="A803" s="159">
        <v>272</v>
      </c>
      <c r="B803" s="160">
        <v>1</v>
      </c>
      <c r="C803" s="160">
        <v>11700</v>
      </c>
      <c r="D803" s="160" t="s">
        <v>3607</v>
      </c>
      <c r="E803" s="160">
        <v>1020</v>
      </c>
      <c r="F803" s="160" t="s">
        <v>75</v>
      </c>
      <c r="G803" s="148">
        <v>14</v>
      </c>
      <c r="H803" s="152">
        <f>IF(C803=11700,ROUND(VLOOKUP(G803,ThongSo!$F$2:$I$15,4,0)*B803*11.7,3),0)</f>
        <v>14.157</v>
      </c>
      <c r="I803" s="152" t="str">
        <f>IF(F803="Sắt vụn",ROUND(VLOOKUP(G803,ThongSo!$F$2:$I$15,4,0)*B803*E803/1000,3),"-")</f>
        <v>-</v>
      </c>
      <c r="L803" s="150"/>
      <c r="M803" s="150"/>
      <c r="N803" s="150"/>
    </row>
    <row r="804" spans="1:14" x14ac:dyDescent="0.25">
      <c r="A804" s="159">
        <v>273</v>
      </c>
      <c r="B804" s="160">
        <v>99</v>
      </c>
      <c r="C804" s="160">
        <v>11700</v>
      </c>
      <c r="D804" s="160" t="s">
        <v>3608</v>
      </c>
      <c r="E804" s="160">
        <v>1020</v>
      </c>
      <c r="F804" s="160" t="s">
        <v>75</v>
      </c>
      <c r="G804" s="148">
        <v>14</v>
      </c>
      <c r="H804" s="152">
        <f>IF(C804=11700,ROUND(VLOOKUP(G804,ThongSo!$F$2:$I$15,4,0)*B804*11.7,3),0)</f>
        <v>1401.5429999999999</v>
      </c>
      <c r="I804" s="152" t="str">
        <f>IF(F804="Sắt vụn",ROUND(VLOOKUP(G804,ThongSo!$F$2:$I$15,4,0)*B804*E804/1000,3),"-")</f>
        <v>-</v>
      </c>
      <c r="L804" s="150"/>
      <c r="M804" s="150"/>
      <c r="N804" s="150"/>
    </row>
    <row r="805" spans="1:14" x14ac:dyDescent="0.25">
      <c r="A805" s="159">
        <v>274</v>
      </c>
      <c r="B805" s="160">
        <v>1</v>
      </c>
      <c r="C805" s="160">
        <v>11700</v>
      </c>
      <c r="D805" s="160" t="s">
        <v>3609</v>
      </c>
      <c r="E805" s="160">
        <v>1020</v>
      </c>
      <c r="F805" s="160" t="s">
        <v>75</v>
      </c>
      <c r="G805" s="148">
        <v>14</v>
      </c>
      <c r="H805" s="152">
        <f>IF(C805=11700,ROUND(VLOOKUP(G805,ThongSo!$F$2:$I$15,4,0)*B805*11.7,3),0)</f>
        <v>14.157</v>
      </c>
      <c r="I805" s="152" t="str">
        <f>IF(F805="Sắt vụn",ROUND(VLOOKUP(G805,ThongSo!$F$2:$I$15,4,0)*B805*E805/1000,3),"-")</f>
        <v>-</v>
      </c>
      <c r="L805" s="150"/>
      <c r="M805" s="150"/>
      <c r="N805" s="150"/>
    </row>
    <row r="806" spans="1:14" x14ac:dyDescent="0.25">
      <c r="A806" s="159">
        <v>275</v>
      </c>
      <c r="B806" s="160">
        <v>74</v>
      </c>
      <c r="C806" s="160">
        <v>11700</v>
      </c>
      <c r="D806" s="160" t="s">
        <v>3610</v>
      </c>
      <c r="E806" s="160">
        <v>1020</v>
      </c>
      <c r="F806" s="160" t="s">
        <v>75</v>
      </c>
      <c r="G806" s="148">
        <v>14</v>
      </c>
      <c r="H806" s="152">
        <f>IF(C806=11700,ROUND(VLOOKUP(G806,ThongSo!$F$2:$I$15,4,0)*B806*11.7,3),0)</f>
        <v>1047.6179999999999</v>
      </c>
      <c r="I806" s="152" t="str">
        <f>IF(F806="Sắt vụn",ROUND(VLOOKUP(G806,ThongSo!$F$2:$I$15,4,0)*B806*E806/1000,3),"-")</f>
        <v>-</v>
      </c>
      <c r="L806" s="150"/>
      <c r="M806" s="150"/>
      <c r="N806" s="150"/>
    </row>
    <row r="807" spans="1:14" x14ac:dyDescent="0.25">
      <c r="A807" s="159">
        <v>276</v>
      </c>
      <c r="B807" s="160">
        <v>3</v>
      </c>
      <c r="C807" s="160">
        <v>11700</v>
      </c>
      <c r="D807" s="160" t="s">
        <v>3611</v>
      </c>
      <c r="E807" s="160">
        <v>1160</v>
      </c>
      <c r="F807" s="160" t="s">
        <v>75</v>
      </c>
      <c r="G807" s="148">
        <v>14</v>
      </c>
      <c r="H807" s="152">
        <f>IF(C807=11700,ROUND(VLOOKUP(G807,ThongSo!$F$2:$I$15,4,0)*B807*11.7,3),0)</f>
        <v>42.470999999999997</v>
      </c>
      <c r="I807" s="152" t="str">
        <f>IF(F807="Sắt vụn",ROUND(VLOOKUP(G807,ThongSo!$F$2:$I$15,4,0)*B807*E807/1000,3),"-")</f>
        <v>-</v>
      </c>
      <c r="L807" s="150"/>
      <c r="M807" s="150"/>
      <c r="N807" s="150"/>
    </row>
    <row r="808" spans="1:14" x14ac:dyDescent="0.25">
      <c r="A808" s="159">
        <v>277</v>
      </c>
      <c r="B808" s="160">
        <v>18</v>
      </c>
      <c r="C808" s="160">
        <v>11700</v>
      </c>
      <c r="D808" s="160" t="s">
        <v>3612</v>
      </c>
      <c r="E808" s="160">
        <v>2100</v>
      </c>
      <c r="F808" s="160" t="s">
        <v>75</v>
      </c>
      <c r="G808" s="148">
        <v>14</v>
      </c>
      <c r="H808" s="152">
        <f>IF(C808=11700,ROUND(VLOOKUP(G808,ThongSo!$F$2:$I$15,4,0)*B808*11.7,3),0)</f>
        <v>254.82599999999999</v>
      </c>
      <c r="I808" s="152" t="str">
        <f>IF(F808="Sắt vụn",ROUND(VLOOKUP(G808,ThongSo!$F$2:$I$15,4,0)*B808*E808/1000,3),"-")</f>
        <v>-</v>
      </c>
      <c r="L808" s="150"/>
      <c r="M808" s="150"/>
      <c r="N808" s="150"/>
    </row>
    <row r="809" spans="1:14" x14ac:dyDescent="0.25">
      <c r="A809" s="159">
        <v>278</v>
      </c>
      <c r="B809" s="160">
        <v>12</v>
      </c>
      <c r="C809" s="160">
        <v>11700</v>
      </c>
      <c r="D809" s="160" t="s">
        <v>3613</v>
      </c>
      <c r="E809" s="160">
        <v>2130</v>
      </c>
      <c r="F809" s="160" t="s">
        <v>75</v>
      </c>
      <c r="G809" s="148">
        <v>14</v>
      </c>
      <c r="H809" s="152">
        <f>IF(C809=11700,ROUND(VLOOKUP(G809,ThongSo!$F$2:$I$15,4,0)*B809*11.7,3),0)</f>
        <v>169.88399999999999</v>
      </c>
      <c r="I809" s="152" t="str">
        <f>IF(F809="Sắt vụn",ROUND(VLOOKUP(G809,ThongSo!$F$2:$I$15,4,0)*B809*E809/1000,3),"-")</f>
        <v>-</v>
      </c>
      <c r="L809" s="150"/>
      <c r="M809" s="150"/>
      <c r="N809" s="150"/>
    </row>
    <row r="810" spans="1:14" x14ac:dyDescent="0.25">
      <c r="A810" s="159">
        <v>279</v>
      </c>
      <c r="B810" s="160">
        <v>66</v>
      </c>
      <c r="C810" s="160">
        <v>11700</v>
      </c>
      <c r="D810" s="160" t="s">
        <v>3614</v>
      </c>
      <c r="E810" s="160">
        <v>2300</v>
      </c>
      <c r="F810" s="160" t="s">
        <v>75</v>
      </c>
      <c r="G810" s="148">
        <v>14</v>
      </c>
      <c r="H810" s="152">
        <f>IF(C810=11700,ROUND(VLOOKUP(G810,ThongSo!$F$2:$I$15,4,0)*B810*11.7,3),0)</f>
        <v>934.36199999999997</v>
      </c>
      <c r="I810" s="152" t="str">
        <f>IF(F810="Sắt vụn",ROUND(VLOOKUP(G810,ThongSo!$F$2:$I$15,4,0)*B810*E810/1000,3),"-")</f>
        <v>-</v>
      </c>
      <c r="L810" s="150"/>
      <c r="M810" s="150"/>
      <c r="N810" s="150"/>
    </row>
    <row r="811" spans="1:14" x14ac:dyDescent="0.25">
      <c r="A811" s="159">
        <v>280</v>
      </c>
      <c r="B811" s="160">
        <v>74</v>
      </c>
      <c r="C811" s="160">
        <v>11700</v>
      </c>
      <c r="D811" s="160" t="s">
        <v>3615</v>
      </c>
      <c r="E811" s="160">
        <v>3830</v>
      </c>
      <c r="F811" s="160" t="s">
        <v>75</v>
      </c>
      <c r="G811" s="148">
        <v>14</v>
      </c>
      <c r="H811" s="152">
        <f>IF(C811=11700,ROUND(VLOOKUP(G811,ThongSo!$F$2:$I$15,4,0)*B811*11.7,3),0)</f>
        <v>1047.6179999999999</v>
      </c>
      <c r="I811" s="152" t="str">
        <f>IF(F811="Sắt vụn",ROUND(VLOOKUP(G811,ThongSo!$F$2:$I$15,4,0)*B811*E811/1000,3),"-")</f>
        <v>-</v>
      </c>
      <c r="L811" s="150"/>
      <c r="M811" s="150"/>
      <c r="N811" s="150"/>
    </row>
    <row r="812" spans="1:14" x14ac:dyDescent="0.25">
      <c r="A812" s="159">
        <v>281</v>
      </c>
      <c r="B812" s="160">
        <v>3</v>
      </c>
      <c r="C812" s="160">
        <v>11700</v>
      </c>
      <c r="D812" s="160" t="s">
        <v>3616</v>
      </c>
      <c r="E812" s="160">
        <v>4900</v>
      </c>
      <c r="F812" s="160" t="s">
        <v>75</v>
      </c>
      <c r="G812" s="148">
        <v>14</v>
      </c>
      <c r="H812" s="152">
        <f>IF(C812=11700,ROUND(VLOOKUP(G812,ThongSo!$F$2:$I$15,4,0)*B812*11.7,3),0)</f>
        <v>42.470999999999997</v>
      </c>
      <c r="I812" s="152" t="str">
        <f>IF(F812="Sắt vụn",ROUND(VLOOKUP(G812,ThongSo!$F$2:$I$15,4,0)*B812*E812/1000,3),"-")</f>
        <v>-</v>
      </c>
      <c r="L812" s="150"/>
      <c r="M812" s="150"/>
      <c r="N812" s="150"/>
    </row>
    <row r="813" spans="1:14" x14ac:dyDescent="0.25">
      <c r="A813" s="157" t="s">
        <v>84</v>
      </c>
      <c r="B813" s="158"/>
      <c r="C813" s="158"/>
      <c r="D813" s="158"/>
      <c r="E813" s="158"/>
      <c r="F813" s="158"/>
      <c r="G813" s="148"/>
      <c r="H813" s="152">
        <f>IF(C813=11700,ROUND(VLOOKUP(G813,ThongSo!$F$2:$I$15,4,0)*B813*11.7,3),0)</f>
        <v>0</v>
      </c>
      <c r="I813" s="152" t="str">
        <f>IF(F813="Sắt vụn",ROUND(VLOOKUP(G813,ThongSo!$F$2:$I$15,4,0)*B813*E813/1000,3),"-")</f>
        <v>-</v>
      </c>
      <c r="L813" s="150"/>
      <c r="M813" s="150"/>
      <c r="N813" s="150"/>
    </row>
    <row r="814" spans="1:14" x14ac:dyDescent="0.25">
      <c r="A814" s="159" t="s">
        <v>355</v>
      </c>
      <c r="B814" s="160">
        <v>12</v>
      </c>
      <c r="C814" s="160">
        <v>640</v>
      </c>
      <c r="D814" s="160" t="s">
        <v>3617</v>
      </c>
      <c r="E814" s="160">
        <v>50</v>
      </c>
      <c r="F814" s="160" t="s">
        <v>74</v>
      </c>
      <c r="G814" s="148">
        <v>10</v>
      </c>
      <c r="H814" s="152">
        <f>IF(C814=11700,ROUND(VLOOKUP(G814,ThongSo!$F$2:$I$15,4,0)*B814*11.7,3),0)</f>
        <v>0</v>
      </c>
      <c r="I814" s="152">
        <f>IF(F814="Sắt vụn",ROUND(VLOOKUP(G814,ThongSo!$F$2:$I$15,4,0)*B814*E814/1000,3),"-")</f>
        <v>0.37</v>
      </c>
      <c r="L814" s="150"/>
      <c r="M814" s="150"/>
      <c r="N814" s="150"/>
    </row>
    <row r="815" spans="1:14" x14ac:dyDescent="0.25">
      <c r="A815" s="159" t="s">
        <v>356</v>
      </c>
      <c r="B815" s="160">
        <v>1</v>
      </c>
      <c r="C815" s="160">
        <v>650</v>
      </c>
      <c r="D815" s="160" t="s">
        <v>3617</v>
      </c>
      <c r="E815" s="160">
        <v>60</v>
      </c>
      <c r="F815" s="160" t="s">
        <v>74</v>
      </c>
      <c r="G815" s="148">
        <v>10</v>
      </c>
      <c r="H815" s="152">
        <f>IF(C815=11700,ROUND(VLOOKUP(G815,ThongSo!$F$2:$I$15,4,0)*B815*11.7,3),0)</f>
        <v>0</v>
      </c>
      <c r="I815" s="152">
        <f>IF(F815="Sắt vụn",ROUND(VLOOKUP(G815,ThongSo!$F$2:$I$15,4,0)*B815*E815/1000,3),"-")</f>
        <v>3.6999999999999998E-2</v>
      </c>
      <c r="L815" s="150"/>
      <c r="M815" s="150"/>
      <c r="N815" s="150"/>
    </row>
    <row r="816" spans="1:14" x14ac:dyDescent="0.25">
      <c r="A816" s="159" t="s">
        <v>3359</v>
      </c>
      <c r="B816" s="160">
        <v>1</v>
      </c>
      <c r="C816" s="160">
        <v>10910</v>
      </c>
      <c r="D816" s="160" t="s">
        <v>3618</v>
      </c>
      <c r="E816" s="160">
        <v>4420</v>
      </c>
      <c r="F816" s="160" t="s">
        <v>75</v>
      </c>
      <c r="G816" s="148">
        <v>10</v>
      </c>
      <c r="H816" s="152">
        <f>IF(C816=11700,ROUND(VLOOKUP(G816,ThongSo!$F$2:$I$15,4,0)*B816*11.7,3),0)</f>
        <v>0</v>
      </c>
      <c r="I816" s="152" t="str">
        <f>IF(F816="Sắt vụn",ROUND(VLOOKUP(G816,ThongSo!$F$2:$I$15,4,0)*B816*E816/1000,3),"-")</f>
        <v>-</v>
      </c>
      <c r="L816" s="150"/>
      <c r="M816" s="150"/>
      <c r="N816" s="150"/>
    </row>
    <row r="817" spans="1:14" x14ac:dyDescent="0.25">
      <c r="A817" s="154"/>
      <c r="G817" s="148"/>
      <c r="H817" s="152">
        <f>IF(C817=11700,ROUND(VLOOKUP(G817,ThongSo!$F$2:$I$15,4,0)*B817*11.7,3),0)</f>
        <v>0</v>
      </c>
      <c r="I817" s="152" t="str">
        <f>IF(F817="Sắt vụn",ROUND(VLOOKUP(G817,ThongSo!$F$2:$I$15,4,0)*B817*E817/1000,3),"-")</f>
        <v>-</v>
      </c>
      <c r="L817" s="150"/>
      <c r="M817" s="150"/>
      <c r="N817" s="150"/>
    </row>
    <row r="818" spans="1:14" x14ac:dyDescent="0.25">
      <c r="A818" s="167">
        <v>4</v>
      </c>
      <c r="B818" s="167"/>
      <c r="C818" s="167"/>
      <c r="D818" s="167"/>
      <c r="E818" s="167"/>
      <c r="F818" s="167"/>
      <c r="G818" s="148"/>
      <c r="H818" s="152">
        <f>IF(C818=11700,ROUND(VLOOKUP(G818,ThongSo!$F$2:$I$15,4,0)*B818*11.7,3),0)</f>
        <v>0</v>
      </c>
      <c r="I818" s="152" t="str">
        <f>IF(F818="Sắt vụn",ROUND(VLOOKUP(G818,ThongSo!$F$2:$I$15,4,0)*B818*E818/1000,3),"-")</f>
        <v>-</v>
      </c>
      <c r="L818" s="150"/>
      <c r="M818" s="150"/>
      <c r="N818" s="150"/>
    </row>
    <row r="819" spans="1:14" x14ac:dyDescent="0.25">
      <c r="A819" s="154"/>
      <c r="G819" s="148"/>
      <c r="H819" s="152">
        <f>IF(C819=11700,ROUND(VLOOKUP(G819,ThongSo!$F$2:$I$15,4,0)*B819*11.7,3),0)</f>
        <v>0</v>
      </c>
      <c r="I819" s="152" t="str">
        <f>IF(F819="Sắt vụn",ROUND(VLOOKUP(G819,ThongSo!$F$2:$I$15,4,0)*B819*E819/1000,3),"-")</f>
        <v>-</v>
      </c>
      <c r="L819" s="150"/>
      <c r="M819" s="150"/>
      <c r="N819" s="150"/>
    </row>
    <row r="820" spans="1:14" x14ac:dyDescent="0.25">
      <c r="A820" s="155" t="s">
        <v>50</v>
      </c>
      <c r="B820" s="155" t="s">
        <v>51</v>
      </c>
      <c r="C820" s="155" t="s">
        <v>45</v>
      </c>
      <c r="D820" s="155" t="s">
        <v>42</v>
      </c>
      <c r="E820" s="155" t="s">
        <v>43</v>
      </c>
      <c r="F820" s="156" t="s">
        <v>46</v>
      </c>
      <c r="G820" s="148"/>
      <c r="H820" s="152">
        <f>IF(C820=11700,ROUND(VLOOKUP(G820,ThongSo!$F$2:$I$15,4,0)*B820*11.7,3),0)</f>
        <v>0</v>
      </c>
      <c r="I820" s="152" t="str">
        <f>IF(F820="Sắt vụn",ROUND(VLOOKUP(G820,ThongSo!$F$2:$I$15,4,0)*B820*E820/1000,3),"-")</f>
        <v>-</v>
      </c>
      <c r="L820" s="150"/>
      <c r="M820" s="150"/>
      <c r="N820" s="150"/>
    </row>
    <row r="821" spans="1:14" x14ac:dyDescent="0.25">
      <c r="A821" s="157" t="s">
        <v>72</v>
      </c>
      <c r="B821" s="158"/>
      <c r="C821" s="158"/>
      <c r="D821" s="158"/>
      <c r="E821" s="158"/>
      <c r="F821" s="158"/>
      <c r="G821" s="148"/>
      <c r="H821" s="152">
        <f>IF(C821=11700,ROUND(VLOOKUP(G821,ThongSo!$F$2:$I$15,4,0)*B821*11.7,3),0)</f>
        <v>0</v>
      </c>
      <c r="I821" s="152" t="str">
        <f>IF(F821="Sắt vụn",ROUND(VLOOKUP(G821,ThongSo!$F$2:$I$15,4,0)*B821*E821/1000,3),"-")</f>
        <v>-</v>
      </c>
      <c r="L821" s="150"/>
      <c r="M821" s="150"/>
      <c r="N821" s="150"/>
    </row>
    <row r="822" spans="1:14" x14ac:dyDescent="0.25">
      <c r="A822" s="159" t="s">
        <v>73</v>
      </c>
      <c r="B822" s="160">
        <v>174</v>
      </c>
      <c r="C822" s="160">
        <v>11700</v>
      </c>
      <c r="D822" s="160"/>
      <c r="E822" s="160"/>
      <c r="F822" s="160"/>
      <c r="G822" s="148">
        <v>32</v>
      </c>
      <c r="H822" s="152">
        <f>IF(C822=11700,ROUND(VLOOKUP(G822,ThongSo!$F$2:$I$15,4,0)*B822*11.7,3),0)</f>
        <v>12845.897999999999</v>
      </c>
      <c r="I822" s="152" t="str">
        <f>IF(F822="Sắt vụn",ROUND(VLOOKUP(G822,ThongSo!$F$2:$I$15,4,0)*B822*E822/1000,3),"-")</f>
        <v>-</v>
      </c>
      <c r="L822" s="150"/>
      <c r="M822" s="150"/>
      <c r="N822" s="150"/>
    </row>
    <row r="823" spans="1:14" x14ac:dyDescent="0.25">
      <c r="A823" s="159" t="s">
        <v>161</v>
      </c>
      <c r="B823" s="160">
        <v>2</v>
      </c>
      <c r="C823" s="160">
        <v>1600</v>
      </c>
      <c r="D823" s="160" t="s">
        <v>3622</v>
      </c>
      <c r="E823" s="160">
        <v>510</v>
      </c>
      <c r="F823" s="160" t="s">
        <v>74</v>
      </c>
      <c r="G823" s="148">
        <v>32</v>
      </c>
      <c r="H823" s="152">
        <f>IF(C823=11700,ROUND(VLOOKUP(G823,ThongSo!$F$2:$I$15,4,0)*B823*11.7,3),0)</f>
        <v>0</v>
      </c>
      <c r="I823" s="152">
        <f>IF(F823="Sắt vụn",ROUND(VLOOKUP(G823,ThongSo!$F$2:$I$15,4,0)*B823*E823/1000,3),"-")</f>
        <v>6.4359999999999999</v>
      </c>
      <c r="L823" s="150"/>
      <c r="M823" s="150"/>
      <c r="N823" s="150"/>
    </row>
    <row r="824" spans="1:14" x14ac:dyDescent="0.25">
      <c r="A824" s="159" t="s">
        <v>162</v>
      </c>
      <c r="B824" s="160">
        <v>16</v>
      </c>
      <c r="C824" s="160">
        <v>1700</v>
      </c>
      <c r="D824" s="160" t="s">
        <v>3623</v>
      </c>
      <c r="E824" s="160">
        <v>10</v>
      </c>
      <c r="F824" s="160" t="s">
        <v>74</v>
      </c>
      <c r="G824" s="148">
        <v>32</v>
      </c>
      <c r="H824" s="152">
        <f>IF(C824=11700,ROUND(VLOOKUP(G824,ThongSo!$F$2:$I$15,4,0)*B824*11.7,3),0)</f>
        <v>0</v>
      </c>
      <c r="I824" s="152">
        <f>IF(F824="Sắt vụn",ROUND(VLOOKUP(G824,ThongSo!$F$2:$I$15,4,0)*B824*E824/1000,3),"-")</f>
        <v>1.01</v>
      </c>
      <c r="L824" s="150"/>
      <c r="M824" s="150"/>
      <c r="N824" s="150"/>
    </row>
    <row r="825" spans="1:14" x14ac:dyDescent="0.25">
      <c r="A825" s="159" t="s">
        <v>162</v>
      </c>
      <c r="B825" s="160">
        <v>3</v>
      </c>
      <c r="C825" s="160">
        <v>1700</v>
      </c>
      <c r="D825" s="160" t="s">
        <v>3624</v>
      </c>
      <c r="E825" s="160">
        <v>10</v>
      </c>
      <c r="F825" s="160" t="s">
        <v>74</v>
      </c>
      <c r="G825" s="148">
        <v>32</v>
      </c>
      <c r="H825" s="152">
        <f>IF(C825=11700,ROUND(VLOOKUP(G825,ThongSo!$F$2:$I$15,4,0)*B825*11.7,3),0)</f>
        <v>0</v>
      </c>
      <c r="I825" s="152">
        <f>IF(F825="Sắt vụn",ROUND(VLOOKUP(G825,ThongSo!$F$2:$I$15,4,0)*B825*E825/1000,3),"-")</f>
        <v>0.189</v>
      </c>
      <c r="L825" s="150"/>
      <c r="M825" s="150"/>
      <c r="N825" s="150"/>
    </row>
    <row r="826" spans="1:14" x14ac:dyDescent="0.25">
      <c r="A826" s="159" t="s">
        <v>176</v>
      </c>
      <c r="B826" s="160">
        <v>2</v>
      </c>
      <c r="C826" s="160">
        <v>1760</v>
      </c>
      <c r="D826" s="160" t="s">
        <v>3624</v>
      </c>
      <c r="E826" s="160">
        <v>70</v>
      </c>
      <c r="F826" s="160" t="s">
        <v>74</v>
      </c>
      <c r="G826" s="148">
        <v>32</v>
      </c>
      <c r="H826" s="152">
        <f>IF(C826=11700,ROUND(VLOOKUP(G826,ThongSo!$F$2:$I$15,4,0)*B826*11.7,3),0)</f>
        <v>0</v>
      </c>
      <c r="I826" s="152">
        <f>IF(F826="Sắt vụn",ROUND(VLOOKUP(G826,ThongSo!$F$2:$I$15,4,0)*B826*E826/1000,3),"-")</f>
        <v>0.88300000000000001</v>
      </c>
      <c r="L826" s="150"/>
      <c r="M826" s="150"/>
      <c r="N826" s="150"/>
    </row>
    <row r="827" spans="1:14" x14ac:dyDescent="0.25">
      <c r="A827" s="159" t="s">
        <v>164</v>
      </c>
      <c r="B827" s="160">
        <v>7</v>
      </c>
      <c r="C827" s="160">
        <v>1790</v>
      </c>
      <c r="D827" s="160" t="s">
        <v>3624</v>
      </c>
      <c r="E827" s="160">
        <v>100</v>
      </c>
      <c r="F827" s="160" t="s">
        <v>74</v>
      </c>
      <c r="G827" s="148">
        <v>32</v>
      </c>
      <c r="H827" s="152">
        <f>IF(C827=11700,ROUND(VLOOKUP(G827,ThongSo!$F$2:$I$15,4,0)*B827*11.7,3),0)</f>
        <v>0</v>
      </c>
      <c r="I827" s="152">
        <f>IF(F827="Sắt vụn",ROUND(VLOOKUP(G827,ThongSo!$F$2:$I$15,4,0)*B827*E827/1000,3),"-")</f>
        <v>4.4169999999999998</v>
      </c>
      <c r="L827" s="150"/>
      <c r="M827" s="150"/>
      <c r="N827" s="150"/>
    </row>
    <row r="828" spans="1:14" x14ac:dyDescent="0.25">
      <c r="A828" s="159" t="s">
        <v>237</v>
      </c>
      <c r="B828" s="160">
        <v>5</v>
      </c>
      <c r="C828" s="160">
        <v>1980</v>
      </c>
      <c r="D828" s="160" t="s">
        <v>3624</v>
      </c>
      <c r="E828" s="160">
        <v>290</v>
      </c>
      <c r="F828" s="160" t="s">
        <v>74</v>
      </c>
      <c r="G828" s="148">
        <v>32</v>
      </c>
      <c r="H828" s="152">
        <f>IF(C828=11700,ROUND(VLOOKUP(G828,ThongSo!$F$2:$I$15,4,0)*B828*11.7,3),0)</f>
        <v>0</v>
      </c>
      <c r="I828" s="152">
        <f>IF(F828="Sắt vụn",ROUND(VLOOKUP(G828,ThongSo!$F$2:$I$15,4,0)*B828*E828/1000,3),"-")</f>
        <v>9.15</v>
      </c>
      <c r="L828" s="150"/>
      <c r="M828" s="150"/>
      <c r="N828" s="150"/>
    </row>
    <row r="829" spans="1:14" x14ac:dyDescent="0.25">
      <c r="A829" s="159" t="s">
        <v>344</v>
      </c>
      <c r="B829" s="160">
        <v>7</v>
      </c>
      <c r="C829" s="160">
        <v>2130</v>
      </c>
      <c r="D829" s="160" t="s">
        <v>3625</v>
      </c>
      <c r="E829" s="160">
        <v>440</v>
      </c>
      <c r="F829" s="160" t="s">
        <v>74</v>
      </c>
      <c r="G829" s="148">
        <v>32</v>
      </c>
      <c r="H829" s="152">
        <f>IF(C829=11700,ROUND(VLOOKUP(G829,ThongSo!$F$2:$I$15,4,0)*B829*11.7,3),0)</f>
        <v>0</v>
      </c>
      <c r="I829" s="152">
        <f>IF(F829="Sắt vụn",ROUND(VLOOKUP(G829,ThongSo!$F$2:$I$15,4,0)*B829*E829/1000,3),"-")</f>
        <v>19.434999999999999</v>
      </c>
      <c r="L829" s="150"/>
      <c r="M829" s="150"/>
      <c r="N829" s="150"/>
    </row>
    <row r="830" spans="1:14" x14ac:dyDescent="0.25">
      <c r="A830" s="159" t="s">
        <v>345</v>
      </c>
      <c r="B830" s="160">
        <v>3</v>
      </c>
      <c r="C830" s="160">
        <v>2170</v>
      </c>
      <c r="D830" s="160" t="s">
        <v>3625</v>
      </c>
      <c r="E830" s="160">
        <v>480</v>
      </c>
      <c r="F830" s="160" t="s">
        <v>74</v>
      </c>
      <c r="G830" s="148">
        <v>32</v>
      </c>
      <c r="H830" s="152">
        <f>IF(C830=11700,ROUND(VLOOKUP(G830,ThongSo!$F$2:$I$15,4,0)*B830*11.7,3),0)</f>
        <v>0</v>
      </c>
      <c r="I830" s="152">
        <f>IF(F830="Sắt vụn",ROUND(VLOOKUP(G830,ThongSo!$F$2:$I$15,4,0)*B830*E830/1000,3),"-")</f>
        <v>9.0860000000000003</v>
      </c>
      <c r="L830" s="150"/>
      <c r="M830" s="150"/>
      <c r="N830" s="150"/>
    </row>
    <row r="831" spans="1:14" x14ac:dyDescent="0.25">
      <c r="A831" s="159" t="s">
        <v>219</v>
      </c>
      <c r="B831" s="160">
        <v>7</v>
      </c>
      <c r="C831" s="160">
        <v>2230</v>
      </c>
      <c r="D831" s="160" t="s">
        <v>3626</v>
      </c>
      <c r="E831" s="160">
        <v>50</v>
      </c>
      <c r="F831" s="160" t="s">
        <v>74</v>
      </c>
      <c r="G831" s="148">
        <v>32</v>
      </c>
      <c r="H831" s="152">
        <f>IF(C831=11700,ROUND(VLOOKUP(G831,ThongSo!$F$2:$I$15,4,0)*B831*11.7,3),0)</f>
        <v>0</v>
      </c>
      <c r="I831" s="152">
        <f>IF(F831="Sắt vụn",ROUND(VLOOKUP(G831,ThongSo!$F$2:$I$15,4,0)*B831*E831/1000,3),"-")</f>
        <v>2.2090000000000001</v>
      </c>
      <c r="L831" s="150"/>
      <c r="M831" s="150"/>
      <c r="N831" s="150"/>
    </row>
    <row r="832" spans="1:14" x14ac:dyDescent="0.25">
      <c r="A832" s="159" t="s">
        <v>179</v>
      </c>
      <c r="B832" s="160">
        <v>7</v>
      </c>
      <c r="C832" s="160">
        <v>2320</v>
      </c>
      <c r="D832" s="160" t="s">
        <v>3626</v>
      </c>
      <c r="E832" s="160">
        <v>140</v>
      </c>
      <c r="F832" s="160" t="s">
        <v>74</v>
      </c>
      <c r="G832" s="148">
        <v>32</v>
      </c>
      <c r="H832" s="152">
        <f>IF(C832=11700,ROUND(VLOOKUP(G832,ThongSo!$F$2:$I$15,4,0)*B832*11.7,3),0)</f>
        <v>0</v>
      </c>
      <c r="I832" s="152">
        <f>IF(F832="Sắt vụn",ROUND(VLOOKUP(G832,ThongSo!$F$2:$I$15,4,0)*B832*E832/1000,3),"-")</f>
        <v>6.1840000000000002</v>
      </c>
      <c r="L832" s="150"/>
      <c r="M832" s="150"/>
      <c r="N832" s="150"/>
    </row>
    <row r="833" spans="1:14" x14ac:dyDescent="0.25">
      <c r="A833" s="159" t="s">
        <v>179</v>
      </c>
      <c r="B833" s="160">
        <v>2</v>
      </c>
      <c r="C833" s="160">
        <v>2320</v>
      </c>
      <c r="D833" s="160" t="s">
        <v>3627</v>
      </c>
      <c r="E833" s="160">
        <v>140</v>
      </c>
      <c r="F833" s="160" t="s">
        <v>74</v>
      </c>
      <c r="G833" s="148">
        <v>32</v>
      </c>
      <c r="H833" s="152">
        <f>IF(C833=11700,ROUND(VLOOKUP(G833,ThongSo!$F$2:$I$15,4,0)*B833*11.7,3),0)</f>
        <v>0</v>
      </c>
      <c r="I833" s="152">
        <f>IF(F833="Sắt vụn",ROUND(VLOOKUP(G833,ThongSo!$F$2:$I$15,4,0)*B833*E833/1000,3),"-")</f>
        <v>1.7669999999999999</v>
      </c>
      <c r="L833" s="150"/>
      <c r="M833" s="150"/>
      <c r="N833" s="150"/>
    </row>
    <row r="834" spans="1:14" x14ac:dyDescent="0.25">
      <c r="A834" s="159" t="s">
        <v>221</v>
      </c>
      <c r="B834" s="160">
        <v>3</v>
      </c>
      <c r="C834" s="160">
        <v>2330</v>
      </c>
      <c r="D834" s="160" t="s">
        <v>3627</v>
      </c>
      <c r="E834" s="160">
        <v>150</v>
      </c>
      <c r="F834" s="160" t="s">
        <v>74</v>
      </c>
      <c r="G834" s="148">
        <v>32</v>
      </c>
      <c r="H834" s="152">
        <f>IF(C834=11700,ROUND(VLOOKUP(G834,ThongSo!$F$2:$I$15,4,0)*B834*11.7,3),0)</f>
        <v>0</v>
      </c>
      <c r="I834" s="152">
        <f>IF(F834="Sắt vụn",ROUND(VLOOKUP(G834,ThongSo!$F$2:$I$15,4,0)*B834*E834/1000,3),"-")</f>
        <v>2.84</v>
      </c>
      <c r="L834" s="150"/>
      <c r="M834" s="150"/>
      <c r="N834" s="150"/>
    </row>
    <row r="835" spans="1:14" x14ac:dyDescent="0.25">
      <c r="A835" s="159" t="s">
        <v>221</v>
      </c>
      <c r="B835" s="160">
        <v>4</v>
      </c>
      <c r="C835" s="160">
        <v>2330</v>
      </c>
      <c r="D835" s="160" t="s">
        <v>3628</v>
      </c>
      <c r="E835" s="160">
        <v>150</v>
      </c>
      <c r="F835" s="160" t="s">
        <v>74</v>
      </c>
      <c r="G835" s="148">
        <v>32</v>
      </c>
      <c r="H835" s="152">
        <f>IF(C835=11700,ROUND(VLOOKUP(G835,ThongSo!$F$2:$I$15,4,0)*B835*11.7,3),0)</f>
        <v>0</v>
      </c>
      <c r="I835" s="152">
        <f>IF(F835="Sắt vụn",ROUND(VLOOKUP(G835,ThongSo!$F$2:$I$15,4,0)*B835*E835/1000,3),"-")</f>
        <v>3.786</v>
      </c>
      <c r="L835" s="150"/>
      <c r="M835" s="150"/>
      <c r="N835" s="150"/>
    </row>
    <row r="836" spans="1:14" x14ac:dyDescent="0.25">
      <c r="A836" s="159" t="s">
        <v>149</v>
      </c>
      <c r="B836" s="160">
        <v>3</v>
      </c>
      <c r="C836" s="160">
        <v>2390</v>
      </c>
      <c r="D836" s="160" t="s">
        <v>3628</v>
      </c>
      <c r="E836" s="160">
        <v>210</v>
      </c>
      <c r="F836" s="160" t="s">
        <v>74</v>
      </c>
      <c r="G836" s="148">
        <v>32</v>
      </c>
      <c r="H836" s="152">
        <f>IF(C836=11700,ROUND(VLOOKUP(G836,ThongSo!$F$2:$I$15,4,0)*B836*11.7,3),0)</f>
        <v>0</v>
      </c>
      <c r="I836" s="152">
        <f>IF(F836="Sắt vụn",ROUND(VLOOKUP(G836,ThongSo!$F$2:$I$15,4,0)*B836*E836/1000,3),"-")</f>
        <v>3.9750000000000001</v>
      </c>
      <c r="L836" s="150"/>
      <c r="M836" s="150"/>
      <c r="N836" s="150"/>
    </row>
    <row r="837" spans="1:14" x14ac:dyDescent="0.25">
      <c r="A837" s="159" t="s">
        <v>332</v>
      </c>
      <c r="B837" s="160">
        <v>1</v>
      </c>
      <c r="C837" s="160">
        <v>2410</v>
      </c>
      <c r="D837" s="160" t="s">
        <v>3629</v>
      </c>
      <c r="E837" s="160">
        <v>230</v>
      </c>
      <c r="F837" s="160" t="s">
        <v>74</v>
      </c>
      <c r="G837" s="148">
        <v>32</v>
      </c>
      <c r="H837" s="152">
        <f>IF(C837=11700,ROUND(VLOOKUP(G837,ThongSo!$F$2:$I$15,4,0)*B837*11.7,3),0)</f>
        <v>0</v>
      </c>
      <c r="I837" s="152">
        <f>IF(F837="Sắt vụn",ROUND(VLOOKUP(G837,ThongSo!$F$2:$I$15,4,0)*B837*E837/1000,3),"-")</f>
        <v>1.4510000000000001</v>
      </c>
      <c r="L837" s="150"/>
      <c r="M837" s="150"/>
      <c r="N837" s="150"/>
    </row>
    <row r="838" spans="1:14" x14ac:dyDescent="0.25">
      <c r="A838" s="159" t="s">
        <v>332</v>
      </c>
      <c r="B838" s="160">
        <v>4</v>
      </c>
      <c r="C838" s="160">
        <v>2410</v>
      </c>
      <c r="D838" s="160" t="s">
        <v>3630</v>
      </c>
      <c r="E838" s="160">
        <v>230</v>
      </c>
      <c r="F838" s="160" t="s">
        <v>74</v>
      </c>
      <c r="G838" s="148">
        <v>32</v>
      </c>
      <c r="H838" s="152">
        <f>IF(C838=11700,ROUND(VLOOKUP(G838,ThongSo!$F$2:$I$15,4,0)*B838*11.7,3),0)</f>
        <v>0</v>
      </c>
      <c r="I838" s="152">
        <f>IF(F838="Sắt vụn",ROUND(VLOOKUP(G838,ThongSo!$F$2:$I$15,4,0)*B838*E838/1000,3),"-")</f>
        <v>5.8049999999999997</v>
      </c>
      <c r="L838" s="150"/>
      <c r="M838" s="150"/>
      <c r="N838" s="150"/>
    </row>
    <row r="839" spans="1:14" x14ac:dyDescent="0.25">
      <c r="A839" s="159" t="s">
        <v>139</v>
      </c>
      <c r="B839" s="160">
        <v>5</v>
      </c>
      <c r="C839" s="160">
        <v>2450</v>
      </c>
      <c r="D839" s="160" t="s">
        <v>3630</v>
      </c>
      <c r="E839" s="160">
        <v>270</v>
      </c>
      <c r="F839" s="160" t="s">
        <v>74</v>
      </c>
      <c r="G839" s="148">
        <v>32</v>
      </c>
      <c r="H839" s="152">
        <f>IF(C839=11700,ROUND(VLOOKUP(G839,ThongSo!$F$2:$I$15,4,0)*B839*11.7,3),0)</f>
        <v>0</v>
      </c>
      <c r="I839" s="152">
        <f>IF(F839="Sắt vụn",ROUND(VLOOKUP(G839,ThongSo!$F$2:$I$15,4,0)*B839*E839/1000,3),"-")</f>
        <v>8.5190000000000001</v>
      </c>
      <c r="L839" s="150"/>
      <c r="M839" s="150"/>
      <c r="N839" s="150"/>
    </row>
    <row r="840" spans="1:14" x14ac:dyDescent="0.25">
      <c r="A840" s="159" t="s">
        <v>211</v>
      </c>
      <c r="B840" s="160">
        <v>6</v>
      </c>
      <c r="C840" s="160">
        <v>2500</v>
      </c>
      <c r="D840" s="160" t="s">
        <v>3625</v>
      </c>
      <c r="E840" s="160">
        <v>810</v>
      </c>
      <c r="F840" s="160" t="s">
        <v>74</v>
      </c>
      <c r="G840" s="148">
        <v>32</v>
      </c>
      <c r="H840" s="152">
        <f>IF(C840=11700,ROUND(VLOOKUP(G840,ThongSo!$F$2:$I$15,4,0)*B840*11.7,3),0)</f>
        <v>0</v>
      </c>
      <c r="I840" s="152">
        <f>IF(F840="Sắt vụn",ROUND(VLOOKUP(G840,ThongSo!$F$2:$I$15,4,0)*B840*E840/1000,3),"-")</f>
        <v>30.667000000000002</v>
      </c>
      <c r="L840" s="150"/>
      <c r="M840" s="150"/>
      <c r="N840" s="150"/>
    </row>
    <row r="841" spans="1:14" x14ac:dyDescent="0.25">
      <c r="A841" s="159" t="s">
        <v>151</v>
      </c>
      <c r="B841" s="160">
        <v>7</v>
      </c>
      <c r="C841" s="160">
        <v>2700</v>
      </c>
      <c r="D841" s="160" t="s">
        <v>3631</v>
      </c>
      <c r="E841" s="160">
        <v>160</v>
      </c>
      <c r="F841" s="160" t="s">
        <v>74</v>
      </c>
      <c r="G841" s="148">
        <v>32</v>
      </c>
      <c r="H841" s="152">
        <f>IF(C841=11700,ROUND(VLOOKUP(G841,ThongSo!$F$2:$I$15,4,0)*B841*11.7,3),0)</f>
        <v>0</v>
      </c>
      <c r="I841" s="152">
        <f>IF(F841="Sắt vụn",ROUND(VLOOKUP(G841,ThongSo!$F$2:$I$15,4,0)*B841*E841/1000,3),"-")</f>
        <v>7.0670000000000002</v>
      </c>
      <c r="L841" s="150"/>
      <c r="M841" s="150"/>
      <c r="N841" s="150"/>
    </row>
    <row r="842" spans="1:14" x14ac:dyDescent="0.25">
      <c r="A842" s="159" t="s">
        <v>151</v>
      </c>
      <c r="B842" s="160">
        <v>1</v>
      </c>
      <c r="C842" s="160">
        <v>2700</v>
      </c>
      <c r="D842" s="160" t="s">
        <v>3632</v>
      </c>
      <c r="E842" s="160">
        <v>1610</v>
      </c>
      <c r="F842" s="160" t="s">
        <v>75</v>
      </c>
      <c r="G842" s="148">
        <v>32</v>
      </c>
      <c r="H842" s="152">
        <f>IF(C842=11700,ROUND(VLOOKUP(G842,ThongSo!$F$2:$I$15,4,0)*B842*11.7,3),0)</f>
        <v>0</v>
      </c>
      <c r="I842" s="152" t="str">
        <f>IF(F842="Sắt vụn",ROUND(VLOOKUP(G842,ThongSo!$F$2:$I$15,4,0)*B842*E842/1000,3),"-")</f>
        <v>-</v>
      </c>
      <c r="L842" s="150"/>
      <c r="M842" s="150"/>
      <c r="N842" s="150"/>
    </row>
    <row r="843" spans="1:14" x14ac:dyDescent="0.25">
      <c r="A843" s="159" t="s">
        <v>128</v>
      </c>
      <c r="B843" s="160">
        <v>4</v>
      </c>
      <c r="C843" s="160">
        <v>3440</v>
      </c>
      <c r="D843" s="160" t="s">
        <v>3633</v>
      </c>
      <c r="E843" s="160">
        <v>15</v>
      </c>
      <c r="F843" s="160" t="s">
        <v>74</v>
      </c>
      <c r="G843" s="148">
        <v>32</v>
      </c>
      <c r="H843" s="152">
        <f>IF(C843=11700,ROUND(VLOOKUP(G843,ThongSo!$F$2:$I$15,4,0)*B843*11.7,3),0)</f>
        <v>0</v>
      </c>
      <c r="I843" s="152">
        <f>IF(F843="Sắt vụn",ROUND(VLOOKUP(G843,ThongSo!$F$2:$I$15,4,0)*B843*E843/1000,3),"-")</f>
        <v>0.379</v>
      </c>
      <c r="L843" s="150"/>
      <c r="M843" s="150"/>
      <c r="N843" s="150"/>
    </row>
    <row r="844" spans="1:14" x14ac:dyDescent="0.25">
      <c r="A844" s="159" t="s">
        <v>192</v>
      </c>
      <c r="B844" s="160">
        <v>5</v>
      </c>
      <c r="C844" s="160">
        <v>3520</v>
      </c>
      <c r="D844" s="160" t="s">
        <v>3634</v>
      </c>
      <c r="E844" s="160">
        <v>5</v>
      </c>
      <c r="F844" s="160" t="s">
        <v>74</v>
      </c>
      <c r="G844" s="148">
        <v>32</v>
      </c>
      <c r="H844" s="152">
        <f>IF(C844=11700,ROUND(VLOOKUP(G844,ThongSo!$F$2:$I$15,4,0)*B844*11.7,3),0)</f>
        <v>0</v>
      </c>
      <c r="I844" s="152">
        <f>IF(F844="Sắt vụn",ROUND(VLOOKUP(G844,ThongSo!$F$2:$I$15,4,0)*B844*E844/1000,3),"-")</f>
        <v>0.158</v>
      </c>
      <c r="L844" s="150"/>
      <c r="M844" s="150"/>
      <c r="N844" s="150"/>
    </row>
    <row r="845" spans="1:14" x14ac:dyDescent="0.25">
      <c r="A845" s="159" t="s">
        <v>192</v>
      </c>
      <c r="B845" s="160">
        <v>6</v>
      </c>
      <c r="C845" s="160">
        <v>3520</v>
      </c>
      <c r="D845" s="160" t="s">
        <v>3635</v>
      </c>
      <c r="E845" s="160">
        <v>5</v>
      </c>
      <c r="F845" s="160" t="s">
        <v>74</v>
      </c>
      <c r="G845" s="148">
        <v>32</v>
      </c>
      <c r="H845" s="152">
        <f>IF(C845=11700,ROUND(VLOOKUP(G845,ThongSo!$F$2:$I$15,4,0)*B845*11.7,3),0)</f>
        <v>0</v>
      </c>
      <c r="I845" s="152">
        <f>IF(F845="Sắt vụn",ROUND(VLOOKUP(G845,ThongSo!$F$2:$I$15,4,0)*B845*E845/1000,3),"-")</f>
        <v>0.189</v>
      </c>
      <c r="L845" s="150"/>
      <c r="M845" s="150"/>
      <c r="N845" s="150"/>
    </row>
    <row r="846" spans="1:14" x14ac:dyDescent="0.25">
      <c r="A846" s="159" t="s">
        <v>192</v>
      </c>
      <c r="B846" s="160">
        <v>1</v>
      </c>
      <c r="C846" s="160">
        <v>3520</v>
      </c>
      <c r="D846" s="160" t="s">
        <v>3636</v>
      </c>
      <c r="E846" s="160">
        <v>30</v>
      </c>
      <c r="F846" s="160" t="s">
        <v>74</v>
      </c>
      <c r="G846" s="148">
        <v>32</v>
      </c>
      <c r="H846" s="152">
        <f>IF(C846=11700,ROUND(VLOOKUP(G846,ThongSo!$F$2:$I$15,4,0)*B846*11.7,3),0)</f>
        <v>0</v>
      </c>
      <c r="I846" s="152">
        <f>IF(F846="Sắt vụn",ROUND(VLOOKUP(G846,ThongSo!$F$2:$I$15,4,0)*B846*E846/1000,3),"-")</f>
        <v>0.189</v>
      </c>
      <c r="L846" s="150"/>
      <c r="M846" s="150"/>
      <c r="N846" s="150"/>
    </row>
    <row r="847" spans="1:14" x14ac:dyDescent="0.25">
      <c r="A847" s="159" t="s">
        <v>192</v>
      </c>
      <c r="B847" s="160">
        <v>1</v>
      </c>
      <c r="C847" s="160">
        <v>3520</v>
      </c>
      <c r="D847" s="160" t="s">
        <v>3637</v>
      </c>
      <c r="E847" s="160">
        <v>30</v>
      </c>
      <c r="F847" s="160" t="s">
        <v>74</v>
      </c>
      <c r="G847" s="148">
        <v>32</v>
      </c>
      <c r="H847" s="152">
        <f>IF(C847=11700,ROUND(VLOOKUP(G847,ThongSo!$F$2:$I$15,4,0)*B847*11.7,3),0)</f>
        <v>0</v>
      </c>
      <c r="I847" s="152">
        <f>IF(F847="Sắt vụn",ROUND(VLOOKUP(G847,ThongSo!$F$2:$I$15,4,0)*B847*E847/1000,3),"-")</f>
        <v>0.189</v>
      </c>
      <c r="L847" s="150"/>
      <c r="M847" s="150"/>
      <c r="N847" s="150"/>
    </row>
    <row r="848" spans="1:14" x14ac:dyDescent="0.25">
      <c r="A848" s="159" t="s">
        <v>192</v>
      </c>
      <c r="B848" s="160">
        <v>3</v>
      </c>
      <c r="C848" s="160">
        <v>3520</v>
      </c>
      <c r="D848" s="160" t="s">
        <v>3638</v>
      </c>
      <c r="E848" s="160">
        <v>30</v>
      </c>
      <c r="F848" s="160" t="s">
        <v>74</v>
      </c>
      <c r="G848" s="148">
        <v>32</v>
      </c>
      <c r="H848" s="152">
        <f>IF(C848=11700,ROUND(VLOOKUP(G848,ThongSo!$F$2:$I$15,4,0)*B848*11.7,3),0)</f>
        <v>0</v>
      </c>
      <c r="I848" s="152">
        <f>IF(F848="Sắt vụn",ROUND(VLOOKUP(G848,ThongSo!$F$2:$I$15,4,0)*B848*E848/1000,3),"-")</f>
        <v>0.56799999999999995</v>
      </c>
      <c r="L848" s="150"/>
      <c r="M848" s="150"/>
      <c r="N848" s="150"/>
    </row>
    <row r="849" spans="1:14" x14ac:dyDescent="0.25">
      <c r="A849" s="159" t="s">
        <v>192</v>
      </c>
      <c r="B849" s="160">
        <v>4</v>
      </c>
      <c r="C849" s="160">
        <v>3520</v>
      </c>
      <c r="D849" s="160" t="s">
        <v>3639</v>
      </c>
      <c r="E849" s="160">
        <v>30</v>
      </c>
      <c r="F849" s="160" t="s">
        <v>74</v>
      </c>
      <c r="G849" s="148">
        <v>32</v>
      </c>
      <c r="H849" s="152">
        <f>IF(C849=11700,ROUND(VLOOKUP(G849,ThongSo!$F$2:$I$15,4,0)*B849*11.7,3),0)</f>
        <v>0</v>
      </c>
      <c r="I849" s="152">
        <f>IF(F849="Sắt vụn",ROUND(VLOOKUP(G849,ThongSo!$F$2:$I$15,4,0)*B849*E849/1000,3),"-")</f>
        <v>0.75700000000000001</v>
      </c>
      <c r="L849" s="150"/>
      <c r="M849" s="150"/>
      <c r="N849" s="150"/>
    </row>
    <row r="850" spans="1:14" x14ac:dyDescent="0.25">
      <c r="A850" s="159" t="s">
        <v>192</v>
      </c>
      <c r="B850" s="160">
        <v>3</v>
      </c>
      <c r="C850" s="160">
        <v>3520</v>
      </c>
      <c r="D850" s="160" t="s">
        <v>3640</v>
      </c>
      <c r="E850" s="160">
        <v>40</v>
      </c>
      <c r="F850" s="160" t="s">
        <v>74</v>
      </c>
      <c r="G850" s="148">
        <v>32</v>
      </c>
      <c r="H850" s="152">
        <f>IF(C850=11700,ROUND(VLOOKUP(G850,ThongSo!$F$2:$I$15,4,0)*B850*11.7,3),0)</f>
        <v>0</v>
      </c>
      <c r="I850" s="152">
        <f>IF(F850="Sắt vụn",ROUND(VLOOKUP(G850,ThongSo!$F$2:$I$15,4,0)*B850*E850/1000,3),"-")</f>
        <v>0.75700000000000001</v>
      </c>
      <c r="L850" s="150"/>
      <c r="M850" s="150"/>
      <c r="N850" s="150"/>
    </row>
    <row r="851" spans="1:14" x14ac:dyDescent="0.25">
      <c r="A851" s="159" t="s">
        <v>336</v>
      </c>
      <c r="B851" s="160">
        <v>6</v>
      </c>
      <c r="C851" s="160">
        <v>3620</v>
      </c>
      <c r="D851" s="160" t="s">
        <v>3641</v>
      </c>
      <c r="E851" s="160">
        <v>5</v>
      </c>
      <c r="F851" s="160" t="s">
        <v>74</v>
      </c>
      <c r="G851" s="148">
        <v>32</v>
      </c>
      <c r="H851" s="152">
        <f>IF(C851=11700,ROUND(VLOOKUP(G851,ThongSo!$F$2:$I$15,4,0)*B851*11.7,3),0)</f>
        <v>0</v>
      </c>
      <c r="I851" s="152">
        <f>IF(F851="Sắt vụn",ROUND(VLOOKUP(G851,ThongSo!$F$2:$I$15,4,0)*B851*E851/1000,3),"-")</f>
        <v>0.189</v>
      </c>
      <c r="L851" s="150"/>
      <c r="M851" s="150"/>
      <c r="N851" s="150"/>
    </row>
    <row r="852" spans="1:14" x14ac:dyDescent="0.25">
      <c r="A852" s="159" t="s">
        <v>336</v>
      </c>
      <c r="B852" s="160">
        <v>5</v>
      </c>
      <c r="C852" s="160">
        <v>3620</v>
      </c>
      <c r="D852" s="160" t="s">
        <v>3642</v>
      </c>
      <c r="E852" s="160">
        <v>5</v>
      </c>
      <c r="F852" s="160" t="s">
        <v>74</v>
      </c>
      <c r="G852" s="148">
        <v>32</v>
      </c>
      <c r="H852" s="152">
        <f>IF(C852=11700,ROUND(VLOOKUP(G852,ThongSo!$F$2:$I$15,4,0)*B852*11.7,3),0)</f>
        <v>0</v>
      </c>
      <c r="I852" s="152">
        <f>IF(F852="Sắt vụn",ROUND(VLOOKUP(G852,ThongSo!$F$2:$I$15,4,0)*B852*E852/1000,3),"-")</f>
        <v>0.158</v>
      </c>
      <c r="L852" s="150"/>
      <c r="M852" s="150"/>
      <c r="N852" s="150"/>
    </row>
    <row r="853" spans="1:14" x14ac:dyDescent="0.25">
      <c r="A853" s="159" t="s">
        <v>143</v>
      </c>
      <c r="B853" s="160">
        <v>3</v>
      </c>
      <c r="C853" s="160">
        <v>3930</v>
      </c>
      <c r="D853" s="160" t="s">
        <v>3643</v>
      </c>
      <c r="E853" s="160">
        <v>30</v>
      </c>
      <c r="F853" s="160" t="s">
        <v>74</v>
      </c>
      <c r="G853" s="148">
        <v>32</v>
      </c>
      <c r="H853" s="152">
        <f>IF(C853=11700,ROUND(VLOOKUP(G853,ThongSo!$F$2:$I$15,4,0)*B853*11.7,3),0)</f>
        <v>0</v>
      </c>
      <c r="I853" s="152">
        <f>IF(F853="Sắt vụn",ROUND(VLOOKUP(G853,ThongSo!$F$2:$I$15,4,0)*B853*E853/1000,3),"-")</f>
        <v>0.56799999999999995</v>
      </c>
      <c r="L853" s="150"/>
      <c r="M853" s="150"/>
      <c r="N853" s="150"/>
    </row>
    <row r="854" spans="1:14" x14ac:dyDescent="0.25">
      <c r="A854" s="159" t="s">
        <v>338</v>
      </c>
      <c r="B854" s="160">
        <v>5</v>
      </c>
      <c r="C854" s="160">
        <v>4170</v>
      </c>
      <c r="D854" s="160" t="s">
        <v>3644</v>
      </c>
      <c r="E854" s="160">
        <v>270</v>
      </c>
      <c r="F854" s="160" t="s">
        <v>74</v>
      </c>
      <c r="G854" s="148">
        <v>32</v>
      </c>
      <c r="H854" s="152">
        <f>IF(C854=11700,ROUND(VLOOKUP(G854,ThongSo!$F$2:$I$15,4,0)*B854*11.7,3),0)</f>
        <v>0</v>
      </c>
      <c r="I854" s="152">
        <f>IF(F854="Sắt vụn",ROUND(VLOOKUP(G854,ThongSo!$F$2:$I$15,4,0)*B854*E854/1000,3),"-")</f>
        <v>8.5190000000000001</v>
      </c>
      <c r="L854" s="150"/>
      <c r="M854" s="150"/>
      <c r="N854" s="150"/>
    </row>
    <row r="855" spans="1:14" x14ac:dyDescent="0.25">
      <c r="A855" s="159" t="s">
        <v>338</v>
      </c>
      <c r="B855" s="160">
        <v>1</v>
      </c>
      <c r="C855" s="160">
        <v>4170</v>
      </c>
      <c r="D855" s="160" t="s">
        <v>3645</v>
      </c>
      <c r="E855" s="160">
        <v>270</v>
      </c>
      <c r="F855" s="160" t="s">
        <v>74</v>
      </c>
      <c r="G855" s="148">
        <v>32</v>
      </c>
      <c r="H855" s="152">
        <f>IF(C855=11700,ROUND(VLOOKUP(G855,ThongSo!$F$2:$I$15,4,0)*B855*11.7,3),0)</f>
        <v>0</v>
      </c>
      <c r="I855" s="152">
        <f>IF(F855="Sắt vụn",ROUND(VLOOKUP(G855,ThongSo!$F$2:$I$15,4,0)*B855*E855/1000,3),"-")</f>
        <v>1.704</v>
      </c>
      <c r="L855" s="150"/>
      <c r="M855" s="150"/>
      <c r="N855" s="150"/>
    </row>
    <row r="856" spans="1:14" x14ac:dyDescent="0.25">
      <c r="A856" s="159" t="s">
        <v>144</v>
      </c>
      <c r="B856" s="160">
        <v>4</v>
      </c>
      <c r="C856" s="160">
        <v>4310</v>
      </c>
      <c r="D856" s="160" t="s">
        <v>3646</v>
      </c>
      <c r="E856" s="160">
        <v>5</v>
      </c>
      <c r="F856" s="160" t="s">
        <v>74</v>
      </c>
      <c r="G856" s="148">
        <v>32</v>
      </c>
      <c r="H856" s="152">
        <f>IF(C856=11700,ROUND(VLOOKUP(G856,ThongSo!$F$2:$I$15,4,0)*B856*11.7,3),0)</f>
        <v>0</v>
      </c>
      <c r="I856" s="152">
        <f>IF(F856="Sắt vụn",ROUND(VLOOKUP(G856,ThongSo!$F$2:$I$15,4,0)*B856*E856/1000,3),"-")</f>
        <v>0.126</v>
      </c>
      <c r="L856" s="150"/>
      <c r="M856" s="150"/>
      <c r="N856" s="150"/>
    </row>
    <row r="857" spans="1:14" x14ac:dyDescent="0.25">
      <c r="A857" s="159" t="s">
        <v>144</v>
      </c>
      <c r="B857" s="160">
        <v>4</v>
      </c>
      <c r="C857" s="160">
        <v>4310</v>
      </c>
      <c r="D857" s="160" t="s">
        <v>3647</v>
      </c>
      <c r="E857" s="160">
        <v>90</v>
      </c>
      <c r="F857" s="160" t="s">
        <v>74</v>
      </c>
      <c r="G857" s="148">
        <v>32</v>
      </c>
      <c r="H857" s="152">
        <f>IF(C857=11700,ROUND(VLOOKUP(G857,ThongSo!$F$2:$I$15,4,0)*B857*11.7,3),0)</f>
        <v>0</v>
      </c>
      <c r="I857" s="152">
        <f>IF(F857="Sắt vụn",ROUND(VLOOKUP(G857,ThongSo!$F$2:$I$15,4,0)*B857*E857/1000,3),"-")</f>
        <v>2.2719999999999998</v>
      </c>
      <c r="L857" s="150"/>
      <c r="M857" s="150"/>
      <c r="N857" s="150"/>
    </row>
    <row r="858" spans="1:14" x14ac:dyDescent="0.25">
      <c r="A858" s="159" t="s">
        <v>144</v>
      </c>
      <c r="B858" s="160">
        <v>5</v>
      </c>
      <c r="C858" s="160">
        <v>4310</v>
      </c>
      <c r="D858" s="160" t="s">
        <v>3648</v>
      </c>
      <c r="E858" s="160">
        <v>100</v>
      </c>
      <c r="F858" s="160" t="s">
        <v>74</v>
      </c>
      <c r="G858" s="148">
        <v>32</v>
      </c>
      <c r="H858" s="152">
        <f>IF(C858=11700,ROUND(VLOOKUP(G858,ThongSo!$F$2:$I$15,4,0)*B858*11.7,3),0)</f>
        <v>0</v>
      </c>
      <c r="I858" s="152">
        <f>IF(F858="Sắt vụn",ROUND(VLOOKUP(G858,ThongSo!$F$2:$I$15,4,0)*B858*E858/1000,3),"-")</f>
        <v>3.1549999999999998</v>
      </c>
      <c r="L858" s="150"/>
      <c r="M858" s="150"/>
      <c r="N858" s="150"/>
    </row>
    <row r="859" spans="1:14" x14ac:dyDescent="0.25">
      <c r="A859" s="159" t="s">
        <v>131</v>
      </c>
      <c r="B859" s="160">
        <v>4</v>
      </c>
      <c r="C859" s="160">
        <v>4320</v>
      </c>
      <c r="D859" s="160" t="s">
        <v>3648</v>
      </c>
      <c r="E859" s="160">
        <v>110</v>
      </c>
      <c r="F859" s="160" t="s">
        <v>74</v>
      </c>
      <c r="G859" s="148">
        <v>32</v>
      </c>
      <c r="H859" s="152">
        <f>IF(C859=11700,ROUND(VLOOKUP(G859,ThongSo!$F$2:$I$15,4,0)*B859*11.7,3),0)</f>
        <v>0</v>
      </c>
      <c r="I859" s="152">
        <f>IF(F859="Sắt vụn",ROUND(VLOOKUP(G859,ThongSo!$F$2:$I$15,4,0)*B859*E859/1000,3),"-")</f>
        <v>2.7759999999999998</v>
      </c>
      <c r="L859" s="150"/>
      <c r="M859" s="150"/>
      <c r="N859" s="150"/>
    </row>
    <row r="860" spans="1:14" x14ac:dyDescent="0.25">
      <c r="A860" s="159" t="s">
        <v>145</v>
      </c>
      <c r="B860" s="160">
        <v>9</v>
      </c>
      <c r="C860" s="160">
        <v>4400</v>
      </c>
      <c r="D860" s="160" t="s">
        <v>3649</v>
      </c>
      <c r="E860" s="160">
        <v>40</v>
      </c>
      <c r="F860" s="160" t="s">
        <v>74</v>
      </c>
      <c r="G860" s="148">
        <v>32</v>
      </c>
      <c r="H860" s="152">
        <f>IF(C860=11700,ROUND(VLOOKUP(G860,ThongSo!$F$2:$I$15,4,0)*B860*11.7,3),0)</f>
        <v>0</v>
      </c>
      <c r="I860" s="152">
        <f>IF(F860="Sắt vụn",ROUND(VLOOKUP(G860,ThongSo!$F$2:$I$15,4,0)*B860*E860/1000,3),"-")</f>
        <v>2.2719999999999998</v>
      </c>
      <c r="L860" s="150"/>
      <c r="M860" s="150"/>
      <c r="N860" s="150"/>
    </row>
    <row r="861" spans="1:14" x14ac:dyDescent="0.25">
      <c r="A861" s="159" t="s">
        <v>366</v>
      </c>
      <c r="B861" s="160">
        <v>7</v>
      </c>
      <c r="C861" s="160">
        <v>4490</v>
      </c>
      <c r="D861" s="160" t="s">
        <v>3650</v>
      </c>
      <c r="E861" s="160">
        <v>45</v>
      </c>
      <c r="F861" s="160" t="s">
        <v>74</v>
      </c>
      <c r="G861" s="148">
        <v>32</v>
      </c>
      <c r="H861" s="152">
        <f>IF(C861=11700,ROUND(VLOOKUP(G861,ThongSo!$F$2:$I$15,4,0)*B861*11.7,3),0)</f>
        <v>0</v>
      </c>
      <c r="I861" s="152">
        <f>IF(F861="Sắt vụn",ROUND(VLOOKUP(G861,ThongSo!$F$2:$I$15,4,0)*B861*E861/1000,3),"-")</f>
        <v>1.988</v>
      </c>
      <c r="L861" s="150"/>
      <c r="M861" s="150"/>
      <c r="N861" s="150"/>
    </row>
    <row r="862" spans="1:14" x14ac:dyDescent="0.25">
      <c r="A862" s="159" t="s">
        <v>312</v>
      </c>
      <c r="B862" s="160">
        <v>5</v>
      </c>
      <c r="C862" s="160">
        <v>4740</v>
      </c>
      <c r="D862" s="160" t="s">
        <v>3651</v>
      </c>
      <c r="E862" s="160">
        <v>125</v>
      </c>
      <c r="F862" s="160" t="s">
        <v>74</v>
      </c>
      <c r="G862" s="148">
        <v>32</v>
      </c>
      <c r="H862" s="152">
        <f>IF(C862=11700,ROUND(VLOOKUP(G862,ThongSo!$F$2:$I$15,4,0)*B862*11.7,3),0)</f>
        <v>0</v>
      </c>
      <c r="I862" s="152">
        <f>IF(F862="Sắt vụn",ROUND(VLOOKUP(G862,ThongSo!$F$2:$I$15,4,0)*B862*E862/1000,3),"-")</f>
        <v>3.944</v>
      </c>
      <c r="L862" s="150"/>
      <c r="M862" s="150"/>
      <c r="N862" s="150"/>
    </row>
    <row r="863" spans="1:14" x14ac:dyDescent="0.25">
      <c r="A863" s="159" t="s">
        <v>234</v>
      </c>
      <c r="B863" s="160">
        <v>1</v>
      </c>
      <c r="C863" s="160">
        <v>4790</v>
      </c>
      <c r="D863" s="160" t="s">
        <v>3651</v>
      </c>
      <c r="E863" s="160">
        <v>175</v>
      </c>
      <c r="F863" s="160" t="s">
        <v>74</v>
      </c>
      <c r="G863" s="148">
        <v>32</v>
      </c>
      <c r="H863" s="152">
        <f>IF(C863=11700,ROUND(VLOOKUP(G863,ThongSo!$F$2:$I$15,4,0)*B863*11.7,3),0)</f>
        <v>0</v>
      </c>
      <c r="I863" s="152">
        <f>IF(F863="Sắt vụn",ROUND(VLOOKUP(G863,ThongSo!$F$2:$I$15,4,0)*B863*E863/1000,3),"-")</f>
        <v>1.1040000000000001</v>
      </c>
      <c r="L863" s="150"/>
      <c r="M863" s="150"/>
      <c r="N863" s="150"/>
    </row>
    <row r="864" spans="1:14" x14ac:dyDescent="0.25">
      <c r="A864" s="159" t="s">
        <v>234</v>
      </c>
      <c r="B864" s="160">
        <v>4</v>
      </c>
      <c r="C864" s="160">
        <v>4790</v>
      </c>
      <c r="D864" s="160" t="s">
        <v>3652</v>
      </c>
      <c r="E864" s="160">
        <v>275</v>
      </c>
      <c r="F864" s="160" t="s">
        <v>74</v>
      </c>
      <c r="G864" s="148">
        <v>32</v>
      </c>
      <c r="H864" s="152">
        <f>IF(C864=11700,ROUND(VLOOKUP(G864,ThongSo!$F$2:$I$15,4,0)*B864*11.7,3),0)</f>
        <v>0</v>
      </c>
      <c r="I864" s="152">
        <f>IF(F864="Sắt vụn",ROUND(VLOOKUP(G864,ThongSo!$F$2:$I$15,4,0)*B864*E864/1000,3),"-")</f>
        <v>6.9409999999999998</v>
      </c>
      <c r="L864" s="150"/>
      <c r="M864" s="150"/>
      <c r="N864" s="150"/>
    </row>
    <row r="865" spans="1:14" x14ac:dyDescent="0.25">
      <c r="A865" s="159" t="s">
        <v>198</v>
      </c>
      <c r="B865" s="160">
        <v>2</v>
      </c>
      <c r="C865" s="160">
        <v>4800</v>
      </c>
      <c r="D865" s="160" t="s">
        <v>3652</v>
      </c>
      <c r="E865" s="160">
        <v>285</v>
      </c>
      <c r="F865" s="160" t="s">
        <v>74</v>
      </c>
      <c r="G865" s="148">
        <v>32</v>
      </c>
      <c r="H865" s="152">
        <f>IF(C865=11700,ROUND(VLOOKUP(G865,ThongSo!$F$2:$I$15,4,0)*B865*11.7,3),0)</f>
        <v>0</v>
      </c>
      <c r="I865" s="152">
        <f>IF(F865="Sắt vụn",ROUND(VLOOKUP(G865,ThongSo!$F$2:$I$15,4,0)*B865*E865/1000,3),"-")</f>
        <v>3.597</v>
      </c>
      <c r="L865" s="150"/>
      <c r="M865" s="150"/>
      <c r="N865" s="150"/>
    </row>
    <row r="866" spans="1:14" x14ac:dyDescent="0.25">
      <c r="A866" s="159" t="s">
        <v>198</v>
      </c>
      <c r="B866" s="160">
        <v>9</v>
      </c>
      <c r="C866" s="160">
        <v>4800</v>
      </c>
      <c r="D866" s="160" t="s">
        <v>3653</v>
      </c>
      <c r="E866" s="160">
        <v>290</v>
      </c>
      <c r="F866" s="160" t="s">
        <v>74</v>
      </c>
      <c r="G866" s="148">
        <v>32</v>
      </c>
      <c r="H866" s="152">
        <f>IF(C866=11700,ROUND(VLOOKUP(G866,ThongSo!$F$2:$I$15,4,0)*B866*11.7,3),0)</f>
        <v>0</v>
      </c>
      <c r="I866" s="152">
        <f>IF(F866="Sắt vụn",ROUND(VLOOKUP(G866,ThongSo!$F$2:$I$15,4,0)*B866*E866/1000,3),"-")</f>
        <v>16.469000000000001</v>
      </c>
      <c r="L866" s="150"/>
      <c r="M866" s="150"/>
      <c r="N866" s="150"/>
    </row>
    <row r="867" spans="1:14" x14ac:dyDescent="0.25">
      <c r="A867" s="159" t="s">
        <v>147</v>
      </c>
      <c r="B867" s="160">
        <v>10</v>
      </c>
      <c r="C867" s="160">
        <v>4830</v>
      </c>
      <c r="D867" s="160" t="s">
        <v>3654</v>
      </c>
      <c r="E867" s="160">
        <v>335</v>
      </c>
      <c r="F867" s="160" t="s">
        <v>74</v>
      </c>
      <c r="G867" s="148">
        <v>32</v>
      </c>
      <c r="H867" s="152">
        <f>IF(C867=11700,ROUND(VLOOKUP(G867,ThongSo!$F$2:$I$15,4,0)*B867*11.7,3),0)</f>
        <v>0</v>
      </c>
      <c r="I867" s="152">
        <f>IF(F867="Sắt vụn",ROUND(VLOOKUP(G867,ThongSo!$F$2:$I$15,4,0)*B867*E867/1000,3),"-")</f>
        <v>21.138999999999999</v>
      </c>
      <c r="L867" s="150"/>
      <c r="M867" s="150"/>
      <c r="N867" s="150"/>
    </row>
    <row r="868" spans="1:14" x14ac:dyDescent="0.25">
      <c r="A868" s="159" t="s">
        <v>3621</v>
      </c>
      <c r="B868" s="160">
        <v>1</v>
      </c>
      <c r="C868" s="160">
        <v>4880</v>
      </c>
      <c r="D868" s="160" t="s">
        <v>3654</v>
      </c>
      <c r="E868" s="160">
        <v>385</v>
      </c>
      <c r="F868" s="160" t="s">
        <v>74</v>
      </c>
      <c r="G868" s="148">
        <v>32</v>
      </c>
      <c r="H868" s="152">
        <f>IF(C868=11700,ROUND(VLOOKUP(G868,ThongSo!$F$2:$I$15,4,0)*B868*11.7,3),0)</f>
        <v>0</v>
      </c>
      <c r="I868" s="152">
        <f>IF(F868="Sắt vụn",ROUND(VLOOKUP(G868,ThongSo!$F$2:$I$15,4,0)*B868*E868/1000,3),"-")</f>
        <v>2.4289999999999998</v>
      </c>
      <c r="L868" s="150"/>
      <c r="M868" s="150"/>
      <c r="N868" s="150"/>
    </row>
    <row r="869" spans="1:14" x14ac:dyDescent="0.25">
      <c r="A869" s="159" t="s">
        <v>3621</v>
      </c>
      <c r="B869" s="160">
        <v>3</v>
      </c>
      <c r="C869" s="160">
        <v>4880</v>
      </c>
      <c r="D869" s="160" t="s">
        <v>3655</v>
      </c>
      <c r="E869" s="160">
        <v>435</v>
      </c>
      <c r="F869" s="160" t="s">
        <v>74</v>
      </c>
      <c r="G869" s="148">
        <v>32</v>
      </c>
      <c r="H869" s="152">
        <f>IF(C869=11700,ROUND(VLOOKUP(G869,ThongSo!$F$2:$I$15,4,0)*B869*11.7,3),0)</f>
        <v>0</v>
      </c>
      <c r="I869" s="152">
        <f>IF(F869="Sắt vụn",ROUND(VLOOKUP(G869,ThongSo!$F$2:$I$15,4,0)*B869*E869/1000,3),"-")</f>
        <v>8.2349999999999994</v>
      </c>
      <c r="L869" s="150"/>
      <c r="M869" s="150"/>
      <c r="N869" s="150"/>
    </row>
    <row r="870" spans="1:14" x14ac:dyDescent="0.25">
      <c r="A870" s="159" t="s">
        <v>313</v>
      </c>
      <c r="B870" s="160">
        <v>1</v>
      </c>
      <c r="C870" s="160">
        <v>4950</v>
      </c>
      <c r="D870" s="160" t="s">
        <v>3655</v>
      </c>
      <c r="E870" s="160">
        <v>505</v>
      </c>
      <c r="F870" s="160" t="s">
        <v>74</v>
      </c>
      <c r="G870" s="148">
        <v>32</v>
      </c>
      <c r="H870" s="152">
        <f>IF(C870=11700,ROUND(VLOOKUP(G870,ThongSo!$F$2:$I$15,4,0)*B870*11.7,3),0)</f>
        <v>0</v>
      </c>
      <c r="I870" s="152">
        <f>IF(F870="Sắt vụn",ROUND(VLOOKUP(G870,ThongSo!$F$2:$I$15,4,0)*B870*E870/1000,3),"-")</f>
        <v>3.1869999999999998</v>
      </c>
      <c r="L870" s="150"/>
      <c r="M870" s="150"/>
      <c r="N870" s="150"/>
    </row>
    <row r="871" spans="1:14" x14ac:dyDescent="0.25">
      <c r="A871" s="159">
        <v>50</v>
      </c>
      <c r="B871" s="160">
        <v>4</v>
      </c>
      <c r="C871" s="160">
        <v>11700</v>
      </c>
      <c r="D871" s="160" t="s">
        <v>3656</v>
      </c>
      <c r="E871" s="160">
        <v>0</v>
      </c>
      <c r="F871" s="160"/>
      <c r="G871" s="148">
        <v>32</v>
      </c>
      <c r="H871" s="152">
        <f>IF(C871=11700,ROUND(VLOOKUP(G871,ThongSo!$F$2:$I$15,4,0)*B871*11.7,3),0)</f>
        <v>295.30799999999999</v>
      </c>
      <c r="I871" s="152" t="str">
        <f>IF(F871="Sắt vụn",ROUND(VLOOKUP(G871,ThongSo!$F$2:$I$15,4,0)*B871*E871/1000,3),"-")</f>
        <v>-</v>
      </c>
      <c r="L871" s="150"/>
      <c r="M871" s="150"/>
      <c r="N871" s="150"/>
    </row>
    <row r="872" spans="1:14" x14ac:dyDescent="0.25">
      <c r="A872" s="159">
        <v>51</v>
      </c>
      <c r="B872" s="160">
        <v>3</v>
      </c>
      <c r="C872" s="160">
        <v>11700</v>
      </c>
      <c r="D872" s="160" t="s">
        <v>3657</v>
      </c>
      <c r="E872" s="160">
        <v>0</v>
      </c>
      <c r="F872" s="160"/>
      <c r="G872" s="148">
        <v>32</v>
      </c>
      <c r="H872" s="152">
        <f>IF(C872=11700,ROUND(VLOOKUP(G872,ThongSo!$F$2:$I$15,4,0)*B872*11.7,3),0)</f>
        <v>221.48099999999999</v>
      </c>
      <c r="I872" s="152" t="str">
        <f>IF(F872="Sắt vụn",ROUND(VLOOKUP(G872,ThongSo!$F$2:$I$15,4,0)*B872*E872/1000,3),"-")</f>
        <v>-</v>
      </c>
      <c r="L872" s="150"/>
      <c r="M872" s="150"/>
      <c r="N872" s="150"/>
    </row>
    <row r="873" spans="1:14" x14ac:dyDescent="0.25">
      <c r="A873" s="159">
        <v>52</v>
      </c>
      <c r="B873" s="160">
        <v>2</v>
      </c>
      <c r="C873" s="160">
        <v>11700</v>
      </c>
      <c r="D873" s="160" t="s">
        <v>3658</v>
      </c>
      <c r="E873" s="160">
        <v>0</v>
      </c>
      <c r="F873" s="160"/>
      <c r="G873" s="148">
        <v>32</v>
      </c>
      <c r="H873" s="152">
        <f>IF(C873=11700,ROUND(VLOOKUP(G873,ThongSo!$F$2:$I$15,4,0)*B873*11.7,3),0)</f>
        <v>147.654</v>
      </c>
      <c r="I873" s="152" t="str">
        <f>IF(F873="Sắt vụn",ROUND(VLOOKUP(G873,ThongSo!$F$2:$I$15,4,0)*B873*E873/1000,3),"-")</f>
        <v>-</v>
      </c>
      <c r="L873" s="150"/>
      <c r="M873" s="150"/>
      <c r="N873" s="150"/>
    </row>
    <row r="874" spans="1:14" x14ac:dyDescent="0.25">
      <c r="A874" s="159">
        <v>53</v>
      </c>
      <c r="B874" s="160">
        <v>4</v>
      </c>
      <c r="C874" s="160">
        <v>11700</v>
      </c>
      <c r="D874" s="160" t="s">
        <v>3659</v>
      </c>
      <c r="E874" s="160">
        <v>0</v>
      </c>
      <c r="F874" s="160"/>
      <c r="G874" s="148">
        <v>32</v>
      </c>
      <c r="H874" s="152">
        <f>IF(C874=11700,ROUND(VLOOKUP(G874,ThongSo!$F$2:$I$15,4,0)*B874*11.7,3),0)</f>
        <v>295.30799999999999</v>
      </c>
      <c r="I874" s="152" t="str">
        <f>IF(F874="Sắt vụn",ROUND(VLOOKUP(G874,ThongSo!$F$2:$I$15,4,0)*B874*E874/1000,3),"-")</f>
        <v>-</v>
      </c>
      <c r="L874" s="150"/>
      <c r="M874" s="150"/>
      <c r="N874" s="150"/>
    </row>
    <row r="875" spans="1:14" x14ac:dyDescent="0.25">
      <c r="A875" s="159">
        <v>54</v>
      </c>
      <c r="B875" s="160">
        <v>5</v>
      </c>
      <c r="C875" s="160">
        <v>11700</v>
      </c>
      <c r="D875" s="160" t="s">
        <v>3660</v>
      </c>
      <c r="E875" s="160">
        <v>0</v>
      </c>
      <c r="F875" s="160"/>
      <c r="G875" s="148">
        <v>32</v>
      </c>
      <c r="H875" s="152">
        <f>IF(C875=11700,ROUND(VLOOKUP(G875,ThongSo!$F$2:$I$15,4,0)*B875*11.7,3),0)</f>
        <v>369.13499999999999</v>
      </c>
      <c r="I875" s="152" t="str">
        <f>IF(F875="Sắt vụn",ROUND(VLOOKUP(G875,ThongSo!$F$2:$I$15,4,0)*B875*E875/1000,3),"-")</f>
        <v>-</v>
      </c>
      <c r="L875" s="150"/>
      <c r="M875" s="150"/>
      <c r="N875" s="150"/>
    </row>
    <row r="876" spans="1:14" x14ac:dyDescent="0.25">
      <c r="A876" s="159">
        <v>55</v>
      </c>
      <c r="B876" s="160">
        <v>6</v>
      </c>
      <c r="C876" s="160">
        <v>11700</v>
      </c>
      <c r="D876" s="160" t="s">
        <v>3661</v>
      </c>
      <c r="E876" s="160">
        <v>0</v>
      </c>
      <c r="F876" s="160"/>
      <c r="G876" s="148">
        <v>32</v>
      </c>
      <c r="H876" s="152">
        <f>IF(C876=11700,ROUND(VLOOKUP(G876,ThongSo!$F$2:$I$15,4,0)*B876*11.7,3),0)</f>
        <v>442.96199999999999</v>
      </c>
      <c r="I876" s="152" t="str">
        <f>IF(F876="Sắt vụn",ROUND(VLOOKUP(G876,ThongSo!$F$2:$I$15,4,0)*B876*E876/1000,3),"-")</f>
        <v>-</v>
      </c>
      <c r="L876" s="150"/>
      <c r="M876" s="150"/>
      <c r="N876" s="150"/>
    </row>
    <row r="877" spans="1:14" x14ac:dyDescent="0.25">
      <c r="A877" s="159">
        <v>56</v>
      </c>
      <c r="B877" s="160">
        <v>3</v>
      </c>
      <c r="C877" s="160">
        <v>11700</v>
      </c>
      <c r="D877" s="160" t="s">
        <v>3662</v>
      </c>
      <c r="E877" s="160">
        <v>0</v>
      </c>
      <c r="F877" s="160"/>
      <c r="G877" s="148">
        <v>32</v>
      </c>
      <c r="H877" s="152">
        <f>IF(C877=11700,ROUND(VLOOKUP(G877,ThongSo!$F$2:$I$15,4,0)*B877*11.7,3),0)</f>
        <v>221.48099999999999</v>
      </c>
      <c r="I877" s="152" t="str">
        <f>IF(F877="Sắt vụn",ROUND(VLOOKUP(G877,ThongSo!$F$2:$I$15,4,0)*B877*E877/1000,3),"-")</f>
        <v>-</v>
      </c>
      <c r="L877" s="150"/>
      <c r="M877" s="150"/>
      <c r="N877" s="150"/>
    </row>
    <row r="878" spans="1:14" x14ac:dyDescent="0.25">
      <c r="A878" s="159">
        <v>57</v>
      </c>
      <c r="B878" s="160">
        <v>1</v>
      </c>
      <c r="C878" s="160">
        <v>11700</v>
      </c>
      <c r="D878" s="160" t="s">
        <v>3663</v>
      </c>
      <c r="E878" s="160">
        <v>0</v>
      </c>
      <c r="F878" s="160"/>
      <c r="G878" s="148">
        <v>32</v>
      </c>
      <c r="H878" s="152">
        <f>IF(C878=11700,ROUND(VLOOKUP(G878,ThongSo!$F$2:$I$15,4,0)*B878*11.7,3),0)</f>
        <v>73.826999999999998</v>
      </c>
      <c r="I878" s="152" t="str">
        <f>IF(F878="Sắt vụn",ROUND(VLOOKUP(G878,ThongSo!$F$2:$I$15,4,0)*B878*E878/1000,3),"-")</f>
        <v>-</v>
      </c>
      <c r="L878" s="150"/>
      <c r="M878" s="150"/>
      <c r="N878" s="150"/>
    </row>
    <row r="879" spans="1:14" x14ac:dyDescent="0.25">
      <c r="A879" s="159">
        <v>58</v>
      </c>
      <c r="B879" s="160">
        <v>3</v>
      </c>
      <c r="C879" s="160">
        <v>11700</v>
      </c>
      <c r="D879" s="160" t="s">
        <v>3664</v>
      </c>
      <c r="E879" s="160">
        <v>0</v>
      </c>
      <c r="F879" s="160"/>
      <c r="G879" s="148">
        <v>32</v>
      </c>
      <c r="H879" s="152">
        <f>IF(C879=11700,ROUND(VLOOKUP(G879,ThongSo!$F$2:$I$15,4,0)*B879*11.7,3),0)</f>
        <v>221.48099999999999</v>
      </c>
      <c r="I879" s="152" t="str">
        <f>IF(F879="Sắt vụn",ROUND(VLOOKUP(G879,ThongSo!$F$2:$I$15,4,0)*B879*E879/1000,3),"-")</f>
        <v>-</v>
      </c>
      <c r="L879" s="150"/>
      <c r="M879" s="150"/>
      <c r="N879" s="150"/>
    </row>
    <row r="880" spans="1:14" x14ac:dyDescent="0.25">
      <c r="A880" s="159">
        <v>59</v>
      </c>
      <c r="B880" s="160">
        <v>1</v>
      </c>
      <c r="C880" s="160">
        <v>11700</v>
      </c>
      <c r="D880" s="160" t="s">
        <v>3665</v>
      </c>
      <c r="E880" s="160">
        <v>0</v>
      </c>
      <c r="F880" s="160"/>
      <c r="G880" s="148">
        <v>32</v>
      </c>
      <c r="H880" s="152">
        <f>IF(C880=11700,ROUND(VLOOKUP(G880,ThongSo!$F$2:$I$15,4,0)*B880*11.7,3),0)</f>
        <v>73.826999999999998</v>
      </c>
      <c r="I880" s="152" t="str">
        <f>IF(F880="Sắt vụn",ROUND(VLOOKUP(G880,ThongSo!$F$2:$I$15,4,0)*B880*E880/1000,3),"-")</f>
        <v>-</v>
      </c>
      <c r="L880" s="150"/>
      <c r="M880" s="150"/>
      <c r="N880" s="150"/>
    </row>
    <row r="881" spans="1:14" x14ac:dyDescent="0.25">
      <c r="A881" s="159">
        <v>60</v>
      </c>
      <c r="B881" s="160">
        <v>2</v>
      </c>
      <c r="C881" s="160">
        <v>11700</v>
      </c>
      <c r="D881" s="160" t="s">
        <v>3666</v>
      </c>
      <c r="E881" s="160">
        <v>0</v>
      </c>
      <c r="F881" s="160"/>
      <c r="G881" s="148">
        <v>32</v>
      </c>
      <c r="H881" s="152">
        <f>IF(C881=11700,ROUND(VLOOKUP(G881,ThongSo!$F$2:$I$15,4,0)*B881*11.7,3),0)</f>
        <v>147.654</v>
      </c>
      <c r="I881" s="152" t="str">
        <f>IF(F881="Sắt vụn",ROUND(VLOOKUP(G881,ThongSo!$F$2:$I$15,4,0)*B881*E881/1000,3),"-")</f>
        <v>-</v>
      </c>
      <c r="L881" s="150"/>
      <c r="M881" s="150"/>
      <c r="N881" s="150"/>
    </row>
    <row r="882" spans="1:14" x14ac:dyDescent="0.25">
      <c r="A882" s="159">
        <v>61</v>
      </c>
      <c r="B882" s="160">
        <v>4</v>
      </c>
      <c r="C882" s="160">
        <v>11700</v>
      </c>
      <c r="D882" s="160" t="s">
        <v>3667</v>
      </c>
      <c r="E882" s="160">
        <v>0</v>
      </c>
      <c r="F882" s="160"/>
      <c r="G882" s="148">
        <v>32</v>
      </c>
      <c r="H882" s="152">
        <f>IF(C882=11700,ROUND(VLOOKUP(G882,ThongSo!$F$2:$I$15,4,0)*B882*11.7,3),0)</f>
        <v>295.30799999999999</v>
      </c>
      <c r="I882" s="152" t="str">
        <f>IF(F882="Sắt vụn",ROUND(VLOOKUP(G882,ThongSo!$F$2:$I$15,4,0)*B882*E882/1000,3),"-")</f>
        <v>-</v>
      </c>
      <c r="L882" s="150"/>
      <c r="M882" s="150"/>
      <c r="N882" s="150"/>
    </row>
    <row r="883" spans="1:14" x14ac:dyDescent="0.25">
      <c r="A883" s="159">
        <v>62</v>
      </c>
      <c r="B883" s="160">
        <v>2</v>
      </c>
      <c r="C883" s="160">
        <v>11700</v>
      </c>
      <c r="D883" s="160" t="s">
        <v>3668</v>
      </c>
      <c r="E883" s="160">
        <v>0</v>
      </c>
      <c r="F883" s="160"/>
      <c r="G883" s="148">
        <v>32</v>
      </c>
      <c r="H883" s="152">
        <f>IF(C883=11700,ROUND(VLOOKUP(G883,ThongSo!$F$2:$I$15,4,0)*B883*11.7,3),0)</f>
        <v>147.654</v>
      </c>
      <c r="I883" s="152" t="str">
        <f>IF(F883="Sắt vụn",ROUND(VLOOKUP(G883,ThongSo!$F$2:$I$15,4,0)*B883*E883/1000,3),"-")</f>
        <v>-</v>
      </c>
      <c r="L883" s="150"/>
      <c r="M883" s="150"/>
      <c r="N883" s="150"/>
    </row>
    <row r="884" spans="1:14" x14ac:dyDescent="0.25">
      <c r="A884" s="159">
        <v>63</v>
      </c>
      <c r="B884" s="160">
        <v>1</v>
      </c>
      <c r="C884" s="160">
        <v>11700</v>
      </c>
      <c r="D884" s="160" t="s">
        <v>3669</v>
      </c>
      <c r="E884" s="160">
        <v>0</v>
      </c>
      <c r="F884" s="160"/>
      <c r="G884" s="148">
        <v>32</v>
      </c>
      <c r="H884" s="152">
        <f>IF(C884=11700,ROUND(VLOOKUP(G884,ThongSo!$F$2:$I$15,4,0)*B884*11.7,3),0)</f>
        <v>73.826999999999998</v>
      </c>
      <c r="I884" s="152" t="str">
        <f>IF(F884="Sắt vụn",ROUND(VLOOKUP(G884,ThongSo!$F$2:$I$15,4,0)*B884*E884/1000,3),"-")</f>
        <v>-</v>
      </c>
      <c r="L884" s="150"/>
      <c r="M884" s="150"/>
      <c r="N884" s="150"/>
    </row>
    <row r="885" spans="1:14" x14ac:dyDescent="0.25">
      <c r="A885" s="159">
        <v>64</v>
      </c>
      <c r="B885" s="160">
        <v>5</v>
      </c>
      <c r="C885" s="160">
        <v>11700</v>
      </c>
      <c r="D885" s="160" t="s">
        <v>3670</v>
      </c>
      <c r="E885" s="160">
        <v>0</v>
      </c>
      <c r="F885" s="160"/>
      <c r="G885" s="148">
        <v>32</v>
      </c>
      <c r="H885" s="152">
        <f>IF(C885=11700,ROUND(VLOOKUP(G885,ThongSo!$F$2:$I$15,4,0)*B885*11.7,3),0)</f>
        <v>369.13499999999999</v>
      </c>
      <c r="I885" s="152" t="str">
        <f>IF(F885="Sắt vụn",ROUND(VLOOKUP(G885,ThongSo!$F$2:$I$15,4,0)*B885*E885/1000,3),"-")</f>
        <v>-</v>
      </c>
      <c r="L885" s="150"/>
      <c r="M885" s="150"/>
      <c r="N885" s="150"/>
    </row>
    <row r="886" spans="1:14" x14ac:dyDescent="0.25">
      <c r="A886" s="159">
        <v>65</v>
      </c>
      <c r="B886" s="160">
        <v>1</v>
      </c>
      <c r="C886" s="160">
        <v>11700</v>
      </c>
      <c r="D886" s="160" t="s">
        <v>3671</v>
      </c>
      <c r="E886" s="160">
        <v>0</v>
      </c>
      <c r="F886" s="160"/>
      <c r="G886" s="148">
        <v>32</v>
      </c>
      <c r="H886" s="152">
        <f>IF(C886=11700,ROUND(VLOOKUP(G886,ThongSo!$F$2:$I$15,4,0)*B886*11.7,3),0)</f>
        <v>73.826999999999998</v>
      </c>
      <c r="I886" s="152" t="str">
        <f>IF(F886="Sắt vụn",ROUND(VLOOKUP(G886,ThongSo!$F$2:$I$15,4,0)*B886*E886/1000,3),"-")</f>
        <v>-</v>
      </c>
      <c r="L886" s="150"/>
      <c r="M886" s="150"/>
      <c r="N886" s="150"/>
    </row>
    <row r="887" spans="1:14" x14ac:dyDescent="0.25">
      <c r="A887" s="159">
        <v>66</v>
      </c>
      <c r="B887" s="160">
        <v>4</v>
      </c>
      <c r="C887" s="160">
        <v>11700</v>
      </c>
      <c r="D887" s="160" t="s">
        <v>3672</v>
      </c>
      <c r="E887" s="160">
        <v>5</v>
      </c>
      <c r="F887" s="160" t="s">
        <v>74</v>
      </c>
      <c r="G887" s="148">
        <v>32</v>
      </c>
      <c r="H887" s="152">
        <f>IF(C887=11700,ROUND(VLOOKUP(G887,ThongSo!$F$2:$I$15,4,0)*B887*11.7,3),0)</f>
        <v>295.30799999999999</v>
      </c>
      <c r="I887" s="152">
        <f>IF(F887="Sắt vụn",ROUND(VLOOKUP(G887,ThongSo!$F$2:$I$15,4,0)*B887*E887/1000,3),"-")</f>
        <v>0.126</v>
      </c>
      <c r="L887" s="150"/>
      <c r="M887" s="150"/>
      <c r="N887" s="150"/>
    </row>
    <row r="888" spans="1:14" x14ac:dyDescent="0.25">
      <c r="A888" s="159">
        <v>67</v>
      </c>
      <c r="B888" s="160">
        <v>2</v>
      </c>
      <c r="C888" s="160">
        <v>11700</v>
      </c>
      <c r="D888" s="160" t="s">
        <v>3673</v>
      </c>
      <c r="E888" s="160">
        <v>5</v>
      </c>
      <c r="F888" s="160" t="s">
        <v>74</v>
      </c>
      <c r="G888" s="148">
        <v>32</v>
      </c>
      <c r="H888" s="152">
        <f>IF(C888=11700,ROUND(VLOOKUP(G888,ThongSo!$F$2:$I$15,4,0)*B888*11.7,3),0)</f>
        <v>147.654</v>
      </c>
      <c r="I888" s="152">
        <f>IF(F888="Sắt vụn",ROUND(VLOOKUP(G888,ThongSo!$F$2:$I$15,4,0)*B888*E888/1000,3),"-")</f>
        <v>6.3E-2</v>
      </c>
      <c r="L888" s="150"/>
      <c r="M888" s="150"/>
      <c r="N888" s="150"/>
    </row>
    <row r="889" spans="1:14" x14ac:dyDescent="0.25">
      <c r="A889" s="159">
        <v>68</v>
      </c>
      <c r="B889" s="160">
        <v>5</v>
      </c>
      <c r="C889" s="160">
        <v>11700</v>
      </c>
      <c r="D889" s="160" t="s">
        <v>3674</v>
      </c>
      <c r="E889" s="160">
        <v>5</v>
      </c>
      <c r="F889" s="160" t="s">
        <v>74</v>
      </c>
      <c r="G889" s="148">
        <v>32</v>
      </c>
      <c r="H889" s="152">
        <f>IF(C889=11700,ROUND(VLOOKUP(G889,ThongSo!$F$2:$I$15,4,0)*B889*11.7,3),0)</f>
        <v>369.13499999999999</v>
      </c>
      <c r="I889" s="152">
        <f>IF(F889="Sắt vụn",ROUND(VLOOKUP(G889,ThongSo!$F$2:$I$15,4,0)*B889*E889/1000,3),"-")</f>
        <v>0.158</v>
      </c>
      <c r="L889" s="150"/>
      <c r="M889" s="150"/>
      <c r="N889" s="150"/>
    </row>
    <row r="890" spans="1:14" x14ac:dyDescent="0.25">
      <c r="A890" s="159">
        <v>69</v>
      </c>
      <c r="B890" s="160">
        <v>1</v>
      </c>
      <c r="C890" s="160">
        <v>11700</v>
      </c>
      <c r="D890" s="160" t="s">
        <v>3675</v>
      </c>
      <c r="E890" s="160">
        <v>5</v>
      </c>
      <c r="F890" s="160" t="s">
        <v>74</v>
      </c>
      <c r="G890" s="148">
        <v>32</v>
      </c>
      <c r="H890" s="152">
        <f>IF(C890=11700,ROUND(VLOOKUP(G890,ThongSo!$F$2:$I$15,4,0)*B890*11.7,3),0)</f>
        <v>73.826999999999998</v>
      </c>
      <c r="I890" s="152">
        <f>IF(F890="Sắt vụn",ROUND(VLOOKUP(G890,ThongSo!$F$2:$I$15,4,0)*B890*E890/1000,3),"-")</f>
        <v>3.2000000000000001E-2</v>
      </c>
      <c r="L890" s="150"/>
      <c r="M890" s="150"/>
      <c r="N890" s="150"/>
    </row>
    <row r="891" spans="1:14" x14ac:dyDescent="0.25">
      <c r="A891" s="159">
        <v>70</v>
      </c>
      <c r="B891" s="160">
        <v>3</v>
      </c>
      <c r="C891" s="160">
        <v>11700</v>
      </c>
      <c r="D891" s="160" t="s">
        <v>3676</v>
      </c>
      <c r="E891" s="160">
        <v>5</v>
      </c>
      <c r="F891" s="160" t="s">
        <v>74</v>
      </c>
      <c r="G891" s="148">
        <v>32</v>
      </c>
      <c r="H891" s="152">
        <f>IF(C891=11700,ROUND(VLOOKUP(G891,ThongSo!$F$2:$I$15,4,0)*B891*11.7,3),0)</f>
        <v>221.48099999999999</v>
      </c>
      <c r="I891" s="152">
        <f>IF(F891="Sắt vụn",ROUND(VLOOKUP(G891,ThongSo!$F$2:$I$15,4,0)*B891*E891/1000,3),"-")</f>
        <v>9.5000000000000001E-2</v>
      </c>
      <c r="L891" s="150"/>
      <c r="M891" s="150"/>
      <c r="N891" s="150"/>
    </row>
    <row r="892" spans="1:14" x14ac:dyDescent="0.25">
      <c r="A892" s="159">
        <v>71</v>
      </c>
      <c r="B892" s="160">
        <v>3</v>
      </c>
      <c r="C892" s="160">
        <v>11700</v>
      </c>
      <c r="D892" s="160" t="s">
        <v>3677</v>
      </c>
      <c r="E892" s="160">
        <v>5</v>
      </c>
      <c r="F892" s="160" t="s">
        <v>74</v>
      </c>
      <c r="G892" s="148">
        <v>32</v>
      </c>
      <c r="H892" s="152">
        <f>IF(C892=11700,ROUND(VLOOKUP(G892,ThongSo!$F$2:$I$15,4,0)*B892*11.7,3),0)</f>
        <v>221.48099999999999</v>
      </c>
      <c r="I892" s="152">
        <f>IF(F892="Sắt vụn",ROUND(VLOOKUP(G892,ThongSo!$F$2:$I$15,4,0)*B892*E892/1000,3),"-")</f>
        <v>9.5000000000000001E-2</v>
      </c>
      <c r="L892" s="150"/>
      <c r="M892" s="150"/>
      <c r="N892" s="150"/>
    </row>
    <row r="893" spans="1:14" x14ac:dyDescent="0.25">
      <c r="A893" s="159">
        <v>72</v>
      </c>
      <c r="B893" s="160">
        <v>1</v>
      </c>
      <c r="C893" s="160">
        <v>11700</v>
      </c>
      <c r="D893" s="160" t="s">
        <v>3678</v>
      </c>
      <c r="E893" s="160">
        <v>5</v>
      </c>
      <c r="F893" s="160" t="s">
        <v>74</v>
      </c>
      <c r="G893" s="148">
        <v>32</v>
      </c>
      <c r="H893" s="152">
        <f>IF(C893=11700,ROUND(VLOOKUP(G893,ThongSo!$F$2:$I$15,4,0)*B893*11.7,3),0)</f>
        <v>73.826999999999998</v>
      </c>
      <c r="I893" s="152">
        <f>IF(F893="Sắt vụn",ROUND(VLOOKUP(G893,ThongSo!$F$2:$I$15,4,0)*B893*E893/1000,3),"-")</f>
        <v>3.2000000000000001E-2</v>
      </c>
      <c r="L893" s="150"/>
      <c r="M893" s="150"/>
      <c r="N893" s="150"/>
    </row>
    <row r="894" spans="1:14" x14ac:dyDescent="0.25">
      <c r="A894" s="159">
        <v>73</v>
      </c>
      <c r="B894" s="160">
        <v>3</v>
      </c>
      <c r="C894" s="160">
        <v>11700</v>
      </c>
      <c r="D894" s="160" t="s">
        <v>3679</v>
      </c>
      <c r="E894" s="160">
        <v>5</v>
      </c>
      <c r="F894" s="160" t="s">
        <v>74</v>
      </c>
      <c r="G894" s="148">
        <v>32</v>
      </c>
      <c r="H894" s="152">
        <f>IF(C894=11700,ROUND(VLOOKUP(G894,ThongSo!$F$2:$I$15,4,0)*B894*11.7,3),0)</f>
        <v>221.48099999999999</v>
      </c>
      <c r="I894" s="152">
        <f>IF(F894="Sắt vụn",ROUND(VLOOKUP(G894,ThongSo!$F$2:$I$15,4,0)*B894*E894/1000,3),"-")</f>
        <v>9.5000000000000001E-2</v>
      </c>
      <c r="L894" s="150"/>
      <c r="M894" s="150"/>
      <c r="N894" s="150"/>
    </row>
    <row r="895" spans="1:14" x14ac:dyDescent="0.25">
      <c r="A895" s="159">
        <v>74</v>
      </c>
      <c r="B895" s="160">
        <v>4</v>
      </c>
      <c r="C895" s="160">
        <v>11700</v>
      </c>
      <c r="D895" s="160" t="s">
        <v>3680</v>
      </c>
      <c r="E895" s="160">
        <v>5</v>
      </c>
      <c r="F895" s="160" t="s">
        <v>74</v>
      </c>
      <c r="G895" s="148">
        <v>32</v>
      </c>
      <c r="H895" s="152">
        <f>IF(C895=11700,ROUND(VLOOKUP(G895,ThongSo!$F$2:$I$15,4,0)*B895*11.7,3),0)</f>
        <v>295.30799999999999</v>
      </c>
      <c r="I895" s="152">
        <f>IF(F895="Sắt vụn",ROUND(VLOOKUP(G895,ThongSo!$F$2:$I$15,4,0)*B895*E895/1000,3),"-")</f>
        <v>0.126</v>
      </c>
      <c r="L895" s="150"/>
      <c r="M895" s="150"/>
      <c r="N895" s="150"/>
    </row>
    <row r="896" spans="1:14" x14ac:dyDescent="0.25">
      <c r="A896" s="159">
        <v>75</v>
      </c>
      <c r="B896" s="160">
        <v>2</v>
      </c>
      <c r="C896" s="160">
        <v>11700</v>
      </c>
      <c r="D896" s="160" t="s">
        <v>3681</v>
      </c>
      <c r="E896" s="160">
        <v>5</v>
      </c>
      <c r="F896" s="160" t="s">
        <v>74</v>
      </c>
      <c r="G896" s="148">
        <v>32</v>
      </c>
      <c r="H896" s="152">
        <f>IF(C896=11700,ROUND(VLOOKUP(G896,ThongSo!$F$2:$I$15,4,0)*B896*11.7,3),0)</f>
        <v>147.654</v>
      </c>
      <c r="I896" s="152">
        <f>IF(F896="Sắt vụn",ROUND(VLOOKUP(G896,ThongSo!$F$2:$I$15,4,0)*B896*E896/1000,3),"-")</f>
        <v>6.3E-2</v>
      </c>
      <c r="L896" s="150"/>
      <c r="M896" s="150"/>
      <c r="N896" s="150"/>
    </row>
    <row r="897" spans="1:14" x14ac:dyDescent="0.25">
      <c r="A897" s="159">
        <v>76</v>
      </c>
      <c r="B897" s="160">
        <v>3</v>
      </c>
      <c r="C897" s="160">
        <v>11700</v>
      </c>
      <c r="D897" s="160" t="s">
        <v>3682</v>
      </c>
      <c r="E897" s="160">
        <v>5</v>
      </c>
      <c r="F897" s="160" t="s">
        <v>74</v>
      </c>
      <c r="G897" s="148">
        <v>32</v>
      </c>
      <c r="H897" s="152">
        <f>IF(C897=11700,ROUND(VLOOKUP(G897,ThongSo!$F$2:$I$15,4,0)*B897*11.7,3),0)</f>
        <v>221.48099999999999</v>
      </c>
      <c r="I897" s="152">
        <f>IF(F897="Sắt vụn",ROUND(VLOOKUP(G897,ThongSo!$F$2:$I$15,4,0)*B897*E897/1000,3),"-")</f>
        <v>9.5000000000000001E-2</v>
      </c>
      <c r="L897" s="150"/>
      <c r="M897" s="150"/>
      <c r="N897" s="150"/>
    </row>
    <row r="898" spans="1:14" x14ac:dyDescent="0.25">
      <c r="A898" s="159">
        <v>77</v>
      </c>
      <c r="B898" s="160">
        <v>1</v>
      </c>
      <c r="C898" s="160">
        <v>11700</v>
      </c>
      <c r="D898" s="160" t="s">
        <v>3683</v>
      </c>
      <c r="E898" s="160">
        <v>5</v>
      </c>
      <c r="F898" s="160" t="s">
        <v>74</v>
      </c>
      <c r="G898" s="148">
        <v>32</v>
      </c>
      <c r="H898" s="152">
        <f>IF(C898=11700,ROUND(VLOOKUP(G898,ThongSo!$F$2:$I$15,4,0)*B898*11.7,3),0)</f>
        <v>73.826999999999998</v>
      </c>
      <c r="I898" s="152">
        <f>IF(F898="Sắt vụn",ROUND(VLOOKUP(G898,ThongSo!$F$2:$I$15,4,0)*B898*E898/1000,3),"-")</f>
        <v>3.2000000000000001E-2</v>
      </c>
      <c r="L898" s="150"/>
      <c r="M898" s="150"/>
      <c r="N898" s="150"/>
    </row>
    <row r="899" spans="1:14" x14ac:dyDescent="0.25">
      <c r="A899" s="159">
        <v>78</v>
      </c>
      <c r="B899" s="160">
        <v>1</v>
      </c>
      <c r="C899" s="160">
        <v>11700</v>
      </c>
      <c r="D899" s="160" t="s">
        <v>3684</v>
      </c>
      <c r="E899" s="160">
        <v>10</v>
      </c>
      <c r="F899" s="160" t="s">
        <v>74</v>
      </c>
      <c r="G899" s="148">
        <v>32</v>
      </c>
      <c r="H899" s="152">
        <f>IF(C899=11700,ROUND(VLOOKUP(G899,ThongSo!$F$2:$I$15,4,0)*B899*11.7,3),0)</f>
        <v>73.826999999999998</v>
      </c>
      <c r="I899" s="152">
        <f>IF(F899="Sắt vụn",ROUND(VLOOKUP(G899,ThongSo!$F$2:$I$15,4,0)*B899*E899/1000,3),"-")</f>
        <v>6.3E-2</v>
      </c>
      <c r="L899" s="150"/>
      <c r="M899" s="150"/>
      <c r="N899" s="150"/>
    </row>
    <row r="900" spans="1:14" x14ac:dyDescent="0.25">
      <c r="A900" s="159">
        <v>79</v>
      </c>
      <c r="B900" s="160">
        <v>1</v>
      </c>
      <c r="C900" s="160">
        <v>11700</v>
      </c>
      <c r="D900" s="160" t="s">
        <v>3685</v>
      </c>
      <c r="E900" s="160">
        <v>10</v>
      </c>
      <c r="F900" s="160" t="s">
        <v>74</v>
      </c>
      <c r="G900" s="148">
        <v>32</v>
      </c>
      <c r="H900" s="152">
        <f>IF(C900=11700,ROUND(VLOOKUP(G900,ThongSo!$F$2:$I$15,4,0)*B900*11.7,3),0)</f>
        <v>73.826999999999998</v>
      </c>
      <c r="I900" s="152">
        <f>IF(F900="Sắt vụn",ROUND(VLOOKUP(G900,ThongSo!$F$2:$I$15,4,0)*B900*E900/1000,3),"-")</f>
        <v>6.3E-2</v>
      </c>
      <c r="L900" s="150"/>
      <c r="M900" s="150"/>
      <c r="N900" s="150"/>
    </row>
    <row r="901" spans="1:14" x14ac:dyDescent="0.25">
      <c r="A901" s="159">
        <v>80</v>
      </c>
      <c r="B901" s="160">
        <v>5</v>
      </c>
      <c r="C901" s="160">
        <v>11700</v>
      </c>
      <c r="D901" s="160" t="s">
        <v>3686</v>
      </c>
      <c r="E901" s="160">
        <v>15</v>
      </c>
      <c r="F901" s="160" t="s">
        <v>74</v>
      </c>
      <c r="G901" s="148">
        <v>32</v>
      </c>
      <c r="H901" s="152">
        <f>IF(C901=11700,ROUND(VLOOKUP(G901,ThongSo!$F$2:$I$15,4,0)*B901*11.7,3),0)</f>
        <v>369.13499999999999</v>
      </c>
      <c r="I901" s="152">
        <f>IF(F901="Sắt vụn",ROUND(VLOOKUP(G901,ThongSo!$F$2:$I$15,4,0)*B901*E901/1000,3),"-")</f>
        <v>0.47299999999999998</v>
      </c>
      <c r="L901" s="150"/>
      <c r="M901" s="150"/>
      <c r="N901" s="150"/>
    </row>
    <row r="902" spans="1:14" x14ac:dyDescent="0.25">
      <c r="A902" s="159">
        <v>81</v>
      </c>
      <c r="B902" s="160">
        <v>3</v>
      </c>
      <c r="C902" s="160">
        <v>11700</v>
      </c>
      <c r="D902" s="160" t="s">
        <v>3687</v>
      </c>
      <c r="E902" s="160">
        <v>15</v>
      </c>
      <c r="F902" s="160" t="s">
        <v>74</v>
      </c>
      <c r="G902" s="148">
        <v>32</v>
      </c>
      <c r="H902" s="152">
        <f>IF(C902=11700,ROUND(VLOOKUP(G902,ThongSo!$F$2:$I$15,4,0)*B902*11.7,3),0)</f>
        <v>221.48099999999999</v>
      </c>
      <c r="I902" s="152">
        <f>IF(F902="Sắt vụn",ROUND(VLOOKUP(G902,ThongSo!$F$2:$I$15,4,0)*B902*E902/1000,3),"-")</f>
        <v>0.28399999999999997</v>
      </c>
      <c r="L902" s="150"/>
      <c r="M902" s="150"/>
      <c r="N902" s="150"/>
    </row>
    <row r="903" spans="1:14" x14ac:dyDescent="0.25">
      <c r="A903" s="159">
        <v>82</v>
      </c>
      <c r="B903" s="160">
        <v>1</v>
      </c>
      <c r="C903" s="160">
        <v>11700</v>
      </c>
      <c r="D903" s="160" t="s">
        <v>3688</v>
      </c>
      <c r="E903" s="160">
        <v>20</v>
      </c>
      <c r="F903" s="160" t="s">
        <v>74</v>
      </c>
      <c r="G903" s="148">
        <v>32</v>
      </c>
      <c r="H903" s="152">
        <f>IF(C903=11700,ROUND(VLOOKUP(G903,ThongSo!$F$2:$I$15,4,0)*B903*11.7,3),0)</f>
        <v>73.826999999999998</v>
      </c>
      <c r="I903" s="152">
        <f>IF(F903="Sắt vụn",ROUND(VLOOKUP(G903,ThongSo!$F$2:$I$15,4,0)*B903*E903/1000,3),"-")</f>
        <v>0.126</v>
      </c>
      <c r="L903" s="150"/>
      <c r="M903" s="150"/>
      <c r="N903" s="150"/>
    </row>
    <row r="904" spans="1:14" x14ac:dyDescent="0.25">
      <c r="A904" s="159">
        <v>83</v>
      </c>
      <c r="B904" s="160">
        <v>4</v>
      </c>
      <c r="C904" s="160">
        <v>11700</v>
      </c>
      <c r="D904" s="160" t="s">
        <v>3689</v>
      </c>
      <c r="E904" s="160">
        <v>20</v>
      </c>
      <c r="F904" s="160" t="s">
        <v>74</v>
      </c>
      <c r="G904" s="148">
        <v>32</v>
      </c>
      <c r="H904" s="152">
        <f>IF(C904=11700,ROUND(VLOOKUP(G904,ThongSo!$F$2:$I$15,4,0)*B904*11.7,3),0)</f>
        <v>295.30799999999999</v>
      </c>
      <c r="I904" s="152">
        <f>IF(F904="Sắt vụn",ROUND(VLOOKUP(G904,ThongSo!$F$2:$I$15,4,0)*B904*E904/1000,3),"-")</f>
        <v>0.505</v>
      </c>
      <c r="L904" s="150"/>
      <c r="M904" s="150"/>
      <c r="N904" s="150"/>
    </row>
    <row r="905" spans="1:14" x14ac:dyDescent="0.25">
      <c r="A905" s="159">
        <v>84</v>
      </c>
      <c r="B905" s="160">
        <v>1</v>
      </c>
      <c r="C905" s="160">
        <v>11700</v>
      </c>
      <c r="D905" s="160" t="s">
        <v>3690</v>
      </c>
      <c r="E905" s="160">
        <v>20</v>
      </c>
      <c r="F905" s="160" t="s">
        <v>74</v>
      </c>
      <c r="G905" s="148">
        <v>32</v>
      </c>
      <c r="H905" s="152">
        <f>IF(C905=11700,ROUND(VLOOKUP(G905,ThongSo!$F$2:$I$15,4,0)*B905*11.7,3),0)</f>
        <v>73.826999999999998</v>
      </c>
      <c r="I905" s="152">
        <f>IF(F905="Sắt vụn",ROUND(VLOOKUP(G905,ThongSo!$F$2:$I$15,4,0)*B905*E905/1000,3),"-")</f>
        <v>0.126</v>
      </c>
      <c r="L905" s="150"/>
      <c r="M905" s="150"/>
      <c r="N905" s="150"/>
    </row>
    <row r="906" spans="1:14" x14ac:dyDescent="0.25">
      <c r="A906" s="159">
        <v>85</v>
      </c>
      <c r="B906" s="160">
        <v>2</v>
      </c>
      <c r="C906" s="160">
        <v>11700</v>
      </c>
      <c r="D906" s="160" t="s">
        <v>3691</v>
      </c>
      <c r="E906" s="160">
        <v>20</v>
      </c>
      <c r="F906" s="160" t="s">
        <v>74</v>
      </c>
      <c r="G906" s="148">
        <v>32</v>
      </c>
      <c r="H906" s="152">
        <f>IF(C906=11700,ROUND(VLOOKUP(G906,ThongSo!$F$2:$I$15,4,0)*B906*11.7,3),0)</f>
        <v>147.654</v>
      </c>
      <c r="I906" s="152">
        <f>IF(F906="Sắt vụn",ROUND(VLOOKUP(G906,ThongSo!$F$2:$I$15,4,0)*B906*E906/1000,3),"-")</f>
        <v>0.252</v>
      </c>
      <c r="L906" s="150"/>
      <c r="M906" s="150"/>
      <c r="N906" s="150"/>
    </row>
    <row r="907" spans="1:14" x14ac:dyDescent="0.25">
      <c r="A907" s="159">
        <v>86</v>
      </c>
      <c r="B907" s="160">
        <v>3</v>
      </c>
      <c r="C907" s="160">
        <v>11700</v>
      </c>
      <c r="D907" s="160" t="s">
        <v>3692</v>
      </c>
      <c r="E907" s="160">
        <v>30</v>
      </c>
      <c r="F907" s="160" t="s">
        <v>74</v>
      </c>
      <c r="G907" s="148">
        <v>32</v>
      </c>
      <c r="H907" s="152">
        <f>IF(C907=11700,ROUND(VLOOKUP(G907,ThongSo!$F$2:$I$15,4,0)*B907*11.7,3),0)</f>
        <v>221.48099999999999</v>
      </c>
      <c r="I907" s="152">
        <f>IF(F907="Sắt vụn",ROUND(VLOOKUP(G907,ThongSo!$F$2:$I$15,4,0)*B907*E907/1000,3),"-")</f>
        <v>0.56799999999999995</v>
      </c>
      <c r="L907" s="150"/>
      <c r="M907" s="150"/>
      <c r="N907" s="150"/>
    </row>
    <row r="908" spans="1:14" x14ac:dyDescent="0.25">
      <c r="A908" s="159">
        <v>87</v>
      </c>
      <c r="B908" s="160">
        <v>1</v>
      </c>
      <c r="C908" s="160">
        <v>11700</v>
      </c>
      <c r="D908" s="160" t="s">
        <v>3693</v>
      </c>
      <c r="E908" s="160">
        <v>30</v>
      </c>
      <c r="F908" s="160" t="s">
        <v>74</v>
      </c>
      <c r="G908" s="148">
        <v>32</v>
      </c>
      <c r="H908" s="152">
        <f>IF(C908=11700,ROUND(VLOOKUP(G908,ThongSo!$F$2:$I$15,4,0)*B908*11.7,3),0)</f>
        <v>73.826999999999998</v>
      </c>
      <c r="I908" s="152">
        <f>IF(F908="Sắt vụn",ROUND(VLOOKUP(G908,ThongSo!$F$2:$I$15,4,0)*B908*E908/1000,3),"-")</f>
        <v>0.189</v>
      </c>
      <c r="L908" s="150"/>
      <c r="M908" s="150"/>
      <c r="N908" s="150"/>
    </row>
    <row r="909" spans="1:14" x14ac:dyDescent="0.25">
      <c r="A909" s="159">
        <v>88</v>
      </c>
      <c r="B909" s="160">
        <v>2</v>
      </c>
      <c r="C909" s="160">
        <v>11700</v>
      </c>
      <c r="D909" s="160" t="s">
        <v>3694</v>
      </c>
      <c r="E909" s="160">
        <v>30</v>
      </c>
      <c r="F909" s="160" t="s">
        <v>74</v>
      </c>
      <c r="G909" s="148">
        <v>32</v>
      </c>
      <c r="H909" s="152">
        <f>IF(C909=11700,ROUND(VLOOKUP(G909,ThongSo!$F$2:$I$15,4,0)*B909*11.7,3),0)</f>
        <v>147.654</v>
      </c>
      <c r="I909" s="152">
        <f>IF(F909="Sắt vụn",ROUND(VLOOKUP(G909,ThongSo!$F$2:$I$15,4,0)*B909*E909/1000,3),"-")</f>
        <v>0.379</v>
      </c>
      <c r="L909" s="150"/>
      <c r="M909" s="150"/>
      <c r="N909" s="150"/>
    </row>
    <row r="910" spans="1:14" x14ac:dyDescent="0.25">
      <c r="A910" s="159">
        <v>89</v>
      </c>
      <c r="B910" s="160">
        <v>1</v>
      </c>
      <c r="C910" s="160">
        <v>11700</v>
      </c>
      <c r="D910" s="160" t="s">
        <v>3695</v>
      </c>
      <c r="E910" s="160">
        <v>40</v>
      </c>
      <c r="F910" s="160" t="s">
        <v>74</v>
      </c>
      <c r="G910" s="148">
        <v>32</v>
      </c>
      <c r="H910" s="152">
        <f>IF(C910=11700,ROUND(VLOOKUP(G910,ThongSo!$F$2:$I$15,4,0)*B910*11.7,3),0)</f>
        <v>73.826999999999998</v>
      </c>
      <c r="I910" s="152">
        <f>IF(F910="Sắt vụn",ROUND(VLOOKUP(G910,ThongSo!$F$2:$I$15,4,0)*B910*E910/1000,3),"-")</f>
        <v>0.252</v>
      </c>
      <c r="L910" s="150"/>
      <c r="M910" s="150"/>
      <c r="N910" s="150"/>
    </row>
    <row r="911" spans="1:14" x14ac:dyDescent="0.25">
      <c r="A911" s="159">
        <v>90</v>
      </c>
      <c r="B911" s="160">
        <v>1</v>
      </c>
      <c r="C911" s="160">
        <v>11700</v>
      </c>
      <c r="D911" s="160" t="s">
        <v>3696</v>
      </c>
      <c r="E911" s="160">
        <v>40</v>
      </c>
      <c r="F911" s="160" t="s">
        <v>74</v>
      </c>
      <c r="G911" s="148">
        <v>32</v>
      </c>
      <c r="H911" s="152">
        <f>IF(C911=11700,ROUND(VLOOKUP(G911,ThongSo!$F$2:$I$15,4,0)*B911*11.7,3),0)</f>
        <v>73.826999999999998</v>
      </c>
      <c r="I911" s="152">
        <f>IF(F911="Sắt vụn",ROUND(VLOOKUP(G911,ThongSo!$F$2:$I$15,4,0)*B911*E911/1000,3),"-")</f>
        <v>0.252</v>
      </c>
      <c r="L911" s="150"/>
      <c r="M911" s="150"/>
      <c r="N911" s="150"/>
    </row>
    <row r="912" spans="1:14" x14ac:dyDescent="0.25">
      <c r="A912" s="159">
        <v>91</v>
      </c>
      <c r="B912" s="160">
        <v>3</v>
      </c>
      <c r="C912" s="160">
        <v>11700</v>
      </c>
      <c r="D912" s="160" t="s">
        <v>3697</v>
      </c>
      <c r="E912" s="160">
        <v>45</v>
      </c>
      <c r="F912" s="160" t="s">
        <v>74</v>
      </c>
      <c r="G912" s="148">
        <v>32</v>
      </c>
      <c r="H912" s="152">
        <f>IF(C912=11700,ROUND(VLOOKUP(G912,ThongSo!$F$2:$I$15,4,0)*B912*11.7,3),0)</f>
        <v>221.48099999999999</v>
      </c>
      <c r="I912" s="152">
        <f>IF(F912="Sắt vụn",ROUND(VLOOKUP(G912,ThongSo!$F$2:$I$15,4,0)*B912*E912/1000,3),"-")</f>
        <v>0.85199999999999998</v>
      </c>
      <c r="L912" s="150"/>
      <c r="M912" s="150"/>
      <c r="N912" s="150"/>
    </row>
    <row r="913" spans="1:14" x14ac:dyDescent="0.25">
      <c r="A913" s="159">
        <v>92</v>
      </c>
      <c r="B913" s="160">
        <v>2</v>
      </c>
      <c r="C913" s="160">
        <v>11700</v>
      </c>
      <c r="D913" s="160" t="s">
        <v>3698</v>
      </c>
      <c r="E913" s="160">
        <v>55</v>
      </c>
      <c r="F913" s="160" t="s">
        <v>74</v>
      </c>
      <c r="G913" s="148">
        <v>32</v>
      </c>
      <c r="H913" s="152">
        <f>IF(C913=11700,ROUND(VLOOKUP(G913,ThongSo!$F$2:$I$15,4,0)*B913*11.7,3),0)</f>
        <v>147.654</v>
      </c>
      <c r="I913" s="152">
        <f>IF(F913="Sắt vụn",ROUND(VLOOKUP(G913,ThongSo!$F$2:$I$15,4,0)*B913*E913/1000,3),"-")</f>
        <v>0.69399999999999995</v>
      </c>
      <c r="L913" s="150"/>
      <c r="M913" s="150"/>
      <c r="N913" s="150"/>
    </row>
    <row r="914" spans="1:14" x14ac:dyDescent="0.25">
      <c r="A914" s="159">
        <v>93</v>
      </c>
      <c r="B914" s="160">
        <v>3</v>
      </c>
      <c r="C914" s="160">
        <v>11700</v>
      </c>
      <c r="D914" s="160" t="s">
        <v>3699</v>
      </c>
      <c r="E914" s="160">
        <v>55</v>
      </c>
      <c r="F914" s="160" t="s">
        <v>74</v>
      </c>
      <c r="G914" s="148">
        <v>32</v>
      </c>
      <c r="H914" s="152">
        <f>IF(C914=11700,ROUND(VLOOKUP(G914,ThongSo!$F$2:$I$15,4,0)*B914*11.7,3),0)</f>
        <v>221.48099999999999</v>
      </c>
      <c r="I914" s="152">
        <f>IF(F914="Sắt vụn",ROUND(VLOOKUP(G914,ThongSo!$F$2:$I$15,4,0)*B914*E914/1000,3),"-")</f>
        <v>1.0409999999999999</v>
      </c>
      <c r="L914" s="150"/>
      <c r="M914" s="150"/>
      <c r="N914" s="150"/>
    </row>
    <row r="915" spans="1:14" x14ac:dyDescent="0.25">
      <c r="A915" s="159">
        <v>94</v>
      </c>
      <c r="B915" s="160">
        <v>1</v>
      </c>
      <c r="C915" s="160">
        <v>11700</v>
      </c>
      <c r="D915" s="160" t="s">
        <v>3700</v>
      </c>
      <c r="E915" s="160">
        <v>60</v>
      </c>
      <c r="F915" s="160" t="s">
        <v>74</v>
      </c>
      <c r="G915" s="148">
        <v>32</v>
      </c>
      <c r="H915" s="152">
        <f>IF(C915=11700,ROUND(VLOOKUP(G915,ThongSo!$F$2:$I$15,4,0)*B915*11.7,3),0)</f>
        <v>73.826999999999998</v>
      </c>
      <c r="I915" s="152">
        <f>IF(F915="Sắt vụn",ROUND(VLOOKUP(G915,ThongSo!$F$2:$I$15,4,0)*B915*E915/1000,3),"-")</f>
        <v>0.379</v>
      </c>
      <c r="L915" s="150"/>
      <c r="M915" s="150"/>
      <c r="N915" s="150"/>
    </row>
    <row r="916" spans="1:14" x14ac:dyDescent="0.25">
      <c r="A916" s="159">
        <v>95</v>
      </c>
      <c r="B916" s="160">
        <v>5</v>
      </c>
      <c r="C916" s="160">
        <v>11700</v>
      </c>
      <c r="D916" s="160" t="s">
        <v>3701</v>
      </c>
      <c r="E916" s="160">
        <v>70</v>
      </c>
      <c r="F916" s="160" t="s">
        <v>74</v>
      </c>
      <c r="G916" s="148">
        <v>32</v>
      </c>
      <c r="H916" s="152">
        <f>IF(C916=11700,ROUND(VLOOKUP(G916,ThongSo!$F$2:$I$15,4,0)*B916*11.7,3),0)</f>
        <v>369.13499999999999</v>
      </c>
      <c r="I916" s="152">
        <f>IF(F916="Sắt vụn",ROUND(VLOOKUP(G916,ThongSo!$F$2:$I$15,4,0)*B916*E916/1000,3),"-")</f>
        <v>2.2090000000000001</v>
      </c>
      <c r="L916" s="150"/>
      <c r="M916" s="150"/>
      <c r="N916" s="150"/>
    </row>
    <row r="917" spans="1:14" x14ac:dyDescent="0.25">
      <c r="A917" s="159">
        <v>96</v>
      </c>
      <c r="B917" s="160">
        <v>1</v>
      </c>
      <c r="C917" s="160">
        <v>11700</v>
      </c>
      <c r="D917" s="160" t="s">
        <v>3702</v>
      </c>
      <c r="E917" s="160">
        <v>80</v>
      </c>
      <c r="F917" s="160" t="s">
        <v>74</v>
      </c>
      <c r="G917" s="148">
        <v>32</v>
      </c>
      <c r="H917" s="152">
        <f>IF(C917=11700,ROUND(VLOOKUP(G917,ThongSo!$F$2:$I$15,4,0)*B917*11.7,3),0)</f>
        <v>73.826999999999998</v>
      </c>
      <c r="I917" s="152">
        <f>IF(F917="Sắt vụn",ROUND(VLOOKUP(G917,ThongSo!$F$2:$I$15,4,0)*B917*E917/1000,3),"-")</f>
        <v>0.505</v>
      </c>
      <c r="L917" s="150"/>
      <c r="M917" s="150"/>
      <c r="N917" s="150"/>
    </row>
    <row r="918" spans="1:14" x14ac:dyDescent="0.25">
      <c r="A918" s="159">
        <v>97</v>
      </c>
      <c r="B918" s="160">
        <v>7</v>
      </c>
      <c r="C918" s="160">
        <v>11700</v>
      </c>
      <c r="D918" s="160" t="s">
        <v>3703</v>
      </c>
      <c r="E918" s="160">
        <v>105</v>
      </c>
      <c r="F918" s="160" t="s">
        <v>74</v>
      </c>
      <c r="G918" s="148">
        <v>32</v>
      </c>
      <c r="H918" s="152">
        <f>IF(C918=11700,ROUND(VLOOKUP(G918,ThongSo!$F$2:$I$15,4,0)*B918*11.7,3),0)</f>
        <v>516.78899999999999</v>
      </c>
      <c r="I918" s="152">
        <f>IF(F918="Sắt vụn",ROUND(VLOOKUP(G918,ThongSo!$F$2:$I$15,4,0)*B918*E918/1000,3),"-")</f>
        <v>4.6379999999999999</v>
      </c>
      <c r="L918" s="150"/>
      <c r="M918" s="150"/>
      <c r="N918" s="150"/>
    </row>
    <row r="919" spans="1:14" x14ac:dyDescent="0.25">
      <c r="A919" s="159">
        <v>98</v>
      </c>
      <c r="B919" s="160">
        <v>4</v>
      </c>
      <c r="C919" s="160">
        <v>11700</v>
      </c>
      <c r="D919" s="160" t="s">
        <v>3704</v>
      </c>
      <c r="E919" s="160">
        <v>105</v>
      </c>
      <c r="F919" s="160" t="s">
        <v>74</v>
      </c>
      <c r="G919" s="148">
        <v>32</v>
      </c>
      <c r="H919" s="152">
        <f>IF(C919=11700,ROUND(VLOOKUP(G919,ThongSo!$F$2:$I$15,4,0)*B919*11.7,3),0)</f>
        <v>295.30799999999999</v>
      </c>
      <c r="I919" s="152">
        <f>IF(F919="Sắt vụn",ROUND(VLOOKUP(G919,ThongSo!$F$2:$I$15,4,0)*B919*E919/1000,3),"-")</f>
        <v>2.65</v>
      </c>
      <c r="L919" s="150"/>
      <c r="M919" s="150"/>
      <c r="N919" s="150"/>
    </row>
    <row r="920" spans="1:14" x14ac:dyDescent="0.25">
      <c r="A920" s="159">
        <v>99</v>
      </c>
      <c r="B920" s="160">
        <v>1</v>
      </c>
      <c r="C920" s="160">
        <v>11700</v>
      </c>
      <c r="D920" s="160" t="s">
        <v>3705</v>
      </c>
      <c r="E920" s="160">
        <v>110</v>
      </c>
      <c r="F920" s="160" t="s">
        <v>74</v>
      </c>
      <c r="G920" s="148">
        <v>32</v>
      </c>
      <c r="H920" s="152">
        <f>IF(C920=11700,ROUND(VLOOKUP(G920,ThongSo!$F$2:$I$15,4,0)*B920*11.7,3),0)</f>
        <v>73.826999999999998</v>
      </c>
      <c r="I920" s="152">
        <f>IF(F920="Sắt vụn",ROUND(VLOOKUP(G920,ThongSo!$F$2:$I$15,4,0)*B920*E920/1000,3),"-")</f>
        <v>0.69399999999999995</v>
      </c>
      <c r="L920" s="150"/>
      <c r="M920" s="150"/>
      <c r="N920" s="150"/>
    </row>
    <row r="921" spans="1:14" x14ac:dyDescent="0.25">
      <c r="A921" s="159">
        <v>100</v>
      </c>
      <c r="B921" s="160">
        <v>1</v>
      </c>
      <c r="C921" s="160">
        <v>11700</v>
      </c>
      <c r="D921" s="160" t="s">
        <v>3706</v>
      </c>
      <c r="E921" s="160">
        <v>120</v>
      </c>
      <c r="F921" s="160" t="s">
        <v>74</v>
      </c>
      <c r="G921" s="148">
        <v>32</v>
      </c>
      <c r="H921" s="152">
        <f>IF(C921=11700,ROUND(VLOOKUP(G921,ThongSo!$F$2:$I$15,4,0)*B921*11.7,3),0)</f>
        <v>73.826999999999998</v>
      </c>
      <c r="I921" s="152">
        <f>IF(F921="Sắt vụn",ROUND(VLOOKUP(G921,ThongSo!$F$2:$I$15,4,0)*B921*E921/1000,3),"-")</f>
        <v>0.75700000000000001</v>
      </c>
      <c r="L921" s="150"/>
      <c r="M921" s="150"/>
      <c r="N921" s="150"/>
    </row>
    <row r="922" spans="1:14" x14ac:dyDescent="0.25">
      <c r="A922" s="159">
        <v>101</v>
      </c>
      <c r="B922" s="160">
        <v>1</v>
      </c>
      <c r="C922" s="160">
        <v>11700</v>
      </c>
      <c r="D922" s="160" t="s">
        <v>3707</v>
      </c>
      <c r="E922" s="160">
        <v>140</v>
      </c>
      <c r="F922" s="160" t="s">
        <v>74</v>
      </c>
      <c r="G922" s="148">
        <v>32</v>
      </c>
      <c r="H922" s="152">
        <f>IF(C922=11700,ROUND(VLOOKUP(G922,ThongSo!$F$2:$I$15,4,0)*B922*11.7,3),0)</f>
        <v>73.826999999999998</v>
      </c>
      <c r="I922" s="152">
        <f>IF(F922="Sắt vụn",ROUND(VLOOKUP(G922,ThongSo!$F$2:$I$15,4,0)*B922*E922/1000,3),"-")</f>
        <v>0.88300000000000001</v>
      </c>
      <c r="L922" s="150"/>
      <c r="M922" s="150"/>
      <c r="N922" s="150"/>
    </row>
    <row r="923" spans="1:14" x14ac:dyDescent="0.25">
      <c r="A923" s="159">
        <v>102</v>
      </c>
      <c r="B923" s="160">
        <v>2</v>
      </c>
      <c r="C923" s="160">
        <v>11700</v>
      </c>
      <c r="D923" s="160" t="s">
        <v>3708</v>
      </c>
      <c r="E923" s="160">
        <v>155</v>
      </c>
      <c r="F923" s="160" t="s">
        <v>74</v>
      </c>
      <c r="G923" s="148">
        <v>32</v>
      </c>
      <c r="H923" s="152">
        <f>IF(C923=11700,ROUND(VLOOKUP(G923,ThongSo!$F$2:$I$15,4,0)*B923*11.7,3),0)</f>
        <v>147.654</v>
      </c>
      <c r="I923" s="152">
        <f>IF(F923="Sắt vụn",ROUND(VLOOKUP(G923,ThongSo!$F$2:$I$15,4,0)*B923*E923/1000,3),"-")</f>
        <v>1.956</v>
      </c>
      <c r="L923" s="150"/>
      <c r="M923" s="150"/>
      <c r="N923" s="150"/>
    </row>
    <row r="924" spans="1:14" x14ac:dyDescent="0.25">
      <c r="A924" s="159">
        <v>103</v>
      </c>
      <c r="B924" s="160">
        <v>2</v>
      </c>
      <c r="C924" s="160">
        <v>11700</v>
      </c>
      <c r="D924" s="160" t="s">
        <v>3709</v>
      </c>
      <c r="E924" s="160">
        <v>155</v>
      </c>
      <c r="F924" s="160" t="s">
        <v>74</v>
      </c>
      <c r="G924" s="148">
        <v>32</v>
      </c>
      <c r="H924" s="152">
        <f>IF(C924=11700,ROUND(VLOOKUP(G924,ThongSo!$F$2:$I$15,4,0)*B924*11.7,3),0)</f>
        <v>147.654</v>
      </c>
      <c r="I924" s="152">
        <f>IF(F924="Sắt vụn",ROUND(VLOOKUP(G924,ThongSo!$F$2:$I$15,4,0)*B924*E924/1000,3),"-")</f>
        <v>1.956</v>
      </c>
      <c r="L924" s="150"/>
      <c r="M924" s="150"/>
      <c r="N924" s="150"/>
    </row>
    <row r="925" spans="1:14" x14ac:dyDescent="0.25">
      <c r="A925" s="159">
        <v>104</v>
      </c>
      <c r="B925" s="160">
        <v>5</v>
      </c>
      <c r="C925" s="160">
        <v>11700</v>
      </c>
      <c r="D925" s="160" t="s">
        <v>3710</v>
      </c>
      <c r="E925" s="160">
        <v>175</v>
      </c>
      <c r="F925" s="160" t="s">
        <v>74</v>
      </c>
      <c r="G925" s="148">
        <v>32</v>
      </c>
      <c r="H925" s="152">
        <f>IF(C925=11700,ROUND(VLOOKUP(G925,ThongSo!$F$2:$I$15,4,0)*B925*11.7,3),0)</f>
        <v>369.13499999999999</v>
      </c>
      <c r="I925" s="152">
        <f>IF(F925="Sắt vụn",ROUND(VLOOKUP(G925,ThongSo!$F$2:$I$15,4,0)*B925*E925/1000,3),"-")</f>
        <v>5.5209999999999999</v>
      </c>
      <c r="L925" s="150"/>
      <c r="M925" s="150"/>
      <c r="N925" s="150"/>
    </row>
    <row r="926" spans="1:14" x14ac:dyDescent="0.25">
      <c r="A926" s="159">
        <v>105</v>
      </c>
      <c r="B926" s="160">
        <v>3</v>
      </c>
      <c r="C926" s="160">
        <v>11700</v>
      </c>
      <c r="D926" s="160" t="s">
        <v>3711</v>
      </c>
      <c r="E926" s="160">
        <v>195</v>
      </c>
      <c r="F926" s="160" t="s">
        <v>74</v>
      </c>
      <c r="G926" s="148">
        <v>32</v>
      </c>
      <c r="H926" s="152">
        <f>IF(C926=11700,ROUND(VLOOKUP(G926,ThongSo!$F$2:$I$15,4,0)*B926*11.7,3),0)</f>
        <v>221.48099999999999</v>
      </c>
      <c r="I926" s="152">
        <f>IF(F926="Sắt vụn",ROUND(VLOOKUP(G926,ThongSo!$F$2:$I$15,4,0)*B926*E926/1000,3),"-")</f>
        <v>3.6909999999999998</v>
      </c>
      <c r="L926" s="150"/>
      <c r="M926" s="150"/>
      <c r="N926" s="150"/>
    </row>
    <row r="927" spans="1:14" x14ac:dyDescent="0.25">
      <c r="A927" s="159">
        <v>106</v>
      </c>
      <c r="B927" s="160">
        <v>2</v>
      </c>
      <c r="C927" s="160">
        <v>11700</v>
      </c>
      <c r="D927" s="160" t="s">
        <v>3712</v>
      </c>
      <c r="E927" s="160">
        <v>245</v>
      </c>
      <c r="F927" s="160" t="s">
        <v>74</v>
      </c>
      <c r="G927" s="148">
        <v>32</v>
      </c>
      <c r="H927" s="152">
        <f>IF(C927=11700,ROUND(VLOOKUP(G927,ThongSo!$F$2:$I$15,4,0)*B927*11.7,3),0)</f>
        <v>147.654</v>
      </c>
      <c r="I927" s="152">
        <f>IF(F927="Sắt vụn",ROUND(VLOOKUP(G927,ThongSo!$F$2:$I$15,4,0)*B927*E927/1000,3),"-")</f>
        <v>3.0920000000000001</v>
      </c>
      <c r="L927" s="150"/>
      <c r="M927" s="150"/>
      <c r="N927" s="150"/>
    </row>
    <row r="928" spans="1:14" x14ac:dyDescent="0.25">
      <c r="A928" s="159">
        <v>107</v>
      </c>
      <c r="B928" s="160">
        <v>3</v>
      </c>
      <c r="C928" s="160">
        <v>11700</v>
      </c>
      <c r="D928" s="160" t="s">
        <v>3713</v>
      </c>
      <c r="E928" s="160">
        <v>275</v>
      </c>
      <c r="F928" s="160" t="s">
        <v>74</v>
      </c>
      <c r="G928" s="148">
        <v>32</v>
      </c>
      <c r="H928" s="152">
        <f>IF(C928=11700,ROUND(VLOOKUP(G928,ThongSo!$F$2:$I$15,4,0)*B928*11.7,3),0)</f>
        <v>221.48099999999999</v>
      </c>
      <c r="I928" s="152">
        <f>IF(F928="Sắt vụn",ROUND(VLOOKUP(G928,ThongSo!$F$2:$I$15,4,0)*B928*E928/1000,3),"-")</f>
        <v>5.2060000000000004</v>
      </c>
      <c r="L928" s="150"/>
      <c r="M928" s="150"/>
      <c r="N928" s="150"/>
    </row>
    <row r="929" spans="1:14" x14ac:dyDescent="0.25">
      <c r="A929" s="159">
        <v>108</v>
      </c>
      <c r="B929" s="160">
        <v>1</v>
      </c>
      <c r="C929" s="160">
        <v>11700</v>
      </c>
      <c r="D929" s="160" t="s">
        <v>3714</v>
      </c>
      <c r="E929" s="160">
        <v>320</v>
      </c>
      <c r="F929" s="160" t="s">
        <v>74</v>
      </c>
      <c r="G929" s="148">
        <v>32</v>
      </c>
      <c r="H929" s="152">
        <f>IF(C929=11700,ROUND(VLOOKUP(G929,ThongSo!$F$2:$I$15,4,0)*B929*11.7,3),0)</f>
        <v>73.826999999999998</v>
      </c>
      <c r="I929" s="152">
        <f>IF(F929="Sắt vụn",ROUND(VLOOKUP(G929,ThongSo!$F$2:$I$15,4,0)*B929*E929/1000,3),"-")</f>
        <v>2.0190000000000001</v>
      </c>
      <c r="L929" s="150"/>
      <c r="M929" s="150"/>
      <c r="N929" s="150"/>
    </row>
    <row r="930" spans="1:14" x14ac:dyDescent="0.25">
      <c r="A930" s="159">
        <v>109</v>
      </c>
      <c r="B930" s="160">
        <v>3</v>
      </c>
      <c r="C930" s="160">
        <v>11700</v>
      </c>
      <c r="D930" s="160" t="s">
        <v>3715</v>
      </c>
      <c r="E930" s="160">
        <v>320</v>
      </c>
      <c r="F930" s="160" t="s">
        <v>74</v>
      </c>
      <c r="G930" s="148">
        <v>32</v>
      </c>
      <c r="H930" s="152">
        <f>IF(C930=11700,ROUND(VLOOKUP(G930,ThongSo!$F$2:$I$15,4,0)*B930*11.7,3),0)</f>
        <v>221.48099999999999</v>
      </c>
      <c r="I930" s="152">
        <f>IF(F930="Sắt vụn",ROUND(VLOOKUP(G930,ThongSo!$F$2:$I$15,4,0)*B930*E930/1000,3),"-")</f>
        <v>6.0579999999999998</v>
      </c>
      <c r="L930" s="150"/>
      <c r="M930" s="150"/>
      <c r="N930" s="150"/>
    </row>
    <row r="931" spans="1:14" x14ac:dyDescent="0.25">
      <c r="A931" s="159">
        <v>110</v>
      </c>
      <c r="B931" s="160">
        <v>2</v>
      </c>
      <c r="C931" s="160">
        <v>11700</v>
      </c>
      <c r="D931" s="160" t="s">
        <v>3716</v>
      </c>
      <c r="E931" s="160">
        <v>465</v>
      </c>
      <c r="F931" s="160" t="s">
        <v>74</v>
      </c>
      <c r="G931" s="148">
        <v>32</v>
      </c>
      <c r="H931" s="152">
        <f>IF(C931=11700,ROUND(VLOOKUP(G931,ThongSo!$F$2:$I$15,4,0)*B931*11.7,3),0)</f>
        <v>147.654</v>
      </c>
      <c r="I931" s="152">
        <f>IF(F931="Sắt vụn",ROUND(VLOOKUP(G931,ThongSo!$F$2:$I$15,4,0)*B931*E931/1000,3),"-")</f>
        <v>5.8680000000000003</v>
      </c>
      <c r="L931" s="150"/>
      <c r="M931" s="150"/>
      <c r="N931" s="150"/>
    </row>
    <row r="932" spans="1:14" x14ac:dyDescent="0.25">
      <c r="A932" s="159">
        <v>111</v>
      </c>
      <c r="B932" s="160">
        <v>4</v>
      </c>
      <c r="C932" s="160">
        <v>11700</v>
      </c>
      <c r="D932" s="160" t="s">
        <v>3717</v>
      </c>
      <c r="E932" s="160">
        <v>520</v>
      </c>
      <c r="F932" s="160" t="s">
        <v>74</v>
      </c>
      <c r="G932" s="148">
        <v>32</v>
      </c>
      <c r="H932" s="152">
        <f>IF(C932=11700,ROUND(VLOOKUP(G932,ThongSo!$F$2:$I$15,4,0)*B932*11.7,3),0)</f>
        <v>295.30799999999999</v>
      </c>
      <c r="I932" s="152">
        <f>IF(F932="Sắt vụn",ROUND(VLOOKUP(G932,ThongSo!$F$2:$I$15,4,0)*B932*E932/1000,3),"-")</f>
        <v>13.125</v>
      </c>
      <c r="L932" s="150"/>
      <c r="M932" s="150"/>
      <c r="N932" s="150"/>
    </row>
    <row r="933" spans="1:14" x14ac:dyDescent="0.25">
      <c r="A933" s="159">
        <v>112</v>
      </c>
      <c r="B933" s="160">
        <v>2</v>
      </c>
      <c r="C933" s="160">
        <v>11700</v>
      </c>
      <c r="D933" s="160" t="s">
        <v>3718</v>
      </c>
      <c r="E933" s="160">
        <v>525</v>
      </c>
      <c r="F933" s="160" t="s">
        <v>74</v>
      </c>
      <c r="G933" s="148">
        <v>32</v>
      </c>
      <c r="H933" s="152">
        <f>IF(C933=11700,ROUND(VLOOKUP(G933,ThongSo!$F$2:$I$15,4,0)*B933*11.7,3),0)</f>
        <v>147.654</v>
      </c>
      <c r="I933" s="152">
        <f>IF(F933="Sắt vụn",ROUND(VLOOKUP(G933,ThongSo!$F$2:$I$15,4,0)*B933*E933/1000,3),"-")</f>
        <v>6.6260000000000003</v>
      </c>
      <c r="L933" s="150"/>
      <c r="M933" s="150"/>
      <c r="N933" s="150"/>
    </row>
    <row r="934" spans="1:14" x14ac:dyDescent="0.25">
      <c r="A934" s="159">
        <v>113</v>
      </c>
      <c r="B934" s="160">
        <v>3</v>
      </c>
      <c r="C934" s="160">
        <v>11700</v>
      </c>
      <c r="D934" s="160" t="s">
        <v>3719</v>
      </c>
      <c r="E934" s="160">
        <v>525</v>
      </c>
      <c r="F934" s="160" t="s">
        <v>74</v>
      </c>
      <c r="G934" s="148">
        <v>32</v>
      </c>
      <c r="H934" s="152">
        <f>IF(C934=11700,ROUND(VLOOKUP(G934,ThongSo!$F$2:$I$15,4,0)*B934*11.7,3),0)</f>
        <v>221.48099999999999</v>
      </c>
      <c r="I934" s="152">
        <f>IF(F934="Sắt vụn",ROUND(VLOOKUP(G934,ThongSo!$F$2:$I$15,4,0)*B934*E934/1000,3),"-")</f>
        <v>9.9380000000000006</v>
      </c>
      <c r="L934" s="150"/>
      <c r="M934" s="150"/>
      <c r="N934" s="150"/>
    </row>
    <row r="935" spans="1:14" x14ac:dyDescent="0.25">
      <c r="A935" s="159">
        <v>114</v>
      </c>
      <c r="B935" s="160">
        <v>2</v>
      </c>
      <c r="C935" s="160">
        <v>11700</v>
      </c>
      <c r="D935" s="160" t="s">
        <v>3720</v>
      </c>
      <c r="E935" s="160">
        <v>580</v>
      </c>
      <c r="F935" s="160" t="s">
        <v>74</v>
      </c>
      <c r="G935" s="148">
        <v>32</v>
      </c>
      <c r="H935" s="152">
        <f>IF(C935=11700,ROUND(VLOOKUP(G935,ThongSo!$F$2:$I$15,4,0)*B935*11.7,3),0)</f>
        <v>147.654</v>
      </c>
      <c r="I935" s="152">
        <f>IF(F935="Sắt vụn",ROUND(VLOOKUP(G935,ThongSo!$F$2:$I$15,4,0)*B935*E935/1000,3),"-")</f>
        <v>7.32</v>
      </c>
      <c r="L935" s="150"/>
      <c r="M935" s="150"/>
      <c r="N935" s="150"/>
    </row>
    <row r="936" spans="1:14" x14ac:dyDescent="0.25">
      <c r="A936" s="159">
        <v>115</v>
      </c>
      <c r="B936" s="160">
        <v>1</v>
      </c>
      <c r="C936" s="160">
        <v>11700</v>
      </c>
      <c r="D936" s="160" t="s">
        <v>3721</v>
      </c>
      <c r="E936" s="160">
        <v>590</v>
      </c>
      <c r="F936" s="160" t="s">
        <v>74</v>
      </c>
      <c r="G936" s="148">
        <v>32</v>
      </c>
      <c r="H936" s="152">
        <f>IF(C936=11700,ROUND(VLOOKUP(G936,ThongSo!$F$2:$I$15,4,0)*B936*11.7,3),0)</f>
        <v>73.826999999999998</v>
      </c>
      <c r="I936" s="152">
        <f>IF(F936="Sắt vụn",ROUND(VLOOKUP(G936,ThongSo!$F$2:$I$15,4,0)*B936*E936/1000,3),"-")</f>
        <v>3.7229999999999999</v>
      </c>
      <c r="L936" s="150"/>
      <c r="M936" s="150"/>
      <c r="N936" s="150"/>
    </row>
    <row r="937" spans="1:14" x14ac:dyDescent="0.25">
      <c r="A937" s="159">
        <v>116</v>
      </c>
      <c r="B937" s="160">
        <v>4</v>
      </c>
      <c r="C937" s="160">
        <v>11700</v>
      </c>
      <c r="D937" s="160" t="s">
        <v>3722</v>
      </c>
      <c r="E937" s="160">
        <v>630</v>
      </c>
      <c r="F937" s="160" t="s">
        <v>74</v>
      </c>
      <c r="G937" s="148">
        <v>32</v>
      </c>
      <c r="H937" s="152">
        <f>IF(C937=11700,ROUND(VLOOKUP(G937,ThongSo!$F$2:$I$15,4,0)*B937*11.7,3),0)</f>
        <v>295.30799999999999</v>
      </c>
      <c r="I937" s="152">
        <f>IF(F937="Sắt vụn",ROUND(VLOOKUP(G937,ThongSo!$F$2:$I$15,4,0)*B937*E937/1000,3),"-")</f>
        <v>15.901</v>
      </c>
      <c r="L937" s="150"/>
      <c r="M937" s="150"/>
      <c r="N937" s="150"/>
    </row>
    <row r="938" spans="1:14" x14ac:dyDescent="0.25">
      <c r="A938" s="159">
        <v>117</v>
      </c>
      <c r="B938" s="160">
        <v>4</v>
      </c>
      <c r="C938" s="160">
        <v>11700</v>
      </c>
      <c r="D938" s="160" t="s">
        <v>3723</v>
      </c>
      <c r="E938" s="160">
        <v>630</v>
      </c>
      <c r="F938" s="160" t="s">
        <v>74</v>
      </c>
      <c r="G938" s="148">
        <v>32</v>
      </c>
      <c r="H938" s="152">
        <f>IF(C938=11700,ROUND(VLOOKUP(G938,ThongSo!$F$2:$I$15,4,0)*B938*11.7,3),0)</f>
        <v>295.30799999999999</v>
      </c>
      <c r="I938" s="152">
        <f>IF(F938="Sắt vụn",ROUND(VLOOKUP(G938,ThongSo!$F$2:$I$15,4,0)*B938*E938/1000,3),"-")</f>
        <v>15.901</v>
      </c>
      <c r="L938" s="150"/>
      <c r="M938" s="150"/>
      <c r="N938" s="150"/>
    </row>
    <row r="939" spans="1:14" x14ac:dyDescent="0.25">
      <c r="A939" s="159">
        <v>118</v>
      </c>
      <c r="B939" s="160">
        <v>4</v>
      </c>
      <c r="C939" s="160">
        <v>11700</v>
      </c>
      <c r="D939" s="160" t="s">
        <v>3724</v>
      </c>
      <c r="E939" s="160">
        <v>700</v>
      </c>
      <c r="F939" s="160" t="s">
        <v>74</v>
      </c>
      <c r="G939" s="148">
        <v>32</v>
      </c>
      <c r="H939" s="152">
        <f>IF(C939=11700,ROUND(VLOOKUP(G939,ThongSo!$F$2:$I$15,4,0)*B939*11.7,3),0)</f>
        <v>295.30799999999999</v>
      </c>
      <c r="I939" s="152">
        <f>IF(F939="Sắt vụn",ROUND(VLOOKUP(G939,ThongSo!$F$2:$I$15,4,0)*B939*E939/1000,3),"-")</f>
        <v>17.667999999999999</v>
      </c>
      <c r="L939" s="150"/>
      <c r="M939" s="150"/>
      <c r="N939" s="150"/>
    </row>
    <row r="940" spans="1:14" x14ac:dyDescent="0.25">
      <c r="A940" s="159">
        <v>119</v>
      </c>
      <c r="B940" s="160">
        <v>5</v>
      </c>
      <c r="C940" s="160">
        <v>11700</v>
      </c>
      <c r="D940" s="160" t="s">
        <v>3725</v>
      </c>
      <c r="E940" s="160">
        <v>700</v>
      </c>
      <c r="F940" s="160" t="s">
        <v>74</v>
      </c>
      <c r="G940" s="148">
        <v>32</v>
      </c>
      <c r="H940" s="152">
        <f>IF(C940=11700,ROUND(VLOOKUP(G940,ThongSo!$F$2:$I$15,4,0)*B940*11.7,3),0)</f>
        <v>369.13499999999999</v>
      </c>
      <c r="I940" s="152">
        <f>IF(F940="Sắt vụn",ROUND(VLOOKUP(G940,ThongSo!$F$2:$I$15,4,0)*B940*E940/1000,3),"-")</f>
        <v>22.085000000000001</v>
      </c>
      <c r="L940" s="150"/>
      <c r="M940" s="150"/>
      <c r="N940" s="150"/>
    </row>
    <row r="941" spans="1:14" x14ac:dyDescent="0.25">
      <c r="A941" s="159">
        <v>120</v>
      </c>
      <c r="B941" s="160">
        <v>6</v>
      </c>
      <c r="C941" s="160">
        <v>11700</v>
      </c>
      <c r="D941" s="160" t="s">
        <v>3726</v>
      </c>
      <c r="E941" s="160">
        <v>700</v>
      </c>
      <c r="F941" s="160" t="s">
        <v>74</v>
      </c>
      <c r="G941" s="148">
        <v>32</v>
      </c>
      <c r="H941" s="152">
        <f>IF(C941=11700,ROUND(VLOOKUP(G941,ThongSo!$F$2:$I$15,4,0)*B941*11.7,3),0)</f>
        <v>442.96199999999999</v>
      </c>
      <c r="I941" s="152">
        <f>IF(F941="Sắt vụn",ROUND(VLOOKUP(G941,ThongSo!$F$2:$I$15,4,0)*B941*E941/1000,3),"-")</f>
        <v>26.501999999999999</v>
      </c>
      <c r="L941" s="150"/>
      <c r="M941" s="150"/>
      <c r="N941" s="150"/>
    </row>
    <row r="942" spans="1:14" x14ac:dyDescent="0.25">
      <c r="A942" s="159">
        <v>121</v>
      </c>
      <c r="B942" s="160">
        <v>6</v>
      </c>
      <c r="C942" s="160">
        <v>11700</v>
      </c>
      <c r="D942" s="160" t="s">
        <v>3727</v>
      </c>
      <c r="E942" s="160">
        <v>700</v>
      </c>
      <c r="F942" s="160" t="s">
        <v>74</v>
      </c>
      <c r="G942" s="148">
        <v>32</v>
      </c>
      <c r="H942" s="152">
        <f>IF(C942=11700,ROUND(VLOOKUP(G942,ThongSo!$F$2:$I$15,4,0)*B942*11.7,3),0)</f>
        <v>442.96199999999999</v>
      </c>
      <c r="I942" s="152">
        <f>IF(F942="Sắt vụn",ROUND(VLOOKUP(G942,ThongSo!$F$2:$I$15,4,0)*B942*E942/1000,3),"-")</f>
        <v>26.501999999999999</v>
      </c>
      <c r="L942" s="150"/>
      <c r="M942" s="150"/>
      <c r="N942" s="150"/>
    </row>
    <row r="943" spans="1:14" x14ac:dyDescent="0.25">
      <c r="A943" s="159">
        <v>122</v>
      </c>
      <c r="B943" s="160">
        <v>3</v>
      </c>
      <c r="C943" s="160">
        <v>11700</v>
      </c>
      <c r="D943" s="160" t="s">
        <v>3728</v>
      </c>
      <c r="E943" s="160">
        <v>700</v>
      </c>
      <c r="F943" s="160" t="s">
        <v>74</v>
      </c>
      <c r="G943" s="148">
        <v>32</v>
      </c>
      <c r="H943" s="152">
        <f>IF(C943=11700,ROUND(VLOOKUP(G943,ThongSo!$F$2:$I$15,4,0)*B943*11.7,3),0)</f>
        <v>221.48099999999999</v>
      </c>
      <c r="I943" s="152">
        <f>IF(F943="Sắt vụn",ROUND(VLOOKUP(G943,ThongSo!$F$2:$I$15,4,0)*B943*E943/1000,3),"-")</f>
        <v>13.250999999999999</v>
      </c>
      <c r="L943" s="150"/>
      <c r="M943" s="150"/>
      <c r="N943" s="150"/>
    </row>
    <row r="944" spans="1:14" x14ac:dyDescent="0.25">
      <c r="A944" s="159">
        <v>123</v>
      </c>
      <c r="B944" s="160">
        <v>5</v>
      </c>
      <c r="C944" s="160">
        <v>11700</v>
      </c>
      <c r="D944" s="160" t="s">
        <v>3729</v>
      </c>
      <c r="E944" s="160">
        <v>700</v>
      </c>
      <c r="F944" s="160" t="s">
        <v>74</v>
      </c>
      <c r="G944" s="148">
        <v>32</v>
      </c>
      <c r="H944" s="152">
        <f>IF(C944=11700,ROUND(VLOOKUP(G944,ThongSo!$F$2:$I$15,4,0)*B944*11.7,3),0)</f>
        <v>369.13499999999999</v>
      </c>
      <c r="I944" s="152">
        <f>IF(F944="Sắt vụn",ROUND(VLOOKUP(G944,ThongSo!$F$2:$I$15,4,0)*B944*E944/1000,3),"-")</f>
        <v>22.085000000000001</v>
      </c>
      <c r="L944" s="150"/>
      <c r="M944" s="150"/>
      <c r="N944" s="150"/>
    </row>
    <row r="945" spans="1:14" x14ac:dyDescent="0.25">
      <c r="A945" s="159">
        <v>124</v>
      </c>
      <c r="B945" s="160">
        <v>4</v>
      </c>
      <c r="C945" s="160">
        <v>11700</v>
      </c>
      <c r="D945" s="160" t="s">
        <v>3730</v>
      </c>
      <c r="E945" s="160">
        <v>700</v>
      </c>
      <c r="F945" s="160" t="s">
        <v>74</v>
      </c>
      <c r="G945" s="148">
        <v>32</v>
      </c>
      <c r="H945" s="152">
        <f>IF(C945=11700,ROUND(VLOOKUP(G945,ThongSo!$F$2:$I$15,4,0)*B945*11.7,3),0)</f>
        <v>295.30799999999999</v>
      </c>
      <c r="I945" s="152">
        <f>IF(F945="Sắt vụn",ROUND(VLOOKUP(G945,ThongSo!$F$2:$I$15,4,0)*B945*E945/1000,3),"-")</f>
        <v>17.667999999999999</v>
      </c>
      <c r="L945" s="150"/>
      <c r="M945" s="150"/>
      <c r="N945" s="150"/>
    </row>
    <row r="946" spans="1:14" x14ac:dyDescent="0.25">
      <c r="A946" s="159">
        <v>125</v>
      </c>
      <c r="B946" s="160">
        <v>2</v>
      </c>
      <c r="C946" s="160">
        <v>11700</v>
      </c>
      <c r="D946" s="160" t="s">
        <v>3731</v>
      </c>
      <c r="E946" s="160">
        <v>700</v>
      </c>
      <c r="F946" s="160" t="s">
        <v>74</v>
      </c>
      <c r="G946" s="148">
        <v>32</v>
      </c>
      <c r="H946" s="152">
        <f>IF(C946=11700,ROUND(VLOOKUP(G946,ThongSo!$F$2:$I$15,4,0)*B946*11.7,3),0)</f>
        <v>147.654</v>
      </c>
      <c r="I946" s="152">
        <f>IF(F946="Sắt vụn",ROUND(VLOOKUP(G946,ThongSo!$F$2:$I$15,4,0)*B946*E946/1000,3),"-")</f>
        <v>8.8339999999999996</v>
      </c>
      <c r="L946" s="150"/>
      <c r="M946" s="150"/>
      <c r="N946" s="150"/>
    </row>
    <row r="947" spans="1:14" x14ac:dyDescent="0.25">
      <c r="A947" s="159">
        <v>126</v>
      </c>
      <c r="B947" s="160">
        <v>1</v>
      </c>
      <c r="C947" s="160">
        <v>11700</v>
      </c>
      <c r="D947" s="160" t="s">
        <v>3732</v>
      </c>
      <c r="E947" s="160">
        <v>700</v>
      </c>
      <c r="F947" s="160" t="s">
        <v>74</v>
      </c>
      <c r="G947" s="148">
        <v>32</v>
      </c>
      <c r="H947" s="152">
        <f>IF(C947=11700,ROUND(VLOOKUP(G947,ThongSo!$F$2:$I$15,4,0)*B947*11.7,3),0)</f>
        <v>73.826999999999998</v>
      </c>
      <c r="I947" s="152">
        <f>IF(F947="Sắt vụn",ROUND(VLOOKUP(G947,ThongSo!$F$2:$I$15,4,0)*B947*E947/1000,3),"-")</f>
        <v>4.4169999999999998</v>
      </c>
      <c r="L947" s="150"/>
      <c r="M947" s="150"/>
      <c r="N947" s="150"/>
    </row>
    <row r="948" spans="1:14" x14ac:dyDescent="0.25">
      <c r="A948" s="159">
        <v>127</v>
      </c>
      <c r="B948" s="160">
        <v>7</v>
      </c>
      <c r="C948" s="160">
        <v>11700</v>
      </c>
      <c r="D948" s="160" t="s">
        <v>3733</v>
      </c>
      <c r="E948" s="160">
        <v>700</v>
      </c>
      <c r="F948" s="160" t="s">
        <v>74</v>
      </c>
      <c r="G948" s="148">
        <v>32</v>
      </c>
      <c r="H948" s="152">
        <f>IF(C948=11700,ROUND(VLOOKUP(G948,ThongSo!$F$2:$I$15,4,0)*B948*11.7,3),0)</f>
        <v>516.78899999999999</v>
      </c>
      <c r="I948" s="152">
        <f>IF(F948="Sắt vụn",ROUND(VLOOKUP(G948,ThongSo!$F$2:$I$15,4,0)*B948*E948/1000,3),"-")</f>
        <v>30.919</v>
      </c>
      <c r="L948" s="150"/>
      <c r="M948" s="150"/>
      <c r="N948" s="150"/>
    </row>
    <row r="949" spans="1:14" x14ac:dyDescent="0.25">
      <c r="A949" s="159">
        <v>128</v>
      </c>
      <c r="B949" s="160">
        <v>7</v>
      </c>
      <c r="C949" s="160">
        <v>11700</v>
      </c>
      <c r="D949" s="160" t="s">
        <v>3734</v>
      </c>
      <c r="E949" s="160">
        <v>700</v>
      </c>
      <c r="F949" s="160" t="s">
        <v>74</v>
      </c>
      <c r="G949" s="148">
        <v>32</v>
      </c>
      <c r="H949" s="152">
        <f>IF(C949=11700,ROUND(VLOOKUP(G949,ThongSo!$F$2:$I$15,4,0)*B949*11.7,3),0)</f>
        <v>516.78899999999999</v>
      </c>
      <c r="I949" s="152">
        <f>IF(F949="Sắt vụn",ROUND(VLOOKUP(G949,ThongSo!$F$2:$I$15,4,0)*B949*E949/1000,3),"-")</f>
        <v>30.919</v>
      </c>
      <c r="L949" s="150"/>
      <c r="M949" s="150"/>
      <c r="N949" s="150"/>
    </row>
    <row r="950" spans="1:14" x14ac:dyDescent="0.25">
      <c r="A950" s="159">
        <v>129</v>
      </c>
      <c r="B950" s="160">
        <v>2</v>
      </c>
      <c r="C950" s="160">
        <v>11700</v>
      </c>
      <c r="D950" s="160" t="s">
        <v>3735</v>
      </c>
      <c r="E950" s="160">
        <v>870</v>
      </c>
      <c r="F950" s="160" t="s">
        <v>74</v>
      </c>
      <c r="G950" s="148">
        <v>32</v>
      </c>
      <c r="H950" s="152">
        <f>IF(C950=11700,ROUND(VLOOKUP(G950,ThongSo!$F$2:$I$15,4,0)*B950*11.7,3),0)</f>
        <v>147.654</v>
      </c>
      <c r="I950" s="152">
        <f>IF(F950="Sắt vụn",ROUND(VLOOKUP(G950,ThongSo!$F$2:$I$15,4,0)*B950*E950/1000,3),"-")</f>
        <v>10.978999999999999</v>
      </c>
      <c r="L950" s="150"/>
      <c r="M950" s="150"/>
      <c r="N950" s="150"/>
    </row>
    <row r="951" spans="1:14" x14ac:dyDescent="0.25">
      <c r="A951" s="159">
        <v>130</v>
      </c>
      <c r="B951" s="160">
        <v>4</v>
      </c>
      <c r="C951" s="160">
        <v>11700</v>
      </c>
      <c r="D951" s="160" t="s">
        <v>3736</v>
      </c>
      <c r="E951" s="160">
        <v>960</v>
      </c>
      <c r="F951" s="160" t="s">
        <v>74</v>
      </c>
      <c r="G951" s="148">
        <v>32</v>
      </c>
      <c r="H951" s="152">
        <f>IF(C951=11700,ROUND(VLOOKUP(G951,ThongSo!$F$2:$I$15,4,0)*B951*11.7,3),0)</f>
        <v>295.30799999999999</v>
      </c>
      <c r="I951" s="152">
        <f>IF(F951="Sắt vụn",ROUND(VLOOKUP(G951,ThongSo!$F$2:$I$15,4,0)*B951*E951/1000,3),"-")</f>
        <v>24.23</v>
      </c>
      <c r="L951" s="150"/>
      <c r="M951" s="150"/>
      <c r="N951" s="150"/>
    </row>
    <row r="952" spans="1:14" x14ac:dyDescent="0.25">
      <c r="A952" s="159">
        <v>131</v>
      </c>
      <c r="B952" s="160">
        <v>1</v>
      </c>
      <c r="C952" s="160">
        <v>11700</v>
      </c>
      <c r="D952" s="160" t="s">
        <v>3737</v>
      </c>
      <c r="E952" s="160">
        <v>1025</v>
      </c>
      <c r="F952" s="160" t="s">
        <v>74</v>
      </c>
      <c r="G952" s="148">
        <v>32</v>
      </c>
      <c r="H952" s="152">
        <f>IF(C952=11700,ROUND(VLOOKUP(G952,ThongSo!$F$2:$I$15,4,0)*B952*11.7,3),0)</f>
        <v>73.826999999999998</v>
      </c>
      <c r="I952" s="152">
        <f>IF(F952="Sắt vụn",ROUND(VLOOKUP(G952,ThongSo!$F$2:$I$15,4,0)*B952*E952/1000,3),"-")</f>
        <v>6.468</v>
      </c>
      <c r="L952" s="150"/>
      <c r="M952" s="150"/>
      <c r="N952" s="150"/>
    </row>
    <row r="953" spans="1:14" x14ac:dyDescent="0.25">
      <c r="A953" s="159">
        <v>132</v>
      </c>
      <c r="B953" s="160">
        <v>6</v>
      </c>
      <c r="C953" s="160">
        <v>11700</v>
      </c>
      <c r="D953" s="160" t="s">
        <v>3738</v>
      </c>
      <c r="E953" s="160">
        <v>1025</v>
      </c>
      <c r="F953" s="160" t="s">
        <v>74</v>
      </c>
      <c r="G953" s="148">
        <v>32</v>
      </c>
      <c r="H953" s="152">
        <f>IF(C953=11700,ROUND(VLOOKUP(G953,ThongSo!$F$2:$I$15,4,0)*B953*11.7,3),0)</f>
        <v>442.96199999999999</v>
      </c>
      <c r="I953" s="152">
        <f>IF(F953="Sắt vụn",ROUND(VLOOKUP(G953,ThongSo!$F$2:$I$15,4,0)*B953*E953/1000,3),"-")</f>
        <v>38.807000000000002</v>
      </c>
      <c r="L953" s="150"/>
      <c r="M953" s="150"/>
      <c r="N953" s="150"/>
    </row>
    <row r="954" spans="1:14" x14ac:dyDescent="0.25">
      <c r="A954" s="159">
        <v>133</v>
      </c>
      <c r="B954" s="160">
        <v>1</v>
      </c>
      <c r="C954" s="160">
        <v>11700</v>
      </c>
      <c r="D954" s="160" t="s">
        <v>3739</v>
      </c>
      <c r="E954" s="160">
        <v>1490</v>
      </c>
      <c r="F954" s="160" t="s">
        <v>74</v>
      </c>
      <c r="G954" s="148">
        <v>32</v>
      </c>
      <c r="H954" s="152">
        <f>IF(C954=11700,ROUND(VLOOKUP(G954,ThongSo!$F$2:$I$15,4,0)*B954*11.7,3),0)</f>
        <v>73.826999999999998</v>
      </c>
      <c r="I954" s="152">
        <f>IF(F954="Sắt vụn",ROUND(VLOOKUP(G954,ThongSo!$F$2:$I$15,4,0)*B954*E954/1000,3),"-")</f>
        <v>9.4019999999999992</v>
      </c>
      <c r="L954" s="150"/>
      <c r="M954" s="150"/>
      <c r="N954" s="150"/>
    </row>
    <row r="955" spans="1:14" x14ac:dyDescent="0.25">
      <c r="A955" s="159">
        <v>134</v>
      </c>
      <c r="B955" s="160">
        <v>6</v>
      </c>
      <c r="C955" s="160">
        <v>11700</v>
      </c>
      <c r="D955" s="160" t="s">
        <v>3740</v>
      </c>
      <c r="E955" s="160">
        <v>1700</v>
      </c>
      <c r="F955" s="160" t="s">
        <v>75</v>
      </c>
      <c r="G955" s="148">
        <v>32</v>
      </c>
      <c r="H955" s="152">
        <f>IF(C955=11700,ROUND(VLOOKUP(G955,ThongSo!$F$2:$I$15,4,0)*B955*11.7,3),0)</f>
        <v>442.96199999999999</v>
      </c>
      <c r="I955" s="152" t="str">
        <f>IF(F955="Sắt vụn",ROUND(VLOOKUP(G955,ThongSo!$F$2:$I$15,4,0)*B955*E955/1000,3),"-")</f>
        <v>-</v>
      </c>
      <c r="L955" s="150"/>
      <c r="M955" s="150"/>
      <c r="N955" s="150"/>
    </row>
    <row r="956" spans="1:14" x14ac:dyDescent="0.25">
      <c r="A956" s="159">
        <v>135</v>
      </c>
      <c r="B956" s="160">
        <v>5</v>
      </c>
      <c r="C956" s="160">
        <v>11700</v>
      </c>
      <c r="D956" s="160" t="s">
        <v>3741</v>
      </c>
      <c r="E956" s="160">
        <v>1700</v>
      </c>
      <c r="F956" s="160" t="s">
        <v>75</v>
      </c>
      <c r="G956" s="148">
        <v>32</v>
      </c>
      <c r="H956" s="152">
        <f>IF(C956=11700,ROUND(VLOOKUP(G956,ThongSo!$F$2:$I$15,4,0)*B956*11.7,3),0)</f>
        <v>369.13499999999999</v>
      </c>
      <c r="I956" s="152" t="str">
        <f>IF(F956="Sắt vụn",ROUND(VLOOKUP(G956,ThongSo!$F$2:$I$15,4,0)*B956*E956/1000,3),"-")</f>
        <v>-</v>
      </c>
      <c r="L956" s="150"/>
      <c r="M956" s="150"/>
      <c r="N956" s="150"/>
    </row>
    <row r="957" spans="1:14" x14ac:dyDescent="0.25">
      <c r="A957" s="159">
        <v>136</v>
      </c>
      <c r="B957" s="160">
        <v>5</v>
      </c>
      <c r="C957" s="160">
        <v>11700</v>
      </c>
      <c r="D957" s="160" t="s">
        <v>3742</v>
      </c>
      <c r="E957" s="160">
        <v>1700</v>
      </c>
      <c r="F957" s="160" t="s">
        <v>75</v>
      </c>
      <c r="G957" s="148">
        <v>32</v>
      </c>
      <c r="H957" s="152">
        <f>IF(C957=11700,ROUND(VLOOKUP(G957,ThongSo!$F$2:$I$15,4,0)*B957*11.7,3),0)</f>
        <v>369.13499999999999</v>
      </c>
      <c r="I957" s="152" t="str">
        <f>IF(F957="Sắt vụn",ROUND(VLOOKUP(G957,ThongSo!$F$2:$I$15,4,0)*B957*E957/1000,3),"-")</f>
        <v>-</v>
      </c>
      <c r="L957" s="150"/>
      <c r="M957" s="150"/>
      <c r="N957" s="150"/>
    </row>
    <row r="958" spans="1:14" x14ac:dyDescent="0.25">
      <c r="A958" s="159">
        <v>137</v>
      </c>
      <c r="B958" s="160">
        <v>6</v>
      </c>
      <c r="C958" s="160">
        <v>11700</v>
      </c>
      <c r="D958" s="160" t="s">
        <v>3743</v>
      </c>
      <c r="E958" s="160">
        <v>1700</v>
      </c>
      <c r="F958" s="160" t="s">
        <v>75</v>
      </c>
      <c r="G958" s="148">
        <v>32</v>
      </c>
      <c r="H958" s="152">
        <f>IF(C958=11700,ROUND(VLOOKUP(G958,ThongSo!$F$2:$I$15,4,0)*B958*11.7,3),0)</f>
        <v>442.96199999999999</v>
      </c>
      <c r="I958" s="152" t="str">
        <f>IF(F958="Sắt vụn",ROUND(VLOOKUP(G958,ThongSo!$F$2:$I$15,4,0)*B958*E958/1000,3),"-")</f>
        <v>-</v>
      </c>
      <c r="L958" s="150"/>
      <c r="M958" s="150"/>
      <c r="N958" s="150"/>
    </row>
    <row r="959" spans="1:14" x14ac:dyDescent="0.25">
      <c r="A959" s="159">
        <v>138</v>
      </c>
      <c r="B959" s="160">
        <v>11</v>
      </c>
      <c r="C959" s="160">
        <v>11700</v>
      </c>
      <c r="D959" s="160" t="s">
        <v>3744</v>
      </c>
      <c r="E959" s="160">
        <v>1700</v>
      </c>
      <c r="F959" s="160" t="s">
        <v>75</v>
      </c>
      <c r="G959" s="148">
        <v>32</v>
      </c>
      <c r="H959" s="152">
        <f>IF(C959=11700,ROUND(VLOOKUP(G959,ThongSo!$F$2:$I$15,4,0)*B959*11.7,3),0)</f>
        <v>812.09699999999998</v>
      </c>
      <c r="I959" s="152" t="str">
        <f>IF(F959="Sắt vụn",ROUND(VLOOKUP(G959,ThongSo!$F$2:$I$15,4,0)*B959*E959/1000,3),"-")</f>
        <v>-</v>
      </c>
      <c r="L959" s="150"/>
      <c r="M959" s="150"/>
      <c r="N959" s="150"/>
    </row>
    <row r="960" spans="1:14" x14ac:dyDescent="0.25">
      <c r="A960" s="159">
        <v>139</v>
      </c>
      <c r="B960" s="160">
        <v>11</v>
      </c>
      <c r="C960" s="160">
        <v>11700</v>
      </c>
      <c r="D960" s="160" t="s">
        <v>3745</v>
      </c>
      <c r="E960" s="160">
        <v>1700</v>
      </c>
      <c r="F960" s="160" t="s">
        <v>75</v>
      </c>
      <c r="G960" s="148">
        <v>32</v>
      </c>
      <c r="H960" s="152">
        <f>IF(C960=11700,ROUND(VLOOKUP(G960,ThongSo!$F$2:$I$15,4,0)*B960*11.7,3),0)</f>
        <v>812.09699999999998</v>
      </c>
      <c r="I960" s="152" t="str">
        <f>IF(F960="Sắt vụn",ROUND(VLOOKUP(G960,ThongSo!$F$2:$I$15,4,0)*B960*E960/1000,3),"-")</f>
        <v>-</v>
      </c>
      <c r="L960" s="150"/>
      <c r="M960" s="150"/>
      <c r="N960" s="150"/>
    </row>
    <row r="961" spans="1:14" x14ac:dyDescent="0.25">
      <c r="A961" s="159">
        <v>140</v>
      </c>
      <c r="B961" s="160">
        <v>1</v>
      </c>
      <c r="C961" s="160">
        <v>11700</v>
      </c>
      <c r="D961" s="160" t="s">
        <v>3746</v>
      </c>
      <c r="E961" s="160">
        <v>1700</v>
      </c>
      <c r="F961" s="160" t="s">
        <v>75</v>
      </c>
      <c r="G961" s="148">
        <v>32</v>
      </c>
      <c r="H961" s="152">
        <f>IF(C961=11700,ROUND(VLOOKUP(G961,ThongSo!$F$2:$I$15,4,0)*B961*11.7,3),0)</f>
        <v>73.826999999999998</v>
      </c>
      <c r="I961" s="152" t="str">
        <f>IF(F961="Sắt vụn",ROUND(VLOOKUP(G961,ThongSo!$F$2:$I$15,4,0)*B961*E961/1000,3),"-")</f>
        <v>-</v>
      </c>
      <c r="L961" s="150"/>
      <c r="M961" s="150"/>
      <c r="N961" s="150"/>
    </row>
    <row r="962" spans="1:14" x14ac:dyDescent="0.25">
      <c r="A962" s="159">
        <v>141</v>
      </c>
      <c r="B962" s="160">
        <v>3</v>
      </c>
      <c r="C962" s="160">
        <v>11700</v>
      </c>
      <c r="D962" s="160" t="s">
        <v>3747</v>
      </c>
      <c r="E962" s="160">
        <v>1700</v>
      </c>
      <c r="F962" s="160" t="s">
        <v>75</v>
      </c>
      <c r="G962" s="148">
        <v>32</v>
      </c>
      <c r="H962" s="152">
        <f>IF(C962=11700,ROUND(VLOOKUP(G962,ThongSo!$F$2:$I$15,4,0)*B962*11.7,3),0)</f>
        <v>221.48099999999999</v>
      </c>
      <c r="I962" s="152" t="str">
        <f>IF(F962="Sắt vụn",ROUND(VLOOKUP(G962,ThongSo!$F$2:$I$15,4,0)*B962*E962/1000,3),"-")</f>
        <v>-</v>
      </c>
      <c r="L962" s="150"/>
      <c r="M962" s="150"/>
      <c r="N962" s="150"/>
    </row>
    <row r="963" spans="1:14" x14ac:dyDescent="0.25">
      <c r="A963" s="159">
        <v>142</v>
      </c>
      <c r="B963" s="160">
        <v>4</v>
      </c>
      <c r="C963" s="160">
        <v>11700</v>
      </c>
      <c r="D963" s="160" t="s">
        <v>3748</v>
      </c>
      <c r="E963" s="160">
        <v>1700</v>
      </c>
      <c r="F963" s="160" t="s">
        <v>75</v>
      </c>
      <c r="G963" s="148">
        <v>32</v>
      </c>
      <c r="H963" s="152">
        <f>IF(C963=11700,ROUND(VLOOKUP(G963,ThongSo!$F$2:$I$15,4,0)*B963*11.7,3),0)</f>
        <v>295.30799999999999</v>
      </c>
      <c r="I963" s="152" t="str">
        <f>IF(F963="Sắt vụn",ROUND(VLOOKUP(G963,ThongSo!$F$2:$I$15,4,0)*B963*E963/1000,3),"-")</f>
        <v>-</v>
      </c>
      <c r="L963" s="150"/>
      <c r="M963" s="150"/>
      <c r="N963" s="150"/>
    </row>
    <row r="964" spans="1:14" x14ac:dyDescent="0.25">
      <c r="A964" s="159">
        <v>143</v>
      </c>
      <c r="B964" s="160">
        <v>6</v>
      </c>
      <c r="C964" s="160">
        <v>11700</v>
      </c>
      <c r="D964" s="160" t="s">
        <v>3749</v>
      </c>
      <c r="E964" s="160">
        <v>1700</v>
      </c>
      <c r="F964" s="160" t="s">
        <v>75</v>
      </c>
      <c r="G964" s="148">
        <v>32</v>
      </c>
      <c r="H964" s="152">
        <f>IF(C964=11700,ROUND(VLOOKUP(G964,ThongSo!$F$2:$I$15,4,0)*B964*11.7,3),0)</f>
        <v>442.96199999999999</v>
      </c>
      <c r="I964" s="152" t="str">
        <f>IF(F964="Sắt vụn",ROUND(VLOOKUP(G964,ThongSo!$F$2:$I$15,4,0)*B964*E964/1000,3),"-")</f>
        <v>-</v>
      </c>
      <c r="L964" s="150"/>
      <c r="M964" s="150"/>
      <c r="N964" s="150"/>
    </row>
    <row r="965" spans="1:14" x14ac:dyDescent="0.25">
      <c r="A965" s="159">
        <v>144</v>
      </c>
      <c r="B965" s="160">
        <v>5</v>
      </c>
      <c r="C965" s="160">
        <v>11700</v>
      </c>
      <c r="D965" s="160" t="s">
        <v>3750</v>
      </c>
      <c r="E965" s="160">
        <v>1700</v>
      </c>
      <c r="F965" s="160" t="s">
        <v>75</v>
      </c>
      <c r="G965" s="148">
        <v>32</v>
      </c>
      <c r="H965" s="152">
        <f>IF(C965=11700,ROUND(VLOOKUP(G965,ThongSo!$F$2:$I$15,4,0)*B965*11.7,3),0)</f>
        <v>369.13499999999999</v>
      </c>
      <c r="I965" s="152" t="str">
        <f>IF(F965="Sắt vụn",ROUND(VLOOKUP(G965,ThongSo!$F$2:$I$15,4,0)*B965*E965/1000,3),"-")</f>
        <v>-</v>
      </c>
      <c r="L965" s="150"/>
      <c r="M965" s="150"/>
      <c r="N965" s="150"/>
    </row>
    <row r="966" spans="1:14" x14ac:dyDescent="0.25">
      <c r="A966" s="159">
        <v>145</v>
      </c>
      <c r="B966" s="160">
        <v>16</v>
      </c>
      <c r="C966" s="160">
        <v>11700</v>
      </c>
      <c r="D966" s="160" t="s">
        <v>3751</v>
      </c>
      <c r="E966" s="160">
        <v>1700</v>
      </c>
      <c r="F966" s="160" t="s">
        <v>75</v>
      </c>
      <c r="G966" s="148">
        <v>32</v>
      </c>
      <c r="H966" s="152">
        <f>IF(C966=11700,ROUND(VLOOKUP(G966,ThongSo!$F$2:$I$15,4,0)*B966*11.7,3),0)</f>
        <v>1181.232</v>
      </c>
      <c r="I966" s="152" t="str">
        <f>IF(F966="Sắt vụn",ROUND(VLOOKUP(G966,ThongSo!$F$2:$I$15,4,0)*B966*E966/1000,3),"-")</f>
        <v>-</v>
      </c>
      <c r="L966" s="150"/>
      <c r="M966" s="150"/>
      <c r="N966" s="150"/>
    </row>
    <row r="967" spans="1:14" x14ac:dyDescent="0.25">
      <c r="A967" s="159">
        <v>146</v>
      </c>
      <c r="B967" s="160">
        <v>17</v>
      </c>
      <c r="C967" s="160">
        <v>11700</v>
      </c>
      <c r="D967" s="160" t="s">
        <v>3752</v>
      </c>
      <c r="E967" s="160">
        <v>1700</v>
      </c>
      <c r="F967" s="160" t="s">
        <v>75</v>
      </c>
      <c r="G967" s="148">
        <v>32</v>
      </c>
      <c r="H967" s="152">
        <f>IF(C967=11700,ROUND(VLOOKUP(G967,ThongSo!$F$2:$I$15,4,0)*B967*11.7,3),0)</f>
        <v>1255.059</v>
      </c>
      <c r="I967" s="152" t="str">
        <f>IF(F967="Sắt vụn",ROUND(VLOOKUP(G967,ThongSo!$F$2:$I$15,4,0)*B967*E967/1000,3),"-")</f>
        <v>-</v>
      </c>
      <c r="L967" s="150"/>
      <c r="M967" s="150"/>
      <c r="N967" s="150"/>
    </row>
    <row r="968" spans="1:14" x14ac:dyDescent="0.25">
      <c r="A968" s="159">
        <v>147</v>
      </c>
      <c r="B968" s="160">
        <v>5</v>
      </c>
      <c r="C968" s="160">
        <v>11700</v>
      </c>
      <c r="D968" s="160" t="s">
        <v>3753</v>
      </c>
      <c r="E968" s="160">
        <v>1700</v>
      </c>
      <c r="F968" s="160" t="s">
        <v>75</v>
      </c>
      <c r="G968" s="148">
        <v>32</v>
      </c>
      <c r="H968" s="152">
        <f>IF(C968=11700,ROUND(VLOOKUP(G968,ThongSo!$F$2:$I$15,4,0)*B968*11.7,3),0)</f>
        <v>369.13499999999999</v>
      </c>
      <c r="I968" s="152" t="str">
        <f>IF(F968="Sắt vụn",ROUND(VLOOKUP(G968,ThongSo!$F$2:$I$15,4,0)*B968*E968/1000,3),"-")</f>
        <v>-</v>
      </c>
      <c r="L968" s="150"/>
      <c r="M968" s="150"/>
      <c r="N968" s="150"/>
    </row>
    <row r="969" spans="1:14" x14ac:dyDescent="0.25">
      <c r="A969" s="159">
        <v>148</v>
      </c>
      <c r="B969" s="160">
        <v>6</v>
      </c>
      <c r="C969" s="160">
        <v>11700</v>
      </c>
      <c r="D969" s="160" t="s">
        <v>3754</v>
      </c>
      <c r="E969" s="160">
        <v>1700</v>
      </c>
      <c r="F969" s="160" t="s">
        <v>75</v>
      </c>
      <c r="G969" s="148">
        <v>32</v>
      </c>
      <c r="H969" s="152">
        <f>IF(C969=11700,ROUND(VLOOKUP(G969,ThongSo!$F$2:$I$15,4,0)*B969*11.7,3),0)</f>
        <v>442.96199999999999</v>
      </c>
      <c r="I969" s="152" t="str">
        <f>IF(F969="Sắt vụn",ROUND(VLOOKUP(G969,ThongSo!$F$2:$I$15,4,0)*B969*E969/1000,3),"-")</f>
        <v>-</v>
      </c>
      <c r="L969" s="150"/>
      <c r="M969" s="150"/>
      <c r="N969" s="150"/>
    </row>
    <row r="970" spans="1:14" x14ac:dyDescent="0.25">
      <c r="A970" s="159">
        <v>149</v>
      </c>
      <c r="B970" s="160">
        <v>6</v>
      </c>
      <c r="C970" s="160">
        <v>11700</v>
      </c>
      <c r="D970" s="160" t="s">
        <v>3755</v>
      </c>
      <c r="E970" s="160">
        <v>1700</v>
      </c>
      <c r="F970" s="160" t="s">
        <v>75</v>
      </c>
      <c r="G970" s="148">
        <v>32</v>
      </c>
      <c r="H970" s="152">
        <f>IF(C970=11700,ROUND(VLOOKUP(G970,ThongSo!$F$2:$I$15,4,0)*B970*11.7,3),0)</f>
        <v>442.96199999999999</v>
      </c>
      <c r="I970" s="152" t="str">
        <f>IF(F970="Sắt vụn",ROUND(VLOOKUP(G970,ThongSo!$F$2:$I$15,4,0)*B970*E970/1000,3),"-")</f>
        <v>-</v>
      </c>
      <c r="L970" s="150"/>
      <c r="M970" s="150"/>
      <c r="N970" s="150"/>
    </row>
    <row r="971" spans="1:14" x14ac:dyDescent="0.25">
      <c r="A971" s="159">
        <v>150</v>
      </c>
      <c r="B971" s="160">
        <v>5</v>
      </c>
      <c r="C971" s="160">
        <v>11700</v>
      </c>
      <c r="D971" s="160" t="s">
        <v>3756</v>
      </c>
      <c r="E971" s="160">
        <v>1700</v>
      </c>
      <c r="F971" s="160" t="s">
        <v>75</v>
      </c>
      <c r="G971" s="148">
        <v>32</v>
      </c>
      <c r="H971" s="152">
        <f>IF(C971=11700,ROUND(VLOOKUP(G971,ThongSo!$F$2:$I$15,4,0)*B971*11.7,3),0)</f>
        <v>369.13499999999999</v>
      </c>
      <c r="I971" s="152" t="str">
        <f>IF(F971="Sắt vụn",ROUND(VLOOKUP(G971,ThongSo!$F$2:$I$15,4,0)*B971*E971/1000,3),"-")</f>
        <v>-</v>
      </c>
      <c r="L971" s="150"/>
      <c r="M971" s="150"/>
      <c r="N971" s="150"/>
    </row>
    <row r="972" spans="1:14" x14ac:dyDescent="0.25">
      <c r="A972" s="159">
        <v>151</v>
      </c>
      <c r="B972" s="160">
        <v>5</v>
      </c>
      <c r="C972" s="160">
        <v>11700</v>
      </c>
      <c r="D972" s="160" t="s">
        <v>3757</v>
      </c>
      <c r="E972" s="160">
        <v>1700</v>
      </c>
      <c r="F972" s="160" t="s">
        <v>75</v>
      </c>
      <c r="G972" s="148">
        <v>32</v>
      </c>
      <c r="H972" s="152">
        <f>IF(C972=11700,ROUND(VLOOKUP(G972,ThongSo!$F$2:$I$15,4,0)*B972*11.7,3),0)</f>
        <v>369.13499999999999</v>
      </c>
      <c r="I972" s="152" t="str">
        <f>IF(F972="Sắt vụn",ROUND(VLOOKUP(G972,ThongSo!$F$2:$I$15,4,0)*B972*E972/1000,3),"-")</f>
        <v>-</v>
      </c>
      <c r="L972" s="150"/>
      <c r="M972" s="150"/>
      <c r="N972" s="150"/>
    </row>
    <row r="973" spans="1:14" x14ac:dyDescent="0.25">
      <c r="A973" s="159">
        <v>152</v>
      </c>
      <c r="B973" s="160">
        <v>6</v>
      </c>
      <c r="C973" s="160">
        <v>11700</v>
      </c>
      <c r="D973" s="160" t="s">
        <v>3758</v>
      </c>
      <c r="E973" s="160">
        <v>1700</v>
      </c>
      <c r="F973" s="160" t="s">
        <v>75</v>
      </c>
      <c r="G973" s="148">
        <v>32</v>
      </c>
      <c r="H973" s="152">
        <f>IF(C973=11700,ROUND(VLOOKUP(G973,ThongSo!$F$2:$I$15,4,0)*B973*11.7,3),0)</f>
        <v>442.96199999999999</v>
      </c>
      <c r="I973" s="152" t="str">
        <f>IF(F973="Sắt vụn",ROUND(VLOOKUP(G973,ThongSo!$F$2:$I$15,4,0)*B973*E973/1000,3),"-")</f>
        <v>-</v>
      </c>
      <c r="L973" s="150"/>
      <c r="M973" s="150"/>
      <c r="N973" s="150"/>
    </row>
    <row r="974" spans="1:14" x14ac:dyDescent="0.25">
      <c r="A974" s="159">
        <v>153</v>
      </c>
      <c r="B974" s="160">
        <v>3</v>
      </c>
      <c r="C974" s="160">
        <v>11700</v>
      </c>
      <c r="D974" s="160" t="s">
        <v>3759</v>
      </c>
      <c r="E974" s="160">
        <v>1700</v>
      </c>
      <c r="F974" s="160" t="s">
        <v>75</v>
      </c>
      <c r="G974" s="148">
        <v>32</v>
      </c>
      <c r="H974" s="152">
        <f>IF(C974=11700,ROUND(VLOOKUP(G974,ThongSo!$F$2:$I$15,4,0)*B974*11.7,3),0)</f>
        <v>221.48099999999999</v>
      </c>
      <c r="I974" s="152" t="str">
        <f>IF(F974="Sắt vụn",ROUND(VLOOKUP(G974,ThongSo!$F$2:$I$15,4,0)*B974*E974/1000,3),"-")</f>
        <v>-</v>
      </c>
      <c r="L974" s="150"/>
      <c r="M974" s="150"/>
      <c r="N974" s="150"/>
    </row>
    <row r="975" spans="1:14" x14ac:dyDescent="0.25">
      <c r="A975" s="159">
        <v>154</v>
      </c>
      <c r="B975" s="160">
        <v>3</v>
      </c>
      <c r="C975" s="160">
        <v>11700</v>
      </c>
      <c r="D975" s="160" t="s">
        <v>3760</v>
      </c>
      <c r="E975" s="160">
        <v>1700</v>
      </c>
      <c r="F975" s="160" t="s">
        <v>75</v>
      </c>
      <c r="G975" s="148">
        <v>32</v>
      </c>
      <c r="H975" s="152">
        <f>IF(C975=11700,ROUND(VLOOKUP(G975,ThongSo!$F$2:$I$15,4,0)*B975*11.7,3),0)</f>
        <v>221.48099999999999</v>
      </c>
      <c r="I975" s="152" t="str">
        <f>IF(F975="Sắt vụn",ROUND(VLOOKUP(G975,ThongSo!$F$2:$I$15,4,0)*B975*E975/1000,3),"-")</f>
        <v>-</v>
      </c>
      <c r="L975" s="150"/>
      <c r="M975" s="150"/>
      <c r="N975" s="150"/>
    </row>
    <row r="976" spans="1:14" x14ac:dyDescent="0.25">
      <c r="A976" s="159">
        <v>155</v>
      </c>
      <c r="B976" s="160">
        <v>4</v>
      </c>
      <c r="C976" s="160">
        <v>11700</v>
      </c>
      <c r="D976" s="160" t="s">
        <v>3761</v>
      </c>
      <c r="E976" s="160">
        <v>1700</v>
      </c>
      <c r="F976" s="160" t="s">
        <v>75</v>
      </c>
      <c r="G976" s="148">
        <v>32</v>
      </c>
      <c r="H976" s="152">
        <f>IF(C976=11700,ROUND(VLOOKUP(G976,ThongSo!$F$2:$I$15,4,0)*B976*11.7,3),0)</f>
        <v>295.30799999999999</v>
      </c>
      <c r="I976" s="152" t="str">
        <f>IF(F976="Sắt vụn",ROUND(VLOOKUP(G976,ThongSo!$F$2:$I$15,4,0)*B976*E976/1000,3),"-")</f>
        <v>-</v>
      </c>
      <c r="L976" s="150"/>
      <c r="M976" s="150"/>
      <c r="N976" s="150"/>
    </row>
    <row r="977" spans="1:14" x14ac:dyDescent="0.25">
      <c r="A977" s="159">
        <v>156</v>
      </c>
      <c r="B977" s="160">
        <v>5</v>
      </c>
      <c r="C977" s="160">
        <v>11700</v>
      </c>
      <c r="D977" s="160" t="s">
        <v>3762</v>
      </c>
      <c r="E977" s="160">
        <v>1700</v>
      </c>
      <c r="F977" s="160" t="s">
        <v>75</v>
      </c>
      <c r="G977" s="148">
        <v>32</v>
      </c>
      <c r="H977" s="152">
        <f>IF(C977=11700,ROUND(VLOOKUP(G977,ThongSo!$F$2:$I$15,4,0)*B977*11.7,3),0)</f>
        <v>369.13499999999999</v>
      </c>
      <c r="I977" s="152" t="str">
        <f>IF(F977="Sắt vụn",ROUND(VLOOKUP(G977,ThongSo!$F$2:$I$15,4,0)*B977*E977/1000,3),"-")</f>
        <v>-</v>
      </c>
      <c r="L977" s="150"/>
      <c r="M977" s="150"/>
      <c r="N977" s="150"/>
    </row>
    <row r="978" spans="1:14" x14ac:dyDescent="0.25">
      <c r="A978" s="159">
        <v>157</v>
      </c>
      <c r="B978" s="160">
        <v>4</v>
      </c>
      <c r="C978" s="160">
        <v>11700</v>
      </c>
      <c r="D978" s="160" t="s">
        <v>3763</v>
      </c>
      <c r="E978" s="160">
        <v>1700</v>
      </c>
      <c r="F978" s="160" t="s">
        <v>75</v>
      </c>
      <c r="G978" s="148">
        <v>32</v>
      </c>
      <c r="H978" s="152">
        <f>IF(C978=11700,ROUND(VLOOKUP(G978,ThongSo!$F$2:$I$15,4,0)*B978*11.7,3),0)</f>
        <v>295.30799999999999</v>
      </c>
      <c r="I978" s="152" t="str">
        <f>IF(F978="Sắt vụn",ROUND(VLOOKUP(G978,ThongSo!$F$2:$I$15,4,0)*B978*E978/1000,3),"-")</f>
        <v>-</v>
      </c>
      <c r="L978" s="150"/>
      <c r="M978" s="150"/>
      <c r="N978" s="150"/>
    </row>
    <row r="979" spans="1:14" x14ac:dyDescent="0.25">
      <c r="A979" s="159">
        <v>158</v>
      </c>
      <c r="B979" s="160">
        <v>2</v>
      </c>
      <c r="C979" s="160">
        <v>11700</v>
      </c>
      <c r="D979" s="160" t="s">
        <v>3764</v>
      </c>
      <c r="E979" s="160">
        <v>1700</v>
      </c>
      <c r="F979" s="160" t="s">
        <v>75</v>
      </c>
      <c r="G979" s="148">
        <v>32</v>
      </c>
      <c r="H979" s="152">
        <f>IF(C979=11700,ROUND(VLOOKUP(G979,ThongSo!$F$2:$I$15,4,0)*B979*11.7,3),0)</f>
        <v>147.654</v>
      </c>
      <c r="I979" s="152" t="str">
        <f>IF(F979="Sắt vụn",ROUND(VLOOKUP(G979,ThongSo!$F$2:$I$15,4,0)*B979*E979/1000,3),"-")</f>
        <v>-</v>
      </c>
      <c r="L979" s="150"/>
      <c r="M979" s="150"/>
      <c r="N979" s="150"/>
    </row>
    <row r="980" spans="1:14" x14ac:dyDescent="0.25">
      <c r="A980" s="159">
        <v>159</v>
      </c>
      <c r="B980" s="160">
        <v>3</v>
      </c>
      <c r="C980" s="160">
        <v>11700</v>
      </c>
      <c r="D980" s="160" t="s">
        <v>3765</v>
      </c>
      <c r="E980" s="160">
        <v>1700</v>
      </c>
      <c r="F980" s="160" t="s">
        <v>75</v>
      </c>
      <c r="G980" s="148">
        <v>32</v>
      </c>
      <c r="H980" s="152">
        <f>IF(C980=11700,ROUND(VLOOKUP(G980,ThongSo!$F$2:$I$15,4,0)*B980*11.7,3),0)</f>
        <v>221.48099999999999</v>
      </c>
      <c r="I980" s="152" t="str">
        <f>IF(F980="Sắt vụn",ROUND(VLOOKUP(G980,ThongSo!$F$2:$I$15,4,0)*B980*E980/1000,3),"-")</f>
        <v>-</v>
      </c>
      <c r="L980" s="150"/>
      <c r="M980" s="150"/>
      <c r="N980" s="150"/>
    </row>
    <row r="981" spans="1:14" x14ac:dyDescent="0.25">
      <c r="A981" s="159">
        <v>160</v>
      </c>
      <c r="B981" s="160">
        <v>6</v>
      </c>
      <c r="C981" s="160">
        <v>11700</v>
      </c>
      <c r="D981" s="160" t="s">
        <v>3766</v>
      </c>
      <c r="E981" s="160">
        <v>1700</v>
      </c>
      <c r="F981" s="160" t="s">
        <v>75</v>
      </c>
      <c r="G981" s="148">
        <v>32</v>
      </c>
      <c r="H981" s="152">
        <f>IF(C981=11700,ROUND(VLOOKUP(G981,ThongSo!$F$2:$I$15,4,0)*B981*11.7,3),0)</f>
        <v>442.96199999999999</v>
      </c>
      <c r="I981" s="152" t="str">
        <f>IF(F981="Sắt vụn",ROUND(VLOOKUP(G981,ThongSo!$F$2:$I$15,4,0)*B981*E981/1000,3),"-")</f>
        <v>-</v>
      </c>
      <c r="L981" s="150"/>
      <c r="M981" s="150"/>
      <c r="N981" s="150"/>
    </row>
    <row r="982" spans="1:14" x14ac:dyDescent="0.25">
      <c r="A982" s="159">
        <v>161</v>
      </c>
      <c r="B982" s="160">
        <v>7</v>
      </c>
      <c r="C982" s="160">
        <v>11700</v>
      </c>
      <c r="D982" s="160" t="s">
        <v>3767</v>
      </c>
      <c r="E982" s="160">
        <v>1700</v>
      </c>
      <c r="F982" s="160" t="s">
        <v>75</v>
      </c>
      <c r="G982" s="148">
        <v>32</v>
      </c>
      <c r="H982" s="152">
        <f>IF(C982=11700,ROUND(VLOOKUP(G982,ThongSo!$F$2:$I$15,4,0)*B982*11.7,3),0)</f>
        <v>516.78899999999999</v>
      </c>
      <c r="I982" s="152" t="str">
        <f>IF(F982="Sắt vụn",ROUND(VLOOKUP(G982,ThongSo!$F$2:$I$15,4,0)*B982*E982/1000,3),"-")</f>
        <v>-</v>
      </c>
      <c r="L982" s="150"/>
      <c r="M982" s="150"/>
      <c r="N982" s="150"/>
    </row>
    <row r="983" spans="1:14" x14ac:dyDescent="0.25">
      <c r="A983" s="159">
        <v>162</v>
      </c>
      <c r="B983" s="160">
        <v>3</v>
      </c>
      <c r="C983" s="160">
        <v>11700</v>
      </c>
      <c r="D983" s="160" t="s">
        <v>3768</v>
      </c>
      <c r="E983" s="160">
        <v>2310</v>
      </c>
      <c r="F983" s="160" t="s">
        <v>75</v>
      </c>
      <c r="G983" s="148">
        <v>32</v>
      </c>
      <c r="H983" s="152">
        <f>IF(C983=11700,ROUND(VLOOKUP(G983,ThongSo!$F$2:$I$15,4,0)*B983*11.7,3),0)</f>
        <v>221.48099999999999</v>
      </c>
      <c r="I983" s="152" t="str">
        <f>IF(F983="Sắt vụn",ROUND(VLOOKUP(G983,ThongSo!$F$2:$I$15,4,0)*B983*E983/1000,3),"-")</f>
        <v>-</v>
      </c>
      <c r="L983" s="150"/>
      <c r="M983" s="150"/>
      <c r="N983" s="150"/>
    </row>
    <row r="984" spans="1:14" x14ac:dyDescent="0.25">
      <c r="A984" s="159">
        <v>163</v>
      </c>
      <c r="B984" s="160">
        <v>3</v>
      </c>
      <c r="C984" s="160">
        <v>11700</v>
      </c>
      <c r="D984" s="160" t="s">
        <v>3769</v>
      </c>
      <c r="E984" s="160">
        <v>2700</v>
      </c>
      <c r="F984" s="160" t="s">
        <v>75</v>
      </c>
      <c r="G984" s="148">
        <v>32</v>
      </c>
      <c r="H984" s="152">
        <f>IF(C984=11700,ROUND(VLOOKUP(G984,ThongSo!$F$2:$I$15,4,0)*B984*11.7,3),0)</f>
        <v>221.48099999999999</v>
      </c>
      <c r="I984" s="152" t="str">
        <f>IF(F984="Sắt vụn",ROUND(VLOOKUP(G984,ThongSo!$F$2:$I$15,4,0)*B984*E984/1000,3),"-")</f>
        <v>-</v>
      </c>
      <c r="L984" s="150"/>
      <c r="M984" s="150"/>
      <c r="N984" s="150"/>
    </row>
    <row r="985" spans="1:14" x14ac:dyDescent="0.25">
      <c r="A985" s="159">
        <v>164</v>
      </c>
      <c r="B985" s="160">
        <v>4</v>
      </c>
      <c r="C985" s="160">
        <v>11700</v>
      </c>
      <c r="D985" s="160" t="s">
        <v>3770</v>
      </c>
      <c r="E985" s="160">
        <v>2850</v>
      </c>
      <c r="F985" s="160" t="s">
        <v>75</v>
      </c>
      <c r="G985" s="148">
        <v>32</v>
      </c>
      <c r="H985" s="152">
        <f>IF(C985=11700,ROUND(VLOOKUP(G985,ThongSo!$F$2:$I$15,4,0)*B985*11.7,3),0)</f>
        <v>295.30799999999999</v>
      </c>
      <c r="I985" s="152" t="str">
        <f>IF(F985="Sắt vụn",ROUND(VLOOKUP(G985,ThongSo!$F$2:$I$15,4,0)*B985*E985/1000,3),"-")</f>
        <v>-</v>
      </c>
      <c r="L985" s="150"/>
      <c r="M985" s="150"/>
      <c r="N985" s="150"/>
    </row>
    <row r="986" spans="1:14" x14ac:dyDescent="0.25">
      <c r="A986" s="159">
        <v>165</v>
      </c>
      <c r="B986" s="160">
        <v>1</v>
      </c>
      <c r="C986" s="160">
        <v>11700</v>
      </c>
      <c r="D986" s="160" t="s">
        <v>3771</v>
      </c>
      <c r="E986" s="160">
        <v>2900</v>
      </c>
      <c r="F986" s="160" t="s">
        <v>75</v>
      </c>
      <c r="G986" s="148">
        <v>32</v>
      </c>
      <c r="H986" s="152">
        <f>IF(C986=11700,ROUND(VLOOKUP(G986,ThongSo!$F$2:$I$15,4,0)*B986*11.7,3),0)</f>
        <v>73.826999999999998</v>
      </c>
      <c r="I986" s="152" t="str">
        <f>IF(F986="Sắt vụn",ROUND(VLOOKUP(G986,ThongSo!$F$2:$I$15,4,0)*B986*E986/1000,3),"-")</f>
        <v>-</v>
      </c>
      <c r="L986" s="150"/>
      <c r="M986" s="150"/>
      <c r="N986" s="150"/>
    </row>
    <row r="987" spans="1:14" x14ac:dyDescent="0.25">
      <c r="A987" s="159">
        <v>166</v>
      </c>
      <c r="B987" s="160">
        <v>3</v>
      </c>
      <c r="C987" s="160">
        <v>11700</v>
      </c>
      <c r="D987" s="160" t="s">
        <v>3772</v>
      </c>
      <c r="E987" s="160">
        <v>4580</v>
      </c>
      <c r="F987" s="160" t="s">
        <v>75</v>
      </c>
      <c r="G987" s="148">
        <v>32</v>
      </c>
      <c r="H987" s="152">
        <f>IF(C987=11700,ROUND(VLOOKUP(G987,ThongSo!$F$2:$I$15,4,0)*B987*11.7,3),0)</f>
        <v>221.48099999999999</v>
      </c>
      <c r="I987" s="152" t="str">
        <f>IF(F987="Sắt vụn",ROUND(VLOOKUP(G987,ThongSo!$F$2:$I$15,4,0)*B987*E987/1000,3),"-")</f>
        <v>-</v>
      </c>
      <c r="L987" s="150"/>
      <c r="M987" s="150"/>
      <c r="N987" s="150"/>
    </row>
    <row r="988" spans="1:14" x14ac:dyDescent="0.25">
      <c r="A988" s="159">
        <v>167</v>
      </c>
      <c r="B988" s="160">
        <v>4</v>
      </c>
      <c r="C988" s="160">
        <v>11700</v>
      </c>
      <c r="D988" s="160" t="s">
        <v>3773</v>
      </c>
      <c r="E988" s="160">
        <v>4600</v>
      </c>
      <c r="F988" s="160" t="s">
        <v>75</v>
      </c>
      <c r="G988" s="148">
        <v>32</v>
      </c>
      <c r="H988" s="152">
        <f>IF(C988=11700,ROUND(VLOOKUP(G988,ThongSo!$F$2:$I$15,4,0)*B988*11.7,3),0)</f>
        <v>295.30799999999999</v>
      </c>
      <c r="I988" s="152" t="str">
        <f>IF(F988="Sắt vụn",ROUND(VLOOKUP(G988,ThongSo!$F$2:$I$15,4,0)*B988*E988/1000,3),"-")</f>
        <v>-</v>
      </c>
      <c r="L988" s="150"/>
      <c r="M988" s="150"/>
      <c r="N988" s="150"/>
    </row>
    <row r="989" spans="1:14" x14ac:dyDescent="0.25">
      <c r="A989" s="159">
        <v>168</v>
      </c>
      <c r="B989" s="160">
        <v>5</v>
      </c>
      <c r="C989" s="160">
        <v>11700</v>
      </c>
      <c r="D989" s="160" t="s">
        <v>3774</v>
      </c>
      <c r="E989" s="160">
        <v>4610</v>
      </c>
      <c r="F989" s="160" t="s">
        <v>75</v>
      </c>
      <c r="G989" s="148">
        <v>32</v>
      </c>
      <c r="H989" s="152">
        <f>IF(C989=11700,ROUND(VLOOKUP(G989,ThongSo!$F$2:$I$15,4,0)*B989*11.7,3),0)</f>
        <v>369.13499999999999</v>
      </c>
      <c r="I989" s="152" t="str">
        <f>IF(F989="Sắt vụn",ROUND(VLOOKUP(G989,ThongSo!$F$2:$I$15,4,0)*B989*E989/1000,3),"-")</f>
        <v>-</v>
      </c>
      <c r="L989" s="150"/>
      <c r="M989" s="150"/>
      <c r="N989" s="150"/>
    </row>
    <row r="990" spans="1:14" x14ac:dyDescent="0.25">
      <c r="A990" s="159">
        <v>169</v>
      </c>
      <c r="B990" s="160">
        <v>1</v>
      </c>
      <c r="C990" s="160">
        <v>11700</v>
      </c>
      <c r="D990" s="160" t="s">
        <v>3775</v>
      </c>
      <c r="E990" s="160">
        <v>4660</v>
      </c>
      <c r="F990" s="160" t="s">
        <v>75</v>
      </c>
      <c r="G990" s="148">
        <v>32</v>
      </c>
      <c r="H990" s="152">
        <f>IF(C990=11700,ROUND(VLOOKUP(G990,ThongSo!$F$2:$I$15,4,0)*B990*11.7,3),0)</f>
        <v>73.826999999999998</v>
      </c>
      <c r="I990" s="152" t="str">
        <f>IF(F990="Sắt vụn",ROUND(VLOOKUP(G990,ThongSo!$F$2:$I$15,4,0)*B990*E990/1000,3),"-")</f>
        <v>-</v>
      </c>
      <c r="L990" s="150"/>
      <c r="M990" s="150"/>
      <c r="N990" s="150"/>
    </row>
    <row r="991" spans="1:14" x14ac:dyDescent="0.25">
      <c r="A991" s="159">
        <v>170</v>
      </c>
      <c r="B991" s="160">
        <v>5</v>
      </c>
      <c r="C991" s="160">
        <v>11700</v>
      </c>
      <c r="D991" s="160" t="s">
        <v>3776</v>
      </c>
      <c r="E991" s="160">
        <v>4750</v>
      </c>
      <c r="F991" s="160" t="s">
        <v>75</v>
      </c>
      <c r="G991" s="148">
        <v>32</v>
      </c>
      <c r="H991" s="152">
        <f>IF(C991=11700,ROUND(VLOOKUP(G991,ThongSo!$F$2:$I$15,4,0)*B991*11.7,3),0)</f>
        <v>369.13499999999999</v>
      </c>
      <c r="I991" s="152" t="str">
        <f>IF(F991="Sắt vụn",ROUND(VLOOKUP(G991,ThongSo!$F$2:$I$15,4,0)*B991*E991/1000,3),"-")</f>
        <v>-</v>
      </c>
      <c r="L991" s="150"/>
      <c r="M991" s="150"/>
      <c r="N991" s="150"/>
    </row>
    <row r="992" spans="1:14" x14ac:dyDescent="0.25">
      <c r="A992" s="159">
        <v>171</v>
      </c>
      <c r="B992" s="160">
        <v>5</v>
      </c>
      <c r="C992" s="160">
        <v>11700</v>
      </c>
      <c r="D992" s="160" t="s">
        <v>3777</v>
      </c>
      <c r="E992" s="160">
        <v>4850</v>
      </c>
      <c r="F992" s="160" t="s">
        <v>75</v>
      </c>
      <c r="G992" s="148">
        <v>32</v>
      </c>
      <c r="H992" s="152">
        <f>IF(C992=11700,ROUND(VLOOKUP(G992,ThongSo!$F$2:$I$15,4,0)*B992*11.7,3),0)</f>
        <v>369.13499999999999</v>
      </c>
      <c r="I992" s="152" t="str">
        <f>IF(F992="Sắt vụn",ROUND(VLOOKUP(G992,ThongSo!$F$2:$I$15,4,0)*B992*E992/1000,3),"-")</f>
        <v>-</v>
      </c>
      <c r="L992" s="150"/>
      <c r="M992" s="150"/>
      <c r="N992" s="150"/>
    </row>
    <row r="993" spans="1:14" x14ac:dyDescent="0.25">
      <c r="A993" s="159">
        <v>172</v>
      </c>
      <c r="B993" s="160">
        <v>4</v>
      </c>
      <c r="C993" s="160">
        <v>11700</v>
      </c>
      <c r="D993" s="160" t="s">
        <v>3778</v>
      </c>
      <c r="E993" s="160">
        <v>5005</v>
      </c>
      <c r="F993" s="160" t="s">
        <v>75</v>
      </c>
      <c r="G993" s="148">
        <v>32</v>
      </c>
      <c r="H993" s="152">
        <f>IF(C993=11700,ROUND(VLOOKUP(G993,ThongSo!$F$2:$I$15,4,0)*B993*11.7,3),0)</f>
        <v>295.30799999999999</v>
      </c>
      <c r="I993" s="152" t="str">
        <f>IF(F993="Sắt vụn",ROUND(VLOOKUP(G993,ThongSo!$F$2:$I$15,4,0)*B993*E993/1000,3),"-")</f>
        <v>-</v>
      </c>
      <c r="L993" s="150"/>
      <c r="M993" s="150"/>
      <c r="N993" s="150"/>
    </row>
    <row r="994" spans="1:14" x14ac:dyDescent="0.25">
      <c r="A994" s="159">
        <v>173</v>
      </c>
      <c r="B994" s="160">
        <v>4</v>
      </c>
      <c r="C994" s="160">
        <v>11700</v>
      </c>
      <c r="D994" s="160" t="s">
        <v>3779</v>
      </c>
      <c r="E994" s="160">
        <v>5135</v>
      </c>
      <c r="F994" s="160" t="s">
        <v>75</v>
      </c>
      <c r="G994" s="148">
        <v>32</v>
      </c>
      <c r="H994" s="152">
        <f>IF(C994=11700,ROUND(VLOOKUP(G994,ThongSo!$F$2:$I$15,4,0)*B994*11.7,3),0)</f>
        <v>295.30799999999999</v>
      </c>
      <c r="I994" s="152" t="str">
        <f>IF(F994="Sắt vụn",ROUND(VLOOKUP(G994,ThongSo!$F$2:$I$15,4,0)*B994*E994/1000,3),"-")</f>
        <v>-</v>
      </c>
      <c r="L994" s="150"/>
      <c r="M994" s="150"/>
      <c r="N994" s="150"/>
    </row>
    <row r="995" spans="1:14" x14ac:dyDescent="0.25">
      <c r="A995" s="159">
        <v>174</v>
      </c>
      <c r="B995" s="160">
        <v>3</v>
      </c>
      <c r="C995" s="160">
        <v>11700</v>
      </c>
      <c r="D995" s="160" t="s">
        <v>3780</v>
      </c>
      <c r="E995" s="160">
        <v>5180</v>
      </c>
      <c r="F995" s="160" t="s">
        <v>75</v>
      </c>
      <c r="G995" s="148">
        <v>32</v>
      </c>
      <c r="H995" s="152">
        <f>IF(C995=11700,ROUND(VLOOKUP(G995,ThongSo!$F$2:$I$15,4,0)*B995*11.7,3),0)</f>
        <v>221.48099999999999</v>
      </c>
      <c r="I995" s="152" t="str">
        <f>IF(F995="Sắt vụn",ROUND(VLOOKUP(G995,ThongSo!$F$2:$I$15,4,0)*B995*E995/1000,3),"-")</f>
        <v>-</v>
      </c>
      <c r="L995" s="150"/>
      <c r="M995" s="150"/>
      <c r="N995" s="150"/>
    </row>
    <row r="996" spans="1:14" x14ac:dyDescent="0.25">
      <c r="A996" s="159">
        <v>175</v>
      </c>
      <c r="B996" s="160">
        <v>4</v>
      </c>
      <c r="C996" s="160">
        <v>11700</v>
      </c>
      <c r="D996" s="160" t="s">
        <v>3781</v>
      </c>
      <c r="E996" s="160">
        <v>5260</v>
      </c>
      <c r="F996" s="160" t="s">
        <v>75</v>
      </c>
      <c r="G996" s="148">
        <v>32</v>
      </c>
      <c r="H996" s="152">
        <f>IF(C996=11700,ROUND(VLOOKUP(G996,ThongSo!$F$2:$I$15,4,0)*B996*11.7,3),0)</f>
        <v>295.30799999999999</v>
      </c>
      <c r="I996" s="152" t="str">
        <f>IF(F996="Sắt vụn",ROUND(VLOOKUP(G996,ThongSo!$F$2:$I$15,4,0)*B996*E996/1000,3),"-")</f>
        <v>-</v>
      </c>
      <c r="L996" s="150"/>
      <c r="M996" s="150"/>
      <c r="N996" s="150"/>
    </row>
    <row r="997" spans="1:14" x14ac:dyDescent="0.25">
      <c r="A997" s="159">
        <v>176</v>
      </c>
      <c r="B997" s="160">
        <v>1</v>
      </c>
      <c r="C997" s="160">
        <v>11700</v>
      </c>
      <c r="D997" s="160" t="s">
        <v>3782</v>
      </c>
      <c r="E997" s="160">
        <v>5310</v>
      </c>
      <c r="F997" s="160" t="s">
        <v>75</v>
      </c>
      <c r="G997" s="148">
        <v>32</v>
      </c>
      <c r="H997" s="152">
        <f>IF(C997=11700,ROUND(VLOOKUP(G997,ThongSo!$F$2:$I$15,4,0)*B997*11.7,3),0)</f>
        <v>73.826999999999998</v>
      </c>
      <c r="I997" s="152" t="str">
        <f>IF(F997="Sắt vụn",ROUND(VLOOKUP(G997,ThongSo!$F$2:$I$15,4,0)*B997*E997/1000,3),"-")</f>
        <v>-</v>
      </c>
      <c r="L997" s="150"/>
      <c r="M997" s="150"/>
      <c r="N997" s="150"/>
    </row>
    <row r="998" spans="1:14" x14ac:dyDescent="0.25">
      <c r="A998" s="159">
        <v>177</v>
      </c>
      <c r="B998" s="160">
        <v>3</v>
      </c>
      <c r="C998" s="160">
        <v>11700</v>
      </c>
      <c r="D998" s="160" t="s">
        <v>3783</v>
      </c>
      <c r="E998" s="160">
        <v>5345</v>
      </c>
      <c r="F998" s="160" t="s">
        <v>75</v>
      </c>
      <c r="G998" s="148">
        <v>32</v>
      </c>
      <c r="H998" s="152">
        <f>IF(C998=11700,ROUND(VLOOKUP(G998,ThongSo!$F$2:$I$15,4,0)*B998*11.7,3),0)</f>
        <v>221.48099999999999</v>
      </c>
      <c r="I998" s="152" t="str">
        <f>IF(F998="Sắt vụn",ROUND(VLOOKUP(G998,ThongSo!$F$2:$I$15,4,0)*B998*E998/1000,3),"-")</f>
        <v>-</v>
      </c>
      <c r="L998" s="150"/>
      <c r="M998" s="150"/>
      <c r="N998" s="150"/>
    </row>
    <row r="999" spans="1:14" x14ac:dyDescent="0.25">
      <c r="A999" s="159">
        <v>178</v>
      </c>
      <c r="B999" s="160">
        <v>17</v>
      </c>
      <c r="C999" s="160">
        <v>11700</v>
      </c>
      <c r="D999" s="160" t="s">
        <v>3784</v>
      </c>
      <c r="E999" s="160">
        <v>5555</v>
      </c>
      <c r="F999" s="160" t="s">
        <v>75</v>
      </c>
      <c r="G999" s="148">
        <v>32</v>
      </c>
      <c r="H999" s="152">
        <f>IF(C999=11700,ROUND(VLOOKUP(G999,ThongSo!$F$2:$I$15,4,0)*B999*11.7,3),0)</f>
        <v>1255.059</v>
      </c>
      <c r="I999" s="152" t="str">
        <f>IF(F999="Sắt vụn",ROUND(VLOOKUP(G999,ThongSo!$F$2:$I$15,4,0)*B999*E999/1000,3),"-")</f>
        <v>-</v>
      </c>
      <c r="L999" s="150"/>
      <c r="M999" s="150"/>
      <c r="N999" s="150"/>
    </row>
    <row r="1000" spans="1:14" x14ac:dyDescent="0.25">
      <c r="A1000" s="159">
        <v>179</v>
      </c>
      <c r="B1000" s="160">
        <v>5</v>
      </c>
      <c r="C1000" s="160">
        <v>11700</v>
      </c>
      <c r="D1000" s="160" t="s">
        <v>3785</v>
      </c>
      <c r="E1000" s="160">
        <v>5585</v>
      </c>
      <c r="F1000" s="160" t="s">
        <v>75</v>
      </c>
      <c r="G1000" s="148">
        <v>32</v>
      </c>
      <c r="H1000" s="152">
        <f>IF(C1000=11700,ROUND(VLOOKUP(G1000,ThongSo!$F$2:$I$15,4,0)*B1000*11.7,3),0)</f>
        <v>369.13499999999999</v>
      </c>
      <c r="I1000" s="152" t="str">
        <f>IF(F1000="Sắt vụn",ROUND(VLOOKUP(G1000,ThongSo!$F$2:$I$15,4,0)*B1000*E1000/1000,3),"-")</f>
        <v>-</v>
      </c>
      <c r="L1000" s="150"/>
      <c r="M1000" s="150"/>
      <c r="N1000" s="150"/>
    </row>
    <row r="1001" spans="1:14" x14ac:dyDescent="0.25">
      <c r="A1001" s="159">
        <v>180</v>
      </c>
      <c r="B1001" s="160">
        <v>4</v>
      </c>
      <c r="C1001" s="160">
        <v>11700</v>
      </c>
      <c r="D1001" s="160" t="s">
        <v>3786</v>
      </c>
      <c r="E1001" s="160">
        <v>5600</v>
      </c>
      <c r="F1001" s="160" t="s">
        <v>75</v>
      </c>
      <c r="G1001" s="148">
        <v>32</v>
      </c>
      <c r="H1001" s="152">
        <f>IF(C1001=11700,ROUND(VLOOKUP(G1001,ThongSo!$F$2:$I$15,4,0)*B1001*11.7,3),0)</f>
        <v>295.30799999999999</v>
      </c>
      <c r="I1001" s="152" t="str">
        <f>IF(F1001="Sắt vụn",ROUND(VLOOKUP(G1001,ThongSo!$F$2:$I$15,4,0)*B1001*E1001/1000,3),"-")</f>
        <v>-</v>
      </c>
      <c r="L1001" s="150"/>
      <c r="M1001" s="150"/>
      <c r="N1001" s="150"/>
    </row>
    <row r="1002" spans="1:14" x14ac:dyDescent="0.25">
      <c r="A1002" s="159">
        <v>181</v>
      </c>
      <c r="B1002" s="160">
        <v>7</v>
      </c>
      <c r="C1002" s="160">
        <v>11700</v>
      </c>
      <c r="D1002" s="160" t="s">
        <v>3787</v>
      </c>
      <c r="E1002" s="160">
        <v>5665</v>
      </c>
      <c r="F1002" s="160" t="s">
        <v>75</v>
      </c>
      <c r="G1002" s="148">
        <v>32</v>
      </c>
      <c r="H1002" s="152">
        <f>IF(C1002=11700,ROUND(VLOOKUP(G1002,ThongSo!$F$2:$I$15,4,0)*B1002*11.7,3),0)</f>
        <v>516.78899999999999</v>
      </c>
      <c r="I1002" s="152" t="str">
        <f>IF(F1002="Sắt vụn",ROUND(VLOOKUP(G1002,ThongSo!$F$2:$I$15,4,0)*B1002*E1002/1000,3),"-")</f>
        <v>-</v>
      </c>
      <c r="L1002" s="150"/>
      <c r="M1002" s="150"/>
      <c r="N1002" s="150"/>
    </row>
    <row r="1003" spans="1:14" x14ac:dyDescent="0.25">
      <c r="A1003" s="159">
        <v>182</v>
      </c>
      <c r="B1003" s="160">
        <v>1</v>
      </c>
      <c r="C1003" s="160">
        <v>11700</v>
      </c>
      <c r="D1003" s="160" t="s">
        <v>3788</v>
      </c>
      <c r="E1003" s="160">
        <v>5910</v>
      </c>
      <c r="F1003" s="160" t="s">
        <v>75</v>
      </c>
      <c r="G1003" s="148">
        <v>32</v>
      </c>
      <c r="H1003" s="152">
        <f>IF(C1003=11700,ROUND(VLOOKUP(G1003,ThongSo!$F$2:$I$15,4,0)*B1003*11.7,3),0)</f>
        <v>73.826999999999998</v>
      </c>
      <c r="I1003" s="152" t="str">
        <f>IF(F1003="Sắt vụn",ROUND(VLOOKUP(G1003,ThongSo!$F$2:$I$15,4,0)*B1003*E1003/1000,3),"-")</f>
        <v>-</v>
      </c>
      <c r="L1003" s="150"/>
      <c r="M1003" s="150"/>
      <c r="N1003" s="150"/>
    </row>
    <row r="1004" spans="1:14" x14ac:dyDescent="0.25">
      <c r="A1004" s="157" t="s">
        <v>80</v>
      </c>
      <c r="B1004" s="158"/>
      <c r="C1004" s="158"/>
      <c r="D1004" s="158"/>
      <c r="E1004" s="158"/>
      <c r="F1004" s="158"/>
      <c r="G1004" s="148"/>
      <c r="H1004" s="152">
        <f>IF(C1004=11700,ROUND(VLOOKUP(G1004,ThongSo!$F$2:$I$15,4,0)*B1004*11.7,3),0)</f>
        <v>0</v>
      </c>
      <c r="I1004" s="152" t="str">
        <f>IF(F1004="Sắt vụn",ROUND(VLOOKUP(G1004,ThongSo!$F$2:$I$15,4,0)*B1004*E1004/1000,3),"-")</f>
        <v>-</v>
      </c>
      <c r="L1004" s="150"/>
      <c r="M1004" s="150"/>
      <c r="N1004" s="150"/>
    </row>
    <row r="1005" spans="1:14" x14ac:dyDescent="0.25">
      <c r="A1005" s="159" t="s">
        <v>73</v>
      </c>
      <c r="B1005" s="160">
        <v>18</v>
      </c>
      <c r="C1005" s="160">
        <v>11700</v>
      </c>
      <c r="D1005" s="160"/>
      <c r="E1005" s="160"/>
      <c r="F1005" s="160"/>
      <c r="G1005" s="148">
        <v>18</v>
      </c>
      <c r="H1005" s="152">
        <f>IF(C1005=11700,ROUND(VLOOKUP(G1005,ThongSo!$F$2:$I$15,4,0)*B1005*11.7,3),0)</f>
        <v>421.2</v>
      </c>
      <c r="I1005" s="152" t="str">
        <f>IF(F1005="Sắt vụn",ROUND(VLOOKUP(G1005,ThongSo!$F$2:$I$15,4,0)*B1005*E1005/1000,3),"-")</f>
        <v>-</v>
      </c>
      <c r="L1005" s="150"/>
      <c r="M1005" s="150"/>
      <c r="N1005" s="150"/>
    </row>
    <row r="1006" spans="1:14" x14ac:dyDescent="0.25">
      <c r="A1006" s="159" t="s">
        <v>342</v>
      </c>
      <c r="B1006" s="160">
        <v>6</v>
      </c>
      <c r="C1006" s="160">
        <v>4900</v>
      </c>
      <c r="D1006" s="160" t="s">
        <v>3789</v>
      </c>
      <c r="E1006" s="160">
        <v>1460</v>
      </c>
      <c r="F1006" s="160" t="s">
        <v>75</v>
      </c>
      <c r="G1006" s="148">
        <v>18</v>
      </c>
      <c r="H1006" s="152">
        <f>IF(C1006=11700,ROUND(VLOOKUP(G1006,ThongSo!$F$2:$I$15,4,0)*B1006*11.7,3),0)</f>
        <v>0</v>
      </c>
      <c r="I1006" s="152" t="str">
        <f>IF(F1006="Sắt vụn",ROUND(VLOOKUP(G1006,ThongSo!$F$2:$I$15,4,0)*B1006*E1006/1000,3),"-")</f>
        <v>-</v>
      </c>
      <c r="L1006" s="150"/>
      <c r="M1006" s="150"/>
      <c r="N1006" s="150"/>
    </row>
    <row r="1007" spans="1:14" x14ac:dyDescent="0.25">
      <c r="A1007" s="159" t="s">
        <v>342</v>
      </c>
      <c r="B1007" s="160">
        <v>3</v>
      </c>
      <c r="C1007" s="160">
        <v>4900</v>
      </c>
      <c r="D1007" s="160" t="s">
        <v>3790</v>
      </c>
      <c r="E1007" s="160">
        <v>1860</v>
      </c>
      <c r="F1007" s="160" t="s">
        <v>75</v>
      </c>
      <c r="G1007" s="148">
        <v>18</v>
      </c>
      <c r="H1007" s="152">
        <f>IF(C1007=11700,ROUND(VLOOKUP(G1007,ThongSo!$F$2:$I$15,4,0)*B1007*11.7,3),0)</f>
        <v>0</v>
      </c>
      <c r="I1007" s="152" t="str">
        <f>IF(F1007="Sắt vụn",ROUND(VLOOKUP(G1007,ThongSo!$F$2:$I$15,4,0)*B1007*E1007/1000,3),"-")</f>
        <v>-</v>
      </c>
      <c r="L1007" s="150"/>
      <c r="M1007" s="150"/>
      <c r="N1007" s="150"/>
    </row>
    <row r="1008" spans="1:14" x14ac:dyDescent="0.25">
      <c r="A1008" s="159" t="s">
        <v>342</v>
      </c>
      <c r="B1008" s="160">
        <v>2</v>
      </c>
      <c r="C1008" s="160">
        <v>4900</v>
      </c>
      <c r="D1008" s="160" t="s">
        <v>3791</v>
      </c>
      <c r="E1008" s="160">
        <v>2150</v>
      </c>
      <c r="F1008" s="160" t="s">
        <v>75</v>
      </c>
      <c r="G1008" s="148">
        <v>18</v>
      </c>
      <c r="H1008" s="152">
        <f>IF(C1008=11700,ROUND(VLOOKUP(G1008,ThongSo!$F$2:$I$15,4,0)*B1008*11.7,3),0)</f>
        <v>0</v>
      </c>
      <c r="I1008" s="152" t="str">
        <f>IF(F1008="Sắt vụn",ROUND(VLOOKUP(G1008,ThongSo!$F$2:$I$15,4,0)*B1008*E1008/1000,3),"-")</f>
        <v>-</v>
      </c>
      <c r="L1008" s="150"/>
      <c r="M1008" s="150"/>
      <c r="N1008" s="150"/>
    </row>
    <row r="1009" spans="1:14" x14ac:dyDescent="0.25">
      <c r="A1009" s="159">
        <v>187</v>
      </c>
      <c r="B1009" s="160">
        <v>1</v>
      </c>
      <c r="C1009" s="160">
        <v>11700</v>
      </c>
      <c r="D1009" s="160" t="s">
        <v>3792</v>
      </c>
      <c r="E1009" s="160">
        <v>0</v>
      </c>
      <c r="F1009" s="160"/>
      <c r="G1009" s="148">
        <v>18</v>
      </c>
      <c r="H1009" s="152">
        <f>IF(C1009=11700,ROUND(VLOOKUP(G1009,ThongSo!$F$2:$I$15,4,0)*B1009*11.7,3),0)</f>
        <v>23.4</v>
      </c>
      <c r="I1009" s="152" t="str">
        <f>IF(F1009="Sắt vụn",ROUND(VLOOKUP(G1009,ThongSo!$F$2:$I$15,4,0)*B1009*E1009/1000,3),"-")</f>
        <v>-</v>
      </c>
      <c r="L1009" s="150"/>
      <c r="M1009" s="150"/>
      <c r="N1009" s="150"/>
    </row>
    <row r="1010" spans="1:14" x14ac:dyDescent="0.25">
      <c r="A1010" s="159">
        <v>188</v>
      </c>
      <c r="B1010" s="160">
        <v>6</v>
      </c>
      <c r="C1010" s="160">
        <v>11700</v>
      </c>
      <c r="D1010" s="160" t="s">
        <v>3793</v>
      </c>
      <c r="E1010" s="160">
        <v>200</v>
      </c>
      <c r="F1010" s="160" t="s">
        <v>74</v>
      </c>
      <c r="G1010" s="148">
        <v>18</v>
      </c>
      <c r="H1010" s="152">
        <f>IF(C1010=11700,ROUND(VLOOKUP(G1010,ThongSo!$F$2:$I$15,4,0)*B1010*11.7,3),0)</f>
        <v>140.4</v>
      </c>
      <c r="I1010" s="152">
        <f>IF(F1010="Sắt vụn",ROUND(VLOOKUP(G1010,ThongSo!$F$2:$I$15,4,0)*B1010*E1010/1000,3),"-")</f>
        <v>2.4</v>
      </c>
      <c r="L1010" s="150"/>
      <c r="M1010" s="150"/>
      <c r="N1010" s="150"/>
    </row>
    <row r="1011" spans="1:14" x14ac:dyDescent="0.25">
      <c r="A1011" s="159">
        <v>189</v>
      </c>
      <c r="B1011" s="160">
        <v>84</v>
      </c>
      <c r="C1011" s="160">
        <v>11700</v>
      </c>
      <c r="D1011" s="160" t="s">
        <v>3794</v>
      </c>
      <c r="E1011" s="160">
        <v>330</v>
      </c>
      <c r="F1011" s="160" t="s">
        <v>74</v>
      </c>
      <c r="G1011" s="148">
        <v>18</v>
      </c>
      <c r="H1011" s="152">
        <f>IF(C1011=11700,ROUND(VLOOKUP(G1011,ThongSo!$F$2:$I$15,4,0)*B1011*11.7,3),0)</f>
        <v>1965.6</v>
      </c>
      <c r="I1011" s="152">
        <f>IF(F1011="Sắt vụn",ROUND(VLOOKUP(G1011,ThongSo!$F$2:$I$15,4,0)*B1011*E1011/1000,3),"-")</f>
        <v>55.44</v>
      </c>
      <c r="L1011" s="150"/>
      <c r="M1011" s="150"/>
      <c r="N1011" s="150"/>
    </row>
    <row r="1012" spans="1:14" x14ac:dyDescent="0.25">
      <c r="A1012" s="159">
        <v>190</v>
      </c>
      <c r="B1012" s="160">
        <v>1</v>
      </c>
      <c r="C1012" s="160">
        <v>11700</v>
      </c>
      <c r="D1012" s="160" t="s">
        <v>3795</v>
      </c>
      <c r="E1012" s="160">
        <v>350</v>
      </c>
      <c r="F1012" s="160" t="s">
        <v>74</v>
      </c>
      <c r="G1012" s="148">
        <v>18</v>
      </c>
      <c r="H1012" s="152">
        <f>IF(C1012=11700,ROUND(VLOOKUP(G1012,ThongSo!$F$2:$I$15,4,0)*B1012*11.7,3),0)</f>
        <v>23.4</v>
      </c>
      <c r="I1012" s="152">
        <f>IF(F1012="Sắt vụn",ROUND(VLOOKUP(G1012,ThongSo!$F$2:$I$15,4,0)*B1012*E1012/1000,3),"-")</f>
        <v>0.7</v>
      </c>
      <c r="L1012" s="150"/>
      <c r="M1012" s="150"/>
      <c r="N1012" s="150"/>
    </row>
    <row r="1013" spans="1:14" x14ac:dyDescent="0.25">
      <c r="A1013" s="159">
        <v>191</v>
      </c>
      <c r="B1013" s="160">
        <v>12</v>
      </c>
      <c r="C1013" s="160">
        <v>11700</v>
      </c>
      <c r="D1013" s="160" t="s">
        <v>3796</v>
      </c>
      <c r="E1013" s="160">
        <v>470</v>
      </c>
      <c r="F1013" s="160" t="s">
        <v>74</v>
      </c>
      <c r="G1013" s="148">
        <v>18</v>
      </c>
      <c r="H1013" s="152">
        <f>IF(C1013=11700,ROUND(VLOOKUP(G1013,ThongSo!$F$2:$I$15,4,0)*B1013*11.7,3),0)</f>
        <v>280.8</v>
      </c>
      <c r="I1013" s="152">
        <f>IF(F1013="Sắt vụn",ROUND(VLOOKUP(G1013,ThongSo!$F$2:$I$15,4,0)*B1013*E1013/1000,3),"-")</f>
        <v>11.28</v>
      </c>
      <c r="L1013" s="150"/>
      <c r="M1013" s="150"/>
      <c r="N1013" s="150"/>
    </row>
    <row r="1014" spans="1:14" x14ac:dyDescent="0.25">
      <c r="A1014" s="159">
        <v>192</v>
      </c>
      <c r="B1014" s="160">
        <v>8</v>
      </c>
      <c r="C1014" s="160">
        <v>11700</v>
      </c>
      <c r="D1014" s="160" t="s">
        <v>3797</v>
      </c>
      <c r="E1014" s="160">
        <v>570</v>
      </c>
      <c r="F1014" s="160" t="s">
        <v>74</v>
      </c>
      <c r="G1014" s="148">
        <v>18</v>
      </c>
      <c r="H1014" s="152">
        <f>IF(C1014=11700,ROUND(VLOOKUP(G1014,ThongSo!$F$2:$I$15,4,0)*B1014*11.7,3),0)</f>
        <v>187.2</v>
      </c>
      <c r="I1014" s="152">
        <f>IF(F1014="Sắt vụn",ROUND(VLOOKUP(G1014,ThongSo!$F$2:$I$15,4,0)*B1014*E1014/1000,3),"-")</f>
        <v>9.1199999999999992</v>
      </c>
      <c r="L1014" s="150"/>
      <c r="M1014" s="150"/>
      <c r="N1014" s="150"/>
    </row>
    <row r="1015" spans="1:14" x14ac:dyDescent="0.25">
      <c r="A1015" s="159">
        <v>193</v>
      </c>
      <c r="B1015" s="160">
        <v>4</v>
      </c>
      <c r="C1015" s="160">
        <v>11700</v>
      </c>
      <c r="D1015" s="160" t="s">
        <v>3798</v>
      </c>
      <c r="E1015" s="160">
        <v>610</v>
      </c>
      <c r="F1015" s="160" t="s">
        <v>74</v>
      </c>
      <c r="G1015" s="148">
        <v>18</v>
      </c>
      <c r="H1015" s="152">
        <f>IF(C1015=11700,ROUND(VLOOKUP(G1015,ThongSo!$F$2:$I$15,4,0)*B1015*11.7,3),0)</f>
        <v>93.6</v>
      </c>
      <c r="I1015" s="152">
        <f>IF(F1015="Sắt vụn",ROUND(VLOOKUP(G1015,ThongSo!$F$2:$I$15,4,0)*B1015*E1015/1000,3),"-")</f>
        <v>4.88</v>
      </c>
      <c r="L1015" s="150"/>
      <c r="M1015" s="150"/>
      <c r="N1015" s="150"/>
    </row>
    <row r="1016" spans="1:14" x14ac:dyDescent="0.25">
      <c r="A1016" s="159">
        <v>194</v>
      </c>
      <c r="B1016" s="160">
        <v>6</v>
      </c>
      <c r="C1016" s="160">
        <v>11700</v>
      </c>
      <c r="D1016" s="160" t="s">
        <v>3799</v>
      </c>
      <c r="E1016" s="160">
        <v>730</v>
      </c>
      <c r="F1016" s="160" t="s">
        <v>74</v>
      </c>
      <c r="G1016" s="148">
        <v>18</v>
      </c>
      <c r="H1016" s="152">
        <f>IF(C1016=11700,ROUND(VLOOKUP(G1016,ThongSo!$F$2:$I$15,4,0)*B1016*11.7,3),0)</f>
        <v>140.4</v>
      </c>
      <c r="I1016" s="152">
        <f>IF(F1016="Sắt vụn",ROUND(VLOOKUP(G1016,ThongSo!$F$2:$I$15,4,0)*B1016*E1016/1000,3),"-")</f>
        <v>8.76</v>
      </c>
      <c r="L1016" s="150"/>
      <c r="M1016" s="150"/>
      <c r="N1016" s="150"/>
    </row>
    <row r="1017" spans="1:14" x14ac:dyDescent="0.25">
      <c r="A1017" s="159">
        <v>195</v>
      </c>
      <c r="B1017" s="160">
        <v>3</v>
      </c>
      <c r="C1017" s="160">
        <v>11700</v>
      </c>
      <c r="D1017" s="160" t="s">
        <v>3800</v>
      </c>
      <c r="E1017" s="160">
        <v>730</v>
      </c>
      <c r="F1017" s="160" t="s">
        <v>74</v>
      </c>
      <c r="G1017" s="148">
        <v>18</v>
      </c>
      <c r="H1017" s="152">
        <f>IF(C1017=11700,ROUND(VLOOKUP(G1017,ThongSo!$F$2:$I$15,4,0)*B1017*11.7,3),0)</f>
        <v>70.2</v>
      </c>
      <c r="I1017" s="152">
        <f>IF(F1017="Sắt vụn",ROUND(VLOOKUP(G1017,ThongSo!$F$2:$I$15,4,0)*B1017*E1017/1000,3),"-")</f>
        <v>4.38</v>
      </c>
      <c r="L1017" s="150"/>
      <c r="M1017" s="150"/>
      <c r="N1017" s="150"/>
    </row>
    <row r="1018" spans="1:14" x14ac:dyDescent="0.25">
      <c r="A1018" s="159">
        <v>196</v>
      </c>
      <c r="B1018" s="160">
        <v>19</v>
      </c>
      <c r="C1018" s="160">
        <v>11700</v>
      </c>
      <c r="D1018" s="160" t="s">
        <v>3801</v>
      </c>
      <c r="E1018" s="160">
        <v>860</v>
      </c>
      <c r="F1018" s="160" t="s">
        <v>74</v>
      </c>
      <c r="G1018" s="148">
        <v>18</v>
      </c>
      <c r="H1018" s="152">
        <f>IF(C1018=11700,ROUND(VLOOKUP(G1018,ThongSo!$F$2:$I$15,4,0)*B1018*11.7,3),0)</f>
        <v>444.6</v>
      </c>
      <c r="I1018" s="152">
        <f>IF(F1018="Sắt vụn",ROUND(VLOOKUP(G1018,ThongSo!$F$2:$I$15,4,0)*B1018*E1018/1000,3),"-")</f>
        <v>32.68</v>
      </c>
      <c r="L1018" s="150"/>
      <c r="M1018" s="150"/>
      <c r="N1018" s="150"/>
    </row>
    <row r="1019" spans="1:14" x14ac:dyDescent="0.25">
      <c r="A1019" s="159">
        <v>197</v>
      </c>
      <c r="B1019" s="160">
        <v>1</v>
      </c>
      <c r="C1019" s="160">
        <v>11700</v>
      </c>
      <c r="D1019" s="160" t="s">
        <v>3802</v>
      </c>
      <c r="E1019" s="160">
        <v>890</v>
      </c>
      <c r="F1019" s="160" t="s">
        <v>74</v>
      </c>
      <c r="G1019" s="148">
        <v>18</v>
      </c>
      <c r="H1019" s="152">
        <f>IF(C1019=11700,ROUND(VLOOKUP(G1019,ThongSo!$F$2:$I$15,4,0)*B1019*11.7,3),0)</f>
        <v>23.4</v>
      </c>
      <c r="I1019" s="152">
        <f>IF(F1019="Sắt vụn",ROUND(VLOOKUP(G1019,ThongSo!$F$2:$I$15,4,0)*B1019*E1019/1000,3),"-")</f>
        <v>1.78</v>
      </c>
      <c r="L1019" s="150"/>
      <c r="M1019" s="150"/>
      <c r="N1019" s="150"/>
    </row>
    <row r="1020" spans="1:14" x14ac:dyDescent="0.25">
      <c r="A1020" s="159">
        <v>198</v>
      </c>
      <c r="B1020" s="160">
        <v>6</v>
      </c>
      <c r="C1020" s="160">
        <v>11700</v>
      </c>
      <c r="D1020" s="160" t="s">
        <v>3803</v>
      </c>
      <c r="E1020" s="160">
        <v>1050</v>
      </c>
      <c r="F1020" s="160" t="s">
        <v>75</v>
      </c>
      <c r="G1020" s="148">
        <v>18</v>
      </c>
      <c r="H1020" s="152">
        <f>IF(C1020=11700,ROUND(VLOOKUP(G1020,ThongSo!$F$2:$I$15,4,0)*B1020*11.7,3),0)</f>
        <v>140.4</v>
      </c>
      <c r="I1020" s="152" t="str">
        <f>IF(F1020="Sắt vụn",ROUND(VLOOKUP(G1020,ThongSo!$F$2:$I$15,4,0)*B1020*E1020/1000,3),"-")</f>
        <v>-</v>
      </c>
      <c r="L1020" s="150"/>
      <c r="M1020" s="150"/>
      <c r="N1020" s="150"/>
    </row>
    <row r="1021" spans="1:14" x14ac:dyDescent="0.25">
      <c r="A1021" s="159">
        <v>199</v>
      </c>
      <c r="B1021" s="160">
        <v>11</v>
      </c>
      <c r="C1021" s="160">
        <v>11700</v>
      </c>
      <c r="D1021" s="160" t="s">
        <v>3804</v>
      </c>
      <c r="E1021" s="160">
        <v>3600</v>
      </c>
      <c r="F1021" s="160" t="s">
        <v>75</v>
      </c>
      <c r="G1021" s="148">
        <v>18</v>
      </c>
      <c r="H1021" s="152">
        <f>IF(C1021=11700,ROUND(VLOOKUP(G1021,ThongSo!$F$2:$I$15,4,0)*B1021*11.7,3),0)</f>
        <v>257.39999999999998</v>
      </c>
      <c r="I1021" s="152" t="str">
        <f>IF(F1021="Sắt vụn",ROUND(VLOOKUP(G1021,ThongSo!$F$2:$I$15,4,0)*B1021*E1021/1000,3),"-")</f>
        <v>-</v>
      </c>
      <c r="L1021" s="150"/>
      <c r="M1021" s="150"/>
      <c r="N1021" s="150"/>
    </row>
    <row r="1022" spans="1:14" x14ac:dyDescent="0.25">
      <c r="A1022" s="159">
        <v>200</v>
      </c>
      <c r="B1022" s="160">
        <v>12</v>
      </c>
      <c r="C1022" s="160">
        <v>11700</v>
      </c>
      <c r="D1022" s="160" t="s">
        <v>3805</v>
      </c>
      <c r="E1022" s="160">
        <v>3800</v>
      </c>
      <c r="F1022" s="160" t="s">
        <v>75</v>
      </c>
      <c r="G1022" s="148">
        <v>18</v>
      </c>
      <c r="H1022" s="152">
        <f>IF(C1022=11700,ROUND(VLOOKUP(G1022,ThongSo!$F$2:$I$15,4,0)*B1022*11.7,3),0)</f>
        <v>280.8</v>
      </c>
      <c r="I1022" s="152" t="str">
        <f>IF(F1022="Sắt vụn",ROUND(VLOOKUP(G1022,ThongSo!$F$2:$I$15,4,0)*B1022*E1022/1000,3),"-")</f>
        <v>-</v>
      </c>
      <c r="L1022" s="150"/>
      <c r="M1022" s="150"/>
      <c r="N1022" s="150"/>
    </row>
    <row r="1023" spans="1:14" x14ac:dyDescent="0.25">
      <c r="A1023" s="159">
        <v>201</v>
      </c>
      <c r="B1023" s="160">
        <v>24</v>
      </c>
      <c r="C1023" s="160">
        <v>11700</v>
      </c>
      <c r="D1023" s="160" t="s">
        <v>3806</v>
      </c>
      <c r="E1023" s="160">
        <v>3800</v>
      </c>
      <c r="F1023" s="160" t="s">
        <v>75</v>
      </c>
      <c r="G1023" s="148">
        <v>18</v>
      </c>
      <c r="H1023" s="152">
        <f>IF(C1023=11700,ROUND(VLOOKUP(G1023,ThongSo!$F$2:$I$15,4,0)*B1023*11.7,3),0)</f>
        <v>561.6</v>
      </c>
      <c r="I1023" s="152" t="str">
        <f>IF(F1023="Sắt vụn",ROUND(VLOOKUP(G1023,ThongSo!$F$2:$I$15,4,0)*B1023*E1023/1000,3),"-")</f>
        <v>-</v>
      </c>
      <c r="L1023" s="150"/>
      <c r="M1023" s="150"/>
      <c r="N1023" s="150"/>
    </row>
    <row r="1024" spans="1:14" x14ac:dyDescent="0.25">
      <c r="A1024" s="159">
        <v>202</v>
      </c>
      <c r="B1024" s="160">
        <v>6</v>
      </c>
      <c r="C1024" s="160">
        <v>11700</v>
      </c>
      <c r="D1024" s="160" t="s">
        <v>3807</v>
      </c>
      <c r="E1024" s="160">
        <v>3800</v>
      </c>
      <c r="F1024" s="160" t="s">
        <v>75</v>
      </c>
      <c r="G1024" s="148">
        <v>18</v>
      </c>
      <c r="H1024" s="152">
        <f>IF(C1024=11700,ROUND(VLOOKUP(G1024,ThongSo!$F$2:$I$15,4,0)*B1024*11.7,3),0)</f>
        <v>140.4</v>
      </c>
      <c r="I1024" s="152" t="str">
        <f>IF(F1024="Sắt vụn",ROUND(VLOOKUP(G1024,ThongSo!$F$2:$I$15,4,0)*B1024*E1024/1000,3),"-")</f>
        <v>-</v>
      </c>
      <c r="L1024" s="150"/>
      <c r="M1024" s="150"/>
      <c r="N1024" s="150"/>
    </row>
    <row r="1025" spans="1:14" x14ac:dyDescent="0.25">
      <c r="A1025" s="159">
        <v>203</v>
      </c>
      <c r="B1025" s="160">
        <v>12</v>
      </c>
      <c r="C1025" s="160">
        <v>11700</v>
      </c>
      <c r="D1025" s="160" t="s">
        <v>3808</v>
      </c>
      <c r="E1025" s="160">
        <v>4000</v>
      </c>
      <c r="F1025" s="160" t="s">
        <v>75</v>
      </c>
      <c r="G1025" s="148">
        <v>18</v>
      </c>
      <c r="H1025" s="152">
        <f>IF(C1025=11700,ROUND(VLOOKUP(G1025,ThongSo!$F$2:$I$15,4,0)*B1025*11.7,3),0)</f>
        <v>280.8</v>
      </c>
      <c r="I1025" s="152" t="str">
        <f>IF(F1025="Sắt vụn",ROUND(VLOOKUP(G1025,ThongSo!$F$2:$I$15,4,0)*B1025*E1025/1000,3),"-")</f>
        <v>-</v>
      </c>
      <c r="L1025" s="150"/>
      <c r="M1025" s="150"/>
      <c r="N1025" s="150"/>
    </row>
    <row r="1026" spans="1:14" x14ac:dyDescent="0.25">
      <c r="A1026" s="157" t="s">
        <v>81</v>
      </c>
      <c r="B1026" s="158"/>
      <c r="C1026" s="158"/>
      <c r="D1026" s="158"/>
      <c r="E1026" s="158"/>
      <c r="F1026" s="158"/>
      <c r="G1026" s="148"/>
      <c r="H1026" s="152">
        <f>IF(C1026=11700,ROUND(VLOOKUP(G1026,ThongSo!$F$2:$I$15,4,0)*B1026*11.7,3),0)</f>
        <v>0</v>
      </c>
      <c r="I1026" s="152" t="str">
        <f>IF(F1026="Sắt vụn",ROUND(VLOOKUP(G1026,ThongSo!$F$2:$I$15,4,0)*B1026*E1026/1000,3),"-")</f>
        <v>-</v>
      </c>
      <c r="L1026" s="150"/>
      <c r="M1026" s="150"/>
      <c r="N1026" s="150"/>
    </row>
    <row r="1027" spans="1:14" x14ac:dyDescent="0.25">
      <c r="A1027" s="159" t="s">
        <v>179</v>
      </c>
      <c r="B1027" s="160">
        <v>42</v>
      </c>
      <c r="C1027" s="160">
        <v>2320</v>
      </c>
      <c r="D1027" s="160" t="s">
        <v>3809</v>
      </c>
      <c r="E1027" s="160">
        <v>290</v>
      </c>
      <c r="F1027" s="160" t="s">
        <v>74</v>
      </c>
      <c r="G1027" s="148">
        <v>16</v>
      </c>
      <c r="H1027" s="152">
        <f>IF(C1027=11700,ROUND(VLOOKUP(G1027,ThongSo!$F$2:$I$15,4,0)*B1027*11.7,3),0)</f>
        <v>0</v>
      </c>
      <c r="I1027" s="152">
        <f>IF(F1027="Sắt vụn",ROUND(VLOOKUP(G1027,ThongSo!$F$2:$I$15,4,0)*B1027*E1027/1000,3),"-")</f>
        <v>19.244</v>
      </c>
      <c r="L1027" s="150"/>
      <c r="M1027" s="150"/>
      <c r="N1027" s="150"/>
    </row>
    <row r="1028" spans="1:14" x14ac:dyDescent="0.25">
      <c r="A1028" s="159" t="s">
        <v>179</v>
      </c>
      <c r="B1028" s="160">
        <v>54</v>
      </c>
      <c r="C1028" s="160">
        <v>2320</v>
      </c>
      <c r="D1028" s="160" t="s">
        <v>3810</v>
      </c>
      <c r="E1028" s="160">
        <v>290</v>
      </c>
      <c r="F1028" s="160" t="s">
        <v>74</v>
      </c>
      <c r="G1028" s="148">
        <v>16</v>
      </c>
      <c r="H1028" s="152">
        <f>IF(C1028=11700,ROUND(VLOOKUP(G1028,ThongSo!$F$2:$I$15,4,0)*B1028*11.7,3),0)</f>
        <v>0</v>
      </c>
      <c r="I1028" s="152">
        <f>IF(F1028="Sắt vụn",ROUND(VLOOKUP(G1028,ThongSo!$F$2:$I$15,4,0)*B1028*E1028/1000,3),"-")</f>
        <v>24.742999999999999</v>
      </c>
      <c r="L1028" s="150"/>
      <c r="M1028" s="150"/>
      <c r="N1028" s="150"/>
    </row>
    <row r="1029" spans="1:14" x14ac:dyDescent="0.25">
      <c r="A1029" s="159" t="s">
        <v>3619</v>
      </c>
      <c r="B1029" s="160">
        <v>1</v>
      </c>
      <c r="C1029" s="160">
        <v>9170</v>
      </c>
      <c r="D1029" s="160" t="s">
        <v>3811</v>
      </c>
      <c r="E1029" s="160">
        <v>790</v>
      </c>
      <c r="F1029" s="160" t="s">
        <v>74</v>
      </c>
      <c r="G1029" s="148">
        <v>16</v>
      </c>
      <c r="H1029" s="152">
        <f>IF(C1029=11700,ROUND(VLOOKUP(G1029,ThongSo!$F$2:$I$15,4,0)*B1029*11.7,3),0)</f>
        <v>0</v>
      </c>
      <c r="I1029" s="152">
        <f>IF(F1029="Sắt vụn",ROUND(VLOOKUP(G1029,ThongSo!$F$2:$I$15,4,0)*B1029*E1029/1000,3),"-")</f>
        <v>1.248</v>
      </c>
      <c r="L1029" s="150"/>
      <c r="M1029" s="150"/>
      <c r="N1029" s="150"/>
    </row>
    <row r="1030" spans="1:14" x14ac:dyDescent="0.25">
      <c r="A1030" s="159">
        <v>207</v>
      </c>
      <c r="B1030" s="160">
        <v>25</v>
      </c>
      <c r="C1030" s="160">
        <v>11700</v>
      </c>
      <c r="D1030" s="160" t="s">
        <v>3812</v>
      </c>
      <c r="E1030" s="160">
        <v>50</v>
      </c>
      <c r="F1030" s="160" t="s">
        <v>74</v>
      </c>
      <c r="G1030" s="148">
        <v>16</v>
      </c>
      <c r="H1030" s="152">
        <f>IF(C1030=11700,ROUND(VLOOKUP(G1030,ThongSo!$F$2:$I$15,4,0)*B1030*11.7,3),0)</f>
        <v>462.15</v>
      </c>
      <c r="I1030" s="152">
        <f>IF(F1030="Sắt vụn",ROUND(VLOOKUP(G1030,ThongSo!$F$2:$I$15,4,0)*B1030*E1030/1000,3),"-")</f>
        <v>1.9750000000000001</v>
      </c>
      <c r="L1030" s="150"/>
      <c r="M1030" s="150"/>
      <c r="N1030" s="150"/>
    </row>
    <row r="1031" spans="1:14" x14ac:dyDescent="0.25">
      <c r="A1031" s="159">
        <v>208</v>
      </c>
      <c r="B1031" s="160">
        <v>64</v>
      </c>
      <c r="C1031" s="160">
        <v>11700</v>
      </c>
      <c r="D1031" s="160" t="s">
        <v>3813</v>
      </c>
      <c r="E1031" s="160">
        <v>360</v>
      </c>
      <c r="F1031" s="160" t="s">
        <v>74</v>
      </c>
      <c r="G1031" s="148">
        <v>16</v>
      </c>
      <c r="H1031" s="152">
        <f>IF(C1031=11700,ROUND(VLOOKUP(G1031,ThongSo!$F$2:$I$15,4,0)*B1031*11.7,3),0)</f>
        <v>1183.104</v>
      </c>
      <c r="I1031" s="152">
        <f>IF(F1031="Sắt vụn",ROUND(VLOOKUP(G1031,ThongSo!$F$2:$I$15,4,0)*B1031*E1031/1000,3),"-")</f>
        <v>36.402999999999999</v>
      </c>
      <c r="L1031" s="150"/>
      <c r="M1031" s="150"/>
      <c r="N1031" s="150"/>
    </row>
    <row r="1032" spans="1:14" x14ac:dyDescent="0.25">
      <c r="A1032" s="159">
        <v>209</v>
      </c>
      <c r="B1032" s="160">
        <v>96</v>
      </c>
      <c r="C1032" s="160">
        <v>11700</v>
      </c>
      <c r="D1032" s="160" t="s">
        <v>3814</v>
      </c>
      <c r="E1032" s="160">
        <v>860</v>
      </c>
      <c r="F1032" s="160" t="s">
        <v>75</v>
      </c>
      <c r="G1032" s="148">
        <v>16</v>
      </c>
      <c r="H1032" s="152">
        <f>IF(C1032=11700,ROUND(VLOOKUP(G1032,ThongSo!$F$2:$I$15,4,0)*B1032*11.7,3),0)</f>
        <v>1774.6559999999999</v>
      </c>
      <c r="I1032" s="152" t="str">
        <f>IF(F1032="Sắt vụn",ROUND(VLOOKUP(G1032,ThongSo!$F$2:$I$15,4,0)*B1032*E1032/1000,3),"-")</f>
        <v>-</v>
      </c>
      <c r="L1032" s="150"/>
      <c r="M1032" s="150"/>
      <c r="N1032" s="150"/>
    </row>
    <row r="1033" spans="1:14" x14ac:dyDescent="0.25">
      <c r="A1033" s="159">
        <v>210</v>
      </c>
      <c r="B1033" s="160">
        <v>1</v>
      </c>
      <c r="C1033" s="160">
        <v>11700</v>
      </c>
      <c r="D1033" s="160" t="s">
        <v>3815</v>
      </c>
      <c r="E1033" s="160">
        <v>860</v>
      </c>
      <c r="F1033" s="160" t="s">
        <v>75</v>
      </c>
      <c r="G1033" s="148">
        <v>16</v>
      </c>
      <c r="H1033" s="152">
        <f>IF(C1033=11700,ROUND(VLOOKUP(G1033,ThongSo!$F$2:$I$15,4,0)*B1033*11.7,3),0)</f>
        <v>18.486000000000001</v>
      </c>
      <c r="I1033" s="152" t="str">
        <f>IF(F1033="Sắt vụn",ROUND(VLOOKUP(G1033,ThongSo!$F$2:$I$15,4,0)*B1033*E1033/1000,3),"-")</f>
        <v>-</v>
      </c>
      <c r="L1033" s="150"/>
      <c r="M1033" s="150"/>
      <c r="N1033" s="150"/>
    </row>
    <row r="1034" spans="1:14" x14ac:dyDescent="0.25">
      <c r="A1034" s="159">
        <v>211</v>
      </c>
      <c r="B1034" s="160">
        <v>20</v>
      </c>
      <c r="C1034" s="160">
        <v>11700</v>
      </c>
      <c r="D1034" s="160" t="s">
        <v>3816</v>
      </c>
      <c r="E1034" s="160">
        <v>860</v>
      </c>
      <c r="F1034" s="160" t="s">
        <v>75</v>
      </c>
      <c r="G1034" s="148">
        <v>16</v>
      </c>
      <c r="H1034" s="152">
        <f>IF(C1034=11700,ROUND(VLOOKUP(G1034,ThongSo!$F$2:$I$15,4,0)*B1034*11.7,3),0)</f>
        <v>369.72</v>
      </c>
      <c r="I1034" s="152" t="str">
        <f>IF(F1034="Sắt vụn",ROUND(VLOOKUP(G1034,ThongSo!$F$2:$I$15,4,0)*B1034*E1034/1000,3),"-")</f>
        <v>-</v>
      </c>
      <c r="L1034" s="150"/>
      <c r="M1034" s="150"/>
      <c r="N1034" s="150"/>
    </row>
    <row r="1035" spans="1:14" x14ac:dyDescent="0.25">
      <c r="A1035" s="159">
        <v>212</v>
      </c>
      <c r="B1035" s="160">
        <v>1</v>
      </c>
      <c r="C1035" s="160">
        <v>11700</v>
      </c>
      <c r="D1035" s="160" t="s">
        <v>3817</v>
      </c>
      <c r="E1035" s="160">
        <v>860</v>
      </c>
      <c r="F1035" s="160" t="s">
        <v>75</v>
      </c>
      <c r="G1035" s="148">
        <v>16</v>
      </c>
      <c r="H1035" s="152">
        <f>IF(C1035=11700,ROUND(VLOOKUP(G1035,ThongSo!$F$2:$I$15,4,0)*B1035*11.7,3),0)</f>
        <v>18.486000000000001</v>
      </c>
      <c r="I1035" s="152" t="str">
        <f>IF(F1035="Sắt vụn",ROUND(VLOOKUP(G1035,ThongSo!$F$2:$I$15,4,0)*B1035*E1035/1000,3),"-")</f>
        <v>-</v>
      </c>
      <c r="L1035" s="150"/>
      <c r="M1035" s="150"/>
      <c r="N1035" s="150"/>
    </row>
    <row r="1036" spans="1:14" x14ac:dyDescent="0.25">
      <c r="A1036" s="159">
        <v>213</v>
      </c>
      <c r="B1036" s="160">
        <v>26</v>
      </c>
      <c r="C1036" s="160">
        <v>11700</v>
      </c>
      <c r="D1036" s="160" t="s">
        <v>3818</v>
      </c>
      <c r="E1036" s="160">
        <v>860</v>
      </c>
      <c r="F1036" s="160" t="s">
        <v>75</v>
      </c>
      <c r="G1036" s="148">
        <v>16</v>
      </c>
      <c r="H1036" s="152">
        <f>IF(C1036=11700,ROUND(VLOOKUP(G1036,ThongSo!$F$2:$I$15,4,0)*B1036*11.7,3),0)</f>
        <v>480.63600000000002</v>
      </c>
      <c r="I1036" s="152" t="str">
        <f>IF(F1036="Sắt vụn",ROUND(VLOOKUP(G1036,ThongSo!$F$2:$I$15,4,0)*B1036*E1036/1000,3),"-")</f>
        <v>-</v>
      </c>
      <c r="L1036" s="150"/>
      <c r="M1036" s="150"/>
      <c r="N1036" s="150"/>
    </row>
    <row r="1037" spans="1:14" x14ac:dyDescent="0.25">
      <c r="A1037" s="159">
        <v>214</v>
      </c>
      <c r="B1037" s="160">
        <v>1</v>
      </c>
      <c r="C1037" s="160">
        <v>11700</v>
      </c>
      <c r="D1037" s="160" t="s">
        <v>3819</v>
      </c>
      <c r="E1037" s="160">
        <v>910</v>
      </c>
      <c r="F1037" s="160" t="s">
        <v>75</v>
      </c>
      <c r="G1037" s="148">
        <v>16</v>
      </c>
      <c r="H1037" s="152">
        <f>IF(C1037=11700,ROUND(VLOOKUP(G1037,ThongSo!$F$2:$I$15,4,0)*B1037*11.7,3),0)</f>
        <v>18.486000000000001</v>
      </c>
      <c r="I1037" s="152" t="str">
        <f>IF(F1037="Sắt vụn",ROUND(VLOOKUP(G1037,ThongSo!$F$2:$I$15,4,0)*B1037*E1037/1000,3),"-")</f>
        <v>-</v>
      </c>
      <c r="L1037" s="150"/>
      <c r="M1037" s="150"/>
      <c r="N1037" s="150"/>
    </row>
    <row r="1038" spans="1:14" x14ac:dyDescent="0.25">
      <c r="A1038" s="159">
        <v>215</v>
      </c>
      <c r="B1038" s="160">
        <v>20</v>
      </c>
      <c r="C1038" s="160">
        <v>11700</v>
      </c>
      <c r="D1038" s="160" t="s">
        <v>3820</v>
      </c>
      <c r="E1038" s="160">
        <v>960</v>
      </c>
      <c r="F1038" s="160" t="s">
        <v>75</v>
      </c>
      <c r="G1038" s="148">
        <v>16</v>
      </c>
      <c r="H1038" s="152">
        <f>IF(C1038=11700,ROUND(VLOOKUP(G1038,ThongSo!$F$2:$I$15,4,0)*B1038*11.7,3),0)</f>
        <v>369.72</v>
      </c>
      <c r="I1038" s="152" t="str">
        <f>IF(F1038="Sắt vụn",ROUND(VLOOKUP(G1038,ThongSo!$F$2:$I$15,4,0)*B1038*E1038/1000,3),"-")</f>
        <v>-</v>
      </c>
      <c r="L1038" s="150"/>
      <c r="M1038" s="150"/>
      <c r="N1038" s="150"/>
    </row>
    <row r="1039" spans="1:14" x14ac:dyDescent="0.25">
      <c r="A1039" s="159">
        <v>216</v>
      </c>
      <c r="B1039" s="160">
        <v>1</v>
      </c>
      <c r="C1039" s="160">
        <v>11700</v>
      </c>
      <c r="D1039" s="160" t="s">
        <v>3821</v>
      </c>
      <c r="E1039" s="160">
        <v>960</v>
      </c>
      <c r="F1039" s="160" t="s">
        <v>75</v>
      </c>
      <c r="G1039" s="148">
        <v>16</v>
      </c>
      <c r="H1039" s="152">
        <f>IF(C1039=11700,ROUND(VLOOKUP(G1039,ThongSo!$F$2:$I$15,4,0)*B1039*11.7,3),0)</f>
        <v>18.486000000000001</v>
      </c>
      <c r="I1039" s="152" t="str">
        <f>IF(F1039="Sắt vụn",ROUND(VLOOKUP(G1039,ThongSo!$F$2:$I$15,4,0)*B1039*E1039/1000,3),"-")</f>
        <v>-</v>
      </c>
      <c r="L1039" s="150"/>
      <c r="M1039" s="150"/>
      <c r="N1039" s="150"/>
    </row>
    <row r="1040" spans="1:14" x14ac:dyDescent="0.25">
      <c r="A1040" s="159">
        <v>217</v>
      </c>
      <c r="B1040" s="160">
        <v>26</v>
      </c>
      <c r="C1040" s="160">
        <v>11700</v>
      </c>
      <c r="D1040" s="160" t="s">
        <v>3822</v>
      </c>
      <c r="E1040" s="160">
        <v>960</v>
      </c>
      <c r="F1040" s="160" t="s">
        <v>75</v>
      </c>
      <c r="G1040" s="148">
        <v>16</v>
      </c>
      <c r="H1040" s="152">
        <f>IF(C1040=11700,ROUND(VLOOKUP(G1040,ThongSo!$F$2:$I$15,4,0)*B1040*11.7,3),0)</f>
        <v>480.63600000000002</v>
      </c>
      <c r="I1040" s="152" t="str">
        <f>IF(F1040="Sắt vụn",ROUND(VLOOKUP(G1040,ThongSo!$F$2:$I$15,4,0)*B1040*E1040/1000,3),"-")</f>
        <v>-</v>
      </c>
      <c r="L1040" s="150"/>
      <c r="M1040" s="150"/>
      <c r="N1040" s="150"/>
    </row>
    <row r="1041" spans="1:14" x14ac:dyDescent="0.25">
      <c r="A1041" s="159">
        <v>218</v>
      </c>
      <c r="B1041" s="160">
        <v>1</v>
      </c>
      <c r="C1041" s="160">
        <v>11700</v>
      </c>
      <c r="D1041" s="160" t="s">
        <v>3823</v>
      </c>
      <c r="E1041" s="160">
        <v>1670</v>
      </c>
      <c r="F1041" s="160" t="s">
        <v>75</v>
      </c>
      <c r="G1041" s="148">
        <v>16</v>
      </c>
      <c r="H1041" s="152">
        <f>IF(C1041=11700,ROUND(VLOOKUP(G1041,ThongSo!$F$2:$I$15,4,0)*B1041*11.7,3),0)</f>
        <v>18.486000000000001</v>
      </c>
      <c r="I1041" s="152" t="str">
        <f>IF(F1041="Sắt vụn",ROUND(VLOOKUP(G1041,ThongSo!$F$2:$I$15,4,0)*B1041*E1041/1000,3),"-")</f>
        <v>-</v>
      </c>
      <c r="L1041" s="150"/>
      <c r="M1041" s="150"/>
      <c r="N1041" s="150"/>
    </row>
    <row r="1042" spans="1:14" x14ac:dyDescent="0.25">
      <c r="A1042" s="159">
        <v>219</v>
      </c>
      <c r="B1042" s="160">
        <v>1</v>
      </c>
      <c r="C1042" s="160">
        <v>11700</v>
      </c>
      <c r="D1042" s="160" t="s">
        <v>3824</v>
      </c>
      <c r="E1042" s="160">
        <v>7040</v>
      </c>
      <c r="F1042" s="160" t="s">
        <v>75</v>
      </c>
      <c r="G1042" s="148">
        <v>16</v>
      </c>
      <c r="H1042" s="152">
        <f>IF(C1042=11700,ROUND(VLOOKUP(G1042,ThongSo!$F$2:$I$15,4,0)*B1042*11.7,3),0)</f>
        <v>18.486000000000001</v>
      </c>
      <c r="I1042" s="152" t="str">
        <f>IF(F1042="Sắt vụn",ROUND(VLOOKUP(G1042,ThongSo!$F$2:$I$15,4,0)*B1042*E1042/1000,3),"-")</f>
        <v>-</v>
      </c>
      <c r="L1042" s="150"/>
      <c r="M1042" s="150"/>
      <c r="N1042" s="150"/>
    </row>
    <row r="1043" spans="1:14" x14ac:dyDescent="0.25">
      <c r="A1043" s="157" t="s">
        <v>82</v>
      </c>
      <c r="B1043" s="158"/>
      <c r="C1043" s="158"/>
      <c r="D1043" s="158"/>
      <c r="E1043" s="158"/>
      <c r="F1043" s="158"/>
      <c r="G1043" s="148"/>
      <c r="H1043" s="152">
        <f>IF(C1043=11700,ROUND(VLOOKUP(G1043,ThongSo!$F$2:$I$15,4,0)*B1043*11.7,3),0)</f>
        <v>0</v>
      </c>
      <c r="I1043" s="152" t="str">
        <f>IF(F1043="Sắt vụn",ROUND(VLOOKUP(G1043,ThongSo!$F$2:$I$15,4,0)*B1043*E1043/1000,3),"-")</f>
        <v>-</v>
      </c>
      <c r="L1043" s="150"/>
      <c r="M1043" s="150"/>
      <c r="N1043" s="150"/>
    </row>
    <row r="1044" spans="1:14" x14ac:dyDescent="0.25">
      <c r="A1044" s="159" t="s">
        <v>73</v>
      </c>
      <c r="B1044" s="160">
        <v>69</v>
      </c>
      <c r="C1044" s="160">
        <v>11700</v>
      </c>
      <c r="D1044" s="160"/>
      <c r="E1044" s="160"/>
      <c r="F1044" s="160"/>
      <c r="G1044" s="148">
        <v>14</v>
      </c>
      <c r="H1044" s="152">
        <f>IF(C1044=11700,ROUND(VLOOKUP(G1044,ThongSo!$F$2:$I$15,4,0)*B1044*11.7,3),0)</f>
        <v>976.83299999999997</v>
      </c>
      <c r="I1044" s="152" t="str">
        <f>IF(F1044="Sắt vụn",ROUND(VLOOKUP(G1044,ThongSo!$F$2:$I$15,4,0)*B1044*E1044/1000,3),"-")</f>
        <v>-</v>
      </c>
      <c r="L1044" s="150"/>
      <c r="M1044" s="150"/>
      <c r="N1044" s="150"/>
    </row>
    <row r="1045" spans="1:14" x14ac:dyDescent="0.25">
      <c r="A1045" s="159" t="s">
        <v>189</v>
      </c>
      <c r="B1045" s="160">
        <v>18</v>
      </c>
      <c r="C1045" s="160">
        <v>2100</v>
      </c>
      <c r="D1045" s="160" t="s">
        <v>3825</v>
      </c>
      <c r="E1045" s="160">
        <v>130</v>
      </c>
      <c r="F1045" s="160" t="s">
        <v>74</v>
      </c>
      <c r="G1045" s="148">
        <v>14</v>
      </c>
      <c r="H1045" s="152">
        <f>IF(C1045=11700,ROUND(VLOOKUP(G1045,ThongSo!$F$2:$I$15,4,0)*B1045*11.7,3),0)</f>
        <v>0</v>
      </c>
      <c r="I1045" s="152">
        <f>IF(F1045="Sắt vụn",ROUND(VLOOKUP(G1045,ThongSo!$F$2:$I$15,4,0)*B1045*E1045/1000,3),"-")</f>
        <v>2.831</v>
      </c>
      <c r="L1045" s="150"/>
      <c r="M1045" s="150"/>
      <c r="N1045" s="150"/>
    </row>
    <row r="1046" spans="1:14" x14ac:dyDescent="0.25">
      <c r="A1046" s="159" t="s">
        <v>344</v>
      </c>
      <c r="B1046" s="160">
        <v>12</v>
      </c>
      <c r="C1046" s="160">
        <v>2130</v>
      </c>
      <c r="D1046" s="160" t="s">
        <v>3825</v>
      </c>
      <c r="E1046" s="160">
        <v>160</v>
      </c>
      <c r="F1046" s="160" t="s">
        <v>74</v>
      </c>
      <c r="G1046" s="148">
        <v>14</v>
      </c>
      <c r="H1046" s="152">
        <f>IF(C1046=11700,ROUND(VLOOKUP(G1046,ThongSo!$F$2:$I$15,4,0)*B1046*11.7,3),0)</f>
        <v>0</v>
      </c>
      <c r="I1046" s="152">
        <f>IF(F1046="Sắt vụn",ROUND(VLOOKUP(G1046,ThongSo!$F$2:$I$15,4,0)*B1046*E1046/1000,3),"-")</f>
        <v>2.323</v>
      </c>
      <c r="L1046" s="150"/>
      <c r="M1046" s="150"/>
      <c r="N1046" s="150"/>
    </row>
    <row r="1047" spans="1:14" x14ac:dyDescent="0.25">
      <c r="A1047" s="159" t="s">
        <v>158</v>
      </c>
      <c r="B1047" s="160">
        <v>66</v>
      </c>
      <c r="C1047" s="160">
        <v>2300</v>
      </c>
      <c r="D1047" s="160" t="s">
        <v>3825</v>
      </c>
      <c r="E1047" s="160">
        <v>330</v>
      </c>
      <c r="F1047" s="160" t="s">
        <v>74</v>
      </c>
      <c r="G1047" s="148">
        <v>14</v>
      </c>
      <c r="H1047" s="152">
        <f>IF(C1047=11700,ROUND(VLOOKUP(G1047,ThongSo!$F$2:$I$15,4,0)*B1047*11.7,3),0)</f>
        <v>0</v>
      </c>
      <c r="I1047" s="152">
        <f>IF(F1047="Sắt vụn",ROUND(VLOOKUP(G1047,ThongSo!$F$2:$I$15,4,0)*B1047*E1047/1000,3),"-")</f>
        <v>26.353999999999999</v>
      </c>
      <c r="L1047" s="150"/>
      <c r="M1047" s="150"/>
      <c r="N1047" s="150"/>
    </row>
    <row r="1048" spans="1:14" x14ac:dyDescent="0.25">
      <c r="A1048" s="159" t="s">
        <v>228</v>
      </c>
      <c r="B1048" s="160">
        <v>52</v>
      </c>
      <c r="C1048" s="160">
        <v>3830</v>
      </c>
      <c r="D1048" s="160" t="s">
        <v>3826</v>
      </c>
      <c r="E1048" s="160">
        <v>110</v>
      </c>
      <c r="F1048" s="160" t="s">
        <v>74</v>
      </c>
      <c r="G1048" s="148">
        <v>14</v>
      </c>
      <c r="H1048" s="152">
        <f>IF(C1048=11700,ROUND(VLOOKUP(G1048,ThongSo!$F$2:$I$15,4,0)*B1048*11.7,3),0)</f>
        <v>0</v>
      </c>
      <c r="I1048" s="152">
        <f>IF(F1048="Sắt vụn",ROUND(VLOOKUP(G1048,ThongSo!$F$2:$I$15,4,0)*B1048*E1048/1000,3),"-")</f>
        <v>6.9210000000000003</v>
      </c>
      <c r="L1048" s="150"/>
      <c r="M1048" s="150"/>
      <c r="N1048" s="150"/>
    </row>
    <row r="1049" spans="1:14" x14ac:dyDescent="0.25">
      <c r="A1049" s="159" t="s">
        <v>228</v>
      </c>
      <c r="B1049" s="160">
        <v>22</v>
      </c>
      <c r="C1049" s="160">
        <v>3830</v>
      </c>
      <c r="D1049" s="160" t="s">
        <v>3827</v>
      </c>
      <c r="E1049" s="160">
        <v>110</v>
      </c>
      <c r="F1049" s="160" t="s">
        <v>74</v>
      </c>
      <c r="G1049" s="148">
        <v>14</v>
      </c>
      <c r="H1049" s="152">
        <f>IF(C1049=11700,ROUND(VLOOKUP(G1049,ThongSo!$F$2:$I$15,4,0)*B1049*11.7,3),0)</f>
        <v>0</v>
      </c>
      <c r="I1049" s="152">
        <f>IF(F1049="Sắt vụn",ROUND(VLOOKUP(G1049,ThongSo!$F$2:$I$15,4,0)*B1049*E1049/1000,3),"-")</f>
        <v>2.9279999999999999</v>
      </c>
      <c r="L1049" s="150"/>
      <c r="M1049" s="150"/>
      <c r="N1049" s="150"/>
    </row>
    <row r="1050" spans="1:14" x14ac:dyDescent="0.25">
      <c r="A1050" s="159" t="s">
        <v>342</v>
      </c>
      <c r="B1050" s="160">
        <v>3</v>
      </c>
      <c r="C1050" s="160">
        <v>4900</v>
      </c>
      <c r="D1050" s="160" t="s">
        <v>3828</v>
      </c>
      <c r="E1050" s="160">
        <v>60</v>
      </c>
      <c r="F1050" s="160" t="s">
        <v>74</v>
      </c>
      <c r="G1050" s="148">
        <v>14</v>
      </c>
      <c r="H1050" s="152">
        <f>IF(C1050=11700,ROUND(VLOOKUP(G1050,ThongSo!$F$2:$I$15,4,0)*B1050*11.7,3),0)</f>
        <v>0</v>
      </c>
      <c r="I1050" s="152">
        <f>IF(F1050="Sắt vụn",ROUND(VLOOKUP(G1050,ThongSo!$F$2:$I$15,4,0)*B1050*E1050/1000,3),"-")</f>
        <v>0.218</v>
      </c>
      <c r="L1050" s="150"/>
      <c r="M1050" s="150"/>
      <c r="N1050" s="150"/>
    </row>
    <row r="1051" spans="1:14" x14ac:dyDescent="0.25">
      <c r="A1051" s="159">
        <v>227</v>
      </c>
      <c r="B1051" s="160">
        <v>6</v>
      </c>
      <c r="C1051" s="160">
        <v>11700</v>
      </c>
      <c r="D1051" s="160" t="s">
        <v>3829</v>
      </c>
      <c r="E1051" s="160">
        <v>0</v>
      </c>
      <c r="F1051" s="160"/>
      <c r="G1051" s="148">
        <v>14</v>
      </c>
      <c r="H1051" s="152">
        <f>IF(C1051=11700,ROUND(VLOOKUP(G1051,ThongSo!$F$2:$I$15,4,0)*B1051*11.7,3),0)</f>
        <v>84.941999999999993</v>
      </c>
      <c r="I1051" s="152" t="str">
        <f>IF(F1051="Sắt vụn",ROUND(VLOOKUP(G1051,ThongSo!$F$2:$I$15,4,0)*B1051*E1051/1000,3),"-")</f>
        <v>-</v>
      </c>
      <c r="L1051" s="150"/>
      <c r="M1051" s="150"/>
      <c r="N1051" s="150"/>
    </row>
    <row r="1052" spans="1:14" x14ac:dyDescent="0.25">
      <c r="A1052" s="159">
        <v>228</v>
      </c>
      <c r="B1052" s="160">
        <v>9</v>
      </c>
      <c r="C1052" s="160">
        <v>11700</v>
      </c>
      <c r="D1052" s="160" t="s">
        <v>3830</v>
      </c>
      <c r="E1052" s="160">
        <v>0</v>
      </c>
      <c r="F1052" s="160"/>
      <c r="G1052" s="148">
        <v>14</v>
      </c>
      <c r="H1052" s="152">
        <f>IF(C1052=11700,ROUND(VLOOKUP(G1052,ThongSo!$F$2:$I$15,4,0)*B1052*11.7,3),0)</f>
        <v>127.413</v>
      </c>
      <c r="I1052" s="152" t="str">
        <f>IF(F1052="Sắt vụn",ROUND(VLOOKUP(G1052,ThongSo!$F$2:$I$15,4,0)*B1052*E1052/1000,3),"-")</f>
        <v>-</v>
      </c>
      <c r="L1052" s="150"/>
      <c r="M1052" s="150"/>
      <c r="N1052" s="150"/>
    </row>
    <row r="1053" spans="1:14" x14ac:dyDescent="0.25">
      <c r="A1053" s="159">
        <v>229</v>
      </c>
      <c r="B1053" s="160">
        <v>6</v>
      </c>
      <c r="C1053" s="160">
        <v>11700</v>
      </c>
      <c r="D1053" s="160" t="s">
        <v>3831</v>
      </c>
      <c r="E1053" s="160">
        <v>0</v>
      </c>
      <c r="F1053" s="160"/>
      <c r="G1053" s="148">
        <v>14</v>
      </c>
      <c r="H1053" s="152">
        <f>IF(C1053=11700,ROUND(VLOOKUP(G1053,ThongSo!$F$2:$I$15,4,0)*B1053*11.7,3),0)</f>
        <v>84.941999999999993</v>
      </c>
      <c r="I1053" s="152" t="str">
        <f>IF(F1053="Sắt vụn",ROUND(VLOOKUP(G1053,ThongSo!$F$2:$I$15,4,0)*B1053*E1053/1000,3),"-")</f>
        <v>-</v>
      </c>
      <c r="L1053" s="150"/>
      <c r="M1053" s="150"/>
      <c r="N1053" s="150"/>
    </row>
    <row r="1054" spans="1:14" x14ac:dyDescent="0.25">
      <c r="A1054" s="159">
        <v>230</v>
      </c>
      <c r="B1054" s="160">
        <v>6</v>
      </c>
      <c r="C1054" s="160">
        <v>11700</v>
      </c>
      <c r="D1054" s="160" t="s">
        <v>3832</v>
      </c>
      <c r="E1054" s="160">
        <v>0</v>
      </c>
      <c r="F1054" s="160"/>
      <c r="G1054" s="148">
        <v>14</v>
      </c>
      <c r="H1054" s="152">
        <f>IF(C1054=11700,ROUND(VLOOKUP(G1054,ThongSo!$F$2:$I$15,4,0)*B1054*11.7,3),0)</f>
        <v>84.941999999999993</v>
      </c>
      <c r="I1054" s="152" t="str">
        <f>IF(F1054="Sắt vụn",ROUND(VLOOKUP(G1054,ThongSo!$F$2:$I$15,4,0)*B1054*E1054/1000,3),"-")</f>
        <v>-</v>
      </c>
      <c r="L1054" s="150"/>
      <c r="M1054" s="150"/>
      <c r="N1054" s="150"/>
    </row>
    <row r="1055" spans="1:14" x14ac:dyDescent="0.25">
      <c r="A1055" s="159">
        <v>231</v>
      </c>
      <c r="B1055" s="160">
        <v>3</v>
      </c>
      <c r="C1055" s="160">
        <v>11700</v>
      </c>
      <c r="D1055" s="160" t="s">
        <v>3833</v>
      </c>
      <c r="E1055" s="160">
        <v>0</v>
      </c>
      <c r="F1055" s="160"/>
      <c r="G1055" s="148">
        <v>14</v>
      </c>
      <c r="H1055" s="152">
        <f>IF(C1055=11700,ROUND(VLOOKUP(G1055,ThongSo!$F$2:$I$15,4,0)*B1055*11.7,3),0)</f>
        <v>42.470999999999997</v>
      </c>
      <c r="I1055" s="152" t="str">
        <f>IF(F1055="Sắt vụn",ROUND(VLOOKUP(G1055,ThongSo!$F$2:$I$15,4,0)*B1055*E1055/1000,3),"-")</f>
        <v>-</v>
      </c>
      <c r="L1055" s="150"/>
      <c r="M1055" s="150"/>
      <c r="N1055" s="150"/>
    </row>
    <row r="1056" spans="1:14" x14ac:dyDescent="0.25">
      <c r="A1056" s="159">
        <v>232</v>
      </c>
      <c r="B1056" s="160">
        <v>4</v>
      </c>
      <c r="C1056" s="160">
        <v>11700</v>
      </c>
      <c r="D1056" s="160" t="s">
        <v>3834</v>
      </c>
      <c r="E1056" s="160">
        <v>0</v>
      </c>
      <c r="F1056" s="160"/>
      <c r="G1056" s="148">
        <v>14</v>
      </c>
      <c r="H1056" s="152">
        <f>IF(C1056=11700,ROUND(VLOOKUP(G1056,ThongSo!$F$2:$I$15,4,0)*B1056*11.7,3),0)</f>
        <v>56.628</v>
      </c>
      <c r="I1056" s="152" t="str">
        <f>IF(F1056="Sắt vụn",ROUND(VLOOKUP(G1056,ThongSo!$F$2:$I$15,4,0)*B1056*E1056/1000,3),"-")</f>
        <v>-</v>
      </c>
      <c r="L1056" s="150"/>
      <c r="M1056" s="150"/>
      <c r="N1056" s="150"/>
    </row>
    <row r="1057" spans="1:14" x14ac:dyDescent="0.25">
      <c r="A1057" s="159">
        <v>233</v>
      </c>
      <c r="B1057" s="160">
        <v>6</v>
      </c>
      <c r="C1057" s="160">
        <v>11700</v>
      </c>
      <c r="D1057" s="160" t="s">
        <v>3835</v>
      </c>
      <c r="E1057" s="160">
        <v>0</v>
      </c>
      <c r="F1057" s="160"/>
      <c r="G1057" s="148">
        <v>14</v>
      </c>
      <c r="H1057" s="152">
        <f>IF(C1057=11700,ROUND(VLOOKUP(G1057,ThongSo!$F$2:$I$15,4,0)*B1057*11.7,3),0)</f>
        <v>84.941999999999993</v>
      </c>
      <c r="I1057" s="152" t="str">
        <f>IF(F1057="Sắt vụn",ROUND(VLOOKUP(G1057,ThongSo!$F$2:$I$15,4,0)*B1057*E1057/1000,3),"-")</f>
        <v>-</v>
      </c>
      <c r="L1057" s="150"/>
      <c r="M1057" s="150"/>
      <c r="N1057" s="150"/>
    </row>
    <row r="1058" spans="1:14" x14ac:dyDescent="0.25">
      <c r="A1058" s="159">
        <v>234</v>
      </c>
      <c r="B1058" s="160">
        <v>33</v>
      </c>
      <c r="C1058" s="160">
        <v>11700</v>
      </c>
      <c r="D1058" s="160" t="s">
        <v>3836</v>
      </c>
      <c r="E1058" s="160">
        <v>0</v>
      </c>
      <c r="F1058" s="160"/>
      <c r="G1058" s="148">
        <v>14</v>
      </c>
      <c r="H1058" s="152">
        <f>IF(C1058=11700,ROUND(VLOOKUP(G1058,ThongSo!$F$2:$I$15,4,0)*B1058*11.7,3),0)</f>
        <v>467.18099999999998</v>
      </c>
      <c r="I1058" s="152" t="str">
        <f>IF(F1058="Sắt vụn",ROUND(VLOOKUP(G1058,ThongSo!$F$2:$I$15,4,0)*B1058*E1058/1000,3),"-")</f>
        <v>-</v>
      </c>
      <c r="L1058" s="150"/>
      <c r="M1058" s="150"/>
      <c r="N1058" s="150"/>
    </row>
    <row r="1059" spans="1:14" x14ac:dyDescent="0.25">
      <c r="A1059" s="159">
        <v>235</v>
      </c>
      <c r="B1059" s="160">
        <v>10</v>
      </c>
      <c r="C1059" s="160">
        <v>11700</v>
      </c>
      <c r="D1059" s="160" t="s">
        <v>3837</v>
      </c>
      <c r="E1059" s="160">
        <v>0</v>
      </c>
      <c r="F1059" s="160"/>
      <c r="G1059" s="148">
        <v>14</v>
      </c>
      <c r="H1059" s="152">
        <f>IF(C1059=11700,ROUND(VLOOKUP(G1059,ThongSo!$F$2:$I$15,4,0)*B1059*11.7,3),0)</f>
        <v>141.57</v>
      </c>
      <c r="I1059" s="152" t="str">
        <f>IF(F1059="Sắt vụn",ROUND(VLOOKUP(G1059,ThongSo!$F$2:$I$15,4,0)*B1059*E1059/1000,3),"-")</f>
        <v>-</v>
      </c>
      <c r="L1059" s="150"/>
      <c r="M1059" s="150"/>
      <c r="N1059" s="150"/>
    </row>
    <row r="1060" spans="1:14" x14ac:dyDescent="0.25">
      <c r="A1060" s="159">
        <v>236</v>
      </c>
      <c r="B1060" s="160">
        <v>11</v>
      </c>
      <c r="C1060" s="160">
        <v>11700</v>
      </c>
      <c r="D1060" s="160" t="s">
        <v>3838</v>
      </c>
      <c r="E1060" s="160">
        <v>0</v>
      </c>
      <c r="F1060" s="160"/>
      <c r="G1060" s="148">
        <v>14</v>
      </c>
      <c r="H1060" s="152">
        <f>IF(C1060=11700,ROUND(VLOOKUP(G1060,ThongSo!$F$2:$I$15,4,0)*B1060*11.7,3),0)</f>
        <v>155.727</v>
      </c>
      <c r="I1060" s="152" t="str">
        <f>IF(F1060="Sắt vụn",ROUND(VLOOKUP(G1060,ThongSo!$F$2:$I$15,4,0)*B1060*E1060/1000,3),"-")</f>
        <v>-</v>
      </c>
      <c r="L1060" s="150"/>
      <c r="M1060" s="150"/>
      <c r="N1060" s="150"/>
    </row>
    <row r="1061" spans="1:14" x14ac:dyDescent="0.25">
      <c r="A1061" s="159">
        <v>237</v>
      </c>
      <c r="B1061" s="160">
        <v>33</v>
      </c>
      <c r="C1061" s="160">
        <v>11700</v>
      </c>
      <c r="D1061" s="160" t="s">
        <v>3839</v>
      </c>
      <c r="E1061" s="160">
        <v>0</v>
      </c>
      <c r="F1061" s="160"/>
      <c r="G1061" s="148">
        <v>14</v>
      </c>
      <c r="H1061" s="152">
        <f>IF(C1061=11700,ROUND(VLOOKUP(G1061,ThongSo!$F$2:$I$15,4,0)*B1061*11.7,3),0)</f>
        <v>467.18099999999998</v>
      </c>
      <c r="I1061" s="152" t="str">
        <f>IF(F1061="Sắt vụn",ROUND(VLOOKUP(G1061,ThongSo!$F$2:$I$15,4,0)*B1061*E1061/1000,3),"-")</f>
        <v>-</v>
      </c>
      <c r="L1061" s="150"/>
      <c r="M1061" s="150"/>
      <c r="N1061" s="150"/>
    </row>
    <row r="1062" spans="1:14" x14ac:dyDescent="0.25">
      <c r="A1062" s="159">
        <v>238</v>
      </c>
      <c r="B1062" s="160">
        <v>11</v>
      </c>
      <c r="C1062" s="160">
        <v>11700</v>
      </c>
      <c r="D1062" s="160" t="s">
        <v>3840</v>
      </c>
      <c r="E1062" s="160">
        <v>0</v>
      </c>
      <c r="F1062" s="160"/>
      <c r="G1062" s="148">
        <v>14</v>
      </c>
      <c r="H1062" s="152">
        <f>IF(C1062=11700,ROUND(VLOOKUP(G1062,ThongSo!$F$2:$I$15,4,0)*B1062*11.7,3),0)</f>
        <v>155.727</v>
      </c>
      <c r="I1062" s="152" t="str">
        <f>IF(F1062="Sắt vụn",ROUND(VLOOKUP(G1062,ThongSo!$F$2:$I$15,4,0)*B1062*E1062/1000,3),"-")</f>
        <v>-</v>
      </c>
      <c r="L1062" s="150"/>
      <c r="M1062" s="150"/>
      <c r="N1062" s="150"/>
    </row>
    <row r="1063" spans="1:14" x14ac:dyDescent="0.25">
      <c r="A1063" s="159">
        <v>239</v>
      </c>
      <c r="B1063" s="160">
        <v>43</v>
      </c>
      <c r="C1063" s="160">
        <v>11700</v>
      </c>
      <c r="D1063" s="160" t="s">
        <v>3841</v>
      </c>
      <c r="E1063" s="160">
        <v>0</v>
      </c>
      <c r="F1063" s="160"/>
      <c r="G1063" s="148">
        <v>14</v>
      </c>
      <c r="H1063" s="152">
        <f>IF(C1063=11700,ROUND(VLOOKUP(G1063,ThongSo!$F$2:$I$15,4,0)*B1063*11.7,3),0)</f>
        <v>608.75099999999998</v>
      </c>
      <c r="I1063" s="152" t="str">
        <f>IF(F1063="Sắt vụn",ROUND(VLOOKUP(G1063,ThongSo!$F$2:$I$15,4,0)*B1063*E1063/1000,3),"-")</f>
        <v>-</v>
      </c>
      <c r="L1063" s="150"/>
      <c r="M1063" s="150"/>
      <c r="N1063" s="150"/>
    </row>
    <row r="1064" spans="1:14" x14ac:dyDescent="0.25">
      <c r="A1064" s="159">
        <v>240</v>
      </c>
      <c r="B1064" s="160">
        <v>9</v>
      </c>
      <c r="C1064" s="160">
        <v>11700</v>
      </c>
      <c r="D1064" s="160" t="s">
        <v>3842</v>
      </c>
      <c r="E1064" s="160">
        <v>0</v>
      </c>
      <c r="F1064" s="160"/>
      <c r="G1064" s="148">
        <v>14</v>
      </c>
      <c r="H1064" s="152">
        <f>IF(C1064=11700,ROUND(VLOOKUP(G1064,ThongSo!$F$2:$I$15,4,0)*B1064*11.7,3),0)</f>
        <v>127.413</v>
      </c>
      <c r="I1064" s="152" t="str">
        <f>IF(F1064="Sắt vụn",ROUND(VLOOKUP(G1064,ThongSo!$F$2:$I$15,4,0)*B1064*E1064/1000,3),"-")</f>
        <v>-</v>
      </c>
      <c r="L1064" s="150"/>
      <c r="M1064" s="150"/>
      <c r="N1064" s="150"/>
    </row>
    <row r="1065" spans="1:14" x14ac:dyDescent="0.25">
      <c r="A1065" s="159">
        <v>241</v>
      </c>
      <c r="B1065" s="160">
        <v>30</v>
      </c>
      <c r="C1065" s="160">
        <v>11700</v>
      </c>
      <c r="D1065" s="160" t="s">
        <v>3843</v>
      </c>
      <c r="E1065" s="160">
        <v>0</v>
      </c>
      <c r="F1065" s="160"/>
      <c r="G1065" s="148">
        <v>14</v>
      </c>
      <c r="H1065" s="152">
        <f>IF(C1065=11700,ROUND(VLOOKUP(G1065,ThongSo!$F$2:$I$15,4,0)*B1065*11.7,3),0)</f>
        <v>424.71</v>
      </c>
      <c r="I1065" s="152" t="str">
        <f>IF(F1065="Sắt vụn",ROUND(VLOOKUP(G1065,ThongSo!$F$2:$I$15,4,0)*B1065*E1065/1000,3),"-")</f>
        <v>-</v>
      </c>
      <c r="L1065" s="150"/>
      <c r="M1065" s="150"/>
      <c r="N1065" s="150"/>
    </row>
    <row r="1066" spans="1:14" x14ac:dyDescent="0.25">
      <c r="A1066" s="159">
        <v>242</v>
      </c>
      <c r="B1066" s="160">
        <v>9</v>
      </c>
      <c r="C1066" s="160">
        <v>11700</v>
      </c>
      <c r="D1066" s="160" t="s">
        <v>3844</v>
      </c>
      <c r="E1066" s="160">
        <v>0</v>
      </c>
      <c r="F1066" s="160"/>
      <c r="G1066" s="148">
        <v>14</v>
      </c>
      <c r="H1066" s="152">
        <f>IF(C1066=11700,ROUND(VLOOKUP(G1066,ThongSo!$F$2:$I$15,4,0)*B1066*11.7,3),0)</f>
        <v>127.413</v>
      </c>
      <c r="I1066" s="152" t="str">
        <f>IF(F1066="Sắt vụn",ROUND(VLOOKUP(G1066,ThongSo!$F$2:$I$15,4,0)*B1066*E1066/1000,3),"-")</f>
        <v>-</v>
      </c>
      <c r="L1066" s="150"/>
      <c r="M1066" s="150"/>
      <c r="N1066" s="150"/>
    </row>
    <row r="1067" spans="1:14" x14ac:dyDescent="0.25">
      <c r="A1067" s="159">
        <v>243</v>
      </c>
      <c r="B1067" s="160">
        <v>13</v>
      </c>
      <c r="C1067" s="160">
        <v>11700</v>
      </c>
      <c r="D1067" s="160" t="s">
        <v>3845</v>
      </c>
      <c r="E1067" s="160">
        <v>0</v>
      </c>
      <c r="F1067" s="160"/>
      <c r="G1067" s="148">
        <v>14</v>
      </c>
      <c r="H1067" s="152">
        <f>IF(C1067=11700,ROUND(VLOOKUP(G1067,ThongSo!$F$2:$I$15,4,0)*B1067*11.7,3),0)</f>
        <v>184.041</v>
      </c>
      <c r="I1067" s="152" t="str">
        <f>IF(F1067="Sắt vụn",ROUND(VLOOKUP(G1067,ThongSo!$F$2:$I$15,4,0)*B1067*E1067/1000,3),"-")</f>
        <v>-</v>
      </c>
      <c r="L1067" s="150"/>
      <c r="M1067" s="150"/>
      <c r="N1067" s="150"/>
    </row>
    <row r="1068" spans="1:14" x14ac:dyDescent="0.25">
      <c r="A1068" s="159">
        <v>244</v>
      </c>
      <c r="B1068" s="160">
        <v>18</v>
      </c>
      <c r="C1068" s="160">
        <v>11700</v>
      </c>
      <c r="D1068" s="160" t="s">
        <v>3846</v>
      </c>
      <c r="E1068" s="160">
        <v>0</v>
      </c>
      <c r="F1068" s="160"/>
      <c r="G1068" s="148">
        <v>14</v>
      </c>
      <c r="H1068" s="152">
        <f>IF(C1068=11700,ROUND(VLOOKUP(G1068,ThongSo!$F$2:$I$15,4,0)*B1068*11.7,3),0)</f>
        <v>254.82599999999999</v>
      </c>
      <c r="I1068" s="152" t="str">
        <f>IF(F1068="Sắt vụn",ROUND(VLOOKUP(G1068,ThongSo!$F$2:$I$15,4,0)*B1068*E1068/1000,3),"-")</f>
        <v>-</v>
      </c>
      <c r="L1068" s="150"/>
      <c r="M1068" s="150"/>
      <c r="N1068" s="150"/>
    </row>
    <row r="1069" spans="1:14" x14ac:dyDescent="0.25">
      <c r="A1069" s="159">
        <v>245</v>
      </c>
      <c r="B1069" s="160">
        <v>5</v>
      </c>
      <c r="C1069" s="160">
        <v>11700</v>
      </c>
      <c r="D1069" s="160" t="s">
        <v>3847</v>
      </c>
      <c r="E1069" s="160">
        <v>10</v>
      </c>
      <c r="F1069" s="160" t="s">
        <v>74</v>
      </c>
      <c r="G1069" s="148">
        <v>14</v>
      </c>
      <c r="H1069" s="152">
        <f>IF(C1069=11700,ROUND(VLOOKUP(G1069,ThongSo!$F$2:$I$15,4,0)*B1069*11.7,3),0)</f>
        <v>70.784999999999997</v>
      </c>
      <c r="I1069" s="152">
        <f>IF(F1069="Sắt vụn",ROUND(VLOOKUP(G1069,ThongSo!$F$2:$I$15,4,0)*B1069*E1069/1000,3),"-")</f>
        <v>6.0999999999999999E-2</v>
      </c>
      <c r="L1069" s="150"/>
      <c r="M1069" s="150"/>
      <c r="N1069" s="150"/>
    </row>
    <row r="1070" spans="1:14" x14ac:dyDescent="0.25">
      <c r="A1070" s="159">
        <v>246</v>
      </c>
      <c r="B1070" s="160">
        <v>1</v>
      </c>
      <c r="C1070" s="160">
        <v>11700</v>
      </c>
      <c r="D1070" s="160" t="s">
        <v>3848</v>
      </c>
      <c r="E1070" s="160">
        <v>20</v>
      </c>
      <c r="F1070" s="160" t="s">
        <v>74</v>
      </c>
      <c r="G1070" s="148">
        <v>14</v>
      </c>
      <c r="H1070" s="152">
        <f>IF(C1070=11700,ROUND(VLOOKUP(G1070,ThongSo!$F$2:$I$15,4,0)*B1070*11.7,3),0)</f>
        <v>14.157</v>
      </c>
      <c r="I1070" s="152">
        <f>IF(F1070="Sắt vụn",ROUND(VLOOKUP(G1070,ThongSo!$F$2:$I$15,4,0)*B1070*E1070/1000,3),"-")</f>
        <v>2.4E-2</v>
      </c>
      <c r="L1070" s="150"/>
      <c r="M1070" s="150"/>
      <c r="N1070" s="150"/>
    </row>
    <row r="1071" spans="1:14" x14ac:dyDescent="0.25">
      <c r="A1071" s="159">
        <v>247</v>
      </c>
      <c r="B1071" s="160">
        <v>12</v>
      </c>
      <c r="C1071" s="160">
        <v>11700</v>
      </c>
      <c r="D1071" s="160" t="s">
        <v>3849</v>
      </c>
      <c r="E1071" s="160">
        <v>30</v>
      </c>
      <c r="F1071" s="160" t="s">
        <v>74</v>
      </c>
      <c r="G1071" s="148">
        <v>14</v>
      </c>
      <c r="H1071" s="152">
        <f>IF(C1071=11700,ROUND(VLOOKUP(G1071,ThongSo!$F$2:$I$15,4,0)*B1071*11.7,3),0)</f>
        <v>169.88399999999999</v>
      </c>
      <c r="I1071" s="152">
        <f>IF(F1071="Sắt vụn",ROUND(VLOOKUP(G1071,ThongSo!$F$2:$I$15,4,0)*B1071*E1071/1000,3),"-")</f>
        <v>0.436</v>
      </c>
      <c r="L1071" s="150"/>
      <c r="M1071" s="150"/>
      <c r="N1071" s="150"/>
    </row>
    <row r="1072" spans="1:14" x14ac:dyDescent="0.25">
      <c r="A1072" s="159">
        <v>248</v>
      </c>
      <c r="B1072" s="160">
        <v>12</v>
      </c>
      <c r="C1072" s="160">
        <v>11700</v>
      </c>
      <c r="D1072" s="160" t="s">
        <v>3850</v>
      </c>
      <c r="E1072" s="160">
        <v>30</v>
      </c>
      <c r="F1072" s="160" t="s">
        <v>74</v>
      </c>
      <c r="G1072" s="148">
        <v>14</v>
      </c>
      <c r="H1072" s="152">
        <f>IF(C1072=11700,ROUND(VLOOKUP(G1072,ThongSo!$F$2:$I$15,4,0)*B1072*11.7,3),0)</f>
        <v>169.88399999999999</v>
      </c>
      <c r="I1072" s="152">
        <f>IF(F1072="Sắt vụn",ROUND(VLOOKUP(G1072,ThongSo!$F$2:$I$15,4,0)*B1072*E1072/1000,3),"-")</f>
        <v>0.436</v>
      </c>
      <c r="L1072" s="150"/>
      <c r="M1072" s="150"/>
      <c r="N1072" s="150"/>
    </row>
    <row r="1073" spans="1:14" x14ac:dyDescent="0.25">
      <c r="A1073" s="159">
        <v>249</v>
      </c>
      <c r="B1073" s="160">
        <v>47</v>
      </c>
      <c r="C1073" s="160">
        <v>11700</v>
      </c>
      <c r="D1073" s="160" t="s">
        <v>3851</v>
      </c>
      <c r="E1073" s="160">
        <v>40</v>
      </c>
      <c r="F1073" s="160" t="s">
        <v>74</v>
      </c>
      <c r="G1073" s="148">
        <v>14</v>
      </c>
      <c r="H1073" s="152">
        <f>IF(C1073=11700,ROUND(VLOOKUP(G1073,ThongSo!$F$2:$I$15,4,0)*B1073*11.7,3),0)</f>
        <v>665.37900000000002</v>
      </c>
      <c r="I1073" s="152">
        <f>IF(F1073="Sắt vụn",ROUND(VLOOKUP(G1073,ThongSo!$F$2:$I$15,4,0)*B1073*E1073/1000,3),"-")</f>
        <v>2.2749999999999999</v>
      </c>
      <c r="L1073" s="150"/>
      <c r="M1073" s="150"/>
      <c r="N1073" s="150"/>
    </row>
    <row r="1074" spans="1:14" x14ac:dyDescent="0.25">
      <c r="A1074" s="159">
        <v>250</v>
      </c>
      <c r="B1074" s="160">
        <v>1</v>
      </c>
      <c r="C1074" s="160">
        <v>11700</v>
      </c>
      <c r="D1074" s="160" t="s">
        <v>3852</v>
      </c>
      <c r="E1074" s="160">
        <v>40</v>
      </c>
      <c r="F1074" s="160" t="s">
        <v>74</v>
      </c>
      <c r="G1074" s="148">
        <v>14</v>
      </c>
      <c r="H1074" s="152">
        <f>IF(C1074=11700,ROUND(VLOOKUP(G1074,ThongSo!$F$2:$I$15,4,0)*B1074*11.7,3),0)</f>
        <v>14.157</v>
      </c>
      <c r="I1074" s="152">
        <f>IF(F1074="Sắt vụn",ROUND(VLOOKUP(G1074,ThongSo!$F$2:$I$15,4,0)*B1074*E1074/1000,3),"-")</f>
        <v>4.8000000000000001E-2</v>
      </c>
      <c r="L1074" s="150"/>
      <c r="M1074" s="150"/>
      <c r="N1074" s="150"/>
    </row>
    <row r="1075" spans="1:14" x14ac:dyDescent="0.25">
      <c r="A1075" s="159">
        <v>251</v>
      </c>
      <c r="B1075" s="160">
        <v>12</v>
      </c>
      <c r="C1075" s="160">
        <v>11700</v>
      </c>
      <c r="D1075" s="160" t="s">
        <v>3853</v>
      </c>
      <c r="E1075" s="160">
        <v>130</v>
      </c>
      <c r="F1075" s="160" t="s">
        <v>74</v>
      </c>
      <c r="G1075" s="148">
        <v>14</v>
      </c>
      <c r="H1075" s="152">
        <f>IF(C1075=11700,ROUND(VLOOKUP(G1075,ThongSo!$F$2:$I$15,4,0)*B1075*11.7,3),0)</f>
        <v>169.88399999999999</v>
      </c>
      <c r="I1075" s="152">
        <f>IF(F1075="Sắt vụn",ROUND(VLOOKUP(G1075,ThongSo!$F$2:$I$15,4,0)*B1075*E1075/1000,3),"-")</f>
        <v>1.8879999999999999</v>
      </c>
      <c r="L1075" s="150"/>
      <c r="M1075" s="150"/>
      <c r="N1075" s="150"/>
    </row>
    <row r="1076" spans="1:14" x14ac:dyDescent="0.25">
      <c r="A1076" s="159">
        <v>252</v>
      </c>
      <c r="B1076" s="160">
        <v>32</v>
      </c>
      <c r="C1076" s="160">
        <v>11700</v>
      </c>
      <c r="D1076" s="160" t="s">
        <v>3854</v>
      </c>
      <c r="E1076" s="160">
        <v>130</v>
      </c>
      <c r="F1076" s="160" t="s">
        <v>74</v>
      </c>
      <c r="G1076" s="148">
        <v>14</v>
      </c>
      <c r="H1076" s="152">
        <f>IF(C1076=11700,ROUND(VLOOKUP(G1076,ThongSo!$F$2:$I$15,4,0)*B1076*11.7,3),0)</f>
        <v>453.024</v>
      </c>
      <c r="I1076" s="152">
        <f>IF(F1076="Sắt vụn",ROUND(VLOOKUP(G1076,ThongSo!$F$2:$I$15,4,0)*B1076*E1076/1000,3),"-")</f>
        <v>5.0339999999999998</v>
      </c>
      <c r="L1076" s="150"/>
      <c r="M1076" s="150"/>
      <c r="N1076" s="150"/>
    </row>
    <row r="1077" spans="1:14" x14ac:dyDescent="0.25">
      <c r="A1077" s="159">
        <v>253</v>
      </c>
      <c r="B1077" s="160">
        <v>9</v>
      </c>
      <c r="C1077" s="160">
        <v>11700</v>
      </c>
      <c r="D1077" s="160" t="s">
        <v>3855</v>
      </c>
      <c r="E1077" s="160">
        <v>150</v>
      </c>
      <c r="F1077" s="160" t="s">
        <v>74</v>
      </c>
      <c r="G1077" s="148">
        <v>14</v>
      </c>
      <c r="H1077" s="152">
        <f>IF(C1077=11700,ROUND(VLOOKUP(G1077,ThongSo!$F$2:$I$15,4,0)*B1077*11.7,3),0)</f>
        <v>127.413</v>
      </c>
      <c r="I1077" s="152">
        <f>IF(F1077="Sắt vụn",ROUND(VLOOKUP(G1077,ThongSo!$F$2:$I$15,4,0)*B1077*E1077/1000,3),"-")</f>
        <v>1.6339999999999999</v>
      </c>
      <c r="L1077" s="150"/>
      <c r="M1077" s="150"/>
      <c r="N1077" s="150"/>
    </row>
    <row r="1078" spans="1:14" x14ac:dyDescent="0.25">
      <c r="A1078" s="159">
        <v>254</v>
      </c>
      <c r="B1078" s="160">
        <v>64</v>
      </c>
      <c r="C1078" s="160">
        <v>11700</v>
      </c>
      <c r="D1078" s="160" t="s">
        <v>3856</v>
      </c>
      <c r="E1078" s="160">
        <v>200</v>
      </c>
      <c r="F1078" s="160" t="s">
        <v>74</v>
      </c>
      <c r="G1078" s="148">
        <v>14</v>
      </c>
      <c r="H1078" s="152">
        <f>IF(C1078=11700,ROUND(VLOOKUP(G1078,ThongSo!$F$2:$I$15,4,0)*B1078*11.7,3),0)</f>
        <v>906.048</v>
      </c>
      <c r="I1078" s="152">
        <f>IF(F1078="Sắt vụn",ROUND(VLOOKUP(G1078,ThongSo!$F$2:$I$15,4,0)*B1078*E1078/1000,3),"-")</f>
        <v>15.488</v>
      </c>
      <c r="L1078" s="150"/>
      <c r="M1078" s="150"/>
      <c r="N1078" s="150"/>
    </row>
    <row r="1079" spans="1:14" x14ac:dyDescent="0.25">
      <c r="A1079" s="159">
        <v>255</v>
      </c>
      <c r="B1079" s="160">
        <v>15</v>
      </c>
      <c r="C1079" s="160">
        <v>11700</v>
      </c>
      <c r="D1079" s="160" t="s">
        <v>3857</v>
      </c>
      <c r="E1079" s="160">
        <v>220</v>
      </c>
      <c r="F1079" s="160" t="s">
        <v>74</v>
      </c>
      <c r="G1079" s="148">
        <v>14</v>
      </c>
      <c r="H1079" s="152">
        <f>IF(C1079=11700,ROUND(VLOOKUP(G1079,ThongSo!$F$2:$I$15,4,0)*B1079*11.7,3),0)</f>
        <v>212.35499999999999</v>
      </c>
      <c r="I1079" s="152">
        <f>IF(F1079="Sắt vụn",ROUND(VLOOKUP(G1079,ThongSo!$F$2:$I$15,4,0)*B1079*E1079/1000,3),"-")</f>
        <v>3.9929999999999999</v>
      </c>
      <c r="L1079" s="150"/>
      <c r="M1079" s="150"/>
      <c r="N1079" s="150"/>
    </row>
    <row r="1080" spans="1:14" x14ac:dyDescent="0.25">
      <c r="A1080" s="159">
        <v>256</v>
      </c>
      <c r="B1080" s="160">
        <v>1</v>
      </c>
      <c r="C1080" s="160">
        <v>11700</v>
      </c>
      <c r="D1080" s="160" t="s">
        <v>3858</v>
      </c>
      <c r="E1080" s="160">
        <v>220</v>
      </c>
      <c r="F1080" s="160" t="s">
        <v>74</v>
      </c>
      <c r="G1080" s="148">
        <v>14</v>
      </c>
      <c r="H1080" s="152">
        <f>IF(C1080=11700,ROUND(VLOOKUP(G1080,ThongSo!$F$2:$I$15,4,0)*B1080*11.7,3),0)</f>
        <v>14.157</v>
      </c>
      <c r="I1080" s="152">
        <f>IF(F1080="Sắt vụn",ROUND(VLOOKUP(G1080,ThongSo!$F$2:$I$15,4,0)*B1080*E1080/1000,3),"-")</f>
        <v>0.26600000000000001</v>
      </c>
      <c r="L1080" s="150"/>
      <c r="M1080" s="150"/>
      <c r="N1080" s="150"/>
    </row>
    <row r="1081" spans="1:14" x14ac:dyDescent="0.25">
      <c r="A1081" s="159">
        <v>257</v>
      </c>
      <c r="B1081" s="160">
        <v>62</v>
      </c>
      <c r="C1081" s="160">
        <v>11700</v>
      </c>
      <c r="D1081" s="160" t="s">
        <v>3859</v>
      </c>
      <c r="E1081" s="160">
        <v>220</v>
      </c>
      <c r="F1081" s="160" t="s">
        <v>74</v>
      </c>
      <c r="G1081" s="148">
        <v>14</v>
      </c>
      <c r="H1081" s="152">
        <f>IF(C1081=11700,ROUND(VLOOKUP(G1081,ThongSo!$F$2:$I$15,4,0)*B1081*11.7,3),0)</f>
        <v>877.73400000000004</v>
      </c>
      <c r="I1081" s="152">
        <f>IF(F1081="Sắt vụn",ROUND(VLOOKUP(G1081,ThongSo!$F$2:$I$15,4,0)*B1081*E1081/1000,3),"-")</f>
        <v>16.504000000000001</v>
      </c>
      <c r="L1081" s="150"/>
      <c r="M1081" s="150"/>
      <c r="N1081" s="150"/>
    </row>
    <row r="1082" spans="1:14" x14ac:dyDescent="0.25">
      <c r="A1082" s="159">
        <v>258</v>
      </c>
      <c r="B1082" s="160">
        <v>11</v>
      </c>
      <c r="C1082" s="160">
        <v>11700</v>
      </c>
      <c r="D1082" s="160" t="s">
        <v>3860</v>
      </c>
      <c r="E1082" s="160">
        <v>320</v>
      </c>
      <c r="F1082" s="160" t="s">
        <v>74</v>
      </c>
      <c r="G1082" s="148">
        <v>14</v>
      </c>
      <c r="H1082" s="152">
        <f>IF(C1082=11700,ROUND(VLOOKUP(G1082,ThongSo!$F$2:$I$15,4,0)*B1082*11.7,3),0)</f>
        <v>155.727</v>
      </c>
      <c r="I1082" s="152">
        <f>IF(F1082="Sắt vụn",ROUND(VLOOKUP(G1082,ThongSo!$F$2:$I$15,4,0)*B1082*E1082/1000,3),"-")</f>
        <v>4.2590000000000003</v>
      </c>
      <c r="L1082" s="150"/>
      <c r="M1082" s="150"/>
      <c r="N1082" s="150"/>
    </row>
    <row r="1083" spans="1:14" x14ac:dyDescent="0.25">
      <c r="A1083" s="159">
        <v>259</v>
      </c>
      <c r="B1083" s="160">
        <v>69</v>
      </c>
      <c r="C1083" s="160">
        <v>11700</v>
      </c>
      <c r="D1083" s="160" t="s">
        <v>3861</v>
      </c>
      <c r="E1083" s="160">
        <v>320</v>
      </c>
      <c r="F1083" s="160" t="s">
        <v>74</v>
      </c>
      <c r="G1083" s="148">
        <v>14</v>
      </c>
      <c r="H1083" s="152">
        <f>IF(C1083=11700,ROUND(VLOOKUP(G1083,ThongSo!$F$2:$I$15,4,0)*B1083*11.7,3),0)</f>
        <v>976.83299999999997</v>
      </c>
      <c r="I1083" s="152">
        <f>IF(F1083="Sắt vụn",ROUND(VLOOKUP(G1083,ThongSo!$F$2:$I$15,4,0)*B1083*E1083/1000,3),"-")</f>
        <v>26.716999999999999</v>
      </c>
      <c r="L1083" s="150"/>
      <c r="M1083" s="150"/>
      <c r="N1083" s="150"/>
    </row>
    <row r="1084" spans="1:14" x14ac:dyDescent="0.25">
      <c r="A1084" s="159">
        <v>260</v>
      </c>
      <c r="B1084" s="160">
        <v>1</v>
      </c>
      <c r="C1084" s="160">
        <v>11700</v>
      </c>
      <c r="D1084" s="160" t="s">
        <v>3862</v>
      </c>
      <c r="E1084" s="160">
        <v>320</v>
      </c>
      <c r="F1084" s="160" t="s">
        <v>74</v>
      </c>
      <c r="G1084" s="148">
        <v>14</v>
      </c>
      <c r="H1084" s="152">
        <f>IF(C1084=11700,ROUND(VLOOKUP(G1084,ThongSo!$F$2:$I$15,4,0)*B1084*11.7,3),0)</f>
        <v>14.157</v>
      </c>
      <c r="I1084" s="152">
        <f>IF(F1084="Sắt vụn",ROUND(VLOOKUP(G1084,ThongSo!$F$2:$I$15,4,0)*B1084*E1084/1000,3),"-")</f>
        <v>0.38700000000000001</v>
      </c>
      <c r="L1084" s="150"/>
      <c r="M1084" s="150"/>
      <c r="N1084" s="150"/>
    </row>
    <row r="1085" spans="1:14" x14ac:dyDescent="0.25">
      <c r="A1085" s="159">
        <v>261</v>
      </c>
      <c r="B1085" s="160">
        <v>51</v>
      </c>
      <c r="C1085" s="160">
        <v>11700</v>
      </c>
      <c r="D1085" s="160" t="s">
        <v>3863</v>
      </c>
      <c r="E1085" s="160">
        <v>320</v>
      </c>
      <c r="F1085" s="160" t="s">
        <v>74</v>
      </c>
      <c r="G1085" s="148">
        <v>14</v>
      </c>
      <c r="H1085" s="152">
        <f>IF(C1085=11700,ROUND(VLOOKUP(G1085,ThongSo!$F$2:$I$15,4,0)*B1085*11.7,3),0)</f>
        <v>722.00699999999995</v>
      </c>
      <c r="I1085" s="152">
        <f>IF(F1085="Sắt vụn",ROUND(VLOOKUP(G1085,ThongSo!$F$2:$I$15,4,0)*B1085*E1085/1000,3),"-")</f>
        <v>19.747</v>
      </c>
      <c r="L1085" s="150"/>
      <c r="M1085" s="150"/>
      <c r="N1085" s="150"/>
    </row>
    <row r="1086" spans="1:14" x14ac:dyDescent="0.25">
      <c r="A1086" s="159">
        <v>262</v>
      </c>
      <c r="B1086" s="160">
        <v>1</v>
      </c>
      <c r="C1086" s="160">
        <v>11700</v>
      </c>
      <c r="D1086" s="160" t="s">
        <v>3864</v>
      </c>
      <c r="E1086" s="160">
        <v>320</v>
      </c>
      <c r="F1086" s="160" t="s">
        <v>74</v>
      </c>
      <c r="G1086" s="148">
        <v>14</v>
      </c>
      <c r="H1086" s="152">
        <f>IF(C1086=11700,ROUND(VLOOKUP(G1086,ThongSo!$F$2:$I$15,4,0)*B1086*11.7,3),0)</f>
        <v>14.157</v>
      </c>
      <c r="I1086" s="152">
        <f>IF(F1086="Sắt vụn",ROUND(VLOOKUP(G1086,ThongSo!$F$2:$I$15,4,0)*B1086*E1086/1000,3),"-")</f>
        <v>0.38700000000000001</v>
      </c>
      <c r="L1086" s="150"/>
      <c r="M1086" s="150"/>
      <c r="N1086" s="150"/>
    </row>
    <row r="1087" spans="1:14" x14ac:dyDescent="0.25">
      <c r="A1087" s="159">
        <v>263</v>
      </c>
      <c r="B1087" s="160">
        <v>11</v>
      </c>
      <c r="C1087" s="160">
        <v>11700</v>
      </c>
      <c r="D1087" s="160" t="s">
        <v>3865</v>
      </c>
      <c r="E1087" s="160">
        <v>320</v>
      </c>
      <c r="F1087" s="160" t="s">
        <v>74</v>
      </c>
      <c r="G1087" s="148">
        <v>14</v>
      </c>
      <c r="H1087" s="152">
        <f>IF(C1087=11700,ROUND(VLOOKUP(G1087,ThongSo!$F$2:$I$15,4,0)*B1087*11.7,3),0)</f>
        <v>155.727</v>
      </c>
      <c r="I1087" s="152">
        <f>IF(F1087="Sắt vụn",ROUND(VLOOKUP(G1087,ThongSo!$F$2:$I$15,4,0)*B1087*E1087/1000,3),"-")</f>
        <v>4.2590000000000003</v>
      </c>
      <c r="L1087" s="150"/>
      <c r="M1087" s="150"/>
      <c r="N1087" s="150"/>
    </row>
    <row r="1088" spans="1:14" x14ac:dyDescent="0.25">
      <c r="A1088" s="159">
        <v>264</v>
      </c>
      <c r="B1088" s="160">
        <v>10</v>
      </c>
      <c r="C1088" s="160">
        <v>11700</v>
      </c>
      <c r="D1088" s="160" t="s">
        <v>3866</v>
      </c>
      <c r="E1088" s="160">
        <v>330</v>
      </c>
      <c r="F1088" s="160" t="s">
        <v>74</v>
      </c>
      <c r="G1088" s="148">
        <v>14</v>
      </c>
      <c r="H1088" s="152">
        <f>IF(C1088=11700,ROUND(VLOOKUP(G1088,ThongSo!$F$2:$I$15,4,0)*B1088*11.7,3),0)</f>
        <v>141.57</v>
      </c>
      <c r="I1088" s="152">
        <f>IF(F1088="Sắt vụn",ROUND(VLOOKUP(G1088,ThongSo!$F$2:$I$15,4,0)*B1088*E1088/1000,3),"-")</f>
        <v>3.9929999999999999</v>
      </c>
      <c r="L1088" s="150"/>
      <c r="M1088" s="150"/>
      <c r="N1088" s="150"/>
    </row>
    <row r="1089" spans="1:14" x14ac:dyDescent="0.25">
      <c r="A1089" s="159">
        <v>265</v>
      </c>
      <c r="B1089" s="160">
        <v>9</v>
      </c>
      <c r="C1089" s="160">
        <v>11700</v>
      </c>
      <c r="D1089" s="160" t="s">
        <v>3867</v>
      </c>
      <c r="E1089" s="160">
        <v>430</v>
      </c>
      <c r="F1089" s="160" t="s">
        <v>74</v>
      </c>
      <c r="G1089" s="148">
        <v>14</v>
      </c>
      <c r="H1089" s="152">
        <f>IF(C1089=11700,ROUND(VLOOKUP(G1089,ThongSo!$F$2:$I$15,4,0)*B1089*11.7,3),0)</f>
        <v>127.413</v>
      </c>
      <c r="I1089" s="152">
        <f>IF(F1089="Sắt vụn",ROUND(VLOOKUP(G1089,ThongSo!$F$2:$I$15,4,0)*B1089*E1089/1000,3),"-")</f>
        <v>4.6829999999999998</v>
      </c>
      <c r="L1089" s="150"/>
      <c r="M1089" s="150"/>
      <c r="N1089" s="150"/>
    </row>
    <row r="1090" spans="1:14" x14ac:dyDescent="0.25">
      <c r="A1090" s="159">
        <v>266</v>
      </c>
      <c r="B1090" s="160">
        <v>52</v>
      </c>
      <c r="C1090" s="160">
        <v>11700</v>
      </c>
      <c r="D1090" s="160" t="s">
        <v>3868</v>
      </c>
      <c r="E1090" s="160">
        <v>430</v>
      </c>
      <c r="F1090" s="160" t="s">
        <v>74</v>
      </c>
      <c r="G1090" s="148">
        <v>14</v>
      </c>
      <c r="H1090" s="152">
        <f>IF(C1090=11700,ROUND(VLOOKUP(G1090,ThongSo!$F$2:$I$15,4,0)*B1090*11.7,3),0)</f>
        <v>736.16399999999999</v>
      </c>
      <c r="I1090" s="152">
        <f>IF(F1090="Sắt vụn",ROUND(VLOOKUP(G1090,ThongSo!$F$2:$I$15,4,0)*B1090*E1090/1000,3),"-")</f>
        <v>27.056000000000001</v>
      </c>
      <c r="L1090" s="150"/>
      <c r="M1090" s="150"/>
      <c r="N1090" s="150"/>
    </row>
    <row r="1091" spans="1:14" x14ac:dyDescent="0.25">
      <c r="A1091" s="159">
        <v>267</v>
      </c>
      <c r="B1091" s="160">
        <v>52</v>
      </c>
      <c r="C1091" s="160">
        <v>11700</v>
      </c>
      <c r="D1091" s="160" t="s">
        <v>3869</v>
      </c>
      <c r="E1091" s="160">
        <v>430</v>
      </c>
      <c r="F1091" s="160" t="s">
        <v>74</v>
      </c>
      <c r="G1091" s="148">
        <v>14</v>
      </c>
      <c r="H1091" s="152">
        <f>IF(C1091=11700,ROUND(VLOOKUP(G1091,ThongSo!$F$2:$I$15,4,0)*B1091*11.7,3),0)</f>
        <v>736.16399999999999</v>
      </c>
      <c r="I1091" s="152">
        <f>IF(F1091="Sắt vụn",ROUND(VLOOKUP(G1091,ThongSo!$F$2:$I$15,4,0)*B1091*E1091/1000,3),"-")</f>
        <v>27.056000000000001</v>
      </c>
      <c r="L1091" s="150"/>
      <c r="M1091" s="150"/>
      <c r="N1091" s="150"/>
    </row>
    <row r="1092" spans="1:14" x14ac:dyDescent="0.25">
      <c r="A1092" s="159">
        <v>268</v>
      </c>
      <c r="B1092" s="160">
        <v>55</v>
      </c>
      <c r="C1092" s="160">
        <v>11700</v>
      </c>
      <c r="D1092" s="160" t="s">
        <v>3870</v>
      </c>
      <c r="E1092" s="160">
        <v>430</v>
      </c>
      <c r="F1092" s="160" t="s">
        <v>74</v>
      </c>
      <c r="G1092" s="148">
        <v>14</v>
      </c>
      <c r="H1092" s="152">
        <f>IF(C1092=11700,ROUND(VLOOKUP(G1092,ThongSo!$F$2:$I$15,4,0)*B1092*11.7,3),0)</f>
        <v>778.63499999999999</v>
      </c>
      <c r="I1092" s="152">
        <f>IF(F1092="Sắt vụn",ROUND(VLOOKUP(G1092,ThongSo!$F$2:$I$15,4,0)*B1092*E1092/1000,3),"-")</f>
        <v>28.617000000000001</v>
      </c>
      <c r="L1092" s="150"/>
      <c r="M1092" s="150"/>
      <c r="N1092" s="150"/>
    </row>
    <row r="1093" spans="1:14" x14ac:dyDescent="0.25">
      <c r="A1093" s="159">
        <v>269</v>
      </c>
      <c r="B1093" s="160">
        <v>54</v>
      </c>
      <c r="C1093" s="160">
        <v>11700</v>
      </c>
      <c r="D1093" s="160" t="s">
        <v>3871</v>
      </c>
      <c r="E1093" s="160">
        <v>470</v>
      </c>
      <c r="F1093" s="160" t="s">
        <v>74</v>
      </c>
      <c r="G1093" s="148">
        <v>14</v>
      </c>
      <c r="H1093" s="152">
        <f>IF(C1093=11700,ROUND(VLOOKUP(G1093,ThongSo!$F$2:$I$15,4,0)*B1093*11.7,3),0)</f>
        <v>764.47799999999995</v>
      </c>
      <c r="I1093" s="152">
        <f>IF(F1093="Sắt vụn",ROUND(VLOOKUP(G1093,ThongSo!$F$2:$I$15,4,0)*B1093*E1093/1000,3),"-")</f>
        <v>30.71</v>
      </c>
      <c r="L1093" s="150"/>
      <c r="M1093" s="150"/>
      <c r="N1093" s="150"/>
    </row>
    <row r="1094" spans="1:14" x14ac:dyDescent="0.25">
      <c r="A1094" s="159">
        <v>270</v>
      </c>
      <c r="B1094" s="160">
        <v>6</v>
      </c>
      <c r="C1094" s="160">
        <v>11700</v>
      </c>
      <c r="D1094" s="160" t="s">
        <v>3872</v>
      </c>
      <c r="E1094" s="160">
        <v>470</v>
      </c>
      <c r="F1094" s="160" t="s">
        <v>74</v>
      </c>
      <c r="G1094" s="148">
        <v>14</v>
      </c>
      <c r="H1094" s="152">
        <f>IF(C1094=11700,ROUND(VLOOKUP(G1094,ThongSo!$F$2:$I$15,4,0)*B1094*11.7,3),0)</f>
        <v>84.941999999999993</v>
      </c>
      <c r="I1094" s="152">
        <f>IF(F1094="Sắt vụn",ROUND(VLOOKUP(G1094,ThongSo!$F$2:$I$15,4,0)*B1094*E1094/1000,3),"-")</f>
        <v>3.4119999999999999</v>
      </c>
      <c r="L1094" s="150"/>
      <c r="M1094" s="150"/>
      <c r="N1094" s="150"/>
    </row>
    <row r="1095" spans="1:14" x14ac:dyDescent="0.25">
      <c r="A1095" s="159">
        <v>271</v>
      </c>
      <c r="B1095" s="160">
        <v>1</v>
      </c>
      <c r="C1095" s="160">
        <v>11700</v>
      </c>
      <c r="D1095" s="160" t="s">
        <v>3873</v>
      </c>
      <c r="E1095" s="160">
        <v>510</v>
      </c>
      <c r="F1095" s="160" t="s">
        <v>74</v>
      </c>
      <c r="G1095" s="148">
        <v>14</v>
      </c>
      <c r="H1095" s="152">
        <f>IF(C1095=11700,ROUND(VLOOKUP(G1095,ThongSo!$F$2:$I$15,4,0)*B1095*11.7,3),0)</f>
        <v>14.157</v>
      </c>
      <c r="I1095" s="152">
        <f>IF(F1095="Sắt vụn",ROUND(VLOOKUP(G1095,ThongSo!$F$2:$I$15,4,0)*B1095*E1095/1000,3),"-")</f>
        <v>0.61699999999999999</v>
      </c>
      <c r="L1095" s="150"/>
      <c r="M1095" s="150"/>
      <c r="N1095" s="150"/>
    </row>
    <row r="1096" spans="1:14" x14ac:dyDescent="0.25">
      <c r="A1096" s="159">
        <v>272</v>
      </c>
      <c r="B1096" s="160">
        <v>18</v>
      </c>
      <c r="C1096" s="160">
        <v>11700</v>
      </c>
      <c r="D1096" s="160" t="s">
        <v>3874</v>
      </c>
      <c r="E1096" s="160">
        <v>650</v>
      </c>
      <c r="F1096" s="160" t="s">
        <v>74</v>
      </c>
      <c r="G1096" s="148">
        <v>14</v>
      </c>
      <c r="H1096" s="152">
        <f>IF(C1096=11700,ROUND(VLOOKUP(G1096,ThongSo!$F$2:$I$15,4,0)*B1096*11.7,3),0)</f>
        <v>254.82599999999999</v>
      </c>
      <c r="I1096" s="152">
        <f>IF(F1096="Sắt vụn",ROUND(VLOOKUP(G1096,ThongSo!$F$2:$I$15,4,0)*B1096*E1096/1000,3),"-")</f>
        <v>14.157</v>
      </c>
      <c r="L1096" s="150"/>
      <c r="M1096" s="150"/>
      <c r="N1096" s="150"/>
    </row>
    <row r="1097" spans="1:14" x14ac:dyDescent="0.25">
      <c r="A1097" s="159">
        <v>273</v>
      </c>
      <c r="B1097" s="160">
        <v>49</v>
      </c>
      <c r="C1097" s="160">
        <v>11700</v>
      </c>
      <c r="D1097" s="160" t="s">
        <v>3875</v>
      </c>
      <c r="E1097" s="160">
        <v>1020</v>
      </c>
      <c r="F1097" s="160" t="s">
        <v>75</v>
      </c>
      <c r="G1097" s="148">
        <v>14</v>
      </c>
      <c r="H1097" s="152">
        <f>IF(C1097=11700,ROUND(VLOOKUP(G1097,ThongSo!$F$2:$I$15,4,0)*B1097*11.7,3),0)</f>
        <v>693.69299999999998</v>
      </c>
      <c r="I1097" s="152" t="str">
        <f>IF(F1097="Sắt vụn",ROUND(VLOOKUP(G1097,ThongSo!$F$2:$I$15,4,0)*B1097*E1097/1000,3),"-")</f>
        <v>-</v>
      </c>
      <c r="L1097" s="150"/>
      <c r="M1097" s="150"/>
      <c r="N1097" s="150"/>
    </row>
    <row r="1098" spans="1:14" x14ac:dyDescent="0.25">
      <c r="A1098" s="159">
        <v>274</v>
      </c>
      <c r="B1098" s="160">
        <v>1</v>
      </c>
      <c r="C1098" s="160">
        <v>11700</v>
      </c>
      <c r="D1098" s="160" t="s">
        <v>3876</v>
      </c>
      <c r="E1098" s="160">
        <v>1020</v>
      </c>
      <c r="F1098" s="160" t="s">
        <v>75</v>
      </c>
      <c r="G1098" s="148">
        <v>14</v>
      </c>
      <c r="H1098" s="152">
        <f>IF(C1098=11700,ROUND(VLOOKUP(G1098,ThongSo!$F$2:$I$15,4,0)*B1098*11.7,3),0)</f>
        <v>14.157</v>
      </c>
      <c r="I1098" s="152" t="str">
        <f>IF(F1098="Sắt vụn",ROUND(VLOOKUP(G1098,ThongSo!$F$2:$I$15,4,0)*B1098*E1098/1000,3),"-")</f>
        <v>-</v>
      </c>
      <c r="L1098" s="150"/>
      <c r="M1098" s="150"/>
      <c r="N1098" s="150"/>
    </row>
    <row r="1099" spans="1:14" x14ac:dyDescent="0.25">
      <c r="A1099" s="159">
        <v>275</v>
      </c>
      <c r="B1099" s="160">
        <v>41</v>
      </c>
      <c r="C1099" s="160">
        <v>11700</v>
      </c>
      <c r="D1099" s="160" t="s">
        <v>3877</v>
      </c>
      <c r="E1099" s="160">
        <v>1020</v>
      </c>
      <c r="F1099" s="160" t="s">
        <v>75</v>
      </c>
      <c r="G1099" s="148">
        <v>14</v>
      </c>
      <c r="H1099" s="152">
        <f>IF(C1099=11700,ROUND(VLOOKUP(G1099,ThongSo!$F$2:$I$15,4,0)*B1099*11.7,3),0)</f>
        <v>580.43700000000001</v>
      </c>
      <c r="I1099" s="152" t="str">
        <f>IF(F1099="Sắt vụn",ROUND(VLOOKUP(G1099,ThongSo!$F$2:$I$15,4,0)*B1099*E1099/1000,3),"-")</f>
        <v>-</v>
      </c>
      <c r="L1099" s="150"/>
      <c r="M1099" s="150"/>
      <c r="N1099" s="150"/>
    </row>
    <row r="1100" spans="1:14" x14ac:dyDescent="0.25">
      <c r="A1100" s="159">
        <v>276</v>
      </c>
      <c r="B1100" s="160">
        <v>144</v>
      </c>
      <c r="C1100" s="160">
        <v>11700</v>
      </c>
      <c r="D1100" s="160" t="s">
        <v>3878</v>
      </c>
      <c r="E1100" s="160">
        <v>1020</v>
      </c>
      <c r="F1100" s="160" t="s">
        <v>75</v>
      </c>
      <c r="G1100" s="148">
        <v>14</v>
      </c>
      <c r="H1100" s="152">
        <f>IF(C1100=11700,ROUND(VLOOKUP(G1100,ThongSo!$F$2:$I$15,4,0)*B1100*11.7,3),0)</f>
        <v>2038.6079999999999</v>
      </c>
      <c r="I1100" s="152" t="str">
        <f>IF(F1100="Sắt vụn",ROUND(VLOOKUP(G1100,ThongSo!$F$2:$I$15,4,0)*B1100*E1100/1000,3),"-")</f>
        <v>-</v>
      </c>
      <c r="L1100" s="150"/>
      <c r="M1100" s="150"/>
      <c r="N1100" s="150"/>
    </row>
    <row r="1101" spans="1:14" x14ac:dyDescent="0.25">
      <c r="A1101" s="159">
        <v>277</v>
      </c>
      <c r="B1101" s="160">
        <v>36</v>
      </c>
      <c r="C1101" s="160">
        <v>11700</v>
      </c>
      <c r="D1101" s="160" t="s">
        <v>3879</v>
      </c>
      <c r="E1101" s="160">
        <v>1050</v>
      </c>
      <c r="F1101" s="160" t="s">
        <v>75</v>
      </c>
      <c r="G1101" s="148">
        <v>14</v>
      </c>
      <c r="H1101" s="152">
        <f>IF(C1101=11700,ROUND(VLOOKUP(G1101,ThongSo!$F$2:$I$15,4,0)*B1101*11.7,3),0)</f>
        <v>509.65199999999999</v>
      </c>
      <c r="I1101" s="152" t="str">
        <f>IF(F1101="Sắt vụn",ROUND(VLOOKUP(G1101,ThongSo!$F$2:$I$15,4,0)*B1101*E1101/1000,3),"-")</f>
        <v>-</v>
      </c>
      <c r="L1101" s="150"/>
      <c r="M1101" s="150"/>
      <c r="N1101" s="150"/>
    </row>
    <row r="1102" spans="1:14" x14ac:dyDescent="0.25">
      <c r="A1102" s="159">
        <v>278</v>
      </c>
      <c r="B1102" s="160">
        <v>68</v>
      </c>
      <c r="C1102" s="160">
        <v>11700</v>
      </c>
      <c r="D1102" s="160" t="s">
        <v>3880</v>
      </c>
      <c r="E1102" s="160">
        <v>3770</v>
      </c>
      <c r="F1102" s="160" t="s">
        <v>75</v>
      </c>
      <c r="G1102" s="148">
        <v>14</v>
      </c>
      <c r="H1102" s="152">
        <f>IF(C1102=11700,ROUND(VLOOKUP(G1102,ThongSo!$F$2:$I$15,4,0)*B1102*11.7,3),0)</f>
        <v>962.67600000000004</v>
      </c>
      <c r="I1102" s="152" t="str">
        <f>IF(F1102="Sắt vụn",ROUND(VLOOKUP(G1102,ThongSo!$F$2:$I$15,4,0)*B1102*E1102/1000,3),"-")</f>
        <v>-</v>
      </c>
      <c r="L1102" s="150"/>
      <c r="M1102" s="150"/>
      <c r="N1102" s="150"/>
    </row>
    <row r="1103" spans="1:14" x14ac:dyDescent="0.25">
      <c r="A1103" s="159">
        <v>279</v>
      </c>
      <c r="B1103" s="160">
        <v>24</v>
      </c>
      <c r="C1103" s="160">
        <v>11700</v>
      </c>
      <c r="D1103" s="160" t="s">
        <v>3881</v>
      </c>
      <c r="E1103" s="160">
        <v>3800</v>
      </c>
      <c r="F1103" s="160" t="s">
        <v>75</v>
      </c>
      <c r="G1103" s="148">
        <v>14</v>
      </c>
      <c r="H1103" s="152">
        <f>IF(C1103=11700,ROUND(VLOOKUP(G1103,ThongSo!$F$2:$I$15,4,0)*B1103*11.7,3),0)</f>
        <v>339.76799999999997</v>
      </c>
      <c r="I1103" s="152" t="str">
        <f>IF(F1103="Sắt vụn",ROUND(VLOOKUP(G1103,ThongSo!$F$2:$I$15,4,0)*B1103*E1103/1000,3),"-")</f>
        <v>-</v>
      </c>
      <c r="L1103" s="150"/>
      <c r="M1103" s="150"/>
      <c r="N1103" s="150"/>
    </row>
    <row r="1104" spans="1:14" x14ac:dyDescent="0.25">
      <c r="A1104" s="159">
        <v>280</v>
      </c>
      <c r="B1104" s="160">
        <v>48</v>
      </c>
      <c r="C1104" s="160">
        <v>11700</v>
      </c>
      <c r="D1104" s="160" t="s">
        <v>3882</v>
      </c>
      <c r="E1104" s="160">
        <v>3800</v>
      </c>
      <c r="F1104" s="160" t="s">
        <v>75</v>
      </c>
      <c r="G1104" s="148">
        <v>14</v>
      </c>
      <c r="H1104" s="152">
        <f>IF(C1104=11700,ROUND(VLOOKUP(G1104,ThongSo!$F$2:$I$15,4,0)*B1104*11.7,3),0)</f>
        <v>679.53599999999994</v>
      </c>
      <c r="I1104" s="152" t="str">
        <f>IF(F1104="Sắt vụn",ROUND(VLOOKUP(G1104,ThongSo!$F$2:$I$15,4,0)*B1104*E1104/1000,3),"-")</f>
        <v>-</v>
      </c>
      <c r="L1104" s="150"/>
      <c r="M1104" s="150"/>
      <c r="N1104" s="150"/>
    </row>
    <row r="1105" spans="1:14" x14ac:dyDescent="0.25">
      <c r="A1105" s="159">
        <v>281</v>
      </c>
      <c r="B1105" s="160">
        <v>24</v>
      </c>
      <c r="C1105" s="160">
        <v>11700</v>
      </c>
      <c r="D1105" s="160" t="s">
        <v>3883</v>
      </c>
      <c r="E1105" s="160">
        <v>4000</v>
      </c>
      <c r="F1105" s="160" t="s">
        <v>75</v>
      </c>
      <c r="G1105" s="148">
        <v>14</v>
      </c>
      <c r="H1105" s="152">
        <f>IF(C1105=11700,ROUND(VLOOKUP(G1105,ThongSo!$F$2:$I$15,4,0)*B1105*11.7,3),0)</f>
        <v>339.76799999999997</v>
      </c>
      <c r="I1105" s="152" t="str">
        <f>IF(F1105="Sắt vụn",ROUND(VLOOKUP(G1105,ThongSo!$F$2:$I$15,4,0)*B1105*E1105/1000,3),"-")</f>
        <v>-</v>
      </c>
      <c r="L1105" s="150"/>
      <c r="M1105" s="150"/>
      <c r="N1105" s="150"/>
    </row>
    <row r="1106" spans="1:14" x14ac:dyDescent="0.25">
      <c r="A1106" s="159">
        <v>282</v>
      </c>
      <c r="B1106" s="160">
        <v>52</v>
      </c>
      <c r="C1106" s="160">
        <v>11700</v>
      </c>
      <c r="D1106" s="160" t="s">
        <v>3884</v>
      </c>
      <c r="E1106" s="160">
        <v>5170</v>
      </c>
      <c r="F1106" s="160" t="s">
        <v>75</v>
      </c>
      <c r="G1106" s="148">
        <v>14</v>
      </c>
      <c r="H1106" s="152">
        <f>IF(C1106=11700,ROUND(VLOOKUP(G1106,ThongSo!$F$2:$I$15,4,0)*B1106*11.7,3),0)</f>
        <v>736.16399999999999</v>
      </c>
      <c r="I1106" s="152" t="str">
        <f>IF(F1106="Sắt vụn",ROUND(VLOOKUP(G1106,ThongSo!$F$2:$I$15,4,0)*B1106*E1106/1000,3),"-")</f>
        <v>-</v>
      </c>
      <c r="L1106" s="150"/>
      <c r="M1106" s="150"/>
      <c r="N1106" s="150"/>
    </row>
    <row r="1107" spans="1:14" x14ac:dyDescent="0.25">
      <c r="A1107" s="159">
        <v>283</v>
      </c>
      <c r="B1107" s="160">
        <v>55</v>
      </c>
      <c r="C1107" s="160">
        <v>11700</v>
      </c>
      <c r="D1107" s="160" t="s">
        <v>3885</v>
      </c>
      <c r="E1107" s="160">
        <v>5170</v>
      </c>
      <c r="F1107" s="160" t="s">
        <v>75</v>
      </c>
      <c r="G1107" s="148">
        <v>14</v>
      </c>
      <c r="H1107" s="152">
        <f>IF(C1107=11700,ROUND(VLOOKUP(G1107,ThongSo!$F$2:$I$15,4,0)*B1107*11.7,3),0)</f>
        <v>778.63499999999999</v>
      </c>
      <c r="I1107" s="152" t="str">
        <f>IF(F1107="Sắt vụn",ROUND(VLOOKUP(G1107,ThongSo!$F$2:$I$15,4,0)*B1107*E1107/1000,3),"-")</f>
        <v>-</v>
      </c>
      <c r="L1107" s="150"/>
      <c r="M1107" s="150"/>
      <c r="N1107" s="150"/>
    </row>
    <row r="1108" spans="1:14" x14ac:dyDescent="0.25">
      <c r="A1108" s="159">
        <v>284</v>
      </c>
      <c r="B1108" s="160">
        <v>52</v>
      </c>
      <c r="C1108" s="160">
        <v>11700</v>
      </c>
      <c r="D1108" s="160" t="s">
        <v>3886</v>
      </c>
      <c r="E1108" s="160">
        <v>5170</v>
      </c>
      <c r="F1108" s="160" t="s">
        <v>75</v>
      </c>
      <c r="G1108" s="148">
        <v>14</v>
      </c>
      <c r="H1108" s="152">
        <f>IF(C1108=11700,ROUND(VLOOKUP(G1108,ThongSo!$F$2:$I$15,4,0)*B1108*11.7,3),0)</f>
        <v>736.16399999999999</v>
      </c>
      <c r="I1108" s="152" t="str">
        <f>IF(F1108="Sắt vụn",ROUND(VLOOKUP(G1108,ThongSo!$F$2:$I$15,4,0)*B1108*E1108/1000,3),"-")</f>
        <v>-</v>
      </c>
      <c r="L1108" s="150"/>
      <c r="M1108" s="150"/>
      <c r="N1108" s="150"/>
    </row>
    <row r="1109" spans="1:14" x14ac:dyDescent="0.25">
      <c r="A1109" s="159">
        <v>285</v>
      </c>
      <c r="B1109" s="160">
        <v>12</v>
      </c>
      <c r="C1109" s="160">
        <v>11700</v>
      </c>
      <c r="D1109" s="160" t="s">
        <v>3887</v>
      </c>
      <c r="E1109" s="160">
        <v>5200</v>
      </c>
      <c r="F1109" s="160" t="s">
        <v>75</v>
      </c>
      <c r="G1109" s="148">
        <v>14</v>
      </c>
      <c r="H1109" s="152">
        <f>IF(C1109=11700,ROUND(VLOOKUP(G1109,ThongSo!$F$2:$I$15,4,0)*B1109*11.7,3),0)</f>
        <v>169.88399999999999</v>
      </c>
      <c r="I1109" s="152" t="str">
        <f>IF(F1109="Sắt vụn",ROUND(VLOOKUP(G1109,ThongSo!$F$2:$I$15,4,0)*B1109*E1109/1000,3),"-")</f>
        <v>-</v>
      </c>
      <c r="L1109" s="150"/>
      <c r="M1109" s="150"/>
      <c r="N1109" s="150"/>
    </row>
    <row r="1110" spans="1:14" x14ac:dyDescent="0.25">
      <c r="A1110" s="159">
        <v>286</v>
      </c>
      <c r="B1110" s="160">
        <v>12</v>
      </c>
      <c r="C1110" s="160">
        <v>11700</v>
      </c>
      <c r="D1110" s="160" t="s">
        <v>3888</v>
      </c>
      <c r="E1110" s="160">
        <v>5200</v>
      </c>
      <c r="F1110" s="160" t="s">
        <v>75</v>
      </c>
      <c r="G1110" s="148">
        <v>14</v>
      </c>
      <c r="H1110" s="152">
        <f>IF(C1110=11700,ROUND(VLOOKUP(G1110,ThongSo!$F$2:$I$15,4,0)*B1110*11.7,3),0)</f>
        <v>169.88399999999999</v>
      </c>
      <c r="I1110" s="152" t="str">
        <f>IF(F1110="Sắt vụn",ROUND(VLOOKUP(G1110,ThongSo!$F$2:$I$15,4,0)*B1110*E1110/1000,3),"-")</f>
        <v>-</v>
      </c>
      <c r="L1110" s="150"/>
      <c r="M1110" s="150"/>
      <c r="N1110" s="150"/>
    </row>
    <row r="1111" spans="1:14" x14ac:dyDescent="0.25">
      <c r="A1111" s="157" t="s">
        <v>84</v>
      </c>
      <c r="B1111" s="158"/>
      <c r="C1111" s="158"/>
      <c r="D1111" s="158"/>
      <c r="E1111" s="158"/>
      <c r="F1111" s="158"/>
      <c r="G1111" s="148"/>
      <c r="H1111" s="152">
        <f>IF(C1111=11700,ROUND(VLOOKUP(G1111,ThongSo!$F$2:$I$15,4,0)*B1111*11.7,3),0)</f>
        <v>0</v>
      </c>
      <c r="I1111" s="152" t="str">
        <f>IF(F1111="Sắt vụn",ROUND(VLOOKUP(G1111,ThongSo!$F$2:$I$15,4,0)*B1111*E1111/1000,3),"-")</f>
        <v>-</v>
      </c>
      <c r="L1111" s="150"/>
      <c r="M1111" s="150"/>
      <c r="N1111" s="150"/>
    </row>
    <row r="1112" spans="1:14" x14ac:dyDescent="0.25">
      <c r="A1112" s="159" t="s">
        <v>361</v>
      </c>
      <c r="B1112" s="160">
        <v>1</v>
      </c>
      <c r="C1112" s="160">
        <v>4420</v>
      </c>
      <c r="D1112" s="160" t="s">
        <v>3889</v>
      </c>
      <c r="E1112" s="160">
        <v>60</v>
      </c>
      <c r="F1112" s="160" t="s">
        <v>74</v>
      </c>
      <c r="G1112" s="148">
        <v>10</v>
      </c>
      <c r="H1112" s="152">
        <f>IF(C1112=11700,ROUND(VLOOKUP(G1112,ThongSo!$F$2:$I$15,4,0)*B1112*11.7,3),0)</f>
        <v>0</v>
      </c>
      <c r="I1112" s="152">
        <f>IF(F1112="Sắt vụn",ROUND(VLOOKUP(G1112,ThongSo!$F$2:$I$15,4,0)*B1112*E1112/1000,3),"-")</f>
        <v>3.6999999999999998E-2</v>
      </c>
      <c r="L1112" s="150"/>
      <c r="M1112" s="150"/>
      <c r="N1112" s="150"/>
    </row>
    <row r="1113" spans="1:14" x14ac:dyDescent="0.25">
      <c r="A1113" s="159">
        <v>288</v>
      </c>
      <c r="B1113" s="160">
        <v>19</v>
      </c>
      <c r="C1113" s="160">
        <v>11700</v>
      </c>
      <c r="D1113" s="160" t="s">
        <v>3890</v>
      </c>
      <c r="E1113" s="160">
        <v>10</v>
      </c>
      <c r="F1113" s="160" t="s">
        <v>74</v>
      </c>
      <c r="G1113" s="148">
        <v>10</v>
      </c>
      <c r="H1113" s="152">
        <f>IF(C1113=11700,ROUND(VLOOKUP(G1113,ThongSo!$F$2:$I$15,4,0)*B1113*11.7,3),0)</f>
        <v>137.15899999999999</v>
      </c>
      <c r="I1113" s="152">
        <f>IF(F1113="Sắt vụn",ROUND(VLOOKUP(G1113,ThongSo!$F$2:$I$15,4,0)*B1113*E1113/1000,3),"-")</f>
        <v>0.11700000000000001</v>
      </c>
      <c r="L1113" s="150"/>
      <c r="M1113" s="150"/>
      <c r="N1113" s="150"/>
    </row>
    <row r="1114" spans="1:14" x14ac:dyDescent="0.25">
      <c r="A1114" s="159">
        <v>289</v>
      </c>
      <c r="B1114" s="160">
        <v>2</v>
      </c>
      <c r="C1114" s="160">
        <v>11700</v>
      </c>
      <c r="D1114" s="160" t="s">
        <v>3891</v>
      </c>
      <c r="E1114" s="160">
        <v>40</v>
      </c>
      <c r="F1114" s="160" t="s">
        <v>74</v>
      </c>
      <c r="G1114" s="148">
        <v>10</v>
      </c>
      <c r="H1114" s="152">
        <f>IF(C1114=11700,ROUND(VLOOKUP(G1114,ThongSo!$F$2:$I$15,4,0)*B1114*11.7,3),0)</f>
        <v>14.438000000000001</v>
      </c>
      <c r="I1114" s="152">
        <f>IF(F1114="Sắt vụn",ROUND(VLOOKUP(G1114,ThongSo!$F$2:$I$15,4,0)*B1114*E1114/1000,3),"-")</f>
        <v>4.9000000000000002E-2</v>
      </c>
      <c r="L1114" s="150"/>
      <c r="M1114" s="150"/>
      <c r="N1114" s="150"/>
    </row>
    <row r="1115" spans="1:14" x14ac:dyDescent="0.25">
      <c r="A1115" s="159">
        <v>290</v>
      </c>
      <c r="B1115" s="160">
        <v>4</v>
      </c>
      <c r="C1115" s="160">
        <v>11700</v>
      </c>
      <c r="D1115" s="160" t="s">
        <v>3892</v>
      </c>
      <c r="E1115" s="160">
        <v>640</v>
      </c>
      <c r="F1115" s="160" t="s">
        <v>75</v>
      </c>
      <c r="G1115" s="148">
        <v>10</v>
      </c>
      <c r="H1115" s="152">
        <f>IF(C1115=11700,ROUND(VLOOKUP(G1115,ThongSo!$F$2:$I$15,4,0)*B1115*11.7,3),0)</f>
        <v>28.876000000000001</v>
      </c>
      <c r="I1115" s="152" t="str">
        <f>IF(F1115="Sắt vụn",ROUND(VLOOKUP(G1115,ThongSo!$F$2:$I$15,4,0)*B1115*E1115/1000,3),"-")</f>
        <v>-</v>
      </c>
      <c r="L1115" s="150"/>
      <c r="M1115" s="150"/>
      <c r="N1115" s="150"/>
    </row>
    <row r="1116" spans="1:14" x14ac:dyDescent="0.25">
      <c r="A1116" s="159">
        <v>291</v>
      </c>
      <c r="B1116" s="160">
        <v>1</v>
      </c>
      <c r="C1116" s="160">
        <v>11700</v>
      </c>
      <c r="D1116" s="160" t="s">
        <v>3893</v>
      </c>
      <c r="E1116" s="160">
        <v>640</v>
      </c>
      <c r="F1116" s="160" t="s">
        <v>75</v>
      </c>
      <c r="G1116" s="148">
        <v>10</v>
      </c>
      <c r="H1116" s="152">
        <f>IF(C1116=11700,ROUND(VLOOKUP(G1116,ThongSo!$F$2:$I$15,4,0)*B1116*11.7,3),0)</f>
        <v>7.2190000000000003</v>
      </c>
      <c r="I1116" s="152" t="str">
        <f>IF(F1116="Sắt vụn",ROUND(VLOOKUP(G1116,ThongSo!$F$2:$I$15,4,0)*B1116*E1116/1000,3),"-")</f>
        <v>-</v>
      </c>
      <c r="L1116" s="150"/>
      <c r="M1116" s="150"/>
      <c r="N1116" s="150"/>
    </row>
    <row r="1117" spans="1:14" x14ac:dyDescent="0.25">
      <c r="A1117" s="159">
        <v>292</v>
      </c>
      <c r="B1117" s="160">
        <v>5</v>
      </c>
      <c r="C1117" s="160">
        <v>11700</v>
      </c>
      <c r="D1117" s="160" t="s">
        <v>3894</v>
      </c>
      <c r="E1117" s="160">
        <v>640</v>
      </c>
      <c r="F1117" s="160" t="s">
        <v>75</v>
      </c>
      <c r="G1117" s="148">
        <v>10</v>
      </c>
      <c r="H1117" s="152">
        <f>IF(C1117=11700,ROUND(VLOOKUP(G1117,ThongSo!$F$2:$I$15,4,0)*B1117*11.7,3),0)</f>
        <v>36.094999999999999</v>
      </c>
      <c r="I1117" s="152" t="str">
        <f>IF(F1117="Sắt vụn",ROUND(VLOOKUP(G1117,ThongSo!$F$2:$I$15,4,0)*B1117*E1117/1000,3),"-")</f>
        <v>-</v>
      </c>
      <c r="L1117" s="150"/>
      <c r="M1117" s="150"/>
      <c r="N1117" s="150"/>
    </row>
    <row r="1118" spans="1:14" x14ac:dyDescent="0.25">
      <c r="A1118" s="159">
        <v>293</v>
      </c>
      <c r="B1118" s="160">
        <v>1</v>
      </c>
      <c r="C1118" s="160">
        <v>11700</v>
      </c>
      <c r="D1118" s="160" t="s">
        <v>3895</v>
      </c>
      <c r="E1118" s="160">
        <v>4590</v>
      </c>
      <c r="F1118" s="160" t="s">
        <v>75</v>
      </c>
      <c r="G1118" s="148">
        <v>10</v>
      </c>
      <c r="H1118" s="152">
        <f>IF(C1118=11700,ROUND(VLOOKUP(G1118,ThongSo!$F$2:$I$15,4,0)*B1118*11.7,3),0)</f>
        <v>7.2190000000000003</v>
      </c>
      <c r="I1118" s="152" t="str">
        <f>IF(F1118="Sắt vụn",ROUND(VLOOKUP(G1118,ThongSo!$F$2:$I$15,4,0)*B1118*E1118/1000,3),"-")</f>
        <v>-</v>
      </c>
      <c r="L1118" s="150"/>
      <c r="M1118" s="150"/>
      <c r="N1118" s="150"/>
    </row>
    <row r="1119" spans="1:14" x14ac:dyDescent="0.25">
      <c r="A1119" s="154"/>
      <c r="G1119" s="148"/>
      <c r="H1119" s="152">
        <f>IF(C1119=11700,ROUND(VLOOKUP(G1119,ThongSo!$F$2:$I$15,4,0)*B1119*11.7,3),0)</f>
        <v>0</v>
      </c>
      <c r="I1119" s="152" t="str">
        <f>IF(F1119="Sắt vụn",ROUND(VLOOKUP(G1119,ThongSo!$F$2:$I$15,4,0)*B1119*E1119/1000,3),"-")</f>
        <v>-</v>
      </c>
      <c r="L1119" s="150"/>
      <c r="M1119" s="150"/>
      <c r="N1119" s="150"/>
    </row>
    <row r="1120" spans="1:14" x14ac:dyDescent="0.25">
      <c r="A1120" s="167">
        <v>5</v>
      </c>
      <c r="B1120" s="167"/>
      <c r="C1120" s="167"/>
      <c r="D1120" s="167"/>
      <c r="E1120" s="167"/>
      <c r="F1120" s="167"/>
      <c r="G1120" s="148"/>
      <c r="H1120" s="152">
        <f>IF(C1120=11700,ROUND(VLOOKUP(G1120,ThongSo!$F$2:$I$15,4,0)*B1120*11.7,3),0)</f>
        <v>0</v>
      </c>
      <c r="I1120" s="152" t="str">
        <f>IF(F1120="Sắt vụn",ROUND(VLOOKUP(G1120,ThongSo!$F$2:$I$15,4,0)*B1120*E1120/1000,3),"-")</f>
        <v>-</v>
      </c>
      <c r="L1120" s="150"/>
      <c r="M1120" s="150"/>
      <c r="N1120" s="150"/>
    </row>
    <row r="1121" spans="1:14" x14ac:dyDescent="0.25">
      <c r="A1121" s="154"/>
      <c r="G1121" s="148"/>
      <c r="H1121" s="152">
        <f>IF(C1121=11700,ROUND(VLOOKUP(G1121,ThongSo!$F$2:$I$15,4,0)*B1121*11.7,3),0)</f>
        <v>0</v>
      </c>
      <c r="I1121" s="152" t="str">
        <f>IF(F1121="Sắt vụn",ROUND(VLOOKUP(G1121,ThongSo!$F$2:$I$15,4,0)*B1121*E1121/1000,3),"-")</f>
        <v>-</v>
      </c>
      <c r="L1121" s="150"/>
      <c r="M1121" s="150"/>
      <c r="N1121" s="150"/>
    </row>
    <row r="1122" spans="1:14" x14ac:dyDescent="0.25">
      <c r="A1122" s="155" t="s">
        <v>50</v>
      </c>
      <c r="B1122" s="155" t="s">
        <v>51</v>
      </c>
      <c r="C1122" s="155" t="s">
        <v>45</v>
      </c>
      <c r="D1122" s="155" t="s">
        <v>42</v>
      </c>
      <c r="E1122" s="155" t="s">
        <v>43</v>
      </c>
      <c r="F1122" s="156" t="s">
        <v>46</v>
      </c>
      <c r="G1122" s="148"/>
      <c r="H1122" s="152">
        <f>IF(C1122=11700,ROUND(VLOOKUP(G1122,ThongSo!$F$2:$I$15,4,0)*B1122*11.7,3),0)</f>
        <v>0</v>
      </c>
      <c r="I1122" s="152" t="str">
        <f>IF(F1122="Sắt vụn",ROUND(VLOOKUP(G1122,ThongSo!$F$2:$I$15,4,0)*B1122*E1122/1000,3),"-")</f>
        <v>-</v>
      </c>
      <c r="L1122" s="150"/>
      <c r="M1122" s="150"/>
      <c r="N1122" s="150"/>
    </row>
    <row r="1123" spans="1:14" x14ac:dyDescent="0.25">
      <c r="A1123" s="157" t="s">
        <v>72</v>
      </c>
      <c r="B1123" s="158"/>
      <c r="C1123" s="158"/>
      <c r="D1123" s="158"/>
      <c r="E1123" s="158"/>
      <c r="F1123" s="158"/>
      <c r="G1123" s="148"/>
      <c r="H1123" s="152">
        <f>IF(C1123=11700,ROUND(VLOOKUP(G1123,ThongSo!$F$2:$I$15,4,0)*B1123*11.7,3),0)</f>
        <v>0</v>
      </c>
      <c r="I1123" s="152" t="str">
        <f>IF(F1123="Sắt vụn",ROUND(VLOOKUP(G1123,ThongSo!$F$2:$I$15,4,0)*B1123*E1123/1000,3),"-")</f>
        <v>-</v>
      </c>
      <c r="L1123" s="150"/>
      <c r="M1123" s="150"/>
      <c r="N1123" s="150"/>
    </row>
    <row r="1124" spans="1:14" x14ac:dyDescent="0.25">
      <c r="A1124" s="159" t="s">
        <v>73</v>
      </c>
      <c r="B1124" s="160">
        <v>100</v>
      </c>
      <c r="C1124" s="160">
        <v>11700</v>
      </c>
      <c r="D1124" s="160"/>
      <c r="E1124" s="160"/>
      <c r="F1124" s="160"/>
      <c r="G1124" s="148">
        <v>32</v>
      </c>
      <c r="H1124" s="152">
        <f>IF(C1124=11700,ROUND(VLOOKUP(G1124,ThongSo!$F$2:$I$15,4,0)*B1124*11.7,3),0)</f>
        <v>7382.7</v>
      </c>
      <c r="I1124" s="152" t="str">
        <f>IF(F1124="Sắt vụn",ROUND(VLOOKUP(G1124,ThongSo!$F$2:$I$15,4,0)*B1124*E1124/1000,3),"-")</f>
        <v>-</v>
      </c>
      <c r="L1124" s="150"/>
      <c r="M1124" s="150"/>
      <c r="N1124" s="150"/>
    </row>
    <row r="1125" spans="1:14" x14ac:dyDescent="0.25">
      <c r="A1125" s="159" t="s">
        <v>117</v>
      </c>
      <c r="B1125" s="160">
        <v>1</v>
      </c>
      <c r="C1125" s="160">
        <v>1610</v>
      </c>
      <c r="D1125" s="160" t="s">
        <v>3905</v>
      </c>
      <c r="E1125" s="160">
        <v>50</v>
      </c>
      <c r="F1125" s="160" t="s">
        <v>74</v>
      </c>
      <c r="G1125" s="148">
        <v>32</v>
      </c>
      <c r="H1125" s="152">
        <f>IF(C1125=11700,ROUND(VLOOKUP(G1125,ThongSo!$F$2:$I$15,4,0)*B1125*11.7,3),0)</f>
        <v>0</v>
      </c>
      <c r="I1125" s="152">
        <f>IF(F1125="Sắt vụn",ROUND(VLOOKUP(G1125,ThongSo!$F$2:$I$15,4,0)*B1125*E1125/1000,3),"-")</f>
        <v>0.316</v>
      </c>
      <c r="L1125" s="150"/>
      <c r="M1125" s="150"/>
      <c r="N1125" s="150"/>
    </row>
    <row r="1126" spans="1:14" x14ac:dyDescent="0.25">
      <c r="A1126" s="159" t="s">
        <v>162</v>
      </c>
      <c r="B1126" s="160">
        <v>14</v>
      </c>
      <c r="C1126" s="160">
        <v>1700</v>
      </c>
      <c r="D1126" s="160" t="s">
        <v>3906</v>
      </c>
      <c r="E1126" s="160">
        <v>10</v>
      </c>
      <c r="F1126" s="160" t="s">
        <v>74</v>
      </c>
      <c r="G1126" s="148">
        <v>32</v>
      </c>
      <c r="H1126" s="152">
        <f>IF(C1126=11700,ROUND(VLOOKUP(G1126,ThongSo!$F$2:$I$15,4,0)*B1126*11.7,3),0)</f>
        <v>0</v>
      </c>
      <c r="I1126" s="152">
        <f>IF(F1126="Sắt vụn",ROUND(VLOOKUP(G1126,ThongSo!$F$2:$I$15,4,0)*B1126*E1126/1000,3),"-")</f>
        <v>0.88300000000000001</v>
      </c>
      <c r="L1126" s="150"/>
      <c r="M1126" s="150"/>
      <c r="N1126" s="150"/>
    </row>
    <row r="1127" spans="1:14" x14ac:dyDescent="0.25">
      <c r="A1127" s="159" t="s">
        <v>162</v>
      </c>
      <c r="B1127" s="160">
        <v>11</v>
      </c>
      <c r="C1127" s="160">
        <v>1700</v>
      </c>
      <c r="D1127" s="160" t="s">
        <v>3907</v>
      </c>
      <c r="E1127" s="160">
        <v>10</v>
      </c>
      <c r="F1127" s="160" t="s">
        <v>74</v>
      </c>
      <c r="G1127" s="148">
        <v>32</v>
      </c>
      <c r="H1127" s="152">
        <f>IF(C1127=11700,ROUND(VLOOKUP(G1127,ThongSo!$F$2:$I$15,4,0)*B1127*11.7,3),0)</f>
        <v>0</v>
      </c>
      <c r="I1127" s="152">
        <f>IF(F1127="Sắt vụn",ROUND(VLOOKUP(G1127,ThongSo!$F$2:$I$15,4,0)*B1127*E1127/1000,3),"-")</f>
        <v>0.69399999999999995</v>
      </c>
      <c r="L1127" s="150"/>
      <c r="M1127" s="150"/>
      <c r="N1127" s="150"/>
    </row>
    <row r="1128" spans="1:14" x14ac:dyDescent="0.25">
      <c r="A1128" s="159" t="s">
        <v>162</v>
      </c>
      <c r="B1128" s="160">
        <v>2</v>
      </c>
      <c r="C1128" s="160">
        <v>1700</v>
      </c>
      <c r="D1128" s="160" t="s">
        <v>3908</v>
      </c>
      <c r="E1128" s="160">
        <v>20</v>
      </c>
      <c r="F1128" s="160" t="s">
        <v>74</v>
      </c>
      <c r="G1128" s="148">
        <v>32</v>
      </c>
      <c r="H1128" s="152">
        <f>IF(C1128=11700,ROUND(VLOOKUP(G1128,ThongSo!$F$2:$I$15,4,0)*B1128*11.7,3),0)</f>
        <v>0</v>
      </c>
      <c r="I1128" s="152">
        <f>IF(F1128="Sắt vụn",ROUND(VLOOKUP(G1128,ThongSo!$F$2:$I$15,4,0)*B1128*E1128/1000,3),"-")</f>
        <v>0.252</v>
      </c>
      <c r="L1128" s="150"/>
      <c r="M1128" s="150"/>
      <c r="N1128" s="150"/>
    </row>
    <row r="1129" spans="1:14" x14ac:dyDescent="0.25">
      <c r="A1129" s="159" t="s">
        <v>162</v>
      </c>
      <c r="B1129" s="160">
        <v>6</v>
      </c>
      <c r="C1129" s="160">
        <v>1700</v>
      </c>
      <c r="D1129" s="160" t="s">
        <v>3909</v>
      </c>
      <c r="E1129" s="160">
        <v>20</v>
      </c>
      <c r="F1129" s="160" t="s">
        <v>74</v>
      </c>
      <c r="G1129" s="148">
        <v>32</v>
      </c>
      <c r="H1129" s="152">
        <f>IF(C1129=11700,ROUND(VLOOKUP(G1129,ThongSo!$F$2:$I$15,4,0)*B1129*11.7,3),0)</f>
        <v>0</v>
      </c>
      <c r="I1129" s="152">
        <f>IF(F1129="Sắt vụn",ROUND(VLOOKUP(G1129,ThongSo!$F$2:$I$15,4,0)*B1129*E1129/1000,3),"-")</f>
        <v>0.75700000000000001</v>
      </c>
      <c r="L1129" s="150"/>
      <c r="M1129" s="150"/>
      <c r="N1129" s="150"/>
    </row>
    <row r="1130" spans="1:14" x14ac:dyDescent="0.25">
      <c r="A1130" s="159" t="s">
        <v>162</v>
      </c>
      <c r="B1130" s="160">
        <v>1</v>
      </c>
      <c r="C1130" s="160">
        <v>1700</v>
      </c>
      <c r="D1130" s="160" t="s">
        <v>3910</v>
      </c>
      <c r="E1130" s="160">
        <v>40</v>
      </c>
      <c r="F1130" s="160" t="s">
        <v>74</v>
      </c>
      <c r="G1130" s="148">
        <v>32</v>
      </c>
      <c r="H1130" s="152">
        <f>IF(C1130=11700,ROUND(VLOOKUP(G1130,ThongSo!$F$2:$I$15,4,0)*B1130*11.7,3),0)</f>
        <v>0</v>
      </c>
      <c r="I1130" s="152">
        <f>IF(F1130="Sắt vụn",ROUND(VLOOKUP(G1130,ThongSo!$F$2:$I$15,4,0)*B1130*E1130/1000,3),"-")</f>
        <v>0.252</v>
      </c>
      <c r="L1130" s="150"/>
      <c r="M1130" s="150"/>
      <c r="N1130" s="150"/>
    </row>
    <row r="1131" spans="1:14" x14ac:dyDescent="0.25">
      <c r="A1131" s="159" t="s">
        <v>162</v>
      </c>
      <c r="B1131" s="160">
        <v>2</v>
      </c>
      <c r="C1131" s="160">
        <v>1700</v>
      </c>
      <c r="D1131" s="160" t="s">
        <v>3911</v>
      </c>
      <c r="E1131" s="160">
        <v>230</v>
      </c>
      <c r="F1131" s="160" t="s">
        <v>74</v>
      </c>
      <c r="G1131" s="148">
        <v>32</v>
      </c>
      <c r="H1131" s="152">
        <f>IF(C1131=11700,ROUND(VLOOKUP(G1131,ThongSo!$F$2:$I$15,4,0)*B1131*11.7,3),0)</f>
        <v>0</v>
      </c>
      <c r="I1131" s="152">
        <f>IF(F1131="Sắt vụn",ROUND(VLOOKUP(G1131,ThongSo!$F$2:$I$15,4,0)*B1131*E1131/1000,3),"-")</f>
        <v>2.903</v>
      </c>
      <c r="L1131" s="150"/>
      <c r="M1131" s="150"/>
      <c r="N1131" s="150"/>
    </row>
    <row r="1132" spans="1:14" x14ac:dyDescent="0.25">
      <c r="A1132" s="159" t="s">
        <v>162</v>
      </c>
      <c r="B1132" s="160">
        <v>1</v>
      </c>
      <c r="C1132" s="160">
        <v>1700</v>
      </c>
      <c r="D1132" s="160" t="s">
        <v>3912</v>
      </c>
      <c r="E1132" s="160">
        <v>230</v>
      </c>
      <c r="F1132" s="160" t="s">
        <v>74</v>
      </c>
      <c r="G1132" s="148">
        <v>32</v>
      </c>
      <c r="H1132" s="152">
        <f>IF(C1132=11700,ROUND(VLOOKUP(G1132,ThongSo!$F$2:$I$15,4,0)*B1132*11.7,3),0)</f>
        <v>0</v>
      </c>
      <c r="I1132" s="152">
        <f>IF(F1132="Sắt vụn",ROUND(VLOOKUP(G1132,ThongSo!$F$2:$I$15,4,0)*B1132*E1132/1000,3),"-")</f>
        <v>1.4510000000000001</v>
      </c>
      <c r="L1132" s="150"/>
      <c r="M1132" s="150"/>
      <c r="N1132" s="150"/>
    </row>
    <row r="1133" spans="1:14" x14ac:dyDescent="0.25">
      <c r="A1133" s="159" t="s">
        <v>162</v>
      </c>
      <c r="B1133" s="160">
        <v>3</v>
      </c>
      <c r="C1133" s="160">
        <v>1700</v>
      </c>
      <c r="D1133" s="160" t="s">
        <v>3913</v>
      </c>
      <c r="E1133" s="160">
        <v>230</v>
      </c>
      <c r="F1133" s="160" t="s">
        <v>74</v>
      </c>
      <c r="G1133" s="148">
        <v>32</v>
      </c>
      <c r="H1133" s="152">
        <f>IF(C1133=11700,ROUND(VLOOKUP(G1133,ThongSo!$F$2:$I$15,4,0)*B1133*11.7,3),0)</f>
        <v>0</v>
      </c>
      <c r="I1133" s="152">
        <f>IF(F1133="Sắt vụn",ROUND(VLOOKUP(G1133,ThongSo!$F$2:$I$15,4,0)*B1133*E1133/1000,3),"-")</f>
        <v>4.3540000000000001</v>
      </c>
      <c r="L1133" s="150"/>
      <c r="M1133" s="150"/>
      <c r="N1133" s="150"/>
    </row>
    <row r="1134" spans="1:14" x14ac:dyDescent="0.25">
      <c r="A1134" s="159" t="s">
        <v>162</v>
      </c>
      <c r="B1134" s="160">
        <v>1</v>
      </c>
      <c r="C1134" s="160">
        <v>1700</v>
      </c>
      <c r="D1134" s="160" t="s">
        <v>3914</v>
      </c>
      <c r="E1134" s="160">
        <v>230</v>
      </c>
      <c r="F1134" s="160" t="s">
        <v>74</v>
      </c>
      <c r="G1134" s="148">
        <v>32</v>
      </c>
      <c r="H1134" s="152">
        <f>IF(C1134=11700,ROUND(VLOOKUP(G1134,ThongSo!$F$2:$I$15,4,0)*B1134*11.7,3),0)</f>
        <v>0</v>
      </c>
      <c r="I1134" s="152">
        <f>IF(F1134="Sắt vụn",ROUND(VLOOKUP(G1134,ThongSo!$F$2:$I$15,4,0)*B1134*E1134/1000,3),"-")</f>
        <v>1.4510000000000001</v>
      </c>
      <c r="L1134" s="150"/>
      <c r="M1134" s="150"/>
      <c r="N1134" s="150"/>
    </row>
    <row r="1135" spans="1:14" x14ac:dyDescent="0.25">
      <c r="A1135" s="159" t="s">
        <v>162</v>
      </c>
      <c r="B1135" s="160">
        <v>10</v>
      </c>
      <c r="C1135" s="160">
        <v>1700</v>
      </c>
      <c r="D1135" s="160" t="s">
        <v>3915</v>
      </c>
      <c r="E1135" s="160">
        <v>230</v>
      </c>
      <c r="F1135" s="160" t="s">
        <v>74</v>
      </c>
      <c r="G1135" s="148">
        <v>32</v>
      </c>
      <c r="H1135" s="152">
        <f>IF(C1135=11700,ROUND(VLOOKUP(G1135,ThongSo!$F$2:$I$15,4,0)*B1135*11.7,3),0)</f>
        <v>0</v>
      </c>
      <c r="I1135" s="152">
        <f>IF(F1135="Sắt vụn",ROUND(VLOOKUP(G1135,ThongSo!$F$2:$I$15,4,0)*B1135*E1135/1000,3),"-")</f>
        <v>14.513</v>
      </c>
      <c r="L1135" s="150"/>
      <c r="M1135" s="150"/>
      <c r="N1135" s="150"/>
    </row>
    <row r="1136" spans="1:14" x14ac:dyDescent="0.25">
      <c r="A1136" s="159" t="s">
        <v>162</v>
      </c>
      <c r="B1136" s="160">
        <v>1</v>
      </c>
      <c r="C1136" s="160">
        <v>1700</v>
      </c>
      <c r="D1136" s="160" t="s">
        <v>3916</v>
      </c>
      <c r="E1136" s="160">
        <v>230</v>
      </c>
      <c r="F1136" s="160" t="s">
        <v>74</v>
      </c>
      <c r="G1136" s="148">
        <v>32</v>
      </c>
      <c r="H1136" s="152">
        <f>IF(C1136=11700,ROUND(VLOOKUP(G1136,ThongSo!$F$2:$I$15,4,0)*B1136*11.7,3),0)</f>
        <v>0</v>
      </c>
      <c r="I1136" s="152">
        <f>IF(F1136="Sắt vụn",ROUND(VLOOKUP(G1136,ThongSo!$F$2:$I$15,4,0)*B1136*E1136/1000,3),"-")</f>
        <v>1.4510000000000001</v>
      </c>
      <c r="L1136" s="150"/>
      <c r="M1136" s="150"/>
      <c r="N1136" s="150"/>
    </row>
    <row r="1137" spans="1:14" x14ac:dyDescent="0.25">
      <c r="A1137" s="159" t="s">
        <v>162</v>
      </c>
      <c r="B1137" s="160">
        <v>1</v>
      </c>
      <c r="C1137" s="160">
        <v>1700</v>
      </c>
      <c r="D1137" s="160" t="s">
        <v>3917</v>
      </c>
      <c r="E1137" s="160">
        <v>230</v>
      </c>
      <c r="F1137" s="160" t="s">
        <v>74</v>
      </c>
      <c r="G1137" s="148">
        <v>32</v>
      </c>
      <c r="H1137" s="152">
        <f>IF(C1137=11700,ROUND(VLOOKUP(G1137,ThongSo!$F$2:$I$15,4,0)*B1137*11.7,3),0)</f>
        <v>0</v>
      </c>
      <c r="I1137" s="152">
        <f>IF(F1137="Sắt vụn",ROUND(VLOOKUP(G1137,ThongSo!$F$2:$I$15,4,0)*B1137*E1137/1000,3),"-")</f>
        <v>1.4510000000000001</v>
      </c>
      <c r="L1137" s="150"/>
      <c r="M1137" s="150"/>
      <c r="N1137" s="150"/>
    </row>
    <row r="1138" spans="1:14" x14ac:dyDescent="0.25">
      <c r="A1138" s="159" t="s">
        <v>162</v>
      </c>
      <c r="B1138" s="160">
        <v>8</v>
      </c>
      <c r="C1138" s="160">
        <v>1700</v>
      </c>
      <c r="D1138" s="160" t="s">
        <v>3918</v>
      </c>
      <c r="E1138" s="160">
        <v>230</v>
      </c>
      <c r="F1138" s="160" t="s">
        <v>74</v>
      </c>
      <c r="G1138" s="148">
        <v>32</v>
      </c>
      <c r="H1138" s="152">
        <f>IF(C1138=11700,ROUND(VLOOKUP(G1138,ThongSo!$F$2:$I$15,4,0)*B1138*11.7,3),0)</f>
        <v>0</v>
      </c>
      <c r="I1138" s="152">
        <f>IF(F1138="Sắt vụn",ROUND(VLOOKUP(G1138,ThongSo!$F$2:$I$15,4,0)*B1138*E1138/1000,3),"-")</f>
        <v>11.61</v>
      </c>
      <c r="L1138" s="150"/>
      <c r="M1138" s="150"/>
      <c r="N1138" s="150"/>
    </row>
    <row r="1139" spans="1:14" x14ac:dyDescent="0.25">
      <c r="A1139" s="159" t="s">
        <v>162</v>
      </c>
      <c r="B1139" s="160">
        <v>1</v>
      </c>
      <c r="C1139" s="160">
        <v>1700</v>
      </c>
      <c r="D1139" s="160" t="s">
        <v>3919</v>
      </c>
      <c r="E1139" s="160">
        <v>330</v>
      </c>
      <c r="F1139" s="160" t="s">
        <v>74</v>
      </c>
      <c r="G1139" s="148">
        <v>32</v>
      </c>
      <c r="H1139" s="152">
        <f>IF(C1139=11700,ROUND(VLOOKUP(G1139,ThongSo!$F$2:$I$15,4,0)*B1139*11.7,3),0)</f>
        <v>0</v>
      </c>
      <c r="I1139" s="152">
        <f>IF(F1139="Sắt vụn",ROUND(VLOOKUP(G1139,ThongSo!$F$2:$I$15,4,0)*B1139*E1139/1000,3),"-")</f>
        <v>2.0819999999999999</v>
      </c>
      <c r="L1139" s="150"/>
      <c r="M1139" s="150"/>
      <c r="N1139" s="150"/>
    </row>
    <row r="1140" spans="1:14" x14ac:dyDescent="0.25">
      <c r="A1140" s="159" t="s">
        <v>348</v>
      </c>
      <c r="B1140" s="160">
        <v>3</v>
      </c>
      <c r="C1140" s="160">
        <v>2310</v>
      </c>
      <c r="D1140" s="160" t="s">
        <v>3920</v>
      </c>
      <c r="E1140" s="160">
        <v>320</v>
      </c>
      <c r="F1140" s="160" t="s">
        <v>74</v>
      </c>
      <c r="G1140" s="148">
        <v>32</v>
      </c>
      <c r="H1140" s="152">
        <f>IF(C1140=11700,ROUND(VLOOKUP(G1140,ThongSo!$F$2:$I$15,4,0)*B1140*11.7,3),0)</f>
        <v>0</v>
      </c>
      <c r="I1140" s="152">
        <f>IF(F1140="Sắt vụn",ROUND(VLOOKUP(G1140,ThongSo!$F$2:$I$15,4,0)*B1140*E1140/1000,3),"-")</f>
        <v>6.0579999999999998</v>
      </c>
      <c r="L1140" s="150"/>
      <c r="M1140" s="150"/>
      <c r="N1140" s="150"/>
    </row>
    <row r="1141" spans="1:14" x14ac:dyDescent="0.25">
      <c r="A1141" s="159" t="s">
        <v>151</v>
      </c>
      <c r="B1141" s="160">
        <v>4</v>
      </c>
      <c r="C1141" s="160">
        <v>2700</v>
      </c>
      <c r="D1141" s="160" t="s">
        <v>3921</v>
      </c>
      <c r="E1141" s="160">
        <v>20</v>
      </c>
      <c r="F1141" s="160" t="s">
        <v>74</v>
      </c>
      <c r="G1141" s="148">
        <v>32</v>
      </c>
      <c r="H1141" s="152">
        <f>IF(C1141=11700,ROUND(VLOOKUP(G1141,ThongSo!$F$2:$I$15,4,0)*B1141*11.7,3),0)</f>
        <v>0</v>
      </c>
      <c r="I1141" s="152">
        <f>IF(F1141="Sắt vụn",ROUND(VLOOKUP(G1141,ThongSo!$F$2:$I$15,4,0)*B1141*E1141/1000,3),"-")</f>
        <v>0.505</v>
      </c>
      <c r="L1141" s="150"/>
      <c r="M1141" s="150"/>
      <c r="N1141" s="150"/>
    </row>
    <row r="1142" spans="1:14" x14ac:dyDescent="0.25">
      <c r="A1142" s="159" t="s">
        <v>151</v>
      </c>
      <c r="B1142" s="160">
        <v>3</v>
      </c>
      <c r="C1142" s="160">
        <v>2700</v>
      </c>
      <c r="D1142" s="160" t="s">
        <v>3922</v>
      </c>
      <c r="E1142" s="160">
        <v>20</v>
      </c>
      <c r="F1142" s="160" t="s">
        <v>74</v>
      </c>
      <c r="G1142" s="148">
        <v>32</v>
      </c>
      <c r="H1142" s="152">
        <f>IF(C1142=11700,ROUND(VLOOKUP(G1142,ThongSo!$F$2:$I$15,4,0)*B1142*11.7,3),0)</f>
        <v>0</v>
      </c>
      <c r="I1142" s="152">
        <f>IF(F1142="Sắt vụn",ROUND(VLOOKUP(G1142,ThongSo!$F$2:$I$15,4,0)*B1142*E1142/1000,3),"-")</f>
        <v>0.379</v>
      </c>
      <c r="L1142" s="150"/>
      <c r="M1142" s="150"/>
      <c r="N1142" s="150"/>
    </row>
    <row r="1143" spans="1:14" x14ac:dyDescent="0.25">
      <c r="A1143" s="159" t="s">
        <v>151</v>
      </c>
      <c r="B1143" s="160">
        <v>4</v>
      </c>
      <c r="C1143" s="160">
        <v>2700</v>
      </c>
      <c r="D1143" s="160" t="s">
        <v>3923</v>
      </c>
      <c r="E1143" s="160">
        <v>710</v>
      </c>
      <c r="F1143" s="160" t="s">
        <v>74</v>
      </c>
      <c r="G1143" s="148">
        <v>32</v>
      </c>
      <c r="H1143" s="152">
        <f>IF(C1143=11700,ROUND(VLOOKUP(G1143,ThongSo!$F$2:$I$15,4,0)*B1143*11.7,3),0)</f>
        <v>0</v>
      </c>
      <c r="I1143" s="152">
        <f>IF(F1143="Sắt vụn",ROUND(VLOOKUP(G1143,ThongSo!$F$2:$I$15,4,0)*B1143*E1143/1000,3),"-")</f>
        <v>17.920000000000002</v>
      </c>
      <c r="L1143" s="150"/>
      <c r="M1143" s="150"/>
      <c r="N1143" s="150"/>
    </row>
    <row r="1144" spans="1:14" x14ac:dyDescent="0.25">
      <c r="A1144" s="159" t="s">
        <v>169</v>
      </c>
      <c r="B1144" s="160">
        <v>2</v>
      </c>
      <c r="C1144" s="160">
        <v>2800</v>
      </c>
      <c r="D1144" s="160" t="s">
        <v>3924</v>
      </c>
      <c r="E1144" s="160">
        <v>10</v>
      </c>
      <c r="F1144" s="160" t="s">
        <v>74</v>
      </c>
      <c r="G1144" s="148">
        <v>32</v>
      </c>
      <c r="H1144" s="152">
        <f>IF(C1144=11700,ROUND(VLOOKUP(G1144,ThongSo!$F$2:$I$15,4,0)*B1144*11.7,3),0)</f>
        <v>0</v>
      </c>
      <c r="I1144" s="152">
        <f>IF(F1144="Sắt vụn",ROUND(VLOOKUP(G1144,ThongSo!$F$2:$I$15,4,0)*B1144*E1144/1000,3),"-")</f>
        <v>0.126</v>
      </c>
      <c r="L1144" s="150"/>
      <c r="M1144" s="150"/>
      <c r="N1144" s="150"/>
    </row>
    <row r="1145" spans="1:14" x14ac:dyDescent="0.25">
      <c r="A1145" s="159" t="s">
        <v>311</v>
      </c>
      <c r="B1145" s="160">
        <v>2</v>
      </c>
      <c r="C1145" s="160">
        <v>4580</v>
      </c>
      <c r="D1145" s="160" t="s">
        <v>3925</v>
      </c>
      <c r="E1145" s="160">
        <v>50</v>
      </c>
      <c r="F1145" s="160" t="s">
        <v>74</v>
      </c>
      <c r="G1145" s="148">
        <v>32</v>
      </c>
      <c r="H1145" s="152">
        <f>IF(C1145=11700,ROUND(VLOOKUP(G1145,ThongSo!$F$2:$I$15,4,0)*B1145*11.7,3),0)</f>
        <v>0</v>
      </c>
      <c r="I1145" s="152">
        <f>IF(F1145="Sắt vụn",ROUND(VLOOKUP(G1145,ThongSo!$F$2:$I$15,4,0)*B1145*E1145/1000,3),"-")</f>
        <v>0.63100000000000001</v>
      </c>
      <c r="L1145" s="150"/>
      <c r="M1145" s="150"/>
      <c r="N1145" s="150"/>
    </row>
    <row r="1146" spans="1:14" x14ac:dyDescent="0.25">
      <c r="A1146" s="159" t="s">
        <v>311</v>
      </c>
      <c r="B1146" s="160">
        <v>1</v>
      </c>
      <c r="C1146" s="160">
        <v>4580</v>
      </c>
      <c r="D1146" s="160" t="s">
        <v>3926</v>
      </c>
      <c r="E1146" s="160">
        <v>115</v>
      </c>
      <c r="F1146" s="160" t="s">
        <v>74</v>
      </c>
      <c r="G1146" s="148">
        <v>32</v>
      </c>
      <c r="H1146" s="152">
        <f>IF(C1146=11700,ROUND(VLOOKUP(G1146,ThongSo!$F$2:$I$15,4,0)*B1146*11.7,3),0)</f>
        <v>0</v>
      </c>
      <c r="I1146" s="152">
        <f>IF(F1146="Sắt vụn",ROUND(VLOOKUP(G1146,ThongSo!$F$2:$I$15,4,0)*B1146*E1146/1000,3),"-")</f>
        <v>0.72599999999999998</v>
      </c>
      <c r="L1146" s="150"/>
      <c r="M1146" s="150"/>
      <c r="N1146" s="150"/>
    </row>
    <row r="1147" spans="1:14" x14ac:dyDescent="0.25">
      <c r="A1147" s="159" t="s">
        <v>146</v>
      </c>
      <c r="B1147" s="160">
        <v>3</v>
      </c>
      <c r="C1147" s="160">
        <v>4600</v>
      </c>
      <c r="D1147" s="160" t="s">
        <v>3927</v>
      </c>
      <c r="E1147" s="160">
        <v>0</v>
      </c>
      <c r="F1147" s="160"/>
      <c r="G1147" s="148">
        <v>32</v>
      </c>
      <c r="H1147" s="152">
        <f>IF(C1147=11700,ROUND(VLOOKUP(G1147,ThongSo!$F$2:$I$15,4,0)*B1147*11.7,3),0)</f>
        <v>0</v>
      </c>
      <c r="I1147" s="152" t="str">
        <f>IF(F1147="Sắt vụn",ROUND(VLOOKUP(G1147,ThongSo!$F$2:$I$15,4,0)*B1147*E1147/1000,3),"-")</f>
        <v>-</v>
      </c>
      <c r="L1147" s="150"/>
      <c r="M1147" s="150"/>
      <c r="N1147" s="150"/>
    </row>
    <row r="1148" spans="1:14" x14ac:dyDescent="0.25">
      <c r="A1148" s="159" t="s">
        <v>146</v>
      </c>
      <c r="B1148" s="160">
        <v>1</v>
      </c>
      <c r="C1148" s="160">
        <v>4600</v>
      </c>
      <c r="D1148" s="160" t="s">
        <v>3928</v>
      </c>
      <c r="E1148" s="160">
        <v>0</v>
      </c>
      <c r="F1148" s="160"/>
      <c r="G1148" s="148">
        <v>32</v>
      </c>
      <c r="H1148" s="152">
        <f>IF(C1148=11700,ROUND(VLOOKUP(G1148,ThongSo!$F$2:$I$15,4,0)*B1148*11.7,3),0)</f>
        <v>0</v>
      </c>
      <c r="I1148" s="152" t="str">
        <f>IF(F1148="Sắt vụn",ROUND(VLOOKUP(G1148,ThongSo!$F$2:$I$15,4,0)*B1148*E1148/1000,3),"-")</f>
        <v>-</v>
      </c>
      <c r="L1148" s="150"/>
      <c r="M1148" s="150"/>
      <c r="N1148" s="150"/>
    </row>
    <row r="1149" spans="1:14" x14ac:dyDescent="0.25">
      <c r="A1149" s="159" t="s">
        <v>368</v>
      </c>
      <c r="B1149" s="160">
        <v>2</v>
      </c>
      <c r="C1149" s="160">
        <v>4610</v>
      </c>
      <c r="D1149" s="160" t="s">
        <v>3928</v>
      </c>
      <c r="E1149" s="160">
        <v>10</v>
      </c>
      <c r="F1149" s="160" t="s">
        <v>74</v>
      </c>
      <c r="G1149" s="148">
        <v>32</v>
      </c>
      <c r="H1149" s="152">
        <f>IF(C1149=11700,ROUND(VLOOKUP(G1149,ThongSo!$F$2:$I$15,4,0)*B1149*11.7,3),0)</f>
        <v>0</v>
      </c>
      <c r="I1149" s="152">
        <f>IF(F1149="Sắt vụn",ROUND(VLOOKUP(G1149,ThongSo!$F$2:$I$15,4,0)*B1149*E1149/1000,3),"-")</f>
        <v>0.126</v>
      </c>
      <c r="L1149" s="150"/>
      <c r="M1149" s="150"/>
      <c r="N1149" s="150"/>
    </row>
    <row r="1150" spans="1:14" x14ac:dyDescent="0.25">
      <c r="A1150" s="159" t="s">
        <v>368</v>
      </c>
      <c r="B1150" s="160">
        <v>2</v>
      </c>
      <c r="C1150" s="160">
        <v>4610</v>
      </c>
      <c r="D1150" s="160" t="s">
        <v>3926</v>
      </c>
      <c r="E1150" s="160">
        <v>145</v>
      </c>
      <c r="F1150" s="160" t="s">
        <v>74</v>
      </c>
      <c r="G1150" s="148">
        <v>32</v>
      </c>
      <c r="H1150" s="152">
        <f>IF(C1150=11700,ROUND(VLOOKUP(G1150,ThongSo!$F$2:$I$15,4,0)*B1150*11.7,3),0)</f>
        <v>0</v>
      </c>
      <c r="I1150" s="152">
        <f>IF(F1150="Sắt vụn",ROUND(VLOOKUP(G1150,ThongSo!$F$2:$I$15,4,0)*B1150*E1150/1000,3),"-")</f>
        <v>1.83</v>
      </c>
      <c r="L1150" s="150"/>
      <c r="M1150" s="150"/>
      <c r="N1150" s="150"/>
    </row>
    <row r="1151" spans="1:14" x14ac:dyDescent="0.25">
      <c r="A1151" s="159" t="s">
        <v>368</v>
      </c>
      <c r="B1151" s="160">
        <v>1</v>
      </c>
      <c r="C1151" s="160">
        <v>4610</v>
      </c>
      <c r="D1151" s="160" t="s">
        <v>3929</v>
      </c>
      <c r="E1151" s="160">
        <v>145</v>
      </c>
      <c r="F1151" s="160" t="s">
        <v>74</v>
      </c>
      <c r="G1151" s="148">
        <v>32</v>
      </c>
      <c r="H1151" s="152">
        <f>IF(C1151=11700,ROUND(VLOOKUP(G1151,ThongSo!$F$2:$I$15,4,0)*B1151*11.7,3),0)</f>
        <v>0</v>
      </c>
      <c r="I1151" s="152">
        <f>IF(F1151="Sắt vụn",ROUND(VLOOKUP(G1151,ThongSo!$F$2:$I$15,4,0)*B1151*E1151/1000,3),"-")</f>
        <v>0.91500000000000004</v>
      </c>
      <c r="L1151" s="150"/>
      <c r="M1151" s="150"/>
      <c r="N1151" s="150"/>
    </row>
    <row r="1152" spans="1:14" x14ac:dyDescent="0.25">
      <c r="A1152" s="159" t="s">
        <v>369</v>
      </c>
      <c r="B1152" s="160">
        <v>1</v>
      </c>
      <c r="C1152" s="160">
        <v>4660</v>
      </c>
      <c r="D1152" s="160" t="s">
        <v>3929</v>
      </c>
      <c r="E1152" s="160">
        <v>195</v>
      </c>
      <c r="F1152" s="160" t="s">
        <v>74</v>
      </c>
      <c r="G1152" s="148">
        <v>32</v>
      </c>
      <c r="H1152" s="152">
        <f>IF(C1152=11700,ROUND(VLOOKUP(G1152,ThongSo!$F$2:$I$15,4,0)*B1152*11.7,3),0)</f>
        <v>0</v>
      </c>
      <c r="I1152" s="152">
        <f>IF(F1152="Sắt vụn",ROUND(VLOOKUP(G1152,ThongSo!$F$2:$I$15,4,0)*B1152*E1152/1000,3),"-")</f>
        <v>1.23</v>
      </c>
      <c r="L1152" s="150"/>
      <c r="M1152" s="150"/>
      <c r="N1152" s="150"/>
    </row>
    <row r="1153" spans="1:14" x14ac:dyDescent="0.25">
      <c r="A1153" s="159" t="s">
        <v>247</v>
      </c>
      <c r="B1153" s="160">
        <v>4</v>
      </c>
      <c r="C1153" s="160">
        <v>4750</v>
      </c>
      <c r="D1153" s="160" t="s">
        <v>3930</v>
      </c>
      <c r="E1153" s="160">
        <v>20</v>
      </c>
      <c r="F1153" s="160" t="s">
        <v>74</v>
      </c>
      <c r="G1153" s="148">
        <v>32</v>
      </c>
      <c r="H1153" s="152">
        <f>IF(C1153=11700,ROUND(VLOOKUP(G1153,ThongSo!$F$2:$I$15,4,0)*B1153*11.7,3),0)</f>
        <v>0</v>
      </c>
      <c r="I1153" s="152">
        <f>IF(F1153="Sắt vụn",ROUND(VLOOKUP(G1153,ThongSo!$F$2:$I$15,4,0)*B1153*E1153/1000,3),"-")</f>
        <v>0.505</v>
      </c>
      <c r="L1153" s="150"/>
      <c r="M1153" s="150"/>
      <c r="N1153" s="150"/>
    </row>
    <row r="1154" spans="1:14" x14ac:dyDescent="0.25">
      <c r="A1154" s="159" t="s">
        <v>247</v>
      </c>
      <c r="B1154" s="160">
        <v>1</v>
      </c>
      <c r="C1154" s="160">
        <v>4750</v>
      </c>
      <c r="D1154" s="160" t="s">
        <v>3931</v>
      </c>
      <c r="E1154" s="160">
        <v>40</v>
      </c>
      <c r="F1154" s="160" t="s">
        <v>74</v>
      </c>
      <c r="G1154" s="148">
        <v>32</v>
      </c>
      <c r="H1154" s="152">
        <f>IF(C1154=11700,ROUND(VLOOKUP(G1154,ThongSo!$F$2:$I$15,4,0)*B1154*11.7,3),0)</f>
        <v>0</v>
      </c>
      <c r="I1154" s="152">
        <f>IF(F1154="Sắt vụn",ROUND(VLOOKUP(G1154,ThongSo!$F$2:$I$15,4,0)*B1154*E1154/1000,3),"-")</f>
        <v>0.252</v>
      </c>
      <c r="L1154" s="150"/>
      <c r="M1154" s="150"/>
      <c r="N1154" s="150"/>
    </row>
    <row r="1155" spans="1:14" x14ac:dyDescent="0.25">
      <c r="A1155" s="159" t="s">
        <v>370</v>
      </c>
      <c r="B1155" s="160">
        <v>2</v>
      </c>
      <c r="C1155" s="160">
        <v>4850</v>
      </c>
      <c r="D1155" s="160" t="s">
        <v>3932</v>
      </c>
      <c r="E1155" s="160">
        <v>20</v>
      </c>
      <c r="F1155" s="160" t="s">
        <v>74</v>
      </c>
      <c r="G1155" s="148">
        <v>32</v>
      </c>
      <c r="H1155" s="152">
        <f>IF(C1155=11700,ROUND(VLOOKUP(G1155,ThongSo!$F$2:$I$15,4,0)*B1155*11.7,3),0)</f>
        <v>0</v>
      </c>
      <c r="I1155" s="152">
        <f>IF(F1155="Sắt vụn",ROUND(VLOOKUP(G1155,ThongSo!$F$2:$I$15,4,0)*B1155*E1155/1000,3),"-")</f>
        <v>0.252</v>
      </c>
      <c r="L1155" s="150"/>
      <c r="M1155" s="150"/>
      <c r="N1155" s="150"/>
    </row>
    <row r="1156" spans="1:14" x14ac:dyDescent="0.25">
      <c r="A1156" s="159" t="s">
        <v>370</v>
      </c>
      <c r="B1156" s="160">
        <v>2</v>
      </c>
      <c r="C1156" s="160">
        <v>4850</v>
      </c>
      <c r="D1156" s="160" t="s">
        <v>3933</v>
      </c>
      <c r="E1156" s="160">
        <v>70</v>
      </c>
      <c r="F1156" s="160" t="s">
        <v>74</v>
      </c>
      <c r="G1156" s="148">
        <v>32</v>
      </c>
      <c r="H1156" s="152">
        <f>IF(C1156=11700,ROUND(VLOOKUP(G1156,ThongSo!$F$2:$I$15,4,0)*B1156*11.7,3),0)</f>
        <v>0</v>
      </c>
      <c r="I1156" s="152">
        <f>IF(F1156="Sắt vụn",ROUND(VLOOKUP(G1156,ThongSo!$F$2:$I$15,4,0)*B1156*E1156/1000,3),"-")</f>
        <v>0.88300000000000001</v>
      </c>
      <c r="L1156" s="150"/>
      <c r="M1156" s="150"/>
      <c r="N1156" s="150"/>
    </row>
    <row r="1157" spans="1:14" x14ac:dyDescent="0.25">
      <c r="A1157" s="159" t="s">
        <v>370</v>
      </c>
      <c r="B1157" s="160">
        <v>1</v>
      </c>
      <c r="C1157" s="160">
        <v>4850</v>
      </c>
      <c r="D1157" s="160" t="s">
        <v>3931</v>
      </c>
      <c r="E1157" s="160">
        <v>140</v>
      </c>
      <c r="F1157" s="160" t="s">
        <v>74</v>
      </c>
      <c r="G1157" s="148">
        <v>32</v>
      </c>
      <c r="H1157" s="152">
        <f>IF(C1157=11700,ROUND(VLOOKUP(G1157,ThongSo!$F$2:$I$15,4,0)*B1157*11.7,3),0)</f>
        <v>0</v>
      </c>
      <c r="I1157" s="152">
        <f>IF(F1157="Sắt vụn",ROUND(VLOOKUP(G1157,ThongSo!$F$2:$I$15,4,0)*B1157*E1157/1000,3),"-")</f>
        <v>0.88300000000000001</v>
      </c>
      <c r="L1157" s="150"/>
      <c r="M1157" s="150"/>
      <c r="N1157" s="150"/>
    </row>
    <row r="1158" spans="1:14" x14ac:dyDescent="0.25">
      <c r="A1158" s="159" t="s">
        <v>3898</v>
      </c>
      <c r="B1158" s="160">
        <v>2</v>
      </c>
      <c r="C1158" s="160">
        <v>5005</v>
      </c>
      <c r="D1158" s="160" t="s">
        <v>3934</v>
      </c>
      <c r="E1158" s="160">
        <v>5</v>
      </c>
      <c r="F1158" s="160" t="s">
        <v>74</v>
      </c>
      <c r="G1158" s="148">
        <v>32</v>
      </c>
      <c r="H1158" s="152">
        <f>IF(C1158=11700,ROUND(VLOOKUP(G1158,ThongSo!$F$2:$I$15,4,0)*B1158*11.7,3),0)</f>
        <v>0</v>
      </c>
      <c r="I1158" s="152">
        <f>IF(F1158="Sắt vụn",ROUND(VLOOKUP(G1158,ThongSo!$F$2:$I$15,4,0)*B1158*E1158/1000,3),"-")</f>
        <v>6.3E-2</v>
      </c>
      <c r="L1158" s="150"/>
      <c r="M1158" s="150"/>
      <c r="N1158" s="150"/>
    </row>
    <row r="1159" spans="1:14" x14ac:dyDescent="0.25">
      <c r="A1159" s="159" t="s">
        <v>3898</v>
      </c>
      <c r="B1159" s="160">
        <v>2</v>
      </c>
      <c r="C1159" s="160">
        <v>5005</v>
      </c>
      <c r="D1159" s="160" t="s">
        <v>3935</v>
      </c>
      <c r="E1159" s="160">
        <v>35</v>
      </c>
      <c r="F1159" s="160" t="s">
        <v>74</v>
      </c>
      <c r="G1159" s="148">
        <v>32</v>
      </c>
      <c r="H1159" s="152">
        <f>IF(C1159=11700,ROUND(VLOOKUP(G1159,ThongSo!$F$2:$I$15,4,0)*B1159*11.7,3),0)</f>
        <v>0</v>
      </c>
      <c r="I1159" s="152">
        <f>IF(F1159="Sắt vụn",ROUND(VLOOKUP(G1159,ThongSo!$F$2:$I$15,4,0)*B1159*E1159/1000,3),"-")</f>
        <v>0.442</v>
      </c>
      <c r="L1159" s="150"/>
      <c r="M1159" s="150"/>
      <c r="N1159" s="150"/>
    </row>
    <row r="1160" spans="1:14" x14ac:dyDescent="0.25">
      <c r="A1160" s="159" t="s">
        <v>3899</v>
      </c>
      <c r="B1160" s="160">
        <v>3</v>
      </c>
      <c r="C1160" s="160">
        <v>5135</v>
      </c>
      <c r="D1160" s="160" t="s">
        <v>3936</v>
      </c>
      <c r="E1160" s="160">
        <v>35</v>
      </c>
      <c r="F1160" s="160" t="s">
        <v>74</v>
      </c>
      <c r="G1160" s="148">
        <v>32</v>
      </c>
      <c r="H1160" s="152">
        <f>IF(C1160=11700,ROUND(VLOOKUP(G1160,ThongSo!$F$2:$I$15,4,0)*B1160*11.7,3),0)</f>
        <v>0</v>
      </c>
      <c r="I1160" s="152">
        <f>IF(F1160="Sắt vụn",ROUND(VLOOKUP(G1160,ThongSo!$F$2:$I$15,4,0)*B1160*E1160/1000,3),"-")</f>
        <v>0.66300000000000003</v>
      </c>
      <c r="L1160" s="150"/>
      <c r="M1160" s="150"/>
      <c r="N1160" s="150"/>
    </row>
    <row r="1161" spans="1:14" x14ac:dyDescent="0.25">
      <c r="A1161" s="159" t="s">
        <v>3899</v>
      </c>
      <c r="B1161" s="160">
        <v>1</v>
      </c>
      <c r="C1161" s="160">
        <v>5135</v>
      </c>
      <c r="D1161" s="160" t="s">
        <v>3937</v>
      </c>
      <c r="E1161" s="160">
        <v>35</v>
      </c>
      <c r="F1161" s="160" t="s">
        <v>74</v>
      </c>
      <c r="G1161" s="148">
        <v>32</v>
      </c>
      <c r="H1161" s="152">
        <f>IF(C1161=11700,ROUND(VLOOKUP(G1161,ThongSo!$F$2:$I$15,4,0)*B1161*11.7,3),0)</f>
        <v>0</v>
      </c>
      <c r="I1161" s="152">
        <f>IF(F1161="Sắt vụn",ROUND(VLOOKUP(G1161,ThongSo!$F$2:$I$15,4,0)*B1161*E1161/1000,3),"-")</f>
        <v>0.221</v>
      </c>
      <c r="L1161" s="150"/>
      <c r="M1161" s="150"/>
      <c r="N1161" s="150"/>
    </row>
    <row r="1162" spans="1:14" x14ac:dyDescent="0.25">
      <c r="A1162" s="159" t="s">
        <v>132</v>
      </c>
      <c r="B1162" s="160">
        <v>2</v>
      </c>
      <c r="C1162" s="160">
        <v>5180</v>
      </c>
      <c r="D1162" s="160" t="s">
        <v>3938</v>
      </c>
      <c r="E1162" s="160">
        <v>0</v>
      </c>
      <c r="F1162" s="160"/>
      <c r="G1162" s="148">
        <v>32</v>
      </c>
      <c r="H1162" s="152">
        <f>IF(C1162=11700,ROUND(VLOOKUP(G1162,ThongSo!$F$2:$I$15,4,0)*B1162*11.7,3),0)</f>
        <v>0</v>
      </c>
      <c r="I1162" s="152" t="str">
        <f>IF(F1162="Sắt vụn",ROUND(VLOOKUP(G1162,ThongSo!$F$2:$I$15,4,0)*B1162*E1162/1000,3),"-")</f>
        <v>-</v>
      </c>
      <c r="L1162" s="150"/>
      <c r="M1162" s="150"/>
      <c r="N1162" s="150"/>
    </row>
    <row r="1163" spans="1:14" x14ac:dyDescent="0.25">
      <c r="A1163" s="159" t="s">
        <v>132</v>
      </c>
      <c r="B1163" s="160">
        <v>1</v>
      </c>
      <c r="C1163" s="160">
        <v>5180</v>
      </c>
      <c r="D1163" s="160" t="s">
        <v>3939</v>
      </c>
      <c r="E1163" s="160">
        <v>40</v>
      </c>
      <c r="F1163" s="160" t="s">
        <v>74</v>
      </c>
      <c r="G1163" s="148">
        <v>32</v>
      </c>
      <c r="H1163" s="152">
        <f>IF(C1163=11700,ROUND(VLOOKUP(G1163,ThongSo!$F$2:$I$15,4,0)*B1163*11.7,3),0)</f>
        <v>0</v>
      </c>
      <c r="I1163" s="152">
        <f>IF(F1163="Sắt vụn",ROUND(VLOOKUP(G1163,ThongSo!$F$2:$I$15,4,0)*B1163*E1163/1000,3),"-")</f>
        <v>0.252</v>
      </c>
      <c r="L1163" s="150"/>
      <c r="M1163" s="150"/>
      <c r="N1163" s="150"/>
    </row>
    <row r="1164" spans="1:14" x14ac:dyDescent="0.25">
      <c r="A1164" s="159" t="s">
        <v>378</v>
      </c>
      <c r="B1164" s="160">
        <v>4</v>
      </c>
      <c r="C1164" s="160">
        <v>5260</v>
      </c>
      <c r="D1164" s="160" t="s">
        <v>3940</v>
      </c>
      <c r="E1164" s="160">
        <v>60</v>
      </c>
      <c r="F1164" s="160" t="s">
        <v>74</v>
      </c>
      <c r="G1164" s="148">
        <v>32</v>
      </c>
      <c r="H1164" s="152">
        <f>IF(C1164=11700,ROUND(VLOOKUP(G1164,ThongSo!$F$2:$I$15,4,0)*B1164*11.7,3),0)</f>
        <v>0</v>
      </c>
      <c r="I1164" s="152">
        <f>IF(F1164="Sắt vụn",ROUND(VLOOKUP(G1164,ThongSo!$F$2:$I$15,4,0)*B1164*E1164/1000,3),"-")</f>
        <v>1.514</v>
      </c>
      <c r="L1164" s="150"/>
      <c r="M1164" s="150"/>
      <c r="N1164" s="150"/>
    </row>
    <row r="1165" spans="1:14" x14ac:dyDescent="0.25">
      <c r="A1165" s="159" t="s">
        <v>3900</v>
      </c>
      <c r="B1165" s="160">
        <v>1</v>
      </c>
      <c r="C1165" s="160">
        <v>5310</v>
      </c>
      <c r="D1165" s="160" t="s">
        <v>3940</v>
      </c>
      <c r="E1165" s="160">
        <v>110</v>
      </c>
      <c r="F1165" s="160" t="s">
        <v>74</v>
      </c>
      <c r="G1165" s="148">
        <v>32</v>
      </c>
      <c r="H1165" s="152">
        <f>IF(C1165=11700,ROUND(VLOOKUP(G1165,ThongSo!$F$2:$I$15,4,0)*B1165*11.7,3),0)</f>
        <v>0</v>
      </c>
      <c r="I1165" s="152">
        <f>IF(F1165="Sắt vụn",ROUND(VLOOKUP(G1165,ThongSo!$F$2:$I$15,4,0)*B1165*E1165/1000,3),"-")</f>
        <v>0.69399999999999995</v>
      </c>
      <c r="L1165" s="150"/>
      <c r="M1165" s="150"/>
      <c r="N1165" s="150"/>
    </row>
    <row r="1166" spans="1:14" x14ac:dyDescent="0.25">
      <c r="A1166" s="159" t="s">
        <v>3901</v>
      </c>
      <c r="B1166" s="160">
        <v>1</v>
      </c>
      <c r="C1166" s="160">
        <v>5345</v>
      </c>
      <c r="D1166" s="160" t="s">
        <v>3940</v>
      </c>
      <c r="E1166" s="160">
        <v>145</v>
      </c>
      <c r="F1166" s="160" t="s">
        <v>74</v>
      </c>
      <c r="G1166" s="148">
        <v>32</v>
      </c>
      <c r="H1166" s="152">
        <f>IF(C1166=11700,ROUND(VLOOKUP(G1166,ThongSo!$F$2:$I$15,4,0)*B1166*11.7,3),0)</f>
        <v>0</v>
      </c>
      <c r="I1166" s="152">
        <f>IF(F1166="Sắt vụn",ROUND(VLOOKUP(G1166,ThongSo!$F$2:$I$15,4,0)*B1166*E1166/1000,3),"-")</f>
        <v>0.91500000000000004</v>
      </c>
      <c r="L1166" s="150"/>
      <c r="M1166" s="150"/>
      <c r="N1166" s="150"/>
    </row>
    <row r="1167" spans="1:14" x14ac:dyDescent="0.25">
      <c r="A1167" s="159" t="s">
        <v>3901</v>
      </c>
      <c r="B1167" s="160">
        <v>1</v>
      </c>
      <c r="C1167" s="160">
        <v>5345</v>
      </c>
      <c r="D1167" s="160" t="s">
        <v>3939</v>
      </c>
      <c r="E1167" s="160">
        <v>205</v>
      </c>
      <c r="F1167" s="160" t="s">
        <v>74</v>
      </c>
      <c r="G1167" s="148">
        <v>32</v>
      </c>
      <c r="H1167" s="152">
        <f>IF(C1167=11700,ROUND(VLOOKUP(G1167,ThongSo!$F$2:$I$15,4,0)*B1167*11.7,3),0)</f>
        <v>0</v>
      </c>
      <c r="I1167" s="152">
        <f>IF(F1167="Sắt vụn",ROUND(VLOOKUP(G1167,ThongSo!$F$2:$I$15,4,0)*B1167*E1167/1000,3),"-")</f>
        <v>1.294</v>
      </c>
      <c r="L1167" s="150"/>
      <c r="M1167" s="150"/>
      <c r="N1167" s="150"/>
    </row>
    <row r="1168" spans="1:14" x14ac:dyDescent="0.25">
      <c r="A1168" s="159" t="s">
        <v>3901</v>
      </c>
      <c r="B1168" s="160">
        <v>1</v>
      </c>
      <c r="C1168" s="160">
        <v>5345</v>
      </c>
      <c r="D1168" s="160" t="s">
        <v>3937</v>
      </c>
      <c r="E1168" s="160">
        <v>245</v>
      </c>
      <c r="F1168" s="160" t="s">
        <v>74</v>
      </c>
      <c r="G1168" s="148">
        <v>32</v>
      </c>
      <c r="H1168" s="152">
        <f>IF(C1168=11700,ROUND(VLOOKUP(G1168,ThongSo!$F$2:$I$15,4,0)*B1168*11.7,3),0)</f>
        <v>0</v>
      </c>
      <c r="I1168" s="152">
        <f>IF(F1168="Sắt vụn",ROUND(VLOOKUP(G1168,ThongSo!$F$2:$I$15,4,0)*B1168*E1168/1000,3),"-")</f>
        <v>1.546</v>
      </c>
      <c r="L1168" s="150"/>
      <c r="M1168" s="150"/>
      <c r="N1168" s="150"/>
    </row>
    <row r="1169" spans="1:14" x14ac:dyDescent="0.25">
      <c r="A1169" s="159" t="s">
        <v>3902</v>
      </c>
      <c r="B1169" s="160">
        <v>4</v>
      </c>
      <c r="C1169" s="160">
        <v>5555</v>
      </c>
      <c r="D1169" s="160" t="s">
        <v>3941</v>
      </c>
      <c r="E1169" s="160">
        <v>45</v>
      </c>
      <c r="F1169" s="160" t="s">
        <v>74</v>
      </c>
      <c r="G1169" s="148">
        <v>32</v>
      </c>
      <c r="H1169" s="152">
        <f>IF(C1169=11700,ROUND(VLOOKUP(G1169,ThongSo!$F$2:$I$15,4,0)*B1169*11.7,3),0)</f>
        <v>0</v>
      </c>
      <c r="I1169" s="152">
        <f>IF(F1169="Sắt vụn",ROUND(VLOOKUP(G1169,ThongSo!$F$2:$I$15,4,0)*B1169*E1169/1000,3),"-")</f>
        <v>1.1359999999999999</v>
      </c>
      <c r="L1169" s="150"/>
      <c r="M1169" s="150"/>
      <c r="N1169" s="150"/>
    </row>
    <row r="1170" spans="1:14" x14ac:dyDescent="0.25">
      <c r="A1170" s="159" t="s">
        <v>3902</v>
      </c>
      <c r="B1170" s="160">
        <v>5</v>
      </c>
      <c r="C1170" s="160">
        <v>5555</v>
      </c>
      <c r="D1170" s="160" t="s">
        <v>3942</v>
      </c>
      <c r="E1170" s="160">
        <v>55</v>
      </c>
      <c r="F1170" s="160" t="s">
        <v>74</v>
      </c>
      <c r="G1170" s="148">
        <v>32</v>
      </c>
      <c r="H1170" s="152">
        <f>IF(C1170=11700,ROUND(VLOOKUP(G1170,ThongSo!$F$2:$I$15,4,0)*B1170*11.7,3),0)</f>
        <v>0</v>
      </c>
      <c r="I1170" s="152">
        <f>IF(F1170="Sắt vụn",ROUND(VLOOKUP(G1170,ThongSo!$F$2:$I$15,4,0)*B1170*E1170/1000,3),"-")</f>
        <v>1.7350000000000001</v>
      </c>
      <c r="L1170" s="150"/>
      <c r="M1170" s="150"/>
      <c r="N1170" s="150"/>
    </row>
    <row r="1171" spans="1:14" x14ac:dyDescent="0.25">
      <c r="A1171" s="159" t="s">
        <v>3902</v>
      </c>
      <c r="B1171" s="160">
        <v>3</v>
      </c>
      <c r="C1171" s="160">
        <v>5555</v>
      </c>
      <c r="D1171" s="160" t="s">
        <v>3943</v>
      </c>
      <c r="E1171" s="160">
        <v>55</v>
      </c>
      <c r="F1171" s="160" t="s">
        <v>74</v>
      </c>
      <c r="G1171" s="148">
        <v>32</v>
      </c>
      <c r="H1171" s="152">
        <f>IF(C1171=11700,ROUND(VLOOKUP(G1171,ThongSo!$F$2:$I$15,4,0)*B1171*11.7,3),0)</f>
        <v>0</v>
      </c>
      <c r="I1171" s="152">
        <f>IF(F1171="Sắt vụn",ROUND(VLOOKUP(G1171,ThongSo!$F$2:$I$15,4,0)*B1171*E1171/1000,3),"-")</f>
        <v>1.0409999999999999</v>
      </c>
      <c r="L1171" s="150"/>
      <c r="M1171" s="150"/>
      <c r="N1171" s="150"/>
    </row>
    <row r="1172" spans="1:14" x14ac:dyDescent="0.25">
      <c r="A1172" s="159" t="s">
        <v>3902</v>
      </c>
      <c r="B1172" s="160">
        <v>2</v>
      </c>
      <c r="C1172" s="160">
        <v>5555</v>
      </c>
      <c r="D1172" s="160" t="s">
        <v>3944</v>
      </c>
      <c r="E1172" s="160">
        <v>115</v>
      </c>
      <c r="F1172" s="160" t="s">
        <v>74</v>
      </c>
      <c r="G1172" s="148">
        <v>32</v>
      </c>
      <c r="H1172" s="152">
        <f>IF(C1172=11700,ROUND(VLOOKUP(G1172,ThongSo!$F$2:$I$15,4,0)*B1172*11.7,3),0)</f>
        <v>0</v>
      </c>
      <c r="I1172" s="152">
        <f>IF(F1172="Sắt vụn",ROUND(VLOOKUP(G1172,ThongSo!$F$2:$I$15,4,0)*B1172*E1172/1000,3),"-")</f>
        <v>1.4510000000000001</v>
      </c>
      <c r="L1172" s="150"/>
      <c r="M1172" s="150"/>
      <c r="N1172" s="150"/>
    </row>
    <row r="1173" spans="1:14" x14ac:dyDescent="0.25">
      <c r="A1173" s="159" t="s">
        <v>3902</v>
      </c>
      <c r="B1173" s="160">
        <v>3</v>
      </c>
      <c r="C1173" s="160">
        <v>5555</v>
      </c>
      <c r="D1173" s="160" t="s">
        <v>3945</v>
      </c>
      <c r="E1173" s="160">
        <v>115</v>
      </c>
      <c r="F1173" s="160" t="s">
        <v>74</v>
      </c>
      <c r="G1173" s="148">
        <v>32</v>
      </c>
      <c r="H1173" s="152">
        <f>IF(C1173=11700,ROUND(VLOOKUP(G1173,ThongSo!$F$2:$I$15,4,0)*B1173*11.7,3),0)</f>
        <v>0</v>
      </c>
      <c r="I1173" s="152">
        <f>IF(F1173="Sắt vụn",ROUND(VLOOKUP(G1173,ThongSo!$F$2:$I$15,4,0)*B1173*E1173/1000,3),"-")</f>
        <v>2.177</v>
      </c>
      <c r="L1173" s="150"/>
      <c r="M1173" s="150"/>
      <c r="N1173" s="150"/>
    </row>
    <row r="1174" spans="1:14" x14ac:dyDescent="0.25">
      <c r="A1174" s="159" t="s">
        <v>245</v>
      </c>
      <c r="B1174" s="160">
        <v>3</v>
      </c>
      <c r="C1174" s="160">
        <v>5585</v>
      </c>
      <c r="D1174" s="160" t="s">
        <v>3946</v>
      </c>
      <c r="E1174" s="160">
        <v>5</v>
      </c>
      <c r="F1174" s="160" t="s">
        <v>74</v>
      </c>
      <c r="G1174" s="148">
        <v>32</v>
      </c>
      <c r="H1174" s="152">
        <f>IF(C1174=11700,ROUND(VLOOKUP(G1174,ThongSo!$F$2:$I$15,4,0)*B1174*11.7,3),0)</f>
        <v>0</v>
      </c>
      <c r="I1174" s="152">
        <f>IF(F1174="Sắt vụn",ROUND(VLOOKUP(G1174,ThongSo!$F$2:$I$15,4,0)*B1174*E1174/1000,3),"-")</f>
        <v>9.5000000000000001E-2</v>
      </c>
      <c r="L1174" s="150"/>
      <c r="M1174" s="150"/>
      <c r="N1174" s="150"/>
    </row>
    <row r="1175" spans="1:14" x14ac:dyDescent="0.25">
      <c r="A1175" s="159" t="s">
        <v>245</v>
      </c>
      <c r="B1175" s="160">
        <v>1</v>
      </c>
      <c r="C1175" s="160">
        <v>5585</v>
      </c>
      <c r="D1175" s="160" t="s">
        <v>3945</v>
      </c>
      <c r="E1175" s="160">
        <v>145</v>
      </c>
      <c r="F1175" s="160" t="s">
        <v>74</v>
      </c>
      <c r="G1175" s="148">
        <v>32</v>
      </c>
      <c r="H1175" s="152">
        <f>IF(C1175=11700,ROUND(VLOOKUP(G1175,ThongSo!$F$2:$I$15,4,0)*B1175*11.7,3),0)</f>
        <v>0</v>
      </c>
      <c r="I1175" s="152">
        <f>IF(F1175="Sắt vụn",ROUND(VLOOKUP(G1175,ThongSo!$F$2:$I$15,4,0)*B1175*E1175/1000,3),"-")</f>
        <v>0.91500000000000004</v>
      </c>
      <c r="L1175" s="150"/>
      <c r="M1175" s="150"/>
      <c r="N1175" s="150"/>
    </row>
    <row r="1176" spans="1:14" x14ac:dyDescent="0.25">
      <c r="A1176" s="159" t="s">
        <v>245</v>
      </c>
      <c r="B1176" s="160">
        <v>1</v>
      </c>
      <c r="C1176" s="160">
        <v>5585</v>
      </c>
      <c r="D1176" s="160" t="s">
        <v>3947</v>
      </c>
      <c r="E1176" s="160">
        <v>185</v>
      </c>
      <c r="F1176" s="160" t="s">
        <v>74</v>
      </c>
      <c r="G1176" s="148">
        <v>32</v>
      </c>
      <c r="H1176" s="152">
        <f>IF(C1176=11700,ROUND(VLOOKUP(G1176,ThongSo!$F$2:$I$15,4,0)*B1176*11.7,3),0)</f>
        <v>0</v>
      </c>
      <c r="I1176" s="152">
        <f>IF(F1176="Sắt vụn",ROUND(VLOOKUP(G1176,ThongSo!$F$2:$I$15,4,0)*B1176*E1176/1000,3),"-")</f>
        <v>1.167</v>
      </c>
      <c r="L1176" s="150"/>
      <c r="M1176" s="150"/>
      <c r="N1176" s="150"/>
    </row>
    <row r="1177" spans="1:14" x14ac:dyDescent="0.25">
      <c r="A1177" s="159" t="s">
        <v>208</v>
      </c>
      <c r="B1177" s="160">
        <v>1</v>
      </c>
      <c r="C1177" s="160">
        <v>5600</v>
      </c>
      <c r="D1177" s="160" t="s">
        <v>3947</v>
      </c>
      <c r="E1177" s="160">
        <v>200</v>
      </c>
      <c r="F1177" s="160" t="s">
        <v>74</v>
      </c>
      <c r="G1177" s="148">
        <v>32</v>
      </c>
      <c r="H1177" s="152">
        <f>IF(C1177=11700,ROUND(VLOOKUP(G1177,ThongSo!$F$2:$I$15,4,0)*B1177*11.7,3),0)</f>
        <v>0</v>
      </c>
      <c r="I1177" s="152">
        <f>IF(F1177="Sắt vụn",ROUND(VLOOKUP(G1177,ThongSo!$F$2:$I$15,4,0)*B1177*E1177/1000,3),"-")</f>
        <v>1.262</v>
      </c>
      <c r="L1177" s="150"/>
      <c r="M1177" s="150"/>
      <c r="N1177" s="150"/>
    </row>
    <row r="1178" spans="1:14" x14ac:dyDescent="0.25">
      <c r="A1178" s="159" t="s">
        <v>208</v>
      </c>
      <c r="B1178" s="160">
        <v>3</v>
      </c>
      <c r="C1178" s="160">
        <v>5600</v>
      </c>
      <c r="D1178" s="160" t="s">
        <v>3948</v>
      </c>
      <c r="E1178" s="160">
        <v>220</v>
      </c>
      <c r="F1178" s="160" t="s">
        <v>74</v>
      </c>
      <c r="G1178" s="148">
        <v>32</v>
      </c>
      <c r="H1178" s="152">
        <f>IF(C1178=11700,ROUND(VLOOKUP(G1178,ThongSo!$F$2:$I$15,4,0)*B1178*11.7,3),0)</f>
        <v>0</v>
      </c>
      <c r="I1178" s="152">
        <f>IF(F1178="Sắt vụn",ROUND(VLOOKUP(G1178,ThongSo!$F$2:$I$15,4,0)*B1178*E1178/1000,3),"-")</f>
        <v>4.165</v>
      </c>
      <c r="L1178" s="150"/>
      <c r="M1178" s="150"/>
      <c r="N1178" s="150"/>
    </row>
    <row r="1179" spans="1:14" x14ac:dyDescent="0.25">
      <c r="A1179" s="159" t="s">
        <v>3903</v>
      </c>
      <c r="B1179" s="160">
        <v>2</v>
      </c>
      <c r="C1179" s="160">
        <v>5665</v>
      </c>
      <c r="D1179" s="160" t="s">
        <v>3949</v>
      </c>
      <c r="E1179" s="160">
        <v>315</v>
      </c>
      <c r="F1179" s="160" t="s">
        <v>74</v>
      </c>
      <c r="G1179" s="148">
        <v>32</v>
      </c>
      <c r="H1179" s="152">
        <f>IF(C1179=11700,ROUND(VLOOKUP(G1179,ThongSo!$F$2:$I$15,4,0)*B1179*11.7,3),0)</f>
        <v>0</v>
      </c>
      <c r="I1179" s="152">
        <f>IF(F1179="Sắt vụn",ROUND(VLOOKUP(G1179,ThongSo!$F$2:$I$15,4,0)*B1179*E1179/1000,3),"-")</f>
        <v>3.9750000000000001</v>
      </c>
      <c r="L1179" s="150"/>
      <c r="M1179" s="150"/>
      <c r="N1179" s="150"/>
    </row>
    <row r="1180" spans="1:14" x14ac:dyDescent="0.25">
      <c r="A1180" s="159" t="s">
        <v>3903</v>
      </c>
      <c r="B1180" s="160">
        <v>1</v>
      </c>
      <c r="C1180" s="160">
        <v>5665</v>
      </c>
      <c r="D1180" s="160" t="s">
        <v>3937</v>
      </c>
      <c r="E1180" s="160">
        <v>565</v>
      </c>
      <c r="F1180" s="160" t="s">
        <v>74</v>
      </c>
      <c r="G1180" s="148">
        <v>32</v>
      </c>
      <c r="H1180" s="152">
        <f>IF(C1180=11700,ROUND(VLOOKUP(G1180,ThongSo!$F$2:$I$15,4,0)*B1180*11.7,3),0)</f>
        <v>0</v>
      </c>
      <c r="I1180" s="152">
        <f>IF(F1180="Sắt vụn",ROUND(VLOOKUP(G1180,ThongSo!$F$2:$I$15,4,0)*B1180*E1180/1000,3),"-")</f>
        <v>3.5649999999999999</v>
      </c>
      <c r="L1180" s="150"/>
      <c r="M1180" s="150"/>
      <c r="N1180" s="150"/>
    </row>
    <row r="1181" spans="1:14" x14ac:dyDescent="0.25">
      <c r="A1181" s="159" t="s">
        <v>3903</v>
      </c>
      <c r="B1181" s="160">
        <v>2</v>
      </c>
      <c r="C1181" s="160">
        <v>5665</v>
      </c>
      <c r="D1181" s="160" t="s">
        <v>3950</v>
      </c>
      <c r="E1181" s="160">
        <v>725</v>
      </c>
      <c r="F1181" s="160" t="s">
        <v>74</v>
      </c>
      <c r="G1181" s="148">
        <v>32</v>
      </c>
      <c r="H1181" s="152">
        <f>IF(C1181=11700,ROUND(VLOOKUP(G1181,ThongSo!$F$2:$I$15,4,0)*B1181*11.7,3),0)</f>
        <v>0</v>
      </c>
      <c r="I1181" s="152">
        <f>IF(F1181="Sắt vụn",ROUND(VLOOKUP(G1181,ThongSo!$F$2:$I$15,4,0)*B1181*E1181/1000,3),"-")</f>
        <v>9.15</v>
      </c>
      <c r="L1181" s="150"/>
      <c r="M1181" s="150"/>
      <c r="N1181" s="150"/>
    </row>
    <row r="1182" spans="1:14" x14ac:dyDescent="0.25">
      <c r="A1182" s="159" t="s">
        <v>3903</v>
      </c>
      <c r="B1182" s="160">
        <v>2</v>
      </c>
      <c r="C1182" s="160">
        <v>5665</v>
      </c>
      <c r="D1182" s="160" t="s">
        <v>3951</v>
      </c>
      <c r="E1182" s="160">
        <v>750</v>
      </c>
      <c r="F1182" s="160" t="s">
        <v>74</v>
      </c>
      <c r="G1182" s="148">
        <v>32</v>
      </c>
      <c r="H1182" s="152">
        <f>IF(C1182=11700,ROUND(VLOOKUP(G1182,ThongSo!$F$2:$I$15,4,0)*B1182*11.7,3),0)</f>
        <v>0</v>
      </c>
      <c r="I1182" s="152">
        <f>IF(F1182="Sắt vụn",ROUND(VLOOKUP(G1182,ThongSo!$F$2:$I$15,4,0)*B1182*E1182/1000,3),"-")</f>
        <v>9.4649999999999999</v>
      </c>
      <c r="L1182" s="150"/>
      <c r="M1182" s="150"/>
      <c r="N1182" s="150"/>
    </row>
    <row r="1183" spans="1:14" x14ac:dyDescent="0.25">
      <c r="A1183" s="159" t="s">
        <v>3904</v>
      </c>
      <c r="B1183" s="160">
        <v>1</v>
      </c>
      <c r="C1183" s="160">
        <v>5910</v>
      </c>
      <c r="D1183" s="160" t="s">
        <v>3952</v>
      </c>
      <c r="E1183" s="160">
        <v>10</v>
      </c>
      <c r="F1183" s="160" t="s">
        <v>74</v>
      </c>
      <c r="G1183" s="148">
        <v>32</v>
      </c>
      <c r="H1183" s="152">
        <f>IF(C1183=11700,ROUND(VLOOKUP(G1183,ThongSo!$F$2:$I$15,4,0)*B1183*11.7,3),0)</f>
        <v>0</v>
      </c>
      <c r="I1183" s="152">
        <f>IF(F1183="Sắt vụn",ROUND(VLOOKUP(G1183,ThongSo!$F$2:$I$15,4,0)*B1183*E1183/1000,3),"-")</f>
        <v>6.3E-2</v>
      </c>
      <c r="L1183" s="150"/>
      <c r="M1183" s="150"/>
      <c r="N1183" s="150"/>
    </row>
    <row r="1184" spans="1:14" x14ac:dyDescent="0.25">
      <c r="A1184" s="159">
        <v>61</v>
      </c>
      <c r="B1184" s="160">
        <v>1</v>
      </c>
      <c r="C1184" s="160">
        <v>11700</v>
      </c>
      <c r="D1184" s="160" t="s">
        <v>3953</v>
      </c>
      <c r="E1184" s="160">
        <v>0</v>
      </c>
      <c r="F1184" s="160"/>
      <c r="G1184" s="148">
        <v>32</v>
      </c>
      <c r="H1184" s="152">
        <f>IF(C1184=11700,ROUND(VLOOKUP(G1184,ThongSo!$F$2:$I$15,4,0)*B1184*11.7,3),0)</f>
        <v>73.826999999999998</v>
      </c>
      <c r="I1184" s="152" t="str">
        <f>IF(F1184="Sắt vụn",ROUND(VLOOKUP(G1184,ThongSo!$F$2:$I$15,4,0)*B1184*E1184/1000,3),"-")</f>
        <v>-</v>
      </c>
      <c r="L1184" s="150"/>
      <c r="M1184" s="150"/>
      <c r="N1184" s="150"/>
    </row>
    <row r="1185" spans="1:14" x14ac:dyDescent="0.25">
      <c r="A1185" s="159">
        <v>62</v>
      </c>
      <c r="B1185" s="160">
        <v>2</v>
      </c>
      <c r="C1185" s="160">
        <v>11700</v>
      </c>
      <c r="D1185" s="160" t="s">
        <v>3954</v>
      </c>
      <c r="E1185" s="160">
        <v>0</v>
      </c>
      <c r="F1185" s="160"/>
      <c r="G1185" s="148">
        <v>32</v>
      </c>
      <c r="H1185" s="152">
        <f>IF(C1185=11700,ROUND(VLOOKUP(G1185,ThongSo!$F$2:$I$15,4,0)*B1185*11.7,3),0)</f>
        <v>147.654</v>
      </c>
      <c r="I1185" s="152" t="str">
        <f>IF(F1185="Sắt vụn",ROUND(VLOOKUP(G1185,ThongSo!$F$2:$I$15,4,0)*B1185*E1185/1000,3),"-")</f>
        <v>-</v>
      </c>
      <c r="L1185" s="150"/>
      <c r="M1185" s="150"/>
      <c r="N1185" s="150"/>
    </row>
    <row r="1186" spans="1:14" x14ac:dyDescent="0.25">
      <c r="A1186" s="159">
        <v>63</v>
      </c>
      <c r="B1186" s="160">
        <v>2</v>
      </c>
      <c r="C1186" s="160">
        <v>11700</v>
      </c>
      <c r="D1186" s="160" t="s">
        <v>3955</v>
      </c>
      <c r="E1186" s="160">
        <v>0</v>
      </c>
      <c r="F1186" s="160"/>
      <c r="G1186" s="148">
        <v>32</v>
      </c>
      <c r="H1186" s="152">
        <f>IF(C1186=11700,ROUND(VLOOKUP(G1186,ThongSo!$F$2:$I$15,4,0)*B1186*11.7,3),0)</f>
        <v>147.654</v>
      </c>
      <c r="I1186" s="152" t="str">
        <f>IF(F1186="Sắt vụn",ROUND(VLOOKUP(G1186,ThongSo!$F$2:$I$15,4,0)*B1186*E1186/1000,3),"-")</f>
        <v>-</v>
      </c>
      <c r="L1186" s="150"/>
      <c r="M1186" s="150"/>
      <c r="N1186" s="150"/>
    </row>
    <row r="1187" spans="1:14" x14ac:dyDescent="0.25">
      <c r="A1187" s="159">
        <v>64</v>
      </c>
      <c r="B1187" s="160">
        <v>2</v>
      </c>
      <c r="C1187" s="160">
        <v>11700</v>
      </c>
      <c r="D1187" s="160" t="s">
        <v>3956</v>
      </c>
      <c r="E1187" s="160">
        <v>0</v>
      </c>
      <c r="F1187" s="160"/>
      <c r="G1187" s="148">
        <v>32</v>
      </c>
      <c r="H1187" s="152">
        <f>IF(C1187=11700,ROUND(VLOOKUP(G1187,ThongSo!$F$2:$I$15,4,0)*B1187*11.7,3),0)</f>
        <v>147.654</v>
      </c>
      <c r="I1187" s="152" t="str">
        <f>IF(F1187="Sắt vụn",ROUND(VLOOKUP(G1187,ThongSo!$F$2:$I$15,4,0)*B1187*E1187/1000,3),"-")</f>
        <v>-</v>
      </c>
      <c r="L1187" s="150"/>
      <c r="M1187" s="150"/>
      <c r="N1187" s="150"/>
    </row>
    <row r="1188" spans="1:14" x14ac:dyDescent="0.25">
      <c r="A1188" s="159">
        <v>65</v>
      </c>
      <c r="B1188" s="160">
        <v>2</v>
      </c>
      <c r="C1188" s="160">
        <v>11700</v>
      </c>
      <c r="D1188" s="160" t="s">
        <v>3957</v>
      </c>
      <c r="E1188" s="160">
        <v>0</v>
      </c>
      <c r="F1188" s="160"/>
      <c r="G1188" s="148">
        <v>32</v>
      </c>
      <c r="H1188" s="152">
        <f>IF(C1188=11700,ROUND(VLOOKUP(G1188,ThongSo!$F$2:$I$15,4,0)*B1188*11.7,3),0)</f>
        <v>147.654</v>
      </c>
      <c r="I1188" s="152" t="str">
        <f>IF(F1188="Sắt vụn",ROUND(VLOOKUP(G1188,ThongSo!$F$2:$I$15,4,0)*B1188*E1188/1000,3),"-")</f>
        <v>-</v>
      </c>
      <c r="L1188" s="150"/>
      <c r="M1188" s="150"/>
      <c r="N1188" s="150"/>
    </row>
    <row r="1189" spans="1:14" x14ac:dyDescent="0.25">
      <c r="A1189" s="159">
        <v>66</v>
      </c>
      <c r="B1189" s="160">
        <v>1</v>
      </c>
      <c r="C1189" s="160">
        <v>11700</v>
      </c>
      <c r="D1189" s="160" t="s">
        <v>3958</v>
      </c>
      <c r="E1189" s="160">
        <v>0</v>
      </c>
      <c r="F1189" s="160"/>
      <c r="G1189" s="148">
        <v>32</v>
      </c>
      <c r="H1189" s="152">
        <f>IF(C1189=11700,ROUND(VLOOKUP(G1189,ThongSo!$F$2:$I$15,4,0)*B1189*11.7,3),0)</f>
        <v>73.826999999999998</v>
      </c>
      <c r="I1189" s="152" t="str">
        <f>IF(F1189="Sắt vụn",ROUND(VLOOKUP(G1189,ThongSo!$F$2:$I$15,4,0)*B1189*E1189/1000,3),"-")</f>
        <v>-</v>
      </c>
      <c r="L1189" s="150"/>
      <c r="M1189" s="150"/>
      <c r="N1189" s="150"/>
    </row>
    <row r="1190" spans="1:14" x14ac:dyDescent="0.25">
      <c r="A1190" s="159">
        <v>67</v>
      </c>
      <c r="B1190" s="160">
        <v>1</v>
      </c>
      <c r="C1190" s="160">
        <v>11700</v>
      </c>
      <c r="D1190" s="160" t="s">
        <v>3959</v>
      </c>
      <c r="E1190" s="160">
        <v>0</v>
      </c>
      <c r="F1190" s="160"/>
      <c r="G1190" s="148">
        <v>32</v>
      </c>
      <c r="H1190" s="152">
        <f>IF(C1190=11700,ROUND(VLOOKUP(G1190,ThongSo!$F$2:$I$15,4,0)*B1190*11.7,3),0)</f>
        <v>73.826999999999998</v>
      </c>
      <c r="I1190" s="152" t="str">
        <f>IF(F1190="Sắt vụn",ROUND(VLOOKUP(G1190,ThongSo!$F$2:$I$15,4,0)*B1190*E1190/1000,3),"-")</f>
        <v>-</v>
      </c>
      <c r="L1190" s="150"/>
      <c r="M1190" s="150"/>
      <c r="N1190" s="150"/>
    </row>
    <row r="1191" spans="1:14" x14ac:dyDescent="0.25">
      <c r="A1191" s="159">
        <v>68</v>
      </c>
      <c r="B1191" s="160">
        <v>1</v>
      </c>
      <c r="C1191" s="160">
        <v>11700</v>
      </c>
      <c r="D1191" s="160" t="s">
        <v>3960</v>
      </c>
      <c r="E1191" s="160">
        <v>0</v>
      </c>
      <c r="F1191" s="160"/>
      <c r="G1191" s="148">
        <v>32</v>
      </c>
      <c r="H1191" s="152">
        <f>IF(C1191=11700,ROUND(VLOOKUP(G1191,ThongSo!$F$2:$I$15,4,0)*B1191*11.7,3),0)</f>
        <v>73.826999999999998</v>
      </c>
      <c r="I1191" s="152" t="str">
        <f>IF(F1191="Sắt vụn",ROUND(VLOOKUP(G1191,ThongSo!$F$2:$I$15,4,0)*B1191*E1191/1000,3),"-")</f>
        <v>-</v>
      </c>
      <c r="L1191" s="150"/>
      <c r="M1191" s="150"/>
      <c r="N1191" s="150"/>
    </row>
    <row r="1192" spans="1:14" x14ac:dyDescent="0.25">
      <c r="A1192" s="159">
        <v>69</v>
      </c>
      <c r="B1192" s="160">
        <v>1</v>
      </c>
      <c r="C1192" s="160">
        <v>11700</v>
      </c>
      <c r="D1192" s="160" t="s">
        <v>3961</v>
      </c>
      <c r="E1192" s="160">
        <v>0</v>
      </c>
      <c r="F1192" s="160"/>
      <c r="G1192" s="148">
        <v>32</v>
      </c>
      <c r="H1192" s="152">
        <f>IF(C1192=11700,ROUND(VLOOKUP(G1192,ThongSo!$F$2:$I$15,4,0)*B1192*11.7,3),0)</f>
        <v>73.826999999999998</v>
      </c>
      <c r="I1192" s="152" t="str">
        <f>IF(F1192="Sắt vụn",ROUND(VLOOKUP(G1192,ThongSo!$F$2:$I$15,4,0)*B1192*E1192/1000,3),"-")</f>
        <v>-</v>
      </c>
      <c r="L1192" s="150"/>
      <c r="M1192" s="150"/>
      <c r="N1192" s="150"/>
    </row>
    <row r="1193" spans="1:14" x14ac:dyDescent="0.25">
      <c r="A1193" s="159">
        <v>70</v>
      </c>
      <c r="B1193" s="160">
        <v>1</v>
      </c>
      <c r="C1193" s="160">
        <v>11700</v>
      </c>
      <c r="D1193" s="160" t="s">
        <v>3962</v>
      </c>
      <c r="E1193" s="160">
        <v>0</v>
      </c>
      <c r="F1193" s="160"/>
      <c r="G1193" s="148">
        <v>32</v>
      </c>
      <c r="H1193" s="152">
        <f>IF(C1193=11700,ROUND(VLOOKUP(G1193,ThongSo!$F$2:$I$15,4,0)*B1193*11.7,3),0)</f>
        <v>73.826999999999998</v>
      </c>
      <c r="I1193" s="152" t="str">
        <f>IF(F1193="Sắt vụn",ROUND(VLOOKUP(G1193,ThongSo!$F$2:$I$15,4,0)*B1193*E1193/1000,3),"-")</f>
        <v>-</v>
      </c>
      <c r="L1193" s="150"/>
      <c r="M1193" s="150"/>
      <c r="N1193" s="150"/>
    </row>
    <row r="1194" spans="1:14" x14ac:dyDescent="0.25">
      <c r="A1194" s="159">
        <v>71</v>
      </c>
      <c r="B1194" s="160">
        <v>1</v>
      </c>
      <c r="C1194" s="160">
        <v>11700</v>
      </c>
      <c r="D1194" s="160" t="s">
        <v>3963</v>
      </c>
      <c r="E1194" s="160">
        <v>0</v>
      </c>
      <c r="F1194" s="160"/>
      <c r="G1194" s="148">
        <v>32</v>
      </c>
      <c r="H1194" s="152">
        <f>IF(C1194=11700,ROUND(VLOOKUP(G1194,ThongSo!$F$2:$I$15,4,0)*B1194*11.7,3),0)</f>
        <v>73.826999999999998</v>
      </c>
      <c r="I1194" s="152" t="str">
        <f>IF(F1194="Sắt vụn",ROUND(VLOOKUP(G1194,ThongSo!$F$2:$I$15,4,0)*B1194*E1194/1000,3),"-")</f>
        <v>-</v>
      </c>
      <c r="L1194" s="150"/>
      <c r="M1194" s="150"/>
      <c r="N1194" s="150"/>
    </row>
    <row r="1195" spans="1:14" x14ac:dyDescent="0.25">
      <c r="A1195" s="159">
        <v>72</v>
      </c>
      <c r="B1195" s="160">
        <v>2</v>
      </c>
      <c r="C1195" s="160">
        <v>11700</v>
      </c>
      <c r="D1195" s="160" t="s">
        <v>3964</v>
      </c>
      <c r="E1195" s="160">
        <v>0</v>
      </c>
      <c r="F1195" s="160"/>
      <c r="G1195" s="148">
        <v>32</v>
      </c>
      <c r="H1195" s="152">
        <f>IF(C1195=11700,ROUND(VLOOKUP(G1195,ThongSo!$F$2:$I$15,4,0)*B1195*11.7,3),0)</f>
        <v>147.654</v>
      </c>
      <c r="I1195" s="152" t="str">
        <f>IF(F1195="Sắt vụn",ROUND(VLOOKUP(G1195,ThongSo!$F$2:$I$15,4,0)*B1195*E1195/1000,3),"-")</f>
        <v>-</v>
      </c>
      <c r="L1195" s="150"/>
      <c r="M1195" s="150"/>
      <c r="N1195" s="150"/>
    </row>
    <row r="1196" spans="1:14" x14ac:dyDescent="0.25">
      <c r="A1196" s="159">
        <v>73</v>
      </c>
      <c r="B1196" s="160">
        <v>1</v>
      </c>
      <c r="C1196" s="160">
        <v>11700</v>
      </c>
      <c r="D1196" s="160" t="s">
        <v>3965</v>
      </c>
      <c r="E1196" s="160">
        <v>0</v>
      </c>
      <c r="F1196" s="160"/>
      <c r="G1196" s="148">
        <v>32</v>
      </c>
      <c r="H1196" s="152">
        <f>IF(C1196=11700,ROUND(VLOOKUP(G1196,ThongSo!$F$2:$I$15,4,0)*B1196*11.7,3),0)</f>
        <v>73.826999999999998</v>
      </c>
      <c r="I1196" s="152" t="str">
        <f>IF(F1196="Sắt vụn",ROUND(VLOOKUP(G1196,ThongSo!$F$2:$I$15,4,0)*B1196*E1196/1000,3),"-")</f>
        <v>-</v>
      </c>
      <c r="L1196" s="150"/>
      <c r="M1196" s="150"/>
      <c r="N1196" s="150"/>
    </row>
    <row r="1197" spans="1:14" x14ac:dyDescent="0.25">
      <c r="A1197" s="159">
        <v>74</v>
      </c>
      <c r="B1197" s="160">
        <v>3</v>
      </c>
      <c r="C1197" s="160">
        <v>11700</v>
      </c>
      <c r="D1197" s="160" t="s">
        <v>3966</v>
      </c>
      <c r="E1197" s="160">
        <v>5</v>
      </c>
      <c r="F1197" s="160" t="s">
        <v>74</v>
      </c>
      <c r="G1197" s="148">
        <v>32</v>
      </c>
      <c r="H1197" s="152">
        <f>IF(C1197=11700,ROUND(VLOOKUP(G1197,ThongSo!$F$2:$I$15,4,0)*B1197*11.7,3),0)</f>
        <v>221.48099999999999</v>
      </c>
      <c r="I1197" s="152">
        <f>IF(F1197="Sắt vụn",ROUND(VLOOKUP(G1197,ThongSo!$F$2:$I$15,4,0)*B1197*E1197/1000,3),"-")</f>
        <v>9.5000000000000001E-2</v>
      </c>
      <c r="L1197" s="150"/>
      <c r="M1197" s="150"/>
      <c r="N1197" s="150"/>
    </row>
    <row r="1198" spans="1:14" x14ac:dyDescent="0.25">
      <c r="A1198" s="159">
        <v>75</v>
      </c>
      <c r="B1198" s="160">
        <v>1</v>
      </c>
      <c r="C1198" s="160">
        <v>11700</v>
      </c>
      <c r="D1198" s="160" t="s">
        <v>3967</v>
      </c>
      <c r="E1198" s="160">
        <v>5</v>
      </c>
      <c r="F1198" s="160" t="s">
        <v>74</v>
      </c>
      <c r="G1198" s="148">
        <v>32</v>
      </c>
      <c r="H1198" s="152">
        <f>IF(C1198=11700,ROUND(VLOOKUP(G1198,ThongSo!$F$2:$I$15,4,0)*B1198*11.7,3),0)</f>
        <v>73.826999999999998</v>
      </c>
      <c r="I1198" s="152">
        <f>IF(F1198="Sắt vụn",ROUND(VLOOKUP(G1198,ThongSo!$F$2:$I$15,4,0)*B1198*E1198/1000,3),"-")</f>
        <v>3.2000000000000001E-2</v>
      </c>
      <c r="L1198" s="150"/>
      <c r="M1198" s="150"/>
      <c r="N1198" s="150"/>
    </row>
    <row r="1199" spans="1:14" x14ac:dyDescent="0.25">
      <c r="A1199" s="159">
        <v>76</v>
      </c>
      <c r="B1199" s="160">
        <v>2</v>
      </c>
      <c r="C1199" s="160">
        <v>11700</v>
      </c>
      <c r="D1199" s="160" t="s">
        <v>3968</v>
      </c>
      <c r="E1199" s="160">
        <v>5</v>
      </c>
      <c r="F1199" s="160" t="s">
        <v>74</v>
      </c>
      <c r="G1199" s="148">
        <v>32</v>
      </c>
      <c r="H1199" s="152">
        <f>IF(C1199=11700,ROUND(VLOOKUP(G1199,ThongSo!$F$2:$I$15,4,0)*B1199*11.7,3),0)</f>
        <v>147.654</v>
      </c>
      <c r="I1199" s="152">
        <f>IF(F1199="Sắt vụn",ROUND(VLOOKUP(G1199,ThongSo!$F$2:$I$15,4,0)*B1199*E1199/1000,3),"-")</f>
        <v>6.3E-2</v>
      </c>
      <c r="L1199" s="150"/>
      <c r="M1199" s="150"/>
      <c r="N1199" s="150"/>
    </row>
    <row r="1200" spans="1:14" x14ac:dyDescent="0.25">
      <c r="A1200" s="159">
        <v>77</v>
      </c>
      <c r="B1200" s="160">
        <v>1</v>
      </c>
      <c r="C1200" s="160">
        <v>11700</v>
      </c>
      <c r="D1200" s="160" t="s">
        <v>3969</v>
      </c>
      <c r="E1200" s="160">
        <v>5</v>
      </c>
      <c r="F1200" s="160" t="s">
        <v>74</v>
      </c>
      <c r="G1200" s="148">
        <v>32</v>
      </c>
      <c r="H1200" s="152">
        <f>IF(C1200=11700,ROUND(VLOOKUP(G1200,ThongSo!$F$2:$I$15,4,0)*B1200*11.7,3),0)</f>
        <v>73.826999999999998</v>
      </c>
      <c r="I1200" s="152">
        <f>IF(F1200="Sắt vụn",ROUND(VLOOKUP(G1200,ThongSo!$F$2:$I$15,4,0)*B1200*E1200/1000,3),"-")</f>
        <v>3.2000000000000001E-2</v>
      </c>
      <c r="L1200" s="150"/>
      <c r="M1200" s="150"/>
      <c r="N1200" s="150"/>
    </row>
    <row r="1201" spans="1:14" x14ac:dyDescent="0.25">
      <c r="A1201" s="159">
        <v>78</v>
      </c>
      <c r="B1201" s="160">
        <v>3</v>
      </c>
      <c r="C1201" s="160">
        <v>11700</v>
      </c>
      <c r="D1201" s="160" t="s">
        <v>3970</v>
      </c>
      <c r="E1201" s="160">
        <v>15</v>
      </c>
      <c r="F1201" s="160" t="s">
        <v>74</v>
      </c>
      <c r="G1201" s="148">
        <v>32</v>
      </c>
      <c r="H1201" s="152">
        <f>IF(C1201=11700,ROUND(VLOOKUP(G1201,ThongSo!$F$2:$I$15,4,0)*B1201*11.7,3),0)</f>
        <v>221.48099999999999</v>
      </c>
      <c r="I1201" s="152">
        <f>IF(F1201="Sắt vụn",ROUND(VLOOKUP(G1201,ThongSo!$F$2:$I$15,4,0)*B1201*E1201/1000,3),"-")</f>
        <v>0.28399999999999997</v>
      </c>
      <c r="L1201" s="150"/>
      <c r="M1201" s="150"/>
      <c r="N1201" s="150"/>
    </row>
    <row r="1202" spans="1:14" x14ac:dyDescent="0.25">
      <c r="A1202" s="159">
        <v>79</v>
      </c>
      <c r="B1202" s="160">
        <v>3</v>
      </c>
      <c r="C1202" s="160">
        <v>11700</v>
      </c>
      <c r="D1202" s="160" t="s">
        <v>3971</v>
      </c>
      <c r="E1202" s="160">
        <v>15</v>
      </c>
      <c r="F1202" s="160" t="s">
        <v>74</v>
      </c>
      <c r="G1202" s="148">
        <v>32</v>
      </c>
      <c r="H1202" s="152">
        <f>IF(C1202=11700,ROUND(VLOOKUP(G1202,ThongSo!$F$2:$I$15,4,0)*B1202*11.7,3),0)</f>
        <v>221.48099999999999</v>
      </c>
      <c r="I1202" s="152">
        <f>IF(F1202="Sắt vụn",ROUND(VLOOKUP(G1202,ThongSo!$F$2:$I$15,4,0)*B1202*E1202/1000,3),"-")</f>
        <v>0.28399999999999997</v>
      </c>
      <c r="L1202" s="150"/>
      <c r="M1202" s="150"/>
      <c r="N1202" s="150"/>
    </row>
    <row r="1203" spans="1:14" x14ac:dyDescent="0.25">
      <c r="A1203" s="159">
        <v>80</v>
      </c>
      <c r="B1203" s="160">
        <v>3</v>
      </c>
      <c r="C1203" s="160">
        <v>11700</v>
      </c>
      <c r="D1203" s="160" t="s">
        <v>3972</v>
      </c>
      <c r="E1203" s="160">
        <v>15</v>
      </c>
      <c r="F1203" s="160" t="s">
        <v>74</v>
      </c>
      <c r="G1203" s="148">
        <v>32</v>
      </c>
      <c r="H1203" s="152">
        <f>IF(C1203=11700,ROUND(VLOOKUP(G1203,ThongSo!$F$2:$I$15,4,0)*B1203*11.7,3),0)</f>
        <v>221.48099999999999</v>
      </c>
      <c r="I1203" s="152">
        <f>IF(F1203="Sắt vụn",ROUND(VLOOKUP(G1203,ThongSo!$F$2:$I$15,4,0)*B1203*E1203/1000,3),"-")</f>
        <v>0.28399999999999997</v>
      </c>
      <c r="L1203" s="150"/>
      <c r="M1203" s="150"/>
      <c r="N1203" s="150"/>
    </row>
    <row r="1204" spans="1:14" x14ac:dyDescent="0.25">
      <c r="A1204" s="159">
        <v>81</v>
      </c>
      <c r="B1204" s="160">
        <v>2</v>
      </c>
      <c r="C1204" s="160">
        <v>11700</v>
      </c>
      <c r="D1204" s="160" t="s">
        <v>3973</v>
      </c>
      <c r="E1204" s="160">
        <v>15</v>
      </c>
      <c r="F1204" s="160" t="s">
        <v>74</v>
      </c>
      <c r="G1204" s="148">
        <v>32</v>
      </c>
      <c r="H1204" s="152">
        <f>IF(C1204=11700,ROUND(VLOOKUP(G1204,ThongSo!$F$2:$I$15,4,0)*B1204*11.7,3),0)</f>
        <v>147.654</v>
      </c>
      <c r="I1204" s="152">
        <f>IF(F1204="Sắt vụn",ROUND(VLOOKUP(G1204,ThongSo!$F$2:$I$15,4,0)*B1204*E1204/1000,3),"-")</f>
        <v>0.189</v>
      </c>
      <c r="L1204" s="150"/>
      <c r="M1204" s="150"/>
      <c r="N1204" s="150"/>
    </row>
    <row r="1205" spans="1:14" x14ac:dyDescent="0.25">
      <c r="A1205" s="159">
        <v>82</v>
      </c>
      <c r="B1205" s="160">
        <v>2</v>
      </c>
      <c r="C1205" s="160">
        <v>11700</v>
      </c>
      <c r="D1205" s="160" t="s">
        <v>3974</v>
      </c>
      <c r="E1205" s="160">
        <v>15</v>
      </c>
      <c r="F1205" s="160" t="s">
        <v>74</v>
      </c>
      <c r="G1205" s="148">
        <v>32</v>
      </c>
      <c r="H1205" s="152">
        <f>IF(C1205=11700,ROUND(VLOOKUP(G1205,ThongSo!$F$2:$I$15,4,0)*B1205*11.7,3),0)</f>
        <v>147.654</v>
      </c>
      <c r="I1205" s="152">
        <f>IF(F1205="Sắt vụn",ROUND(VLOOKUP(G1205,ThongSo!$F$2:$I$15,4,0)*B1205*E1205/1000,3),"-")</f>
        <v>0.189</v>
      </c>
      <c r="L1205" s="150"/>
      <c r="M1205" s="150"/>
      <c r="N1205" s="150"/>
    </row>
    <row r="1206" spans="1:14" x14ac:dyDescent="0.25">
      <c r="A1206" s="159">
        <v>83</v>
      </c>
      <c r="B1206" s="160">
        <v>4</v>
      </c>
      <c r="C1206" s="160">
        <v>11700</v>
      </c>
      <c r="D1206" s="160" t="s">
        <v>3975</v>
      </c>
      <c r="E1206" s="160">
        <v>30</v>
      </c>
      <c r="F1206" s="160" t="s">
        <v>74</v>
      </c>
      <c r="G1206" s="148">
        <v>32</v>
      </c>
      <c r="H1206" s="152">
        <f>IF(C1206=11700,ROUND(VLOOKUP(G1206,ThongSo!$F$2:$I$15,4,0)*B1206*11.7,3),0)</f>
        <v>295.30799999999999</v>
      </c>
      <c r="I1206" s="152">
        <f>IF(F1206="Sắt vụn",ROUND(VLOOKUP(G1206,ThongSo!$F$2:$I$15,4,0)*B1206*E1206/1000,3),"-")</f>
        <v>0.75700000000000001</v>
      </c>
      <c r="L1206" s="150"/>
      <c r="M1206" s="150"/>
      <c r="N1206" s="150"/>
    </row>
    <row r="1207" spans="1:14" x14ac:dyDescent="0.25">
      <c r="A1207" s="159">
        <v>84</v>
      </c>
      <c r="B1207" s="160">
        <v>1</v>
      </c>
      <c r="C1207" s="160">
        <v>11700</v>
      </c>
      <c r="D1207" s="160" t="s">
        <v>3976</v>
      </c>
      <c r="E1207" s="160">
        <v>40</v>
      </c>
      <c r="F1207" s="160" t="s">
        <v>74</v>
      </c>
      <c r="G1207" s="148">
        <v>32</v>
      </c>
      <c r="H1207" s="152">
        <f>IF(C1207=11700,ROUND(VLOOKUP(G1207,ThongSo!$F$2:$I$15,4,0)*B1207*11.7,3),0)</f>
        <v>73.826999999999998</v>
      </c>
      <c r="I1207" s="152">
        <f>IF(F1207="Sắt vụn",ROUND(VLOOKUP(G1207,ThongSo!$F$2:$I$15,4,0)*B1207*E1207/1000,3),"-")</f>
        <v>0.252</v>
      </c>
      <c r="L1207" s="150"/>
      <c r="M1207" s="150"/>
      <c r="N1207" s="150"/>
    </row>
    <row r="1208" spans="1:14" x14ac:dyDescent="0.25">
      <c r="A1208" s="159">
        <v>85</v>
      </c>
      <c r="B1208" s="160">
        <v>2</v>
      </c>
      <c r="C1208" s="160">
        <v>11700</v>
      </c>
      <c r="D1208" s="160" t="s">
        <v>3977</v>
      </c>
      <c r="E1208" s="160">
        <v>40</v>
      </c>
      <c r="F1208" s="160" t="s">
        <v>74</v>
      </c>
      <c r="G1208" s="148">
        <v>32</v>
      </c>
      <c r="H1208" s="152">
        <f>IF(C1208=11700,ROUND(VLOOKUP(G1208,ThongSo!$F$2:$I$15,4,0)*B1208*11.7,3),0)</f>
        <v>147.654</v>
      </c>
      <c r="I1208" s="152">
        <f>IF(F1208="Sắt vụn",ROUND(VLOOKUP(G1208,ThongSo!$F$2:$I$15,4,0)*B1208*E1208/1000,3),"-")</f>
        <v>0.505</v>
      </c>
      <c r="L1208" s="150"/>
      <c r="M1208" s="150"/>
      <c r="N1208" s="150"/>
    </row>
    <row r="1209" spans="1:14" x14ac:dyDescent="0.25">
      <c r="A1209" s="159">
        <v>86</v>
      </c>
      <c r="B1209" s="160">
        <v>1</v>
      </c>
      <c r="C1209" s="160">
        <v>11700</v>
      </c>
      <c r="D1209" s="160" t="s">
        <v>3978</v>
      </c>
      <c r="E1209" s="160">
        <v>40</v>
      </c>
      <c r="F1209" s="160" t="s">
        <v>74</v>
      </c>
      <c r="G1209" s="148">
        <v>32</v>
      </c>
      <c r="H1209" s="152">
        <f>IF(C1209=11700,ROUND(VLOOKUP(G1209,ThongSo!$F$2:$I$15,4,0)*B1209*11.7,3),0)</f>
        <v>73.826999999999998</v>
      </c>
      <c r="I1209" s="152">
        <f>IF(F1209="Sắt vụn",ROUND(VLOOKUP(G1209,ThongSo!$F$2:$I$15,4,0)*B1209*E1209/1000,3),"-")</f>
        <v>0.252</v>
      </c>
      <c r="L1209" s="150"/>
      <c r="M1209" s="150"/>
      <c r="N1209" s="150"/>
    </row>
    <row r="1210" spans="1:14" x14ac:dyDescent="0.25">
      <c r="A1210" s="159">
        <v>87</v>
      </c>
      <c r="B1210" s="160">
        <v>2</v>
      </c>
      <c r="C1210" s="160">
        <v>11700</v>
      </c>
      <c r="D1210" s="160" t="s">
        <v>3979</v>
      </c>
      <c r="E1210" s="160">
        <v>40</v>
      </c>
      <c r="F1210" s="160" t="s">
        <v>74</v>
      </c>
      <c r="G1210" s="148">
        <v>32</v>
      </c>
      <c r="H1210" s="152">
        <f>IF(C1210=11700,ROUND(VLOOKUP(G1210,ThongSo!$F$2:$I$15,4,0)*B1210*11.7,3),0)</f>
        <v>147.654</v>
      </c>
      <c r="I1210" s="152">
        <f>IF(F1210="Sắt vụn",ROUND(VLOOKUP(G1210,ThongSo!$F$2:$I$15,4,0)*B1210*E1210/1000,3),"-")</f>
        <v>0.505</v>
      </c>
      <c r="L1210" s="150"/>
      <c r="M1210" s="150"/>
      <c r="N1210" s="150"/>
    </row>
    <row r="1211" spans="1:14" x14ac:dyDescent="0.25">
      <c r="A1211" s="159">
        <v>88</v>
      </c>
      <c r="B1211" s="160">
        <v>1</v>
      </c>
      <c r="C1211" s="160">
        <v>11700</v>
      </c>
      <c r="D1211" s="160" t="s">
        <v>3980</v>
      </c>
      <c r="E1211" s="160">
        <v>45</v>
      </c>
      <c r="F1211" s="160" t="s">
        <v>74</v>
      </c>
      <c r="G1211" s="148">
        <v>32</v>
      </c>
      <c r="H1211" s="152">
        <f>IF(C1211=11700,ROUND(VLOOKUP(G1211,ThongSo!$F$2:$I$15,4,0)*B1211*11.7,3),0)</f>
        <v>73.826999999999998</v>
      </c>
      <c r="I1211" s="152">
        <f>IF(F1211="Sắt vụn",ROUND(VLOOKUP(G1211,ThongSo!$F$2:$I$15,4,0)*B1211*E1211/1000,3),"-")</f>
        <v>0.28399999999999997</v>
      </c>
      <c r="L1211" s="150"/>
      <c r="M1211" s="150"/>
      <c r="N1211" s="150"/>
    </row>
    <row r="1212" spans="1:14" x14ac:dyDescent="0.25">
      <c r="A1212" s="159">
        <v>89</v>
      </c>
      <c r="B1212" s="160">
        <v>1</v>
      </c>
      <c r="C1212" s="160">
        <v>11700</v>
      </c>
      <c r="D1212" s="160" t="s">
        <v>3981</v>
      </c>
      <c r="E1212" s="160">
        <v>50</v>
      </c>
      <c r="F1212" s="160" t="s">
        <v>74</v>
      </c>
      <c r="G1212" s="148">
        <v>32</v>
      </c>
      <c r="H1212" s="152">
        <f>IF(C1212=11700,ROUND(VLOOKUP(G1212,ThongSo!$F$2:$I$15,4,0)*B1212*11.7,3),0)</f>
        <v>73.826999999999998</v>
      </c>
      <c r="I1212" s="152">
        <f>IF(F1212="Sắt vụn",ROUND(VLOOKUP(G1212,ThongSo!$F$2:$I$15,4,0)*B1212*E1212/1000,3),"-")</f>
        <v>0.316</v>
      </c>
      <c r="L1212" s="150"/>
      <c r="M1212" s="150"/>
      <c r="N1212" s="150"/>
    </row>
    <row r="1213" spans="1:14" x14ac:dyDescent="0.25">
      <c r="A1213" s="159">
        <v>90</v>
      </c>
      <c r="B1213" s="160">
        <v>1</v>
      </c>
      <c r="C1213" s="160">
        <v>11700</v>
      </c>
      <c r="D1213" s="160" t="s">
        <v>3982</v>
      </c>
      <c r="E1213" s="160">
        <v>50</v>
      </c>
      <c r="F1213" s="160" t="s">
        <v>74</v>
      </c>
      <c r="G1213" s="148">
        <v>32</v>
      </c>
      <c r="H1213" s="152">
        <f>IF(C1213=11700,ROUND(VLOOKUP(G1213,ThongSo!$F$2:$I$15,4,0)*B1213*11.7,3),0)</f>
        <v>73.826999999999998</v>
      </c>
      <c r="I1213" s="152">
        <f>IF(F1213="Sắt vụn",ROUND(VLOOKUP(G1213,ThongSo!$F$2:$I$15,4,0)*B1213*E1213/1000,3),"-")</f>
        <v>0.316</v>
      </c>
      <c r="L1213" s="150"/>
      <c r="M1213" s="150"/>
      <c r="N1213" s="150"/>
    </row>
    <row r="1214" spans="1:14" x14ac:dyDescent="0.25">
      <c r="A1214" s="159">
        <v>91</v>
      </c>
      <c r="B1214" s="160">
        <v>1</v>
      </c>
      <c r="C1214" s="160">
        <v>11700</v>
      </c>
      <c r="D1214" s="160" t="s">
        <v>3983</v>
      </c>
      <c r="E1214" s="160">
        <v>70</v>
      </c>
      <c r="F1214" s="160" t="s">
        <v>74</v>
      </c>
      <c r="G1214" s="148">
        <v>32</v>
      </c>
      <c r="H1214" s="152">
        <f>IF(C1214=11700,ROUND(VLOOKUP(G1214,ThongSo!$F$2:$I$15,4,0)*B1214*11.7,3),0)</f>
        <v>73.826999999999998</v>
      </c>
      <c r="I1214" s="152">
        <f>IF(F1214="Sắt vụn",ROUND(VLOOKUP(G1214,ThongSo!$F$2:$I$15,4,0)*B1214*E1214/1000,3),"-")</f>
        <v>0.442</v>
      </c>
      <c r="L1214" s="150"/>
      <c r="M1214" s="150"/>
      <c r="N1214" s="150"/>
    </row>
    <row r="1215" spans="1:14" x14ac:dyDescent="0.25">
      <c r="A1215" s="159">
        <v>92</v>
      </c>
      <c r="B1215" s="160">
        <v>2</v>
      </c>
      <c r="C1215" s="160">
        <v>11700</v>
      </c>
      <c r="D1215" s="160" t="s">
        <v>3984</v>
      </c>
      <c r="E1215" s="160">
        <v>75</v>
      </c>
      <c r="F1215" s="160" t="s">
        <v>74</v>
      </c>
      <c r="G1215" s="148">
        <v>32</v>
      </c>
      <c r="H1215" s="152">
        <f>IF(C1215=11700,ROUND(VLOOKUP(G1215,ThongSo!$F$2:$I$15,4,0)*B1215*11.7,3),0)</f>
        <v>147.654</v>
      </c>
      <c r="I1215" s="152">
        <f>IF(F1215="Sắt vụn",ROUND(VLOOKUP(G1215,ThongSo!$F$2:$I$15,4,0)*B1215*E1215/1000,3),"-")</f>
        <v>0.94699999999999995</v>
      </c>
      <c r="L1215" s="150"/>
      <c r="M1215" s="150"/>
      <c r="N1215" s="150"/>
    </row>
    <row r="1216" spans="1:14" x14ac:dyDescent="0.25">
      <c r="A1216" s="159">
        <v>93</v>
      </c>
      <c r="B1216" s="160">
        <v>2</v>
      </c>
      <c r="C1216" s="160">
        <v>11700</v>
      </c>
      <c r="D1216" s="160" t="s">
        <v>3985</v>
      </c>
      <c r="E1216" s="160">
        <v>85</v>
      </c>
      <c r="F1216" s="160" t="s">
        <v>74</v>
      </c>
      <c r="G1216" s="148">
        <v>32</v>
      </c>
      <c r="H1216" s="152">
        <f>IF(C1216=11700,ROUND(VLOOKUP(G1216,ThongSo!$F$2:$I$15,4,0)*B1216*11.7,3),0)</f>
        <v>147.654</v>
      </c>
      <c r="I1216" s="152">
        <f>IF(F1216="Sắt vụn",ROUND(VLOOKUP(G1216,ThongSo!$F$2:$I$15,4,0)*B1216*E1216/1000,3),"-")</f>
        <v>1.073</v>
      </c>
      <c r="L1216" s="150"/>
      <c r="M1216" s="150"/>
      <c r="N1216" s="150"/>
    </row>
    <row r="1217" spans="1:14" x14ac:dyDescent="0.25">
      <c r="A1217" s="159">
        <v>94</v>
      </c>
      <c r="B1217" s="160">
        <v>2</v>
      </c>
      <c r="C1217" s="160">
        <v>11700</v>
      </c>
      <c r="D1217" s="160" t="s">
        <v>3986</v>
      </c>
      <c r="E1217" s="160">
        <v>85</v>
      </c>
      <c r="F1217" s="160" t="s">
        <v>74</v>
      </c>
      <c r="G1217" s="148">
        <v>32</v>
      </c>
      <c r="H1217" s="152">
        <f>IF(C1217=11700,ROUND(VLOOKUP(G1217,ThongSo!$F$2:$I$15,4,0)*B1217*11.7,3),0)</f>
        <v>147.654</v>
      </c>
      <c r="I1217" s="152">
        <f>IF(F1217="Sắt vụn",ROUND(VLOOKUP(G1217,ThongSo!$F$2:$I$15,4,0)*B1217*E1217/1000,3),"-")</f>
        <v>1.073</v>
      </c>
      <c r="L1217" s="150"/>
      <c r="M1217" s="150"/>
      <c r="N1217" s="150"/>
    </row>
    <row r="1218" spans="1:14" x14ac:dyDescent="0.25">
      <c r="A1218" s="159">
        <v>95</v>
      </c>
      <c r="B1218" s="160">
        <v>2</v>
      </c>
      <c r="C1218" s="160">
        <v>11700</v>
      </c>
      <c r="D1218" s="160" t="s">
        <v>3987</v>
      </c>
      <c r="E1218" s="160">
        <v>130</v>
      </c>
      <c r="F1218" s="160" t="s">
        <v>74</v>
      </c>
      <c r="G1218" s="148">
        <v>32</v>
      </c>
      <c r="H1218" s="152">
        <f>IF(C1218=11700,ROUND(VLOOKUP(G1218,ThongSo!$F$2:$I$15,4,0)*B1218*11.7,3),0)</f>
        <v>147.654</v>
      </c>
      <c r="I1218" s="152">
        <f>IF(F1218="Sắt vụn",ROUND(VLOOKUP(G1218,ThongSo!$F$2:$I$15,4,0)*B1218*E1218/1000,3),"-")</f>
        <v>1.641</v>
      </c>
      <c r="L1218" s="150"/>
      <c r="M1218" s="150"/>
      <c r="N1218" s="150"/>
    </row>
    <row r="1219" spans="1:14" x14ac:dyDescent="0.25">
      <c r="A1219" s="159">
        <v>96</v>
      </c>
      <c r="B1219" s="160">
        <v>1</v>
      </c>
      <c r="C1219" s="160">
        <v>11700</v>
      </c>
      <c r="D1219" s="160" t="s">
        <v>3988</v>
      </c>
      <c r="E1219" s="160">
        <v>135</v>
      </c>
      <c r="F1219" s="160" t="s">
        <v>74</v>
      </c>
      <c r="G1219" s="148">
        <v>32</v>
      </c>
      <c r="H1219" s="152">
        <f>IF(C1219=11700,ROUND(VLOOKUP(G1219,ThongSo!$F$2:$I$15,4,0)*B1219*11.7,3),0)</f>
        <v>73.826999999999998</v>
      </c>
      <c r="I1219" s="152">
        <f>IF(F1219="Sắt vụn",ROUND(VLOOKUP(G1219,ThongSo!$F$2:$I$15,4,0)*B1219*E1219/1000,3),"-")</f>
        <v>0.85199999999999998</v>
      </c>
      <c r="L1219" s="150"/>
      <c r="M1219" s="150"/>
      <c r="N1219" s="150"/>
    </row>
    <row r="1220" spans="1:14" x14ac:dyDescent="0.25">
      <c r="A1220" s="159">
        <v>97</v>
      </c>
      <c r="B1220" s="160">
        <v>1</v>
      </c>
      <c r="C1220" s="160">
        <v>11700</v>
      </c>
      <c r="D1220" s="160" t="s">
        <v>3989</v>
      </c>
      <c r="E1220" s="160">
        <v>200</v>
      </c>
      <c r="F1220" s="160" t="s">
        <v>74</v>
      </c>
      <c r="G1220" s="148">
        <v>32</v>
      </c>
      <c r="H1220" s="152">
        <f>IF(C1220=11700,ROUND(VLOOKUP(G1220,ThongSo!$F$2:$I$15,4,0)*B1220*11.7,3),0)</f>
        <v>73.826999999999998</v>
      </c>
      <c r="I1220" s="152">
        <f>IF(F1220="Sắt vụn",ROUND(VLOOKUP(G1220,ThongSo!$F$2:$I$15,4,0)*B1220*E1220/1000,3),"-")</f>
        <v>1.262</v>
      </c>
      <c r="L1220" s="150"/>
      <c r="M1220" s="150"/>
      <c r="N1220" s="150"/>
    </row>
    <row r="1221" spans="1:14" x14ac:dyDescent="0.25">
      <c r="A1221" s="159">
        <v>98</v>
      </c>
      <c r="B1221" s="160">
        <v>4</v>
      </c>
      <c r="C1221" s="160">
        <v>11700</v>
      </c>
      <c r="D1221" s="160" t="s">
        <v>3990</v>
      </c>
      <c r="E1221" s="160">
        <v>215</v>
      </c>
      <c r="F1221" s="160" t="s">
        <v>74</v>
      </c>
      <c r="G1221" s="148">
        <v>32</v>
      </c>
      <c r="H1221" s="152">
        <f>IF(C1221=11700,ROUND(VLOOKUP(G1221,ThongSo!$F$2:$I$15,4,0)*B1221*11.7,3),0)</f>
        <v>295.30799999999999</v>
      </c>
      <c r="I1221" s="152">
        <f>IF(F1221="Sắt vụn",ROUND(VLOOKUP(G1221,ThongSo!$F$2:$I$15,4,0)*B1221*E1221/1000,3),"-")</f>
        <v>5.4269999999999996</v>
      </c>
      <c r="L1221" s="150"/>
      <c r="M1221" s="150"/>
      <c r="N1221" s="150"/>
    </row>
    <row r="1222" spans="1:14" x14ac:dyDescent="0.25">
      <c r="A1222" s="159">
        <v>99</v>
      </c>
      <c r="B1222" s="160">
        <v>2</v>
      </c>
      <c r="C1222" s="160">
        <v>11700</v>
      </c>
      <c r="D1222" s="160" t="s">
        <v>3991</v>
      </c>
      <c r="E1222" s="160">
        <v>235</v>
      </c>
      <c r="F1222" s="160" t="s">
        <v>74</v>
      </c>
      <c r="G1222" s="148">
        <v>32</v>
      </c>
      <c r="H1222" s="152">
        <f>IF(C1222=11700,ROUND(VLOOKUP(G1222,ThongSo!$F$2:$I$15,4,0)*B1222*11.7,3),0)</f>
        <v>147.654</v>
      </c>
      <c r="I1222" s="152">
        <f>IF(F1222="Sắt vụn",ROUND(VLOOKUP(G1222,ThongSo!$F$2:$I$15,4,0)*B1222*E1222/1000,3),"-")</f>
        <v>2.9660000000000002</v>
      </c>
      <c r="L1222" s="150"/>
      <c r="M1222" s="150"/>
      <c r="N1222" s="150"/>
    </row>
    <row r="1223" spans="1:14" x14ac:dyDescent="0.25">
      <c r="A1223" s="159">
        <v>100</v>
      </c>
      <c r="B1223" s="160">
        <v>1</v>
      </c>
      <c r="C1223" s="160">
        <v>11700</v>
      </c>
      <c r="D1223" s="160" t="s">
        <v>3992</v>
      </c>
      <c r="E1223" s="160">
        <v>275</v>
      </c>
      <c r="F1223" s="160" t="s">
        <v>74</v>
      </c>
      <c r="G1223" s="148">
        <v>32</v>
      </c>
      <c r="H1223" s="152">
        <f>IF(C1223=11700,ROUND(VLOOKUP(G1223,ThongSo!$F$2:$I$15,4,0)*B1223*11.7,3),0)</f>
        <v>73.826999999999998</v>
      </c>
      <c r="I1223" s="152">
        <f>IF(F1223="Sắt vụn",ROUND(VLOOKUP(G1223,ThongSo!$F$2:$I$15,4,0)*B1223*E1223/1000,3),"-")</f>
        <v>1.7350000000000001</v>
      </c>
      <c r="L1223" s="150"/>
      <c r="M1223" s="150"/>
      <c r="N1223" s="150"/>
    </row>
    <row r="1224" spans="1:14" x14ac:dyDescent="0.25">
      <c r="A1224" s="159">
        <v>101</v>
      </c>
      <c r="B1224" s="160">
        <v>1</v>
      </c>
      <c r="C1224" s="160">
        <v>11700</v>
      </c>
      <c r="D1224" s="160" t="s">
        <v>3993</v>
      </c>
      <c r="E1224" s="160">
        <v>275</v>
      </c>
      <c r="F1224" s="160" t="s">
        <v>74</v>
      </c>
      <c r="G1224" s="148">
        <v>32</v>
      </c>
      <c r="H1224" s="152">
        <f>IF(C1224=11700,ROUND(VLOOKUP(G1224,ThongSo!$F$2:$I$15,4,0)*B1224*11.7,3),0)</f>
        <v>73.826999999999998</v>
      </c>
      <c r="I1224" s="152">
        <f>IF(F1224="Sắt vụn",ROUND(VLOOKUP(G1224,ThongSo!$F$2:$I$15,4,0)*B1224*E1224/1000,3),"-")</f>
        <v>1.7350000000000001</v>
      </c>
      <c r="L1224" s="150"/>
      <c r="M1224" s="150"/>
      <c r="N1224" s="150"/>
    </row>
    <row r="1225" spans="1:14" x14ac:dyDescent="0.25">
      <c r="A1225" s="159">
        <v>102</v>
      </c>
      <c r="B1225" s="160">
        <v>1</v>
      </c>
      <c r="C1225" s="160">
        <v>11700</v>
      </c>
      <c r="D1225" s="160" t="s">
        <v>3994</v>
      </c>
      <c r="E1225" s="160">
        <v>275</v>
      </c>
      <c r="F1225" s="160" t="s">
        <v>74</v>
      </c>
      <c r="G1225" s="148">
        <v>32</v>
      </c>
      <c r="H1225" s="152">
        <f>IF(C1225=11700,ROUND(VLOOKUP(G1225,ThongSo!$F$2:$I$15,4,0)*B1225*11.7,3),0)</f>
        <v>73.826999999999998</v>
      </c>
      <c r="I1225" s="152">
        <f>IF(F1225="Sắt vụn",ROUND(VLOOKUP(G1225,ThongSo!$F$2:$I$15,4,0)*B1225*E1225/1000,3),"-")</f>
        <v>1.7350000000000001</v>
      </c>
      <c r="L1225" s="150"/>
      <c r="M1225" s="150"/>
      <c r="N1225" s="150"/>
    </row>
    <row r="1226" spans="1:14" x14ac:dyDescent="0.25">
      <c r="A1226" s="159">
        <v>103</v>
      </c>
      <c r="B1226" s="160">
        <v>1</v>
      </c>
      <c r="C1226" s="160">
        <v>11700</v>
      </c>
      <c r="D1226" s="160" t="s">
        <v>3995</v>
      </c>
      <c r="E1226" s="160">
        <v>285</v>
      </c>
      <c r="F1226" s="160" t="s">
        <v>74</v>
      </c>
      <c r="G1226" s="148">
        <v>32</v>
      </c>
      <c r="H1226" s="152">
        <f>IF(C1226=11700,ROUND(VLOOKUP(G1226,ThongSo!$F$2:$I$15,4,0)*B1226*11.7,3),0)</f>
        <v>73.826999999999998</v>
      </c>
      <c r="I1226" s="152">
        <f>IF(F1226="Sắt vụn",ROUND(VLOOKUP(G1226,ThongSo!$F$2:$I$15,4,0)*B1226*E1226/1000,3),"-")</f>
        <v>1.798</v>
      </c>
      <c r="L1226" s="150"/>
      <c r="M1226" s="150"/>
      <c r="N1226" s="150"/>
    </row>
    <row r="1227" spans="1:14" x14ac:dyDescent="0.25">
      <c r="A1227" s="159">
        <v>104</v>
      </c>
      <c r="B1227" s="160">
        <v>1</v>
      </c>
      <c r="C1227" s="160">
        <v>11700</v>
      </c>
      <c r="D1227" s="160" t="s">
        <v>3996</v>
      </c>
      <c r="E1227" s="160">
        <v>295</v>
      </c>
      <c r="F1227" s="160" t="s">
        <v>74</v>
      </c>
      <c r="G1227" s="148">
        <v>32</v>
      </c>
      <c r="H1227" s="152">
        <f>IF(C1227=11700,ROUND(VLOOKUP(G1227,ThongSo!$F$2:$I$15,4,0)*B1227*11.7,3),0)</f>
        <v>73.826999999999998</v>
      </c>
      <c r="I1227" s="152">
        <f>IF(F1227="Sắt vụn",ROUND(VLOOKUP(G1227,ThongSo!$F$2:$I$15,4,0)*B1227*E1227/1000,3),"-")</f>
        <v>1.861</v>
      </c>
      <c r="L1227" s="150"/>
      <c r="M1227" s="150"/>
      <c r="N1227" s="150"/>
    </row>
    <row r="1228" spans="1:14" x14ac:dyDescent="0.25">
      <c r="A1228" s="159">
        <v>105</v>
      </c>
      <c r="B1228" s="160">
        <v>1</v>
      </c>
      <c r="C1228" s="160">
        <v>11700</v>
      </c>
      <c r="D1228" s="160" t="s">
        <v>3997</v>
      </c>
      <c r="E1228" s="160">
        <v>305</v>
      </c>
      <c r="F1228" s="160" t="s">
        <v>74</v>
      </c>
      <c r="G1228" s="148">
        <v>32</v>
      </c>
      <c r="H1228" s="152">
        <f>IF(C1228=11700,ROUND(VLOOKUP(G1228,ThongSo!$F$2:$I$15,4,0)*B1228*11.7,3),0)</f>
        <v>73.826999999999998</v>
      </c>
      <c r="I1228" s="152">
        <f>IF(F1228="Sắt vụn",ROUND(VLOOKUP(G1228,ThongSo!$F$2:$I$15,4,0)*B1228*E1228/1000,3),"-")</f>
        <v>1.925</v>
      </c>
      <c r="L1228" s="150"/>
      <c r="M1228" s="150"/>
      <c r="N1228" s="150"/>
    </row>
    <row r="1229" spans="1:14" x14ac:dyDescent="0.25">
      <c r="A1229" s="159">
        <v>106</v>
      </c>
      <c r="B1229" s="160">
        <v>2</v>
      </c>
      <c r="C1229" s="160">
        <v>11700</v>
      </c>
      <c r="D1229" s="160" t="s">
        <v>3998</v>
      </c>
      <c r="E1229" s="160">
        <v>305</v>
      </c>
      <c r="F1229" s="160" t="s">
        <v>74</v>
      </c>
      <c r="G1229" s="148">
        <v>32</v>
      </c>
      <c r="H1229" s="152">
        <f>IF(C1229=11700,ROUND(VLOOKUP(G1229,ThongSo!$F$2:$I$15,4,0)*B1229*11.7,3),0)</f>
        <v>147.654</v>
      </c>
      <c r="I1229" s="152">
        <f>IF(F1229="Sắt vụn",ROUND(VLOOKUP(G1229,ThongSo!$F$2:$I$15,4,0)*B1229*E1229/1000,3),"-")</f>
        <v>3.8490000000000002</v>
      </c>
      <c r="L1229" s="150"/>
      <c r="M1229" s="150"/>
      <c r="N1229" s="150"/>
    </row>
    <row r="1230" spans="1:14" x14ac:dyDescent="0.25">
      <c r="A1230" s="159">
        <v>107</v>
      </c>
      <c r="B1230" s="160">
        <v>1</v>
      </c>
      <c r="C1230" s="160">
        <v>11700</v>
      </c>
      <c r="D1230" s="160" t="s">
        <v>3999</v>
      </c>
      <c r="E1230" s="160">
        <v>315</v>
      </c>
      <c r="F1230" s="160" t="s">
        <v>74</v>
      </c>
      <c r="G1230" s="148">
        <v>32</v>
      </c>
      <c r="H1230" s="152">
        <f>IF(C1230=11700,ROUND(VLOOKUP(G1230,ThongSo!$F$2:$I$15,4,0)*B1230*11.7,3),0)</f>
        <v>73.826999999999998</v>
      </c>
      <c r="I1230" s="152">
        <f>IF(F1230="Sắt vụn",ROUND(VLOOKUP(G1230,ThongSo!$F$2:$I$15,4,0)*B1230*E1230/1000,3),"-")</f>
        <v>1.988</v>
      </c>
      <c r="L1230" s="150"/>
      <c r="M1230" s="150"/>
      <c r="N1230" s="150"/>
    </row>
    <row r="1231" spans="1:14" x14ac:dyDescent="0.25">
      <c r="A1231" s="159">
        <v>108</v>
      </c>
      <c r="B1231" s="160">
        <v>5</v>
      </c>
      <c r="C1231" s="160">
        <v>11700</v>
      </c>
      <c r="D1231" s="160" t="s">
        <v>4000</v>
      </c>
      <c r="E1231" s="160">
        <v>315</v>
      </c>
      <c r="F1231" s="160" t="s">
        <v>74</v>
      </c>
      <c r="G1231" s="148">
        <v>32</v>
      </c>
      <c r="H1231" s="152">
        <f>IF(C1231=11700,ROUND(VLOOKUP(G1231,ThongSo!$F$2:$I$15,4,0)*B1231*11.7,3),0)</f>
        <v>369.13499999999999</v>
      </c>
      <c r="I1231" s="152">
        <f>IF(F1231="Sắt vụn",ROUND(VLOOKUP(G1231,ThongSo!$F$2:$I$15,4,0)*B1231*E1231/1000,3),"-")</f>
        <v>9.9380000000000006</v>
      </c>
      <c r="L1231" s="150"/>
      <c r="M1231" s="150"/>
      <c r="N1231" s="150"/>
    </row>
    <row r="1232" spans="1:14" x14ac:dyDescent="0.25">
      <c r="A1232" s="159">
        <v>109</v>
      </c>
      <c r="B1232" s="160">
        <v>1</v>
      </c>
      <c r="C1232" s="160">
        <v>11700</v>
      </c>
      <c r="D1232" s="160" t="s">
        <v>4001</v>
      </c>
      <c r="E1232" s="160">
        <v>350</v>
      </c>
      <c r="F1232" s="160" t="s">
        <v>74</v>
      </c>
      <c r="G1232" s="148">
        <v>32</v>
      </c>
      <c r="H1232" s="152">
        <f>IF(C1232=11700,ROUND(VLOOKUP(G1232,ThongSo!$F$2:$I$15,4,0)*B1232*11.7,3),0)</f>
        <v>73.826999999999998</v>
      </c>
      <c r="I1232" s="152">
        <f>IF(F1232="Sắt vụn",ROUND(VLOOKUP(G1232,ThongSo!$F$2:$I$15,4,0)*B1232*E1232/1000,3),"-")</f>
        <v>2.2090000000000001</v>
      </c>
      <c r="L1232" s="150"/>
      <c r="M1232" s="150"/>
      <c r="N1232" s="150"/>
    </row>
    <row r="1233" spans="1:14" x14ac:dyDescent="0.25">
      <c r="A1233" s="159">
        <v>110</v>
      </c>
      <c r="B1233" s="160">
        <v>1</v>
      </c>
      <c r="C1233" s="160">
        <v>11700</v>
      </c>
      <c r="D1233" s="160" t="s">
        <v>4002</v>
      </c>
      <c r="E1233" s="160">
        <v>400</v>
      </c>
      <c r="F1233" s="160" t="s">
        <v>74</v>
      </c>
      <c r="G1233" s="148">
        <v>32</v>
      </c>
      <c r="H1233" s="152">
        <f>IF(C1233=11700,ROUND(VLOOKUP(G1233,ThongSo!$F$2:$I$15,4,0)*B1233*11.7,3),0)</f>
        <v>73.826999999999998</v>
      </c>
      <c r="I1233" s="152">
        <f>IF(F1233="Sắt vụn",ROUND(VLOOKUP(G1233,ThongSo!$F$2:$I$15,4,0)*B1233*E1233/1000,3),"-")</f>
        <v>2.524</v>
      </c>
      <c r="L1233" s="150"/>
      <c r="M1233" s="150"/>
      <c r="N1233" s="150"/>
    </row>
    <row r="1234" spans="1:14" x14ac:dyDescent="0.25">
      <c r="A1234" s="159">
        <v>111</v>
      </c>
      <c r="B1234" s="160">
        <v>2</v>
      </c>
      <c r="C1234" s="160">
        <v>11700</v>
      </c>
      <c r="D1234" s="160" t="s">
        <v>4003</v>
      </c>
      <c r="E1234" s="160">
        <v>455</v>
      </c>
      <c r="F1234" s="160" t="s">
        <v>74</v>
      </c>
      <c r="G1234" s="148">
        <v>32</v>
      </c>
      <c r="H1234" s="152">
        <f>IF(C1234=11700,ROUND(VLOOKUP(G1234,ThongSo!$F$2:$I$15,4,0)*B1234*11.7,3),0)</f>
        <v>147.654</v>
      </c>
      <c r="I1234" s="152">
        <f>IF(F1234="Sắt vụn",ROUND(VLOOKUP(G1234,ThongSo!$F$2:$I$15,4,0)*B1234*E1234/1000,3),"-")</f>
        <v>5.742</v>
      </c>
      <c r="L1234" s="150"/>
      <c r="M1234" s="150"/>
      <c r="N1234" s="150"/>
    </row>
    <row r="1235" spans="1:14" x14ac:dyDescent="0.25">
      <c r="A1235" s="159">
        <v>112</v>
      </c>
      <c r="B1235" s="160">
        <v>4</v>
      </c>
      <c r="C1235" s="160">
        <v>11700</v>
      </c>
      <c r="D1235" s="160" t="s">
        <v>4004</v>
      </c>
      <c r="E1235" s="160">
        <v>515</v>
      </c>
      <c r="F1235" s="160" t="s">
        <v>74</v>
      </c>
      <c r="G1235" s="148">
        <v>32</v>
      </c>
      <c r="H1235" s="152">
        <f>IF(C1235=11700,ROUND(VLOOKUP(G1235,ThongSo!$F$2:$I$15,4,0)*B1235*11.7,3),0)</f>
        <v>295.30799999999999</v>
      </c>
      <c r="I1235" s="152">
        <f>IF(F1235="Sắt vụn",ROUND(VLOOKUP(G1235,ThongSo!$F$2:$I$15,4,0)*B1235*E1235/1000,3),"-")</f>
        <v>12.999000000000001</v>
      </c>
      <c r="L1235" s="150"/>
      <c r="M1235" s="150"/>
      <c r="N1235" s="150"/>
    </row>
    <row r="1236" spans="1:14" x14ac:dyDescent="0.25">
      <c r="A1236" s="159">
        <v>113</v>
      </c>
      <c r="B1236" s="160">
        <v>1</v>
      </c>
      <c r="C1236" s="160">
        <v>11700</v>
      </c>
      <c r="D1236" s="160" t="s">
        <v>4005</v>
      </c>
      <c r="E1236" s="160">
        <v>515</v>
      </c>
      <c r="F1236" s="160" t="s">
        <v>74</v>
      </c>
      <c r="G1236" s="148">
        <v>32</v>
      </c>
      <c r="H1236" s="152">
        <f>IF(C1236=11700,ROUND(VLOOKUP(G1236,ThongSo!$F$2:$I$15,4,0)*B1236*11.7,3),0)</f>
        <v>73.826999999999998</v>
      </c>
      <c r="I1236" s="152">
        <f>IF(F1236="Sắt vụn",ROUND(VLOOKUP(G1236,ThongSo!$F$2:$I$15,4,0)*B1236*E1236/1000,3),"-")</f>
        <v>3.25</v>
      </c>
      <c r="L1236" s="150"/>
      <c r="M1236" s="150"/>
      <c r="N1236" s="150"/>
    </row>
    <row r="1237" spans="1:14" x14ac:dyDescent="0.25">
      <c r="A1237" s="159">
        <v>114</v>
      </c>
      <c r="B1237" s="160">
        <v>3</v>
      </c>
      <c r="C1237" s="160">
        <v>11700</v>
      </c>
      <c r="D1237" s="160" t="s">
        <v>4006</v>
      </c>
      <c r="E1237" s="160">
        <v>515</v>
      </c>
      <c r="F1237" s="160" t="s">
        <v>74</v>
      </c>
      <c r="G1237" s="148">
        <v>32</v>
      </c>
      <c r="H1237" s="152">
        <f>IF(C1237=11700,ROUND(VLOOKUP(G1237,ThongSo!$F$2:$I$15,4,0)*B1237*11.7,3),0)</f>
        <v>221.48099999999999</v>
      </c>
      <c r="I1237" s="152">
        <f>IF(F1237="Sắt vụn",ROUND(VLOOKUP(G1237,ThongSo!$F$2:$I$15,4,0)*B1237*E1237/1000,3),"-")</f>
        <v>9.7490000000000006</v>
      </c>
      <c r="L1237" s="150"/>
      <c r="M1237" s="150"/>
      <c r="N1237" s="150"/>
    </row>
    <row r="1238" spans="1:14" x14ac:dyDescent="0.25">
      <c r="A1238" s="159">
        <v>115</v>
      </c>
      <c r="B1238" s="160">
        <v>1</v>
      </c>
      <c r="C1238" s="160">
        <v>11700</v>
      </c>
      <c r="D1238" s="160" t="s">
        <v>4007</v>
      </c>
      <c r="E1238" s="160">
        <v>515</v>
      </c>
      <c r="F1238" s="160" t="s">
        <v>74</v>
      </c>
      <c r="G1238" s="148">
        <v>32</v>
      </c>
      <c r="H1238" s="152">
        <f>IF(C1238=11700,ROUND(VLOOKUP(G1238,ThongSo!$F$2:$I$15,4,0)*B1238*11.7,3),0)</f>
        <v>73.826999999999998</v>
      </c>
      <c r="I1238" s="152">
        <f>IF(F1238="Sắt vụn",ROUND(VLOOKUP(G1238,ThongSo!$F$2:$I$15,4,0)*B1238*E1238/1000,3),"-")</f>
        <v>3.25</v>
      </c>
      <c r="L1238" s="150"/>
      <c r="M1238" s="150"/>
      <c r="N1238" s="150"/>
    </row>
    <row r="1239" spans="1:14" x14ac:dyDescent="0.25">
      <c r="A1239" s="159">
        <v>116</v>
      </c>
      <c r="B1239" s="160">
        <v>2</v>
      </c>
      <c r="C1239" s="160">
        <v>11700</v>
      </c>
      <c r="D1239" s="160" t="s">
        <v>4008</v>
      </c>
      <c r="E1239" s="160">
        <v>520</v>
      </c>
      <c r="F1239" s="160" t="s">
        <v>74</v>
      </c>
      <c r="G1239" s="148">
        <v>32</v>
      </c>
      <c r="H1239" s="152">
        <f>IF(C1239=11700,ROUND(VLOOKUP(G1239,ThongSo!$F$2:$I$15,4,0)*B1239*11.7,3),0)</f>
        <v>147.654</v>
      </c>
      <c r="I1239" s="152">
        <f>IF(F1239="Sắt vụn",ROUND(VLOOKUP(G1239,ThongSo!$F$2:$I$15,4,0)*B1239*E1239/1000,3),"-")</f>
        <v>6.5620000000000003</v>
      </c>
      <c r="L1239" s="150"/>
      <c r="M1239" s="150"/>
      <c r="N1239" s="150"/>
    </row>
    <row r="1240" spans="1:14" x14ac:dyDescent="0.25">
      <c r="A1240" s="159">
        <v>117</v>
      </c>
      <c r="B1240" s="160">
        <v>2</v>
      </c>
      <c r="C1240" s="160">
        <v>11700</v>
      </c>
      <c r="D1240" s="160" t="s">
        <v>4009</v>
      </c>
      <c r="E1240" s="160">
        <v>600</v>
      </c>
      <c r="F1240" s="160" t="s">
        <v>74</v>
      </c>
      <c r="G1240" s="148">
        <v>32</v>
      </c>
      <c r="H1240" s="152">
        <f>IF(C1240=11700,ROUND(VLOOKUP(G1240,ThongSo!$F$2:$I$15,4,0)*B1240*11.7,3),0)</f>
        <v>147.654</v>
      </c>
      <c r="I1240" s="152">
        <f>IF(F1240="Sắt vụn",ROUND(VLOOKUP(G1240,ThongSo!$F$2:$I$15,4,0)*B1240*E1240/1000,3),"-")</f>
        <v>7.5720000000000001</v>
      </c>
      <c r="K1240" s="150">
        <f>SUM(H:H)</f>
        <v>1138795.4680000064</v>
      </c>
      <c r="L1240" s="150"/>
      <c r="M1240" s="150"/>
      <c r="N1240" s="150"/>
    </row>
    <row r="1241" spans="1:14" x14ac:dyDescent="0.25">
      <c r="A1241" s="159">
        <v>118</v>
      </c>
      <c r="B1241" s="160">
        <v>5</v>
      </c>
      <c r="C1241" s="160">
        <v>11700</v>
      </c>
      <c r="D1241" s="160" t="s">
        <v>4010</v>
      </c>
      <c r="E1241" s="160">
        <v>615</v>
      </c>
      <c r="F1241" s="160" t="s">
        <v>74</v>
      </c>
      <c r="G1241" s="148">
        <v>32</v>
      </c>
      <c r="H1241" s="152">
        <f>IF(C1241=11700,ROUND(VLOOKUP(G1241,ThongSo!$F$2:$I$15,4,0)*B1241*11.7,3),0)</f>
        <v>369.13499999999999</v>
      </c>
      <c r="I1241" s="152">
        <f>IF(F1241="Sắt vụn",ROUND(VLOOKUP(G1241,ThongSo!$F$2:$I$15,4,0)*B1241*E1241/1000,3),"-")</f>
        <v>19.402999999999999</v>
      </c>
      <c r="L1241" s="150"/>
      <c r="M1241" s="150"/>
      <c r="N1241" s="150"/>
    </row>
    <row r="1242" spans="1:14" x14ac:dyDescent="0.25">
      <c r="A1242" s="159">
        <v>119</v>
      </c>
      <c r="B1242" s="160">
        <v>5</v>
      </c>
      <c r="C1242" s="160">
        <v>11700</v>
      </c>
      <c r="D1242" s="160" t="s">
        <v>4011</v>
      </c>
      <c r="E1242" s="160">
        <v>615</v>
      </c>
      <c r="F1242" s="160" t="s">
        <v>74</v>
      </c>
      <c r="G1242" s="148">
        <v>32</v>
      </c>
      <c r="H1242" s="152">
        <f>IF(C1242=11700,ROUND(VLOOKUP(G1242,ThongSo!$F$2:$I$15,4,0)*B1242*11.7,3),0)</f>
        <v>369.13499999999999</v>
      </c>
      <c r="I1242" s="152">
        <f>IF(F1242="Sắt vụn",ROUND(VLOOKUP(G1242,ThongSo!$F$2:$I$15,4,0)*B1242*E1242/1000,3),"-")</f>
        <v>19.402999999999999</v>
      </c>
      <c r="L1242" s="150"/>
      <c r="M1242" s="150"/>
      <c r="N1242" s="150"/>
    </row>
    <row r="1243" spans="1:14" x14ac:dyDescent="0.25">
      <c r="A1243" s="159">
        <v>120</v>
      </c>
      <c r="B1243" s="160">
        <v>1</v>
      </c>
      <c r="C1243" s="160">
        <v>11700</v>
      </c>
      <c r="D1243" s="160" t="s">
        <v>4012</v>
      </c>
      <c r="E1243" s="160">
        <v>680</v>
      </c>
      <c r="F1243" s="160" t="s">
        <v>74</v>
      </c>
      <c r="G1243" s="148">
        <v>32</v>
      </c>
      <c r="H1243" s="152">
        <f>IF(C1243=11700,ROUND(VLOOKUP(G1243,ThongSo!$F$2:$I$15,4,0)*B1243*11.7,3),0)</f>
        <v>73.826999999999998</v>
      </c>
      <c r="I1243" s="152">
        <f>IF(F1243="Sắt vụn",ROUND(VLOOKUP(G1243,ThongSo!$F$2:$I$15,4,0)*B1243*E1243/1000,3),"-")</f>
        <v>4.2910000000000004</v>
      </c>
      <c r="L1243" s="150"/>
      <c r="M1243" s="150"/>
      <c r="N1243" s="150"/>
    </row>
    <row r="1244" spans="1:14" x14ac:dyDescent="0.25">
      <c r="A1244" s="159">
        <v>121</v>
      </c>
      <c r="B1244" s="160">
        <v>5</v>
      </c>
      <c r="C1244" s="160">
        <v>11700</v>
      </c>
      <c r="D1244" s="160" t="s">
        <v>4013</v>
      </c>
      <c r="E1244" s="160">
        <v>700</v>
      </c>
      <c r="F1244" s="160" t="s">
        <v>74</v>
      </c>
      <c r="G1244" s="148">
        <v>32</v>
      </c>
      <c r="H1244" s="152">
        <f>IF(C1244=11700,ROUND(VLOOKUP(G1244,ThongSo!$F$2:$I$15,4,0)*B1244*11.7,3),0)</f>
        <v>369.13499999999999</v>
      </c>
      <c r="I1244" s="152">
        <f>IF(F1244="Sắt vụn",ROUND(VLOOKUP(G1244,ThongSo!$F$2:$I$15,4,0)*B1244*E1244/1000,3),"-")</f>
        <v>22.085000000000001</v>
      </c>
      <c r="L1244" s="150"/>
      <c r="M1244" s="150"/>
      <c r="N1244" s="150"/>
    </row>
    <row r="1245" spans="1:14" x14ac:dyDescent="0.25">
      <c r="A1245" s="159">
        <v>122</v>
      </c>
      <c r="B1245" s="160">
        <v>6</v>
      </c>
      <c r="C1245" s="160">
        <v>11700</v>
      </c>
      <c r="D1245" s="160" t="s">
        <v>4014</v>
      </c>
      <c r="E1245" s="160">
        <v>700</v>
      </c>
      <c r="F1245" s="160" t="s">
        <v>74</v>
      </c>
      <c r="G1245" s="148">
        <v>32</v>
      </c>
      <c r="H1245" s="152">
        <f>IF(C1245=11700,ROUND(VLOOKUP(G1245,ThongSo!$F$2:$I$15,4,0)*B1245*11.7,3),0)</f>
        <v>442.96199999999999</v>
      </c>
      <c r="I1245" s="152">
        <f>IF(F1245="Sắt vụn",ROUND(VLOOKUP(G1245,ThongSo!$F$2:$I$15,4,0)*B1245*E1245/1000,3),"-")</f>
        <v>26.501999999999999</v>
      </c>
      <c r="L1245" s="150"/>
      <c r="M1245" s="150"/>
      <c r="N1245" s="150"/>
    </row>
    <row r="1246" spans="1:14" x14ac:dyDescent="0.25">
      <c r="A1246" s="159">
        <v>123</v>
      </c>
      <c r="B1246" s="160">
        <v>5</v>
      </c>
      <c r="C1246" s="160">
        <v>11700</v>
      </c>
      <c r="D1246" s="160" t="s">
        <v>4015</v>
      </c>
      <c r="E1246" s="160">
        <v>700</v>
      </c>
      <c r="F1246" s="160" t="s">
        <v>74</v>
      </c>
      <c r="G1246" s="148">
        <v>32</v>
      </c>
      <c r="H1246" s="152">
        <f>IF(C1246=11700,ROUND(VLOOKUP(G1246,ThongSo!$F$2:$I$15,4,0)*B1246*11.7,3),0)</f>
        <v>369.13499999999999</v>
      </c>
      <c r="I1246" s="152">
        <f>IF(F1246="Sắt vụn",ROUND(VLOOKUP(G1246,ThongSo!$F$2:$I$15,4,0)*B1246*E1246/1000,3),"-")</f>
        <v>22.085000000000001</v>
      </c>
      <c r="L1246" s="150"/>
      <c r="M1246" s="150"/>
      <c r="N1246" s="150"/>
    </row>
    <row r="1247" spans="1:14" x14ac:dyDescent="0.25">
      <c r="A1247" s="159">
        <v>124</v>
      </c>
      <c r="B1247" s="160">
        <v>2</v>
      </c>
      <c r="C1247" s="160">
        <v>11700</v>
      </c>
      <c r="D1247" s="160" t="s">
        <v>4016</v>
      </c>
      <c r="E1247" s="160">
        <v>700</v>
      </c>
      <c r="F1247" s="160" t="s">
        <v>74</v>
      </c>
      <c r="G1247" s="148">
        <v>32</v>
      </c>
      <c r="H1247" s="152">
        <f>IF(C1247=11700,ROUND(VLOOKUP(G1247,ThongSo!$F$2:$I$15,4,0)*B1247*11.7,3),0)</f>
        <v>147.654</v>
      </c>
      <c r="I1247" s="152">
        <f>IF(F1247="Sắt vụn",ROUND(VLOOKUP(G1247,ThongSo!$F$2:$I$15,4,0)*B1247*E1247/1000,3),"-")</f>
        <v>8.8339999999999996</v>
      </c>
      <c r="L1247" s="150"/>
      <c r="M1247" s="150"/>
      <c r="N1247" s="150"/>
    </row>
    <row r="1248" spans="1:14" x14ac:dyDescent="0.25">
      <c r="A1248" s="159">
        <v>125</v>
      </c>
      <c r="B1248" s="160">
        <v>2</v>
      </c>
      <c r="C1248" s="160">
        <v>11700</v>
      </c>
      <c r="D1248" s="160" t="s">
        <v>4017</v>
      </c>
      <c r="E1248" s="160">
        <v>700</v>
      </c>
      <c r="F1248" s="160" t="s">
        <v>74</v>
      </c>
      <c r="G1248" s="148">
        <v>32</v>
      </c>
      <c r="H1248" s="152">
        <f>IF(C1248=11700,ROUND(VLOOKUP(G1248,ThongSo!$F$2:$I$15,4,0)*B1248*11.7,3),0)</f>
        <v>147.654</v>
      </c>
      <c r="I1248" s="152">
        <f>IF(F1248="Sắt vụn",ROUND(VLOOKUP(G1248,ThongSo!$F$2:$I$15,4,0)*B1248*E1248/1000,3),"-")</f>
        <v>8.8339999999999996</v>
      </c>
      <c r="L1248" s="150"/>
      <c r="M1248" s="150"/>
      <c r="N1248" s="150"/>
    </row>
    <row r="1249" spans="1:14" x14ac:dyDescent="0.25">
      <c r="A1249" s="159">
        <v>126</v>
      </c>
      <c r="B1249" s="160">
        <v>6</v>
      </c>
      <c r="C1249" s="160">
        <v>11700</v>
      </c>
      <c r="D1249" s="160" t="s">
        <v>4018</v>
      </c>
      <c r="E1249" s="160">
        <v>700</v>
      </c>
      <c r="F1249" s="160" t="s">
        <v>74</v>
      </c>
      <c r="G1249" s="148">
        <v>32</v>
      </c>
      <c r="H1249" s="152">
        <f>IF(C1249=11700,ROUND(VLOOKUP(G1249,ThongSo!$F$2:$I$15,4,0)*B1249*11.7,3),0)</f>
        <v>442.96199999999999</v>
      </c>
      <c r="I1249" s="152">
        <f>IF(F1249="Sắt vụn",ROUND(VLOOKUP(G1249,ThongSo!$F$2:$I$15,4,0)*B1249*E1249/1000,3),"-")</f>
        <v>26.501999999999999</v>
      </c>
      <c r="L1249" s="150"/>
      <c r="M1249" s="150"/>
      <c r="N1249" s="150"/>
    </row>
    <row r="1250" spans="1:14" x14ac:dyDescent="0.25">
      <c r="A1250" s="159">
        <v>127</v>
      </c>
      <c r="B1250" s="160">
        <v>2</v>
      </c>
      <c r="C1250" s="160">
        <v>11700</v>
      </c>
      <c r="D1250" s="160" t="s">
        <v>4019</v>
      </c>
      <c r="E1250" s="160">
        <v>700</v>
      </c>
      <c r="F1250" s="160" t="s">
        <v>74</v>
      </c>
      <c r="G1250" s="148">
        <v>32</v>
      </c>
      <c r="H1250" s="152">
        <f>IF(C1250=11700,ROUND(VLOOKUP(G1250,ThongSo!$F$2:$I$15,4,0)*B1250*11.7,3),0)</f>
        <v>147.654</v>
      </c>
      <c r="I1250" s="152">
        <f>IF(F1250="Sắt vụn",ROUND(VLOOKUP(G1250,ThongSo!$F$2:$I$15,4,0)*B1250*E1250/1000,3),"-")</f>
        <v>8.8339999999999996</v>
      </c>
      <c r="L1250" s="150"/>
      <c r="M1250" s="150"/>
      <c r="N1250" s="150"/>
    </row>
    <row r="1251" spans="1:14" x14ac:dyDescent="0.25">
      <c r="A1251" s="159">
        <v>128</v>
      </c>
      <c r="B1251" s="160">
        <v>2</v>
      </c>
      <c r="C1251" s="160">
        <v>11700</v>
      </c>
      <c r="D1251" s="160" t="s">
        <v>4020</v>
      </c>
      <c r="E1251" s="160">
        <v>825</v>
      </c>
      <c r="F1251" s="160" t="s">
        <v>74</v>
      </c>
      <c r="G1251" s="148">
        <v>32</v>
      </c>
      <c r="H1251" s="152">
        <f>IF(C1251=11700,ROUND(VLOOKUP(G1251,ThongSo!$F$2:$I$15,4,0)*B1251*11.7,3),0)</f>
        <v>147.654</v>
      </c>
      <c r="I1251" s="152">
        <f>IF(F1251="Sắt vụn",ROUND(VLOOKUP(G1251,ThongSo!$F$2:$I$15,4,0)*B1251*E1251/1000,3),"-")</f>
        <v>10.412000000000001</v>
      </c>
      <c r="L1251" s="150"/>
      <c r="M1251" s="150"/>
      <c r="N1251" s="150"/>
    </row>
    <row r="1252" spans="1:14" x14ac:dyDescent="0.25">
      <c r="A1252" s="159">
        <v>129</v>
      </c>
      <c r="B1252" s="160">
        <v>2</v>
      </c>
      <c r="C1252" s="160">
        <v>11700</v>
      </c>
      <c r="D1252" s="160" t="s">
        <v>4021</v>
      </c>
      <c r="E1252" s="160">
        <v>900</v>
      </c>
      <c r="F1252" s="160" t="s">
        <v>74</v>
      </c>
      <c r="G1252" s="148">
        <v>32</v>
      </c>
      <c r="H1252" s="152">
        <f>IF(C1252=11700,ROUND(VLOOKUP(G1252,ThongSo!$F$2:$I$15,4,0)*B1252*11.7,3),0)</f>
        <v>147.654</v>
      </c>
      <c r="I1252" s="152">
        <f>IF(F1252="Sắt vụn",ROUND(VLOOKUP(G1252,ThongSo!$F$2:$I$15,4,0)*B1252*E1252/1000,3),"-")</f>
        <v>11.358000000000001</v>
      </c>
      <c r="L1252" s="150"/>
      <c r="M1252" s="150"/>
      <c r="N1252" s="150"/>
    </row>
    <row r="1253" spans="1:14" x14ac:dyDescent="0.25">
      <c r="A1253" s="159">
        <v>130</v>
      </c>
      <c r="B1253" s="160">
        <v>1</v>
      </c>
      <c r="C1253" s="160">
        <v>11700</v>
      </c>
      <c r="D1253" s="160" t="s">
        <v>4022</v>
      </c>
      <c r="E1253" s="160">
        <v>950</v>
      </c>
      <c r="F1253" s="160" t="s">
        <v>74</v>
      </c>
      <c r="G1253" s="148">
        <v>32</v>
      </c>
      <c r="H1253" s="152">
        <f>IF(C1253=11700,ROUND(VLOOKUP(G1253,ThongSo!$F$2:$I$15,4,0)*B1253*11.7,3),0)</f>
        <v>73.826999999999998</v>
      </c>
      <c r="I1253" s="152">
        <f>IF(F1253="Sắt vụn",ROUND(VLOOKUP(G1253,ThongSo!$F$2:$I$15,4,0)*B1253*E1253/1000,3),"-")</f>
        <v>5.9950000000000001</v>
      </c>
      <c r="L1253" s="150"/>
      <c r="M1253" s="150"/>
      <c r="N1253" s="150"/>
    </row>
    <row r="1254" spans="1:14" x14ac:dyDescent="0.25">
      <c r="A1254" s="159">
        <v>131</v>
      </c>
      <c r="B1254" s="160">
        <v>2</v>
      </c>
      <c r="C1254" s="160">
        <v>11700</v>
      </c>
      <c r="D1254" s="160" t="s">
        <v>4023</v>
      </c>
      <c r="E1254" s="160">
        <v>950</v>
      </c>
      <c r="F1254" s="160" t="s">
        <v>74</v>
      </c>
      <c r="G1254" s="148">
        <v>32</v>
      </c>
      <c r="H1254" s="152">
        <f>IF(C1254=11700,ROUND(VLOOKUP(G1254,ThongSo!$F$2:$I$15,4,0)*B1254*11.7,3),0)</f>
        <v>147.654</v>
      </c>
      <c r="I1254" s="152">
        <f>IF(F1254="Sắt vụn",ROUND(VLOOKUP(G1254,ThongSo!$F$2:$I$15,4,0)*B1254*E1254/1000,3),"-")</f>
        <v>11.989000000000001</v>
      </c>
      <c r="L1254" s="150"/>
      <c r="M1254" s="150"/>
      <c r="N1254" s="150"/>
    </row>
    <row r="1255" spans="1:14" x14ac:dyDescent="0.25">
      <c r="A1255" s="159">
        <v>132</v>
      </c>
      <c r="B1255" s="160">
        <v>2</v>
      </c>
      <c r="C1255" s="160">
        <v>11700</v>
      </c>
      <c r="D1255" s="160" t="s">
        <v>4024</v>
      </c>
      <c r="E1255" s="160">
        <v>1050</v>
      </c>
      <c r="F1255" s="160" t="s">
        <v>74</v>
      </c>
      <c r="G1255" s="148">
        <v>32</v>
      </c>
      <c r="H1255" s="152">
        <f>IF(C1255=11700,ROUND(VLOOKUP(G1255,ThongSo!$F$2:$I$15,4,0)*B1255*11.7,3),0)</f>
        <v>147.654</v>
      </c>
      <c r="I1255" s="152">
        <f>IF(F1255="Sắt vụn",ROUND(VLOOKUP(G1255,ThongSo!$F$2:$I$15,4,0)*B1255*E1255/1000,3),"-")</f>
        <v>13.250999999999999</v>
      </c>
      <c r="L1255" s="150"/>
      <c r="M1255" s="150"/>
      <c r="N1255" s="150"/>
    </row>
    <row r="1256" spans="1:14" x14ac:dyDescent="0.25">
      <c r="A1256" s="159">
        <v>133</v>
      </c>
      <c r="B1256" s="160">
        <v>2</v>
      </c>
      <c r="C1256" s="160">
        <v>11700</v>
      </c>
      <c r="D1256" s="160" t="s">
        <v>4025</v>
      </c>
      <c r="E1256" s="160">
        <v>1150</v>
      </c>
      <c r="F1256" s="160" t="s">
        <v>74</v>
      </c>
      <c r="G1256" s="148">
        <v>32</v>
      </c>
      <c r="H1256" s="152">
        <f>IF(C1256=11700,ROUND(VLOOKUP(G1256,ThongSo!$F$2:$I$15,4,0)*B1256*11.7,3),0)</f>
        <v>147.654</v>
      </c>
      <c r="I1256" s="152">
        <f>IF(F1256="Sắt vụn",ROUND(VLOOKUP(G1256,ThongSo!$F$2:$I$15,4,0)*B1256*E1256/1000,3),"-")</f>
        <v>14.513</v>
      </c>
      <c r="L1256" s="150"/>
      <c r="M1256" s="150"/>
      <c r="N1256" s="150"/>
    </row>
    <row r="1257" spans="1:14" x14ac:dyDescent="0.25">
      <c r="A1257" s="159">
        <v>134</v>
      </c>
      <c r="B1257" s="160">
        <v>2</v>
      </c>
      <c r="C1257" s="160">
        <v>11700</v>
      </c>
      <c r="D1257" s="160" t="s">
        <v>4026</v>
      </c>
      <c r="E1257" s="160">
        <v>1360</v>
      </c>
      <c r="F1257" s="160" t="s">
        <v>74</v>
      </c>
      <c r="G1257" s="148">
        <v>32</v>
      </c>
      <c r="H1257" s="152">
        <f>IF(C1257=11700,ROUND(VLOOKUP(G1257,ThongSo!$F$2:$I$15,4,0)*B1257*11.7,3),0)</f>
        <v>147.654</v>
      </c>
      <c r="I1257" s="152">
        <f>IF(F1257="Sắt vụn",ROUND(VLOOKUP(G1257,ThongSo!$F$2:$I$15,4,0)*B1257*E1257/1000,3),"-")</f>
        <v>17.163</v>
      </c>
      <c r="L1257" s="150"/>
      <c r="M1257" s="150"/>
      <c r="N1257" s="150"/>
    </row>
    <row r="1258" spans="1:14" x14ac:dyDescent="0.25">
      <c r="A1258" s="159">
        <v>135</v>
      </c>
      <c r="B1258" s="160">
        <v>2</v>
      </c>
      <c r="C1258" s="160">
        <v>11700</v>
      </c>
      <c r="D1258" s="160" t="s">
        <v>4027</v>
      </c>
      <c r="E1258" s="160">
        <v>1410</v>
      </c>
      <c r="F1258" s="160" t="s">
        <v>74</v>
      </c>
      <c r="G1258" s="148">
        <v>32</v>
      </c>
      <c r="H1258" s="152">
        <f>IF(C1258=11700,ROUND(VLOOKUP(G1258,ThongSo!$F$2:$I$15,4,0)*B1258*11.7,3),0)</f>
        <v>147.654</v>
      </c>
      <c r="I1258" s="152">
        <f>IF(F1258="Sắt vụn",ROUND(VLOOKUP(G1258,ThongSo!$F$2:$I$15,4,0)*B1258*E1258/1000,3),"-")</f>
        <v>17.794</v>
      </c>
      <c r="L1258" s="150"/>
      <c r="M1258" s="150"/>
      <c r="N1258" s="150"/>
    </row>
    <row r="1259" spans="1:14" x14ac:dyDescent="0.25">
      <c r="A1259" s="159">
        <v>136</v>
      </c>
      <c r="B1259" s="160">
        <v>3</v>
      </c>
      <c r="C1259" s="160">
        <v>11700</v>
      </c>
      <c r="D1259" s="160" t="s">
        <v>4028</v>
      </c>
      <c r="E1259" s="160">
        <v>1480</v>
      </c>
      <c r="F1259" s="160" t="s">
        <v>74</v>
      </c>
      <c r="G1259" s="148">
        <v>32</v>
      </c>
      <c r="H1259" s="152">
        <f>IF(C1259=11700,ROUND(VLOOKUP(G1259,ThongSo!$F$2:$I$15,4,0)*B1259*11.7,3),0)</f>
        <v>221.48099999999999</v>
      </c>
      <c r="I1259" s="152">
        <f>IF(F1259="Sắt vụn",ROUND(VLOOKUP(G1259,ThongSo!$F$2:$I$15,4,0)*B1259*E1259/1000,3),"-")</f>
        <v>28.015999999999998</v>
      </c>
      <c r="L1259" s="150"/>
      <c r="M1259" s="150"/>
      <c r="N1259" s="150"/>
    </row>
    <row r="1260" spans="1:14" x14ac:dyDescent="0.25">
      <c r="A1260" s="159">
        <v>137</v>
      </c>
      <c r="B1260" s="160">
        <v>2</v>
      </c>
      <c r="C1260" s="160">
        <v>11700</v>
      </c>
      <c r="D1260" s="160" t="s">
        <v>4029</v>
      </c>
      <c r="E1260" s="160">
        <v>1580</v>
      </c>
      <c r="F1260" s="160" t="s">
        <v>74</v>
      </c>
      <c r="G1260" s="148">
        <v>32</v>
      </c>
      <c r="H1260" s="152">
        <f>IF(C1260=11700,ROUND(VLOOKUP(G1260,ThongSo!$F$2:$I$15,4,0)*B1260*11.7,3),0)</f>
        <v>147.654</v>
      </c>
      <c r="I1260" s="152">
        <f>IF(F1260="Sắt vụn",ROUND(VLOOKUP(G1260,ThongSo!$F$2:$I$15,4,0)*B1260*E1260/1000,3),"-")</f>
        <v>19.940000000000001</v>
      </c>
      <c r="L1260" s="150"/>
      <c r="M1260" s="150"/>
      <c r="N1260" s="150"/>
    </row>
    <row r="1261" spans="1:14" x14ac:dyDescent="0.25">
      <c r="A1261" s="159">
        <v>138</v>
      </c>
      <c r="B1261" s="160">
        <v>6</v>
      </c>
      <c r="C1261" s="160">
        <v>11700</v>
      </c>
      <c r="D1261" s="160" t="s">
        <v>4030</v>
      </c>
      <c r="E1261" s="160">
        <v>1700</v>
      </c>
      <c r="F1261" s="160" t="s">
        <v>75</v>
      </c>
      <c r="G1261" s="148">
        <v>32</v>
      </c>
      <c r="H1261" s="152">
        <f>IF(C1261=11700,ROUND(VLOOKUP(G1261,ThongSo!$F$2:$I$15,4,0)*B1261*11.7,3),0)</f>
        <v>442.96199999999999</v>
      </c>
      <c r="I1261" s="152" t="str">
        <f>IF(F1261="Sắt vụn",ROUND(VLOOKUP(G1261,ThongSo!$F$2:$I$15,4,0)*B1261*E1261/1000,3),"-")</f>
        <v>-</v>
      </c>
      <c r="L1261" s="150"/>
      <c r="M1261" s="150"/>
      <c r="N1261" s="150"/>
    </row>
    <row r="1262" spans="1:14" x14ac:dyDescent="0.25">
      <c r="A1262" s="159">
        <v>139</v>
      </c>
      <c r="B1262" s="160">
        <v>5</v>
      </c>
      <c r="C1262" s="160">
        <v>11700</v>
      </c>
      <c r="D1262" s="160" t="s">
        <v>4031</v>
      </c>
      <c r="E1262" s="160">
        <v>1700</v>
      </c>
      <c r="F1262" s="160" t="s">
        <v>75</v>
      </c>
      <c r="G1262" s="148">
        <v>32</v>
      </c>
      <c r="H1262" s="152">
        <f>IF(C1262=11700,ROUND(VLOOKUP(G1262,ThongSo!$F$2:$I$15,4,0)*B1262*11.7,3),0)</f>
        <v>369.13499999999999</v>
      </c>
      <c r="I1262" s="152" t="str">
        <f>IF(F1262="Sắt vụn",ROUND(VLOOKUP(G1262,ThongSo!$F$2:$I$15,4,0)*B1262*E1262/1000,3),"-")</f>
        <v>-</v>
      </c>
      <c r="L1262" s="150"/>
      <c r="M1262" s="150"/>
      <c r="N1262" s="150"/>
    </row>
    <row r="1263" spans="1:14" x14ac:dyDescent="0.25">
      <c r="A1263" s="159">
        <v>140</v>
      </c>
      <c r="B1263" s="160">
        <v>5</v>
      </c>
      <c r="C1263" s="160">
        <v>11700</v>
      </c>
      <c r="D1263" s="160" t="s">
        <v>4032</v>
      </c>
      <c r="E1263" s="160">
        <v>1700</v>
      </c>
      <c r="F1263" s="160" t="s">
        <v>75</v>
      </c>
      <c r="G1263" s="148">
        <v>32</v>
      </c>
      <c r="H1263" s="152">
        <f>IF(C1263=11700,ROUND(VLOOKUP(G1263,ThongSo!$F$2:$I$15,4,0)*B1263*11.7,3),0)</f>
        <v>369.13499999999999</v>
      </c>
      <c r="I1263" s="152" t="str">
        <f>IF(F1263="Sắt vụn",ROUND(VLOOKUP(G1263,ThongSo!$F$2:$I$15,4,0)*B1263*E1263/1000,3),"-")</f>
        <v>-</v>
      </c>
      <c r="L1263" s="150"/>
      <c r="M1263" s="150"/>
      <c r="N1263" s="150"/>
    </row>
    <row r="1264" spans="1:14" x14ac:dyDescent="0.25">
      <c r="A1264" s="159">
        <v>141</v>
      </c>
      <c r="B1264" s="160">
        <v>6</v>
      </c>
      <c r="C1264" s="160">
        <v>11700</v>
      </c>
      <c r="D1264" s="160" t="s">
        <v>4033</v>
      </c>
      <c r="E1264" s="160">
        <v>1700</v>
      </c>
      <c r="F1264" s="160" t="s">
        <v>75</v>
      </c>
      <c r="G1264" s="148">
        <v>32</v>
      </c>
      <c r="H1264" s="152">
        <f>IF(C1264=11700,ROUND(VLOOKUP(G1264,ThongSo!$F$2:$I$15,4,0)*B1264*11.7,3),0)</f>
        <v>442.96199999999999</v>
      </c>
      <c r="I1264" s="152" t="str">
        <f>IF(F1264="Sắt vụn",ROUND(VLOOKUP(G1264,ThongSo!$F$2:$I$15,4,0)*B1264*E1264/1000,3),"-")</f>
        <v>-</v>
      </c>
      <c r="L1264" s="150"/>
      <c r="M1264" s="150"/>
      <c r="N1264" s="150"/>
    </row>
    <row r="1265" spans="1:14" x14ac:dyDescent="0.25">
      <c r="A1265" s="159">
        <v>142</v>
      </c>
      <c r="B1265" s="160">
        <v>1</v>
      </c>
      <c r="C1265" s="160">
        <v>11700</v>
      </c>
      <c r="D1265" s="160" t="s">
        <v>4034</v>
      </c>
      <c r="E1265" s="160">
        <v>1700</v>
      </c>
      <c r="F1265" s="160" t="s">
        <v>75</v>
      </c>
      <c r="G1265" s="148">
        <v>32</v>
      </c>
      <c r="H1265" s="152">
        <f>IF(C1265=11700,ROUND(VLOOKUP(G1265,ThongSo!$F$2:$I$15,4,0)*B1265*11.7,3),0)</f>
        <v>73.826999999999998</v>
      </c>
      <c r="I1265" s="152" t="str">
        <f>IF(F1265="Sắt vụn",ROUND(VLOOKUP(G1265,ThongSo!$F$2:$I$15,4,0)*B1265*E1265/1000,3),"-")</f>
        <v>-</v>
      </c>
      <c r="L1265" s="150"/>
      <c r="M1265" s="150"/>
      <c r="N1265" s="150"/>
    </row>
    <row r="1266" spans="1:14" x14ac:dyDescent="0.25">
      <c r="A1266" s="159">
        <v>143</v>
      </c>
      <c r="B1266" s="160">
        <v>1</v>
      </c>
      <c r="C1266" s="160">
        <v>11700</v>
      </c>
      <c r="D1266" s="160" t="s">
        <v>4035</v>
      </c>
      <c r="E1266" s="160">
        <v>1700</v>
      </c>
      <c r="F1266" s="160" t="s">
        <v>75</v>
      </c>
      <c r="G1266" s="148">
        <v>32</v>
      </c>
      <c r="H1266" s="152">
        <f>IF(C1266=11700,ROUND(VLOOKUP(G1266,ThongSo!$F$2:$I$15,4,0)*B1266*11.7,3),0)</f>
        <v>73.826999999999998</v>
      </c>
      <c r="I1266" s="152" t="str">
        <f>IF(F1266="Sắt vụn",ROUND(VLOOKUP(G1266,ThongSo!$F$2:$I$15,4,0)*B1266*E1266/1000,3),"-")</f>
        <v>-</v>
      </c>
      <c r="L1266" s="150"/>
      <c r="M1266" s="150"/>
      <c r="N1266" s="150"/>
    </row>
    <row r="1267" spans="1:14" x14ac:dyDescent="0.25">
      <c r="A1267" s="159">
        <v>144</v>
      </c>
      <c r="B1267" s="160">
        <v>11</v>
      </c>
      <c r="C1267" s="160">
        <v>11700</v>
      </c>
      <c r="D1267" s="160" t="s">
        <v>4036</v>
      </c>
      <c r="E1267" s="160">
        <v>2015</v>
      </c>
      <c r="F1267" s="160" t="s">
        <v>75</v>
      </c>
      <c r="G1267" s="148">
        <v>32</v>
      </c>
      <c r="H1267" s="152">
        <f>IF(C1267=11700,ROUND(VLOOKUP(G1267,ThongSo!$F$2:$I$15,4,0)*B1267*11.7,3),0)</f>
        <v>812.09699999999998</v>
      </c>
      <c r="I1267" s="152" t="str">
        <f>IF(F1267="Sắt vụn",ROUND(VLOOKUP(G1267,ThongSo!$F$2:$I$15,4,0)*B1267*E1267/1000,3),"-")</f>
        <v>-</v>
      </c>
      <c r="L1267" s="150"/>
      <c r="M1267" s="150"/>
      <c r="N1267" s="150"/>
    </row>
    <row r="1268" spans="1:14" x14ac:dyDescent="0.25">
      <c r="A1268" s="159">
        <v>145</v>
      </c>
      <c r="B1268" s="160">
        <v>10</v>
      </c>
      <c r="C1268" s="160">
        <v>11700</v>
      </c>
      <c r="D1268" s="160" t="s">
        <v>4037</v>
      </c>
      <c r="E1268" s="160">
        <v>2015</v>
      </c>
      <c r="F1268" s="160" t="s">
        <v>75</v>
      </c>
      <c r="G1268" s="148">
        <v>32</v>
      </c>
      <c r="H1268" s="152">
        <f>IF(C1268=11700,ROUND(VLOOKUP(G1268,ThongSo!$F$2:$I$15,4,0)*B1268*11.7,3),0)</f>
        <v>738.27</v>
      </c>
      <c r="I1268" s="152" t="str">
        <f>IF(F1268="Sắt vụn",ROUND(VLOOKUP(G1268,ThongSo!$F$2:$I$15,4,0)*B1268*E1268/1000,3),"-")</f>
        <v>-</v>
      </c>
      <c r="L1268" s="150"/>
      <c r="M1268" s="150"/>
      <c r="N1268" s="150"/>
    </row>
    <row r="1269" spans="1:14" x14ac:dyDescent="0.25">
      <c r="A1269" s="159">
        <v>146</v>
      </c>
      <c r="B1269" s="160">
        <v>2</v>
      </c>
      <c r="C1269" s="160">
        <v>11700</v>
      </c>
      <c r="D1269" s="160" t="s">
        <v>4038</v>
      </c>
      <c r="E1269" s="160">
        <v>2340</v>
      </c>
      <c r="F1269" s="160" t="s">
        <v>75</v>
      </c>
      <c r="G1269" s="148">
        <v>32</v>
      </c>
      <c r="H1269" s="152">
        <f>IF(C1269=11700,ROUND(VLOOKUP(G1269,ThongSo!$F$2:$I$15,4,0)*B1269*11.7,3),0)</f>
        <v>147.654</v>
      </c>
      <c r="I1269" s="152" t="str">
        <f>IF(F1269="Sắt vụn",ROUND(VLOOKUP(G1269,ThongSo!$F$2:$I$15,4,0)*B1269*E1269/1000,3),"-")</f>
        <v>-</v>
      </c>
      <c r="L1269" s="150"/>
      <c r="M1269" s="150"/>
      <c r="N1269" s="150"/>
    </row>
    <row r="1270" spans="1:14" x14ac:dyDescent="0.25">
      <c r="A1270" s="159">
        <v>147</v>
      </c>
      <c r="B1270" s="160">
        <v>2</v>
      </c>
      <c r="C1270" s="160">
        <v>11700</v>
      </c>
      <c r="D1270" s="160" t="s">
        <v>4039</v>
      </c>
      <c r="E1270" s="160">
        <v>2380</v>
      </c>
      <c r="F1270" s="160" t="s">
        <v>75</v>
      </c>
      <c r="G1270" s="148">
        <v>32</v>
      </c>
      <c r="H1270" s="152">
        <f>IF(C1270=11700,ROUND(VLOOKUP(G1270,ThongSo!$F$2:$I$15,4,0)*B1270*11.7,3),0)</f>
        <v>147.654</v>
      </c>
      <c r="I1270" s="152" t="str">
        <f>IF(F1270="Sắt vụn",ROUND(VLOOKUP(G1270,ThongSo!$F$2:$I$15,4,0)*B1270*E1270/1000,3),"-")</f>
        <v>-</v>
      </c>
      <c r="L1270" s="150"/>
      <c r="M1270" s="150"/>
      <c r="N1270" s="150"/>
    </row>
    <row r="1271" spans="1:14" x14ac:dyDescent="0.25">
      <c r="A1271" s="159">
        <v>148</v>
      </c>
      <c r="B1271" s="160">
        <v>3</v>
      </c>
      <c r="C1271" s="160">
        <v>11700</v>
      </c>
      <c r="D1271" s="160" t="s">
        <v>4040</v>
      </c>
      <c r="E1271" s="160">
        <v>2440</v>
      </c>
      <c r="F1271" s="160" t="s">
        <v>75</v>
      </c>
      <c r="G1271" s="148">
        <v>32</v>
      </c>
      <c r="H1271" s="152">
        <f>IF(C1271=11700,ROUND(VLOOKUP(G1271,ThongSo!$F$2:$I$15,4,0)*B1271*11.7,3),0)</f>
        <v>221.48099999999999</v>
      </c>
      <c r="I1271" s="152" t="str">
        <f>IF(F1271="Sắt vụn",ROUND(VLOOKUP(G1271,ThongSo!$F$2:$I$15,4,0)*B1271*E1271/1000,3),"-")</f>
        <v>-</v>
      </c>
      <c r="L1271" s="150"/>
      <c r="M1271" s="150"/>
      <c r="N1271" s="150"/>
    </row>
    <row r="1272" spans="1:14" x14ac:dyDescent="0.25">
      <c r="A1272" s="159">
        <v>149</v>
      </c>
      <c r="B1272" s="160">
        <v>5</v>
      </c>
      <c r="C1272" s="160">
        <v>11700</v>
      </c>
      <c r="D1272" s="160" t="s">
        <v>4041</v>
      </c>
      <c r="E1272" s="160">
        <v>2445</v>
      </c>
      <c r="F1272" s="160" t="s">
        <v>75</v>
      </c>
      <c r="G1272" s="148">
        <v>32</v>
      </c>
      <c r="H1272" s="152">
        <f>IF(C1272=11700,ROUND(VLOOKUP(G1272,ThongSo!$F$2:$I$15,4,0)*B1272*11.7,3),0)</f>
        <v>369.13499999999999</v>
      </c>
      <c r="I1272" s="152" t="str">
        <f>IF(F1272="Sắt vụn",ROUND(VLOOKUP(G1272,ThongSo!$F$2:$I$15,4,0)*B1272*E1272/1000,3),"-")</f>
        <v>-</v>
      </c>
      <c r="L1272" s="150"/>
      <c r="M1272" s="150"/>
      <c r="N1272" s="150"/>
    </row>
    <row r="1273" spans="1:14" x14ac:dyDescent="0.25">
      <c r="A1273" s="159">
        <v>150</v>
      </c>
      <c r="B1273" s="160">
        <v>5</v>
      </c>
      <c r="C1273" s="160">
        <v>11700</v>
      </c>
      <c r="D1273" s="160" t="s">
        <v>4042</v>
      </c>
      <c r="E1273" s="160">
        <v>2445</v>
      </c>
      <c r="F1273" s="160" t="s">
        <v>75</v>
      </c>
      <c r="G1273" s="148">
        <v>32</v>
      </c>
      <c r="H1273" s="152">
        <f>IF(C1273=11700,ROUND(VLOOKUP(G1273,ThongSo!$F$2:$I$15,4,0)*B1273*11.7,3),0)</f>
        <v>369.13499999999999</v>
      </c>
      <c r="I1273" s="152" t="str">
        <f>IF(F1273="Sắt vụn",ROUND(VLOOKUP(G1273,ThongSo!$F$2:$I$15,4,0)*B1273*E1273/1000,3),"-")</f>
        <v>-</v>
      </c>
      <c r="L1273" s="150"/>
      <c r="M1273" s="150"/>
      <c r="N1273" s="150"/>
    </row>
    <row r="1274" spans="1:14" x14ac:dyDescent="0.25">
      <c r="A1274" s="159">
        <v>151</v>
      </c>
      <c r="B1274" s="160">
        <v>5</v>
      </c>
      <c r="C1274" s="160">
        <v>11700</v>
      </c>
      <c r="D1274" s="160" t="s">
        <v>4043</v>
      </c>
      <c r="E1274" s="160">
        <v>2455</v>
      </c>
      <c r="F1274" s="160" t="s">
        <v>75</v>
      </c>
      <c r="G1274" s="148">
        <v>32</v>
      </c>
      <c r="H1274" s="152">
        <f>IF(C1274=11700,ROUND(VLOOKUP(G1274,ThongSo!$F$2:$I$15,4,0)*B1274*11.7,3),0)</f>
        <v>369.13499999999999</v>
      </c>
      <c r="I1274" s="152" t="str">
        <f>IF(F1274="Sắt vụn",ROUND(VLOOKUP(G1274,ThongSo!$F$2:$I$15,4,0)*B1274*E1274/1000,3),"-")</f>
        <v>-</v>
      </c>
      <c r="L1274" s="150"/>
      <c r="M1274" s="150"/>
      <c r="N1274" s="150"/>
    </row>
    <row r="1275" spans="1:14" x14ac:dyDescent="0.25">
      <c r="A1275" s="159">
        <v>152</v>
      </c>
      <c r="B1275" s="160">
        <v>20</v>
      </c>
      <c r="C1275" s="160">
        <v>11700</v>
      </c>
      <c r="D1275" s="160" t="s">
        <v>4044</v>
      </c>
      <c r="E1275" s="160">
        <v>2455</v>
      </c>
      <c r="F1275" s="160" t="s">
        <v>75</v>
      </c>
      <c r="G1275" s="148">
        <v>32</v>
      </c>
      <c r="H1275" s="152">
        <f>IF(C1275=11700,ROUND(VLOOKUP(G1275,ThongSo!$F$2:$I$15,4,0)*B1275*11.7,3),0)</f>
        <v>1476.54</v>
      </c>
      <c r="I1275" s="152" t="str">
        <f>IF(F1275="Sắt vụn",ROUND(VLOOKUP(G1275,ThongSo!$F$2:$I$15,4,0)*B1275*E1275/1000,3),"-")</f>
        <v>-</v>
      </c>
      <c r="L1275" s="150"/>
      <c r="M1275" s="150"/>
      <c r="N1275" s="150"/>
    </row>
    <row r="1276" spans="1:14" x14ac:dyDescent="0.25">
      <c r="A1276" s="159">
        <v>153</v>
      </c>
      <c r="B1276" s="160">
        <v>12</v>
      </c>
      <c r="C1276" s="160">
        <v>11700</v>
      </c>
      <c r="D1276" s="160" t="s">
        <v>4045</v>
      </c>
      <c r="E1276" s="160">
        <v>2455</v>
      </c>
      <c r="F1276" s="160" t="s">
        <v>75</v>
      </c>
      <c r="G1276" s="148">
        <v>32</v>
      </c>
      <c r="H1276" s="152">
        <f>IF(C1276=11700,ROUND(VLOOKUP(G1276,ThongSo!$F$2:$I$15,4,0)*B1276*11.7,3),0)</f>
        <v>885.92399999999998</v>
      </c>
      <c r="I1276" s="152" t="str">
        <f>IF(F1276="Sắt vụn",ROUND(VLOOKUP(G1276,ThongSo!$F$2:$I$15,4,0)*B1276*E1276/1000,3),"-")</f>
        <v>-</v>
      </c>
      <c r="L1276" s="150"/>
      <c r="M1276" s="150"/>
      <c r="N1276" s="150"/>
    </row>
    <row r="1277" spans="1:14" x14ac:dyDescent="0.25">
      <c r="A1277" s="159">
        <v>154</v>
      </c>
      <c r="B1277" s="160">
        <v>5</v>
      </c>
      <c r="C1277" s="160">
        <v>11700</v>
      </c>
      <c r="D1277" s="160" t="s">
        <v>4046</v>
      </c>
      <c r="E1277" s="160">
        <v>2505</v>
      </c>
      <c r="F1277" s="160" t="s">
        <v>75</v>
      </c>
      <c r="G1277" s="148">
        <v>32</v>
      </c>
      <c r="H1277" s="152">
        <f>IF(C1277=11700,ROUND(VLOOKUP(G1277,ThongSo!$F$2:$I$15,4,0)*B1277*11.7,3),0)</f>
        <v>369.13499999999999</v>
      </c>
      <c r="I1277" s="152" t="str">
        <f>IF(F1277="Sắt vụn",ROUND(VLOOKUP(G1277,ThongSo!$F$2:$I$15,4,0)*B1277*E1277/1000,3),"-")</f>
        <v>-</v>
      </c>
      <c r="L1277" s="150"/>
      <c r="M1277" s="150"/>
      <c r="N1277" s="150"/>
    </row>
    <row r="1278" spans="1:14" x14ac:dyDescent="0.25">
      <c r="A1278" s="159">
        <v>155</v>
      </c>
      <c r="B1278" s="160">
        <v>12</v>
      </c>
      <c r="C1278" s="160">
        <v>11700</v>
      </c>
      <c r="D1278" s="160" t="s">
        <v>4047</v>
      </c>
      <c r="E1278" s="160">
        <v>2505</v>
      </c>
      <c r="F1278" s="160" t="s">
        <v>75</v>
      </c>
      <c r="G1278" s="148">
        <v>32</v>
      </c>
      <c r="H1278" s="152">
        <f>IF(C1278=11700,ROUND(VLOOKUP(G1278,ThongSo!$F$2:$I$15,4,0)*B1278*11.7,3),0)</f>
        <v>885.92399999999998</v>
      </c>
      <c r="I1278" s="152" t="str">
        <f>IF(F1278="Sắt vụn",ROUND(VLOOKUP(G1278,ThongSo!$F$2:$I$15,4,0)*B1278*E1278/1000,3),"-")</f>
        <v>-</v>
      </c>
      <c r="L1278" s="150"/>
      <c r="M1278" s="150"/>
      <c r="N1278" s="150"/>
    </row>
    <row r="1279" spans="1:14" x14ac:dyDescent="0.25">
      <c r="A1279" s="159">
        <v>156</v>
      </c>
      <c r="B1279" s="160">
        <v>7</v>
      </c>
      <c r="C1279" s="160">
        <v>11700</v>
      </c>
      <c r="D1279" s="160" t="s">
        <v>4048</v>
      </c>
      <c r="E1279" s="160">
        <v>2700</v>
      </c>
      <c r="F1279" s="160" t="s">
        <v>75</v>
      </c>
      <c r="G1279" s="148">
        <v>32</v>
      </c>
      <c r="H1279" s="152">
        <f>IF(C1279=11700,ROUND(VLOOKUP(G1279,ThongSo!$F$2:$I$15,4,0)*B1279*11.7,3),0)</f>
        <v>516.78899999999999</v>
      </c>
      <c r="I1279" s="152" t="str">
        <f>IF(F1279="Sắt vụn",ROUND(VLOOKUP(G1279,ThongSo!$F$2:$I$15,4,0)*B1279*E1279/1000,3),"-")</f>
        <v>-</v>
      </c>
      <c r="L1279" s="150"/>
      <c r="M1279" s="150"/>
      <c r="N1279" s="150"/>
    </row>
    <row r="1280" spans="1:14" x14ac:dyDescent="0.25">
      <c r="A1280" s="159">
        <v>157</v>
      </c>
      <c r="B1280" s="160">
        <v>2</v>
      </c>
      <c r="C1280" s="160">
        <v>11700</v>
      </c>
      <c r="D1280" s="160" t="s">
        <v>4049</v>
      </c>
      <c r="E1280" s="160">
        <v>3000</v>
      </c>
      <c r="F1280" s="160" t="s">
        <v>75</v>
      </c>
      <c r="G1280" s="148">
        <v>32</v>
      </c>
      <c r="H1280" s="152">
        <f>IF(C1280=11700,ROUND(VLOOKUP(G1280,ThongSo!$F$2:$I$15,4,0)*B1280*11.7,3),0)</f>
        <v>147.654</v>
      </c>
      <c r="I1280" s="152" t="str">
        <f>IF(F1280="Sắt vụn",ROUND(VLOOKUP(G1280,ThongSo!$F$2:$I$15,4,0)*B1280*E1280/1000,3),"-")</f>
        <v>-</v>
      </c>
      <c r="L1280" s="150"/>
      <c r="M1280" s="150"/>
      <c r="N1280" s="150"/>
    </row>
    <row r="1281" spans="1:14" x14ac:dyDescent="0.25">
      <c r="A1281" s="159">
        <v>158</v>
      </c>
      <c r="B1281" s="160">
        <v>2</v>
      </c>
      <c r="C1281" s="160">
        <v>11700</v>
      </c>
      <c r="D1281" s="160" t="s">
        <v>4050</v>
      </c>
      <c r="E1281" s="160">
        <v>3030</v>
      </c>
      <c r="F1281" s="160" t="s">
        <v>75</v>
      </c>
      <c r="G1281" s="148">
        <v>32</v>
      </c>
      <c r="H1281" s="152">
        <f>IF(C1281=11700,ROUND(VLOOKUP(G1281,ThongSo!$F$2:$I$15,4,0)*B1281*11.7,3),0)</f>
        <v>147.654</v>
      </c>
      <c r="I1281" s="152" t="str">
        <f>IF(F1281="Sắt vụn",ROUND(VLOOKUP(G1281,ThongSo!$F$2:$I$15,4,0)*B1281*E1281/1000,3),"-")</f>
        <v>-</v>
      </c>
      <c r="L1281" s="150"/>
      <c r="M1281" s="150"/>
      <c r="N1281" s="150"/>
    </row>
    <row r="1282" spans="1:14" x14ac:dyDescent="0.25">
      <c r="A1282" s="159">
        <v>159</v>
      </c>
      <c r="B1282" s="160">
        <v>9</v>
      </c>
      <c r="C1282" s="160">
        <v>11700</v>
      </c>
      <c r="D1282" s="160" t="s">
        <v>4051</v>
      </c>
      <c r="E1282" s="160">
        <v>4680</v>
      </c>
      <c r="F1282" s="160" t="s">
        <v>75</v>
      </c>
      <c r="G1282" s="148">
        <v>32</v>
      </c>
      <c r="H1282" s="152">
        <f>IF(C1282=11700,ROUND(VLOOKUP(G1282,ThongSo!$F$2:$I$15,4,0)*B1282*11.7,3),0)</f>
        <v>664.44299999999998</v>
      </c>
      <c r="I1282" s="152" t="str">
        <f>IF(F1282="Sắt vụn",ROUND(VLOOKUP(G1282,ThongSo!$F$2:$I$15,4,0)*B1282*E1282/1000,3),"-")</f>
        <v>-</v>
      </c>
      <c r="L1282" s="150"/>
      <c r="M1282" s="150"/>
      <c r="N1282" s="150"/>
    </row>
    <row r="1283" spans="1:14" x14ac:dyDescent="0.25">
      <c r="A1283" s="159">
        <v>160</v>
      </c>
      <c r="B1283" s="160">
        <v>54</v>
      </c>
      <c r="C1283" s="160">
        <v>11700</v>
      </c>
      <c r="D1283" s="160" t="s">
        <v>4052</v>
      </c>
      <c r="E1283" s="160">
        <v>4680</v>
      </c>
      <c r="F1283" s="160" t="s">
        <v>75</v>
      </c>
      <c r="G1283" s="148">
        <v>32</v>
      </c>
      <c r="H1283" s="152">
        <f>IF(C1283=11700,ROUND(VLOOKUP(G1283,ThongSo!$F$2:$I$15,4,0)*B1283*11.7,3),0)</f>
        <v>3986.6579999999999</v>
      </c>
      <c r="I1283" s="152" t="str">
        <f>IF(F1283="Sắt vụn",ROUND(VLOOKUP(G1283,ThongSo!$F$2:$I$15,4,0)*B1283*E1283/1000,3),"-")</f>
        <v>-</v>
      </c>
      <c r="L1283" s="150"/>
      <c r="M1283" s="150"/>
      <c r="N1283" s="150"/>
    </row>
    <row r="1284" spans="1:14" x14ac:dyDescent="0.25">
      <c r="A1284" s="159">
        <v>161</v>
      </c>
      <c r="B1284" s="160">
        <v>3</v>
      </c>
      <c r="C1284" s="160">
        <v>11700</v>
      </c>
      <c r="D1284" s="160" t="s">
        <v>4053</v>
      </c>
      <c r="E1284" s="160">
        <v>4700</v>
      </c>
      <c r="F1284" s="160" t="s">
        <v>75</v>
      </c>
      <c r="G1284" s="148">
        <v>32</v>
      </c>
      <c r="H1284" s="152">
        <f>IF(C1284=11700,ROUND(VLOOKUP(G1284,ThongSo!$F$2:$I$15,4,0)*B1284*11.7,3),0)</f>
        <v>221.48099999999999</v>
      </c>
      <c r="I1284" s="152" t="str">
        <f>IF(F1284="Sắt vụn",ROUND(VLOOKUP(G1284,ThongSo!$F$2:$I$15,4,0)*B1284*E1284/1000,3),"-")</f>
        <v>-</v>
      </c>
      <c r="L1284" s="150"/>
      <c r="M1284" s="150"/>
      <c r="N1284" s="150"/>
    </row>
    <row r="1285" spans="1:14" x14ac:dyDescent="0.25">
      <c r="A1285" s="159">
        <v>162</v>
      </c>
      <c r="B1285" s="160">
        <v>1</v>
      </c>
      <c r="C1285" s="160">
        <v>11700</v>
      </c>
      <c r="D1285" s="160" t="s">
        <v>4054</v>
      </c>
      <c r="E1285" s="160">
        <v>4760</v>
      </c>
      <c r="F1285" s="160" t="s">
        <v>75</v>
      </c>
      <c r="G1285" s="148">
        <v>32</v>
      </c>
      <c r="H1285" s="152">
        <f>IF(C1285=11700,ROUND(VLOOKUP(G1285,ThongSo!$F$2:$I$15,4,0)*B1285*11.7,3),0)</f>
        <v>73.826999999999998</v>
      </c>
      <c r="I1285" s="152" t="str">
        <f>IF(F1285="Sắt vụn",ROUND(VLOOKUP(G1285,ThongSo!$F$2:$I$15,4,0)*B1285*E1285/1000,3),"-")</f>
        <v>-</v>
      </c>
      <c r="L1285" s="150"/>
      <c r="M1285" s="150"/>
      <c r="N1285" s="150"/>
    </row>
    <row r="1286" spans="1:14" x14ac:dyDescent="0.25">
      <c r="A1286" s="159">
        <v>163</v>
      </c>
      <c r="B1286" s="160">
        <v>1</v>
      </c>
      <c r="C1286" s="160">
        <v>11700</v>
      </c>
      <c r="D1286" s="160" t="s">
        <v>4055</v>
      </c>
      <c r="E1286" s="160">
        <v>4760</v>
      </c>
      <c r="F1286" s="160" t="s">
        <v>75</v>
      </c>
      <c r="G1286" s="148">
        <v>32</v>
      </c>
      <c r="H1286" s="152">
        <f>IF(C1286=11700,ROUND(VLOOKUP(G1286,ThongSo!$F$2:$I$15,4,0)*B1286*11.7,3),0)</f>
        <v>73.826999999999998</v>
      </c>
      <c r="I1286" s="152" t="str">
        <f>IF(F1286="Sắt vụn",ROUND(VLOOKUP(G1286,ThongSo!$F$2:$I$15,4,0)*B1286*E1286/1000,3),"-")</f>
        <v>-</v>
      </c>
      <c r="L1286" s="150"/>
      <c r="M1286" s="150"/>
      <c r="N1286" s="150"/>
    </row>
    <row r="1287" spans="1:14" x14ac:dyDescent="0.25">
      <c r="A1287" s="159">
        <v>164</v>
      </c>
      <c r="B1287" s="160">
        <v>3</v>
      </c>
      <c r="C1287" s="160">
        <v>11700</v>
      </c>
      <c r="D1287" s="160" t="s">
        <v>4056</v>
      </c>
      <c r="E1287" s="160">
        <v>4800</v>
      </c>
      <c r="F1287" s="160" t="s">
        <v>75</v>
      </c>
      <c r="G1287" s="148">
        <v>32</v>
      </c>
      <c r="H1287" s="152">
        <f>IF(C1287=11700,ROUND(VLOOKUP(G1287,ThongSo!$F$2:$I$15,4,0)*B1287*11.7,3),0)</f>
        <v>221.48099999999999</v>
      </c>
      <c r="I1287" s="152" t="str">
        <f>IF(F1287="Sắt vụn",ROUND(VLOOKUP(G1287,ThongSo!$F$2:$I$15,4,0)*B1287*E1287/1000,3),"-")</f>
        <v>-</v>
      </c>
      <c r="L1287" s="150"/>
      <c r="M1287" s="150"/>
      <c r="N1287" s="150"/>
    </row>
    <row r="1288" spans="1:14" x14ac:dyDescent="0.25">
      <c r="A1288" s="159">
        <v>165</v>
      </c>
      <c r="B1288" s="160">
        <v>7</v>
      </c>
      <c r="C1288" s="160">
        <v>11700</v>
      </c>
      <c r="D1288" s="160" t="s">
        <v>4057</v>
      </c>
      <c r="E1288" s="160">
        <v>4860</v>
      </c>
      <c r="F1288" s="160" t="s">
        <v>75</v>
      </c>
      <c r="G1288" s="148">
        <v>32</v>
      </c>
      <c r="H1288" s="152">
        <f>IF(C1288=11700,ROUND(VLOOKUP(G1288,ThongSo!$F$2:$I$15,4,0)*B1288*11.7,3),0)</f>
        <v>516.78899999999999</v>
      </c>
      <c r="I1288" s="152" t="str">
        <f>IF(F1288="Sắt vụn",ROUND(VLOOKUP(G1288,ThongSo!$F$2:$I$15,4,0)*B1288*E1288/1000,3),"-")</f>
        <v>-</v>
      </c>
      <c r="L1288" s="150"/>
      <c r="M1288" s="150"/>
      <c r="N1288" s="150"/>
    </row>
    <row r="1289" spans="1:14" x14ac:dyDescent="0.25">
      <c r="A1289" s="159">
        <v>166</v>
      </c>
      <c r="B1289" s="160">
        <v>2</v>
      </c>
      <c r="C1289" s="160">
        <v>11700</v>
      </c>
      <c r="D1289" s="160" t="s">
        <v>4058</v>
      </c>
      <c r="E1289" s="160">
        <v>4970</v>
      </c>
      <c r="F1289" s="160" t="s">
        <v>75</v>
      </c>
      <c r="G1289" s="148">
        <v>32</v>
      </c>
      <c r="H1289" s="152">
        <f>IF(C1289=11700,ROUND(VLOOKUP(G1289,ThongSo!$F$2:$I$15,4,0)*B1289*11.7,3),0)</f>
        <v>147.654</v>
      </c>
      <c r="I1289" s="152" t="str">
        <f>IF(F1289="Sắt vụn",ROUND(VLOOKUP(G1289,ThongSo!$F$2:$I$15,4,0)*B1289*E1289/1000,3),"-")</f>
        <v>-</v>
      </c>
      <c r="L1289" s="150"/>
      <c r="M1289" s="150"/>
      <c r="N1289" s="150"/>
    </row>
    <row r="1290" spans="1:14" x14ac:dyDescent="0.25">
      <c r="A1290" s="159">
        <v>167</v>
      </c>
      <c r="B1290" s="160">
        <v>2</v>
      </c>
      <c r="C1290" s="160">
        <v>11700</v>
      </c>
      <c r="D1290" s="160" t="s">
        <v>4059</v>
      </c>
      <c r="E1290" s="160">
        <v>5000</v>
      </c>
      <c r="F1290" s="160" t="s">
        <v>75</v>
      </c>
      <c r="G1290" s="148">
        <v>32</v>
      </c>
      <c r="H1290" s="152">
        <f>IF(C1290=11700,ROUND(VLOOKUP(G1290,ThongSo!$F$2:$I$15,4,0)*B1290*11.7,3),0)</f>
        <v>147.654</v>
      </c>
      <c r="I1290" s="152" t="str">
        <f>IF(F1290="Sắt vụn",ROUND(VLOOKUP(G1290,ThongSo!$F$2:$I$15,4,0)*B1290*E1290/1000,3),"-")</f>
        <v>-</v>
      </c>
      <c r="L1290" s="150"/>
      <c r="M1290" s="150"/>
      <c r="N1290" s="150"/>
    </row>
    <row r="1291" spans="1:14" x14ac:dyDescent="0.25">
      <c r="A1291" s="159">
        <v>168</v>
      </c>
      <c r="B1291" s="160">
        <v>2</v>
      </c>
      <c r="C1291" s="160">
        <v>11700</v>
      </c>
      <c r="D1291" s="160" t="s">
        <v>4060</v>
      </c>
      <c r="E1291" s="160">
        <v>5100</v>
      </c>
      <c r="F1291" s="160" t="s">
        <v>75</v>
      </c>
      <c r="G1291" s="148">
        <v>32</v>
      </c>
      <c r="H1291" s="152">
        <f>IF(C1291=11700,ROUND(VLOOKUP(G1291,ThongSo!$F$2:$I$15,4,0)*B1291*11.7,3),0)</f>
        <v>147.654</v>
      </c>
      <c r="I1291" s="152" t="str">
        <f>IF(F1291="Sắt vụn",ROUND(VLOOKUP(G1291,ThongSo!$F$2:$I$15,4,0)*B1291*E1291/1000,3),"-")</f>
        <v>-</v>
      </c>
      <c r="L1291" s="150"/>
      <c r="M1291" s="150"/>
      <c r="N1291" s="150"/>
    </row>
    <row r="1292" spans="1:14" x14ac:dyDescent="0.25">
      <c r="A1292" s="159">
        <v>169</v>
      </c>
      <c r="B1292" s="160">
        <v>2</v>
      </c>
      <c r="C1292" s="160">
        <v>11700</v>
      </c>
      <c r="D1292" s="160" t="s">
        <v>4061</v>
      </c>
      <c r="E1292" s="160">
        <v>5100</v>
      </c>
      <c r="F1292" s="160" t="s">
        <v>75</v>
      </c>
      <c r="G1292" s="148">
        <v>32</v>
      </c>
      <c r="H1292" s="152">
        <f>IF(C1292=11700,ROUND(VLOOKUP(G1292,ThongSo!$F$2:$I$15,4,0)*B1292*11.7,3),0)</f>
        <v>147.654</v>
      </c>
      <c r="I1292" s="152" t="str">
        <f>IF(F1292="Sắt vụn",ROUND(VLOOKUP(G1292,ThongSo!$F$2:$I$15,4,0)*B1292*E1292/1000,3),"-")</f>
        <v>-</v>
      </c>
      <c r="L1292" s="150"/>
      <c r="M1292" s="150"/>
      <c r="N1292" s="150"/>
    </row>
    <row r="1293" spans="1:14" x14ac:dyDescent="0.25">
      <c r="A1293" s="159">
        <v>170</v>
      </c>
      <c r="B1293" s="160">
        <v>2</v>
      </c>
      <c r="C1293" s="160">
        <v>11700</v>
      </c>
      <c r="D1293" s="160" t="s">
        <v>4062</v>
      </c>
      <c r="E1293" s="160">
        <v>5120</v>
      </c>
      <c r="F1293" s="160" t="s">
        <v>75</v>
      </c>
      <c r="G1293" s="148">
        <v>32</v>
      </c>
      <c r="H1293" s="152">
        <f>IF(C1293=11700,ROUND(VLOOKUP(G1293,ThongSo!$F$2:$I$15,4,0)*B1293*11.7,3),0)</f>
        <v>147.654</v>
      </c>
      <c r="I1293" s="152" t="str">
        <f>IF(F1293="Sắt vụn",ROUND(VLOOKUP(G1293,ThongSo!$F$2:$I$15,4,0)*B1293*E1293/1000,3),"-")</f>
        <v>-</v>
      </c>
      <c r="L1293" s="150"/>
      <c r="M1293" s="150"/>
      <c r="N1293" s="150"/>
    </row>
    <row r="1294" spans="1:14" x14ac:dyDescent="0.25">
      <c r="A1294" s="159">
        <v>171</v>
      </c>
      <c r="B1294" s="160">
        <v>1</v>
      </c>
      <c r="C1294" s="160">
        <v>11700</v>
      </c>
      <c r="D1294" s="160" t="s">
        <v>4063</v>
      </c>
      <c r="E1294" s="160">
        <v>5200</v>
      </c>
      <c r="F1294" s="160" t="s">
        <v>75</v>
      </c>
      <c r="G1294" s="148">
        <v>32</v>
      </c>
      <c r="H1294" s="152">
        <f>IF(C1294=11700,ROUND(VLOOKUP(G1294,ThongSo!$F$2:$I$15,4,0)*B1294*11.7,3),0)</f>
        <v>73.826999999999998</v>
      </c>
      <c r="I1294" s="152" t="str">
        <f>IF(F1294="Sắt vụn",ROUND(VLOOKUP(G1294,ThongSo!$F$2:$I$15,4,0)*B1294*E1294/1000,3),"-")</f>
        <v>-</v>
      </c>
      <c r="L1294" s="150"/>
      <c r="M1294" s="150"/>
      <c r="N1294" s="150"/>
    </row>
    <row r="1295" spans="1:14" x14ac:dyDescent="0.25">
      <c r="A1295" s="159">
        <v>172</v>
      </c>
      <c r="B1295" s="160">
        <v>1</v>
      </c>
      <c r="C1295" s="160">
        <v>11700</v>
      </c>
      <c r="D1295" s="160" t="s">
        <v>4064</v>
      </c>
      <c r="E1295" s="160">
        <v>5350</v>
      </c>
      <c r="F1295" s="160" t="s">
        <v>75</v>
      </c>
      <c r="G1295" s="148">
        <v>32</v>
      </c>
      <c r="H1295" s="152">
        <f>IF(C1295=11700,ROUND(VLOOKUP(G1295,ThongSo!$F$2:$I$15,4,0)*B1295*11.7,3),0)</f>
        <v>73.826999999999998</v>
      </c>
      <c r="I1295" s="152" t="str">
        <f>IF(F1295="Sắt vụn",ROUND(VLOOKUP(G1295,ThongSo!$F$2:$I$15,4,0)*B1295*E1295/1000,3),"-")</f>
        <v>-</v>
      </c>
      <c r="L1295" s="150"/>
      <c r="M1295" s="150"/>
      <c r="N1295" s="150"/>
    </row>
    <row r="1296" spans="1:14" x14ac:dyDescent="0.25">
      <c r="A1296" s="159">
        <v>173</v>
      </c>
      <c r="B1296" s="160">
        <v>2</v>
      </c>
      <c r="C1296" s="160">
        <v>11700</v>
      </c>
      <c r="D1296" s="160" t="s">
        <v>4065</v>
      </c>
      <c r="E1296" s="160">
        <v>5410</v>
      </c>
      <c r="F1296" s="160" t="s">
        <v>75</v>
      </c>
      <c r="G1296" s="148">
        <v>32</v>
      </c>
      <c r="H1296" s="152">
        <f>IF(C1296=11700,ROUND(VLOOKUP(G1296,ThongSo!$F$2:$I$15,4,0)*B1296*11.7,3),0)</f>
        <v>147.654</v>
      </c>
      <c r="I1296" s="152" t="str">
        <f>IF(F1296="Sắt vụn",ROUND(VLOOKUP(G1296,ThongSo!$F$2:$I$15,4,0)*B1296*E1296/1000,3),"-")</f>
        <v>-</v>
      </c>
      <c r="L1296" s="150"/>
      <c r="M1296" s="150"/>
      <c r="N1296" s="150"/>
    </row>
    <row r="1297" spans="1:14" x14ac:dyDescent="0.25">
      <c r="A1297" s="159">
        <v>174</v>
      </c>
      <c r="B1297" s="160">
        <v>2</v>
      </c>
      <c r="C1297" s="160">
        <v>11700</v>
      </c>
      <c r="D1297" s="160" t="s">
        <v>4066</v>
      </c>
      <c r="E1297" s="160">
        <v>5420</v>
      </c>
      <c r="F1297" s="160" t="s">
        <v>75</v>
      </c>
      <c r="G1297" s="148">
        <v>32</v>
      </c>
      <c r="H1297" s="152">
        <f>IF(C1297=11700,ROUND(VLOOKUP(G1297,ThongSo!$F$2:$I$15,4,0)*B1297*11.7,3),0)</f>
        <v>147.654</v>
      </c>
      <c r="I1297" s="152" t="str">
        <f>IF(F1297="Sắt vụn",ROUND(VLOOKUP(G1297,ThongSo!$F$2:$I$15,4,0)*B1297*E1297/1000,3),"-")</f>
        <v>-</v>
      </c>
      <c r="L1297" s="150"/>
      <c r="M1297" s="150"/>
      <c r="N1297" s="150"/>
    </row>
    <row r="1298" spans="1:14" x14ac:dyDescent="0.25">
      <c r="A1298" s="159">
        <v>175</v>
      </c>
      <c r="B1298" s="160">
        <v>5</v>
      </c>
      <c r="C1298" s="160">
        <v>11700</v>
      </c>
      <c r="D1298" s="160" t="s">
        <v>4067</v>
      </c>
      <c r="E1298" s="160">
        <v>5445</v>
      </c>
      <c r="F1298" s="160" t="s">
        <v>75</v>
      </c>
      <c r="G1298" s="148">
        <v>32</v>
      </c>
      <c r="H1298" s="152">
        <f>IF(C1298=11700,ROUND(VLOOKUP(G1298,ThongSo!$F$2:$I$15,4,0)*B1298*11.7,3),0)</f>
        <v>369.13499999999999</v>
      </c>
      <c r="I1298" s="152" t="str">
        <f>IF(F1298="Sắt vụn",ROUND(VLOOKUP(G1298,ThongSo!$F$2:$I$15,4,0)*B1298*E1298/1000,3),"-")</f>
        <v>-</v>
      </c>
      <c r="L1298" s="150"/>
      <c r="M1298" s="150"/>
      <c r="N1298" s="150"/>
    </row>
    <row r="1299" spans="1:14" x14ac:dyDescent="0.25">
      <c r="A1299" s="159">
        <v>176</v>
      </c>
      <c r="B1299" s="160">
        <v>2</v>
      </c>
      <c r="C1299" s="160">
        <v>11700</v>
      </c>
      <c r="D1299" s="160" t="s">
        <v>4068</v>
      </c>
      <c r="E1299" s="160">
        <v>5450</v>
      </c>
      <c r="F1299" s="160" t="s">
        <v>75</v>
      </c>
      <c r="G1299" s="148">
        <v>32</v>
      </c>
      <c r="H1299" s="152">
        <f>IF(C1299=11700,ROUND(VLOOKUP(G1299,ThongSo!$F$2:$I$15,4,0)*B1299*11.7,3),0)</f>
        <v>147.654</v>
      </c>
      <c r="I1299" s="152" t="str">
        <f>IF(F1299="Sắt vụn",ROUND(VLOOKUP(G1299,ThongSo!$F$2:$I$15,4,0)*B1299*E1299/1000,3),"-")</f>
        <v>-</v>
      </c>
      <c r="L1299" s="150"/>
      <c r="M1299" s="150"/>
      <c r="N1299" s="150"/>
    </row>
    <row r="1300" spans="1:14" x14ac:dyDescent="0.25">
      <c r="A1300" s="159">
        <v>177</v>
      </c>
      <c r="B1300" s="160">
        <v>5</v>
      </c>
      <c r="C1300" s="160">
        <v>11700</v>
      </c>
      <c r="D1300" s="160" t="s">
        <v>4069</v>
      </c>
      <c r="E1300" s="160">
        <v>5460</v>
      </c>
      <c r="F1300" s="160" t="s">
        <v>75</v>
      </c>
      <c r="G1300" s="148">
        <v>32</v>
      </c>
      <c r="H1300" s="152">
        <f>IF(C1300=11700,ROUND(VLOOKUP(G1300,ThongSo!$F$2:$I$15,4,0)*B1300*11.7,3),0)</f>
        <v>369.13499999999999</v>
      </c>
      <c r="I1300" s="152" t="str">
        <f>IF(F1300="Sắt vụn",ROUND(VLOOKUP(G1300,ThongSo!$F$2:$I$15,4,0)*B1300*E1300/1000,3),"-")</f>
        <v>-</v>
      </c>
      <c r="L1300" s="150"/>
      <c r="M1300" s="150"/>
      <c r="N1300" s="150"/>
    </row>
    <row r="1301" spans="1:14" x14ac:dyDescent="0.25">
      <c r="A1301" s="159">
        <v>178</v>
      </c>
      <c r="B1301" s="160">
        <v>1</v>
      </c>
      <c r="C1301" s="160">
        <v>11700</v>
      </c>
      <c r="D1301" s="160" t="s">
        <v>4070</v>
      </c>
      <c r="E1301" s="160">
        <v>5460</v>
      </c>
      <c r="F1301" s="160" t="s">
        <v>75</v>
      </c>
      <c r="G1301" s="148">
        <v>32</v>
      </c>
      <c r="H1301" s="152">
        <f>IF(C1301=11700,ROUND(VLOOKUP(G1301,ThongSo!$F$2:$I$15,4,0)*B1301*11.7,3),0)</f>
        <v>73.826999999999998</v>
      </c>
      <c r="I1301" s="152" t="str">
        <f>IF(F1301="Sắt vụn",ROUND(VLOOKUP(G1301,ThongSo!$F$2:$I$15,4,0)*B1301*E1301/1000,3),"-")</f>
        <v>-</v>
      </c>
      <c r="L1301" s="150"/>
      <c r="M1301" s="150"/>
      <c r="N1301" s="150"/>
    </row>
    <row r="1302" spans="1:14" x14ac:dyDescent="0.25">
      <c r="A1302" s="159">
        <v>179</v>
      </c>
      <c r="B1302" s="160">
        <v>4</v>
      </c>
      <c r="C1302" s="160">
        <v>11700</v>
      </c>
      <c r="D1302" s="160" t="s">
        <v>4071</v>
      </c>
      <c r="E1302" s="160">
        <v>5560</v>
      </c>
      <c r="F1302" s="160" t="s">
        <v>75</v>
      </c>
      <c r="G1302" s="148">
        <v>32</v>
      </c>
      <c r="H1302" s="152">
        <f>IF(C1302=11700,ROUND(VLOOKUP(G1302,ThongSo!$F$2:$I$15,4,0)*B1302*11.7,3),0)</f>
        <v>295.30799999999999</v>
      </c>
      <c r="I1302" s="152" t="str">
        <f>IF(F1302="Sắt vụn",ROUND(VLOOKUP(G1302,ThongSo!$F$2:$I$15,4,0)*B1302*E1302/1000,3),"-")</f>
        <v>-</v>
      </c>
      <c r="L1302" s="150"/>
      <c r="M1302" s="150"/>
      <c r="N1302" s="150"/>
    </row>
    <row r="1303" spans="1:14" x14ac:dyDescent="0.25">
      <c r="A1303" s="159">
        <v>180</v>
      </c>
      <c r="B1303" s="160">
        <v>6</v>
      </c>
      <c r="C1303" s="160">
        <v>11700</v>
      </c>
      <c r="D1303" s="160" t="s">
        <v>4072</v>
      </c>
      <c r="E1303" s="160">
        <v>5645</v>
      </c>
      <c r="F1303" s="160" t="s">
        <v>75</v>
      </c>
      <c r="G1303" s="148">
        <v>32</v>
      </c>
      <c r="H1303" s="152">
        <f>IF(C1303=11700,ROUND(VLOOKUP(G1303,ThongSo!$F$2:$I$15,4,0)*B1303*11.7,3),0)</f>
        <v>442.96199999999999</v>
      </c>
      <c r="I1303" s="152" t="str">
        <f>IF(F1303="Sắt vụn",ROUND(VLOOKUP(G1303,ThongSo!$F$2:$I$15,4,0)*B1303*E1303/1000,3),"-")</f>
        <v>-</v>
      </c>
      <c r="L1303" s="150"/>
      <c r="M1303" s="150"/>
      <c r="N1303" s="150"/>
    </row>
    <row r="1304" spans="1:14" x14ac:dyDescent="0.25">
      <c r="A1304" s="159">
        <v>181</v>
      </c>
      <c r="B1304" s="160">
        <v>4</v>
      </c>
      <c r="C1304" s="160">
        <v>11700</v>
      </c>
      <c r="D1304" s="160" t="s">
        <v>4073</v>
      </c>
      <c r="E1304" s="160">
        <v>5685</v>
      </c>
      <c r="F1304" s="160" t="s">
        <v>75</v>
      </c>
      <c r="G1304" s="148">
        <v>32</v>
      </c>
      <c r="H1304" s="152">
        <f>IF(C1304=11700,ROUND(VLOOKUP(G1304,ThongSo!$F$2:$I$15,4,0)*B1304*11.7,3),0)</f>
        <v>295.30799999999999</v>
      </c>
      <c r="I1304" s="152" t="str">
        <f>IF(F1304="Sắt vụn",ROUND(VLOOKUP(G1304,ThongSo!$F$2:$I$15,4,0)*B1304*E1304/1000,3),"-")</f>
        <v>-</v>
      </c>
      <c r="L1304" s="150"/>
      <c r="M1304" s="150"/>
      <c r="N1304" s="150"/>
    </row>
    <row r="1305" spans="1:14" x14ac:dyDescent="0.25">
      <c r="A1305" s="159">
        <v>182</v>
      </c>
      <c r="B1305" s="160">
        <v>2</v>
      </c>
      <c r="C1305" s="160">
        <v>11700</v>
      </c>
      <c r="D1305" s="160" t="s">
        <v>4074</v>
      </c>
      <c r="E1305" s="160">
        <v>5700</v>
      </c>
      <c r="F1305" s="160" t="s">
        <v>75</v>
      </c>
      <c r="G1305" s="148">
        <v>32</v>
      </c>
      <c r="H1305" s="152">
        <f>IF(C1305=11700,ROUND(VLOOKUP(G1305,ThongSo!$F$2:$I$15,4,0)*B1305*11.7,3),0)</f>
        <v>147.654</v>
      </c>
      <c r="I1305" s="152" t="str">
        <f>IF(F1305="Sắt vụn",ROUND(VLOOKUP(G1305,ThongSo!$F$2:$I$15,4,0)*B1305*E1305/1000,3),"-")</f>
        <v>-</v>
      </c>
      <c r="L1305" s="150"/>
      <c r="M1305" s="150"/>
      <c r="N1305" s="150"/>
    </row>
    <row r="1306" spans="1:14" x14ac:dyDescent="0.25">
      <c r="A1306" s="159">
        <v>183</v>
      </c>
      <c r="B1306" s="160">
        <v>2</v>
      </c>
      <c r="C1306" s="160">
        <v>11700</v>
      </c>
      <c r="D1306" s="160" t="s">
        <v>4075</v>
      </c>
      <c r="E1306" s="160">
        <v>5760</v>
      </c>
      <c r="F1306" s="160" t="s">
        <v>75</v>
      </c>
      <c r="G1306" s="148">
        <v>32</v>
      </c>
      <c r="H1306" s="152">
        <f>IF(C1306=11700,ROUND(VLOOKUP(G1306,ThongSo!$F$2:$I$15,4,0)*B1306*11.7,3),0)</f>
        <v>147.654</v>
      </c>
      <c r="I1306" s="152" t="str">
        <f>IF(F1306="Sắt vụn",ROUND(VLOOKUP(G1306,ThongSo!$F$2:$I$15,4,0)*B1306*E1306/1000,3),"-")</f>
        <v>-</v>
      </c>
      <c r="L1306" s="150"/>
      <c r="M1306" s="150"/>
      <c r="N1306" s="150"/>
    </row>
    <row r="1307" spans="1:14" x14ac:dyDescent="0.25">
      <c r="A1307" s="159">
        <v>184</v>
      </c>
      <c r="B1307" s="160">
        <v>7</v>
      </c>
      <c r="C1307" s="160">
        <v>11700</v>
      </c>
      <c r="D1307" s="160" t="s">
        <v>4076</v>
      </c>
      <c r="E1307" s="160">
        <v>5775</v>
      </c>
      <c r="F1307" s="160" t="s">
        <v>75</v>
      </c>
      <c r="G1307" s="148">
        <v>32</v>
      </c>
      <c r="H1307" s="152">
        <f>IF(C1307=11700,ROUND(VLOOKUP(G1307,ThongSo!$F$2:$I$15,4,0)*B1307*11.7,3),0)</f>
        <v>516.78899999999999</v>
      </c>
      <c r="I1307" s="152" t="str">
        <f>IF(F1307="Sắt vụn",ROUND(VLOOKUP(G1307,ThongSo!$F$2:$I$15,4,0)*B1307*E1307/1000,3),"-")</f>
        <v>-</v>
      </c>
      <c r="L1307" s="150"/>
      <c r="M1307" s="150"/>
      <c r="N1307" s="150"/>
    </row>
    <row r="1308" spans="1:14" x14ac:dyDescent="0.25">
      <c r="A1308" s="159">
        <v>185</v>
      </c>
      <c r="B1308" s="160">
        <v>1</v>
      </c>
      <c r="C1308" s="160">
        <v>11700</v>
      </c>
      <c r="D1308" s="160" t="s">
        <v>4077</v>
      </c>
      <c r="E1308" s="160">
        <v>5900</v>
      </c>
      <c r="F1308" s="160" t="s">
        <v>75</v>
      </c>
      <c r="G1308" s="148">
        <v>32</v>
      </c>
      <c r="H1308" s="152">
        <f>IF(C1308=11700,ROUND(VLOOKUP(G1308,ThongSo!$F$2:$I$15,4,0)*B1308*11.7,3),0)</f>
        <v>73.826999999999998</v>
      </c>
      <c r="I1308" s="152" t="str">
        <f>IF(F1308="Sắt vụn",ROUND(VLOOKUP(G1308,ThongSo!$F$2:$I$15,4,0)*B1308*E1308/1000,3),"-")</f>
        <v>-</v>
      </c>
      <c r="L1308" s="150"/>
      <c r="M1308" s="150"/>
      <c r="N1308" s="150"/>
    </row>
    <row r="1309" spans="1:14" x14ac:dyDescent="0.25">
      <c r="A1309" s="157" t="s">
        <v>77</v>
      </c>
      <c r="B1309" s="158"/>
      <c r="C1309" s="158"/>
      <c r="D1309" s="158"/>
      <c r="E1309" s="158"/>
      <c r="F1309" s="158"/>
      <c r="G1309" s="148"/>
      <c r="H1309" s="152">
        <f>IF(C1309=11700,ROUND(VLOOKUP(G1309,ThongSo!$F$2:$I$15,4,0)*B1309*11.7,3),0)</f>
        <v>0</v>
      </c>
      <c r="I1309" s="152" t="str">
        <f>IF(F1309="Sắt vụn",ROUND(VLOOKUP(G1309,ThongSo!$F$2:$I$15,4,0)*B1309*E1309/1000,3),"-")</f>
        <v>-</v>
      </c>
      <c r="L1309" s="150"/>
      <c r="M1309" s="150"/>
      <c r="N1309" s="150"/>
    </row>
    <row r="1310" spans="1:14" x14ac:dyDescent="0.25">
      <c r="A1310" s="159" t="s">
        <v>73</v>
      </c>
      <c r="B1310" s="160">
        <v>38</v>
      </c>
      <c r="C1310" s="160">
        <v>11700</v>
      </c>
      <c r="D1310" s="160"/>
      <c r="E1310" s="160"/>
      <c r="F1310" s="160"/>
      <c r="G1310" s="148">
        <v>25</v>
      </c>
      <c r="H1310" s="152">
        <f>IF(C1310=11700,ROUND(VLOOKUP(G1310,ThongSo!$F$2:$I$15,4,0)*B1310*11.7,3),0)</f>
        <v>1711.71</v>
      </c>
      <c r="I1310" s="152" t="str">
        <f>IF(F1310="Sắt vụn",ROUND(VLOOKUP(G1310,ThongSo!$F$2:$I$15,4,0)*B1310*E1310/1000,3),"-")</f>
        <v>-</v>
      </c>
      <c r="L1310" s="150"/>
      <c r="M1310" s="150"/>
      <c r="N1310" s="150"/>
    </row>
    <row r="1311" spans="1:14" x14ac:dyDescent="0.25">
      <c r="A1311" s="159">
        <v>187</v>
      </c>
      <c r="B1311" s="160">
        <v>2</v>
      </c>
      <c r="C1311" s="160">
        <v>11700</v>
      </c>
      <c r="D1311" s="160" t="s">
        <v>4078</v>
      </c>
      <c r="E1311" s="160">
        <v>0</v>
      </c>
      <c r="F1311" s="160"/>
      <c r="G1311" s="148">
        <v>25</v>
      </c>
      <c r="H1311" s="152">
        <f>IF(C1311=11700,ROUND(VLOOKUP(G1311,ThongSo!$F$2:$I$15,4,0)*B1311*11.7,3),0)</f>
        <v>90.09</v>
      </c>
      <c r="I1311" s="152" t="str">
        <f>IF(F1311="Sắt vụn",ROUND(VLOOKUP(G1311,ThongSo!$F$2:$I$15,4,0)*B1311*E1311/1000,3),"-")</f>
        <v>-</v>
      </c>
      <c r="L1311" s="150"/>
      <c r="M1311" s="150"/>
      <c r="N1311" s="150"/>
    </row>
    <row r="1312" spans="1:14" x14ac:dyDescent="0.25">
      <c r="A1312" s="159">
        <v>188</v>
      </c>
      <c r="B1312" s="160">
        <v>2</v>
      </c>
      <c r="C1312" s="160">
        <v>11700</v>
      </c>
      <c r="D1312" s="160" t="s">
        <v>4079</v>
      </c>
      <c r="E1312" s="160">
        <v>0</v>
      </c>
      <c r="F1312" s="160"/>
      <c r="G1312" s="148">
        <v>25</v>
      </c>
      <c r="H1312" s="152">
        <f>IF(C1312=11700,ROUND(VLOOKUP(G1312,ThongSo!$F$2:$I$15,4,0)*B1312*11.7,3),0)</f>
        <v>90.09</v>
      </c>
      <c r="I1312" s="152" t="str">
        <f>IF(F1312="Sắt vụn",ROUND(VLOOKUP(G1312,ThongSo!$F$2:$I$15,4,0)*B1312*E1312/1000,3),"-")</f>
        <v>-</v>
      </c>
      <c r="L1312" s="150"/>
      <c r="M1312" s="150"/>
      <c r="N1312" s="150"/>
    </row>
    <row r="1313" spans="1:14" x14ac:dyDescent="0.25">
      <c r="A1313" s="159">
        <v>189</v>
      </c>
      <c r="B1313" s="160">
        <v>2</v>
      </c>
      <c r="C1313" s="160">
        <v>11700</v>
      </c>
      <c r="D1313" s="160" t="s">
        <v>4080</v>
      </c>
      <c r="E1313" s="160">
        <v>0</v>
      </c>
      <c r="F1313" s="160"/>
      <c r="G1313" s="148">
        <v>25</v>
      </c>
      <c r="H1313" s="152">
        <f>IF(C1313=11700,ROUND(VLOOKUP(G1313,ThongSo!$F$2:$I$15,4,0)*B1313*11.7,3),0)</f>
        <v>90.09</v>
      </c>
      <c r="I1313" s="152" t="str">
        <f>IF(F1313="Sắt vụn",ROUND(VLOOKUP(G1313,ThongSo!$F$2:$I$15,4,0)*B1313*E1313/1000,3),"-")</f>
        <v>-</v>
      </c>
      <c r="L1313" s="150"/>
      <c r="M1313" s="150"/>
      <c r="N1313" s="150"/>
    </row>
    <row r="1314" spans="1:14" x14ac:dyDescent="0.25">
      <c r="A1314" s="159">
        <v>190</v>
      </c>
      <c r="B1314" s="160">
        <v>2</v>
      </c>
      <c r="C1314" s="160">
        <v>11700</v>
      </c>
      <c r="D1314" s="160" t="s">
        <v>4081</v>
      </c>
      <c r="E1314" s="160">
        <v>0</v>
      </c>
      <c r="F1314" s="160"/>
      <c r="G1314" s="148">
        <v>25</v>
      </c>
      <c r="H1314" s="152">
        <f>IF(C1314=11700,ROUND(VLOOKUP(G1314,ThongSo!$F$2:$I$15,4,0)*B1314*11.7,3),0)</f>
        <v>90.09</v>
      </c>
      <c r="I1314" s="152" t="str">
        <f>IF(F1314="Sắt vụn",ROUND(VLOOKUP(G1314,ThongSo!$F$2:$I$15,4,0)*B1314*E1314/1000,3),"-")</f>
        <v>-</v>
      </c>
      <c r="L1314" s="150"/>
      <c r="M1314" s="150"/>
      <c r="N1314" s="150"/>
    </row>
    <row r="1315" spans="1:14" x14ac:dyDescent="0.25">
      <c r="A1315" s="159">
        <v>191</v>
      </c>
      <c r="B1315" s="160">
        <v>2</v>
      </c>
      <c r="C1315" s="160">
        <v>11700</v>
      </c>
      <c r="D1315" s="160" t="s">
        <v>4082</v>
      </c>
      <c r="E1315" s="160">
        <v>0</v>
      </c>
      <c r="F1315" s="160"/>
      <c r="G1315" s="148">
        <v>25</v>
      </c>
      <c r="H1315" s="152">
        <f>IF(C1315=11700,ROUND(VLOOKUP(G1315,ThongSo!$F$2:$I$15,4,0)*B1315*11.7,3),0)</f>
        <v>90.09</v>
      </c>
      <c r="I1315" s="152" t="str">
        <f>IF(F1315="Sắt vụn",ROUND(VLOOKUP(G1315,ThongSo!$F$2:$I$15,4,0)*B1315*E1315/1000,3),"-")</f>
        <v>-</v>
      </c>
      <c r="L1315" s="150"/>
      <c r="M1315" s="150"/>
      <c r="N1315" s="150"/>
    </row>
    <row r="1316" spans="1:14" x14ac:dyDescent="0.25">
      <c r="A1316" s="159">
        <v>192</v>
      </c>
      <c r="B1316" s="160">
        <v>2</v>
      </c>
      <c r="C1316" s="160">
        <v>11700</v>
      </c>
      <c r="D1316" s="160" t="s">
        <v>4083</v>
      </c>
      <c r="E1316" s="160">
        <v>0</v>
      </c>
      <c r="F1316" s="160"/>
      <c r="G1316" s="148">
        <v>25</v>
      </c>
      <c r="H1316" s="152">
        <f>IF(C1316=11700,ROUND(VLOOKUP(G1316,ThongSo!$F$2:$I$15,4,0)*B1316*11.7,3),0)</f>
        <v>90.09</v>
      </c>
      <c r="I1316" s="152" t="str">
        <f>IF(F1316="Sắt vụn",ROUND(VLOOKUP(G1316,ThongSo!$F$2:$I$15,4,0)*B1316*E1316/1000,3),"-")</f>
        <v>-</v>
      </c>
      <c r="L1316" s="150"/>
      <c r="M1316" s="150"/>
      <c r="N1316" s="150"/>
    </row>
    <row r="1317" spans="1:14" x14ac:dyDescent="0.25">
      <c r="A1317" s="159">
        <v>193</v>
      </c>
      <c r="B1317" s="160">
        <v>1</v>
      </c>
      <c r="C1317" s="160">
        <v>11700</v>
      </c>
      <c r="D1317" s="160" t="s">
        <v>4084</v>
      </c>
      <c r="E1317" s="160">
        <v>0</v>
      </c>
      <c r="F1317" s="160"/>
      <c r="G1317" s="148">
        <v>25</v>
      </c>
      <c r="H1317" s="152">
        <f>IF(C1317=11700,ROUND(VLOOKUP(G1317,ThongSo!$F$2:$I$15,4,0)*B1317*11.7,3),0)</f>
        <v>45.045000000000002</v>
      </c>
      <c r="I1317" s="152" t="str">
        <f>IF(F1317="Sắt vụn",ROUND(VLOOKUP(G1317,ThongSo!$F$2:$I$15,4,0)*B1317*E1317/1000,3),"-")</f>
        <v>-</v>
      </c>
      <c r="L1317" s="150"/>
      <c r="M1317" s="150"/>
      <c r="N1317" s="150"/>
    </row>
    <row r="1318" spans="1:14" x14ac:dyDescent="0.25">
      <c r="A1318" s="159">
        <v>194</v>
      </c>
      <c r="B1318" s="160">
        <v>1</v>
      </c>
      <c r="C1318" s="160">
        <v>11700</v>
      </c>
      <c r="D1318" s="160" t="s">
        <v>4085</v>
      </c>
      <c r="E1318" s="160">
        <v>0</v>
      </c>
      <c r="F1318" s="160"/>
      <c r="G1318" s="148">
        <v>25</v>
      </c>
      <c r="H1318" s="152">
        <f>IF(C1318=11700,ROUND(VLOOKUP(G1318,ThongSo!$F$2:$I$15,4,0)*B1318*11.7,3),0)</f>
        <v>45.045000000000002</v>
      </c>
      <c r="I1318" s="152" t="str">
        <f>IF(F1318="Sắt vụn",ROUND(VLOOKUP(G1318,ThongSo!$F$2:$I$15,4,0)*B1318*E1318/1000,3),"-")</f>
        <v>-</v>
      </c>
      <c r="L1318" s="150"/>
      <c r="M1318" s="150"/>
      <c r="N1318" s="150"/>
    </row>
    <row r="1319" spans="1:14" x14ac:dyDescent="0.25">
      <c r="A1319" s="159">
        <v>195</v>
      </c>
      <c r="B1319" s="160">
        <v>1</v>
      </c>
      <c r="C1319" s="160">
        <v>11700</v>
      </c>
      <c r="D1319" s="160" t="s">
        <v>4086</v>
      </c>
      <c r="E1319" s="160">
        <v>0</v>
      </c>
      <c r="F1319" s="160"/>
      <c r="G1319" s="148">
        <v>25</v>
      </c>
      <c r="H1319" s="152">
        <f>IF(C1319=11700,ROUND(VLOOKUP(G1319,ThongSo!$F$2:$I$15,4,0)*B1319*11.7,3),0)</f>
        <v>45.045000000000002</v>
      </c>
      <c r="I1319" s="152" t="str">
        <f>IF(F1319="Sắt vụn",ROUND(VLOOKUP(G1319,ThongSo!$F$2:$I$15,4,0)*B1319*E1319/1000,3),"-")</f>
        <v>-</v>
      </c>
      <c r="L1319" s="150"/>
      <c r="M1319" s="150"/>
      <c r="N1319" s="150"/>
    </row>
    <row r="1320" spans="1:14" x14ac:dyDescent="0.25">
      <c r="A1320" s="159">
        <v>196</v>
      </c>
      <c r="B1320" s="160">
        <v>2</v>
      </c>
      <c r="C1320" s="160">
        <v>11700</v>
      </c>
      <c r="D1320" s="160" t="s">
        <v>4087</v>
      </c>
      <c r="E1320" s="160">
        <v>0</v>
      </c>
      <c r="F1320" s="160"/>
      <c r="G1320" s="148">
        <v>25</v>
      </c>
      <c r="H1320" s="152">
        <f>IF(C1320=11700,ROUND(VLOOKUP(G1320,ThongSo!$F$2:$I$15,4,0)*B1320*11.7,3),0)</f>
        <v>90.09</v>
      </c>
      <c r="I1320" s="152" t="str">
        <f>IF(F1320="Sắt vụn",ROUND(VLOOKUP(G1320,ThongSo!$F$2:$I$15,4,0)*B1320*E1320/1000,3),"-")</f>
        <v>-</v>
      </c>
      <c r="L1320" s="150"/>
      <c r="M1320" s="150"/>
      <c r="N1320" s="150"/>
    </row>
    <row r="1321" spans="1:14" x14ac:dyDescent="0.25">
      <c r="A1321" s="159">
        <v>197</v>
      </c>
      <c r="B1321" s="160">
        <v>2</v>
      </c>
      <c r="C1321" s="160">
        <v>11700</v>
      </c>
      <c r="D1321" s="160" t="s">
        <v>4088</v>
      </c>
      <c r="E1321" s="160">
        <v>10</v>
      </c>
      <c r="F1321" s="160" t="s">
        <v>74</v>
      </c>
      <c r="G1321" s="148">
        <v>25</v>
      </c>
      <c r="H1321" s="152">
        <f>IF(C1321=11700,ROUND(VLOOKUP(G1321,ThongSo!$F$2:$I$15,4,0)*B1321*11.7,3),0)</f>
        <v>90.09</v>
      </c>
      <c r="I1321" s="152">
        <f>IF(F1321="Sắt vụn",ROUND(VLOOKUP(G1321,ThongSo!$F$2:$I$15,4,0)*B1321*E1321/1000,3),"-")</f>
        <v>7.6999999999999999E-2</v>
      </c>
      <c r="L1321" s="150"/>
      <c r="M1321" s="150"/>
      <c r="N1321" s="150"/>
    </row>
    <row r="1322" spans="1:14" x14ac:dyDescent="0.25">
      <c r="A1322" s="159">
        <v>198</v>
      </c>
      <c r="B1322" s="160">
        <v>2</v>
      </c>
      <c r="C1322" s="160">
        <v>11700</v>
      </c>
      <c r="D1322" s="160" t="s">
        <v>4089</v>
      </c>
      <c r="E1322" s="160">
        <v>10</v>
      </c>
      <c r="F1322" s="160" t="s">
        <v>74</v>
      </c>
      <c r="G1322" s="148">
        <v>25</v>
      </c>
      <c r="H1322" s="152">
        <f>IF(C1322=11700,ROUND(VLOOKUP(G1322,ThongSo!$F$2:$I$15,4,0)*B1322*11.7,3),0)</f>
        <v>90.09</v>
      </c>
      <c r="I1322" s="152">
        <f>IF(F1322="Sắt vụn",ROUND(VLOOKUP(G1322,ThongSo!$F$2:$I$15,4,0)*B1322*E1322/1000,3),"-")</f>
        <v>7.6999999999999999E-2</v>
      </c>
      <c r="L1322" s="150"/>
      <c r="M1322" s="150"/>
      <c r="N1322" s="150"/>
    </row>
    <row r="1323" spans="1:14" x14ac:dyDescent="0.25">
      <c r="A1323" s="159">
        <v>199</v>
      </c>
      <c r="B1323" s="160">
        <v>2</v>
      </c>
      <c r="C1323" s="160">
        <v>11700</v>
      </c>
      <c r="D1323" s="160" t="s">
        <v>4090</v>
      </c>
      <c r="E1323" s="160">
        <v>15</v>
      </c>
      <c r="F1323" s="160" t="s">
        <v>74</v>
      </c>
      <c r="G1323" s="148">
        <v>25</v>
      </c>
      <c r="H1323" s="152">
        <f>IF(C1323=11700,ROUND(VLOOKUP(G1323,ThongSo!$F$2:$I$15,4,0)*B1323*11.7,3),0)</f>
        <v>90.09</v>
      </c>
      <c r="I1323" s="152">
        <f>IF(F1323="Sắt vụn",ROUND(VLOOKUP(G1323,ThongSo!$F$2:$I$15,4,0)*B1323*E1323/1000,3),"-")</f>
        <v>0.11600000000000001</v>
      </c>
      <c r="L1323" s="150"/>
      <c r="M1323" s="150"/>
      <c r="N1323" s="150"/>
    </row>
    <row r="1324" spans="1:14" x14ac:dyDescent="0.25">
      <c r="A1324" s="159">
        <v>200</v>
      </c>
      <c r="B1324" s="160">
        <v>3</v>
      </c>
      <c r="C1324" s="160">
        <v>11700</v>
      </c>
      <c r="D1324" s="160" t="s">
        <v>4091</v>
      </c>
      <c r="E1324" s="160">
        <v>25</v>
      </c>
      <c r="F1324" s="160" t="s">
        <v>74</v>
      </c>
      <c r="G1324" s="148">
        <v>25</v>
      </c>
      <c r="H1324" s="152">
        <f>IF(C1324=11700,ROUND(VLOOKUP(G1324,ThongSo!$F$2:$I$15,4,0)*B1324*11.7,3),0)</f>
        <v>135.13499999999999</v>
      </c>
      <c r="I1324" s="152">
        <f>IF(F1324="Sắt vụn",ROUND(VLOOKUP(G1324,ThongSo!$F$2:$I$15,4,0)*B1324*E1324/1000,3),"-")</f>
        <v>0.28899999999999998</v>
      </c>
      <c r="L1324" s="150"/>
      <c r="M1324" s="150"/>
      <c r="N1324" s="150"/>
    </row>
    <row r="1325" spans="1:14" x14ac:dyDescent="0.25">
      <c r="A1325" s="159">
        <v>201</v>
      </c>
      <c r="B1325" s="160">
        <v>1</v>
      </c>
      <c r="C1325" s="160">
        <v>11700</v>
      </c>
      <c r="D1325" s="160" t="s">
        <v>4092</v>
      </c>
      <c r="E1325" s="160">
        <v>30</v>
      </c>
      <c r="F1325" s="160" t="s">
        <v>74</v>
      </c>
      <c r="G1325" s="148">
        <v>25</v>
      </c>
      <c r="H1325" s="152">
        <f>IF(C1325=11700,ROUND(VLOOKUP(G1325,ThongSo!$F$2:$I$15,4,0)*B1325*11.7,3),0)</f>
        <v>45.045000000000002</v>
      </c>
      <c r="I1325" s="152">
        <f>IF(F1325="Sắt vụn",ROUND(VLOOKUP(G1325,ThongSo!$F$2:$I$15,4,0)*B1325*E1325/1000,3),"-")</f>
        <v>0.11600000000000001</v>
      </c>
      <c r="L1325" s="150"/>
      <c r="M1325" s="150"/>
      <c r="N1325" s="150"/>
    </row>
    <row r="1326" spans="1:14" x14ac:dyDescent="0.25">
      <c r="A1326" s="159">
        <v>202</v>
      </c>
      <c r="B1326" s="160">
        <v>1</v>
      </c>
      <c r="C1326" s="160">
        <v>11700</v>
      </c>
      <c r="D1326" s="160" t="s">
        <v>4093</v>
      </c>
      <c r="E1326" s="160">
        <v>30</v>
      </c>
      <c r="F1326" s="160" t="s">
        <v>74</v>
      </c>
      <c r="G1326" s="148">
        <v>25</v>
      </c>
      <c r="H1326" s="152">
        <f>IF(C1326=11700,ROUND(VLOOKUP(G1326,ThongSo!$F$2:$I$15,4,0)*B1326*11.7,3),0)</f>
        <v>45.045000000000002</v>
      </c>
      <c r="I1326" s="152">
        <f>IF(F1326="Sắt vụn",ROUND(VLOOKUP(G1326,ThongSo!$F$2:$I$15,4,0)*B1326*E1326/1000,3),"-")</f>
        <v>0.11600000000000001</v>
      </c>
      <c r="L1326" s="150"/>
      <c r="M1326" s="150"/>
      <c r="N1326" s="150"/>
    </row>
    <row r="1327" spans="1:14" x14ac:dyDescent="0.25">
      <c r="A1327" s="159">
        <v>203</v>
      </c>
      <c r="B1327" s="160">
        <v>6</v>
      </c>
      <c r="C1327" s="160">
        <v>11700</v>
      </c>
      <c r="D1327" s="160" t="s">
        <v>4094</v>
      </c>
      <c r="E1327" s="160">
        <v>30</v>
      </c>
      <c r="F1327" s="160" t="s">
        <v>74</v>
      </c>
      <c r="G1327" s="148">
        <v>25</v>
      </c>
      <c r="H1327" s="152">
        <f>IF(C1327=11700,ROUND(VLOOKUP(G1327,ThongSo!$F$2:$I$15,4,0)*B1327*11.7,3),0)</f>
        <v>270.27</v>
      </c>
      <c r="I1327" s="152">
        <f>IF(F1327="Sắt vụn",ROUND(VLOOKUP(G1327,ThongSo!$F$2:$I$15,4,0)*B1327*E1327/1000,3),"-")</f>
        <v>0.69299999999999995</v>
      </c>
      <c r="L1327" s="150"/>
      <c r="M1327" s="150"/>
      <c r="N1327" s="150"/>
    </row>
    <row r="1328" spans="1:14" x14ac:dyDescent="0.25">
      <c r="A1328" s="159">
        <v>204</v>
      </c>
      <c r="B1328" s="160">
        <v>1</v>
      </c>
      <c r="C1328" s="160">
        <v>11700</v>
      </c>
      <c r="D1328" s="160" t="s">
        <v>4095</v>
      </c>
      <c r="E1328" s="160">
        <v>40</v>
      </c>
      <c r="F1328" s="160" t="s">
        <v>74</v>
      </c>
      <c r="G1328" s="148">
        <v>25</v>
      </c>
      <c r="H1328" s="152">
        <f>IF(C1328=11700,ROUND(VLOOKUP(G1328,ThongSo!$F$2:$I$15,4,0)*B1328*11.7,3),0)</f>
        <v>45.045000000000002</v>
      </c>
      <c r="I1328" s="152">
        <f>IF(F1328="Sắt vụn",ROUND(VLOOKUP(G1328,ThongSo!$F$2:$I$15,4,0)*B1328*E1328/1000,3),"-")</f>
        <v>0.154</v>
      </c>
      <c r="L1328" s="150"/>
      <c r="M1328" s="150"/>
      <c r="N1328" s="150"/>
    </row>
    <row r="1329" spans="1:14" x14ac:dyDescent="0.25">
      <c r="A1329" s="159">
        <v>205</v>
      </c>
      <c r="B1329" s="160">
        <v>1</v>
      </c>
      <c r="C1329" s="160">
        <v>11700</v>
      </c>
      <c r="D1329" s="160" t="s">
        <v>4096</v>
      </c>
      <c r="E1329" s="160">
        <v>50</v>
      </c>
      <c r="F1329" s="160" t="s">
        <v>74</v>
      </c>
      <c r="G1329" s="148">
        <v>25</v>
      </c>
      <c r="H1329" s="152">
        <f>IF(C1329=11700,ROUND(VLOOKUP(G1329,ThongSo!$F$2:$I$15,4,0)*B1329*11.7,3),0)</f>
        <v>45.045000000000002</v>
      </c>
      <c r="I1329" s="152">
        <f>IF(F1329="Sắt vụn",ROUND(VLOOKUP(G1329,ThongSo!$F$2:$I$15,4,0)*B1329*E1329/1000,3),"-")</f>
        <v>0.193</v>
      </c>
      <c r="L1329" s="150"/>
      <c r="M1329" s="150"/>
      <c r="N1329" s="150"/>
    </row>
    <row r="1330" spans="1:14" x14ac:dyDescent="0.25">
      <c r="A1330" s="159">
        <v>206</v>
      </c>
      <c r="B1330" s="160">
        <v>2</v>
      </c>
      <c r="C1330" s="160">
        <v>11700</v>
      </c>
      <c r="D1330" s="160" t="s">
        <v>4097</v>
      </c>
      <c r="E1330" s="160">
        <v>80</v>
      </c>
      <c r="F1330" s="160" t="s">
        <v>74</v>
      </c>
      <c r="G1330" s="148">
        <v>25</v>
      </c>
      <c r="H1330" s="152">
        <f>IF(C1330=11700,ROUND(VLOOKUP(G1330,ThongSo!$F$2:$I$15,4,0)*B1330*11.7,3),0)</f>
        <v>90.09</v>
      </c>
      <c r="I1330" s="152">
        <f>IF(F1330="Sắt vụn",ROUND(VLOOKUP(G1330,ThongSo!$F$2:$I$15,4,0)*B1330*E1330/1000,3),"-")</f>
        <v>0.61599999999999999</v>
      </c>
      <c r="L1330" s="150"/>
      <c r="M1330" s="150"/>
      <c r="N1330" s="150"/>
    </row>
    <row r="1331" spans="1:14" x14ac:dyDescent="0.25">
      <c r="A1331" s="159">
        <v>207</v>
      </c>
      <c r="B1331" s="160">
        <v>49</v>
      </c>
      <c r="C1331" s="160">
        <v>11700</v>
      </c>
      <c r="D1331" s="160" t="s">
        <v>4098</v>
      </c>
      <c r="E1331" s="160">
        <v>140</v>
      </c>
      <c r="F1331" s="160" t="s">
        <v>74</v>
      </c>
      <c r="G1331" s="148">
        <v>25</v>
      </c>
      <c r="H1331" s="152">
        <f>IF(C1331=11700,ROUND(VLOOKUP(G1331,ThongSo!$F$2:$I$15,4,0)*B1331*11.7,3),0)</f>
        <v>2207.2049999999999</v>
      </c>
      <c r="I1331" s="152">
        <f>IF(F1331="Sắt vụn",ROUND(VLOOKUP(G1331,ThongSo!$F$2:$I$15,4,0)*B1331*E1331/1000,3),"-")</f>
        <v>26.411000000000001</v>
      </c>
      <c r="L1331" s="150"/>
      <c r="M1331" s="150"/>
      <c r="N1331" s="150"/>
    </row>
    <row r="1332" spans="1:14" x14ac:dyDescent="0.25">
      <c r="A1332" s="159">
        <v>208</v>
      </c>
      <c r="B1332" s="160">
        <v>2</v>
      </c>
      <c r="C1332" s="160">
        <v>11700</v>
      </c>
      <c r="D1332" s="160" t="s">
        <v>4099</v>
      </c>
      <c r="E1332" s="160">
        <v>150</v>
      </c>
      <c r="F1332" s="160" t="s">
        <v>74</v>
      </c>
      <c r="G1332" s="148">
        <v>25</v>
      </c>
      <c r="H1332" s="152">
        <f>IF(C1332=11700,ROUND(VLOOKUP(G1332,ThongSo!$F$2:$I$15,4,0)*B1332*11.7,3),0)</f>
        <v>90.09</v>
      </c>
      <c r="I1332" s="152">
        <f>IF(F1332="Sắt vụn",ROUND(VLOOKUP(G1332,ThongSo!$F$2:$I$15,4,0)*B1332*E1332/1000,3),"-")</f>
        <v>1.155</v>
      </c>
      <c r="L1332" s="150"/>
      <c r="M1332" s="150"/>
      <c r="N1332" s="150"/>
    </row>
    <row r="1333" spans="1:14" x14ac:dyDescent="0.25">
      <c r="A1333" s="159">
        <v>209</v>
      </c>
      <c r="B1333" s="160">
        <v>2</v>
      </c>
      <c r="C1333" s="160">
        <v>11700</v>
      </c>
      <c r="D1333" s="160" t="s">
        <v>4100</v>
      </c>
      <c r="E1333" s="160">
        <v>150</v>
      </c>
      <c r="F1333" s="160" t="s">
        <v>74</v>
      </c>
      <c r="G1333" s="148">
        <v>25</v>
      </c>
      <c r="H1333" s="152">
        <f>IF(C1333=11700,ROUND(VLOOKUP(G1333,ThongSo!$F$2:$I$15,4,0)*B1333*11.7,3),0)</f>
        <v>90.09</v>
      </c>
      <c r="I1333" s="152">
        <f>IF(F1333="Sắt vụn",ROUND(VLOOKUP(G1333,ThongSo!$F$2:$I$15,4,0)*B1333*E1333/1000,3),"-")</f>
        <v>1.155</v>
      </c>
      <c r="L1333" s="150"/>
      <c r="M1333" s="150"/>
      <c r="N1333" s="150"/>
    </row>
    <row r="1334" spans="1:14" x14ac:dyDescent="0.25">
      <c r="A1334" s="159">
        <v>210</v>
      </c>
      <c r="B1334" s="160">
        <v>2</v>
      </c>
      <c r="C1334" s="160">
        <v>11700</v>
      </c>
      <c r="D1334" s="160" t="s">
        <v>4101</v>
      </c>
      <c r="E1334" s="160">
        <v>160</v>
      </c>
      <c r="F1334" s="160" t="s">
        <v>74</v>
      </c>
      <c r="G1334" s="148">
        <v>25</v>
      </c>
      <c r="H1334" s="152">
        <f>IF(C1334=11700,ROUND(VLOOKUP(G1334,ThongSo!$F$2:$I$15,4,0)*B1334*11.7,3),0)</f>
        <v>90.09</v>
      </c>
      <c r="I1334" s="152">
        <f>IF(F1334="Sắt vụn",ROUND(VLOOKUP(G1334,ThongSo!$F$2:$I$15,4,0)*B1334*E1334/1000,3),"-")</f>
        <v>1.232</v>
      </c>
      <c r="L1334" s="150"/>
      <c r="M1334" s="150"/>
      <c r="N1334" s="150"/>
    </row>
    <row r="1335" spans="1:14" x14ac:dyDescent="0.25">
      <c r="A1335" s="159">
        <v>211</v>
      </c>
      <c r="B1335" s="160">
        <v>2</v>
      </c>
      <c r="C1335" s="160">
        <v>11700</v>
      </c>
      <c r="D1335" s="160" t="s">
        <v>4102</v>
      </c>
      <c r="E1335" s="160">
        <v>170</v>
      </c>
      <c r="F1335" s="160" t="s">
        <v>74</v>
      </c>
      <c r="G1335" s="148">
        <v>25</v>
      </c>
      <c r="H1335" s="152">
        <f>IF(C1335=11700,ROUND(VLOOKUP(G1335,ThongSo!$F$2:$I$15,4,0)*B1335*11.7,3),0)</f>
        <v>90.09</v>
      </c>
      <c r="I1335" s="152">
        <f>IF(F1335="Sắt vụn",ROUND(VLOOKUP(G1335,ThongSo!$F$2:$I$15,4,0)*B1335*E1335/1000,3),"-")</f>
        <v>1.3089999999999999</v>
      </c>
      <c r="L1335" s="150"/>
      <c r="M1335" s="150"/>
      <c r="N1335" s="150"/>
    </row>
    <row r="1336" spans="1:14" x14ac:dyDescent="0.25">
      <c r="A1336" s="159">
        <v>212</v>
      </c>
      <c r="B1336" s="160">
        <v>2</v>
      </c>
      <c r="C1336" s="160">
        <v>11700</v>
      </c>
      <c r="D1336" s="160" t="s">
        <v>4103</v>
      </c>
      <c r="E1336" s="160">
        <v>200</v>
      </c>
      <c r="F1336" s="160" t="s">
        <v>74</v>
      </c>
      <c r="G1336" s="148">
        <v>25</v>
      </c>
      <c r="H1336" s="152">
        <f>IF(C1336=11700,ROUND(VLOOKUP(G1336,ThongSo!$F$2:$I$15,4,0)*B1336*11.7,3),0)</f>
        <v>90.09</v>
      </c>
      <c r="I1336" s="152">
        <f>IF(F1336="Sắt vụn",ROUND(VLOOKUP(G1336,ThongSo!$F$2:$I$15,4,0)*B1336*E1336/1000,3),"-")</f>
        <v>1.54</v>
      </c>
      <c r="L1336" s="150"/>
      <c r="M1336" s="150"/>
      <c r="N1336" s="150"/>
    </row>
    <row r="1337" spans="1:14" x14ac:dyDescent="0.25">
      <c r="A1337" s="159">
        <v>213</v>
      </c>
      <c r="B1337" s="160">
        <v>1</v>
      </c>
      <c r="C1337" s="160">
        <v>11700</v>
      </c>
      <c r="D1337" s="160" t="s">
        <v>4104</v>
      </c>
      <c r="E1337" s="160">
        <v>300</v>
      </c>
      <c r="F1337" s="160" t="s">
        <v>74</v>
      </c>
      <c r="G1337" s="148">
        <v>25</v>
      </c>
      <c r="H1337" s="152">
        <f>IF(C1337=11700,ROUND(VLOOKUP(G1337,ThongSo!$F$2:$I$15,4,0)*B1337*11.7,3),0)</f>
        <v>45.045000000000002</v>
      </c>
      <c r="I1337" s="152">
        <f>IF(F1337="Sắt vụn",ROUND(VLOOKUP(G1337,ThongSo!$F$2:$I$15,4,0)*B1337*E1337/1000,3),"-")</f>
        <v>1.155</v>
      </c>
      <c r="L1337" s="150"/>
      <c r="M1337" s="150"/>
      <c r="N1337" s="150"/>
    </row>
    <row r="1338" spans="1:14" x14ac:dyDescent="0.25">
      <c r="A1338" s="159">
        <v>214</v>
      </c>
      <c r="B1338" s="160">
        <v>4</v>
      </c>
      <c r="C1338" s="160">
        <v>11700</v>
      </c>
      <c r="D1338" s="160" t="s">
        <v>4105</v>
      </c>
      <c r="E1338" s="160">
        <v>575</v>
      </c>
      <c r="F1338" s="160" t="s">
        <v>74</v>
      </c>
      <c r="G1338" s="148">
        <v>25</v>
      </c>
      <c r="H1338" s="152">
        <f>IF(C1338=11700,ROUND(VLOOKUP(G1338,ThongSo!$F$2:$I$15,4,0)*B1338*11.7,3),0)</f>
        <v>180.18</v>
      </c>
      <c r="I1338" s="152">
        <f>IF(F1338="Sắt vụn",ROUND(VLOOKUP(G1338,ThongSo!$F$2:$I$15,4,0)*B1338*E1338/1000,3),"-")</f>
        <v>8.8550000000000004</v>
      </c>
      <c r="L1338" s="150"/>
      <c r="M1338" s="150"/>
      <c r="N1338" s="150"/>
    </row>
    <row r="1339" spans="1:14" x14ac:dyDescent="0.25">
      <c r="A1339" s="159">
        <v>215</v>
      </c>
      <c r="B1339" s="160">
        <v>3</v>
      </c>
      <c r="C1339" s="160">
        <v>11700</v>
      </c>
      <c r="D1339" s="160" t="s">
        <v>4106</v>
      </c>
      <c r="E1339" s="160">
        <v>580</v>
      </c>
      <c r="F1339" s="160" t="s">
        <v>74</v>
      </c>
      <c r="G1339" s="148">
        <v>25</v>
      </c>
      <c r="H1339" s="152">
        <f>IF(C1339=11700,ROUND(VLOOKUP(G1339,ThongSo!$F$2:$I$15,4,0)*B1339*11.7,3),0)</f>
        <v>135.13499999999999</v>
      </c>
      <c r="I1339" s="152">
        <f>IF(F1339="Sắt vụn",ROUND(VLOOKUP(G1339,ThongSo!$F$2:$I$15,4,0)*B1339*E1339/1000,3),"-")</f>
        <v>6.6989999999999998</v>
      </c>
      <c r="L1339" s="150"/>
      <c r="M1339" s="150"/>
      <c r="N1339" s="150"/>
    </row>
    <row r="1340" spans="1:14" x14ac:dyDescent="0.25">
      <c r="A1340" s="159">
        <v>216</v>
      </c>
      <c r="B1340" s="160">
        <v>3</v>
      </c>
      <c r="C1340" s="160">
        <v>11700</v>
      </c>
      <c r="D1340" s="160" t="s">
        <v>4107</v>
      </c>
      <c r="E1340" s="160">
        <v>580</v>
      </c>
      <c r="F1340" s="160" t="s">
        <v>74</v>
      </c>
      <c r="G1340" s="148">
        <v>25</v>
      </c>
      <c r="H1340" s="152">
        <f>IF(C1340=11700,ROUND(VLOOKUP(G1340,ThongSo!$F$2:$I$15,4,0)*B1340*11.7,3),0)</f>
        <v>135.13499999999999</v>
      </c>
      <c r="I1340" s="152">
        <f>IF(F1340="Sắt vụn",ROUND(VLOOKUP(G1340,ThongSo!$F$2:$I$15,4,0)*B1340*E1340/1000,3),"-")</f>
        <v>6.6989999999999998</v>
      </c>
      <c r="L1340" s="150"/>
      <c r="M1340" s="150"/>
      <c r="N1340" s="150"/>
    </row>
    <row r="1341" spans="1:14" x14ac:dyDescent="0.25">
      <c r="A1341" s="159">
        <v>217</v>
      </c>
      <c r="B1341" s="160">
        <v>2</v>
      </c>
      <c r="C1341" s="160">
        <v>11700</v>
      </c>
      <c r="D1341" s="160" t="s">
        <v>4108</v>
      </c>
      <c r="E1341" s="160">
        <v>700</v>
      </c>
      <c r="F1341" s="160" t="s">
        <v>74</v>
      </c>
      <c r="G1341" s="148">
        <v>25</v>
      </c>
      <c r="H1341" s="152">
        <f>IF(C1341=11700,ROUND(VLOOKUP(G1341,ThongSo!$F$2:$I$15,4,0)*B1341*11.7,3),0)</f>
        <v>90.09</v>
      </c>
      <c r="I1341" s="152">
        <f>IF(F1341="Sắt vụn",ROUND(VLOOKUP(G1341,ThongSo!$F$2:$I$15,4,0)*B1341*E1341/1000,3),"-")</f>
        <v>5.39</v>
      </c>
      <c r="L1341" s="150"/>
      <c r="M1341" s="150"/>
      <c r="N1341" s="150"/>
    </row>
    <row r="1342" spans="1:14" x14ac:dyDescent="0.25">
      <c r="A1342" s="159">
        <v>218</v>
      </c>
      <c r="B1342" s="160">
        <v>4</v>
      </c>
      <c r="C1342" s="160">
        <v>11700</v>
      </c>
      <c r="D1342" s="160" t="s">
        <v>4109</v>
      </c>
      <c r="E1342" s="160">
        <v>700</v>
      </c>
      <c r="F1342" s="160" t="s">
        <v>74</v>
      </c>
      <c r="G1342" s="148">
        <v>25</v>
      </c>
      <c r="H1342" s="152">
        <f>IF(C1342=11700,ROUND(VLOOKUP(G1342,ThongSo!$F$2:$I$15,4,0)*B1342*11.7,3),0)</f>
        <v>180.18</v>
      </c>
      <c r="I1342" s="152">
        <f>IF(F1342="Sắt vụn",ROUND(VLOOKUP(G1342,ThongSo!$F$2:$I$15,4,0)*B1342*E1342/1000,3),"-")</f>
        <v>10.78</v>
      </c>
      <c r="L1342" s="150"/>
      <c r="M1342" s="150"/>
      <c r="N1342" s="150"/>
    </row>
    <row r="1343" spans="1:14" x14ac:dyDescent="0.25">
      <c r="A1343" s="159">
        <v>219</v>
      </c>
      <c r="B1343" s="160">
        <v>2</v>
      </c>
      <c r="C1343" s="160">
        <v>11700</v>
      </c>
      <c r="D1343" s="160" t="s">
        <v>4110</v>
      </c>
      <c r="E1343" s="160">
        <v>700</v>
      </c>
      <c r="F1343" s="160" t="s">
        <v>74</v>
      </c>
      <c r="G1343" s="148">
        <v>25</v>
      </c>
      <c r="H1343" s="152">
        <f>IF(C1343=11700,ROUND(VLOOKUP(G1343,ThongSo!$F$2:$I$15,4,0)*B1343*11.7,3),0)</f>
        <v>90.09</v>
      </c>
      <c r="I1343" s="152">
        <f>IF(F1343="Sắt vụn",ROUND(VLOOKUP(G1343,ThongSo!$F$2:$I$15,4,0)*B1343*E1343/1000,3),"-")</f>
        <v>5.39</v>
      </c>
      <c r="L1343" s="150"/>
      <c r="M1343" s="150"/>
      <c r="N1343" s="150"/>
    </row>
    <row r="1344" spans="1:14" x14ac:dyDescent="0.25">
      <c r="A1344" s="159">
        <v>220</v>
      </c>
      <c r="B1344" s="160">
        <v>2</v>
      </c>
      <c r="C1344" s="160">
        <v>11700</v>
      </c>
      <c r="D1344" s="160" t="s">
        <v>4111</v>
      </c>
      <c r="E1344" s="160">
        <v>700</v>
      </c>
      <c r="F1344" s="160" t="s">
        <v>74</v>
      </c>
      <c r="G1344" s="148">
        <v>25</v>
      </c>
      <c r="H1344" s="152">
        <f>IF(C1344=11700,ROUND(VLOOKUP(G1344,ThongSo!$F$2:$I$15,4,0)*B1344*11.7,3),0)</f>
        <v>90.09</v>
      </c>
      <c r="I1344" s="152">
        <f>IF(F1344="Sắt vụn",ROUND(VLOOKUP(G1344,ThongSo!$F$2:$I$15,4,0)*B1344*E1344/1000,3),"-")</f>
        <v>5.39</v>
      </c>
      <c r="L1344" s="150"/>
      <c r="M1344" s="150"/>
      <c r="N1344" s="150"/>
    </row>
    <row r="1345" spans="1:14" x14ac:dyDescent="0.25">
      <c r="A1345" s="159">
        <v>221</v>
      </c>
      <c r="B1345" s="160">
        <v>3</v>
      </c>
      <c r="C1345" s="160">
        <v>11700</v>
      </c>
      <c r="D1345" s="160" t="s">
        <v>4112</v>
      </c>
      <c r="E1345" s="160">
        <v>700</v>
      </c>
      <c r="F1345" s="160" t="s">
        <v>74</v>
      </c>
      <c r="G1345" s="148">
        <v>25</v>
      </c>
      <c r="H1345" s="152">
        <f>IF(C1345=11700,ROUND(VLOOKUP(G1345,ThongSo!$F$2:$I$15,4,0)*B1345*11.7,3),0)</f>
        <v>135.13499999999999</v>
      </c>
      <c r="I1345" s="152">
        <f>IF(F1345="Sắt vụn",ROUND(VLOOKUP(G1345,ThongSo!$F$2:$I$15,4,0)*B1345*E1345/1000,3),"-")</f>
        <v>8.0850000000000009</v>
      </c>
      <c r="L1345" s="150"/>
      <c r="M1345" s="150"/>
      <c r="N1345" s="150"/>
    </row>
    <row r="1346" spans="1:14" x14ac:dyDescent="0.25">
      <c r="A1346" s="159">
        <v>222</v>
      </c>
      <c r="B1346" s="160">
        <v>2</v>
      </c>
      <c r="C1346" s="160">
        <v>11700</v>
      </c>
      <c r="D1346" s="160" t="s">
        <v>4113</v>
      </c>
      <c r="E1346" s="160">
        <v>720</v>
      </c>
      <c r="F1346" s="160" t="s">
        <v>74</v>
      </c>
      <c r="G1346" s="148">
        <v>25</v>
      </c>
      <c r="H1346" s="152">
        <f>IF(C1346=11700,ROUND(VLOOKUP(G1346,ThongSo!$F$2:$I$15,4,0)*B1346*11.7,3),0)</f>
        <v>90.09</v>
      </c>
      <c r="I1346" s="152">
        <f>IF(F1346="Sắt vụn",ROUND(VLOOKUP(G1346,ThongSo!$F$2:$I$15,4,0)*B1346*E1346/1000,3),"-")</f>
        <v>5.5439999999999996</v>
      </c>
      <c r="L1346" s="150"/>
      <c r="M1346" s="150"/>
      <c r="N1346" s="150"/>
    </row>
    <row r="1347" spans="1:14" x14ac:dyDescent="0.25">
      <c r="A1347" s="159">
        <v>223</v>
      </c>
      <c r="B1347" s="160">
        <v>2</v>
      </c>
      <c r="C1347" s="160">
        <v>11700</v>
      </c>
      <c r="D1347" s="160" t="s">
        <v>4114</v>
      </c>
      <c r="E1347" s="160">
        <v>720</v>
      </c>
      <c r="F1347" s="160" t="s">
        <v>74</v>
      </c>
      <c r="G1347" s="148">
        <v>25</v>
      </c>
      <c r="H1347" s="152">
        <f>IF(C1347=11700,ROUND(VLOOKUP(G1347,ThongSo!$F$2:$I$15,4,0)*B1347*11.7,3),0)</f>
        <v>90.09</v>
      </c>
      <c r="I1347" s="152">
        <f>IF(F1347="Sắt vụn",ROUND(VLOOKUP(G1347,ThongSo!$F$2:$I$15,4,0)*B1347*E1347/1000,3),"-")</f>
        <v>5.5439999999999996</v>
      </c>
      <c r="L1347" s="150"/>
      <c r="M1347" s="150"/>
      <c r="N1347" s="150"/>
    </row>
    <row r="1348" spans="1:14" x14ac:dyDescent="0.25">
      <c r="A1348" s="159">
        <v>224</v>
      </c>
      <c r="B1348" s="160">
        <v>46</v>
      </c>
      <c r="C1348" s="160">
        <v>11700</v>
      </c>
      <c r="D1348" s="160" t="s">
        <v>4115</v>
      </c>
      <c r="E1348" s="160">
        <v>1230</v>
      </c>
      <c r="F1348" s="160" t="s">
        <v>74</v>
      </c>
      <c r="G1348" s="148">
        <v>25</v>
      </c>
      <c r="H1348" s="152">
        <f>IF(C1348=11700,ROUND(VLOOKUP(G1348,ThongSo!$F$2:$I$15,4,0)*B1348*11.7,3),0)</f>
        <v>2072.0700000000002</v>
      </c>
      <c r="I1348" s="152">
        <f>IF(F1348="Sắt vụn",ROUND(VLOOKUP(G1348,ThongSo!$F$2:$I$15,4,0)*B1348*E1348/1000,3),"-")</f>
        <v>217.833</v>
      </c>
      <c r="L1348" s="150"/>
      <c r="M1348" s="150"/>
      <c r="N1348" s="150"/>
    </row>
    <row r="1349" spans="1:14" x14ac:dyDescent="0.25">
      <c r="A1349" s="159">
        <v>225</v>
      </c>
      <c r="B1349" s="160">
        <v>2</v>
      </c>
      <c r="C1349" s="160">
        <v>11700</v>
      </c>
      <c r="D1349" s="160" t="s">
        <v>4116</v>
      </c>
      <c r="E1349" s="160">
        <v>1270</v>
      </c>
      <c r="F1349" s="160" t="s">
        <v>75</v>
      </c>
      <c r="G1349" s="148">
        <v>25</v>
      </c>
      <c r="H1349" s="152">
        <f>IF(C1349=11700,ROUND(VLOOKUP(G1349,ThongSo!$F$2:$I$15,4,0)*B1349*11.7,3),0)</f>
        <v>90.09</v>
      </c>
      <c r="I1349" s="152" t="str">
        <f>IF(F1349="Sắt vụn",ROUND(VLOOKUP(G1349,ThongSo!$F$2:$I$15,4,0)*B1349*E1349/1000,3),"-")</f>
        <v>-</v>
      </c>
      <c r="L1349" s="150"/>
      <c r="M1349" s="150"/>
      <c r="N1349" s="150"/>
    </row>
    <row r="1350" spans="1:14" x14ac:dyDescent="0.25">
      <c r="A1350" s="159">
        <v>226</v>
      </c>
      <c r="B1350" s="160">
        <v>2</v>
      </c>
      <c r="C1350" s="160">
        <v>11700</v>
      </c>
      <c r="D1350" s="160" t="s">
        <v>4117</v>
      </c>
      <c r="E1350" s="160">
        <v>1950</v>
      </c>
      <c r="F1350" s="160" t="s">
        <v>75</v>
      </c>
      <c r="G1350" s="148">
        <v>25</v>
      </c>
      <c r="H1350" s="152">
        <f>IF(C1350=11700,ROUND(VLOOKUP(G1350,ThongSo!$F$2:$I$15,4,0)*B1350*11.7,3),0)</f>
        <v>90.09</v>
      </c>
      <c r="I1350" s="152" t="str">
        <f>IF(F1350="Sắt vụn",ROUND(VLOOKUP(G1350,ThongSo!$F$2:$I$15,4,0)*B1350*E1350/1000,3),"-")</f>
        <v>-</v>
      </c>
      <c r="L1350" s="150"/>
      <c r="M1350" s="150"/>
      <c r="N1350" s="150"/>
    </row>
    <row r="1351" spans="1:14" x14ac:dyDescent="0.25">
      <c r="A1351" s="159">
        <v>227</v>
      </c>
      <c r="B1351" s="160">
        <v>2</v>
      </c>
      <c r="C1351" s="160">
        <v>11700</v>
      </c>
      <c r="D1351" s="160" t="s">
        <v>4118</v>
      </c>
      <c r="E1351" s="160">
        <v>2010</v>
      </c>
      <c r="F1351" s="160" t="s">
        <v>75</v>
      </c>
      <c r="G1351" s="148">
        <v>25</v>
      </c>
      <c r="H1351" s="152">
        <f>IF(C1351=11700,ROUND(VLOOKUP(G1351,ThongSo!$F$2:$I$15,4,0)*B1351*11.7,3),0)</f>
        <v>90.09</v>
      </c>
      <c r="I1351" s="152" t="str">
        <f>IF(F1351="Sắt vụn",ROUND(VLOOKUP(G1351,ThongSo!$F$2:$I$15,4,0)*B1351*E1351/1000,3),"-")</f>
        <v>-</v>
      </c>
      <c r="L1351" s="150"/>
      <c r="M1351" s="150"/>
      <c r="N1351" s="150"/>
    </row>
    <row r="1352" spans="1:14" x14ac:dyDescent="0.25">
      <c r="A1352" s="159">
        <v>228</v>
      </c>
      <c r="B1352" s="160">
        <v>3</v>
      </c>
      <c r="C1352" s="160">
        <v>11700</v>
      </c>
      <c r="D1352" s="160" t="s">
        <v>4119</v>
      </c>
      <c r="E1352" s="160">
        <v>2100</v>
      </c>
      <c r="F1352" s="160" t="s">
        <v>75</v>
      </c>
      <c r="G1352" s="148">
        <v>25</v>
      </c>
      <c r="H1352" s="152">
        <f>IF(C1352=11700,ROUND(VLOOKUP(G1352,ThongSo!$F$2:$I$15,4,0)*B1352*11.7,3),0)</f>
        <v>135.13499999999999</v>
      </c>
      <c r="I1352" s="152" t="str">
        <f>IF(F1352="Sắt vụn",ROUND(VLOOKUP(G1352,ThongSo!$F$2:$I$15,4,0)*B1352*E1352/1000,3),"-")</f>
        <v>-</v>
      </c>
      <c r="L1352" s="150"/>
      <c r="M1352" s="150"/>
      <c r="N1352" s="150"/>
    </row>
    <row r="1353" spans="1:14" x14ac:dyDescent="0.25">
      <c r="A1353" s="159">
        <v>229</v>
      </c>
      <c r="B1353" s="160">
        <v>2</v>
      </c>
      <c r="C1353" s="160">
        <v>11700</v>
      </c>
      <c r="D1353" s="160" t="s">
        <v>4120</v>
      </c>
      <c r="E1353" s="160">
        <v>2240</v>
      </c>
      <c r="F1353" s="160" t="s">
        <v>75</v>
      </c>
      <c r="G1353" s="148">
        <v>25</v>
      </c>
      <c r="H1353" s="152">
        <f>IF(C1353=11700,ROUND(VLOOKUP(G1353,ThongSo!$F$2:$I$15,4,0)*B1353*11.7,3),0)</f>
        <v>90.09</v>
      </c>
      <c r="I1353" s="152" t="str">
        <f>IF(F1353="Sắt vụn",ROUND(VLOOKUP(G1353,ThongSo!$F$2:$I$15,4,0)*B1353*E1353/1000,3),"-")</f>
        <v>-</v>
      </c>
      <c r="L1353" s="150"/>
      <c r="M1353" s="150"/>
      <c r="N1353" s="150"/>
    </row>
    <row r="1354" spans="1:14" x14ac:dyDescent="0.25">
      <c r="A1354" s="159">
        <v>230</v>
      </c>
      <c r="B1354" s="160">
        <v>3</v>
      </c>
      <c r="C1354" s="160">
        <v>11700</v>
      </c>
      <c r="D1354" s="160" t="s">
        <v>4121</v>
      </c>
      <c r="E1354" s="160">
        <v>2280</v>
      </c>
      <c r="F1354" s="160" t="s">
        <v>75</v>
      </c>
      <c r="G1354" s="148">
        <v>25</v>
      </c>
      <c r="H1354" s="152">
        <f>IF(C1354=11700,ROUND(VLOOKUP(G1354,ThongSo!$F$2:$I$15,4,0)*B1354*11.7,3),0)</f>
        <v>135.13499999999999</v>
      </c>
      <c r="I1354" s="152" t="str">
        <f>IF(F1354="Sắt vụn",ROUND(VLOOKUP(G1354,ThongSo!$F$2:$I$15,4,0)*B1354*E1354/1000,3),"-")</f>
        <v>-</v>
      </c>
      <c r="L1354" s="150"/>
      <c r="M1354" s="150"/>
      <c r="N1354" s="150"/>
    </row>
    <row r="1355" spans="1:14" x14ac:dyDescent="0.25">
      <c r="A1355" s="159">
        <v>231</v>
      </c>
      <c r="B1355" s="160">
        <v>1</v>
      </c>
      <c r="C1355" s="160">
        <v>11700</v>
      </c>
      <c r="D1355" s="160" t="s">
        <v>4122</v>
      </c>
      <c r="E1355" s="160">
        <v>2330</v>
      </c>
      <c r="F1355" s="160" t="s">
        <v>75</v>
      </c>
      <c r="G1355" s="148">
        <v>25</v>
      </c>
      <c r="H1355" s="152">
        <f>IF(C1355=11700,ROUND(VLOOKUP(G1355,ThongSo!$F$2:$I$15,4,0)*B1355*11.7,3),0)</f>
        <v>45.045000000000002</v>
      </c>
      <c r="I1355" s="152" t="str">
        <f>IF(F1355="Sắt vụn",ROUND(VLOOKUP(G1355,ThongSo!$F$2:$I$15,4,0)*B1355*E1355/1000,3),"-")</f>
        <v>-</v>
      </c>
      <c r="L1355" s="150"/>
      <c r="M1355" s="150"/>
      <c r="N1355" s="150"/>
    </row>
    <row r="1356" spans="1:14" x14ac:dyDescent="0.25">
      <c r="A1356" s="159">
        <v>232</v>
      </c>
      <c r="B1356" s="160">
        <v>5</v>
      </c>
      <c r="C1356" s="160">
        <v>11700</v>
      </c>
      <c r="D1356" s="160" t="s">
        <v>4123</v>
      </c>
      <c r="E1356" s="160">
        <v>2375</v>
      </c>
      <c r="F1356" s="160" t="s">
        <v>75</v>
      </c>
      <c r="G1356" s="148">
        <v>25</v>
      </c>
      <c r="H1356" s="152">
        <f>IF(C1356=11700,ROUND(VLOOKUP(G1356,ThongSo!$F$2:$I$15,4,0)*B1356*11.7,3),0)</f>
        <v>225.22499999999999</v>
      </c>
      <c r="I1356" s="152" t="str">
        <f>IF(F1356="Sắt vụn",ROUND(VLOOKUP(G1356,ThongSo!$F$2:$I$15,4,0)*B1356*E1356/1000,3),"-")</f>
        <v>-</v>
      </c>
      <c r="L1356" s="150"/>
      <c r="M1356" s="150"/>
      <c r="N1356" s="150"/>
    </row>
    <row r="1357" spans="1:14" x14ac:dyDescent="0.25">
      <c r="A1357" s="159">
        <v>233</v>
      </c>
      <c r="B1357" s="160">
        <v>2</v>
      </c>
      <c r="C1357" s="160">
        <v>11700</v>
      </c>
      <c r="D1357" s="160" t="s">
        <v>4124</v>
      </c>
      <c r="E1357" s="160">
        <v>2510</v>
      </c>
      <c r="F1357" s="160" t="s">
        <v>75</v>
      </c>
      <c r="G1357" s="148">
        <v>25</v>
      </c>
      <c r="H1357" s="152">
        <f>IF(C1357=11700,ROUND(VLOOKUP(G1357,ThongSo!$F$2:$I$15,4,0)*B1357*11.7,3),0)</f>
        <v>90.09</v>
      </c>
      <c r="I1357" s="152" t="str">
        <f>IF(F1357="Sắt vụn",ROUND(VLOOKUP(G1357,ThongSo!$F$2:$I$15,4,0)*B1357*E1357/1000,3),"-")</f>
        <v>-</v>
      </c>
      <c r="L1357" s="150"/>
      <c r="M1357" s="150"/>
      <c r="N1357" s="150"/>
    </row>
    <row r="1358" spans="1:14" x14ac:dyDescent="0.25">
      <c r="A1358" s="159">
        <v>234</v>
      </c>
      <c r="B1358" s="160">
        <v>2</v>
      </c>
      <c r="C1358" s="160">
        <v>11700</v>
      </c>
      <c r="D1358" s="160" t="s">
        <v>4125</v>
      </c>
      <c r="E1358" s="160">
        <v>2785</v>
      </c>
      <c r="F1358" s="160" t="s">
        <v>75</v>
      </c>
      <c r="G1358" s="148">
        <v>25</v>
      </c>
      <c r="H1358" s="152">
        <f>IF(C1358=11700,ROUND(VLOOKUP(G1358,ThongSo!$F$2:$I$15,4,0)*B1358*11.7,3),0)</f>
        <v>90.09</v>
      </c>
      <c r="I1358" s="152" t="str">
        <f>IF(F1358="Sắt vụn",ROUND(VLOOKUP(G1358,ThongSo!$F$2:$I$15,4,0)*B1358*E1358/1000,3),"-")</f>
        <v>-</v>
      </c>
      <c r="L1358" s="150"/>
      <c r="M1358" s="150"/>
      <c r="N1358" s="150"/>
    </row>
    <row r="1359" spans="1:14" x14ac:dyDescent="0.25">
      <c r="A1359" s="159">
        <v>235</v>
      </c>
      <c r="B1359" s="160">
        <v>2</v>
      </c>
      <c r="C1359" s="160">
        <v>11700</v>
      </c>
      <c r="D1359" s="160" t="s">
        <v>4126</v>
      </c>
      <c r="E1359" s="160">
        <v>3050</v>
      </c>
      <c r="F1359" s="160" t="s">
        <v>75</v>
      </c>
      <c r="G1359" s="148">
        <v>25</v>
      </c>
      <c r="H1359" s="152">
        <f>IF(C1359=11700,ROUND(VLOOKUP(G1359,ThongSo!$F$2:$I$15,4,0)*B1359*11.7,3),0)</f>
        <v>90.09</v>
      </c>
      <c r="I1359" s="152" t="str">
        <f>IF(F1359="Sắt vụn",ROUND(VLOOKUP(G1359,ThongSo!$F$2:$I$15,4,0)*B1359*E1359/1000,3),"-")</f>
        <v>-</v>
      </c>
      <c r="L1359" s="150"/>
      <c r="M1359" s="150"/>
      <c r="N1359" s="150"/>
    </row>
    <row r="1360" spans="1:14" x14ac:dyDescent="0.25">
      <c r="A1360" s="159">
        <v>236</v>
      </c>
      <c r="B1360" s="160">
        <v>2</v>
      </c>
      <c r="C1360" s="160">
        <v>11700</v>
      </c>
      <c r="D1360" s="160" t="s">
        <v>4127</v>
      </c>
      <c r="E1360" s="160">
        <v>3100</v>
      </c>
      <c r="F1360" s="160" t="s">
        <v>75</v>
      </c>
      <c r="G1360" s="148">
        <v>25</v>
      </c>
      <c r="H1360" s="152">
        <f>IF(C1360=11700,ROUND(VLOOKUP(G1360,ThongSo!$F$2:$I$15,4,0)*B1360*11.7,3),0)</f>
        <v>90.09</v>
      </c>
      <c r="I1360" s="152" t="str">
        <f>IF(F1360="Sắt vụn",ROUND(VLOOKUP(G1360,ThongSo!$F$2:$I$15,4,0)*B1360*E1360/1000,3),"-")</f>
        <v>-</v>
      </c>
      <c r="L1360" s="150"/>
      <c r="M1360" s="150"/>
      <c r="N1360" s="150"/>
    </row>
    <row r="1361" spans="1:14" x14ac:dyDescent="0.25">
      <c r="A1361" s="159">
        <v>237</v>
      </c>
      <c r="B1361" s="160">
        <v>2</v>
      </c>
      <c r="C1361" s="160">
        <v>11700</v>
      </c>
      <c r="D1361" s="160" t="s">
        <v>4128</v>
      </c>
      <c r="E1361" s="160">
        <v>3155</v>
      </c>
      <c r="F1361" s="160" t="s">
        <v>75</v>
      </c>
      <c r="G1361" s="148">
        <v>25</v>
      </c>
      <c r="H1361" s="152">
        <f>IF(C1361=11700,ROUND(VLOOKUP(G1361,ThongSo!$F$2:$I$15,4,0)*B1361*11.7,3),0)</f>
        <v>90.09</v>
      </c>
      <c r="I1361" s="152" t="str">
        <f>IF(F1361="Sắt vụn",ROUND(VLOOKUP(G1361,ThongSo!$F$2:$I$15,4,0)*B1361*E1361/1000,3),"-")</f>
        <v>-</v>
      </c>
      <c r="L1361" s="150"/>
      <c r="M1361" s="150"/>
      <c r="N1361" s="150"/>
    </row>
    <row r="1362" spans="1:14" x14ac:dyDescent="0.25">
      <c r="A1362" s="159">
        <v>238</v>
      </c>
      <c r="B1362" s="160">
        <v>1</v>
      </c>
      <c r="C1362" s="160">
        <v>11700</v>
      </c>
      <c r="D1362" s="160" t="s">
        <v>4129</v>
      </c>
      <c r="E1362" s="160">
        <v>3600</v>
      </c>
      <c r="F1362" s="160" t="s">
        <v>75</v>
      </c>
      <c r="G1362" s="148">
        <v>25</v>
      </c>
      <c r="H1362" s="152">
        <f>IF(C1362=11700,ROUND(VLOOKUP(G1362,ThongSo!$F$2:$I$15,4,0)*B1362*11.7,3),0)</f>
        <v>45.045000000000002</v>
      </c>
      <c r="I1362" s="152" t="str">
        <f>IF(F1362="Sắt vụn",ROUND(VLOOKUP(G1362,ThongSo!$F$2:$I$15,4,0)*B1362*E1362/1000,3),"-")</f>
        <v>-</v>
      </c>
      <c r="L1362" s="150"/>
      <c r="M1362" s="150"/>
      <c r="N1362" s="150"/>
    </row>
    <row r="1363" spans="1:14" x14ac:dyDescent="0.25">
      <c r="A1363" s="159">
        <v>239</v>
      </c>
      <c r="B1363" s="160">
        <v>2</v>
      </c>
      <c r="C1363" s="160">
        <v>11700</v>
      </c>
      <c r="D1363" s="160" t="s">
        <v>4130</v>
      </c>
      <c r="E1363" s="160">
        <v>3700</v>
      </c>
      <c r="F1363" s="160" t="s">
        <v>75</v>
      </c>
      <c r="G1363" s="148">
        <v>25</v>
      </c>
      <c r="H1363" s="152">
        <f>IF(C1363=11700,ROUND(VLOOKUP(G1363,ThongSo!$F$2:$I$15,4,0)*B1363*11.7,3),0)</f>
        <v>90.09</v>
      </c>
      <c r="I1363" s="152" t="str">
        <f>IF(F1363="Sắt vụn",ROUND(VLOOKUP(G1363,ThongSo!$F$2:$I$15,4,0)*B1363*E1363/1000,3),"-")</f>
        <v>-</v>
      </c>
      <c r="L1363" s="150"/>
      <c r="M1363" s="150"/>
      <c r="N1363" s="150"/>
    </row>
    <row r="1364" spans="1:14" x14ac:dyDescent="0.25">
      <c r="A1364" s="159">
        <v>240</v>
      </c>
      <c r="B1364" s="160">
        <v>3</v>
      </c>
      <c r="C1364" s="160">
        <v>11700</v>
      </c>
      <c r="D1364" s="160" t="s">
        <v>4131</v>
      </c>
      <c r="E1364" s="160">
        <v>3700</v>
      </c>
      <c r="F1364" s="160" t="s">
        <v>75</v>
      </c>
      <c r="G1364" s="148">
        <v>25</v>
      </c>
      <c r="H1364" s="152">
        <f>IF(C1364=11700,ROUND(VLOOKUP(G1364,ThongSo!$F$2:$I$15,4,0)*B1364*11.7,3),0)</f>
        <v>135.13499999999999</v>
      </c>
      <c r="I1364" s="152" t="str">
        <f>IF(F1364="Sắt vụn",ROUND(VLOOKUP(G1364,ThongSo!$F$2:$I$15,4,0)*B1364*E1364/1000,3),"-")</f>
        <v>-</v>
      </c>
      <c r="L1364" s="150"/>
      <c r="M1364" s="150"/>
      <c r="N1364" s="150"/>
    </row>
    <row r="1365" spans="1:14" x14ac:dyDescent="0.25">
      <c r="A1365" s="159">
        <v>241</v>
      </c>
      <c r="B1365" s="160">
        <v>4</v>
      </c>
      <c r="C1365" s="160">
        <v>11700</v>
      </c>
      <c r="D1365" s="160" t="s">
        <v>4132</v>
      </c>
      <c r="E1365" s="160">
        <v>3700</v>
      </c>
      <c r="F1365" s="160" t="s">
        <v>75</v>
      </c>
      <c r="G1365" s="148">
        <v>25</v>
      </c>
      <c r="H1365" s="152">
        <f>IF(C1365=11700,ROUND(VLOOKUP(G1365,ThongSo!$F$2:$I$15,4,0)*B1365*11.7,3),0)</f>
        <v>180.18</v>
      </c>
      <c r="I1365" s="152" t="str">
        <f>IF(F1365="Sắt vụn",ROUND(VLOOKUP(G1365,ThongSo!$F$2:$I$15,4,0)*B1365*E1365/1000,3),"-")</f>
        <v>-</v>
      </c>
      <c r="L1365" s="150"/>
      <c r="M1365" s="150"/>
      <c r="N1365" s="150"/>
    </row>
    <row r="1366" spans="1:14" x14ac:dyDescent="0.25">
      <c r="A1366" s="159">
        <v>242</v>
      </c>
      <c r="B1366" s="160">
        <v>3</v>
      </c>
      <c r="C1366" s="160">
        <v>11700</v>
      </c>
      <c r="D1366" s="160" t="s">
        <v>4133</v>
      </c>
      <c r="E1366" s="160">
        <v>3715</v>
      </c>
      <c r="F1366" s="160" t="s">
        <v>75</v>
      </c>
      <c r="G1366" s="148">
        <v>25</v>
      </c>
      <c r="H1366" s="152">
        <f>IF(C1366=11700,ROUND(VLOOKUP(G1366,ThongSo!$F$2:$I$15,4,0)*B1366*11.7,3),0)</f>
        <v>135.13499999999999</v>
      </c>
      <c r="I1366" s="152" t="str">
        <f>IF(F1366="Sắt vụn",ROUND(VLOOKUP(G1366,ThongSo!$F$2:$I$15,4,0)*B1366*E1366/1000,3),"-")</f>
        <v>-</v>
      </c>
      <c r="L1366" s="150"/>
      <c r="M1366" s="150"/>
      <c r="N1366" s="150"/>
    </row>
    <row r="1367" spans="1:14" x14ac:dyDescent="0.25">
      <c r="A1367" s="159">
        <v>243</v>
      </c>
      <c r="B1367" s="160">
        <v>2</v>
      </c>
      <c r="C1367" s="160">
        <v>11700</v>
      </c>
      <c r="D1367" s="160" t="s">
        <v>4134</v>
      </c>
      <c r="E1367" s="160">
        <v>3795</v>
      </c>
      <c r="F1367" s="160" t="s">
        <v>75</v>
      </c>
      <c r="G1367" s="148">
        <v>25</v>
      </c>
      <c r="H1367" s="152">
        <f>IF(C1367=11700,ROUND(VLOOKUP(G1367,ThongSo!$F$2:$I$15,4,0)*B1367*11.7,3),0)</f>
        <v>90.09</v>
      </c>
      <c r="I1367" s="152" t="str">
        <f>IF(F1367="Sắt vụn",ROUND(VLOOKUP(G1367,ThongSo!$F$2:$I$15,4,0)*B1367*E1367/1000,3),"-")</f>
        <v>-</v>
      </c>
      <c r="L1367" s="150"/>
      <c r="M1367" s="150"/>
      <c r="N1367" s="150"/>
    </row>
    <row r="1368" spans="1:14" x14ac:dyDescent="0.25">
      <c r="A1368" s="159">
        <v>244</v>
      </c>
      <c r="B1368" s="160">
        <v>2</v>
      </c>
      <c r="C1368" s="160">
        <v>11700</v>
      </c>
      <c r="D1368" s="160" t="s">
        <v>4135</v>
      </c>
      <c r="E1368" s="160">
        <v>3800</v>
      </c>
      <c r="F1368" s="160" t="s">
        <v>75</v>
      </c>
      <c r="G1368" s="148">
        <v>25</v>
      </c>
      <c r="H1368" s="152">
        <f>IF(C1368=11700,ROUND(VLOOKUP(G1368,ThongSo!$F$2:$I$15,4,0)*B1368*11.7,3),0)</f>
        <v>90.09</v>
      </c>
      <c r="I1368" s="152" t="str">
        <f>IF(F1368="Sắt vụn",ROUND(VLOOKUP(G1368,ThongSo!$F$2:$I$15,4,0)*B1368*E1368/1000,3),"-")</f>
        <v>-</v>
      </c>
      <c r="L1368" s="150"/>
      <c r="M1368" s="150"/>
      <c r="N1368" s="150"/>
    </row>
    <row r="1369" spans="1:14" x14ac:dyDescent="0.25">
      <c r="A1369" s="159">
        <v>245</v>
      </c>
      <c r="B1369" s="160">
        <v>2</v>
      </c>
      <c r="C1369" s="160">
        <v>11700</v>
      </c>
      <c r="D1369" s="160" t="s">
        <v>4136</v>
      </c>
      <c r="E1369" s="160">
        <v>3800</v>
      </c>
      <c r="F1369" s="160" t="s">
        <v>75</v>
      </c>
      <c r="G1369" s="148">
        <v>25</v>
      </c>
      <c r="H1369" s="152">
        <f>IF(C1369=11700,ROUND(VLOOKUP(G1369,ThongSo!$F$2:$I$15,4,0)*B1369*11.7,3),0)</f>
        <v>90.09</v>
      </c>
      <c r="I1369" s="152" t="str">
        <f>IF(F1369="Sắt vụn",ROUND(VLOOKUP(G1369,ThongSo!$F$2:$I$15,4,0)*B1369*E1369/1000,3),"-")</f>
        <v>-</v>
      </c>
      <c r="L1369" s="150"/>
      <c r="M1369" s="150"/>
      <c r="N1369" s="150"/>
    </row>
    <row r="1370" spans="1:14" x14ac:dyDescent="0.25">
      <c r="A1370" s="159">
        <v>246</v>
      </c>
      <c r="B1370" s="160">
        <v>4</v>
      </c>
      <c r="C1370" s="160">
        <v>11700</v>
      </c>
      <c r="D1370" s="160" t="s">
        <v>4137</v>
      </c>
      <c r="E1370" s="160">
        <v>3875</v>
      </c>
      <c r="F1370" s="160" t="s">
        <v>75</v>
      </c>
      <c r="G1370" s="148">
        <v>25</v>
      </c>
      <c r="H1370" s="152">
        <f>IF(C1370=11700,ROUND(VLOOKUP(G1370,ThongSo!$F$2:$I$15,4,0)*B1370*11.7,3),0)</f>
        <v>180.18</v>
      </c>
      <c r="I1370" s="152" t="str">
        <f>IF(F1370="Sắt vụn",ROUND(VLOOKUP(G1370,ThongSo!$F$2:$I$15,4,0)*B1370*E1370/1000,3),"-")</f>
        <v>-</v>
      </c>
      <c r="L1370" s="150"/>
      <c r="M1370" s="150"/>
      <c r="N1370" s="150"/>
    </row>
    <row r="1371" spans="1:14" x14ac:dyDescent="0.25">
      <c r="A1371" s="159">
        <v>247</v>
      </c>
      <c r="B1371" s="160">
        <v>4</v>
      </c>
      <c r="C1371" s="160">
        <v>11700</v>
      </c>
      <c r="D1371" s="160" t="s">
        <v>4138</v>
      </c>
      <c r="E1371" s="160">
        <v>5170</v>
      </c>
      <c r="F1371" s="160" t="s">
        <v>75</v>
      </c>
      <c r="G1371" s="148">
        <v>25</v>
      </c>
      <c r="H1371" s="152">
        <f>IF(C1371=11700,ROUND(VLOOKUP(G1371,ThongSo!$F$2:$I$15,4,0)*B1371*11.7,3),0)</f>
        <v>180.18</v>
      </c>
      <c r="I1371" s="152" t="str">
        <f>IF(F1371="Sắt vụn",ROUND(VLOOKUP(G1371,ThongSo!$F$2:$I$15,4,0)*B1371*E1371/1000,3),"-")</f>
        <v>-</v>
      </c>
      <c r="L1371" s="150"/>
      <c r="M1371" s="150"/>
      <c r="N1371" s="150"/>
    </row>
    <row r="1372" spans="1:14" x14ac:dyDescent="0.25">
      <c r="A1372" s="159">
        <v>248</v>
      </c>
      <c r="B1372" s="160">
        <v>1</v>
      </c>
      <c r="C1372" s="160">
        <v>11700</v>
      </c>
      <c r="D1372" s="160" t="s">
        <v>4139</v>
      </c>
      <c r="E1372" s="160">
        <v>5480</v>
      </c>
      <c r="F1372" s="160" t="s">
        <v>75</v>
      </c>
      <c r="G1372" s="148">
        <v>25</v>
      </c>
      <c r="H1372" s="152">
        <f>IF(C1372=11700,ROUND(VLOOKUP(G1372,ThongSo!$F$2:$I$15,4,0)*B1372*11.7,3),0)</f>
        <v>45.045000000000002</v>
      </c>
      <c r="I1372" s="152" t="str">
        <f>IF(F1372="Sắt vụn",ROUND(VLOOKUP(G1372,ThongSo!$F$2:$I$15,4,0)*B1372*E1372/1000,3),"-")</f>
        <v>-</v>
      </c>
      <c r="L1372" s="150"/>
      <c r="M1372" s="150"/>
      <c r="N1372" s="150"/>
    </row>
    <row r="1373" spans="1:14" x14ac:dyDescent="0.25">
      <c r="A1373" s="159">
        <v>249</v>
      </c>
      <c r="B1373" s="160">
        <v>2</v>
      </c>
      <c r="C1373" s="160">
        <v>11700</v>
      </c>
      <c r="D1373" s="160" t="s">
        <v>4140</v>
      </c>
      <c r="E1373" s="160">
        <v>5495</v>
      </c>
      <c r="F1373" s="160" t="s">
        <v>75</v>
      </c>
      <c r="G1373" s="148">
        <v>25</v>
      </c>
      <c r="H1373" s="152">
        <f>IF(C1373=11700,ROUND(VLOOKUP(G1373,ThongSo!$F$2:$I$15,4,0)*B1373*11.7,3),0)</f>
        <v>90.09</v>
      </c>
      <c r="I1373" s="152" t="str">
        <f>IF(F1373="Sắt vụn",ROUND(VLOOKUP(G1373,ThongSo!$F$2:$I$15,4,0)*B1373*E1373/1000,3),"-")</f>
        <v>-</v>
      </c>
      <c r="L1373" s="150"/>
      <c r="M1373" s="150"/>
      <c r="N1373" s="150"/>
    </row>
    <row r="1374" spans="1:14" x14ac:dyDescent="0.25">
      <c r="A1374" s="157" t="s">
        <v>78</v>
      </c>
      <c r="B1374" s="158"/>
      <c r="C1374" s="158"/>
      <c r="D1374" s="158"/>
      <c r="E1374" s="158"/>
      <c r="F1374" s="158"/>
      <c r="G1374" s="148"/>
      <c r="H1374" s="152">
        <f>IF(C1374=11700,ROUND(VLOOKUP(G1374,ThongSo!$F$2:$I$15,4,0)*B1374*11.7,3),0)</f>
        <v>0</v>
      </c>
      <c r="I1374" s="152" t="str">
        <f>IF(F1374="Sắt vụn",ROUND(VLOOKUP(G1374,ThongSo!$F$2:$I$15,4,0)*B1374*E1374/1000,3),"-")</f>
        <v>-</v>
      </c>
      <c r="L1374" s="150"/>
      <c r="M1374" s="150"/>
      <c r="N1374" s="150"/>
    </row>
    <row r="1375" spans="1:14" x14ac:dyDescent="0.25">
      <c r="A1375" s="159">
        <v>250</v>
      </c>
      <c r="B1375" s="160">
        <v>2</v>
      </c>
      <c r="C1375" s="160">
        <v>11700</v>
      </c>
      <c r="D1375" s="160" t="s">
        <v>4141</v>
      </c>
      <c r="E1375" s="160">
        <v>580</v>
      </c>
      <c r="F1375" s="160" t="s">
        <v>74</v>
      </c>
      <c r="G1375" s="148">
        <v>22</v>
      </c>
      <c r="H1375" s="152">
        <f>IF(C1375=11700,ROUND(VLOOKUP(G1375,ThongSo!$F$2:$I$15,4,0)*B1375*11.7,3),0)</f>
        <v>69.731999999999999</v>
      </c>
      <c r="I1375" s="152">
        <f>IF(F1375="Sắt vụn",ROUND(VLOOKUP(G1375,ThongSo!$F$2:$I$15,4,0)*B1375*E1375/1000,3),"-")</f>
        <v>3.4569999999999999</v>
      </c>
      <c r="L1375" s="150"/>
      <c r="M1375" s="150"/>
      <c r="N1375" s="150"/>
    </row>
    <row r="1376" spans="1:14" x14ac:dyDescent="0.25">
      <c r="A1376" s="159">
        <v>251</v>
      </c>
      <c r="B1376" s="160">
        <v>2</v>
      </c>
      <c r="C1376" s="160">
        <v>11700</v>
      </c>
      <c r="D1376" s="160" t="s">
        <v>4142</v>
      </c>
      <c r="E1376" s="160">
        <v>580</v>
      </c>
      <c r="F1376" s="160" t="s">
        <v>74</v>
      </c>
      <c r="G1376" s="148">
        <v>22</v>
      </c>
      <c r="H1376" s="152">
        <f>IF(C1376=11700,ROUND(VLOOKUP(G1376,ThongSo!$F$2:$I$15,4,0)*B1376*11.7,3),0)</f>
        <v>69.731999999999999</v>
      </c>
      <c r="I1376" s="152">
        <f>IF(F1376="Sắt vụn",ROUND(VLOOKUP(G1376,ThongSo!$F$2:$I$15,4,0)*B1376*E1376/1000,3),"-")</f>
        <v>3.4569999999999999</v>
      </c>
      <c r="L1376" s="150"/>
      <c r="M1376" s="150"/>
      <c r="N1376" s="150"/>
    </row>
    <row r="1377" spans="1:14" x14ac:dyDescent="0.25">
      <c r="A1377" s="159">
        <v>252</v>
      </c>
      <c r="B1377" s="160">
        <v>2</v>
      </c>
      <c r="C1377" s="160">
        <v>11700</v>
      </c>
      <c r="D1377" s="160" t="s">
        <v>4143</v>
      </c>
      <c r="E1377" s="160">
        <v>770</v>
      </c>
      <c r="F1377" s="160" t="s">
        <v>74</v>
      </c>
      <c r="G1377" s="148">
        <v>22</v>
      </c>
      <c r="H1377" s="152">
        <f>IF(C1377=11700,ROUND(VLOOKUP(G1377,ThongSo!$F$2:$I$15,4,0)*B1377*11.7,3),0)</f>
        <v>69.731999999999999</v>
      </c>
      <c r="I1377" s="152">
        <f>IF(F1377="Sắt vụn",ROUND(VLOOKUP(G1377,ThongSo!$F$2:$I$15,4,0)*B1377*E1377/1000,3),"-")</f>
        <v>4.5890000000000004</v>
      </c>
      <c r="L1377" s="150"/>
      <c r="M1377" s="150"/>
      <c r="N1377" s="150"/>
    </row>
    <row r="1378" spans="1:14" x14ac:dyDescent="0.25">
      <c r="A1378" s="159">
        <v>253</v>
      </c>
      <c r="B1378" s="160">
        <v>2</v>
      </c>
      <c r="C1378" s="160">
        <v>11700</v>
      </c>
      <c r="D1378" s="160" t="s">
        <v>4144</v>
      </c>
      <c r="E1378" s="160">
        <v>770</v>
      </c>
      <c r="F1378" s="160" t="s">
        <v>74</v>
      </c>
      <c r="G1378" s="148">
        <v>22</v>
      </c>
      <c r="H1378" s="152">
        <f>IF(C1378=11700,ROUND(VLOOKUP(G1378,ThongSo!$F$2:$I$15,4,0)*B1378*11.7,3),0)</f>
        <v>69.731999999999999</v>
      </c>
      <c r="I1378" s="152">
        <f>IF(F1378="Sắt vụn",ROUND(VLOOKUP(G1378,ThongSo!$F$2:$I$15,4,0)*B1378*E1378/1000,3),"-")</f>
        <v>4.5890000000000004</v>
      </c>
      <c r="L1378" s="150"/>
      <c r="M1378" s="150"/>
      <c r="N1378" s="150"/>
    </row>
    <row r="1379" spans="1:14" x14ac:dyDescent="0.25">
      <c r="A1379" s="157" t="s">
        <v>79</v>
      </c>
      <c r="B1379" s="158"/>
      <c r="C1379" s="158"/>
      <c r="D1379" s="158"/>
      <c r="E1379" s="158"/>
      <c r="F1379" s="158"/>
      <c r="G1379" s="148"/>
      <c r="H1379" s="152">
        <f>IF(C1379=11700,ROUND(VLOOKUP(G1379,ThongSo!$F$2:$I$15,4,0)*B1379*11.7,3),0)</f>
        <v>0</v>
      </c>
      <c r="I1379" s="152" t="str">
        <f>IF(F1379="Sắt vụn",ROUND(VLOOKUP(G1379,ThongSo!$F$2:$I$15,4,0)*B1379*E1379/1000,3),"-")</f>
        <v>-</v>
      </c>
      <c r="L1379" s="150"/>
      <c r="M1379" s="150"/>
      <c r="N1379" s="150"/>
    </row>
    <row r="1380" spans="1:14" x14ac:dyDescent="0.25">
      <c r="A1380" s="159" t="s">
        <v>73</v>
      </c>
      <c r="B1380" s="160">
        <v>10</v>
      </c>
      <c r="C1380" s="160">
        <v>11700</v>
      </c>
      <c r="D1380" s="160"/>
      <c r="E1380" s="160"/>
      <c r="F1380" s="160"/>
      <c r="G1380" s="148">
        <v>20</v>
      </c>
      <c r="H1380" s="152">
        <f>IF(C1380=11700,ROUND(VLOOKUP(G1380,ThongSo!$F$2:$I$15,4,0)*B1380*11.7,3),0)</f>
        <v>288.99</v>
      </c>
      <c r="I1380" s="152" t="str">
        <f>IF(F1380="Sắt vụn",ROUND(VLOOKUP(G1380,ThongSo!$F$2:$I$15,4,0)*B1380*E1380/1000,3),"-")</f>
        <v>-</v>
      </c>
      <c r="L1380" s="150"/>
      <c r="M1380" s="150"/>
      <c r="N1380" s="150"/>
    </row>
    <row r="1381" spans="1:14" x14ac:dyDescent="0.25">
      <c r="A1381" s="159" t="s">
        <v>310</v>
      </c>
      <c r="B1381" s="160">
        <v>1</v>
      </c>
      <c r="C1381" s="160">
        <v>4330</v>
      </c>
      <c r="D1381" s="160" t="s">
        <v>4145</v>
      </c>
      <c r="E1381" s="160">
        <v>30</v>
      </c>
      <c r="F1381" s="160" t="s">
        <v>74</v>
      </c>
      <c r="G1381" s="148">
        <v>20</v>
      </c>
      <c r="H1381" s="152">
        <f>IF(C1381=11700,ROUND(VLOOKUP(G1381,ThongSo!$F$2:$I$15,4,0)*B1381*11.7,3),0)</f>
        <v>0</v>
      </c>
      <c r="I1381" s="152">
        <f>IF(F1381="Sắt vụn",ROUND(VLOOKUP(G1381,ThongSo!$F$2:$I$15,4,0)*B1381*E1381/1000,3),"-")</f>
        <v>7.3999999999999996E-2</v>
      </c>
      <c r="L1381" s="150"/>
      <c r="M1381" s="150"/>
      <c r="N1381" s="150"/>
    </row>
    <row r="1382" spans="1:14" x14ac:dyDescent="0.25">
      <c r="A1382" s="159" t="s">
        <v>310</v>
      </c>
      <c r="B1382" s="160">
        <v>3</v>
      </c>
      <c r="C1382" s="160">
        <v>4330</v>
      </c>
      <c r="D1382" s="160" t="s">
        <v>4146</v>
      </c>
      <c r="E1382" s="160">
        <v>230</v>
      </c>
      <c r="F1382" s="160" t="s">
        <v>74</v>
      </c>
      <c r="G1382" s="148">
        <v>20</v>
      </c>
      <c r="H1382" s="152">
        <f>IF(C1382=11700,ROUND(VLOOKUP(G1382,ThongSo!$F$2:$I$15,4,0)*B1382*11.7,3),0)</f>
        <v>0</v>
      </c>
      <c r="I1382" s="152">
        <f>IF(F1382="Sắt vụn",ROUND(VLOOKUP(G1382,ThongSo!$F$2:$I$15,4,0)*B1382*E1382/1000,3),"-")</f>
        <v>1.704</v>
      </c>
      <c r="L1382" s="150"/>
      <c r="M1382" s="150"/>
      <c r="N1382" s="150"/>
    </row>
    <row r="1383" spans="1:14" x14ac:dyDescent="0.25">
      <c r="A1383" s="159" t="s">
        <v>310</v>
      </c>
      <c r="B1383" s="160">
        <v>3</v>
      </c>
      <c r="C1383" s="160">
        <v>4330</v>
      </c>
      <c r="D1383" s="160" t="s">
        <v>4147</v>
      </c>
      <c r="E1383" s="160">
        <v>230</v>
      </c>
      <c r="F1383" s="160" t="s">
        <v>74</v>
      </c>
      <c r="G1383" s="148">
        <v>20</v>
      </c>
      <c r="H1383" s="152">
        <f>IF(C1383=11700,ROUND(VLOOKUP(G1383,ThongSo!$F$2:$I$15,4,0)*B1383*11.7,3),0)</f>
        <v>0</v>
      </c>
      <c r="I1383" s="152">
        <f>IF(F1383="Sắt vụn",ROUND(VLOOKUP(G1383,ThongSo!$F$2:$I$15,4,0)*B1383*E1383/1000,3),"-")</f>
        <v>1.704</v>
      </c>
      <c r="L1383" s="150"/>
      <c r="M1383" s="150"/>
      <c r="N1383" s="150"/>
    </row>
    <row r="1384" spans="1:14" x14ac:dyDescent="0.25">
      <c r="A1384" s="159" t="s">
        <v>310</v>
      </c>
      <c r="B1384" s="160">
        <v>4</v>
      </c>
      <c r="C1384" s="160">
        <v>4330</v>
      </c>
      <c r="D1384" s="160" t="s">
        <v>4148</v>
      </c>
      <c r="E1384" s="160">
        <v>380</v>
      </c>
      <c r="F1384" s="160" t="s">
        <v>74</v>
      </c>
      <c r="G1384" s="148">
        <v>20</v>
      </c>
      <c r="H1384" s="152">
        <f>IF(C1384=11700,ROUND(VLOOKUP(G1384,ThongSo!$F$2:$I$15,4,0)*B1384*11.7,3),0)</f>
        <v>0</v>
      </c>
      <c r="I1384" s="152">
        <f>IF(F1384="Sắt vụn",ROUND(VLOOKUP(G1384,ThongSo!$F$2:$I$15,4,0)*B1384*E1384/1000,3),"-")</f>
        <v>3.754</v>
      </c>
      <c r="L1384" s="150"/>
      <c r="M1384" s="150"/>
      <c r="N1384" s="150"/>
    </row>
    <row r="1385" spans="1:14" x14ac:dyDescent="0.25">
      <c r="A1385" s="159" t="s">
        <v>310</v>
      </c>
      <c r="B1385" s="160">
        <v>4</v>
      </c>
      <c r="C1385" s="160">
        <v>4330</v>
      </c>
      <c r="D1385" s="160" t="s">
        <v>4149</v>
      </c>
      <c r="E1385" s="160">
        <v>380</v>
      </c>
      <c r="F1385" s="160" t="s">
        <v>74</v>
      </c>
      <c r="G1385" s="148">
        <v>20</v>
      </c>
      <c r="H1385" s="152">
        <f>IF(C1385=11700,ROUND(VLOOKUP(G1385,ThongSo!$F$2:$I$15,4,0)*B1385*11.7,3),0)</f>
        <v>0</v>
      </c>
      <c r="I1385" s="152">
        <f>IF(F1385="Sắt vụn",ROUND(VLOOKUP(G1385,ThongSo!$F$2:$I$15,4,0)*B1385*E1385/1000,3),"-")</f>
        <v>3.754</v>
      </c>
      <c r="L1385" s="150"/>
      <c r="M1385" s="150"/>
      <c r="N1385" s="150"/>
    </row>
    <row r="1386" spans="1:14" x14ac:dyDescent="0.25">
      <c r="A1386" s="159" t="s">
        <v>310</v>
      </c>
      <c r="B1386" s="160">
        <v>54</v>
      </c>
      <c r="C1386" s="160">
        <v>4330</v>
      </c>
      <c r="D1386" s="160" t="s">
        <v>4150</v>
      </c>
      <c r="E1386" s="160">
        <v>840</v>
      </c>
      <c r="F1386" s="160" t="s">
        <v>74</v>
      </c>
      <c r="G1386" s="148">
        <v>20</v>
      </c>
      <c r="H1386" s="152">
        <f>IF(C1386=11700,ROUND(VLOOKUP(G1386,ThongSo!$F$2:$I$15,4,0)*B1386*11.7,3),0)</f>
        <v>0</v>
      </c>
      <c r="I1386" s="152">
        <f>IF(F1386="Sắt vụn",ROUND(VLOOKUP(G1386,ThongSo!$F$2:$I$15,4,0)*B1386*E1386/1000,3),"-")</f>
        <v>112.039</v>
      </c>
      <c r="L1386" s="150"/>
      <c r="M1386" s="150"/>
      <c r="N1386" s="150"/>
    </row>
    <row r="1387" spans="1:14" x14ac:dyDescent="0.25">
      <c r="A1387" s="159" t="s">
        <v>310</v>
      </c>
      <c r="B1387" s="160">
        <v>6</v>
      </c>
      <c r="C1387" s="160">
        <v>4330</v>
      </c>
      <c r="D1387" s="160" t="s">
        <v>4151</v>
      </c>
      <c r="E1387" s="160">
        <v>1540</v>
      </c>
      <c r="F1387" s="160" t="s">
        <v>75</v>
      </c>
      <c r="G1387" s="148">
        <v>20</v>
      </c>
      <c r="H1387" s="152">
        <f>IF(C1387=11700,ROUND(VLOOKUP(G1387,ThongSo!$F$2:$I$15,4,0)*B1387*11.7,3),0)</f>
        <v>0</v>
      </c>
      <c r="I1387" s="152" t="str">
        <f>IF(F1387="Sắt vụn",ROUND(VLOOKUP(G1387,ThongSo!$F$2:$I$15,4,0)*B1387*E1387/1000,3),"-")</f>
        <v>-</v>
      </c>
      <c r="L1387" s="150"/>
      <c r="M1387" s="150"/>
      <c r="N1387" s="150"/>
    </row>
    <row r="1388" spans="1:14" x14ac:dyDescent="0.25">
      <c r="A1388" s="159" t="s">
        <v>3620</v>
      </c>
      <c r="B1388" s="160">
        <v>1</v>
      </c>
      <c r="C1388" s="160">
        <v>7310</v>
      </c>
      <c r="D1388" s="160" t="s">
        <v>4152</v>
      </c>
      <c r="E1388" s="160">
        <v>60</v>
      </c>
      <c r="F1388" s="160" t="s">
        <v>74</v>
      </c>
      <c r="G1388" s="148">
        <v>20</v>
      </c>
      <c r="H1388" s="152">
        <f>IF(C1388=11700,ROUND(VLOOKUP(G1388,ThongSo!$F$2:$I$15,4,0)*B1388*11.7,3),0)</f>
        <v>0</v>
      </c>
      <c r="I1388" s="152">
        <f>IF(F1388="Sắt vụn",ROUND(VLOOKUP(G1388,ThongSo!$F$2:$I$15,4,0)*B1388*E1388/1000,3),"-")</f>
        <v>0.14799999999999999</v>
      </c>
      <c r="L1388" s="150"/>
      <c r="M1388" s="150"/>
      <c r="N1388" s="150"/>
    </row>
    <row r="1389" spans="1:14" x14ac:dyDescent="0.25">
      <c r="A1389" s="159">
        <v>263</v>
      </c>
      <c r="B1389" s="160">
        <v>1</v>
      </c>
      <c r="C1389" s="160">
        <v>11700</v>
      </c>
      <c r="D1389" s="160" t="s">
        <v>4153</v>
      </c>
      <c r="E1389" s="160">
        <v>0</v>
      </c>
      <c r="F1389" s="160"/>
      <c r="G1389" s="148">
        <v>20</v>
      </c>
      <c r="H1389" s="152">
        <f>IF(C1389=11700,ROUND(VLOOKUP(G1389,ThongSo!$F$2:$I$15,4,0)*B1389*11.7,3),0)</f>
        <v>28.899000000000001</v>
      </c>
      <c r="I1389" s="152" t="str">
        <f>IF(F1389="Sắt vụn",ROUND(VLOOKUP(G1389,ThongSo!$F$2:$I$15,4,0)*B1389*E1389/1000,3),"-")</f>
        <v>-</v>
      </c>
      <c r="L1389" s="150"/>
      <c r="M1389" s="150"/>
      <c r="N1389" s="150"/>
    </row>
    <row r="1390" spans="1:14" x14ac:dyDescent="0.25">
      <c r="A1390" s="159">
        <v>264</v>
      </c>
      <c r="B1390" s="160">
        <v>1</v>
      </c>
      <c r="C1390" s="160">
        <v>11700</v>
      </c>
      <c r="D1390" s="160" t="s">
        <v>4154</v>
      </c>
      <c r="E1390" s="160">
        <v>0</v>
      </c>
      <c r="F1390" s="160"/>
      <c r="G1390" s="148">
        <v>20</v>
      </c>
      <c r="H1390" s="152">
        <f>IF(C1390=11700,ROUND(VLOOKUP(G1390,ThongSo!$F$2:$I$15,4,0)*B1390*11.7,3),0)</f>
        <v>28.899000000000001</v>
      </c>
      <c r="I1390" s="152" t="str">
        <f>IF(F1390="Sắt vụn",ROUND(VLOOKUP(G1390,ThongSo!$F$2:$I$15,4,0)*B1390*E1390/1000,3),"-")</f>
        <v>-</v>
      </c>
      <c r="L1390" s="150"/>
      <c r="M1390" s="150"/>
      <c r="N1390" s="150"/>
    </row>
    <row r="1391" spans="1:14" x14ac:dyDescent="0.25">
      <c r="A1391" s="159">
        <v>265</v>
      </c>
      <c r="B1391" s="160">
        <v>1</v>
      </c>
      <c r="C1391" s="160">
        <v>11700</v>
      </c>
      <c r="D1391" s="160" t="s">
        <v>4155</v>
      </c>
      <c r="E1391" s="160">
        <v>0</v>
      </c>
      <c r="F1391" s="160"/>
      <c r="G1391" s="148">
        <v>20</v>
      </c>
      <c r="H1391" s="152">
        <f>IF(C1391=11700,ROUND(VLOOKUP(G1391,ThongSo!$F$2:$I$15,4,0)*B1391*11.7,3),0)</f>
        <v>28.899000000000001</v>
      </c>
      <c r="I1391" s="152" t="str">
        <f>IF(F1391="Sắt vụn",ROUND(VLOOKUP(G1391,ThongSo!$F$2:$I$15,4,0)*B1391*E1391/1000,3),"-")</f>
        <v>-</v>
      </c>
      <c r="L1391" s="150"/>
      <c r="M1391" s="150"/>
      <c r="N1391" s="150"/>
    </row>
    <row r="1392" spans="1:14" x14ac:dyDescent="0.25">
      <c r="A1392" s="159">
        <v>266</v>
      </c>
      <c r="B1392" s="160">
        <v>2</v>
      </c>
      <c r="C1392" s="160">
        <v>11700</v>
      </c>
      <c r="D1392" s="160" t="s">
        <v>4156</v>
      </c>
      <c r="E1392" s="160">
        <v>20</v>
      </c>
      <c r="F1392" s="160" t="s">
        <v>74</v>
      </c>
      <c r="G1392" s="148">
        <v>20</v>
      </c>
      <c r="H1392" s="152">
        <f>IF(C1392=11700,ROUND(VLOOKUP(G1392,ThongSo!$F$2:$I$15,4,0)*B1392*11.7,3),0)</f>
        <v>57.798000000000002</v>
      </c>
      <c r="I1392" s="152">
        <f>IF(F1392="Sắt vụn",ROUND(VLOOKUP(G1392,ThongSo!$F$2:$I$15,4,0)*B1392*E1392/1000,3),"-")</f>
        <v>9.9000000000000005E-2</v>
      </c>
      <c r="L1392" s="150"/>
      <c r="M1392" s="150"/>
      <c r="N1392" s="150"/>
    </row>
    <row r="1393" spans="1:14" x14ac:dyDescent="0.25">
      <c r="A1393" s="159">
        <v>267</v>
      </c>
      <c r="B1393" s="160">
        <v>2</v>
      </c>
      <c r="C1393" s="160">
        <v>11700</v>
      </c>
      <c r="D1393" s="160" t="s">
        <v>4157</v>
      </c>
      <c r="E1393" s="160">
        <v>20</v>
      </c>
      <c r="F1393" s="160" t="s">
        <v>74</v>
      </c>
      <c r="G1393" s="148">
        <v>20</v>
      </c>
      <c r="H1393" s="152">
        <f>IF(C1393=11700,ROUND(VLOOKUP(G1393,ThongSo!$F$2:$I$15,4,0)*B1393*11.7,3),0)</f>
        <v>57.798000000000002</v>
      </c>
      <c r="I1393" s="152">
        <f>IF(F1393="Sắt vụn",ROUND(VLOOKUP(G1393,ThongSo!$F$2:$I$15,4,0)*B1393*E1393/1000,3),"-")</f>
        <v>9.9000000000000005E-2</v>
      </c>
      <c r="L1393" s="150"/>
      <c r="M1393" s="150"/>
      <c r="N1393" s="150"/>
    </row>
    <row r="1394" spans="1:14" x14ac:dyDescent="0.25">
      <c r="A1394" s="159">
        <v>268</v>
      </c>
      <c r="B1394" s="160">
        <v>2</v>
      </c>
      <c r="C1394" s="160">
        <v>11700</v>
      </c>
      <c r="D1394" s="160" t="s">
        <v>4158</v>
      </c>
      <c r="E1394" s="160">
        <v>210</v>
      </c>
      <c r="F1394" s="160" t="s">
        <v>74</v>
      </c>
      <c r="G1394" s="148">
        <v>20</v>
      </c>
      <c r="H1394" s="152">
        <f>IF(C1394=11700,ROUND(VLOOKUP(G1394,ThongSo!$F$2:$I$15,4,0)*B1394*11.7,3),0)</f>
        <v>57.798000000000002</v>
      </c>
      <c r="I1394" s="152">
        <f>IF(F1394="Sắt vụn",ROUND(VLOOKUP(G1394,ThongSo!$F$2:$I$15,4,0)*B1394*E1394/1000,3),"-")</f>
        <v>1.0369999999999999</v>
      </c>
      <c r="L1394" s="150"/>
      <c r="M1394" s="150"/>
      <c r="N1394" s="150"/>
    </row>
    <row r="1395" spans="1:14" x14ac:dyDescent="0.25">
      <c r="A1395" s="159">
        <v>269</v>
      </c>
      <c r="B1395" s="160">
        <v>2</v>
      </c>
      <c r="C1395" s="160">
        <v>11700</v>
      </c>
      <c r="D1395" s="160" t="s">
        <v>4159</v>
      </c>
      <c r="E1395" s="160">
        <v>220</v>
      </c>
      <c r="F1395" s="160" t="s">
        <v>74</v>
      </c>
      <c r="G1395" s="148">
        <v>20</v>
      </c>
      <c r="H1395" s="152">
        <f>IF(C1395=11700,ROUND(VLOOKUP(G1395,ThongSo!$F$2:$I$15,4,0)*B1395*11.7,3),0)</f>
        <v>57.798000000000002</v>
      </c>
      <c r="I1395" s="152">
        <f>IF(F1395="Sắt vụn",ROUND(VLOOKUP(G1395,ThongSo!$F$2:$I$15,4,0)*B1395*E1395/1000,3),"-")</f>
        <v>1.087</v>
      </c>
      <c r="L1395" s="150"/>
      <c r="M1395" s="150"/>
      <c r="N1395" s="150"/>
    </row>
    <row r="1396" spans="1:14" x14ac:dyDescent="0.25">
      <c r="A1396" s="159">
        <v>270</v>
      </c>
      <c r="B1396" s="160">
        <v>1</v>
      </c>
      <c r="C1396" s="160">
        <v>11700</v>
      </c>
      <c r="D1396" s="160" t="s">
        <v>4160</v>
      </c>
      <c r="E1396" s="160">
        <v>230</v>
      </c>
      <c r="F1396" s="160" t="s">
        <v>74</v>
      </c>
      <c r="G1396" s="148">
        <v>20</v>
      </c>
      <c r="H1396" s="152">
        <f>IF(C1396=11700,ROUND(VLOOKUP(G1396,ThongSo!$F$2:$I$15,4,0)*B1396*11.7,3),0)</f>
        <v>28.899000000000001</v>
      </c>
      <c r="I1396" s="152">
        <f>IF(F1396="Sắt vụn",ROUND(VLOOKUP(G1396,ThongSo!$F$2:$I$15,4,0)*B1396*E1396/1000,3),"-")</f>
        <v>0.56799999999999995</v>
      </c>
      <c r="L1396" s="150"/>
      <c r="M1396" s="150"/>
      <c r="N1396" s="150"/>
    </row>
    <row r="1397" spans="1:14" x14ac:dyDescent="0.25">
      <c r="A1397" s="159">
        <v>271</v>
      </c>
      <c r="B1397" s="160">
        <v>2</v>
      </c>
      <c r="C1397" s="160">
        <v>11700</v>
      </c>
      <c r="D1397" s="160" t="s">
        <v>4161</v>
      </c>
      <c r="E1397" s="160">
        <v>480</v>
      </c>
      <c r="F1397" s="160" t="s">
        <v>74</v>
      </c>
      <c r="G1397" s="148">
        <v>20</v>
      </c>
      <c r="H1397" s="152">
        <f>IF(C1397=11700,ROUND(VLOOKUP(G1397,ThongSo!$F$2:$I$15,4,0)*B1397*11.7,3),0)</f>
        <v>57.798000000000002</v>
      </c>
      <c r="I1397" s="152">
        <f>IF(F1397="Sắt vụn",ROUND(VLOOKUP(G1397,ThongSo!$F$2:$I$15,4,0)*B1397*E1397/1000,3),"-")</f>
        <v>2.371</v>
      </c>
      <c r="L1397" s="150"/>
      <c r="M1397" s="150"/>
      <c r="N1397" s="150"/>
    </row>
    <row r="1398" spans="1:14" x14ac:dyDescent="0.25">
      <c r="A1398" s="159">
        <v>272</v>
      </c>
      <c r="B1398" s="160">
        <v>3</v>
      </c>
      <c r="C1398" s="160">
        <v>11700</v>
      </c>
      <c r="D1398" s="160" t="s">
        <v>4162</v>
      </c>
      <c r="E1398" s="160">
        <v>500</v>
      </c>
      <c r="F1398" s="160" t="s">
        <v>74</v>
      </c>
      <c r="G1398" s="148">
        <v>20</v>
      </c>
      <c r="H1398" s="152">
        <f>IF(C1398=11700,ROUND(VLOOKUP(G1398,ThongSo!$F$2:$I$15,4,0)*B1398*11.7,3),0)</f>
        <v>86.697000000000003</v>
      </c>
      <c r="I1398" s="152">
        <f>IF(F1398="Sắt vụn",ROUND(VLOOKUP(G1398,ThongSo!$F$2:$I$15,4,0)*B1398*E1398/1000,3),"-")</f>
        <v>3.7050000000000001</v>
      </c>
      <c r="L1398" s="150"/>
      <c r="M1398" s="150"/>
      <c r="N1398" s="150"/>
    </row>
    <row r="1399" spans="1:14" x14ac:dyDescent="0.25">
      <c r="A1399" s="159">
        <v>273</v>
      </c>
      <c r="B1399" s="160">
        <v>49</v>
      </c>
      <c r="C1399" s="160">
        <v>11700</v>
      </c>
      <c r="D1399" s="160" t="s">
        <v>4163</v>
      </c>
      <c r="E1399" s="160">
        <v>540</v>
      </c>
      <c r="F1399" s="160" t="s">
        <v>74</v>
      </c>
      <c r="G1399" s="148">
        <v>20</v>
      </c>
      <c r="H1399" s="152">
        <f>IF(C1399=11700,ROUND(VLOOKUP(G1399,ThongSo!$F$2:$I$15,4,0)*B1399*11.7,3),0)</f>
        <v>1416.0509999999999</v>
      </c>
      <c r="I1399" s="152">
        <f>IF(F1399="Sắt vụn",ROUND(VLOOKUP(G1399,ThongSo!$F$2:$I$15,4,0)*B1399*E1399/1000,3),"-")</f>
        <v>65.355999999999995</v>
      </c>
      <c r="L1399" s="150"/>
      <c r="M1399" s="150"/>
      <c r="N1399" s="150"/>
    </row>
    <row r="1400" spans="1:14" x14ac:dyDescent="0.25">
      <c r="A1400" s="159">
        <v>274</v>
      </c>
      <c r="B1400" s="160">
        <v>1</v>
      </c>
      <c r="C1400" s="160">
        <v>11700</v>
      </c>
      <c r="D1400" s="160" t="s">
        <v>4164</v>
      </c>
      <c r="E1400" s="160">
        <v>570</v>
      </c>
      <c r="F1400" s="160" t="s">
        <v>74</v>
      </c>
      <c r="G1400" s="148">
        <v>20</v>
      </c>
      <c r="H1400" s="152">
        <f>IF(C1400=11700,ROUND(VLOOKUP(G1400,ThongSo!$F$2:$I$15,4,0)*B1400*11.7,3),0)</f>
        <v>28.899000000000001</v>
      </c>
      <c r="I1400" s="152">
        <f>IF(F1400="Sắt vụn",ROUND(VLOOKUP(G1400,ThongSo!$F$2:$I$15,4,0)*B1400*E1400/1000,3),"-")</f>
        <v>1.4079999999999999</v>
      </c>
      <c r="L1400" s="150"/>
      <c r="M1400" s="150"/>
      <c r="N1400" s="150"/>
    </row>
    <row r="1401" spans="1:14" x14ac:dyDescent="0.25">
      <c r="A1401" s="159">
        <v>275</v>
      </c>
      <c r="B1401" s="160">
        <v>27</v>
      </c>
      <c r="C1401" s="160">
        <v>11700</v>
      </c>
      <c r="D1401" s="160" t="s">
        <v>4165</v>
      </c>
      <c r="E1401" s="160">
        <v>660</v>
      </c>
      <c r="F1401" s="160" t="s">
        <v>74</v>
      </c>
      <c r="G1401" s="148">
        <v>20</v>
      </c>
      <c r="H1401" s="152">
        <f>IF(C1401=11700,ROUND(VLOOKUP(G1401,ThongSo!$F$2:$I$15,4,0)*B1401*11.7,3),0)</f>
        <v>780.27300000000002</v>
      </c>
      <c r="I1401" s="152">
        <f>IF(F1401="Sắt vụn",ROUND(VLOOKUP(G1401,ThongSo!$F$2:$I$15,4,0)*B1401*E1401/1000,3),"-")</f>
        <v>44.015000000000001</v>
      </c>
      <c r="L1401" s="150"/>
      <c r="M1401" s="150"/>
      <c r="N1401" s="150"/>
    </row>
    <row r="1402" spans="1:14" x14ac:dyDescent="0.25">
      <c r="A1402" s="159">
        <v>276</v>
      </c>
      <c r="B1402" s="160">
        <v>2</v>
      </c>
      <c r="C1402" s="160">
        <v>11700</v>
      </c>
      <c r="D1402" s="160" t="s">
        <v>4166</v>
      </c>
      <c r="E1402" s="160">
        <v>700</v>
      </c>
      <c r="F1402" s="160" t="s">
        <v>74</v>
      </c>
      <c r="G1402" s="148">
        <v>20</v>
      </c>
      <c r="H1402" s="152">
        <f>IF(C1402=11700,ROUND(VLOOKUP(G1402,ThongSo!$F$2:$I$15,4,0)*B1402*11.7,3),0)</f>
        <v>57.798000000000002</v>
      </c>
      <c r="I1402" s="152">
        <f>IF(F1402="Sắt vụn",ROUND(VLOOKUP(G1402,ThongSo!$F$2:$I$15,4,0)*B1402*E1402/1000,3),"-")</f>
        <v>3.4580000000000002</v>
      </c>
      <c r="L1402" s="150"/>
      <c r="M1402" s="150"/>
      <c r="N1402" s="150"/>
    </row>
    <row r="1403" spans="1:14" x14ac:dyDescent="0.25">
      <c r="A1403" s="159">
        <v>277</v>
      </c>
      <c r="B1403" s="160">
        <v>3</v>
      </c>
      <c r="C1403" s="160">
        <v>11700</v>
      </c>
      <c r="D1403" s="160" t="s">
        <v>4167</v>
      </c>
      <c r="E1403" s="160">
        <v>700</v>
      </c>
      <c r="F1403" s="160" t="s">
        <v>74</v>
      </c>
      <c r="G1403" s="148">
        <v>20</v>
      </c>
      <c r="H1403" s="152">
        <f>IF(C1403=11700,ROUND(VLOOKUP(G1403,ThongSo!$F$2:$I$15,4,0)*B1403*11.7,3),0)</f>
        <v>86.697000000000003</v>
      </c>
      <c r="I1403" s="152">
        <f>IF(F1403="Sắt vụn",ROUND(VLOOKUP(G1403,ThongSo!$F$2:$I$15,4,0)*B1403*E1403/1000,3),"-")</f>
        <v>5.1870000000000003</v>
      </c>
      <c r="L1403" s="150"/>
      <c r="M1403" s="150"/>
      <c r="N1403" s="150"/>
    </row>
    <row r="1404" spans="1:14" x14ac:dyDescent="0.25">
      <c r="A1404" s="159">
        <v>278</v>
      </c>
      <c r="B1404" s="160">
        <v>2</v>
      </c>
      <c r="C1404" s="160">
        <v>11700</v>
      </c>
      <c r="D1404" s="160" t="s">
        <v>4168</v>
      </c>
      <c r="E1404" s="160">
        <v>850</v>
      </c>
      <c r="F1404" s="160" t="s">
        <v>74</v>
      </c>
      <c r="G1404" s="148">
        <v>20</v>
      </c>
      <c r="H1404" s="152">
        <f>IF(C1404=11700,ROUND(VLOOKUP(G1404,ThongSo!$F$2:$I$15,4,0)*B1404*11.7,3),0)</f>
        <v>57.798000000000002</v>
      </c>
      <c r="I1404" s="152">
        <f>IF(F1404="Sắt vụn",ROUND(VLOOKUP(G1404,ThongSo!$F$2:$I$15,4,0)*B1404*E1404/1000,3),"-")</f>
        <v>4.1989999999999998</v>
      </c>
      <c r="L1404" s="150"/>
      <c r="M1404" s="150"/>
      <c r="N1404" s="150"/>
    </row>
    <row r="1405" spans="1:14" x14ac:dyDescent="0.25">
      <c r="A1405" s="159">
        <v>279</v>
      </c>
      <c r="B1405" s="160">
        <v>1</v>
      </c>
      <c r="C1405" s="160">
        <v>11700</v>
      </c>
      <c r="D1405" s="160" t="s">
        <v>4169</v>
      </c>
      <c r="E1405" s="160">
        <v>1040</v>
      </c>
      <c r="F1405" s="160" t="s">
        <v>75</v>
      </c>
      <c r="G1405" s="148">
        <v>20</v>
      </c>
      <c r="H1405" s="152">
        <f>IF(C1405=11700,ROUND(VLOOKUP(G1405,ThongSo!$F$2:$I$15,4,0)*B1405*11.7,3),0)</f>
        <v>28.899000000000001</v>
      </c>
      <c r="I1405" s="152" t="str">
        <f>IF(F1405="Sắt vụn",ROUND(VLOOKUP(G1405,ThongSo!$F$2:$I$15,4,0)*B1405*E1405/1000,3),"-")</f>
        <v>-</v>
      </c>
      <c r="L1405" s="150"/>
      <c r="M1405" s="150"/>
      <c r="N1405" s="150"/>
    </row>
    <row r="1406" spans="1:14" x14ac:dyDescent="0.25">
      <c r="A1406" s="159">
        <v>280</v>
      </c>
      <c r="B1406" s="160">
        <v>3</v>
      </c>
      <c r="C1406" s="160">
        <v>11700</v>
      </c>
      <c r="D1406" s="160" t="s">
        <v>4170</v>
      </c>
      <c r="E1406" s="160">
        <v>1100</v>
      </c>
      <c r="F1406" s="160" t="s">
        <v>75</v>
      </c>
      <c r="G1406" s="148">
        <v>20</v>
      </c>
      <c r="H1406" s="152">
        <f>IF(C1406=11700,ROUND(VLOOKUP(G1406,ThongSo!$F$2:$I$15,4,0)*B1406*11.7,3),0)</f>
        <v>86.697000000000003</v>
      </c>
      <c r="I1406" s="152" t="str">
        <f>IF(F1406="Sắt vụn",ROUND(VLOOKUP(G1406,ThongSo!$F$2:$I$15,4,0)*B1406*E1406/1000,3),"-")</f>
        <v>-</v>
      </c>
      <c r="L1406" s="150"/>
      <c r="M1406" s="150"/>
      <c r="N1406" s="150"/>
    </row>
    <row r="1407" spans="1:14" x14ac:dyDescent="0.25">
      <c r="A1407" s="159">
        <v>281</v>
      </c>
      <c r="B1407" s="160">
        <v>1</v>
      </c>
      <c r="C1407" s="160">
        <v>11700</v>
      </c>
      <c r="D1407" s="160" t="s">
        <v>4171</v>
      </c>
      <c r="E1407" s="160">
        <v>1200</v>
      </c>
      <c r="F1407" s="160" t="s">
        <v>75</v>
      </c>
      <c r="G1407" s="148">
        <v>20</v>
      </c>
      <c r="H1407" s="152">
        <f>IF(C1407=11700,ROUND(VLOOKUP(G1407,ThongSo!$F$2:$I$15,4,0)*B1407*11.7,3),0)</f>
        <v>28.899000000000001</v>
      </c>
      <c r="I1407" s="152" t="str">
        <f>IF(F1407="Sắt vụn",ROUND(VLOOKUP(G1407,ThongSo!$F$2:$I$15,4,0)*B1407*E1407/1000,3),"-")</f>
        <v>-</v>
      </c>
      <c r="L1407" s="150"/>
      <c r="M1407" s="150"/>
      <c r="N1407" s="150"/>
    </row>
    <row r="1408" spans="1:14" x14ac:dyDescent="0.25">
      <c r="A1408" s="159">
        <v>282</v>
      </c>
      <c r="B1408" s="160">
        <v>1</v>
      </c>
      <c r="C1408" s="160">
        <v>11700</v>
      </c>
      <c r="D1408" s="160" t="s">
        <v>4172</v>
      </c>
      <c r="E1408" s="160">
        <v>1200</v>
      </c>
      <c r="F1408" s="160" t="s">
        <v>75</v>
      </c>
      <c r="G1408" s="148">
        <v>20</v>
      </c>
      <c r="H1408" s="152">
        <f>IF(C1408=11700,ROUND(VLOOKUP(G1408,ThongSo!$F$2:$I$15,4,0)*B1408*11.7,3),0)</f>
        <v>28.899000000000001</v>
      </c>
      <c r="I1408" s="152" t="str">
        <f>IF(F1408="Sắt vụn",ROUND(VLOOKUP(G1408,ThongSo!$F$2:$I$15,4,0)*B1408*E1408/1000,3),"-")</f>
        <v>-</v>
      </c>
      <c r="L1408" s="150"/>
      <c r="M1408" s="150"/>
      <c r="N1408" s="150"/>
    </row>
    <row r="1409" spans="1:14" x14ac:dyDescent="0.25">
      <c r="A1409" s="159">
        <v>283</v>
      </c>
      <c r="B1409" s="160">
        <v>2</v>
      </c>
      <c r="C1409" s="160">
        <v>11700</v>
      </c>
      <c r="D1409" s="160" t="s">
        <v>4173</v>
      </c>
      <c r="E1409" s="160">
        <v>1470</v>
      </c>
      <c r="F1409" s="160" t="s">
        <v>75</v>
      </c>
      <c r="G1409" s="148">
        <v>20</v>
      </c>
      <c r="H1409" s="152">
        <f>IF(C1409=11700,ROUND(VLOOKUP(G1409,ThongSo!$F$2:$I$15,4,0)*B1409*11.7,3),0)</f>
        <v>57.798000000000002</v>
      </c>
      <c r="I1409" s="152" t="str">
        <f>IF(F1409="Sắt vụn",ROUND(VLOOKUP(G1409,ThongSo!$F$2:$I$15,4,0)*B1409*E1409/1000,3),"-")</f>
        <v>-</v>
      </c>
      <c r="L1409" s="150"/>
      <c r="M1409" s="150"/>
      <c r="N1409" s="150"/>
    </row>
    <row r="1410" spans="1:14" x14ac:dyDescent="0.25">
      <c r="A1410" s="159">
        <v>284</v>
      </c>
      <c r="B1410" s="160">
        <v>5</v>
      </c>
      <c r="C1410" s="160">
        <v>11700</v>
      </c>
      <c r="D1410" s="160" t="s">
        <v>4174</v>
      </c>
      <c r="E1410" s="160">
        <v>3800</v>
      </c>
      <c r="F1410" s="160" t="s">
        <v>75</v>
      </c>
      <c r="G1410" s="148">
        <v>20</v>
      </c>
      <c r="H1410" s="152">
        <f>IF(C1410=11700,ROUND(VLOOKUP(G1410,ThongSo!$F$2:$I$15,4,0)*B1410*11.7,3),0)</f>
        <v>144.495</v>
      </c>
      <c r="I1410" s="152" t="str">
        <f>IF(F1410="Sắt vụn",ROUND(VLOOKUP(G1410,ThongSo!$F$2:$I$15,4,0)*B1410*E1410/1000,3),"-")</f>
        <v>-</v>
      </c>
      <c r="L1410" s="150"/>
      <c r="M1410" s="150"/>
      <c r="N1410" s="150"/>
    </row>
    <row r="1411" spans="1:14" x14ac:dyDescent="0.25">
      <c r="A1411" s="159">
        <v>285</v>
      </c>
      <c r="B1411" s="160">
        <v>2</v>
      </c>
      <c r="C1411" s="160">
        <v>11700</v>
      </c>
      <c r="D1411" s="160" t="s">
        <v>4175</v>
      </c>
      <c r="E1411" s="160">
        <v>4050</v>
      </c>
      <c r="F1411" s="160" t="s">
        <v>75</v>
      </c>
      <c r="G1411" s="148">
        <v>20</v>
      </c>
      <c r="H1411" s="152">
        <f>IF(C1411=11700,ROUND(VLOOKUP(G1411,ThongSo!$F$2:$I$15,4,0)*B1411*11.7,3),0)</f>
        <v>57.798000000000002</v>
      </c>
      <c r="I1411" s="152" t="str">
        <f>IF(F1411="Sắt vụn",ROUND(VLOOKUP(G1411,ThongSo!$F$2:$I$15,4,0)*B1411*E1411/1000,3),"-")</f>
        <v>-</v>
      </c>
      <c r="L1411" s="150"/>
      <c r="M1411" s="150"/>
      <c r="N1411" s="150"/>
    </row>
    <row r="1412" spans="1:14" x14ac:dyDescent="0.25">
      <c r="A1412" s="159">
        <v>286</v>
      </c>
      <c r="B1412" s="160">
        <v>2</v>
      </c>
      <c r="C1412" s="160">
        <v>11700</v>
      </c>
      <c r="D1412" s="160" t="s">
        <v>4176</v>
      </c>
      <c r="E1412" s="160">
        <v>4100</v>
      </c>
      <c r="F1412" s="160" t="s">
        <v>75</v>
      </c>
      <c r="G1412" s="148">
        <v>20</v>
      </c>
      <c r="H1412" s="152">
        <f>IF(C1412=11700,ROUND(VLOOKUP(G1412,ThongSo!$F$2:$I$15,4,0)*B1412*11.7,3),0)</f>
        <v>57.798000000000002</v>
      </c>
      <c r="I1412" s="152" t="str">
        <f>IF(F1412="Sắt vụn",ROUND(VLOOKUP(G1412,ThongSo!$F$2:$I$15,4,0)*B1412*E1412/1000,3),"-")</f>
        <v>-</v>
      </c>
      <c r="L1412" s="150"/>
      <c r="M1412" s="150"/>
      <c r="N1412" s="150"/>
    </row>
    <row r="1413" spans="1:14" x14ac:dyDescent="0.25">
      <c r="A1413" s="159">
        <v>287</v>
      </c>
      <c r="B1413" s="160">
        <v>3</v>
      </c>
      <c r="C1413" s="160">
        <v>11700</v>
      </c>
      <c r="D1413" s="160" t="s">
        <v>4177</v>
      </c>
      <c r="E1413" s="160">
        <v>4100</v>
      </c>
      <c r="F1413" s="160" t="s">
        <v>75</v>
      </c>
      <c r="G1413" s="148">
        <v>20</v>
      </c>
      <c r="H1413" s="152">
        <f>IF(C1413=11700,ROUND(VLOOKUP(G1413,ThongSo!$F$2:$I$15,4,0)*B1413*11.7,3),0)</f>
        <v>86.697000000000003</v>
      </c>
      <c r="I1413" s="152" t="str">
        <f>IF(F1413="Sắt vụn",ROUND(VLOOKUP(G1413,ThongSo!$F$2:$I$15,4,0)*B1413*E1413/1000,3),"-")</f>
        <v>-</v>
      </c>
      <c r="L1413" s="150"/>
      <c r="M1413" s="150"/>
      <c r="N1413" s="150"/>
    </row>
    <row r="1414" spans="1:14" x14ac:dyDescent="0.25">
      <c r="A1414" s="159">
        <v>288</v>
      </c>
      <c r="B1414" s="160">
        <v>3</v>
      </c>
      <c r="C1414" s="160">
        <v>11700</v>
      </c>
      <c r="D1414" s="160" t="s">
        <v>4178</v>
      </c>
      <c r="E1414" s="160">
        <v>4300</v>
      </c>
      <c r="F1414" s="160" t="s">
        <v>75</v>
      </c>
      <c r="G1414" s="148">
        <v>20</v>
      </c>
      <c r="H1414" s="152">
        <f>IF(C1414=11700,ROUND(VLOOKUP(G1414,ThongSo!$F$2:$I$15,4,0)*B1414*11.7,3),0)</f>
        <v>86.697000000000003</v>
      </c>
      <c r="I1414" s="152" t="str">
        <f>IF(F1414="Sắt vụn",ROUND(VLOOKUP(G1414,ThongSo!$F$2:$I$15,4,0)*B1414*E1414/1000,3),"-")</f>
        <v>-</v>
      </c>
      <c r="L1414" s="150"/>
      <c r="M1414" s="150"/>
      <c r="N1414" s="150"/>
    </row>
    <row r="1415" spans="1:14" x14ac:dyDescent="0.25">
      <c r="A1415" s="159">
        <v>289</v>
      </c>
      <c r="B1415" s="160">
        <v>3</v>
      </c>
      <c r="C1415" s="160">
        <v>11700</v>
      </c>
      <c r="D1415" s="160" t="s">
        <v>4179</v>
      </c>
      <c r="E1415" s="160">
        <v>4300</v>
      </c>
      <c r="F1415" s="160" t="s">
        <v>75</v>
      </c>
      <c r="G1415" s="148">
        <v>20</v>
      </c>
      <c r="H1415" s="152">
        <f>IF(C1415=11700,ROUND(VLOOKUP(G1415,ThongSo!$F$2:$I$15,4,0)*B1415*11.7,3),0)</f>
        <v>86.697000000000003</v>
      </c>
      <c r="I1415" s="152" t="str">
        <f>IF(F1415="Sắt vụn",ROUND(VLOOKUP(G1415,ThongSo!$F$2:$I$15,4,0)*B1415*E1415/1000,3),"-")</f>
        <v>-</v>
      </c>
      <c r="L1415" s="150"/>
      <c r="M1415" s="150"/>
      <c r="N1415" s="150"/>
    </row>
    <row r="1416" spans="1:14" x14ac:dyDescent="0.25">
      <c r="A1416" s="159">
        <v>290</v>
      </c>
      <c r="B1416" s="160">
        <v>2</v>
      </c>
      <c r="C1416" s="160">
        <v>11700</v>
      </c>
      <c r="D1416" s="160" t="s">
        <v>4152</v>
      </c>
      <c r="E1416" s="160">
        <v>4450</v>
      </c>
      <c r="F1416" s="160" t="s">
        <v>75</v>
      </c>
      <c r="G1416" s="148">
        <v>20</v>
      </c>
      <c r="H1416" s="152">
        <f>IF(C1416=11700,ROUND(VLOOKUP(G1416,ThongSo!$F$2:$I$15,4,0)*B1416*11.7,3),0)</f>
        <v>57.798000000000002</v>
      </c>
      <c r="I1416" s="152" t="str">
        <f>IF(F1416="Sắt vụn",ROUND(VLOOKUP(G1416,ThongSo!$F$2:$I$15,4,0)*B1416*E1416/1000,3),"-")</f>
        <v>-</v>
      </c>
      <c r="L1416" s="150"/>
      <c r="M1416" s="150"/>
      <c r="N1416" s="150"/>
    </row>
    <row r="1417" spans="1:14" x14ac:dyDescent="0.25">
      <c r="A1417" s="159">
        <v>291</v>
      </c>
      <c r="B1417" s="160">
        <v>53</v>
      </c>
      <c r="C1417" s="160">
        <v>11700</v>
      </c>
      <c r="D1417" s="160" t="s">
        <v>4180</v>
      </c>
      <c r="E1417" s="160">
        <v>5170</v>
      </c>
      <c r="F1417" s="160" t="s">
        <v>75</v>
      </c>
      <c r="G1417" s="148">
        <v>20</v>
      </c>
      <c r="H1417" s="152">
        <f>IF(C1417=11700,ROUND(VLOOKUP(G1417,ThongSo!$F$2:$I$15,4,0)*B1417*11.7,3),0)</f>
        <v>1531.6469999999999</v>
      </c>
      <c r="I1417" s="152" t="str">
        <f>IF(F1417="Sắt vụn",ROUND(VLOOKUP(G1417,ThongSo!$F$2:$I$15,4,0)*B1417*E1417/1000,3),"-")</f>
        <v>-</v>
      </c>
      <c r="L1417" s="150"/>
      <c r="M1417" s="150"/>
      <c r="N1417" s="150"/>
    </row>
    <row r="1418" spans="1:14" x14ac:dyDescent="0.25">
      <c r="A1418" s="157" t="s">
        <v>80</v>
      </c>
      <c r="B1418" s="158"/>
      <c r="C1418" s="158"/>
      <c r="D1418" s="158"/>
      <c r="E1418" s="158"/>
      <c r="F1418" s="158"/>
      <c r="G1418" s="148"/>
      <c r="H1418" s="152">
        <f>IF(C1418=11700,ROUND(VLOOKUP(G1418,ThongSo!$F$2:$I$15,4,0)*B1418*11.7,3),0)</f>
        <v>0</v>
      </c>
      <c r="I1418" s="152" t="str">
        <f>IF(F1418="Sắt vụn",ROUND(VLOOKUP(G1418,ThongSo!$F$2:$I$15,4,0)*B1418*E1418/1000,3),"-")</f>
        <v>-</v>
      </c>
      <c r="L1418" s="150"/>
      <c r="M1418" s="150"/>
      <c r="N1418" s="150"/>
    </row>
    <row r="1419" spans="1:14" x14ac:dyDescent="0.25">
      <c r="A1419" s="159" t="s">
        <v>186</v>
      </c>
      <c r="B1419" s="160">
        <v>8</v>
      </c>
      <c r="C1419" s="160">
        <v>3600</v>
      </c>
      <c r="D1419" s="160" t="s">
        <v>4181</v>
      </c>
      <c r="E1419" s="160">
        <v>335</v>
      </c>
      <c r="F1419" s="160" t="s">
        <v>74</v>
      </c>
      <c r="G1419" s="148">
        <v>18</v>
      </c>
      <c r="H1419" s="152">
        <f>IF(C1419=11700,ROUND(VLOOKUP(G1419,ThongSo!$F$2:$I$15,4,0)*B1419*11.7,3),0)</f>
        <v>0</v>
      </c>
      <c r="I1419" s="152">
        <f>IF(F1419="Sắt vụn",ROUND(VLOOKUP(G1419,ThongSo!$F$2:$I$15,4,0)*B1419*E1419/1000,3),"-")</f>
        <v>5.36</v>
      </c>
      <c r="L1419" s="150"/>
      <c r="M1419" s="150"/>
      <c r="N1419" s="150"/>
    </row>
    <row r="1420" spans="1:14" x14ac:dyDescent="0.25">
      <c r="A1420" s="159" t="s">
        <v>186</v>
      </c>
      <c r="B1420" s="160">
        <v>3</v>
      </c>
      <c r="C1420" s="160">
        <v>3600</v>
      </c>
      <c r="D1420" s="160" t="s">
        <v>4182</v>
      </c>
      <c r="E1420" s="160">
        <v>385</v>
      </c>
      <c r="F1420" s="160" t="s">
        <v>74</v>
      </c>
      <c r="G1420" s="148">
        <v>18</v>
      </c>
      <c r="H1420" s="152">
        <f>IF(C1420=11700,ROUND(VLOOKUP(G1420,ThongSo!$F$2:$I$15,4,0)*B1420*11.7,3),0)</f>
        <v>0</v>
      </c>
      <c r="I1420" s="152">
        <f>IF(F1420="Sắt vụn",ROUND(VLOOKUP(G1420,ThongSo!$F$2:$I$15,4,0)*B1420*E1420/1000,3),"-")</f>
        <v>2.31</v>
      </c>
      <c r="L1420" s="150"/>
      <c r="M1420" s="150"/>
      <c r="N1420" s="150"/>
    </row>
    <row r="1421" spans="1:14" x14ac:dyDescent="0.25">
      <c r="A1421" s="159" t="s">
        <v>172</v>
      </c>
      <c r="B1421" s="160">
        <v>5</v>
      </c>
      <c r="C1421" s="160">
        <v>3800</v>
      </c>
      <c r="D1421" s="160" t="s">
        <v>4182</v>
      </c>
      <c r="E1421" s="160">
        <v>585</v>
      </c>
      <c r="F1421" s="160" t="s">
        <v>74</v>
      </c>
      <c r="G1421" s="148">
        <v>18</v>
      </c>
      <c r="H1421" s="152">
        <f>IF(C1421=11700,ROUND(VLOOKUP(G1421,ThongSo!$F$2:$I$15,4,0)*B1421*11.7,3),0)</f>
        <v>0</v>
      </c>
      <c r="I1421" s="152">
        <f>IF(F1421="Sắt vụn",ROUND(VLOOKUP(G1421,ThongSo!$F$2:$I$15,4,0)*B1421*E1421/1000,3),"-")</f>
        <v>5.85</v>
      </c>
      <c r="L1421" s="150"/>
      <c r="M1421" s="150"/>
      <c r="N1421" s="150"/>
    </row>
    <row r="1422" spans="1:14" x14ac:dyDescent="0.25">
      <c r="A1422" s="159" t="s">
        <v>172</v>
      </c>
      <c r="B1422" s="160">
        <v>24</v>
      </c>
      <c r="C1422" s="160">
        <v>3800</v>
      </c>
      <c r="D1422" s="160" t="s">
        <v>4183</v>
      </c>
      <c r="E1422" s="160">
        <v>780</v>
      </c>
      <c r="F1422" s="160" t="s">
        <v>74</v>
      </c>
      <c r="G1422" s="148">
        <v>18</v>
      </c>
      <c r="H1422" s="152">
        <f>IF(C1422=11700,ROUND(VLOOKUP(G1422,ThongSo!$F$2:$I$15,4,0)*B1422*11.7,3),0)</f>
        <v>0</v>
      </c>
      <c r="I1422" s="152">
        <f>IF(F1422="Sắt vụn",ROUND(VLOOKUP(G1422,ThongSo!$F$2:$I$15,4,0)*B1422*E1422/1000,3),"-")</f>
        <v>37.44</v>
      </c>
      <c r="L1422" s="150"/>
      <c r="M1422" s="150"/>
      <c r="N1422" s="150"/>
    </row>
    <row r="1423" spans="1:14" x14ac:dyDescent="0.25">
      <c r="A1423" s="159" t="s">
        <v>160</v>
      </c>
      <c r="B1423" s="160">
        <v>2</v>
      </c>
      <c r="C1423" s="160">
        <v>4000</v>
      </c>
      <c r="D1423" s="160" t="s">
        <v>4184</v>
      </c>
      <c r="E1423" s="160">
        <v>50</v>
      </c>
      <c r="F1423" s="160" t="s">
        <v>74</v>
      </c>
      <c r="G1423" s="148">
        <v>18</v>
      </c>
      <c r="H1423" s="152">
        <f>IF(C1423=11700,ROUND(VLOOKUP(G1423,ThongSo!$F$2:$I$15,4,0)*B1423*11.7,3),0)</f>
        <v>0</v>
      </c>
      <c r="I1423" s="152">
        <f>IF(F1423="Sắt vụn",ROUND(VLOOKUP(G1423,ThongSo!$F$2:$I$15,4,0)*B1423*E1423/1000,3),"-")</f>
        <v>0.2</v>
      </c>
      <c r="L1423" s="150"/>
      <c r="M1423" s="150"/>
      <c r="N1423" s="150"/>
    </row>
    <row r="1424" spans="1:14" x14ac:dyDescent="0.25">
      <c r="A1424" s="159" t="s">
        <v>160</v>
      </c>
      <c r="B1424" s="160">
        <v>2</v>
      </c>
      <c r="C1424" s="160">
        <v>4000</v>
      </c>
      <c r="D1424" s="160" t="s">
        <v>4185</v>
      </c>
      <c r="E1424" s="160">
        <v>50</v>
      </c>
      <c r="F1424" s="160" t="s">
        <v>74</v>
      </c>
      <c r="G1424" s="148">
        <v>18</v>
      </c>
      <c r="H1424" s="152">
        <f>IF(C1424=11700,ROUND(VLOOKUP(G1424,ThongSo!$F$2:$I$15,4,0)*B1424*11.7,3),0)</f>
        <v>0</v>
      </c>
      <c r="I1424" s="152">
        <f>IF(F1424="Sắt vụn",ROUND(VLOOKUP(G1424,ThongSo!$F$2:$I$15,4,0)*B1424*E1424/1000,3),"-")</f>
        <v>0.2</v>
      </c>
      <c r="L1424" s="150"/>
      <c r="M1424" s="150"/>
      <c r="N1424" s="150"/>
    </row>
    <row r="1425" spans="1:14" x14ac:dyDescent="0.25">
      <c r="A1425" s="159" t="s">
        <v>160</v>
      </c>
      <c r="B1425" s="160">
        <v>2</v>
      </c>
      <c r="C1425" s="160">
        <v>4000</v>
      </c>
      <c r="D1425" s="160" t="s">
        <v>4186</v>
      </c>
      <c r="E1425" s="160">
        <v>140</v>
      </c>
      <c r="F1425" s="160" t="s">
        <v>74</v>
      </c>
      <c r="G1425" s="148">
        <v>18</v>
      </c>
      <c r="H1425" s="152">
        <f>IF(C1425=11700,ROUND(VLOOKUP(G1425,ThongSo!$F$2:$I$15,4,0)*B1425*11.7,3),0)</f>
        <v>0</v>
      </c>
      <c r="I1425" s="152">
        <f>IF(F1425="Sắt vụn",ROUND(VLOOKUP(G1425,ThongSo!$F$2:$I$15,4,0)*B1425*E1425/1000,3),"-")</f>
        <v>0.56000000000000005</v>
      </c>
      <c r="L1425" s="150"/>
      <c r="M1425" s="150"/>
      <c r="N1425" s="150"/>
    </row>
    <row r="1426" spans="1:14" x14ac:dyDescent="0.25">
      <c r="A1426" s="159" t="s">
        <v>160</v>
      </c>
      <c r="B1426" s="160">
        <v>2</v>
      </c>
      <c r="C1426" s="160">
        <v>4000</v>
      </c>
      <c r="D1426" s="160" t="s">
        <v>4187</v>
      </c>
      <c r="E1426" s="160">
        <v>140</v>
      </c>
      <c r="F1426" s="160" t="s">
        <v>74</v>
      </c>
      <c r="G1426" s="148">
        <v>18</v>
      </c>
      <c r="H1426" s="152">
        <f>IF(C1426=11700,ROUND(VLOOKUP(G1426,ThongSo!$F$2:$I$15,4,0)*B1426*11.7,3),0)</f>
        <v>0</v>
      </c>
      <c r="I1426" s="152">
        <f>IF(F1426="Sắt vụn",ROUND(VLOOKUP(G1426,ThongSo!$F$2:$I$15,4,0)*B1426*E1426/1000,3),"-")</f>
        <v>0.56000000000000005</v>
      </c>
      <c r="L1426" s="150"/>
      <c r="M1426" s="150"/>
      <c r="N1426" s="150"/>
    </row>
    <row r="1427" spans="1:14" x14ac:dyDescent="0.25">
      <c r="A1427" s="159">
        <v>300</v>
      </c>
      <c r="B1427" s="160">
        <v>12</v>
      </c>
      <c r="C1427" s="160">
        <v>11700</v>
      </c>
      <c r="D1427" s="160" t="s">
        <v>4188</v>
      </c>
      <c r="E1427" s="160">
        <v>3510</v>
      </c>
      <c r="F1427" s="160" t="s">
        <v>75</v>
      </c>
      <c r="G1427" s="148">
        <v>18</v>
      </c>
      <c r="H1427" s="152">
        <f>IF(C1427=11700,ROUND(VLOOKUP(G1427,ThongSo!$F$2:$I$15,4,0)*B1427*11.7,3),0)</f>
        <v>280.8</v>
      </c>
      <c r="I1427" s="152" t="str">
        <f>IF(F1427="Sắt vụn",ROUND(VLOOKUP(G1427,ThongSo!$F$2:$I$15,4,0)*B1427*E1427/1000,3),"-")</f>
        <v>-</v>
      </c>
      <c r="L1427" s="150"/>
      <c r="M1427" s="150"/>
      <c r="N1427" s="150"/>
    </row>
    <row r="1428" spans="1:14" x14ac:dyDescent="0.25">
      <c r="A1428" s="159">
        <v>301</v>
      </c>
      <c r="B1428" s="160">
        <v>12</v>
      </c>
      <c r="C1428" s="160">
        <v>11700</v>
      </c>
      <c r="D1428" s="160" t="s">
        <v>4189</v>
      </c>
      <c r="E1428" s="160">
        <v>3520</v>
      </c>
      <c r="F1428" s="160" t="s">
        <v>75</v>
      </c>
      <c r="G1428" s="148">
        <v>18</v>
      </c>
      <c r="H1428" s="152">
        <f>IF(C1428=11700,ROUND(VLOOKUP(G1428,ThongSo!$F$2:$I$15,4,0)*B1428*11.7,3),0)</f>
        <v>280.8</v>
      </c>
      <c r="I1428" s="152" t="str">
        <f>IF(F1428="Sắt vụn",ROUND(VLOOKUP(G1428,ThongSo!$F$2:$I$15,4,0)*B1428*E1428/1000,3),"-")</f>
        <v>-</v>
      </c>
      <c r="L1428" s="150"/>
      <c r="M1428" s="150"/>
      <c r="N1428" s="150"/>
    </row>
    <row r="1429" spans="1:14" x14ac:dyDescent="0.25">
      <c r="A1429" s="157" t="s">
        <v>81</v>
      </c>
      <c r="B1429" s="158"/>
      <c r="C1429" s="158"/>
      <c r="D1429" s="158"/>
      <c r="E1429" s="158"/>
      <c r="F1429" s="158"/>
      <c r="G1429" s="148"/>
      <c r="H1429" s="152">
        <f>IF(C1429=11700,ROUND(VLOOKUP(G1429,ThongSo!$F$2:$I$15,4,0)*B1429*11.7,3),0)</f>
        <v>0</v>
      </c>
      <c r="I1429" s="152" t="str">
        <f>IF(F1429="Sắt vụn",ROUND(VLOOKUP(G1429,ThongSo!$F$2:$I$15,4,0)*B1429*E1429/1000,3),"-")</f>
        <v>-</v>
      </c>
      <c r="L1429" s="150"/>
      <c r="M1429" s="150"/>
      <c r="N1429" s="150"/>
    </row>
    <row r="1430" spans="1:14" x14ac:dyDescent="0.25">
      <c r="A1430" s="159" t="s">
        <v>179</v>
      </c>
      <c r="B1430" s="160">
        <v>19</v>
      </c>
      <c r="C1430" s="160">
        <v>2320</v>
      </c>
      <c r="D1430" s="160" t="s">
        <v>4190</v>
      </c>
      <c r="E1430" s="160">
        <v>290</v>
      </c>
      <c r="F1430" s="160" t="s">
        <v>74</v>
      </c>
      <c r="G1430" s="148">
        <v>18</v>
      </c>
      <c r="H1430" s="152">
        <f>IF(C1430=11700,ROUND(VLOOKUP(G1430,ThongSo!$F$2:$I$15,4,0)*B1430*11.7,3),0)</f>
        <v>0</v>
      </c>
      <c r="I1430" s="152">
        <f>IF(F1430="Sắt vụn",ROUND(VLOOKUP(G1430,ThongSo!$F$2:$I$15,4,0)*B1430*E1430/1000,3),"-")</f>
        <v>11.02</v>
      </c>
      <c r="L1430" s="150"/>
      <c r="M1430" s="150"/>
      <c r="N1430" s="150"/>
    </row>
    <row r="1431" spans="1:14" x14ac:dyDescent="0.25">
      <c r="A1431" s="159" t="s">
        <v>3897</v>
      </c>
      <c r="B1431" s="160">
        <v>1</v>
      </c>
      <c r="C1431" s="160">
        <v>7040</v>
      </c>
      <c r="D1431" s="160" t="s">
        <v>4191</v>
      </c>
      <c r="E1431" s="160">
        <v>270</v>
      </c>
      <c r="F1431" s="160" t="s">
        <v>74</v>
      </c>
      <c r="G1431" s="148">
        <v>18</v>
      </c>
      <c r="H1431" s="152">
        <f>IF(C1431=11700,ROUND(VLOOKUP(G1431,ThongSo!$F$2:$I$15,4,0)*B1431*11.7,3),0)</f>
        <v>0</v>
      </c>
      <c r="I1431" s="152">
        <f>IF(F1431="Sắt vụn",ROUND(VLOOKUP(G1431,ThongSo!$F$2:$I$15,4,0)*B1431*E1431/1000,3),"-")</f>
        <v>0.54</v>
      </c>
      <c r="L1431" s="150"/>
      <c r="M1431" s="150"/>
      <c r="N1431" s="150"/>
    </row>
    <row r="1432" spans="1:14" x14ac:dyDescent="0.25">
      <c r="A1432" s="159">
        <v>304</v>
      </c>
      <c r="B1432" s="160">
        <v>14</v>
      </c>
      <c r="C1432" s="160">
        <v>11700</v>
      </c>
      <c r="D1432" s="160" t="s">
        <v>4192</v>
      </c>
      <c r="E1432" s="160">
        <v>190</v>
      </c>
      <c r="F1432" s="160" t="s">
        <v>74</v>
      </c>
      <c r="G1432" s="148">
        <v>18</v>
      </c>
      <c r="H1432" s="152">
        <f>IF(C1432=11700,ROUND(VLOOKUP(G1432,ThongSo!$F$2:$I$15,4,0)*B1432*11.7,3),0)</f>
        <v>327.60000000000002</v>
      </c>
      <c r="I1432" s="152">
        <f>IF(F1432="Sắt vụn",ROUND(VLOOKUP(G1432,ThongSo!$F$2:$I$15,4,0)*B1432*E1432/1000,3),"-")</f>
        <v>5.32</v>
      </c>
      <c r="L1432" s="150"/>
      <c r="M1432" s="150"/>
      <c r="N1432" s="150"/>
    </row>
    <row r="1433" spans="1:14" x14ac:dyDescent="0.25">
      <c r="A1433" s="159">
        <v>305</v>
      </c>
      <c r="B1433" s="160">
        <v>25</v>
      </c>
      <c r="C1433" s="160">
        <v>11700</v>
      </c>
      <c r="D1433" s="160" t="s">
        <v>4193</v>
      </c>
      <c r="E1433" s="160">
        <v>860</v>
      </c>
      <c r="F1433" s="160" t="s">
        <v>75</v>
      </c>
      <c r="G1433" s="148">
        <v>18</v>
      </c>
      <c r="H1433" s="152">
        <f>IF(C1433=11700,ROUND(VLOOKUP(G1433,ThongSo!$F$2:$I$15,4,0)*B1433*11.7,3),0)</f>
        <v>585</v>
      </c>
      <c r="I1433" s="152" t="str">
        <f>IF(F1433="Sắt vụn",ROUND(VLOOKUP(G1433,ThongSo!$F$2:$I$15,4,0)*B1433*E1433/1000,3),"-")</f>
        <v>-</v>
      </c>
      <c r="L1433" s="150"/>
      <c r="M1433" s="150"/>
      <c r="N1433" s="150"/>
    </row>
    <row r="1434" spans="1:14" x14ac:dyDescent="0.25">
      <c r="A1434" s="159">
        <v>306</v>
      </c>
      <c r="B1434" s="160">
        <v>32</v>
      </c>
      <c r="C1434" s="160">
        <v>11700</v>
      </c>
      <c r="D1434" s="160" t="s">
        <v>4194</v>
      </c>
      <c r="E1434" s="160">
        <v>960</v>
      </c>
      <c r="F1434" s="160" t="s">
        <v>75</v>
      </c>
      <c r="G1434" s="148">
        <v>18</v>
      </c>
      <c r="H1434" s="152">
        <f>IF(C1434=11700,ROUND(VLOOKUP(G1434,ThongSo!$F$2:$I$15,4,0)*B1434*11.7,3),0)</f>
        <v>748.8</v>
      </c>
      <c r="I1434" s="152" t="str">
        <f>IF(F1434="Sắt vụn",ROUND(VLOOKUP(G1434,ThongSo!$F$2:$I$15,4,0)*B1434*E1434/1000,3),"-")</f>
        <v>-</v>
      </c>
      <c r="L1434" s="150"/>
      <c r="M1434" s="150"/>
      <c r="N1434" s="150"/>
    </row>
    <row r="1435" spans="1:14" x14ac:dyDescent="0.25">
      <c r="A1435" s="159">
        <v>307</v>
      </c>
      <c r="B1435" s="160">
        <v>1</v>
      </c>
      <c r="C1435" s="160">
        <v>11700</v>
      </c>
      <c r="D1435" s="160" t="s">
        <v>4195</v>
      </c>
      <c r="E1435" s="160">
        <v>1590</v>
      </c>
      <c r="F1435" s="160" t="s">
        <v>75</v>
      </c>
      <c r="G1435" s="148">
        <v>18</v>
      </c>
      <c r="H1435" s="152">
        <f>IF(C1435=11700,ROUND(VLOOKUP(G1435,ThongSo!$F$2:$I$15,4,0)*B1435*11.7,3),0)</f>
        <v>23.4</v>
      </c>
      <c r="I1435" s="152" t="str">
        <f>IF(F1435="Sắt vụn",ROUND(VLOOKUP(G1435,ThongSo!$F$2:$I$15,4,0)*B1435*E1435/1000,3),"-")</f>
        <v>-</v>
      </c>
      <c r="L1435" s="150"/>
      <c r="M1435" s="150"/>
      <c r="N1435" s="150"/>
    </row>
    <row r="1436" spans="1:14" x14ac:dyDescent="0.25">
      <c r="A1436" s="159">
        <v>308</v>
      </c>
      <c r="B1436" s="160">
        <v>1</v>
      </c>
      <c r="C1436" s="160">
        <v>11700</v>
      </c>
      <c r="D1436" s="160" t="s">
        <v>4190</v>
      </c>
      <c r="E1436" s="160">
        <v>9670</v>
      </c>
      <c r="F1436" s="160" t="s">
        <v>75</v>
      </c>
      <c r="G1436" s="148">
        <v>18</v>
      </c>
      <c r="H1436" s="152">
        <f>IF(C1436=11700,ROUND(VLOOKUP(G1436,ThongSo!$F$2:$I$15,4,0)*B1436*11.7,3),0)</f>
        <v>23.4</v>
      </c>
      <c r="I1436" s="152" t="str">
        <f>IF(F1436="Sắt vụn",ROUND(VLOOKUP(G1436,ThongSo!$F$2:$I$15,4,0)*B1436*E1436/1000,3),"-")</f>
        <v>-</v>
      </c>
      <c r="L1436" s="150"/>
      <c r="M1436" s="150"/>
      <c r="N1436" s="150"/>
    </row>
    <row r="1437" spans="1:14" x14ac:dyDescent="0.25">
      <c r="A1437" s="157" t="s">
        <v>82</v>
      </c>
      <c r="B1437" s="158"/>
      <c r="C1437" s="158"/>
      <c r="D1437" s="158"/>
      <c r="E1437" s="158"/>
      <c r="F1437" s="158"/>
      <c r="G1437" s="148"/>
      <c r="H1437" s="152">
        <f>IF(C1437=11700,ROUND(VLOOKUP(G1437,ThongSo!$F$2:$I$15,4,0)*B1437*11.7,3),0)</f>
        <v>0</v>
      </c>
      <c r="I1437" s="152" t="str">
        <f>IF(F1437="Sắt vụn",ROUND(VLOOKUP(G1437,ThongSo!$F$2:$I$15,4,0)*B1437*E1437/1000,3),"-")</f>
        <v>-</v>
      </c>
      <c r="L1437" s="150"/>
      <c r="M1437" s="150"/>
      <c r="N1437" s="150"/>
    </row>
    <row r="1438" spans="1:14" x14ac:dyDescent="0.25">
      <c r="A1438" s="159" t="s">
        <v>96</v>
      </c>
      <c r="B1438" s="160">
        <v>22</v>
      </c>
      <c r="C1438" s="160">
        <v>1000</v>
      </c>
      <c r="D1438" s="160" t="s">
        <v>4196</v>
      </c>
      <c r="E1438" s="160">
        <v>30</v>
      </c>
      <c r="F1438" s="160" t="s">
        <v>74</v>
      </c>
      <c r="G1438" s="148">
        <v>14</v>
      </c>
      <c r="H1438" s="152">
        <f>IF(C1438=11700,ROUND(VLOOKUP(G1438,ThongSo!$F$2:$I$15,4,0)*B1438*11.7,3),0)</f>
        <v>0</v>
      </c>
      <c r="I1438" s="152">
        <f>IF(F1438="Sắt vụn",ROUND(VLOOKUP(G1438,ThongSo!$F$2:$I$15,4,0)*B1438*E1438/1000,3),"-")</f>
        <v>0.79900000000000004</v>
      </c>
      <c r="L1438" s="150"/>
      <c r="M1438" s="150"/>
      <c r="N1438" s="150"/>
    </row>
    <row r="1439" spans="1:14" x14ac:dyDescent="0.25">
      <c r="A1439" s="159" t="s">
        <v>98</v>
      </c>
      <c r="B1439" s="160">
        <v>45</v>
      </c>
      <c r="C1439" s="160">
        <v>1020</v>
      </c>
      <c r="D1439" s="160" t="s">
        <v>4196</v>
      </c>
      <c r="E1439" s="160">
        <v>50</v>
      </c>
      <c r="F1439" s="160" t="s">
        <v>74</v>
      </c>
      <c r="G1439" s="148">
        <v>14</v>
      </c>
      <c r="H1439" s="152">
        <f>IF(C1439=11700,ROUND(VLOOKUP(G1439,ThongSo!$F$2:$I$15,4,0)*B1439*11.7,3),0)</f>
        <v>0</v>
      </c>
      <c r="I1439" s="152">
        <f>IF(F1439="Sắt vụn",ROUND(VLOOKUP(G1439,ThongSo!$F$2:$I$15,4,0)*B1439*E1439/1000,3),"-")</f>
        <v>2.7229999999999999</v>
      </c>
      <c r="L1439" s="150"/>
      <c r="M1439" s="150"/>
      <c r="N1439" s="150"/>
    </row>
    <row r="1440" spans="1:14" x14ac:dyDescent="0.25">
      <c r="A1440" s="159" t="s">
        <v>98</v>
      </c>
      <c r="B1440" s="160">
        <v>74</v>
      </c>
      <c r="C1440" s="160">
        <v>1020</v>
      </c>
      <c r="D1440" s="160" t="s">
        <v>4197</v>
      </c>
      <c r="E1440" s="160">
        <v>250</v>
      </c>
      <c r="F1440" s="160" t="s">
        <v>74</v>
      </c>
      <c r="G1440" s="148">
        <v>14</v>
      </c>
      <c r="H1440" s="152">
        <f>IF(C1440=11700,ROUND(VLOOKUP(G1440,ThongSo!$F$2:$I$15,4,0)*B1440*11.7,3),0)</f>
        <v>0</v>
      </c>
      <c r="I1440" s="152">
        <f>IF(F1440="Sắt vụn",ROUND(VLOOKUP(G1440,ThongSo!$F$2:$I$15,4,0)*B1440*E1440/1000,3),"-")</f>
        <v>22.385000000000002</v>
      </c>
      <c r="L1440" s="150"/>
      <c r="M1440" s="150"/>
      <c r="N1440" s="150"/>
    </row>
    <row r="1441" spans="1:14" x14ac:dyDescent="0.25">
      <c r="A1441" s="159" t="s">
        <v>98</v>
      </c>
      <c r="B1441" s="160">
        <v>61</v>
      </c>
      <c r="C1441" s="160">
        <v>1020</v>
      </c>
      <c r="D1441" s="160" t="s">
        <v>4198</v>
      </c>
      <c r="E1441" s="160">
        <v>250</v>
      </c>
      <c r="F1441" s="160" t="s">
        <v>74</v>
      </c>
      <c r="G1441" s="148">
        <v>14</v>
      </c>
      <c r="H1441" s="152">
        <f>IF(C1441=11700,ROUND(VLOOKUP(G1441,ThongSo!$F$2:$I$15,4,0)*B1441*11.7,3),0)</f>
        <v>0</v>
      </c>
      <c r="I1441" s="152">
        <f>IF(F1441="Sắt vụn",ROUND(VLOOKUP(G1441,ThongSo!$F$2:$I$15,4,0)*B1441*E1441/1000,3),"-")</f>
        <v>18.452999999999999</v>
      </c>
      <c r="L1441" s="150"/>
      <c r="M1441" s="150"/>
      <c r="N1441" s="150"/>
    </row>
    <row r="1442" spans="1:14" x14ac:dyDescent="0.25">
      <c r="A1442" s="159" t="s">
        <v>227</v>
      </c>
      <c r="B1442" s="160">
        <v>68</v>
      </c>
      <c r="C1442" s="160">
        <v>3770</v>
      </c>
      <c r="D1442" s="160" t="s">
        <v>4199</v>
      </c>
      <c r="E1442" s="160">
        <v>230</v>
      </c>
      <c r="F1442" s="160" t="s">
        <v>74</v>
      </c>
      <c r="G1442" s="148">
        <v>14</v>
      </c>
      <c r="H1442" s="152">
        <f>IF(C1442=11700,ROUND(VLOOKUP(G1442,ThongSo!$F$2:$I$15,4,0)*B1442*11.7,3),0)</f>
        <v>0</v>
      </c>
      <c r="I1442" s="152">
        <f>IF(F1442="Sắt vụn",ROUND(VLOOKUP(G1442,ThongSo!$F$2:$I$15,4,0)*B1442*E1442/1000,3),"-")</f>
        <v>18.923999999999999</v>
      </c>
      <c r="L1442" s="150"/>
      <c r="M1442" s="150"/>
      <c r="N1442" s="150"/>
    </row>
    <row r="1443" spans="1:14" x14ac:dyDescent="0.25">
      <c r="A1443" s="159" t="s">
        <v>172</v>
      </c>
      <c r="B1443" s="160">
        <v>52</v>
      </c>
      <c r="C1443" s="160">
        <v>3800</v>
      </c>
      <c r="D1443" s="160" t="s">
        <v>4199</v>
      </c>
      <c r="E1443" s="160">
        <v>260</v>
      </c>
      <c r="F1443" s="160" t="s">
        <v>74</v>
      </c>
      <c r="G1443" s="148">
        <v>14</v>
      </c>
      <c r="H1443" s="152">
        <f>IF(C1443=11700,ROUND(VLOOKUP(G1443,ThongSo!$F$2:$I$15,4,0)*B1443*11.7,3),0)</f>
        <v>0</v>
      </c>
      <c r="I1443" s="152">
        <f>IF(F1443="Sắt vụn",ROUND(VLOOKUP(G1443,ThongSo!$F$2:$I$15,4,0)*B1443*E1443/1000,3),"-")</f>
        <v>16.359000000000002</v>
      </c>
      <c r="L1443" s="150"/>
      <c r="M1443" s="150"/>
      <c r="N1443" s="150"/>
    </row>
    <row r="1444" spans="1:14" x14ac:dyDescent="0.25">
      <c r="A1444" s="159" t="s">
        <v>172</v>
      </c>
      <c r="B1444" s="160">
        <v>20</v>
      </c>
      <c r="C1444" s="160">
        <v>3800</v>
      </c>
      <c r="D1444" s="160" t="s">
        <v>4200</v>
      </c>
      <c r="E1444" s="160">
        <v>780</v>
      </c>
      <c r="F1444" s="160" t="s">
        <v>75</v>
      </c>
      <c r="G1444" s="148">
        <v>14</v>
      </c>
      <c r="H1444" s="152">
        <f>IF(C1444=11700,ROUND(VLOOKUP(G1444,ThongSo!$F$2:$I$15,4,0)*B1444*11.7,3),0)</f>
        <v>0</v>
      </c>
      <c r="I1444" s="152" t="str">
        <f>IF(F1444="Sắt vụn",ROUND(VLOOKUP(G1444,ThongSo!$F$2:$I$15,4,0)*B1444*E1444/1000,3),"-")</f>
        <v>-</v>
      </c>
      <c r="L1444" s="150"/>
      <c r="M1444" s="150"/>
      <c r="N1444" s="150"/>
    </row>
    <row r="1445" spans="1:14" x14ac:dyDescent="0.25">
      <c r="A1445" s="159" t="s">
        <v>160</v>
      </c>
      <c r="B1445" s="160">
        <v>21</v>
      </c>
      <c r="C1445" s="160">
        <v>4000</v>
      </c>
      <c r="D1445" s="160" t="s">
        <v>4201</v>
      </c>
      <c r="E1445" s="160">
        <v>60</v>
      </c>
      <c r="F1445" s="160" t="s">
        <v>74</v>
      </c>
      <c r="G1445" s="148">
        <v>14</v>
      </c>
      <c r="H1445" s="152">
        <f>IF(C1445=11700,ROUND(VLOOKUP(G1445,ThongSo!$F$2:$I$15,4,0)*B1445*11.7,3),0)</f>
        <v>0</v>
      </c>
      <c r="I1445" s="152">
        <f>IF(F1445="Sắt vụn",ROUND(VLOOKUP(G1445,ThongSo!$F$2:$I$15,4,0)*B1445*E1445/1000,3),"-")</f>
        <v>1.5249999999999999</v>
      </c>
      <c r="L1445" s="150"/>
      <c r="M1445" s="150"/>
      <c r="N1445" s="150"/>
    </row>
    <row r="1446" spans="1:14" x14ac:dyDescent="0.25">
      <c r="A1446" s="159" t="s">
        <v>160</v>
      </c>
      <c r="B1446" s="160">
        <v>3</v>
      </c>
      <c r="C1446" s="160">
        <v>4000</v>
      </c>
      <c r="D1446" s="160" t="s">
        <v>4202</v>
      </c>
      <c r="E1446" s="160">
        <v>60</v>
      </c>
      <c r="F1446" s="160" t="s">
        <v>74</v>
      </c>
      <c r="G1446" s="148">
        <v>14</v>
      </c>
      <c r="H1446" s="152">
        <f>IF(C1446=11700,ROUND(VLOOKUP(G1446,ThongSo!$F$2:$I$15,4,0)*B1446*11.7,3),0)</f>
        <v>0</v>
      </c>
      <c r="I1446" s="152">
        <f>IF(F1446="Sắt vụn",ROUND(VLOOKUP(G1446,ThongSo!$F$2:$I$15,4,0)*B1446*E1446/1000,3),"-")</f>
        <v>0.218</v>
      </c>
      <c r="L1446" s="150"/>
      <c r="M1446" s="150"/>
      <c r="N1446" s="150"/>
    </row>
    <row r="1447" spans="1:14" x14ac:dyDescent="0.25">
      <c r="A1447" s="159" t="s">
        <v>3896</v>
      </c>
      <c r="B1447" s="160">
        <v>20</v>
      </c>
      <c r="C1447" s="160">
        <v>5170</v>
      </c>
      <c r="D1447" s="160" t="s">
        <v>4203</v>
      </c>
      <c r="E1447" s="160">
        <v>70</v>
      </c>
      <c r="F1447" s="160" t="s">
        <v>74</v>
      </c>
      <c r="G1447" s="148">
        <v>14</v>
      </c>
      <c r="H1447" s="152">
        <f>IF(C1447=11700,ROUND(VLOOKUP(G1447,ThongSo!$F$2:$I$15,4,0)*B1447*11.7,3),0)</f>
        <v>0</v>
      </c>
      <c r="I1447" s="152">
        <f>IF(F1447="Sắt vụn",ROUND(VLOOKUP(G1447,ThongSo!$F$2:$I$15,4,0)*B1447*E1447/1000,3),"-")</f>
        <v>1.694</v>
      </c>
      <c r="L1447" s="150"/>
      <c r="M1447" s="150"/>
      <c r="N1447" s="150"/>
    </row>
    <row r="1448" spans="1:14" x14ac:dyDescent="0.25">
      <c r="A1448" s="159" t="s">
        <v>3896</v>
      </c>
      <c r="B1448" s="160">
        <v>40</v>
      </c>
      <c r="C1448" s="160">
        <v>5170</v>
      </c>
      <c r="D1448" s="160" t="s">
        <v>4204</v>
      </c>
      <c r="E1448" s="160">
        <v>180</v>
      </c>
      <c r="F1448" s="160" t="s">
        <v>74</v>
      </c>
      <c r="G1448" s="148">
        <v>14</v>
      </c>
      <c r="H1448" s="152">
        <f>IF(C1448=11700,ROUND(VLOOKUP(G1448,ThongSo!$F$2:$I$15,4,0)*B1448*11.7,3),0)</f>
        <v>0</v>
      </c>
      <c r="I1448" s="152">
        <f>IF(F1448="Sắt vụn",ROUND(VLOOKUP(G1448,ThongSo!$F$2:$I$15,4,0)*B1448*E1448/1000,3),"-")</f>
        <v>8.7119999999999997</v>
      </c>
      <c r="L1448" s="150"/>
      <c r="M1448" s="150"/>
      <c r="N1448" s="150"/>
    </row>
    <row r="1449" spans="1:14" x14ac:dyDescent="0.25">
      <c r="A1449" s="159" t="s">
        <v>3896</v>
      </c>
      <c r="B1449" s="160">
        <v>99</v>
      </c>
      <c r="C1449" s="160">
        <v>5170</v>
      </c>
      <c r="D1449" s="160" t="s">
        <v>4205</v>
      </c>
      <c r="E1449" s="160">
        <v>530</v>
      </c>
      <c r="F1449" s="160" t="s">
        <v>74</v>
      </c>
      <c r="G1449" s="148">
        <v>14</v>
      </c>
      <c r="H1449" s="152">
        <f>IF(C1449=11700,ROUND(VLOOKUP(G1449,ThongSo!$F$2:$I$15,4,0)*B1449*11.7,3),0)</f>
        <v>0</v>
      </c>
      <c r="I1449" s="152">
        <f>IF(F1449="Sắt vụn",ROUND(VLOOKUP(G1449,ThongSo!$F$2:$I$15,4,0)*B1449*E1449/1000,3),"-")</f>
        <v>63.488999999999997</v>
      </c>
      <c r="L1449" s="150"/>
      <c r="M1449" s="150"/>
      <c r="N1449" s="150"/>
    </row>
    <row r="1450" spans="1:14" x14ac:dyDescent="0.25">
      <c r="A1450" s="159" t="s">
        <v>133</v>
      </c>
      <c r="B1450" s="160">
        <v>17</v>
      </c>
      <c r="C1450" s="160">
        <v>5200</v>
      </c>
      <c r="D1450" s="160" t="s">
        <v>4205</v>
      </c>
      <c r="E1450" s="160">
        <v>560</v>
      </c>
      <c r="F1450" s="160" t="s">
        <v>74</v>
      </c>
      <c r="G1450" s="148">
        <v>14</v>
      </c>
      <c r="H1450" s="152">
        <f>IF(C1450=11700,ROUND(VLOOKUP(G1450,ThongSo!$F$2:$I$15,4,0)*B1450*11.7,3),0)</f>
        <v>0</v>
      </c>
      <c r="I1450" s="152">
        <f>IF(F1450="Sắt vụn",ROUND(VLOOKUP(G1450,ThongSo!$F$2:$I$15,4,0)*B1450*E1450/1000,3),"-")</f>
        <v>11.519</v>
      </c>
      <c r="L1450" s="150"/>
      <c r="M1450" s="150"/>
      <c r="N1450" s="150"/>
    </row>
    <row r="1451" spans="1:14" x14ac:dyDescent="0.25">
      <c r="A1451" s="159" t="s">
        <v>133</v>
      </c>
      <c r="B1451" s="160">
        <v>4</v>
      </c>
      <c r="C1451" s="160">
        <v>5200</v>
      </c>
      <c r="D1451" s="160" t="s">
        <v>4206</v>
      </c>
      <c r="E1451" s="160">
        <v>2530</v>
      </c>
      <c r="F1451" s="160" t="s">
        <v>75</v>
      </c>
      <c r="G1451" s="148">
        <v>14</v>
      </c>
      <c r="H1451" s="152">
        <f>IF(C1451=11700,ROUND(VLOOKUP(G1451,ThongSo!$F$2:$I$15,4,0)*B1451*11.7,3),0)</f>
        <v>0</v>
      </c>
      <c r="I1451" s="152" t="str">
        <f>IF(F1451="Sắt vụn",ROUND(VLOOKUP(G1451,ThongSo!$F$2:$I$15,4,0)*B1451*E1451/1000,3),"-")</f>
        <v>-</v>
      </c>
      <c r="L1451" s="150"/>
      <c r="M1451" s="150"/>
      <c r="N1451" s="150"/>
    </row>
    <row r="1452" spans="1:14" x14ac:dyDescent="0.25">
      <c r="A1452" s="159">
        <v>323</v>
      </c>
      <c r="B1452" s="160">
        <v>12</v>
      </c>
      <c r="C1452" s="160">
        <v>11700</v>
      </c>
      <c r="D1452" s="160" t="s">
        <v>4207</v>
      </c>
      <c r="E1452" s="160">
        <v>1800</v>
      </c>
      <c r="F1452" s="160" t="s">
        <v>75</v>
      </c>
      <c r="G1452" s="148">
        <v>14</v>
      </c>
      <c r="H1452" s="152">
        <f>IF(C1452=11700,ROUND(VLOOKUP(G1452,ThongSo!$F$2:$I$15,4,0)*B1452*11.7,3),0)</f>
        <v>169.88399999999999</v>
      </c>
      <c r="I1452" s="152" t="str">
        <f>IF(F1452="Sắt vụn",ROUND(VLOOKUP(G1452,ThongSo!$F$2:$I$15,4,0)*B1452*E1452/1000,3),"-")</f>
        <v>-</v>
      </c>
      <c r="L1452" s="150"/>
      <c r="M1452" s="150"/>
      <c r="N1452" s="150"/>
    </row>
    <row r="1453" spans="1:14" x14ac:dyDescent="0.25">
      <c r="A1453" s="159">
        <v>324</v>
      </c>
      <c r="B1453" s="160">
        <v>12</v>
      </c>
      <c r="C1453" s="160">
        <v>11700</v>
      </c>
      <c r="D1453" s="160" t="s">
        <v>4208</v>
      </c>
      <c r="E1453" s="160">
        <v>1800</v>
      </c>
      <c r="F1453" s="160" t="s">
        <v>75</v>
      </c>
      <c r="G1453" s="148">
        <v>14</v>
      </c>
      <c r="H1453" s="152">
        <f>IF(C1453=11700,ROUND(VLOOKUP(G1453,ThongSo!$F$2:$I$15,4,0)*B1453*11.7,3),0)</f>
        <v>169.88399999999999</v>
      </c>
      <c r="I1453" s="152" t="str">
        <f>IF(F1453="Sắt vụn",ROUND(VLOOKUP(G1453,ThongSo!$F$2:$I$15,4,0)*B1453*E1453/1000,3),"-")</f>
        <v>-</v>
      </c>
      <c r="L1453" s="150"/>
      <c r="M1453" s="150"/>
      <c r="N1453" s="150"/>
    </row>
    <row r="1454" spans="1:14" x14ac:dyDescent="0.25">
      <c r="A1454" s="159">
        <v>325</v>
      </c>
      <c r="B1454" s="160">
        <v>24</v>
      </c>
      <c r="C1454" s="160">
        <v>11700</v>
      </c>
      <c r="D1454" s="160" t="s">
        <v>4209</v>
      </c>
      <c r="E1454" s="160">
        <v>3510</v>
      </c>
      <c r="F1454" s="160" t="s">
        <v>75</v>
      </c>
      <c r="G1454" s="148">
        <v>14</v>
      </c>
      <c r="H1454" s="152">
        <f>IF(C1454=11700,ROUND(VLOOKUP(G1454,ThongSo!$F$2:$I$15,4,0)*B1454*11.7,3),0)</f>
        <v>339.76799999999997</v>
      </c>
      <c r="I1454" s="152" t="str">
        <f>IF(F1454="Sắt vụn",ROUND(VLOOKUP(G1454,ThongSo!$F$2:$I$15,4,0)*B1454*E1454/1000,3),"-")</f>
        <v>-</v>
      </c>
      <c r="L1454" s="150"/>
      <c r="M1454" s="150"/>
      <c r="N1454" s="150"/>
    </row>
    <row r="1455" spans="1:14" x14ac:dyDescent="0.25">
      <c r="A1455" s="159">
        <v>326</v>
      </c>
      <c r="B1455" s="160">
        <v>24</v>
      </c>
      <c r="C1455" s="160">
        <v>11700</v>
      </c>
      <c r="D1455" s="160" t="s">
        <v>4210</v>
      </c>
      <c r="E1455" s="160">
        <v>3520</v>
      </c>
      <c r="F1455" s="160" t="s">
        <v>75</v>
      </c>
      <c r="G1455" s="148">
        <v>14</v>
      </c>
      <c r="H1455" s="152">
        <f>IF(C1455=11700,ROUND(VLOOKUP(G1455,ThongSo!$F$2:$I$15,4,0)*B1455*11.7,3),0)</f>
        <v>339.76799999999997</v>
      </c>
      <c r="I1455" s="152" t="str">
        <f>IF(F1455="Sắt vụn",ROUND(VLOOKUP(G1455,ThongSo!$F$2:$I$15,4,0)*B1455*E1455/1000,3),"-")</f>
        <v>-</v>
      </c>
      <c r="L1455" s="150"/>
      <c r="M1455" s="150"/>
      <c r="N1455" s="150"/>
    </row>
    <row r="1456" spans="1:14" x14ac:dyDescent="0.25">
      <c r="A1456" s="159">
        <v>327</v>
      </c>
      <c r="B1456" s="160">
        <v>40</v>
      </c>
      <c r="C1456" s="160">
        <v>11700</v>
      </c>
      <c r="D1456" s="160" t="s">
        <v>4211</v>
      </c>
      <c r="E1456" s="160">
        <v>5570</v>
      </c>
      <c r="F1456" s="160" t="s">
        <v>75</v>
      </c>
      <c r="G1456" s="148">
        <v>14</v>
      </c>
      <c r="H1456" s="152">
        <f>IF(C1456=11700,ROUND(VLOOKUP(G1456,ThongSo!$F$2:$I$15,4,0)*B1456*11.7,3),0)</f>
        <v>566.28</v>
      </c>
      <c r="I1456" s="152" t="str">
        <f>IF(F1456="Sắt vụn",ROUND(VLOOKUP(G1456,ThongSo!$F$2:$I$15,4,0)*B1456*E1456/1000,3),"-")</f>
        <v>-</v>
      </c>
      <c r="L1456" s="150"/>
      <c r="M1456" s="150"/>
      <c r="N1456" s="150"/>
    </row>
    <row r="1457" spans="1:14" x14ac:dyDescent="0.25">
      <c r="A1457" s="157" t="s">
        <v>83</v>
      </c>
      <c r="B1457" s="158"/>
      <c r="C1457" s="158"/>
      <c r="D1457" s="158"/>
      <c r="E1457" s="158"/>
      <c r="F1457" s="158"/>
      <c r="G1457" s="148"/>
      <c r="H1457" s="152">
        <f>IF(C1457=11700,ROUND(VLOOKUP(G1457,ThongSo!$F$2:$I$15,4,0)*B1457*11.7,3),0)</f>
        <v>0</v>
      </c>
      <c r="I1457" s="152" t="str">
        <f>IF(F1457="Sắt vụn",ROUND(VLOOKUP(G1457,ThongSo!$F$2:$I$15,4,0)*B1457*E1457/1000,3),"-")</f>
        <v>-</v>
      </c>
      <c r="L1457" s="150"/>
      <c r="M1457" s="150"/>
      <c r="N1457" s="150"/>
    </row>
    <row r="1458" spans="1:14" x14ac:dyDescent="0.25">
      <c r="A1458" s="159" t="s">
        <v>73</v>
      </c>
      <c r="B1458" s="160">
        <v>8</v>
      </c>
      <c r="C1458" s="160">
        <v>11700</v>
      </c>
      <c r="D1458" s="160"/>
      <c r="E1458" s="160"/>
      <c r="F1458" s="160"/>
      <c r="G1458" s="148">
        <v>12</v>
      </c>
      <c r="H1458" s="152">
        <f>IF(C1458=11700,ROUND(VLOOKUP(G1458,ThongSo!$F$2:$I$15,4,0)*B1458*11.7,3),0)</f>
        <v>83.117000000000004</v>
      </c>
      <c r="I1458" s="152" t="str">
        <f>IF(F1458="Sắt vụn",ROUND(VLOOKUP(G1458,ThongSo!$F$2:$I$15,4,0)*B1458*E1458/1000,3),"-")</f>
        <v>-</v>
      </c>
      <c r="L1458" s="150"/>
      <c r="M1458" s="150"/>
      <c r="N1458" s="150"/>
    </row>
    <row r="1459" spans="1:14" x14ac:dyDescent="0.25">
      <c r="A1459" s="159">
        <v>329</v>
      </c>
      <c r="B1459" s="160">
        <v>2</v>
      </c>
      <c r="C1459" s="160">
        <v>11700</v>
      </c>
      <c r="D1459" s="160" t="s">
        <v>4212</v>
      </c>
      <c r="E1459" s="160">
        <v>270</v>
      </c>
      <c r="F1459" s="160" t="s">
        <v>74</v>
      </c>
      <c r="G1459" s="148">
        <v>12</v>
      </c>
      <c r="H1459" s="152">
        <f>IF(C1459=11700,ROUND(VLOOKUP(G1459,ThongSo!$F$2:$I$15,4,0)*B1459*11.7,3),0)</f>
        <v>20.779</v>
      </c>
      <c r="I1459" s="152">
        <f>IF(F1459="Sắt vụn",ROUND(VLOOKUP(G1459,ThongSo!$F$2:$I$15,4,0)*B1459*E1459/1000,3),"-")</f>
        <v>0.48</v>
      </c>
      <c r="L1459" s="150"/>
      <c r="M1459" s="150"/>
      <c r="N1459" s="150"/>
    </row>
    <row r="1460" spans="1:14" x14ac:dyDescent="0.25">
      <c r="A1460" s="159">
        <v>330</v>
      </c>
      <c r="B1460" s="160">
        <v>2</v>
      </c>
      <c r="C1460" s="160">
        <v>11700</v>
      </c>
      <c r="D1460" s="160" t="s">
        <v>4213</v>
      </c>
      <c r="E1460" s="160">
        <v>270</v>
      </c>
      <c r="F1460" s="160" t="s">
        <v>74</v>
      </c>
      <c r="G1460" s="148">
        <v>12</v>
      </c>
      <c r="H1460" s="152">
        <f>IF(C1460=11700,ROUND(VLOOKUP(G1460,ThongSo!$F$2:$I$15,4,0)*B1460*11.7,3),0)</f>
        <v>20.779</v>
      </c>
      <c r="I1460" s="152">
        <f>IF(F1460="Sắt vụn",ROUND(VLOOKUP(G1460,ThongSo!$F$2:$I$15,4,0)*B1460*E1460/1000,3),"-")</f>
        <v>0.48</v>
      </c>
      <c r="L1460" s="150"/>
      <c r="M1460" s="150"/>
      <c r="N1460" s="150"/>
    </row>
    <row r="1461" spans="1:14" x14ac:dyDescent="0.25">
      <c r="A1461" s="159">
        <v>331</v>
      </c>
      <c r="B1461" s="160">
        <v>2</v>
      </c>
      <c r="C1461" s="160">
        <v>11700</v>
      </c>
      <c r="D1461" s="160" t="s">
        <v>4214</v>
      </c>
      <c r="E1461" s="160">
        <v>2110</v>
      </c>
      <c r="F1461" s="160" t="s">
        <v>75</v>
      </c>
      <c r="G1461" s="148">
        <v>12</v>
      </c>
      <c r="H1461" s="152">
        <f>IF(C1461=11700,ROUND(VLOOKUP(G1461,ThongSo!$F$2:$I$15,4,0)*B1461*11.7,3),0)</f>
        <v>20.779</v>
      </c>
      <c r="I1461" s="152" t="str">
        <f>IF(F1461="Sắt vụn",ROUND(VLOOKUP(G1461,ThongSo!$F$2:$I$15,4,0)*B1461*E1461/1000,3),"-")</f>
        <v>-</v>
      </c>
      <c r="L1461" s="150"/>
      <c r="M1461" s="150"/>
      <c r="N1461" s="150"/>
    </row>
    <row r="1462" spans="1:14" x14ac:dyDescent="0.25">
      <c r="A1462" s="159">
        <v>332</v>
      </c>
      <c r="B1462" s="160">
        <v>2</v>
      </c>
      <c r="C1462" s="160">
        <v>11700</v>
      </c>
      <c r="D1462" s="160" t="s">
        <v>4215</v>
      </c>
      <c r="E1462" s="160">
        <v>2420</v>
      </c>
      <c r="F1462" s="160" t="s">
        <v>75</v>
      </c>
      <c r="G1462" s="148">
        <v>12</v>
      </c>
      <c r="H1462" s="152">
        <f>IF(C1462=11700,ROUND(VLOOKUP(G1462,ThongSo!$F$2:$I$15,4,0)*B1462*11.7,3),0)</f>
        <v>20.779</v>
      </c>
      <c r="I1462" s="152" t="str">
        <f>IF(F1462="Sắt vụn",ROUND(VLOOKUP(G1462,ThongSo!$F$2:$I$15,4,0)*B1462*E1462/1000,3),"-")</f>
        <v>-</v>
      </c>
      <c r="L1462" s="150"/>
      <c r="M1462" s="150"/>
      <c r="N1462" s="150"/>
    </row>
    <row r="1463" spans="1:14" x14ac:dyDescent="0.25">
      <c r="A1463" s="157" t="s">
        <v>84</v>
      </c>
      <c r="B1463" s="158"/>
      <c r="C1463" s="158"/>
      <c r="D1463" s="158"/>
      <c r="E1463" s="158"/>
      <c r="F1463" s="158"/>
      <c r="G1463" s="148"/>
      <c r="H1463" s="152">
        <f>IF(C1463=11700,ROUND(VLOOKUP(G1463,ThongSo!$F$2:$I$15,4,0)*B1463*11.7,3),0)</f>
        <v>0</v>
      </c>
      <c r="I1463" s="152" t="str">
        <f>IF(F1463="Sắt vụn",ROUND(VLOOKUP(G1463,ThongSo!$F$2:$I$15,4,0)*B1463*E1463/1000,3),"-")</f>
        <v>-</v>
      </c>
      <c r="L1463" s="150"/>
      <c r="M1463" s="150"/>
      <c r="N1463" s="150"/>
    </row>
    <row r="1464" spans="1:14" x14ac:dyDescent="0.25">
      <c r="A1464" s="159" t="s">
        <v>367</v>
      </c>
      <c r="B1464" s="160">
        <v>1</v>
      </c>
      <c r="C1464" s="160">
        <v>4590</v>
      </c>
      <c r="D1464" s="160" t="s">
        <v>4216</v>
      </c>
      <c r="E1464" s="160">
        <v>10</v>
      </c>
      <c r="F1464" s="160" t="s">
        <v>74</v>
      </c>
      <c r="G1464" s="148">
        <v>10</v>
      </c>
      <c r="H1464" s="152">
        <f>IF(C1464=11700,ROUND(VLOOKUP(G1464,ThongSo!$F$2:$I$15,4,0)*B1464*11.7,3),0)</f>
        <v>0</v>
      </c>
      <c r="I1464" s="152">
        <f>IF(F1464="Sắt vụn",ROUND(VLOOKUP(G1464,ThongSo!$F$2:$I$15,4,0)*B1464*E1464/1000,3),"-")</f>
        <v>6.0000000000000001E-3</v>
      </c>
      <c r="L1464" s="150"/>
      <c r="M1464" s="150"/>
      <c r="N1464" s="150"/>
    </row>
    <row r="1465" spans="1:14" x14ac:dyDescent="0.25">
      <c r="A1465" s="159">
        <v>334</v>
      </c>
      <c r="B1465" s="160">
        <v>52</v>
      </c>
      <c r="C1465" s="160">
        <v>11700</v>
      </c>
      <c r="D1465" s="160" t="s">
        <v>4217</v>
      </c>
      <c r="E1465" s="160">
        <v>0</v>
      </c>
      <c r="F1465" s="160"/>
      <c r="G1465" s="148">
        <v>10</v>
      </c>
      <c r="H1465" s="152">
        <f>IF(C1465=11700,ROUND(VLOOKUP(G1465,ThongSo!$F$2:$I$15,4,0)*B1465*11.7,3),0)</f>
        <v>375.38299999999998</v>
      </c>
      <c r="I1465" s="152" t="str">
        <f>IF(F1465="Sắt vụn",ROUND(VLOOKUP(G1465,ThongSo!$F$2:$I$15,4,0)*B1465*E1465/1000,3),"-")</f>
        <v>-</v>
      </c>
      <c r="L1465" s="150"/>
      <c r="M1465" s="150"/>
      <c r="N1465" s="150"/>
    </row>
    <row r="1466" spans="1:14" x14ac:dyDescent="0.25">
      <c r="A1466" s="159">
        <v>335</v>
      </c>
      <c r="B1466" s="160">
        <v>1</v>
      </c>
      <c r="C1466" s="160">
        <v>11700</v>
      </c>
      <c r="D1466" s="160" t="s">
        <v>4218</v>
      </c>
      <c r="E1466" s="160">
        <v>0</v>
      </c>
      <c r="F1466" s="160"/>
      <c r="G1466" s="148">
        <v>10</v>
      </c>
      <c r="H1466" s="152">
        <f>IF(C1466=11700,ROUND(VLOOKUP(G1466,ThongSo!$F$2:$I$15,4,0)*B1466*11.7,3),0)</f>
        <v>7.2190000000000003</v>
      </c>
      <c r="I1466" s="152" t="str">
        <f>IF(F1466="Sắt vụn",ROUND(VLOOKUP(G1466,ThongSo!$F$2:$I$15,4,0)*B1466*E1466/1000,3),"-")</f>
        <v>-</v>
      </c>
      <c r="L1466" s="150"/>
      <c r="M1466" s="150"/>
      <c r="N1466" s="150"/>
    </row>
    <row r="1467" spans="1:14" x14ac:dyDescent="0.25">
      <c r="A1467" s="159">
        <v>336</v>
      </c>
      <c r="B1467" s="160">
        <v>9</v>
      </c>
      <c r="C1467" s="160">
        <v>11700</v>
      </c>
      <c r="D1467" s="160" t="s">
        <v>4219</v>
      </c>
      <c r="E1467" s="160">
        <v>0</v>
      </c>
      <c r="F1467" s="160"/>
      <c r="G1467" s="148">
        <v>10</v>
      </c>
      <c r="H1467" s="152">
        <f>IF(C1467=11700,ROUND(VLOOKUP(G1467,ThongSo!$F$2:$I$15,4,0)*B1467*11.7,3),0)</f>
        <v>64.97</v>
      </c>
      <c r="I1467" s="152" t="str">
        <f>IF(F1467="Sắt vụn",ROUND(VLOOKUP(G1467,ThongSo!$F$2:$I$15,4,0)*B1467*E1467/1000,3),"-")</f>
        <v>-</v>
      </c>
      <c r="L1467" s="150"/>
      <c r="M1467" s="150"/>
      <c r="N1467" s="150"/>
    </row>
    <row r="1468" spans="1:14" x14ac:dyDescent="0.25">
      <c r="A1468" s="159">
        <v>337</v>
      </c>
      <c r="B1468" s="160">
        <v>2</v>
      </c>
      <c r="C1468" s="160">
        <v>11700</v>
      </c>
      <c r="D1468" s="160" t="s">
        <v>4220</v>
      </c>
      <c r="E1468" s="160">
        <v>0</v>
      </c>
      <c r="F1468" s="160"/>
      <c r="G1468" s="148">
        <v>10</v>
      </c>
      <c r="H1468" s="152">
        <f>IF(C1468=11700,ROUND(VLOOKUP(G1468,ThongSo!$F$2:$I$15,4,0)*B1468*11.7,3),0)</f>
        <v>14.438000000000001</v>
      </c>
      <c r="I1468" s="152" t="str">
        <f>IF(F1468="Sắt vụn",ROUND(VLOOKUP(G1468,ThongSo!$F$2:$I$15,4,0)*B1468*E1468/1000,3),"-")</f>
        <v>-</v>
      </c>
      <c r="L1468" s="150"/>
      <c r="M1468" s="150"/>
      <c r="N1468" s="150"/>
    </row>
    <row r="1469" spans="1:14" x14ac:dyDescent="0.25">
      <c r="A1469" s="159">
        <v>338</v>
      </c>
      <c r="B1469" s="160">
        <v>22</v>
      </c>
      <c r="C1469" s="160">
        <v>11700</v>
      </c>
      <c r="D1469" s="160" t="s">
        <v>4221</v>
      </c>
      <c r="E1469" s="160">
        <v>0</v>
      </c>
      <c r="F1469" s="160"/>
      <c r="G1469" s="148">
        <v>10</v>
      </c>
      <c r="H1469" s="152">
        <f>IF(C1469=11700,ROUND(VLOOKUP(G1469,ThongSo!$F$2:$I$15,4,0)*B1469*11.7,3),0)</f>
        <v>158.816</v>
      </c>
      <c r="I1469" s="152" t="str">
        <f>IF(F1469="Sắt vụn",ROUND(VLOOKUP(G1469,ThongSo!$F$2:$I$15,4,0)*B1469*E1469/1000,3),"-")</f>
        <v>-</v>
      </c>
      <c r="L1469" s="150"/>
      <c r="M1469" s="150"/>
      <c r="N1469" s="150"/>
    </row>
    <row r="1470" spans="1:14" x14ac:dyDescent="0.25">
      <c r="A1470" s="159">
        <v>339</v>
      </c>
      <c r="B1470" s="160">
        <v>1</v>
      </c>
      <c r="C1470" s="160">
        <v>11700</v>
      </c>
      <c r="D1470" s="160" t="s">
        <v>4222</v>
      </c>
      <c r="E1470" s="160">
        <v>0</v>
      </c>
      <c r="F1470" s="160"/>
      <c r="G1470" s="148">
        <v>10</v>
      </c>
      <c r="H1470" s="152">
        <f>IF(C1470=11700,ROUND(VLOOKUP(G1470,ThongSo!$F$2:$I$15,4,0)*B1470*11.7,3),0)</f>
        <v>7.2190000000000003</v>
      </c>
      <c r="I1470" s="152" t="str">
        <f>IF(F1470="Sắt vụn",ROUND(VLOOKUP(G1470,ThongSo!$F$2:$I$15,4,0)*B1470*E1470/1000,3),"-")</f>
        <v>-</v>
      </c>
      <c r="L1470" s="150"/>
      <c r="M1470" s="150"/>
      <c r="N1470" s="150"/>
    </row>
    <row r="1471" spans="1:14" x14ac:dyDescent="0.25">
      <c r="A1471" s="159">
        <v>340</v>
      </c>
      <c r="B1471" s="160">
        <v>23</v>
      </c>
      <c r="C1471" s="160">
        <v>11700</v>
      </c>
      <c r="D1471" s="160" t="s">
        <v>4223</v>
      </c>
      <c r="E1471" s="160">
        <v>0</v>
      </c>
      <c r="F1471" s="160"/>
      <c r="G1471" s="148">
        <v>10</v>
      </c>
      <c r="H1471" s="152">
        <f>IF(C1471=11700,ROUND(VLOOKUP(G1471,ThongSo!$F$2:$I$15,4,0)*B1471*11.7,3),0)</f>
        <v>166.035</v>
      </c>
      <c r="I1471" s="152" t="str">
        <f>IF(F1471="Sắt vụn",ROUND(VLOOKUP(G1471,ThongSo!$F$2:$I$15,4,0)*B1471*E1471/1000,3),"-")</f>
        <v>-</v>
      </c>
      <c r="L1471" s="150"/>
      <c r="M1471" s="150"/>
      <c r="N1471" s="150"/>
    </row>
    <row r="1472" spans="1:14" x14ac:dyDescent="0.25">
      <c r="A1472" s="159">
        <v>341</v>
      </c>
      <c r="B1472" s="160">
        <v>1</v>
      </c>
      <c r="C1472" s="160">
        <v>11700</v>
      </c>
      <c r="D1472" s="160" t="s">
        <v>4224</v>
      </c>
      <c r="E1472" s="160">
        <v>0</v>
      </c>
      <c r="F1472" s="160"/>
      <c r="G1472" s="148">
        <v>10</v>
      </c>
      <c r="H1472" s="152">
        <f>IF(C1472=11700,ROUND(VLOOKUP(G1472,ThongSo!$F$2:$I$15,4,0)*B1472*11.7,3),0)</f>
        <v>7.2190000000000003</v>
      </c>
      <c r="I1472" s="152" t="str">
        <f>IF(F1472="Sắt vụn",ROUND(VLOOKUP(G1472,ThongSo!$F$2:$I$15,4,0)*B1472*E1472/1000,3),"-")</f>
        <v>-</v>
      </c>
      <c r="L1472" s="150"/>
      <c r="M1472" s="150"/>
      <c r="N1472" s="150"/>
    </row>
    <row r="1473" spans="1:14" x14ac:dyDescent="0.25">
      <c r="A1473" s="159">
        <v>342</v>
      </c>
      <c r="B1473" s="160">
        <v>39</v>
      </c>
      <c r="C1473" s="160">
        <v>11700</v>
      </c>
      <c r="D1473" s="160" t="s">
        <v>4225</v>
      </c>
      <c r="E1473" s="160">
        <v>0</v>
      </c>
      <c r="F1473" s="160"/>
      <c r="G1473" s="148">
        <v>10</v>
      </c>
      <c r="H1473" s="152">
        <f>IF(C1473=11700,ROUND(VLOOKUP(G1473,ThongSo!$F$2:$I$15,4,0)*B1473*11.7,3),0)</f>
        <v>281.53699999999998</v>
      </c>
      <c r="I1473" s="152" t="str">
        <f>IF(F1473="Sắt vụn",ROUND(VLOOKUP(G1473,ThongSo!$F$2:$I$15,4,0)*B1473*E1473/1000,3),"-")</f>
        <v>-</v>
      </c>
      <c r="L1473" s="150"/>
      <c r="M1473" s="150"/>
      <c r="N1473" s="150"/>
    </row>
    <row r="1474" spans="1:14" x14ac:dyDescent="0.25">
      <c r="A1474" s="159">
        <v>343</v>
      </c>
      <c r="B1474" s="160">
        <v>15</v>
      </c>
      <c r="C1474" s="160">
        <v>11700</v>
      </c>
      <c r="D1474" s="160" t="s">
        <v>4226</v>
      </c>
      <c r="E1474" s="160">
        <v>0</v>
      </c>
      <c r="F1474" s="160"/>
      <c r="G1474" s="148">
        <v>10</v>
      </c>
      <c r="H1474" s="152">
        <f>IF(C1474=11700,ROUND(VLOOKUP(G1474,ThongSo!$F$2:$I$15,4,0)*B1474*11.7,3),0)</f>
        <v>108.28400000000001</v>
      </c>
      <c r="I1474" s="152" t="str">
        <f>IF(F1474="Sắt vụn",ROUND(VLOOKUP(G1474,ThongSo!$F$2:$I$15,4,0)*B1474*E1474/1000,3),"-")</f>
        <v>-</v>
      </c>
      <c r="L1474" s="150"/>
      <c r="M1474" s="150"/>
      <c r="N1474" s="150"/>
    </row>
    <row r="1475" spans="1:14" x14ac:dyDescent="0.25">
      <c r="A1475" s="159">
        <v>344</v>
      </c>
      <c r="B1475" s="160">
        <v>1</v>
      </c>
      <c r="C1475" s="160">
        <v>11700</v>
      </c>
      <c r="D1475" s="160" t="s">
        <v>4227</v>
      </c>
      <c r="E1475" s="160">
        <v>0</v>
      </c>
      <c r="F1475" s="160"/>
      <c r="G1475" s="148">
        <v>10</v>
      </c>
      <c r="H1475" s="152">
        <f>IF(C1475=11700,ROUND(VLOOKUP(G1475,ThongSo!$F$2:$I$15,4,0)*B1475*11.7,3),0)</f>
        <v>7.2190000000000003</v>
      </c>
      <c r="I1475" s="152" t="str">
        <f>IF(F1475="Sắt vụn",ROUND(VLOOKUP(G1475,ThongSo!$F$2:$I$15,4,0)*B1475*E1475/1000,3),"-")</f>
        <v>-</v>
      </c>
      <c r="L1475" s="150"/>
      <c r="M1475" s="150"/>
      <c r="N1475" s="150"/>
    </row>
    <row r="1476" spans="1:14" x14ac:dyDescent="0.25">
      <c r="A1476" s="159">
        <v>345</v>
      </c>
      <c r="B1476" s="160">
        <v>18</v>
      </c>
      <c r="C1476" s="160">
        <v>11700</v>
      </c>
      <c r="D1476" s="160" t="s">
        <v>4228</v>
      </c>
      <c r="E1476" s="160">
        <v>0</v>
      </c>
      <c r="F1476" s="160"/>
      <c r="G1476" s="148">
        <v>10</v>
      </c>
      <c r="H1476" s="152">
        <f>IF(C1476=11700,ROUND(VLOOKUP(G1476,ThongSo!$F$2:$I$15,4,0)*B1476*11.7,3),0)</f>
        <v>129.94</v>
      </c>
      <c r="I1476" s="152" t="str">
        <f>IF(F1476="Sắt vụn",ROUND(VLOOKUP(G1476,ThongSo!$F$2:$I$15,4,0)*B1476*E1476/1000,3),"-")</f>
        <v>-</v>
      </c>
      <c r="L1476" s="150"/>
      <c r="M1476" s="150"/>
      <c r="N1476" s="150"/>
    </row>
    <row r="1477" spans="1:14" x14ac:dyDescent="0.25">
      <c r="A1477" s="159">
        <v>346</v>
      </c>
      <c r="B1477" s="160">
        <v>5</v>
      </c>
      <c r="C1477" s="160">
        <v>11700</v>
      </c>
      <c r="D1477" s="160" t="s">
        <v>4229</v>
      </c>
      <c r="E1477" s="160">
        <v>0</v>
      </c>
      <c r="F1477" s="160"/>
      <c r="G1477" s="148">
        <v>10</v>
      </c>
      <c r="H1477" s="152">
        <f>IF(C1477=11700,ROUND(VLOOKUP(G1477,ThongSo!$F$2:$I$15,4,0)*B1477*11.7,3),0)</f>
        <v>36.094999999999999</v>
      </c>
      <c r="I1477" s="152" t="str">
        <f>IF(F1477="Sắt vụn",ROUND(VLOOKUP(G1477,ThongSo!$F$2:$I$15,4,0)*B1477*E1477/1000,3),"-")</f>
        <v>-</v>
      </c>
      <c r="L1477" s="150"/>
      <c r="M1477" s="150"/>
      <c r="N1477" s="150"/>
    </row>
    <row r="1478" spans="1:14" x14ac:dyDescent="0.25">
      <c r="A1478" s="159">
        <v>347</v>
      </c>
      <c r="B1478" s="160">
        <v>1</v>
      </c>
      <c r="C1478" s="160">
        <v>11700</v>
      </c>
      <c r="D1478" s="160" t="s">
        <v>4230</v>
      </c>
      <c r="E1478" s="160">
        <v>0</v>
      </c>
      <c r="F1478" s="160"/>
      <c r="G1478" s="148">
        <v>10</v>
      </c>
      <c r="H1478" s="152">
        <f>IF(C1478=11700,ROUND(VLOOKUP(G1478,ThongSo!$F$2:$I$15,4,0)*B1478*11.7,3),0)</f>
        <v>7.2190000000000003</v>
      </c>
      <c r="I1478" s="152" t="str">
        <f>IF(F1478="Sắt vụn",ROUND(VLOOKUP(G1478,ThongSo!$F$2:$I$15,4,0)*B1478*E1478/1000,3),"-")</f>
        <v>-</v>
      </c>
      <c r="L1478" s="150"/>
      <c r="M1478" s="150"/>
      <c r="N1478" s="150"/>
    </row>
    <row r="1479" spans="1:14" x14ac:dyDescent="0.25">
      <c r="A1479" s="159">
        <v>348</v>
      </c>
      <c r="B1479" s="160">
        <v>4</v>
      </c>
      <c r="C1479" s="160">
        <v>11700</v>
      </c>
      <c r="D1479" s="160" t="s">
        <v>4231</v>
      </c>
      <c r="E1479" s="160">
        <v>10</v>
      </c>
      <c r="F1479" s="160" t="s">
        <v>74</v>
      </c>
      <c r="G1479" s="148">
        <v>10</v>
      </c>
      <c r="H1479" s="152">
        <f>IF(C1479=11700,ROUND(VLOOKUP(G1479,ThongSo!$F$2:$I$15,4,0)*B1479*11.7,3),0)</f>
        <v>28.876000000000001</v>
      </c>
      <c r="I1479" s="152">
        <f>IF(F1479="Sắt vụn",ROUND(VLOOKUP(G1479,ThongSo!$F$2:$I$15,4,0)*B1479*E1479/1000,3),"-")</f>
        <v>2.5000000000000001E-2</v>
      </c>
      <c r="L1479" s="150"/>
      <c r="M1479" s="150"/>
      <c r="N1479" s="150"/>
    </row>
    <row r="1480" spans="1:14" x14ac:dyDescent="0.25">
      <c r="A1480" s="159">
        <v>349</v>
      </c>
      <c r="B1480" s="160">
        <v>9</v>
      </c>
      <c r="C1480" s="160">
        <v>11700</v>
      </c>
      <c r="D1480" s="160" t="s">
        <v>4232</v>
      </c>
      <c r="E1480" s="160">
        <v>10</v>
      </c>
      <c r="F1480" s="160" t="s">
        <v>74</v>
      </c>
      <c r="G1480" s="148">
        <v>10</v>
      </c>
      <c r="H1480" s="152">
        <f>IF(C1480=11700,ROUND(VLOOKUP(G1480,ThongSo!$F$2:$I$15,4,0)*B1480*11.7,3),0)</f>
        <v>64.97</v>
      </c>
      <c r="I1480" s="152">
        <f>IF(F1480="Sắt vụn",ROUND(VLOOKUP(G1480,ThongSo!$F$2:$I$15,4,0)*B1480*E1480/1000,3),"-")</f>
        <v>5.6000000000000001E-2</v>
      </c>
      <c r="L1480" s="150"/>
      <c r="M1480" s="150"/>
      <c r="N1480" s="150"/>
    </row>
    <row r="1481" spans="1:14" x14ac:dyDescent="0.25">
      <c r="A1481" s="159">
        <v>350</v>
      </c>
      <c r="B1481" s="160">
        <v>1</v>
      </c>
      <c r="C1481" s="160">
        <v>11700</v>
      </c>
      <c r="D1481" s="160" t="s">
        <v>4233</v>
      </c>
      <c r="E1481" s="160">
        <v>10</v>
      </c>
      <c r="F1481" s="160" t="s">
        <v>74</v>
      </c>
      <c r="G1481" s="148">
        <v>10</v>
      </c>
      <c r="H1481" s="152">
        <f>IF(C1481=11700,ROUND(VLOOKUP(G1481,ThongSo!$F$2:$I$15,4,0)*B1481*11.7,3),0)</f>
        <v>7.2190000000000003</v>
      </c>
      <c r="I1481" s="152">
        <f>IF(F1481="Sắt vụn",ROUND(VLOOKUP(G1481,ThongSo!$F$2:$I$15,4,0)*B1481*E1481/1000,3),"-")</f>
        <v>6.0000000000000001E-3</v>
      </c>
      <c r="L1481" s="150"/>
      <c r="M1481" s="150"/>
      <c r="N1481" s="150"/>
    </row>
    <row r="1482" spans="1:14" x14ac:dyDescent="0.25">
      <c r="A1482" s="159">
        <v>351</v>
      </c>
      <c r="B1482" s="160">
        <v>9</v>
      </c>
      <c r="C1482" s="160">
        <v>11700</v>
      </c>
      <c r="D1482" s="160" t="s">
        <v>4234</v>
      </c>
      <c r="E1482" s="160">
        <v>10</v>
      </c>
      <c r="F1482" s="160" t="s">
        <v>74</v>
      </c>
      <c r="G1482" s="148">
        <v>10</v>
      </c>
      <c r="H1482" s="152">
        <f>IF(C1482=11700,ROUND(VLOOKUP(G1482,ThongSo!$F$2:$I$15,4,0)*B1482*11.7,3),0)</f>
        <v>64.97</v>
      </c>
      <c r="I1482" s="152">
        <f>IF(F1482="Sắt vụn",ROUND(VLOOKUP(G1482,ThongSo!$F$2:$I$15,4,0)*B1482*E1482/1000,3),"-")</f>
        <v>5.6000000000000001E-2</v>
      </c>
      <c r="L1482" s="150"/>
      <c r="M1482" s="150"/>
      <c r="N1482" s="150"/>
    </row>
    <row r="1483" spans="1:14" x14ac:dyDescent="0.25">
      <c r="A1483" s="159">
        <v>352</v>
      </c>
      <c r="B1483" s="160">
        <v>1</v>
      </c>
      <c r="C1483" s="160">
        <v>11700</v>
      </c>
      <c r="D1483" s="160" t="s">
        <v>4235</v>
      </c>
      <c r="E1483" s="160">
        <v>10</v>
      </c>
      <c r="F1483" s="160" t="s">
        <v>74</v>
      </c>
      <c r="G1483" s="148">
        <v>10</v>
      </c>
      <c r="H1483" s="152">
        <f>IF(C1483=11700,ROUND(VLOOKUP(G1483,ThongSo!$F$2:$I$15,4,0)*B1483*11.7,3),0)</f>
        <v>7.2190000000000003</v>
      </c>
      <c r="I1483" s="152">
        <f>IF(F1483="Sắt vụn",ROUND(VLOOKUP(G1483,ThongSo!$F$2:$I$15,4,0)*B1483*E1483/1000,3),"-")</f>
        <v>6.0000000000000001E-3</v>
      </c>
      <c r="L1483" s="150"/>
      <c r="M1483" s="150"/>
      <c r="N1483" s="150"/>
    </row>
    <row r="1484" spans="1:14" x14ac:dyDescent="0.25">
      <c r="A1484" s="159">
        <v>353</v>
      </c>
      <c r="B1484" s="160">
        <v>51</v>
      </c>
      <c r="C1484" s="160">
        <v>11700</v>
      </c>
      <c r="D1484" s="160" t="s">
        <v>4236</v>
      </c>
      <c r="E1484" s="160">
        <v>10</v>
      </c>
      <c r="F1484" s="160" t="s">
        <v>74</v>
      </c>
      <c r="G1484" s="148">
        <v>10</v>
      </c>
      <c r="H1484" s="152">
        <f>IF(C1484=11700,ROUND(VLOOKUP(G1484,ThongSo!$F$2:$I$15,4,0)*B1484*11.7,3),0)</f>
        <v>368.16399999999999</v>
      </c>
      <c r="I1484" s="152">
        <f>IF(F1484="Sắt vụn",ROUND(VLOOKUP(G1484,ThongSo!$F$2:$I$15,4,0)*B1484*E1484/1000,3),"-")</f>
        <v>0.315</v>
      </c>
      <c r="L1484" s="150"/>
      <c r="M1484" s="150"/>
      <c r="N1484" s="150"/>
    </row>
    <row r="1485" spans="1:14" x14ac:dyDescent="0.25">
      <c r="A1485" s="159">
        <v>354</v>
      </c>
      <c r="B1485" s="160">
        <v>1</v>
      </c>
      <c r="C1485" s="160">
        <v>11700</v>
      </c>
      <c r="D1485" s="160" t="s">
        <v>4237</v>
      </c>
      <c r="E1485" s="160">
        <v>10</v>
      </c>
      <c r="F1485" s="160" t="s">
        <v>74</v>
      </c>
      <c r="G1485" s="148">
        <v>10</v>
      </c>
      <c r="H1485" s="152">
        <f>IF(C1485=11700,ROUND(VLOOKUP(G1485,ThongSo!$F$2:$I$15,4,0)*B1485*11.7,3),0)</f>
        <v>7.2190000000000003</v>
      </c>
      <c r="I1485" s="152">
        <f>IF(F1485="Sắt vụn",ROUND(VLOOKUP(G1485,ThongSo!$F$2:$I$15,4,0)*B1485*E1485/1000,3),"-")</f>
        <v>6.0000000000000001E-3</v>
      </c>
      <c r="L1485" s="150"/>
      <c r="M1485" s="150"/>
      <c r="N1485" s="150"/>
    </row>
    <row r="1486" spans="1:14" x14ac:dyDescent="0.25">
      <c r="A1486" s="159">
        <v>355</v>
      </c>
      <c r="B1486" s="160">
        <v>6</v>
      </c>
      <c r="C1486" s="160">
        <v>11700</v>
      </c>
      <c r="D1486" s="160" t="s">
        <v>4238</v>
      </c>
      <c r="E1486" s="160">
        <v>10</v>
      </c>
      <c r="F1486" s="160" t="s">
        <v>74</v>
      </c>
      <c r="G1486" s="148">
        <v>10</v>
      </c>
      <c r="H1486" s="152">
        <f>IF(C1486=11700,ROUND(VLOOKUP(G1486,ThongSo!$F$2:$I$15,4,0)*B1486*11.7,3),0)</f>
        <v>43.313000000000002</v>
      </c>
      <c r="I1486" s="152">
        <f>IF(F1486="Sắt vụn",ROUND(VLOOKUP(G1486,ThongSo!$F$2:$I$15,4,0)*B1486*E1486/1000,3),"-")</f>
        <v>3.6999999999999998E-2</v>
      </c>
      <c r="L1486" s="150"/>
      <c r="M1486" s="150"/>
      <c r="N1486" s="150"/>
    </row>
    <row r="1487" spans="1:14" x14ac:dyDescent="0.25">
      <c r="A1487" s="159">
        <v>356</v>
      </c>
      <c r="B1487" s="160">
        <v>4</v>
      </c>
      <c r="C1487" s="160">
        <v>11700</v>
      </c>
      <c r="D1487" s="160" t="s">
        <v>4239</v>
      </c>
      <c r="E1487" s="160">
        <v>10</v>
      </c>
      <c r="F1487" s="160" t="s">
        <v>74</v>
      </c>
      <c r="G1487" s="148">
        <v>10</v>
      </c>
      <c r="H1487" s="152">
        <f>IF(C1487=11700,ROUND(VLOOKUP(G1487,ThongSo!$F$2:$I$15,4,0)*B1487*11.7,3),0)</f>
        <v>28.876000000000001</v>
      </c>
      <c r="I1487" s="152">
        <f>IF(F1487="Sắt vụn",ROUND(VLOOKUP(G1487,ThongSo!$F$2:$I$15,4,0)*B1487*E1487/1000,3),"-")</f>
        <v>2.5000000000000001E-2</v>
      </c>
      <c r="L1487" s="150"/>
      <c r="M1487" s="150"/>
      <c r="N1487" s="150"/>
    </row>
    <row r="1488" spans="1:14" x14ac:dyDescent="0.25">
      <c r="A1488" s="159">
        <v>357</v>
      </c>
      <c r="B1488" s="160">
        <v>1</v>
      </c>
      <c r="C1488" s="160">
        <v>11700</v>
      </c>
      <c r="D1488" s="160" t="s">
        <v>4240</v>
      </c>
      <c r="E1488" s="160">
        <v>10</v>
      </c>
      <c r="F1488" s="160" t="s">
        <v>74</v>
      </c>
      <c r="G1488" s="148">
        <v>10</v>
      </c>
      <c r="H1488" s="152">
        <f>IF(C1488=11700,ROUND(VLOOKUP(G1488,ThongSo!$F$2:$I$15,4,0)*B1488*11.7,3),0)</f>
        <v>7.2190000000000003</v>
      </c>
      <c r="I1488" s="152">
        <f>IF(F1488="Sắt vụn",ROUND(VLOOKUP(G1488,ThongSo!$F$2:$I$15,4,0)*B1488*E1488/1000,3),"-")</f>
        <v>6.0000000000000001E-3</v>
      </c>
      <c r="L1488" s="150"/>
      <c r="M1488" s="150"/>
      <c r="N1488" s="150"/>
    </row>
    <row r="1489" spans="1:14" x14ac:dyDescent="0.25">
      <c r="A1489" s="159">
        <v>358</v>
      </c>
      <c r="B1489" s="160">
        <v>8</v>
      </c>
      <c r="C1489" s="160">
        <v>11700</v>
      </c>
      <c r="D1489" s="160" t="s">
        <v>4241</v>
      </c>
      <c r="E1489" s="160">
        <v>10</v>
      </c>
      <c r="F1489" s="160" t="s">
        <v>74</v>
      </c>
      <c r="G1489" s="148">
        <v>10</v>
      </c>
      <c r="H1489" s="152">
        <f>IF(C1489=11700,ROUND(VLOOKUP(G1489,ThongSo!$F$2:$I$15,4,0)*B1489*11.7,3),0)</f>
        <v>57.750999999999998</v>
      </c>
      <c r="I1489" s="152">
        <f>IF(F1489="Sắt vụn",ROUND(VLOOKUP(G1489,ThongSo!$F$2:$I$15,4,0)*B1489*E1489/1000,3),"-")</f>
        <v>4.9000000000000002E-2</v>
      </c>
      <c r="L1489" s="150"/>
      <c r="M1489" s="150"/>
      <c r="N1489" s="150"/>
    </row>
    <row r="1490" spans="1:14" x14ac:dyDescent="0.25">
      <c r="A1490" s="159">
        <v>359</v>
      </c>
      <c r="B1490" s="160">
        <v>1</v>
      </c>
      <c r="C1490" s="160">
        <v>11700</v>
      </c>
      <c r="D1490" s="160" t="s">
        <v>4242</v>
      </c>
      <c r="E1490" s="160">
        <v>10</v>
      </c>
      <c r="F1490" s="160" t="s">
        <v>74</v>
      </c>
      <c r="G1490" s="148">
        <v>10</v>
      </c>
      <c r="H1490" s="152">
        <f>IF(C1490=11700,ROUND(VLOOKUP(G1490,ThongSo!$F$2:$I$15,4,0)*B1490*11.7,3),0)</f>
        <v>7.2190000000000003</v>
      </c>
      <c r="I1490" s="152">
        <f>IF(F1490="Sắt vụn",ROUND(VLOOKUP(G1490,ThongSo!$F$2:$I$15,4,0)*B1490*E1490/1000,3),"-")</f>
        <v>6.0000000000000001E-3</v>
      </c>
      <c r="L1490" s="150"/>
      <c r="M1490" s="150"/>
      <c r="N1490" s="150"/>
    </row>
    <row r="1491" spans="1:14" x14ac:dyDescent="0.25">
      <c r="A1491" s="159">
        <v>360</v>
      </c>
      <c r="B1491" s="160">
        <v>12</v>
      </c>
      <c r="C1491" s="160">
        <v>11700</v>
      </c>
      <c r="D1491" s="160" t="s">
        <v>4243</v>
      </c>
      <c r="E1491" s="160">
        <v>10</v>
      </c>
      <c r="F1491" s="160" t="s">
        <v>74</v>
      </c>
      <c r="G1491" s="148">
        <v>10</v>
      </c>
      <c r="H1491" s="152">
        <f>IF(C1491=11700,ROUND(VLOOKUP(G1491,ThongSo!$F$2:$I$15,4,0)*B1491*11.7,3),0)</f>
        <v>86.626999999999995</v>
      </c>
      <c r="I1491" s="152">
        <f>IF(F1491="Sắt vụn",ROUND(VLOOKUP(G1491,ThongSo!$F$2:$I$15,4,0)*B1491*E1491/1000,3),"-")</f>
        <v>7.3999999999999996E-2</v>
      </c>
      <c r="L1491" s="150"/>
      <c r="M1491" s="150"/>
      <c r="N1491" s="150"/>
    </row>
    <row r="1492" spans="1:14" x14ac:dyDescent="0.25">
      <c r="A1492" s="159">
        <v>361</v>
      </c>
      <c r="B1492" s="160">
        <v>1</v>
      </c>
      <c r="C1492" s="160">
        <v>11700</v>
      </c>
      <c r="D1492" s="160" t="s">
        <v>4244</v>
      </c>
      <c r="E1492" s="160">
        <v>10</v>
      </c>
      <c r="F1492" s="160" t="s">
        <v>74</v>
      </c>
      <c r="G1492" s="148">
        <v>10</v>
      </c>
      <c r="H1492" s="152">
        <f>IF(C1492=11700,ROUND(VLOOKUP(G1492,ThongSo!$F$2:$I$15,4,0)*B1492*11.7,3),0)</f>
        <v>7.2190000000000003</v>
      </c>
      <c r="I1492" s="152">
        <f>IF(F1492="Sắt vụn",ROUND(VLOOKUP(G1492,ThongSo!$F$2:$I$15,4,0)*B1492*E1492/1000,3),"-")</f>
        <v>6.0000000000000001E-3</v>
      </c>
      <c r="L1492" s="150"/>
      <c r="M1492" s="150"/>
      <c r="N1492" s="150"/>
    </row>
    <row r="1493" spans="1:14" x14ac:dyDescent="0.25">
      <c r="A1493" s="159">
        <v>362</v>
      </c>
      <c r="B1493" s="160">
        <v>13</v>
      </c>
      <c r="C1493" s="160">
        <v>11700</v>
      </c>
      <c r="D1493" s="160" t="s">
        <v>4245</v>
      </c>
      <c r="E1493" s="160">
        <v>10</v>
      </c>
      <c r="F1493" s="160" t="s">
        <v>74</v>
      </c>
      <c r="G1493" s="148">
        <v>10</v>
      </c>
      <c r="H1493" s="152">
        <f>IF(C1493=11700,ROUND(VLOOKUP(G1493,ThongSo!$F$2:$I$15,4,0)*B1493*11.7,3),0)</f>
        <v>93.846000000000004</v>
      </c>
      <c r="I1493" s="152">
        <f>IF(F1493="Sắt vụn",ROUND(VLOOKUP(G1493,ThongSo!$F$2:$I$15,4,0)*B1493*E1493/1000,3),"-")</f>
        <v>0.08</v>
      </c>
      <c r="L1493" s="150"/>
      <c r="M1493" s="150"/>
      <c r="N1493" s="150"/>
    </row>
    <row r="1494" spans="1:14" x14ac:dyDescent="0.25">
      <c r="A1494" s="159">
        <v>363</v>
      </c>
      <c r="B1494" s="160">
        <v>1</v>
      </c>
      <c r="C1494" s="160">
        <v>11700</v>
      </c>
      <c r="D1494" s="160" t="s">
        <v>4246</v>
      </c>
      <c r="E1494" s="160">
        <v>10</v>
      </c>
      <c r="F1494" s="160" t="s">
        <v>74</v>
      </c>
      <c r="G1494" s="148">
        <v>10</v>
      </c>
      <c r="H1494" s="152">
        <f>IF(C1494=11700,ROUND(VLOOKUP(G1494,ThongSo!$F$2:$I$15,4,0)*B1494*11.7,3),0)</f>
        <v>7.2190000000000003</v>
      </c>
      <c r="I1494" s="152">
        <f>IF(F1494="Sắt vụn",ROUND(VLOOKUP(G1494,ThongSo!$F$2:$I$15,4,0)*B1494*E1494/1000,3),"-")</f>
        <v>6.0000000000000001E-3</v>
      </c>
      <c r="L1494" s="150"/>
      <c r="M1494" s="150"/>
      <c r="N1494" s="150"/>
    </row>
    <row r="1495" spans="1:14" x14ac:dyDescent="0.25">
      <c r="A1495" s="159">
        <v>364</v>
      </c>
      <c r="B1495" s="160">
        <v>25</v>
      </c>
      <c r="C1495" s="160">
        <v>11700</v>
      </c>
      <c r="D1495" s="160" t="s">
        <v>4247</v>
      </c>
      <c r="E1495" s="160">
        <v>10</v>
      </c>
      <c r="F1495" s="160" t="s">
        <v>74</v>
      </c>
      <c r="G1495" s="148">
        <v>10</v>
      </c>
      <c r="H1495" s="152">
        <f>IF(C1495=11700,ROUND(VLOOKUP(G1495,ThongSo!$F$2:$I$15,4,0)*B1495*11.7,3),0)</f>
        <v>180.47300000000001</v>
      </c>
      <c r="I1495" s="152">
        <f>IF(F1495="Sắt vụn",ROUND(VLOOKUP(G1495,ThongSo!$F$2:$I$15,4,0)*B1495*E1495/1000,3),"-")</f>
        <v>0.154</v>
      </c>
      <c r="L1495" s="150"/>
      <c r="M1495" s="150"/>
      <c r="N1495" s="150"/>
    </row>
    <row r="1496" spans="1:14" x14ac:dyDescent="0.25">
      <c r="A1496" s="159">
        <v>365</v>
      </c>
      <c r="B1496" s="160">
        <v>1</v>
      </c>
      <c r="C1496" s="160">
        <v>11700</v>
      </c>
      <c r="D1496" s="160" t="s">
        <v>4248</v>
      </c>
      <c r="E1496" s="160">
        <v>10</v>
      </c>
      <c r="F1496" s="160" t="s">
        <v>74</v>
      </c>
      <c r="G1496" s="148">
        <v>10</v>
      </c>
      <c r="H1496" s="152">
        <f>IF(C1496=11700,ROUND(VLOOKUP(G1496,ThongSo!$F$2:$I$15,4,0)*B1496*11.7,3),0)</f>
        <v>7.2190000000000003</v>
      </c>
      <c r="I1496" s="152">
        <f>IF(F1496="Sắt vụn",ROUND(VLOOKUP(G1496,ThongSo!$F$2:$I$15,4,0)*B1496*E1496/1000,3),"-")</f>
        <v>6.0000000000000001E-3</v>
      </c>
      <c r="L1496" s="150"/>
      <c r="M1496" s="150"/>
      <c r="N1496" s="150"/>
    </row>
    <row r="1497" spans="1:14" x14ac:dyDescent="0.25">
      <c r="A1497" s="159">
        <v>366</v>
      </c>
      <c r="B1497" s="160">
        <v>35</v>
      </c>
      <c r="C1497" s="160">
        <v>11700</v>
      </c>
      <c r="D1497" s="160" t="s">
        <v>4249</v>
      </c>
      <c r="E1497" s="160">
        <v>10</v>
      </c>
      <c r="F1497" s="160" t="s">
        <v>74</v>
      </c>
      <c r="G1497" s="148">
        <v>10</v>
      </c>
      <c r="H1497" s="152">
        <f>IF(C1497=11700,ROUND(VLOOKUP(G1497,ThongSo!$F$2:$I$15,4,0)*B1497*11.7,3),0)</f>
        <v>252.66200000000001</v>
      </c>
      <c r="I1497" s="152">
        <f>IF(F1497="Sắt vụn",ROUND(VLOOKUP(G1497,ThongSo!$F$2:$I$15,4,0)*B1497*E1497/1000,3),"-")</f>
        <v>0.216</v>
      </c>
      <c r="L1497" s="150"/>
      <c r="M1497" s="150"/>
      <c r="N1497" s="150"/>
    </row>
    <row r="1498" spans="1:14" x14ac:dyDescent="0.25">
      <c r="A1498" s="159">
        <v>367</v>
      </c>
      <c r="B1498" s="160">
        <v>1</v>
      </c>
      <c r="C1498" s="160">
        <v>11700</v>
      </c>
      <c r="D1498" s="160" t="s">
        <v>4250</v>
      </c>
      <c r="E1498" s="160">
        <v>10</v>
      </c>
      <c r="F1498" s="160" t="s">
        <v>74</v>
      </c>
      <c r="G1498" s="148">
        <v>10</v>
      </c>
      <c r="H1498" s="152">
        <f>IF(C1498=11700,ROUND(VLOOKUP(G1498,ThongSo!$F$2:$I$15,4,0)*B1498*11.7,3),0)</f>
        <v>7.2190000000000003</v>
      </c>
      <c r="I1498" s="152">
        <f>IF(F1498="Sắt vụn",ROUND(VLOOKUP(G1498,ThongSo!$F$2:$I$15,4,0)*B1498*E1498/1000,3),"-")</f>
        <v>6.0000000000000001E-3</v>
      </c>
      <c r="L1498" s="150"/>
      <c r="M1498" s="150"/>
      <c r="N1498" s="150"/>
    </row>
    <row r="1499" spans="1:14" x14ac:dyDescent="0.25">
      <c r="A1499" s="159">
        <v>368</v>
      </c>
      <c r="B1499" s="160">
        <v>49</v>
      </c>
      <c r="C1499" s="160">
        <v>11700</v>
      </c>
      <c r="D1499" s="160" t="s">
        <v>4251</v>
      </c>
      <c r="E1499" s="160">
        <v>10</v>
      </c>
      <c r="F1499" s="160" t="s">
        <v>74</v>
      </c>
      <c r="G1499" s="148">
        <v>10</v>
      </c>
      <c r="H1499" s="152">
        <f>IF(C1499=11700,ROUND(VLOOKUP(G1499,ThongSo!$F$2:$I$15,4,0)*B1499*11.7,3),0)</f>
        <v>353.726</v>
      </c>
      <c r="I1499" s="152">
        <f>IF(F1499="Sắt vụn",ROUND(VLOOKUP(G1499,ThongSo!$F$2:$I$15,4,0)*B1499*E1499/1000,3),"-")</f>
        <v>0.30199999999999999</v>
      </c>
      <c r="L1499" s="150"/>
      <c r="M1499" s="150"/>
      <c r="N1499" s="150"/>
    </row>
    <row r="1500" spans="1:14" x14ac:dyDescent="0.25">
      <c r="A1500" s="159">
        <v>369</v>
      </c>
      <c r="B1500" s="160">
        <v>1</v>
      </c>
      <c r="C1500" s="160">
        <v>11700</v>
      </c>
      <c r="D1500" s="160" t="s">
        <v>4252</v>
      </c>
      <c r="E1500" s="160">
        <v>10</v>
      </c>
      <c r="F1500" s="160" t="s">
        <v>74</v>
      </c>
      <c r="G1500" s="148">
        <v>10</v>
      </c>
      <c r="H1500" s="152">
        <f>IF(C1500=11700,ROUND(VLOOKUP(G1500,ThongSo!$F$2:$I$15,4,0)*B1500*11.7,3),0)</f>
        <v>7.2190000000000003</v>
      </c>
      <c r="I1500" s="152">
        <f>IF(F1500="Sắt vụn",ROUND(VLOOKUP(G1500,ThongSo!$F$2:$I$15,4,0)*B1500*E1500/1000,3),"-")</f>
        <v>6.0000000000000001E-3</v>
      </c>
      <c r="L1500" s="150"/>
      <c r="M1500" s="150"/>
      <c r="N1500" s="150"/>
    </row>
    <row r="1501" spans="1:14" x14ac:dyDescent="0.25">
      <c r="A1501" s="159">
        <v>370</v>
      </c>
      <c r="B1501" s="160">
        <v>2</v>
      </c>
      <c r="C1501" s="160">
        <v>11700</v>
      </c>
      <c r="D1501" s="160" t="s">
        <v>4253</v>
      </c>
      <c r="E1501" s="160">
        <v>10</v>
      </c>
      <c r="F1501" s="160" t="s">
        <v>74</v>
      </c>
      <c r="G1501" s="148">
        <v>10</v>
      </c>
      <c r="H1501" s="152">
        <f>IF(C1501=11700,ROUND(VLOOKUP(G1501,ThongSo!$F$2:$I$15,4,0)*B1501*11.7,3),0)</f>
        <v>14.438000000000001</v>
      </c>
      <c r="I1501" s="152">
        <f>IF(F1501="Sắt vụn",ROUND(VLOOKUP(G1501,ThongSo!$F$2:$I$15,4,0)*B1501*E1501/1000,3),"-")</f>
        <v>1.2E-2</v>
      </c>
      <c r="L1501" s="150"/>
      <c r="M1501" s="150"/>
      <c r="N1501" s="150"/>
    </row>
    <row r="1502" spans="1:14" x14ac:dyDescent="0.25">
      <c r="A1502" s="159">
        <v>371</v>
      </c>
      <c r="B1502" s="160">
        <v>1</v>
      </c>
      <c r="C1502" s="160">
        <v>11700</v>
      </c>
      <c r="D1502" s="160" t="s">
        <v>4254</v>
      </c>
      <c r="E1502" s="160">
        <v>10</v>
      </c>
      <c r="F1502" s="160" t="s">
        <v>74</v>
      </c>
      <c r="G1502" s="148">
        <v>10</v>
      </c>
      <c r="H1502" s="152">
        <f>IF(C1502=11700,ROUND(VLOOKUP(G1502,ThongSo!$F$2:$I$15,4,0)*B1502*11.7,3),0)</f>
        <v>7.2190000000000003</v>
      </c>
      <c r="I1502" s="152">
        <f>IF(F1502="Sắt vụn",ROUND(VLOOKUP(G1502,ThongSo!$F$2:$I$15,4,0)*B1502*E1502/1000,3),"-")</f>
        <v>6.0000000000000001E-3</v>
      </c>
      <c r="L1502" s="150"/>
      <c r="M1502" s="150"/>
      <c r="N1502" s="150"/>
    </row>
    <row r="1503" spans="1:14" x14ac:dyDescent="0.25">
      <c r="A1503" s="159">
        <v>372</v>
      </c>
      <c r="B1503" s="160">
        <v>25</v>
      </c>
      <c r="C1503" s="160">
        <v>11700</v>
      </c>
      <c r="D1503" s="160" t="s">
        <v>4255</v>
      </c>
      <c r="E1503" s="160">
        <v>10</v>
      </c>
      <c r="F1503" s="160" t="s">
        <v>74</v>
      </c>
      <c r="G1503" s="148">
        <v>10</v>
      </c>
      <c r="H1503" s="152">
        <f>IF(C1503=11700,ROUND(VLOOKUP(G1503,ThongSo!$F$2:$I$15,4,0)*B1503*11.7,3),0)</f>
        <v>180.47300000000001</v>
      </c>
      <c r="I1503" s="152">
        <f>IF(F1503="Sắt vụn",ROUND(VLOOKUP(G1503,ThongSo!$F$2:$I$15,4,0)*B1503*E1503/1000,3),"-")</f>
        <v>0.154</v>
      </c>
      <c r="L1503" s="150"/>
      <c r="M1503" s="150"/>
      <c r="N1503" s="150"/>
    </row>
    <row r="1504" spans="1:14" x14ac:dyDescent="0.25">
      <c r="A1504" s="159">
        <v>373</v>
      </c>
      <c r="B1504" s="160">
        <v>17</v>
      </c>
      <c r="C1504" s="160">
        <v>11700</v>
      </c>
      <c r="D1504" s="160" t="s">
        <v>4256</v>
      </c>
      <c r="E1504" s="160">
        <v>10</v>
      </c>
      <c r="F1504" s="160" t="s">
        <v>74</v>
      </c>
      <c r="G1504" s="148">
        <v>10</v>
      </c>
      <c r="H1504" s="152">
        <f>IF(C1504=11700,ROUND(VLOOKUP(G1504,ThongSo!$F$2:$I$15,4,0)*B1504*11.7,3),0)</f>
        <v>122.721</v>
      </c>
      <c r="I1504" s="152">
        <f>IF(F1504="Sắt vụn",ROUND(VLOOKUP(G1504,ThongSo!$F$2:$I$15,4,0)*B1504*E1504/1000,3),"-")</f>
        <v>0.105</v>
      </c>
      <c r="L1504" s="150"/>
      <c r="M1504" s="150"/>
      <c r="N1504" s="150"/>
    </row>
    <row r="1505" spans="1:14" x14ac:dyDescent="0.25">
      <c r="A1505" s="159">
        <v>374</v>
      </c>
      <c r="B1505" s="160">
        <v>1</v>
      </c>
      <c r="C1505" s="160">
        <v>11700</v>
      </c>
      <c r="D1505" s="160" t="s">
        <v>4257</v>
      </c>
      <c r="E1505" s="160">
        <v>10</v>
      </c>
      <c r="F1505" s="160" t="s">
        <v>74</v>
      </c>
      <c r="G1505" s="148">
        <v>10</v>
      </c>
      <c r="H1505" s="152">
        <f>IF(C1505=11700,ROUND(VLOOKUP(G1505,ThongSo!$F$2:$I$15,4,0)*B1505*11.7,3),0)</f>
        <v>7.2190000000000003</v>
      </c>
      <c r="I1505" s="152">
        <f>IF(F1505="Sắt vụn",ROUND(VLOOKUP(G1505,ThongSo!$F$2:$I$15,4,0)*B1505*E1505/1000,3),"-")</f>
        <v>6.0000000000000001E-3</v>
      </c>
      <c r="L1505" s="150"/>
      <c r="M1505" s="150"/>
      <c r="N1505" s="150"/>
    </row>
    <row r="1506" spans="1:14" x14ac:dyDescent="0.25">
      <c r="A1506" s="159">
        <v>375</v>
      </c>
      <c r="B1506" s="160">
        <v>23</v>
      </c>
      <c r="C1506" s="160">
        <v>11700</v>
      </c>
      <c r="D1506" s="160" t="s">
        <v>4258</v>
      </c>
      <c r="E1506" s="160">
        <v>40</v>
      </c>
      <c r="F1506" s="160" t="s">
        <v>74</v>
      </c>
      <c r="G1506" s="148">
        <v>10</v>
      </c>
      <c r="H1506" s="152">
        <f>IF(C1506=11700,ROUND(VLOOKUP(G1506,ThongSo!$F$2:$I$15,4,0)*B1506*11.7,3),0)</f>
        <v>166.035</v>
      </c>
      <c r="I1506" s="152">
        <f>IF(F1506="Sắt vụn",ROUND(VLOOKUP(G1506,ThongSo!$F$2:$I$15,4,0)*B1506*E1506/1000,3),"-")</f>
        <v>0.56799999999999995</v>
      </c>
      <c r="L1506" s="150"/>
      <c r="M1506" s="150"/>
      <c r="N1506" s="150"/>
    </row>
    <row r="1507" spans="1:14" x14ac:dyDescent="0.25">
      <c r="A1507" s="159">
        <v>376</v>
      </c>
      <c r="B1507" s="160">
        <v>1</v>
      </c>
      <c r="C1507" s="160">
        <v>11700</v>
      </c>
      <c r="D1507" s="160" t="s">
        <v>4259</v>
      </c>
      <c r="E1507" s="160">
        <v>40</v>
      </c>
      <c r="F1507" s="160" t="s">
        <v>74</v>
      </c>
      <c r="G1507" s="148">
        <v>10</v>
      </c>
      <c r="H1507" s="152">
        <f>IF(C1507=11700,ROUND(VLOOKUP(G1507,ThongSo!$F$2:$I$15,4,0)*B1507*11.7,3),0)</f>
        <v>7.2190000000000003</v>
      </c>
      <c r="I1507" s="152">
        <f>IF(F1507="Sắt vụn",ROUND(VLOOKUP(G1507,ThongSo!$F$2:$I$15,4,0)*B1507*E1507/1000,3),"-")</f>
        <v>2.5000000000000001E-2</v>
      </c>
      <c r="L1507" s="150"/>
      <c r="M1507" s="150"/>
      <c r="N1507" s="150"/>
    </row>
    <row r="1508" spans="1:14" x14ac:dyDescent="0.25">
      <c r="A1508" s="159">
        <v>377</v>
      </c>
      <c r="B1508" s="160">
        <v>3</v>
      </c>
      <c r="C1508" s="160">
        <v>11700</v>
      </c>
      <c r="D1508" s="160" t="s">
        <v>4260</v>
      </c>
      <c r="E1508" s="160">
        <v>40</v>
      </c>
      <c r="F1508" s="160" t="s">
        <v>74</v>
      </c>
      <c r="G1508" s="148">
        <v>10</v>
      </c>
      <c r="H1508" s="152">
        <f>IF(C1508=11700,ROUND(VLOOKUP(G1508,ThongSo!$F$2:$I$15,4,0)*B1508*11.7,3),0)</f>
        <v>21.657</v>
      </c>
      <c r="I1508" s="152">
        <f>IF(F1508="Sắt vụn",ROUND(VLOOKUP(G1508,ThongSo!$F$2:$I$15,4,0)*B1508*E1508/1000,3),"-")</f>
        <v>7.3999999999999996E-2</v>
      </c>
      <c r="L1508" s="150"/>
      <c r="M1508" s="150"/>
      <c r="N1508" s="150"/>
    </row>
    <row r="1509" spans="1:14" x14ac:dyDescent="0.25">
      <c r="A1509" s="159">
        <v>378</v>
      </c>
      <c r="B1509" s="160">
        <v>1</v>
      </c>
      <c r="C1509" s="160">
        <v>11700</v>
      </c>
      <c r="D1509" s="160" t="s">
        <v>4261</v>
      </c>
      <c r="E1509" s="160">
        <v>40</v>
      </c>
      <c r="F1509" s="160" t="s">
        <v>74</v>
      </c>
      <c r="G1509" s="148">
        <v>10</v>
      </c>
      <c r="H1509" s="152">
        <f>IF(C1509=11700,ROUND(VLOOKUP(G1509,ThongSo!$F$2:$I$15,4,0)*B1509*11.7,3),0)</f>
        <v>7.2190000000000003</v>
      </c>
      <c r="I1509" s="152">
        <f>IF(F1509="Sắt vụn",ROUND(VLOOKUP(G1509,ThongSo!$F$2:$I$15,4,0)*B1509*E1509/1000,3),"-")</f>
        <v>2.5000000000000001E-2</v>
      </c>
      <c r="L1509" s="150"/>
      <c r="M1509" s="150"/>
      <c r="N1509" s="150"/>
    </row>
    <row r="1510" spans="1:14" x14ac:dyDescent="0.25">
      <c r="A1510" s="159">
        <v>379</v>
      </c>
      <c r="B1510" s="160">
        <v>14</v>
      </c>
      <c r="C1510" s="160">
        <v>11700</v>
      </c>
      <c r="D1510" s="160" t="s">
        <v>4262</v>
      </c>
      <c r="E1510" s="160">
        <v>40</v>
      </c>
      <c r="F1510" s="160" t="s">
        <v>74</v>
      </c>
      <c r="G1510" s="148">
        <v>10</v>
      </c>
      <c r="H1510" s="152">
        <f>IF(C1510=11700,ROUND(VLOOKUP(G1510,ThongSo!$F$2:$I$15,4,0)*B1510*11.7,3),0)</f>
        <v>101.065</v>
      </c>
      <c r="I1510" s="152">
        <f>IF(F1510="Sắt vụn",ROUND(VLOOKUP(G1510,ThongSo!$F$2:$I$15,4,0)*B1510*E1510/1000,3),"-")</f>
        <v>0.34599999999999997</v>
      </c>
      <c r="L1510" s="150"/>
      <c r="M1510" s="150"/>
      <c r="N1510" s="150"/>
    </row>
    <row r="1511" spans="1:14" x14ac:dyDescent="0.25">
      <c r="A1511" s="159">
        <v>380</v>
      </c>
      <c r="B1511" s="160">
        <v>3</v>
      </c>
      <c r="C1511" s="160">
        <v>11700</v>
      </c>
      <c r="D1511" s="160" t="s">
        <v>4263</v>
      </c>
      <c r="E1511" s="160">
        <v>40</v>
      </c>
      <c r="F1511" s="160" t="s">
        <v>74</v>
      </c>
      <c r="G1511" s="148">
        <v>10</v>
      </c>
      <c r="H1511" s="152">
        <f>IF(C1511=11700,ROUND(VLOOKUP(G1511,ThongSo!$F$2:$I$15,4,0)*B1511*11.7,3),0)</f>
        <v>21.657</v>
      </c>
      <c r="I1511" s="152">
        <f>IF(F1511="Sắt vụn",ROUND(VLOOKUP(G1511,ThongSo!$F$2:$I$15,4,0)*B1511*E1511/1000,3),"-")</f>
        <v>7.3999999999999996E-2</v>
      </c>
      <c r="L1511" s="150"/>
      <c r="M1511" s="150"/>
      <c r="N1511" s="150"/>
    </row>
    <row r="1512" spans="1:14" x14ac:dyDescent="0.25">
      <c r="A1512" s="159">
        <v>381</v>
      </c>
      <c r="B1512" s="160">
        <v>1</v>
      </c>
      <c r="C1512" s="160">
        <v>11700</v>
      </c>
      <c r="D1512" s="160" t="s">
        <v>4264</v>
      </c>
      <c r="E1512" s="160">
        <v>40</v>
      </c>
      <c r="F1512" s="160" t="s">
        <v>74</v>
      </c>
      <c r="G1512" s="148">
        <v>10</v>
      </c>
      <c r="H1512" s="152">
        <f>IF(C1512=11700,ROUND(VLOOKUP(G1512,ThongSo!$F$2:$I$15,4,0)*B1512*11.7,3),0)</f>
        <v>7.2190000000000003</v>
      </c>
      <c r="I1512" s="152">
        <f>IF(F1512="Sắt vụn",ROUND(VLOOKUP(G1512,ThongSo!$F$2:$I$15,4,0)*B1512*E1512/1000,3),"-")</f>
        <v>2.5000000000000001E-2</v>
      </c>
      <c r="L1512" s="150"/>
      <c r="M1512" s="150"/>
      <c r="N1512" s="150"/>
    </row>
    <row r="1513" spans="1:14" x14ac:dyDescent="0.25">
      <c r="A1513" s="159">
        <v>382</v>
      </c>
      <c r="B1513" s="160">
        <v>19</v>
      </c>
      <c r="C1513" s="160">
        <v>11700</v>
      </c>
      <c r="D1513" s="160" t="s">
        <v>4265</v>
      </c>
      <c r="E1513" s="160">
        <v>40</v>
      </c>
      <c r="F1513" s="160" t="s">
        <v>74</v>
      </c>
      <c r="G1513" s="148">
        <v>10</v>
      </c>
      <c r="H1513" s="152">
        <f>IF(C1513=11700,ROUND(VLOOKUP(G1513,ThongSo!$F$2:$I$15,4,0)*B1513*11.7,3),0)</f>
        <v>137.15899999999999</v>
      </c>
      <c r="I1513" s="152">
        <f>IF(F1513="Sắt vụn",ROUND(VLOOKUP(G1513,ThongSo!$F$2:$I$15,4,0)*B1513*E1513/1000,3),"-")</f>
        <v>0.46899999999999997</v>
      </c>
      <c r="L1513" s="150"/>
      <c r="M1513" s="150"/>
      <c r="N1513" s="150"/>
    </row>
    <row r="1514" spans="1:14" x14ac:dyDescent="0.25">
      <c r="A1514" s="159">
        <v>383</v>
      </c>
      <c r="B1514" s="160">
        <v>1</v>
      </c>
      <c r="C1514" s="160">
        <v>11700</v>
      </c>
      <c r="D1514" s="160" t="s">
        <v>4266</v>
      </c>
      <c r="E1514" s="160">
        <v>60</v>
      </c>
      <c r="F1514" s="160" t="s">
        <v>74</v>
      </c>
      <c r="G1514" s="148">
        <v>10</v>
      </c>
      <c r="H1514" s="152">
        <f>IF(C1514=11700,ROUND(VLOOKUP(G1514,ThongSo!$F$2:$I$15,4,0)*B1514*11.7,3),0)</f>
        <v>7.2190000000000003</v>
      </c>
      <c r="I1514" s="152">
        <f>IF(F1514="Sắt vụn",ROUND(VLOOKUP(G1514,ThongSo!$F$2:$I$15,4,0)*B1514*E1514/1000,3),"-")</f>
        <v>3.6999999999999998E-2</v>
      </c>
      <c r="L1514" s="150"/>
      <c r="M1514" s="150"/>
      <c r="N1514" s="150"/>
    </row>
    <row r="1515" spans="1:14" x14ac:dyDescent="0.25">
      <c r="A1515" s="159">
        <v>384</v>
      </c>
      <c r="B1515" s="160">
        <v>2</v>
      </c>
      <c r="C1515" s="160">
        <v>11700</v>
      </c>
      <c r="D1515" s="160" t="s">
        <v>4267</v>
      </c>
      <c r="E1515" s="160">
        <v>80</v>
      </c>
      <c r="F1515" s="160" t="s">
        <v>74</v>
      </c>
      <c r="G1515" s="148">
        <v>10</v>
      </c>
      <c r="H1515" s="152">
        <f>IF(C1515=11700,ROUND(VLOOKUP(G1515,ThongSo!$F$2:$I$15,4,0)*B1515*11.7,3),0)</f>
        <v>14.438000000000001</v>
      </c>
      <c r="I1515" s="152">
        <f>IF(F1515="Sắt vụn",ROUND(VLOOKUP(G1515,ThongSo!$F$2:$I$15,4,0)*B1515*E1515/1000,3),"-")</f>
        <v>9.9000000000000005E-2</v>
      </c>
      <c r="L1515" s="150"/>
      <c r="M1515" s="150"/>
      <c r="N1515" s="150"/>
    </row>
    <row r="1516" spans="1:14" x14ac:dyDescent="0.25">
      <c r="A1516" s="159">
        <v>385</v>
      </c>
      <c r="B1516" s="160">
        <v>1</v>
      </c>
      <c r="C1516" s="160">
        <v>11700</v>
      </c>
      <c r="D1516" s="160" t="s">
        <v>4268</v>
      </c>
      <c r="E1516" s="160">
        <v>460</v>
      </c>
      <c r="F1516" s="160" t="s">
        <v>74</v>
      </c>
      <c r="G1516" s="148">
        <v>10</v>
      </c>
      <c r="H1516" s="152">
        <f>IF(C1516=11700,ROUND(VLOOKUP(G1516,ThongSo!$F$2:$I$15,4,0)*B1516*11.7,3),0)</f>
        <v>7.2190000000000003</v>
      </c>
      <c r="I1516" s="152">
        <f>IF(F1516="Sắt vụn",ROUND(VLOOKUP(G1516,ThongSo!$F$2:$I$15,4,0)*B1516*E1516/1000,3),"-")</f>
        <v>0.28399999999999997</v>
      </c>
      <c r="L1516" s="150"/>
      <c r="M1516" s="150"/>
      <c r="N1516" s="150"/>
    </row>
    <row r="1517" spans="1:14" x14ac:dyDescent="0.25">
      <c r="A1517" s="159">
        <v>386</v>
      </c>
      <c r="B1517" s="160">
        <v>1</v>
      </c>
      <c r="C1517" s="160">
        <v>11700</v>
      </c>
      <c r="D1517" s="160" t="s">
        <v>4269</v>
      </c>
      <c r="E1517" s="160">
        <v>660</v>
      </c>
      <c r="F1517" s="160" t="s">
        <v>75</v>
      </c>
      <c r="G1517" s="148">
        <v>10</v>
      </c>
      <c r="H1517" s="152">
        <f>IF(C1517=11700,ROUND(VLOOKUP(G1517,ThongSo!$F$2:$I$15,4,0)*B1517*11.7,3),0)</f>
        <v>7.2190000000000003</v>
      </c>
      <c r="I1517" s="152" t="str">
        <f>IF(F1517="Sắt vụn",ROUND(VLOOKUP(G1517,ThongSo!$F$2:$I$15,4,0)*B1517*E1517/1000,3),"-")</f>
        <v>-</v>
      </c>
      <c r="L1517" s="150"/>
      <c r="M1517" s="150"/>
      <c r="N1517" s="150"/>
    </row>
    <row r="1518" spans="1:14" x14ac:dyDescent="0.25">
      <c r="A1518" s="159">
        <v>387</v>
      </c>
      <c r="B1518" s="160">
        <v>1</v>
      </c>
      <c r="C1518" s="160">
        <v>11700</v>
      </c>
      <c r="D1518" s="160" t="s">
        <v>4270</v>
      </c>
      <c r="E1518" s="160">
        <v>660</v>
      </c>
      <c r="F1518" s="160" t="s">
        <v>75</v>
      </c>
      <c r="G1518" s="148">
        <v>10</v>
      </c>
      <c r="H1518" s="152">
        <f>IF(C1518=11700,ROUND(VLOOKUP(G1518,ThongSo!$F$2:$I$15,4,0)*B1518*11.7,3),0)</f>
        <v>7.2190000000000003</v>
      </c>
      <c r="I1518" s="152" t="str">
        <f>IF(F1518="Sắt vụn",ROUND(VLOOKUP(G1518,ThongSo!$F$2:$I$15,4,0)*B1518*E1518/1000,3),"-")</f>
        <v>-</v>
      </c>
      <c r="L1518" s="150"/>
      <c r="M1518" s="150"/>
      <c r="N1518" s="150"/>
    </row>
    <row r="1519" spans="1:14" x14ac:dyDescent="0.25">
      <c r="A1519" s="159">
        <v>388</v>
      </c>
      <c r="B1519" s="160">
        <v>2</v>
      </c>
      <c r="C1519" s="160">
        <v>11700</v>
      </c>
      <c r="D1519" s="160" t="s">
        <v>4271</v>
      </c>
      <c r="E1519" s="160">
        <v>660</v>
      </c>
      <c r="F1519" s="160" t="s">
        <v>75</v>
      </c>
      <c r="G1519" s="148">
        <v>10</v>
      </c>
      <c r="H1519" s="152">
        <f>IF(C1519=11700,ROUND(VLOOKUP(G1519,ThongSo!$F$2:$I$15,4,0)*B1519*11.7,3),0)</f>
        <v>14.438000000000001</v>
      </c>
      <c r="I1519" s="152" t="str">
        <f>IF(F1519="Sắt vụn",ROUND(VLOOKUP(G1519,ThongSo!$F$2:$I$15,4,0)*B1519*E1519/1000,3),"-")</f>
        <v>-</v>
      </c>
      <c r="L1519" s="150"/>
      <c r="M1519" s="150"/>
      <c r="N1519" s="150"/>
    </row>
    <row r="1520" spans="1:14" x14ac:dyDescent="0.25">
      <c r="A1520" s="159">
        <v>389</v>
      </c>
      <c r="B1520" s="160">
        <v>1</v>
      </c>
      <c r="C1520" s="160">
        <v>11700</v>
      </c>
      <c r="D1520" s="160" t="s">
        <v>4272</v>
      </c>
      <c r="E1520" s="160">
        <v>660</v>
      </c>
      <c r="F1520" s="160" t="s">
        <v>75</v>
      </c>
      <c r="G1520" s="148">
        <v>10</v>
      </c>
      <c r="H1520" s="152">
        <f>IF(C1520=11700,ROUND(VLOOKUP(G1520,ThongSo!$F$2:$I$15,4,0)*B1520*11.7,3),0)</f>
        <v>7.2190000000000003</v>
      </c>
      <c r="I1520" s="152" t="str">
        <f>IF(F1520="Sắt vụn",ROUND(VLOOKUP(G1520,ThongSo!$F$2:$I$15,4,0)*B1520*E1520/1000,3),"-")</f>
        <v>-</v>
      </c>
      <c r="L1520" s="150"/>
      <c r="M1520" s="150"/>
      <c r="N1520" s="150"/>
    </row>
    <row r="1521" spans="1:14" x14ac:dyDescent="0.25">
      <c r="A1521" s="159">
        <v>390</v>
      </c>
      <c r="B1521" s="160">
        <v>12</v>
      </c>
      <c r="C1521" s="160">
        <v>11700</v>
      </c>
      <c r="D1521" s="160" t="s">
        <v>4273</v>
      </c>
      <c r="E1521" s="160">
        <v>660</v>
      </c>
      <c r="F1521" s="160" t="s">
        <v>75</v>
      </c>
      <c r="G1521" s="148">
        <v>10</v>
      </c>
      <c r="H1521" s="152">
        <f>IF(C1521=11700,ROUND(VLOOKUP(G1521,ThongSo!$F$2:$I$15,4,0)*B1521*11.7,3),0)</f>
        <v>86.626999999999995</v>
      </c>
      <c r="I1521" s="152" t="str">
        <f>IF(F1521="Sắt vụn",ROUND(VLOOKUP(G1521,ThongSo!$F$2:$I$15,4,0)*B1521*E1521/1000,3),"-")</f>
        <v>-</v>
      </c>
      <c r="L1521" s="150"/>
      <c r="M1521" s="150"/>
      <c r="N1521" s="150"/>
    </row>
    <row r="1522" spans="1:14" x14ac:dyDescent="0.25">
      <c r="A1522" s="159">
        <v>391</v>
      </c>
      <c r="B1522" s="160">
        <v>1</v>
      </c>
      <c r="C1522" s="160">
        <v>11700</v>
      </c>
      <c r="D1522" s="160" t="s">
        <v>4274</v>
      </c>
      <c r="E1522" s="160">
        <v>660</v>
      </c>
      <c r="F1522" s="160" t="s">
        <v>75</v>
      </c>
      <c r="G1522" s="148">
        <v>10</v>
      </c>
      <c r="H1522" s="152">
        <f>IF(C1522=11700,ROUND(VLOOKUP(G1522,ThongSo!$F$2:$I$15,4,0)*B1522*11.7,3),0)</f>
        <v>7.2190000000000003</v>
      </c>
      <c r="I1522" s="152" t="str">
        <f>IF(F1522="Sắt vụn",ROUND(VLOOKUP(G1522,ThongSo!$F$2:$I$15,4,0)*B1522*E1522/1000,3),"-")</f>
        <v>-</v>
      </c>
      <c r="L1522" s="150"/>
      <c r="M1522" s="150"/>
      <c r="N1522" s="150"/>
    </row>
    <row r="1523" spans="1:14" x14ac:dyDescent="0.25">
      <c r="A1523" s="159">
        <v>392</v>
      </c>
      <c r="B1523" s="160">
        <v>3</v>
      </c>
      <c r="C1523" s="160">
        <v>11700</v>
      </c>
      <c r="D1523" s="160" t="s">
        <v>4275</v>
      </c>
      <c r="E1523" s="160">
        <v>660</v>
      </c>
      <c r="F1523" s="160" t="s">
        <v>75</v>
      </c>
      <c r="G1523" s="148">
        <v>10</v>
      </c>
      <c r="H1523" s="152">
        <f>IF(C1523=11700,ROUND(VLOOKUP(G1523,ThongSo!$F$2:$I$15,4,0)*B1523*11.7,3),0)</f>
        <v>21.657</v>
      </c>
      <c r="I1523" s="152" t="str">
        <f>IF(F1523="Sắt vụn",ROUND(VLOOKUP(G1523,ThongSo!$F$2:$I$15,4,0)*B1523*E1523/1000,3),"-")</f>
        <v>-</v>
      </c>
      <c r="L1523" s="150"/>
      <c r="M1523" s="150"/>
      <c r="N1523" s="150"/>
    </row>
    <row r="1524" spans="1:14" x14ac:dyDescent="0.25">
      <c r="A1524" s="159">
        <v>393</v>
      </c>
      <c r="B1524" s="160">
        <v>1</v>
      </c>
      <c r="C1524" s="160">
        <v>11700</v>
      </c>
      <c r="D1524" s="160" t="s">
        <v>4276</v>
      </c>
      <c r="E1524" s="160">
        <v>660</v>
      </c>
      <c r="F1524" s="160" t="s">
        <v>75</v>
      </c>
      <c r="G1524" s="148">
        <v>10</v>
      </c>
      <c r="H1524" s="152">
        <f>IF(C1524=11700,ROUND(VLOOKUP(G1524,ThongSo!$F$2:$I$15,4,0)*B1524*11.7,3),0)</f>
        <v>7.2190000000000003</v>
      </c>
      <c r="I1524" s="152" t="str">
        <f>IF(F1524="Sắt vụn",ROUND(VLOOKUP(G1524,ThongSo!$F$2:$I$15,4,0)*B1524*E1524/1000,3),"-")</f>
        <v>-</v>
      </c>
      <c r="L1524" s="150"/>
      <c r="M1524" s="150"/>
      <c r="N1524" s="150"/>
    </row>
    <row r="1525" spans="1:14" x14ac:dyDescent="0.25">
      <c r="A1525" s="159">
        <v>394</v>
      </c>
      <c r="B1525" s="160">
        <v>3</v>
      </c>
      <c r="C1525" s="160">
        <v>11700</v>
      </c>
      <c r="D1525" s="160" t="s">
        <v>4277</v>
      </c>
      <c r="E1525" s="160">
        <v>660</v>
      </c>
      <c r="F1525" s="160" t="s">
        <v>75</v>
      </c>
      <c r="G1525" s="148">
        <v>10</v>
      </c>
      <c r="H1525" s="152">
        <f>IF(C1525=11700,ROUND(VLOOKUP(G1525,ThongSo!$F$2:$I$15,4,0)*B1525*11.7,3),0)</f>
        <v>21.657</v>
      </c>
      <c r="I1525" s="152" t="str">
        <f>IF(F1525="Sắt vụn",ROUND(VLOOKUP(G1525,ThongSo!$F$2:$I$15,4,0)*B1525*E1525/1000,3),"-")</f>
        <v>-</v>
      </c>
      <c r="L1525" s="150"/>
      <c r="M1525" s="150"/>
      <c r="N1525" s="150"/>
    </row>
    <row r="1526" spans="1:14" x14ac:dyDescent="0.25">
      <c r="A1526" s="159">
        <v>395</v>
      </c>
      <c r="B1526" s="160">
        <v>1</v>
      </c>
      <c r="C1526" s="160">
        <v>11700</v>
      </c>
      <c r="D1526" s="160" t="s">
        <v>4278</v>
      </c>
      <c r="E1526" s="160">
        <v>660</v>
      </c>
      <c r="F1526" s="160" t="s">
        <v>75</v>
      </c>
      <c r="G1526" s="148">
        <v>10</v>
      </c>
      <c r="H1526" s="152">
        <f>IF(C1526=11700,ROUND(VLOOKUP(G1526,ThongSo!$F$2:$I$15,4,0)*B1526*11.7,3),0)</f>
        <v>7.2190000000000003</v>
      </c>
      <c r="I1526" s="152" t="str">
        <f>IF(F1526="Sắt vụn",ROUND(VLOOKUP(G1526,ThongSo!$F$2:$I$15,4,0)*B1526*E1526/1000,3),"-")</f>
        <v>-</v>
      </c>
      <c r="L1526" s="150"/>
      <c r="M1526" s="150"/>
      <c r="N1526" s="150"/>
    </row>
    <row r="1527" spans="1:14" x14ac:dyDescent="0.25">
      <c r="A1527" s="159">
        <v>396</v>
      </c>
      <c r="B1527" s="160">
        <v>15</v>
      </c>
      <c r="C1527" s="160">
        <v>11700</v>
      </c>
      <c r="D1527" s="160" t="s">
        <v>4279</v>
      </c>
      <c r="E1527" s="160">
        <v>660</v>
      </c>
      <c r="F1527" s="160" t="s">
        <v>75</v>
      </c>
      <c r="G1527" s="148">
        <v>10</v>
      </c>
      <c r="H1527" s="152">
        <f>IF(C1527=11700,ROUND(VLOOKUP(G1527,ThongSo!$F$2:$I$15,4,0)*B1527*11.7,3),0)</f>
        <v>108.28400000000001</v>
      </c>
      <c r="I1527" s="152" t="str">
        <f>IF(F1527="Sắt vụn",ROUND(VLOOKUP(G1527,ThongSo!$F$2:$I$15,4,0)*B1527*E1527/1000,3),"-")</f>
        <v>-</v>
      </c>
      <c r="L1527" s="150"/>
      <c r="M1527" s="150"/>
      <c r="N1527" s="150"/>
    </row>
    <row r="1528" spans="1:14" x14ac:dyDescent="0.25">
      <c r="A1528" s="159">
        <v>397</v>
      </c>
      <c r="B1528" s="160">
        <v>1</v>
      </c>
      <c r="C1528" s="160">
        <v>11700</v>
      </c>
      <c r="D1528" s="160" t="s">
        <v>4280</v>
      </c>
      <c r="E1528" s="160">
        <v>660</v>
      </c>
      <c r="F1528" s="160" t="s">
        <v>75</v>
      </c>
      <c r="G1528" s="148">
        <v>10</v>
      </c>
      <c r="H1528" s="152">
        <f>IF(C1528=11700,ROUND(VLOOKUP(G1528,ThongSo!$F$2:$I$15,4,0)*B1528*11.7,3),0)</f>
        <v>7.2190000000000003</v>
      </c>
      <c r="I1528" s="152" t="str">
        <f>IF(F1528="Sắt vụn",ROUND(VLOOKUP(G1528,ThongSo!$F$2:$I$15,4,0)*B1528*E1528/1000,3),"-")</f>
        <v>-</v>
      </c>
      <c r="L1528" s="150"/>
      <c r="M1528" s="150"/>
      <c r="N1528" s="150"/>
    </row>
    <row r="1529" spans="1:14" x14ac:dyDescent="0.25">
      <c r="A1529" s="159">
        <v>398</v>
      </c>
      <c r="B1529" s="160">
        <v>11</v>
      </c>
      <c r="C1529" s="160">
        <v>11700</v>
      </c>
      <c r="D1529" s="160" t="s">
        <v>4281</v>
      </c>
      <c r="E1529" s="160">
        <v>660</v>
      </c>
      <c r="F1529" s="160" t="s">
        <v>75</v>
      </c>
      <c r="G1529" s="148">
        <v>10</v>
      </c>
      <c r="H1529" s="152">
        <f>IF(C1529=11700,ROUND(VLOOKUP(G1529,ThongSo!$F$2:$I$15,4,0)*B1529*11.7,3),0)</f>
        <v>79.408000000000001</v>
      </c>
      <c r="I1529" s="152" t="str">
        <f>IF(F1529="Sắt vụn",ROUND(VLOOKUP(G1529,ThongSo!$F$2:$I$15,4,0)*B1529*E1529/1000,3),"-")</f>
        <v>-</v>
      </c>
      <c r="L1529" s="150"/>
      <c r="M1529" s="150"/>
      <c r="N1529" s="150"/>
    </row>
    <row r="1530" spans="1:14" x14ac:dyDescent="0.25">
      <c r="A1530" s="159">
        <v>399</v>
      </c>
      <c r="B1530" s="160">
        <v>6</v>
      </c>
      <c r="C1530" s="160">
        <v>11700</v>
      </c>
      <c r="D1530" s="160" t="s">
        <v>4282</v>
      </c>
      <c r="E1530" s="160">
        <v>660</v>
      </c>
      <c r="F1530" s="160" t="s">
        <v>75</v>
      </c>
      <c r="G1530" s="148">
        <v>10</v>
      </c>
      <c r="H1530" s="152">
        <f>IF(C1530=11700,ROUND(VLOOKUP(G1530,ThongSo!$F$2:$I$15,4,0)*B1530*11.7,3),0)</f>
        <v>43.313000000000002</v>
      </c>
      <c r="I1530" s="152" t="str">
        <f>IF(F1530="Sắt vụn",ROUND(VLOOKUP(G1530,ThongSo!$F$2:$I$15,4,0)*B1530*E1530/1000,3),"-")</f>
        <v>-</v>
      </c>
      <c r="L1530" s="150"/>
      <c r="M1530" s="150"/>
      <c r="N1530" s="150"/>
    </row>
    <row r="1531" spans="1:14" x14ac:dyDescent="0.25">
      <c r="A1531" s="159">
        <v>400</v>
      </c>
      <c r="B1531" s="160">
        <v>1</v>
      </c>
      <c r="C1531" s="160">
        <v>11700</v>
      </c>
      <c r="D1531" s="160" t="s">
        <v>4283</v>
      </c>
      <c r="E1531" s="160">
        <v>660</v>
      </c>
      <c r="F1531" s="160" t="s">
        <v>75</v>
      </c>
      <c r="G1531" s="148">
        <v>10</v>
      </c>
      <c r="H1531" s="152">
        <f>IF(C1531=11700,ROUND(VLOOKUP(G1531,ThongSo!$F$2:$I$15,4,0)*B1531*11.7,3),0)</f>
        <v>7.2190000000000003</v>
      </c>
      <c r="I1531" s="152" t="str">
        <f>IF(F1531="Sắt vụn",ROUND(VLOOKUP(G1531,ThongSo!$F$2:$I$15,4,0)*B1531*E1531/1000,3),"-")</f>
        <v>-</v>
      </c>
      <c r="L1531" s="150"/>
      <c r="M1531" s="150"/>
      <c r="N1531" s="150"/>
    </row>
    <row r="1532" spans="1:14" x14ac:dyDescent="0.25">
      <c r="A1532" s="159">
        <v>401</v>
      </c>
      <c r="B1532" s="160">
        <v>15</v>
      </c>
      <c r="C1532" s="160">
        <v>11700</v>
      </c>
      <c r="D1532" s="160" t="s">
        <v>4284</v>
      </c>
      <c r="E1532" s="160">
        <v>660</v>
      </c>
      <c r="F1532" s="160" t="s">
        <v>75</v>
      </c>
      <c r="G1532" s="148">
        <v>10</v>
      </c>
      <c r="H1532" s="152">
        <f>IF(C1532=11700,ROUND(VLOOKUP(G1532,ThongSo!$F$2:$I$15,4,0)*B1532*11.7,3),0)</f>
        <v>108.28400000000001</v>
      </c>
      <c r="I1532" s="152" t="str">
        <f>IF(F1532="Sắt vụn",ROUND(VLOOKUP(G1532,ThongSo!$F$2:$I$15,4,0)*B1532*E1532/1000,3),"-")</f>
        <v>-</v>
      </c>
      <c r="L1532" s="150"/>
      <c r="M1532" s="150"/>
      <c r="N1532" s="150"/>
    </row>
    <row r="1533" spans="1:14" x14ac:dyDescent="0.25">
      <c r="A1533" s="159">
        <v>402</v>
      </c>
      <c r="B1533" s="160">
        <v>1</v>
      </c>
      <c r="C1533" s="160">
        <v>11700</v>
      </c>
      <c r="D1533" s="160" t="s">
        <v>4285</v>
      </c>
      <c r="E1533" s="160">
        <v>10320</v>
      </c>
      <c r="F1533" s="160" t="s">
        <v>75</v>
      </c>
      <c r="G1533" s="148">
        <v>10</v>
      </c>
      <c r="H1533" s="152">
        <f>IF(C1533=11700,ROUND(VLOOKUP(G1533,ThongSo!$F$2:$I$15,4,0)*B1533*11.7,3),0)</f>
        <v>7.2190000000000003</v>
      </c>
      <c r="I1533" s="152" t="str">
        <f>IF(F1533="Sắt vụn",ROUND(VLOOKUP(G1533,ThongSo!$F$2:$I$15,4,0)*B1533*E1533/1000,3),"-")</f>
        <v>-</v>
      </c>
      <c r="L1533" s="150"/>
      <c r="M1533" s="150"/>
      <c r="N1533" s="150"/>
    </row>
    <row r="1534" spans="1:14" x14ac:dyDescent="0.25">
      <c r="A1534" s="154"/>
      <c r="G1534" s="148"/>
      <c r="H1534" s="152">
        <f>IF(C1534=11700,ROUND(VLOOKUP(G1534,ThongSo!$F$2:$I$15,4,0)*B1534*11.7,3),0)</f>
        <v>0</v>
      </c>
      <c r="I1534" s="152" t="str">
        <f>IF(F1534="Sắt vụn",ROUND(VLOOKUP(G1534,ThongSo!$F$2:$I$15,4,0)*B1534*E1534/1000,3),"-")</f>
        <v>-</v>
      </c>
      <c r="L1534" s="150"/>
      <c r="M1534" s="150"/>
      <c r="N1534" s="150"/>
    </row>
    <row r="1535" spans="1:14" x14ac:dyDescent="0.25">
      <c r="A1535" s="167">
        <v>6</v>
      </c>
      <c r="B1535" s="167"/>
      <c r="C1535" s="167"/>
      <c r="D1535" s="167"/>
      <c r="E1535" s="167"/>
      <c r="F1535" s="167"/>
      <c r="G1535" s="148"/>
      <c r="H1535" s="152">
        <f>IF(C1535=11700,ROUND(VLOOKUP(G1535,ThongSo!$F$2:$I$15,4,0)*B1535*11.7,3),0)</f>
        <v>0</v>
      </c>
      <c r="I1535" s="152" t="str">
        <f>IF(F1535="Sắt vụn",ROUND(VLOOKUP(G1535,ThongSo!$F$2:$I$15,4,0)*B1535*E1535/1000,3),"-")</f>
        <v>-</v>
      </c>
      <c r="L1535" s="150"/>
      <c r="M1535" s="150"/>
      <c r="N1535" s="150"/>
    </row>
    <row r="1536" spans="1:14" x14ac:dyDescent="0.25">
      <c r="A1536" s="154"/>
      <c r="G1536" s="148"/>
      <c r="H1536" s="152">
        <f>IF(C1536=11700,ROUND(VLOOKUP(G1536,ThongSo!$F$2:$I$15,4,0)*B1536*11.7,3),0)</f>
        <v>0</v>
      </c>
      <c r="I1536" s="152" t="str">
        <f>IF(F1536="Sắt vụn",ROUND(VLOOKUP(G1536,ThongSo!$F$2:$I$15,4,0)*B1536*E1536/1000,3),"-")</f>
        <v>-</v>
      </c>
      <c r="L1536" s="150"/>
      <c r="M1536" s="150"/>
      <c r="N1536" s="150"/>
    </row>
    <row r="1537" spans="1:14" x14ac:dyDescent="0.25">
      <c r="A1537" s="155" t="s">
        <v>50</v>
      </c>
      <c r="B1537" s="155" t="s">
        <v>51</v>
      </c>
      <c r="C1537" s="155" t="s">
        <v>45</v>
      </c>
      <c r="D1537" s="155" t="s">
        <v>42</v>
      </c>
      <c r="E1537" s="155" t="s">
        <v>43</v>
      </c>
      <c r="F1537" s="156" t="s">
        <v>46</v>
      </c>
      <c r="G1537" s="148"/>
      <c r="H1537" s="152">
        <f>IF(C1537=11700,ROUND(VLOOKUP(G1537,ThongSo!$F$2:$I$15,4,0)*B1537*11.7,3),0)</f>
        <v>0</v>
      </c>
      <c r="I1537" s="152" t="str">
        <f>IF(F1537="Sắt vụn",ROUND(VLOOKUP(G1537,ThongSo!$F$2:$I$15,4,0)*B1537*E1537/1000,3),"-")</f>
        <v>-</v>
      </c>
      <c r="L1537" s="150"/>
      <c r="M1537" s="150"/>
      <c r="N1537" s="150"/>
    </row>
    <row r="1538" spans="1:14" x14ac:dyDescent="0.25">
      <c r="A1538" s="157" t="s">
        <v>72</v>
      </c>
      <c r="B1538" s="158"/>
      <c r="C1538" s="158"/>
      <c r="D1538" s="158"/>
      <c r="E1538" s="158"/>
      <c r="F1538" s="158"/>
      <c r="G1538" s="148"/>
      <c r="H1538" s="152">
        <f>IF(C1538=11700,ROUND(VLOOKUP(G1538,ThongSo!$F$2:$I$15,4,0)*B1538*11.7,3),0)</f>
        <v>0</v>
      </c>
      <c r="I1538" s="152" t="str">
        <f>IF(F1538="Sắt vụn",ROUND(VLOOKUP(G1538,ThongSo!$F$2:$I$15,4,0)*B1538*E1538/1000,3),"-")</f>
        <v>-</v>
      </c>
      <c r="L1538" s="150"/>
      <c r="M1538" s="150"/>
      <c r="N1538" s="150"/>
    </row>
    <row r="1539" spans="1:14" x14ac:dyDescent="0.25">
      <c r="A1539" s="159" t="s">
        <v>73</v>
      </c>
      <c r="B1539" s="160">
        <v>707</v>
      </c>
      <c r="C1539" s="160">
        <v>11700</v>
      </c>
      <c r="D1539" s="160"/>
      <c r="E1539" s="160"/>
      <c r="F1539" s="160"/>
      <c r="G1539" s="148">
        <v>32</v>
      </c>
      <c r="H1539" s="152">
        <f>IF(C1539=11700,ROUND(VLOOKUP(G1539,ThongSo!$F$2:$I$15,4,0)*B1539*11.7,3),0)</f>
        <v>52195.688999999998</v>
      </c>
      <c r="I1539" s="152" t="str">
        <f>IF(F1539="Sắt vụn",ROUND(VLOOKUP(G1539,ThongSo!$F$2:$I$15,4,0)*B1539*E1539/1000,3),"-")</f>
        <v>-</v>
      </c>
      <c r="L1539" s="150"/>
      <c r="M1539" s="150"/>
      <c r="N1539" s="150"/>
    </row>
    <row r="1540" spans="1:14" x14ac:dyDescent="0.25">
      <c r="A1540" s="159" t="s">
        <v>162</v>
      </c>
      <c r="B1540" s="160">
        <v>3</v>
      </c>
      <c r="C1540" s="160">
        <v>1700</v>
      </c>
      <c r="D1540" s="160" t="s">
        <v>4294</v>
      </c>
      <c r="E1540" s="160">
        <v>0</v>
      </c>
      <c r="F1540" s="160"/>
      <c r="G1540" s="148">
        <v>32</v>
      </c>
      <c r="H1540" s="152">
        <f>IF(C1540=11700,ROUND(VLOOKUP(G1540,ThongSo!$F$2:$I$15,4,0)*B1540*11.7,3),0)</f>
        <v>0</v>
      </c>
      <c r="I1540" s="152" t="str">
        <f>IF(F1540="Sắt vụn",ROUND(VLOOKUP(G1540,ThongSo!$F$2:$I$15,4,0)*B1540*E1540/1000,3),"-")</f>
        <v>-</v>
      </c>
      <c r="L1540" s="150"/>
      <c r="M1540" s="150"/>
      <c r="N1540" s="150"/>
    </row>
    <row r="1541" spans="1:14" x14ac:dyDescent="0.25">
      <c r="A1541" s="159" t="s">
        <v>162</v>
      </c>
      <c r="B1541" s="160">
        <v>3</v>
      </c>
      <c r="C1541" s="160">
        <v>1700</v>
      </c>
      <c r="D1541" s="160" t="s">
        <v>4295</v>
      </c>
      <c r="E1541" s="160">
        <v>0</v>
      </c>
      <c r="F1541" s="160"/>
      <c r="G1541" s="148">
        <v>32</v>
      </c>
      <c r="H1541" s="152">
        <f>IF(C1541=11700,ROUND(VLOOKUP(G1541,ThongSo!$F$2:$I$15,4,0)*B1541*11.7,3),0)</f>
        <v>0</v>
      </c>
      <c r="I1541" s="152" t="str">
        <f>IF(F1541="Sắt vụn",ROUND(VLOOKUP(G1541,ThongSo!$F$2:$I$15,4,0)*B1541*E1541/1000,3),"-")</f>
        <v>-</v>
      </c>
      <c r="L1541" s="150"/>
      <c r="M1541" s="150"/>
      <c r="N1541" s="150"/>
    </row>
    <row r="1542" spans="1:14" x14ac:dyDescent="0.25">
      <c r="A1542" s="159" t="s">
        <v>162</v>
      </c>
      <c r="B1542" s="160">
        <v>1</v>
      </c>
      <c r="C1542" s="160">
        <v>1700</v>
      </c>
      <c r="D1542" s="160" t="s">
        <v>4296</v>
      </c>
      <c r="E1542" s="160">
        <v>1280</v>
      </c>
      <c r="F1542" s="160" t="s">
        <v>74</v>
      </c>
      <c r="G1542" s="148">
        <v>32</v>
      </c>
      <c r="H1542" s="152">
        <f>IF(C1542=11700,ROUND(VLOOKUP(G1542,ThongSo!$F$2:$I$15,4,0)*B1542*11.7,3),0)</f>
        <v>0</v>
      </c>
      <c r="I1542" s="152">
        <f>IF(F1542="Sắt vụn",ROUND(VLOOKUP(G1542,ThongSo!$F$2:$I$15,4,0)*B1542*E1542/1000,3),"-")</f>
        <v>8.077</v>
      </c>
      <c r="L1542" s="150"/>
      <c r="M1542" s="150"/>
      <c r="N1542" s="150"/>
    </row>
    <row r="1543" spans="1:14" x14ac:dyDescent="0.25">
      <c r="A1543" s="159" t="s">
        <v>151</v>
      </c>
      <c r="B1543" s="160">
        <v>23</v>
      </c>
      <c r="C1543" s="160">
        <v>2700</v>
      </c>
      <c r="D1543" s="160" t="s">
        <v>4297</v>
      </c>
      <c r="E1543" s="160">
        <v>110</v>
      </c>
      <c r="F1543" s="160" t="s">
        <v>74</v>
      </c>
      <c r="G1543" s="148">
        <v>32</v>
      </c>
      <c r="H1543" s="152">
        <f>IF(C1543=11700,ROUND(VLOOKUP(G1543,ThongSo!$F$2:$I$15,4,0)*B1543*11.7,3),0)</f>
        <v>0</v>
      </c>
      <c r="I1543" s="152">
        <f>IF(F1543="Sắt vụn",ROUND(VLOOKUP(G1543,ThongSo!$F$2:$I$15,4,0)*B1543*E1543/1000,3),"-")</f>
        <v>15.964</v>
      </c>
      <c r="L1543" s="150"/>
      <c r="M1543" s="150"/>
      <c r="N1543" s="150"/>
    </row>
    <row r="1544" spans="1:14" x14ac:dyDescent="0.25">
      <c r="A1544" s="159" t="s">
        <v>381</v>
      </c>
      <c r="B1544" s="160">
        <v>2</v>
      </c>
      <c r="C1544" s="160">
        <v>4680</v>
      </c>
      <c r="D1544" s="160" t="s">
        <v>4298</v>
      </c>
      <c r="E1544" s="160">
        <v>5</v>
      </c>
      <c r="F1544" s="160" t="s">
        <v>74</v>
      </c>
      <c r="G1544" s="148">
        <v>32</v>
      </c>
      <c r="H1544" s="152">
        <f>IF(C1544=11700,ROUND(VLOOKUP(G1544,ThongSo!$F$2:$I$15,4,0)*B1544*11.7,3),0)</f>
        <v>0</v>
      </c>
      <c r="I1544" s="152">
        <f>IF(F1544="Sắt vụn",ROUND(VLOOKUP(G1544,ThongSo!$F$2:$I$15,4,0)*B1544*E1544/1000,3),"-")</f>
        <v>6.3E-2</v>
      </c>
      <c r="L1544" s="150"/>
      <c r="M1544" s="150"/>
      <c r="N1544" s="150"/>
    </row>
    <row r="1545" spans="1:14" x14ac:dyDescent="0.25">
      <c r="A1545" s="159" t="s">
        <v>381</v>
      </c>
      <c r="B1545" s="160">
        <v>6</v>
      </c>
      <c r="C1545" s="160">
        <v>4680</v>
      </c>
      <c r="D1545" s="160" t="s">
        <v>4299</v>
      </c>
      <c r="E1545" s="160">
        <v>5</v>
      </c>
      <c r="F1545" s="160" t="s">
        <v>74</v>
      </c>
      <c r="G1545" s="148">
        <v>32</v>
      </c>
      <c r="H1545" s="152">
        <f>IF(C1545=11700,ROUND(VLOOKUP(G1545,ThongSo!$F$2:$I$15,4,0)*B1545*11.7,3),0)</f>
        <v>0</v>
      </c>
      <c r="I1545" s="152">
        <f>IF(F1545="Sắt vụn",ROUND(VLOOKUP(G1545,ThongSo!$F$2:$I$15,4,0)*B1545*E1545/1000,3),"-")</f>
        <v>0.189</v>
      </c>
      <c r="L1545" s="150"/>
      <c r="M1545" s="150"/>
      <c r="N1545" s="150"/>
    </row>
    <row r="1546" spans="1:14" x14ac:dyDescent="0.25">
      <c r="A1546" s="159" t="s">
        <v>381</v>
      </c>
      <c r="B1546" s="160">
        <v>2</v>
      </c>
      <c r="C1546" s="160">
        <v>4680</v>
      </c>
      <c r="D1546" s="160" t="s">
        <v>4300</v>
      </c>
      <c r="E1546" s="160">
        <v>80</v>
      </c>
      <c r="F1546" s="160" t="s">
        <v>74</v>
      </c>
      <c r="G1546" s="148">
        <v>32</v>
      </c>
      <c r="H1546" s="152">
        <f>IF(C1546=11700,ROUND(VLOOKUP(G1546,ThongSo!$F$2:$I$15,4,0)*B1546*11.7,3),0)</f>
        <v>0</v>
      </c>
      <c r="I1546" s="152">
        <f>IF(F1546="Sắt vụn",ROUND(VLOOKUP(G1546,ThongSo!$F$2:$I$15,4,0)*B1546*E1546/1000,3),"-")</f>
        <v>1.01</v>
      </c>
      <c r="L1546" s="150"/>
      <c r="M1546" s="150"/>
      <c r="N1546" s="150"/>
    </row>
    <row r="1547" spans="1:14" x14ac:dyDescent="0.25">
      <c r="A1547" s="159" t="s">
        <v>381</v>
      </c>
      <c r="B1547" s="160">
        <v>2</v>
      </c>
      <c r="C1547" s="160">
        <v>4680</v>
      </c>
      <c r="D1547" s="160" t="s">
        <v>4301</v>
      </c>
      <c r="E1547" s="160">
        <v>80</v>
      </c>
      <c r="F1547" s="160" t="s">
        <v>74</v>
      </c>
      <c r="G1547" s="148">
        <v>32</v>
      </c>
      <c r="H1547" s="152">
        <f>IF(C1547=11700,ROUND(VLOOKUP(G1547,ThongSo!$F$2:$I$15,4,0)*B1547*11.7,3),0)</f>
        <v>0</v>
      </c>
      <c r="I1547" s="152">
        <f>IF(F1547="Sắt vụn",ROUND(VLOOKUP(G1547,ThongSo!$F$2:$I$15,4,0)*B1547*E1547/1000,3),"-")</f>
        <v>1.01</v>
      </c>
      <c r="L1547" s="150"/>
      <c r="M1547" s="150"/>
      <c r="N1547" s="150"/>
    </row>
    <row r="1548" spans="1:14" x14ac:dyDescent="0.25">
      <c r="A1548" s="159" t="s">
        <v>381</v>
      </c>
      <c r="B1548" s="160">
        <v>6</v>
      </c>
      <c r="C1548" s="160">
        <v>4680</v>
      </c>
      <c r="D1548" s="160" t="s">
        <v>4302</v>
      </c>
      <c r="E1548" s="160">
        <v>130</v>
      </c>
      <c r="F1548" s="160" t="s">
        <v>74</v>
      </c>
      <c r="G1548" s="148">
        <v>32</v>
      </c>
      <c r="H1548" s="152">
        <f>IF(C1548=11700,ROUND(VLOOKUP(G1548,ThongSo!$F$2:$I$15,4,0)*B1548*11.7,3),0)</f>
        <v>0</v>
      </c>
      <c r="I1548" s="152">
        <f>IF(F1548="Sắt vụn",ROUND(VLOOKUP(G1548,ThongSo!$F$2:$I$15,4,0)*B1548*E1548/1000,3),"-")</f>
        <v>4.9219999999999997</v>
      </c>
      <c r="L1548" s="150"/>
      <c r="M1548" s="150"/>
      <c r="N1548" s="150"/>
    </row>
    <row r="1549" spans="1:14" x14ac:dyDescent="0.25">
      <c r="A1549" s="159" t="s">
        <v>381</v>
      </c>
      <c r="B1549" s="160">
        <v>5</v>
      </c>
      <c r="C1549" s="160">
        <v>4680</v>
      </c>
      <c r="D1549" s="160" t="s">
        <v>4303</v>
      </c>
      <c r="E1549" s="160">
        <v>160</v>
      </c>
      <c r="F1549" s="160" t="s">
        <v>74</v>
      </c>
      <c r="G1549" s="148">
        <v>32</v>
      </c>
      <c r="H1549" s="152">
        <f>IF(C1549=11700,ROUND(VLOOKUP(G1549,ThongSo!$F$2:$I$15,4,0)*B1549*11.7,3),0)</f>
        <v>0</v>
      </c>
      <c r="I1549" s="152">
        <f>IF(F1549="Sắt vụn",ROUND(VLOOKUP(G1549,ThongSo!$F$2:$I$15,4,0)*B1549*E1549/1000,3),"-")</f>
        <v>5.048</v>
      </c>
      <c r="L1549" s="150"/>
      <c r="M1549" s="150"/>
      <c r="N1549" s="150"/>
    </row>
    <row r="1550" spans="1:14" x14ac:dyDescent="0.25">
      <c r="A1550" s="159" t="s">
        <v>381</v>
      </c>
      <c r="B1550" s="160">
        <v>4</v>
      </c>
      <c r="C1550" s="160">
        <v>4680</v>
      </c>
      <c r="D1550" s="160" t="s">
        <v>4304</v>
      </c>
      <c r="E1550" s="160">
        <v>160</v>
      </c>
      <c r="F1550" s="160" t="s">
        <v>74</v>
      </c>
      <c r="G1550" s="148">
        <v>32</v>
      </c>
      <c r="H1550" s="152">
        <f>IF(C1550=11700,ROUND(VLOOKUP(G1550,ThongSo!$F$2:$I$15,4,0)*B1550*11.7,3),0)</f>
        <v>0</v>
      </c>
      <c r="I1550" s="152">
        <f>IF(F1550="Sắt vụn",ROUND(VLOOKUP(G1550,ThongSo!$F$2:$I$15,4,0)*B1550*E1550/1000,3),"-")</f>
        <v>4.0380000000000003</v>
      </c>
      <c r="L1550" s="150"/>
      <c r="M1550" s="150"/>
      <c r="N1550" s="150"/>
    </row>
    <row r="1551" spans="1:14" x14ac:dyDescent="0.25">
      <c r="A1551" s="159" t="s">
        <v>381</v>
      </c>
      <c r="B1551" s="160">
        <v>5</v>
      </c>
      <c r="C1551" s="160">
        <v>4680</v>
      </c>
      <c r="D1551" s="160" t="s">
        <v>4305</v>
      </c>
      <c r="E1551" s="160">
        <v>160</v>
      </c>
      <c r="F1551" s="160" t="s">
        <v>74</v>
      </c>
      <c r="G1551" s="148">
        <v>32</v>
      </c>
      <c r="H1551" s="152">
        <f>IF(C1551=11700,ROUND(VLOOKUP(G1551,ThongSo!$F$2:$I$15,4,0)*B1551*11.7,3),0)</f>
        <v>0</v>
      </c>
      <c r="I1551" s="152">
        <f>IF(F1551="Sắt vụn",ROUND(VLOOKUP(G1551,ThongSo!$F$2:$I$15,4,0)*B1551*E1551/1000,3),"-")</f>
        <v>5.048</v>
      </c>
      <c r="L1551" s="150"/>
      <c r="M1551" s="150"/>
      <c r="N1551" s="150"/>
    </row>
    <row r="1552" spans="1:14" x14ac:dyDescent="0.25">
      <c r="A1552" s="159" t="s">
        <v>381</v>
      </c>
      <c r="B1552" s="160">
        <v>17</v>
      </c>
      <c r="C1552" s="160">
        <v>4680</v>
      </c>
      <c r="D1552" s="160" t="s">
        <v>4306</v>
      </c>
      <c r="E1552" s="160">
        <v>210</v>
      </c>
      <c r="F1552" s="160" t="s">
        <v>74</v>
      </c>
      <c r="G1552" s="148">
        <v>32</v>
      </c>
      <c r="H1552" s="152">
        <f>IF(C1552=11700,ROUND(VLOOKUP(G1552,ThongSo!$F$2:$I$15,4,0)*B1552*11.7,3),0)</f>
        <v>0</v>
      </c>
      <c r="I1552" s="152">
        <f>IF(F1552="Sắt vụn",ROUND(VLOOKUP(G1552,ThongSo!$F$2:$I$15,4,0)*B1552*E1552/1000,3),"-")</f>
        <v>22.527000000000001</v>
      </c>
      <c r="L1552" s="150"/>
      <c r="M1552" s="150"/>
      <c r="N1552" s="150"/>
    </row>
    <row r="1553" spans="1:14" x14ac:dyDescent="0.25">
      <c r="A1553" s="159" t="s">
        <v>381</v>
      </c>
      <c r="B1553" s="160">
        <v>14</v>
      </c>
      <c r="C1553" s="160">
        <v>4680</v>
      </c>
      <c r="D1553" s="160" t="s">
        <v>4307</v>
      </c>
      <c r="E1553" s="160">
        <v>215</v>
      </c>
      <c r="F1553" s="160" t="s">
        <v>74</v>
      </c>
      <c r="G1553" s="148">
        <v>32</v>
      </c>
      <c r="H1553" s="152">
        <f>IF(C1553=11700,ROUND(VLOOKUP(G1553,ThongSo!$F$2:$I$15,4,0)*B1553*11.7,3),0)</f>
        <v>0</v>
      </c>
      <c r="I1553" s="152">
        <f>IF(F1553="Sắt vụn",ROUND(VLOOKUP(G1553,ThongSo!$F$2:$I$15,4,0)*B1553*E1553/1000,3),"-")</f>
        <v>18.992999999999999</v>
      </c>
      <c r="L1553" s="150"/>
      <c r="M1553" s="150"/>
      <c r="N1553" s="150"/>
    </row>
    <row r="1554" spans="1:14" x14ac:dyDescent="0.25">
      <c r="A1554" s="159" t="s">
        <v>246</v>
      </c>
      <c r="B1554" s="160">
        <v>3</v>
      </c>
      <c r="C1554" s="160">
        <v>4700</v>
      </c>
      <c r="D1554" s="160" t="s">
        <v>4308</v>
      </c>
      <c r="E1554" s="160">
        <v>0</v>
      </c>
      <c r="F1554" s="160"/>
      <c r="G1554" s="148">
        <v>32</v>
      </c>
      <c r="H1554" s="152">
        <f>IF(C1554=11700,ROUND(VLOOKUP(G1554,ThongSo!$F$2:$I$15,4,0)*B1554*11.7,3),0)</f>
        <v>0</v>
      </c>
      <c r="I1554" s="152" t="str">
        <f>IF(F1554="Sắt vụn",ROUND(VLOOKUP(G1554,ThongSo!$F$2:$I$15,4,0)*B1554*E1554/1000,3),"-")</f>
        <v>-</v>
      </c>
      <c r="L1554" s="150"/>
      <c r="M1554" s="150"/>
      <c r="N1554" s="150"/>
    </row>
    <row r="1555" spans="1:14" x14ac:dyDescent="0.25">
      <c r="A1555" s="159" t="s">
        <v>233</v>
      </c>
      <c r="B1555" s="160">
        <v>2</v>
      </c>
      <c r="C1555" s="160">
        <v>4760</v>
      </c>
      <c r="D1555" s="160" t="s">
        <v>4309</v>
      </c>
      <c r="E1555" s="160">
        <v>35</v>
      </c>
      <c r="F1555" s="160" t="s">
        <v>74</v>
      </c>
      <c r="G1555" s="148">
        <v>32</v>
      </c>
      <c r="H1555" s="152">
        <f>IF(C1555=11700,ROUND(VLOOKUP(G1555,ThongSo!$F$2:$I$15,4,0)*B1555*11.7,3),0)</f>
        <v>0</v>
      </c>
      <c r="I1555" s="152">
        <f>IF(F1555="Sắt vụn",ROUND(VLOOKUP(G1555,ThongSo!$F$2:$I$15,4,0)*B1555*E1555/1000,3),"-")</f>
        <v>0.442</v>
      </c>
      <c r="L1555" s="150"/>
      <c r="M1555" s="150"/>
      <c r="N1555" s="150"/>
    </row>
    <row r="1556" spans="1:14" x14ac:dyDescent="0.25">
      <c r="A1556" s="159" t="s">
        <v>198</v>
      </c>
      <c r="B1556" s="160">
        <v>3</v>
      </c>
      <c r="C1556" s="160">
        <v>4800</v>
      </c>
      <c r="D1556" s="160" t="s">
        <v>4310</v>
      </c>
      <c r="E1556" s="160">
        <v>5</v>
      </c>
      <c r="F1556" s="160" t="s">
        <v>74</v>
      </c>
      <c r="G1556" s="148">
        <v>32</v>
      </c>
      <c r="H1556" s="152">
        <f>IF(C1556=11700,ROUND(VLOOKUP(G1556,ThongSo!$F$2:$I$15,4,0)*B1556*11.7,3),0)</f>
        <v>0</v>
      </c>
      <c r="I1556" s="152">
        <f>IF(F1556="Sắt vụn",ROUND(VLOOKUP(G1556,ThongSo!$F$2:$I$15,4,0)*B1556*E1556/1000,3),"-")</f>
        <v>9.5000000000000001E-2</v>
      </c>
      <c r="L1556" s="150"/>
      <c r="M1556" s="150"/>
      <c r="N1556" s="150"/>
    </row>
    <row r="1557" spans="1:14" x14ac:dyDescent="0.25">
      <c r="A1557" s="159" t="s">
        <v>200</v>
      </c>
      <c r="B1557" s="160">
        <v>6</v>
      </c>
      <c r="C1557" s="160">
        <v>4860</v>
      </c>
      <c r="D1557" s="160" t="s">
        <v>4310</v>
      </c>
      <c r="E1557" s="160">
        <v>65</v>
      </c>
      <c r="F1557" s="160" t="s">
        <v>74</v>
      </c>
      <c r="G1557" s="148">
        <v>32</v>
      </c>
      <c r="H1557" s="152">
        <f>IF(C1557=11700,ROUND(VLOOKUP(G1557,ThongSo!$F$2:$I$15,4,0)*B1557*11.7,3),0)</f>
        <v>0</v>
      </c>
      <c r="I1557" s="152">
        <f>IF(F1557="Sắt vụn",ROUND(VLOOKUP(G1557,ThongSo!$F$2:$I$15,4,0)*B1557*E1557/1000,3),"-")</f>
        <v>2.4609999999999999</v>
      </c>
      <c r="L1557" s="150"/>
      <c r="M1557" s="150"/>
      <c r="N1557" s="150"/>
    </row>
    <row r="1558" spans="1:14" x14ac:dyDescent="0.25">
      <c r="A1558" s="159" t="s">
        <v>200</v>
      </c>
      <c r="B1558" s="160">
        <v>1</v>
      </c>
      <c r="C1558" s="160">
        <v>4860</v>
      </c>
      <c r="D1558" s="160" t="s">
        <v>4311</v>
      </c>
      <c r="E1558" s="160">
        <v>80</v>
      </c>
      <c r="F1558" s="160" t="s">
        <v>74</v>
      </c>
      <c r="G1558" s="148">
        <v>32</v>
      </c>
      <c r="H1558" s="152">
        <f>IF(C1558=11700,ROUND(VLOOKUP(G1558,ThongSo!$F$2:$I$15,4,0)*B1558*11.7,3),0)</f>
        <v>0</v>
      </c>
      <c r="I1558" s="152">
        <f>IF(F1558="Sắt vụn",ROUND(VLOOKUP(G1558,ThongSo!$F$2:$I$15,4,0)*B1558*E1558/1000,3),"-")</f>
        <v>0.505</v>
      </c>
      <c r="L1558" s="150"/>
      <c r="M1558" s="150"/>
      <c r="N1558" s="150"/>
    </row>
    <row r="1559" spans="1:14" x14ac:dyDescent="0.25">
      <c r="A1559" s="159" t="s">
        <v>316</v>
      </c>
      <c r="B1559" s="160">
        <v>2</v>
      </c>
      <c r="C1559" s="160">
        <v>4970</v>
      </c>
      <c r="D1559" s="160" t="s">
        <v>4312</v>
      </c>
      <c r="E1559" s="160">
        <v>0</v>
      </c>
      <c r="F1559" s="160"/>
      <c r="G1559" s="148">
        <v>32</v>
      </c>
      <c r="H1559" s="152">
        <f>IF(C1559=11700,ROUND(VLOOKUP(G1559,ThongSo!$F$2:$I$15,4,0)*B1559*11.7,3),0)</f>
        <v>0</v>
      </c>
      <c r="I1559" s="152" t="str">
        <f>IF(F1559="Sắt vụn",ROUND(VLOOKUP(G1559,ThongSo!$F$2:$I$15,4,0)*B1559*E1559/1000,3),"-")</f>
        <v>-</v>
      </c>
      <c r="L1559" s="150"/>
      <c r="M1559" s="150"/>
      <c r="N1559" s="150"/>
    </row>
    <row r="1560" spans="1:14" x14ac:dyDescent="0.25">
      <c r="A1560" s="159" t="s">
        <v>364</v>
      </c>
      <c r="B1560" s="160">
        <v>2</v>
      </c>
      <c r="C1560" s="160">
        <v>5000</v>
      </c>
      <c r="D1560" s="160" t="s">
        <v>4313</v>
      </c>
      <c r="E1560" s="160">
        <v>50</v>
      </c>
      <c r="F1560" s="160" t="s">
        <v>74</v>
      </c>
      <c r="G1560" s="148">
        <v>32</v>
      </c>
      <c r="H1560" s="152">
        <f>IF(C1560=11700,ROUND(VLOOKUP(G1560,ThongSo!$F$2:$I$15,4,0)*B1560*11.7,3),0)</f>
        <v>0</v>
      </c>
      <c r="I1560" s="152">
        <f>IF(F1560="Sắt vụn",ROUND(VLOOKUP(G1560,ThongSo!$F$2:$I$15,4,0)*B1560*E1560/1000,3),"-")</f>
        <v>0.63100000000000001</v>
      </c>
      <c r="L1560" s="150"/>
      <c r="M1560" s="150"/>
      <c r="N1560" s="150"/>
    </row>
    <row r="1561" spans="1:14" x14ac:dyDescent="0.25">
      <c r="A1561" s="159" t="s">
        <v>235</v>
      </c>
      <c r="B1561" s="160">
        <v>4</v>
      </c>
      <c r="C1561" s="160">
        <v>5100</v>
      </c>
      <c r="D1561" s="160" t="s">
        <v>4314</v>
      </c>
      <c r="E1561" s="160">
        <v>50</v>
      </c>
      <c r="F1561" s="160" t="s">
        <v>74</v>
      </c>
      <c r="G1561" s="148">
        <v>32</v>
      </c>
      <c r="H1561" s="152">
        <f>IF(C1561=11700,ROUND(VLOOKUP(G1561,ThongSo!$F$2:$I$15,4,0)*B1561*11.7,3),0)</f>
        <v>0</v>
      </c>
      <c r="I1561" s="152">
        <f>IF(F1561="Sắt vụn",ROUND(VLOOKUP(G1561,ThongSo!$F$2:$I$15,4,0)*B1561*E1561/1000,3),"-")</f>
        <v>1.262</v>
      </c>
      <c r="L1561" s="150"/>
      <c r="M1561" s="150"/>
      <c r="N1561" s="150"/>
    </row>
    <row r="1562" spans="1:14" x14ac:dyDescent="0.25">
      <c r="A1562" s="159" t="s">
        <v>375</v>
      </c>
      <c r="B1562" s="160">
        <v>2</v>
      </c>
      <c r="C1562" s="160">
        <v>5120</v>
      </c>
      <c r="D1562" s="160" t="s">
        <v>4314</v>
      </c>
      <c r="E1562" s="160">
        <v>70</v>
      </c>
      <c r="F1562" s="160" t="s">
        <v>74</v>
      </c>
      <c r="G1562" s="148">
        <v>32</v>
      </c>
      <c r="H1562" s="152">
        <f>IF(C1562=11700,ROUND(VLOOKUP(G1562,ThongSo!$F$2:$I$15,4,0)*B1562*11.7,3),0)</f>
        <v>0</v>
      </c>
      <c r="I1562" s="152">
        <f>IF(F1562="Sắt vụn",ROUND(VLOOKUP(G1562,ThongSo!$F$2:$I$15,4,0)*B1562*E1562/1000,3),"-")</f>
        <v>0.88300000000000001</v>
      </c>
      <c r="L1562" s="150"/>
      <c r="M1562" s="150"/>
      <c r="N1562" s="150"/>
    </row>
    <row r="1563" spans="1:14" x14ac:dyDescent="0.25">
      <c r="A1563" s="159" t="s">
        <v>133</v>
      </c>
      <c r="B1563" s="160">
        <v>1</v>
      </c>
      <c r="C1563" s="160">
        <v>5200</v>
      </c>
      <c r="D1563" s="160" t="s">
        <v>4315</v>
      </c>
      <c r="E1563" s="160">
        <v>50</v>
      </c>
      <c r="F1563" s="160" t="s">
        <v>74</v>
      </c>
      <c r="G1563" s="148">
        <v>32</v>
      </c>
      <c r="H1563" s="152">
        <f>IF(C1563=11700,ROUND(VLOOKUP(G1563,ThongSo!$F$2:$I$15,4,0)*B1563*11.7,3),0)</f>
        <v>0</v>
      </c>
      <c r="I1563" s="152">
        <f>IF(F1563="Sắt vụn",ROUND(VLOOKUP(G1563,ThongSo!$F$2:$I$15,4,0)*B1563*E1563/1000,3),"-")</f>
        <v>0.316</v>
      </c>
      <c r="L1563" s="150"/>
      <c r="M1563" s="150"/>
      <c r="N1563" s="150"/>
    </row>
    <row r="1564" spans="1:14" x14ac:dyDescent="0.25">
      <c r="A1564" s="159" t="s">
        <v>319</v>
      </c>
      <c r="B1564" s="160">
        <v>1</v>
      </c>
      <c r="C1564" s="160">
        <v>5350</v>
      </c>
      <c r="D1564" s="160" t="s">
        <v>4316</v>
      </c>
      <c r="E1564" s="160">
        <v>105</v>
      </c>
      <c r="F1564" s="160" t="s">
        <v>74</v>
      </c>
      <c r="G1564" s="148">
        <v>32</v>
      </c>
      <c r="H1564" s="152">
        <f>IF(C1564=11700,ROUND(VLOOKUP(G1564,ThongSo!$F$2:$I$15,4,0)*B1564*11.7,3),0)</f>
        <v>0</v>
      </c>
      <c r="I1564" s="152">
        <f>IF(F1564="Sắt vụn",ROUND(VLOOKUP(G1564,ThongSo!$F$2:$I$15,4,0)*B1564*E1564/1000,3),"-")</f>
        <v>0.66300000000000003</v>
      </c>
      <c r="L1564" s="150"/>
      <c r="M1564" s="150"/>
      <c r="N1564" s="150"/>
    </row>
    <row r="1565" spans="1:14" x14ac:dyDescent="0.25">
      <c r="A1565" s="159" t="s">
        <v>214</v>
      </c>
      <c r="B1565" s="160">
        <v>2</v>
      </c>
      <c r="C1565" s="160">
        <v>5410</v>
      </c>
      <c r="D1565" s="160" t="s">
        <v>4317</v>
      </c>
      <c r="E1565" s="160">
        <v>35</v>
      </c>
      <c r="F1565" s="160" t="s">
        <v>74</v>
      </c>
      <c r="G1565" s="148">
        <v>32</v>
      </c>
      <c r="H1565" s="152">
        <f>IF(C1565=11700,ROUND(VLOOKUP(G1565,ThongSo!$F$2:$I$15,4,0)*B1565*11.7,3),0)</f>
        <v>0</v>
      </c>
      <c r="I1565" s="152">
        <f>IF(F1565="Sắt vụn",ROUND(VLOOKUP(G1565,ThongSo!$F$2:$I$15,4,0)*B1565*E1565/1000,3),"-")</f>
        <v>0.442</v>
      </c>
      <c r="L1565" s="150"/>
      <c r="M1565" s="150"/>
      <c r="N1565" s="150"/>
    </row>
    <row r="1566" spans="1:14" x14ac:dyDescent="0.25">
      <c r="A1566" s="159" t="s">
        <v>4290</v>
      </c>
      <c r="B1566" s="160">
        <v>2</v>
      </c>
      <c r="C1566" s="160">
        <v>5420</v>
      </c>
      <c r="D1566" s="160" t="s">
        <v>4317</v>
      </c>
      <c r="E1566" s="160">
        <v>45</v>
      </c>
      <c r="F1566" s="160" t="s">
        <v>74</v>
      </c>
      <c r="G1566" s="148">
        <v>32</v>
      </c>
      <c r="H1566" s="152">
        <f>IF(C1566=11700,ROUND(VLOOKUP(G1566,ThongSo!$F$2:$I$15,4,0)*B1566*11.7,3),0)</f>
        <v>0</v>
      </c>
      <c r="I1566" s="152">
        <f>IF(F1566="Sắt vụn",ROUND(VLOOKUP(G1566,ThongSo!$F$2:$I$15,4,0)*B1566*E1566/1000,3),"-")</f>
        <v>0.56799999999999995</v>
      </c>
      <c r="L1566" s="150"/>
      <c r="M1566" s="150"/>
      <c r="N1566" s="150"/>
    </row>
    <row r="1567" spans="1:14" x14ac:dyDescent="0.25">
      <c r="A1567" s="159" t="s">
        <v>4291</v>
      </c>
      <c r="B1567" s="160">
        <v>5</v>
      </c>
      <c r="C1567" s="160">
        <v>5445</v>
      </c>
      <c r="D1567" s="160" t="s">
        <v>4317</v>
      </c>
      <c r="E1567" s="160">
        <v>70</v>
      </c>
      <c r="F1567" s="160" t="s">
        <v>74</v>
      </c>
      <c r="G1567" s="148">
        <v>32</v>
      </c>
      <c r="H1567" s="152">
        <f>IF(C1567=11700,ROUND(VLOOKUP(G1567,ThongSo!$F$2:$I$15,4,0)*B1567*11.7,3),0)</f>
        <v>0</v>
      </c>
      <c r="I1567" s="152">
        <f>IF(F1567="Sắt vụn",ROUND(VLOOKUP(G1567,ThongSo!$F$2:$I$15,4,0)*B1567*E1567/1000,3),"-")</f>
        <v>2.2090000000000001</v>
      </c>
      <c r="L1567" s="150"/>
      <c r="M1567" s="150"/>
      <c r="N1567" s="150"/>
    </row>
    <row r="1568" spans="1:14" x14ac:dyDescent="0.25">
      <c r="A1568" s="159" t="s">
        <v>205</v>
      </c>
      <c r="B1568" s="160">
        <v>1</v>
      </c>
      <c r="C1568" s="160">
        <v>5450</v>
      </c>
      <c r="D1568" s="160" t="s">
        <v>4317</v>
      </c>
      <c r="E1568" s="160">
        <v>75</v>
      </c>
      <c r="F1568" s="160" t="s">
        <v>74</v>
      </c>
      <c r="G1568" s="148">
        <v>32</v>
      </c>
      <c r="H1568" s="152">
        <f>IF(C1568=11700,ROUND(VLOOKUP(G1568,ThongSo!$F$2:$I$15,4,0)*B1568*11.7,3),0)</f>
        <v>0</v>
      </c>
      <c r="I1568" s="152">
        <f>IF(F1568="Sắt vụn",ROUND(VLOOKUP(G1568,ThongSo!$F$2:$I$15,4,0)*B1568*E1568/1000,3),"-")</f>
        <v>0.47299999999999998</v>
      </c>
      <c r="L1568" s="150"/>
      <c r="M1568" s="150"/>
      <c r="N1568" s="150"/>
    </row>
    <row r="1569" spans="1:14" x14ac:dyDescent="0.25">
      <c r="A1569" s="159" t="s">
        <v>205</v>
      </c>
      <c r="B1569" s="160">
        <v>1</v>
      </c>
      <c r="C1569" s="160">
        <v>5450</v>
      </c>
      <c r="D1569" s="160" t="s">
        <v>4316</v>
      </c>
      <c r="E1569" s="160">
        <v>205</v>
      </c>
      <c r="F1569" s="160" t="s">
        <v>74</v>
      </c>
      <c r="G1569" s="148">
        <v>32</v>
      </c>
      <c r="H1569" s="152">
        <f>IF(C1569=11700,ROUND(VLOOKUP(G1569,ThongSo!$F$2:$I$15,4,0)*B1569*11.7,3),0)</f>
        <v>0</v>
      </c>
      <c r="I1569" s="152">
        <f>IF(F1569="Sắt vụn",ROUND(VLOOKUP(G1569,ThongSo!$F$2:$I$15,4,0)*B1569*E1569/1000,3),"-")</f>
        <v>1.294</v>
      </c>
      <c r="L1569" s="150"/>
      <c r="M1569" s="150"/>
      <c r="N1569" s="150"/>
    </row>
    <row r="1570" spans="1:14" x14ac:dyDescent="0.25">
      <c r="A1570" s="159" t="s">
        <v>371</v>
      </c>
      <c r="B1570" s="160">
        <v>6</v>
      </c>
      <c r="C1570" s="160">
        <v>5460</v>
      </c>
      <c r="D1570" s="160" t="s">
        <v>4316</v>
      </c>
      <c r="E1570" s="160">
        <v>215</v>
      </c>
      <c r="F1570" s="160" t="s">
        <v>74</v>
      </c>
      <c r="G1570" s="148">
        <v>32</v>
      </c>
      <c r="H1570" s="152">
        <f>IF(C1570=11700,ROUND(VLOOKUP(G1570,ThongSo!$F$2:$I$15,4,0)*B1570*11.7,3),0)</f>
        <v>0</v>
      </c>
      <c r="I1570" s="152">
        <f>IF(F1570="Sắt vụn",ROUND(VLOOKUP(G1570,ThongSo!$F$2:$I$15,4,0)*B1570*E1570/1000,3),"-")</f>
        <v>8.14</v>
      </c>
      <c r="L1570" s="150"/>
      <c r="M1570" s="150"/>
      <c r="N1570" s="150"/>
    </row>
    <row r="1571" spans="1:14" x14ac:dyDescent="0.25">
      <c r="A1571" s="159" t="s">
        <v>207</v>
      </c>
      <c r="B1571" s="160">
        <v>4</v>
      </c>
      <c r="C1571" s="160">
        <v>5560</v>
      </c>
      <c r="D1571" s="160" t="s">
        <v>4318</v>
      </c>
      <c r="E1571" s="160">
        <v>45</v>
      </c>
      <c r="F1571" s="160" t="s">
        <v>74</v>
      </c>
      <c r="G1571" s="148">
        <v>32</v>
      </c>
      <c r="H1571" s="152">
        <f>IF(C1571=11700,ROUND(VLOOKUP(G1571,ThongSo!$F$2:$I$15,4,0)*B1571*11.7,3),0)</f>
        <v>0</v>
      </c>
      <c r="I1571" s="152">
        <f>IF(F1571="Sắt vụn",ROUND(VLOOKUP(G1571,ThongSo!$F$2:$I$15,4,0)*B1571*E1571/1000,3),"-")</f>
        <v>1.1359999999999999</v>
      </c>
      <c r="L1571" s="150"/>
      <c r="M1571" s="150"/>
      <c r="N1571" s="150"/>
    </row>
    <row r="1572" spans="1:14" x14ac:dyDescent="0.25">
      <c r="A1572" s="159" t="s">
        <v>175</v>
      </c>
      <c r="B1572" s="160">
        <v>6</v>
      </c>
      <c r="C1572" s="160">
        <v>5645</v>
      </c>
      <c r="D1572" s="160" t="s">
        <v>4319</v>
      </c>
      <c r="E1572" s="160">
        <v>50</v>
      </c>
      <c r="F1572" s="160" t="s">
        <v>74</v>
      </c>
      <c r="G1572" s="148">
        <v>32</v>
      </c>
      <c r="H1572" s="152">
        <f>IF(C1572=11700,ROUND(VLOOKUP(G1572,ThongSo!$F$2:$I$15,4,0)*B1572*11.7,3),0)</f>
        <v>0</v>
      </c>
      <c r="I1572" s="152">
        <f>IF(F1572="Sắt vụn",ROUND(VLOOKUP(G1572,ThongSo!$F$2:$I$15,4,0)*B1572*E1572/1000,3),"-")</f>
        <v>1.893</v>
      </c>
      <c r="L1572" s="150"/>
      <c r="M1572" s="150"/>
      <c r="N1572" s="150"/>
    </row>
    <row r="1573" spans="1:14" x14ac:dyDescent="0.25">
      <c r="A1573" s="159" t="s">
        <v>4292</v>
      </c>
      <c r="B1573" s="160">
        <v>4</v>
      </c>
      <c r="C1573" s="160">
        <v>5685</v>
      </c>
      <c r="D1573" s="160" t="s">
        <v>4319</v>
      </c>
      <c r="E1573" s="160">
        <v>90</v>
      </c>
      <c r="F1573" s="160" t="s">
        <v>74</v>
      </c>
      <c r="G1573" s="148">
        <v>32</v>
      </c>
      <c r="H1573" s="152">
        <f>IF(C1573=11700,ROUND(VLOOKUP(G1573,ThongSo!$F$2:$I$15,4,0)*B1573*11.7,3),0)</f>
        <v>0</v>
      </c>
      <c r="I1573" s="152">
        <f>IF(F1573="Sắt vụn",ROUND(VLOOKUP(G1573,ThongSo!$F$2:$I$15,4,0)*B1573*E1573/1000,3),"-")</f>
        <v>2.2719999999999998</v>
      </c>
      <c r="L1573" s="150"/>
      <c r="M1573" s="150"/>
      <c r="N1573" s="150"/>
    </row>
    <row r="1574" spans="1:14" x14ac:dyDescent="0.25">
      <c r="A1574" s="159" t="s">
        <v>320</v>
      </c>
      <c r="B1574" s="160">
        <v>1</v>
      </c>
      <c r="C1574" s="160">
        <v>5700</v>
      </c>
      <c r="D1574" s="160" t="s">
        <v>4319</v>
      </c>
      <c r="E1574" s="160">
        <v>105</v>
      </c>
      <c r="F1574" s="160" t="s">
        <v>74</v>
      </c>
      <c r="G1574" s="148">
        <v>32</v>
      </c>
      <c r="H1574" s="152">
        <f>IF(C1574=11700,ROUND(VLOOKUP(G1574,ThongSo!$F$2:$I$15,4,0)*B1574*11.7,3),0)</f>
        <v>0</v>
      </c>
      <c r="I1574" s="152">
        <f>IF(F1574="Sắt vụn",ROUND(VLOOKUP(G1574,ThongSo!$F$2:$I$15,4,0)*B1574*E1574/1000,3),"-")</f>
        <v>0.66300000000000003</v>
      </c>
      <c r="L1574" s="150"/>
      <c r="M1574" s="150"/>
      <c r="N1574" s="150"/>
    </row>
    <row r="1575" spans="1:14" x14ac:dyDescent="0.25">
      <c r="A1575" s="159" t="s">
        <v>320</v>
      </c>
      <c r="B1575" s="160">
        <v>1</v>
      </c>
      <c r="C1575" s="160">
        <v>5700</v>
      </c>
      <c r="D1575" s="160" t="s">
        <v>4320</v>
      </c>
      <c r="E1575" s="160">
        <v>125</v>
      </c>
      <c r="F1575" s="160" t="s">
        <v>74</v>
      </c>
      <c r="G1575" s="148">
        <v>32</v>
      </c>
      <c r="H1575" s="152">
        <f>IF(C1575=11700,ROUND(VLOOKUP(G1575,ThongSo!$F$2:$I$15,4,0)*B1575*11.7,3),0)</f>
        <v>0</v>
      </c>
      <c r="I1575" s="152">
        <f>IF(F1575="Sắt vụn",ROUND(VLOOKUP(G1575,ThongSo!$F$2:$I$15,4,0)*B1575*E1575/1000,3),"-")</f>
        <v>0.78900000000000003</v>
      </c>
      <c r="L1575" s="150"/>
      <c r="M1575" s="150"/>
      <c r="N1575" s="150"/>
    </row>
    <row r="1576" spans="1:14" x14ac:dyDescent="0.25">
      <c r="A1576" s="159" t="s">
        <v>315</v>
      </c>
      <c r="B1576" s="160">
        <v>2</v>
      </c>
      <c r="C1576" s="160">
        <v>5760</v>
      </c>
      <c r="D1576" s="160" t="s">
        <v>4321</v>
      </c>
      <c r="E1576" s="160">
        <v>40</v>
      </c>
      <c r="F1576" s="160" t="s">
        <v>74</v>
      </c>
      <c r="G1576" s="148">
        <v>32</v>
      </c>
      <c r="H1576" s="152">
        <f>IF(C1576=11700,ROUND(VLOOKUP(G1576,ThongSo!$F$2:$I$15,4,0)*B1576*11.7,3),0)</f>
        <v>0</v>
      </c>
      <c r="I1576" s="152">
        <f>IF(F1576="Sắt vụn",ROUND(VLOOKUP(G1576,ThongSo!$F$2:$I$15,4,0)*B1576*E1576/1000,3),"-")</f>
        <v>0.505</v>
      </c>
      <c r="L1576" s="150"/>
      <c r="M1576" s="150"/>
      <c r="N1576" s="150"/>
    </row>
    <row r="1577" spans="1:14" x14ac:dyDescent="0.25">
      <c r="A1577" s="159" t="s">
        <v>4293</v>
      </c>
      <c r="B1577" s="160">
        <v>7</v>
      </c>
      <c r="C1577" s="160">
        <v>5775</v>
      </c>
      <c r="D1577" s="160" t="s">
        <v>4321</v>
      </c>
      <c r="E1577" s="160">
        <v>55</v>
      </c>
      <c r="F1577" s="160" t="s">
        <v>74</v>
      </c>
      <c r="G1577" s="148">
        <v>32</v>
      </c>
      <c r="H1577" s="152">
        <f>IF(C1577=11700,ROUND(VLOOKUP(G1577,ThongSo!$F$2:$I$15,4,0)*B1577*11.7,3),0)</f>
        <v>0</v>
      </c>
      <c r="I1577" s="152">
        <f>IF(F1577="Sắt vụn",ROUND(VLOOKUP(G1577,ThongSo!$F$2:$I$15,4,0)*B1577*E1577/1000,3),"-")</f>
        <v>2.4289999999999998</v>
      </c>
      <c r="L1577" s="150"/>
      <c r="M1577" s="150"/>
      <c r="N1577" s="150"/>
    </row>
    <row r="1578" spans="1:14" x14ac:dyDescent="0.25">
      <c r="A1578" s="159" t="s">
        <v>321</v>
      </c>
      <c r="B1578" s="160">
        <v>1</v>
      </c>
      <c r="C1578" s="160">
        <v>5900</v>
      </c>
      <c r="D1578" s="160" t="s">
        <v>4322</v>
      </c>
      <c r="E1578" s="160">
        <v>50</v>
      </c>
      <c r="F1578" s="160" t="s">
        <v>74</v>
      </c>
      <c r="G1578" s="148">
        <v>32</v>
      </c>
      <c r="H1578" s="152">
        <f>IF(C1578=11700,ROUND(VLOOKUP(G1578,ThongSo!$F$2:$I$15,4,0)*B1578*11.7,3),0)</f>
        <v>0</v>
      </c>
      <c r="I1578" s="152">
        <f>IF(F1578="Sắt vụn",ROUND(VLOOKUP(G1578,ThongSo!$F$2:$I$15,4,0)*B1578*E1578/1000,3),"-")</f>
        <v>0.316</v>
      </c>
      <c r="L1578" s="150"/>
      <c r="M1578" s="150"/>
      <c r="N1578" s="150"/>
    </row>
    <row r="1579" spans="1:14" x14ac:dyDescent="0.25">
      <c r="A1579" s="159">
        <v>41</v>
      </c>
      <c r="B1579" s="160">
        <v>4</v>
      </c>
      <c r="C1579" s="160">
        <v>11700</v>
      </c>
      <c r="D1579" s="160" t="s">
        <v>4323</v>
      </c>
      <c r="E1579" s="160">
        <v>0</v>
      </c>
      <c r="F1579" s="160"/>
      <c r="G1579" s="148">
        <v>32</v>
      </c>
      <c r="H1579" s="152">
        <f>IF(C1579=11700,ROUND(VLOOKUP(G1579,ThongSo!$F$2:$I$15,4,0)*B1579*11.7,3),0)</f>
        <v>295.30799999999999</v>
      </c>
      <c r="I1579" s="152" t="str">
        <f>IF(F1579="Sắt vụn",ROUND(VLOOKUP(G1579,ThongSo!$F$2:$I$15,4,0)*B1579*E1579/1000,3),"-")</f>
        <v>-</v>
      </c>
      <c r="L1579" s="150"/>
      <c r="M1579" s="150"/>
      <c r="N1579" s="150"/>
    </row>
    <row r="1580" spans="1:14" x14ac:dyDescent="0.25">
      <c r="A1580" s="159">
        <v>42</v>
      </c>
      <c r="B1580" s="160">
        <v>2</v>
      </c>
      <c r="C1580" s="160">
        <v>11700</v>
      </c>
      <c r="D1580" s="160" t="s">
        <v>4324</v>
      </c>
      <c r="E1580" s="160">
        <v>0</v>
      </c>
      <c r="F1580" s="160"/>
      <c r="G1580" s="148">
        <v>32</v>
      </c>
      <c r="H1580" s="152">
        <f>IF(C1580=11700,ROUND(VLOOKUP(G1580,ThongSo!$F$2:$I$15,4,0)*B1580*11.7,3),0)</f>
        <v>147.654</v>
      </c>
      <c r="I1580" s="152" t="str">
        <f>IF(F1580="Sắt vụn",ROUND(VLOOKUP(G1580,ThongSo!$F$2:$I$15,4,0)*B1580*E1580/1000,3),"-")</f>
        <v>-</v>
      </c>
      <c r="L1580" s="150"/>
      <c r="M1580" s="150"/>
      <c r="N1580" s="150"/>
    </row>
    <row r="1581" spans="1:14" x14ac:dyDescent="0.25">
      <c r="A1581" s="159">
        <v>43</v>
      </c>
      <c r="B1581" s="160">
        <v>11</v>
      </c>
      <c r="C1581" s="160">
        <v>11700</v>
      </c>
      <c r="D1581" s="160" t="s">
        <v>4325</v>
      </c>
      <c r="E1581" s="160">
        <v>0</v>
      </c>
      <c r="F1581" s="160"/>
      <c r="G1581" s="148">
        <v>32</v>
      </c>
      <c r="H1581" s="152">
        <f>IF(C1581=11700,ROUND(VLOOKUP(G1581,ThongSo!$F$2:$I$15,4,0)*B1581*11.7,3),0)</f>
        <v>812.09699999999998</v>
      </c>
      <c r="I1581" s="152" t="str">
        <f>IF(F1581="Sắt vụn",ROUND(VLOOKUP(G1581,ThongSo!$F$2:$I$15,4,0)*B1581*E1581/1000,3),"-")</f>
        <v>-</v>
      </c>
      <c r="L1581" s="150"/>
      <c r="M1581" s="150"/>
      <c r="N1581" s="150"/>
    </row>
    <row r="1582" spans="1:14" x14ac:dyDescent="0.25">
      <c r="A1582" s="159">
        <v>44</v>
      </c>
      <c r="B1582" s="160">
        <v>11</v>
      </c>
      <c r="C1582" s="160">
        <v>11700</v>
      </c>
      <c r="D1582" s="160" t="s">
        <v>4326</v>
      </c>
      <c r="E1582" s="160">
        <v>0</v>
      </c>
      <c r="F1582" s="160"/>
      <c r="G1582" s="148">
        <v>32</v>
      </c>
      <c r="H1582" s="152">
        <f>IF(C1582=11700,ROUND(VLOOKUP(G1582,ThongSo!$F$2:$I$15,4,0)*B1582*11.7,3),0)</f>
        <v>812.09699999999998</v>
      </c>
      <c r="I1582" s="152" t="str">
        <f>IF(F1582="Sắt vụn",ROUND(VLOOKUP(G1582,ThongSo!$F$2:$I$15,4,0)*B1582*E1582/1000,3),"-")</f>
        <v>-</v>
      </c>
      <c r="L1582" s="150"/>
      <c r="M1582" s="150"/>
      <c r="N1582" s="150"/>
    </row>
    <row r="1583" spans="1:14" x14ac:dyDescent="0.25">
      <c r="A1583" s="159">
        <v>45</v>
      </c>
      <c r="B1583" s="160">
        <v>3</v>
      </c>
      <c r="C1583" s="160">
        <v>11700</v>
      </c>
      <c r="D1583" s="160" t="s">
        <v>4327</v>
      </c>
      <c r="E1583" s="160">
        <v>0</v>
      </c>
      <c r="F1583" s="160"/>
      <c r="G1583" s="148">
        <v>32</v>
      </c>
      <c r="H1583" s="152">
        <f>IF(C1583=11700,ROUND(VLOOKUP(G1583,ThongSo!$F$2:$I$15,4,0)*B1583*11.7,3),0)</f>
        <v>221.48099999999999</v>
      </c>
      <c r="I1583" s="152" t="str">
        <f>IF(F1583="Sắt vụn",ROUND(VLOOKUP(G1583,ThongSo!$F$2:$I$15,4,0)*B1583*E1583/1000,3),"-")</f>
        <v>-</v>
      </c>
      <c r="L1583" s="150"/>
      <c r="M1583" s="150"/>
      <c r="N1583" s="150"/>
    </row>
    <row r="1584" spans="1:14" x14ac:dyDescent="0.25">
      <c r="A1584" s="159">
        <v>46</v>
      </c>
      <c r="B1584" s="160">
        <v>12</v>
      </c>
      <c r="C1584" s="160">
        <v>11700</v>
      </c>
      <c r="D1584" s="160" t="s">
        <v>4328</v>
      </c>
      <c r="E1584" s="160">
        <v>0</v>
      </c>
      <c r="F1584" s="160"/>
      <c r="G1584" s="148">
        <v>32</v>
      </c>
      <c r="H1584" s="152">
        <f>IF(C1584=11700,ROUND(VLOOKUP(G1584,ThongSo!$F$2:$I$15,4,0)*B1584*11.7,3),0)</f>
        <v>885.92399999999998</v>
      </c>
      <c r="I1584" s="152" t="str">
        <f>IF(F1584="Sắt vụn",ROUND(VLOOKUP(G1584,ThongSo!$F$2:$I$15,4,0)*B1584*E1584/1000,3),"-")</f>
        <v>-</v>
      </c>
      <c r="L1584" s="150"/>
      <c r="M1584" s="150"/>
      <c r="N1584" s="150"/>
    </row>
    <row r="1585" spans="1:14" x14ac:dyDescent="0.25">
      <c r="A1585" s="159">
        <v>47</v>
      </c>
      <c r="B1585" s="160">
        <v>9</v>
      </c>
      <c r="C1585" s="160">
        <v>11700</v>
      </c>
      <c r="D1585" s="160" t="s">
        <v>4329</v>
      </c>
      <c r="E1585" s="160">
        <v>0</v>
      </c>
      <c r="F1585" s="160"/>
      <c r="G1585" s="148">
        <v>32</v>
      </c>
      <c r="H1585" s="152">
        <f>IF(C1585=11700,ROUND(VLOOKUP(G1585,ThongSo!$F$2:$I$15,4,0)*B1585*11.7,3),0)</f>
        <v>664.44299999999998</v>
      </c>
      <c r="I1585" s="152" t="str">
        <f>IF(F1585="Sắt vụn",ROUND(VLOOKUP(G1585,ThongSo!$F$2:$I$15,4,0)*B1585*E1585/1000,3),"-")</f>
        <v>-</v>
      </c>
      <c r="L1585" s="150"/>
      <c r="M1585" s="150"/>
      <c r="N1585" s="150"/>
    </row>
    <row r="1586" spans="1:14" x14ac:dyDescent="0.25">
      <c r="A1586" s="159">
        <v>48</v>
      </c>
      <c r="B1586" s="160">
        <v>9</v>
      </c>
      <c r="C1586" s="160">
        <v>11700</v>
      </c>
      <c r="D1586" s="160" t="s">
        <v>4330</v>
      </c>
      <c r="E1586" s="160">
        <v>0</v>
      </c>
      <c r="F1586" s="160"/>
      <c r="G1586" s="148">
        <v>32</v>
      </c>
      <c r="H1586" s="152">
        <f>IF(C1586=11700,ROUND(VLOOKUP(G1586,ThongSo!$F$2:$I$15,4,0)*B1586*11.7,3),0)</f>
        <v>664.44299999999998</v>
      </c>
      <c r="I1586" s="152" t="str">
        <f>IF(F1586="Sắt vụn",ROUND(VLOOKUP(G1586,ThongSo!$F$2:$I$15,4,0)*B1586*E1586/1000,3),"-")</f>
        <v>-</v>
      </c>
      <c r="L1586" s="150"/>
      <c r="M1586" s="150"/>
      <c r="N1586" s="150"/>
    </row>
    <row r="1587" spans="1:14" x14ac:dyDescent="0.25">
      <c r="A1587" s="159">
        <v>49</v>
      </c>
      <c r="B1587" s="160">
        <v>3</v>
      </c>
      <c r="C1587" s="160">
        <v>11700</v>
      </c>
      <c r="D1587" s="160" t="s">
        <v>4331</v>
      </c>
      <c r="E1587" s="160">
        <v>0</v>
      </c>
      <c r="F1587" s="160"/>
      <c r="G1587" s="148">
        <v>32</v>
      </c>
      <c r="H1587" s="152">
        <f>IF(C1587=11700,ROUND(VLOOKUP(G1587,ThongSo!$F$2:$I$15,4,0)*B1587*11.7,3),0)</f>
        <v>221.48099999999999</v>
      </c>
      <c r="I1587" s="152" t="str">
        <f>IF(F1587="Sắt vụn",ROUND(VLOOKUP(G1587,ThongSo!$F$2:$I$15,4,0)*B1587*E1587/1000,3),"-")</f>
        <v>-</v>
      </c>
      <c r="L1587" s="150"/>
      <c r="M1587" s="150"/>
      <c r="N1587" s="150"/>
    </row>
    <row r="1588" spans="1:14" x14ac:dyDescent="0.25">
      <c r="A1588" s="159">
        <v>50</v>
      </c>
      <c r="B1588" s="160">
        <v>1</v>
      </c>
      <c r="C1588" s="160">
        <v>11700</v>
      </c>
      <c r="D1588" s="160" t="s">
        <v>4332</v>
      </c>
      <c r="E1588" s="160">
        <v>0</v>
      </c>
      <c r="F1588" s="160"/>
      <c r="G1588" s="148">
        <v>32</v>
      </c>
      <c r="H1588" s="152">
        <f>IF(C1588=11700,ROUND(VLOOKUP(G1588,ThongSo!$F$2:$I$15,4,0)*B1588*11.7,3),0)</f>
        <v>73.826999999999998</v>
      </c>
      <c r="I1588" s="152" t="str">
        <f>IF(F1588="Sắt vụn",ROUND(VLOOKUP(G1588,ThongSo!$F$2:$I$15,4,0)*B1588*E1588/1000,3),"-")</f>
        <v>-</v>
      </c>
      <c r="L1588" s="150"/>
      <c r="M1588" s="150"/>
      <c r="N1588" s="150"/>
    </row>
    <row r="1589" spans="1:14" x14ac:dyDescent="0.25">
      <c r="A1589" s="159">
        <v>51</v>
      </c>
      <c r="B1589" s="160">
        <v>5</v>
      </c>
      <c r="C1589" s="160">
        <v>11700</v>
      </c>
      <c r="D1589" s="160" t="s">
        <v>4333</v>
      </c>
      <c r="E1589" s="160">
        <v>0</v>
      </c>
      <c r="F1589" s="160"/>
      <c r="G1589" s="148">
        <v>32</v>
      </c>
      <c r="H1589" s="152">
        <f>IF(C1589=11700,ROUND(VLOOKUP(G1589,ThongSo!$F$2:$I$15,4,0)*B1589*11.7,3),0)</f>
        <v>369.13499999999999</v>
      </c>
      <c r="I1589" s="152" t="str">
        <f>IF(F1589="Sắt vụn",ROUND(VLOOKUP(G1589,ThongSo!$F$2:$I$15,4,0)*B1589*E1589/1000,3),"-")</f>
        <v>-</v>
      </c>
      <c r="L1589" s="150"/>
      <c r="M1589" s="150"/>
      <c r="N1589" s="150"/>
    </row>
    <row r="1590" spans="1:14" x14ac:dyDescent="0.25">
      <c r="A1590" s="159">
        <v>52</v>
      </c>
      <c r="B1590" s="160">
        <v>6</v>
      </c>
      <c r="C1590" s="160">
        <v>11700</v>
      </c>
      <c r="D1590" s="160" t="s">
        <v>4334</v>
      </c>
      <c r="E1590" s="160">
        <v>0</v>
      </c>
      <c r="F1590" s="160"/>
      <c r="G1590" s="148">
        <v>32</v>
      </c>
      <c r="H1590" s="152">
        <f>IF(C1590=11700,ROUND(VLOOKUP(G1590,ThongSo!$F$2:$I$15,4,0)*B1590*11.7,3),0)</f>
        <v>442.96199999999999</v>
      </c>
      <c r="I1590" s="152" t="str">
        <f>IF(F1590="Sắt vụn",ROUND(VLOOKUP(G1590,ThongSo!$F$2:$I$15,4,0)*B1590*E1590/1000,3),"-")</f>
        <v>-</v>
      </c>
      <c r="L1590" s="150"/>
      <c r="M1590" s="150"/>
      <c r="N1590" s="150"/>
    </row>
    <row r="1591" spans="1:14" x14ac:dyDescent="0.25">
      <c r="A1591" s="159">
        <v>53</v>
      </c>
      <c r="B1591" s="160">
        <v>1</v>
      </c>
      <c r="C1591" s="160">
        <v>11700</v>
      </c>
      <c r="D1591" s="160" t="s">
        <v>4335</v>
      </c>
      <c r="E1591" s="160">
        <v>0</v>
      </c>
      <c r="F1591" s="160"/>
      <c r="G1591" s="148">
        <v>32</v>
      </c>
      <c r="H1591" s="152">
        <f>IF(C1591=11700,ROUND(VLOOKUP(G1591,ThongSo!$F$2:$I$15,4,0)*B1591*11.7,3),0)</f>
        <v>73.826999999999998</v>
      </c>
      <c r="I1591" s="152" t="str">
        <f>IF(F1591="Sắt vụn",ROUND(VLOOKUP(G1591,ThongSo!$F$2:$I$15,4,0)*B1591*E1591/1000,3),"-")</f>
        <v>-</v>
      </c>
      <c r="L1591" s="150"/>
      <c r="M1591" s="150"/>
      <c r="N1591" s="150"/>
    </row>
    <row r="1592" spans="1:14" x14ac:dyDescent="0.25">
      <c r="A1592" s="159">
        <v>54</v>
      </c>
      <c r="B1592" s="160">
        <v>4</v>
      </c>
      <c r="C1592" s="160">
        <v>11700</v>
      </c>
      <c r="D1592" s="160" t="s">
        <v>4336</v>
      </c>
      <c r="E1592" s="160">
        <v>0</v>
      </c>
      <c r="F1592" s="160"/>
      <c r="G1592" s="148">
        <v>32</v>
      </c>
      <c r="H1592" s="152">
        <f>IF(C1592=11700,ROUND(VLOOKUP(G1592,ThongSo!$F$2:$I$15,4,0)*B1592*11.7,3),0)</f>
        <v>295.30799999999999</v>
      </c>
      <c r="I1592" s="152" t="str">
        <f>IF(F1592="Sắt vụn",ROUND(VLOOKUP(G1592,ThongSo!$F$2:$I$15,4,0)*B1592*E1592/1000,3),"-")</f>
        <v>-</v>
      </c>
      <c r="L1592" s="150"/>
      <c r="M1592" s="150"/>
      <c r="N1592" s="150"/>
    </row>
    <row r="1593" spans="1:14" x14ac:dyDescent="0.25">
      <c r="A1593" s="159">
        <v>55</v>
      </c>
      <c r="B1593" s="160">
        <v>1</v>
      </c>
      <c r="C1593" s="160">
        <v>11700</v>
      </c>
      <c r="D1593" s="160" t="s">
        <v>4337</v>
      </c>
      <c r="E1593" s="160">
        <v>0</v>
      </c>
      <c r="F1593" s="160"/>
      <c r="G1593" s="148">
        <v>32</v>
      </c>
      <c r="H1593" s="152">
        <f>IF(C1593=11700,ROUND(VLOOKUP(G1593,ThongSo!$F$2:$I$15,4,0)*B1593*11.7,3),0)</f>
        <v>73.826999999999998</v>
      </c>
      <c r="I1593" s="152" t="str">
        <f>IF(F1593="Sắt vụn",ROUND(VLOOKUP(G1593,ThongSo!$F$2:$I$15,4,0)*B1593*E1593/1000,3),"-")</f>
        <v>-</v>
      </c>
      <c r="L1593" s="150"/>
      <c r="M1593" s="150"/>
      <c r="N1593" s="150"/>
    </row>
    <row r="1594" spans="1:14" x14ac:dyDescent="0.25">
      <c r="A1594" s="159">
        <v>56</v>
      </c>
      <c r="B1594" s="160">
        <v>5</v>
      </c>
      <c r="C1594" s="160">
        <v>11700</v>
      </c>
      <c r="D1594" s="160" t="s">
        <v>4338</v>
      </c>
      <c r="E1594" s="160">
        <v>0</v>
      </c>
      <c r="F1594" s="160"/>
      <c r="G1594" s="148">
        <v>32</v>
      </c>
      <c r="H1594" s="152">
        <f>IF(C1594=11700,ROUND(VLOOKUP(G1594,ThongSo!$F$2:$I$15,4,0)*B1594*11.7,3),0)</f>
        <v>369.13499999999999</v>
      </c>
      <c r="I1594" s="152" t="str">
        <f>IF(F1594="Sắt vụn",ROUND(VLOOKUP(G1594,ThongSo!$F$2:$I$15,4,0)*B1594*E1594/1000,3),"-")</f>
        <v>-</v>
      </c>
      <c r="L1594" s="150"/>
      <c r="M1594" s="150"/>
      <c r="N1594" s="150"/>
    </row>
    <row r="1595" spans="1:14" x14ac:dyDescent="0.25">
      <c r="A1595" s="159">
        <v>57</v>
      </c>
      <c r="B1595" s="160">
        <v>5</v>
      </c>
      <c r="C1595" s="160">
        <v>11700</v>
      </c>
      <c r="D1595" s="160" t="s">
        <v>4339</v>
      </c>
      <c r="E1595" s="160">
        <v>0</v>
      </c>
      <c r="F1595" s="160"/>
      <c r="G1595" s="148">
        <v>32</v>
      </c>
      <c r="H1595" s="152">
        <f>IF(C1595=11700,ROUND(VLOOKUP(G1595,ThongSo!$F$2:$I$15,4,0)*B1595*11.7,3),0)</f>
        <v>369.13499999999999</v>
      </c>
      <c r="I1595" s="152" t="str">
        <f>IF(F1595="Sắt vụn",ROUND(VLOOKUP(G1595,ThongSo!$F$2:$I$15,4,0)*B1595*E1595/1000,3),"-")</f>
        <v>-</v>
      </c>
      <c r="L1595" s="150"/>
      <c r="M1595" s="150"/>
      <c r="N1595" s="150"/>
    </row>
    <row r="1596" spans="1:14" x14ac:dyDescent="0.25">
      <c r="A1596" s="159">
        <v>58</v>
      </c>
      <c r="B1596" s="160">
        <v>1</v>
      </c>
      <c r="C1596" s="160">
        <v>11700</v>
      </c>
      <c r="D1596" s="160" t="s">
        <v>4340</v>
      </c>
      <c r="E1596" s="160">
        <v>0</v>
      </c>
      <c r="F1596" s="160"/>
      <c r="G1596" s="148">
        <v>32</v>
      </c>
      <c r="H1596" s="152">
        <f>IF(C1596=11700,ROUND(VLOOKUP(G1596,ThongSo!$F$2:$I$15,4,0)*B1596*11.7,3),0)</f>
        <v>73.826999999999998</v>
      </c>
      <c r="I1596" s="152" t="str">
        <f>IF(F1596="Sắt vụn",ROUND(VLOOKUP(G1596,ThongSo!$F$2:$I$15,4,0)*B1596*E1596/1000,3),"-")</f>
        <v>-</v>
      </c>
      <c r="L1596" s="150"/>
      <c r="M1596" s="150"/>
      <c r="N1596" s="150"/>
    </row>
    <row r="1597" spans="1:14" x14ac:dyDescent="0.25">
      <c r="A1597" s="159">
        <v>59</v>
      </c>
      <c r="B1597" s="160">
        <v>4</v>
      </c>
      <c r="C1597" s="160">
        <v>11700</v>
      </c>
      <c r="D1597" s="160" t="s">
        <v>4341</v>
      </c>
      <c r="E1597" s="160">
        <v>0</v>
      </c>
      <c r="F1597" s="160"/>
      <c r="G1597" s="148">
        <v>32</v>
      </c>
      <c r="H1597" s="152">
        <f>IF(C1597=11700,ROUND(VLOOKUP(G1597,ThongSo!$F$2:$I$15,4,0)*B1597*11.7,3),0)</f>
        <v>295.30799999999999</v>
      </c>
      <c r="I1597" s="152" t="str">
        <f>IF(F1597="Sắt vụn",ROUND(VLOOKUP(G1597,ThongSo!$F$2:$I$15,4,0)*B1597*E1597/1000,3),"-")</f>
        <v>-</v>
      </c>
      <c r="L1597" s="150"/>
      <c r="M1597" s="150"/>
      <c r="N1597" s="150"/>
    </row>
    <row r="1598" spans="1:14" x14ac:dyDescent="0.25">
      <c r="A1598" s="159">
        <v>60</v>
      </c>
      <c r="B1598" s="160">
        <v>3</v>
      </c>
      <c r="C1598" s="160">
        <v>11700</v>
      </c>
      <c r="D1598" s="160" t="s">
        <v>4342</v>
      </c>
      <c r="E1598" s="160">
        <v>5</v>
      </c>
      <c r="F1598" s="160" t="s">
        <v>74</v>
      </c>
      <c r="G1598" s="148">
        <v>32</v>
      </c>
      <c r="H1598" s="152">
        <f>IF(C1598=11700,ROUND(VLOOKUP(G1598,ThongSo!$F$2:$I$15,4,0)*B1598*11.7,3),0)</f>
        <v>221.48099999999999</v>
      </c>
      <c r="I1598" s="152">
        <f>IF(F1598="Sắt vụn",ROUND(VLOOKUP(G1598,ThongSo!$F$2:$I$15,4,0)*B1598*E1598/1000,3),"-")</f>
        <v>9.5000000000000001E-2</v>
      </c>
      <c r="L1598" s="150"/>
      <c r="M1598" s="150"/>
      <c r="N1598" s="150"/>
    </row>
    <row r="1599" spans="1:14" x14ac:dyDescent="0.25">
      <c r="A1599" s="159">
        <v>61</v>
      </c>
      <c r="B1599" s="160">
        <v>9</v>
      </c>
      <c r="C1599" s="160">
        <v>11700</v>
      </c>
      <c r="D1599" s="160" t="s">
        <v>4343</v>
      </c>
      <c r="E1599" s="160">
        <v>5</v>
      </c>
      <c r="F1599" s="160" t="s">
        <v>74</v>
      </c>
      <c r="G1599" s="148">
        <v>32</v>
      </c>
      <c r="H1599" s="152">
        <f>IF(C1599=11700,ROUND(VLOOKUP(G1599,ThongSo!$F$2:$I$15,4,0)*B1599*11.7,3),0)</f>
        <v>664.44299999999998</v>
      </c>
      <c r="I1599" s="152">
        <f>IF(F1599="Sắt vụn",ROUND(VLOOKUP(G1599,ThongSo!$F$2:$I$15,4,0)*B1599*E1599/1000,3),"-")</f>
        <v>0.28399999999999997</v>
      </c>
      <c r="L1599" s="150"/>
      <c r="M1599" s="150"/>
      <c r="N1599" s="150"/>
    </row>
    <row r="1600" spans="1:14" x14ac:dyDescent="0.25">
      <c r="A1600" s="159">
        <v>62</v>
      </c>
      <c r="B1600" s="160">
        <v>4</v>
      </c>
      <c r="C1600" s="160">
        <v>11700</v>
      </c>
      <c r="D1600" s="160" t="s">
        <v>4344</v>
      </c>
      <c r="E1600" s="160">
        <v>5</v>
      </c>
      <c r="F1600" s="160" t="s">
        <v>74</v>
      </c>
      <c r="G1600" s="148">
        <v>32</v>
      </c>
      <c r="H1600" s="152">
        <f>IF(C1600=11700,ROUND(VLOOKUP(G1600,ThongSo!$F$2:$I$15,4,0)*B1600*11.7,3),0)</f>
        <v>295.30799999999999</v>
      </c>
      <c r="I1600" s="152">
        <f>IF(F1600="Sắt vụn",ROUND(VLOOKUP(G1600,ThongSo!$F$2:$I$15,4,0)*B1600*E1600/1000,3),"-")</f>
        <v>0.126</v>
      </c>
      <c r="L1600" s="150"/>
      <c r="M1600" s="150"/>
      <c r="N1600" s="150"/>
    </row>
    <row r="1601" spans="1:14" x14ac:dyDescent="0.25">
      <c r="A1601" s="159">
        <v>63</v>
      </c>
      <c r="B1601" s="160">
        <v>10</v>
      </c>
      <c r="C1601" s="160">
        <v>11700</v>
      </c>
      <c r="D1601" s="160" t="s">
        <v>4345</v>
      </c>
      <c r="E1601" s="160">
        <v>10</v>
      </c>
      <c r="F1601" s="160" t="s">
        <v>74</v>
      </c>
      <c r="G1601" s="148">
        <v>32</v>
      </c>
      <c r="H1601" s="152">
        <f>IF(C1601=11700,ROUND(VLOOKUP(G1601,ThongSo!$F$2:$I$15,4,0)*B1601*11.7,3),0)</f>
        <v>738.27</v>
      </c>
      <c r="I1601" s="152">
        <f>IF(F1601="Sắt vụn",ROUND(VLOOKUP(G1601,ThongSo!$F$2:$I$15,4,0)*B1601*E1601/1000,3),"-")</f>
        <v>0.63100000000000001</v>
      </c>
      <c r="L1601" s="150"/>
      <c r="M1601" s="150"/>
      <c r="N1601" s="150"/>
    </row>
    <row r="1602" spans="1:14" x14ac:dyDescent="0.25">
      <c r="A1602" s="159">
        <v>64</v>
      </c>
      <c r="B1602" s="160">
        <v>1</v>
      </c>
      <c r="C1602" s="160">
        <v>11700</v>
      </c>
      <c r="D1602" s="160" t="s">
        <v>4346</v>
      </c>
      <c r="E1602" s="160">
        <v>10</v>
      </c>
      <c r="F1602" s="160" t="s">
        <v>74</v>
      </c>
      <c r="G1602" s="148">
        <v>32</v>
      </c>
      <c r="H1602" s="152">
        <f>IF(C1602=11700,ROUND(VLOOKUP(G1602,ThongSo!$F$2:$I$15,4,0)*B1602*11.7,3),0)</f>
        <v>73.826999999999998</v>
      </c>
      <c r="I1602" s="152">
        <f>IF(F1602="Sắt vụn",ROUND(VLOOKUP(G1602,ThongSo!$F$2:$I$15,4,0)*B1602*E1602/1000,3),"-")</f>
        <v>6.3E-2</v>
      </c>
      <c r="L1602" s="150"/>
      <c r="M1602" s="150"/>
      <c r="N1602" s="150"/>
    </row>
    <row r="1603" spans="1:14" x14ac:dyDescent="0.25">
      <c r="A1603" s="159">
        <v>65</v>
      </c>
      <c r="B1603" s="160">
        <v>3</v>
      </c>
      <c r="C1603" s="160">
        <v>11700</v>
      </c>
      <c r="D1603" s="160" t="s">
        <v>4347</v>
      </c>
      <c r="E1603" s="160">
        <v>10</v>
      </c>
      <c r="F1603" s="160" t="s">
        <v>74</v>
      </c>
      <c r="G1603" s="148">
        <v>32</v>
      </c>
      <c r="H1603" s="152">
        <f>IF(C1603=11700,ROUND(VLOOKUP(G1603,ThongSo!$F$2:$I$15,4,0)*B1603*11.7,3),0)</f>
        <v>221.48099999999999</v>
      </c>
      <c r="I1603" s="152">
        <f>IF(F1603="Sắt vụn",ROUND(VLOOKUP(G1603,ThongSo!$F$2:$I$15,4,0)*B1603*E1603/1000,3),"-")</f>
        <v>0.189</v>
      </c>
      <c r="L1603" s="150"/>
      <c r="M1603" s="150"/>
      <c r="N1603" s="150"/>
    </row>
    <row r="1604" spans="1:14" x14ac:dyDescent="0.25">
      <c r="A1604" s="159">
        <v>66</v>
      </c>
      <c r="B1604" s="160">
        <v>2</v>
      </c>
      <c r="C1604" s="160">
        <v>11700</v>
      </c>
      <c r="D1604" s="160" t="s">
        <v>4348</v>
      </c>
      <c r="E1604" s="160">
        <v>10</v>
      </c>
      <c r="F1604" s="160" t="s">
        <v>74</v>
      </c>
      <c r="G1604" s="148">
        <v>32</v>
      </c>
      <c r="H1604" s="152">
        <f>IF(C1604=11700,ROUND(VLOOKUP(G1604,ThongSo!$F$2:$I$15,4,0)*B1604*11.7,3),0)</f>
        <v>147.654</v>
      </c>
      <c r="I1604" s="152">
        <f>IF(F1604="Sắt vụn",ROUND(VLOOKUP(G1604,ThongSo!$F$2:$I$15,4,0)*B1604*E1604/1000,3),"-")</f>
        <v>0.126</v>
      </c>
      <c r="L1604" s="150"/>
      <c r="M1604" s="150"/>
      <c r="N1604" s="150"/>
    </row>
    <row r="1605" spans="1:14" x14ac:dyDescent="0.25">
      <c r="A1605" s="159">
        <v>67</v>
      </c>
      <c r="B1605" s="160">
        <v>5</v>
      </c>
      <c r="C1605" s="160">
        <v>11700</v>
      </c>
      <c r="D1605" s="160" t="s">
        <v>4349</v>
      </c>
      <c r="E1605" s="160">
        <v>10</v>
      </c>
      <c r="F1605" s="160" t="s">
        <v>74</v>
      </c>
      <c r="G1605" s="148">
        <v>32</v>
      </c>
      <c r="H1605" s="152">
        <f>IF(C1605=11700,ROUND(VLOOKUP(G1605,ThongSo!$F$2:$I$15,4,0)*B1605*11.7,3),0)</f>
        <v>369.13499999999999</v>
      </c>
      <c r="I1605" s="152">
        <f>IF(F1605="Sắt vụn",ROUND(VLOOKUP(G1605,ThongSo!$F$2:$I$15,4,0)*B1605*E1605/1000,3),"-")</f>
        <v>0.316</v>
      </c>
      <c r="L1605" s="150"/>
      <c r="M1605" s="150"/>
      <c r="N1605" s="150"/>
    </row>
    <row r="1606" spans="1:14" x14ac:dyDescent="0.25">
      <c r="A1606" s="159">
        <v>68</v>
      </c>
      <c r="B1606" s="160">
        <v>2</v>
      </c>
      <c r="C1606" s="160">
        <v>11700</v>
      </c>
      <c r="D1606" s="160" t="s">
        <v>4350</v>
      </c>
      <c r="E1606" s="160">
        <v>15</v>
      </c>
      <c r="F1606" s="160" t="s">
        <v>74</v>
      </c>
      <c r="G1606" s="148">
        <v>32</v>
      </c>
      <c r="H1606" s="152">
        <f>IF(C1606=11700,ROUND(VLOOKUP(G1606,ThongSo!$F$2:$I$15,4,0)*B1606*11.7,3),0)</f>
        <v>147.654</v>
      </c>
      <c r="I1606" s="152">
        <f>IF(F1606="Sắt vụn",ROUND(VLOOKUP(G1606,ThongSo!$F$2:$I$15,4,0)*B1606*E1606/1000,3),"-")</f>
        <v>0.189</v>
      </c>
      <c r="L1606" s="150"/>
      <c r="M1606" s="150"/>
      <c r="N1606" s="150"/>
    </row>
    <row r="1607" spans="1:14" x14ac:dyDescent="0.25">
      <c r="A1607" s="159">
        <v>69</v>
      </c>
      <c r="B1607" s="160">
        <v>2</v>
      </c>
      <c r="C1607" s="160">
        <v>11700</v>
      </c>
      <c r="D1607" s="160" t="s">
        <v>4351</v>
      </c>
      <c r="E1607" s="160">
        <v>20</v>
      </c>
      <c r="F1607" s="160" t="s">
        <v>74</v>
      </c>
      <c r="G1607" s="148">
        <v>32</v>
      </c>
      <c r="H1607" s="152">
        <f>IF(C1607=11700,ROUND(VLOOKUP(G1607,ThongSo!$F$2:$I$15,4,0)*B1607*11.7,3),0)</f>
        <v>147.654</v>
      </c>
      <c r="I1607" s="152">
        <f>IF(F1607="Sắt vụn",ROUND(VLOOKUP(G1607,ThongSo!$F$2:$I$15,4,0)*B1607*E1607/1000,3),"-")</f>
        <v>0.252</v>
      </c>
      <c r="L1607" s="150"/>
      <c r="M1607" s="150"/>
      <c r="N1607" s="150"/>
    </row>
    <row r="1608" spans="1:14" x14ac:dyDescent="0.25">
      <c r="A1608" s="159">
        <v>70</v>
      </c>
      <c r="B1608" s="160">
        <v>4</v>
      </c>
      <c r="C1608" s="160">
        <v>11700</v>
      </c>
      <c r="D1608" s="160" t="s">
        <v>4352</v>
      </c>
      <c r="E1608" s="160">
        <v>20</v>
      </c>
      <c r="F1608" s="160" t="s">
        <v>74</v>
      </c>
      <c r="G1608" s="148">
        <v>32</v>
      </c>
      <c r="H1608" s="152">
        <f>IF(C1608=11700,ROUND(VLOOKUP(G1608,ThongSo!$F$2:$I$15,4,0)*B1608*11.7,3),0)</f>
        <v>295.30799999999999</v>
      </c>
      <c r="I1608" s="152">
        <f>IF(F1608="Sắt vụn",ROUND(VLOOKUP(G1608,ThongSo!$F$2:$I$15,4,0)*B1608*E1608/1000,3),"-")</f>
        <v>0.505</v>
      </c>
      <c r="L1608" s="150"/>
      <c r="M1608" s="150"/>
      <c r="N1608" s="150"/>
    </row>
    <row r="1609" spans="1:14" x14ac:dyDescent="0.25">
      <c r="A1609" s="159">
        <v>71</v>
      </c>
      <c r="B1609" s="160">
        <v>3</v>
      </c>
      <c r="C1609" s="160">
        <v>11700</v>
      </c>
      <c r="D1609" s="160" t="s">
        <v>4353</v>
      </c>
      <c r="E1609" s="160">
        <v>20</v>
      </c>
      <c r="F1609" s="160" t="s">
        <v>74</v>
      </c>
      <c r="G1609" s="148">
        <v>32</v>
      </c>
      <c r="H1609" s="152">
        <f>IF(C1609=11700,ROUND(VLOOKUP(G1609,ThongSo!$F$2:$I$15,4,0)*B1609*11.7,3),0)</f>
        <v>221.48099999999999</v>
      </c>
      <c r="I1609" s="152">
        <f>IF(F1609="Sắt vụn",ROUND(VLOOKUP(G1609,ThongSo!$F$2:$I$15,4,0)*B1609*E1609/1000,3),"-")</f>
        <v>0.379</v>
      </c>
      <c r="L1609" s="150"/>
      <c r="M1609" s="150"/>
      <c r="N1609" s="150"/>
    </row>
    <row r="1610" spans="1:14" x14ac:dyDescent="0.25">
      <c r="A1610" s="159">
        <v>72</v>
      </c>
      <c r="B1610" s="160">
        <v>1</v>
      </c>
      <c r="C1610" s="160">
        <v>11700</v>
      </c>
      <c r="D1610" s="160" t="s">
        <v>4354</v>
      </c>
      <c r="E1610" s="160">
        <v>25</v>
      </c>
      <c r="F1610" s="160" t="s">
        <v>74</v>
      </c>
      <c r="G1610" s="148">
        <v>32</v>
      </c>
      <c r="H1610" s="152">
        <f>IF(C1610=11700,ROUND(VLOOKUP(G1610,ThongSo!$F$2:$I$15,4,0)*B1610*11.7,3),0)</f>
        <v>73.826999999999998</v>
      </c>
      <c r="I1610" s="152">
        <f>IF(F1610="Sắt vụn",ROUND(VLOOKUP(G1610,ThongSo!$F$2:$I$15,4,0)*B1610*E1610/1000,3),"-")</f>
        <v>0.158</v>
      </c>
      <c r="L1610" s="150"/>
      <c r="M1610" s="150"/>
      <c r="N1610" s="150"/>
    </row>
    <row r="1611" spans="1:14" x14ac:dyDescent="0.25">
      <c r="A1611" s="159">
        <v>73</v>
      </c>
      <c r="B1611" s="160">
        <v>11</v>
      </c>
      <c r="C1611" s="160">
        <v>11700</v>
      </c>
      <c r="D1611" s="160" t="s">
        <v>4355</v>
      </c>
      <c r="E1611" s="160">
        <v>25</v>
      </c>
      <c r="F1611" s="160" t="s">
        <v>74</v>
      </c>
      <c r="G1611" s="148">
        <v>32</v>
      </c>
      <c r="H1611" s="152">
        <f>IF(C1611=11700,ROUND(VLOOKUP(G1611,ThongSo!$F$2:$I$15,4,0)*B1611*11.7,3),0)</f>
        <v>812.09699999999998</v>
      </c>
      <c r="I1611" s="152">
        <f>IF(F1611="Sắt vụn",ROUND(VLOOKUP(G1611,ThongSo!$F$2:$I$15,4,0)*B1611*E1611/1000,3),"-")</f>
        <v>1.7350000000000001</v>
      </c>
      <c r="L1611" s="150"/>
      <c r="M1611" s="150"/>
      <c r="N1611" s="150"/>
    </row>
    <row r="1612" spans="1:14" x14ac:dyDescent="0.25">
      <c r="A1612" s="159">
        <v>74</v>
      </c>
      <c r="B1612" s="160">
        <v>4</v>
      </c>
      <c r="C1612" s="160">
        <v>11700</v>
      </c>
      <c r="D1612" s="160" t="s">
        <v>4356</v>
      </c>
      <c r="E1612" s="160">
        <v>25</v>
      </c>
      <c r="F1612" s="160" t="s">
        <v>74</v>
      </c>
      <c r="G1612" s="148">
        <v>32</v>
      </c>
      <c r="H1612" s="152">
        <f>IF(C1612=11700,ROUND(VLOOKUP(G1612,ThongSo!$F$2:$I$15,4,0)*B1612*11.7,3),0)</f>
        <v>295.30799999999999</v>
      </c>
      <c r="I1612" s="152">
        <f>IF(F1612="Sắt vụn",ROUND(VLOOKUP(G1612,ThongSo!$F$2:$I$15,4,0)*B1612*E1612/1000,3),"-")</f>
        <v>0.63100000000000001</v>
      </c>
      <c r="L1612" s="150"/>
      <c r="M1612" s="150"/>
      <c r="N1612" s="150"/>
    </row>
    <row r="1613" spans="1:14" x14ac:dyDescent="0.25">
      <c r="A1613" s="159">
        <v>75</v>
      </c>
      <c r="B1613" s="160">
        <v>3</v>
      </c>
      <c r="C1613" s="160">
        <v>11700</v>
      </c>
      <c r="D1613" s="160" t="s">
        <v>4357</v>
      </c>
      <c r="E1613" s="160">
        <v>25</v>
      </c>
      <c r="F1613" s="160" t="s">
        <v>74</v>
      </c>
      <c r="G1613" s="148">
        <v>32</v>
      </c>
      <c r="H1613" s="152">
        <f>IF(C1613=11700,ROUND(VLOOKUP(G1613,ThongSo!$F$2:$I$15,4,0)*B1613*11.7,3),0)</f>
        <v>221.48099999999999</v>
      </c>
      <c r="I1613" s="152">
        <f>IF(F1613="Sắt vụn",ROUND(VLOOKUP(G1613,ThongSo!$F$2:$I$15,4,0)*B1613*E1613/1000,3),"-")</f>
        <v>0.47299999999999998</v>
      </c>
      <c r="L1613" s="150"/>
      <c r="M1613" s="150"/>
      <c r="N1613" s="150"/>
    </row>
    <row r="1614" spans="1:14" x14ac:dyDescent="0.25">
      <c r="A1614" s="159">
        <v>76</v>
      </c>
      <c r="B1614" s="160">
        <v>11</v>
      </c>
      <c r="C1614" s="160">
        <v>11700</v>
      </c>
      <c r="D1614" s="160" t="s">
        <v>4358</v>
      </c>
      <c r="E1614" s="160">
        <v>25</v>
      </c>
      <c r="F1614" s="160" t="s">
        <v>74</v>
      </c>
      <c r="G1614" s="148">
        <v>32</v>
      </c>
      <c r="H1614" s="152">
        <f>IF(C1614=11700,ROUND(VLOOKUP(G1614,ThongSo!$F$2:$I$15,4,0)*B1614*11.7,3),0)</f>
        <v>812.09699999999998</v>
      </c>
      <c r="I1614" s="152">
        <f>IF(F1614="Sắt vụn",ROUND(VLOOKUP(G1614,ThongSo!$F$2:$I$15,4,0)*B1614*E1614/1000,3),"-")</f>
        <v>1.7350000000000001</v>
      </c>
      <c r="L1614" s="150"/>
      <c r="M1614" s="150"/>
      <c r="N1614" s="150"/>
    </row>
    <row r="1615" spans="1:14" x14ac:dyDescent="0.25">
      <c r="A1615" s="159">
        <v>77</v>
      </c>
      <c r="B1615" s="160">
        <v>12</v>
      </c>
      <c r="C1615" s="160">
        <v>11700</v>
      </c>
      <c r="D1615" s="160" t="s">
        <v>4359</v>
      </c>
      <c r="E1615" s="160">
        <v>30</v>
      </c>
      <c r="F1615" s="160" t="s">
        <v>74</v>
      </c>
      <c r="G1615" s="148">
        <v>32</v>
      </c>
      <c r="H1615" s="152">
        <f>IF(C1615=11700,ROUND(VLOOKUP(G1615,ThongSo!$F$2:$I$15,4,0)*B1615*11.7,3),0)</f>
        <v>885.92399999999998</v>
      </c>
      <c r="I1615" s="152">
        <f>IF(F1615="Sắt vụn",ROUND(VLOOKUP(G1615,ThongSo!$F$2:$I$15,4,0)*B1615*E1615/1000,3),"-")</f>
        <v>2.2719999999999998</v>
      </c>
      <c r="L1615" s="150"/>
      <c r="M1615" s="150"/>
      <c r="N1615" s="150"/>
    </row>
    <row r="1616" spans="1:14" x14ac:dyDescent="0.25">
      <c r="A1616" s="159">
        <v>78</v>
      </c>
      <c r="B1616" s="160">
        <v>11</v>
      </c>
      <c r="C1616" s="160">
        <v>11700</v>
      </c>
      <c r="D1616" s="160" t="s">
        <v>4360</v>
      </c>
      <c r="E1616" s="160">
        <v>35</v>
      </c>
      <c r="F1616" s="160" t="s">
        <v>74</v>
      </c>
      <c r="G1616" s="148">
        <v>32</v>
      </c>
      <c r="H1616" s="152">
        <f>IF(C1616=11700,ROUND(VLOOKUP(G1616,ThongSo!$F$2:$I$15,4,0)*B1616*11.7,3),0)</f>
        <v>812.09699999999998</v>
      </c>
      <c r="I1616" s="152">
        <f>IF(F1616="Sắt vụn",ROUND(VLOOKUP(G1616,ThongSo!$F$2:$I$15,4,0)*B1616*E1616/1000,3),"-")</f>
        <v>2.4289999999999998</v>
      </c>
      <c r="L1616" s="150"/>
      <c r="M1616" s="150"/>
      <c r="N1616" s="150"/>
    </row>
    <row r="1617" spans="1:14" x14ac:dyDescent="0.25">
      <c r="A1617" s="159">
        <v>79</v>
      </c>
      <c r="B1617" s="160">
        <v>10</v>
      </c>
      <c r="C1617" s="160">
        <v>11700</v>
      </c>
      <c r="D1617" s="160" t="s">
        <v>4361</v>
      </c>
      <c r="E1617" s="160">
        <v>40</v>
      </c>
      <c r="F1617" s="160" t="s">
        <v>74</v>
      </c>
      <c r="G1617" s="148">
        <v>32</v>
      </c>
      <c r="H1617" s="152">
        <f>IF(C1617=11700,ROUND(VLOOKUP(G1617,ThongSo!$F$2:$I$15,4,0)*B1617*11.7,3),0)</f>
        <v>738.27</v>
      </c>
      <c r="I1617" s="152">
        <f>IF(F1617="Sắt vụn",ROUND(VLOOKUP(G1617,ThongSo!$F$2:$I$15,4,0)*B1617*E1617/1000,3),"-")</f>
        <v>2.524</v>
      </c>
      <c r="L1617" s="150"/>
      <c r="M1617" s="150"/>
      <c r="N1617" s="150"/>
    </row>
    <row r="1618" spans="1:14" x14ac:dyDescent="0.25">
      <c r="A1618" s="159">
        <v>80</v>
      </c>
      <c r="B1618" s="160">
        <v>8</v>
      </c>
      <c r="C1618" s="160">
        <v>11700</v>
      </c>
      <c r="D1618" s="160" t="s">
        <v>4362</v>
      </c>
      <c r="E1618" s="160">
        <v>45</v>
      </c>
      <c r="F1618" s="160" t="s">
        <v>74</v>
      </c>
      <c r="G1618" s="148">
        <v>32</v>
      </c>
      <c r="H1618" s="152">
        <f>IF(C1618=11700,ROUND(VLOOKUP(G1618,ThongSo!$F$2:$I$15,4,0)*B1618*11.7,3),0)</f>
        <v>590.61599999999999</v>
      </c>
      <c r="I1618" s="152">
        <f>IF(F1618="Sắt vụn",ROUND(VLOOKUP(G1618,ThongSo!$F$2:$I$15,4,0)*B1618*E1618/1000,3),"-")</f>
        <v>2.2719999999999998</v>
      </c>
      <c r="L1618" s="150"/>
      <c r="M1618" s="150"/>
      <c r="N1618" s="150"/>
    </row>
    <row r="1619" spans="1:14" x14ac:dyDescent="0.25">
      <c r="A1619" s="159">
        <v>81</v>
      </c>
      <c r="B1619" s="160">
        <v>4</v>
      </c>
      <c r="C1619" s="160">
        <v>11700</v>
      </c>
      <c r="D1619" s="160" t="s">
        <v>4363</v>
      </c>
      <c r="E1619" s="160">
        <v>50</v>
      </c>
      <c r="F1619" s="160" t="s">
        <v>74</v>
      </c>
      <c r="G1619" s="148">
        <v>32</v>
      </c>
      <c r="H1619" s="152">
        <f>IF(C1619=11700,ROUND(VLOOKUP(G1619,ThongSo!$F$2:$I$15,4,0)*B1619*11.7,3),0)</f>
        <v>295.30799999999999</v>
      </c>
      <c r="I1619" s="152">
        <f>IF(F1619="Sắt vụn",ROUND(VLOOKUP(G1619,ThongSo!$F$2:$I$15,4,0)*B1619*E1619/1000,3),"-")</f>
        <v>1.262</v>
      </c>
      <c r="L1619" s="150"/>
      <c r="M1619" s="150"/>
      <c r="N1619" s="150"/>
    </row>
    <row r="1620" spans="1:14" x14ac:dyDescent="0.25">
      <c r="A1620" s="159">
        <v>82</v>
      </c>
      <c r="B1620" s="160">
        <v>10</v>
      </c>
      <c r="C1620" s="160">
        <v>11700</v>
      </c>
      <c r="D1620" s="160" t="s">
        <v>4364</v>
      </c>
      <c r="E1620" s="160">
        <v>55</v>
      </c>
      <c r="F1620" s="160" t="s">
        <v>74</v>
      </c>
      <c r="G1620" s="148">
        <v>32</v>
      </c>
      <c r="H1620" s="152">
        <f>IF(C1620=11700,ROUND(VLOOKUP(G1620,ThongSo!$F$2:$I$15,4,0)*B1620*11.7,3),0)</f>
        <v>738.27</v>
      </c>
      <c r="I1620" s="152">
        <f>IF(F1620="Sắt vụn",ROUND(VLOOKUP(G1620,ThongSo!$F$2:$I$15,4,0)*B1620*E1620/1000,3),"-")</f>
        <v>3.4710000000000001</v>
      </c>
      <c r="L1620" s="150"/>
      <c r="M1620" s="150"/>
      <c r="N1620" s="150"/>
    </row>
    <row r="1621" spans="1:14" x14ac:dyDescent="0.25">
      <c r="A1621" s="159">
        <v>83</v>
      </c>
      <c r="B1621" s="160">
        <v>11</v>
      </c>
      <c r="C1621" s="160">
        <v>11700</v>
      </c>
      <c r="D1621" s="160" t="s">
        <v>4365</v>
      </c>
      <c r="E1621" s="160">
        <v>60</v>
      </c>
      <c r="F1621" s="160" t="s">
        <v>74</v>
      </c>
      <c r="G1621" s="148">
        <v>32</v>
      </c>
      <c r="H1621" s="152">
        <f>IF(C1621=11700,ROUND(VLOOKUP(G1621,ThongSo!$F$2:$I$15,4,0)*B1621*11.7,3),0)</f>
        <v>812.09699999999998</v>
      </c>
      <c r="I1621" s="152">
        <f>IF(F1621="Sắt vụn",ROUND(VLOOKUP(G1621,ThongSo!$F$2:$I$15,4,0)*B1621*E1621/1000,3),"-")</f>
        <v>4.165</v>
      </c>
      <c r="L1621" s="150"/>
      <c r="M1621" s="150"/>
      <c r="N1621" s="150"/>
    </row>
    <row r="1622" spans="1:14" x14ac:dyDescent="0.25">
      <c r="A1622" s="159">
        <v>84</v>
      </c>
      <c r="B1622" s="160">
        <v>4</v>
      </c>
      <c r="C1622" s="160">
        <v>11700</v>
      </c>
      <c r="D1622" s="160" t="s">
        <v>4366</v>
      </c>
      <c r="E1622" s="160">
        <v>60</v>
      </c>
      <c r="F1622" s="160" t="s">
        <v>74</v>
      </c>
      <c r="G1622" s="148">
        <v>32</v>
      </c>
      <c r="H1622" s="152">
        <f>IF(C1622=11700,ROUND(VLOOKUP(G1622,ThongSo!$F$2:$I$15,4,0)*B1622*11.7,3),0)</f>
        <v>295.30799999999999</v>
      </c>
      <c r="I1622" s="152">
        <f>IF(F1622="Sắt vụn",ROUND(VLOOKUP(G1622,ThongSo!$F$2:$I$15,4,0)*B1622*E1622/1000,3),"-")</f>
        <v>1.514</v>
      </c>
      <c r="L1622" s="150"/>
      <c r="M1622" s="150"/>
      <c r="N1622" s="150"/>
    </row>
    <row r="1623" spans="1:14" x14ac:dyDescent="0.25">
      <c r="A1623" s="159">
        <v>85</v>
      </c>
      <c r="B1623" s="160">
        <v>3</v>
      </c>
      <c r="C1623" s="160">
        <v>11700</v>
      </c>
      <c r="D1623" s="160" t="s">
        <v>4367</v>
      </c>
      <c r="E1623" s="160">
        <v>80</v>
      </c>
      <c r="F1623" s="160" t="s">
        <v>74</v>
      </c>
      <c r="G1623" s="148">
        <v>32</v>
      </c>
      <c r="H1623" s="152">
        <f>IF(C1623=11700,ROUND(VLOOKUP(G1623,ThongSo!$F$2:$I$15,4,0)*B1623*11.7,3),0)</f>
        <v>221.48099999999999</v>
      </c>
      <c r="I1623" s="152">
        <f>IF(F1623="Sắt vụn",ROUND(VLOOKUP(G1623,ThongSo!$F$2:$I$15,4,0)*B1623*E1623/1000,3),"-")</f>
        <v>1.514</v>
      </c>
      <c r="L1623" s="150"/>
      <c r="M1623" s="150"/>
      <c r="N1623" s="150"/>
    </row>
    <row r="1624" spans="1:14" x14ac:dyDescent="0.25">
      <c r="A1624" s="159">
        <v>86</v>
      </c>
      <c r="B1624" s="160">
        <v>2</v>
      </c>
      <c r="C1624" s="160">
        <v>11700</v>
      </c>
      <c r="D1624" s="160" t="s">
        <v>4368</v>
      </c>
      <c r="E1624" s="160">
        <v>80</v>
      </c>
      <c r="F1624" s="160" t="s">
        <v>74</v>
      </c>
      <c r="G1624" s="148">
        <v>32</v>
      </c>
      <c r="H1624" s="152">
        <f>IF(C1624=11700,ROUND(VLOOKUP(G1624,ThongSo!$F$2:$I$15,4,0)*B1624*11.7,3),0)</f>
        <v>147.654</v>
      </c>
      <c r="I1624" s="152">
        <f>IF(F1624="Sắt vụn",ROUND(VLOOKUP(G1624,ThongSo!$F$2:$I$15,4,0)*B1624*E1624/1000,3),"-")</f>
        <v>1.01</v>
      </c>
      <c r="L1624" s="150"/>
      <c r="M1624" s="150"/>
      <c r="N1624" s="150"/>
    </row>
    <row r="1625" spans="1:14" x14ac:dyDescent="0.25">
      <c r="A1625" s="159">
        <v>87</v>
      </c>
      <c r="B1625" s="160">
        <v>9</v>
      </c>
      <c r="C1625" s="160">
        <v>11700</v>
      </c>
      <c r="D1625" s="160" t="s">
        <v>4369</v>
      </c>
      <c r="E1625" s="160">
        <v>130</v>
      </c>
      <c r="F1625" s="160" t="s">
        <v>74</v>
      </c>
      <c r="G1625" s="148">
        <v>32</v>
      </c>
      <c r="H1625" s="152">
        <f>IF(C1625=11700,ROUND(VLOOKUP(G1625,ThongSo!$F$2:$I$15,4,0)*B1625*11.7,3),0)</f>
        <v>664.44299999999998</v>
      </c>
      <c r="I1625" s="152">
        <f>IF(F1625="Sắt vụn",ROUND(VLOOKUP(G1625,ThongSo!$F$2:$I$15,4,0)*B1625*E1625/1000,3),"-")</f>
        <v>7.383</v>
      </c>
      <c r="L1625" s="150"/>
      <c r="M1625" s="150"/>
      <c r="N1625" s="150"/>
    </row>
    <row r="1626" spans="1:14" x14ac:dyDescent="0.25">
      <c r="A1626" s="159">
        <v>88</v>
      </c>
      <c r="B1626" s="160">
        <v>1</v>
      </c>
      <c r="C1626" s="160">
        <v>11700</v>
      </c>
      <c r="D1626" s="160" t="s">
        <v>4370</v>
      </c>
      <c r="E1626" s="160">
        <v>140</v>
      </c>
      <c r="F1626" s="160" t="s">
        <v>74</v>
      </c>
      <c r="G1626" s="148">
        <v>32</v>
      </c>
      <c r="H1626" s="152">
        <f>IF(C1626=11700,ROUND(VLOOKUP(G1626,ThongSo!$F$2:$I$15,4,0)*B1626*11.7,3),0)</f>
        <v>73.826999999999998</v>
      </c>
      <c r="I1626" s="152">
        <f>IF(F1626="Sắt vụn",ROUND(VLOOKUP(G1626,ThongSo!$F$2:$I$15,4,0)*B1626*E1626/1000,3),"-")</f>
        <v>0.88300000000000001</v>
      </c>
      <c r="L1626" s="150"/>
      <c r="M1626" s="150"/>
      <c r="N1626" s="150"/>
    </row>
    <row r="1627" spans="1:14" x14ac:dyDescent="0.25">
      <c r="A1627" s="159">
        <v>89</v>
      </c>
      <c r="B1627" s="160">
        <v>8</v>
      </c>
      <c r="C1627" s="160">
        <v>11700</v>
      </c>
      <c r="D1627" s="160" t="s">
        <v>4371</v>
      </c>
      <c r="E1627" s="160">
        <v>145</v>
      </c>
      <c r="F1627" s="160" t="s">
        <v>74</v>
      </c>
      <c r="G1627" s="148">
        <v>32</v>
      </c>
      <c r="H1627" s="152">
        <f>IF(C1627=11700,ROUND(VLOOKUP(G1627,ThongSo!$F$2:$I$15,4,0)*B1627*11.7,3),0)</f>
        <v>590.61599999999999</v>
      </c>
      <c r="I1627" s="152">
        <f>IF(F1627="Sắt vụn",ROUND(VLOOKUP(G1627,ThongSo!$F$2:$I$15,4,0)*B1627*E1627/1000,3),"-")</f>
        <v>7.32</v>
      </c>
      <c r="L1627" s="150"/>
      <c r="M1627" s="150"/>
      <c r="N1627" s="150"/>
    </row>
    <row r="1628" spans="1:14" x14ac:dyDescent="0.25">
      <c r="A1628" s="159">
        <v>90</v>
      </c>
      <c r="B1628" s="160">
        <v>2</v>
      </c>
      <c r="C1628" s="160">
        <v>11700</v>
      </c>
      <c r="D1628" s="160" t="s">
        <v>4372</v>
      </c>
      <c r="E1628" s="160">
        <v>150</v>
      </c>
      <c r="F1628" s="160" t="s">
        <v>74</v>
      </c>
      <c r="G1628" s="148">
        <v>32</v>
      </c>
      <c r="H1628" s="152">
        <f>IF(C1628=11700,ROUND(VLOOKUP(G1628,ThongSo!$F$2:$I$15,4,0)*B1628*11.7,3),0)</f>
        <v>147.654</v>
      </c>
      <c r="I1628" s="152">
        <f>IF(F1628="Sắt vụn",ROUND(VLOOKUP(G1628,ThongSo!$F$2:$I$15,4,0)*B1628*E1628/1000,3),"-")</f>
        <v>1.893</v>
      </c>
      <c r="L1628" s="150"/>
      <c r="M1628" s="150"/>
      <c r="N1628" s="150"/>
    </row>
    <row r="1629" spans="1:14" x14ac:dyDescent="0.25">
      <c r="A1629" s="159">
        <v>91</v>
      </c>
      <c r="B1629" s="160">
        <v>10</v>
      </c>
      <c r="C1629" s="160">
        <v>11700</v>
      </c>
      <c r="D1629" s="160" t="s">
        <v>4373</v>
      </c>
      <c r="E1629" s="160">
        <v>175</v>
      </c>
      <c r="F1629" s="160" t="s">
        <v>74</v>
      </c>
      <c r="G1629" s="148">
        <v>32</v>
      </c>
      <c r="H1629" s="152">
        <f>IF(C1629=11700,ROUND(VLOOKUP(G1629,ThongSo!$F$2:$I$15,4,0)*B1629*11.7,3),0)</f>
        <v>738.27</v>
      </c>
      <c r="I1629" s="152">
        <f>IF(F1629="Sắt vụn",ROUND(VLOOKUP(G1629,ThongSo!$F$2:$I$15,4,0)*B1629*E1629/1000,3),"-")</f>
        <v>11.042999999999999</v>
      </c>
      <c r="L1629" s="150"/>
      <c r="M1629" s="150"/>
      <c r="N1629" s="150"/>
    </row>
    <row r="1630" spans="1:14" x14ac:dyDescent="0.25">
      <c r="A1630" s="159">
        <v>92</v>
      </c>
      <c r="B1630" s="160">
        <v>8</v>
      </c>
      <c r="C1630" s="160">
        <v>11700</v>
      </c>
      <c r="D1630" s="160" t="s">
        <v>4374</v>
      </c>
      <c r="E1630" s="160">
        <v>175</v>
      </c>
      <c r="F1630" s="160" t="s">
        <v>74</v>
      </c>
      <c r="G1630" s="148">
        <v>32</v>
      </c>
      <c r="H1630" s="152">
        <f>IF(C1630=11700,ROUND(VLOOKUP(G1630,ThongSo!$F$2:$I$15,4,0)*B1630*11.7,3),0)</f>
        <v>590.61599999999999</v>
      </c>
      <c r="I1630" s="152">
        <f>IF(F1630="Sắt vụn",ROUND(VLOOKUP(G1630,ThongSo!$F$2:$I$15,4,0)*B1630*E1630/1000,3),"-")</f>
        <v>8.8339999999999996</v>
      </c>
      <c r="L1630" s="150"/>
      <c r="M1630" s="150"/>
      <c r="N1630" s="150"/>
    </row>
    <row r="1631" spans="1:14" x14ac:dyDescent="0.25">
      <c r="A1631" s="159">
        <v>93</v>
      </c>
      <c r="B1631" s="160">
        <v>4</v>
      </c>
      <c r="C1631" s="160">
        <v>11700</v>
      </c>
      <c r="D1631" s="160" t="s">
        <v>4375</v>
      </c>
      <c r="E1631" s="160">
        <v>200</v>
      </c>
      <c r="F1631" s="160" t="s">
        <v>74</v>
      </c>
      <c r="G1631" s="148">
        <v>32</v>
      </c>
      <c r="H1631" s="152">
        <f>IF(C1631=11700,ROUND(VLOOKUP(G1631,ThongSo!$F$2:$I$15,4,0)*B1631*11.7,3),0)</f>
        <v>295.30799999999999</v>
      </c>
      <c r="I1631" s="152">
        <f>IF(F1631="Sắt vụn",ROUND(VLOOKUP(G1631,ThongSo!$F$2:$I$15,4,0)*B1631*E1631/1000,3),"-")</f>
        <v>5.048</v>
      </c>
      <c r="L1631" s="150"/>
      <c r="M1631" s="150"/>
      <c r="N1631" s="150"/>
    </row>
    <row r="1632" spans="1:14" x14ac:dyDescent="0.25">
      <c r="A1632" s="159">
        <v>94</v>
      </c>
      <c r="B1632" s="160">
        <v>2</v>
      </c>
      <c r="C1632" s="160">
        <v>11700</v>
      </c>
      <c r="D1632" s="160" t="s">
        <v>4376</v>
      </c>
      <c r="E1632" s="160">
        <v>230</v>
      </c>
      <c r="F1632" s="160" t="s">
        <v>74</v>
      </c>
      <c r="G1632" s="148">
        <v>32</v>
      </c>
      <c r="H1632" s="152">
        <f>IF(C1632=11700,ROUND(VLOOKUP(G1632,ThongSo!$F$2:$I$15,4,0)*B1632*11.7,3),0)</f>
        <v>147.654</v>
      </c>
      <c r="I1632" s="152">
        <f>IF(F1632="Sắt vụn",ROUND(VLOOKUP(G1632,ThongSo!$F$2:$I$15,4,0)*B1632*E1632/1000,3),"-")</f>
        <v>2.903</v>
      </c>
      <c r="L1632" s="150"/>
      <c r="M1632" s="150"/>
      <c r="N1632" s="150"/>
    </row>
    <row r="1633" spans="1:14" x14ac:dyDescent="0.25">
      <c r="A1633" s="159">
        <v>95</v>
      </c>
      <c r="B1633" s="160">
        <v>8</v>
      </c>
      <c r="C1633" s="160">
        <v>11700</v>
      </c>
      <c r="D1633" s="160" t="s">
        <v>4377</v>
      </c>
      <c r="E1633" s="160">
        <v>280</v>
      </c>
      <c r="F1633" s="160" t="s">
        <v>74</v>
      </c>
      <c r="G1633" s="148">
        <v>32</v>
      </c>
      <c r="H1633" s="152">
        <f>IF(C1633=11700,ROUND(VLOOKUP(G1633,ThongSo!$F$2:$I$15,4,0)*B1633*11.7,3),0)</f>
        <v>590.61599999999999</v>
      </c>
      <c r="I1633" s="152">
        <f>IF(F1633="Sắt vụn",ROUND(VLOOKUP(G1633,ThongSo!$F$2:$I$15,4,0)*B1633*E1633/1000,3),"-")</f>
        <v>14.134</v>
      </c>
      <c r="L1633" s="150"/>
      <c r="M1633" s="150"/>
      <c r="N1633" s="150"/>
    </row>
    <row r="1634" spans="1:14" x14ac:dyDescent="0.25">
      <c r="A1634" s="159">
        <v>96</v>
      </c>
      <c r="B1634" s="160">
        <v>8</v>
      </c>
      <c r="C1634" s="160">
        <v>11700</v>
      </c>
      <c r="D1634" s="160" t="s">
        <v>4378</v>
      </c>
      <c r="E1634" s="160">
        <v>325</v>
      </c>
      <c r="F1634" s="160" t="s">
        <v>74</v>
      </c>
      <c r="G1634" s="148">
        <v>32</v>
      </c>
      <c r="H1634" s="152">
        <f>IF(C1634=11700,ROUND(VLOOKUP(G1634,ThongSo!$F$2:$I$15,4,0)*B1634*11.7,3),0)</f>
        <v>590.61599999999999</v>
      </c>
      <c r="I1634" s="152">
        <f>IF(F1634="Sắt vụn",ROUND(VLOOKUP(G1634,ThongSo!$F$2:$I$15,4,0)*B1634*E1634/1000,3),"-")</f>
        <v>16.405999999999999</v>
      </c>
      <c r="L1634" s="150"/>
      <c r="M1634" s="150"/>
      <c r="N1634" s="150"/>
    </row>
    <row r="1635" spans="1:14" x14ac:dyDescent="0.25">
      <c r="A1635" s="159">
        <v>97</v>
      </c>
      <c r="B1635" s="160">
        <v>7</v>
      </c>
      <c r="C1635" s="160">
        <v>11700</v>
      </c>
      <c r="D1635" s="160" t="s">
        <v>4379</v>
      </c>
      <c r="E1635" s="160">
        <v>365</v>
      </c>
      <c r="F1635" s="160" t="s">
        <v>74</v>
      </c>
      <c r="G1635" s="148">
        <v>32</v>
      </c>
      <c r="H1635" s="152">
        <f>IF(C1635=11700,ROUND(VLOOKUP(G1635,ThongSo!$F$2:$I$15,4,0)*B1635*11.7,3),0)</f>
        <v>516.78899999999999</v>
      </c>
      <c r="I1635" s="152">
        <f>IF(F1635="Sắt vụn",ROUND(VLOOKUP(G1635,ThongSo!$F$2:$I$15,4,0)*B1635*E1635/1000,3),"-")</f>
        <v>16.122</v>
      </c>
      <c r="L1635" s="150"/>
      <c r="M1635" s="150"/>
      <c r="N1635" s="150"/>
    </row>
    <row r="1636" spans="1:14" x14ac:dyDescent="0.25">
      <c r="A1636" s="159">
        <v>98</v>
      </c>
      <c r="B1636" s="160">
        <v>2</v>
      </c>
      <c r="C1636" s="160">
        <v>11700</v>
      </c>
      <c r="D1636" s="160" t="s">
        <v>4380</v>
      </c>
      <c r="E1636" s="160">
        <v>365</v>
      </c>
      <c r="F1636" s="160" t="s">
        <v>74</v>
      </c>
      <c r="G1636" s="148">
        <v>32</v>
      </c>
      <c r="H1636" s="152">
        <f>IF(C1636=11700,ROUND(VLOOKUP(G1636,ThongSo!$F$2:$I$15,4,0)*B1636*11.7,3),0)</f>
        <v>147.654</v>
      </c>
      <c r="I1636" s="152">
        <f>IF(F1636="Sắt vụn",ROUND(VLOOKUP(G1636,ThongSo!$F$2:$I$15,4,0)*B1636*E1636/1000,3),"-")</f>
        <v>4.6059999999999999</v>
      </c>
      <c r="L1636" s="150"/>
      <c r="M1636" s="150"/>
      <c r="N1636" s="150"/>
    </row>
    <row r="1637" spans="1:14" x14ac:dyDescent="0.25">
      <c r="A1637" s="159">
        <v>99</v>
      </c>
      <c r="B1637" s="160">
        <v>2</v>
      </c>
      <c r="C1637" s="160">
        <v>11700</v>
      </c>
      <c r="D1637" s="160" t="s">
        <v>4381</v>
      </c>
      <c r="E1637" s="160">
        <v>365</v>
      </c>
      <c r="F1637" s="160" t="s">
        <v>74</v>
      </c>
      <c r="G1637" s="148">
        <v>32</v>
      </c>
      <c r="H1637" s="152">
        <f>IF(C1637=11700,ROUND(VLOOKUP(G1637,ThongSo!$F$2:$I$15,4,0)*B1637*11.7,3),0)</f>
        <v>147.654</v>
      </c>
      <c r="I1637" s="152">
        <f>IF(F1637="Sắt vụn",ROUND(VLOOKUP(G1637,ThongSo!$F$2:$I$15,4,0)*B1637*E1637/1000,3),"-")</f>
        <v>4.6059999999999999</v>
      </c>
      <c r="L1637" s="150"/>
      <c r="M1637" s="150"/>
      <c r="N1637" s="150"/>
    </row>
    <row r="1638" spans="1:14" x14ac:dyDescent="0.25">
      <c r="A1638" s="159">
        <v>100</v>
      </c>
      <c r="B1638" s="160">
        <v>8</v>
      </c>
      <c r="C1638" s="160">
        <v>11700</v>
      </c>
      <c r="D1638" s="160" t="s">
        <v>4382</v>
      </c>
      <c r="E1638" s="160">
        <v>405</v>
      </c>
      <c r="F1638" s="160" t="s">
        <v>74</v>
      </c>
      <c r="G1638" s="148">
        <v>32</v>
      </c>
      <c r="H1638" s="152">
        <f>IF(C1638=11700,ROUND(VLOOKUP(G1638,ThongSo!$F$2:$I$15,4,0)*B1638*11.7,3),0)</f>
        <v>590.61599999999999</v>
      </c>
      <c r="I1638" s="152">
        <f>IF(F1638="Sắt vụn",ROUND(VLOOKUP(G1638,ThongSo!$F$2:$I$15,4,0)*B1638*E1638/1000,3),"-")</f>
        <v>20.443999999999999</v>
      </c>
      <c r="L1638" s="150"/>
      <c r="M1638" s="150"/>
      <c r="N1638" s="150"/>
    </row>
    <row r="1639" spans="1:14" x14ac:dyDescent="0.25">
      <c r="A1639" s="159">
        <v>101</v>
      </c>
      <c r="B1639" s="160">
        <v>1</v>
      </c>
      <c r="C1639" s="160">
        <v>11700</v>
      </c>
      <c r="D1639" s="160" t="s">
        <v>4383</v>
      </c>
      <c r="E1639" s="160">
        <v>405</v>
      </c>
      <c r="F1639" s="160" t="s">
        <v>74</v>
      </c>
      <c r="G1639" s="148">
        <v>32</v>
      </c>
      <c r="H1639" s="152">
        <f>IF(C1639=11700,ROUND(VLOOKUP(G1639,ThongSo!$F$2:$I$15,4,0)*B1639*11.7,3),0)</f>
        <v>73.826999999999998</v>
      </c>
      <c r="I1639" s="152">
        <f>IF(F1639="Sắt vụn",ROUND(VLOOKUP(G1639,ThongSo!$F$2:$I$15,4,0)*B1639*E1639/1000,3),"-")</f>
        <v>2.556</v>
      </c>
      <c r="L1639" s="150"/>
      <c r="M1639" s="150"/>
      <c r="N1639" s="150"/>
    </row>
    <row r="1640" spans="1:14" x14ac:dyDescent="0.25">
      <c r="A1640" s="159">
        <v>102</v>
      </c>
      <c r="B1640" s="160">
        <v>1</v>
      </c>
      <c r="C1640" s="160">
        <v>11700</v>
      </c>
      <c r="D1640" s="160" t="s">
        <v>4384</v>
      </c>
      <c r="E1640" s="160">
        <v>430</v>
      </c>
      <c r="F1640" s="160" t="s">
        <v>74</v>
      </c>
      <c r="G1640" s="148">
        <v>32</v>
      </c>
      <c r="H1640" s="152">
        <f>IF(C1640=11700,ROUND(VLOOKUP(G1640,ThongSo!$F$2:$I$15,4,0)*B1640*11.7,3),0)</f>
        <v>73.826999999999998</v>
      </c>
      <c r="I1640" s="152">
        <f>IF(F1640="Sắt vụn",ROUND(VLOOKUP(G1640,ThongSo!$F$2:$I$15,4,0)*B1640*E1640/1000,3),"-")</f>
        <v>2.7130000000000001</v>
      </c>
      <c r="L1640" s="150"/>
      <c r="M1640" s="150"/>
      <c r="N1640" s="150"/>
    </row>
    <row r="1641" spans="1:14" x14ac:dyDescent="0.25">
      <c r="A1641" s="159">
        <v>103</v>
      </c>
      <c r="B1641" s="160">
        <v>9</v>
      </c>
      <c r="C1641" s="160">
        <v>11700</v>
      </c>
      <c r="D1641" s="160" t="s">
        <v>4385</v>
      </c>
      <c r="E1641" s="160">
        <v>430</v>
      </c>
      <c r="F1641" s="160" t="s">
        <v>74</v>
      </c>
      <c r="G1641" s="148">
        <v>32</v>
      </c>
      <c r="H1641" s="152">
        <f>IF(C1641=11700,ROUND(VLOOKUP(G1641,ThongSo!$F$2:$I$15,4,0)*B1641*11.7,3),0)</f>
        <v>664.44299999999998</v>
      </c>
      <c r="I1641" s="152">
        <f>IF(F1641="Sắt vụn",ROUND(VLOOKUP(G1641,ThongSo!$F$2:$I$15,4,0)*B1641*E1641/1000,3),"-")</f>
        <v>24.42</v>
      </c>
      <c r="L1641" s="150"/>
      <c r="M1641" s="150"/>
      <c r="N1641" s="150"/>
    </row>
    <row r="1642" spans="1:14" x14ac:dyDescent="0.25">
      <c r="A1642" s="159">
        <v>104</v>
      </c>
      <c r="B1642" s="160">
        <v>11</v>
      </c>
      <c r="C1642" s="160">
        <v>11700</v>
      </c>
      <c r="D1642" s="160" t="s">
        <v>4386</v>
      </c>
      <c r="E1642" s="160">
        <v>430</v>
      </c>
      <c r="F1642" s="160" t="s">
        <v>74</v>
      </c>
      <c r="G1642" s="148">
        <v>32</v>
      </c>
      <c r="H1642" s="152">
        <f>IF(C1642=11700,ROUND(VLOOKUP(G1642,ThongSo!$F$2:$I$15,4,0)*B1642*11.7,3),0)</f>
        <v>812.09699999999998</v>
      </c>
      <c r="I1642" s="152">
        <f>IF(F1642="Sắt vụn",ROUND(VLOOKUP(G1642,ThongSo!$F$2:$I$15,4,0)*B1642*E1642/1000,3),"-")</f>
        <v>29.846</v>
      </c>
      <c r="L1642" s="150"/>
      <c r="M1642" s="150"/>
      <c r="N1642" s="150"/>
    </row>
    <row r="1643" spans="1:14" x14ac:dyDescent="0.25">
      <c r="A1643" s="159">
        <v>105</v>
      </c>
      <c r="B1643" s="160">
        <v>11</v>
      </c>
      <c r="C1643" s="160">
        <v>11700</v>
      </c>
      <c r="D1643" s="160" t="s">
        <v>4387</v>
      </c>
      <c r="E1643" s="160">
        <v>430</v>
      </c>
      <c r="F1643" s="160" t="s">
        <v>74</v>
      </c>
      <c r="G1643" s="148">
        <v>32</v>
      </c>
      <c r="H1643" s="152">
        <f>IF(C1643=11700,ROUND(VLOOKUP(G1643,ThongSo!$F$2:$I$15,4,0)*B1643*11.7,3),0)</f>
        <v>812.09699999999998</v>
      </c>
      <c r="I1643" s="152">
        <f>IF(F1643="Sắt vụn",ROUND(VLOOKUP(G1643,ThongSo!$F$2:$I$15,4,0)*B1643*E1643/1000,3),"-")</f>
        <v>29.846</v>
      </c>
      <c r="L1643" s="150"/>
      <c r="M1643" s="150"/>
      <c r="N1643" s="150"/>
    </row>
    <row r="1644" spans="1:14" x14ac:dyDescent="0.25">
      <c r="A1644" s="159">
        <v>106</v>
      </c>
      <c r="B1644" s="160">
        <v>10</v>
      </c>
      <c r="C1644" s="160">
        <v>11700</v>
      </c>
      <c r="D1644" s="160" t="s">
        <v>4388</v>
      </c>
      <c r="E1644" s="160">
        <v>430</v>
      </c>
      <c r="F1644" s="160" t="s">
        <v>74</v>
      </c>
      <c r="G1644" s="148">
        <v>32</v>
      </c>
      <c r="H1644" s="152">
        <f>IF(C1644=11700,ROUND(VLOOKUP(G1644,ThongSo!$F$2:$I$15,4,0)*B1644*11.7,3),0)</f>
        <v>738.27</v>
      </c>
      <c r="I1644" s="152">
        <f>IF(F1644="Sắt vụn",ROUND(VLOOKUP(G1644,ThongSo!$F$2:$I$15,4,0)*B1644*E1644/1000,3),"-")</f>
        <v>27.132999999999999</v>
      </c>
      <c r="L1644" s="150"/>
      <c r="M1644" s="150"/>
      <c r="N1644" s="150"/>
    </row>
    <row r="1645" spans="1:14" x14ac:dyDescent="0.25">
      <c r="A1645" s="159">
        <v>107</v>
      </c>
      <c r="B1645" s="160">
        <v>10</v>
      </c>
      <c r="C1645" s="160">
        <v>11700</v>
      </c>
      <c r="D1645" s="160" t="s">
        <v>4389</v>
      </c>
      <c r="E1645" s="160">
        <v>430</v>
      </c>
      <c r="F1645" s="160" t="s">
        <v>74</v>
      </c>
      <c r="G1645" s="148">
        <v>32</v>
      </c>
      <c r="H1645" s="152">
        <f>IF(C1645=11700,ROUND(VLOOKUP(G1645,ThongSo!$F$2:$I$15,4,0)*B1645*11.7,3),0)</f>
        <v>738.27</v>
      </c>
      <c r="I1645" s="152">
        <f>IF(F1645="Sắt vụn",ROUND(VLOOKUP(G1645,ThongSo!$F$2:$I$15,4,0)*B1645*E1645/1000,3),"-")</f>
        <v>27.132999999999999</v>
      </c>
      <c r="L1645" s="150"/>
      <c r="M1645" s="150"/>
      <c r="N1645" s="150"/>
    </row>
    <row r="1646" spans="1:14" x14ac:dyDescent="0.25">
      <c r="A1646" s="159">
        <v>108</v>
      </c>
      <c r="B1646" s="160">
        <v>10</v>
      </c>
      <c r="C1646" s="160">
        <v>11700</v>
      </c>
      <c r="D1646" s="160" t="s">
        <v>4390</v>
      </c>
      <c r="E1646" s="160">
        <v>430</v>
      </c>
      <c r="F1646" s="160" t="s">
        <v>74</v>
      </c>
      <c r="G1646" s="148">
        <v>32</v>
      </c>
      <c r="H1646" s="152">
        <f>IF(C1646=11700,ROUND(VLOOKUP(G1646,ThongSo!$F$2:$I$15,4,0)*B1646*11.7,3),0)</f>
        <v>738.27</v>
      </c>
      <c r="I1646" s="152">
        <f>IF(F1646="Sắt vụn",ROUND(VLOOKUP(G1646,ThongSo!$F$2:$I$15,4,0)*B1646*E1646/1000,3),"-")</f>
        <v>27.132999999999999</v>
      </c>
      <c r="L1646" s="150"/>
      <c r="M1646" s="150"/>
      <c r="N1646" s="150"/>
    </row>
    <row r="1647" spans="1:14" x14ac:dyDescent="0.25">
      <c r="A1647" s="159">
        <v>109</v>
      </c>
      <c r="B1647" s="160">
        <v>8</v>
      </c>
      <c r="C1647" s="160">
        <v>11700</v>
      </c>
      <c r="D1647" s="160" t="s">
        <v>4391</v>
      </c>
      <c r="E1647" s="160">
        <v>430</v>
      </c>
      <c r="F1647" s="160" t="s">
        <v>74</v>
      </c>
      <c r="G1647" s="148">
        <v>32</v>
      </c>
      <c r="H1647" s="152">
        <f>IF(C1647=11700,ROUND(VLOOKUP(G1647,ThongSo!$F$2:$I$15,4,0)*B1647*11.7,3),0)</f>
        <v>590.61599999999999</v>
      </c>
      <c r="I1647" s="152">
        <f>IF(F1647="Sắt vụn",ROUND(VLOOKUP(G1647,ThongSo!$F$2:$I$15,4,0)*B1647*E1647/1000,3),"-")</f>
        <v>21.706</v>
      </c>
      <c r="L1647" s="150"/>
      <c r="M1647" s="150"/>
      <c r="N1647" s="150"/>
    </row>
    <row r="1648" spans="1:14" x14ac:dyDescent="0.25">
      <c r="A1648" s="159">
        <v>110</v>
      </c>
      <c r="B1648" s="160">
        <v>2</v>
      </c>
      <c r="C1648" s="160">
        <v>11700</v>
      </c>
      <c r="D1648" s="160" t="s">
        <v>4392</v>
      </c>
      <c r="E1648" s="160">
        <v>430</v>
      </c>
      <c r="F1648" s="160" t="s">
        <v>74</v>
      </c>
      <c r="G1648" s="148">
        <v>32</v>
      </c>
      <c r="H1648" s="152">
        <f>IF(C1648=11700,ROUND(VLOOKUP(G1648,ThongSo!$F$2:$I$15,4,0)*B1648*11.7,3),0)</f>
        <v>147.654</v>
      </c>
      <c r="I1648" s="152">
        <f>IF(F1648="Sắt vụn",ROUND(VLOOKUP(G1648,ThongSo!$F$2:$I$15,4,0)*B1648*E1648/1000,3),"-")</f>
        <v>5.4269999999999996</v>
      </c>
      <c r="L1648" s="150"/>
      <c r="M1648" s="150"/>
      <c r="N1648" s="150"/>
    </row>
    <row r="1649" spans="1:14" x14ac:dyDescent="0.25">
      <c r="A1649" s="159">
        <v>111</v>
      </c>
      <c r="B1649" s="160">
        <v>1</v>
      </c>
      <c r="C1649" s="160">
        <v>11700</v>
      </c>
      <c r="D1649" s="160" t="s">
        <v>4393</v>
      </c>
      <c r="E1649" s="160">
        <v>435</v>
      </c>
      <c r="F1649" s="160" t="s">
        <v>74</v>
      </c>
      <c r="G1649" s="148">
        <v>32</v>
      </c>
      <c r="H1649" s="152">
        <f>IF(C1649=11700,ROUND(VLOOKUP(G1649,ThongSo!$F$2:$I$15,4,0)*B1649*11.7,3),0)</f>
        <v>73.826999999999998</v>
      </c>
      <c r="I1649" s="152">
        <f>IF(F1649="Sắt vụn",ROUND(VLOOKUP(G1649,ThongSo!$F$2:$I$15,4,0)*B1649*E1649/1000,3),"-")</f>
        <v>2.7450000000000001</v>
      </c>
      <c r="L1649" s="150"/>
      <c r="M1649" s="150"/>
      <c r="N1649" s="150"/>
    </row>
    <row r="1650" spans="1:14" x14ac:dyDescent="0.25">
      <c r="A1650" s="159">
        <v>112</v>
      </c>
      <c r="B1650" s="160">
        <v>10</v>
      </c>
      <c r="C1650" s="160">
        <v>11700</v>
      </c>
      <c r="D1650" s="160" t="s">
        <v>4394</v>
      </c>
      <c r="E1650" s="160">
        <v>440</v>
      </c>
      <c r="F1650" s="160" t="s">
        <v>74</v>
      </c>
      <c r="G1650" s="148">
        <v>32</v>
      </c>
      <c r="H1650" s="152">
        <f>IF(C1650=11700,ROUND(VLOOKUP(G1650,ThongSo!$F$2:$I$15,4,0)*B1650*11.7,3),0)</f>
        <v>738.27</v>
      </c>
      <c r="I1650" s="152">
        <f>IF(F1650="Sắt vụn",ROUND(VLOOKUP(G1650,ThongSo!$F$2:$I$15,4,0)*B1650*E1650/1000,3),"-")</f>
        <v>27.763999999999999</v>
      </c>
      <c r="L1650" s="150"/>
      <c r="M1650" s="150"/>
      <c r="N1650" s="150"/>
    </row>
    <row r="1651" spans="1:14" x14ac:dyDescent="0.25">
      <c r="A1651" s="159">
        <v>113</v>
      </c>
      <c r="B1651" s="160">
        <v>11</v>
      </c>
      <c r="C1651" s="160">
        <v>11700</v>
      </c>
      <c r="D1651" s="160" t="s">
        <v>4395</v>
      </c>
      <c r="E1651" s="160">
        <v>450</v>
      </c>
      <c r="F1651" s="160" t="s">
        <v>74</v>
      </c>
      <c r="G1651" s="148">
        <v>32</v>
      </c>
      <c r="H1651" s="152">
        <f>IF(C1651=11700,ROUND(VLOOKUP(G1651,ThongSo!$F$2:$I$15,4,0)*B1651*11.7,3),0)</f>
        <v>812.09699999999998</v>
      </c>
      <c r="I1651" s="152">
        <f>IF(F1651="Sắt vụn",ROUND(VLOOKUP(G1651,ThongSo!$F$2:$I$15,4,0)*B1651*E1651/1000,3),"-")</f>
        <v>31.234999999999999</v>
      </c>
      <c r="L1651" s="150"/>
      <c r="M1651" s="150"/>
      <c r="N1651" s="150"/>
    </row>
    <row r="1652" spans="1:14" x14ac:dyDescent="0.25">
      <c r="A1652" s="159">
        <v>114</v>
      </c>
      <c r="B1652" s="160">
        <v>9</v>
      </c>
      <c r="C1652" s="160">
        <v>11700</v>
      </c>
      <c r="D1652" s="160" t="s">
        <v>4396</v>
      </c>
      <c r="E1652" s="160">
        <v>455</v>
      </c>
      <c r="F1652" s="160" t="s">
        <v>74</v>
      </c>
      <c r="G1652" s="148">
        <v>32</v>
      </c>
      <c r="H1652" s="152">
        <f>IF(C1652=11700,ROUND(VLOOKUP(G1652,ThongSo!$F$2:$I$15,4,0)*B1652*11.7,3),0)</f>
        <v>664.44299999999998</v>
      </c>
      <c r="I1652" s="152">
        <f>IF(F1652="Sắt vụn",ROUND(VLOOKUP(G1652,ThongSo!$F$2:$I$15,4,0)*B1652*E1652/1000,3),"-")</f>
        <v>25.838999999999999</v>
      </c>
      <c r="L1652" s="150"/>
      <c r="M1652" s="150"/>
      <c r="N1652" s="150"/>
    </row>
    <row r="1653" spans="1:14" x14ac:dyDescent="0.25">
      <c r="A1653" s="159">
        <v>115</v>
      </c>
      <c r="B1653" s="160">
        <v>5</v>
      </c>
      <c r="C1653" s="160">
        <v>11700</v>
      </c>
      <c r="D1653" s="160" t="s">
        <v>4397</v>
      </c>
      <c r="E1653" s="160">
        <v>465</v>
      </c>
      <c r="F1653" s="160" t="s">
        <v>74</v>
      </c>
      <c r="G1653" s="148">
        <v>32</v>
      </c>
      <c r="H1653" s="152">
        <f>IF(C1653=11700,ROUND(VLOOKUP(G1653,ThongSo!$F$2:$I$15,4,0)*B1653*11.7,3),0)</f>
        <v>369.13499999999999</v>
      </c>
      <c r="I1653" s="152">
        <f>IF(F1653="Sắt vụn",ROUND(VLOOKUP(G1653,ThongSo!$F$2:$I$15,4,0)*B1653*E1653/1000,3),"-")</f>
        <v>14.670999999999999</v>
      </c>
      <c r="L1653" s="150"/>
      <c r="M1653" s="150"/>
      <c r="N1653" s="150"/>
    </row>
    <row r="1654" spans="1:14" x14ac:dyDescent="0.25">
      <c r="A1654" s="159">
        <v>116</v>
      </c>
      <c r="B1654" s="160">
        <v>10</v>
      </c>
      <c r="C1654" s="160">
        <v>11700</v>
      </c>
      <c r="D1654" s="160" t="s">
        <v>4398</v>
      </c>
      <c r="E1654" s="160">
        <v>480</v>
      </c>
      <c r="F1654" s="160" t="s">
        <v>74</v>
      </c>
      <c r="G1654" s="148">
        <v>32</v>
      </c>
      <c r="H1654" s="152">
        <f>IF(C1654=11700,ROUND(VLOOKUP(G1654,ThongSo!$F$2:$I$15,4,0)*B1654*11.7,3),0)</f>
        <v>738.27</v>
      </c>
      <c r="I1654" s="152">
        <f>IF(F1654="Sắt vụn",ROUND(VLOOKUP(G1654,ThongSo!$F$2:$I$15,4,0)*B1654*E1654/1000,3),"-")</f>
        <v>30.288</v>
      </c>
      <c r="L1654" s="150"/>
      <c r="M1654" s="150"/>
      <c r="N1654" s="150"/>
    </row>
    <row r="1655" spans="1:14" x14ac:dyDescent="0.25">
      <c r="A1655" s="159">
        <v>117</v>
      </c>
      <c r="B1655" s="160">
        <v>6</v>
      </c>
      <c r="C1655" s="160">
        <v>11700</v>
      </c>
      <c r="D1655" s="160" t="s">
        <v>4399</v>
      </c>
      <c r="E1655" s="160">
        <v>490</v>
      </c>
      <c r="F1655" s="160" t="s">
        <v>74</v>
      </c>
      <c r="G1655" s="148">
        <v>32</v>
      </c>
      <c r="H1655" s="152">
        <f>IF(C1655=11700,ROUND(VLOOKUP(G1655,ThongSo!$F$2:$I$15,4,0)*B1655*11.7,3),0)</f>
        <v>442.96199999999999</v>
      </c>
      <c r="I1655" s="152">
        <f>IF(F1655="Sắt vụn",ROUND(VLOOKUP(G1655,ThongSo!$F$2:$I$15,4,0)*B1655*E1655/1000,3),"-")</f>
        <v>18.550999999999998</v>
      </c>
      <c r="L1655" s="150"/>
      <c r="M1655" s="150"/>
      <c r="N1655" s="150"/>
    </row>
    <row r="1656" spans="1:14" x14ac:dyDescent="0.25">
      <c r="A1656" s="159">
        <v>118</v>
      </c>
      <c r="B1656" s="160">
        <v>2</v>
      </c>
      <c r="C1656" s="160">
        <v>11700</v>
      </c>
      <c r="D1656" s="160" t="s">
        <v>4400</v>
      </c>
      <c r="E1656" s="160">
        <v>505</v>
      </c>
      <c r="F1656" s="160" t="s">
        <v>74</v>
      </c>
      <c r="G1656" s="148">
        <v>32</v>
      </c>
      <c r="H1656" s="152">
        <f>IF(C1656=11700,ROUND(VLOOKUP(G1656,ThongSo!$F$2:$I$15,4,0)*B1656*11.7,3),0)</f>
        <v>147.654</v>
      </c>
      <c r="I1656" s="152">
        <f>IF(F1656="Sắt vụn",ROUND(VLOOKUP(G1656,ThongSo!$F$2:$I$15,4,0)*B1656*E1656/1000,3),"-")</f>
        <v>6.3730000000000002</v>
      </c>
      <c r="L1656" s="150"/>
      <c r="M1656" s="150"/>
      <c r="N1656" s="150"/>
    </row>
    <row r="1657" spans="1:14" x14ac:dyDescent="0.25">
      <c r="A1657" s="159">
        <v>119</v>
      </c>
      <c r="B1657" s="160">
        <v>1</v>
      </c>
      <c r="C1657" s="160">
        <v>11700</v>
      </c>
      <c r="D1657" s="160" t="s">
        <v>4401</v>
      </c>
      <c r="E1657" s="160">
        <v>510</v>
      </c>
      <c r="F1657" s="160" t="s">
        <v>74</v>
      </c>
      <c r="G1657" s="148">
        <v>32</v>
      </c>
      <c r="H1657" s="152">
        <f>IF(C1657=11700,ROUND(VLOOKUP(G1657,ThongSo!$F$2:$I$15,4,0)*B1657*11.7,3),0)</f>
        <v>73.826999999999998</v>
      </c>
      <c r="I1657" s="152">
        <f>IF(F1657="Sắt vụn",ROUND(VLOOKUP(G1657,ThongSo!$F$2:$I$15,4,0)*B1657*E1657/1000,3),"-")</f>
        <v>3.218</v>
      </c>
      <c r="L1657" s="150"/>
      <c r="M1657" s="150"/>
      <c r="N1657" s="150"/>
    </row>
    <row r="1658" spans="1:14" x14ac:dyDescent="0.25">
      <c r="A1658" s="159">
        <v>120</v>
      </c>
      <c r="B1658" s="160">
        <v>21</v>
      </c>
      <c r="C1658" s="160">
        <v>11700</v>
      </c>
      <c r="D1658" s="160" t="s">
        <v>4402</v>
      </c>
      <c r="E1658" s="160">
        <v>510</v>
      </c>
      <c r="F1658" s="160" t="s">
        <v>74</v>
      </c>
      <c r="G1658" s="148">
        <v>32</v>
      </c>
      <c r="H1658" s="152">
        <f>IF(C1658=11700,ROUND(VLOOKUP(G1658,ThongSo!$F$2:$I$15,4,0)*B1658*11.7,3),0)</f>
        <v>1550.367</v>
      </c>
      <c r="I1658" s="152">
        <f>IF(F1658="Sắt vụn",ROUND(VLOOKUP(G1658,ThongSo!$F$2:$I$15,4,0)*B1658*E1658/1000,3),"-")</f>
        <v>67.58</v>
      </c>
      <c r="L1658" s="150"/>
      <c r="M1658" s="150"/>
      <c r="N1658" s="150"/>
    </row>
    <row r="1659" spans="1:14" x14ac:dyDescent="0.25">
      <c r="A1659" s="159">
        <v>121</v>
      </c>
      <c r="B1659" s="160">
        <v>4</v>
      </c>
      <c r="C1659" s="160">
        <v>11700</v>
      </c>
      <c r="D1659" s="160" t="s">
        <v>4403</v>
      </c>
      <c r="E1659" s="160">
        <v>550</v>
      </c>
      <c r="F1659" s="160" t="s">
        <v>74</v>
      </c>
      <c r="G1659" s="148">
        <v>32</v>
      </c>
      <c r="H1659" s="152">
        <f>IF(C1659=11700,ROUND(VLOOKUP(G1659,ThongSo!$F$2:$I$15,4,0)*B1659*11.7,3),0)</f>
        <v>295.30799999999999</v>
      </c>
      <c r="I1659" s="152">
        <f>IF(F1659="Sắt vụn",ROUND(VLOOKUP(G1659,ThongSo!$F$2:$I$15,4,0)*B1659*E1659/1000,3),"-")</f>
        <v>13.882</v>
      </c>
      <c r="L1659" s="150"/>
      <c r="M1659" s="150"/>
      <c r="N1659" s="150"/>
    </row>
    <row r="1660" spans="1:14" x14ac:dyDescent="0.25">
      <c r="A1660" s="159">
        <v>122</v>
      </c>
      <c r="B1660" s="160">
        <v>12</v>
      </c>
      <c r="C1660" s="160">
        <v>11700</v>
      </c>
      <c r="D1660" s="160" t="s">
        <v>4404</v>
      </c>
      <c r="E1660" s="160">
        <v>700</v>
      </c>
      <c r="F1660" s="160" t="s">
        <v>74</v>
      </c>
      <c r="G1660" s="148">
        <v>32</v>
      </c>
      <c r="H1660" s="152">
        <f>IF(C1660=11700,ROUND(VLOOKUP(G1660,ThongSo!$F$2:$I$15,4,0)*B1660*11.7,3),0)</f>
        <v>885.92399999999998</v>
      </c>
      <c r="I1660" s="152">
        <f>IF(F1660="Sắt vụn",ROUND(VLOOKUP(G1660,ThongSo!$F$2:$I$15,4,0)*B1660*E1660/1000,3),"-")</f>
        <v>53.003999999999998</v>
      </c>
      <c r="L1660" s="150"/>
      <c r="M1660" s="150"/>
      <c r="N1660" s="150"/>
    </row>
    <row r="1661" spans="1:14" x14ac:dyDescent="0.25">
      <c r="A1661" s="159">
        <v>123</v>
      </c>
      <c r="B1661" s="160">
        <v>12</v>
      </c>
      <c r="C1661" s="160">
        <v>11700</v>
      </c>
      <c r="D1661" s="160" t="s">
        <v>4405</v>
      </c>
      <c r="E1661" s="160">
        <v>700</v>
      </c>
      <c r="F1661" s="160" t="s">
        <v>74</v>
      </c>
      <c r="G1661" s="148">
        <v>32</v>
      </c>
      <c r="H1661" s="152">
        <f>IF(C1661=11700,ROUND(VLOOKUP(G1661,ThongSo!$F$2:$I$15,4,0)*B1661*11.7,3),0)</f>
        <v>885.92399999999998</v>
      </c>
      <c r="I1661" s="152">
        <f>IF(F1661="Sắt vụn",ROUND(VLOOKUP(G1661,ThongSo!$F$2:$I$15,4,0)*B1661*E1661/1000,3),"-")</f>
        <v>53.003999999999998</v>
      </c>
      <c r="L1661" s="150"/>
      <c r="M1661" s="150"/>
      <c r="N1661" s="150"/>
    </row>
    <row r="1662" spans="1:14" x14ac:dyDescent="0.25">
      <c r="A1662" s="159">
        <v>124</v>
      </c>
      <c r="B1662" s="160">
        <v>11</v>
      </c>
      <c r="C1662" s="160">
        <v>11700</v>
      </c>
      <c r="D1662" s="160" t="s">
        <v>4406</v>
      </c>
      <c r="E1662" s="160">
        <v>700</v>
      </c>
      <c r="F1662" s="160" t="s">
        <v>74</v>
      </c>
      <c r="G1662" s="148">
        <v>32</v>
      </c>
      <c r="H1662" s="152">
        <f>IF(C1662=11700,ROUND(VLOOKUP(G1662,ThongSo!$F$2:$I$15,4,0)*B1662*11.7,3),0)</f>
        <v>812.09699999999998</v>
      </c>
      <c r="I1662" s="152">
        <f>IF(F1662="Sắt vụn",ROUND(VLOOKUP(G1662,ThongSo!$F$2:$I$15,4,0)*B1662*E1662/1000,3),"-")</f>
        <v>48.587000000000003</v>
      </c>
      <c r="L1662" s="150"/>
      <c r="M1662" s="150"/>
      <c r="N1662" s="150"/>
    </row>
    <row r="1663" spans="1:14" x14ac:dyDescent="0.25">
      <c r="A1663" s="159">
        <v>125</v>
      </c>
      <c r="B1663" s="160">
        <v>11</v>
      </c>
      <c r="C1663" s="160">
        <v>11700</v>
      </c>
      <c r="D1663" s="160" t="s">
        <v>4407</v>
      </c>
      <c r="E1663" s="160">
        <v>700</v>
      </c>
      <c r="F1663" s="160" t="s">
        <v>74</v>
      </c>
      <c r="G1663" s="148">
        <v>32</v>
      </c>
      <c r="H1663" s="152">
        <f>IF(C1663=11700,ROUND(VLOOKUP(G1663,ThongSo!$F$2:$I$15,4,0)*B1663*11.7,3),0)</f>
        <v>812.09699999999998</v>
      </c>
      <c r="I1663" s="152">
        <f>IF(F1663="Sắt vụn",ROUND(VLOOKUP(G1663,ThongSo!$F$2:$I$15,4,0)*B1663*E1663/1000,3),"-")</f>
        <v>48.587000000000003</v>
      </c>
      <c r="L1663" s="150"/>
      <c r="M1663" s="150"/>
      <c r="N1663" s="150"/>
    </row>
    <row r="1664" spans="1:14" x14ac:dyDescent="0.25">
      <c r="A1664" s="159">
        <v>126</v>
      </c>
      <c r="B1664" s="160">
        <v>8</v>
      </c>
      <c r="C1664" s="160">
        <v>11700</v>
      </c>
      <c r="D1664" s="160" t="s">
        <v>4408</v>
      </c>
      <c r="E1664" s="160">
        <v>720</v>
      </c>
      <c r="F1664" s="160" t="s">
        <v>74</v>
      </c>
      <c r="G1664" s="148">
        <v>32</v>
      </c>
      <c r="H1664" s="152">
        <f>IF(C1664=11700,ROUND(VLOOKUP(G1664,ThongSo!$F$2:$I$15,4,0)*B1664*11.7,3),0)</f>
        <v>590.61599999999999</v>
      </c>
      <c r="I1664" s="152">
        <f>IF(F1664="Sắt vụn",ROUND(VLOOKUP(G1664,ThongSo!$F$2:$I$15,4,0)*B1664*E1664/1000,3),"-")</f>
        <v>36.345999999999997</v>
      </c>
      <c r="L1664" s="150"/>
      <c r="M1664" s="150"/>
      <c r="N1664" s="150"/>
    </row>
    <row r="1665" spans="1:14" x14ac:dyDescent="0.25">
      <c r="A1665" s="159">
        <v>127</v>
      </c>
      <c r="B1665" s="160">
        <v>6</v>
      </c>
      <c r="C1665" s="160">
        <v>11700</v>
      </c>
      <c r="D1665" s="160" t="s">
        <v>4409</v>
      </c>
      <c r="E1665" s="160">
        <v>815</v>
      </c>
      <c r="F1665" s="160" t="s">
        <v>74</v>
      </c>
      <c r="G1665" s="148">
        <v>32</v>
      </c>
      <c r="H1665" s="152">
        <f>IF(C1665=11700,ROUND(VLOOKUP(G1665,ThongSo!$F$2:$I$15,4,0)*B1665*11.7,3),0)</f>
        <v>442.96199999999999</v>
      </c>
      <c r="I1665" s="152">
        <f>IF(F1665="Sắt vụn",ROUND(VLOOKUP(G1665,ThongSo!$F$2:$I$15,4,0)*B1665*E1665/1000,3),"-")</f>
        <v>30.856000000000002</v>
      </c>
      <c r="L1665" s="150"/>
      <c r="M1665" s="150"/>
      <c r="N1665" s="150"/>
    </row>
    <row r="1666" spans="1:14" x14ac:dyDescent="0.25">
      <c r="A1666" s="159">
        <v>128</v>
      </c>
      <c r="B1666" s="160">
        <v>7</v>
      </c>
      <c r="C1666" s="160">
        <v>11700</v>
      </c>
      <c r="D1666" s="160" t="s">
        <v>4410</v>
      </c>
      <c r="E1666" s="160">
        <v>1275</v>
      </c>
      <c r="F1666" s="160" t="s">
        <v>74</v>
      </c>
      <c r="G1666" s="148">
        <v>32</v>
      </c>
      <c r="H1666" s="152">
        <f>IF(C1666=11700,ROUND(VLOOKUP(G1666,ThongSo!$F$2:$I$15,4,0)*B1666*11.7,3),0)</f>
        <v>516.78899999999999</v>
      </c>
      <c r="I1666" s="152">
        <f>IF(F1666="Sắt vụn",ROUND(VLOOKUP(G1666,ThongSo!$F$2:$I$15,4,0)*B1666*E1666/1000,3),"-")</f>
        <v>56.317</v>
      </c>
      <c r="L1666" s="150"/>
      <c r="M1666" s="150"/>
      <c r="N1666" s="150"/>
    </row>
    <row r="1667" spans="1:14" x14ac:dyDescent="0.25">
      <c r="A1667" s="159">
        <v>129</v>
      </c>
      <c r="B1667" s="160">
        <v>6</v>
      </c>
      <c r="C1667" s="160">
        <v>11700</v>
      </c>
      <c r="D1667" s="160" t="s">
        <v>4411</v>
      </c>
      <c r="E1667" s="160">
        <v>1275</v>
      </c>
      <c r="F1667" s="160" t="s">
        <v>74</v>
      </c>
      <c r="G1667" s="148">
        <v>32</v>
      </c>
      <c r="H1667" s="152">
        <f>IF(C1667=11700,ROUND(VLOOKUP(G1667,ThongSo!$F$2:$I$15,4,0)*B1667*11.7,3),0)</f>
        <v>442.96199999999999</v>
      </c>
      <c r="I1667" s="152">
        <f>IF(F1667="Sắt vụn",ROUND(VLOOKUP(G1667,ThongSo!$F$2:$I$15,4,0)*B1667*E1667/1000,3),"-")</f>
        <v>48.271999999999998</v>
      </c>
      <c r="L1667" s="150"/>
      <c r="M1667" s="150"/>
      <c r="N1667" s="150"/>
    </row>
    <row r="1668" spans="1:14" x14ac:dyDescent="0.25">
      <c r="A1668" s="159">
        <v>130</v>
      </c>
      <c r="B1668" s="160">
        <v>21</v>
      </c>
      <c r="C1668" s="160">
        <v>11700</v>
      </c>
      <c r="D1668" s="160" t="s">
        <v>4412</v>
      </c>
      <c r="E1668" s="160">
        <v>1300</v>
      </c>
      <c r="F1668" s="160" t="s">
        <v>74</v>
      </c>
      <c r="G1668" s="148">
        <v>32</v>
      </c>
      <c r="H1668" s="152">
        <f>IF(C1668=11700,ROUND(VLOOKUP(G1668,ThongSo!$F$2:$I$15,4,0)*B1668*11.7,3),0)</f>
        <v>1550.367</v>
      </c>
      <c r="I1668" s="152">
        <f>IF(F1668="Sắt vụn",ROUND(VLOOKUP(G1668,ThongSo!$F$2:$I$15,4,0)*B1668*E1668/1000,3),"-")</f>
        <v>172.26300000000001</v>
      </c>
      <c r="L1668" s="150"/>
      <c r="M1668" s="150"/>
      <c r="N1668" s="150"/>
    </row>
    <row r="1669" spans="1:14" x14ac:dyDescent="0.25">
      <c r="A1669" s="159">
        <v>131</v>
      </c>
      <c r="B1669" s="160">
        <v>6</v>
      </c>
      <c r="C1669" s="160">
        <v>11700</v>
      </c>
      <c r="D1669" s="160" t="s">
        <v>4413</v>
      </c>
      <c r="E1669" s="160">
        <v>1300</v>
      </c>
      <c r="F1669" s="160" t="s">
        <v>74</v>
      </c>
      <c r="G1669" s="148">
        <v>32</v>
      </c>
      <c r="H1669" s="152">
        <f>IF(C1669=11700,ROUND(VLOOKUP(G1669,ThongSo!$F$2:$I$15,4,0)*B1669*11.7,3),0)</f>
        <v>442.96199999999999</v>
      </c>
      <c r="I1669" s="152">
        <f>IF(F1669="Sắt vụn",ROUND(VLOOKUP(G1669,ThongSo!$F$2:$I$15,4,0)*B1669*E1669/1000,3),"-")</f>
        <v>49.218000000000004</v>
      </c>
      <c r="L1669" s="150"/>
      <c r="M1669" s="150"/>
      <c r="N1669" s="150"/>
    </row>
    <row r="1670" spans="1:14" x14ac:dyDescent="0.25">
      <c r="A1670" s="159">
        <v>132</v>
      </c>
      <c r="B1670" s="160">
        <v>6</v>
      </c>
      <c r="C1670" s="160">
        <v>11700</v>
      </c>
      <c r="D1670" s="160" t="s">
        <v>4414</v>
      </c>
      <c r="E1670" s="160">
        <v>1320</v>
      </c>
      <c r="F1670" s="160" t="s">
        <v>74</v>
      </c>
      <c r="G1670" s="148">
        <v>32</v>
      </c>
      <c r="H1670" s="152">
        <f>IF(C1670=11700,ROUND(VLOOKUP(G1670,ThongSo!$F$2:$I$15,4,0)*B1670*11.7,3),0)</f>
        <v>442.96199999999999</v>
      </c>
      <c r="I1670" s="152">
        <f>IF(F1670="Sắt vụn",ROUND(VLOOKUP(G1670,ThongSo!$F$2:$I$15,4,0)*B1670*E1670/1000,3),"-")</f>
        <v>49.975000000000001</v>
      </c>
      <c r="L1670" s="150"/>
      <c r="M1670" s="150"/>
      <c r="N1670" s="150"/>
    </row>
    <row r="1671" spans="1:14" x14ac:dyDescent="0.25">
      <c r="A1671" s="159">
        <v>133</v>
      </c>
      <c r="B1671" s="160">
        <v>4</v>
      </c>
      <c r="C1671" s="160">
        <v>11700</v>
      </c>
      <c r="D1671" s="160" t="s">
        <v>4415</v>
      </c>
      <c r="E1671" s="160">
        <v>1415</v>
      </c>
      <c r="F1671" s="160" t="s">
        <v>74</v>
      </c>
      <c r="G1671" s="148">
        <v>32</v>
      </c>
      <c r="H1671" s="152">
        <f>IF(C1671=11700,ROUND(VLOOKUP(G1671,ThongSo!$F$2:$I$15,4,0)*B1671*11.7,3),0)</f>
        <v>295.30799999999999</v>
      </c>
      <c r="I1671" s="152">
        <f>IF(F1671="Sắt vụn",ROUND(VLOOKUP(G1671,ThongSo!$F$2:$I$15,4,0)*B1671*E1671/1000,3),"-")</f>
        <v>35.715000000000003</v>
      </c>
      <c r="L1671" s="150"/>
      <c r="M1671" s="150"/>
      <c r="N1671" s="150"/>
    </row>
    <row r="1672" spans="1:14" x14ac:dyDescent="0.25">
      <c r="A1672" s="159">
        <v>134</v>
      </c>
      <c r="B1672" s="160">
        <v>11</v>
      </c>
      <c r="C1672" s="160">
        <v>11700</v>
      </c>
      <c r="D1672" s="160" t="s">
        <v>4416</v>
      </c>
      <c r="E1672" s="160">
        <v>1700</v>
      </c>
      <c r="F1672" s="160" t="s">
        <v>75</v>
      </c>
      <c r="G1672" s="148">
        <v>32</v>
      </c>
      <c r="H1672" s="152">
        <f>IF(C1672=11700,ROUND(VLOOKUP(G1672,ThongSo!$F$2:$I$15,4,0)*B1672*11.7,3),0)</f>
        <v>812.09699999999998</v>
      </c>
      <c r="I1672" s="152" t="str">
        <f>IF(F1672="Sắt vụn",ROUND(VLOOKUP(G1672,ThongSo!$F$2:$I$15,4,0)*B1672*E1672/1000,3),"-")</f>
        <v>-</v>
      </c>
      <c r="L1672" s="150"/>
      <c r="M1672" s="150"/>
      <c r="N1672" s="150"/>
    </row>
    <row r="1673" spans="1:14" x14ac:dyDescent="0.25">
      <c r="A1673" s="159">
        <v>135</v>
      </c>
      <c r="B1673" s="160">
        <v>6</v>
      </c>
      <c r="C1673" s="160">
        <v>11700</v>
      </c>
      <c r="D1673" s="160" t="s">
        <v>4417</v>
      </c>
      <c r="E1673" s="160">
        <v>1700</v>
      </c>
      <c r="F1673" s="160" t="s">
        <v>75</v>
      </c>
      <c r="G1673" s="148">
        <v>32</v>
      </c>
      <c r="H1673" s="152">
        <f>IF(C1673=11700,ROUND(VLOOKUP(G1673,ThongSo!$F$2:$I$15,4,0)*B1673*11.7,3),0)</f>
        <v>442.96199999999999</v>
      </c>
      <c r="I1673" s="152" t="str">
        <f>IF(F1673="Sắt vụn",ROUND(VLOOKUP(G1673,ThongSo!$F$2:$I$15,4,0)*B1673*E1673/1000,3),"-")</f>
        <v>-</v>
      </c>
      <c r="L1673" s="150"/>
      <c r="M1673" s="150"/>
      <c r="N1673" s="150"/>
    </row>
    <row r="1674" spans="1:14" x14ac:dyDescent="0.25">
      <c r="A1674" s="159">
        <v>136</v>
      </c>
      <c r="B1674" s="160">
        <v>12</v>
      </c>
      <c r="C1674" s="160">
        <v>11700</v>
      </c>
      <c r="D1674" s="160" t="s">
        <v>4418</v>
      </c>
      <c r="E1674" s="160">
        <v>1700</v>
      </c>
      <c r="F1674" s="160" t="s">
        <v>75</v>
      </c>
      <c r="G1674" s="148">
        <v>32</v>
      </c>
      <c r="H1674" s="152">
        <f>IF(C1674=11700,ROUND(VLOOKUP(G1674,ThongSo!$F$2:$I$15,4,0)*B1674*11.7,3),0)</f>
        <v>885.92399999999998</v>
      </c>
      <c r="I1674" s="152" t="str">
        <f>IF(F1674="Sắt vụn",ROUND(VLOOKUP(G1674,ThongSo!$F$2:$I$15,4,0)*B1674*E1674/1000,3),"-")</f>
        <v>-</v>
      </c>
      <c r="L1674" s="150"/>
      <c r="M1674" s="150"/>
      <c r="N1674" s="150"/>
    </row>
    <row r="1675" spans="1:14" x14ac:dyDescent="0.25">
      <c r="A1675" s="159">
        <v>137</v>
      </c>
      <c r="B1675" s="160">
        <v>13</v>
      </c>
      <c r="C1675" s="160">
        <v>11700</v>
      </c>
      <c r="D1675" s="160" t="s">
        <v>4419</v>
      </c>
      <c r="E1675" s="160">
        <v>1700</v>
      </c>
      <c r="F1675" s="160" t="s">
        <v>75</v>
      </c>
      <c r="G1675" s="148">
        <v>32</v>
      </c>
      <c r="H1675" s="152">
        <f>IF(C1675=11700,ROUND(VLOOKUP(G1675,ThongSo!$F$2:$I$15,4,0)*B1675*11.7,3),0)</f>
        <v>959.75099999999998</v>
      </c>
      <c r="I1675" s="152" t="str">
        <f>IF(F1675="Sắt vụn",ROUND(VLOOKUP(G1675,ThongSo!$F$2:$I$15,4,0)*B1675*E1675/1000,3),"-")</f>
        <v>-</v>
      </c>
      <c r="L1675" s="150"/>
      <c r="M1675" s="150"/>
      <c r="N1675" s="150"/>
    </row>
    <row r="1676" spans="1:14" x14ac:dyDescent="0.25">
      <c r="A1676" s="159">
        <v>138</v>
      </c>
      <c r="B1676" s="160">
        <v>13</v>
      </c>
      <c r="C1676" s="160">
        <v>11700</v>
      </c>
      <c r="D1676" s="160" t="s">
        <v>4420</v>
      </c>
      <c r="E1676" s="160">
        <v>1700</v>
      </c>
      <c r="F1676" s="160" t="s">
        <v>75</v>
      </c>
      <c r="G1676" s="148">
        <v>32</v>
      </c>
      <c r="H1676" s="152">
        <f>IF(C1676=11700,ROUND(VLOOKUP(G1676,ThongSo!$F$2:$I$15,4,0)*B1676*11.7,3),0)</f>
        <v>959.75099999999998</v>
      </c>
      <c r="I1676" s="152" t="str">
        <f>IF(F1676="Sắt vụn",ROUND(VLOOKUP(G1676,ThongSo!$F$2:$I$15,4,0)*B1676*E1676/1000,3),"-")</f>
        <v>-</v>
      </c>
      <c r="L1676" s="150"/>
      <c r="M1676" s="150"/>
      <c r="N1676" s="150"/>
    </row>
    <row r="1677" spans="1:14" x14ac:dyDescent="0.25">
      <c r="A1677" s="159">
        <v>139</v>
      </c>
      <c r="B1677" s="160">
        <v>10</v>
      </c>
      <c r="C1677" s="160">
        <v>11700</v>
      </c>
      <c r="D1677" s="160" t="s">
        <v>4421</v>
      </c>
      <c r="E1677" s="160">
        <v>1700</v>
      </c>
      <c r="F1677" s="160" t="s">
        <v>75</v>
      </c>
      <c r="G1677" s="148">
        <v>32</v>
      </c>
      <c r="H1677" s="152">
        <f>IF(C1677=11700,ROUND(VLOOKUP(G1677,ThongSo!$F$2:$I$15,4,0)*B1677*11.7,3),0)</f>
        <v>738.27</v>
      </c>
      <c r="I1677" s="152" t="str">
        <f>IF(F1677="Sắt vụn",ROUND(VLOOKUP(G1677,ThongSo!$F$2:$I$15,4,0)*B1677*E1677/1000,3),"-")</f>
        <v>-</v>
      </c>
      <c r="L1677" s="150"/>
      <c r="M1677" s="150"/>
      <c r="N1677" s="150"/>
    </row>
    <row r="1678" spans="1:14" x14ac:dyDescent="0.25">
      <c r="A1678" s="159">
        <v>140</v>
      </c>
      <c r="B1678" s="160">
        <v>10</v>
      </c>
      <c r="C1678" s="160">
        <v>11700</v>
      </c>
      <c r="D1678" s="160" t="s">
        <v>4422</v>
      </c>
      <c r="E1678" s="160">
        <v>1700</v>
      </c>
      <c r="F1678" s="160" t="s">
        <v>75</v>
      </c>
      <c r="G1678" s="148">
        <v>32</v>
      </c>
      <c r="H1678" s="152">
        <f>IF(C1678=11700,ROUND(VLOOKUP(G1678,ThongSo!$F$2:$I$15,4,0)*B1678*11.7,3),0)</f>
        <v>738.27</v>
      </c>
      <c r="I1678" s="152" t="str">
        <f>IF(F1678="Sắt vụn",ROUND(VLOOKUP(G1678,ThongSo!$F$2:$I$15,4,0)*B1678*E1678/1000,3),"-")</f>
        <v>-</v>
      </c>
      <c r="L1678" s="150"/>
      <c r="M1678" s="150"/>
      <c r="N1678" s="150"/>
    </row>
    <row r="1679" spans="1:14" x14ac:dyDescent="0.25">
      <c r="A1679" s="159">
        <v>141</v>
      </c>
      <c r="B1679" s="160">
        <v>8</v>
      </c>
      <c r="C1679" s="160">
        <v>11700</v>
      </c>
      <c r="D1679" s="160" t="s">
        <v>4423</v>
      </c>
      <c r="E1679" s="160">
        <v>1760</v>
      </c>
      <c r="F1679" s="160" t="s">
        <v>75</v>
      </c>
      <c r="G1679" s="148">
        <v>32</v>
      </c>
      <c r="H1679" s="152">
        <f>IF(C1679=11700,ROUND(VLOOKUP(G1679,ThongSo!$F$2:$I$15,4,0)*B1679*11.7,3),0)</f>
        <v>590.61599999999999</v>
      </c>
      <c r="I1679" s="152" t="str">
        <f>IF(F1679="Sắt vụn",ROUND(VLOOKUP(G1679,ThongSo!$F$2:$I$15,4,0)*B1679*E1679/1000,3),"-")</f>
        <v>-</v>
      </c>
      <c r="L1679" s="150"/>
      <c r="M1679" s="150"/>
      <c r="N1679" s="150"/>
    </row>
    <row r="1680" spans="1:14" x14ac:dyDescent="0.25">
      <c r="A1680" s="159">
        <v>142</v>
      </c>
      <c r="B1680" s="160">
        <v>2</v>
      </c>
      <c r="C1680" s="160">
        <v>11700</v>
      </c>
      <c r="D1680" s="160" t="s">
        <v>4424</v>
      </c>
      <c r="E1680" s="160">
        <v>1760</v>
      </c>
      <c r="F1680" s="160" t="s">
        <v>75</v>
      </c>
      <c r="G1680" s="148">
        <v>32</v>
      </c>
      <c r="H1680" s="152">
        <f>IF(C1680=11700,ROUND(VLOOKUP(G1680,ThongSo!$F$2:$I$15,4,0)*B1680*11.7,3),0)</f>
        <v>147.654</v>
      </c>
      <c r="I1680" s="152" t="str">
        <f>IF(F1680="Sắt vụn",ROUND(VLOOKUP(G1680,ThongSo!$F$2:$I$15,4,0)*B1680*E1680/1000,3),"-")</f>
        <v>-</v>
      </c>
      <c r="L1680" s="150"/>
      <c r="M1680" s="150"/>
      <c r="N1680" s="150"/>
    </row>
    <row r="1681" spans="1:14" x14ac:dyDescent="0.25">
      <c r="A1681" s="159">
        <v>143</v>
      </c>
      <c r="B1681" s="160">
        <v>10</v>
      </c>
      <c r="C1681" s="160">
        <v>11700</v>
      </c>
      <c r="D1681" s="160" t="s">
        <v>4425</v>
      </c>
      <c r="E1681" s="160">
        <v>1780</v>
      </c>
      <c r="F1681" s="160" t="s">
        <v>75</v>
      </c>
      <c r="G1681" s="148">
        <v>32</v>
      </c>
      <c r="H1681" s="152">
        <f>IF(C1681=11700,ROUND(VLOOKUP(G1681,ThongSo!$F$2:$I$15,4,0)*B1681*11.7,3),0)</f>
        <v>738.27</v>
      </c>
      <c r="I1681" s="152" t="str">
        <f>IF(F1681="Sắt vụn",ROUND(VLOOKUP(G1681,ThongSo!$F$2:$I$15,4,0)*B1681*E1681/1000,3),"-")</f>
        <v>-</v>
      </c>
      <c r="L1681" s="150"/>
      <c r="M1681" s="150"/>
      <c r="N1681" s="150"/>
    </row>
    <row r="1682" spans="1:14" x14ac:dyDescent="0.25">
      <c r="A1682" s="159">
        <v>144</v>
      </c>
      <c r="B1682" s="160">
        <v>10</v>
      </c>
      <c r="C1682" s="160">
        <v>11700</v>
      </c>
      <c r="D1682" s="160" t="s">
        <v>4426</v>
      </c>
      <c r="E1682" s="160">
        <v>1785</v>
      </c>
      <c r="F1682" s="160" t="s">
        <v>75</v>
      </c>
      <c r="G1682" s="148">
        <v>32</v>
      </c>
      <c r="H1682" s="152">
        <f>IF(C1682=11700,ROUND(VLOOKUP(G1682,ThongSo!$F$2:$I$15,4,0)*B1682*11.7,3),0)</f>
        <v>738.27</v>
      </c>
      <c r="I1682" s="152" t="str">
        <f>IF(F1682="Sắt vụn",ROUND(VLOOKUP(G1682,ThongSo!$F$2:$I$15,4,0)*B1682*E1682/1000,3),"-")</f>
        <v>-</v>
      </c>
      <c r="L1682" s="150"/>
      <c r="M1682" s="150"/>
      <c r="N1682" s="150"/>
    </row>
    <row r="1683" spans="1:14" x14ac:dyDescent="0.25">
      <c r="A1683" s="159">
        <v>145</v>
      </c>
      <c r="B1683" s="160">
        <v>10</v>
      </c>
      <c r="C1683" s="160">
        <v>11700</v>
      </c>
      <c r="D1683" s="160" t="s">
        <v>4427</v>
      </c>
      <c r="E1683" s="160">
        <v>1800</v>
      </c>
      <c r="F1683" s="160" t="s">
        <v>75</v>
      </c>
      <c r="G1683" s="148">
        <v>32</v>
      </c>
      <c r="H1683" s="152">
        <f>IF(C1683=11700,ROUND(VLOOKUP(G1683,ThongSo!$F$2:$I$15,4,0)*B1683*11.7,3),0)</f>
        <v>738.27</v>
      </c>
      <c r="I1683" s="152" t="str">
        <f>IF(F1683="Sắt vụn",ROUND(VLOOKUP(G1683,ThongSo!$F$2:$I$15,4,0)*B1683*E1683/1000,3),"-")</f>
        <v>-</v>
      </c>
      <c r="L1683" s="150"/>
      <c r="M1683" s="150"/>
      <c r="N1683" s="150"/>
    </row>
    <row r="1684" spans="1:14" x14ac:dyDescent="0.25">
      <c r="A1684" s="159">
        <v>146</v>
      </c>
      <c r="B1684" s="160">
        <v>10</v>
      </c>
      <c r="C1684" s="160">
        <v>11700</v>
      </c>
      <c r="D1684" s="160" t="s">
        <v>4428</v>
      </c>
      <c r="E1684" s="160">
        <v>1800</v>
      </c>
      <c r="F1684" s="160" t="s">
        <v>75</v>
      </c>
      <c r="G1684" s="148">
        <v>32</v>
      </c>
      <c r="H1684" s="152">
        <f>IF(C1684=11700,ROUND(VLOOKUP(G1684,ThongSo!$F$2:$I$15,4,0)*B1684*11.7,3),0)</f>
        <v>738.27</v>
      </c>
      <c r="I1684" s="152" t="str">
        <f>IF(F1684="Sắt vụn",ROUND(VLOOKUP(G1684,ThongSo!$F$2:$I$15,4,0)*B1684*E1684/1000,3),"-")</f>
        <v>-</v>
      </c>
      <c r="L1684" s="150"/>
      <c r="M1684" s="150"/>
      <c r="N1684" s="150"/>
    </row>
    <row r="1685" spans="1:14" x14ac:dyDescent="0.25">
      <c r="A1685" s="159">
        <v>147</v>
      </c>
      <c r="B1685" s="160">
        <v>9</v>
      </c>
      <c r="C1685" s="160">
        <v>11700</v>
      </c>
      <c r="D1685" s="160" t="s">
        <v>4429</v>
      </c>
      <c r="E1685" s="160">
        <v>1810</v>
      </c>
      <c r="F1685" s="160" t="s">
        <v>75</v>
      </c>
      <c r="G1685" s="148">
        <v>32</v>
      </c>
      <c r="H1685" s="152">
        <f>IF(C1685=11700,ROUND(VLOOKUP(G1685,ThongSo!$F$2:$I$15,4,0)*B1685*11.7,3),0)</f>
        <v>664.44299999999998</v>
      </c>
      <c r="I1685" s="152" t="str">
        <f>IF(F1685="Sắt vụn",ROUND(VLOOKUP(G1685,ThongSo!$F$2:$I$15,4,0)*B1685*E1685/1000,3),"-")</f>
        <v>-</v>
      </c>
      <c r="L1685" s="150"/>
      <c r="M1685" s="150"/>
      <c r="N1685" s="150"/>
    </row>
    <row r="1686" spans="1:14" x14ac:dyDescent="0.25">
      <c r="A1686" s="159">
        <v>148</v>
      </c>
      <c r="B1686" s="160">
        <v>2</v>
      </c>
      <c r="C1686" s="160">
        <v>11700</v>
      </c>
      <c r="D1686" s="160" t="s">
        <v>4430</v>
      </c>
      <c r="E1686" s="160">
        <v>1835</v>
      </c>
      <c r="F1686" s="160" t="s">
        <v>75</v>
      </c>
      <c r="G1686" s="148">
        <v>32</v>
      </c>
      <c r="H1686" s="152">
        <f>IF(C1686=11700,ROUND(VLOOKUP(G1686,ThongSo!$F$2:$I$15,4,0)*B1686*11.7,3),0)</f>
        <v>147.654</v>
      </c>
      <c r="I1686" s="152" t="str">
        <f>IF(F1686="Sắt vụn",ROUND(VLOOKUP(G1686,ThongSo!$F$2:$I$15,4,0)*B1686*E1686/1000,3),"-")</f>
        <v>-</v>
      </c>
      <c r="L1686" s="150"/>
      <c r="M1686" s="150"/>
      <c r="N1686" s="150"/>
    </row>
    <row r="1687" spans="1:14" x14ac:dyDescent="0.25">
      <c r="A1687" s="159">
        <v>149</v>
      </c>
      <c r="B1687" s="160">
        <v>10</v>
      </c>
      <c r="C1687" s="160">
        <v>11700</v>
      </c>
      <c r="D1687" s="160" t="s">
        <v>4431</v>
      </c>
      <c r="E1687" s="160">
        <v>1850</v>
      </c>
      <c r="F1687" s="160" t="s">
        <v>75</v>
      </c>
      <c r="G1687" s="148">
        <v>32</v>
      </c>
      <c r="H1687" s="152">
        <f>IF(C1687=11700,ROUND(VLOOKUP(G1687,ThongSo!$F$2:$I$15,4,0)*B1687*11.7,3),0)</f>
        <v>738.27</v>
      </c>
      <c r="I1687" s="152" t="str">
        <f>IF(F1687="Sắt vụn",ROUND(VLOOKUP(G1687,ThongSo!$F$2:$I$15,4,0)*B1687*E1687/1000,3),"-")</f>
        <v>-</v>
      </c>
      <c r="L1687" s="150"/>
      <c r="M1687" s="150"/>
      <c r="N1687" s="150"/>
    </row>
    <row r="1688" spans="1:14" x14ac:dyDescent="0.25">
      <c r="A1688" s="159">
        <v>150</v>
      </c>
      <c r="B1688" s="160">
        <v>10</v>
      </c>
      <c r="C1688" s="160">
        <v>11700</v>
      </c>
      <c r="D1688" s="160" t="s">
        <v>4432</v>
      </c>
      <c r="E1688" s="160">
        <v>1850</v>
      </c>
      <c r="F1688" s="160" t="s">
        <v>75</v>
      </c>
      <c r="G1688" s="148">
        <v>32</v>
      </c>
      <c r="H1688" s="152">
        <f>IF(C1688=11700,ROUND(VLOOKUP(G1688,ThongSo!$F$2:$I$15,4,0)*B1688*11.7,3),0)</f>
        <v>738.27</v>
      </c>
      <c r="I1688" s="152" t="str">
        <f>IF(F1688="Sắt vụn",ROUND(VLOOKUP(G1688,ThongSo!$F$2:$I$15,4,0)*B1688*E1688/1000,3),"-")</f>
        <v>-</v>
      </c>
      <c r="L1688" s="150"/>
      <c r="M1688" s="150"/>
      <c r="N1688" s="150"/>
    </row>
    <row r="1689" spans="1:14" x14ac:dyDescent="0.25">
      <c r="A1689" s="159">
        <v>151</v>
      </c>
      <c r="B1689" s="160">
        <v>10</v>
      </c>
      <c r="C1689" s="160">
        <v>11700</v>
      </c>
      <c r="D1689" s="160" t="s">
        <v>4433</v>
      </c>
      <c r="E1689" s="160">
        <v>2000</v>
      </c>
      <c r="F1689" s="160" t="s">
        <v>75</v>
      </c>
      <c r="G1689" s="148">
        <v>32</v>
      </c>
      <c r="H1689" s="152">
        <f>IF(C1689=11700,ROUND(VLOOKUP(G1689,ThongSo!$F$2:$I$15,4,0)*B1689*11.7,3),0)</f>
        <v>738.27</v>
      </c>
      <c r="I1689" s="152" t="str">
        <f>IF(F1689="Sắt vụn",ROUND(VLOOKUP(G1689,ThongSo!$F$2:$I$15,4,0)*B1689*E1689/1000,3),"-")</f>
        <v>-</v>
      </c>
      <c r="L1689" s="150"/>
      <c r="M1689" s="150"/>
      <c r="N1689" s="150"/>
    </row>
    <row r="1690" spans="1:14" x14ac:dyDescent="0.25">
      <c r="A1690" s="159">
        <v>152</v>
      </c>
      <c r="B1690" s="160">
        <v>14</v>
      </c>
      <c r="C1690" s="160">
        <v>11700</v>
      </c>
      <c r="D1690" s="160" t="s">
        <v>4434</v>
      </c>
      <c r="E1690" s="160">
        <v>2040</v>
      </c>
      <c r="F1690" s="160" t="s">
        <v>75</v>
      </c>
      <c r="G1690" s="148">
        <v>32</v>
      </c>
      <c r="H1690" s="152">
        <f>IF(C1690=11700,ROUND(VLOOKUP(G1690,ThongSo!$F$2:$I$15,4,0)*B1690*11.7,3),0)</f>
        <v>1033.578</v>
      </c>
      <c r="I1690" s="152" t="str">
        <f>IF(F1690="Sắt vụn",ROUND(VLOOKUP(G1690,ThongSo!$F$2:$I$15,4,0)*B1690*E1690/1000,3),"-")</f>
        <v>-</v>
      </c>
      <c r="L1690" s="150"/>
      <c r="M1690" s="150"/>
      <c r="N1690" s="150"/>
    </row>
    <row r="1691" spans="1:14" x14ac:dyDescent="0.25">
      <c r="A1691" s="159">
        <v>153</v>
      </c>
      <c r="B1691" s="160">
        <v>10</v>
      </c>
      <c r="C1691" s="160">
        <v>11700</v>
      </c>
      <c r="D1691" s="160" t="s">
        <v>4435</v>
      </c>
      <c r="E1691" s="160">
        <v>2100</v>
      </c>
      <c r="F1691" s="160" t="s">
        <v>75</v>
      </c>
      <c r="G1691" s="148">
        <v>32</v>
      </c>
      <c r="H1691" s="152">
        <f>IF(C1691=11700,ROUND(VLOOKUP(G1691,ThongSo!$F$2:$I$15,4,0)*B1691*11.7,3),0)</f>
        <v>738.27</v>
      </c>
      <c r="I1691" s="152" t="str">
        <f>IF(F1691="Sắt vụn",ROUND(VLOOKUP(G1691,ThongSo!$F$2:$I$15,4,0)*B1691*E1691/1000,3),"-")</f>
        <v>-</v>
      </c>
      <c r="L1691" s="150"/>
      <c r="M1691" s="150"/>
      <c r="N1691" s="150"/>
    </row>
    <row r="1692" spans="1:14" x14ac:dyDescent="0.25">
      <c r="A1692" s="159">
        <v>154</v>
      </c>
      <c r="B1692" s="160">
        <v>11</v>
      </c>
      <c r="C1692" s="160">
        <v>11700</v>
      </c>
      <c r="D1692" s="160" t="s">
        <v>4436</v>
      </c>
      <c r="E1692" s="160">
        <v>2115</v>
      </c>
      <c r="F1692" s="160" t="s">
        <v>75</v>
      </c>
      <c r="G1692" s="148">
        <v>32</v>
      </c>
      <c r="H1692" s="152">
        <f>IF(C1692=11700,ROUND(VLOOKUP(G1692,ThongSo!$F$2:$I$15,4,0)*B1692*11.7,3),0)</f>
        <v>812.09699999999998</v>
      </c>
      <c r="I1692" s="152" t="str">
        <f>IF(F1692="Sắt vụn",ROUND(VLOOKUP(G1692,ThongSo!$F$2:$I$15,4,0)*B1692*E1692/1000,3),"-")</f>
        <v>-</v>
      </c>
      <c r="L1692" s="150"/>
      <c r="M1692" s="150"/>
      <c r="N1692" s="150"/>
    </row>
    <row r="1693" spans="1:14" x14ac:dyDescent="0.25">
      <c r="A1693" s="159">
        <v>155</v>
      </c>
      <c r="B1693" s="160">
        <v>10</v>
      </c>
      <c r="C1693" s="160">
        <v>11700</v>
      </c>
      <c r="D1693" s="160" t="s">
        <v>4437</v>
      </c>
      <c r="E1693" s="160">
        <v>2115</v>
      </c>
      <c r="F1693" s="160" t="s">
        <v>75</v>
      </c>
      <c r="G1693" s="148">
        <v>32</v>
      </c>
      <c r="H1693" s="152">
        <f>IF(C1693=11700,ROUND(VLOOKUP(G1693,ThongSo!$F$2:$I$15,4,0)*B1693*11.7,3),0)</f>
        <v>738.27</v>
      </c>
      <c r="I1693" s="152" t="str">
        <f>IF(F1693="Sắt vụn",ROUND(VLOOKUP(G1693,ThongSo!$F$2:$I$15,4,0)*B1693*E1693/1000,3),"-")</f>
        <v>-</v>
      </c>
      <c r="L1693" s="150"/>
      <c r="M1693" s="150"/>
      <c r="N1693" s="150"/>
    </row>
    <row r="1694" spans="1:14" x14ac:dyDescent="0.25">
      <c r="A1694" s="159">
        <v>156</v>
      </c>
      <c r="B1694" s="160">
        <v>10</v>
      </c>
      <c r="C1694" s="160">
        <v>11700</v>
      </c>
      <c r="D1694" s="160" t="s">
        <v>4438</v>
      </c>
      <c r="E1694" s="160">
        <v>2135</v>
      </c>
      <c r="F1694" s="160" t="s">
        <v>75</v>
      </c>
      <c r="G1694" s="148">
        <v>32</v>
      </c>
      <c r="H1694" s="152">
        <f>IF(C1694=11700,ROUND(VLOOKUP(G1694,ThongSo!$F$2:$I$15,4,0)*B1694*11.7,3),0)</f>
        <v>738.27</v>
      </c>
      <c r="I1694" s="152" t="str">
        <f>IF(F1694="Sắt vụn",ROUND(VLOOKUP(G1694,ThongSo!$F$2:$I$15,4,0)*B1694*E1694/1000,3),"-")</f>
        <v>-</v>
      </c>
      <c r="L1694" s="150"/>
      <c r="M1694" s="150"/>
      <c r="N1694" s="150"/>
    </row>
    <row r="1695" spans="1:14" x14ac:dyDescent="0.25">
      <c r="A1695" s="159">
        <v>157</v>
      </c>
      <c r="B1695" s="160">
        <v>9</v>
      </c>
      <c r="C1695" s="160">
        <v>11700</v>
      </c>
      <c r="D1695" s="160" t="s">
        <v>4439</v>
      </c>
      <c r="E1695" s="160">
        <v>2180</v>
      </c>
      <c r="F1695" s="160" t="s">
        <v>75</v>
      </c>
      <c r="G1695" s="148">
        <v>32</v>
      </c>
      <c r="H1695" s="152">
        <f>IF(C1695=11700,ROUND(VLOOKUP(G1695,ThongSo!$F$2:$I$15,4,0)*B1695*11.7,3),0)</f>
        <v>664.44299999999998</v>
      </c>
      <c r="I1695" s="152" t="str">
        <f>IF(F1695="Sắt vụn",ROUND(VLOOKUP(G1695,ThongSo!$F$2:$I$15,4,0)*B1695*E1695/1000,3),"-")</f>
        <v>-</v>
      </c>
      <c r="L1695" s="150"/>
      <c r="M1695" s="150"/>
      <c r="N1695" s="150"/>
    </row>
    <row r="1696" spans="1:14" x14ac:dyDescent="0.25">
      <c r="A1696" s="159">
        <v>158</v>
      </c>
      <c r="B1696" s="160">
        <v>11</v>
      </c>
      <c r="C1696" s="160">
        <v>11700</v>
      </c>
      <c r="D1696" s="160" t="s">
        <v>4440</v>
      </c>
      <c r="E1696" s="160">
        <v>2240</v>
      </c>
      <c r="F1696" s="160" t="s">
        <v>75</v>
      </c>
      <c r="G1696" s="148">
        <v>32</v>
      </c>
      <c r="H1696" s="152">
        <f>IF(C1696=11700,ROUND(VLOOKUP(G1696,ThongSo!$F$2:$I$15,4,0)*B1696*11.7,3),0)</f>
        <v>812.09699999999998</v>
      </c>
      <c r="I1696" s="152" t="str">
        <f>IF(F1696="Sắt vụn",ROUND(VLOOKUP(G1696,ThongSo!$F$2:$I$15,4,0)*B1696*E1696/1000,3),"-")</f>
        <v>-</v>
      </c>
      <c r="L1696" s="150"/>
      <c r="M1696" s="150"/>
      <c r="N1696" s="150"/>
    </row>
    <row r="1697" spans="1:14" x14ac:dyDescent="0.25">
      <c r="A1697" s="159">
        <v>159</v>
      </c>
      <c r="B1697" s="160">
        <v>10</v>
      </c>
      <c r="C1697" s="160">
        <v>11700</v>
      </c>
      <c r="D1697" s="160" t="s">
        <v>4441</v>
      </c>
      <c r="E1697" s="160">
        <v>2240</v>
      </c>
      <c r="F1697" s="160" t="s">
        <v>75</v>
      </c>
      <c r="G1697" s="148">
        <v>32</v>
      </c>
      <c r="H1697" s="152">
        <f>IF(C1697=11700,ROUND(VLOOKUP(G1697,ThongSo!$F$2:$I$15,4,0)*B1697*11.7,3),0)</f>
        <v>738.27</v>
      </c>
      <c r="I1697" s="152" t="str">
        <f>IF(F1697="Sắt vụn",ROUND(VLOOKUP(G1697,ThongSo!$F$2:$I$15,4,0)*B1697*E1697/1000,3),"-")</f>
        <v>-</v>
      </c>
      <c r="L1697" s="150"/>
      <c r="M1697" s="150"/>
      <c r="N1697" s="150"/>
    </row>
    <row r="1698" spans="1:14" x14ac:dyDescent="0.25">
      <c r="A1698" s="159">
        <v>160</v>
      </c>
      <c r="B1698" s="160">
        <v>11</v>
      </c>
      <c r="C1698" s="160">
        <v>11700</v>
      </c>
      <c r="D1698" s="160" t="s">
        <v>4442</v>
      </c>
      <c r="E1698" s="160">
        <v>2275</v>
      </c>
      <c r="F1698" s="160" t="s">
        <v>75</v>
      </c>
      <c r="G1698" s="148">
        <v>32</v>
      </c>
      <c r="H1698" s="152">
        <f>IF(C1698=11700,ROUND(VLOOKUP(G1698,ThongSo!$F$2:$I$15,4,0)*B1698*11.7,3),0)</f>
        <v>812.09699999999998</v>
      </c>
      <c r="I1698" s="152" t="str">
        <f>IF(F1698="Sắt vụn",ROUND(VLOOKUP(G1698,ThongSo!$F$2:$I$15,4,0)*B1698*E1698/1000,3),"-")</f>
        <v>-</v>
      </c>
      <c r="L1698" s="150"/>
      <c r="M1698" s="150"/>
      <c r="N1698" s="150"/>
    </row>
    <row r="1699" spans="1:14" x14ac:dyDescent="0.25">
      <c r="A1699" s="159">
        <v>161</v>
      </c>
      <c r="B1699" s="160">
        <v>8</v>
      </c>
      <c r="C1699" s="160">
        <v>11700</v>
      </c>
      <c r="D1699" s="160" t="s">
        <v>4443</v>
      </c>
      <c r="E1699" s="160">
        <v>2280</v>
      </c>
      <c r="F1699" s="160" t="s">
        <v>75</v>
      </c>
      <c r="G1699" s="148">
        <v>32</v>
      </c>
      <c r="H1699" s="152">
        <f>IF(C1699=11700,ROUND(VLOOKUP(G1699,ThongSo!$F$2:$I$15,4,0)*B1699*11.7,3),0)</f>
        <v>590.61599999999999</v>
      </c>
      <c r="I1699" s="152" t="str">
        <f>IF(F1699="Sắt vụn",ROUND(VLOOKUP(G1699,ThongSo!$F$2:$I$15,4,0)*B1699*E1699/1000,3),"-")</f>
        <v>-</v>
      </c>
      <c r="L1699" s="150"/>
      <c r="M1699" s="150"/>
      <c r="N1699" s="150"/>
    </row>
    <row r="1700" spans="1:14" x14ac:dyDescent="0.25">
      <c r="A1700" s="159">
        <v>162</v>
      </c>
      <c r="B1700" s="160">
        <v>13</v>
      </c>
      <c r="C1700" s="160">
        <v>11700</v>
      </c>
      <c r="D1700" s="160" t="s">
        <v>4444</v>
      </c>
      <c r="E1700" s="160">
        <v>2280</v>
      </c>
      <c r="F1700" s="160" t="s">
        <v>75</v>
      </c>
      <c r="G1700" s="148">
        <v>32</v>
      </c>
      <c r="H1700" s="152">
        <f>IF(C1700=11700,ROUND(VLOOKUP(G1700,ThongSo!$F$2:$I$15,4,0)*B1700*11.7,3),0)</f>
        <v>959.75099999999998</v>
      </c>
      <c r="I1700" s="152" t="str">
        <f>IF(F1700="Sắt vụn",ROUND(VLOOKUP(G1700,ThongSo!$F$2:$I$15,4,0)*B1700*E1700/1000,3),"-")</f>
        <v>-</v>
      </c>
      <c r="L1700" s="150"/>
      <c r="M1700" s="150"/>
      <c r="N1700" s="150"/>
    </row>
    <row r="1701" spans="1:14" x14ac:dyDescent="0.25">
      <c r="A1701" s="159">
        <v>163</v>
      </c>
      <c r="B1701" s="160">
        <v>16</v>
      </c>
      <c r="C1701" s="160">
        <v>11700</v>
      </c>
      <c r="D1701" s="160" t="s">
        <v>4445</v>
      </c>
      <c r="E1701" s="160">
        <v>2340</v>
      </c>
      <c r="F1701" s="160" t="s">
        <v>75</v>
      </c>
      <c r="G1701" s="148">
        <v>32</v>
      </c>
      <c r="H1701" s="152">
        <f>IF(C1701=11700,ROUND(VLOOKUP(G1701,ThongSo!$F$2:$I$15,4,0)*B1701*11.7,3),0)</f>
        <v>1181.232</v>
      </c>
      <c r="I1701" s="152" t="str">
        <f>IF(F1701="Sắt vụn",ROUND(VLOOKUP(G1701,ThongSo!$F$2:$I$15,4,0)*B1701*E1701/1000,3),"-")</f>
        <v>-</v>
      </c>
      <c r="L1701" s="150"/>
      <c r="M1701" s="150"/>
      <c r="N1701" s="150"/>
    </row>
    <row r="1702" spans="1:14" x14ac:dyDescent="0.25">
      <c r="A1702" s="159">
        <v>164</v>
      </c>
      <c r="B1702" s="160">
        <v>12</v>
      </c>
      <c r="C1702" s="160">
        <v>11700</v>
      </c>
      <c r="D1702" s="160" t="s">
        <v>4446</v>
      </c>
      <c r="E1702" s="160">
        <v>2555</v>
      </c>
      <c r="F1702" s="160" t="s">
        <v>75</v>
      </c>
      <c r="G1702" s="148">
        <v>32</v>
      </c>
      <c r="H1702" s="152">
        <f>IF(C1702=11700,ROUND(VLOOKUP(G1702,ThongSo!$F$2:$I$15,4,0)*B1702*11.7,3),0)</f>
        <v>885.92399999999998</v>
      </c>
      <c r="I1702" s="152" t="str">
        <f>IF(F1702="Sắt vụn",ROUND(VLOOKUP(G1702,ThongSo!$F$2:$I$15,4,0)*B1702*E1702/1000,3),"-")</f>
        <v>-</v>
      </c>
      <c r="L1702" s="150"/>
      <c r="M1702" s="150"/>
      <c r="N1702" s="150"/>
    </row>
    <row r="1703" spans="1:14" x14ac:dyDescent="0.25">
      <c r="A1703" s="159">
        <v>165</v>
      </c>
      <c r="B1703" s="160">
        <v>25</v>
      </c>
      <c r="C1703" s="160">
        <v>11700</v>
      </c>
      <c r="D1703" s="160" t="s">
        <v>4447</v>
      </c>
      <c r="E1703" s="160">
        <v>2700</v>
      </c>
      <c r="F1703" s="160" t="s">
        <v>75</v>
      </c>
      <c r="G1703" s="148">
        <v>32</v>
      </c>
      <c r="H1703" s="152">
        <f>IF(C1703=11700,ROUND(VLOOKUP(G1703,ThongSo!$F$2:$I$15,4,0)*B1703*11.7,3),0)</f>
        <v>1845.675</v>
      </c>
      <c r="I1703" s="152" t="str">
        <f>IF(F1703="Sắt vụn",ROUND(VLOOKUP(G1703,ThongSo!$F$2:$I$15,4,0)*B1703*E1703/1000,3),"-")</f>
        <v>-</v>
      </c>
      <c r="L1703" s="150"/>
      <c r="M1703" s="150"/>
      <c r="N1703" s="150"/>
    </row>
    <row r="1704" spans="1:14" x14ac:dyDescent="0.25">
      <c r="A1704" s="159">
        <v>166</v>
      </c>
      <c r="B1704" s="160">
        <v>13</v>
      </c>
      <c r="C1704" s="160">
        <v>11700</v>
      </c>
      <c r="D1704" s="160" t="s">
        <v>4448</v>
      </c>
      <c r="E1704" s="160">
        <v>2700</v>
      </c>
      <c r="F1704" s="160" t="s">
        <v>75</v>
      </c>
      <c r="G1704" s="148">
        <v>32</v>
      </c>
      <c r="H1704" s="152">
        <f>IF(C1704=11700,ROUND(VLOOKUP(G1704,ThongSo!$F$2:$I$15,4,0)*B1704*11.7,3),0)</f>
        <v>959.75099999999998</v>
      </c>
      <c r="I1704" s="152" t="str">
        <f>IF(F1704="Sắt vụn",ROUND(VLOOKUP(G1704,ThongSo!$F$2:$I$15,4,0)*B1704*E1704/1000,3),"-")</f>
        <v>-</v>
      </c>
      <c r="L1704" s="150"/>
      <c r="M1704" s="150"/>
      <c r="N1704" s="150"/>
    </row>
    <row r="1705" spans="1:14" x14ac:dyDescent="0.25">
      <c r="A1705" s="159">
        <v>167</v>
      </c>
      <c r="B1705" s="160">
        <v>11</v>
      </c>
      <c r="C1705" s="160">
        <v>11700</v>
      </c>
      <c r="D1705" s="160" t="s">
        <v>4449</v>
      </c>
      <c r="E1705" s="160">
        <v>2700</v>
      </c>
      <c r="F1705" s="160" t="s">
        <v>75</v>
      </c>
      <c r="G1705" s="148">
        <v>32</v>
      </c>
      <c r="H1705" s="152">
        <f>IF(C1705=11700,ROUND(VLOOKUP(G1705,ThongSo!$F$2:$I$15,4,0)*B1705*11.7,3),0)</f>
        <v>812.09699999999998</v>
      </c>
      <c r="I1705" s="152" t="str">
        <f>IF(F1705="Sắt vụn",ROUND(VLOOKUP(G1705,ThongSo!$F$2:$I$15,4,0)*B1705*E1705/1000,3),"-")</f>
        <v>-</v>
      </c>
      <c r="L1705" s="150"/>
      <c r="M1705" s="150"/>
      <c r="N1705" s="150"/>
    </row>
    <row r="1706" spans="1:14" x14ac:dyDescent="0.25">
      <c r="A1706" s="159">
        <v>168</v>
      </c>
      <c r="B1706" s="160">
        <v>10</v>
      </c>
      <c r="C1706" s="160">
        <v>11700</v>
      </c>
      <c r="D1706" s="160" t="s">
        <v>4450</v>
      </c>
      <c r="E1706" s="160">
        <v>2700</v>
      </c>
      <c r="F1706" s="160" t="s">
        <v>75</v>
      </c>
      <c r="G1706" s="148">
        <v>32</v>
      </c>
      <c r="H1706" s="152">
        <f>IF(C1706=11700,ROUND(VLOOKUP(G1706,ThongSo!$F$2:$I$15,4,0)*B1706*11.7,3),0)</f>
        <v>738.27</v>
      </c>
      <c r="I1706" s="152" t="str">
        <f>IF(F1706="Sắt vụn",ROUND(VLOOKUP(G1706,ThongSo!$F$2:$I$15,4,0)*B1706*E1706/1000,3),"-")</f>
        <v>-</v>
      </c>
      <c r="L1706" s="150"/>
      <c r="M1706" s="150"/>
      <c r="N1706" s="150"/>
    </row>
    <row r="1707" spans="1:14" x14ac:dyDescent="0.25">
      <c r="A1707" s="159">
        <v>169</v>
      </c>
      <c r="B1707" s="160">
        <v>6</v>
      </c>
      <c r="C1707" s="160">
        <v>11700</v>
      </c>
      <c r="D1707" s="160" t="s">
        <v>4451</v>
      </c>
      <c r="E1707" s="160">
        <v>2700</v>
      </c>
      <c r="F1707" s="160" t="s">
        <v>75</v>
      </c>
      <c r="G1707" s="148">
        <v>32</v>
      </c>
      <c r="H1707" s="152">
        <f>IF(C1707=11700,ROUND(VLOOKUP(G1707,ThongSo!$F$2:$I$15,4,0)*B1707*11.7,3),0)</f>
        <v>442.96199999999999</v>
      </c>
      <c r="I1707" s="152" t="str">
        <f>IF(F1707="Sắt vụn",ROUND(VLOOKUP(G1707,ThongSo!$F$2:$I$15,4,0)*B1707*E1707/1000,3),"-")</f>
        <v>-</v>
      </c>
      <c r="L1707" s="150"/>
      <c r="M1707" s="150"/>
      <c r="N1707" s="150"/>
    </row>
    <row r="1708" spans="1:14" x14ac:dyDescent="0.25">
      <c r="A1708" s="159">
        <v>170</v>
      </c>
      <c r="B1708" s="160">
        <v>11</v>
      </c>
      <c r="C1708" s="160">
        <v>11700</v>
      </c>
      <c r="D1708" s="160" t="s">
        <v>4452</v>
      </c>
      <c r="E1708" s="160">
        <v>2700</v>
      </c>
      <c r="F1708" s="160" t="s">
        <v>75</v>
      </c>
      <c r="G1708" s="148">
        <v>32</v>
      </c>
      <c r="H1708" s="152">
        <f>IF(C1708=11700,ROUND(VLOOKUP(G1708,ThongSo!$F$2:$I$15,4,0)*B1708*11.7,3),0)</f>
        <v>812.09699999999998</v>
      </c>
      <c r="I1708" s="152" t="str">
        <f>IF(F1708="Sắt vụn",ROUND(VLOOKUP(G1708,ThongSo!$F$2:$I$15,4,0)*B1708*E1708/1000,3),"-")</f>
        <v>-</v>
      </c>
      <c r="L1708" s="150"/>
      <c r="M1708" s="150"/>
      <c r="N1708" s="150"/>
    </row>
    <row r="1709" spans="1:14" x14ac:dyDescent="0.25">
      <c r="A1709" s="159">
        <v>171</v>
      </c>
      <c r="B1709" s="160">
        <v>10</v>
      </c>
      <c r="C1709" s="160">
        <v>11700</v>
      </c>
      <c r="D1709" s="160" t="s">
        <v>4453</v>
      </c>
      <c r="E1709" s="160">
        <v>2700</v>
      </c>
      <c r="F1709" s="160" t="s">
        <v>75</v>
      </c>
      <c r="G1709" s="148">
        <v>32</v>
      </c>
      <c r="H1709" s="152">
        <f>IF(C1709=11700,ROUND(VLOOKUP(G1709,ThongSo!$F$2:$I$15,4,0)*B1709*11.7,3),0)</f>
        <v>738.27</v>
      </c>
      <c r="I1709" s="152" t="str">
        <f>IF(F1709="Sắt vụn",ROUND(VLOOKUP(G1709,ThongSo!$F$2:$I$15,4,0)*B1709*E1709/1000,3),"-")</f>
        <v>-</v>
      </c>
      <c r="L1709" s="150"/>
      <c r="M1709" s="150"/>
      <c r="N1709" s="150"/>
    </row>
    <row r="1710" spans="1:14" x14ac:dyDescent="0.25">
      <c r="A1710" s="159">
        <v>172</v>
      </c>
      <c r="B1710" s="160">
        <v>7</v>
      </c>
      <c r="C1710" s="160">
        <v>11700</v>
      </c>
      <c r="D1710" s="160" t="s">
        <v>4454</v>
      </c>
      <c r="E1710" s="160">
        <v>2700</v>
      </c>
      <c r="F1710" s="160" t="s">
        <v>75</v>
      </c>
      <c r="G1710" s="148">
        <v>32</v>
      </c>
      <c r="H1710" s="152">
        <f>IF(C1710=11700,ROUND(VLOOKUP(G1710,ThongSo!$F$2:$I$15,4,0)*B1710*11.7,3),0)</f>
        <v>516.78899999999999</v>
      </c>
      <c r="I1710" s="152" t="str">
        <f>IF(F1710="Sắt vụn",ROUND(VLOOKUP(G1710,ThongSo!$F$2:$I$15,4,0)*B1710*E1710/1000,3),"-")</f>
        <v>-</v>
      </c>
      <c r="L1710" s="150"/>
      <c r="M1710" s="150"/>
      <c r="N1710" s="150"/>
    </row>
    <row r="1711" spans="1:14" x14ac:dyDescent="0.25">
      <c r="A1711" s="159">
        <v>173</v>
      </c>
      <c r="B1711" s="160">
        <v>12</v>
      </c>
      <c r="C1711" s="160">
        <v>11700</v>
      </c>
      <c r="D1711" s="160" t="s">
        <v>4455</v>
      </c>
      <c r="E1711" s="160">
        <v>2810</v>
      </c>
      <c r="F1711" s="160" t="s">
        <v>75</v>
      </c>
      <c r="G1711" s="148">
        <v>32</v>
      </c>
      <c r="H1711" s="152">
        <f>IF(C1711=11700,ROUND(VLOOKUP(G1711,ThongSo!$F$2:$I$15,4,0)*B1711*11.7,3),0)</f>
        <v>885.92399999999998</v>
      </c>
      <c r="I1711" s="152" t="str">
        <f>IF(F1711="Sắt vụn",ROUND(VLOOKUP(G1711,ThongSo!$F$2:$I$15,4,0)*B1711*E1711/1000,3),"-")</f>
        <v>-</v>
      </c>
      <c r="L1711" s="150"/>
      <c r="M1711" s="150"/>
      <c r="N1711" s="150"/>
    </row>
    <row r="1712" spans="1:14" x14ac:dyDescent="0.25">
      <c r="A1712" s="159">
        <v>174</v>
      </c>
      <c r="B1712" s="160">
        <v>6</v>
      </c>
      <c r="C1712" s="160">
        <v>11700</v>
      </c>
      <c r="D1712" s="160" t="s">
        <v>4456</v>
      </c>
      <c r="E1712" s="160">
        <v>2900</v>
      </c>
      <c r="F1712" s="160" t="s">
        <v>75</v>
      </c>
      <c r="G1712" s="148">
        <v>32</v>
      </c>
      <c r="H1712" s="152">
        <f>IF(C1712=11700,ROUND(VLOOKUP(G1712,ThongSo!$F$2:$I$15,4,0)*B1712*11.7,3),0)</f>
        <v>442.96199999999999</v>
      </c>
      <c r="I1712" s="152" t="str">
        <f>IF(F1712="Sắt vụn",ROUND(VLOOKUP(G1712,ThongSo!$F$2:$I$15,4,0)*B1712*E1712/1000,3),"-")</f>
        <v>-</v>
      </c>
      <c r="L1712" s="150"/>
      <c r="M1712" s="150"/>
      <c r="N1712" s="150"/>
    </row>
    <row r="1713" spans="1:14" x14ac:dyDescent="0.25">
      <c r="A1713" s="159">
        <v>175</v>
      </c>
      <c r="B1713" s="160">
        <v>10</v>
      </c>
      <c r="C1713" s="160">
        <v>11700</v>
      </c>
      <c r="D1713" s="160" t="s">
        <v>4457</v>
      </c>
      <c r="E1713" s="160">
        <v>2930</v>
      </c>
      <c r="F1713" s="160" t="s">
        <v>75</v>
      </c>
      <c r="G1713" s="148">
        <v>32</v>
      </c>
      <c r="H1713" s="152">
        <f>IF(C1713=11700,ROUND(VLOOKUP(G1713,ThongSo!$F$2:$I$15,4,0)*B1713*11.7,3),0)</f>
        <v>738.27</v>
      </c>
      <c r="I1713" s="152" t="str">
        <f>IF(F1713="Sắt vụn",ROUND(VLOOKUP(G1713,ThongSo!$F$2:$I$15,4,0)*B1713*E1713/1000,3),"-")</f>
        <v>-</v>
      </c>
      <c r="L1713" s="150"/>
      <c r="M1713" s="150"/>
      <c r="N1713" s="150"/>
    </row>
    <row r="1714" spans="1:14" x14ac:dyDescent="0.25">
      <c r="A1714" s="159">
        <v>176</v>
      </c>
      <c r="B1714" s="160">
        <v>6</v>
      </c>
      <c r="C1714" s="160">
        <v>11700</v>
      </c>
      <c r="D1714" s="160" t="s">
        <v>4458</v>
      </c>
      <c r="E1714" s="160">
        <v>2940</v>
      </c>
      <c r="F1714" s="160" t="s">
        <v>75</v>
      </c>
      <c r="G1714" s="148">
        <v>32</v>
      </c>
      <c r="H1714" s="152">
        <f>IF(C1714=11700,ROUND(VLOOKUP(G1714,ThongSo!$F$2:$I$15,4,0)*B1714*11.7,3),0)</f>
        <v>442.96199999999999</v>
      </c>
      <c r="I1714" s="152" t="str">
        <f>IF(F1714="Sắt vụn",ROUND(VLOOKUP(G1714,ThongSo!$F$2:$I$15,4,0)*B1714*E1714/1000,3),"-")</f>
        <v>-</v>
      </c>
      <c r="L1714" s="150"/>
      <c r="M1714" s="150"/>
      <c r="N1714" s="150"/>
    </row>
    <row r="1715" spans="1:14" x14ac:dyDescent="0.25">
      <c r="A1715" s="159">
        <v>177</v>
      </c>
      <c r="B1715" s="160">
        <v>6</v>
      </c>
      <c r="C1715" s="160">
        <v>11700</v>
      </c>
      <c r="D1715" s="160" t="s">
        <v>4459</v>
      </c>
      <c r="E1715" s="160">
        <v>2960</v>
      </c>
      <c r="F1715" s="160" t="s">
        <v>75</v>
      </c>
      <c r="G1715" s="148">
        <v>32</v>
      </c>
      <c r="H1715" s="152">
        <f>IF(C1715=11700,ROUND(VLOOKUP(G1715,ThongSo!$F$2:$I$15,4,0)*B1715*11.7,3),0)</f>
        <v>442.96199999999999</v>
      </c>
      <c r="I1715" s="152" t="str">
        <f>IF(F1715="Sắt vụn",ROUND(VLOOKUP(G1715,ThongSo!$F$2:$I$15,4,0)*B1715*E1715/1000,3),"-")</f>
        <v>-</v>
      </c>
      <c r="L1715" s="150"/>
      <c r="M1715" s="150"/>
      <c r="N1715" s="150"/>
    </row>
    <row r="1716" spans="1:14" x14ac:dyDescent="0.25">
      <c r="A1716" s="159">
        <v>178</v>
      </c>
      <c r="B1716" s="160">
        <v>8</v>
      </c>
      <c r="C1716" s="160">
        <v>11700</v>
      </c>
      <c r="D1716" s="160" t="s">
        <v>4460</v>
      </c>
      <c r="E1716" s="160">
        <v>3020</v>
      </c>
      <c r="F1716" s="160" t="s">
        <v>75</v>
      </c>
      <c r="G1716" s="148">
        <v>32</v>
      </c>
      <c r="H1716" s="152">
        <f>IF(C1716=11700,ROUND(VLOOKUP(G1716,ThongSo!$F$2:$I$15,4,0)*B1716*11.7,3),0)</f>
        <v>590.61599999999999</v>
      </c>
      <c r="I1716" s="152" t="str">
        <f>IF(F1716="Sắt vụn",ROUND(VLOOKUP(G1716,ThongSo!$F$2:$I$15,4,0)*B1716*E1716/1000,3),"-")</f>
        <v>-</v>
      </c>
      <c r="L1716" s="150"/>
      <c r="M1716" s="150"/>
      <c r="N1716" s="150"/>
    </row>
    <row r="1717" spans="1:14" x14ac:dyDescent="0.25">
      <c r="A1717" s="159">
        <v>179</v>
      </c>
      <c r="B1717" s="160">
        <v>7</v>
      </c>
      <c r="C1717" s="160">
        <v>11700</v>
      </c>
      <c r="D1717" s="160" t="s">
        <v>4461</v>
      </c>
      <c r="E1717" s="160">
        <v>3065</v>
      </c>
      <c r="F1717" s="160" t="s">
        <v>75</v>
      </c>
      <c r="G1717" s="148">
        <v>32</v>
      </c>
      <c r="H1717" s="152">
        <f>IF(C1717=11700,ROUND(VLOOKUP(G1717,ThongSo!$F$2:$I$15,4,0)*B1717*11.7,3),0)</f>
        <v>516.78899999999999</v>
      </c>
      <c r="I1717" s="152" t="str">
        <f>IF(F1717="Sắt vụn",ROUND(VLOOKUP(G1717,ThongSo!$F$2:$I$15,4,0)*B1717*E1717/1000,3),"-")</f>
        <v>-</v>
      </c>
      <c r="L1717" s="150"/>
      <c r="M1717" s="150"/>
      <c r="N1717" s="150"/>
    </row>
    <row r="1718" spans="1:14" x14ac:dyDescent="0.25">
      <c r="A1718" s="159">
        <v>180</v>
      </c>
      <c r="B1718" s="160">
        <v>6</v>
      </c>
      <c r="C1718" s="160">
        <v>11700</v>
      </c>
      <c r="D1718" s="160" t="s">
        <v>4462</v>
      </c>
      <c r="E1718" s="160">
        <v>3580</v>
      </c>
      <c r="F1718" s="160" t="s">
        <v>75</v>
      </c>
      <c r="G1718" s="148">
        <v>32</v>
      </c>
      <c r="H1718" s="152">
        <f>IF(C1718=11700,ROUND(VLOOKUP(G1718,ThongSo!$F$2:$I$15,4,0)*B1718*11.7,3),0)</f>
        <v>442.96199999999999</v>
      </c>
      <c r="I1718" s="152" t="str">
        <f>IF(F1718="Sắt vụn",ROUND(VLOOKUP(G1718,ThongSo!$F$2:$I$15,4,0)*B1718*E1718/1000,3),"-")</f>
        <v>-</v>
      </c>
      <c r="L1718" s="150"/>
      <c r="M1718" s="150"/>
      <c r="N1718" s="150"/>
    </row>
    <row r="1719" spans="1:14" x14ac:dyDescent="0.25">
      <c r="A1719" s="159">
        <v>181</v>
      </c>
      <c r="B1719" s="160">
        <v>2</v>
      </c>
      <c r="C1719" s="160">
        <v>11700</v>
      </c>
      <c r="D1719" s="160" t="s">
        <v>4463</v>
      </c>
      <c r="E1719" s="160">
        <v>3595</v>
      </c>
      <c r="F1719" s="160" t="s">
        <v>75</v>
      </c>
      <c r="G1719" s="148">
        <v>32</v>
      </c>
      <c r="H1719" s="152">
        <f>IF(C1719=11700,ROUND(VLOOKUP(G1719,ThongSo!$F$2:$I$15,4,0)*B1719*11.7,3),0)</f>
        <v>147.654</v>
      </c>
      <c r="I1719" s="152" t="str">
        <f>IF(F1719="Sắt vụn",ROUND(VLOOKUP(G1719,ThongSo!$F$2:$I$15,4,0)*B1719*E1719/1000,3),"-")</f>
        <v>-</v>
      </c>
      <c r="L1719" s="150"/>
      <c r="M1719" s="150"/>
      <c r="N1719" s="150"/>
    </row>
    <row r="1720" spans="1:14" x14ac:dyDescent="0.25">
      <c r="A1720" s="159">
        <v>182</v>
      </c>
      <c r="B1720" s="160">
        <v>11</v>
      </c>
      <c r="C1720" s="160">
        <v>11700</v>
      </c>
      <c r="D1720" s="160" t="s">
        <v>4464</v>
      </c>
      <c r="E1720" s="160">
        <v>3610</v>
      </c>
      <c r="F1720" s="160" t="s">
        <v>75</v>
      </c>
      <c r="G1720" s="148">
        <v>32</v>
      </c>
      <c r="H1720" s="152">
        <f>IF(C1720=11700,ROUND(VLOOKUP(G1720,ThongSo!$F$2:$I$15,4,0)*B1720*11.7,3),0)</f>
        <v>812.09699999999998</v>
      </c>
      <c r="I1720" s="152" t="str">
        <f>IF(F1720="Sắt vụn",ROUND(VLOOKUP(G1720,ThongSo!$F$2:$I$15,4,0)*B1720*E1720/1000,3),"-")</f>
        <v>-</v>
      </c>
      <c r="L1720" s="150"/>
      <c r="M1720" s="150"/>
      <c r="N1720" s="150"/>
    </row>
    <row r="1721" spans="1:14" x14ac:dyDescent="0.25">
      <c r="A1721" s="159">
        <v>183</v>
      </c>
      <c r="B1721" s="160">
        <v>8</v>
      </c>
      <c r="C1721" s="160">
        <v>11700</v>
      </c>
      <c r="D1721" s="160" t="s">
        <v>4465</v>
      </c>
      <c r="E1721" s="160">
        <v>3630</v>
      </c>
      <c r="F1721" s="160" t="s">
        <v>75</v>
      </c>
      <c r="G1721" s="148">
        <v>32</v>
      </c>
      <c r="H1721" s="152">
        <f>IF(C1721=11700,ROUND(VLOOKUP(G1721,ThongSo!$F$2:$I$15,4,0)*B1721*11.7,3),0)</f>
        <v>590.61599999999999</v>
      </c>
      <c r="I1721" s="152" t="str">
        <f>IF(F1721="Sắt vụn",ROUND(VLOOKUP(G1721,ThongSo!$F$2:$I$15,4,0)*B1721*E1721/1000,3),"-")</f>
        <v>-</v>
      </c>
      <c r="L1721" s="150"/>
      <c r="M1721" s="150"/>
      <c r="N1721" s="150"/>
    </row>
    <row r="1722" spans="1:14" x14ac:dyDescent="0.25">
      <c r="A1722" s="159">
        <v>184</v>
      </c>
      <c r="B1722" s="160">
        <v>9</v>
      </c>
      <c r="C1722" s="160">
        <v>11700</v>
      </c>
      <c r="D1722" s="160" t="s">
        <v>4466</v>
      </c>
      <c r="E1722" s="160">
        <v>3650</v>
      </c>
      <c r="F1722" s="160" t="s">
        <v>75</v>
      </c>
      <c r="G1722" s="148">
        <v>32</v>
      </c>
      <c r="H1722" s="152">
        <f>IF(C1722=11700,ROUND(VLOOKUP(G1722,ThongSo!$F$2:$I$15,4,0)*B1722*11.7,3),0)</f>
        <v>664.44299999999998</v>
      </c>
      <c r="I1722" s="152" t="str">
        <f>IF(F1722="Sắt vụn",ROUND(VLOOKUP(G1722,ThongSo!$F$2:$I$15,4,0)*B1722*E1722/1000,3),"-")</f>
        <v>-</v>
      </c>
      <c r="L1722" s="150"/>
      <c r="M1722" s="150"/>
      <c r="N1722" s="150"/>
    </row>
    <row r="1723" spans="1:14" x14ac:dyDescent="0.25">
      <c r="A1723" s="159">
        <v>185</v>
      </c>
      <c r="B1723" s="160">
        <v>12</v>
      </c>
      <c r="C1723" s="160">
        <v>11700</v>
      </c>
      <c r="D1723" s="160" t="s">
        <v>4467</v>
      </c>
      <c r="E1723" s="160">
        <v>3670</v>
      </c>
      <c r="F1723" s="160" t="s">
        <v>75</v>
      </c>
      <c r="G1723" s="148">
        <v>32</v>
      </c>
      <c r="H1723" s="152">
        <f>IF(C1723=11700,ROUND(VLOOKUP(G1723,ThongSo!$F$2:$I$15,4,0)*B1723*11.7,3),0)</f>
        <v>885.92399999999998</v>
      </c>
      <c r="I1723" s="152" t="str">
        <f>IF(F1723="Sắt vụn",ROUND(VLOOKUP(G1723,ThongSo!$F$2:$I$15,4,0)*B1723*E1723/1000,3),"-")</f>
        <v>-</v>
      </c>
      <c r="L1723" s="150"/>
      <c r="M1723" s="150"/>
      <c r="N1723" s="150"/>
    </row>
    <row r="1724" spans="1:14" x14ac:dyDescent="0.25">
      <c r="A1724" s="159">
        <v>186</v>
      </c>
      <c r="B1724" s="160">
        <v>13</v>
      </c>
      <c r="C1724" s="160">
        <v>11700</v>
      </c>
      <c r="D1724" s="160" t="s">
        <v>4468</v>
      </c>
      <c r="E1724" s="160">
        <v>3670</v>
      </c>
      <c r="F1724" s="160" t="s">
        <v>75</v>
      </c>
      <c r="G1724" s="148">
        <v>32</v>
      </c>
      <c r="H1724" s="152">
        <f>IF(C1724=11700,ROUND(VLOOKUP(G1724,ThongSo!$F$2:$I$15,4,0)*B1724*11.7,3),0)</f>
        <v>959.75099999999998</v>
      </c>
      <c r="I1724" s="152" t="str">
        <f>IF(F1724="Sắt vụn",ROUND(VLOOKUP(G1724,ThongSo!$F$2:$I$15,4,0)*B1724*E1724/1000,3),"-")</f>
        <v>-</v>
      </c>
      <c r="L1724" s="150"/>
      <c r="M1724" s="150"/>
      <c r="N1724" s="150"/>
    </row>
    <row r="1725" spans="1:14" x14ac:dyDescent="0.25">
      <c r="A1725" s="159">
        <v>187</v>
      </c>
      <c r="B1725" s="160">
        <v>9</v>
      </c>
      <c r="C1725" s="160">
        <v>11700</v>
      </c>
      <c r="D1725" s="160" t="s">
        <v>4469</v>
      </c>
      <c r="E1725" s="160">
        <v>3680</v>
      </c>
      <c r="F1725" s="160" t="s">
        <v>75</v>
      </c>
      <c r="G1725" s="148">
        <v>32</v>
      </c>
      <c r="H1725" s="152">
        <f>IF(C1725=11700,ROUND(VLOOKUP(G1725,ThongSo!$F$2:$I$15,4,0)*B1725*11.7,3),0)</f>
        <v>664.44299999999998</v>
      </c>
      <c r="I1725" s="152" t="str">
        <f>IF(F1725="Sắt vụn",ROUND(VLOOKUP(G1725,ThongSo!$F$2:$I$15,4,0)*B1725*E1725/1000,3),"-")</f>
        <v>-</v>
      </c>
      <c r="L1725" s="150"/>
      <c r="M1725" s="150"/>
      <c r="N1725" s="150"/>
    </row>
    <row r="1726" spans="1:14" x14ac:dyDescent="0.25">
      <c r="A1726" s="159">
        <v>188</v>
      </c>
      <c r="B1726" s="160">
        <v>13</v>
      </c>
      <c r="C1726" s="160">
        <v>11700</v>
      </c>
      <c r="D1726" s="160" t="s">
        <v>4470</v>
      </c>
      <c r="E1726" s="160">
        <v>3700</v>
      </c>
      <c r="F1726" s="160" t="s">
        <v>75</v>
      </c>
      <c r="G1726" s="148">
        <v>32</v>
      </c>
      <c r="H1726" s="152">
        <f>IF(C1726=11700,ROUND(VLOOKUP(G1726,ThongSo!$F$2:$I$15,4,0)*B1726*11.7,3),0)</f>
        <v>959.75099999999998</v>
      </c>
      <c r="I1726" s="152" t="str">
        <f>IF(F1726="Sắt vụn",ROUND(VLOOKUP(G1726,ThongSo!$F$2:$I$15,4,0)*B1726*E1726/1000,3),"-")</f>
        <v>-</v>
      </c>
      <c r="L1726" s="150"/>
      <c r="M1726" s="150"/>
      <c r="N1726" s="150"/>
    </row>
    <row r="1727" spans="1:14" x14ac:dyDescent="0.25">
      <c r="A1727" s="159">
        <v>189</v>
      </c>
      <c r="B1727" s="160">
        <v>13</v>
      </c>
      <c r="C1727" s="160">
        <v>11700</v>
      </c>
      <c r="D1727" s="160" t="s">
        <v>4471</v>
      </c>
      <c r="E1727" s="160">
        <v>3710</v>
      </c>
      <c r="F1727" s="160" t="s">
        <v>75</v>
      </c>
      <c r="G1727" s="148">
        <v>32</v>
      </c>
      <c r="H1727" s="152">
        <f>IF(C1727=11700,ROUND(VLOOKUP(G1727,ThongSo!$F$2:$I$15,4,0)*B1727*11.7,3),0)</f>
        <v>959.75099999999998</v>
      </c>
      <c r="I1727" s="152" t="str">
        <f>IF(F1727="Sắt vụn",ROUND(VLOOKUP(G1727,ThongSo!$F$2:$I$15,4,0)*B1727*E1727/1000,3),"-")</f>
        <v>-</v>
      </c>
      <c r="L1727" s="150"/>
      <c r="M1727" s="150"/>
      <c r="N1727" s="150"/>
    </row>
    <row r="1728" spans="1:14" x14ac:dyDescent="0.25">
      <c r="A1728" s="159">
        <v>190</v>
      </c>
      <c r="B1728" s="160">
        <v>11</v>
      </c>
      <c r="C1728" s="160">
        <v>11700</v>
      </c>
      <c r="D1728" s="160" t="s">
        <v>4472</v>
      </c>
      <c r="E1728" s="160">
        <v>3800</v>
      </c>
      <c r="F1728" s="160" t="s">
        <v>75</v>
      </c>
      <c r="G1728" s="148">
        <v>32</v>
      </c>
      <c r="H1728" s="152">
        <f>IF(C1728=11700,ROUND(VLOOKUP(G1728,ThongSo!$F$2:$I$15,4,0)*B1728*11.7,3),0)</f>
        <v>812.09699999999998</v>
      </c>
      <c r="I1728" s="152" t="str">
        <f>IF(F1728="Sắt vụn",ROUND(VLOOKUP(G1728,ThongSo!$F$2:$I$15,4,0)*B1728*E1728/1000,3),"-")</f>
        <v>-</v>
      </c>
      <c r="L1728" s="150"/>
      <c r="M1728" s="150"/>
      <c r="N1728" s="150"/>
    </row>
    <row r="1729" spans="1:14" x14ac:dyDescent="0.25">
      <c r="A1729" s="159">
        <v>191</v>
      </c>
      <c r="B1729" s="160">
        <v>7</v>
      </c>
      <c r="C1729" s="160">
        <v>11700</v>
      </c>
      <c r="D1729" s="160" t="s">
        <v>4473</v>
      </c>
      <c r="E1729" s="160">
        <v>3900</v>
      </c>
      <c r="F1729" s="160" t="s">
        <v>75</v>
      </c>
      <c r="G1729" s="148">
        <v>32</v>
      </c>
      <c r="H1729" s="152">
        <f>IF(C1729=11700,ROUND(VLOOKUP(G1729,ThongSo!$F$2:$I$15,4,0)*B1729*11.7,3),0)</f>
        <v>516.78899999999999</v>
      </c>
      <c r="I1729" s="152" t="str">
        <f>IF(F1729="Sắt vụn",ROUND(VLOOKUP(G1729,ThongSo!$F$2:$I$15,4,0)*B1729*E1729/1000,3),"-")</f>
        <v>-</v>
      </c>
      <c r="L1729" s="150"/>
      <c r="M1729" s="150"/>
      <c r="N1729" s="150"/>
    </row>
    <row r="1730" spans="1:14" x14ac:dyDescent="0.25">
      <c r="A1730" s="159">
        <v>192</v>
      </c>
      <c r="B1730" s="160">
        <v>11</v>
      </c>
      <c r="C1730" s="160">
        <v>11700</v>
      </c>
      <c r="D1730" s="160" t="s">
        <v>4474</v>
      </c>
      <c r="E1730" s="160">
        <v>3960</v>
      </c>
      <c r="F1730" s="160" t="s">
        <v>75</v>
      </c>
      <c r="G1730" s="148">
        <v>32</v>
      </c>
      <c r="H1730" s="152">
        <f>IF(C1730=11700,ROUND(VLOOKUP(G1730,ThongSo!$F$2:$I$15,4,0)*B1730*11.7,3),0)</f>
        <v>812.09699999999998</v>
      </c>
      <c r="I1730" s="152" t="str">
        <f>IF(F1730="Sắt vụn",ROUND(VLOOKUP(G1730,ThongSo!$F$2:$I$15,4,0)*B1730*E1730/1000,3),"-")</f>
        <v>-</v>
      </c>
      <c r="L1730" s="150"/>
      <c r="M1730" s="150"/>
      <c r="N1730" s="150"/>
    </row>
    <row r="1731" spans="1:14" x14ac:dyDescent="0.25">
      <c r="A1731" s="159">
        <v>193</v>
      </c>
      <c r="B1731" s="160">
        <v>10</v>
      </c>
      <c r="C1731" s="160">
        <v>11700</v>
      </c>
      <c r="D1731" s="160" t="s">
        <v>4475</v>
      </c>
      <c r="E1731" s="160">
        <v>3975</v>
      </c>
      <c r="F1731" s="160" t="s">
        <v>75</v>
      </c>
      <c r="G1731" s="148">
        <v>32</v>
      </c>
      <c r="H1731" s="152">
        <f>IF(C1731=11700,ROUND(VLOOKUP(G1731,ThongSo!$F$2:$I$15,4,0)*B1731*11.7,3),0)</f>
        <v>738.27</v>
      </c>
      <c r="I1731" s="152" t="str">
        <f>IF(F1731="Sắt vụn",ROUND(VLOOKUP(G1731,ThongSo!$F$2:$I$15,4,0)*B1731*E1731/1000,3),"-")</f>
        <v>-</v>
      </c>
      <c r="L1731" s="150"/>
      <c r="M1731" s="150"/>
      <c r="N1731" s="150"/>
    </row>
    <row r="1732" spans="1:14" x14ac:dyDescent="0.25">
      <c r="A1732" s="159">
        <v>194</v>
      </c>
      <c r="B1732" s="160">
        <v>11</v>
      </c>
      <c r="C1732" s="160">
        <v>11700</v>
      </c>
      <c r="D1732" s="160" t="s">
        <v>4476</v>
      </c>
      <c r="E1732" s="160">
        <v>3990</v>
      </c>
      <c r="F1732" s="160" t="s">
        <v>75</v>
      </c>
      <c r="G1732" s="148">
        <v>32</v>
      </c>
      <c r="H1732" s="152">
        <f>IF(C1732=11700,ROUND(VLOOKUP(G1732,ThongSo!$F$2:$I$15,4,0)*B1732*11.7,3),0)</f>
        <v>812.09699999999998</v>
      </c>
      <c r="I1732" s="152" t="str">
        <f>IF(F1732="Sắt vụn",ROUND(VLOOKUP(G1732,ThongSo!$F$2:$I$15,4,0)*B1732*E1732/1000,3),"-")</f>
        <v>-</v>
      </c>
      <c r="L1732" s="150"/>
      <c r="M1732" s="150"/>
      <c r="N1732" s="150"/>
    </row>
    <row r="1733" spans="1:14" x14ac:dyDescent="0.25">
      <c r="A1733" s="159">
        <v>195</v>
      </c>
      <c r="B1733" s="160">
        <v>9</v>
      </c>
      <c r="C1733" s="160">
        <v>11700</v>
      </c>
      <c r="D1733" s="160" t="s">
        <v>4477</v>
      </c>
      <c r="E1733" s="160">
        <v>4040</v>
      </c>
      <c r="F1733" s="160" t="s">
        <v>75</v>
      </c>
      <c r="G1733" s="148">
        <v>32</v>
      </c>
      <c r="H1733" s="152">
        <f>IF(C1733=11700,ROUND(VLOOKUP(G1733,ThongSo!$F$2:$I$15,4,0)*B1733*11.7,3),0)</f>
        <v>664.44299999999998</v>
      </c>
      <c r="I1733" s="152" t="str">
        <f>IF(F1733="Sắt vụn",ROUND(VLOOKUP(G1733,ThongSo!$F$2:$I$15,4,0)*B1733*E1733/1000,3),"-")</f>
        <v>-</v>
      </c>
      <c r="L1733" s="150"/>
      <c r="M1733" s="150"/>
      <c r="N1733" s="150"/>
    </row>
    <row r="1734" spans="1:14" x14ac:dyDescent="0.25">
      <c r="A1734" s="159">
        <v>196</v>
      </c>
      <c r="B1734" s="160">
        <v>11</v>
      </c>
      <c r="C1734" s="160">
        <v>11700</v>
      </c>
      <c r="D1734" s="160" t="s">
        <v>4478</v>
      </c>
      <c r="E1734" s="160">
        <v>4070</v>
      </c>
      <c r="F1734" s="160" t="s">
        <v>75</v>
      </c>
      <c r="G1734" s="148">
        <v>32</v>
      </c>
      <c r="H1734" s="152">
        <f>IF(C1734=11700,ROUND(VLOOKUP(G1734,ThongSo!$F$2:$I$15,4,0)*B1734*11.7,3),0)</f>
        <v>812.09699999999998</v>
      </c>
      <c r="I1734" s="152" t="str">
        <f>IF(F1734="Sắt vụn",ROUND(VLOOKUP(G1734,ThongSo!$F$2:$I$15,4,0)*B1734*E1734/1000,3),"-")</f>
        <v>-</v>
      </c>
      <c r="L1734" s="150"/>
      <c r="M1734" s="150"/>
      <c r="N1734" s="150"/>
    </row>
    <row r="1735" spans="1:14" x14ac:dyDescent="0.25">
      <c r="A1735" s="159">
        <v>197</v>
      </c>
      <c r="B1735" s="160">
        <v>10</v>
      </c>
      <c r="C1735" s="160">
        <v>11700</v>
      </c>
      <c r="D1735" s="160" t="s">
        <v>4479</v>
      </c>
      <c r="E1735" s="160">
        <v>4090</v>
      </c>
      <c r="F1735" s="160" t="s">
        <v>75</v>
      </c>
      <c r="G1735" s="148">
        <v>32</v>
      </c>
      <c r="H1735" s="152">
        <f>IF(C1735=11700,ROUND(VLOOKUP(G1735,ThongSo!$F$2:$I$15,4,0)*B1735*11.7,3),0)</f>
        <v>738.27</v>
      </c>
      <c r="I1735" s="152" t="str">
        <f>IF(F1735="Sắt vụn",ROUND(VLOOKUP(G1735,ThongSo!$F$2:$I$15,4,0)*B1735*E1735/1000,3),"-")</f>
        <v>-</v>
      </c>
      <c r="L1735" s="150"/>
      <c r="M1735" s="150"/>
      <c r="N1735" s="150"/>
    </row>
    <row r="1736" spans="1:14" x14ac:dyDescent="0.25">
      <c r="A1736" s="159">
        <v>198</v>
      </c>
      <c r="B1736" s="160">
        <v>8</v>
      </c>
      <c r="C1736" s="160">
        <v>11700</v>
      </c>
      <c r="D1736" s="160" t="s">
        <v>4480</v>
      </c>
      <c r="E1736" s="160">
        <v>4100</v>
      </c>
      <c r="F1736" s="160" t="s">
        <v>75</v>
      </c>
      <c r="G1736" s="148">
        <v>32</v>
      </c>
      <c r="H1736" s="152">
        <f>IF(C1736=11700,ROUND(VLOOKUP(G1736,ThongSo!$F$2:$I$15,4,0)*B1736*11.7,3),0)</f>
        <v>590.61599999999999</v>
      </c>
      <c r="I1736" s="152" t="str">
        <f>IF(F1736="Sắt vụn",ROUND(VLOOKUP(G1736,ThongSo!$F$2:$I$15,4,0)*B1736*E1736/1000,3),"-")</f>
        <v>-</v>
      </c>
      <c r="L1736" s="150"/>
      <c r="M1736" s="150"/>
      <c r="N1736" s="150"/>
    </row>
    <row r="1737" spans="1:14" x14ac:dyDescent="0.25">
      <c r="A1737" s="159">
        <v>199</v>
      </c>
      <c r="B1737" s="160">
        <v>10</v>
      </c>
      <c r="C1737" s="160">
        <v>11700</v>
      </c>
      <c r="D1737" s="160" t="s">
        <v>4481</v>
      </c>
      <c r="E1737" s="160">
        <v>4220</v>
      </c>
      <c r="F1737" s="160" t="s">
        <v>75</v>
      </c>
      <c r="G1737" s="148">
        <v>32</v>
      </c>
      <c r="H1737" s="152">
        <f>IF(C1737=11700,ROUND(VLOOKUP(G1737,ThongSo!$F$2:$I$15,4,0)*B1737*11.7,3),0)</f>
        <v>738.27</v>
      </c>
      <c r="I1737" s="152" t="str">
        <f>IF(F1737="Sắt vụn",ROUND(VLOOKUP(G1737,ThongSo!$F$2:$I$15,4,0)*B1737*E1737/1000,3),"-")</f>
        <v>-</v>
      </c>
      <c r="L1737" s="150"/>
      <c r="M1737" s="150"/>
      <c r="N1737" s="150"/>
    </row>
    <row r="1738" spans="1:14" x14ac:dyDescent="0.25">
      <c r="A1738" s="159">
        <v>200</v>
      </c>
      <c r="B1738" s="160">
        <v>2</v>
      </c>
      <c r="C1738" s="160">
        <v>11700</v>
      </c>
      <c r="D1738" s="160" t="s">
        <v>4482</v>
      </c>
      <c r="E1738" s="160">
        <v>4250</v>
      </c>
      <c r="F1738" s="160" t="s">
        <v>75</v>
      </c>
      <c r="G1738" s="148">
        <v>32</v>
      </c>
      <c r="H1738" s="152">
        <f>IF(C1738=11700,ROUND(VLOOKUP(G1738,ThongSo!$F$2:$I$15,4,0)*B1738*11.7,3),0)</f>
        <v>147.654</v>
      </c>
      <c r="I1738" s="152" t="str">
        <f>IF(F1738="Sắt vụn",ROUND(VLOOKUP(G1738,ThongSo!$F$2:$I$15,4,0)*B1738*E1738/1000,3),"-")</f>
        <v>-</v>
      </c>
      <c r="L1738" s="150"/>
      <c r="M1738" s="150"/>
      <c r="N1738" s="150"/>
    </row>
    <row r="1739" spans="1:14" x14ac:dyDescent="0.25">
      <c r="A1739" s="159">
        <v>201</v>
      </c>
      <c r="B1739" s="160">
        <v>10</v>
      </c>
      <c r="C1739" s="160">
        <v>11700</v>
      </c>
      <c r="D1739" s="160" t="s">
        <v>4483</v>
      </c>
      <c r="E1739" s="160">
        <v>4345</v>
      </c>
      <c r="F1739" s="160" t="s">
        <v>75</v>
      </c>
      <c r="G1739" s="148">
        <v>32</v>
      </c>
      <c r="H1739" s="152">
        <f>IF(C1739=11700,ROUND(VLOOKUP(G1739,ThongSo!$F$2:$I$15,4,0)*B1739*11.7,3),0)</f>
        <v>738.27</v>
      </c>
      <c r="I1739" s="152" t="str">
        <f>IF(F1739="Sắt vụn",ROUND(VLOOKUP(G1739,ThongSo!$F$2:$I$15,4,0)*B1739*E1739/1000,3),"-")</f>
        <v>-</v>
      </c>
      <c r="L1739" s="150"/>
      <c r="M1739" s="150"/>
      <c r="N1739" s="150"/>
    </row>
    <row r="1740" spans="1:14" x14ac:dyDescent="0.25">
      <c r="A1740" s="159">
        <v>202</v>
      </c>
      <c r="B1740" s="160">
        <v>10</v>
      </c>
      <c r="C1740" s="160">
        <v>11700</v>
      </c>
      <c r="D1740" s="160" t="s">
        <v>4484</v>
      </c>
      <c r="E1740" s="160">
        <v>4365</v>
      </c>
      <c r="F1740" s="160" t="s">
        <v>75</v>
      </c>
      <c r="G1740" s="148">
        <v>32</v>
      </c>
      <c r="H1740" s="152">
        <f>IF(C1740=11700,ROUND(VLOOKUP(G1740,ThongSo!$F$2:$I$15,4,0)*B1740*11.7,3),0)</f>
        <v>738.27</v>
      </c>
      <c r="I1740" s="152" t="str">
        <f>IF(F1740="Sắt vụn",ROUND(VLOOKUP(G1740,ThongSo!$F$2:$I$15,4,0)*B1740*E1740/1000,3),"-")</f>
        <v>-</v>
      </c>
      <c r="L1740" s="150"/>
      <c r="M1740" s="150"/>
      <c r="N1740" s="150"/>
    </row>
    <row r="1741" spans="1:14" x14ac:dyDescent="0.25">
      <c r="A1741" s="159">
        <v>203</v>
      </c>
      <c r="B1741" s="160">
        <v>9</v>
      </c>
      <c r="C1741" s="160">
        <v>11700</v>
      </c>
      <c r="D1741" s="160" t="s">
        <v>4485</v>
      </c>
      <c r="E1741" s="160">
        <v>4550</v>
      </c>
      <c r="F1741" s="160" t="s">
        <v>75</v>
      </c>
      <c r="G1741" s="148">
        <v>32</v>
      </c>
      <c r="H1741" s="152">
        <f>IF(C1741=11700,ROUND(VLOOKUP(G1741,ThongSo!$F$2:$I$15,4,0)*B1741*11.7,3),0)</f>
        <v>664.44299999999998</v>
      </c>
      <c r="I1741" s="152" t="str">
        <f>IF(F1741="Sắt vụn",ROUND(VLOOKUP(G1741,ThongSo!$F$2:$I$15,4,0)*B1741*E1741/1000,3),"-")</f>
        <v>-</v>
      </c>
      <c r="L1741" s="150"/>
      <c r="M1741" s="150"/>
      <c r="N1741" s="150"/>
    </row>
    <row r="1742" spans="1:14" x14ac:dyDescent="0.25">
      <c r="A1742" s="159">
        <v>204</v>
      </c>
      <c r="B1742" s="160">
        <v>6</v>
      </c>
      <c r="C1742" s="160">
        <v>11700</v>
      </c>
      <c r="D1742" s="160" t="s">
        <v>4486</v>
      </c>
      <c r="E1742" s="160">
        <v>4600</v>
      </c>
      <c r="F1742" s="160" t="s">
        <v>75</v>
      </c>
      <c r="G1742" s="148">
        <v>32</v>
      </c>
      <c r="H1742" s="152">
        <f>IF(C1742=11700,ROUND(VLOOKUP(G1742,ThongSo!$F$2:$I$15,4,0)*B1742*11.7,3),0)</f>
        <v>442.96199999999999</v>
      </c>
      <c r="I1742" s="152" t="str">
        <f>IF(F1742="Sắt vụn",ROUND(VLOOKUP(G1742,ThongSo!$F$2:$I$15,4,0)*B1742*E1742/1000,3),"-")</f>
        <v>-</v>
      </c>
      <c r="L1742" s="150"/>
      <c r="M1742" s="150"/>
      <c r="N1742" s="150"/>
    </row>
    <row r="1743" spans="1:14" x14ac:dyDescent="0.25">
      <c r="A1743" s="159">
        <v>205</v>
      </c>
      <c r="B1743" s="160">
        <v>10</v>
      </c>
      <c r="C1743" s="160">
        <v>11700</v>
      </c>
      <c r="D1743" s="160" t="s">
        <v>4487</v>
      </c>
      <c r="E1743" s="160">
        <v>4695</v>
      </c>
      <c r="F1743" s="160" t="s">
        <v>75</v>
      </c>
      <c r="G1743" s="148">
        <v>32</v>
      </c>
      <c r="H1743" s="152">
        <f>IF(C1743=11700,ROUND(VLOOKUP(G1743,ThongSo!$F$2:$I$15,4,0)*B1743*11.7,3),0)</f>
        <v>738.27</v>
      </c>
      <c r="I1743" s="152" t="str">
        <f>IF(F1743="Sắt vụn",ROUND(VLOOKUP(G1743,ThongSo!$F$2:$I$15,4,0)*B1743*E1743/1000,3),"-")</f>
        <v>-</v>
      </c>
      <c r="L1743" s="150"/>
      <c r="M1743" s="150"/>
      <c r="N1743" s="150"/>
    </row>
    <row r="1744" spans="1:14" x14ac:dyDescent="0.25">
      <c r="A1744" s="159">
        <v>206</v>
      </c>
      <c r="B1744" s="160">
        <v>10</v>
      </c>
      <c r="C1744" s="160">
        <v>11700</v>
      </c>
      <c r="D1744" s="160" t="s">
        <v>4488</v>
      </c>
      <c r="E1744" s="160">
        <v>5270</v>
      </c>
      <c r="F1744" s="160" t="s">
        <v>75</v>
      </c>
      <c r="G1744" s="148">
        <v>32</v>
      </c>
      <c r="H1744" s="152">
        <f>IF(C1744=11700,ROUND(VLOOKUP(G1744,ThongSo!$F$2:$I$15,4,0)*B1744*11.7,3),0)</f>
        <v>738.27</v>
      </c>
      <c r="I1744" s="152" t="str">
        <f>IF(F1744="Sắt vụn",ROUND(VLOOKUP(G1744,ThongSo!$F$2:$I$15,4,0)*B1744*E1744/1000,3),"-")</f>
        <v>-</v>
      </c>
      <c r="L1744" s="150"/>
      <c r="M1744" s="150"/>
      <c r="N1744" s="150"/>
    </row>
    <row r="1745" spans="1:14" x14ac:dyDescent="0.25">
      <c r="A1745" s="159">
        <v>207</v>
      </c>
      <c r="B1745" s="160">
        <v>2</v>
      </c>
      <c r="C1745" s="160">
        <v>11700</v>
      </c>
      <c r="D1745" s="160" t="s">
        <v>4489</v>
      </c>
      <c r="E1745" s="160">
        <v>5300</v>
      </c>
      <c r="F1745" s="160" t="s">
        <v>75</v>
      </c>
      <c r="G1745" s="148">
        <v>32</v>
      </c>
      <c r="H1745" s="152">
        <f>IF(C1745=11700,ROUND(VLOOKUP(G1745,ThongSo!$F$2:$I$15,4,0)*B1745*11.7,3),0)</f>
        <v>147.654</v>
      </c>
      <c r="I1745" s="152" t="str">
        <f>IF(F1745="Sắt vụn",ROUND(VLOOKUP(G1745,ThongSo!$F$2:$I$15,4,0)*B1745*E1745/1000,3),"-")</f>
        <v>-</v>
      </c>
      <c r="L1745" s="150"/>
      <c r="M1745" s="150"/>
      <c r="N1745" s="150"/>
    </row>
    <row r="1746" spans="1:14" x14ac:dyDescent="0.25">
      <c r="A1746" s="159">
        <v>208</v>
      </c>
      <c r="B1746" s="160">
        <v>4</v>
      </c>
      <c r="C1746" s="160">
        <v>11700</v>
      </c>
      <c r="D1746" s="160" t="s">
        <v>4490</v>
      </c>
      <c r="E1746" s="160">
        <v>5315</v>
      </c>
      <c r="F1746" s="160" t="s">
        <v>75</v>
      </c>
      <c r="G1746" s="148">
        <v>32</v>
      </c>
      <c r="H1746" s="152">
        <f>IF(C1746=11700,ROUND(VLOOKUP(G1746,ThongSo!$F$2:$I$15,4,0)*B1746*11.7,3),0)</f>
        <v>295.30799999999999</v>
      </c>
      <c r="I1746" s="152" t="str">
        <f>IF(F1746="Sắt vụn",ROUND(VLOOKUP(G1746,ThongSo!$F$2:$I$15,4,0)*B1746*E1746/1000,3),"-")</f>
        <v>-</v>
      </c>
      <c r="L1746" s="150"/>
      <c r="M1746" s="150"/>
      <c r="N1746" s="150"/>
    </row>
    <row r="1747" spans="1:14" x14ac:dyDescent="0.25">
      <c r="A1747" s="159">
        <v>209</v>
      </c>
      <c r="B1747" s="160">
        <v>15</v>
      </c>
      <c r="C1747" s="160">
        <v>11700</v>
      </c>
      <c r="D1747" s="160" t="s">
        <v>4491</v>
      </c>
      <c r="E1747" s="160">
        <v>5340</v>
      </c>
      <c r="F1747" s="160" t="s">
        <v>75</v>
      </c>
      <c r="G1747" s="148">
        <v>32</v>
      </c>
      <c r="H1747" s="152">
        <f>IF(C1747=11700,ROUND(VLOOKUP(G1747,ThongSo!$F$2:$I$15,4,0)*B1747*11.7,3),0)</f>
        <v>1107.405</v>
      </c>
      <c r="I1747" s="152" t="str">
        <f>IF(F1747="Sắt vụn",ROUND(VLOOKUP(G1747,ThongSo!$F$2:$I$15,4,0)*B1747*E1747/1000,3),"-")</f>
        <v>-</v>
      </c>
      <c r="L1747" s="150"/>
      <c r="M1747" s="150"/>
      <c r="N1747" s="150"/>
    </row>
    <row r="1748" spans="1:14" x14ac:dyDescent="0.25">
      <c r="A1748" s="159">
        <v>210</v>
      </c>
      <c r="B1748" s="160">
        <v>2</v>
      </c>
      <c r="C1748" s="160">
        <v>11700</v>
      </c>
      <c r="D1748" s="160" t="s">
        <v>4492</v>
      </c>
      <c r="E1748" s="160">
        <v>5510</v>
      </c>
      <c r="F1748" s="160" t="s">
        <v>75</v>
      </c>
      <c r="G1748" s="148">
        <v>32</v>
      </c>
      <c r="H1748" s="152">
        <f>IF(C1748=11700,ROUND(VLOOKUP(G1748,ThongSo!$F$2:$I$15,4,0)*B1748*11.7,3),0)</f>
        <v>147.654</v>
      </c>
      <c r="I1748" s="152" t="str">
        <f>IF(F1748="Sắt vụn",ROUND(VLOOKUP(G1748,ThongSo!$F$2:$I$15,4,0)*B1748*E1748/1000,3),"-")</f>
        <v>-</v>
      </c>
      <c r="L1748" s="150"/>
      <c r="M1748" s="150"/>
      <c r="N1748" s="150"/>
    </row>
    <row r="1749" spans="1:14" x14ac:dyDescent="0.25">
      <c r="A1749" s="159">
        <v>211</v>
      </c>
      <c r="B1749" s="160">
        <v>1</v>
      </c>
      <c r="C1749" s="160">
        <v>11700</v>
      </c>
      <c r="D1749" s="160" t="s">
        <v>4320</v>
      </c>
      <c r="E1749" s="160">
        <v>6125</v>
      </c>
      <c r="F1749" s="160" t="s">
        <v>75</v>
      </c>
      <c r="G1749" s="148">
        <v>32</v>
      </c>
      <c r="H1749" s="152">
        <f>IF(C1749=11700,ROUND(VLOOKUP(G1749,ThongSo!$F$2:$I$15,4,0)*B1749*11.7,3),0)</f>
        <v>73.826999999999998</v>
      </c>
      <c r="I1749" s="152" t="str">
        <f>IF(F1749="Sắt vụn",ROUND(VLOOKUP(G1749,ThongSo!$F$2:$I$15,4,0)*B1749*E1749/1000,3),"-")</f>
        <v>-</v>
      </c>
      <c r="L1749" s="150"/>
      <c r="M1749" s="150"/>
      <c r="N1749" s="150"/>
    </row>
    <row r="1750" spans="1:14" x14ac:dyDescent="0.25">
      <c r="A1750" s="157" t="s">
        <v>77</v>
      </c>
      <c r="B1750" s="158"/>
      <c r="C1750" s="158"/>
      <c r="D1750" s="158"/>
      <c r="E1750" s="158"/>
      <c r="F1750" s="158"/>
      <c r="G1750" s="148"/>
      <c r="H1750" s="152">
        <f>IF(C1750=11700,ROUND(VLOOKUP(G1750,ThongSo!$F$2:$I$15,4,0)*B1750*11.7,3),0)</f>
        <v>0</v>
      </c>
      <c r="I1750" s="152" t="str">
        <f>IF(F1750="Sắt vụn",ROUND(VLOOKUP(G1750,ThongSo!$F$2:$I$15,4,0)*B1750*E1750/1000,3),"-")</f>
        <v>-</v>
      </c>
      <c r="L1750" s="150"/>
      <c r="M1750" s="150"/>
      <c r="N1750" s="150"/>
    </row>
    <row r="1751" spans="1:14" x14ac:dyDescent="0.25">
      <c r="A1751" s="159" t="s">
        <v>182</v>
      </c>
      <c r="B1751" s="160">
        <v>2</v>
      </c>
      <c r="C1751" s="160">
        <v>3050</v>
      </c>
      <c r="D1751" s="160" t="s">
        <v>4493</v>
      </c>
      <c r="E1751" s="160">
        <v>160</v>
      </c>
      <c r="F1751" s="160" t="s">
        <v>74</v>
      </c>
      <c r="G1751" s="148">
        <v>25</v>
      </c>
      <c r="H1751" s="152">
        <f>IF(C1751=11700,ROUND(VLOOKUP(G1751,ThongSo!$F$2:$I$15,4,0)*B1751*11.7,3),0)</f>
        <v>0</v>
      </c>
      <c r="I1751" s="152">
        <f>IF(F1751="Sắt vụn",ROUND(VLOOKUP(G1751,ThongSo!$F$2:$I$15,4,0)*B1751*E1751/1000,3),"-")</f>
        <v>1.232</v>
      </c>
      <c r="L1751" s="150"/>
      <c r="M1751" s="150"/>
      <c r="N1751" s="150"/>
    </row>
    <row r="1752" spans="1:14" x14ac:dyDescent="0.25">
      <c r="A1752" s="159" t="s">
        <v>171</v>
      </c>
      <c r="B1752" s="160">
        <v>2</v>
      </c>
      <c r="C1752" s="160">
        <v>3100</v>
      </c>
      <c r="D1752" s="160" t="s">
        <v>4493</v>
      </c>
      <c r="E1752" s="160">
        <v>210</v>
      </c>
      <c r="F1752" s="160" t="s">
        <v>74</v>
      </c>
      <c r="G1752" s="148">
        <v>25</v>
      </c>
      <c r="H1752" s="152">
        <f>IF(C1752=11700,ROUND(VLOOKUP(G1752,ThongSo!$F$2:$I$15,4,0)*B1752*11.7,3),0)</f>
        <v>0</v>
      </c>
      <c r="I1752" s="152">
        <f>IF(F1752="Sắt vụn",ROUND(VLOOKUP(G1752,ThongSo!$F$2:$I$15,4,0)*B1752*E1752/1000,3),"-")</f>
        <v>1.617</v>
      </c>
      <c r="L1752" s="150"/>
      <c r="M1752" s="150"/>
      <c r="N1752" s="150"/>
    </row>
    <row r="1753" spans="1:14" x14ac:dyDescent="0.25">
      <c r="A1753" s="159" t="s">
        <v>379</v>
      </c>
      <c r="B1753" s="160">
        <v>2</v>
      </c>
      <c r="C1753" s="160">
        <v>3155</v>
      </c>
      <c r="D1753" s="160" t="s">
        <v>4493</v>
      </c>
      <c r="E1753" s="160">
        <v>265</v>
      </c>
      <c r="F1753" s="160" t="s">
        <v>74</v>
      </c>
      <c r="G1753" s="148">
        <v>25</v>
      </c>
      <c r="H1753" s="152">
        <f>IF(C1753=11700,ROUND(VLOOKUP(G1753,ThongSo!$F$2:$I$15,4,0)*B1753*11.7,3),0)</f>
        <v>0</v>
      </c>
      <c r="I1753" s="152">
        <f>IF(F1753="Sắt vụn",ROUND(VLOOKUP(G1753,ThongSo!$F$2:$I$15,4,0)*B1753*E1753/1000,3),"-")</f>
        <v>2.0409999999999999</v>
      </c>
      <c r="L1753" s="150"/>
      <c r="M1753" s="150"/>
      <c r="N1753" s="150"/>
    </row>
    <row r="1754" spans="1:14" x14ac:dyDescent="0.25">
      <c r="A1754" s="159" t="s">
        <v>186</v>
      </c>
      <c r="B1754" s="160">
        <v>1</v>
      </c>
      <c r="C1754" s="160">
        <v>3600</v>
      </c>
      <c r="D1754" s="160" t="s">
        <v>4493</v>
      </c>
      <c r="E1754" s="160">
        <v>710</v>
      </c>
      <c r="F1754" s="160" t="s">
        <v>74</v>
      </c>
      <c r="G1754" s="148">
        <v>25</v>
      </c>
      <c r="H1754" s="152">
        <f>IF(C1754=11700,ROUND(VLOOKUP(G1754,ThongSo!$F$2:$I$15,4,0)*B1754*11.7,3),0)</f>
        <v>0</v>
      </c>
      <c r="I1754" s="152">
        <f>IF(F1754="Sắt vụn",ROUND(VLOOKUP(G1754,ThongSo!$F$2:$I$15,4,0)*B1754*E1754/1000,3),"-")</f>
        <v>2.734</v>
      </c>
      <c r="L1754" s="150"/>
      <c r="M1754" s="150"/>
      <c r="N1754" s="150"/>
    </row>
    <row r="1755" spans="1:14" x14ac:dyDescent="0.25">
      <c r="A1755" s="159" t="s">
        <v>142</v>
      </c>
      <c r="B1755" s="160">
        <v>9</v>
      </c>
      <c r="C1755" s="160">
        <v>3700</v>
      </c>
      <c r="D1755" s="160" t="s">
        <v>4493</v>
      </c>
      <c r="E1755" s="160">
        <v>810</v>
      </c>
      <c r="F1755" s="160" t="s">
        <v>74</v>
      </c>
      <c r="G1755" s="148">
        <v>25</v>
      </c>
      <c r="H1755" s="152">
        <f>IF(C1755=11700,ROUND(VLOOKUP(G1755,ThongSo!$F$2:$I$15,4,0)*B1755*11.7,3),0)</f>
        <v>0</v>
      </c>
      <c r="I1755" s="152">
        <f>IF(F1755="Sắt vụn",ROUND(VLOOKUP(G1755,ThongSo!$F$2:$I$15,4,0)*B1755*E1755/1000,3),"-")</f>
        <v>28.067</v>
      </c>
      <c r="L1755" s="150"/>
      <c r="M1755" s="150"/>
      <c r="N1755" s="150"/>
    </row>
    <row r="1756" spans="1:14" x14ac:dyDescent="0.25">
      <c r="A1756" s="159" t="s">
        <v>202</v>
      </c>
      <c r="B1756" s="160">
        <v>3</v>
      </c>
      <c r="C1756" s="160">
        <v>3715</v>
      </c>
      <c r="D1756" s="160" t="s">
        <v>4493</v>
      </c>
      <c r="E1756" s="160">
        <v>825</v>
      </c>
      <c r="F1756" s="160" t="s">
        <v>74</v>
      </c>
      <c r="G1756" s="148">
        <v>25</v>
      </c>
      <c r="H1756" s="152">
        <f>IF(C1756=11700,ROUND(VLOOKUP(G1756,ThongSo!$F$2:$I$15,4,0)*B1756*11.7,3),0)</f>
        <v>0</v>
      </c>
      <c r="I1756" s="152">
        <f>IF(F1756="Sắt vụn",ROUND(VLOOKUP(G1756,ThongSo!$F$2:$I$15,4,0)*B1756*E1756/1000,3),"-")</f>
        <v>9.5289999999999999</v>
      </c>
      <c r="L1756" s="150"/>
      <c r="M1756" s="150"/>
      <c r="N1756" s="150"/>
    </row>
    <row r="1757" spans="1:14" x14ac:dyDescent="0.25">
      <c r="A1757" s="159" t="s">
        <v>357</v>
      </c>
      <c r="B1757" s="160">
        <v>2</v>
      </c>
      <c r="C1757" s="160">
        <v>3795</v>
      </c>
      <c r="D1757" s="160" t="s">
        <v>4493</v>
      </c>
      <c r="E1757" s="160">
        <v>905</v>
      </c>
      <c r="F1757" s="160" t="s">
        <v>74</v>
      </c>
      <c r="G1757" s="148">
        <v>25</v>
      </c>
      <c r="H1757" s="152">
        <f>IF(C1757=11700,ROUND(VLOOKUP(G1757,ThongSo!$F$2:$I$15,4,0)*B1757*11.7,3),0)</f>
        <v>0</v>
      </c>
      <c r="I1757" s="152">
        <f>IF(F1757="Sắt vụn",ROUND(VLOOKUP(G1757,ThongSo!$F$2:$I$15,4,0)*B1757*E1757/1000,3),"-")</f>
        <v>6.9690000000000003</v>
      </c>
      <c r="L1757" s="150"/>
      <c r="M1757" s="150"/>
      <c r="N1757" s="150"/>
    </row>
    <row r="1758" spans="1:14" x14ac:dyDescent="0.25">
      <c r="A1758" s="159" t="s">
        <v>172</v>
      </c>
      <c r="B1758" s="160">
        <v>4</v>
      </c>
      <c r="C1758" s="160">
        <v>3800</v>
      </c>
      <c r="D1758" s="160" t="s">
        <v>4493</v>
      </c>
      <c r="E1758" s="160">
        <v>910</v>
      </c>
      <c r="F1758" s="160" t="s">
        <v>74</v>
      </c>
      <c r="G1758" s="148">
        <v>25</v>
      </c>
      <c r="H1758" s="152">
        <f>IF(C1758=11700,ROUND(VLOOKUP(G1758,ThongSo!$F$2:$I$15,4,0)*B1758*11.7,3),0)</f>
        <v>0</v>
      </c>
      <c r="I1758" s="152">
        <f>IF(F1758="Sắt vụn",ROUND(VLOOKUP(G1758,ThongSo!$F$2:$I$15,4,0)*B1758*E1758/1000,3),"-")</f>
        <v>14.013999999999999</v>
      </c>
      <c r="L1758" s="150"/>
      <c r="M1758" s="150"/>
      <c r="N1758" s="150"/>
    </row>
    <row r="1759" spans="1:14" x14ac:dyDescent="0.25">
      <c r="A1759" s="159" t="s">
        <v>4288</v>
      </c>
      <c r="B1759" s="160">
        <v>4</v>
      </c>
      <c r="C1759" s="160">
        <v>3875</v>
      </c>
      <c r="D1759" s="160" t="s">
        <v>4493</v>
      </c>
      <c r="E1759" s="160">
        <v>985</v>
      </c>
      <c r="F1759" s="160" t="s">
        <v>74</v>
      </c>
      <c r="G1759" s="148">
        <v>25</v>
      </c>
      <c r="H1759" s="152">
        <f>IF(C1759=11700,ROUND(VLOOKUP(G1759,ThongSo!$F$2:$I$15,4,0)*B1759*11.7,3),0)</f>
        <v>0</v>
      </c>
      <c r="I1759" s="152">
        <f>IF(F1759="Sắt vụn",ROUND(VLOOKUP(G1759,ThongSo!$F$2:$I$15,4,0)*B1759*E1759/1000,3),"-")</f>
        <v>15.169</v>
      </c>
      <c r="L1759" s="150"/>
      <c r="M1759" s="150"/>
      <c r="N1759" s="150"/>
    </row>
    <row r="1760" spans="1:14" x14ac:dyDescent="0.25">
      <c r="A1760" s="159" t="s">
        <v>3896</v>
      </c>
      <c r="B1760" s="160">
        <v>4</v>
      </c>
      <c r="C1760" s="160">
        <v>5170</v>
      </c>
      <c r="D1760" s="160" t="s">
        <v>4493</v>
      </c>
      <c r="E1760" s="160">
        <v>2280</v>
      </c>
      <c r="F1760" s="160" t="s">
        <v>75</v>
      </c>
      <c r="G1760" s="148">
        <v>25</v>
      </c>
      <c r="H1760" s="152">
        <f>IF(C1760=11700,ROUND(VLOOKUP(G1760,ThongSo!$F$2:$I$15,4,0)*B1760*11.7,3),0)</f>
        <v>0</v>
      </c>
      <c r="I1760" s="152" t="str">
        <f>IF(F1760="Sắt vụn",ROUND(VLOOKUP(G1760,ThongSo!$F$2:$I$15,4,0)*B1760*E1760/1000,3),"-")</f>
        <v>-</v>
      </c>
      <c r="L1760" s="150"/>
      <c r="M1760" s="150"/>
      <c r="N1760" s="150"/>
    </row>
    <row r="1761" spans="1:14" x14ac:dyDescent="0.25">
      <c r="A1761" s="159" t="s">
        <v>206</v>
      </c>
      <c r="B1761" s="160">
        <v>1</v>
      </c>
      <c r="C1761" s="160">
        <v>5480</v>
      </c>
      <c r="D1761" s="160" t="s">
        <v>4494</v>
      </c>
      <c r="E1761" s="160">
        <v>140</v>
      </c>
      <c r="F1761" s="160" t="s">
        <v>74</v>
      </c>
      <c r="G1761" s="148">
        <v>25</v>
      </c>
      <c r="H1761" s="152">
        <f>IF(C1761=11700,ROUND(VLOOKUP(G1761,ThongSo!$F$2:$I$15,4,0)*B1761*11.7,3),0)</f>
        <v>0</v>
      </c>
      <c r="I1761" s="152">
        <f>IF(F1761="Sắt vụn",ROUND(VLOOKUP(G1761,ThongSo!$F$2:$I$15,4,0)*B1761*E1761/1000,3),"-")</f>
        <v>0.53900000000000003</v>
      </c>
      <c r="L1761" s="150"/>
      <c r="M1761" s="150"/>
      <c r="N1761" s="150"/>
    </row>
    <row r="1762" spans="1:14" x14ac:dyDescent="0.25">
      <c r="A1762" s="159" t="s">
        <v>4289</v>
      </c>
      <c r="B1762" s="160">
        <v>2</v>
      </c>
      <c r="C1762" s="160">
        <v>5495</v>
      </c>
      <c r="D1762" s="160" t="s">
        <v>4494</v>
      </c>
      <c r="E1762" s="160">
        <v>155</v>
      </c>
      <c r="F1762" s="160" t="s">
        <v>74</v>
      </c>
      <c r="G1762" s="148">
        <v>25</v>
      </c>
      <c r="H1762" s="152">
        <f>IF(C1762=11700,ROUND(VLOOKUP(G1762,ThongSo!$F$2:$I$15,4,0)*B1762*11.7,3),0)</f>
        <v>0</v>
      </c>
      <c r="I1762" s="152">
        <f>IF(F1762="Sắt vụn",ROUND(VLOOKUP(G1762,ThongSo!$F$2:$I$15,4,0)*B1762*E1762/1000,3),"-")</f>
        <v>1.194</v>
      </c>
      <c r="L1762" s="150"/>
      <c r="M1762" s="150"/>
      <c r="N1762" s="150"/>
    </row>
    <row r="1763" spans="1:14" x14ac:dyDescent="0.25">
      <c r="A1763" s="159">
        <v>224</v>
      </c>
      <c r="B1763" s="160">
        <v>225</v>
      </c>
      <c r="C1763" s="160">
        <v>11700</v>
      </c>
      <c r="D1763" s="160" t="s">
        <v>4495</v>
      </c>
      <c r="E1763" s="160">
        <v>140</v>
      </c>
      <c r="F1763" s="160" t="s">
        <v>74</v>
      </c>
      <c r="G1763" s="148">
        <v>25</v>
      </c>
      <c r="H1763" s="152">
        <f>IF(C1763=11700,ROUND(VLOOKUP(G1763,ThongSo!$F$2:$I$15,4,0)*B1763*11.7,3),0)</f>
        <v>10135.125</v>
      </c>
      <c r="I1763" s="152">
        <f>IF(F1763="Sắt vụn",ROUND(VLOOKUP(G1763,ThongSo!$F$2:$I$15,4,0)*B1763*E1763/1000,3),"-")</f>
        <v>121.27500000000001</v>
      </c>
      <c r="L1763" s="150"/>
      <c r="M1763" s="150"/>
      <c r="N1763" s="150"/>
    </row>
    <row r="1764" spans="1:14" x14ac:dyDescent="0.25">
      <c r="A1764" s="159">
        <v>225</v>
      </c>
      <c r="B1764" s="160">
        <v>1</v>
      </c>
      <c r="C1764" s="160">
        <v>11700</v>
      </c>
      <c r="D1764" s="160" t="s">
        <v>4496</v>
      </c>
      <c r="E1764" s="160">
        <v>580</v>
      </c>
      <c r="F1764" s="160" t="s">
        <v>74</v>
      </c>
      <c r="G1764" s="148">
        <v>25</v>
      </c>
      <c r="H1764" s="152">
        <f>IF(C1764=11700,ROUND(VLOOKUP(G1764,ThongSo!$F$2:$I$15,4,0)*B1764*11.7,3),0)</f>
        <v>45.045000000000002</v>
      </c>
      <c r="I1764" s="152">
        <f>IF(F1764="Sắt vụn",ROUND(VLOOKUP(G1764,ThongSo!$F$2:$I$15,4,0)*B1764*E1764/1000,3),"-")</f>
        <v>2.2330000000000001</v>
      </c>
      <c r="L1764" s="150"/>
      <c r="M1764" s="150"/>
      <c r="N1764" s="150"/>
    </row>
    <row r="1765" spans="1:14" x14ac:dyDescent="0.25">
      <c r="A1765" s="159">
        <v>226</v>
      </c>
      <c r="B1765" s="160">
        <v>1</v>
      </c>
      <c r="C1765" s="160">
        <v>11700</v>
      </c>
      <c r="D1765" s="160" t="s">
        <v>4497</v>
      </c>
      <c r="E1765" s="160">
        <v>940</v>
      </c>
      <c r="F1765" s="160" t="s">
        <v>74</v>
      </c>
      <c r="G1765" s="148">
        <v>25</v>
      </c>
      <c r="H1765" s="152">
        <f>IF(C1765=11700,ROUND(VLOOKUP(G1765,ThongSo!$F$2:$I$15,4,0)*B1765*11.7,3),0)</f>
        <v>45.045000000000002</v>
      </c>
      <c r="I1765" s="152">
        <f>IF(F1765="Sắt vụn",ROUND(VLOOKUP(G1765,ThongSo!$F$2:$I$15,4,0)*B1765*E1765/1000,3),"-")</f>
        <v>3.6190000000000002</v>
      </c>
      <c r="L1765" s="150"/>
      <c r="M1765" s="150"/>
      <c r="N1765" s="150"/>
    </row>
    <row r="1766" spans="1:14" x14ac:dyDescent="0.25">
      <c r="A1766" s="159">
        <v>227</v>
      </c>
      <c r="B1766" s="160">
        <v>50</v>
      </c>
      <c r="C1766" s="160">
        <v>11700</v>
      </c>
      <c r="D1766" s="160" t="s">
        <v>4498</v>
      </c>
      <c r="E1766" s="160">
        <v>1020</v>
      </c>
      <c r="F1766" s="160" t="s">
        <v>74</v>
      </c>
      <c r="G1766" s="148">
        <v>25</v>
      </c>
      <c r="H1766" s="152">
        <f>IF(C1766=11700,ROUND(VLOOKUP(G1766,ThongSo!$F$2:$I$15,4,0)*B1766*11.7,3),0)</f>
        <v>2252.25</v>
      </c>
      <c r="I1766" s="152">
        <f>IF(F1766="Sắt vụn",ROUND(VLOOKUP(G1766,ThongSo!$F$2:$I$15,4,0)*B1766*E1766/1000,3),"-")</f>
        <v>196.35</v>
      </c>
      <c r="L1766" s="150"/>
      <c r="M1766" s="150"/>
      <c r="N1766" s="150"/>
    </row>
    <row r="1767" spans="1:14" x14ac:dyDescent="0.25">
      <c r="A1767" s="159">
        <v>228</v>
      </c>
      <c r="B1767" s="160">
        <v>103</v>
      </c>
      <c r="C1767" s="160">
        <v>11700</v>
      </c>
      <c r="D1767" s="160" t="s">
        <v>4499</v>
      </c>
      <c r="E1767" s="160">
        <v>3830</v>
      </c>
      <c r="F1767" s="160" t="s">
        <v>75</v>
      </c>
      <c r="G1767" s="148">
        <v>25</v>
      </c>
      <c r="H1767" s="152">
        <f>IF(C1767=11700,ROUND(VLOOKUP(G1767,ThongSo!$F$2:$I$15,4,0)*B1767*11.7,3),0)</f>
        <v>4639.6350000000002</v>
      </c>
      <c r="I1767" s="152" t="str">
        <f>IF(F1767="Sắt vụn",ROUND(VLOOKUP(G1767,ThongSo!$F$2:$I$15,4,0)*B1767*E1767/1000,3),"-")</f>
        <v>-</v>
      </c>
      <c r="L1767" s="150"/>
      <c r="M1767" s="150"/>
      <c r="N1767" s="150"/>
    </row>
    <row r="1768" spans="1:14" x14ac:dyDescent="0.25">
      <c r="A1768" s="157" t="s">
        <v>78</v>
      </c>
      <c r="B1768" s="158"/>
      <c r="C1768" s="158"/>
      <c r="D1768" s="158"/>
      <c r="E1768" s="158"/>
      <c r="F1768" s="158"/>
      <c r="G1768" s="148"/>
      <c r="H1768" s="152">
        <f>IF(C1768=11700,ROUND(VLOOKUP(G1768,ThongSo!$F$2:$I$15,4,0)*B1768*11.7,3),0)</f>
        <v>0</v>
      </c>
      <c r="I1768" s="152" t="str">
        <f>IF(F1768="Sắt vụn",ROUND(VLOOKUP(G1768,ThongSo!$F$2:$I$15,4,0)*B1768*E1768/1000,3),"-")</f>
        <v>-</v>
      </c>
      <c r="L1768" s="150"/>
      <c r="M1768" s="150"/>
      <c r="N1768" s="150"/>
    </row>
    <row r="1769" spans="1:14" x14ac:dyDescent="0.25">
      <c r="A1769" s="159">
        <v>229</v>
      </c>
      <c r="B1769" s="160">
        <v>348</v>
      </c>
      <c r="C1769" s="160">
        <v>11700</v>
      </c>
      <c r="D1769" s="160" t="s">
        <v>4500</v>
      </c>
      <c r="E1769" s="160">
        <v>380</v>
      </c>
      <c r="F1769" s="160" t="s">
        <v>74</v>
      </c>
      <c r="G1769" s="148">
        <v>22</v>
      </c>
      <c r="H1769" s="152">
        <f>IF(C1769=11700,ROUND(VLOOKUP(G1769,ThongSo!$F$2:$I$15,4,0)*B1769*11.7,3),0)</f>
        <v>12133.368</v>
      </c>
      <c r="I1769" s="152">
        <f>IF(F1769="Sắt vụn",ROUND(VLOOKUP(G1769,ThongSo!$F$2:$I$15,4,0)*B1769*E1769/1000,3),"-")</f>
        <v>394.07499999999999</v>
      </c>
      <c r="L1769" s="150"/>
      <c r="M1769" s="150"/>
      <c r="N1769" s="150"/>
    </row>
    <row r="1770" spans="1:14" x14ac:dyDescent="0.25">
      <c r="A1770" s="159">
        <v>230</v>
      </c>
      <c r="B1770" s="160">
        <v>1</v>
      </c>
      <c r="C1770" s="160">
        <v>11700</v>
      </c>
      <c r="D1770" s="160" t="s">
        <v>4501</v>
      </c>
      <c r="E1770" s="160">
        <v>1470</v>
      </c>
      <c r="F1770" s="160" t="s">
        <v>75</v>
      </c>
      <c r="G1770" s="148">
        <v>22</v>
      </c>
      <c r="H1770" s="152">
        <f>IF(C1770=11700,ROUND(VLOOKUP(G1770,ThongSo!$F$2:$I$15,4,0)*B1770*11.7,3),0)</f>
        <v>34.866</v>
      </c>
      <c r="I1770" s="152" t="str">
        <f>IF(F1770="Sắt vụn",ROUND(VLOOKUP(G1770,ThongSo!$F$2:$I$15,4,0)*B1770*E1770/1000,3),"-")</f>
        <v>-</v>
      </c>
      <c r="L1770" s="150"/>
      <c r="M1770" s="150"/>
      <c r="N1770" s="150"/>
    </row>
    <row r="1771" spans="1:14" x14ac:dyDescent="0.25">
      <c r="A1771" s="159">
        <v>231</v>
      </c>
      <c r="B1771" s="160">
        <v>1</v>
      </c>
      <c r="C1771" s="160">
        <v>11700</v>
      </c>
      <c r="D1771" s="160" t="s">
        <v>4502</v>
      </c>
      <c r="E1771" s="160">
        <v>1500</v>
      </c>
      <c r="F1771" s="160" t="s">
        <v>75</v>
      </c>
      <c r="G1771" s="148">
        <v>22</v>
      </c>
      <c r="H1771" s="152">
        <f>IF(C1771=11700,ROUND(VLOOKUP(G1771,ThongSo!$F$2:$I$15,4,0)*B1771*11.7,3),0)</f>
        <v>34.866</v>
      </c>
      <c r="I1771" s="152" t="str">
        <f>IF(F1771="Sắt vụn",ROUND(VLOOKUP(G1771,ThongSo!$F$2:$I$15,4,0)*B1771*E1771/1000,3),"-")</f>
        <v>-</v>
      </c>
      <c r="L1771" s="150"/>
      <c r="M1771" s="150"/>
      <c r="N1771" s="150"/>
    </row>
    <row r="1772" spans="1:14" x14ac:dyDescent="0.25">
      <c r="A1772" s="159">
        <v>232</v>
      </c>
      <c r="B1772" s="160">
        <v>77</v>
      </c>
      <c r="C1772" s="160">
        <v>11700</v>
      </c>
      <c r="D1772" s="160" t="s">
        <v>4503</v>
      </c>
      <c r="E1772" s="160">
        <v>2560</v>
      </c>
      <c r="F1772" s="160" t="s">
        <v>75</v>
      </c>
      <c r="G1772" s="148">
        <v>22</v>
      </c>
      <c r="H1772" s="152">
        <f>IF(C1772=11700,ROUND(VLOOKUP(G1772,ThongSo!$F$2:$I$15,4,0)*B1772*11.7,3),0)</f>
        <v>2684.6819999999998</v>
      </c>
      <c r="I1772" s="152" t="str">
        <f>IF(F1772="Sắt vụn",ROUND(VLOOKUP(G1772,ThongSo!$F$2:$I$15,4,0)*B1772*E1772/1000,3),"-")</f>
        <v>-</v>
      </c>
      <c r="L1772" s="150"/>
      <c r="M1772" s="150"/>
      <c r="N1772" s="150"/>
    </row>
    <row r="1773" spans="1:14" x14ac:dyDescent="0.25">
      <c r="A1773" s="159">
        <v>233</v>
      </c>
      <c r="B1773" s="160">
        <v>154</v>
      </c>
      <c r="C1773" s="160">
        <v>11700</v>
      </c>
      <c r="D1773" s="160" t="s">
        <v>4504</v>
      </c>
      <c r="E1773" s="160">
        <v>4330</v>
      </c>
      <c r="F1773" s="160" t="s">
        <v>75</v>
      </c>
      <c r="G1773" s="148">
        <v>22</v>
      </c>
      <c r="H1773" s="152">
        <f>IF(C1773=11700,ROUND(VLOOKUP(G1773,ThongSo!$F$2:$I$15,4,0)*B1773*11.7,3),0)</f>
        <v>5369.3639999999996</v>
      </c>
      <c r="I1773" s="152" t="str">
        <f>IF(F1773="Sắt vụn",ROUND(VLOOKUP(G1773,ThongSo!$F$2:$I$15,4,0)*B1773*E1773/1000,3),"-")</f>
        <v>-</v>
      </c>
      <c r="L1773" s="150"/>
      <c r="M1773" s="150"/>
      <c r="N1773" s="150"/>
    </row>
    <row r="1774" spans="1:14" x14ac:dyDescent="0.25">
      <c r="A1774" s="157" t="s">
        <v>79</v>
      </c>
      <c r="B1774" s="158"/>
      <c r="C1774" s="158"/>
      <c r="D1774" s="158"/>
      <c r="E1774" s="158"/>
      <c r="F1774" s="158"/>
      <c r="G1774" s="148"/>
      <c r="H1774" s="152">
        <f>IF(C1774=11700,ROUND(VLOOKUP(G1774,ThongSo!$F$2:$I$15,4,0)*B1774*11.7,3),0)</f>
        <v>0</v>
      </c>
      <c r="I1774" s="152" t="str">
        <f>IF(F1774="Sắt vụn",ROUND(VLOOKUP(G1774,ThongSo!$F$2:$I$15,4,0)*B1774*E1774/1000,3),"-")</f>
        <v>-</v>
      </c>
      <c r="L1774" s="150"/>
      <c r="M1774" s="150"/>
      <c r="N1774" s="150"/>
    </row>
    <row r="1775" spans="1:14" x14ac:dyDescent="0.25">
      <c r="A1775" s="159" t="s">
        <v>172</v>
      </c>
      <c r="B1775" s="160">
        <v>5</v>
      </c>
      <c r="C1775" s="160">
        <v>3800</v>
      </c>
      <c r="D1775" s="160" t="s">
        <v>4505</v>
      </c>
      <c r="E1775" s="160">
        <v>1010</v>
      </c>
      <c r="F1775" s="160" t="s">
        <v>75</v>
      </c>
      <c r="G1775" s="148">
        <v>20</v>
      </c>
      <c r="H1775" s="152">
        <f>IF(C1775=11700,ROUND(VLOOKUP(G1775,ThongSo!$F$2:$I$15,4,0)*B1775*11.7,3),0)</f>
        <v>0</v>
      </c>
      <c r="I1775" s="152" t="str">
        <f>IF(F1775="Sắt vụn",ROUND(VLOOKUP(G1775,ThongSo!$F$2:$I$15,4,0)*B1775*E1775/1000,3),"-")</f>
        <v>-</v>
      </c>
      <c r="L1775" s="150"/>
      <c r="M1775" s="150"/>
      <c r="N1775" s="150"/>
    </row>
    <row r="1776" spans="1:14" x14ac:dyDescent="0.25">
      <c r="A1776" s="159" t="s">
        <v>194</v>
      </c>
      <c r="B1776" s="160">
        <v>2</v>
      </c>
      <c r="C1776" s="160">
        <v>4050</v>
      </c>
      <c r="D1776" s="160" t="s">
        <v>4505</v>
      </c>
      <c r="E1776" s="160">
        <v>1260</v>
      </c>
      <c r="F1776" s="160" t="s">
        <v>75</v>
      </c>
      <c r="G1776" s="148">
        <v>20</v>
      </c>
      <c r="H1776" s="152">
        <f>IF(C1776=11700,ROUND(VLOOKUP(G1776,ThongSo!$F$2:$I$15,4,0)*B1776*11.7,3),0)</f>
        <v>0</v>
      </c>
      <c r="I1776" s="152" t="str">
        <f>IF(F1776="Sắt vụn",ROUND(VLOOKUP(G1776,ThongSo!$F$2:$I$15,4,0)*B1776*E1776/1000,3),"-")</f>
        <v>-</v>
      </c>
      <c r="L1776" s="150"/>
      <c r="M1776" s="150"/>
      <c r="N1776" s="150"/>
    </row>
    <row r="1777" spans="1:14" x14ac:dyDescent="0.25">
      <c r="A1777" s="159" t="s">
        <v>129</v>
      </c>
      <c r="B1777" s="160">
        <v>5</v>
      </c>
      <c r="C1777" s="160">
        <v>4100</v>
      </c>
      <c r="D1777" s="160" t="s">
        <v>4505</v>
      </c>
      <c r="E1777" s="160">
        <v>1310</v>
      </c>
      <c r="F1777" s="160" t="s">
        <v>75</v>
      </c>
      <c r="G1777" s="148">
        <v>20</v>
      </c>
      <c r="H1777" s="152">
        <f>IF(C1777=11700,ROUND(VLOOKUP(G1777,ThongSo!$F$2:$I$15,4,0)*B1777*11.7,3),0)</f>
        <v>0</v>
      </c>
      <c r="I1777" s="152" t="str">
        <f>IF(F1777="Sắt vụn",ROUND(VLOOKUP(G1777,ThongSo!$F$2:$I$15,4,0)*B1777*E1777/1000,3),"-")</f>
        <v>-</v>
      </c>
      <c r="L1777" s="150"/>
      <c r="M1777" s="150"/>
      <c r="N1777" s="150"/>
    </row>
    <row r="1778" spans="1:14" x14ac:dyDescent="0.25">
      <c r="A1778" s="159" t="s">
        <v>203</v>
      </c>
      <c r="B1778" s="160">
        <v>6</v>
      </c>
      <c r="C1778" s="160">
        <v>4300</v>
      </c>
      <c r="D1778" s="160" t="s">
        <v>4505</v>
      </c>
      <c r="E1778" s="160">
        <v>1510</v>
      </c>
      <c r="F1778" s="160" t="s">
        <v>75</v>
      </c>
      <c r="G1778" s="148">
        <v>20</v>
      </c>
      <c r="H1778" s="152">
        <f>IF(C1778=11700,ROUND(VLOOKUP(G1778,ThongSo!$F$2:$I$15,4,0)*B1778*11.7,3),0)</f>
        <v>0</v>
      </c>
      <c r="I1778" s="152" t="str">
        <f>IF(F1778="Sắt vụn",ROUND(VLOOKUP(G1778,ThongSo!$F$2:$I$15,4,0)*B1778*E1778/1000,3),"-")</f>
        <v>-</v>
      </c>
      <c r="L1778" s="150"/>
      <c r="M1778" s="150"/>
      <c r="N1778" s="150"/>
    </row>
    <row r="1779" spans="1:14" x14ac:dyDescent="0.25">
      <c r="A1779" s="159" t="s">
        <v>330</v>
      </c>
      <c r="B1779" s="160">
        <v>2</v>
      </c>
      <c r="C1779" s="160">
        <v>4450</v>
      </c>
      <c r="D1779" s="160" t="s">
        <v>4505</v>
      </c>
      <c r="E1779" s="160">
        <v>1660</v>
      </c>
      <c r="F1779" s="160" t="s">
        <v>75</v>
      </c>
      <c r="G1779" s="148">
        <v>20</v>
      </c>
      <c r="H1779" s="152">
        <f>IF(C1779=11700,ROUND(VLOOKUP(G1779,ThongSo!$F$2:$I$15,4,0)*B1779*11.7,3),0)</f>
        <v>0</v>
      </c>
      <c r="I1779" s="152" t="str">
        <f>IF(F1779="Sắt vụn",ROUND(VLOOKUP(G1779,ThongSo!$F$2:$I$15,4,0)*B1779*E1779/1000,3),"-")</f>
        <v>-</v>
      </c>
      <c r="L1779" s="150"/>
      <c r="M1779" s="150"/>
      <c r="N1779" s="150"/>
    </row>
    <row r="1780" spans="1:14" x14ac:dyDescent="0.25">
      <c r="A1780" s="159" t="s">
        <v>3896</v>
      </c>
      <c r="B1780" s="160">
        <v>53</v>
      </c>
      <c r="C1780" s="160">
        <v>5170</v>
      </c>
      <c r="D1780" s="160" t="s">
        <v>4506</v>
      </c>
      <c r="E1780" s="160">
        <v>130</v>
      </c>
      <c r="F1780" s="160" t="s">
        <v>74</v>
      </c>
      <c r="G1780" s="148">
        <v>20</v>
      </c>
      <c r="H1780" s="152">
        <f>IF(C1780=11700,ROUND(VLOOKUP(G1780,ThongSo!$F$2:$I$15,4,0)*B1780*11.7,3),0)</f>
        <v>0</v>
      </c>
      <c r="I1780" s="152">
        <f>IF(F1780="Sắt vụn",ROUND(VLOOKUP(G1780,ThongSo!$F$2:$I$15,4,0)*B1780*E1780/1000,3),"-")</f>
        <v>17.018000000000001</v>
      </c>
      <c r="L1780" s="150"/>
      <c r="M1780" s="150"/>
      <c r="N1780" s="150"/>
    </row>
    <row r="1781" spans="1:14" x14ac:dyDescent="0.25">
      <c r="A1781" s="159">
        <v>240</v>
      </c>
      <c r="B1781" s="160">
        <v>308</v>
      </c>
      <c r="C1781" s="160">
        <v>11700</v>
      </c>
      <c r="D1781" s="160" t="s">
        <v>4507</v>
      </c>
      <c r="E1781" s="160">
        <v>290</v>
      </c>
      <c r="F1781" s="160" t="s">
        <v>74</v>
      </c>
      <c r="G1781" s="148">
        <v>20</v>
      </c>
      <c r="H1781" s="152">
        <f>IF(C1781=11700,ROUND(VLOOKUP(G1781,ThongSo!$F$2:$I$15,4,0)*B1781*11.7,3),0)</f>
        <v>8900.8919999999998</v>
      </c>
      <c r="I1781" s="152">
        <f>IF(F1781="Sắt vụn",ROUND(VLOOKUP(G1781,ThongSo!$F$2:$I$15,4,0)*B1781*E1781/1000,3),"-")</f>
        <v>220.62</v>
      </c>
      <c r="L1781" s="150"/>
      <c r="M1781" s="150"/>
      <c r="N1781" s="150"/>
    </row>
    <row r="1782" spans="1:14" x14ac:dyDescent="0.25">
      <c r="A1782" s="159">
        <v>241</v>
      </c>
      <c r="B1782" s="160">
        <v>154</v>
      </c>
      <c r="C1782" s="160">
        <v>11700</v>
      </c>
      <c r="D1782" s="160" t="s">
        <v>4508</v>
      </c>
      <c r="E1782" s="160">
        <v>420</v>
      </c>
      <c r="F1782" s="160" t="s">
        <v>74</v>
      </c>
      <c r="G1782" s="148">
        <v>20</v>
      </c>
      <c r="H1782" s="152">
        <f>IF(C1782=11700,ROUND(VLOOKUP(G1782,ThongSo!$F$2:$I$15,4,0)*B1782*11.7,3),0)</f>
        <v>4450.4459999999999</v>
      </c>
      <c r="I1782" s="152">
        <f>IF(F1782="Sắt vụn",ROUND(VLOOKUP(G1782,ThongSo!$F$2:$I$15,4,0)*B1782*E1782/1000,3),"-")</f>
        <v>159.76</v>
      </c>
      <c r="L1782" s="150"/>
      <c r="M1782" s="150"/>
      <c r="N1782" s="150"/>
    </row>
    <row r="1783" spans="1:14" x14ac:dyDescent="0.25">
      <c r="A1783" s="159">
        <v>242</v>
      </c>
      <c r="B1783" s="160">
        <v>266</v>
      </c>
      <c r="C1783" s="160">
        <v>11700</v>
      </c>
      <c r="D1783" s="160" t="s">
        <v>4509</v>
      </c>
      <c r="E1783" s="160">
        <v>540</v>
      </c>
      <c r="F1783" s="160" t="s">
        <v>74</v>
      </c>
      <c r="G1783" s="148">
        <v>20</v>
      </c>
      <c r="H1783" s="152">
        <f>IF(C1783=11700,ROUND(VLOOKUP(G1783,ThongSo!$F$2:$I$15,4,0)*B1783*11.7,3),0)</f>
        <v>7687.134</v>
      </c>
      <c r="I1783" s="152">
        <f>IF(F1783="Sắt vụn",ROUND(VLOOKUP(G1783,ThongSo!$F$2:$I$15,4,0)*B1783*E1783/1000,3),"-")</f>
        <v>354.791</v>
      </c>
      <c r="L1783" s="150"/>
      <c r="M1783" s="150"/>
      <c r="N1783" s="150"/>
    </row>
    <row r="1784" spans="1:14" x14ac:dyDescent="0.25">
      <c r="A1784" s="159">
        <v>243</v>
      </c>
      <c r="B1784" s="160">
        <v>1</v>
      </c>
      <c r="C1784" s="160">
        <v>11700</v>
      </c>
      <c r="D1784" s="160" t="s">
        <v>4510</v>
      </c>
      <c r="E1784" s="160">
        <v>540</v>
      </c>
      <c r="F1784" s="160" t="s">
        <v>74</v>
      </c>
      <c r="G1784" s="148">
        <v>20</v>
      </c>
      <c r="H1784" s="152">
        <f>IF(C1784=11700,ROUND(VLOOKUP(G1784,ThongSo!$F$2:$I$15,4,0)*B1784*11.7,3),0)</f>
        <v>28.899000000000001</v>
      </c>
      <c r="I1784" s="152">
        <f>IF(F1784="Sắt vụn",ROUND(VLOOKUP(G1784,ThongSo!$F$2:$I$15,4,0)*B1784*E1784/1000,3),"-")</f>
        <v>1.3340000000000001</v>
      </c>
      <c r="L1784" s="150"/>
      <c r="M1784" s="150"/>
      <c r="N1784" s="150"/>
    </row>
    <row r="1785" spans="1:14" x14ac:dyDescent="0.25">
      <c r="A1785" s="159">
        <v>244</v>
      </c>
      <c r="B1785" s="160">
        <v>1146</v>
      </c>
      <c r="C1785" s="160">
        <v>11700</v>
      </c>
      <c r="D1785" s="160" t="s">
        <v>4511</v>
      </c>
      <c r="E1785" s="160">
        <v>540</v>
      </c>
      <c r="F1785" s="160" t="s">
        <v>74</v>
      </c>
      <c r="G1785" s="148">
        <v>20</v>
      </c>
      <c r="H1785" s="152">
        <f>IF(C1785=11700,ROUND(VLOOKUP(G1785,ThongSo!$F$2:$I$15,4,0)*B1785*11.7,3),0)</f>
        <v>33118.254000000001</v>
      </c>
      <c r="I1785" s="152">
        <f>IF(F1785="Sắt vụn",ROUND(VLOOKUP(G1785,ThongSo!$F$2:$I$15,4,0)*B1785*E1785/1000,3),"-")</f>
        <v>1528.5350000000001</v>
      </c>
      <c r="L1785" s="150"/>
      <c r="M1785" s="150"/>
      <c r="N1785" s="150"/>
    </row>
    <row r="1786" spans="1:14" x14ac:dyDescent="0.25">
      <c r="A1786" s="159">
        <v>245</v>
      </c>
      <c r="B1786" s="160">
        <v>488</v>
      </c>
      <c r="C1786" s="160">
        <v>11700</v>
      </c>
      <c r="D1786" s="160" t="s">
        <v>4512</v>
      </c>
      <c r="E1786" s="160">
        <v>540</v>
      </c>
      <c r="F1786" s="160" t="s">
        <v>74</v>
      </c>
      <c r="G1786" s="148">
        <v>20</v>
      </c>
      <c r="H1786" s="152">
        <f>IF(C1786=11700,ROUND(VLOOKUP(G1786,ThongSo!$F$2:$I$15,4,0)*B1786*11.7,3),0)</f>
        <v>14102.712</v>
      </c>
      <c r="I1786" s="152">
        <f>IF(F1786="Sắt vụn",ROUND(VLOOKUP(G1786,ThongSo!$F$2:$I$15,4,0)*B1786*E1786/1000,3),"-")</f>
        <v>650.89400000000001</v>
      </c>
      <c r="L1786" s="150"/>
      <c r="M1786" s="150"/>
      <c r="N1786" s="150"/>
    </row>
    <row r="1787" spans="1:14" x14ac:dyDescent="0.25">
      <c r="A1787" s="159">
        <v>246</v>
      </c>
      <c r="B1787" s="160">
        <v>1</v>
      </c>
      <c r="C1787" s="160">
        <v>11700</v>
      </c>
      <c r="D1787" s="160" t="s">
        <v>4513</v>
      </c>
      <c r="E1787" s="160">
        <v>540</v>
      </c>
      <c r="F1787" s="160" t="s">
        <v>74</v>
      </c>
      <c r="G1787" s="148">
        <v>20</v>
      </c>
      <c r="H1787" s="152">
        <f>IF(C1787=11700,ROUND(VLOOKUP(G1787,ThongSo!$F$2:$I$15,4,0)*B1787*11.7,3),0)</f>
        <v>28.899000000000001</v>
      </c>
      <c r="I1787" s="152">
        <f>IF(F1787="Sắt vụn",ROUND(VLOOKUP(G1787,ThongSo!$F$2:$I$15,4,0)*B1787*E1787/1000,3),"-")</f>
        <v>1.3340000000000001</v>
      </c>
      <c r="L1787" s="150"/>
      <c r="M1787" s="150"/>
      <c r="N1787" s="150"/>
    </row>
    <row r="1788" spans="1:14" x14ac:dyDescent="0.25">
      <c r="A1788" s="159">
        <v>247</v>
      </c>
      <c r="B1788" s="160">
        <v>307</v>
      </c>
      <c r="C1788" s="160">
        <v>11700</v>
      </c>
      <c r="D1788" s="160" t="s">
        <v>4514</v>
      </c>
      <c r="E1788" s="160">
        <v>540</v>
      </c>
      <c r="F1788" s="160" t="s">
        <v>74</v>
      </c>
      <c r="G1788" s="148">
        <v>20</v>
      </c>
      <c r="H1788" s="152">
        <f>IF(C1788=11700,ROUND(VLOOKUP(G1788,ThongSo!$F$2:$I$15,4,0)*B1788*11.7,3),0)</f>
        <v>8871.9930000000004</v>
      </c>
      <c r="I1788" s="152">
        <f>IF(F1788="Sắt vụn",ROUND(VLOOKUP(G1788,ThongSo!$F$2:$I$15,4,0)*B1788*E1788/1000,3),"-")</f>
        <v>409.47699999999998</v>
      </c>
      <c r="L1788" s="150"/>
      <c r="M1788" s="150"/>
      <c r="N1788" s="150"/>
    </row>
    <row r="1789" spans="1:14" x14ac:dyDescent="0.25">
      <c r="A1789" s="159">
        <v>248</v>
      </c>
      <c r="B1789" s="160">
        <v>2</v>
      </c>
      <c r="C1789" s="160">
        <v>11700</v>
      </c>
      <c r="D1789" s="160" t="s">
        <v>4515</v>
      </c>
      <c r="E1789" s="160">
        <v>890</v>
      </c>
      <c r="F1789" s="160" t="s">
        <v>74</v>
      </c>
      <c r="G1789" s="148">
        <v>20</v>
      </c>
      <c r="H1789" s="152">
        <f>IF(C1789=11700,ROUND(VLOOKUP(G1789,ThongSo!$F$2:$I$15,4,0)*B1789*11.7,3),0)</f>
        <v>57.798000000000002</v>
      </c>
      <c r="I1789" s="152">
        <f>IF(F1789="Sắt vụn",ROUND(VLOOKUP(G1789,ThongSo!$F$2:$I$15,4,0)*B1789*E1789/1000,3),"-")</f>
        <v>4.3970000000000002</v>
      </c>
      <c r="L1789" s="150"/>
      <c r="M1789" s="150"/>
      <c r="N1789" s="150"/>
    </row>
    <row r="1790" spans="1:14" x14ac:dyDescent="0.25">
      <c r="A1790" s="159">
        <v>249</v>
      </c>
      <c r="B1790" s="160">
        <v>40</v>
      </c>
      <c r="C1790" s="160">
        <v>11700</v>
      </c>
      <c r="D1790" s="160" t="s">
        <v>4516</v>
      </c>
      <c r="E1790" s="160">
        <v>1620</v>
      </c>
      <c r="F1790" s="160" t="s">
        <v>75</v>
      </c>
      <c r="G1790" s="148">
        <v>20</v>
      </c>
      <c r="H1790" s="152">
        <f>IF(C1790=11700,ROUND(VLOOKUP(G1790,ThongSo!$F$2:$I$15,4,0)*B1790*11.7,3),0)</f>
        <v>1155.96</v>
      </c>
      <c r="I1790" s="152" t="str">
        <f>IF(F1790="Sắt vụn",ROUND(VLOOKUP(G1790,ThongSo!$F$2:$I$15,4,0)*B1790*E1790/1000,3),"-")</f>
        <v>-</v>
      </c>
      <c r="L1790" s="150"/>
      <c r="M1790" s="150"/>
      <c r="N1790" s="150"/>
    </row>
    <row r="1791" spans="1:14" x14ac:dyDescent="0.25">
      <c r="A1791" s="159">
        <v>250</v>
      </c>
      <c r="B1791" s="160">
        <v>77</v>
      </c>
      <c r="C1791" s="160">
        <v>11700</v>
      </c>
      <c r="D1791" s="160" t="s">
        <v>4517</v>
      </c>
      <c r="E1791" s="160">
        <v>1920</v>
      </c>
      <c r="F1791" s="160" t="s">
        <v>75</v>
      </c>
      <c r="G1791" s="148">
        <v>20</v>
      </c>
      <c r="H1791" s="152">
        <f>IF(C1791=11700,ROUND(VLOOKUP(G1791,ThongSo!$F$2:$I$15,4,0)*B1791*11.7,3),0)</f>
        <v>2225.223</v>
      </c>
      <c r="I1791" s="152" t="str">
        <f>IF(F1791="Sắt vụn",ROUND(VLOOKUP(G1791,ThongSo!$F$2:$I$15,4,0)*B1791*E1791/1000,3),"-")</f>
        <v>-</v>
      </c>
      <c r="L1791" s="150"/>
      <c r="M1791" s="150"/>
      <c r="N1791" s="150"/>
    </row>
    <row r="1792" spans="1:14" x14ac:dyDescent="0.25">
      <c r="A1792" s="159">
        <v>251</v>
      </c>
      <c r="B1792" s="160">
        <v>1</v>
      </c>
      <c r="C1792" s="160">
        <v>11700</v>
      </c>
      <c r="D1792" s="160" t="s">
        <v>4518</v>
      </c>
      <c r="E1792" s="160">
        <v>1920</v>
      </c>
      <c r="F1792" s="160" t="s">
        <v>75</v>
      </c>
      <c r="G1792" s="148">
        <v>20</v>
      </c>
      <c r="H1792" s="152">
        <f>IF(C1792=11700,ROUND(VLOOKUP(G1792,ThongSo!$F$2:$I$15,4,0)*B1792*11.7,3),0)</f>
        <v>28.899000000000001</v>
      </c>
      <c r="I1792" s="152" t="str">
        <f>IF(F1792="Sắt vụn",ROUND(VLOOKUP(G1792,ThongSo!$F$2:$I$15,4,0)*B1792*E1792/1000,3),"-")</f>
        <v>-</v>
      </c>
      <c r="L1792" s="150"/>
      <c r="M1792" s="150"/>
      <c r="N1792" s="150"/>
    </row>
    <row r="1793" spans="1:14" x14ac:dyDescent="0.25">
      <c r="A1793" s="159">
        <v>252</v>
      </c>
      <c r="B1793" s="160">
        <v>108</v>
      </c>
      <c r="C1793" s="160">
        <v>11700</v>
      </c>
      <c r="D1793" s="160" t="s">
        <v>4519</v>
      </c>
      <c r="E1793" s="160">
        <v>1920</v>
      </c>
      <c r="F1793" s="160" t="s">
        <v>75</v>
      </c>
      <c r="G1793" s="148">
        <v>20</v>
      </c>
      <c r="H1793" s="152">
        <f>IF(C1793=11700,ROUND(VLOOKUP(G1793,ThongSo!$F$2:$I$15,4,0)*B1793*11.7,3),0)</f>
        <v>3121.0920000000001</v>
      </c>
      <c r="I1793" s="152" t="str">
        <f>IF(F1793="Sắt vụn",ROUND(VLOOKUP(G1793,ThongSo!$F$2:$I$15,4,0)*B1793*E1793/1000,3),"-")</f>
        <v>-</v>
      </c>
      <c r="L1793" s="150"/>
      <c r="M1793" s="150"/>
      <c r="N1793" s="150"/>
    </row>
    <row r="1794" spans="1:14" x14ac:dyDescent="0.25">
      <c r="A1794" s="159">
        <v>253</v>
      </c>
      <c r="B1794" s="160">
        <v>68</v>
      </c>
      <c r="C1794" s="160">
        <v>11700</v>
      </c>
      <c r="D1794" s="160" t="s">
        <v>4520</v>
      </c>
      <c r="E1794" s="160">
        <v>1920</v>
      </c>
      <c r="F1794" s="160" t="s">
        <v>75</v>
      </c>
      <c r="G1794" s="148">
        <v>20</v>
      </c>
      <c r="H1794" s="152">
        <f>IF(C1794=11700,ROUND(VLOOKUP(G1794,ThongSo!$F$2:$I$15,4,0)*B1794*11.7,3),0)</f>
        <v>1965.1320000000001</v>
      </c>
      <c r="I1794" s="152" t="str">
        <f>IF(F1794="Sắt vụn",ROUND(VLOOKUP(G1794,ThongSo!$F$2:$I$15,4,0)*B1794*E1794/1000,3),"-")</f>
        <v>-</v>
      </c>
      <c r="L1794" s="150"/>
      <c r="M1794" s="150"/>
      <c r="N1794" s="150"/>
    </row>
    <row r="1795" spans="1:14" x14ac:dyDescent="0.25">
      <c r="A1795" s="159">
        <v>254</v>
      </c>
      <c r="B1795" s="160">
        <v>131</v>
      </c>
      <c r="C1795" s="160">
        <v>11700</v>
      </c>
      <c r="D1795" s="160" t="s">
        <v>4521</v>
      </c>
      <c r="E1795" s="160">
        <v>3680</v>
      </c>
      <c r="F1795" s="160" t="s">
        <v>75</v>
      </c>
      <c r="G1795" s="148">
        <v>20</v>
      </c>
      <c r="H1795" s="152">
        <f>IF(C1795=11700,ROUND(VLOOKUP(G1795,ThongSo!$F$2:$I$15,4,0)*B1795*11.7,3),0)</f>
        <v>3785.7689999999998</v>
      </c>
      <c r="I1795" s="152" t="str">
        <f>IF(F1795="Sắt vụn",ROUND(VLOOKUP(G1795,ThongSo!$F$2:$I$15,4,0)*B1795*E1795/1000,3),"-")</f>
        <v>-</v>
      </c>
      <c r="L1795" s="150"/>
      <c r="M1795" s="150"/>
      <c r="N1795" s="150"/>
    </row>
    <row r="1796" spans="1:14" x14ac:dyDescent="0.25">
      <c r="A1796" s="159">
        <v>255</v>
      </c>
      <c r="B1796" s="160">
        <v>155</v>
      </c>
      <c r="C1796" s="160">
        <v>11700</v>
      </c>
      <c r="D1796" s="160" t="s">
        <v>4522</v>
      </c>
      <c r="E1796" s="160">
        <v>3830</v>
      </c>
      <c r="F1796" s="160" t="s">
        <v>75</v>
      </c>
      <c r="G1796" s="148">
        <v>20</v>
      </c>
      <c r="H1796" s="152">
        <f>IF(C1796=11700,ROUND(VLOOKUP(G1796,ThongSo!$F$2:$I$15,4,0)*B1796*11.7,3),0)</f>
        <v>4479.3450000000003</v>
      </c>
      <c r="I1796" s="152" t="str">
        <f>IF(F1796="Sắt vụn",ROUND(VLOOKUP(G1796,ThongSo!$F$2:$I$15,4,0)*B1796*E1796/1000,3),"-")</f>
        <v>-</v>
      </c>
      <c r="L1796" s="150"/>
      <c r="M1796" s="150"/>
      <c r="N1796" s="150"/>
    </row>
    <row r="1797" spans="1:14" x14ac:dyDescent="0.25">
      <c r="A1797" s="159">
        <v>256</v>
      </c>
      <c r="B1797" s="160">
        <v>217</v>
      </c>
      <c r="C1797" s="160">
        <v>11700</v>
      </c>
      <c r="D1797" s="160" t="s">
        <v>4523</v>
      </c>
      <c r="E1797" s="160">
        <v>3830</v>
      </c>
      <c r="F1797" s="160" t="s">
        <v>75</v>
      </c>
      <c r="G1797" s="148">
        <v>20</v>
      </c>
      <c r="H1797" s="152">
        <f>IF(C1797=11700,ROUND(VLOOKUP(G1797,ThongSo!$F$2:$I$15,4,0)*B1797*11.7,3),0)</f>
        <v>6271.0829999999996</v>
      </c>
      <c r="I1797" s="152" t="str">
        <f>IF(F1797="Sắt vụn",ROUND(VLOOKUP(G1797,ThongSo!$F$2:$I$15,4,0)*B1797*E1797/1000,3),"-")</f>
        <v>-</v>
      </c>
      <c r="L1797" s="150"/>
      <c r="M1797" s="150"/>
      <c r="N1797" s="150"/>
    </row>
    <row r="1798" spans="1:14" x14ac:dyDescent="0.25">
      <c r="A1798" s="159">
        <v>257</v>
      </c>
      <c r="B1798" s="160">
        <v>137</v>
      </c>
      <c r="C1798" s="160">
        <v>11700</v>
      </c>
      <c r="D1798" s="160" t="s">
        <v>4524</v>
      </c>
      <c r="E1798" s="160">
        <v>3830</v>
      </c>
      <c r="F1798" s="160" t="s">
        <v>75</v>
      </c>
      <c r="G1798" s="148">
        <v>20</v>
      </c>
      <c r="H1798" s="152">
        <f>IF(C1798=11700,ROUND(VLOOKUP(G1798,ThongSo!$F$2:$I$15,4,0)*B1798*11.7,3),0)</f>
        <v>3959.163</v>
      </c>
      <c r="I1798" s="152" t="str">
        <f>IF(F1798="Sắt vụn",ROUND(VLOOKUP(G1798,ThongSo!$F$2:$I$15,4,0)*B1798*E1798/1000,3),"-")</f>
        <v>-</v>
      </c>
      <c r="L1798" s="150"/>
      <c r="M1798" s="150"/>
      <c r="N1798" s="150"/>
    </row>
    <row r="1799" spans="1:14" x14ac:dyDescent="0.25">
      <c r="A1799" s="159">
        <v>258</v>
      </c>
      <c r="B1799" s="160">
        <v>1</v>
      </c>
      <c r="C1799" s="160">
        <v>11700</v>
      </c>
      <c r="D1799" s="160" t="s">
        <v>4525</v>
      </c>
      <c r="E1799" s="160">
        <v>6810</v>
      </c>
      <c r="F1799" s="160" t="s">
        <v>75</v>
      </c>
      <c r="G1799" s="148">
        <v>20</v>
      </c>
      <c r="H1799" s="152">
        <f>IF(C1799=11700,ROUND(VLOOKUP(G1799,ThongSo!$F$2:$I$15,4,0)*B1799*11.7,3),0)</f>
        <v>28.899000000000001</v>
      </c>
      <c r="I1799" s="152" t="str">
        <f>IF(F1799="Sắt vụn",ROUND(VLOOKUP(G1799,ThongSo!$F$2:$I$15,4,0)*B1799*E1799/1000,3),"-")</f>
        <v>-</v>
      </c>
      <c r="L1799" s="150"/>
      <c r="M1799" s="150"/>
      <c r="N1799" s="150"/>
    </row>
    <row r="1800" spans="1:14" x14ac:dyDescent="0.25">
      <c r="A1800" s="157" t="s">
        <v>80</v>
      </c>
      <c r="B1800" s="158"/>
      <c r="C1800" s="158"/>
      <c r="D1800" s="158"/>
      <c r="E1800" s="158"/>
      <c r="F1800" s="158"/>
      <c r="G1800" s="148"/>
      <c r="H1800" s="152">
        <f>IF(C1800=11700,ROUND(VLOOKUP(G1800,ThongSo!$F$2:$I$15,4,0)*B1800*11.7,3),0)</f>
        <v>0</v>
      </c>
      <c r="I1800" s="152" t="str">
        <f>IF(F1800="Sắt vụn",ROUND(VLOOKUP(G1800,ThongSo!$F$2:$I$15,4,0)*B1800*E1800/1000,3),"-")</f>
        <v>-</v>
      </c>
      <c r="L1800" s="150"/>
      <c r="M1800" s="150"/>
      <c r="N1800" s="150"/>
    </row>
    <row r="1801" spans="1:14" x14ac:dyDescent="0.25">
      <c r="A1801" s="159" t="s">
        <v>73</v>
      </c>
      <c r="B1801" s="160">
        <v>192</v>
      </c>
      <c r="C1801" s="160">
        <v>11700</v>
      </c>
      <c r="D1801" s="160"/>
      <c r="E1801" s="160"/>
      <c r="F1801" s="160"/>
      <c r="G1801" s="148">
        <v>18</v>
      </c>
      <c r="H1801" s="152">
        <f>IF(C1801=11700,ROUND(VLOOKUP(G1801,ThongSo!$F$2:$I$15,4,0)*B1801*11.7,3),0)</f>
        <v>4492.8</v>
      </c>
      <c r="I1801" s="152" t="str">
        <f>IF(F1801="Sắt vụn",ROUND(VLOOKUP(G1801,ThongSo!$F$2:$I$15,4,0)*B1801*E1801/1000,3),"-")</f>
        <v>-</v>
      </c>
      <c r="L1801" s="150"/>
      <c r="M1801" s="150"/>
      <c r="N1801" s="150"/>
    </row>
    <row r="1802" spans="1:14" x14ac:dyDescent="0.25">
      <c r="A1802" s="159" t="s">
        <v>249</v>
      </c>
      <c r="B1802" s="160">
        <v>6</v>
      </c>
      <c r="C1802" s="160">
        <v>1460</v>
      </c>
      <c r="D1802" s="160" t="s">
        <v>4526</v>
      </c>
      <c r="E1802" s="160">
        <v>40</v>
      </c>
      <c r="F1802" s="160" t="s">
        <v>74</v>
      </c>
      <c r="G1802" s="148">
        <v>18</v>
      </c>
      <c r="H1802" s="152">
        <f>IF(C1802=11700,ROUND(VLOOKUP(G1802,ThongSo!$F$2:$I$15,4,0)*B1802*11.7,3),0)</f>
        <v>0</v>
      </c>
      <c r="I1802" s="152">
        <f>IF(F1802="Sắt vụn",ROUND(VLOOKUP(G1802,ThongSo!$F$2:$I$15,4,0)*B1802*E1802/1000,3),"-")</f>
        <v>0.48</v>
      </c>
      <c r="L1802" s="150"/>
      <c r="M1802" s="150"/>
      <c r="N1802" s="150"/>
    </row>
    <row r="1803" spans="1:14" x14ac:dyDescent="0.25">
      <c r="A1803" s="159" t="s">
        <v>189</v>
      </c>
      <c r="B1803" s="160">
        <v>6</v>
      </c>
      <c r="C1803" s="160">
        <v>2100</v>
      </c>
      <c r="D1803" s="160" t="s">
        <v>4527</v>
      </c>
      <c r="E1803" s="160">
        <v>40</v>
      </c>
      <c r="F1803" s="160" t="s">
        <v>74</v>
      </c>
      <c r="G1803" s="148">
        <v>18</v>
      </c>
      <c r="H1803" s="152">
        <f>IF(C1803=11700,ROUND(VLOOKUP(G1803,ThongSo!$F$2:$I$15,4,0)*B1803*11.7,3),0)</f>
        <v>0</v>
      </c>
      <c r="I1803" s="152">
        <f>IF(F1803="Sắt vụn",ROUND(VLOOKUP(G1803,ThongSo!$F$2:$I$15,4,0)*B1803*E1803/1000,3),"-")</f>
        <v>0.48</v>
      </c>
      <c r="L1803" s="150"/>
      <c r="M1803" s="150"/>
      <c r="N1803" s="150"/>
    </row>
    <row r="1804" spans="1:14" x14ac:dyDescent="0.25">
      <c r="A1804" s="159" t="s">
        <v>158</v>
      </c>
      <c r="B1804" s="160">
        <v>6</v>
      </c>
      <c r="C1804" s="160">
        <v>2300</v>
      </c>
      <c r="D1804" s="160" t="s">
        <v>4528</v>
      </c>
      <c r="E1804" s="160">
        <v>80</v>
      </c>
      <c r="F1804" s="160" t="s">
        <v>74</v>
      </c>
      <c r="G1804" s="148">
        <v>18</v>
      </c>
      <c r="H1804" s="152">
        <f>IF(C1804=11700,ROUND(VLOOKUP(G1804,ThongSo!$F$2:$I$15,4,0)*B1804*11.7,3),0)</f>
        <v>0</v>
      </c>
      <c r="I1804" s="152">
        <f>IF(F1804="Sắt vụn",ROUND(VLOOKUP(G1804,ThongSo!$F$2:$I$15,4,0)*B1804*E1804/1000,3),"-")</f>
        <v>0.96</v>
      </c>
      <c r="L1804" s="150"/>
      <c r="M1804" s="150"/>
      <c r="N1804" s="150"/>
    </row>
    <row r="1805" spans="1:14" x14ac:dyDescent="0.25">
      <c r="A1805" s="159" t="s">
        <v>243</v>
      </c>
      <c r="B1805" s="160">
        <v>3</v>
      </c>
      <c r="C1805" s="160">
        <v>3510</v>
      </c>
      <c r="D1805" s="160" t="s">
        <v>4529</v>
      </c>
      <c r="E1805" s="160">
        <v>170</v>
      </c>
      <c r="F1805" s="160" t="s">
        <v>74</v>
      </c>
      <c r="G1805" s="148">
        <v>18</v>
      </c>
      <c r="H1805" s="152">
        <f>IF(C1805=11700,ROUND(VLOOKUP(G1805,ThongSo!$F$2:$I$15,4,0)*B1805*11.7,3),0)</f>
        <v>0</v>
      </c>
      <c r="I1805" s="152">
        <f>IF(F1805="Sắt vụn",ROUND(VLOOKUP(G1805,ThongSo!$F$2:$I$15,4,0)*B1805*E1805/1000,3),"-")</f>
        <v>1.02</v>
      </c>
      <c r="L1805" s="150"/>
      <c r="M1805" s="150"/>
      <c r="N1805" s="150"/>
    </row>
    <row r="1806" spans="1:14" x14ac:dyDescent="0.25">
      <c r="A1806" s="159" t="s">
        <v>243</v>
      </c>
      <c r="B1806" s="160">
        <v>9</v>
      </c>
      <c r="C1806" s="160">
        <v>3510</v>
      </c>
      <c r="D1806" s="160" t="s">
        <v>4530</v>
      </c>
      <c r="E1806" s="160">
        <v>390</v>
      </c>
      <c r="F1806" s="160" t="s">
        <v>74</v>
      </c>
      <c r="G1806" s="148">
        <v>18</v>
      </c>
      <c r="H1806" s="152">
        <f>IF(C1806=11700,ROUND(VLOOKUP(G1806,ThongSo!$F$2:$I$15,4,0)*B1806*11.7,3),0)</f>
        <v>0</v>
      </c>
      <c r="I1806" s="152">
        <f>IF(F1806="Sắt vụn",ROUND(VLOOKUP(G1806,ThongSo!$F$2:$I$15,4,0)*B1806*E1806/1000,3),"-")</f>
        <v>7.02</v>
      </c>
      <c r="L1806" s="150"/>
      <c r="M1806" s="150"/>
      <c r="N1806" s="150"/>
    </row>
    <row r="1807" spans="1:14" x14ac:dyDescent="0.25">
      <c r="A1807" s="159" t="s">
        <v>192</v>
      </c>
      <c r="B1807" s="160">
        <v>3</v>
      </c>
      <c r="C1807" s="160">
        <v>3520</v>
      </c>
      <c r="D1807" s="160" t="s">
        <v>4530</v>
      </c>
      <c r="E1807" s="160">
        <v>400</v>
      </c>
      <c r="F1807" s="160" t="s">
        <v>74</v>
      </c>
      <c r="G1807" s="148">
        <v>18</v>
      </c>
      <c r="H1807" s="152">
        <f>IF(C1807=11700,ROUND(VLOOKUP(G1807,ThongSo!$F$2:$I$15,4,0)*B1807*11.7,3),0)</f>
        <v>0</v>
      </c>
      <c r="I1807" s="152">
        <f>IF(F1807="Sắt vụn",ROUND(VLOOKUP(G1807,ThongSo!$F$2:$I$15,4,0)*B1807*E1807/1000,3),"-")</f>
        <v>2.4</v>
      </c>
      <c r="L1807" s="150"/>
      <c r="M1807" s="150"/>
      <c r="N1807" s="150"/>
    </row>
    <row r="1808" spans="1:14" x14ac:dyDescent="0.25">
      <c r="A1808" s="159" t="s">
        <v>192</v>
      </c>
      <c r="B1808" s="160">
        <v>3</v>
      </c>
      <c r="C1808" s="160">
        <v>3520</v>
      </c>
      <c r="D1808" s="160" t="s">
        <v>4531</v>
      </c>
      <c r="E1808" s="160">
        <v>460</v>
      </c>
      <c r="F1808" s="160" t="s">
        <v>74</v>
      </c>
      <c r="G1808" s="148">
        <v>18</v>
      </c>
      <c r="H1808" s="152">
        <f>IF(C1808=11700,ROUND(VLOOKUP(G1808,ThongSo!$F$2:$I$15,4,0)*B1808*11.7,3),0)</f>
        <v>0</v>
      </c>
      <c r="I1808" s="152">
        <f>IF(F1808="Sắt vụn",ROUND(VLOOKUP(G1808,ThongSo!$F$2:$I$15,4,0)*B1808*E1808/1000,3),"-")</f>
        <v>2.76</v>
      </c>
      <c r="L1808" s="150"/>
      <c r="M1808" s="150"/>
      <c r="N1808" s="150"/>
    </row>
    <row r="1809" spans="1:14" x14ac:dyDescent="0.25">
      <c r="A1809" s="159" t="s">
        <v>192</v>
      </c>
      <c r="B1809" s="160">
        <v>6</v>
      </c>
      <c r="C1809" s="160">
        <v>3520</v>
      </c>
      <c r="D1809" s="160" t="s">
        <v>4532</v>
      </c>
      <c r="E1809" s="160">
        <v>680</v>
      </c>
      <c r="F1809" s="160" t="s">
        <v>74</v>
      </c>
      <c r="G1809" s="148">
        <v>18</v>
      </c>
      <c r="H1809" s="152">
        <f>IF(C1809=11700,ROUND(VLOOKUP(G1809,ThongSo!$F$2:$I$15,4,0)*B1809*11.7,3),0)</f>
        <v>0</v>
      </c>
      <c r="I1809" s="152">
        <f>IF(F1809="Sắt vụn",ROUND(VLOOKUP(G1809,ThongSo!$F$2:$I$15,4,0)*B1809*E1809/1000,3),"-")</f>
        <v>8.16</v>
      </c>
      <c r="L1809" s="150"/>
      <c r="M1809" s="150"/>
      <c r="N1809" s="150"/>
    </row>
    <row r="1810" spans="1:14" x14ac:dyDescent="0.25">
      <c r="A1810" s="159" t="s">
        <v>172</v>
      </c>
      <c r="B1810" s="160">
        <v>3</v>
      </c>
      <c r="C1810" s="160">
        <v>3800</v>
      </c>
      <c r="D1810" s="160" t="s">
        <v>4533</v>
      </c>
      <c r="E1810" s="160">
        <v>0</v>
      </c>
      <c r="F1810" s="160"/>
      <c r="G1810" s="148">
        <v>18</v>
      </c>
      <c r="H1810" s="152">
        <f>IF(C1810=11700,ROUND(VLOOKUP(G1810,ThongSo!$F$2:$I$15,4,0)*B1810*11.7,3),0)</f>
        <v>0</v>
      </c>
      <c r="I1810" s="152" t="str">
        <f>IF(F1810="Sắt vụn",ROUND(VLOOKUP(G1810,ThongSo!$F$2:$I$15,4,0)*B1810*E1810/1000,3),"-")</f>
        <v>-</v>
      </c>
      <c r="L1810" s="150"/>
      <c r="M1810" s="150"/>
      <c r="N1810" s="150"/>
    </row>
    <row r="1811" spans="1:14" x14ac:dyDescent="0.25">
      <c r="A1811" s="159">
        <v>269</v>
      </c>
      <c r="B1811" s="160">
        <v>1</v>
      </c>
      <c r="C1811" s="160">
        <v>11700</v>
      </c>
      <c r="D1811" s="160" t="s">
        <v>4534</v>
      </c>
      <c r="E1811" s="160">
        <v>40</v>
      </c>
      <c r="F1811" s="160" t="s">
        <v>74</v>
      </c>
      <c r="G1811" s="148">
        <v>18</v>
      </c>
      <c r="H1811" s="152">
        <f>IF(C1811=11700,ROUND(VLOOKUP(G1811,ThongSo!$F$2:$I$15,4,0)*B1811*11.7,3),0)</f>
        <v>23.4</v>
      </c>
      <c r="I1811" s="152">
        <f>IF(F1811="Sắt vụn",ROUND(VLOOKUP(G1811,ThongSo!$F$2:$I$15,4,0)*B1811*E1811/1000,3),"-")</f>
        <v>0.08</v>
      </c>
      <c r="L1811" s="150"/>
      <c r="M1811" s="150"/>
      <c r="N1811" s="150"/>
    </row>
    <row r="1812" spans="1:14" x14ac:dyDescent="0.25">
      <c r="A1812" s="159">
        <v>270</v>
      </c>
      <c r="B1812" s="160">
        <v>1</v>
      </c>
      <c r="C1812" s="160">
        <v>11700</v>
      </c>
      <c r="D1812" s="160" t="s">
        <v>4535</v>
      </c>
      <c r="E1812" s="160">
        <v>60</v>
      </c>
      <c r="F1812" s="160" t="s">
        <v>74</v>
      </c>
      <c r="G1812" s="148">
        <v>18</v>
      </c>
      <c r="H1812" s="152">
        <f>IF(C1812=11700,ROUND(VLOOKUP(G1812,ThongSo!$F$2:$I$15,4,0)*B1812*11.7,3),0)</f>
        <v>23.4</v>
      </c>
      <c r="I1812" s="152">
        <f>IF(F1812="Sắt vụn",ROUND(VLOOKUP(G1812,ThongSo!$F$2:$I$15,4,0)*B1812*E1812/1000,3),"-")</f>
        <v>0.12</v>
      </c>
      <c r="L1812" s="150"/>
      <c r="M1812" s="150"/>
      <c r="N1812" s="150"/>
    </row>
    <row r="1813" spans="1:14" x14ac:dyDescent="0.25">
      <c r="A1813" s="159">
        <v>271</v>
      </c>
      <c r="B1813" s="160">
        <v>5</v>
      </c>
      <c r="C1813" s="160">
        <v>11700</v>
      </c>
      <c r="D1813" s="160" t="s">
        <v>4536</v>
      </c>
      <c r="E1813" s="160">
        <v>80</v>
      </c>
      <c r="F1813" s="160" t="s">
        <v>74</v>
      </c>
      <c r="G1813" s="148">
        <v>18</v>
      </c>
      <c r="H1813" s="152">
        <f>IF(C1813=11700,ROUND(VLOOKUP(G1813,ThongSo!$F$2:$I$15,4,0)*B1813*11.7,3),0)</f>
        <v>117</v>
      </c>
      <c r="I1813" s="152">
        <f>IF(F1813="Sắt vụn",ROUND(VLOOKUP(G1813,ThongSo!$F$2:$I$15,4,0)*B1813*E1813/1000,3),"-")</f>
        <v>0.8</v>
      </c>
      <c r="L1813" s="150"/>
      <c r="M1813" s="150"/>
      <c r="N1813" s="150"/>
    </row>
    <row r="1814" spans="1:14" x14ac:dyDescent="0.25">
      <c r="A1814" s="159">
        <v>272</v>
      </c>
      <c r="B1814" s="160">
        <v>3</v>
      </c>
      <c r="C1814" s="160">
        <v>11700</v>
      </c>
      <c r="D1814" s="160" t="s">
        <v>4537</v>
      </c>
      <c r="E1814" s="160">
        <v>870</v>
      </c>
      <c r="F1814" s="160" t="s">
        <v>74</v>
      </c>
      <c r="G1814" s="148">
        <v>18</v>
      </c>
      <c r="H1814" s="152">
        <f>IF(C1814=11700,ROUND(VLOOKUP(G1814,ThongSo!$F$2:$I$15,4,0)*B1814*11.7,3),0)</f>
        <v>70.2</v>
      </c>
      <c r="I1814" s="152">
        <f>IF(F1814="Sắt vụn",ROUND(VLOOKUP(G1814,ThongSo!$F$2:$I$15,4,0)*B1814*E1814/1000,3),"-")</f>
        <v>5.22</v>
      </c>
      <c r="L1814" s="150"/>
      <c r="M1814" s="150"/>
      <c r="N1814" s="150"/>
    </row>
    <row r="1815" spans="1:14" x14ac:dyDescent="0.25">
      <c r="A1815" s="159">
        <v>273</v>
      </c>
      <c r="B1815" s="160">
        <v>6</v>
      </c>
      <c r="C1815" s="160">
        <v>11700</v>
      </c>
      <c r="D1815" s="160" t="s">
        <v>4538</v>
      </c>
      <c r="E1815" s="160">
        <v>1290</v>
      </c>
      <c r="F1815" s="160" t="s">
        <v>75</v>
      </c>
      <c r="G1815" s="148">
        <v>18</v>
      </c>
      <c r="H1815" s="152">
        <f>IF(C1815=11700,ROUND(VLOOKUP(G1815,ThongSo!$F$2:$I$15,4,0)*B1815*11.7,3),0)</f>
        <v>140.4</v>
      </c>
      <c r="I1815" s="152" t="str">
        <f>IF(F1815="Sắt vụn",ROUND(VLOOKUP(G1815,ThongSo!$F$2:$I$15,4,0)*B1815*E1815/1000,3),"-")</f>
        <v>-</v>
      </c>
      <c r="L1815" s="150"/>
      <c r="M1815" s="150"/>
      <c r="N1815" s="150"/>
    </row>
    <row r="1816" spans="1:14" x14ac:dyDescent="0.25">
      <c r="A1816" s="159">
        <v>274</v>
      </c>
      <c r="B1816" s="160">
        <v>6</v>
      </c>
      <c r="C1816" s="160">
        <v>11700</v>
      </c>
      <c r="D1816" s="160" t="s">
        <v>4539</v>
      </c>
      <c r="E1816" s="160">
        <v>1420</v>
      </c>
      <c r="F1816" s="160" t="s">
        <v>75</v>
      </c>
      <c r="G1816" s="148">
        <v>18</v>
      </c>
      <c r="H1816" s="152">
        <f>IF(C1816=11700,ROUND(VLOOKUP(G1816,ThongSo!$F$2:$I$15,4,0)*B1816*11.7,3),0)</f>
        <v>140.4</v>
      </c>
      <c r="I1816" s="152" t="str">
        <f>IF(F1816="Sắt vụn",ROUND(VLOOKUP(G1816,ThongSo!$F$2:$I$15,4,0)*B1816*E1816/1000,3),"-")</f>
        <v>-</v>
      </c>
      <c r="L1816" s="150"/>
      <c r="M1816" s="150"/>
      <c r="N1816" s="150"/>
    </row>
    <row r="1817" spans="1:14" x14ac:dyDescent="0.25">
      <c r="A1817" s="159">
        <v>275</v>
      </c>
      <c r="B1817" s="160">
        <v>1</v>
      </c>
      <c r="C1817" s="160">
        <v>11700</v>
      </c>
      <c r="D1817" s="160" t="s">
        <v>4540</v>
      </c>
      <c r="E1817" s="160">
        <v>1450</v>
      </c>
      <c r="F1817" s="160" t="s">
        <v>75</v>
      </c>
      <c r="G1817" s="148">
        <v>18</v>
      </c>
      <c r="H1817" s="152">
        <f>IF(C1817=11700,ROUND(VLOOKUP(G1817,ThongSo!$F$2:$I$15,4,0)*B1817*11.7,3),0)</f>
        <v>23.4</v>
      </c>
      <c r="I1817" s="152" t="str">
        <f>IF(F1817="Sắt vụn",ROUND(VLOOKUP(G1817,ThongSo!$F$2:$I$15,4,0)*B1817*E1817/1000,3),"-")</f>
        <v>-</v>
      </c>
      <c r="L1817" s="150"/>
      <c r="M1817" s="150"/>
      <c r="N1817" s="150"/>
    </row>
    <row r="1818" spans="1:14" x14ac:dyDescent="0.25">
      <c r="A1818" s="159">
        <v>276</v>
      </c>
      <c r="B1818" s="160">
        <v>6</v>
      </c>
      <c r="C1818" s="160">
        <v>11700</v>
      </c>
      <c r="D1818" s="160" t="s">
        <v>4541</v>
      </c>
      <c r="E1818" s="160">
        <v>2060</v>
      </c>
      <c r="F1818" s="160" t="s">
        <v>75</v>
      </c>
      <c r="G1818" s="148">
        <v>18</v>
      </c>
      <c r="H1818" s="152">
        <f>IF(C1818=11700,ROUND(VLOOKUP(G1818,ThongSo!$F$2:$I$15,4,0)*B1818*11.7,3),0)</f>
        <v>140.4</v>
      </c>
      <c r="I1818" s="152" t="str">
        <f>IF(F1818="Sắt vụn",ROUND(VLOOKUP(G1818,ThongSo!$F$2:$I$15,4,0)*B1818*E1818/1000,3),"-")</f>
        <v>-</v>
      </c>
      <c r="L1818" s="150"/>
      <c r="M1818" s="150"/>
      <c r="N1818" s="150"/>
    </row>
    <row r="1819" spans="1:14" x14ac:dyDescent="0.25">
      <c r="A1819" s="159">
        <v>277</v>
      </c>
      <c r="B1819" s="160">
        <v>6</v>
      </c>
      <c r="C1819" s="160">
        <v>11700</v>
      </c>
      <c r="D1819" s="160" t="s">
        <v>4542</v>
      </c>
      <c r="E1819" s="160">
        <v>2220</v>
      </c>
      <c r="F1819" s="160" t="s">
        <v>75</v>
      </c>
      <c r="G1819" s="148">
        <v>18</v>
      </c>
      <c r="H1819" s="152">
        <f>IF(C1819=11700,ROUND(VLOOKUP(G1819,ThongSo!$F$2:$I$15,4,0)*B1819*11.7,3),0)</f>
        <v>140.4</v>
      </c>
      <c r="I1819" s="152" t="str">
        <f>IF(F1819="Sắt vụn",ROUND(VLOOKUP(G1819,ThongSo!$F$2:$I$15,4,0)*B1819*E1819/1000,3),"-")</f>
        <v>-</v>
      </c>
      <c r="L1819" s="150"/>
      <c r="M1819" s="150"/>
      <c r="N1819" s="150"/>
    </row>
    <row r="1820" spans="1:14" x14ac:dyDescent="0.25">
      <c r="A1820" s="159">
        <v>278</v>
      </c>
      <c r="B1820" s="160">
        <v>1</v>
      </c>
      <c r="C1820" s="160">
        <v>11700</v>
      </c>
      <c r="D1820" s="160" t="s">
        <v>4543</v>
      </c>
      <c r="E1820" s="160">
        <v>2820</v>
      </c>
      <c r="F1820" s="160" t="s">
        <v>75</v>
      </c>
      <c r="G1820" s="148">
        <v>18</v>
      </c>
      <c r="H1820" s="152">
        <f>IF(C1820=11700,ROUND(VLOOKUP(G1820,ThongSo!$F$2:$I$15,4,0)*B1820*11.7,3),0)</f>
        <v>23.4</v>
      </c>
      <c r="I1820" s="152" t="str">
        <f>IF(F1820="Sắt vụn",ROUND(VLOOKUP(G1820,ThongSo!$F$2:$I$15,4,0)*B1820*E1820/1000,3),"-")</f>
        <v>-</v>
      </c>
      <c r="L1820" s="150"/>
      <c r="M1820" s="150"/>
      <c r="N1820" s="150"/>
    </row>
    <row r="1821" spans="1:14" x14ac:dyDescent="0.25">
      <c r="A1821" s="159">
        <v>279</v>
      </c>
      <c r="B1821" s="160">
        <v>3</v>
      </c>
      <c r="C1821" s="160">
        <v>11700</v>
      </c>
      <c r="D1821" s="160" t="s">
        <v>4544</v>
      </c>
      <c r="E1821" s="160">
        <v>3060</v>
      </c>
      <c r="F1821" s="160" t="s">
        <v>75</v>
      </c>
      <c r="G1821" s="148">
        <v>18</v>
      </c>
      <c r="H1821" s="152">
        <f>IF(C1821=11700,ROUND(VLOOKUP(G1821,ThongSo!$F$2:$I$15,4,0)*B1821*11.7,3),0)</f>
        <v>70.2</v>
      </c>
      <c r="I1821" s="152" t="str">
        <f>IF(F1821="Sắt vụn",ROUND(VLOOKUP(G1821,ThongSo!$F$2:$I$15,4,0)*B1821*E1821/1000,3),"-")</f>
        <v>-</v>
      </c>
      <c r="L1821" s="150"/>
      <c r="M1821" s="150"/>
      <c r="N1821" s="150"/>
    </row>
    <row r="1822" spans="1:14" x14ac:dyDescent="0.25">
      <c r="A1822" s="159">
        <v>280</v>
      </c>
      <c r="B1822" s="160">
        <v>6</v>
      </c>
      <c r="C1822" s="160">
        <v>11700</v>
      </c>
      <c r="D1822" s="160" t="s">
        <v>4545</v>
      </c>
      <c r="E1822" s="160">
        <v>3310</v>
      </c>
      <c r="F1822" s="160" t="s">
        <v>75</v>
      </c>
      <c r="G1822" s="148">
        <v>18</v>
      </c>
      <c r="H1822" s="152">
        <f>IF(C1822=11700,ROUND(VLOOKUP(G1822,ThongSo!$F$2:$I$15,4,0)*B1822*11.7,3),0)</f>
        <v>140.4</v>
      </c>
      <c r="I1822" s="152" t="str">
        <f>IF(F1822="Sắt vụn",ROUND(VLOOKUP(G1822,ThongSo!$F$2:$I$15,4,0)*B1822*E1822/1000,3),"-")</f>
        <v>-</v>
      </c>
      <c r="L1822" s="150"/>
      <c r="M1822" s="150"/>
      <c r="N1822" s="150"/>
    </row>
    <row r="1823" spans="1:14" x14ac:dyDescent="0.25">
      <c r="A1823" s="159">
        <v>281</v>
      </c>
      <c r="B1823" s="160">
        <v>3</v>
      </c>
      <c r="C1823" s="160">
        <v>11700</v>
      </c>
      <c r="D1823" s="160" t="s">
        <v>4546</v>
      </c>
      <c r="E1823" s="160">
        <v>3340</v>
      </c>
      <c r="F1823" s="160" t="s">
        <v>75</v>
      </c>
      <c r="G1823" s="148">
        <v>18</v>
      </c>
      <c r="H1823" s="152">
        <f>IF(C1823=11700,ROUND(VLOOKUP(G1823,ThongSo!$F$2:$I$15,4,0)*B1823*11.7,3),0)</f>
        <v>70.2</v>
      </c>
      <c r="I1823" s="152" t="str">
        <f>IF(F1823="Sắt vụn",ROUND(VLOOKUP(G1823,ThongSo!$F$2:$I$15,4,0)*B1823*E1823/1000,3),"-")</f>
        <v>-</v>
      </c>
      <c r="L1823" s="150"/>
      <c r="M1823" s="150"/>
      <c r="N1823" s="150"/>
    </row>
    <row r="1824" spans="1:14" x14ac:dyDescent="0.25">
      <c r="A1824" s="159">
        <v>282</v>
      </c>
      <c r="B1824" s="160">
        <v>6</v>
      </c>
      <c r="C1824" s="160">
        <v>11700</v>
      </c>
      <c r="D1824" s="160" t="s">
        <v>4547</v>
      </c>
      <c r="E1824" s="160">
        <v>3800</v>
      </c>
      <c r="F1824" s="160" t="s">
        <v>75</v>
      </c>
      <c r="G1824" s="148">
        <v>18</v>
      </c>
      <c r="H1824" s="152">
        <f>IF(C1824=11700,ROUND(VLOOKUP(G1824,ThongSo!$F$2:$I$15,4,0)*B1824*11.7,3),0)</f>
        <v>140.4</v>
      </c>
      <c r="I1824" s="152" t="str">
        <f>IF(F1824="Sắt vụn",ROUND(VLOOKUP(G1824,ThongSo!$F$2:$I$15,4,0)*B1824*E1824/1000,3),"-")</f>
        <v>-</v>
      </c>
      <c r="L1824" s="150"/>
      <c r="M1824" s="150"/>
      <c r="N1824" s="150"/>
    </row>
    <row r="1825" spans="1:14" x14ac:dyDescent="0.25">
      <c r="A1825" s="157" t="s">
        <v>81</v>
      </c>
      <c r="B1825" s="158"/>
      <c r="C1825" s="158"/>
      <c r="D1825" s="158"/>
      <c r="E1825" s="158"/>
      <c r="F1825" s="158"/>
      <c r="G1825" s="148"/>
      <c r="H1825" s="152">
        <f>IF(C1825=11700,ROUND(VLOOKUP(G1825,ThongSo!$F$2:$I$15,4,0)*B1825*11.7,3),0)</f>
        <v>0</v>
      </c>
      <c r="I1825" s="152" t="str">
        <f>IF(F1825="Sắt vụn",ROUND(VLOOKUP(G1825,ThongSo!$F$2:$I$15,4,0)*B1825*E1825/1000,3),"-")</f>
        <v>-</v>
      </c>
      <c r="L1825" s="150"/>
      <c r="M1825" s="150"/>
      <c r="N1825" s="150"/>
    </row>
    <row r="1826" spans="1:14" x14ac:dyDescent="0.25">
      <c r="A1826" s="159" t="s">
        <v>4287</v>
      </c>
      <c r="B1826" s="160">
        <v>1</v>
      </c>
      <c r="C1826" s="160">
        <v>9670</v>
      </c>
      <c r="D1826" s="160" t="s">
        <v>4548</v>
      </c>
      <c r="E1826" s="160">
        <v>210</v>
      </c>
      <c r="F1826" s="160" t="s">
        <v>74</v>
      </c>
      <c r="G1826" s="148">
        <v>16</v>
      </c>
      <c r="H1826" s="152">
        <f>IF(C1826=11700,ROUND(VLOOKUP(G1826,ThongSo!$F$2:$I$15,4,0)*B1826*11.7,3),0)</f>
        <v>0</v>
      </c>
      <c r="I1826" s="152">
        <f>IF(F1826="Sắt vụn",ROUND(VLOOKUP(G1826,ThongSo!$F$2:$I$15,4,0)*B1826*E1826/1000,3),"-")</f>
        <v>0.33200000000000002</v>
      </c>
      <c r="L1826" s="150"/>
      <c r="M1826" s="150"/>
      <c r="N1826" s="150"/>
    </row>
    <row r="1827" spans="1:14" x14ac:dyDescent="0.25">
      <c r="A1827" s="159">
        <v>284</v>
      </c>
      <c r="B1827" s="160">
        <v>236</v>
      </c>
      <c r="C1827" s="160">
        <v>11700</v>
      </c>
      <c r="D1827" s="160" t="s">
        <v>4549</v>
      </c>
      <c r="E1827" s="160">
        <v>860</v>
      </c>
      <c r="F1827" s="160" t="s">
        <v>75</v>
      </c>
      <c r="G1827" s="148">
        <v>16</v>
      </c>
      <c r="H1827" s="152">
        <f>IF(C1827=11700,ROUND(VLOOKUP(G1827,ThongSo!$F$2:$I$15,4,0)*B1827*11.7,3),0)</f>
        <v>4362.6959999999999</v>
      </c>
      <c r="I1827" s="152" t="str">
        <f>IF(F1827="Sắt vụn",ROUND(VLOOKUP(G1827,ThongSo!$F$2:$I$15,4,0)*B1827*E1827/1000,3),"-")</f>
        <v>-</v>
      </c>
      <c r="L1827" s="150"/>
      <c r="M1827" s="150"/>
      <c r="N1827" s="150"/>
    </row>
    <row r="1828" spans="1:14" x14ac:dyDescent="0.25">
      <c r="A1828" s="159">
        <v>285</v>
      </c>
      <c r="B1828" s="160">
        <v>1</v>
      </c>
      <c r="C1828" s="160">
        <v>11700</v>
      </c>
      <c r="D1828" s="160" t="s">
        <v>4550</v>
      </c>
      <c r="E1828" s="160">
        <v>860</v>
      </c>
      <c r="F1828" s="160" t="s">
        <v>75</v>
      </c>
      <c r="G1828" s="148">
        <v>16</v>
      </c>
      <c r="H1828" s="152">
        <f>IF(C1828=11700,ROUND(VLOOKUP(G1828,ThongSo!$F$2:$I$15,4,0)*B1828*11.7,3),0)</f>
        <v>18.486000000000001</v>
      </c>
      <c r="I1828" s="152" t="str">
        <f>IF(F1828="Sắt vụn",ROUND(VLOOKUP(G1828,ThongSo!$F$2:$I$15,4,0)*B1828*E1828/1000,3),"-")</f>
        <v>-</v>
      </c>
      <c r="L1828" s="150"/>
      <c r="M1828" s="150"/>
      <c r="N1828" s="150"/>
    </row>
    <row r="1829" spans="1:14" x14ac:dyDescent="0.25">
      <c r="A1829" s="159">
        <v>286</v>
      </c>
      <c r="B1829" s="160">
        <v>334</v>
      </c>
      <c r="C1829" s="160">
        <v>11700</v>
      </c>
      <c r="D1829" s="160" t="s">
        <v>4551</v>
      </c>
      <c r="E1829" s="160">
        <v>860</v>
      </c>
      <c r="F1829" s="160" t="s">
        <v>75</v>
      </c>
      <c r="G1829" s="148">
        <v>16</v>
      </c>
      <c r="H1829" s="152">
        <f>IF(C1829=11700,ROUND(VLOOKUP(G1829,ThongSo!$F$2:$I$15,4,0)*B1829*11.7,3),0)</f>
        <v>6174.3239999999996</v>
      </c>
      <c r="I1829" s="152" t="str">
        <f>IF(F1829="Sắt vụn",ROUND(VLOOKUP(G1829,ThongSo!$F$2:$I$15,4,0)*B1829*E1829/1000,3),"-")</f>
        <v>-</v>
      </c>
      <c r="L1829" s="150"/>
      <c r="M1829" s="150"/>
      <c r="N1829" s="150"/>
    </row>
    <row r="1830" spans="1:14" x14ac:dyDescent="0.25">
      <c r="A1830" s="159">
        <v>287</v>
      </c>
      <c r="B1830" s="160">
        <v>2</v>
      </c>
      <c r="C1830" s="160">
        <v>11700</v>
      </c>
      <c r="D1830" s="160" t="s">
        <v>4552</v>
      </c>
      <c r="E1830" s="160">
        <v>920</v>
      </c>
      <c r="F1830" s="160" t="s">
        <v>75</v>
      </c>
      <c r="G1830" s="148">
        <v>16</v>
      </c>
      <c r="H1830" s="152">
        <f>IF(C1830=11700,ROUND(VLOOKUP(G1830,ThongSo!$F$2:$I$15,4,0)*B1830*11.7,3),0)</f>
        <v>36.972000000000001</v>
      </c>
      <c r="I1830" s="152" t="str">
        <f>IF(F1830="Sắt vụn",ROUND(VLOOKUP(G1830,ThongSo!$F$2:$I$15,4,0)*B1830*E1830/1000,3),"-")</f>
        <v>-</v>
      </c>
      <c r="L1830" s="150"/>
      <c r="M1830" s="150"/>
      <c r="N1830" s="150"/>
    </row>
    <row r="1831" spans="1:14" x14ac:dyDescent="0.25">
      <c r="A1831" s="159">
        <v>288</v>
      </c>
      <c r="B1831" s="160">
        <v>73</v>
      </c>
      <c r="C1831" s="160">
        <v>11700</v>
      </c>
      <c r="D1831" s="160" t="s">
        <v>4548</v>
      </c>
      <c r="E1831" s="160">
        <v>2240</v>
      </c>
      <c r="F1831" s="160" t="s">
        <v>75</v>
      </c>
      <c r="G1831" s="148">
        <v>16</v>
      </c>
      <c r="H1831" s="152">
        <f>IF(C1831=11700,ROUND(VLOOKUP(G1831,ThongSo!$F$2:$I$15,4,0)*B1831*11.7,3),0)</f>
        <v>1349.4780000000001</v>
      </c>
      <c r="I1831" s="152" t="str">
        <f>IF(F1831="Sắt vụn",ROUND(VLOOKUP(G1831,ThongSo!$F$2:$I$15,4,0)*B1831*E1831/1000,3),"-")</f>
        <v>-</v>
      </c>
      <c r="L1831" s="150"/>
      <c r="M1831" s="150"/>
      <c r="N1831" s="150"/>
    </row>
    <row r="1832" spans="1:14" x14ac:dyDescent="0.25">
      <c r="A1832" s="159">
        <v>289</v>
      </c>
      <c r="B1832" s="160">
        <v>1</v>
      </c>
      <c r="C1832" s="160">
        <v>11700</v>
      </c>
      <c r="D1832" s="160" t="s">
        <v>4553</v>
      </c>
      <c r="E1832" s="160">
        <v>2440</v>
      </c>
      <c r="F1832" s="160" t="s">
        <v>75</v>
      </c>
      <c r="G1832" s="148">
        <v>16</v>
      </c>
      <c r="H1832" s="152">
        <f>IF(C1832=11700,ROUND(VLOOKUP(G1832,ThongSo!$F$2:$I$15,4,0)*B1832*11.7,3),0)</f>
        <v>18.486000000000001</v>
      </c>
      <c r="I1832" s="152" t="str">
        <f>IF(F1832="Sắt vụn",ROUND(VLOOKUP(G1832,ThongSo!$F$2:$I$15,4,0)*B1832*E1832/1000,3),"-")</f>
        <v>-</v>
      </c>
      <c r="L1832" s="150"/>
      <c r="M1832" s="150"/>
      <c r="N1832" s="150"/>
    </row>
    <row r="1833" spans="1:14" x14ac:dyDescent="0.25">
      <c r="A1833" s="159">
        <v>290</v>
      </c>
      <c r="B1833" s="160">
        <v>52</v>
      </c>
      <c r="C1833" s="160">
        <v>11700</v>
      </c>
      <c r="D1833" s="160" t="s">
        <v>4554</v>
      </c>
      <c r="E1833" s="160">
        <v>2640</v>
      </c>
      <c r="F1833" s="160" t="s">
        <v>75</v>
      </c>
      <c r="G1833" s="148">
        <v>16</v>
      </c>
      <c r="H1833" s="152">
        <f>IF(C1833=11700,ROUND(VLOOKUP(G1833,ThongSo!$F$2:$I$15,4,0)*B1833*11.7,3),0)</f>
        <v>961.27200000000005</v>
      </c>
      <c r="I1833" s="152" t="str">
        <f>IF(F1833="Sắt vụn",ROUND(VLOOKUP(G1833,ThongSo!$F$2:$I$15,4,0)*B1833*E1833/1000,3),"-")</f>
        <v>-</v>
      </c>
      <c r="L1833" s="150"/>
      <c r="M1833" s="150"/>
      <c r="N1833" s="150"/>
    </row>
    <row r="1834" spans="1:14" x14ac:dyDescent="0.25">
      <c r="A1834" s="159">
        <v>291</v>
      </c>
      <c r="B1834" s="160">
        <v>147</v>
      </c>
      <c r="C1834" s="160">
        <v>11700</v>
      </c>
      <c r="D1834" s="160" t="s">
        <v>4555</v>
      </c>
      <c r="E1834" s="160">
        <v>3630</v>
      </c>
      <c r="F1834" s="160" t="s">
        <v>75</v>
      </c>
      <c r="G1834" s="148">
        <v>16</v>
      </c>
      <c r="H1834" s="152">
        <f>IF(C1834=11700,ROUND(VLOOKUP(G1834,ThongSo!$F$2:$I$15,4,0)*B1834*11.7,3),0)</f>
        <v>2717.442</v>
      </c>
      <c r="I1834" s="152" t="str">
        <f>IF(F1834="Sắt vụn",ROUND(VLOOKUP(G1834,ThongSo!$F$2:$I$15,4,0)*B1834*E1834/1000,3),"-")</f>
        <v>-</v>
      </c>
      <c r="L1834" s="150"/>
      <c r="M1834" s="150"/>
      <c r="N1834" s="150"/>
    </row>
    <row r="1835" spans="1:14" x14ac:dyDescent="0.25">
      <c r="A1835" s="159">
        <v>292</v>
      </c>
      <c r="B1835" s="160">
        <v>105</v>
      </c>
      <c r="C1835" s="160">
        <v>11700</v>
      </c>
      <c r="D1835" s="160" t="s">
        <v>4556</v>
      </c>
      <c r="E1835" s="160">
        <v>3830</v>
      </c>
      <c r="F1835" s="160" t="s">
        <v>75</v>
      </c>
      <c r="G1835" s="148">
        <v>16</v>
      </c>
      <c r="H1835" s="152">
        <f>IF(C1835=11700,ROUND(VLOOKUP(G1835,ThongSo!$F$2:$I$15,4,0)*B1835*11.7,3),0)</f>
        <v>1941.03</v>
      </c>
      <c r="I1835" s="152" t="str">
        <f>IF(F1835="Sắt vụn",ROUND(VLOOKUP(G1835,ThongSo!$F$2:$I$15,4,0)*B1835*E1835/1000,3),"-")</f>
        <v>-</v>
      </c>
      <c r="L1835" s="150"/>
      <c r="M1835" s="150"/>
      <c r="N1835" s="150"/>
    </row>
    <row r="1836" spans="1:14" x14ac:dyDescent="0.25">
      <c r="A1836" s="157" t="s">
        <v>82</v>
      </c>
      <c r="B1836" s="158"/>
      <c r="C1836" s="158"/>
      <c r="D1836" s="158"/>
      <c r="E1836" s="158"/>
      <c r="F1836" s="158"/>
      <c r="G1836" s="148"/>
      <c r="H1836" s="152">
        <f>IF(C1836=11700,ROUND(VLOOKUP(G1836,ThongSo!$F$2:$I$15,4,0)*B1836*11.7,3),0)</f>
        <v>0</v>
      </c>
      <c r="I1836" s="152" t="str">
        <f>IF(F1836="Sắt vụn",ROUND(VLOOKUP(G1836,ThongSo!$F$2:$I$15,4,0)*B1836*E1836/1000,3),"-")</f>
        <v>-</v>
      </c>
      <c r="L1836" s="150"/>
      <c r="M1836" s="150"/>
      <c r="N1836" s="150"/>
    </row>
    <row r="1837" spans="1:14" x14ac:dyDescent="0.25">
      <c r="A1837" s="159" t="s">
        <v>73</v>
      </c>
      <c r="B1837" s="160">
        <v>1035</v>
      </c>
      <c r="C1837" s="160">
        <v>11700</v>
      </c>
      <c r="D1837" s="160"/>
      <c r="E1837" s="160"/>
      <c r="F1837" s="160"/>
      <c r="G1837" s="148">
        <v>14</v>
      </c>
      <c r="H1837" s="152">
        <f>IF(C1837=11700,ROUND(VLOOKUP(G1837,ThongSo!$F$2:$I$15,4,0)*B1837*11.7,3),0)</f>
        <v>14652.495000000001</v>
      </c>
      <c r="I1837" s="152" t="str">
        <f>IF(F1837="Sắt vụn",ROUND(VLOOKUP(G1837,ThongSo!$F$2:$I$15,4,0)*B1837*E1837/1000,3),"-")</f>
        <v>-</v>
      </c>
      <c r="L1837" s="150"/>
      <c r="M1837" s="150"/>
      <c r="N1837" s="150"/>
    </row>
    <row r="1838" spans="1:14" x14ac:dyDescent="0.25">
      <c r="A1838" s="159" t="s">
        <v>107</v>
      </c>
      <c r="B1838" s="160">
        <v>7</v>
      </c>
      <c r="C1838" s="160">
        <v>1160</v>
      </c>
      <c r="D1838" s="160" t="s">
        <v>4557</v>
      </c>
      <c r="E1838" s="160">
        <v>100</v>
      </c>
      <c r="F1838" s="160" t="s">
        <v>74</v>
      </c>
      <c r="G1838" s="148">
        <v>14</v>
      </c>
      <c r="H1838" s="152">
        <f>IF(C1838=11700,ROUND(VLOOKUP(G1838,ThongSo!$F$2:$I$15,4,0)*B1838*11.7,3),0)</f>
        <v>0</v>
      </c>
      <c r="I1838" s="152">
        <f>IF(F1838="Sắt vụn",ROUND(VLOOKUP(G1838,ThongSo!$F$2:$I$15,4,0)*B1838*E1838/1000,3),"-")</f>
        <v>0.84699999999999998</v>
      </c>
      <c r="L1838" s="150"/>
      <c r="M1838" s="150"/>
      <c r="N1838" s="150"/>
    </row>
    <row r="1839" spans="1:14" x14ac:dyDescent="0.25">
      <c r="A1839" s="159" t="s">
        <v>120</v>
      </c>
      <c r="B1839" s="160">
        <v>23</v>
      </c>
      <c r="C1839" s="160">
        <v>1800</v>
      </c>
      <c r="D1839" s="160" t="s">
        <v>4557</v>
      </c>
      <c r="E1839" s="160">
        <v>740</v>
      </c>
      <c r="F1839" s="160" t="s">
        <v>75</v>
      </c>
      <c r="G1839" s="148">
        <v>14</v>
      </c>
      <c r="H1839" s="152">
        <f>IF(C1839=11700,ROUND(VLOOKUP(G1839,ThongSo!$F$2:$I$15,4,0)*B1839*11.7,3),0)</f>
        <v>0</v>
      </c>
      <c r="I1839" s="152" t="str">
        <f>IF(F1839="Sắt vụn",ROUND(VLOOKUP(G1839,ThongSo!$F$2:$I$15,4,0)*B1839*E1839/1000,3),"-")</f>
        <v>-</v>
      </c>
      <c r="L1839" s="150"/>
      <c r="M1839" s="150"/>
      <c r="N1839" s="150"/>
    </row>
    <row r="1840" spans="1:14" x14ac:dyDescent="0.25">
      <c r="A1840" s="159" t="s">
        <v>334</v>
      </c>
      <c r="B1840" s="160">
        <v>4</v>
      </c>
      <c r="C1840" s="160">
        <v>2530</v>
      </c>
      <c r="D1840" s="160" t="s">
        <v>4558</v>
      </c>
      <c r="E1840" s="160">
        <v>180</v>
      </c>
      <c r="F1840" s="160" t="s">
        <v>74</v>
      </c>
      <c r="G1840" s="148">
        <v>14</v>
      </c>
      <c r="H1840" s="152">
        <f>IF(C1840=11700,ROUND(VLOOKUP(G1840,ThongSo!$F$2:$I$15,4,0)*B1840*11.7,3),0)</f>
        <v>0</v>
      </c>
      <c r="I1840" s="152">
        <f>IF(F1840="Sắt vụn",ROUND(VLOOKUP(G1840,ThongSo!$F$2:$I$15,4,0)*B1840*E1840/1000,3),"-")</f>
        <v>0.871</v>
      </c>
      <c r="L1840" s="150"/>
      <c r="M1840" s="150"/>
      <c r="N1840" s="150"/>
    </row>
    <row r="1841" spans="1:14" x14ac:dyDescent="0.25">
      <c r="A1841" s="159" t="s">
        <v>243</v>
      </c>
      <c r="B1841" s="160">
        <v>24</v>
      </c>
      <c r="C1841" s="160">
        <v>3510</v>
      </c>
      <c r="D1841" s="160" t="s">
        <v>4559</v>
      </c>
      <c r="E1841" s="160">
        <v>20</v>
      </c>
      <c r="F1841" s="160" t="s">
        <v>74</v>
      </c>
      <c r="G1841" s="148">
        <v>14</v>
      </c>
      <c r="H1841" s="152">
        <f>IF(C1841=11700,ROUND(VLOOKUP(G1841,ThongSo!$F$2:$I$15,4,0)*B1841*11.7,3),0)</f>
        <v>0</v>
      </c>
      <c r="I1841" s="152">
        <f>IF(F1841="Sắt vụn",ROUND(VLOOKUP(G1841,ThongSo!$F$2:$I$15,4,0)*B1841*E1841/1000,3),"-")</f>
        <v>0.58099999999999996</v>
      </c>
      <c r="L1841" s="150"/>
      <c r="M1841" s="150"/>
      <c r="N1841" s="150"/>
    </row>
    <row r="1842" spans="1:14" x14ac:dyDescent="0.25">
      <c r="A1842" s="159" t="s">
        <v>192</v>
      </c>
      <c r="B1842" s="160">
        <v>24</v>
      </c>
      <c r="C1842" s="160">
        <v>3520</v>
      </c>
      <c r="D1842" s="160" t="s">
        <v>4560</v>
      </c>
      <c r="E1842" s="160">
        <v>0</v>
      </c>
      <c r="F1842" s="160"/>
      <c r="G1842" s="148">
        <v>14</v>
      </c>
      <c r="H1842" s="152">
        <f>IF(C1842=11700,ROUND(VLOOKUP(G1842,ThongSo!$F$2:$I$15,4,0)*B1842*11.7,3),0)</f>
        <v>0</v>
      </c>
      <c r="I1842" s="152" t="str">
        <f>IF(F1842="Sắt vụn",ROUND(VLOOKUP(G1842,ThongSo!$F$2:$I$15,4,0)*B1842*E1842/1000,3),"-")</f>
        <v>-</v>
      </c>
      <c r="L1842" s="150"/>
      <c r="M1842" s="150"/>
      <c r="N1842" s="150"/>
    </row>
    <row r="1843" spans="1:14" x14ac:dyDescent="0.25">
      <c r="A1843" s="159" t="s">
        <v>133</v>
      </c>
      <c r="B1843" s="160">
        <v>3</v>
      </c>
      <c r="C1843" s="160">
        <v>5200</v>
      </c>
      <c r="D1843" s="160" t="s">
        <v>4561</v>
      </c>
      <c r="E1843" s="160">
        <v>70</v>
      </c>
      <c r="F1843" s="160" t="s">
        <v>74</v>
      </c>
      <c r="G1843" s="148">
        <v>14</v>
      </c>
      <c r="H1843" s="152">
        <f>IF(C1843=11700,ROUND(VLOOKUP(G1843,ThongSo!$F$2:$I$15,4,0)*B1843*11.7,3),0)</f>
        <v>0</v>
      </c>
      <c r="I1843" s="152">
        <f>IF(F1843="Sắt vụn",ROUND(VLOOKUP(G1843,ThongSo!$F$2:$I$15,4,0)*B1843*E1843/1000,3),"-")</f>
        <v>0.254</v>
      </c>
      <c r="L1843" s="150"/>
      <c r="M1843" s="150"/>
      <c r="N1843" s="150"/>
    </row>
    <row r="1844" spans="1:14" x14ac:dyDescent="0.25">
      <c r="A1844" s="159" t="s">
        <v>4286</v>
      </c>
      <c r="B1844" s="160">
        <v>10</v>
      </c>
      <c r="C1844" s="160">
        <v>5570</v>
      </c>
      <c r="D1844" s="160" t="s">
        <v>4562</v>
      </c>
      <c r="E1844" s="160">
        <v>10</v>
      </c>
      <c r="F1844" s="160" t="s">
        <v>74</v>
      </c>
      <c r="G1844" s="148">
        <v>14</v>
      </c>
      <c r="H1844" s="152">
        <f>IF(C1844=11700,ROUND(VLOOKUP(G1844,ThongSo!$F$2:$I$15,4,0)*B1844*11.7,3),0)</f>
        <v>0</v>
      </c>
      <c r="I1844" s="152">
        <f>IF(F1844="Sắt vụn",ROUND(VLOOKUP(G1844,ThongSo!$F$2:$I$15,4,0)*B1844*E1844/1000,3),"-")</f>
        <v>0.121</v>
      </c>
      <c r="L1844" s="150"/>
      <c r="M1844" s="150"/>
      <c r="N1844" s="150"/>
    </row>
    <row r="1845" spans="1:14" x14ac:dyDescent="0.25">
      <c r="A1845" s="159" t="s">
        <v>4286</v>
      </c>
      <c r="B1845" s="160">
        <v>1</v>
      </c>
      <c r="C1845" s="160">
        <v>5570</v>
      </c>
      <c r="D1845" s="160" t="s">
        <v>4563</v>
      </c>
      <c r="E1845" s="160">
        <v>30</v>
      </c>
      <c r="F1845" s="160" t="s">
        <v>74</v>
      </c>
      <c r="G1845" s="148">
        <v>14</v>
      </c>
      <c r="H1845" s="152">
        <f>IF(C1845=11700,ROUND(VLOOKUP(G1845,ThongSo!$F$2:$I$15,4,0)*B1845*11.7,3),0)</f>
        <v>0</v>
      </c>
      <c r="I1845" s="152">
        <f>IF(F1845="Sắt vụn",ROUND(VLOOKUP(G1845,ThongSo!$F$2:$I$15,4,0)*B1845*E1845/1000,3),"-")</f>
        <v>3.5999999999999997E-2</v>
      </c>
      <c r="L1845" s="150"/>
      <c r="M1845" s="150"/>
      <c r="N1845" s="150"/>
    </row>
    <row r="1846" spans="1:14" x14ac:dyDescent="0.25">
      <c r="A1846" s="159" t="s">
        <v>4286</v>
      </c>
      <c r="B1846" s="160">
        <v>26</v>
      </c>
      <c r="C1846" s="160">
        <v>5570</v>
      </c>
      <c r="D1846" s="160" t="s">
        <v>4564</v>
      </c>
      <c r="E1846" s="160">
        <v>50</v>
      </c>
      <c r="F1846" s="160" t="s">
        <v>74</v>
      </c>
      <c r="G1846" s="148">
        <v>14</v>
      </c>
      <c r="H1846" s="152">
        <f>IF(C1846=11700,ROUND(VLOOKUP(G1846,ThongSo!$F$2:$I$15,4,0)*B1846*11.7,3),0)</f>
        <v>0</v>
      </c>
      <c r="I1846" s="152">
        <f>IF(F1846="Sắt vụn",ROUND(VLOOKUP(G1846,ThongSo!$F$2:$I$15,4,0)*B1846*E1846/1000,3),"-")</f>
        <v>1.573</v>
      </c>
      <c r="L1846" s="150"/>
      <c r="M1846" s="150"/>
      <c r="N1846" s="150"/>
    </row>
    <row r="1847" spans="1:14" x14ac:dyDescent="0.25">
      <c r="A1847" s="159" t="s">
        <v>4286</v>
      </c>
      <c r="B1847" s="160">
        <v>3</v>
      </c>
      <c r="C1847" s="160">
        <v>5570</v>
      </c>
      <c r="D1847" s="160" t="s">
        <v>4565</v>
      </c>
      <c r="E1847" s="160">
        <v>80</v>
      </c>
      <c r="F1847" s="160" t="s">
        <v>74</v>
      </c>
      <c r="G1847" s="148">
        <v>14</v>
      </c>
      <c r="H1847" s="152">
        <f>IF(C1847=11700,ROUND(VLOOKUP(G1847,ThongSo!$F$2:$I$15,4,0)*B1847*11.7,3),0)</f>
        <v>0</v>
      </c>
      <c r="I1847" s="152">
        <f>IF(F1847="Sắt vụn",ROUND(VLOOKUP(G1847,ThongSo!$F$2:$I$15,4,0)*B1847*E1847/1000,3),"-")</f>
        <v>0.28999999999999998</v>
      </c>
      <c r="L1847" s="150"/>
      <c r="M1847" s="150"/>
      <c r="N1847" s="150"/>
    </row>
    <row r="1848" spans="1:14" x14ac:dyDescent="0.25">
      <c r="A1848" s="159">
        <v>304</v>
      </c>
      <c r="B1848" s="160">
        <v>27</v>
      </c>
      <c r="C1848" s="160">
        <v>11700</v>
      </c>
      <c r="D1848" s="160" t="s">
        <v>4566</v>
      </c>
      <c r="E1848" s="160">
        <v>0</v>
      </c>
      <c r="F1848" s="160"/>
      <c r="G1848" s="148">
        <v>14</v>
      </c>
      <c r="H1848" s="152">
        <f>IF(C1848=11700,ROUND(VLOOKUP(G1848,ThongSo!$F$2:$I$15,4,0)*B1848*11.7,3),0)</f>
        <v>382.23899999999998</v>
      </c>
      <c r="I1848" s="152" t="str">
        <f>IF(F1848="Sắt vụn",ROUND(VLOOKUP(G1848,ThongSo!$F$2:$I$15,4,0)*B1848*E1848/1000,3),"-")</f>
        <v>-</v>
      </c>
      <c r="L1848" s="150"/>
      <c r="M1848" s="150"/>
      <c r="N1848" s="150"/>
    </row>
    <row r="1849" spans="1:14" x14ac:dyDescent="0.25">
      <c r="A1849" s="159">
        <v>305</v>
      </c>
      <c r="B1849" s="160">
        <v>6</v>
      </c>
      <c r="C1849" s="160">
        <v>11700</v>
      </c>
      <c r="D1849" s="160" t="s">
        <v>4567</v>
      </c>
      <c r="E1849" s="160">
        <v>0</v>
      </c>
      <c r="F1849" s="160"/>
      <c r="G1849" s="148">
        <v>14</v>
      </c>
      <c r="H1849" s="152">
        <f>IF(C1849=11700,ROUND(VLOOKUP(G1849,ThongSo!$F$2:$I$15,4,0)*B1849*11.7,3),0)</f>
        <v>84.941999999999993</v>
      </c>
      <c r="I1849" s="152" t="str">
        <f>IF(F1849="Sắt vụn",ROUND(VLOOKUP(G1849,ThongSo!$F$2:$I$15,4,0)*B1849*E1849/1000,3),"-")</f>
        <v>-</v>
      </c>
      <c r="L1849" s="150"/>
      <c r="M1849" s="150"/>
      <c r="N1849" s="150"/>
    </row>
    <row r="1850" spans="1:14" x14ac:dyDescent="0.25">
      <c r="A1850" s="159">
        <v>306</v>
      </c>
      <c r="B1850" s="160">
        <v>27</v>
      </c>
      <c r="C1850" s="160">
        <v>11700</v>
      </c>
      <c r="D1850" s="160" t="s">
        <v>4568</v>
      </c>
      <c r="E1850" s="160">
        <v>0</v>
      </c>
      <c r="F1850" s="160"/>
      <c r="G1850" s="148">
        <v>14</v>
      </c>
      <c r="H1850" s="152">
        <f>IF(C1850=11700,ROUND(VLOOKUP(G1850,ThongSo!$F$2:$I$15,4,0)*B1850*11.7,3),0)</f>
        <v>382.23899999999998</v>
      </c>
      <c r="I1850" s="152" t="str">
        <f>IF(F1850="Sắt vụn",ROUND(VLOOKUP(G1850,ThongSo!$F$2:$I$15,4,0)*B1850*E1850/1000,3),"-")</f>
        <v>-</v>
      </c>
      <c r="L1850" s="150"/>
      <c r="M1850" s="150"/>
      <c r="N1850" s="150"/>
    </row>
    <row r="1851" spans="1:14" x14ac:dyDescent="0.25">
      <c r="A1851" s="159">
        <v>307</v>
      </c>
      <c r="B1851" s="160">
        <v>42</v>
      </c>
      <c r="C1851" s="160">
        <v>11700</v>
      </c>
      <c r="D1851" s="160" t="s">
        <v>4569</v>
      </c>
      <c r="E1851" s="160">
        <v>0</v>
      </c>
      <c r="F1851" s="160"/>
      <c r="G1851" s="148">
        <v>14</v>
      </c>
      <c r="H1851" s="152">
        <f>IF(C1851=11700,ROUND(VLOOKUP(G1851,ThongSo!$F$2:$I$15,4,0)*B1851*11.7,3),0)</f>
        <v>594.59400000000005</v>
      </c>
      <c r="I1851" s="152" t="str">
        <f>IF(F1851="Sắt vụn",ROUND(VLOOKUP(G1851,ThongSo!$F$2:$I$15,4,0)*B1851*E1851/1000,3),"-")</f>
        <v>-</v>
      </c>
      <c r="L1851" s="150"/>
      <c r="M1851" s="150"/>
      <c r="N1851" s="150"/>
    </row>
    <row r="1852" spans="1:14" x14ac:dyDescent="0.25">
      <c r="A1852" s="159">
        <v>308</v>
      </c>
      <c r="B1852" s="160">
        <v>3</v>
      </c>
      <c r="C1852" s="160">
        <v>11700</v>
      </c>
      <c r="D1852" s="160" t="s">
        <v>4570</v>
      </c>
      <c r="E1852" s="160">
        <v>0</v>
      </c>
      <c r="F1852" s="160"/>
      <c r="G1852" s="148">
        <v>14</v>
      </c>
      <c r="H1852" s="152">
        <f>IF(C1852=11700,ROUND(VLOOKUP(G1852,ThongSo!$F$2:$I$15,4,0)*B1852*11.7,3),0)</f>
        <v>42.470999999999997</v>
      </c>
      <c r="I1852" s="152" t="str">
        <f>IF(F1852="Sắt vụn",ROUND(VLOOKUP(G1852,ThongSo!$F$2:$I$15,4,0)*B1852*E1852/1000,3),"-")</f>
        <v>-</v>
      </c>
      <c r="L1852" s="150"/>
      <c r="M1852" s="150"/>
      <c r="N1852" s="150"/>
    </row>
    <row r="1853" spans="1:14" x14ac:dyDescent="0.25">
      <c r="A1853" s="159">
        <v>309</v>
      </c>
      <c r="B1853" s="160">
        <v>7</v>
      </c>
      <c r="C1853" s="160">
        <v>11700</v>
      </c>
      <c r="D1853" s="160" t="s">
        <v>4571</v>
      </c>
      <c r="E1853" s="160">
        <v>0</v>
      </c>
      <c r="F1853" s="160"/>
      <c r="G1853" s="148">
        <v>14</v>
      </c>
      <c r="H1853" s="152">
        <f>IF(C1853=11700,ROUND(VLOOKUP(G1853,ThongSo!$F$2:$I$15,4,0)*B1853*11.7,3),0)</f>
        <v>99.099000000000004</v>
      </c>
      <c r="I1853" s="152" t="str">
        <f>IF(F1853="Sắt vụn",ROUND(VLOOKUP(G1853,ThongSo!$F$2:$I$15,4,0)*B1853*E1853/1000,3),"-")</f>
        <v>-</v>
      </c>
      <c r="L1853" s="150"/>
      <c r="M1853" s="150"/>
      <c r="N1853" s="150"/>
    </row>
    <row r="1854" spans="1:14" x14ac:dyDescent="0.25">
      <c r="A1854" s="159">
        <v>310</v>
      </c>
      <c r="B1854" s="160">
        <v>1</v>
      </c>
      <c r="C1854" s="160">
        <v>11700</v>
      </c>
      <c r="D1854" s="160" t="s">
        <v>4572</v>
      </c>
      <c r="E1854" s="160">
        <v>20</v>
      </c>
      <c r="F1854" s="160" t="s">
        <v>74</v>
      </c>
      <c r="G1854" s="148">
        <v>14</v>
      </c>
      <c r="H1854" s="152">
        <f>IF(C1854=11700,ROUND(VLOOKUP(G1854,ThongSo!$F$2:$I$15,4,0)*B1854*11.7,3),0)</f>
        <v>14.157</v>
      </c>
      <c r="I1854" s="152">
        <f>IF(F1854="Sắt vụn",ROUND(VLOOKUP(G1854,ThongSo!$F$2:$I$15,4,0)*B1854*E1854/1000,3),"-")</f>
        <v>2.4E-2</v>
      </c>
      <c r="L1854" s="150"/>
      <c r="M1854" s="150"/>
      <c r="N1854" s="150"/>
    </row>
    <row r="1855" spans="1:14" x14ac:dyDescent="0.25">
      <c r="A1855" s="159">
        <v>311</v>
      </c>
      <c r="B1855" s="160">
        <v>12</v>
      </c>
      <c r="C1855" s="160">
        <v>11700</v>
      </c>
      <c r="D1855" s="160" t="s">
        <v>4573</v>
      </c>
      <c r="E1855" s="160">
        <v>20</v>
      </c>
      <c r="F1855" s="160" t="s">
        <v>74</v>
      </c>
      <c r="G1855" s="148">
        <v>14</v>
      </c>
      <c r="H1855" s="152">
        <f>IF(C1855=11700,ROUND(VLOOKUP(G1855,ThongSo!$F$2:$I$15,4,0)*B1855*11.7,3),0)</f>
        <v>169.88399999999999</v>
      </c>
      <c r="I1855" s="152">
        <f>IF(F1855="Sắt vụn",ROUND(VLOOKUP(G1855,ThongSo!$F$2:$I$15,4,0)*B1855*E1855/1000,3),"-")</f>
        <v>0.28999999999999998</v>
      </c>
      <c r="L1855" s="150"/>
      <c r="M1855" s="150"/>
      <c r="N1855" s="150"/>
    </row>
    <row r="1856" spans="1:14" x14ac:dyDescent="0.25">
      <c r="A1856" s="159">
        <v>312</v>
      </c>
      <c r="B1856" s="160">
        <v>51</v>
      </c>
      <c r="C1856" s="160">
        <v>11700</v>
      </c>
      <c r="D1856" s="160" t="s">
        <v>4574</v>
      </c>
      <c r="E1856" s="160">
        <v>30</v>
      </c>
      <c r="F1856" s="160" t="s">
        <v>74</v>
      </c>
      <c r="G1856" s="148">
        <v>14</v>
      </c>
      <c r="H1856" s="152">
        <f>IF(C1856=11700,ROUND(VLOOKUP(G1856,ThongSo!$F$2:$I$15,4,0)*B1856*11.7,3),0)</f>
        <v>722.00699999999995</v>
      </c>
      <c r="I1856" s="152">
        <f>IF(F1856="Sắt vụn",ROUND(VLOOKUP(G1856,ThongSo!$F$2:$I$15,4,0)*B1856*E1856/1000,3),"-")</f>
        <v>1.851</v>
      </c>
      <c r="L1856" s="150"/>
      <c r="M1856" s="150"/>
      <c r="N1856" s="150"/>
    </row>
    <row r="1857" spans="1:14" x14ac:dyDescent="0.25">
      <c r="A1857" s="159">
        <v>313</v>
      </c>
      <c r="B1857" s="160">
        <v>6</v>
      </c>
      <c r="C1857" s="160">
        <v>11700</v>
      </c>
      <c r="D1857" s="160" t="s">
        <v>4575</v>
      </c>
      <c r="E1857" s="160">
        <v>40</v>
      </c>
      <c r="F1857" s="160" t="s">
        <v>74</v>
      </c>
      <c r="G1857" s="148">
        <v>14</v>
      </c>
      <c r="H1857" s="152">
        <f>IF(C1857=11700,ROUND(VLOOKUP(G1857,ThongSo!$F$2:$I$15,4,0)*B1857*11.7,3),0)</f>
        <v>84.941999999999993</v>
      </c>
      <c r="I1857" s="152">
        <f>IF(F1857="Sắt vụn",ROUND(VLOOKUP(G1857,ThongSo!$F$2:$I$15,4,0)*B1857*E1857/1000,3),"-")</f>
        <v>0.28999999999999998</v>
      </c>
      <c r="L1857" s="150"/>
      <c r="M1857" s="150"/>
      <c r="N1857" s="150"/>
    </row>
    <row r="1858" spans="1:14" x14ac:dyDescent="0.25">
      <c r="A1858" s="159">
        <v>314</v>
      </c>
      <c r="B1858" s="160">
        <v>258</v>
      </c>
      <c r="C1858" s="160">
        <v>11700</v>
      </c>
      <c r="D1858" s="160" t="s">
        <v>4576</v>
      </c>
      <c r="E1858" s="160">
        <v>90</v>
      </c>
      <c r="F1858" s="160" t="s">
        <v>74</v>
      </c>
      <c r="G1858" s="148">
        <v>14</v>
      </c>
      <c r="H1858" s="152">
        <f>IF(C1858=11700,ROUND(VLOOKUP(G1858,ThongSo!$F$2:$I$15,4,0)*B1858*11.7,3),0)</f>
        <v>3652.5059999999999</v>
      </c>
      <c r="I1858" s="152">
        <f>IF(F1858="Sắt vụn",ROUND(VLOOKUP(G1858,ThongSo!$F$2:$I$15,4,0)*B1858*E1858/1000,3),"-")</f>
        <v>28.096</v>
      </c>
      <c r="L1858" s="150"/>
      <c r="M1858" s="150"/>
      <c r="N1858" s="150"/>
    </row>
    <row r="1859" spans="1:14" x14ac:dyDescent="0.25">
      <c r="A1859" s="159">
        <v>315</v>
      </c>
      <c r="B1859" s="160">
        <v>204</v>
      </c>
      <c r="C1859" s="160">
        <v>11700</v>
      </c>
      <c r="D1859" s="160" t="s">
        <v>4577</v>
      </c>
      <c r="E1859" s="160">
        <v>90</v>
      </c>
      <c r="F1859" s="160" t="s">
        <v>74</v>
      </c>
      <c r="G1859" s="148">
        <v>14</v>
      </c>
      <c r="H1859" s="152">
        <f>IF(C1859=11700,ROUND(VLOOKUP(G1859,ThongSo!$F$2:$I$15,4,0)*B1859*11.7,3),0)</f>
        <v>2888.0279999999998</v>
      </c>
      <c r="I1859" s="152">
        <f>IF(F1859="Sắt vụn",ROUND(VLOOKUP(G1859,ThongSo!$F$2:$I$15,4,0)*B1859*E1859/1000,3),"-")</f>
        <v>22.216000000000001</v>
      </c>
      <c r="L1859" s="150"/>
      <c r="M1859" s="150"/>
      <c r="N1859" s="150"/>
    </row>
    <row r="1860" spans="1:14" x14ac:dyDescent="0.25">
      <c r="A1860" s="159">
        <v>316</v>
      </c>
      <c r="B1860" s="160">
        <v>29</v>
      </c>
      <c r="C1860" s="160">
        <v>11700</v>
      </c>
      <c r="D1860" s="160" t="s">
        <v>4578</v>
      </c>
      <c r="E1860" s="160">
        <v>110</v>
      </c>
      <c r="F1860" s="160" t="s">
        <v>74</v>
      </c>
      <c r="G1860" s="148">
        <v>14</v>
      </c>
      <c r="H1860" s="152">
        <f>IF(C1860=11700,ROUND(VLOOKUP(G1860,ThongSo!$F$2:$I$15,4,0)*B1860*11.7,3),0)</f>
        <v>410.553</v>
      </c>
      <c r="I1860" s="152">
        <f>IF(F1860="Sắt vụn",ROUND(VLOOKUP(G1860,ThongSo!$F$2:$I$15,4,0)*B1860*E1860/1000,3),"-")</f>
        <v>3.86</v>
      </c>
      <c r="L1860" s="150"/>
      <c r="M1860" s="150"/>
      <c r="N1860" s="150"/>
    </row>
    <row r="1861" spans="1:14" x14ac:dyDescent="0.25">
      <c r="A1861" s="159">
        <v>317</v>
      </c>
      <c r="B1861" s="160">
        <v>118</v>
      </c>
      <c r="C1861" s="160">
        <v>11700</v>
      </c>
      <c r="D1861" s="160" t="s">
        <v>4579</v>
      </c>
      <c r="E1861" s="160">
        <v>120</v>
      </c>
      <c r="F1861" s="160" t="s">
        <v>74</v>
      </c>
      <c r="G1861" s="148">
        <v>14</v>
      </c>
      <c r="H1861" s="152">
        <f>IF(C1861=11700,ROUND(VLOOKUP(G1861,ThongSo!$F$2:$I$15,4,0)*B1861*11.7,3),0)</f>
        <v>1670.5260000000001</v>
      </c>
      <c r="I1861" s="152">
        <f>IF(F1861="Sắt vụn",ROUND(VLOOKUP(G1861,ThongSo!$F$2:$I$15,4,0)*B1861*E1861/1000,3),"-")</f>
        <v>17.134</v>
      </c>
      <c r="L1861" s="150"/>
      <c r="M1861" s="150"/>
      <c r="N1861" s="150"/>
    </row>
    <row r="1862" spans="1:14" x14ac:dyDescent="0.25">
      <c r="A1862" s="159">
        <v>318</v>
      </c>
      <c r="B1862" s="160">
        <v>1</v>
      </c>
      <c r="C1862" s="160">
        <v>11700</v>
      </c>
      <c r="D1862" s="160" t="s">
        <v>4580</v>
      </c>
      <c r="E1862" s="160">
        <v>120</v>
      </c>
      <c r="F1862" s="160" t="s">
        <v>74</v>
      </c>
      <c r="G1862" s="148">
        <v>14</v>
      </c>
      <c r="H1862" s="152">
        <f>IF(C1862=11700,ROUND(VLOOKUP(G1862,ThongSo!$F$2:$I$15,4,0)*B1862*11.7,3),0)</f>
        <v>14.157</v>
      </c>
      <c r="I1862" s="152">
        <f>IF(F1862="Sắt vụn",ROUND(VLOOKUP(G1862,ThongSo!$F$2:$I$15,4,0)*B1862*E1862/1000,3),"-")</f>
        <v>0.14499999999999999</v>
      </c>
      <c r="L1862" s="150"/>
      <c r="M1862" s="150"/>
      <c r="N1862" s="150"/>
    </row>
    <row r="1863" spans="1:14" x14ac:dyDescent="0.25">
      <c r="A1863" s="159">
        <v>319</v>
      </c>
      <c r="B1863" s="160">
        <v>51</v>
      </c>
      <c r="C1863" s="160">
        <v>11700</v>
      </c>
      <c r="D1863" s="160" t="s">
        <v>4581</v>
      </c>
      <c r="E1863" s="160">
        <v>120</v>
      </c>
      <c r="F1863" s="160" t="s">
        <v>74</v>
      </c>
      <c r="G1863" s="148">
        <v>14</v>
      </c>
      <c r="H1863" s="152">
        <f>IF(C1863=11700,ROUND(VLOOKUP(G1863,ThongSo!$F$2:$I$15,4,0)*B1863*11.7,3),0)</f>
        <v>722.00699999999995</v>
      </c>
      <c r="I1863" s="152">
        <f>IF(F1863="Sắt vụn",ROUND(VLOOKUP(G1863,ThongSo!$F$2:$I$15,4,0)*B1863*E1863/1000,3),"-")</f>
        <v>7.4050000000000002</v>
      </c>
      <c r="L1863" s="150"/>
      <c r="M1863" s="150"/>
      <c r="N1863" s="150"/>
    </row>
    <row r="1864" spans="1:14" x14ac:dyDescent="0.25">
      <c r="A1864" s="159">
        <v>320</v>
      </c>
      <c r="B1864" s="160">
        <v>1</v>
      </c>
      <c r="C1864" s="160">
        <v>11700</v>
      </c>
      <c r="D1864" s="160" t="s">
        <v>4582</v>
      </c>
      <c r="E1864" s="160">
        <v>490</v>
      </c>
      <c r="F1864" s="160" t="s">
        <v>74</v>
      </c>
      <c r="G1864" s="148">
        <v>14</v>
      </c>
      <c r="H1864" s="152">
        <f>IF(C1864=11700,ROUND(VLOOKUP(G1864,ThongSo!$F$2:$I$15,4,0)*B1864*11.7,3),0)</f>
        <v>14.157</v>
      </c>
      <c r="I1864" s="152">
        <f>IF(F1864="Sắt vụn",ROUND(VLOOKUP(G1864,ThongSo!$F$2:$I$15,4,0)*B1864*E1864/1000,3),"-")</f>
        <v>0.59299999999999997</v>
      </c>
      <c r="L1864" s="150"/>
      <c r="M1864" s="150"/>
      <c r="N1864" s="150"/>
    </row>
    <row r="1865" spans="1:14" x14ac:dyDescent="0.25">
      <c r="A1865" s="159">
        <v>321</v>
      </c>
      <c r="B1865" s="160">
        <v>4</v>
      </c>
      <c r="C1865" s="160">
        <v>11700</v>
      </c>
      <c r="D1865" s="160" t="s">
        <v>4583</v>
      </c>
      <c r="E1865" s="160">
        <v>540</v>
      </c>
      <c r="F1865" s="160" t="s">
        <v>74</v>
      </c>
      <c r="G1865" s="148">
        <v>14</v>
      </c>
      <c r="H1865" s="152">
        <f>IF(C1865=11700,ROUND(VLOOKUP(G1865,ThongSo!$F$2:$I$15,4,0)*B1865*11.7,3),0)</f>
        <v>56.628</v>
      </c>
      <c r="I1865" s="152">
        <f>IF(F1865="Sắt vụn",ROUND(VLOOKUP(G1865,ThongSo!$F$2:$I$15,4,0)*B1865*E1865/1000,3),"-")</f>
        <v>2.6139999999999999</v>
      </c>
      <c r="L1865" s="150"/>
      <c r="M1865" s="150"/>
      <c r="N1865" s="150"/>
    </row>
    <row r="1866" spans="1:14" x14ac:dyDescent="0.25">
      <c r="A1866" s="159">
        <v>322</v>
      </c>
      <c r="B1866" s="160">
        <v>103</v>
      </c>
      <c r="C1866" s="160">
        <v>11700</v>
      </c>
      <c r="D1866" s="160" t="s">
        <v>4584</v>
      </c>
      <c r="E1866" s="160">
        <v>990</v>
      </c>
      <c r="F1866" s="160" t="s">
        <v>75</v>
      </c>
      <c r="G1866" s="148">
        <v>14</v>
      </c>
      <c r="H1866" s="152">
        <f>IF(C1866=11700,ROUND(VLOOKUP(G1866,ThongSo!$F$2:$I$15,4,0)*B1866*11.7,3),0)</f>
        <v>1458.171</v>
      </c>
      <c r="I1866" s="152" t="str">
        <f>IF(F1866="Sắt vụn",ROUND(VLOOKUP(G1866,ThongSo!$F$2:$I$15,4,0)*B1866*E1866/1000,3),"-")</f>
        <v>-</v>
      </c>
      <c r="L1866" s="150"/>
      <c r="M1866" s="150"/>
      <c r="N1866" s="150"/>
    </row>
    <row r="1867" spans="1:14" x14ac:dyDescent="0.25">
      <c r="A1867" s="159">
        <v>323</v>
      </c>
      <c r="B1867" s="160">
        <v>24</v>
      </c>
      <c r="C1867" s="160">
        <v>11700</v>
      </c>
      <c r="D1867" s="160" t="s">
        <v>4585</v>
      </c>
      <c r="E1867" s="160">
        <v>1060</v>
      </c>
      <c r="F1867" s="160" t="s">
        <v>75</v>
      </c>
      <c r="G1867" s="148">
        <v>14</v>
      </c>
      <c r="H1867" s="152">
        <f>IF(C1867=11700,ROUND(VLOOKUP(G1867,ThongSo!$F$2:$I$15,4,0)*B1867*11.7,3),0)</f>
        <v>339.76799999999997</v>
      </c>
      <c r="I1867" s="152" t="str">
        <f>IF(F1867="Sắt vụn",ROUND(VLOOKUP(G1867,ThongSo!$F$2:$I$15,4,0)*B1867*E1867/1000,3),"-")</f>
        <v>-</v>
      </c>
      <c r="L1867" s="150"/>
      <c r="M1867" s="150"/>
      <c r="N1867" s="150"/>
    </row>
    <row r="1868" spans="1:14" x14ac:dyDescent="0.25">
      <c r="A1868" s="159">
        <v>324</v>
      </c>
      <c r="B1868" s="160">
        <v>1</v>
      </c>
      <c r="C1868" s="160">
        <v>11700</v>
      </c>
      <c r="D1868" s="160" t="s">
        <v>4586</v>
      </c>
      <c r="E1868" s="160">
        <v>1090</v>
      </c>
      <c r="F1868" s="160" t="s">
        <v>75</v>
      </c>
      <c r="G1868" s="148">
        <v>14</v>
      </c>
      <c r="H1868" s="152">
        <f>IF(C1868=11700,ROUND(VLOOKUP(G1868,ThongSo!$F$2:$I$15,4,0)*B1868*11.7,3),0)</f>
        <v>14.157</v>
      </c>
      <c r="I1868" s="152" t="str">
        <f>IF(F1868="Sắt vụn",ROUND(VLOOKUP(G1868,ThongSo!$F$2:$I$15,4,0)*B1868*E1868/1000,3),"-")</f>
        <v>-</v>
      </c>
      <c r="L1868" s="150"/>
      <c r="M1868" s="150"/>
      <c r="N1868" s="150"/>
    </row>
    <row r="1869" spans="1:14" x14ac:dyDescent="0.25">
      <c r="A1869" s="159">
        <v>325</v>
      </c>
      <c r="B1869" s="160">
        <v>125</v>
      </c>
      <c r="C1869" s="160">
        <v>11700</v>
      </c>
      <c r="D1869" s="160" t="s">
        <v>4587</v>
      </c>
      <c r="E1869" s="160">
        <v>1140</v>
      </c>
      <c r="F1869" s="160" t="s">
        <v>75</v>
      </c>
      <c r="G1869" s="148">
        <v>14</v>
      </c>
      <c r="H1869" s="152">
        <f>IF(C1869=11700,ROUND(VLOOKUP(G1869,ThongSo!$F$2:$I$15,4,0)*B1869*11.7,3),0)</f>
        <v>1769.625</v>
      </c>
      <c r="I1869" s="152" t="str">
        <f>IF(F1869="Sắt vụn",ROUND(VLOOKUP(G1869,ThongSo!$F$2:$I$15,4,0)*B1869*E1869/1000,3),"-")</f>
        <v>-</v>
      </c>
      <c r="L1869" s="150"/>
      <c r="M1869" s="150"/>
      <c r="N1869" s="150"/>
    </row>
    <row r="1870" spans="1:14" x14ac:dyDescent="0.25">
      <c r="A1870" s="159">
        <v>326</v>
      </c>
      <c r="B1870" s="160">
        <v>1</v>
      </c>
      <c r="C1870" s="160">
        <v>11700</v>
      </c>
      <c r="D1870" s="160" t="s">
        <v>4588</v>
      </c>
      <c r="E1870" s="160">
        <v>1200</v>
      </c>
      <c r="F1870" s="160" t="s">
        <v>75</v>
      </c>
      <c r="G1870" s="148">
        <v>14</v>
      </c>
      <c r="H1870" s="152">
        <f>IF(C1870=11700,ROUND(VLOOKUP(G1870,ThongSo!$F$2:$I$15,4,0)*B1870*11.7,3),0)</f>
        <v>14.157</v>
      </c>
      <c r="I1870" s="152" t="str">
        <f>IF(F1870="Sắt vụn",ROUND(VLOOKUP(G1870,ThongSo!$F$2:$I$15,4,0)*B1870*E1870/1000,3),"-")</f>
        <v>-</v>
      </c>
      <c r="L1870" s="150"/>
      <c r="M1870" s="150"/>
      <c r="N1870" s="150"/>
    </row>
    <row r="1871" spans="1:14" x14ac:dyDescent="0.25">
      <c r="A1871" s="159">
        <v>327</v>
      </c>
      <c r="B1871" s="160">
        <v>1</v>
      </c>
      <c r="C1871" s="160">
        <v>11700</v>
      </c>
      <c r="D1871" s="160" t="s">
        <v>4589</v>
      </c>
      <c r="E1871" s="160">
        <v>1440</v>
      </c>
      <c r="F1871" s="160" t="s">
        <v>75</v>
      </c>
      <c r="G1871" s="148">
        <v>14</v>
      </c>
      <c r="H1871" s="152">
        <f>IF(C1871=11700,ROUND(VLOOKUP(G1871,ThongSo!$F$2:$I$15,4,0)*B1871*11.7,3),0)</f>
        <v>14.157</v>
      </c>
      <c r="I1871" s="152" t="str">
        <f>IF(F1871="Sắt vụn",ROUND(VLOOKUP(G1871,ThongSo!$F$2:$I$15,4,0)*B1871*E1871/1000,3),"-")</f>
        <v>-</v>
      </c>
      <c r="L1871" s="150"/>
      <c r="M1871" s="150"/>
      <c r="N1871" s="150"/>
    </row>
    <row r="1872" spans="1:14" x14ac:dyDescent="0.25">
      <c r="A1872" s="159">
        <v>328</v>
      </c>
      <c r="B1872" s="160">
        <v>12</v>
      </c>
      <c r="C1872" s="160">
        <v>11700</v>
      </c>
      <c r="D1872" s="160" t="s">
        <v>4590</v>
      </c>
      <c r="E1872" s="160">
        <v>1470</v>
      </c>
      <c r="F1872" s="160" t="s">
        <v>75</v>
      </c>
      <c r="G1872" s="148">
        <v>14</v>
      </c>
      <c r="H1872" s="152">
        <f>IF(C1872=11700,ROUND(VLOOKUP(G1872,ThongSo!$F$2:$I$15,4,0)*B1872*11.7,3),0)</f>
        <v>169.88399999999999</v>
      </c>
      <c r="I1872" s="152" t="str">
        <f>IF(F1872="Sắt vụn",ROUND(VLOOKUP(G1872,ThongSo!$F$2:$I$15,4,0)*B1872*E1872/1000,3),"-")</f>
        <v>-</v>
      </c>
      <c r="L1872" s="150"/>
      <c r="M1872" s="150"/>
      <c r="N1872" s="150"/>
    </row>
    <row r="1873" spans="1:14" x14ac:dyDescent="0.25">
      <c r="A1873" s="159">
        <v>329</v>
      </c>
      <c r="B1873" s="160">
        <v>23</v>
      </c>
      <c r="C1873" s="160">
        <v>11700</v>
      </c>
      <c r="D1873" s="160" t="s">
        <v>4591</v>
      </c>
      <c r="E1873" s="160">
        <v>1560</v>
      </c>
      <c r="F1873" s="160" t="s">
        <v>75</v>
      </c>
      <c r="G1873" s="148">
        <v>14</v>
      </c>
      <c r="H1873" s="152">
        <f>IF(C1873=11700,ROUND(VLOOKUP(G1873,ThongSo!$F$2:$I$15,4,0)*B1873*11.7,3),0)</f>
        <v>325.61099999999999</v>
      </c>
      <c r="I1873" s="152" t="str">
        <f>IF(F1873="Sắt vụn",ROUND(VLOOKUP(G1873,ThongSo!$F$2:$I$15,4,0)*B1873*E1873/1000,3),"-")</f>
        <v>-</v>
      </c>
      <c r="L1873" s="150"/>
      <c r="M1873" s="150"/>
      <c r="N1873" s="150"/>
    </row>
    <row r="1874" spans="1:14" x14ac:dyDescent="0.25">
      <c r="A1874" s="159">
        <v>330</v>
      </c>
      <c r="B1874" s="160">
        <v>76</v>
      </c>
      <c r="C1874" s="160">
        <v>11700</v>
      </c>
      <c r="D1874" s="160" t="s">
        <v>4592</v>
      </c>
      <c r="E1874" s="160">
        <v>1590</v>
      </c>
      <c r="F1874" s="160" t="s">
        <v>75</v>
      </c>
      <c r="G1874" s="148">
        <v>14</v>
      </c>
      <c r="H1874" s="152">
        <f>IF(C1874=11700,ROUND(VLOOKUP(G1874,ThongSo!$F$2:$I$15,4,0)*B1874*11.7,3),0)</f>
        <v>1075.932</v>
      </c>
      <c r="I1874" s="152" t="str">
        <f>IF(F1874="Sắt vụn",ROUND(VLOOKUP(G1874,ThongSo!$F$2:$I$15,4,0)*B1874*E1874/1000,3),"-")</f>
        <v>-</v>
      </c>
      <c r="L1874" s="150"/>
      <c r="M1874" s="150"/>
      <c r="N1874" s="150"/>
    </row>
    <row r="1875" spans="1:14" x14ac:dyDescent="0.25">
      <c r="A1875" s="159">
        <v>331</v>
      </c>
      <c r="B1875" s="160">
        <v>1</v>
      </c>
      <c r="C1875" s="160">
        <v>11700</v>
      </c>
      <c r="D1875" s="160" t="s">
        <v>4593</v>
      </c>
      <c r="E1875" s="160">
        <v>1590</v>
      </c>
      <c r="F1875" s="160" t="s">
        <v>75</v>
      </c>
      <c r="G1875" s="148">
        <v>14</v>
      </c>
      <c r="H1875" s="152">
        <f>IF(C1875=11700,ROUND(VLOOKUP(G1875,ThongSo!$F$2:$I$15,4,0)*B1875*11.7,3),0)</f>
        <v>14.157</v>
      </c>
      <c r="I1875" s="152" t="str">
        <f>IF(F1875="Sắt vụn",ROUND(VLOOKUP(G1875,ThongSo!$F$2:$I$15,4,0)*B1875*E1875/1000,3),"-")</f>
        <v>-</v>
      </c>
      <c r="L1875" s="150"/>
      <c r="M1875" s="150"/>
      <c r="N1875" s="150"/>
    </row>
    <row r="1876" spans="1:14" x14ac:dyDescent="0.25">
      <c r="A1876" s="159">
        <v>332</v>
      </c>
      <c r="B1876" s="160">
        <v>315</v>
      </c>
      <c r="C1876" s="160">
        <v>11700</v>
      </c>
      <c r="D1876" s="160" t="s">
        <v>4594</v>
      </c>
      <c r="E1876" s="160">
        <v>1590</v>
      </c>
      <c r="F1876" s="160" t="s">
        <v>75</v>
      </c>
      <c r="G1876" s="148">
        <v>14</v>
      </c>
      <c r="H1876" s="152">
        <f>IF(C1876=11700,ROUND(VLOOKUP(G1876,ThongSo!$F$2:$I$15,4,0)*B1876*11.7,3),0)</f>
        <v>4459.4549999999999</v>
      </c>
      <c r="I1876" s="152" t="str">
        <f>IF(F1876="Sắt vụn",ROUND(VLOOKUP(G1876,ThongSo!$F$2:$I$15,4,0)*B1876*E1876/1000,3),"-")</f>
        <v>-</v>
      </c>
      <c r="L1876" s="150"/>
      <c r="M1876" s="150"/>
      <c r="N1876" s="150"/>
    </row>
    <row r="1877" spans="1:14" x14ac:dyDescent="0.25">
      <c r="A1877" s="159">
        <v>333</v>
      </c>
      <c r="B1877" s="160">
        <v>1</v>
      </c>
      <c r="C1877" s="160">
        <v>11700</v>
      </c>
      <c r="D1877" s="160" t="s">
        <v>4595</v>
      </c>
      <c r="E1877" s="160">
        <v>1590</v>
      </c>
      <c r="F1877" s="160" t="s">
        <v>75</v>
      </c>
      <c r="G1877" s="148">
        <v>14</v>
      </c>
      <c r="H1877" s="152">
        <f>IF(C1877=11700,ROUND(VLOOKUP(G1877,ThongSo!$F$2:$I$15,4,0)*B1877*11.7,3),0)</f>
        <v>14.157</v>
      </c>
      <c r="I1877" s="152" t="str">
        <f>IF(F1877="Sắt vụn",ROUND(VLOOKUP(G1877,ThongSo!$F$2:$I$15,4,0)*B1877*E1877/1000,3),"-")</f>
        <v>-</v>
      </c>
      <c r="L1877" s="150"/>
      <c r="M1877" s="150"/>
      <c r="N1877" s="150"/>
    </row>
    <row r="1878" spans="1:14" x14ac:dyDescent="0.25">
      <c r="A1878" s="159">
        <v>334</v>
      </c>
      <c r="B1878" s="160">
        <v>137</v>
      </c>
      <c r="C1878" s="160">
        <v>11700</v>
      </c>
      <c r="D1878" s="160" t="s">
        <v>4596</v>
      </c>
      <c r="E1878" s="160">
        <v>1590</v>
      </c>
      <c r="F1878" s="160" t="s">
        <v>75</v>
      </c>
      <c r="G1878" s="148">
        <v>14</v>
      </c>
      <c r="H1878" s="152">
        <f>IF(C1878=11700,ROUND(VLOOKUP(G1878,ThongSo!$F$2:$I$15,4,0)*B1878*11.7,3),0)</f>
        <v>1939.509</v>
      </c>
      <c r="I1878" s="152" t="str">
        <f>IF(F1878="Sắt vụn",ROUND(VLOOKUP(G1878,ThongSo!$F$2:$I$15,4,0)*B1878*E1878/1000,3),"-")</f>
        <v>-</v>
      </c>
      <c r="L1878" s="150"/>
      <c r="M1878" s="150"/>
      <c r="N1878" s="150"/>
    </row>
    <row r="1879" spans="1:14" x14ac:dyDescent="0.25">
      <c r="A1879" s="159">
        <v>335</v>
      </c>
      <c r="B1879" s="160">
        <v>1</v>
      </c>
      <c r="C1879" s="160">
        <v>11700</v>
      </c>
      <c r="D1879" s="160" t="s">
        <v>4597</v>
      </c>
      <c r="E1879" s="160">
        <v>2460</v>
      </c>
      <c r="F1879" s="160" t="s">
        <v>75</v>
      </c>
      <c r="G1879" s="148">
        <v>14</v>
      </c>
      <c r="H1879" s="152">
        <f>IF(C1879=11700,ROUND(VLOOKUP(G1879,ThongSo!$F$2:$I$15,4,0)*B1879*11.7,3),0)</f>
        <v>14.157</v>
      </c>
      <c r="I1879" s="152" t="str">
        <f>IF(F1879="Sắt vụn",ROUND(VLOOKUP(G1879,ThongSo!$F$2:$I$15,4,0)*B1879*E1879/1000,3),"-")</f>
        <v>-</v>
      </c>
      <c r="L1879" s="150"/>
      <c r="M1879" s="150"/>
      <c r="N1879" s="150"/>
    </row>
    <row r="1880" spans="1:14" x14ac:dyDescent="0.25">
      <c r="A1880" s="159">
        <v>336</v>
      </c>
      <c r="B1880" s="160">
        <v>8</v>
      </c>
      <c r="C1880" s="160">
        <v>11700</v>
      </c>
      <c r="D1880" s="160" t="s">
        <v>4598</v>
      </c>
      <c r="E1880" s="160">
        <v>5830</v>
      </c>
      <c r="F1880" s="160" t="s">
        <v>75</v>
      </c>
      <c r="G1880" s="148">
        <v>14</v>
      </c>
      <c r="H1880" s="152">
        <f>IF(C1880=11700,ROUND(VLOOKUP(G1880,ThongSo!$F$2:$I$15,4,0)*B1880*11.7,3),0)</f>
        <v>113.256</v>
      </c>
      <c r="I1880" s="152" t="str">
        <f>IF(F1880="Sắt vụn",ROUND(VLOOKUP(G1880,ThongSo!$F$2:$I$15,4,0)*B1880*E1880/1000,3),"-")</f>
        <v>-</v>
      </c>
      <c r="L1880" s="150"/>
      <c r="M1880" s="150"/>
      <c r="N1880" s="150"/>
    </row>
    <row r="1881" spans="1:14" x14ac:dyDescent="0.25">
      <c r="A1881" s="154"/>
      <c r="G1881" s="148"/>
      <c r="H1881" s="152">
        <f>IF(C1881=11700,ROUND(VLOOKUP(G1881,ThongSo!$F$2:$I$15,4,0)*B1881*11.7,3),0)</f>
        <v>0</v>
      </c>
      <c r="I1881" s="152" t="str">
        <f>IF(F1881="Sắt vụn",ROUND(VLOOKUP(G1881,ThongSo!$F$2:$I$15,4,0)*B1881*E1881/1000,3),"-")</f>
        <v>-</v>
      </c>
      <c r="L1881" s="150"/>
      <c r="M1881" s="150"/>
      <c r="N1881" s="150"/>
    </row>
    <row r="1882" spans="1:14" x14ac:dyDescent="0.25">
      <c r="A1882" s="167">
        <v>7</v>
      </c>
      <c r="B1882" s="167"/>
      <c r="C1882" s="167"/>
      <c r="D1882" s="167"/>
      <c r="E1882" s="167"/>
      <c r="F1882" s="167"/>
      <c r="G1882" s="148"/>
      <c r="H1882" s="152">
        <f>IF(C1882=11700,ROUND(VLOOKUP(G1882,ThongSo!$F$2:$I$15,4,0)*B1882*11.7,3),0)</f>
        <v>0</v>
      </c>
      <c r="I1882" s="152" t="str">
        <f>IF(F1882="Sắt vụn",ROUND(VLOOKUP(G1882,ThongSo!$F$2:$I$15,4,0)*B1882*E1882/1000,3),"-")</f>
        <v>-</v>
      </c>
      <c r="L1882" s="150"/>
      <c r="M1882" s="150"/>
      <c r="N1882" s="150"/>
    </row>
    <row r="1883" spans="1:14" x14ac:dyDescent="0.25">
      <c r="A1883" s="154"/>
      <c r="G1883" s="148"/>
      <c r="H1883" s="152">
        <f>IF(C1883=11700,ROUND(VLOOKUP(G1883,ThongSo!$F$2:$I$15,4,0)*B1883*11.7,3),0)</f>
        <v>0</v>
      </c>
      <c r="I1883" s="152" t="str">
        <f>IF(F1883="Sắt vụn",ROUND(VLOOKUP(G1883,ThongSo!$F$2:$I$15,4,0)*B1883*E1883/1000,3),"-")</f>
        <v>-</v>
      </c>
      <c r="L1883" s="150"/>
      <c r="M1883" s="150"/>
      <c r="N1883" s="150"/>
    </row>
    <row r="1884" spans="1:14" x14ac:dyDescent="0.25">
      <c r="A1884" s="155" t="s">
        <v>50</v>
      </c>
      <c r="B1884" s="155" t="s">
        <v>51</v>
      </c>
      <c r="C1884" s="155" t="s">
        <v>45</v>
      </c>
      <c r="D1884" s="155" t="s">
        <v>42</v>
      </c>
      <c r="E1884" s="155" t="s">
        <v>43</v>
      </c>
      <c r="F1884" s="156" t="s">
        <v>46</v>
      </c>
      <c r="G1884" s="148"/>
      <c r="H1884" s="152">
        <f>IF(C1884=11700,ROUND(VLOOKUP(G1884,ThongSo!$F$2:$I$15,4,0)*B1884*11.7,3),0)</f>
        <v>0</v>
      </c>
      <c r="I1884" s="152" t="str">
        <f>IF(F1884="Sắt vụn",ROUND(VLOOKUP(G1884,ThongSo!$F$2:$I$15,4,0)*B1884*E1884/1000,3),"-")</f>
        <v>-</v>
      </c>
      <c r="L1884" s="150"/>
      <c r="M1884" s="150"/>
      <c r="N1884" s="150"/>
    </row>
    <row r="1885" spans="1:14" x14ac:dyDescent="0.25">
      <c r="A1885" s="157" t="s">
        <v>72</v>
      </c>
      <c r="B1885" s="158"/>
      <c r="C1885" s="158"/>
      <c r="D1885" s="158"/>
      <c r="E1885" s="158"/>
      <c r="F1885" s="158"/>
      <c r="G1885" s="148"/>
      <c r="H1885" s="152">
        <f>IF(C1885=11700,ROUND(VLOOKUP(G1885,ThongSo!$F$2:$I$15,4,0)*B1885*11.7,3),0)</f>
        <v>0</v>
      </c>
      <c r="I1885" s="152" t="str">
        <f>IF(F1885="Sắt vụn",ROUND(VLOOKUP(G1885,ThongSo!$F$2:$I$15,4,0)*B1885*E1885/1000,3),"-")</f>
        <v>-</v>
      </c>
      <c r="L1885" s="150"/>
      <c r="M1885" s="150"/>
      <c r="N1885" s="150"/>
    </row>
    <row r="1886" spans="1:14" x14ac:dyDescent="0.25">
      <c r="A1886" s="159" t="s">
        <v>73</v>
      </c>
      <c r="B1886" s="160">
        <v>365</v>
      </c>
      <c r="C1886" s="160">
        <v>11700</v>
      </c>
      <c r="D1886" s="160"/>
      <c r="E1886" s="160"/>
      <c r="F1886" s="160"/>
      <c r="G1886" s="148">
        <v>32</v>
      </c>
      <c r="H1886" s="152">
        <f>IF(C1886=11700,ROUND(VLOOKUP(G1886,ThongSo!$F$2:$I$15,4,0)*B1886*11.7,3),0)</f>
        <v>26946.855</v>
      </c>
      <c r="I1886" s="152" t="str">
        <f>IF(F1886="Sắt vụn",ROUND(VLOOKUP(G1886,ThongSo!$F$2:$I$15,4,0)*B1886*E1886/1000,3),"-")</f>
        <v>-</v>
      </c>
      <c r="L1886" s="150"/>
      <c r="M1886" s="150"/>
      <c r="N1886" s="150"/>
    </row>
    <row r="1887" spans="1:14" x14ac:dyDescent="0.25">
      <c r="A1887" s="159" t="s">
        <v>162</v>
      </c>
      <c r="B1887" s="160">
        <v>36</v>
      </c>
      <c r="C1887" s="160">
        <v>1700</v>
      </c>
      <c r="D1887" s="160" t="s">
        <v>4640</v>
      </c>
      <c r="E1887" s="160">
        <v>10</v>
      </c>
      <c r="F1887" s="160" t="s">
        <v>74</v>
      </c>
      <c r="G1887" s="148">
        <v>32</v>
      </c>
      <c r="H1887" s="152">
        <f>IF(C1887=11700,ROUND(VLOOKUP(G1887,ThongSo!$F$2:$I$15,4,0)*B1887*11.7,3),0)</f>
        <v>0</v>
      </c>
      <c r="I1887" s="152">
        <f>IF(F1887="Sắt vụn",ROUND(VLOOKUP(G1887,ThongSo!$F$2:$I$15,4,0)*B1887*E1887/1000,3),"-")</f>
        <v>2.2719999999999998</v>
      </c>
      <c r="L1887" s="150"/>
      <c r="M1887" s="150"/>
      <c r="N1887" s="150"/>
    </row>
    <row r="1888" spans="1:14" x14ac:dyDescent="0.25">
      <c r="A1888" s="159" t="s">
        <v>162</v>
      </c>
      <c r="B1888" s="160">
        <v>36</v>
      </c>
      <c r="C1888" s="160">
        <v>1700</v>
      </c>
      <c r="D1888" s="160" t="s">
        <v>4641</v>
      </c>
      <c r="E1888" s="160">
        <v>10</v>
      </c>
      <c r="F1888" s="160" t="s">
        <v>74</v>
      </c>
      <c r="G1888" s="148">
        <v>32</v>
      </c>
      <c r="H1888" s="152">
        <f>IF(C1888=11700,ROUND(VLOOKUP(G1888,ThongSo!$F$2:$I$15,4,0)*B1888*11.7,3),0)</f>
        <v>0</v>
      </c>
      <c r="I1888" s="152">
        <f>IF(F1888="Sắt vụn",ROUND(VLOOKUP(G1888,ThongSo!$F$2:$I$15,4,0)*B1888*E1888/1000,3),"-")</f>
        <v>2.2719999999999998</v>
      </c>
      <c r="L1888" s="150"/>
      <c r="M1888" s="150"/>
      <c r="N1888" s="150"/>
    </row>
    <row r="1889" spans="1:14" x14ac:dyDescent="0.25">
      <c r="A1889" s="159" t="s">
        <v>162</v>
      </c>
      <c r="B1889" s="160">
        <v>18</v>
      </c>
      <c r="C1889" s="160">
        <v>1700</v>
      </c>
      <c r="D1889" s="160" t="s">
        <v>4642</v>
      </c>
      <c r="E1889" s="160">
        <v>610</v>
      </c>
      <c r="F1889" s="160" t="s">
        <v>74</v>
      </c>
      <c r="G1889" s="148">
        <v>32</v>
      </c>
      <c r="H1889" s="152">
        <f>IF(C1889=11700,ROUND(VLOOKUP(G1889,ThongSo!$F$2:$I$15,4,0)*B1889*11.7,3),0)</f>
        <v>0</v>
      </c>
      <c r="I1889" s="152">
        <f>IF(F1889="Sắt vụn",ROUND(VLOOKUP(G1889,ThongSo!$F$2:$I$15,4,0)*B1889*E1889/1000,3),"-")</f>
        <v>69.284000000000006</v>
      </c>
      <c r="L1889" s="150"/>
      <c r="M1889" s="150"/>
      <c r="N1889" s="150"/>
    </row>
    <row r="1890" spans="1:14" x14ac:dyDescent="0.25">
      <c r="A1890" s="159" t="s">
        <v>162</v>
      </c>
      <c r="B1890" s="160">
        <v>34</v>
      </c>
      <c r="C1890" s="160">
        <v>1700</v>
      </c>
      <c r="D1890" s="160" t="s">
        <v>4643</v>
      </c>
      <c r="E1890" s="160">
        <v>610</v>
      </c>
      <c r="F1890" s="160" t="s">
        <v>74</v>
      </c>
      <c r="G1890" s="148">
        <v>32</v>
      </c>
      <c r="H1890" s="152">
        <f>IF(C1890=11700,ROUND(VLOOKUP(G1890,ThongSo!$F$2:$I$15,4,0)*B1890*11.7,3),0)</f>
        <v>0</v>
      </c>
      <c r="I1890" s="152">
        <f>IF(F1890="Sắt vụn",ROUND(VLOOKUP(G1890,ThongSo!$F$2:$I$15,4,0)*B1890*E1890/1000,3),"-")</f>
        <v>130.869</v>
      </c>
      <c r="L1890" s="150"/>
      <c r="M1890" s="150"/>
      <c r="N1890" s="150"/>
    </row>
    <row r="1891" spans="1:14" x14ac:dyDescent="0.25">
      <c r="A1891" s="159" t="s">
        <v>162</v>
      </c>
      <c r="B1891" s="160">
        <v>34</v>
      </c>
      <c r="C1891" s="160">
        <v>1700</v>
      </c>
      <c r="D1891" s="160" t="s">
        <v>4644</v>
      </c>
      <c r="E1891" s="160">
        <v>610</v>
      </c>
      <c r="F1891" s="160" t="s">
        <v>74</v>
      </c>
      <c r="G1891" s="148">
        <v>32</v>
      </c>
      <c r="H1891" s="152">
        <f>IF(C1891=11700,ROUND(VLOOKUP(G1891,ThongSo!$F$2:$I$15,4,0)*B1891*11.7,3),0)</f>
        <v>0</v>
      </c>
      <c r="I1891" s="152">
        <f>IF(F1891="Sắt vụn",ROUND(VLOOKUP(G1891,ThongSo!$F$2:$I$15,4,0)*B1891*E1891/1000,3),"-")</f>
        <v>130.869</v>
      </c>
      <c r="L1891" s="150"/>
      <c r="M1891" s="150"/>
      <c r="N1891" s="150"/>
    </row>
    <row r="1892" spans="1:14" x14ac:dyDescent="0.25">
      <c r="A1892" s="159" t="s">
        <v>163</v>
      </c>
      <c r="B1892" s="160">
        <v>1</v>
      </c>
      <c r="C1892" s="160">
        <v>1780</v>
      </c>
      <c r="D1892" s="160" t="s">
        <v>4645</v>
      </c>
      <c r="E1892" s="160">
        <v>5</v>
      </c>
      <c r="F1892" s="160" t="s">
        <v>74</v>
      </c>
      <c r="G1892" s="148">
        <v>32</v>
      </c>
      <c r="H1892" s="152">
        <f>IF(C1892=11700,ROUND(VLOOKUP(G1892,ThongSo!$F$2:$I$15,4,0)*B1892*11.7,3),0)</f>
        <v>0</v>
      </c>
      <c r="I1892" s="152">
        <f>IF(F1892="Sắt vụn",ROUND(VLOOKUP(G1892,ThongSo!$F$2:$I$15,4,0)*B1892*E1892/1000,3),"-")</f>
        <v>3.2000000000000001E-2</v>
      </c>
      <c r="L1892" s="150"/>
      <c r="M1892" s="150"/>
      <c r="N1892" s="150"/>
    </row>
    <row r="1893" spans="1:14" x14ac:dyDescent="0.25">
      <c r="A1893" s="159" t="s">
        <v>225</v>
      </c>
      <c r="B1893" s="160">
        <v>1</v>
      </c>
      <c r="C1893" s="160">
        <v>3580</v>
      </c>
      <c r="D1893" s="160" t="s">
        <v>4646</v>
      </c>
      <c r="E1893" s="160">
        <v>30</v>
      </c>
      <c r="F1893" s="160" t="s">
        <v>74</v>
      </c>
      <c r="G1893" s="148">
        <v>32</v>
      </c>
      <c r="H1893" s="152">
        <f>IF(C1893=11700,ROUND(VLOOKUP(G1893,ThongSo!$F$2:$I$15,4,0)*B1893*11.7,3),0)</f>
        <v>0</v>
      </c>
      <c r="I1893" s="152">
        <f>IF(F1893="Sắt vụn",ROUND(VLOOKUP(G1893,ThongSo!$F$2:$I$15,4,0)*B1893*E1893/1000,3),"-")</f>
        <v>0.189</v>
      </c>
      <c r="L1893" s="150"/>
      <c r="M1893" s="150"/>
      <c r="N1893" s="150"/>
    </row>
    <row r="1894" spans="1:14" x14ac:dyDescent="0.25">
      <c r="A1894" s="159" t="s">
        <v>225</v>
      </c>
      <c r="B1894" s="160">
        <v>4</v>
      </c>
      <c r="C1894" s="160">
        <v>3580</v>
      </c>
      <c r="D1894" s="160" t="s">
        <v>4647</v>
      </c>
      <c r="E1894" s="160">
        <v>280</v>
      </c>
      <c r="F1894" s="160" t="s">
        <v>74</v>
      </c>
      <c r="G1894" s="148">
        <v>32</v>
      </c>
      <c r="H1894" s="152">
        <f>IF(C1894=11700,ROUND(VLOOKUP(G1894,ThongSo!$F$2:$I$15,4,0)*B1894*11.7,3),0)</f>
        <v>0</v>
      </c>
      <c r="I1894" s="152">
        <f>IF(F1894="Sắt vụn",ROUND(VLOOKUP(G1894,ThongSo!$F$2:$I$15,4,0)*B1894*E1894/1000,3),"-")</f>
        <v>7.0670000000000002</v>
      </c>
      <c r="L1894" s="150"/>
      <c r="M1894" s="150"/>
      <c r="N1894" s="150"/>
    </row>
    <row r="1895" spans="1:14" x14ac:dyDescent="0.25">
      <c r="A1895" s="159" t="s">
        <v>225</v>
      </c>
      <c r="B1895" s="160">
        <v>1</v>
      </c>
      <c r="C1895" s="160">
        <v>3580</v>
      </c>
      <c r="D1895" s="160" t="s">
        <v>4648</v>
      </c>
      <c r="E1895" s="160">
        <v>490</v>
      </c>
      <c r="F1895" s="160" t="s">
        <v>74</v>
      </c>
      <c r="G1895" s="148">
        <v>32</v>
      </c>
      <c r="H1895" s="152">
        <f>IF(C1895=11700,ROUND(VLOOKUP(G1895,ThongSo!$F$2:$I$15,4,0)*B1895*11.7,3),0)</f>
        <v>0</v>
      </c>
      <c r="I1895" s="152">
        <f>IF(F1895="Sắt vụn",ROUND(VLOOKUP(G1895,ThongSo!$F$2:$I$15,4,0)*B1895*E1895/1000,3),"-")</f>
        <v>3.0920000000000001</v>
      </c>
      <c r="L1895" s="150"/>
      <c r="M1895" s="150"/>
      <c r="N1895" s="150"/>
    </row>
    <row r="1896" spans="1:14" x14ac:dyDescent="0.25">
      <c r="A1896" s="159" t="s">
        <v>244</v>
      </c>
      <c r="B1896" s="160">
        <v>2</v>
      </c>
      <c r="C1896" s="160">
        <v>3595</v>
      </c>
      <c r="D1896" s="160" t="s">
        <v>4648</v>
      </c>
      <c r="E1896" s="160">
        <v>505</v>
      </c>
      <c r="F1896" s="160" t="s">
        <v>74</v>
      </c>
      <c r="G1896" s="148">
        <v>32</v>
      </c>
      <c r="H1896" s="152">
        <f>IF(C1896=11700,ROUND(VLOOKUP(G1896,ThongSo!$F$2:$I$15,4,0)*B1896*11.7,3),0)</f>
        <v>0</v>
      </c>
      <c r="I1896" s="152">
        <f>IF(F1896="Sắt vụn",ROUND(VLOOKUP(G1896,ThongSo!$F$2:$I$15,4,0)*B1896*E1896/1000,3),"-")</f>
        <v>6.3730000000000002</v>
      </c>
      <c r="L1896" s="150"/>
      <c r="M1896" s="150"/>
      <c r="N1896" s="150"/>
    </row>
    <row r="1897" spans="1:14" x14ac:dyDescent="0.25">
      <c r="A1897" s="159" t="s">
        <v>140</v>
      </c>
      <c r="B1897" s="160">
        <v>7</v>
      </c>
      <c r="C1897" s="160">
        <v>3610</v>
      </c>
      <c r="D1897" s="160" t="s">
        <v>4648</v>
      </c>
      <c r="E1897" s="160">
        <v>520</v>
      </c>
      <c r="F1897" s="160" t="s">
        <v>74</v>
      </c>
      <c r="G1897" s="148">
        <v>32</v>
      </c>
      <c r="H1897" s="152">
        <f>IF(C1897=11700,ROUND(VLOOKUP(G1897,ThongSo!$F$2:$I$15,4,0)*B1897*11.7,3),0)</f>
        <v>0</v>
      </c>
      <c r="I1897" s="152">
        <f>IF(F1897="Sắt vụn",ROUND(VLOOKUP(G1897,ThongSo!$F$2:$I$15,4,0)*B1897*E1897/1000,3),"-")</f>
        <v>22.968</v>
      </c>
      <c r="L1897" s="150"/>
      <c r="M1897" s="150"/>
      <c r="N1897" s="150"/>
    </row>
    <row r="1898" spans="1:14" x14ac:dyDescent="0.25">
      <c r="A1898" s="159" t="s">
        <v>173</v>
      </c>
      <c r="B1898" s="160">
        <v>5</v>
      </c>
      <c r="C1898" s="160">
        <v>4550</v>
      </c>
      <c r="D1898" s="160" t="s">
        <v>4649</v>
      </c>
      <c r="E1898" s="160">
        <v>0</v>
      </c>
      <c r="F1898" s="160"/>
      <c r="G1898" s="148">
        <v>32</v>
      </c>
      <c r="H1898" s="152">
        <f>IF(C1898=11700,ROUND(VLOOKUP(G1898,ThongSo!$F$2:$I$15,4,0)*B1898*11.7,3),0)</f>
        <v>0</v>
      </c>
      <c r="I1898" s="152" t="str">
        <f>IF(F1898="Sắt vụn",ROUND(VLOOKUP(G1898,ThongSo!$F$2:$I$15,4,0)*B1898*E1898/1000,3),"-")</f>
        <v>-</v>
      </c>
      <c r="L1898" s="150"/>
      <c r="M1898" s="150"/>
      <c r="N1898" s="150"/>
    </row>
    <row r="1899" spans="1:14" x14ac:dyDescent="0.25">
      <c r="A1899" s="159" t="s">
        <v>173</v>
      </c>
      <c r="B1899" s="160">
        <v>4</v>
      </c>
      <c r="C1899" s="160">
        <v>4550</v>
      </c>
      <c r="D1899" s="160" t="s">
        <v>4650</v>
      </c>
      <c r="E1899" s="160">
        <v>0</v>
      </c>
      <c r="F1899" s="160"/>
      <c r="G1899" s="148">
        <v>32</v>
      </c>
      <c r="H1899" s="152">
        <f>IF(C1899=11700,ROUND(VLOOKUP(G1899,ThongSo!$F$2:$I$15,4,0)*B1899*11.7,3),0)</f>
        <v>0</v>
      </c>
      <c r="I1899" s="152" t="str">
        <f>IF(F1899="Sắt vụn",ROUND(VLOOKUP(G1899,ThongSo!$F$2:$I$15,4,0)*B1899*E1899/1000,3),"-")</f>
        <v>-</v>
      </c>
      <c r="L1899" s="150"/>
      <c r="M1899" s="150"/>
      <c r="N1899" s="150"/>
    </row>
    <row r="1900" spans="1:14" x14ac:dyDescent="0.25">
      <c r="A1900" s="159" t="s">
        <v>146</v>
      </c>
      <c r="B1900" s="160">
        <v>5</v>
      </c>
      <c r="C1900" s="160">
        <v>4600</v>
      </c>
      <c r="D1900" s="160" t="s">
        <v>4651</v>
      </c>
      <c r="E1900" s="160">
        <v>20</v>
      </c>
      <c r="F1900" s="160" t="s">
        <v>74</v>
      </c>
      <c r="G1900" s="148">
        <v>32</v>
      </c>
      <c r="H1900" s="152">
        <f>IF(C1900=11700,ROUND(VLOOKUP(G1900,ThongSo!$F$2:$I$15,4,0)*B1900*11.7,3),0)</f>
        <v>0</v>
      </c>
      <c r="I1900" s="152">
        <f>IF(F1900="Sắt vụn",ROUND(VLOOKUP(G1900,ThongSo!$F$2:$I$15,4,0)*B1900*E1900/1000,3),"-")</f>
        <v>0.63100000000000001</v>
      </c>
      <c r="L1900" s="150"/>
      <c r="M1900" s="150"/>
      <c r="N1900" s="150"/>
    </row>
    <row r="1901" spans="1:14" x14ac:dyDescent="0.25">
      <c r="A1901" s="159" t="s">
        <v>146</v>
      </c>
      <c r="B1901" s="160">
        <v>1</v>
      </c>
      <c r="C1901" s="160">
        <v>4600</v>
      </c>
      <c r="D1901" s="160" t="s">
        <v>4652</v>
      </c>
      <c r="E1901" s="160">
        <v>20</v>
      </c>
      <c r="F1901" s="160" t="s">
        <v>74</v>
      </c>
      <c r="G1901" s="148">
        <v>32</v>
      </c>
      <c r="H1901" s="152">
        <f>IF(C1901=11700,ROUND(VLOOKUP(G1901,ThongSo!$F$2:$I$15,4,0)*B1901*11.7,3),0)</f>
        <v>0</v>
      </c>
      <c r="I1901" s="152">
        <f>IF(F1901="Sắt vụn",ROUND(VLOOKUP(G1901,ThongSo!$F$2:$I$15,4,0)*B1901*E1901/1000,3),"-")</f>
        <v>0.126</v>
      </c>
      <c r="L1901" s="150"/>
      <c r="M1901" s="150"/>
      <c r="N1901" s="150"/>
    </row>
    <row r="1902" spans="1:14" x14ac:dyDescent="0.25">
      <c r="A1902" s="159" t="s">
        <v>204</v>
      </c>
      <c r="B1902" s="160">
        <v>6</v>
      </c>
      <c r="C1902" s="160">
        <v>4695</v>
      </c>
      <c r="D1902" s="160" t="s">
        <v>4653</v>
      </c>
      <c r="E1902" s="160">
        <v>25</v>
      </c>
      <c r="F1902" s="160" t="s">
        <v>74</v>
      </c>
      <c r="G1902" s="148">
        <v>32</v>
      </c>
      <c r="H1902" s="152">
        <f>IF(C1902=11700,ROUND(VLOOKUP(G1902,ThongSo!$F$2:$I$15,4,0)*B1902*11.7,3),0)</f>
        <v>0</v>
      </c>
      <c r="I1902" s="152">
        <f>IF(F1902="Sắt vụn",ROUND(VLOOKUP(G1902,ThongSo!$F$2:$I$15,4,0)*B1902*E1902/1000,3),"-")</f>
        <v>0.94699999999999995</v>
      </c>
      <c r="L1902" s="150"/>
      <c r="M1902" s="150"/>
      <c r="N1902" s="150"/>
    </row>
    <row r="1903" spans="1:14" x14ac:dyDescent="0.25">
      <c r="A1903" s="159" t="s">
        <v>204</v>
      </c>
      <c r="B1903" s="160">
        <v>4</v>
      </c>
      <c r="C1903" s="160">
        <v>4695</v>
      </c>
      <c r="D1903" s="160" t="s">
        <v>4654</v>
      </c>
      <c r="E1903" s="160">
        <v>25</v>
      </c>
      <c r="F1903" s="160" t="s">
        <v>74</v>
      </c>
      <c r="G1903" s="148">
        <v>32</v>
      </c>
      <c r="H1903" s="152">
        <f>IF(C1903=11700,ROUND(VLOOKUP(G1903,ThongSo!$F$2:$I$15,4,0)*B1903*11.7,3),0)</f>
        <v>0</v>
      </c>
      <c r="I1903" s="152">
        <f>IF(F1903="Sắt vụn",ROUND(VLOOKUP(G1903,ThongSo!$F$2:$I$15,4,0)*B1903*E1903/1000,3),"-")</f>
        <v>0.63100000000000001</v>
      </c>
      <c r="L1903" s="150"/>
      <c r="M1903" s="150"/>
      <c r="N1903" s="150"/>
    </row>
    <row r="1904" spans="1:14" x14ac:dyDescent="0.25">
      <c r="A1904" s="159" t="s">
        <v>4615</v>
      </c>
      <c r="B1904" s="160">
        <v>10</v>
      </c>
      <c r="C1904" s="160">
        <v>5270</v>
      </c>
      <c r="D1904" s="160" t="s">
        <v>4655</v>
      </c>
      <c r="E1904" s="160">
        <v>90</v>
      </c>
      <c r="F1904" s="160" t="s">
        <v>74</v>
      </c>
      <c r="G1904" s="148">
        <v>32</v>
      </c>
      <c r="H1904" s="152">
        <f>IF(C1904=11700,ROUND(VLOOKUP(G1904,ThongSo!$F$2:$I$15,4,0)*B1904*11.7,3),0)</f>
        <v>0</v>
      </c>
      <c r="I1904" s="152">
        <f>IF(F1904="Sắt vụn",ROUND(VLOOKUP(G1904,ThongSo!$F$2:$I$15,4,0)*B1904*E1904/1000,3),"-")</f>
        <v>5.6790000000000003</v>
      </c>
      <c r="L1904" s="150"/>
      <c r="M1904" s="150"/>
      <c r="N1904" s="150"/>
    </row>
    <row r="1905" spans="1:14" x14ac:dyDescent="0.25">
      <c r="A1905" s="159" t="s">
        <v>4616</v>
      </c>
      <c r="B1905" s="160">
        <v>2</v>
      </c>
      <c r="C1905" s="160">
        <v>5300</v>
      </c>
      <c r="D1905" s="160" t="s">
        <v>4656</v>
      </c>
      <c r="E1905" s="160">
        <v>20</v>
      </c>
      <c r="F1905" s="160" t="s">
        <v>74</v>
      </c>
      <c r="G1905" s="148">
        <v>32</v>
      </c>
      <c r="H1905" s="152">
        <f>IF(C1905=11700,ROUND(VLOOKUP(G1905,ThongSo!$F$2:$I$15,4,0)*B1905*11.7,3),0)</f>
        <v>0</v>
      </c>
      <c r="I1905" s="152">
        <f>IF(F1905="Sắt vụn",ROUND(VLOOKUP(G1905,ThongSo!$F$2:$I$15,4,0)*B1905*E1905/1000,3),"-")</f>
        <v>0.252</v>
      </c>
      <c r="L1905" s="150"/>
      <c r="M1905" s="150"/>
      <c r="N1905" s="150"/>
    </row>
    <row r="1906" spans="1:14" x14ac:dyDescent="0.25">
      <c r="A1906" s="159" t="s">
        <v>4617</v>
      </c>
      <c r="B1906" s="160">
        <v>4</v>
      </c>
      <c r="C1906" s="160">
        <v>5315</v>
      </c>
      <c r="D1906" s="160" t="s">
        <v>4656</v>
      </c>
      <c r="E1906" s="160">
        <v>35</v>
      </c>
      <c r="F1906" s="160" t="s">
        <v>74</v>
      </c>
      <c r="G1906" s="148">
        <v>32</v>
      </c>
      <c r="H1906" s="152">
        <f>IF(C1906=11700,ROUND(VLOOKUP(G1906,ThongSo!$F$2:$I$15,4,0)*B1906*11.7,3),0)</f>
        <v>0</v>
      </c>
      <c r="I1906" s="152">
        <f>IF(F1906="Sắt vụn",ROUND(VLOOKUP(G1906,ThongSo!$F$2:$I$15,4,0)*B1906*E1906/1000,3),"-")</f>
        <v>0.88300000000000001</v>
      </c>
      <c r="L1906" s="150"/>
      <c r="M1906" s="150"/>
      <c r="N1906" s="150"/>
    </row>
    <row r="1907" spans="1:14" x14ac:dyDescent="0.25">
      <c r="A1907" s="159" t="s">
        <v>4618</v>
      </c>
      <c r="B1907" s="160">
        <v>8</v>
      </c>
      <c r="C1907" s="160">
        <v>5340</v>
      </c>
      <c r="D1907" s="160" t="s">
        <v>4656</v>
      </c>
      <c r="E1907" s="160">
        <v>60</v>
      </c>
      <c r="F1907" s="160" t="s">
        <v>74</v>
      </c>
      <c r="G1907" s="148">
        <v>32</v>
      </c>
      <c r="H1907" s="152">
        <f>IF(C1907=11700,ROUND(VLOOKUP(G1907,ThongSo!$F$2:$I$15,4,0)*B1907*11.7,3),0)</f>
        <v>0</v>
      </c>
      <c r="I1907" s="152">
        <f>IF(F1907="Sắt vụn",ROUND(VLOOKUP(G1907,ThongSo!$F$2:$I$15,4,0)*B1907*E1907/1000,3),"-")</f>
        <v>3.0289999999999999</v>
      </c>
      <c r="L1907" s="150"/>
      <c r="M1907" s="150"/>
      <c r="N1907" s="150"/>
    </row>
    <row r="1908" spans="1:14" x14ac:dyDescent="0.25">
      <c r="A1908" s="159" t="s">
        <v>4618</v>
      </c>
      <c r="B1908" s="160">
        <v>7</v>
      </c>
      <c r="C1908" s="160">
        <v>5340</v>
      </c>
      <c r="D1908" s="160" t="s">
        <v>4657</v>
      </c>
      <c r="E1908" s="160">
        <v>60</v>
      </c>
      <c r="F1908" s="160" t="s">
        <v>74</v>
      </c>
      <c r="G1908" s="148">
        <v>32</v>
      </c>
      <c r="H1908" s="152">
        <f>IF(C1908=11700,ROUND(VLOOKUP(G1908,ThongSo!$F$2:$I$15,4,0)*B1908*11.7,3),0)</f>
        <v>0</v>
      </c>
      <c r="I1908" s="152">
        <f>IF(F1908="Sắt vụn",ROUND(VLOOKUP(G1908,ThongSo!$F$2:$I$15,4,0)*B1908*E1908/1000,3),"-")</f>
        <v>2.65</v>
      </c>
      <c r="L1908" s="150"/>
      <c r="M1908" s="150"/>
      <c r="N1908" s="150"/>
    </row>
    <row r="1909" spans="1:14" x14ac:dyDescent="0.25">
      <c r="A1909" s="159" t="s">
        <v>4619</v>
      </c>
      <c r="B1909" s="160">
        <v>2</v>
      </c>
      <c r="C1909" s="160">
        <v>5510</v>
      </c>
      <c r="D1909" s="160" t="s">
        <v>4658</v>
      </c>
      <c r="E1909" s="160">
        <v>130</v>
      </c>
      <c r="F1909" s="160" t="s">
        <v>74</v>
      </c>
      <c r="G1909" s="148">
        <v>32</v>
      </c>
      <c r="H1909" s="152">
        <f>IF(C1909=11700,ROUND(VLOOKUP(G1909,ThongSo!$F$2:$I$15,4,0)*B1909*11.7,3),0)</f>
        <v>0</v>
      </c>
      <c r="I1909" s="152">
        <f>IF(F1909="Sắt vụn",ROUND(VLOOKUP(G1909,ThongSo!$F$2:$I$15,4,0)*B1909*E1909/1000,3),"-")</f>
        <v>1.641</v>
      </c>
      <c r="L1909" s="150"/>
      <c r="M1909" s="150"/>
      <c r="N1909" s="150"/>
    </row>
    <row r="1910" spans="1:14" x14ac:dyDescent="0.25">
      <c r="A1910" s="159" t="s">
        <v>4620</v>
      </c>
      <c r="B1910" s="160">
        <v>1</v>
      </c>
      <c r="C1910" s="160">
        <v>6125</v>
      </c>
      <c r="D1910" s="160" t="s">
        <v>4658</v>
      </c>
      <c r="E1910" s="160">
        <v>745</v>
      </c>
      <c r="F1910" s="160" t="s">
        <v>74</v>
      </c>
      <c r="G1910" s="148">
        <v>32</v>
      </c>
      <c r="H1910" s="152">
        <f>IF(C1910=11700,ROUND(VLOOKUP(G1910,ThongSo!$F$2:$I$15,4,0)*B1910*11.7,3),0)</f>
        <v>0</v>
      </c>
      <c r="I1910" s="152">
        <f>IF(F1910="Sắt vụn",ROUND(VLOOKUP(G1910,ThongSo!$F$2:$I$15,4,0)*B1910*E1910/1000,3),"-")</f>
        <v>4.7009999999999996</v>
      </c>
      <c r="L1910" s="150"/>
      <c r="M1910" s="150"/>
      <c r="N1910" s="150"/>
    </row>
    <row r="1911" spans="1:14" x14ac:dyDescent="0.25">
      <c r="A1911" s="159">
        <v>26</v>
      </c>
      <c r="B1911" s="160">
        <v>4</v>
      </c>
      <c r="C1911" s="160">
        <v>11700</v>
      </c>
      <c r="D1911" s="160" t="s">
        <v>4659</v>
      </c>
      <c r="E1911" s="160">
        <v>10</v>
      </c>
      <c r="F1911" s="160" t="s">
        <v>74</v>
      </c>
      <c r="G1911" s="148">
        <v>32</v>
      </c>
      <c r="H1911" s="152">
        <f>IF(C1911=11700,ROUND(VLOOKUP(G1911,ThongSo!$F$2:$I$15,4,0)*B1911*11.7,3),0)</f>
        <v>295.30799999999999</v>
      </c>
      <c r="I1911" s="152">
        <f>IF(F1911="Sắt vụn",ROUND(VLOOKUP(G1911,ThongSo!$F$2:$I$15,4,0)*B1911*E1911/1000,3),"-")</f>
        <v>0.252</v>
      </c>
      <c r="L1911" s="150"/>
      <c r="M1911" s="150"/>
      <c r="N1911" s="150"/>
    </row>
    <row r="1912" spans="1:14" x14ac:dyDescent="0.25">
      <c r="A1912" s="159">
        <v>27</v>
      </c>
      <c r="B1912" s="160">
        <v>5</v>
      </c>
      <c r="C1912" s="160">
        <v>11700</v>
      </c>
      <c r="D1912" s="160" t="s">
        <v>4660</v>
      </c>
      <c r="E1912" s="160">
        <v>20</v>
      </c>
      <c r="F1912" s="160" t="s">
        <v>74</v>
      </c>
      <c r="G1912" s="148">
        <v>32</v>
      </c>
      <c r="H1912" s="152">
        <f>IF(C1912=11700,ROUND(VLOOKUP(G1912,ThongSo!$F$2:$I$15,4,0)*B1912*11.7,3),0)</f>
        <v>369.13499999999999</v>
      </c>
      <c r="I1912" s="152">
        <f>IF(F1912="Sắt vụn",ROUND(VLOOKUP(G1912,ThongSo!$F$2:$I$15,4,0)*B1912*E1912/1000,3),"-")</f>
        <v>0.63100000000000001</v>
      </c>
      <c r="L1912" s="150"/>
      <c r="M1912" s="150"/>
      <c r="N1912" s="150"/>
    </row>
    <row r="1913" spans="1:14" x14ac:dyDescent="0.25">
      <c r="A1913" s="159">
        <v>28</v>
      </c>
      <c r="B1913" s="160">
        <v>3</v>
      </c>
      <c r="C1913" s="160">
        <v>11700</v>
      </c>
      <c r="D1913" s="160" t="s">
        <v>4661</v>
      </c>
      <c r="E1913" s="160">
        <v>20</v>
      </c>
      <c r="F1913" s="160" t="s">
        <v>74</v>
      </c>
      <c r="G1913" s="148">
        <v>32</v>
      </c>
      <c r="H1913" s="152">
        <f>IF(C1913=11700,ROUND(VLOOKUP(G1913,ThongSo!$F$2:$I$15,4,0)*B1913*11.7,3),0)</f>
        <v>221.48099999999999</v>
      </c>
      <c r="I1913" s="152">
        <f>IF(F1913="Sắt vụn",ROUND(VLOOKUP(G1913,ThongSo!$F$2:$I$15,4,0)*B1913*E1913/1000,3),"-")</f>
        <v>0.379</v>
      </c>
      <c r="L1913" s="150"/>
      <c r="M1913" s="150"/>
      <c r="N1913" s="150"/>
    </row>
    <row r="1914" spans="1:14" x14ac:dyDescent="0.25">
      <c r="A1914" s="159">
        <v>29</v>
      </c>
      <c r="B1914" s="160">
        <v>4</v>
      </c>
      <c r="C1914" s="160">
        <v>11700</v>
      </c>
      <c r="D1914" s="160" t="s">
        <v>4662</v>
      </c>
      <c r="E1914" s="160">
        <v>25</v>
      </c>
      <c r="F1914" s="160" t="s">
        <v>74</v>
      </c>
      <c r="G1914" s="148">
        <v>32</v>
      </c>
      <c r="H1914" s="152">
        <f>IF(C1914=11700,ROUND(VLOOKUP(G1914,ThongSo!$F$2:$I$15,4,0)*B1914*11.7,3),0)</f>
        <v>295.30799999999999</v>
      </c>
      <c r="I1914" s="152">
        <f>IF(F1914="Sắt vụn",ROUND(VLOOKUP(G1914,ThongSo!$F$2:$I$15,4,0)*B1914*E1914/1000,3),"-")</f>
        <v>0.63100000000000001</v>
      </c>
      <c r="L1914" s="150"/>
      <c r="M1914" s="150"/>
      <c r="N1914" s="150"/>
    </row>
    <row r="1915" spans="1:14" x14ac:dyDescent="0.25">
      <c r="A1915" s="159">
        <v>30</v>
      </c>
      <c r="B1915" s="160">
        <v>5</v>
      </c>
      <c r="C1915" s="160">
        <v>11700</v>
      </c>
      <c r="D1915" s="160" t="s">
        <v>4663</v>
      </c>
      <c r="E1915" s="160">
        <v>25</v>
      </c>
      <c r="F1915" s="160" t="s">
        <v>74</v>
      </c>
      <c r="G1915" s="148">
        <v>32</v>
      </c>
      <c r="H1915" s="152">
        <f>IF(C1915=11700,ROUND(VLOOKUP(G1915,ThongSo!$F$2:$I$15,4,0)*B1915*11.7,3),0)</f>
        <v>369.13499999999999</v>
      </c>
      <c r="I1915" s="152">
        <f>IF(F1915="Sắt vụn",ROUND(VLOOKUP(G1915,ThongSo!$F$2:$I$15,4,0)*B1915*E1915/1000,3),"-")</f>
        <v>0.78900000000000003</v>
      </c>
      <c r="L1915" s="150"/>
      <c r="M1915" s="150"/>
      <c r="N1915" s="150"/>
    </row>
    <row r="1916" spans="1:14" x14ac:dyDescent="0.25">
      <c r="A1916" s="159">
        <v>31</v>
      </c>
      <c r="B1916" s="160">
        <v>4</v>
      </c>
      <c r="C1916" s="160">
        <v>11700</v>
      </c>
      <c r="D1916" s="160" t="s">
        <v>4664</v>
      </c>
      <c r="E1916" s="160">
        <v>30</v>
      </c>
      <c r="F1916" s="160" t="s">
        <v>74</v>
      </c>
      <c r="G1916" s="148">
        <v>32</v>
      </c>
      <c r="H1916" s="152">
        <f>IF(C1916=11700,ROUND(VLOOKUP(G1916,ThongSo!$F$2:$I$15,4,0)*B1916*11.7,3),0)</f>
        <v>295.30799999999999</v>
      </c>
      <c r="I1916" s="152">
        <f>IF(F1916="Sắt vụn",ROUND(VLOOKUP(G1916,ThongSo!$F$2:$I$15,4,0)*B1916*E1916/1000,3),"-")</f>
        <v>0.75700000000000001</v>
      </c>
      <c r="L1916" s="150"/>
      <c r="M1916" s="150"/>
      <c r="N1916" s="150"/>
    </row>
    <row r="1917" spans="1:14" x14ac:dyDescent="0.25">
      <c r="A1917" s="159">
        <v>32</v>
      </c>
      <c r="B1917" s="160">
        <v>3</v>
      </c>
      <c r="C1917" s="160">
        <v>11700</v>
      </c>
      <c r="D1917" s="160" t="s">
        <v>4665</v>
      </c>
      <c r="E1917" s="160">
        <v>30</v>
      </c>
      <c r="F1917" s="160" t="s">
        <v>74</v>
      </c>
      <c r="G1917" s="148">
        <v>32</v>
      </c>
      <c r="H1917" s="152">
        <f>IF(C1917=11700,ROUND(VLOOKUP(G1917,ThongSo!$F$2:$I$15,4,0)*B1917*11.7,3),0)</f>
        <v>221.48099999999999</v>
      </c>
      <c r="I1917" s="152">
        <f>IF(F1917="Sắt vụn",ROUND(VLOOKUP(G1917,ThongSo!$F$2:$I$15,4,0)*B1917*E1917/1000,3),"-")</f>
        <v>0.56799999999999995</v>
      </c>
      <c r="L1917" s="150"/>
      <c r="M1917" s="150"/>
      <c r="N1917" s="150"/>
    </row>
    <row r="1918" spans="1:14" x14ac:dyDescent="0.25">
      <c r="A1918" s="159">
        <v>33</v>
      </c>
      <c r="B1918" s="160">
        <v>4</v>
      </c>
      <c r="C1918" s="160">
        <v>11700</v>
      </c>
      <c r="D1918" s="160" t="s">
        <v>4666</v>
      </c>
      <c r="E1918" s="160">
        <v>30</v>
      </c>
      <c r="F1918" s="160" t="s">
        <v>74</v>
      </c>
      <c r="G1918" s="148">
        <v>32</v>
      </c>
      <c r="H1918" s="152">
        <f>IF(C1918=11700,ROUND(VLOOKUP(G1918,ThongSo!$F$2:$I$15,4,0)*B1918*11.7,3),0)</f>
        <v>295.30799999999999</v>
      </c>
      <c r="I1918" s="152">
        <f>IF(F1918="Sắt vụn",ROUND(VLOOKUP(G1918,ThongSo!$F$2:$I$15,4,0)*B1918*E1918/1000,3),"-")</f>
        <v>0.75700000000000001</v>
      </c>
      <c r="L1918" s="150"/>
      <c r="M1918" s="150"/>
      <c r="N1918" s="150"/>
    </row>
    <row r="1919" spans="1:14" x14ac:dyDescent="0.25">
      <c r="A1919" s="159">
        <v>34</v>
      </c>
      <c r="B1919" s="160">
        <v>3</v>
      </c>
      <c r="C1919" s="160">
        <v>11700</v>
      </c>
      <c r="D1919" s="160" t="s">
        <v>4667</v>
      </c>
      <c r="E1919" s="160">
        <v>35</v>
      </c>
      <c r="F1919" s="160" t="s">
        <v>74</v>
      </c>
      <c r="G1919" s="148">
        <v>32</v>
      </c>
      <c r="H1919" s="152">
        <f>IF(C1919=11700,ROUND(VLOOKUP(G1919,ThongSo!$F$2:$I$15,4,0)*B1919*11.7,3),0)</f>
        <v>221.48099999999999</v>
      </c>
      <c r="I1919" s="152">
        <f>IF(F1919="Sắt vụn",ROUND(VLOOKUP(G1919,ThongSo!$F$2:$I$15,4,0)*B1919*E1919/1000,3),"-")</f>
        <v>0.66300000000000003</v>
      </c>
      <c r="L1919" s="150"/>
      <c r="M1919" s="150"/>
      <c r="N1919" s="150"/>
    </row>
    <row r="1920" spans="1:14" x14ac:dyDescent="0.25">
      <c r="A1920" s="159">
        <v>35</v>
      </c>
      <c r="B1920" s="160">
        <v>1</v>
      </c>
      <c r="C1920" s="160">
        <v>11700</v>
      </c>
      <c r="D1920" s="160" t="s">
        <v>4668</v>
      </c>
      <c r="E1920" s="160">
        <v>35</v>
      </c>
      <c r="F1920" s="160" t="s">
        <v>74</v>
      </c>
      <c r="G1920" s="148">
        <v>32</v>
      </c>
      <c r="H1920" s="152">
        <f>IF(C1920=11700,ROUND(VLOOKUP(G1920,ThongSo!$F$2:$I$15,4,0)*B1920*11.7,3),0)</f>
        <v>73.826999999999998</v>
      </c>
      <c r="I1920" s="152">
        <f>IF(F1920="Sắt vụn",ROUND(VLOOKUP(G1920,ThongSo!$F$2:$I$15,4,0)*B1920*E1920/1000,3),"-")</f>
        <v>0.221</v>
      </c>
      <c r="L1920" s="150"/>
      <c r="M1920" s="150"/>
      <c r="N1920" s="150"/>
    </row>
    <row r="1921" spans="1:14" x14ac:dyDescent="0.25">
      <c r="A1921" s="159">
        <v>36</v>
      </c>
      <c r="B1921" s="160">
        <v>2</v>
      </c>
      <c r="C1921" s="160">
        <v>11700</v>
      </c>
      <c r="D1921" s="160" t="s">
        <v>4669</v>
      </c>
      <c r="E1921" s="160">
        <v>45</v>
      </c>
      <c r="F1921" s="160" t="s">
        <v>74</v>
      </c>
      <c r="G1921" s="148">
        <v>32</v>
      </c>
      <c r="H1921" s="152">
        <f>IF(C1921=11700,ROUND(VLOOKUP(G1921,ThongSo!$F$2:$I$15,4,0)*B1921*11.7,3),0)</f>
        <v>147.654</v>
      </c>
      <c r="I1921" s="152">
        <f>IF(F1921="Sắt vụn",ROUND(VLOOKUP(G1921,ThongSo!$F$2:$I$15,4,0)*B1921*E1921/1000,3),"-")</f>
        <v>0.56799999999999995</v>
      </c>
      <c r="L1921" s="150"/>
      <c r="M1921" s="150"/>
      <c r="N1921" s="150"/>
    </row>
    <row r="1922" spans="1:14" x14ac:dyDescent="0.25">
      <c r="A1922" s="159">
        <v>37</v>
      </c>
      <c r="B1922" s="160">
        <v>2</v>
      </c>
      <c r="C1922" s="160">
        <v>11700</v>
      </c>
      <c r="D1922" s="160" t="s">
        <v>4670</v>
      </c>
      <c r="E1922" s="160">
        <v>50</v>
      </c>
      <c r="F1922" s="160" t="s">
        <v>74</v>
      </c>
      <c r="G1922" s="148">
        <v>32</v>
      </c>
      <c r="H1922" s="152">
        <f>IF(C1922=11700,ROUND(VLOOKUP(G1922,ThongSo!$F$2:$I$15,4,0)*B1922*11.7,3),0)</f>
        <v>147.654</v>
      </c>
      <c r="I1922" s="152">
        <f>IF(F1922="Sắt vụn",ROUND(VLOOKUP(G1922,ThongSo!$F$2:$I$15,4,0)*B1922*E1922/1000,3),"-")</f>
        <v>0.63100000000000001</v>
      </c>
      <c r="L1922" s="150"/>
      <c r="M1922" s="150"/>
      <c r="N1922" s="150"/>
    </row>
    <row r="1923" spans="1:14" x14ac:dyDescent="0.25">
      <c r="A1923" s="159">
        <v>38</v>
      </c>
      <c r="B1923" s="160">
        <v>10</v>
      </c>
      <c r="C1923" s="160">
        <v>11700</v>
      </c>
      <c r="D1923" s="160" t="s">
        <v>4671</v>
      </c>
      <c r="E1923" s="160">
        <v>50</v>
      </c>
      <c r="F1923" s="160" t="s">
        <v>74</v>
      </c>
      <c r="G1923" s="148">
        <v>32</v>
      </c>
      <c r="H1923" s="152">
        <f>IF(C1923=11700,ROUND(VLOOKUP(G1923,ThongSo!$F$2:$I$15,4,0)*B1923*11.7,3),0)</f>
        <v>738.27</v>
      </c>
      <c r="I1923" s="152">
        <f>IF(F1923="Sắt vụn",ROUND(VLOOKUP(G1923,ThongSo!$F$2:$I$15,4,0)*B1923*E1923/1000,3),"-")</f>
        <v>3.1549999999999998</v>
      </c>
      <c r="L1923" s="150"/>
      <c r="M1923" s="150"/>
      <c r="N1923" s="150"/>
    </row>
    <row r="1924" spans="1:14" x14ac:dyDescent="0.25">
      <c r="A1924" s="159">
        <v>39</v>
      </c>
      <c r="B1924" s="160">
        <v>6</v>
      </c>
      <c r="C1924" s="160">
        <v>11700</v>
      </c>
      <c r="D1924" s="160" t="s">
        <v>4672</v>
      </c>
      <c r="E1924" s="160">
        <v>50</v>
      </c>
      <c r="F1924" s="160" t="s">
        <v>74</v>
      </c>
      <c r="G1924" s="148">
        <v>32</v>
      </c>
      <c r="H1924" s="152">
        <f>IF(C1924=11700,ROUND(VLOOKUP(G1924,ThongSo!$F$2:$I$15,4,0)*B1924*11.7,3),0)</f>
        <v>442.96199999999999</v>
      </c>
      <c r="I1924" s="152">
        <f>IF(F1924="Sắt vụn",ROUND(VLOOKUP(G1924,ThongSo!$F$2:$I$15,4,0)*B1924*E1924/1000,3),"-")</f>
        <v>1.893</v>
      </c>
      <c r="L1924" s="150"/>
      <c r="M1924" s="150"/>
      <c r="N1924" s="150"/>
    </row>
    <row r="1925" spans="1:14" x14ac:dyDescent="0.25">
      <c r="A1925" s="159">
        <v>40</v>
      </c>
      <c r="B1925" s="160">
        <v>4</v>
      </c>
      <c r="C1925" s="160">
        <v>11700</v>
      </c>
      <c r="D1925" s="160" t="s">
        <v>4673</v>
      </c>
      <c r="E1925" s="160">
        <v>50</v>
      </c>
      <c r="F1925" s="160" t="s">
        <v>74</v>
      </c>
      <c r="G1925" s="148">
        <v>32</v>
      </c>
      <c r="H1925" s="152">
        <f>IF(C1925=11700,ROUND(VLOOKUP(G1925,ThongSo!$F$2:$I$15,4,0)*B1925*11.7,3),0)</f>
        <v>295.30799999999999</v>
      </c>
      <c r="I1925" s="152">
        <f>IF(F1925="Sắt vụn",ROUND(VLOOKUP(G1925,ThongSo!$F$2:$I$15,4,0)*B1925*E1925/1000,3),"-")</f>
        <v>1.262</v>
      </c>
      <c r="L1925" s="150"/>
      <c r="M1925" s="150"/>
      <c r="N1925" s="150"/>
    </row>
    <row r="1926" spans="1:14" x14ac:dyDescent="0.25">
      <c r="A1926" s="159">
        <v>41</v>
      </c>
      <c r="B1926" s="160">
        <v>6</v>
      </c>
      <c r="C1926" s="160">
        <v>11700</v>
      </c>
      <c r="D1926" s="160" t="s">
        <v>4674</v>
      </c>
      <c r="E1926" s="160">
        <v>55</v>
      </c>
      <c r="F1926" s="160" t="s">
        <v>74</v>
      </c>
      <c r="G1926" s="148">
        <v>32</v>
      </c>
      <c r="H1926" s="152">
        <f>IF(C1926=11700,ROUND(VLOOKUP(G1926,ThongSo!$F$2:$I$15,4,0)*B1926*11.7,3),0)</f>
        <v>442.96199999999999</v>
      </c>
      <c r="I1926" s="152">
        <f>IF(F1926="Sắt vụn",ROUND(VLOOKUP(G1926,ThongSo!$F$2:$I$15,4,0)*B1926*E1926/1000,3),"-")</f>
        <v>2.0819999999999999</v>
      </c>
      <c r="L1926" s="150"/>
      <c r="M1926" s="150"/>
      <c r="N1926" s="150"/>
    </row>
    <row r="1927" spans="1:14" x14ac:dyDescent="0.25">
      <c r="A1927" s="159">
        <v>42</v>
      </c>
      <c r="B1927" s="160">
        <v>1</v>
      </c>
      <c r="C1927" s="160">
        <v>11700</v>
      </c>
      <c r="D1927" s="160" t="s">
        <v>4675</v>
      </c>
      <c r="E1927" s="160">
        <v>55</v>
      </c>
      <c r="F1927" s="160" t="s">
        <v>74</v>
      </c>
      <c r="G1927" s="148">
        <v>32</v>
      </c>
      <c r="H1927" s="152">
        <f>IF(C1927=11700,ROUND(VLOOKUP(G1927,ThongSo!$F$2:$I$15,4,0)*B1927*11.7,3),0)</f>
        <v>73.826999999999998</v>
      </c>
      <c r="I1927" s="152">
        <f>IF(F1927="Sắt vụn",ROUND(VLOOKUP(G1927,ThongSo!$F$2:$I$15,4,0)*B1927*E1927/1000,3),"-")</f>
        <v>0.34699999999999998</v>
      </c>
      <c r="L1927" s="150"/>
      <c r="M1927" s="150"/>
      <c r="N1927" s="150"/>
    </row>
    <row r="1928" spans="1:14" x14ac:dyDescent="0.25">
      <c r="A1928" s="159">
        <v>43</v>
      </c>
      <c r="B1928" s="160">
        <v>5</v>
      </c>
      <c r="C1928" s="160">
        <v>11700</v>
      </c>
      <c r="D1928" s="160" t="s">
        <v>4676</v>
      </c>
      <c r="E1928" s="160">
        <v>70</v>
      </c>
      <c r="F1928" s="160" t="s">
        <v>74</v>
      </c>
      <c r="G1928" s="148">
        <v>32</v>
      </c>
      <c r="H1928" s="152">
        <f>IF(C1928=11700,ROUND(VLOOKUP(G1928,ThongSo!$F$2:$I$15,4,0)*B1928*11.7,3),0)</f>
        <v>369.13499999999999</v>
      </c>
      <c r="I1928" s="152">
        <f>IF(F1928="Sắt vụn",ROUND(VLOOKUP(G1928,ThongSo!$F$2:$I$15,4,0)*B1928*E1928/1000,3),"-")</f>
        <v>2.2090000000000001</v>
      </c>
      <c r="L1928" s="150"/>
      <c r="M1928" s="150"/>
      <c r="N1928" s="150"/>
    </row>
    <row r="1929" spans="1:14" x14ac:dyDescent="0.25">
      <c r="A1929" s="159">
        <v>44</v>
      </c>
      <c r="B1929" s="160">
        <v>5</v>
      </c>
      <c r="C1929" s="160">
        <v>11700</v>
      </c>
      <c r="D1929" s="160" t="s">
        <v>4677</v>
      </c>
      <c r="E1929" s="160">
        <v>80</v>
      </c>
      <c r="F1929" s="160" t="s">
        <v>74</v>
      </c>
      <c r="G1929" s="148">
        <v>32</v>
      </c>
      <c r="H1929" s="152">
        <f>IF(C1929=11700,ROUND(VLOOKUP(G1929,ThongSo!$F$2:$I$15,4,0)*B1929*11.7,3),0)</f>
        <v>369.13499999999999</v>
      </c>
      <c r="I1929" s="152">
        <f>IF(F1929="Sắt vụn",ROUND(VLOOKUP(G1929,ThongSo!$F$2:$I$15,4,0)*B1929*E1929/1000,3),"-")</f>
        <v>2.524</v>
      </c>
      <c r="L1929" s="150"/>
      <c r="M1929" s="150"/>
      <c r="N1929" s="150"/>
    </row>
    <row r="1930" spans="1:14" x14ac:dyDescent="0.25">
      <c r="A1930" s="159">
        <v>45</v>
      </c>
      <c r="B1930" s="160">
        <v>5</v>
      </c>
      <c r="C1930" s="160">
        <v>11700</v>
      </c>
      <c r="D1930" s="160" t="s">
        <v>4678</v>
      </c>
      <c r="E1930" s="160">
        <v>85</v>
      </c>
      <c r="F1930" s="160" t="s">
        <v>74</v>
      </c>
      <c r="G1930" s="148">
        <v>32</v>
      </c>
      <c r="H1930" s="152">
        <f>IF(C1930=11700,ROUND(VLOOKUP(G1930,ThongSo!$F$2:$I$15,4,0)*B1930*11.7,3),0)</f>
        <v>369.13499999999999</v>
      </c>
      <c r="I1930" s="152">
        <f>IF(F1930="Sắt vụn",ROUND(VLOOKUP(G1930,ThongSo!$F$2:$I$15,4,0)*B1930*E1930/1000,3),"-")</f>
        <v>2.6819999999999999</v>
      </c>
      <c r="L1930" s="150"/>
      <c r="M1930" s="150"/>
      <c r="N1930" s="150"/>
    </row>
    <row r="1931" spans="1:14" x14ac:dyDescent="0.25">
      <c r="A1931" s="159">
        <v>46</v>
      </c>
      <c r="B1931" s="160">
        <v>1</v>
      </c>
      <c r="C1931" s="160">
        <v>11700</v>
      </c>
      <c r="D1931" s="160" t="s">
        <v>4679</v>
      </c>
      <c r="E1931" s="160">
        <v>110</v>
      </c>
      <c r="F1931" s="160" t="s">
        <v>74</v>
      </c>
      <c r="G1931" s="148">
        <v>32</v>
      </c>
      <c r="H1931" s="152">
        <f>IF(C1931=11700,ROUND(VLOOKUP(G1931,ThongSo!$F$2:$I$15,4,0)*B1931*11.7,3),0)</f>
        <v>73.826999999999998</v>
      </c>
      <c r="I1931" s="152">
        <f>IF(F1931="Sắt vụn",ROUND(VLOOKUP(G1931,ThongSo!$F$2:$I$15,4,0)*B1931*E1931/1000,3),"-")</f>
        <v>0.69399999999999995</v>
      </c>
      <c r="L1931" s="150"/>
      <c r="M1931" s="150"/>
      <c r="N1931" s="150"/>
    </row>
    <row r="1932" spans="1:14" x14ac:dyDescent="0.25">
      <c r="A1932" s="159">
        <v>47</v>
      </c>
      <c r="B1932" s="160">
        <v>5</v>
      </c>
      <c r="C1932" s="160">
        <v>11700</v>
      </c>
      <c r="D1932" s="160" t="s">
        <v>4680</v>
      </c>
      <c r="E1932" s="160">
        <v>130</v>
      </c>
      <c r="F1932" s="160" t="s">
        <v>74</v>
      </c>
      <c r="G1932" s="148">
        <v>32</v>
      </c>
      <c r="H1932" s="152">
        <f>IF(C1932=11700,ROUND(VLOOKUP(G1932,ThongSo!$F$2:$I$15,4,0)*B1932*11.7,3),0)</f>
        <v>369.13499999999999</v>
      </c>
      <c r="I1932" s="152">
        <f>IF(F1932="Sắt vụn",ROUND(VLOOKUP(G1932,ThongSo!$F$2:$I$15,4,0)*B1932*E1932/1000,3),"-")</f>
        <v>4.1020000000000003</v>
      </c>
      <c r="L1932" s="150"/>
      <c r="M1932" s="150"/>
      <c r="N1932" s="150"/>
    </row>
    <row r="1933" spans="1:14" x14ac:dyDescent="0.25">
      <c r="A1933" s="159">
        <v>48</v>
      </c>
      <c r="B1933" s="160">
        <v>2</v>
      </c>
      <c r="C1933" s="160">
        <v>11700</v>
      </c>
      <c r="D1933" s="160" t="s">
        <v>4681</v>
      </c>
      <c r="E1933" s="160">
        <v>180</v>
      </c>
      <c r="F1933" s="160" t="s">
        <v>74</v>
      </c>
      <c r="G1933" s="148">
        <v>32</v>
      </c>
      <c r="H1933" s="152">
        <f>IF(C1933=11700,ROUND(VLOOKUP(G1933,ThongSo!$F$2:$I$15,4,0)*B1933*11.7,3),0)</f>
        <v>147.654</v>
      </c>
      <c r="I1933" s="152">
        <f>IF(F1933="Sắt vụn",ROUND(VLOOKUP(G1933,ThongSo!$F$2:$I$15,4,0)*B1933*E1933/1000,3),"-")</f>
        <v>2.2719999999999998</v>
      </c>
      <c r="L1933" s="150"/>
      <c r="M1933" s="150"/>
      <c r="N1933" s="150"/>
    </row>
    <row r="1934" spans="1:14" x14ac:dyDescent="0.25">
      <c r="A1934" s="159">
        <v>49</v>
      </c>
      <c r="B1934" s="160">
        <v>2</v>
      </c>
      <c r="C1934" s="160">
        <v>11700</v>
      </c>
      <c r="D1934" s="160" t="s">
        <v>4682</v>
      </c>
      <c r="E1934" s="160">
        <v>220</v>
      </c>
      <c r="F1934" s="160" t="s">
        <v>74</v>
      </c>
      <c r="G1934" s="148">
        <v>32</v>
      </c>
      <c r="H1934" s="152">
        <f>IF(C1934=11700,ROUND(VLOOKUP(G1934,ThongSo!$F$2:$I$15,4,0)*B1934*11.7,3),0)</f>
        <v>147.654</v>
      </c>
      <c r="I1934" s="152">
        <f>IF(F1934="Sắt vụn",ROUND(VLOOKUP(G1934,ThongSo!$F$2:$I$15,4,0)*B1934*E1934/1000,3),"-")</f>
        <v>2.7759999999999998</v>
      </c>
      <c r="L1934" s="150"/>
      <c r="M1934" s="150"/>
      <c r="N1934" s="150"/>
    </row>
    <row r="1935" spans="1:14" x14ac:dyDescent="0.25">
      <c r="A1935" s="159">
        <v>50</v>
      </c>
      <c r="B1935" s="160">
        <v>3</v>
      </c>
      <c r="C1935" s="160">
        <v>11700</v>
      </c>
      <c r="D1935" s="160" t="s">
        <v>4683</v>
      </c>
      <c r="E1935" s="160">
        <v>340</v>
      </c>
      <c r="F1935" s="160" t="s">
        <v>74</v>
      </c>
      <c r="G1935" s="148">
        <v>32</v>
      </c>
      <c r="H1935" s="152">
        <f>IF(C1935=11700,ROUND(VLOOKUP(G1935,ThongSo!$F$2:$I$15,4,0)*B1935*11.7,3),0)</f>
        <v>221.48099999999999</v>
      </c>
      <c r="I1935" s="152">
        <f>IF(F1935="Sắt vụn",ROUND(VLOOKUP(G1935,ThongSo!$F$2:$I$15,4,0)*B1935*E1935/1000,3),"-")</f>
        <v>6.4359999999999999</v>
      </c>
      <c r="L1935" s="150"/>
      <c r="M1935" s="150"/>
      <c r="N1935" s="150"/>
    </row>
    <row r="1936" spans="1:14" x14ac:dyDescent="0.25">
      <c r="A1936" s="159">
        <v>51</v>
      </c>
      <c r="B1936" s="160">
        <v>5</v>
      </c>
      <c r="C1936" s="160">
        <v>11700</v>
      </c>
      <c r="D1936" s="160" t="s">
        <v>4684</v>
      </c>
      <c r="E1936" s="160">
        <v>370</v>
      </c>
      <c r="F1936" s="160" t="s">
        <v>74</v>
      </c>
      <c r="G1936" s="148">
        <v>32</v>
      </c>
      <c r="H1936" s="152">
        <f>IF(C1936=11700,ROUND(VLOOKUP(G1936,ThongSo!$F$2:$I$15,4,0)*B1936*11.7,3),0)</f>
        <v>369.13499999999999</v>
      </c>
      <c r="I1936" s="152">
        <f>IF(F1936="Sắt vụn",ROUND(VLOOKUP(G1936,ThongSo!$F$2:$I$15,4,0)*B1936*E1936/1000,3),"-")</f>
        <v>11.673999999999999</v>
      </c>
      <c r="L1936" s="150"/>
      <c r="M1936" s="150"/>
      <c r="N1936" s="150"/>
    </row>
    <row r="1937" spans="1:14" x14ac:dyDescent="0.25">
      <c r="A1937" s="159">
        <v>52</v>
      </c>
      <c r="B1937" s="160">
        <v>4</v>
      </c>
      <c r="C1937" s="160">
        <v>11700</v>
      </c>
      <c r="D1937" s="160" t="s">
        <v>4685</v>
      </c>
      <c r="E1937" s="160">
        <v>370</v>
      </c>
      <c r="F1937" s="160" t="s">
        <v>74</v>
      </c>
      <c r="G1937" s="148">
        <v>32</v>
      </c>
      <c r="H1937" s="152">
        <f>IF(C1937=11700,ROUND(VLOOKUP(G1937,ThongSo!$F$2:$I$15,4,0)*B1937*11.7,3),0)</f>
        <v>295.30799999999999</v>
      </c>
      <c r="I1937" s="152">
        <f>IF(F1937="Sắt vụn",ROUND(VLOOKUP(G1937,ThongSo!$F$2:$I$15,4,0)*B1937*E1937/1000,3),"-")</f>
        <v>9.3390000000000004</v>
      </c>
      <c r="L1937" s="150"/>
      <c r="M1937" s="150"/>
      <c r="N1937" s="150"/>
    </row>
    <row r="1938" spans="1:14" x14ac:dyDescent="0.25">
      <c r="A1938" s="159">
        <v>53</v>
      </c>
      <c r="B1938" s="160">
        <v>5</v>
      </c>
      <c r="C1938" s="160">
        <v>11700</v>
      </c>
      <c r="D1938" s="160" t="s">
        <v>4686</v>
      </c>
      <c r="E1938" s="160">
        <v>370</v>
      </c>
      <c r="F1938" s="160" t="s">
        <v>74</v>
      </c>
      <c r="G1938" s="148">
        <v>32</v>
      </c>
      <c r="H1938" s="152">
        <f>IF(C1938=11700,ROUND(VLOOKUP(G1938,ThongSo!$F$2:$I$15,4,0)*B1938*11.7,3),0)</f>
        <v>369.13499999999999</v>
      </c>
      <c r="I1938" s="152">
        <f>IF(F1938="Sắt vụn",ROUND(VLOOKUP(G1938,ThongSo!$F$2:$I$15,4,0)*B1938*E1938/1000,3),"-")</f>
        <v>11.673999999999999</v>
      </c>
      <c r="L1938" s="150"/>
      <c r="M1938" s="150"/>
      <c r="N1938" s="150"/>
    </row>
    <row r="1939" spans="1:14" x14ac:dyDescent="0.25">
      <c r="A1939" s="159">
        <v>54</v>
      </c>
      <c r="B1939" s="160">
        <v>4</v>
      </c>
      <c r="C1939" s="160">
        <v>11700</v>
      </c>
      <c r="D1939" s="160" t="s">
        <v>4687</v>
      </c>
      <c r="E1939" s="160">
        <v>370</v>
      </c>
      <c r="F1939" s="160" t="s">
        <v>74</v>
      </c>
      <c r="G1939" s="148">
        <v>32</v>
      </c>
      <c r="H1939" s="152">
        <f>IF(C1939=11700,ROUND(VLOOKUP(G1939,ThongSo!$F$2:$I$15,4,0)*B1939*11.7,3),0)</f>
        <v>295.30799999999999</v>
      </c>
      <c r="I1939" s="152">
        <f>IF(F1939="Sắt vụn",ROUND(VLOOKUP(G1939,ThongSo!$F$2:$I$15,4,0)*B1939*E1939/1000,3),"-")</f>
        <v>9.3390000000000004</v>
      </c>
      <c r="L1939" s="150"/>
      <c r="M1939" s="150"/>
      <c r="N1939" s="150"/>
    </row>
    <row r="1940" spans="1:14" x14ac:dyDescent="0.25">
      <c r="A1940" s="159">
        <v>55</v>
      </c>
      <c r="B1940" s="160">
        <v>2</v>
      </c>
      <c r="C1940" s="160">
        <v>11700</v>
      </c>
      <c r="D1940" s="160" t="s">
        <v>4688</v>
      </c>
      <c r="E1940" s="160">
        <v>440</v>
      </c>
      <c r="F1940" s="160" t="s">
        <v>74</v>
      </c>
      <c r="G1940" s="148">
        <v>32</v>
      </c>
      <c r="H1940" s="152">
        <f>IF(C1940=11700,ROUND(VLOOKUP(G1940,ThongSo!$F$2:$I$15,4,0)*B1940*11.7,3),0)</f>
        <v>147.654</v>
      </c>
      <c r="I1940" s="152">
        <f>IF(F1940="Sắt vụn",ROUND(VLOOKUP(G1940,ThongSo!$F$2:$I$15,4,0)*B1940*E1940/1000,3),"-")</f>
        <v>5.5529999999999999</v>
      </c>
      <c r="L1940" s="150"/>
      <c r="M1940" s="150"/>
      <c r="N1940" s="150"/>
    </row>
    <row r="1941" spans="1:14" x14ac:dyDescent="0.25">
      <c r="A1941" s="159">
        <v>56</v>
      </c>
      <c r="B1941" s="160">
        <v>6</v>
      </c>
      <c r="C1941" s="160">
        <v>11700</v>
      </c>
      <c r="D1941" s="160" t="s">
        <v>4689</v>
      </c>
      <c r="E1941" s="160">
        <v>1075</v>
      </c>
      <c r="F1941" s="160" t="s">
        <v>74</v>
      </c>
      <c r="G1941" s="148">
        <v>32</v>
      </c>
      <c r="H1941" s="152">
        <f>IF(C1941=11700,ROUND(VLOOKUP(G1941,ThongSo!$F$2:$I$15,4,0)*B1941*11.7,3),0)</f>
        <v>442.96199999999999</v>
      </c>
      <c r="I1941" s="152">
        <f>IF(F1941="Sắt vụn",ROUND(VLOOKUP(G1941,ThongSo!$F$2:$I$15,4,0)*B1941*E1941/1000,3),"-")</f>
        <v>40.700000000000003</v>
      </c>
      <c r="L1941" s="150"/>
      <c r="M1941" s="150"/>
      <c r="N1941" s="150"/>
    </row>
    <row r="1942" spans="1:14" x14ac:dyDescent="0.25">
      <c r="A1942" s="159">
        <v>57</v>
      </c>
      <c r="B1942" s="160">
        <v>1</v>
      </c>
      <c r="C1942" s="160">
        <v>11700</v>
      </c>
      <c r="D1942" s="160" t="s">
        <v>4690</v>
      </c>
      <c r="E1942" s="160">
        <v>1140</v>
      </c>
      <c r="F1942" s="160" t="s">
        <v>74</v>
      </c>
      <c r="G1942" s="148">
        <v>32</v>
      </c>
      <c r="H1942" s="152">
        <f>IF(C1942=11700,ROUND(VLOOKUP(G1942,ThongSo!$F$2:$I$15,4,0)*B1942*11.7,3),0)</f>
        <v>73.826999999999998</v>
      </c>
      <c r="I1942" s="152">
        <f>IF(F1942="Sắt vụn",ROUND(VLOOKUP(G1942,ThongSo!$F$2:$I$15,4,0)*B1942*E1942/1000,3),"-")</f>
        <v>7.1929999999999996</v>
      </c>
      <c r="L1942" s="150"/>
      <c r="M1942" s="150"/>
      <c r="N1942" s="150"/>
    </row>
    <row r="1943" spans="1:14" x14ac:dyDescent="0.25">
      <c r="A1943" s="159">
        <v>58</v>
      </c>
      <c r="B1943" s="160">
        <v>1</v>
      </c>
      <c r="C1943" s="160">
        <v>11700</v>
      </c>
      <c r="D1943" s="160" t="s">
        <v>4691</v>
      </c>
      <c r="E1943" s="160">
        <v>1145</v>
      </c>
      <c r="F1943" s="160" t="s">
        <v>74</v>
      </c>
      <c r="G1943" s="148">
        <v>32</v>
      </c>
      <c r="H1943" s="152">
        <f>IF(C1943=11700,ROUND(VLOOKUP(G1943,ThongSo!$F$2:$I$15,4,0)*B1943*11.7,3),0)</f>
        <v>73.826999999999998</v>
      </c>
      <c r="I1943" s="152">
        <f>IF(F1943="Sắt vụn",ROUND(VLOOKUP(G1943,ThongSo!$F$2:$I$15,4,0)*B1943*E1943/1000,3),"-")</f>
        <v>7.2249999999999996</v>
      </c>
      <c r="L1943" s="150"/>
      <c r="M1943" s="150"/>
      <c r="N1943" s="150"/>
    </row>
    <row r="1944" spans="1:14" x14ac:dyDescent="0.25">
      <c r="A1944" s="159">
        <v>59</v>
      </c>
      <c r="B1944" s="160">
        <v>2</v>
      </c>
      <c r="C1944" s="160">
        <v>11700</v>
      </c>
      <c r="D1944" s="160" t="s">
        <v>4692</v>
      </c>
      <c r="E1944" s="160">
        <v>1150</v>
      </c>
      <c r="F1944" s="160" t="s">
        <v>74</v>
      </c>
      <c r="G1944" s="148">
        <v>32</v>
      </c>
      <c r="H1944" s="152">
        <f>IF(C1944=11700,ROUND(VLOOKUP(G1944,ThongSo!$F$2:$I$15,4,0)*B1944*11.7,3),0)</f>
        <v>147.654</v>
      </c>
      <c r="I1944" s="152">
        <f>IF(F1944="Sắt vụn",ROUND(VLOOKUP(G1944,ThongSo!$F$2:$I$15,4,0)*B1944*E1944/1000,3),"-")</f>
        <v>14.513</v>
      </c>
      <c r="L1944" s="150"/>
      <c r="M1944" s="150"/>
      <c r="N1944" s="150"/>
    </row>
    <row r="1945" spans="1:14" x14ac:dyDescent="0.25">
      <c r="A1945" s="159">
        <v>60</v>
      </c>
      <c r="B1945" s="160">
        <v>1</v>
      </c>
      <c r="C1945" s="160">
        <v>11700</v>
      </c>
      <c r="D1945" s="160" t="s">
        <v>4693</v>
      </c>
      <c r="E1945" s="160">
        <v>1150</v>
      </c>
      <c r="F1945" s="160" t="s">
        <v>74</v>
      </c>
      <c r="G1945" s="148">
        <v>32</v>
      </c>
      <c r="H1945" s="152">
        <f>IF(C1945=11700,ROUND(VLOOKUP(G1945,ThongSo!$F$2:$I$15,4,0)*B1945*11.7,3),0)</f>
        <v>73.826999999999998</v>
      </c>
      <c r="I1945" s="152">
        <f>IF(F1945="Sắt vụn",ROUND(VLOOKUP(G1945,ThongSo!$F$2:$I$15,4,0)*B1945*E1945/1000,3),"-")</f>
        <v>7.2569999999999997</v>
      </c>
      <c r="L1945" s="150"/>
      <c r="M1945" s="150"/>
      <c r="N1945" s="150"/>
    </row>
    <row r="1946" spans="1:14" x14ac:dyDescent="0.25">
      <c r="A1946" s="159">
        <v>61</v>
      </c>
      <c r="B1946" s="160">
        <v>2</v>
      </c>
      <c r="C1946" s="160">
        <v>11700</v>
      </c>
      <c r="D1946" s="160" t="s">
        <v>4694</v>
      </c>
      <c r="E1946" s="160">
        <v>1150</v>
      </c>
      <c r="F1946" s="160" t="s">
        <v>74</v>
      </c>
      <c r="G1946" s="148">
        <v>32</v>
      </c>
      <c r="H1946" s="152">
        <f>IF(C1946=11700,ROUND(VLOOKUP(G1946,ThongSo!$F$2:$I$15,4,0)*B1946*11.7,3),0)</f>
        <v>147.654</v>
      </c>
      <c r="I1946" s="152">
        <f>IF(F1946="Sắt vụn",ROUND(VLOOKUP(G1946,ThongSo!$F$2:$I$15,4,0)*B1946*E1946/1000,3),"-")</f>
        <v>14.513</v>
      </c>
      <c r="L1946" s="150"/>
      <c r="M1946" s="150"/>
      <c r="N1946" s="150"/>
    </row>
    <row r="1947" spans="1:14" x14ac:dyDescent="0.25">
      <c r="A1947" s="159">
        <v>62</v>
      </c>
      <c r="B1947" s="160">
        <v>1</v>
      </c>
      <c r="C1947" s="160">
        <v>11700</v>
      </c>
      <c r="D1947" s="160" t="s">
        <v>4695</v>
      </c>
      <c r="E1947" s="160">
        <v>1245</v>
      </c>
      <c r="F1947" s="160" t="s">
        <v>74</v>
      </c>
      <c r="G1947" s="148">
        <v>32</v>
      </c>
      <c r="H1947" s="152">
        <f>IF(C1947=11700,ROUND(VLOOKUP(G1947,ThongSo!$F$2:$I$15,4,0)*B1947*11.7,3),0)</f>
        <v>73.826999999999998</v>
      </c>
      <c r="I1947" s="152">
        <f>IF(F1947="Sắt vụn",ROUND(VLOOKUP(G1947,ThongSo!$F$2:$I$15,4,0)*B1947*E1947/1000,3),"-")</f>
        <v>7.8559999999999999</v>
      </c>
      <c r="L1947" s="150"/>
      <c r="M1947" s="150"/>
      <c r="N1947" s="150"/>
    </row>
    <row r="1948" spans="1:14" x14ac:dyDescent="0.25">
      <c r="A1948" s="159">
        <v>63</v>
      </c>
      <c r="B1948" s="160">
        <v>12</v>
      </c>
      <c r="C1948" s="160">
        <v>11700</v>
      </c>
      <c r="D1948" s="160" t="s">
        <v>4696</v>
      </c>
      <c r="E1948" s="160">
        <v>1250</v>
      </c>
      <c r="F1948" s="160" t="s">
        <v>74</v>
      </c>
      <c r="G1948" s="148">
        <v>32</v>
      </c>
      <c r="H1948" s="152">
        <f>IF(C1948=11700,ROUND(VLOOKUP(G1948,ThongSo!$F$2:$I$15,4,0)*B1948*11.7,3),0)</f>
        <v>885.92399999999998</v>
      </c>
      <c r="I1948" s="152">
        <f>IF(F1948="Sắt vụn",ROUND(VLOOKUP(G1948,ThongSo!$F$2:$I$15,4,0)*B1948*E1948/1000,3),"-")</f>
        <v>94.65</v>
      </c>
      <c r="L1948" s="150"/>
      <c r="M1948" s="150"/>
      <c r="N1948" s="150"/>
    </row>
    <row r="1949" spans="1:14" x14ac:dyDescent="0.25">
      <c r="A1949" s="159">
        <v>64</v>
      </c>
      <c r="B1949" s="160">
        <v>1</v>
      </c>
      <c r="C1949" s="160">
        <v>11700</v>
      </c>
      <c r="D1949" s="160" t="s">
        <v>4697</v>
      </c>
      <c r="E1949" s="160">
        <v>1340</v>
      </c>
      <c r="F1949" s="160" t="s">
        <v>74</v>
      </c>
      <c r="G1949" s="148">
        <v>32</v>
      </c>
      <c r="H1949" s="152">
        <f>IF(C1949=11700,ROUND(VLOOKUP(G1949,ThongSo!$F$2:$I$15,4,0)*B1949*11.7,3),0)</f>
        <v>73.826999999999998</v>
      </c>
      <c r="I1949" s="152">
        <f>IF(F1949="Sắt vụn",ROUND(VLOOKUP(G1949,ThongSo!$F$2:$I$15,4,0)*B1949*E1949/1000,3),"-")</f>
        <v>8.4550000000000001</v>
      </c>
      <c r="L1949" s="150"/>
      <c r="M1949" s="150"/>
      <c r="N1949" s="150"/>
    </row>
    <row r="1950" spans="1:14" x14ac:dyDescent="0.25">
      <c r="A1950" s="159">
        <v>65</v>
      </c>
      <c r="B1950" s="160">
        <v>1</v>
      </c>
      <c r="C1950" s="160">
        <v>11700</v>
      </c>
      <c r="D1950" s="160" t="s">
        <v>4698</v>
      </c>
      <c r="E1950" s="160">
        <v>1345</v>
      </c>
      <c r="F1950" s="160" t="s">
        <v>74</v>
      </c>
      <c r="G1950" s="148">
        <v>32</v>
      </c>
      <c r="H1950" s="152">
        <f>IF(C1950=11700,ROUND(VLOOKUP(G1950,ThongSo!$F$2:$I$15,4,0)*B1950*11.7,3),0)</f>
        <v>73.826999999999998</v>
      </c>
      <c r="I1950" s="152">
        <f>IF(F1950="Sắt vụn",ROUND(VLOOKUP(G1950,ThongSo!$F$2:$I$15,4,0)*B1950*E1950/1000,3),"-")</f>
        <v>8.4870000000000001</v>
      </c>
      <c r="L1950" s="150"/>
      <c r="M1950" s="150"/>
      <c r="N1950" s="150"/>
    </row>
    <row r="1951" spans="1:14" x14ac:dyDescent="0.25">
      <c r="A1951" s="159">
        <v>66</v>
      </c>
      <c r="B1951" s="160">
        <v>2</v>
      </c>
      <c r="C1951" s="160">
        <v>11700</v>
      </c>
      <c r="D1951" s="160" t="s">
        <v>4699</v>
      </c>
      <c r="E1951" s="160">
        <v>1350</v>
      </c>
      <c r="F1951" s="160" t="s">
        <v>74</v>
      </c>
      <c r="G1951" s="148">
        <v>32</v>
      </c>
      <c r="H1951" s="152">
        <f>IF(C1951=11700,ROUND(VLOOKUP(G1951,ThongSo!$F$2:$I$15,4,0)*B1951*11.7,3),0)</f>
        <v>147.654</v>
      </c>
      <c r="I1951" s="152">
        <f>IF(F1951="Sắt vụn",ROUND(VLOOKUP(G1951,ThongSo!$F$2:$I$15,4,0)*B1951*E1951/1000,3),"-")</f>
        <v>17.036999999999999</v>
      </c>
      <c r="L1951" s="150"/>
      <c r="M1951" s="150"/>
      <c r="N1951" s="150"/>
    </row>
    <row r="1952" spans="1:14" x14ac:dyDescent="0.25">
      <c r="A1952" s="159">
        <v>67</v>
      </c>
      <c r="B1952" s="160">
        <v>1</v>
      </c>
      <c r="C1952" s="160">
        <v>11700</v>
      </c>
      <c r="D1952" s="160" t="s">
        <v>4700</v>
      </c>
      <c r="E1952" s="160">
        <v>1350</v>
      </c>
      <c r="F1952" s="160" t="s">
        <v>74</v>
      </c>
      <c r="G1952" s="148">
        <v>32</v>
      </c>
      <c r="H1952" s="152">
        <f>IF(C1952=11700,ROUND(VLOOKUP(G1952,ThongSo!$F$2:$I$15,4,0)*B1952*11.7,3),0)</f>
        <v>73.826999999999998</v>
      </c>
      <c r="I1952" s="152">
        <f>IF(F1952="Sắt vụn",ROUND(VLOOKUP(G1952,ThongSo!$F$2:$I$15,4,0)*B1952*E1952/1000,3),"-")</f>
        <v>8.5190000000000001</v>
      </c>
      <c r="L1952" s="150"/>
      <c r="M1952" s="150"/>
      <c r="N1952" s="150"/>
    </row>
    <row r="1953" spans="1:14" x14ac:dyDescent="0.25">
      <c r="A1953" s="159">
        <v>68</v>
      </c>
      <c r="B1953" s="160">
        <v>2</v>
      </c>
      <c r="C1953" s="160">
        <v>11700</v>
      </c>
      <c r="D1953" s="160" t="s">
        <v>4701</v>
      </c>
      <c r="E1953" s="160">
        <v>1350</v>
      </c>
      <c r="F1953" s="160" t="s">
        <v>74</v>
      </c>
      <c r="G1953" s="148">
        <v>32</v>
      </c>
      <c r="H1953" s="152">
        <f>IF(C1953=11700,ROUND(VLOOKUP(G1953,ThongSo!$F$2:$I$15,4,0)*B1953*11.7,3),0)</f>
        <v>147.654</v>
      </c>
      <c r="I1953" s="152">
        <f>IF(F1953="Sắt vụn",ROUND(VLOOKUP(G1953,ThongSo!$F$2:$I$15,4,0)*B1953*E1953/1000,3),"-")</f>
        <v>17.036999999999999</v>
      </c>
      <c r="L1953" s="150"/>
      <c r="M1953" s="150"/>
      <c r="N1953" s="150"/>
    </row>
    <row r="1954" spans="1:14" x14ac:dyDescent="0.25">
      <c r="A1954" s="159">
        <v>69</v>
      </c>
      <c r="B1954" s="160">
        <v>1</v>
      </c>
      <c r="C1954" s="160">
        <v>11700</v>
      </c>
      <c r="D1954" s="160" t="s">
        <v>4702</v>
      </c>
      <c r="E1954" s="160">
        <v>1445</v>
      </c>
      <c r="F1954" s="160" t="s">
        <v>74</v>
      </c>
      <c r="G1954" s="148">
        <v>32</v>
      </c>
      <c r="H1954" s="152">
        <f>IF(C1954=11700,ROUND(VLOOKUP(G1954,ThongSo!$F$2:$I$15,4,0)*B1954*11.7,3),0)</f>
        <v>73.826999999999998</v>
      </c>
      <c r="I1954" s="152">
        <f>IF(F1954="Sắt vụn",ROUND(VLOOKUP(G1954,ThongSo!$F$2:$I$15,4,0)*B1954*E1954/1000,3),"-")</f>
        <v>9.1180000000000003</v>
      </c>
      <c r="L1954" s="150"/>
      <c r="M1954" s="150"/>
      <c r="N1954" s="150"/>
    </row>
    <row r="1955" spans="1:14" x14ac:dyDescent="0.25">
      <c r="A1955" s="159">
        <v>70</v>
      </c>
      <c r="B1955" s="160">
        <v>6</v>
      </c>
      <c r="C1955" s="160">
        <v>11700</v>
      </c>
      <c r="D1955" s="160" t="s">
        <v>4703</v>
      </c>
      <c r="E1955" s="160">
        <v>1540</v>
      </c>
      <c r="F1955" s="160" t="s">
        <v>74</v>
      </c>
      <c r="G1955" s="148">
        <v>32</v>
      </c>
      <c r="H1955" s="152">
        <f>IF(C1955=11700,ROUND(VLOOKUP(G1955,ThongSo!$F$2:$I$15,4,0)*B1955*11.7,3),0)</f>
        <v>442.96199999999999</v>
      </c>
      <c r="I1955" s="152">
        <f>IF(F1955="Sắt vụn",ROUND(VLOOKUP(G1955,ThongSo!$F$2:$I$15,4,0)*B1955*E1955/1000,3),"-")</f>
        <v>58.304000000000002</v>
      </c>
      <c r="L1955" s="150"/>
      <c r="M1955" s="150"/>
      <c r="N1955" s="150"/>
    </row>
    <row r="1956" spans="1:14" x14ac:dyDescent="0.25">
      <c r="A1956" s="159">
        <v>71</v>
      </c>
      <c r="B1956" s="160">
        <v>1</v>
      </c>
      <c r="C1956" s="160">
        <v>11700</v>
      </c>
      <c r="D1956" s="160" t="s">
        <v>4704</v>
      </c>
      <c r="E1956" s="160">
        <v>1540</v>
      </c>
      <c r="F1956" s="160" t="s">
        <v>74</v>
      </c>
      <c r="G1956" s="148">
        <v>32</v>
      </c>
      <c r="H1956" s="152">
        <f>IF(C1956=11700,ROUND(VLOOKUP(G1956,ThongSo!$F$2:$I$15,4,0)*B1956*11.7,3),0)</f>
        <v>73.826999999999998</v>
      </c>
      <c r="I1956" s="152">
        <f>IF(F1956="Sắt vụn",ROUND(VLOOKUP(G1956,ThongSo!$F$2:$I$15,4,0)*B1956*E1956/1000,3),"-")</f>
        <v>9.7170000000000005</v>
      </c>
      <c r="L1956" s="150"/>
      <c r="M1956" s="150"/>
      <c r="N1956" s="150"/>
    </row>
    <row r="1957" spans="1:14" x14ac:dyDescent="0.25">
      <c r="A1957" s="159">
        <v>72</v>
      </c>
      <c r="B1957" s="160">
        <v>5</v>
      </c>
      <c r="C1957" s="160">
        <v>11700</v>
      </c>
      <c r="D1957" s="160" t="s">
        <v>4705</v>
      </c>
      <c r="E1957" s="160">
        <v>1540</v>
      </c>
      <c r="F1957" s="160" t="s">
        <v>74</v>
      </c>
      <c r="G1957" s="148">
        <v>32</v>
      </c>
      <c r="H1957" s="152">
        <f>IF(C1957=11700,ROUND(VLOOKUP(G1957,ThongSo!$F$2:$I$15,4,0)*B1957*11.7,3),0)</f>
        <v>369.13499999999999</v>
      </c>
      <c r="I1957" s="152">
        <f>IF(F1957="Sắt vụn",ROUND(VLOOKUP(G1957,ThongSo!$F$2:$I$15,4,0)*B1957*E1957/1000,3),"-")</f>
        <v>48.587000000000003</v>
      </c>
      <c r="L1957" s="150"/>
      <c r="M1957" s="150"/>
      <c r="N1957" s="150"/>
    </row>
    <row r="1958" spans="1:14" x14ac:dyDescent="0.25">
      <c r="A1958" s="159">
        <v>73</v>
      </c>
      <c r="B1958" s="160">
        <v>1</v>
      </c>
      <c r="C1958" s="160">
        <v>11700</v>
      </c>
      <c r="D1958" s="160" t="s">
        <v>4706</v>
      </c>
      <c r="E1958" s="160">
        <v>1545</v>
      </c>
      <c r="F1958" s="160" t="s">
        <v>74</v>
      </c>
      <c r="G1958" s="148">
        <v>32</v>
      </c>
      <c r="H1958" s="152">
        <f>IF(C1958=11700,ROUND(VLOOKUP(G1958,ThongSo!$F$2:$I$15,4,0)*B1958*11.7,3),0)</f>
        <v>73.826999999999998</v>
      </c>
      <c r="I1958" s="152">
        <f>IF(F1958="Sắt vụn",ROUND(VLOOKUP(G1958,ThongSo!$F$2:$I$15,4,0)*B1958*E1958/1000,3),"-")</f>
        <v>9.7490000000000006</v>
      </c>
      <c r="L1958" s="150"/>
      <c r="M1958" s="150"/>
      <c r="N1958" s="150"/>
    </row>
    <row r="1959" spans="1:14" x14ac:dyDescent="0.25">
      <c r="A1959" s="159">
        <v>74</v>
      </c>
      <c r="B1959" s="160">
        <v>2</v>
      </c>
      <c r="C1959" s="160">
        <v>11700</v>
      </c>
      <c r="D1959" s="160" t="s">
        <v>4707</v>
      </c>
      <c r="E1959" s="160">
        <v>1550</v>
      </c>
      <c r="F1959" s="160" t="s">
        <v>74</v>
      </c>
      <c r="G1959" s="148">
        <v>32</v>
      </c>
      <c r="H1959" s="152">
        <f>IF(C1959=11700,ROUND(VLOOKUP(G1959,ThongSo!$F$2:$I$15,4,0)*B1959*11.7,3),0)</f>
        <v>147.654</v>
      </c>
      <c r="I1959" s="152">
        <f>IF(F1959="Sắt vụn",ROUND(VLOOKUP(G1959,ThongSo!$F$2:$I$15,4,0)*B1959*E1959/1000,3),"-")</f>
        <v>19.561</v>
      </c>
      <c r="L1959" s="150"/>
      <c r="M1959" s="150"/>
      <c r="N1959" s="150"/>
    </row>
    <row r="1960" spans="1:14" x14ac:dyDescent="0.25">
      <c r="A1960" s="159">
        <v>75</v>
      </c>
      <c r="B1960" s="160">
        <v>1</v>
      </c>
      <c r="C1960" s="160">
        <v>11700</v>
      </c>
      <c r="D1960" s="160" t="s">
        <v>4708</v>
      </c>
      <c r="E1960" s="160">
        <v>1550</v>
      </c>
      <c r="F1960" s="160" t="s">
        <v>74</v>
      </c>
      <c r="G1960" s="148">
        <v>32</v>
      </c>
      <c r="H1960" s="152">
        <f>IF(C1960=11700,ROUND(VLOOKUP(G1960,ThongSo!$F$2:$I$15,4,0)*B1960*11.7,3),0)</f>
        <v>73.826999999999998</v>
      </c>
      <c r="I1960" s="152">
        <f>IF(F1960="Sắt vụn",ROUND(VLOOKUP(G1960,ThongSo!$F$2:$I$15,4,0)*B1960*E1960/1000,3),"-")</f>
        <v>9.7810000000000006</v>
      </c>
      <c r="L1960" s="150"/>
      <c r="M1960" s="150"/>
      <c r="N1960" s="150"/>
    </row>
    <row r="1961" spans="1:14" x14ac:dyDescent="0.25">
      <c r="A1961" s="159">
        <v>76</v>
      </c>
      <c r="B1961" s="160">
        <v>2</v>
      </c>
      <c r="C1961" s="160">
        <v>11700</v>
      </c>
      <c r="D1961" s="160" t="s">
        <v>4709</v>
      </c>
      <c r="E1961" s="160">
        <v>1550</v>
      </c>
      <c r="F1961" s="160" t="s">
        <v>74</v>
      </c>
      <c r="G1961" s="148">
        <v>32</v>
      </c>
      <c r="H1961" s="152">
        <f>IF(C1961=11700,ROUND(VLOOKUP(G1961,ThongSo!$F$2:$I$15,4,0)*B1961*11.7,3),0)</f>
        <v>147.654</v>
      </c>
      <c r="I1961" s="152">
        <f>IF(F1961="Sắt vụn",ROUND(VLOOKUP(G1961,ThongSo!$F$2:$I$15,4,0)*B1961*E1961/1000,3),"-")</f>
        <v>19.561</v>
      </c>
      <c r="L1961" s="150"/>
      <c r="M1961" s="150"/>
      <c r="N1961" s="150"/>
    </row>
    <row r="1962" spans="1:14" x14ac:dyDescent="0.25">
      <c r="A1962" s="159">
        <v>77</v>
      </c>
      <c r="B1962" s="160">
        <v>4</v>
      </c>
      <c r="C1962" s="160">
        <v>11700</v>
      </c>
      <c r="D1962" s="160" t="s">
        <v>4710</v>
      </c>
      <c r="E1962" s="160">
        <v>1700</v>
      </c>
      <c r="F1962" s="160" t="s">
        <v>75</v>
      </c>
      <c r="G1962" s="148">
        <v>32</v>
      </c>
      <c r="H1962" s="152">
        <f>IF(C1962=11700,ROUND(VLOOKUP(G1962,ThongSo!$F$2:$I$15,4,0)*B1962*11.7,3),0)</f>
        <v>295.30799999999999</v>
      </c>
      <c r="I1962" s="152" t="str">
        <f>IF(F1962="Sắt vụn",ROUND(VLOOKUP(G1962,ThongSo!$F$2:$I$15,4,0)*B1962*E1962/1000,3),"-")</f>
        <v>-</v>
      </c>
      <c r="L1962" s="150"/>
      <c r="M1962" s="150"/>
      <c r="N1962" s="150"/>
    </row>
    <row r="1963" spans="1:14" x14ac:dyDescent="0.25">
      <c r="A1963" s="159">
        <v>78</v>
      </c>
      <c r="B1963" s="160">
        <v>4</v>
      </c>
      <c r="C1963" s="160">
        <v>11700</v>
      </c>
      <c r="D1963" s="160" t="s">
        <v>4711</v>
      </c>
      <c r="E1963" s="160">
        <v>1700</v>
      </c>
      <c r="F1963" s="160" t="s">
        <v>75</v>
      </c>
      <c r="G1963" s="148">
        <v>32</v>
      </c>
      <c r="H1963" s="152">
        <f>IF(C1963=11700,ROUND(VLOOKUP(G1963,ThongSo!$F$2:$I$15,4,0)*B1963*11.7,3),0)</f>
        <v>295.30799999999999</v>
      </c>
      <c r="I1963" s="152" t="str">
        <f>IF(F1963="Sắt vụn",ROUND(VLOOKUP(G1963,ThongSo!$F$2:$I$15,4,0)*B1963*E1963/1000,3),"-")</f>
        <v>-</v>
      </c>
      <c r="L1963" s="150"/>
      <c r="M1963" s="150"/>
      <c r="N1963" s="150"/>
    </row>
    <row r="1964" spans="1:14" x14ac:dyDescent="0.25">
      <c r="A1964" s="159">
        <v>79</v>
      </c>
      <c r="B1964" s="160">
        <v>1</v>
      </c>
      <c r="C1964" s="160">
        <v>11700</v>
      </c>
      <c r="D1964" s="160" t="s">
        <v>4712</v>
      </c>
      <c r="E1964" s="160">
        <v>1775</v>
      </c>
      <c r="F1964" s="160" t="s">
        <v>75</v>
      </c>
      <c r="G1964" s="148">
        <v>32</v>
      </c>
      <c r="H1964" s="152">
        <f>IF(C1964=11700,ROUND(VLOOKUP(G1964,ThongSo!$F$2:$I$15,4,0)*B1964*11.7,3),0)</f>
        <v>73.826999999999998</v>
      </c>
      <c r="I1964" s="152" t="str">
        <f>IF(F1964="Sắt vụn",ROUND(VLOOKUP(G1964,ThongSo!$F$2:$I$15,4,0)*B1964*E1964/1000,3),"-")</f>
        <v>-</v>
      </c>
      <c r="L1964" s="150"/>
      <c r="M1964" s="150"/>
      <c r="N1964" s="150"/>
    </row>
    <row r="1965" spans="1:14" x14ac:dyDescent="0.25">
      <c r="A1965" s="159">
        <v>80</v>
      </c>
      <c r="B1965" s="160">
        <v>5</v>
      </c>
      <c r="C1965" s="160">
        <v>11700</v>
      </c>
      <c r="D1965" s="160" t="s">
        <v>4713</v>
      </c>
      <c r="E1965" s="160">
        <v>1800</v>
      </c>
      <c r="F1965" s="160" t="s">
        <v>75</v>
      </c>
      <c r="G1965" s="148">
        <v>32</v>
      </c>
      <c r="H1965" s="152">
        <f>IF(C1965=11700,ROUND(VLOOKUP(G1965,ThongSo!$F$2:$I$15,4,0)*B1965*11.7,3),0)</f>
        <v>369.13499999999999</v>
      </c>
      <c r="I1965" s="152" t="str">
        <f>IF(F1965="Sắt vụn",ROUND(VLOOKUP(G1965,ThongSo!$F$2:$I$15,4,0)*B1965*E1965/1000,3),"-")</f>
        <v>-</v>
      </c>
      <c r="L1965" s="150"/>
      <c r="M1965" s="150"/>
      <c r="N1965" s="150"/>
    </row>
    <row r="1966" spans="1:14" x14ac:dyDescent="0.25">
      <c r="A1966" s="159">
        <v>81</v>
      </c>
      <c r="B1966" s="160">
        <v>4</v>
      </c>
      <c r="C1966" s="160">
        <v>11700</v>
      </c>
      <c r="D1966" s="160" t="s">
        <v>4714</v>
      </c>
      <c r="E1966" s="160">
        <v>1895</v>
      </c>
      <c r="F1966" s="160" t="s">
        <v>75</v>
      </c>
      <c r="G1966" s="148">
        <v>32</v>
      </c>
      <c r="H1966" s="152">
        <f>IF(C1966=11700,ROUND(VLOOKUP(G1966,ThongSo!$F$2:$I$15,4,0)*B1966*11.7,3),0)</f>
        <v>295.30799999999999</v>
      </c>
      <c r="I1966" s="152" t="str">
        <f>IF(F1966="Sắt vụn",ROUND(VLOOKUP(G1966,ThongSo!$F$2:$I$15,4,0)*B1966*E1966/1000,3),"-")</f>
        <v>-</v>
      </c>
      <c r="L1966" s="150"/>
      <c r="M1966" s="150"/>
      <c r="N1966" s="150"/>
    </row>
    <row r="1967" spans="1:14" x14ac:dyDescent="0.25">
      <c r="A1967" s="159">
        <v>82</v>
      </c>
      <c r="B1967" s="160">
        <v>1</v>
      </c>
      <c r="C1967" s="160">
        <v>11700</v>
      </c>
      <c r="D1967" s="160" t="s">
        <v>4715</v>
      </c>
      <c r="E1967" s="160">
        <v>2055</v>
      </c>
      <c r="F1967" s="160" t="s">
        <v>75</v>
      </c>
      <c r="G1967" s="148">
        <v>32</v>
      </c>
      <c r="H1967" s="152">
        <f>IF(C1967=11700,ROUND(VLOOKUP(G1967,ThongSo!$F$2:$I$15,4,0)*B1967*11.7,3),0)</f>
        <v>73.826999999999998</v>
      </c>
      <c r="I1967" s="152" t="str">
        <f>IF(F1967="Sắt vụn",ROUND(VLOOKUP(G1967,ThongSo!$F$2:$I$15,4,0)*B1967*E1967/1000,3),"-")</f>
        <v>-</v>
      </c>
      <c r="L1967" s="150"/>
      <c r="M1967" s="150"/>
      <c r="N1967" s="150"/>
    </row>
    <row r="1968" spans="1:14" x14ac:dyDescent="0.25">
      <c r="A1968" s="159">
        <v>83</v>
      </c>
      <c r="B1968" s="160">
        <v>1</v>
      </c>
      <c r="C1968" s="160">
        <v>11700</v>
      </c>
      <c r="D1968" s="160" t="s">
        <v>4716</v>
      </c>
      <c r="E1968" s="160">
        <v>2560</v>
      </c>
      <c r="F1968" s="160" t="s">
        <v>75</v>
      </c>
      <c r="G1968" s="148">
        <v>32</v>
      </c>
      <c r="H1968" s="152">
        <f>IF(C1968=11700,ROUND(VLOOKUP(G1968,ThongSo!$F$2:$I$15,4,0)*B1968*11.7,3),0)</f>
        <v>73.826999999999998</v>
      </c>
      <c r="I1968" s="152" t="str">
        <f>IF(F1968="Sắt vụn",ROUND(VLOOKUP(G1968,ThongSo!$F$2:$I$15,4,0)*B1968*E1968/1000,3),"-")</f>
        <v>-</v>
      </c>
      <c r="L1968" s="150"/>
      <c r="M1968" s="150"/>
      <c r="N1968" s="150"/>
    </row>
    <row r="1969" spans="1:14" x14ac:dyDescent="0.25">
      <c r="A1969" s="159">
        <v>84</v>
      </c>
      <c r="B1969" s="160">
        <v>1</v>
      </c>
      <c r="C1969" s="160">
        <v>11700</v>
      </c>
      <c r="D1969" s="160" t="s">
        <v>4717</v>
      </c>
      <c r="E1969" s="160">
        <v>2660</v>
      </c>
      <c r="F1969" s="160" t="s">
        <v>75</v>
      </c>
      <c r="G1969" s="148">
        <v>32</v>
      </c>
      <c r="H1969" s="152">
        <f>IF(C1969=11700,ROUND(VLOOKUP(G1969,ThongSo!$F$2:$I$15,4,0)*B1969*11.7,3),0)</f>
        <v>73.826999999999998</v>
      </c>
      <c r="I1969" s="152" t="str">
        <f>IF(F1969="Sắt vụn",ROUND(VLOOKUP(G1969,ThongSo!$F$2:$I$15,4,0)*B1969*E1969/1000,3),"-")</f>
        <v>-</v>
      </c>
      <c r="L1969" s="150"/>
      <c r="M1969" s="150"/>
      <c r="N1969" s="150"/>
    </row>
    <row r="1970" spans="1:14" x14ac:dyDescent="0.25">
      <c r="A1970" s="159">
        <v>85</v>
      </c>
      <c r="B1970" s="160">
        <v>5</v>
      </c>
      <c r="C1970" s="160">
        <v>11700</v>
      </c>
      <c r="D1970" s="160" t="s">
        <v>4718</v>
      </c>
      <c r="E1970" s="160">
        <v>2720</v>
      </c>
      <c r="F1970" s="160" t="s">
        <v>75</v>
      </c>
      <c r="G1970" s="148">
        <v>32</v>
      </c>
      <c r="H1970" s="152">
        <f>IF(C1970=11700,ROUND(VLOOKUP(G1970,ThongSo!$F$2:$I$15,4,0)*B1970*11.7,3),0)</f>
        <v>369.13499999999999</v>
      </c>
      <c r="I1970" s="152" t="str">
        <f>IF(F1970="Sắt vụn",ROUND(VLOOKUP(G1970,ThongSo!$F$2:$I$15,4,0)*B1970*E1970/1000,3),"-")</f>
        <v>-</v>
      </c>
      <c r="L1970" s="150"/>
      <c r="M1970" s="150"/>
      <c r="N1970" s="150"/>
    </row>
    <row r="1971" spans="1:14" x14ac:dyDescent="0.25">
      <c r="A1971" s="159">
        <v>86</v>
      </c>
      <c r="B1971" s="160">
        <v>3</v>
      </c>
      <c r="C1971" s="160">
        <v>11700</v>
      </c>
      <c r="D1971" s="160" t="s">
        <v>4719</v>
      </c>
      <c r="E1971" s="160">
        <v>2760</v>
      </c>
      <c r="F1971" s="160" t="s">
        <v>75</v>
      </c>
      <c r="G1971" s="148">
        <v>32</v>
      </c>
      <c r="H1971" s="152">
        <f>IF(C1971=11700,ROUND(VLOOKUP(G1971,ThongSo!$F$2:$I$15,4,0)*B1971*11.7,3),0)</f>
        <v>221.48099999999999</v>
      </c>
      <c r="I1971" s="152" t="str">
        <f>IF(F1971="Sắt vụn",ROUND(VLOOKUP(G1971,ThongSo!$F$2:$I$15,4,0)*B1971*E1971/1000,3),"-")</f>
        <v>-</v>
      </c>
      <c r="L1971" s="150"/>
      <c r="M1971" s="150"/>
      <c r="N1971" s="150"/>
    </row>
    <row r="1972" spans="1:14" x14ac:dyDescent="0.25">
      <c r="A1972" s="159">
        <v>87</v>
      </c>
      <c r="B1972" s="160">
        <v>4</v>
      </c>
      <c r="C1972" s="160">
        <v>11700</v>
      </c>
      <c r="D1972" s="160" t="s">
        <v>4720</v>
      </c>
      <c r="E1972" s="160">
        <v>2780</v>
      </c>
      <c r="F1972" s="160" t="s">
        <v>75</v>
      </c>
      <c r="G1972" s="148">
        <v>32</v>
      </c>
      <c r="H1972" s="152">
        <f>IF(C1972=11700,ROUND(VLOOKUP(G1972,ThongSo!$F$2:$I$15,4,0)*B1972*11.7,3),0)</f>
        <v>295.30799999999999</v>
      </c>
      <c r="I1972" s="152" t="str">
        <f>IF(F1972="Sắt vụn",ROUND(VLOOKUP(G1972,ThongSo!$F$2:$I$15,4,0)*B1972*E1972/1000,3),"-")</f>
        <v>-</v>
      </c>
      <c r="L1972" s="150"/>
      <c r="M1972" s="150"/>
      <c r="N1972" s="150"/>
    </row>
    <row r="1973" spans="1:14" x14ac:dyDescent="0.25">
      <c r="A1973" s="159">
        <v>88</v>
      </c>
      <c r="B1973" s="160">
        <v>4</v>
      </c>
      <c r="C1973" s="160">
        <v>11700</v>
      </c>
      <c r="D1973" s="160" t="s">
        <v>4721</v>
      </c>
      <c r="E1973" s="160">
        <v>2780</v>
      </c>
      <c r="F1973" s="160" t="s">
        <v>75</v>
      </c>
      <c r="G1973" s="148">
        <v>32</v>
      </c>
      <c r="H1973" s="152">
        <f>IF(C1973=11700,ROUND(VLOOKUP(G1973,ThongSo!$F$2:$I$15,4,0)*B1973*11.7,3),0)</f>
        <v>295.30799999999999</v>
      </c>
      <c r="I1973" s="152" t="str">
        <f>IF(F1973="Sắt vụn",ROUND(VLOOKUP(G1973,ThongSo!$F$2:$I$15,4,0)*B1973*E1973/1000,3),"-")</f>
        <v>-</v>
      </c>
      <c r="L1973" s="150"/>
      <c r="M1973" s="150"/>
      <c r="N1973" s="150"/>
    </row>
    <row r="1974" spans="1:14" x14ac:dyDescent="0.25">
      <c r="A1974" s="159">
        <v>89</v>
      </c>
      <c r="B1974" s="160">
        <v>1</v>
      </c>
      <c r="C1974" s="160">
        <v>11700</v>
      </c>
      <c r="D1974" s="160" t="s">
        <v>4722</v>
      </c>
      <c r="E1974" s="160">
        <v>2780</v>
      </c>
      <c r="F1974" s="160" t="s">
        <v>75</v>
      </c>
      <c r="G1974" s="148">
        <v>32</v>
      </c>
      <c r="H1974" s="152">
        <f>IF(C1974=11700,ROUND(VLOOKUP(G1974,ThongSo!$F$2:$I$15,4,0)*B1974*11.7,3),0)</f>
        <v>73.826999999999998</v>
      </c>
      <c r="I1974" s="152" t="str">
        <f>IF(F1974="Sắt vụn",ROUND(VLOOKUP(G1974,ThongSo!$F$2:$I$15,4,0)*B1974*E1974/1000,3),"-")</f>
        <v>-</v>
      </c>
      <c r="L1974" s="150"/>
      <c r="M1974" s="150"/>
      <c r="N1974" s="150"/>
    </row>
    <row r="1975" spans="1:14" x14ac:dyDescent="0.25">
      <c r="A1975" s="159">
        <v>90</v>
      </c>
      <c r="B1975" s="160">
        <v>2</v>
      </c>
      <c r="C1975" s="160">
        <v>11700</v>
      </c>
      <c r="D1975" s="160" t="s">
        <v>4723</v>
      </c>
      <c r="E1975" s="160">
        <v>2800</v>
      </c>
      <c r="F1975" s="160" t="s">
        <v>75</v>
      </c>
      <c r="G1975" s="148">
        <v>32</v>
      </c>
      <c r="H1975" s="152">
        <f>IF(C1975=11700,ROUND(VLOOKUP(G1975,ThongSo!$F$2:$I$15,4,0)*B1975*11.7,3),0)</f>
        <v>147.654</v>
      </c>
      <c r="I1975" s="152" t="str">
        <f>IF(F1975="Sắt vụn",ROUND(VLOOKUP(G1975,ThongSo!$F$2:$I$15,4,0)*B1975*E1975/1000,3),"-")</f>
        <v>-</v>
      </c>
      <c r="L1975" s="150"/>
      <c r="M1975" s="150"/>
      <c r="N1975" s="150"/>
    </row>
    <row r="1976" spans="1:14" x14ac:dyDescent="0.25">
      <c r="A1976" s="159">
        <v>91</v>
      </c>
      <c r="B1976" s="160">
        <v>2</v>
      </c>
      <c r="C1976" s="160">
        <v>11700</v>
      </c>
      <c r="D1976" s="160" t="s">
        <v>4724</v>
      </c>
      <c r="E1976" s="160">
        <v>2800</v>
      </c>
      <c r="F1976" s="160" t="s">
        <v>75</v>
      </c>
      <c r="G1976" s="148">
        <v>32</v>
      </c>
      <c r="H1976" s="152">
        <f>IF(C1976=11700,ROUND(VLOOKUP(G1976,ThongSo!$F$2:$I$15,4,0)*B1976*11.7,3),0)</f>
        <v>147.654</v>
      </c>
      <c r="I1976" s="152" t="str">
        <f>IF(F1976="Sắt vụn",ROUND(VLOOKUP(G1976,ThongSo!$F$2:$I$15,4,0)*B1976*E1976/1000,3),"-")</f>
        <v>-</v>
      </c>
      <c r="L1976" s="150"/>
      <c r="M1976" s="150"/>
      <c r="N1976" s="150"/>
    </row>
    <row r="1977" spans="1:14" x14ac:dyDescent="0.25">
      <c r="A1977" s="159">
        <v>92</v>
      </c>
      <c r="B1977" s="160">
        <v>5</v>
      </c>
      <c r="C1977" s="160">
        <v>11700</v>
      </c>
      <c r="D1977" s="160" t="s">
        <v>4725</v>
      </c>
      <c r="E1977" s="160">
        <v>2835</v>
      </c>
      <c r="F1977" s="160" t="s">
        <v>75</v>
      </c>
      <c r="G1977" s="148">
        <v>32</v>
      </c>
      <c r="H1977" s="152">
        <f>IF(C1977=11700,ROUND(VLOOKUP(G1977,ThongSo!$F$2:$I$15,4,0)*B1977*11.7,3),0)</f>
        <v>369.13499999999999</v>
      </c>
      <c r="I1977" s="152" t="str">
        <f>IF(F1977="Sắt vụn",ROUND(VLOOKUP(G1977,ThongSo!$F$2:$I$15,4,0)*B1977*E1977/1000,3),"-")</f>
        <v>-</v>
      </c>
      <c r="L1977" s="150"/>
      <c r="M1977" s="150"/>
      <c r="N1977" s="150"/>
    </row>
    <row r="1978" spans="1:14" x14ac:dyDescent="0.25">
      <c r="A1978" s="159">
        <v>93</v>
      </c>
      <c r="B1978" s="160">
        <v>6</v>
      </c>
      <c r="C1978" s="160">
        <v>11700</v>
      </c>
      <c r="D1978" s="160" t="s">
        <v>4726</v>
      </c>
      <c r="E1978" s="160">
        <v>2850</v>
      </c>
      <c r="F1978" s="160" t="s">
        <v>75</v>
      </c>
      <c r="G1978" s="148">
        <v>32</v>
      </c>
      <c r="H1978" s="152">
        <f>IF(C1978=11700,ROUND(VLOOKUP(G1978,ThongSo!$F$2:$I$15,4,0)*B1978*11.7,3),0)</f>
        <v>442.96199999999999</v>
      </c>
      <c r="I1978" s="152" t="str">
        <f>IF(F1978="Sắt vụn",ROUND(VLOOKUP(G1978,ThongSo!$F$2:$I$15,4,0)*B1978*E1978/1000,3),"-")</f>
        <v>-</v>
      </c>
      <c r="L1978" s="150"/>
      <c r="M1978" s="150"/>
      <c r="N1978" s="150"/>
    </row>
    <row r="1979" spans="1:14" x14ac:dyDescent="0.25">
      <c r="A1979" s="159">
        <v>94</v>
      </c>
      <c r="B1979" s="160">
        <v>14</v>
      </c>
      <c r="C1979" s="160">
        <v>11700</v>
      </c>
      <c r="D1979" s="160" t="s">
        <v>4727</v>
      </c>
      <c r="E1979" s="160">
        <v>3070</v>
      </c>
      <c r="F1979" s="160" t="s">
        <v>75</v>
      </c>
      <c r="G1979" s="148">
        <v>32</v>
      </c>
      <c r="H1979" s="152">
        <f>IF(C1979=11700,ROUND(VLOOKUP(G1979,ThongSo!$F$2:$I$15,4,0)*B1979*11.7,3),0)</f>
        <v>1033.578</v>
      </c>
      <c r="I1979" s="152" t="str">
        <f>IF(F1979="Sắt vụn",ROUND(VLOOKUP(G1979,ThongSo!$F$2:$I$15,4,0)*B1979*E1979/1000,3),"-")</f>
        <v>-</v>
      </c>
      <c r="L1979" s="150"/>
      <c r="M1979" s="150"/>
      <c r="N1979" s="150"/>
    </row>
    <row r="1980" spans="1:14" x14ac:dyDescent="0.25">
      <c r="A1980" s="159">
        <v>95</v>
      </c>
      <c r="B1980" s="160">
        <v>4</v>
      </c>
      <c r="C1980" s="160">
        <v>11700</v>
      </c>
      <c r="D1980" s="160" t="s">
        <v>4728</v>
      </c>
      <c r="E1980" s="160">
        <v>3245</v>
      </c>
      <c r="F1980" s="160" t="s">
        <v>75</v>
      </c>
      <c r="G1980" s="148">
        <v>32</v>
      </c>
      <c r="H1980" s="152">
        <f>IF(C1980=11700,ROUND(VLOOKUP(G1980,ThongSo!$F$2:$I$15,4,0)*B1980*11.7,3),0)</f>
        <v>295.30799999999999</v>
      </c>
      <c r="I1980" s="152" t="str">
        <f>IF(F1980="Sắt vụn",ROUND(VLOOKUP(G1980,ThongSo!$F$2:$I$15,4,0)*B1980*E1980/1000,3),"-")</f>
        <v>-</v>
      </c>
      <c r="L1980" s="150"/>
      <c r="M1980" s="150"/>
      <c r="N1980" s="150"/>
    </row>
    <row r="1981" spans="1:14" x14ac:dyDescent="0.25">
      <c r="A1981" s="159">
        <v>96</v>
      </c>
      <c r="B1981" s="160">
        <v>3</v>
      </c>
      <c r="C1981" s="160">
        <v>11700</v>
      </c>
      <c r="D1981" s="160" t="s">
        <v>4729</v>
      </c>
      <c r="E1981" s="160">
        <v>3300</v>
      </c>
      <c r="F1981" s="160" t="s">
        <v>75</v>
      </c>
      <c r="G1981" s="148">
        <v>32</v>
      </c>
      <c r="H1981" s="152">
        <f>IF(C1981=11700,ROUND(VLOOKUP(G1981,ThongSo!$F$2:$I$15,4,0)*B1981*11.7,3),0)</f>
        <v>221.48099999999999</v>
      </c>
      <c r="I1981" s="152" t="str">
        <f>IF(F1981="Sắt vụn",ROUND(VLOOKUP(G1981,ThongSo!$F$2:$I$15,4,0)*B1981*E1981/1000,3),"-")</f>
        <v>-</v>
      </c>
      <c r="L1981" s="150"/>
      <c r="M1981" s="150"/>
      <c r="N1981" s="150"/>
    </row>
    <row r="1982" spans="1:14" x14ac:dyDescent="0.25">
      <c r="A1982" s="159">
        <v>97</v>
      </c>
      <c r="B1982" s="160">
        <v>7</v>
      </c>
      <c r="C1982" s="160">
        <v>11700</v>
      </c>
      <c r="D1982" s="160" t="s">
        <v>4730</v>
      </c>
      <c r="E1982" s="160">
        <v>3370</v>
      </c>
      <c r="F1982" s="160" t="s">
        <v>75</v>
      </c>
      <c r="G1982" s="148">
        <v>32</v>
      </c>
      <c r="H1982" s="152">
        <f>IF(C1982=11700,ROUND(VLOOKUP(G1982,ThongSo!$F$2:$I$15,4,0)*B1982*11.7,3),0)</f>
        <v>516.78899999999999</v>
      </c>
      <c r="I1982" s="152" t="str">
        <f>IF(F1982="Sắt vụn",ROUND(VLOOKUP(G1982,ThongSo!$F$2:$I$15,4,0)*B1982*E1982/1000,3),"-")</f>
        <v>-</v>
      </c>
      <c r="L1982" s="150"/>
      <c r="M1982" s="150"/>
      <c r="N1982" s="150"/>
    </row>
    <row r="1983" spans="1:14" x14ac:dyDescent="0.25">
      <c r="A1983" s="159">
        <v>98</v>
      </c>
      <c r="B1983" s="160">
        <v>7</v>
      </c>
      <c r="C1983" s="160">
        <v>11700</v>
      </c>
      <c r="D1983" s="160" t="s">
        <v>4731</v>
      </c>
      <c r="E1983" s="160">
        <v>3370</v>
      </c>
      <c r="F1983" s="160" t="s">
        <v>75</v>
      </c>
      <c r="G1983" s="148">
        <v>32</v>
      </c>
      <c r="H1983" s="152">
        <f>IF(C1983=11700,ROUND(VLOOKUP(G1983,ThongSo!$F$2:$I$15,4,0)*B1983*11.7,3),0)</f>
        <v>516.78899999999999</v>
      </c>
      <c r="I1983" s="152" t="str">
        <f>IF(F1983="Sắt vụn",ROUND(VLOOKUP(G1983,ThongSo!$F$2:$I$15,4,0)*B1983*E1983/1000,3),"-")</f>
        <v>-</v>
      </c>
      <c r="L1983" s="150"/>
      <c r="M1983" s="150"/>
      <c r="N1983" s="150"/>
    </row>
    <row r="1984" spans="1:14" x14ac:dyDescent="0.25">
      <c r="A1984" s="159">
        <v>99</v>
      </c>
      <c r="B1984" s="160">
        <v>14</v>
      </c>
      <c r="C1984" s="160">
        <v>11700</v>
      </c>
      <c r="D1984" s="160" t="s">
        <v>4732</v>
      </c>
      <c r="E1984" s="160">
        <v>3410</v>
      </c>
      <c r="F1984" s="160" t="s">
        <v>75</v>
      </c>
      <c r="G1984" s="148">
        <v>32</v>
      </c>
      <c r="H1984" s="152">
        <f>IF(C1984=11700,ROUND(VLOOKUP(G1984,ThongSo!$F$2:$I$15,4,0)*B1984*11.7,3),0)</f>
        <v>1033.578</v>
      </c>
      <c r="I1984" s="152" t="str">
        <f>IF(F1984="Sắt vụn",ROUND(VLOOKUP(G1984,ThongSo!$F$2:$I$15,4,0)*B1984*E1984/1000,3),"-")</f>
        <v>-</v>
      </c>
      <c r="L1984" s="150"/>
      <c r="M1984" s="150"/>
      <c r="N1984" s="150"/>
    </row>
    <row r="1985" spans="1:14" x14ac:dyDescent="0.25">
      <c r="A1985" s="159">
        <v>100</v>
      </c>
      <c r="B1985" s="160">
        <v>6</v>
      </c>
      <c r="C1985" s="160">
        <v>11700</v>
      </c>
      <c r="D1985" s="160" t="s">
        <v>4733</v>
      </c>
      <c r="E1985" s="160">
        <v>3670</v>
      </c>
      <c r="F1985" s="160" t="s">
        <v>75</v>
      </c>
      <c r="G1985" s="148">
        <v>32</v>
      </c>
      <c r="H1985" s="152">
        <f>IF(C1985=11700,ROUND(VLOOKUP(G1985,ThongSo!$F$2:$I$15,4,0)*B1985*11.7,3),0)</f>
        <v>442.96199999999999</v>
      </c>
      <c r="I1985" s="152" t="str">
        <f>IF(F1985="Sắt vụn",ROUND(VLOOKUP(G1985,ThongSo!$F$2:$I$15,4,0)*B1985*E1985/1000,3),"-")</f>
        <v>-</v>
      </c>
      <c r="L1985" s="150"/>
      <c r="M1985" s="150"/>
      <c r="N1985" s="150"/>
    </row>
    <row r="1986" spans="1:14" x14ac:dyDescent="0.25">
      <c r="A1986" s="159">
        <v>101</v>
      </c>
      <c r="B1986" s="160">
        <v>5</v>
      </c>
      <c r="C1986" s="160">
        <v>11700</v>
      </c>
      <c r="D1986" s="160" t="s">
        <v>4734</v>
      </c>
      <c r="E1986" s="160">
        <v>3670</v>
      </c>
      <c r="F1986" s="160" t="s">
        <v>75</v>
      </c>
      <c r="G1986" s="148">
        <v>32</v>
      </c>
      <c r="H1986" s="152">
        <f>IF(C1986=11700,ROUND(VLOOKUP(G1986,ThongSo!$F$2:$I$15,4,0)*B1986*11.7,3),0)</f>
        <v>369.13499999999999</v>
      </c>
      <c r="I1986" s="152" t="str">
        <f>IF(F1986="Sắt vụn",ROUND(VLOOKUP(G1986,ThongSo!$F$2:$I$15,4,0)*B1986*E1986/1000,3),"-")</f>
        <v>-</v>
      </c>
      <c r="L1986" s="150"/>
      <c r="M1986" s="150"/>
      <c r="N1986" s="150"/>
    </row>
    <row r="1987" spans="1:14" x14ac:dyDescent="0.25">
      <c r="A1987" s="159">
        <v>102</v>
      </c>
      <c r="B1987" s="160">
        <v>6</v>
      </c>
      <c r="C1987" s="160">
        <v>11700</v>
      </c>
      <c r="D1987" s="160" t="s">
        <v>4735</v>
      </c>
      <c r="E1987" s="160">
        <v>3670</v>
      </c>
      <c r="F1987" s="160" t="s">
        <v>75</v>
      </c>
      <c r="G1987" s="148">
        <v>32</v>
      </c>
      <c r="H1987" s="152">
        <f>IF(C1987=11700,ROUND(VLOOKUP(G1987,ThongSo!$F$2:$I$15,4,0)*B1987*11.7,3),0)</f>
        <v>442.96199999999999</v>
      </c>
      <c r="I1987" s="152" t="str">
        <f>IF(F1987="Sắt vụn",ROUND(VLOOKUP(G1987,ThongSo!$F$2:$I$15,4,0)*B1987*E1987/1000,3),"-")</f>
        <v>-</v>
      </c>
      <c r="L1987" s="150"/>
      <c r="M1987" s="150"/>
      <c r="N1987" s="150"/>
    </row>
    <row r="1988" spans="1:14" x14ac:dyDescent="0.25">
      <c r="A1988" s="159">
        <v>103</v>
      </c>
      <c r="B1988" s="160">
        <v>6</v>
      </c>
      <c r="C1988" s="160">
        <v>11700</v>
      </c>
      <c r="D1988" s="160" t="s">
        <v>4736</v>
      </c>
      <c r="E1988" s="160">
        <v>3700</v>
      </c>
      <c r="F1988" s="160" t="s">
        <v>75</v>
      </c>
      <c r="G1988" s="148">
        <v>32</v>
      </c>
      <c r="H1988" s="152">
        <f>IF(C1988=11700,ROUND(VLOOKUP(G1988,ThongSo!$F$2:$I$15,4,0)*B1988*11.7,3),0)</f>
        <v>442.96199999999999</v>
      </c>
      <c r="I1988" s="152" t="str">
        <f>IF(F1988="Sắt vụn",ROUND(VLOOKUP(G1988,ThongSo!$F$2:$I$15,4,0)*B1988*E1988/1000,3),"-")</f>
        <v>-</v>
      </c>
      <c r="L1988" s="150"/>
      <c r="M1988" s="150"/>
      <c r="N1988" s="150"/>
    </row>
    <row r="1989" spans="1:14" x14ac:dyDescent="0.25">
      <c r="A1989" s="159">
        <v>104</v>
      </c>
      <c r="B1989" s="160">
        <v>13</v>
      </c>
      <c r="C1989" s="160">
        <v>11700</v>
      </c>
      <c r="D1989" s="160" t="s">
        <v>4737</v>
      </c>
      <c r="E1989" s="160">
        <v>4250</v>
      </c>
      <c r="F1989" s="160" t="s">
        <v>75</v>
      </c>
      <c r="G1989" s="148">
        <v>32</v>
      </c>
      <c r="H1989" s="152">
        <f>IF(C1989=11700,ROUND(VLOOKUP(G1989,ThongSo!$F$2:$I$15,4,0)*B1989*11.7,3),0)</f>
        <v>959.75099999999998</v>
      </c>
      <c r="I1989" s="152" t="str">
        <f>IF(F1989="Sắt vụn",ROUND(VLOOKUP(G1989,ThongSo!$F$2:$I$15,4,0)*B1989*E1989/1000,3),"-")</f>
        <v>-</v>
      </c>
      <c r="L1989" s="150"/>
      <c r="M1989" s="150"/>
      <c r="N1989" s="150"/>
    </row>
    <row r="1990" spans="1:14" x14ac:dyDescent="0.25">
      <c r="A1990" s="159">
        <v>105</v>
      </c>
      <c r="B1990" s="160">
        <v>9</v>
      </c>
      <c r="C1990" s="160">
        <v>11700</v>
      </c>
      <c r="D1990" s="160" t="s">
        <v>4738</v>
      </c>
      <c r="E1990" s="160">
        <v>4300</v>
      </c>
      <c r="F1990" s="160" t="s">
        <v>75</v>
      </c>
      <c r="G1990" s="148">
        <v>32</v>
      </c>
      <c r="H1990" s="152">
        <f>IF(C1990=11700,ROUND(VLOOKUP(G1990,ThongSo!$F$2:$I$15,4,0)*B1990*11.7,3),0)</f>
        <v>664.44299999999998</v>
      </c>
      <c r="I1990" s="152" t="str">
        <f>IF(F1990="Sắt vụn",ROUND(VLOOKUP(G1990,ThongSo!$F$2:$I$15,4,0)*B1990*E1990/1000,3),"-")</f>
        <v>-</v>
      </c>
      <c r="L1990" s="150"/>
      <c r="M1990" s="150"/>
      <c r="N1990" s="150"/>
    </row>
    <row r="1991" spans="1:14" x14ac:dyDescent="0.25">
      <c r="A1991" s="159">
        <v>106</v>
      </c>
      <c r="B1991" s="160">
        <v>9</v>
      </c>
      <c r="C1991" s="160">
        <v>11700</v>
      </c>
      <c r="D1991" s="160" t="s">
        <v>4739</v>
      </c>
      <c r="E1991" s="160">
        <v>4350</v>
      </c>
      <c r="F1991" s="160" t="s">
        <v>75</v>
      </c>
      <c r="G1991" s="148">
        <v>32</v>
      </c>
      <c r="H1991" s="152">
        <f>IF(C1991=11700,ROUND(VLOOKUP(G1991,ThongSo!$F$2:$I$15,4,0)*B1991*11.7,3),0)</f>
        <v>664.44299999999998</v>
      </c>
      <c r="I1991" s="152" t="str">
        <f>IF(F1991="Sắt vụn",ROUND(VLOOKUP(G1991,ThongSo!$F$2:$I$15,4,0)*B1991*E1991/1000,3),"-")</f>
        <v>-</v>
      </c>
      <c r="L1991" s="150"/>
      <c r="M1991" s="150"/>
      <c r="N1991" s="150"/>
    </row>
    <row r="1992" spans="1:14" x14ac:dyDescent="0.25">
      <c r="A1992" s="159">
        <v>107</v>
      </c>
      <c r="B1992" s="160">
        <v>1</v>
      </c>
      <c r="C1992" s="160">
        <v>11700</v>
      </c>
      <c r="D1992" s="160" t="s">
        <v>4740</v>
      </c>
      <c r="E1992" s="160">
        <v>7250</v>
      </c>
      <c r="F1992" s="160" t="s">
        <v>75</v>
      </c>
      <c r="G1992" s="148">
        <v>32</v>
      </c>
      <c r="H1992" s="152">
        <f>IF(C1992=11700,ROUND(VLOOKUP(G1992,ThongSo!$F$2:$I$15,4,0)*B1992*11.7,3),0)</f>
        <v>73.826999999999998</v>
      </c>
      <c r="I1992" s="152" t="str">
        <f>IF(F1992="Sắt vụn",ROUND(VLOOKUP(G1992,ThongSo!$F$2:$I$15,4,0)*B1992*E1992/1000,3),"-")</f>
        <v>-</v>
      </c>
      <c r="L1992" s="150"/>
      <c r="M1992" s="150"/>
      <c r="N1992" s="150"/>
    </row>
    <row r="1993" spans="1:14" x14ac:dyDescent="0.25">
      <c r="A1993" s="157" t="s">
        <v>76</v>
      </c>
      <c r="B1993" s="158"/>
      <c r="C1993" s="158"/>
      <c r="D1993" s="158"/>
      <c r="E1993" s="158"/>
      <c r="F1993" s="158"/>
      <c r="G1993" s="148"/>
      <c r="H1993" s="152">
        <f>IF(C1993=11700,ROUND(VLOOKUP(G1993,ThongSo!$F$2:$I$15,4,0)*B1993*11.7,3),0)</f>
        <v>0</v>
      </c>
      <c r="I1993" s="152" t="str">
        <f>IF(F1993="Sắt vụn",ROUND(VLOOKUP(G1993,ThongSo!$F$2:$I$15,4,0)*B1993*E1993/1000,3),"-")</f>
        <v>-</v>
      </c>
      <c r="L1993" s="150"/>
      <c r="M1993" s="150"/>
      <c r="N1993" s="150"/>
    </row>
    <row r="1994" spans="1:14" x14ac:dyDescent="0.25">
      <c r="A1994" s="159" t="s">
        <v>73</v>
      </c>
      <c r="B1994" s="160">
        <v>4</v>
      </c>
      <c r="C1994" s="160">
        <v>11700</v>
      </c>
      <c r="D1994" s="160"/>
      <c r="E1994" s="160"/>
      <c r="F1994" s="160"/>
      <c r="G1994" s="148">
        <v>28</v>
      </c>
      <c r="H1994" s="152">
        <f>IF(C1994=11700,ROUND(VLOOKUP(G1994,ThongSo!$F$2:$I$15,4,0)*B1994*11.7,3),0)</f>
        <v>226.512</v>
      </c>
      <c r="I1994" s="152" t="str">
        <f>IF(F1994="Sắt vụn",ROUND(VLOOKUP(G1994,ThongSo!$F$2:$I$15,4,0)*B1994*E1994/1000,3),"-")</f>
        <v>-</v>
      </c>
      <c r="L1994" s="150"/>
      <c r="M1994" s="150"/>
      <c r="N1994" s="150"/>
    </row>
    <row r="1995" spans="1:14" x14ac:dyDescent="0.25">
      <c r="A1995" s="157" t="s">
        <v>78</v>
      </c>
      <c r="B1995" s="158"/>
      <c r="C1995" s="158"/>
      <c r="D1995" s="158"/>
      <c r="E1995" s="158"/>
      <c r="F1995" s="158"/>
      <c r="G1995" s="148"/>
      <c r="H1995" s="152">
        <f>IF(C1995=11700,ROUND(VLOOKUP(G1995,ThongSo!$F$2:$I$15,4,0)*B1995*11.7,3),0)</f>
        <v>0</v>
      </c>
      <c r="I1995" s="152" t="str">
        <f>IF(F1995="Sắt vụn",ROUND(VLOOKUP(G1995,ThongSo!$F$2:$I$15,4,0)*B1995*E1995/1000,3),"-")</f>
        <v>-</v>
      </c>
      <c r="L1995" s="150"/>
      <c r="M1995" s="150"/>
      <c r="N1995" s="150"/>
    </row>
    <row r="1996" spans="1:14" x14ac:dyDescent="0.25">
      <c r="A1996" s="159" t="s">
        <v>310</v>
      </c>
      <c r="B1996" s="160">
        <v>117</v>
      </c>
      <c r="C1996" s="160">
        <v>4330</v>
      </c>
      <c r="D1996" s="160" t="s">
        <v>4741</v>
      </c>
      <c r="E1996" s="160">
        <v>1260</v>
      </c>
      <c r="F1996" s="160" t="s">
        <v>75</v>
      </c>
      <c r="G1996" s="148">
        <v>28</v>
      </c>
      <c r="H1996" s="152">
        <f>IF(C1996=11700,ROUND(VLOOKUP(G1996,ThongSo!$F$2:$I$15,4,0)*B1996*11.7,3),0)</f>
        <v>0</v>
      </c>
      <c r="I1996" s="152" t="str">
        <f>IF(F1996="Sắt vụn",ROUND(VLOOKUP(G1996,ThongSo!$F$2:$I$15,4,0)*B1996*E1996/1000,3),"-")</f>
        <v>-</v>
      </c>
      <c r="L1996" s="150"/>
      <c r="M1996" s="150"/>
      <c r="N1996" s="150"/>
    </row>
    <row r="1997" spans="1:14" x14ac:dyDescent="0.25">
      <c r="A1997" s="159" t="s">
        <v>310</v>
      </c>
      <c r="B1997" s="160">
        <v>37</v>
      </c>
      <c r="C1997" s="160">
        <v>4330</v>
      </c>
      <c r="D1997" s="160" t="s">
        <v>4742</v>
      </c>
      <c r="E1997" s="160">
        <v>1500</v>
      </c>
      <c r="F1997" s="160" t="s">
        <v>75</v>
      </c>
      <c r="G1997" s="148">
        <v>28</v>
      </c>
      <c r="H1997" s="152">
        <f>IF(C1997=11700,ROUND(VLOOKUP(G1997,ThongSo!$F$2:$I$15,4,0)*B1997*11.7,3),0)</f>
        <v>0</v>
      </c>
      <c r="I1997" s="152" t="str">
        <f>IF(F1997="Sắt vụn",ROUND(VLOOKUP(G1997,ThongSo!$F$2:$I$15,4,0)*B1997*E1997/1000,3),"-")</f>
        <v>-</v>
      </c>
      <c r="L1997" s="150"/>
      <c r="M1997" s="150"/>
      <c r="N1997" s="150"/>
    </row>
    <row r="1998" spans="1:14" x14ac:dyDescent="0.25">
      <c r="A1998" s="159">
        <v>110</v>
      </c>
      <c r="B1998" s="160">
        <v>117</v>
      </c>
      <c r="C1998" s="160">
        <v>11700</v>
      </c>
      <c r="D1998" s="160" t="s">
        <v>4743</v>
      </c>
      <c r="E1998" s="160">
        <v>170</v>
      </c>
      <c r="F1998" s="160" t="s">
        <v>74</v>
      </c>
      <c r="G1998" s="148">
        <v>28</v>
      </c>
      <c r="H1998" s="152">
        <f>IF(C1998=11700,ROUND(VLOOKUP(G1998,ThongSo!$F$2:$I$15,4,0)*B1998*11.7,3),0)</f>
        <v>6625.4759999999997</v>
      </c>
      <c r="I1998" s="152">
        <f>IF(F1998="Sắt vụn",ROUND(VLOOKUP(G1998,ThongSo!$F$2:$I$15,4,0)*B1998*E1998/1000,3),"-")</f>
        <v>96.268000000000001</v>
      </c>
      <c r="L1998" s="150"/>
      <c r="M1998" s="150"/>
      <c r="N1998" s="150"/>
    </row>
    <row r="1999" spans="1:14" x14ac:dyDescent="0.25">
      <c r="A1999" s="159">
        <v>111</v>
      </c>
      <c r="B1999" s="160">
        <v>20</v>
      </c>
      <c r="C1999" s="160">
        <v>11700</v>
      </c>
      <c r="D1999" s="160" t="s">
        <v>4744</v>
      </c>
      <c r="E1999" s="160">
        <v>380</v>
      </c>
      <c r="F1999" s="160" t="s">
        <v>74</v>
      </c>
      <c r="G1999" s="148">
        <v>28</v>
      </c>
      <c r="H1999" s="152">
        <f>IF(C1999=11700,ROUND(VLOOKUP(G1999,ThongSo!$F$2:$I$15,4,0)*B1999*11.7,3),0)</f>
        <v>1132.56</v>
      </c>
      <c r="I1999" s="152">
        <f>IF(F1999="Sắt vụn",ROUND(VLOOKUP(G1999,ThongSo!$F$2:$I$15,4,0)*B1999*E1999/1000,3),"-")</f>
        <v>36.783999999999999</v>
      </c>
      <c r="L1999" s="150"/>
      <c r="M1999" s="150"/>
      <c r="N1999" s="150"/>
    </row>
    <row r="2000" spans="1:14" x14ac:dyDescent="0.25">
      <c r="A2000" s="157" t="s">
        <v>80</v>
      </c>
      <c r="B2000" s="158"/>
      <c r="C2000" s="158"/>
      <c r="D2000" s="158"/>
      <c r="E2000" s="158"/>
      <c r="F2000" s="158"/>
      <c r="G2000" s="148"/>
      <c r="H2000" s="152">
        <f>IF(C2000=11700,ROUND(VLOOKUP(G2000,ThongSo!$F$2:$I$15,4,0)*B2000*11.7,3),0)</f>
        <v>0</v>
      </c>
      <c r="I2000" s="152" t="str">
        <f>IF(F2000="Sắt vụn",ROUND(VLOOKUP(G2000,ThongSo!$F$2:$I$15,4,0)*B2000*E2000/1000,3),"-")</f>
        <v>-</v>
      </c>
      <c r="L2000" s="150"/>
      <c r="M2000" s="150"/>
      <c r="N2000" s="150"/>
    </row>
    <row r="2001" spans="1:14" x14ac:dyDescent="0.25">
      <c r="A2001" s="159" t="s">
        <v>73</v>
      </c>
      <c r="B2001" s="160">
        <v>36</v>
      </c>
      <c r="C2001" s="160">
        <v>11700</v>
      </c>
      <c r="D2001" s="160"/>
      <c r="E2001" s="160"/>
      <c r="F2001" s="160"/>
      <c r="G2001" s="148">
        <v>18</v>
      </c>
      <c r="H2001" s="152">
        <f>IF(C2001=11700,ROUND(VLOOKUP(G2001,ThongSo!$F$2:$I$15,4,0)*B2001*11.7,3),0)</f>
        <v>842.4</v>
      </c>
      <c r="I2001" s="152" t="str">
        <f>IF(F2001="Sắt vụn",ROUND(VLOOKUP(G2001,ThongSo!$F$2:$I$15,4,0)*B2001*E2001/1000,3),"-")</f>
        <v>-</v>
      </c>
      <c r="L2001" s="150"/>
      <c r="M2001" s="150"/>
      <c r="N2001" s="150"/>
    </row>
    <row r="2002" spans="1:14" x14ac:dyDescent="0.25">
      <c r="A2002" s="159" t="s">
        <v>224</v>
      </c>
      <c r="B2002" s="160">
        <v>6</v>
      </c>
      <c r="C2002" s="160">
        <v>3310</v>
      </c>
      <c r="D2002" s="160" t="s">
        <v>4745</v>
      </c>
      <c r="E2002" s="160">
        <v>70</v>
      </c>
      <c r="F2002" s="160" t="s">
        <v>74</v>
      </c>
      <c r="G2002" s="148">
        <v>18</v>
      </c>
      <c r="H2002" s="152">
        <f>IF(C2002=11700,ROUND(VLOOKUP(G2002,ThongSo!$F$2:$I$15,4,0)*B2002*11.7,3),0)</f>
        <v>0</v>
      </c>
      <c r="I2002" s="152">
        <f>IF(F2002="Sắt vụn",ROUND(VLOOKUP(G2002,ThongSo!$F$2:$I$15,4,0)*B2002*E2002/1000,3),"-")</f>
        <v>0.84</v>
      </c>
      <c r="L2002" s="150"/>
      <c r="M2002" s="150"/>
      <c r="N2002" s="150"/>
    </row>
    <row r="2003" spans="1:14" x14ac:dyDescent="0.25">
      <c r="A2003" s="159" t="s">
        <v>172</v>
      </c>
      <c r="B2003" s="160">
        <v>6</v>
      </c>
      <c r="C2003" s="160">
        <v>3800</v>
      </c>
      <c r="D2003" s="160" t="s">
        <v>4746</v>
      </c>
      <c r="E2003" s="160">
        <v>360</v>
      </c>
      <c r="F2003" s="160" t="s">
        <v>74</v>
      </c>
      <c r="G2003" s="148">
        <v>18</v>
      </c>
      <c r="H2003" s="152">
        <f>IF(C2003=11700,ROUND(VLOOKUP(G2003,ThongSo!$F$2:$I$15,4,0)*B2003*11.7,3),0)</f>
        <v>0</v>
      </c>
      <c r="I2003" s="152">
        <f>IF(F2003="Sắt vụn",ROUND(VLOOKUP(G2003,ThongSo!$F$2:$I$15,4,0)*B2003*E2003/1000,3),"-")</f>
        <v>4.32</v>
      </c>
      <c r="L2003" s="150"/>
      <c r="M2003" s="150"/>
      <c r="N2003" s="150"/>
    </row>
    <row r="2004" spans="1:14" x14ac:dyDescent="0.25">
      <c r="A2004" s="159" t="s">
        <v>172</v>
      </c>
      <c r="B2004" s="160">
        <v>6</v>
      </c>
      <c r="C2004" s="160">
        <v>3800</v>
      </c>
      <c r="D2004" s="160" t="s">
        <v>4747</v>
      </c>
      <c r="E2004" s="160">
        <v>360</v>
      </c>
      <c r="F2004" s="160" t="s">
        <v>74</v>
      </c>
      <c r="G2004" s="148">
        <v>18</v>
      </c>
      <c r="H2004" s="152">
        <f>IF(C2004=11700,ROUND(VLOOKUP(G2004,ThongSo!$F$2:$I$15,4,0)*B2004*11.7,3),0)</f>
        <v>0</v>
      </c>
      <c r="I2004" s="152">
        <f>IF(F2004="Sắt vụn",ROUND(VLOOKUP(G2004,ThongSo!$F$2:$I$15,4,0)*B2004*E2004/1000,3),"-")</f>
        <v>4.32</v>
      </c>
      <c r="L2004" s="150"/>
      <c r="M2004" s="150"/>
      <c r="N2004" s="150"/>
    </row>
    <row r="2005" spans="1:14" x14ac:dyDescent="0.25">
      <c r="A2005" s="159">
        <v>116</v>
      </c>
      <c r="B2005" s="160">
        <v>6</v>
      </c>
      <c r="C2005" s="160">
        <v>11700</v>
      </c>
      <c r="D2005" s="160" t="s">
        <v>4748</v>
      </c>
      <c r="E2005" s="160">
        <v>40</v>
      </c>
      <c r="F2005" s="160" t="s">
        <v>74</v>
      </c>
      <c r="G2005" s="148">
        <v>18</v>
      </c>
      <c r="H2005" s="152">
        <f>IF(C2005=11700,ROUND(VLOOKUP(G2005,ThongSo!$F$2:$I$15,4,0)*B2005*11.7,3),0)</f>
        <v>140.4</v>
      </c>
      <c r="I2005" s="152">
        <f>IF(F2005="Sắt vụn",ROUND(VLOOKUP(G2005,ThongSo!$F$2:$I$15,4,0)*B2005*E2005/1000,3),"-")</f>
        <v>0.48</v>
      </c>
      <c r="L2005" s="150"/>
      <c r="M2005" s="150"/>
      <c r="N2005" s="150"/>
    </row>
    <row r="2006" spans="1:14" x14ac:dyDescent="0.25">
      <c r="A2006" s="159">
        <v>117</v>
      </c>
      <c r="B2006" s="160">
        <v>3</v>
      </c>
      <c r="C2006" s="160">
        <v>11700</v>
      </c>
      <c r="D2006" s="160" t="s">
        <v>4749</v>
      </c>
      <c r="E2006" s="160">
        <v>440</v>
      </c>
      <c r="F2006" s="160" t="s">
        <v>74</v>
      </c>
      <c r="G2006" s="148">
        <v>18</v>
      </c>
      <c r="H2006" s="152">
        <f>IF(C2006=11700,ROUND(VLOOKUP(G2006,ThongSo!$F$2:$I$15,4,0)*B2006*11.7,3),0)</f>
        <v>70.2</v>
      </c>
      <c r="I2006" s="152">
        <f>IF(F2006="Sắt vụn",ROUND(VLOOKUP(G2006,ThongSo!$F$2:$I$15,4,0)*B2006*E2006/1000,3),"-")</f>
        <v>2.64</v>
      </c>
      <c r="L2006" s="150"/>
      <c r="M2006" s="150"/>
      <c r="N2006" s="150"/>
    </row>
    <row r="2007" spans="1:14" x14ac:dyDescent="0.25">
      <c r="A2007" s="159">
        <v>118</v>
      </c>
      <c r="B2007" s="160">
        <v>1</v>
      </c>
      <c r="C2007" s="160">
        <v>11700</v>
      </c>
      <c r="D2007" s="160" t="s">
        <v>4750</v>
      </c>
      <c r="E2007" s="160">
        <v>760</v>
      </c>
      <c r="F2007" s="160" t="s">
        <v>74</v>
      </c>
      <c r="G2007" s="148">
        <v>18</v>
      </c>
      <c r="H2007" s="152">
        <f>IF(C2007=11700,ROUND(VLOOKUP(G2007,ThongSo!$F$2:$I$15,4,0)*B2007*11.7,3),0)</f>
        <v>23.4</v>
      </c>
      <c r="I2007" s="152">
        <f>IF(F2007="Sắt vụn",ROUND(VLOOKUP(G2007,ThongSo!$F$2:$I$15,4,0)*B2007*E2007/1000,3),"-")</f>
        <v>1.52</v>
      </c>
      <c r="L2007" s="150"/>
      <c r="M2007" s="150"/>
      <c r="N2007" s="150"/>
    </row>
    <row r="2008" spans="1:14" x14ac:dyDescent="0.25">
      <c r="A2008" s="159">
        <v>119</v>
      </c>
      <c r="B2008" s="160">
        <v>6</v>
      </c>
      <c r="C2008" s="160">
        <v>11700</v>
      </c>
      <c r="D2008" s="160" t="s">
        <v>4751</v>
      </c>
      <c r="E2008" s="160">
        <v>850</v>
      </c>
      <c r="F2008" s="160" t="s">
        <v>74</v>
      </c>
      <c r="G2008" s="148">
        <v>18</v>
      </c>
      <c r="H2008" s="152">
        <f>IF(C2008=11700,ROUND(VLOOKUP(G2008,ThongSo!$F$2:$I$15,4,0)*B2008*11.7,3),0)</f>
        <v>140.4</v>
      </c>
      <c r="I2008" s="152">
        <f>IF(F2008="Sắt vụn",ROUND(VLOOKUP(G2008,ThongSo!$F$2:$I$15,4,0)*B2008*E2008/1000,3),"-")</f>
        <v>10.199999999999999</v>
      </c>
      <c r="L2008" s="150"/>
      <c r="M2008" s="150"/>
      <c r="N2008" s="150"/>
    </row>
    <row r="2009" spans="1:14" x14ac:dyDescent="0.25">
      <c r="A2009" s="159">
        <v>120</v>
      </c>
      <c r="B2009" s="160">
        <v>24</v>
      </c>
      <c r="C2009" s="160">
        <v>11700</v>
      </c>
      <c r="D2009" s="160" t="s">
        <v>4752</v>
      </c>
      <c r="E2009" s="160">
        <v>1050</v>
      </c>
      <c r="F2009" s="160" t="s">
        <v>75</v>
      </c>
      <c r="G2009" s="148">
        <v>18</v>
      </c>
      <c r="H2009" s="152">
        <f>IF(C2009=11700,ROUND(VLOOKUP(G2009,ThongSo!$F$2:$I$15,4,0)*B2009*11.7,3),0)</f>
        <v>561.6</v>
      </c>
      <c r="I2009" s="152" t="str">
        <f>IF(F2009="Sắt vụn",ROUND(VLOOKUP(G2009,ThongSo!$F$2:$I$15,4,0)*B2009*E2009/1000,3),"-")</f>
        <v>-</v>
      </c>
      <c r="L2009" s="150"/>
      <c r="M2009" s="150"/>
      <c r="N2009" s="150"/>
    </row>
    <row r="2010" spans="1:14" x14ac:dyDescent="0.25">
      <c r="A2010" s="159">
        <v>121</v>
      </c>
      <c r="B2010" s="160">
        <v>3</v>
      </c>
      <c r="C2010" s="160">
        <v>11700</v>
      </c>
      <c r="D2010" s="160" t="s">
        <v>4753</v>
      </c>
      <c r="E2010" s="160">
        <v>3240</v>
      </c>
      <c r="F2010" s="160" t="s">
        <v>75</v>
      </c>
      <c r="G2010" s="148">
        <v>18</v>
      </c>
      <c r="H2010" s="152">
        <f>IF(C2010=11700,ROUND(VLOOKUP(G2010,ThongSo!$F$2:$I$15,4,0)*B2010*11.7,3),0)</f>
        <v>70.2</v>
      </c>
      <c r="I2010" s="152" t="str">
        <f>IF(F2010="Sắt vụn",ROUND(VLOOKUP(G2010,ThongSo!$F$2:$I$15,4,0)*B2010*E2010/1000,3),"-")</f>
        <v>-</v>
      </c>
      <c r="L2010" s="150"/>
      <c r="M2010" s="150"/>
      <c r="N2010" s="150"/>
    </row>
    <row r="2011" spans="1:14" x14ac:dyDescent="0.25">
      <c r="A2011" s="159">
        <v>122</v>
      </c>
      <c r="B2011" s="160">
        <v>6</v>
      </c>
      <c r="C2011" s="160">
        <v>11700</v>
      </c>
      <c r="D2011" s="160" t="s">
        <v>4754</v>
      </c>
      <c r="E2011" s="160">
        <v>3240</v>
      </c>
      <c r="F2011" s="160" t="s">
        <v>75</v>
      </c>
      <c r="G2011" s="148">
        <v>18</v>
      </c>
      <c r="H2011" s="152">
        <f>IF(C2011=11700,ROUND(VLOOKUP(G2011,ThongSo!$F$2:$I$15,4,0)*B2011*11.7,3),0)</f>
        <v>140.4</v>
      </c>
      <c r="I2011" s="152" t="str">
        <f>IF(F2011="Sắt vụn",ROUND(VLOOKUP(G2011,ThongSo!$F$2:$I$15,4,0)*B2011*E2011/1000,3),"-")</f>
        <v>-</v>
      </c>
      <c r="L2011" s="150"/>
      <c r="M2011" s="150"/>
      <c r="N2011" s="150"/>
    </row>
    <row r="2012" spans="1:14" x14ac:dyDescent="0.25">
      <c r="A2012" s="159">
        <v>123</v>
      </c>
      <c r="B2012" s="160">
        <v>6</v>
      </c>
      <c r="C2012" s="160">
        <v>11700</v>
      </c>
      <c r="D2012" s="160" t="s">
        <v>4755</v>
      </c>
      <c r="E2012" s="160">
        <v>3440</v>
      </c>
      <c r="F2012" s="160" t="s">
        <v>75</v>
      </c>
      <c r="G2012" s="148">
        <v>18</v>
      </c>
      <c r="H2012" s="152">
        <f>IF(C2012=11700,ROUND(VLOOKUP(G2012,ThongSo!$F$2:$I$15,4,0)*B2012*11.7,3),0)</f>
        <v>140.4</v>
      </c>
      <c r="I2012" s="152" t="str">
        <f>IF(F2012="Sắt vụn",ROUND(VLOOKUP(G2012,ThongSo!$F$2:$I$15,4,0)*B2012*E2012/1000,3),"-")</f>
        <v>-</v>
      </c>
      <c r="L2012" s="150"/>
      <c r="M2012" s="150"/>
      <c r="N2012" s="150"/>
    </row>
    <row r="2013" spans="1:14" x14ac:dyDescent="0.25">
      <c r="A2013" s="159">
        <v>124</v>
      </c>
      <c r="B2013" s="160">
        <v>6</v>
      </c>
      <c r="C2013" s="160">
        <v>11700</v>
      </c>
      <c r="D2013" s="160" t="s">
        <v>4756</v>
      </c>
      <c r="E2013" s="160">
        <v>3440</v>
      </c>
      <c r="F2013" s="160" t="s">
        <v>75</v>
      </c>
      <c r="G2013" s="148">
        <v>18</v>
      </c>
      <c r="H2013" s="152">
        <f>IF(C2013=11700,ROUND(VLOOKUP(G2013,ThongSo!$F$2:$I$15,4,0)*B2013*11.7,3),0)</f>
        <v>140.4</v>
      </c>
      <c r="I2013" s="152" t="str">
        <f>IF(F2013="Sắt vụn",ROUND(VLOOKUP(G2013,ThongSo!$F$2:$I$15,4,0)*B2013*E2013/1000,3),"-")</f>
        <v>-</v>
      </c>
      <c r="L2013" s="150"/>
      <c r="M2013" s="150"/>
      <c r="N2013" s="150"/>
    </row>
    <row r="2014" spans="1:14" x14ac:dyDescent="0.25">
      <c r="A2014" s="159">
        <v>125</v>
      </c>
      <c r="B2014" s="160">
        <v>1</v>
      </c>
      <c r="C2014" s="160">
        <v>11700</v>
      </c>
      <c r="D2014" s="160" t="s">
        <v>4757</v>
      </c>
      <c r="E2014" s="160">
        <v>6230</v>
      </c>
      <c r="F2014" s="160" t="s">
        <v>75</v>
      </c>
      <c r="G2014" s="148">
        <v>18</v>
      </c>
      <c r="H2014" s="152">
        <f>IF(C2014=11700,ROUND(VLOOKUP(G2014,ThongSo!$F$2:$I$15,4,0)*B2014*11.7,3),0)</f>
        <v>23.4</v>
      </c>
      <c r="I2014" s="152" t="str">
        <f>IF(F2014="Sắt vụn",ROUND(VLOOKUP(G2014,ThongSo!$F$2:$I$15,4,0)*B2014*E2014/1000,3),"-")</f>
        <v>-</v>
      </c>
      <c r="L2014" s="150"/>
      <c r="M2014" s="150"/>
      <c r="N2014" s="150"/>
    </row>
    <row r="2015" spans="1:14" x14ac:dyDescent="0.25">
      <c r="A2015" s="157" t="s">
        <v>81</v>
      </c>
      <c r="B2015" s="158"/>
      <c r="C2015" s="158"/>
      <c r="D2015" s="158"/>
      <c r="E2015" s="158"/>
      <c r="F2015" s="158"/>
      <c r="G2015" s="148"/>
      <c r="H2015" s="152">
        <f>IF(C2015=11700,ROUND(VLOOKUP(G2015,ThongSo!$F$2:$I$15,4,0)*B2015*11.7,3),0)</f>
        <v>0</v>
      </c>
      <c r="I2015" s="152" t="str">
        <f>IF(F2015="Sắt vụn",ROUND(VLOOKUP(G2015,ThongSo!$F$2:$I$15,4,0)*B2015*E2015/1000,3),"-")</f>
        <v>-</v>
      </c>
      <c r="L2015" s="150"/>
      <c r="M2015" s="150"/>
      <c r="N2015" s="150"/>
    </row>
    <row r="2016" spans="1:14" x14ac:dyDescent="0.25">
      <c r="A2016" s="159" t="s">
        <v>123</v>
      </c>
      <c r="B2016" s="160">
        <v>52</v>
      </c>
      <c r="C2016" s="160">
        <v>2640</v>
      </c>
      <c r="D2016" s="160" t="s">
        <v>4758</v>
      </c>
      <c r="E2016" s="160">
        <v>110</v>
      </c>
      <c r="F2016" s="160" t="s">
        <v>74</v>
      </c>
      <c r="G2016" s="148">
        <v>16</v>
      </c>
      <c r="H2016" s="152">
        <f>IF(C2016=11700,ROUND(VLOOKUP(G2016,ThongSo!$F$2:$I$15,4,0)*B2016*11.7,3),0)</f>
        <v>0</v>
      </c>
      <c r="I2016" s="152">
        <f>IF(F2016="Sắt vụn",ROUND(VLOOKUP(G2016,ThongSo!$F$2:$I$15,4,0)*B2016*E2016/1000,3),"-")</f>
        <v>9.0380000000000003</v>
      </c>
      <c r="L2016" s="150"/>
      <c r="M2016" s="150"/>
      <c r="N2016" s="150"/>
    </row>
    <row r="2017" spans="1:14" x14ac:dyDescent="0.25">
      <c r="A2017" s="159" t="s">
        <v>251</v>
      </c>
      <c r="B2017" s="160">
        <v>118</v>
      </c>
      <c r="C2017" s="160">
        <v>3630</v>
      </c>
      <c r="D2017" s="160" t="s">
        <v>4759</v>
      </c>
      <c r="E2017" s="160">
        <v>500</v>
      </c>
      <c r="F2017" s="160" t="s">
        <v>74</v>
      </c>
      <c r="G2017" s="148">
        <v>16</v>
      </c>
      <c r="H2017" s="152">
        <f>IF(C2017=11700,ROUND(VLOOKUP(G2017,ThongSo!$F$2:$I$15,4,0)*B2017*11.7,3),0)</f>
        <v>0</v>
      </c>
      <c r="I2017" s="152">
        <f>IF(F2017="Sắt vụn",ROUND(VLOOKUP(G2017,ThongSo!$F$2:$I$15,4,0)*B2017*E2017/1000,3),"-")</f>
        <v>93.22</v>
      </c>
      <c r="L2017" s="150"/>
      <c r="M2017" s="150"/>
      <c r="N2017" s="150"/>
    </row>
    <row r="2018" spans="1:14" x14ac:dyDescent="0.25">
      <c r="A2018" s="159" t="s">
        <v>251</v>
      </c>
      <c r="B2018" s="160">
        <v>29</v>
      </c>
      <c r="C2018" s="160">
        <v>3630</v>
      </c>
      <c r="D2018" s="160" t="s">
        <v>4760</v>
      </c>
      <c r="E2018" s="160">
        <v>500</v>
      </c>
      <c r="F2018" s="160" t="s">
        <v>74</v>
      </c>
      <c r="G2018" s="148">
        <v>16</v>
      </c>
      <c r="H2018" s="152">
        <f>IF(C2018=11700,ROUND(VLOOKUP(G2018,ThongSo!$F$2:$I$15,4,0)*B2018*11.7,3),0)</f>
        <v>0</v>
      </c>
      <c r="I2018" s="152">
        <f>IF(F2018="Sắt vụn",ROUND(VLOOKUP(G2018,ThongSo!$F$2:$I$15,4,0)*B2018*E2018/1000,3),"-")</f>
        <v>22.91</v>
      </c>
      <c r="L2018" s="150"/>
      <c r="M2018" s="150"/>
      <c r="N2018" s="150"/>
    </row>
    <row r="2019" spans="1:14" x14ac:dyDescent="0.25">
      <c r="A2019" s="159" t="s">
        <v>228</v>
      </c>
      <c r="B2019" s="160">
        <v>73</v>
      </c>
      <c r="C2019" s="160">
        <v>3830</v>
      </c>
      <c r="D2019" s="160" t="s">
        <v>4760</v>
      </c>
      <c r="E2019" s="160">
        <v>700</v>
      </c>
      <c r="F2019" s="160" t="s">
        <v>74</v>
      </c>
      <c r="G2019" s="148">
        <v>16</v>
      </c>
      <c r="H2019" s="152">
        <f>IF(C2019=11700,ROUND(VLOOKUP(G2019,ThongSo!$F$2:$I$15,4,0)*B2019*11.7,3),0)</f>
        <v>0</v>
      </c>
      <c r="I2019" s="152">
        <f>IF(F2019="Sắt vụn",ROUND(VLOOKUP(G2019,ThongSo!$F$2:$I$15,4,0)*B2019*E2019/1000,3),"-")</f>
        <v>80.738</v>
      </c>
      <c r="L2019" s="150"/>
      <c r="M2019" s="150"/>
      <c r="N2019" s="150"/>
    </row>
    <row r="2020" spans="1:14" x14ac:dyDescent="0.25">
      <c r="A2020" s="159" t="s">
        <v>228</v>
      </c>
      <c r="B2020" s="160">
        <v>32</v>
      </c>
      <c r="C2020" s="160">
        <v>3830</v>
      </c>
      <c r="D2020" s="160" t="s">
        <v>4761</v>
      </c>
      <c r="E2020" s="160">
        <v>1120</v>
      </c>
      <c r="F2020" s="160" t="s">
        <v>75</v>
      </c>
      <c r="G2020" s="148">
        <v>16</v>
      </c>
      <c r="H2020" s="152">
        <f>IF(C2020=11700,ROUND(VLOOKUP(G2020,ThongSo!$F$2:$I$15,4,0)*B2020*11.7,3),0)</f>
        <v>0</v>
      </c>
      <c r="I2020" s="152" t="str">
        <f>IF(F2020="Sắt vụn",ROUND(VLOOKUP(G2020,ThongSo!$F$2:$I$15,4,0)*B2020*E2020/1000,3),"-")</f>
        <v>-</v>
      </c>
      <c r="L2020" s="150"/>
      <c r="M2020" s="150"/>
      <c r="N2020" s="150"/>
    </row>
    <row r="2021" spans="1:14" x14ac:dyDescent="0.25">
      <c r="A2021" s="159">
        <v>131</v>
      </c>
      <c r="B2021" s="160">
        <v>32</v>
      </c>
      <c r="C2021" s="160">
        <v>11700</v>
      </c>
      <c r="D2021" s="160" t="s">
        <v>4762</v>
      </c>
      <c r="E2021" s="160">
        <v>170</v>
      </c>
      <c r="F2021" s="160" t="s">
        <v>74</v>
      </c>
      <c r="G2021" s="148">
        <v>16</v>
      </c>
      <c r="H2021" s="152">
        <f>IF(C2021=11700,ROUND(VLOOKUP(G2021,ThongSo!$F$2:$I$15,4,0)*B2021*11.7,3),0)</f>
        <v>591.55200000000002</v>
      </c>
      <c r="I2021" s="152">
        <f>IF(F2021="Sắt vụn",ROUND(VLOOKUP(G2021,ThongSo!$F$2:$I$15,4,0)*B2021*E2021/1000,3),"-")</f>
        <v>8.5950000000000006</v>
      </c>
      <c r="L2021" s="150"/>
      <c r="M2021" s="150"/>
      <c r="N2021" s="150"/>
    </row>
    <row r="2022" spans="1:14" x14ac:dyDescent="0.25">
      <c r="A2022" s="159">
        <v>132</v>
      </c>
      <c r="B2022" s="160">
        <v>117</v>
      </c>
      <c r="C2022" s="160">
        <v>11700</v>
      </c>
      <c r="D2022" s="160" t="s">
        <v>4763</v>
      </c>
      <c r="E2022" s="160">
        <v>410</v>
      </c>
      <c r="F2022" s="160" t="s">
        <v>74</v>
      </c>
      <c r="G2022" s="148">
        <v>16</v>
      </c>
      <c r="H2022" s="152">
        <f>IF(C2022=11700,ROUND(VLOOKUP(G2022,ThongSo!$F$2:$I$15,4,0)*B2022*11.7,3),0)</f>
        <v>2162.8620000000001</v>
      </c>
      <c r="I2022" s="152">
        <f>IF(F2022="Sắt vụn",ROUND(VLOOKUP(G2022,ThongSo!$F$2:$I$15,4,0)*B2022*E2022/1000,3),"-")</f>
        <v>75.793000000000006</v>
      </c>
      <c r="L2022" s="150"/>
      <c r="M2022" s="150"/>
      <c r="N2022" s="150"/>
    </row>
    <row r="2023" spans="1:14" x14ac:dyDescent="0.25">
      <c r="A2023" s="159">
        <v>133</v>
      </c>
      <c r="B2023" s="160">
        <v>81</v>
      </c>
      <c r="C2023" s="160">
        <v>11700</v>
      </c>
      <c r="D2023" s="160" t="s">
        <v>4764</v>
      </c>
      <c r="E2023" s="160">
        <v>860</v>
      </c>
      <c r="F2023" s="160" t="s">
        <v>75</v>
      </c>
      <c r="G2023" s="148">
        <v>16</v>
      </c>
      <c r="H2023" s="152">
        <f>IF(C2023=11700,ROUND(VLOOKUP(G2023,ThongSo!$F$2:$I$15,4,0)*B2023*11.7,3),0)</f>
        <v>1497.366</v>
      </c>
      <c r="I2023" s="152" t="str">
        <f>IF(F2023="Sắt vụn",ROUND(VLOOKUP(G2023,ThongSo!$F$2:$I$15,4,0)*B2023*E2023/1000,3),"-")</f>
        <v>-</v>
      </c>
      <c r="L2023" s="150"/>
      <c r="M2023" s="150"/>
      <c r="N2023" s="150"/>
    </row>
    <row r="2024" spans="1:14" x14ac:dyDescent="0.25">
      <c r="A2024" s="159">
        <v>134</v>
      </c>
      <c r="B2024" s="160">
        <v>127</v>
      </c>
      <c r="C2024" s="160">
        <v>11700</v>
      </c>
      <c r="D2024" s="160" t="s">
        <v>4765</v>
      </c>
      <c r="E2024" s="160">
        <v>860</v>
      </c>
      <c r="F2024" s="160" t="s">
        <v>75</v>
      </c>
      <c r="G2024" s="148">
        <v>16</v>
      </c>
      <c r="H2024" s="152">
        <f>IF(C2024=11700,ROUND(VLOOKUP(G2024,ThongSo!$F$2:$I$15,4,0)*B2024*11.7,3),0)</f>
        <v>2347.7220000000002</v>
      </c>
      <c r="I2024" s="152" t="str">
        <f>IF(F2024="Sắt vụn",ROUND(VLOOKUP(G2024,ThongSo!$F$2:$I$15,4,0)*B2024*E2024/1000,3),"-")</f>
        <v>-</v>
      </c>
      <c r="L2024" s="150"/>
      <c r="M2024" s="150"/>
      <c r="N2024" s="150"/>
    </row>
    <row r="2025" spans="1:14" x14ac:dyDescent="0.25">
      <c r="A2025" s="159">
        <v>135</v>
      </c>
      <c r="B2025" s="160">
        <v>1</v>
      </c>
      <c r="C2025" s="160">
        <v>11700</v>
      </c>
      <c r="D2025" s="160" t="s">
        <v>4766</v>
      </c>
      <c r="E2025" s="160">
        <v>860</v>
      </c>
      <c r="F2025" s="160" t="s">
        <v>75</v>
      </c>
      <c r="G2025" s="148">
        <v>16</v>
      </c>
      <c r="H2025" s="152">
        <f>IF(C2025=11700,ROUND(VLOOKUP(G2025,ThongSo!$F$2:$I$15,4,0)*B2025*11.7,3),0)</f>
        <v>18.486000000000001</v>
      </c>
      <c r="I2025" s="152" t="str">
        <f>IF(F2025="Sắt vụn",ROUND(VLOOKUP(G2025,ThongSo!$F$2:$I$15,4,0)*B2025*E2025/1000,3),"-")</f>
        <v>-</v>
      </c>
      <c r="L2025" s="150"/>
      <c r="M2025" s="150"/>
      <c r="N2025" s="150"/>
    </row>
    <row r="2026" spans="1:14" x14ac:dyDescent="0.25">
      <c r="A2026" s="159">
        <v>136</v>
      </c>
      <c r="B2026" s="160">
        <v>87</v>
      </c>
      <c r="C2026" s="160">
        <v>11700</v>
      </c>
      <c r="D2026" s="160" t="s">
        <v>4767</v>
      </c>
      <c r="E2026" s="160">
        <v>860</v>
      </c>
      <c r="F2026" s="160" t="s">
        <v>75</v>
      </c>
      <c r="G2026" s="148">
        <v>16</v>
      </c>
      <c r="H2026" s="152">
        <f>IF(C2026=11700,ROUND(VLOOKUP(G2026,ThongSo!$F$2:$I$15,4,0)*B2026*11.7,3),0)</f>
        <v>1608.2819999999999</v>
      </c>
      <c r="I2026" s="152" t="str">
        <f>IF(F2026="Sắt vụn",ROUND(VLOOKUP(G2026,ThongSo!$F$2:$I$15,4,0)*B2026*E2026/1000,3),"-")</f>
        <v>-</v>
      </c>
      <c r="L2026" s="150"/>
      <c r="M2026" s="150"/>
      <c r="N2026" s="150"/>
    </row>
    <row r="2027" spans="1:14" x14ac:dyDescent="0.25">
      <c r="A2027" s="159">
        <v>137</v>
      </c>
      <c r="B2027" s="160">
        <v>1</v>
      </c>
      <c r="C2027" s="160">
        <v>11700</v>
      </c>
      <c r="D2027" s="160" t="s">
        <v>4768</v>
      </c>
      <c r="E2027" s="160">
        <v>2520</v>
      </c>
      <c r="F2027" s="160" t="s">
        <v>75</v>
      </c>
      <c r="G2027" s="148">
        <v>16</v>
      </c>
      <c r="H2027" s="152">
        <f>IF(C2027=11700,ROUND(VLOOKUP(G2027,ThongSo!$F$2:$I$15,4,0)*B2027*11.7,3),0)</f>
        <v>18.486000000000001</v>
      </c>
      <c r="I2027" s="152" t="str">
        <f>IF(F2027="Sắt vụn",ROUND(VLOOKUP(G2027,ThongSo!$F$2:$I$15,4,0)*B2027*E2027/1000,3),"-")</f>
        <v>-</v>
      </c>
      <c r="L2027" s="150"/>
      <c r="M2027" s="150"/>
      <c r="N2027" s="150"/>
    </row>
    <row r="2028" spans="1:14" x14ac:dyDescent="0.25">
      <c r="A2028" s="159">
        <v>138</v>
      </c>
      <c r="B2028" s="160">
        <v>1</v>
      </c>
      <c r="C2028" s="160">
        <v>11700</v>
      </c>
      <c r="D2028" s="160" t="s">
        <v>4769</v>
      </c>
      <c r="E2028" s="160">
        <v>2700</v>
      </c>
      <c r="F2028" s="160" t="s">
        <v>75</v>
      </c>
      <c r="G2028" s="148">
        <v>16</v>
      </c>
      <c r="H2028" s="152">
        <f>IF(C2028=11700,ROUND(VLOOKUP(G2028,ThongSo!$F$2:$I$15,4,0)*B2028*11.7,3),0)</f>
        <v>18.486000000000001</v>
      </c>
      <c r="I2028" s="152" t="str">
        <f>IF(F2028="Sắt vụn",ROUND(VLOOKUP(G2028,ThongSo!$F$2:$I$15,4,0)*B2028*E2028/1000,3),"-")</f>
        <v>-</v>
      </c>
      <c r="L2028" s="150"/>
      <c r="M2028" s="150"/>
      <c r="N2028" s="150"/>
    </row>
    <row r="2029" spans="1:14" x14ac:dyDescent="0.25">
      <c r="A2029" s="159">
        <v>139</v>
      </c>
      <c r="B2029" s="160">
        <v>84</v>
      </c>
      <c r="C2029" s="160">
        <v>11700</v>
      </c>
      <c r="D2029" s="160" t="s">
        <v>4770</v>
      </c>
      <c r="E2029" s="160">
        <v>5230</v>
      </c>
      <c r="F2029" s="160" t="s">
        <v>75</v>
      </c>
      <c r="G2029" s="148">
        <v>16</v>
      </c>
      <c r="H2029" s="152">
        <f>IF(C2029=11700,ROUND(VLOOKUP(G2029,ThongSo!$F$2:$I$15,4,0)*B2029*11.7,3),0)</f>
        <v>1552.8240000000001</v>
      </c>
      <c r="I2029" s="152" t="str">
        <f>IF(F2029="Sắt vụn",ROUND(VLOOKUP(G2029,ThongSo!$F$2:$I$15,4,0)*B2029*E2029/1000,3),"-")</f>
        <v>-</v>
      </c>
      <c r="L2029" s="150"/>
      <c r="M2029" s="150"/>
      <c r="N2029" s="150"/>
    </row>
    <row r="2030" spans="1:14" x14ac:dyDescent="0.25">
      <c r="A2030" s="159">
        <v>140</v>
      </c>
      <c r="B2030" s="160">
        <v>102</v>
      </c>
      <c r="C2030" s="160">
        <v>11700</v>
      </c>
      <c r="D2030" s="160" t="s">
        <v>4771</v>
      </c>
      <c r="E2030" s="160">
        <v>5230</v>
      </c>
      <c r="F2030" s="160" t="s">
        <v>75</v>
      </c>
      <c r="G2030" s="148">
        <v>16</v>
      </c>
      <c r="H2030" s="152">
        <f>IF(C2030=11700,ROUND(VLOOKUP(G2030,ThongSo!$F$2:$I$15,4,0)*B2030*11.7,3),0)</f>
        <v>1885.5719999999999</v>
      </c>
      <c r="I2030" s="152" t="str">
        <f>IF(F2030="Sắt vụn",ROUND(VLOOKUP(G2030,ThongSo!$F$2:$I$15,4,0)*B2030*E2030/1000,3),"-")</f>
        <v>-</v>
      </c>
      <c r="L2030" s="150"/>
      <c r="M2030" s="150"/>
      <c r="N2030" s="150"/>
    </row>
    <row r="2031" spans="1:14" x14ac:dyDescent="0.25">
      <c r="A2031" s="157" t="s">
        <v>82</v>
      </c>
      <c r="B2031" s="158"/>
      <c r="C2031" s="158"/>
      <c r="D2031" s="158"/>
      <c r="E2031" s="158"/>
      <c r="F2031" s="158"/>
      <c r="G2031" s="148"/>
      <c r="H2031" s="152">
        <f>IF(C2031=11700,ROUND(VLOOKUP(G2031,ThongSo!$F$2:$I$15,4,0)*B2031*11.7,3),0)</f>
        <v>0</v>
      </c>
      <c r="I2031" s="152" t="str">
        <f>IF(F2031="Sắt vụn",ROUND(VLOOKUP(G2031,ThongSo!$F$2:$I$15,4,0)*B2031*E2031/1000,3),"-")</f>
        <v>-</v>
      </c>
      <c r="L2031" s="150"/>
      <c r="M2031" s="150"/>
      <c r="N2031" s="150"/>
    </row>
    <row r="2032" spans="1:14" x14ac:dyDescent="0.25">
      <c r="A2032" s="159" t="s">
        <v>73</v>
      </c>
      <c r="B2032" s="160">
        <v>84</v>
      </c>
      <c r="C2032" s="160">
        <v>11700</v>
      </c>
      <c r="D2032" s="160"/>
      <c r="E2032" s="160"/>
      <c r="F2032" s="160"/>
      <c r="G2032" s="148">
        <v>14</v>
      </c>
      <c r="H2032" s="152">
        <f>IF(C2032=11700,ROUND(VLOOKUP(G2032,ThongSo!$F$2:$I$15,4,0)*B2032*11.7,3),0)</f>
        <v>1189.1880000000001</v>
      </c>
      <c r="I2032" s="152" t="str">
        <f>IF(F2032="Sắt vụn",ROUND(VLOOKUP(G2032,ThongSo!$F$2:$I$15,4,0)*B2032*E2032/1000,3),"-")</f>
        <v>-</v>
      </c>
      <c r="L2032" s="150"/>
      <c r="M2032" s="150"/>
      <c r="N2032" s="150"/>
    </row>
    <row r="2033" spans="1:14" x14ac:dyDescent="0.25">
      <c r="A2033" s="159" t="s">
        <v>255</v>
      </c>
      <c r="B2033" s="160">
        <v>1</v>
      </c>
      <c r="C2033" s="160">
        <v>1440</v>
      </c>
      <c r="D2033" s="160" t="s">
        <v>4772</v>
      </c>
      <c r="E2033" s="160">
        <v>70</v>
      </c>
      <c r="F2033" s="160" t="s">
        <v>74</v>
      </c>
      <c r="G2033" s="148">
        <v>14</v>
      </c>
      <c r="H2033" s="152">
        <f>IF(C2033=11700,ROUND(VLOOKUP(G2033,ThongSo!$F$2:$I$15,4,0)*B2033*11.7,3),0)</f>
        <v>0</v>
      </c>
      <c r="I2033" s="152">
        <f>IF(F2033="Sắt vụn",ROUND(VLOOKUP(G2033,ThongSo!$F$2:$I$15,4,0)*B2033*E2033/1000,3),"-")</f>
        <v>8.5000000000000006E-2</v>
      </c>
      <c r="L2033" s="150"/>
      <c r="M2033" s="150"/>
      <c r="N2033" s="150"/>
    </row>
    <row r="2034" spans="1:14" x14ac:dyDescent="0.25">
      <c r="A2034" s="159" t="s">
        <v>187</v>
      </c>
      <c r="B2034" s="160">
        <v>12</v>
      </c>
      <c r="C2034" s="160">
        <v>1470</v>
      </c>
      <c r="D2034" s="160" t="s">
        <v>4772</v>
      </c>
      <c r="E2034" s="160">
        <v>100</v>
      </c>
      <c r="F2034" s="160" t="s">
        <v>74</v>
      </c>
      <c r="G2034" s="148">
        <v>14</v>
      </c>
      <c r="H2034" s="152">
        <f>IF(C2034=11700,ROUND(VLOOKUP(G2034,ThongSo!$F$2:$I$15,4,0)*B2034*11.7,3),0)</f>
        <v>0</v>
      </c>
      <c r="I2034" s="152">
        <f>IF(F2034="Sắt vụn",ROUND(VLOOKUP(G2034,ThongSo!$F$2:$I$15,4,0)*B2034*E2034/1000,3),"-")</f>
        <v>1.452</v>
      </c>
      <c r="L2034" s="150"/>
      <c r="M2034" s="150"/>
      <c r="N2034" s="150"/>
    </row>
    <row r="2035" spans="1:14" x14ac:dyDescent="0.25">
      <c r="A2035" s="159" t="s">
        <v>134</v>
      </c>
      <c r="B2035" s="160">
        <v>23</v>
      </c>
      <c r="C2035" s="160">
        <v>1560</v>
      </c>
      <c r="D2035" s="160" t="s">
        <v>4772</v>
      </c>
      <c r="E2035" s="160">
        <v>190</v>
      </c>
      <c r="F2035" s="160" t="s">
        <v>74</v>
      </c>
      <c r="G2035" s="148">
        <v>14</v>
      </c>
      <c r="H2035" s="152">
        <f>IF(C2035=11700,ROUND(VLOOKUP(G2035,ThongSo!$F$2:$I$15,4,0)*B2035*11.7,3),0)</f>
        <v>0</v>
      </c>
      <c r="I2035" s="152">
        <f>IF(F2035="Sắt vụn",ROUND(VLOOKUP(G2035,ThongSo!$F$2:$I$15,4,0)*B2035*E2035/1000,3),"-")</f>
        <v>5.2880000000000003</v>
      </c>
      <c r="L2035" s="150"/>
      <c r="M2035" s="150"/>
      <c r="N2035" s="150"/>
    </row>
    <row r="2036" spans="1:14" x14ac:dyDescent="0.25">
      <c r="A2036" s="159" t="s">
        <v>217</v>
      </c>
      <c r="B2036" s="160">
        <v>120</v>
      </c>
      <c r="C2036" s="160">
        <v>1590</v>
      </c>
      <c r="D2036" s="160" t="s">
        <v>4772</v>
      </c>
      <c r="E2036" s="160">
        <v>220</v>
      </c>
      <c r="F2036" s="160" t="s">
        <v>74</v>
      </c>
      <c r="G2036" s="148">
        <v>14</v>
      </c>
      <c r="H2036" s="152">
        <f>IF(C2036=11700,ROUND(VLOOKUP(G2036,ThongSo!$F$2:$I$15,4,0)*B2036*11.7,3),0)</f>
        <v>0</v>
      </c>
      <c r="I2036" s="152">
        <f>IF(F2036="Sắt vụn",ROUND(VLOOKUP(G2036,ThongSo!$F$2:$I$15,4,0)*B2036*E2036/1000,3),"-")</f>
        <v>31.943999999999999</v>
      </c>
      <c r="L2036" s="150"/>
      <c r="M2036" s="150"/>
      <c r="N2036" s="150"/>
    </row>
    <row r="2037" spans="1:14" x14ac:dyDescent="0.25">
      <c r="A2037" s="159" t="s">
        <v>217</v>
      </c>
      <c r="B2037" s="160">
        <v>354</v>
      </c>
      <c r="C2037" s="160">
        <v>1590</v>
      </c>
      <c r="D2037" s="160" t="s">
        <v>4773</v>
      </c>
      <c r="E2037" s="160">
        <v>220</v>
      </c>
      <c r="F2037" s="160" t="s">
        <v>74</v>
      </c>
      <c r="G2037" s="148">
        <v>14</v>
      </c>
      <c r="H2037" s="152">
        <f>IF(C2037=11700,ROUND(VLOOKUP(G2037,ThongSo!$F$2:$I$15,4,0)*B2037*11.7,3),0)</f>
        <v>0</v>
      </c>
      <c r="I2037" s="152">
        <f>IF(F2037="Sắt vụn",ROUND(VLOOKUP(G2037,ThongSo!$F$2:$I$15,4,0)*B2037*E2037/1000,3),"-")</f>
        <v>94.234999999999999</v>
      </c>
      <c r="L2037" s="150"/>
      <c r="M2037" s="150"/>
      <c r="N2037" s="150"/>
    </row>
    <row r="2038" spans="1:14" x14ac:dyDescent="0.25">
      <c r="A2038" s="159" t="s">
        <v>217</v>
      </c>
      <c r="B2038" s="160">
        <v>56</v>
      </c>
      <c r="C2038" s="160">
        <v>1590</v>
      </c>
      <c r="D2038" s="160" t="s">
        <v>4774</v>
      </c>
      <c r="E2038" s="160">
        <v>220</v>
      </c>
      <c r="F2038" s="160" t="s">
        <v>74</v>
      </c>
      <c r="G2038" s="148">
        <v>14</v>
      </c>
      <c r="H2038" s="152">
        <f>IF(C2038=11700,ROUND(VLOOKUP(G2038,ThongSo!$F$2:$I$15,4,0)*B2038*11.7,3),0)</f>
        <v>0</v>
      </c>
      <c r="I2038" s="152">
        <f>IF(F2038="Sắt vụn",ROUND(VLOOKUP(G2038,ThongSo!$F$2:$I$15,4,0)*B2038*E2038/1000,3),"-")</f>
        <v>14.907</v>
      </c>
      <c r="L2038" s="150"/>
      <c r="M2038" s="150"/>
      <c r="N2038" s="150"/>
    </row>
    <row r="2039" spans="1:14" x14ac:dyDescent="0.25">
      <c r="A2039" s="159" t="s">
        <v>120</v>
      </c>
      <c r="B2039" s="160">
        <v>1</v>
      </c>
      <c r="C2039" s="160">
        <v>1800</v>
      </c>
      <c r="D2039" s="160" t="s">
        <v>4774</v>
      </c>
      <c r="E2039" s="160">
        <v>430</v>
      </c>
      <c r="F2039" s="160" t="s">
        <v>74</v>
      </c>
      <c r="G2039" s="148">
        <v>14</v>
      </c>
      <c r="H2039" s="152">
        <f>IF(C2039=11700,ROUND(VLOOKUP(G2039,ThongSo!$F$2:$I$15,4,0)*B2039*11.7,3),0)</f>
        <v>0</v>
      </c>
      <c r="I2039" s="152">
        <f>IF(F2039="Sắt vụn",ROUND(VLOOKUP(G2039,ThongSo!$F$2:$I$15,4,0)*B2039*E2039/1000,3),"-")</f>
        <v>0.52</v>
      </c>
      <c r="L2039" s="150"/>
      <c r="M2039" s="150"/>
      <c r="N2039" s="150"/>
    </row>
    <row r="2040" spans="1:14" x14ac:dyDescent="0.25">
      <c r="A2040" s="159" t="s">
        <v>180</v>
      </c>
      <c r="B2040" s="160">
        <v>1</v>
      </c>
      <c r="C2040" s="160">
        <v>2460</v>
      </c>
      <c r="D2040" s="160" t="s">
        <v>4775</v>
      </c>
      <c r="E2040" s="160">
        <v>490</v>
      </c>
      <c r="F2040" s="160" t="s">
        <v>74</v>
      </c>
      <c r="G2040" s="148">
        <v>14</v>
      </c>
      <c r="H2040" s="152">
        <f>IF(C2040=11700,ROUND(VLOOKUP(G2040,ThongSo!$F$2:$I$15,4,0)*B2040*11.7,3),0)</f>
        <v>0</v>
      </c>
      <c r="I2040" s="152">
        <f>IF(F2040="Sắt vụn",ROUND(VLOOKUP(G2040,ThongSo!$F$2:$I$15,4,0)*B2040*E2040/1000,3),"-")</f>
        <v>0.59299999999999997</v>
      </c>
      <c r="L2040" s="150"/>
      <c r="M2040" s="150"/>
      <c r="N2040" s="150"/>
    </row>
    <row r="2041" spans="1:14" x14ac:dyDescent="0.25">
      <c r="A2041" s="159" t="s">
        <v>4613</v>
      </c>
      <c r="B2041" s="160">
        <v>8</v>
      </c>
      <c r="C2041" s="160">
        <v>5830</v>
      </c>
      <c r="D2041" s="160" t="s">
        <v>4776</v>
      </c>
      <c r="E2041" s="160">
        <v>30</v>
      </c>
      <c r="F2041" s="160" t="s">
        <v>74</v>
      </c>
      <c r="G2041" s="148">
        <v>14</v>
      </c>
      <c r="H2041" s="152">
        <f>IF(C2041=11700,ROUND(VLOOKUP(G2041,ThongSo!$F$2:$I$15,4,0)*B2041*11.7,3),0)</f>
        <v>0</v>
      </c>
      <c r="I2041" s="152">
        <f>IF(F2041="Sắt vụn",ROUND(VLOOKUP(G2041,ThongSo!$F$2:$I$15,4,0)*B2041*E2041/1000,3),"-")</f>
        <v>0.28999999999999998</v>
      </c>
      <c r="L2041" s="150"/>
      <c r="M2041" s="150"/>
      <c r="N2041" s="150"/>
    </row>
    <row r="2042" spans="1:14" x14ac:dyDescent="0.25">
      <c r="A2042" s="159">
        <v>151</v>
      </c>
      <c r="B2042" s="160">
        <v>9</v>
      </c>
      <c r="C2042" s="160">
        <v>11700</v>
      </c>
      <c r="D2042" s="160" t="s">
        <v>4777</v>
      </c>
      <c r="E2042" s="160">
        <v>0</v>
      </c>
      <c r="F2042" s="160"/>
      <c r="G2042" s="148">
        <v>14</v>
      </c>
      <c r="H2042" s="152">
        <f>IF(C2042=11700,ROUND(VLOOKUP(G2042,ThongSo!$F$2:$I$15,4,0)*B2042*11.7,3),0)</f>
        <v>127.413</v>
      </c>
      <c r="I2042" s="152" t="str">
        <f>IF(F2042="Sắt vụn",ROUND(VLOOKUP(G2042,ThongSo!$F$2:$I$15,4,0)*B2042*E2042/1000,3),"-")</f>
        <v>-</v>
      </c>
      <c r="L2042" s="150"/>
      <c r="M2042" s="150"/>
      <c r="N2042" s="150"/>
    </row>
    <row r="2043" spans="1:14" x14ac:dyDescent="0.25">
      <c r="A2043" s="159">
        <v>152</v>
      </c>
      <c r="B2043" s="160">
        <v>6</v>
      </c>
      <c r="C2043" s="160">
        <v>11700</v>
      </c>
      <c r="D2043" s="160" t="s">
        <v>4778</v>
      </c>
      <c r="E2043" s="160">
        <v>0</v>
      </c>
      <c r="F2043" s="160"/>
      <c r="G2043" s="148">
        <v>14</v>
      </c>
      <c r="H2043" s="152">
        <f>IF(C2043=11700,ROUND(VLOOKUP(G2043,ThongSo!$F$2:$I$15,4,0)*B2043*11.7,3),0)</f>
        <v>84.941999999999993</v>
      </c>
      <c r="I2043" s="152" t="str">
        <f>IF(F2043="Sắt vụn",ROUND(VLOOKUP(G2043,ThongSo!$F$2:$I$15,4,0)*B2043*E2043/1000,3),"-")</f>
        <v>-</v>
      </c>
      <c r="L2043" s="150"/>
      <c r="M2043" s="150"/>
      <c r="N2043" s="150"/>
    </row>
    <row r="2044" spans="1:14" x14ac:dyDescent="0.25">
      <c r="A2044" s="159">
        <v>153</v>
      </c>
      <c r="B2044" s="160">
        <v>9</v>
      </c>
      <c r="C2044" s="160">
        <v>11700</v>
      </c>
      <c r="D2044" s="160" t="s">
        <v>4779</v>
      </c>
      <c r="E2044" s="160">
        <v>0</v>
      </c>
      <c r="F2044" s="160"/>
      <c r="G2044" s="148">
        <v>14</v>
      </c>
      <c r="H2044" s="152">
        <f>IF(C2044=11700,ROUND(VLOOKUP(G2044,ThongSo!$F$2:$I$15,4,0)*B2044*11.7,3),0)</f>
        <v>127.413</v>
      </c>
      <c r="I2044" s="152" t="str">
        <f>IF(F2044="Sắt vụn",ROUND(VLOOKUP(G2044,ThongSo!$F$2:$I$15,4,0)*B2044*E2044/1000,3),"-")</f>
        <v>-</v>
      </c>
      <c r="L2044" s="150"/>
      <c r="M2044" s="150"/>
      <c r="N2044" s="150"/>
    </row>
    <row r="2045" spans="1:14" x14ac:dyDescent="0.25">
      <c r="A2045" s="159">
        <v>154</v>
      </c>
      <c r="B2045" s="160">
        <v>9</v>
      </c>
      <c r="C2045" s="160">
        <v>11700</v>
      </c>
      <c r="D2045" s="160" t="s">
        <v>4780</v>
      </c>
      <c r="E2045" s="160">
        <v>0</v>
      </c>
      <c r="F2045" s="160"/>
      <c r="G2045" s="148">
        <v>14</v>
      </c>
      <c r="H2045" s="152">
        <f>IF(C2045=11700,ROUND(VLOOKUP(G2045,ThongSo!$F$2:$I$15,4,0)*B2045*11.7,3),0)</f>
        <v>127.413</v>
      </c>
      <c r="I2045" s="152" t="str">
        <f>IF(F2045="Sắt vụn",ROUND(VLOOKUP(G2045,ThongSo!$F$2:$I$15,4,0)*B2045*E2045/1000,3),"-")</f>
        <v>-</v>
      </c>
      <c r="L2045" s="150"/>
      <c r="M2045" s="150"/>
      <c r="N2045" s="150"/>
    </row>
    <row r="2046" spans="1:14" x14ac:dyDescent="0.25">
      <c r="A2046" s="159">
        <v>155</v>
      </c>
      <c r="B2046" s="160">
        <v>4</v>
      </c>
      <c r="C2046" s="160">
        <v>11700</v>
      </c>
      <c r="D2046" s="160" t="s">
        <v>4781</v>
      </c>
      <c r="E2046" s="160">
        <v>0</v>
      </c>
      <c r="F2046" s="160"/>
      <c r="G2046" s="148">
        <v>14</v>
      </c>
      <c r="H2046" s="152">
        <f>IF(C2046=11700,ROUND(VLOOKUP(G2046,ThongSo!$F$2:$I$15,4,0)*B2046*11.7,3),0)</f>
        <v>56.628</v>
      </c>
      <c r="I2046" s="152" t="str">
        <f>IF(F2046="Sắt vụn",ROUND(VLOOKUP(G2046,ThongSo!$F$2:$I$15,4,0)*B2046*E2046/1000,3),"-")</f>
        <v>-</v>
      </c>
      <c r="L2046" s="150"/>
      <c r="M2046" s="150"/>
      <c r="N2046" s="150"/>
    </row>
    <row r="2047" spans="1:14" x14ac:dyDescent="0.25">
      <c r="A2047" s="159">
        <v>156</v>
      </c>
      <c r="B2047" s="160">
        <v>9</v>
      </c>
      <c r="C2047" s="160">
        <v>11700</v>
      </c>
      <c r="D2047" s="160" t="s">
        <v>4782</v>
      </c>
      <c r="E2047" s="160">
        <v>0</v>
      </c>
      <c r="F2047" s="160"/>
      <c r="G2047" s="148">
        <v>14</v>
      </c>
      <c r="H2047" s="152">
        <f>IF(C2047=11700,ROUND(VLOOKUP(G2047,ThongSo!$F$2:$I$15,4,0)*B2047*11.7,3),0)</f>
        <v>127.413</v>
      </c>
      <c r="I2047" s="152" t="str">
        <f>IF(F2047="Sắt vụn",ROUND(VLOOKUP(G2047,ThongSo!$F$2:$I$15,4,0)*B2047*E2047/1000,3),"-")</f>
        <v>-</v>
      </c>
      <c r="L2047" s="150"/>
      <c r="M2047" s="150"/>
      <c r="N2047" s="150"/>
    </row>
    <row r="2048" spans="1:14" x14ac:dyDescent="0.25">
      <c r="A2048" s="159">
        <v>157</v>
      </c>
      <c r="B2048" s="160">
        <v>9</v>
      </c>
      <c r="C2048" s="160">
        <v>11700</v>
      </c>
      <c r="D2048" s="160" t="s">
        <v>4783</v>
      </c>
      <c r="E2048" s="160">
        <v>0</v>
      </c>
      <c r="F2048" s="160"/>
      <c r="G2048" s="148">
        <v>14</v>
      </c>
      <c r="H2048" s="152">
        <f>IF(C2048=11700,ROUND(VLOOKUP(G2048,ThongSo!$F$2:$I$15,4,0)*B2048*11.7,3),0)</f>
        <v>127.413</v>
      </c>
      <c r="I2048" s="152" t="str">
        <f>IF(F2048="Sắt vụn",ROUND(VLOOKUP(G2048,ThongSo!$F$2:$I$15,4,0)*B2048*E2048/1000,3),"-")</f>
        <v>-</v>
      </c>
      <c r="L2048" s="150"/>
      <c r="M2048" s="150"/>
      <c r="N2048" s="150"/>
    </row>
    <row r="2049" spans="1:14" x14ac:dyDescent="0.25">
      <c r="A2049" s="159">
        <v>158</v>
      </c>
      <c r="B2049" s="160">
        <v>66</v>
      </c>
      <c r="C2049" s="160">
        <v>11700</v>
      </c>
      <c r="D2049" s="160" t="s">
        <v>4784</v>
      </c>
      <c r="E2049" s="160">
        <v>40</v>
      </c>
      <c r="F2049" s="160" t="s">
        <v>74</v>
      </c>
      <c r="G2049" s="148">
        <v>14</v>
      </c>
      <c r="H2049" s="152">
        <f>IF(C2049=11700,ROUND(VLOOKUP(G2049,ThongSo!$F$2:$I$15,4,0)*B2049*11.7,3),0)</f>
        <v>934.36199999999997</v>
      </c>
      <c r="I2049" s="152">
        <f>IF(F2049="Sắt vụn",ROUND(VLOOKUP(G2049,ThongSo!$F$2:$I$15,4,0)*B2049*E2049/1000,3),"-")</f>
        <v>3.194</v>
      </c>
      <c r="L2049" s="150"/>
      <c r="M2049" s="150"/>
      <c r="N2049" s="150"/>
    </row>
    <row r="2050" spans="1:14" x14ac:dyDescent="0.25">
      <c r="A2050" s="159">
        <v>159</v>
      </c>
      <c r="B2050" s="160">
        <v>9</v>
      </c>
      <c r="C2050" s="160">
        <v>11700</v>
      </c>
      <c r="D2050" s="160" t="s">
        <v>4785</v>
      </c>
      <c r="E2050" s="160">
        <v>50</v>
      </c>
      <c r="F2050" s="160" t="s">
        <v>74</v>
      </c>
      <c r="G2050" s="148">
        <v>14</v>
      </c>
      <c r="H2050" s="152">
        <f>IF(C2050=11700,ROUND(VLOOKUP(G2050,ThongSo!$F$2:$I$15,4,0)*B2050*11.7,3),0)</f>
        <v>127.413</v>
      </c>
      <c r="I2050" s="152">
        <f>IF(F2050="Sắt vụn",ROUND(VLOOKUP(G2050,ThongSo!$F$2:$I$15,4,0)*B2050*E2050/1000,3),"-")</f>
        <v>0.54500000000000004</v>
      </c>
      <c r="L2050" s="150"/>
      <c r="M2050" s="150"/>
      <c r="N2050" s="150"/>
    </row>
    <row r="2051" spans="1:14" x14ac:dyDescent="0.25">
      <c r="A2051" s="159">
        <v>160</v>
      </c>
      <c r="B2051" s="160">
        <v>1</v>
      </c>
      <c r="C2051" s="160">
        <v>11700</v>
      </c>
      <c r="D2051" s="160" t="s">
        <v>4786</v>
      </c>
      <c r="E2051" s="160">
        <v>50</v>
      </c>
      <c r="F2051" s="160" t="s">
        <v>74</v>
      </c>
      <c r="G2051" s="148">
        <v>14</v>
      </c>
      <c r="H2051" s="152">
        <f>IF(C2051=11700,ROUND(VLOOKUP(G2051,ThongSo!$F$2:$I$15,4,0)*B2051*11.7,3),0)</f>
        <v>14.157</v>
      </c>
      <c r="I2051" s="152">
        <f>IF(F2051="Sắt vụn",ROUND(VLOOKUP(G2051,ThongSo!$F$2:$I$15,4,0)*B2051*E2051/1000,3),"-")</f>
        <v>6.0999999999999999E-2</v>
      </c>
      <c r="L2051" s="150"/>
      <c r="M2051" s="150"/>
      <c r="N2051" s="150"/>
    </row>
    <row r="2052" spans="1:14" x14ac:dyDescent="0.25">
      <c r="A2052" s="159">
        <v>161</v>
      </c>
      <c r="B2052" s="160">
        <v>15</v>
      </c>
      <c r="C2052" s="160">
        <v>11700</v>
      </c>
      <c r="D2052" s="160" t="s">
        <v>4787</v>
      </c>
      <c r="E2052" s="160">
        <v>100</v>
      </c>
      <c r="F2052" s="160" t="s">
        <v>74</v>
      </c>
      <c r="G2052" s="148">
        <v>14</v>
      </c>
      <c r="H2052" s="152">
        <f>IF(C2052=11700,ROUND(VLOOKUP(G2052,ThongSo!$F$2:$I$15,4,0)*B2052*11.7,3),0)</f>
        <v>212.35499999999999</v>
      </c>
      <c r="I2052" s="152">
        <f>IF(F2052="Sắt vụn",ROUND(VLOOKUP(G2052,ThongSo!$F$2:$I$15,4,0)*B2052*E2052/1000,3),"-")</f>
        <v>1.8149999999999999</v>
      </c>
      <c r="L2052" s="150"/>
      <c r="M2052" s="150"/>
      <c r="N2052" s="150"/>
    </row>
    <row r="2053" spans="1:14" x14ac:dyDescent="0.25">
      <c r="A2053" s="159">
        <v>162</v>
      </c>
      <c r="B2053" s="160">
        <v>41</v>
      </c>
      <c r="C2053" s="160">
        <v>11700</v>
      </c>
      <c r="D2053" s="160" t="s">
        <v>4788</v>
      </c>
      <c r="E2053" s="160">
        <v>110</v>
      </c>
      <c r="F2053" s="160" t="s">
        <v>74</v>
      </c>
      <c r="G2053" s="148">
        <v>14</v>
      </c>
      <c r="H2053" s="152">
        <f>IF(C2053=11700,ROUND(VLOOKUP(G2053,ThongSo!$F$2:$I$15,4,0)*B2053*11.7,3),0)</f>
        <v>580.43700000000001</v>
      </c>
      <c r="I2053" s="152">
        <f>IF(F2053="Sắt vụn",ROUND(VLOOKUP(G2053,ThongSo!$F$2:$I$15,4,0)*B2053*E2053/1000,3),"-")</f>
        <v>5.4569999999999999</v>
      </c>
      <c r="L2053" s="150"/>
      <c r="M2053" s="150"/>
      <c r="N2053" s="150"/>
    </row>
    <row r="2054" spans="1:14" x14ac:dyDescent="0.25">
      <c r="A2054" s="159">
        <v>163</v>
      </c>
      <c r="B2054" s="160">
        <v>3</v>
      </c>
      <c r="C2054" s="160">
        <v>11700</v>
      </c>
      <c r="D2054" s="160" t="s">
        <v>4789</v>
      </c>
      <c r="E2054" s="160">
        <v>220</v>
      </c>
      <c r="F2054" s="160" t="s">
        <v>74</v>
      </c>
      <c r="G2054" s="148">
        <v>14</v>
      </c>
      <c r="H2054" s="152">
        <f>IF(C2054=11700,ROUND(VLOOKUP(G2054,ThongSo!$F$2:$I$15,4,0)*B2054*11.7,3),0)</f>
        <v>42.470999999999997</v>
      </c>
      <c r="I2054" s="152">
        <f>IF(F2054="Sắt vụn",ROUND(VLOOKUP(G2054,ThongSo!$F$2:$I$15,4,0)*B2054*E2054/1000,3),"-")</f>
        <v>0.79900000000000004</v>
      </c>
      <c r="L2054" s="150"/>
      <c r="M2054" s="150"/>
      <c r="N2054" s="150"/>
    </row>
    <row r="2055" spans="1:14" x14ac:dyDescent="0.25">
      <c r="A2055" s="159">
        <v>164</v>
      </c>
      <c r="B2055" s="160">
        <v>11</v>
      </c>
      <c r="C2055" s="160">
        <v>11700</v>
      </c>
      <c r="D2055" s="160" t="s">
        <v>4790</v>
      </c>
      <c r="E2055" s="160">
        <v>320</v>
      </c>
      <c r="F2055" s="160" t="s">
        <v>74</v>
      </c>
      <c r="G2055" s="148">
        <v>14</v>
      </c>
      <c r="H2055" s="152">
        <f>IF(C2055=11700,ROUND(VLOOKUP(G2055,ThongSo!$F$2:$I$15,4,0)*B2055*11.7,3),0)</f>
        <v>155.727</v>
      </c>
      <c r="I2055" s="152">
        <f>IF(F2055="Sắt vụn",ROUND(VLOOKUP(G2055,ThongSo!$F$2:$I$15,4,0)*B2055*E2055/1000,3),"-")</f>
        <v>4.2590000000000003</v>
      </c>
      <c r="L2055" s="150"/>
      <c r="M2055" s="150"/>
      <c r="N2055" s="150"/>
    </row>
    <row r="2056" spans="1:14" x14ac:dyDescent="0.25">
      <c r="A2056" s="159">
        <v>165</v>
      </c>
      <c r="B2056" s="160">
        <v>60</v>
      </c>
      <c r="C2056" s="160">
        <v>11700</v>
      </c>
      <c r="D2056" s="160" t="s">
        <v>4791</v>
      </c>
      <c r="E2056" s="160">
        <v>450</v>
      </c>
      <c r="F2056" s="160" t="s">
        <v>74</v>
      </c>
      <c r="G2056" s="148">
        <v>14</v>
      </c>
      <c r="H2056" s="152">
        <f>IF(C2056=11700,ROUND(VLOOKUP(G2056,ThongSo!$F$2:$I$15,4,0)*B2056*11.7,3),0)</f>
        <v>849.42</v>
      </c>
      <c r="I2056" s="152">
        <f>IF(F2056="Sắt vụn",ROUND(VLOOKUP(G2056,ThongSo!$F$2:$I$15,4,0)*B2056*E2056/1000,3),"-")</f>
        <v>32.67</v>
      </c>
      <c r="L2056" s="150"/>
      <c r="M2056" s="150"/>
      <c r="N2056" s="150"/>
    </row>
    <row r="2057" spans="1:14" x14ac:dyDescent="0.25">
      <c r="A2057" s="159">
        <v>166</v>
      </c>
      <c r="B2057" s="160">
        <v>132</v>
      </c>
      <c r="C2057" s="160">
        <v>11700</v>
      </c>
      <c r="D2057" s="160" t="s">
        <v>4792</v>
      </c>
      <c r="E2057" s="160">
        <v>450</v>
      </c>
      <c r="F2057" s="160" t="s">
        <v>74</v>
      </c>
      <c r="G2057" s="148">
        <v>14</v>
      </c>
      <c r="H2057" s="152">
        <f>IF(C2057=11700,ROUND(VLOOKUP(G2057,ThongSo!$F$2:$I$15,4,0)*B2057*11.7,3),0)</f>
        <v>1868.7239999999999</v>
      </c>
      <c r="I2057" s="152">
        <f>IF(F2057="Sắt vụn",ROUND(VLOOKUP(G2057,ThongSo!$F$2:$I$15,4,0)*B2057*E2057/1000,3),"-")</f>
        <v>71.873999999999995</v>
      </c>
      <c r="L2057" s="150"/>
      <c r="M2057" s="150"/>
      <c r="N2057" s="150"/>
    </row>
    <row r="2058" spans="1:14" x14ac:dyDescent="0.25">
      <c r="A2058" s="159">
        <v>167</v>
      </c>
      <c r="B2058" s="160">
        <v>36</v>
      </c>
      <c r="C2058" s="160">
        <v>11700</v>
      </c>
      <c r="D2058" s="160" t="s">
        <v>4793</v>
      </c>
      <c r="E2058" s="160">
        <v>850</v>
      </c>
      <c r="F2058" s="160" t="s">
        <v>75</v>
      </c>
      <c r="G2058" s="148">
        <v>14</v>
      </c>
      <c r="H2058" s="152">
        <f>IF(C2058=11700,ROUND(VLOOKUP(G2058,ThongSo!$F$2:$I$15,4,0)*B2058*11.7,3),0)</f>
        <v>509.65199999999999</v>
      </c>
      <c r="I2058" s="152" t="str">
        <f>IF(F2058="Sắt vụn",ROUND(VLOOKUP(G2058,ThongSo!$F$2:$I$15,4,0)*B2058*E2058/1000,3),"-")</f>
        <v>-</v>
      </c>
      <c r="L2058" s="150"/>
      <c r="M2058" s="150"/>
      <c r="N2058" s="150"/>
    </row>
    <row r="2059" spans="1:14" x14ac:dyDescent="0.25">
      <c r="A2059" s="159">
        <v>168</v>
      </c>
      <c r="B2059" s="160">
        <v>45</v>
      </c>
      <c r="C2059" s="160">
        <v>11700</v>
      </c>
      <c r="D2059" s="160" t="s">
        <v>4794</v>
      </c>
      <c r="E2059" s="160">
        <v>1020</v>
      </c>
      <c r="F2059" s="160" t="s">
        <v>75</v>
      </c>
      <c r="G2059" s="148">
        <v>14</v>
      </c>
      <c r="H2059" s="152">
        <f>IF(C2059=11700,ROUND(VLOOKUP(G2059,ThongSo!$F$2:$I$15,4,0)*B2059*11.7,3),0)</f>
        <v>637.06500000000005</v>
      </c>
      <c r="I2059" s="152" t="str">
        <f>IF(F2059="Sắt vụn",ROUND(VLOOKUP(G2059,ThongSo!$F$2:$I$15,4,0)*B2059*E2059/1000,3),"-")</f>
        <v>-</v>
      </c>
      <c r="L2059" s="150"/>
      <c r="M2059" s="150"/>
      <c r="N2059" s="150"/>
    </row>
    <row r="2060" spans="1:14" x14ac:dyDescent="0.25">
      <c r="A2060" s="159">
        <v>169</v>
      </c>
      <c r="B2060" s="160">
        <v>60</v>
      </c>
      <c r="C2060" s="160">
        <v>11700</v>
      </c>
      <c r="D2060" s="160" t="s">
        <v>4795</v>
      </c>
      <c r="E2060" s="160">
        <v>1050</v>
      </c>
      <c r="F2060" s="160" t="s">
        <v>75</v>
      </c>
      <c r="G2060" s="148">
        <v>14</v>
      </c>
      <c r="H2060" s="152">
        <f>IF(C2060=11700,ROUND(VLOOKUP(G2060,ThongSo!$F$2:$I$15,4,0)*B2060*11.7,3),0)</f>
        <v>849.42</v>
      </c>
      <c r="I2060" s="152" t="str">
        <f>IF(F2060="Sắt vụn",ROUND(VLOOKUP(G2060,ThongSo!$F$2:$I$15,4,0)*B2060*E2060/1000,3),"-")</f>
        <v>-</v>
      </c>
      <c r="L2060" s="150"/>
      <c r="M2060" s="150"/>
      <c r="N2060" s="150"/>
    </row>
    <row r="2061" spans="1:14" x14ac:dyDescent="0.25">
      <c r="A2061" s="159">
        <v>170</v>
      </c>
      <c r="B2061" s="160">
        <v>1</v>
      </c>
      <c r="C2061" s="160">
        <v>11700</v>
      </c>
      <c r="D2061" s="160" t="s">
        <v>4796</v>
      </c>
      <c r="E2061" s="160">
        <v>1130</v>
      </c>
      <c r="F2061" s="160" t="s">
        <v>75</v>
      </c>
      <c r="G2061" s="148">
        <v>14</v>
      </c>
      <c r="H2061" s="152">
        <f>IF(C2061=11700,ROUND(VLOOKUP(G2061,ThongSo!$F$2:$I$15,4,0)*B2061*11.7,3),0)</f>
        <v>14.157</v>
      </c>
      <c r="I2061" s="152" t="str">
        <f>IF(F2061="Sắt vụn",ROUND(VLOOKUP(G2061,ThongSo!$F$2:$I$15,4,0)*B2061*E2061/1000,3),"-")</f>
        <v>-</v>
      </c>
      <c r="L2061" s="150"/>
      <c r="M2061" s="150"/>
      <c r="N2061" s="150"/>
    </row>
    <row r="2062" spans="1:14" x14ac:dyDescent="0.25">
      <c r="A2062" s="159">
        <v>171</v>
      </c>
      <c r="B2062" s="160">
        <v>11</v>
      </c>
      <c r="C2062" s="160">
        <v>11700</v>
      </c>
      <c r="D2062" s="160" t="s">
        <v>4797</v>
      </c>
      <c r="E2062" s="160">
        <v>3800</v>
      </c>
      <c r="F2062" s="160" t="s">
        <v>75</v>
      </c>
      <c r="G2062" s="148">
        <v>14</v>
      </c>
      <c r="H2062" s="152">
        <f>IF(C2062=11700,ROUND(VLOOKUP(G2062,ThongSo!$F$2:$I$15,4,0)*B2062*11.7,3),0)</f>
        <v>155.727</v>
      </c>
      <c r="I2062" s="152" t="str">
        <f>IF(F2062="Sắt vụn",ROUND(VLOOKUP(G2062,ThongSo!$F$2:$I$15,4,0)*B2062*E2062/1000,3),"-")</f>
        <v>-</v>
      </c>
      <c r="L2062" s="150"/>
      <c r="M2062" s="150"/>
      <c r="N2062" s="150"/>
    </row>
    <row r="2063" spans="1:14" x14ac:dyDescent="0.25">
      <c r="A2063" s="159">
        <v>172</v>
      </c>
      <c r="B2063" s="160">
        <v>66</v>
      </c>
      <c r="C2063" s="160">
        <v>11700</v>
      </c>
      <c r="D2063" s="160" t="s">
        <v>4798</v>
      </c>
      <c r="E2063" s="160">
        <v>3830</v>
      </c>
      <c r="F2063" s="160" t="s">
        <v>75</v>
      </c>
      <c r="G2063" s="148">
        <v>14</v>
      </c>
      <c r="H2063" s="152">
        <f>IF(C2063=11700,ROUND(VLOOKUP(G2063,ThongSo!$F$2:$I$15,4,0)*B2063*11.7,3),0)</f>
        <v>934.36199999999997</v>
      </c>
      <c r="I2063" s="152" t="str">
        <f>IF(F2063="Sắt vụn",ROUND(VLOOKUP(G2063,ThongSo!$F$2:$I$15,4,0)*B2063*E2063/1000,3),"-")</f>
        <v>-</v>
      </c>
      <c r="L2063" s="150"/>
      <c r="M2063" s="150"/>
      <c r="N2063" s="150"/>
    </row>
    <row r="2064" spans="1:14" x14ac:dyDescent="0.25">
      <c r="A2064" s="154"/>
      <c r="G2064" s="148"/>
      <c r="H2064" s="152">
        <f>IF(C2064=11700,ROUND(VLOOKUP(G2064,ThongSo!$F$2:$I$15,4,0)*B2064*11.7,3),0)</f>
        <v>0</v>
      </c>
      <c r="I2064" s="152" t="str">
        <f>IF(F2064="Sắt vụn",ROUND(VLOOKUP(G2064,ThongSo!$F$2:$I$15,4,0)*B2064*E2064/1000,3),"-")</f>
        <v>-</v>
      </c>
      <c r="L2064" s="150"/>
      <c r="M2064" s="150"/>
      <c r="N2064" s="150"/>
    </row>
    <row r="2065" spans="1:14" x14ac:dyDescent="0.25">
      <c r="A2065" s="167">
        <v>9</v>
      </c>
      <c r="B2065" s="167"/>
      <c r="C2065" s="167"/>
      <c r="D2065" s="167"/>
      <c r="E2065" s="167"/>
      <c r="F2065" s="167"/>
      <c r="G2065" s="148"/>
      <c r="H2065" s="152">
        <f>IF(C2065=11700,ROUND(VLOOKUP(G2065,ThongSo!$F$2:$I$15,4,0)*B2065*11.7,3),0)</f>
        <v>0</v>
      </c>
      <c r="I2065" s="152" t="str">
        <f>IF(F2065="Sắt vụn",ROUND(VLOOKUP(G2065,ThongSo!$F$2:$I$15,4,0)*B2065*E2065/1000,3),"-")</f>
        <v>-</v>
      </c>
      <c r="L2065" s="150"/>
      <c r="M2065" s="150"/>
      <c r="N2065" s="150"/>
    </row>
    <row r="2066" spans="1:14" x14ac:dyDescent="0.25">
      <c r="A2066" s="154"/>
      <c r="G2066" s="148"/>
      <c r="H2066" s="152">
        <f>IF(C2066=11700,ROUND(VLOOKUP(G2066,ThongSo!$F$2:$I$15,4,0)*B2066*11.7,3),0)</f>
        <v>0</v>
      </c>
      <c r="I2066" s="152" t="str">
        <f>IF(F2066="Sắt vụn",ROUND(VLOOKUP(G2066,ThongSo!$F$2:$I$15,4,0)*B2066*E2066/1000,3),"-")</f>
        <v>-</v>
      </c>
      <c r="L2066" s="150"/>
      <c r="M2066" s="150"/>
      <c r="N2066" s="150"/>
    </row>
    <row r="2067" spans="1:14" x14ac:dyDescent="0.25">
      <c r="A2067" s="155" t="s">
        <v>50</v>
      </c>
      <c r="B2067" s="155" t="s">
        <v>51</v>
      </c>
      <c r="C2067" s="155" t="s">
        <v>45</v>
      </c>
      <c r="D2067" s="155" t="s">
        <v>42</v>
      </c>
      <c r="E2067" s="155" t="s">
        <v>43</v>
      </c>
      <c r="F2067" s="156" t="s">
        <v>46</v>
      </c>
      <c r="G2067" s="148"/>
      <c r="H2067" s="152">
        <f>IF(C2067=11700,ROUND(VLOOKUP(G2067,ThongSo!$F$2:$I$15,4,0)*B2067*11.7,3),0)</f>
        <v>0</v>
      </c>
      <c r="I2067" s="152" t="str">
        <f>IF(F2067="Sắt vụn",ROUND(VLOOKUP(G2067,ThongSo!$F$2:$I$15,4,0)*B2067*E2067/1000,3),"-")</f>
        <v>-</v>
      </c>
      <c r="L2067" s="150"/>
      <c r="M2067" s="150"/>
      <c r="N2067" s="150"/>
    </row>
    <row r="2068" spans="1:14" x14ac:dyDescent="0.25">
      <c r="A2068" s="157" t="s">
        <v>72</v>
      </c>
      <c r="B2068" s="158"/>
      <c r="C2068" s="158"/>
      <c r="D2068" s="158"/>
      <c r="E2068" s="158"/>
      <c r="F2068" s="158"/>
      <c r="G2068" s="148"/>
      <c r="H2068" s="152">
        <f>IF(C2068=11700,ROUND(VLOOKUP(G2068,ThongSo!$F$2:$I$15,4,0)*B2068*11.7,3),0)</f>
        <v>0</v>
      </c>
      <c r="I2068" s="152" t="str">
        <f>IF(F2068="Sắt vụn",ROUND(VLOOKUP(G2068,ThongSo!$F$2:$I$15,4,0)*B2068*E2068/1000,3),"-")</f>
        <v>-</v>
      </c>
      <c r="L2068" s="150"/>
      <c r="M2068" s="150"/>
      <c r="N2068" s="150"/>
    </row>
    <row r="2069" spans="1:14" x14ac:dyDescent="0.25">
      <c r="A2069" s="159" t="s">
        <v>73</v>
      </c>
      <c r="B2069" s="160">
        <v>181</v>
      </c>
      <c r="C2069" s="160">
        <v>11700</v>
      </c>
      <c r="D2069" s="160"/>
      <c r="E2069" s="160"/>
      <c r="F2069" s="160"/>
      <c r="G2069" s="148">
        <v>32</v>
      </c>
      <c r="H2069" s="152">
        <f>IF(C2069=11700,ROUND(VLOOKUP(G2069,ThongSo!$F$2:$I$15,4,0)*B2069*11.7,3),0)</f>
        <v>13362.687</v>
      </c>
      <c r="I2069" s="152" t="str">
        <f>IF(F2069="Sắt vụn",ROUND(VLOOKUP(G2069,ThongSo!$F$2:$I$15,4,0)*B2069*E2069/1000,3),"-")</f>
        <v>-</v>
      </c>
      <c r="L2069" s="150"/>
      <c r="M2069" s="150"/>
      <c r="N2069" s="150"/>
    </row>
    <row r="2070" spans="1:14" x14ac:dyDescent="0.25">
      <c r="A2070" s="159" t="s">
        <v>162</v>
      </c>
      <c r="B2070" s="160">
        <v>8</v>
      </c>
      <c r="C2070" s="160">
        <v>1700</v>
      </c>
      <c r="D2070" s="160" t="s">
        <v>4804</v>
      </c>
      <c r="E2070" s="160">
        <v>10</v>
      </c>
      <c r="F2070" s="160" t="s">
        <v>74</v>
      </c>
      <c r="G2070" s="148">
        <v>32</v>
      </c>
      <c r="H2070" s="152">
        <f>IF(C2070=11700,ROUND(VLOOKUP(G2070,ThongSo!$F$2:$I$15,4,0)*B2070*11.7,3),0)</f>
        <v>0</v>
      </c>
      <c r="I2070" s="152">
        <f>IF(F2070="Sắt vụn",ROUND(VLOOKUP(G2070,ThongSo!$F$2:$I$15,4,0)*B2070*E2070/1000,3),"-")</f>
        <v>0.505</v>
      </c>
      <c r="L2070" s="150"/>
      <c r="M2070" s="150"/>
      <c r="N2070" s="150"/>
    </row>
    <row r="2071" spans="1:14" x14ac:dyDescent="0.25">
      <c r="A2071" s="159" t="s">
        <v>156</v>
      </c>
      <c r="B2071" s="160">
        <v>1</v>
      </c>
      <c r="C2071" s="160">
        <v>1775</v>
      </c>
      <c r="D2071" s="160" t="s">
        <v>4804</v>
      </c>
      <c r="E2071" s="160">
        <v>85</v>
      </c>
      <c r="F2071" s="160" t="s">
        <v>74</v>
      </c>
      <c r="G2071" s="148">
        <v>32</v>
      </c>
      <c r="H2071" s="152">
        <f>IF(C2071=11700,ROUND(VLOOKUP(G2071,ThongSo!$F$2:$I$15,4,0)*B2071*11.7,3),0)</f>
        <v>0</v>
      </c>
      <c r="I2071" s="152">
        <f>IF(F2071="Sắt vụn",ROUND(VLOOKUP(G2071,ThongSo!$F$2:$I$15,4,0)*B2071*E2071/1000,3),"-")</f>
        <v>0.53600000000000003</v>
      </c>
      <c r="L2071" s="150"/>
      <c r="M2071" s="150"/>
      <c r="N2071" s="150"/>
    </row>
    <row r="2072" spans="1:14" x14ac:dyDescent="0.25">
      <c r="A2072" s="159" t="s">
        <v>120</v>
      </c>
      <c r="B2072" s="160">
        <v>7</v>
      </c>
      <c r="C2072" s="160">
        <v>1800</v>
      </c>
      <c r="D2072" s="160" t="s">
        <v>4804</v>
      </c>
      <c r="E2072" s="160">
        <v>110</v>
      </c>
      <c r="F2072" s="160" t="s">
        <v>74</v>
      </c>
      <c r="G2072" s="148">
        <v>32</v>
      </c>
      <c r="H2072" s="152">
        <f>IF(C2072=11700,ROUND(VLOOKUP(G2072,ThongSo!$F$2:$I$15,4,0)*B2072*11.7,3),0)</f>
        <v>0</v>
      </c>
      <c r="I2072" s="152">
        <f>IF(F2072="Sắt vụn",ROUND(VLOOKUP(G2072,ThongSo!$F$2:$I$15,4,0)*B2072*E2072/1000,3),"-")</f>
        <v>4.859</v>
      </c>
      <c r="L2072" s="150"/>
      <c r="M2072" s="150"/>
      <c r="N2072" s="150"/>
    </row>
    <row r="2073" spans="1:14" x14ac:dyDescent="0.25">
      <c r="A2073" s="159" t="s">
        <v>157</v>
      </c>
      <c r="B2073" s="160">
        <v>4</v>
      </c>
      <c r="C2073" s="160">
        <v>1895</v>
      </c>
      <c r="D2073" s="160" t="s">
        <v>4805</v>
      </c>
      <c r="E2073" s="160">
        <v>5</v>
      </c>
      <c r="F2073" s="160" t="s">
        <v>74</v>
      </c>
      <c r="G2073" s="148">
        <v>32</v>
      </c>
      <c r="H2073" s="152">
        <f>IF(C2073=11700,ROUND(VLOOKUP(G2073,ThongSo!$F$2:$I$15,4,0)*B2073*11.7,3),0)</f>
        <v>0</v>
      </c>
      <c r="I2073" s="152">
        <f>IF(F2073="Sắt vụn",ROUND(VLOOKUP(G2073,ThongSo!$F$2:$I$15,4,0)*B2073*E2073/1000,3),"-")</f>
        <v>0.126</v>
      </c>
      <c r="L2073" s="150"/>
      <c r="M2073" s="150"/>
      <c r="N2073" s="150"/>
    </row>
    <row r="2074" spans="1:14" x14ac:dyDescent="0.25">
      <c r="A2074" s="159" t="s">
        <v>188</v>
      </c>
      <c r="B2074" s="160">
        <v>1</v>
      </c>
      <c r="C2074" s="160">
        <v>2055</v>
      </c>
      <c r="D2074" s="160" t="s">
        <v>4805</v>
      </c>
      <c r="E2074" s="160">
        <v>165</v>
      </c>
      <c r="F2074" s="160" t="s">
        <v>74</v>
      </c>
      <c r="G2074" s="148">
        <v>32</v>
      </c>
      <c r="H2074" s="152">
        <f>IF(C2074=11700,ROUND(VLOOKUP(G2074,ThongSo!$F$2:$I$15,4,0)*B2074*11.7,3),0)</f>
        <v>0</v>
      </c>
      <c r="I2074" s="152">
        <f>IF(F2074="Sắt vụn",ROUND(VLOOKUP(G2074,ThongSo!$F$2:$I$15,4,0)*B2074*E2074/1000,3),"-")</f>
        <v>1.0409999999999999</v>
      </c>
      <c r="L2074" s="150"/>
      <c r="M2074" s="150"/>
      <c r="N2074" s="150"/>
    </row>
    <row r="2075" spans="1:14" x14ac:dyDescent="0.25">
      <c r="A2075" s="159" t="s">
        <v>166</v>
      </c>
      <c r="B2075" s="160">
        <v>10</v>
      </c>
      <c r="C2075" s="160">
        <v>2135</v>
      </c>
      <c r="D2075" s="160" t="s">
        <v>4805</v>
      </c>
      <c r="E2075" s="160">
        <v>245</v>
      </c>
      <c r="F2075" s="160" t="s">
        <v>74</v>
      </c>
      <c r="G2075" s="148">
        <v>32</v>
      </c>
      <c r="H2075" s="152">
        <f>IF(C2075=11700,ROUND(VLOOKUP(G2075,ThongSo!$F$2:$I$15,4,0)*B2075*11.7,3),0)</f>
        <v>0</v>
      </c>
      <c r="I2075" s="152">
        <f>IF(F2075="Sắt vụn",ROUND(VLOOKUP(G2075,ThongSo!$F$2:$I$15,4,0)*B2075*E2075/1000,3),"-")</f>
        <v>15.46</v>
      </c>
      <c r="L2075" s="150"/>
      <c r="M2075" s="150"/>
      <c r="N2075" s="150"/>
    </row>
    <row r="2076" spans="1:14" x14ac:dyDescent="0.25">
      <c r="A2076" s="159" t="s">
        <v>346</v>
      </c>
      <c r="B2076" s="160">
        <v>9</v>
      </c>
      <c r="C2076" s="160">
        <v>2180</v>
      </c>
      <c r="D2076" s="160" t="s">
        <v>4805</v>
      </c>
      <c r="E2076" s="160">
        <v>290</v>
      </c>
      <c r="F2076" s="160" t="s">
        <v>74</v>
      </c>
      <c r="G2076" s="148">
        <v>32</v>
      </c>
      <c r="H2076" s="152">
        <f>IF(C2076=11700,ROUND(VLOOKUP(G2076,ThongSo!$F$2:$I$15,4,0)*B2076*11.7,3),0)</f>
        <v>0</v>
      </c>
      <c r="I2076" s="152">
        <f>IF(F2076="Sắt vụn",ROUND(VLOOKUP(G2076,ThongSo!$F$2:$I$15,4,0)*B2076*E2076/1000,3),"-")</f>
        <v>16.469000000000001</v>
      </c>
      <c r="L2076" s="150"/>
      <c r="M2076" s="150"/>
      <c r="N2076" s="150"/>
    </row>
    <row r="2077" spans="1:14" x14ac:dyDescent="0.25">
      <c r="A2077" s="159" t="s">
        <v>178</v>
      </c>
      <c r="B2077" s="160">
        <v>21</v>
      </c>
      <c r="C2077" s="160">
        <v>2240</v>
      </c>
      <c r="D2077" s="160" t="s">
        <v>4805</v>
      </c>
      <c r="E2077" s="160">
        <v>350</v>
      </c>
      <c r="F2077" s="160" t="s">
        <v>74</v>
      </c>
      <c r="G2077" s="148">
        <v>32</v>
      </c>
      <c r="H2077" s="152">
        <f>IF(C2077=11700,ROUND(VLOOKUP(G2077,ThongSo!$F$2:$I$15,4,0)*B2077*11.7,3),0)</f>
        <v>0</v>
      </c>
      <c r="I2077" s="152">
        <f>IF(F2077="Sắt vụn",ROUND(VLOOKUP(G2077,ThongSo!$F$2:$I$15,4,0)*B2077*E2077/1000,3),"-")</f>
        <v>46.378999999999998</v>
      </c>
      <c r="L2077" s="150"/>
      <c r="M2077" s="150"/>
      <c r="N2077" s="150"/>
    </row>
    <row r="2078" spans="1:14" x14ac:dyDescent="0.25">
      <c r="A2078" s="159" t="s">
        <v>167</v>
      </c>
      <c r="B2078" s="160">
        <v>11</v>
      </c>
      <c r="C2078" s="160">
        <v>2275</v>
      </c>
      <c r="D2078" s="160" t="s">
        <v>4805</v>
      </c>
      <c r="E2078" s="160">
        <v>385</v>
      </c>
      <c r="F2078" s="160" t="s">
        <v>74</v>
      </c>
      <c r="G2078" s="148">
        <v>32</v>
      </c>
      <c r="H2078" s="152">
        <f>IF(C2078=11700,ROUND(VLOOKUP(G2078,ThongSo!$F$2:$I$15,4,0)*B2078*11.7,3),0)</f>
        <v>0</v>
      </c>
      <c r="I2078" s="152">
        <f>IF(F2078="Sắt vụn",ROUND(VLOOKUP(G2078,ThongSo!$F$2:$I$15,4,0)*B2078*E2078/1000,3),"-")</f>
        <v>26.722999999999999</v>
      </c>
      <c r="L2078" s="150"/>
      <c r="M2078" s="150"/>
      <c r="N2078" s="150"/>
    </row>
    <row r="2079" spans="1:14" x14ac:dyDescent="0.25">
      <c r="A2079" s="159" t="s">
        <v>347</v>
      </c>
      <c r="B2079" s="160">
        <v>4</v>
      </c>
      <c r="C2079" s="160">
        <v>2280</v>
      </c>
      <c r="D2079" s="160" t="s">
        <v>4805</v>
      </c>
      <c r="E2079" s="160">
        <v>390</v>
      </c>
      <c r="F2079" s="160" t="s">
        <v>74</v>
      </c>
      <c r="G2079" s="148">
        <v>32</v>
      </c>
      <c r="H2079" s="152">
        <f>IF(C2079=11700,ROUND(VLOOKUP(G2079,ThongSo!$F$2:$I$15,4,0)*B2079*11.7,3),0)</f>
        <v>0</v>
      </c>
      <c r="I2079" s="152">
        <f>IF(F2079="Sắt vụn",ROUND(VLOOKUP(G2079,ThongSo!$F$2:$I$15,4,0)*B2079*E2079/1000,3),"-")</f>
        <v>9.8439999999999994</v>
      </c>
      <c r="L2079" s="150"/>
      <c r="M2079" s="150"/>
      <c r="N2079" s="150"/>
    </row>
    <row r="2080" spans="1:14" x14ac:dyDescent="0.25">
      <c r="A2080" s="159" t="s">
        <v>223</v>
      </c>
      <c r="B2080" s="160">
        <v>4</v>
      </c>
      <c r="C2080" s="160">
        <v>3245</v>
      </c>
      <c r="D2080" s="160" t="s">
        <v>4806</v>
      </c>
      <c r="E2080" s="160">
        <v>155</v>
      </c>
      <c r="F2080" s="160" t="s">
        <v>74</v>
      </c>
      <c r="G2080" s="148">
        <v>32</v>
      </c>
      <c r="H2080" s="152">
        <f>IF(C2080=11700,ROUND(VLOOKUP(G2080,ThongSo!$F$2:$I$15,4,0)*B2080*11.7,3),0)</f>
        <v>0</v>
      </c>
      <c r="I2080" s="152">
        <f>IF(F2080="Sắt vụn",ROUND(VLOOKUP(G2080,ThongSo!$F$2:$I$15,4,0)*B2080*E2080/1000,3),"-")</f>
        <v>3.9119999999999999</v>
      </c>
      <c r="L2080" s="150"/>
      <c r="M2080" s="150"/>
      <c r="N2080" s="150"/>
    </row>
    <row r="2081" spans="1:14" x14ac:dyDescent="0.25">
      <c r="A2081" s="159" t="s">
        <v>155</v>
      </c>
      <c r="B2081" s="160">
        <v>3</v>
      </c>
      <c r="C2081" s="160">
        <v>3300</v>
      </c>
      <c r="D2081" s="160" t="s">
        <v>4806</v>
      </c>
      <c r="E2081" s="160">
        <v>210</v>
      </c>
      <c r="F2081" s="160" t="s">
        <v>74</v>
      </c>
      <c r="G2081" s="148">
        <v>32</v>
      </c>
      <c r="H2081" s="152">
        <f>IF(C2081=11700,ROUND(VLOOKUP(G2081,ThongSo!$F$2:$I$15,4,0)*B2081*11.7,3),0)</f>
        <v>0</v>
      </c>
      <c r="I2081" s="152">
        <f>IF(F2081="Sắt vụn",ROUND(VLOOKUP(G2081,ThongSo!$F$2:$I$15,4,0)*B2081*E2081/1000,3),"-")</f>
        <v>3.9750000000000001</v>
      </c>
      <c r="L2081" s="150"/>
      <c r="M2081" s="150"/>
      <c r="N2081" s="150"/>
    </row>
    <row r="2082" spans="1:14" x14ac:dyDescent="0.25">
      <c r="A2082" s="159" t="s">
        <v>242</v>
      </c>
      <c r="B2082" s="160">
        <v>10</v>
      </c>
      <c r="C2082" s="160">
        <v>3370</v>
      </c>
      <c r="D2082" s="160" t="s">
        <v>4806</v>
      </c>
      <c r="E2082" s="160">
        <v>280</v>
      </c>
      <c r="F2082" s="160" t="s">
        <v>74</v>
      </c>
      <c r="G2082" s="148">
        <v>32</v>
      </c>
      <c r="H2082" s="152">
        <f>IF(C2082=11700,ROUND(VLOOKUP(G2082,ThongSo!$F$2:$I$15,4,0)*B2082*11.7,3),0)</f>
        <v>0</v>
      </c>
      <c r="I2082" s="152">
        <f>IF(F2082="Sắt vụn",ROUND(VLOOKUP(G2082,ThongSo!$F$2:$I$15,4,0)*B2082*E2082/1000,3),"-")</f>
        <v>17.667999999999999</v>
      </c>
      <c r="L2082" s="150"/>
      <c r="M2082" s="150"/>
      <c r="N2082" s="150"/>
    </row>
    <row r="2083" spans="1:14" x14ac:dyDescent="0.25">
      <c r="A2083" s="159" t="s">
        <v>141</v>
      </c>
      <c r="B2083" s="160">
        <v>6</v>
      </c>
      <c r="C2083" s="160">
        <v>3670</v>
      </c>
      <c r="D2083" s="160" t="s">
        <v>4807</v>
      </c>
      <c r="E2083" s="160">
        <v>190</v>
      </c>
      <c r="F2083" s="160" t="s">
        <v>74</v>
      </c>
      <c r="G2083" s="148">
        <v>32</v>
      </c>
      <c r="H2083" s="152">
        <f>IF(C2083=11700,ROUND(VLOOKUP(G2083,ThongSo!$F$2:$I$15,4,0)*B2083*11.7,3),0)</f>
        <v>0</v>
      </c>
      <c r="I2083" s="152">
        <f>IF(F2083="Sắt vụn",ROUND(VLOOKUP(G2083,ThongSo!$F$2:$I$15,4,0)*B2083*E2083/1000,3),"-")</f>
        <v>7.1929999999999996</v>
      </c>
      <c r="L2083" s="150"/>
      <c r="M2083" s="150"/>
      <c r="N2083" s="150"/>
    </row>
    <row r="2084" spans="1:14" x14ac:dyDescent="0.25">
      <c r="A2084" s="159" t="s">
        <v>141</v>
      </c>
      <c r="B2084" s="160">
        <v>2</v>
      </c>
      <c r="C2084" s="160">
        <v>3670</v>
      </c>
      <c r="D2084" s="160" t="s">
        <v>4808</v>
      </c>
      <c r="E2084" s="160">
        <v>250</v>
      </c>
      <c r="F2084" s="160" t="s">
        <v>74</v>
      </c>
      <c r="G2084" s="148">
        <v>32</v>
      </c>
      <c r="H2084" s="152">
        <f>IF(C2084=11700,ROUND(VLOOKUP(G2084,ThongSo!$F$2:$I$15,4,0)*B2084*11.7,3),0)</f>
        <v>0</v>
      </c>
      <c r="I2084" s="152">
        <f>IF(F2084="Sắt vụn",ROUND(VLOOKUP(G2084,ThongSo!$F$2:$I$15,4,0)*B2084*E2084/1000,3),"-")</f>
        <v>3.1549999999999998</v>
      </c>
      <c r="L2084" s="150"/>
      <c r="M2084" s="150"/>
      <c r="N2084" s="150"/>
    </row>
    <row r="2085" spans="1:14" x14ac:dyDescent="0.25">
      <c r="A2085" s="159" t="s">
        <v>142</v>
      </c>
      <c r="B2085" s="160">
        <v>6</v>
      </c>
      <c r="C2085" s="160">
        <v>3700</v>
      </c>
      <c r="D2085" s="160" t="s">
        <v>4809</v>
      </c>
      <c r="E2085" s="160">
        <v>0</v>
      </c>
      <c r="F2085" s="160"/>
      <c r="G2085" s="148">
        <v>32</v>
      </c>
      <c r="H2085" s="152">
        <f>IF(C2085=11700,ROUND(VLOOKUP(G2085,ThongSo!$F$2:$I$15,4,0)*B2085*11.7,3),0)</f>
        <v>0</v>
      </c>
      <c r="I2085" s="152" t="str">
        <f>IF(F2085="Sắt vụn",ROUND(VLOOKUP(G2085,ThongSo!$F$2:$I$15,4,0)*B2085*E2085/1000,3),"-")</f>
        <v>-</v>
      </c>
      <c r="L2085" s="150"/>
      <c r="M2085" s="150"/>
      <c r="N2085" s="150"/>
    </row>
    <row r="2086" spans="1:14" x14ac:dyDescent="0.25">
      <c r="A2086" s="159" t="s">
        <v>159</v>
      </c>
      <c r="B2086" s="160">
        <v>2</v>
      </c>
      <c r="C2086" s="160">
        <v>3975</v>
      </c>
      <c r="D2086" s="160" t="s">
        <v>4810</v>
      </c>
      <c r="E2086" s="160">
        <v>75</v>
      </c>
      <c r="F2086" s="160" t="s">
        <v>74</v>
      </c>
      <c r="G2086" s="148">
        <v>32</v>
      </c>
      <c r="H2086" s="152">
        <f>IF(C2086=11700,ROUND(VLOOKUP(G2086,ThongSo!$F$2:$I$15,4,0)*B2086*11.7,3),0)</f>
        <v>0</v>
      </c>
      <c r="I2086" s="152">
        <f>IF(F2086="Sắt vụn",ROUND(VLOOKUP(G2086,ThongSo!$F$2:$I$15,4,0)*B2086*E2086/1000,3),"-")</f>
        <v>0.94699999999999995</v>
      </c>
      <c r="L2086" s="150"/>
      <c r="M2086" s="150"/>
      <c r="N2086" s="150"/>
    </row>
    <row r="2087" spans="1:14" x14ac:dyDescent="0.25">
      <c r="A2087" s="159" t="s">
        <v>159</v>
      </c>
      <c r="B2087" s="160">
        <v>6</v>
      </c>
      <c r="C2087" s="160">
        <v>3975</v>
      </c>
      <c r="D2087" s="160" t="s">
        <v>4811</v>
      </c>
      <c r="E2087" s="160">
        <v>135</v>
      </c>
      <c r="F2087" s="160" t="s">
        <v>74</v>
      </c>
      <c r="G2087" s="148">
        <v>32</v>
      </c>
      <c r="H2087" s="152">
        <f>IF(C2087=11700,ROUND(VLOOKUP(G2087,ThongSo!$F$2:$I$15,4,0)*B2087*11.7,3),0)</f>
        <v>0</v>
      </c>
      <c r="I2087" s="152">
        <f>IF(F2087="Sắt vụn",ROUND(VLOOKUP(G2087,ThongSo!$F$2:$I$15,4,0)*B2087*E2087/1000,3),"-")</f>
        <v>5.1109999999999998</v>
      </c>
      <c r="L2087" s="150"/>
      <c r="M2087" s="150"/>
      <c r="N2087" s="150"/>
    </row>
    <row r="2088" spans="1:14" x14ac:dyDescent="0.25">
      <c r="A2088" s="159" t="s">
        <v>195</v>
      </c>
      <c r="B2088" s="160">
        <v>7</v>
      </c>
      <c r="C2088" s="160">
        <v>4070</v>
      </c>
      <c r="D2088" s="160" t="s">
        <v>4812</v>
      </c>
      <c r="E2088" s="160">
        <v>30</v>
      </c>
      <c r="F2088" s="160" t="s">
        <v>74</v>
      </c>
      <c r="G2088" s="148">
        <v>32</v>
      </c>
      <c r="H2088" s="152">
        <f>IF(C2088=11700,ROUND(VLOOKUP(G2088,ThongSo!$F$2:$I$15,4,0)*B2088*11.7,3),0)</f>
        <v>0</v>
      </c>
      <c r="I2088" s="152">
        <f>IF(F2088="Sắt vụn",ROUND(VLOOKUP(G2088,ThongSo!$F$2:$I$15,4,0)*B2088*E2088/1000,3),"-")</f>
        <v>1.325</v>
      </c>
      <c r="L2088" s="150"/>
      <c r="M2088" s="150"/>
      <c r="N2088" s="150"/>
    </row>
    <row r="2089" spans="1:14" x14ac:dyDescent="0.25">
      <c r="A2089" s="159" t="s">
        <v>195</v>
      </c>
      <c r="B2089" s="160">
        <v>4</v>
      </c>
      <c r="C2089" s="160">
        <v>4070</v>
      </c>
      <c r="D2089" s="160" t="s">
        <v>4813</v>
      </c>
      <c r="E2089" s="160">
        <v>90</v>
      </c>
      <c r="F2089" s="160" t="s">
        <v>74</v>
      </c>
      <c r="G2089" s="148">
        <v>32</v>
      </c>
      <c r="H2089" s="152">
        <f>IF(C2089=11700,ROUND(VLOOKUP(G2089,ThongSo!$F$2:$I$15,4,0)*B2089*11.7,3),0)</f>
        <v>0</v>
      </c>
      <c r="I2089" s="152">
        <f>IF(F2089="Sắt vụn",ROUND(VLOOKUP(G2089,ThongSo!$F$2:$I$15,4,0)*B2089*E2089/1000,3),"-")</f>
        <v>2.2719999999999998</v>
      </c>
      <c r="L2089" s="150"/>
      <c r="M2089" s="150"/>
      <c r="N2089" s="150"/>
    </row>
    <row r="2090" spans="1:14" x14ac:dyDescent="0.25">
      <c r="A2090" s="159" t="s">
        <v>196</v>
      </c>
      <c r="B2090" s="160">
        <v>2</v>
      </c>
      <c r="C2090" s="160">
        <v>4090</v>
      </c>
      <c r="D2090" s="160" t="s">
        <v>4813</v>
      </c>
      <c r="E2090" s="160">
        <v>110</v>
      </c>
      <c r="F2090" s="160" t="s">
        <v>74</v>
      </c>
      <c r="G2090" s="148">
        <v>32</v>
      </c>
      <c r="H2090" s="152">
        <f>IF(C2090=11700,ROUND(VLOOKUP(G2090,ThongSo!$F$2:$I$15,4,0)*B2090*11.7,3),0)</f>
        <v>0</v>
      </c>
      <c r="I2090" s="152">
        <f>IF(F2090="Sắt vụn",ROUND(VLOOKUP(G2090,ThongSo!$F$2:$I$15,4,0)*B2090*E2090/1000,3),"-")</f>
        <v>1.3879999999999999</v>
      </c>
      <c r="L2090" s="150"/>
      <c r="M2090" s="150"/>
      <c r="N2090" s="150"/>
    </row>
    <row r="2091" spans="1:14" x14ac:dyDescent="0.25">
      <c r="A2091" s="159" t="s">
        <v>196</v>
      </c>
      <c r="B2091" s="160">
        <v>6</v>
      </c>
      <c r="C2091" s="160">
        <v>4090</v>
      </c>
      <c r="D2091" s="160" t="s">
        <v>4814</v>
      </c>
      <c r="E2091" s="160">
        <v>330</v>
      </c>
      <c r="F2091" s="160" t="s">
        <v>74</v>
      </c>
      <c r="G2091" s="148">
        <v>32</v>
      </c>
      <c r="H2091" s="152">
        <f>IF(C2091=11700,ROUND(VLOOKUP(G2091,ThongSo!$F$2:$I$15,4,0)*B2091*11.7,3),0)</f>
        <v>0</v>
      </c>
      <c r="I2091" s="152">
        <f>IF(F2091="Sắt vụn",ROUND(VLOOKUP(G2091,ThongSo!$F$2:$I$15,4,0)*B2091*E2091/1000,3),"-")</f>
        <v>12.494</v>
      </c>
      <c r="L2091" s="150"/>
      <c r="M2091" s="150"/>
      <c r="N2091" s="150"/>
    </row>
    <row r="2092" spans="1:14" x14ac:dyDescent="0.25">
      <c r="A2092" s="159" t="s">
        <v>196</v>
      </c>
      <c r="B2092" s="160">
        <v>1</v>
      </c>
      <c r="C2092" s="160">
        <v>4090</v>
      </c>
      <c r="D2092" s="160" t="s">
        <v>4809</v>
      </c>
      <c r="E2092" s="160">
        <v>390</v>
      </c>
      <c r="F2092" s="160" t="s">
        <v>74</v>
      </c>
      <c r="G2092" s="148">
        <v>32</v>
      </c>
      <c r="H2092" s="152">
        <f>IF(C2092=11700,ROUND(VLOOKUP(G2092,ThongSo!$F$2:$I$15,4,0)*B2092*11.7,3),0)</f>
        <v>0</v>
      </c>
      <c r="I2092" s="152">
        <f>IF(F2092="Sắt vụn",ROUND(VLOOKUP(G2092,ThongSo!$F$2:$I$15,4,0)*B2092*E2092/1000,3),"-")</f>
        <v>2.4609999999999999</v>
      </c>
      <c r="L2092" s="150"/>
      <c r="M2092" s="150"/>
      <c r="N2092" s="150"/>
    </row>
    <row r="2093" spans="1:14" x14ac:dyDescent="0.25">
      <c r="A2093" s="159" t="s">
        <v>130</v>
      </c>
      <c r="B2093" s="160">
        <v>4</v>
      </c>
      <c r="C2093" s="160">
        <v>4250</v>
      </c>
      <c r="D2093" s="160" t="s">
        <v>4815</v>
      </c>
      <c r="E2093" s="160">
        <v>25</v>
      </c>
      <c r="F2093" s="160" t="s">
        <v>74</v>
      </c>
      <c r="G2093" s="148">
        <v>32</v>
      </c>
      <c r="H2093" s="152">
        <f>IF(C2093=11700,ROUND(VLOOKUP(G2093,ThongSo!$F$2:$I$15,4,0)*B2093*11.7,3),0)</f>
        <v>0</v>
      </c>
      <c r="I2093" s="152">
        <f>IF(F2093="Sắt vụn",ROUND(VLOOKUP(G2093,ThongSo!$F$2:$I$15,4,0)*B2093*E2093/1000,3),"-")</f>
        <v>0.63100000000000001</v>
      </c>
      <c r="L2093" s="150"/>
      <c r="M2093" s="150"/>
      <c r="N2093" s="150"/>
    </row>
    <row r="2094" spans="1:14" x14ac:dyDescent="0.25">
      <c r="A2094" s="159" t="s">
        <v>130</v>
      </c>
      <c r="B2094" s="160">
        <v>4</v>
      </c>
      <c r="C2094" s="160">
        <v>4250</v>
      </c>
      <c r="D2094" s="160" t="s">
        <v>4816</v>
      </c>
      <c r="E2094" s="160">
        <v>25</v>
      </c>
      <c r="F2094" s="160" t="s">
        <v>74</v>
      </c>
      <c r="G2094" s="148">
        <v>32</v>
      </c>
      <c r="H2094" s="152">
        <f>IF(C2094=11700,ROUND(VLOOKUP(G2094,ThongSo!$F$2:$I$15,4,0)*B2094*11.7,3),0)</f>
        <v>0</v>
      </c>
      <c r="I2094" s="152">
        <f>IF(F2094="Sắt vụn",ROUND(VLOOKUP(G2094,ThongSo!$F$2:$I$15,4,0)*B2094*E2094/1000,3),"-")</f>
        <v>0.63100000000000001</v>
      </c>
      <c r="L2094" s="150"/>
      <c r="M2094" s="150"/>
      <c r="N2094" s="150"/>
    </row>
    <row r="2095" spans="1:14" x14ac:dyDescent="0.25">
      <c r="A2095" s="159" t="s">
        <v>352</v>
      </c>
      <c r="B2095" s="160">
        <v>9</v>
      </c>
      <c r="C2095" s="160">
        <v>4350</v>
      </c>
      <c r="D2095" s="160" t="s">
        <v>4817</v>
      </c>
      <c r="E2095" s="160">
        <v>25</v>
      </c>
      <c r="F2095" s="160" t="s">
        <v>74</v>
      </c>
      <c r="G2095" s="148">
        <v>32</v>
      </c>
      <c r="H2095" s="152">
        <f>IF(C2095=11700,ROUND(VLOOKUP(G2095,ThongSo!$F$2:$I$15,4,0)*B2095*11.7,3),0)</f>
        <v>0</v>
      </c>
      <c r="I2095" s="152">
        <f>IF(F2095="Sắt vụn",ROUND(VLOOKUP(G2095,ThongSo!$F$2:$I$15,4,0)*B2095*E2095/1000,3),"-")</f>
        <v>1.42</v>
      </c>
      <c r="L2095" s="150"/>
      <c r="M2095" s="150"/>
      <c r="N2095" s="150"/>
    </row>
    <row r="2096" spans="1:14" x14ac:dyDescent="0.25">
      <c r="A2096" s="159" t="s">
        <v>4801</v>
      </c>
      <c r="B2096" s="160">
        <v>1</v>
      </c>
      <c r="C2096" s="160">
        <v>7250</v>
      </c>
      <c r="D2096" s="160" t="s">
        <v>4818</v>
      </c>
      <c r="E2096" s="160">
        <v>240</v>
      </c>
      <c r="F2096" s="160" t="s">
        <v>74</v>
      </c>
      <c r="G2096" s="148">
        <v>32</v>
      </c>
      <c r="H2096" s="152">
        <f>IF(C2096=11700,ROUND(VLOOKUP(G2096,ThongSo!$F$2:$I$15,4,0)*B2096*11.7,3),0)</f>
        <v>0</v>
      </c>
      <c r="I2096" s="152">
        <f>IF(F2096="Sắt vụn",ROUND(VLOOKUP(G2096,ThongSo!$F$2:$I$15,4,0)*B2096*E2096/1000,3),"-")</f>
        <v>1.514</v>
      </c>
      <c r="L2096" s="150"/>
      <c r="M2096" s="150"/>
      <c r="N2096" s="150"/>
    </row>
    <row r="2097" spans="1:14" x14ac:dyDescent="0.25">
      <c r="A2097" s="159">
        <v>29</v>
      </c>
      <c r="B2097" s="160">
        <v>11</v>
      </c>
      <c r="C2097" s="160">
        <v>11700</v>
      </c>
      <c r="D2097" s="160" t="s">
        <v>4819</v>
      </c>
      <c r="E2097" s="160">
        <v>0</v>
      </c>
      <c r="F2097" s="160"/>
      <c r="G2097" s="148">
        <v>32</v>
      </c>
      <c r="H2097" s="152">
        <f>IF(C2097=11700,ROUND(VLOOKUP(G2097,ThongSo!$F$2:$I$15,4,0)*B2097*11.7,3),0)</f>
        <v>812.09699999999998</v>
      </c>
      <c r="I2097" s="152" t="str">
        <f>IF(F2097="Sắt vụn",ROUND(VLOOKUP(G2097,ThongSo!$F$2:$I$15,4,0)*B2097*E2097/1000,3),"-")</f>
        <v>-</v>
      </c>
      <c r="L2097" s="150"/>
      <c r="M2097" s="150"/>
      <c r="N2097" s="150"/>
    </row>
    <row r="2098" spans="1:14" x14ac:dyDescent="0.25">
      <c r="A2098" s="159">
        <v>30</v>
      </c>
      <c r="B2098" s="160">
        <v>3</v>
      </c>
      <c r="C2098" s="160">
        <v>11700</v>
      </c>
      <c r="D2098" s="160" t="s">
        <v>4820</v>
      </c>
      <c r="E2098" s="160">
        <v>0</v>
      </c>
      <c r="F2098" s="160"/>
      <c r="G2098" s="148">
        <v>32</v>
      </c>
      <c r="H2098" s="152">
        <f>IF(C2098=11700,ROUND(VLOOKUP(G2098,ThongSo!$F$2:$I$15,4,0)*B2098*11.7,3),0)</f>
        <v>221.48099999999999</v>
      </c>
      <c r="I2098" s="152" t="str">
        <f>IF(F2098="Sắt vụn",ROUND(VLOOKUP(G2098,ThongSo!$F$2:$I$15,4,0)*B2098*E2098/1000,3),"-")</f>
        <v>-</v>
      </c>
      <c r="L2098" s="150"/>
      <c r="M2098" s="150"/>
      <c r="N2098" s="150"/>
    </row>
    <row r="2099" spans="1:14" x14ac:dyDescent="0.25">
      <c r="A2099" s="159">
        <v>31</v>
      </c>
      <c r="B2099" s="160">
        <v>7</v>
      </c>
      <c r="C2099" s="160">
        <v>11700</v>
      </c>
      <c r="D2099" s="160" t="s">
        <v>4821</v>
      </c>
      <c r="E2099" s="160">
        <v>0</v>
      </c>
      <c r="F2099" s="160"/>
      <c r="G2099" s="148">
        <v>32</v>
      </c>
      <c r="H2099" s="152">
        <f>IF(C2099=11700,ROUND(VLOOKUP(G2099,ThongSo!$F$2:$I$15,4,0)*B2099*11.7,3),0)</f>
        <v>516.78899999999999</v>
      </c>
      <c r="I2099" s="152" t="str">
        <f>IF(F2099="Sắt vụn",ROUND(VLOOKUP(G2099,ThongSo!$F$2:$I$15,4,0)*B2099*E2099/1000,3),"-")</f>
        <v>-</v>
      </c>
      <c r="L2099" s="150"/>
      <c r="M2099" s="150"/>
      <c r="N2099" s="150"/>
    </row>
    <row r="2100" spans="1:14" x14ac:dyDescent="0.25">
      <c r="A2100" s="159">
        <v>32</v>
      </c>
      <c r="B2100" s="160">
        <v>4</v>
      </c>
      <c r="C2100" s="160">
        <v>11700</v>
      </c>
      <c r="D2100" s="160" t="s">
        <v>4822</v>
      </c>
      <c r="E2100" s="160">
        <v>65</v>
      </c>
      <c r="F2100" s="160" t="s">
        <v>74</v>
      </c>
      <c r="G2100" s="148">
        <v>32</v>
      </c>
      <c r="H2100" s="152">
        <f>IF(C2100=11700,ROUND(VLOOKUP(G2100,ThongSo!$F$2:$I$15,4,0)*B2100*11.7,3),0)</f>
        <v>295.30799999999999</v>
      </c>
      <c r="I2100" s="152">
        <f>IF(F2100="Sắt vụn",ROUND(VLOOKUP(G2100,ThongSo!$F$2:$I$15,4,0)*B2100*E2100/1000,3),"-")</f>
        <v>1.641</v>
      </c>
      <c r="L2100" s="150"/>
      <c r="M2100" s="150"/>
      <c r="N2100" s="150"/>
    </row>
    <row r="2101" spans="1:14" x14ac:dyDescent="0.25">
      <c r="A2101" s="159">
        <v>33</v>
      </c>
      <c r="B2101" s="160">
        <v>6</v>
      </c>
      <c r="C2101" s="160">
        <v>11700</v>
      </c>
      <c r="D2101" s="160" t="s">
        <v>4823</v>
      </c>
      <c r="E2101" s="160">
        <v>110</v>
      </c>
      <c r="F2101" s="160" t="s">
        <v>74</v>
      </c>
      <c r="G2101" s="148">
        <v>32</v>
      </c>
      <c r="H2101" s="152">
        <f>IF(C2101=11700,ROUND(VLOOKUP(G2101,ThongSo!$F$2:$I$15,4,0)*B2101*11.7,3),0)</f>
        <v>442.96199999999999</v>
      </c>
      <c r="I2101" s="152">
        <f>IF(F2101="Sắt vụn",ROUND(VLOOKUP(G2101,ThongSo!$F$2:$I$15,4,0)*B2101*E2101/1000,3),"-")</f>
        <v>4.165</v>
      </c>
      <c r="L2101" s="150"/>
      <c r="M2101" s="150"/>
      <c r="N2101" s="150"/>
    </row>
    <row r="2102" spans="1:14" x14ac:dyDescent="0.25">
      <c r="A2102" s="159">
        <v>34</v>
      </c>
      <c r="B2102" s="160">
        <v>1</v>
      </c>
      <c r="C2102" s="160">
        <v>11700</v>
      </c>
      <c r="D2102" s="160" t="s">
        <v>4824</v>
      </c>
      <c r="E2102" s="160">
        <v>120</v>
      </c>
      <c r="F2102" s="160" t="s">
        <v>74</v>
      </c>
      <c r="G2102" s="148">
        <v>32</v>
      </c>
      <c r="H2102" s="152">
        <f>IF(C2102=11700,ROUND(VLOOKUP(G2102,ThongSo!$F$2:$I$15,4,0)*B2102*11.7,3),0)</f>
        <v>73.826999999999998</v>
      </c>
      <c r="I2102" s="152">
        <f>IF(F2102="Sắt vụn",ROUND(VLOOKUP(G2102,ThongSo!$F$2:$I$15,4,0)*B2102*E2102/1000,3),"-")</f>
        <v>0.75700000000000001</v>
      </c>
      <c r="L2102" s="150"/>
      <c r="M2102" s="150"/>
      <c r="N2102" s="150"/>
    </row>
    <row r="2103" spans="1:14" x14ac:dyDescent="0.25">
      <c r="A2103" s="159">
        <v>35</v>
      </c>
      <c r="B2103" s="160">
        <v>10</v>
      </c>
      <c r="C2103" s="160">
        <v>11700</v>
      </c>
      <c r="D2103" s="160" t="s">
        <v>4825</v>
      </c>
      <c r="E2103" s="160">
        <v>130</v>
      </c>
      <c r="F2103" s="160" t="s">
        <v>74</v>
      </c>
      <c r="G2103" s="148">
        <v>32</v>
      </c>
      <c r="H2103" s="152">
        <f>IF(C2103=11700,ROUND(VLOOKUP(G2103,ThongSo!$F$2:$I$15,4,0)*B2103*11.7,3),0)</f>
        <v>738.27</v>
      </c>
      <c r="I2103" s="152">
        <f>IF(F2103="Sắt vụn",ROUND(VLOOKUP(G2103,ThongSo!$F$2:$I$15,4,0)*B2103*E2103/1000,3),"-")</f>
        <v>8.2029999999999994</v>
      </c>
      <c r="L2103" s="150"/>
      <c r="M2103" s="150"/>
      <c r="N2103" s="150"/>
    </row>
    <row r="2104" spans="1:14" x14ac:dyDescent="0.25">
      <c r="A2104" s="159">
        <v>36</v>
      </c>
      <c r="B2104" s="160">
        <v>2</v>
      </c>
      <c r="C2104" s="160">
        <v>11700</v>
      </c>
      <c r="D2104" s="160" t="s">
        <v>4826</v>
      </c>
      <c r="E2104" s="160">
        <v>130</v>
      </c>
      <c r="F2104" s="160" t="s">
        <v>74</v>
      </c>
      <c r="G2104" s="148">
        <v>32</v>
      </c>
      <c r="H2104" s="152">
        <f>IF(C2104=11700,ROUND(VLOOKUP(G2104,ThongSo!$F$2:$I$15,4,0)*B2104*11.7,3),0)</f>
        <v>147.654</v>
      </c>
      <c r="I2104" s="152">
        <f>IF(F2104="Sắt vụn",ROUND(VLOOKUP(G2104,ThongSo!$F$2:$I$15,4,0)*B2104*E2104/1000,3),"-")</f>
        <v>1.641</v>
      </c>
      <c r="L2104" s="150"/>
      <c r="M2104" s="150"/>
      <c r="N2104" s="150"/>
    </row>
    <row r="2105" spans="1:14" x14ac:dyDescent="0.25">
      <c r="A2105" s="159">
        <v>37</v>
      </c>
      <c r="B2105" s="160">
        <v>1</v>
      </c>
      <c r="C2105" s="160">
        <v>11700</v>
      </c>
      <c r="D2105" s="160" t="s">
        <v>4827</v>
      </c>
      <c r="E2105" s="160">
        <v>205</v>
      </c>
      <c r="F2105" s="160" t="s">
        <v>74</v>
      </c>
      <c r="G2105" s="148">
        <v>32</v>
      </c>
      <c r="H2105" s="152">
        <f>IF(C2105=11700,ROUND(VLOOKUP(G2105,ThongSo!$F$2:$I$15,4,0)*B2105*11.7,3),0)</f>
        <v>73.826999999999998</v>
      </c>
      <c r="I2105" s="152">
        <f>IF(F2105="Sắt vụn",ROUND(VLOOKUP(G2105,ThongSo!$F$2:$I$15,4,0)*B2105*E2105/1000,3),"-")</f>
        <v>1.294</v>
      </c>
      <c r="L2105" s="150"/>
      <c r="M2105" s="150"/>
      <c r="N2105" s="150"/>
    </row>
    <row r="2106" spans="1:14" x14ac:dyDescent="0.25">
      <c r="A2106" s="159">
        <v>38</v>
      </c>
      <c r="B2106" s="160">
        <v>3</v>
      </c>
      <c r="C2106" s="160">
        <v>11700</v>
      </c>
      <c r="D2106" s="160" t="s">
        <v>4828</v>
      </c>
      <c r="E2106" s="160">
        <v>280</v>
      </c>
      <c r="F2106" s="160" t="s">
        <v>74</v>
      </c>
      <c r="G2106" s="148">
        <v>32</v>
      </c>
      <c r="H2106" s="152">
        <f>IF(C2106=11700,ROUND(VLOOKUP(G2106,ThongSo!$F$2:$I$15,4,0)*B2106*11.7,3),0)</f>
        <v>221.48099999999999</v>
      </c>
      <c r="I2106" s="152">
        <f>IF(F2106="Sắt vụn",ROUND(VLOOKUP(G2106,ThongSo!$F$2:$I$15,4,0)*B2106*E2106/1000,3),"-")</f>
        <v>5.3</v>
      </c>
      <c r="L2106" s="150"/>
      <c r="M2106" s="150"/>
      <c r="N2106" s="150"/>
    </row>
    <row r="2107" spans="1:14" x14ac:dyDescent="0.25">
      <c r="A2107" s="159">
        <v>39</v>
      </c>
      <c r="B2107" s="160">
        <v>8</v>
      </c>
      <c r="C2107" s="160">
        <v>11700</v>
      </c>
      <c r="D2107" s="160" t="s">
        <v>4829</v>
      </c>
      <c r="E2107" s="160">
        <v>455</v>
      </c>
      <c r="F2107" s="160" t="s">
        <v>74</v>
      </c>
      <c r="G2107" s="148">
        <v>32</v>
      </c>
      <c r="H2107" s="152">
        <f>IF(C2107=11700,ROUND(VLOOKUP(G2107,ThongSo!$F$2:$I$15,4,0)*B2107*11.7,3),0)</f>
        <v>590.61599999999999</v>
      </c>
      <c r="I2107" s="152">
        <f>IF(F2107="Sắt vụn",ROUND(VLOOKUP(G2107,ThongSo!$F$2:$I$15,4,0)*B2107*E2107/1000,3),"-")</f>
        <v>22.968</v>
      </c>
      <c r="L2107" s="150"/>
      <c r="M2107" s="150"/>
      <c r="N2107" s="150"/>
    </row>
    <row r="2108" spans="1:14" x14ac:dyDescent="0.25">
      <c r="A2108" s="159">
        <v>40</v>
      </c>
      <c r="B2108" s="160">
        <v>8</v>
      </c>
      <c r="C2108" s="160">
        <v>11700</v>
      </c>
      <c r="D2108" s="160" t="s">
        <v>4830</v>
      </c>
      <c r="E2108" s="160">
        <v>455</v>
      </c>
      <c r="F2108" s="160" t="s">
        <v>74</v>
      </c>
      <c r="G2108" s="148">
        <v>32</v>
      </c>
      <c r="H2108" s="152">
        <f>IF(C2108=11700,ROUND(VLOOKUP(G2108,ThongSo!$F$2:$I$15,4,0)*B2108*11.7,3),0)</f>
        <v>590.61599999999999</v>
      </c>
      <c r="I2108" s="152">
        <f>IF(F2108="Sắt vụn",ROUND(VLOOKUP(G2108,ThongSo!$F$2:$I$15,4,0)*B2108*E2108/1000,3),"-")</f>
        <v>22.968</v>
      </c>
      <c r="L2108" s="150"/>
      <c r="M2108" s="150"/>
      <c r="N2108" s="150"/>
    </row>
    <row r="2109" spans="1:14" x14ac:dyDescent="0.25">
      <c r="A2109" s="159">
        <v>41</v>
      </c>
      <c r="B2109" s="160">
        <v>7</v>
      </c>
      <c r="C2109" s="160">
        <v>11700</v>
      </c>
      <c r="D2109" s="160" t="s">
        <v>4831</v>
      </c>
      <c r="E2109" s="160">
        <v>490</v>
      </c>
      <c r="F2109" s="160" t="s">
        <v>74</v>
      </c>
      <c r="G2109" s="148">
        <v>32</v>
      </c>
      <c r="H2109" s="152">
        <f>IF(C2109=11700,ROUND(VLOOKUP(G2109,ThongSo!$F$2:$I$15,4,0)*B2109*11.7,3),0)</f>
        <v>516.78899999999999</v>
      </c>
      <c r="I2109" s="152">
        <f>IF(F2109="Sắt vụn",ROUND(VLOOKUP(G2109,ThongSo!$F$2:$I$15,4,0)*B2109*E2109/1000,3),"-")</f>
        <v>21.643000000000001</v>
      </c>
      <c r="L2109" s="150"/>
      <c r="M2109" s="150"/>
      <c r="N2109" s="150"/>
    </row>
    <row r="2110" spans="1:14" x14ac:dyDescent="0.25">
      <c r="A2110" s="159">
        <v>42</v>
      </c>
      <c r="B2110" s="160">
        <v>6</v>
      </c>
      <c r="C2110" s="160">
        <v>11700</v>
      </c>
      <c r="D2110" s="160" t="s">
        <v>4832</v>
      </c>
      <c r="E2110" s="160">
        <v>565</v>
      </c>
      <c r="F2110" s="160" t="s">
        <v>74</v>
      </c>
      <c r="G2110" s="148">
        <v>32</v>
      </c>
      <c r="H2110" s="152">
        <f>IF(C2110=11700,ROUND(VLOOKUP(G2110,ThongSo!$F$2:$I$15,4,0)*B2110*11.7,3),0)</f>
        <v>442.96199999999999</v>
      </c>
      <c r="I2110" s="152">
        <f>IF(F2110="Sắt vụn",ROUND(VLOOKUP(G2110,ThongSo!$F$2:$I$15,4,0)*B2110*E2110/1000,3),"-")</f>
        <v>21.390999999999998</v>
      </c>
      <c r="L2110" s="150"/>
      <c r="M2110" s="150"/>
      <c r="N2110" s="150"/>
    </row>
    <row r="2111" spans="1:14" x14ac:dyDescent="0.25">
      <c r="A2111" s="159">
        <v>43</v>
      </c>
      <c r="B2111" s="160">
        <v>6</v>
      </c>
      <c r="C2111" s="160">
        <v>11700</v>
      </c>
      <c r="D2111" s="160" t="s">
        <v>4833</v>
      </c>
      <c r="E2111" s="160">
        <v>655</v>
      </c>
      <c r="F2111" s="160" t="s">
        <v>74</v>
      </c>
      <c r="G2111" s="148">
        <v>32</v>
      </c>
      <c r="H2111" s="152">
        <f>IF(C2111=11700,ROUND(VLOOKUP(G2111,ThongSo!$F$2:$I$15,4,0)*B2111*11.7,3),0)</f>
        <v>442.96199999999999</v>
      </c>
      <c r="I2111" s="152">
        <f>IF(F2111="Sắt vụn",ROUND(VLOOKUP(G2111,ThongSo!$F$2:$I$15,4,0)*B2111*E2111/1000,3),"-")</f>
        <v>24.797999999999998</v>
      </c>
      <c r="L2111" s="150"/>
      <c r="M2111" s="150"/>
      <c r="N2111" s="150"/>
    </row>
    <row r="2112" spans="1:14" x14ac:dyDescent="0.25">
      <c r="A2112" s="159">
        <v>44</v>
      </c>
      <c r="B2112" s="160">
        <v>10</v>
      </c>
      <c r="C2112" s="160">
        <v>11700</v>
      </c>
      <c r="D2112" s="160" t="s">
        <v>4834</v>
      </c>
      <c r="E2112" s="160">
        <v>700</v>
      </c>
      <c r="F2112" s="160" t="s">
        <v>74</v>
      </c>
      <c r="G2112" s="148">
        <v>32</v>
      </c>
      <c r="H2112" s="152">
        <f>IF(C2112=11700,ROUND(VLOOKUP(G2112,ThongSo!$F$2:$I$15,4,0)*B2112*11.7,3),0)</f>
        <v>738.27</v>
      </c>
      <c r="I2112" s="152">
        <f>IF(F2112="Sắt vụn",ROUND(VLOOKUP(G2112,ThongSo!$F$2:$I$15,4,0)*B2112*E2112/1000,3),"-")</f>
        <v>44.17</v>
      </c>
      <c r="L2112" s="150"/>
      <c r="M2112" s="150"/>
      <c r="N2112" s="150"/>
    </row>
    <row r="2113" spans="1:14" x14ac:dyDescent="0.25">
      <c r="A2113" s="159">
        <v>45</v>
      </c>
      <c r="B2113" s="160">
        <v>3</v>
      </c>
      <c r="C2113" s="160">
        <v>11700</v>
      </c>
      <c r="D2113" s="160" t="s">
        <v>4835</v>
      </c>
      <c r="E2113" s="160">
        <v>700</v>
      </c>
      <c r="F2113" s="160" t="s">
        <v>74</v>
      </c>
      <c r="G2113" s="148">
        <v>32</v>
      </c>
      <c r="H2113" s="152">
        <f>IF(C2113=11700,ROUND(VLOOKUP(G2113,ThongSo!$F$2:$I$15,4,0)*B2113*11.7,3),0)</f>
        <v>221.48099999999999</v>
      </c>
      <c r="I2113" s="152">
        <f>IF(F2113="Sắt vụn",ROUND(VLOOKUP(G2113,ThongSo!$F$2:$I$15,4,0)*B2113*E2113/1000,3),"-")</f>
        <v>13.250999999999999</v>
      </c>
      <c r="L2113" s="150"/>
      <c r="M2113" s="150"/>
      <c r="N2113" s="150"/>
    </row>
    <row r="2114" spans="1:14" x14ac:dyDescent="0.25">
      <c r="A2114" s="159">
        <v>46</v>
      </c>
      <c r="B2114" s="160">
        <v>4</v>
      </c>
      <c r="C2114" s="160">
        <v>11700</v>
      </c>
      <c r="D2114" s="160" t="s">
        <v>4836</v>
      </c>
      <c r="E2114" s="160">
        <v>700</v>
      </c>
      <c r="F2114" s="160" t="s">
        <v>74</v>
      </c>
      <c r="G2114" s="148">
        <v>32</v>
      </c>
      <c r="H2114" s="152">
        <f>IF(C2114=11700,ROUND(VLOOKUP(G2114,ThongSo!$F$2:$I$15,4,0)*B2114*11.7,3),0)</f>
        <v>295.30799999999999</v>
      </c>
      <c r="I2114" s="152">
        <f>IF(F2114="Sắt vụn",ROUND(VLOOKUP(G2114,ThongSo!$F$2:$I$15,4,0)*B2114*E2114/1000,3),"-")</f>
        <v>17.667999999999999</v>
      </c>
      <c r="L2114" s="150"/>
      <c r="M2114" s="150"/>
      <c r="N2114" s="150"/>
    </row>
    <row r="2115" spans="1:14" x14ac:dyDescent="0.25">
      <c r="A2115" s="159">
        <v>47</v>
      </c>
      <c r="B2115" s="160">
        <v>4</v>
      </c>
      <c r="C2115" s="160">
        <v>11700</v>
      </c>
      <c r="D2115" s="160" t="s">
        <v>4837</v>
      </c>
      <c r="E2115" s="160">
        <v>730</v>
      </c>
      <c r="F2115" s="160" t="s">
        <v>74</v>
      </c>
      <c r="G2115" s="148">
        <v>32</v>
      </c>
      <c r="H2115" s="152">
        <f>IF(C2115=11700,ROUND(VLOOKUP(G2115,ThongSo!$F$2:$I$15,4,0)*B2115*11.7,3),0)</f>
        <v>295.30799999999999</v>
      </c>
      <c r="I2115" s="152">
        <f>IF(F2115="Sắt vụn",ROUND(VLOOKUP(G2115,ThongSo!$F$2:$I$15,4,0)*B2115*E2115/1000,3),"-")</f>
        <v>18.425000000000001</v>
      </c>
      <c r="L2115" s="150"/>
      <c r="M2115" s="150"/>
      <c r="N2115" s="150"/>
    </row>
    <row r="2116" spans="1:14" x14ac:dyDescent="0.25">
      <c r="A2116" s="159">
        <v>48</v>
      </c>
      <c r="B2116" s="160">
        <v>4</v>
      </c>
      <c r="C2116" s="160">
        <v>11700</v>
      </c>
      <c r="D2116" s="160" t="s">
        <v>4838</v>
      </c>
      <c r="E2116" s="160">
        <v>750</v>
      </c>
      <c r="F2116" s="160" t="s">
        <v>74</v>
      </c>
      <c r="G2116" s="148">
        <v>32</v>
      </c>
      <c r="H2116" s="152">
        <f>IF(C2116=11700,ROUND(VLOOKUP(G2116,ThongSo!$F$2:$I$15,4,0)*B2116*11.7,3),0)</f>
        <v>295.30799999999999</v>
      </c>
      <c r="I2116" s="152">
        <f>IF(F2116="Sắt vụn",ROUND(VLOOKUP(G2116,ThongSo!$F$2:$I$15,4,0)*B2116*E2116/1000,3),"-")</f>
        <v>18.93</v>
      </c>
      <c r="L2116" s="150"/>
      <c r="M2116" s="150"/>
      <c r="N2116" s="150"/>
    </row>
    <row r="2117" spans="1:14" x14ac:dyDescent="0.25">
      <c r="A2117" s="159">
        <v>49</v>
      </c>
      <c r="B2117" s="160">
        <v>3</v>
      </c>
      <c r="C2117" s="160">
        <v>11700</v>
      </c>
      <c r="D2117" s="160" t="s">
        <v>4839</v>
      </c>
      <c r="E2117" s="160">
        <v>760</v>
      </c>
      <c r="F2117" s="160" t="s">
        <v>74</v>
      </c>
      <c r="G2117" s="148">
        <v>32</v>
      </c>
      <c r="H2117" s="152">
        <f>IF(C2117=11700,ROUND(VLOOKUP(G2117,ThongSo!$F$2:$I$15,4,0)*B2117*11.7,3),0)</f>
        <v>221.48099999999999</v>
      </c>
      <c r="I2117" s="152">
        <f>IF(F2117="Sắt vụn",ROUND(VLOOKUP(G2117,ThongSo!$F$2:$I$15,4,0)*B2117*E2117/1000,3),"-")</f>
        <v>14.387</v>
      </c>
      <c r="L2117" s="150"/>
      <c r="M2117" s="150"/>
      <c r="N2117" s="150"/>
    </row>
    <row r="2118" spans="1:14" x14ac:dyDescent="0.25">
      <c r="A2118" s="159">
        <v>50</v>
      </c>
      <c r="B2118" s="160">
        <v>6</v>
      </c>
      <c r="C2118" s="160">
        <v>11700</v>
      </c>
      <c r="D2118" s="160" t="s">
        <v>4840</v>
      </c>
      <c r="E2118" s="160">
        <v>895</v>
      </c>
      <c r="F2118" s="160" t="s">
        <v>74</v>
      </c>
      <c r="G2118" s="148">
        <v>32</v>
      </c>
      <c r="H2118" s="152">
        <f>IF(C2118=11700,ROUND(VLOOKUP(G2118,ThongSo!$F$2:$I$15,4,0)*B2118*11.7,3),0)</f>
        <v>442.96199999999999</v>
      </c>
      <c r="I2118" s="152">
        <f>IF(F2118="Sắt vụn",ROUND(VLOOKUP(G2118,ThongSo!$F$2:$I$15,4,0)*B2118*E2118/1000,3),"-")</f>
        <v>33.884999999999998</v>
      </c>
      <c r="L2118" s="150"/>
      <c r="M2118" s="150"/>
      <c r="N2118" s="150"/>
    </row>
    <row r="2119" spans="1:14" x14ac:dyDescent="0.25">
      <c r="A2119" s="159">
        <v>51</v>
      </c>
      <c r="B2119" s="160">
        <v>1</v>
      </c>
      <c r="C2119" s="160">
        <v>11700</v>
      </c>
      <c r="D2119" s="160" t="s">
        <v>4841</v>
      </c>
      <c r="E2119" s="160">
        <v>895</v>
      </c>
      <c r="F2119" s="160" t="s">
        <v>74</v>
      </c>
      <c r="G2119" s="148">
        <v>32</v>
      </c>
      <c r="H2119" s="152">
        <f>IF(C2119=11700,ROUND(VLOOKUP(G2119,ThongSo!$F$2:$I$15,4,0)*B2119*11.7,3),0)</f>
        <v>73.826999999999998</v>
      </c>
      <c r="I2119" s="152">
        <f>IF(F2119="Sắt vụn",ROUND(VLOOKUP(G2119,ThongSo!$F$2:$I$15,4,0)*B2119*E2119/1000,3),"-")</f>
        <v>5.6470000000000002</v>
      </c>
      <c r="L2119" s="150"/>
      <c r="M2119" s="150"/>
      <c r="N2119" s="150"/>
    </row>
    <row r="2120" spans="1:14" x14ac:dyDescent="0.25">
      <c r="A2120" s="159">
        <v>52</v>
      </c>
      <c r="B2120" s="160">
        <v>6</v>
      </c>
      <c r="C2120" s="160">
        <v>11700</v>
      </c>
      <c r="D2120" s="160" t="s">
        <v>4842</v>
      </c>
      <c r="E2120" s="160">
        <v>895</v>
      </c>
      <c r="F2120" s="160" t="s">
        <v>74</v>
      </c>
      <c r="G2120" s="148">
        <v>32</v>
      </c>
      <c r="H2120" s="152">
        <f>IF(C2120=11700,ROUND(VLOOKUP(G2120,ThongSo!$F$2:$I$15,4,0)*B2120*11.7,3),0)</f>
        <v>442.96199999999999</v>
      </c>
      <c r="I2120" s="152">
        <f>IF(F2120="Sắt vụn",ROUND(VLOOKUP(G2120,ThongSo!$F$2:$I$15,4,0)*B2120*E2120/1000,3),"-")</f>
        <v>33.884999999999998</v>
      </c>
      <c r="L2120" s="150"/>
      <c r="M2120" s="150"/>
      <c r="N2120" s="150"/>
    </row>
    <row r="2121" spans="1:14" x14ac:dyDescent="0.25">
      <c r="A2121" s="159">
        <v>53</v>
      </c>
      <c r="B2121" s="160">
        <v>14</v>
      </c>
      <c r="C2121" s="160">
        <v>11700</v>
      </c>
      <c r="D2121" s="160" t="s">
        <v>4843</v>
      </c>
      <c r="E2121" s="160">
        <v>1495</v>
      </c>
      <c r="F2121" s="160" t="s">
        <v>74</v>
      </c>
      <c r="G2121" s="148">
        <v>32</v>
      </c>
      <c r="H2121" s="152">
        <f>IF(C2121=11700,ROUND(VLOOKUP(G2121,ThongSo!$F$2:$I$15,4,0)*B2121*11.7,3),0)</f>
        <v>1033.578</v>
      </c>
      <c r="I2121" s="152">
        <f>IF(F2121="Sắt vụn",ROUND(VLOOKUP(G2121,ThongSo!$F$2:$I$15,4,0)*B2121*E2121/1000,3),"-")</f>
        <v>132.06800000000001</v>
      </c>
      <c r="L2121" s="150"/>
      <c r="M2121" s="150"/>
      <c r="N2121" s="150"/>
    </row>
    <row r="2122" spans="1:14" x14ac:dyDescent="0.25">
      <c r="A2122" s="159">
        <v>54</v>
      </c>
      <c r="B2122" s="160">
        <v>6</v>
      </c>
      <c r="C2122" s="160">
        <v>11700</v>
      </c>
      <c r="D2122" s="160" t="s">
        <v>4844</v>
      </c>
      <c r="E2122" s="160">
        <v>1700</v>
      </c>
      <c r="F2122" s="160" t="s">
        <v>75</v>
      </c>
      <c r="G2122" s="148">
        <v>32</v>
      </c>
      <c r="H2122" s="152">
        <f>IF(C2122=11700,ROUND(VLOOKUP(G2122,ThongSo!$F$2:$I$15,4,0)*B2122*11.7,3),0)</f>
        <v>442.96199999999999</v>
      </c>
      <c r="I2122" s="152" t="str">
        <f>IF(F2122="Sắt vụn",ROUND(VLOOKUP(G2122,ThongSo!$F$2:$I$15,4,0)*B2122*E2122/1000,3),"-")</f>
        <v>-</v>
      </c>
      <c r="L2122" s="150"/>
      <c r="M2122" s="150"/>
      <c r="N2122" s="150"/>
    </row>
    <row r="2123" spans="1:14" x14ac:dyDescent="0.25">
      <c r="A2123" s="159">
        <v>55</v>
      </c>
      <c r="B2123" s="160">
        <v>7</v>
      </c>
      <c r="C2123" s="160">
        <v>11700</v>
      </c>
      <c r="D2123" s="160" t="s">
        <v>4845</v>
      </c>
      <c r="E2123" s="160">
        <v>1700</v>
      </c>
      <c r="F2123" s="160" t="s">
        <v>75</v>
      </c>
      <c r="G2123" s="148">
        <v>32</v>
      </c>
      <c r="H2123" s="152">
        <f>IF(C2123=11700,ROUND(VLOOKUP(G2123,ThongSo!$F$2:$I$15,4,0)*B2123*11.7,3),0)</f>
        <v>516.78899999999999</v>
      </c>
      <c r="I2123" s="152" t="str">
        <f>IF(F2123="Sắt vụn",ROUND(VLOOKUP(G2123,ThongSo!$F$2:$I$15,4,0)*B2123*E2123/1000,3),"-")</f>
        <v>-</v>
      </c>
      <c r="L2123" s="150"/>
      <c r="M2123" s="150"/>
      <c r="N2123" s="150"/>
    </row>
    <row r="2124" spans="1:14" x14ac:dyDescent="0.25">
      <c r="A2124" s="159">
        <v>56</v>
      </c>
      <c r="B2124" s="160">
        <v>7</v>
      </c>
      <c r="C2124" s="160">
        <v>11700</v>
      </c>
      <c r="D2124" s="160" t="s">
        <v>4846</v>
      </c>
      <c r="E2124" s="160">
        <v>1700</v>
      </c>
      <c r="F2124" s="160" t="s">
        <v>75</v>
      </c>
      <c r="G2124" s="148">
        <v>32</v>
      </c>
      <c r="H2124" s="152">
        <f>IF(C2124=11700,ROUND(VLOOKUP(G2124,ThongSo!$F$2:$I$15,4,0)*B2124*11.7,3),0)</f>
        <v>516.78899999999999</v>
      </c>
      <c r="I2124" s="152" t="str">
        <f>IF(F2124="Sắt vụn",ROUND(VLOOKUP(G2124,ThongSo!$F$2:$I$15,4,0)*B2124*E2124/1000,3),"-")</f>
        <v>-</v>
      </c>
      <c r="L2124" s="150"/>
      <c r="M2124" s="150"/>
      <c r="N2124" s="150"/>
    </row>
    <row r="2125" spans="1:14" x14ac:dyDescent="0.25">
      <c r="A2125" s="159">
        <v>57</v>
      </c>
      <c r="B2125" s="160">
        <v>2</v>
      </c>
      <c r="C2125" s="160">
        <v>11700</v>
      </c>
      <c r="D2125" s="160" t="s">
        <v>4847</v>
      </c>
      <c r="E2125" s="160">
        <v>1700</v>
      </c>
      <c r="F2125" s="160" t="s">
        <v>75</v>
      </c>
      <c r="G2125" s="148">
        <v>32</v>
      </c>
      <c r="H2125" s="152">
        <f>IF(C2125=11700,ROUND(VLOOKUP(G2125,ThongSo!$F$2:$I$15,4,0)*B2125*11.7,3),0)</f>
        <v>147.654</v>
      </c>
      <c r="I2125" s="152" t="str">
        <f>IF(F2125="Sắt vụn",ROUND(VLOOKUP(G2125,ThongSo!$F$2:$I$15,4,0)*B2125*E2125/1000,3),"-")</f>
        <v>-</v>
      </c>
      <c r="L2125" s="150"/>
      <c r="M2125" s="150"/>
      <c r="N2125" s="150"/>
    </row>
    <row r="2126" spans="1:14" x14ac:dyDescent="0.25">
      <c r="A2126" s="159">
        <v>58</v>
      </c>
      <c r="B2126" s="160">
        <v>3</v>
      </c>
      <c r="C2126" s="160">
        <v>11700</v>
      </c>
      <c r="D2126" s="160" t="s">
        <v>4848</v>
      </c>
      <c r="E2126" s="160">
        <v>2640</v>
      </c>
      <c r="F2126" s="160" t="s">
        <v>75</v>
      </c>
      <c r="G2126" s="148">
        <v>32</v>
      </c>
      <c r="H2126" s="152">
        <f>IF(C2126=11700,ROUND(VLOOKUP(G2126,ThongSo!$F$2:$I$15,4,0)*B2126*11.7,3),0)</f>
        <v>221.48099999999999</v>
      </c>
      <c r="I2126" s="152" t="str">
        <f>IF(F2126="Sắt vụn",ROUND(VLOOKUP(G2126,ThongSo!$F$2:$I$15,4,0)*B2126*E2126/1000,3),"-")</f>
        <v>-</v>
      </c>
      <c r="L2126" s="150"/>
      <c r="M2126" s="150"/>
      <c r="N2126" s="150"/>
    </row>
    <row r="2127" spans="1:14" x14ac:dyDescent="0.25">
      <c r="A2127" s="159">
        <v>59</v>
      </c>
      <c r="B2127" s="160">
        <v>3</v>
      </c>
      <c r="C2127" s="160">
        <v>11700</v>
      </c>
      <c r="D2127" s="160" t="s">
        <v>4849</v>
      </c>
      <c r="E2127" s="160">
        <v>2700</v>
      </c>
      <c r="F2127" s="160" t="s">
        <v>75</v>
      </c>
      <c r="G2127" s="148">
        <v>32</v>
      </c>
      <c r="H2127" s="152">
        <f>IF(C2127=11700,ROUND(VLOOKUP(G2127,ThongSo!$F$2:$I$15,4,0)*B2127*11.7,3),0)</f>
        <v>221.48099999999999</v>
      </c>
      <c r="I2127" s="152" t="str">
        <f>IF(F2127="Sắt vụn",ROUND(VLOOKUP(G2127,ThongSo!$F$2:$I$15,4,0)*B2127*E2127/1000,3),"-")</f>
        <v>-</v>
      </c>
      <c r="L2127" s="150"/>
      <c r="M2127" s="150"/>
      <c r="N2127" s="150"/>
    </row>
    <row r="2128" spans="1:14" x14ac:dyDescent="0.25">
      <c r="A2128" s="159">
        <v>60</v>
      </c>
      <c r="B2128" s="160">
        <v>4</v>
      </c>
      <c r="C2128" s="160">
        <v>11700</v>
      </c>
      <c r="D2128" s="160" t="s">
        <v>4850</v>
      </c>
      <c r="E2128" s="160">
        <v>2760</v>
      </c>
      <c r="F2128" s="160" t="s">
        <v>75</v>
      </c>
      <c r="G2128" s="148">
        <v>32</v>
      </c>
      <c r="H2128" s="152">
        <f>IF(C2128=11700,ROUND(VLOOKUP(G2128,ThongSo!$F$2:$I$15,4,0)*B2128*11.7,3),0)</f>
        <v>295.30799999999999</v>
      </c>
      <c r="I2128" s="152" t="str">
        <f>IF(F2128="Sắt vụn",ROUND(VLOOKUP(G2128,ThongSo!$F$2:$I$15,4,0)*B2128*E2128/1000,3),"-")</f>
        <v>-</v>
      </c>
      <c r="L2128" s="150"/>
      <c r="M2128" s="150"/>
      <c r="N2128" s="150"/>
    </row>
    <row r="2129" spans="1:14" x14ac:dyDescent="0.25">
      <c r="A2129" s="159">
        <v>61</v>
      </c>
      <c r="B2129" s="160">
        <v>13</v>
      </c>
      <c r="C2129" s="160">
        <v>11700</v>
      </c>
      <c r="D2129" s="160" t="s">
        <v>4851</v>
      </c>
      <c r="E2129" s="160">
        <v>2850</v>
      </c>
      <c r="F2129" s="160" t="s">
        <v>75</v>
      </c>
      <c r="G2129" s="148">
        <v>32</v>
      </c>
      <c r="H2129" s="152">
        <f>IF(C2129=11700,ROUND(VLOOKUP(G2129,ThongSo!$F$2:$I$15,4,0)*B2129*11.7,3),0)</f>
        <v>959.75099999999998</v>
      </c>
      <c r="I2129" s="152" t="str">
        <f>IF(F2129="Sắt vụn",ROUND(VLOOKUP(G2129,ThongSo!$F$2:$I$15,4,0)*B2129*E2129/1000,3),"-")</f>
        <v>-</v>
      </c>
      <c r="L2129" s="150"/>
      <c r="M2129" s="150"/>
      <c r="N2129" s="150"/>
    </row>
    <row r="2130" spans="1:14" x14ac:dyDescent="0.25">
      <c r="A2130" s="159">
        <v>62</v>
      </c>
      <c r="B2130" s="160">
        <v>1</v>
      </c>
      <c r="C2130" s="160">
        <v>11700</v>
      </c>
      <c r="D2130" s="160" t="s">
        <v>4852</v>
      </c>
      <c r="E2130" s="160">
        <v>2880</v>
      </c>
      <c r="F2130" s="160" t="s">
        <v>75</v>
      </c>
      <c r="G2130" s="148">
        <v>32</v>
      </c>
      <c r="H2130" s="152">
        <f>IF(C2130=11700,ROUND(VLOOKUP(G2130,ThongSo!$F$2:$I$15,4,0)*B2130*11.7,3),0)</f>
        <v>73.826999999999998</v>
      </c>
      <c r="I2130" s="152" t="str">
        <f>IF(F2130="Sắt vụn",ROUND(VLOOKUP(G2130,ThongSo!$F$2:$I$15,4,0)*B2130*E2130/1000,3),"-")</f>
        <v>-</v>
      </c>
      <c r="L2130" s="150"/>
      <c r="M2130" s="150"/>
      <c r="N2130" s="150"/>
    </row>
    <row r="2131" spans="1:14" x14ac:dyDescent="0.25">
      <c r="A2131" s="159">
        <v>63</v>
      </c>
      <c r="B2131" s="160">
        <v>6</v>
      </c>
      <c r="C2131" s="160">
        <v>11700</v>
      </c>
      <c r="D2131" s="160" t="s">
        <v>4853</v>
      </c>
      <c r="E2131" s="160">
        <v>2900</v>
      </c>
      <c r="F2131" s="160" t="s">
        <v>75</v>
      </c>
      <c r="G2131" s="148">
        <v>32</v>
      </c>
      <c r="H2131" s="152">
        <f>IF(C2131=11700,ROUND(VLOOKUP(G2131,ThongSo!$F$2:$I$15,4,0)*B2131*11.7,3),0)</f>
        <v>442.96199999999999</v>
      </c>
      <c r="I2131" s="152" t="str">
        <f>IF(F2131="Sắt vụn",ROUND(VLOOKUP(G2131,ThongSo!$F$2:$I$15,4,0)*B2131*E2131/1000,3),"-")</f>
        <v>-</v>
      </c>
      <c r="L2131" s="150"/>
      <c r="M2131" s="150"/>
      <c r="N2131" s="150"/>
    </row>
    <row r="2132" spans="1:14" x14ac:dyDescent="0.25">
      <c r="A2132" s="159">
        <v>64</v>
      </c>
      <c r="B2132" s="160">
        <v>1</v>
      </c>
      <c r="C2132" s="160">
        <v>11700</v>
      </c>
      <c r="D2132" s="160" t="s">
        <v>4854</v>
      </c>
      <c r="E2132" s="160">
        <v>2965</v>
      </c>
      <c r="F2132" s="160" t="s">
        <v>75</v>
      </c>
      <c r="G2132" s="148">
        <v>32</v>
      </c>
      <c r="H2132" s="152">
        <f>IF(C2132=11700,ROUND(VLOOKUP(G2132,ThongSo!$F$2:$I$15,4,0)*B2132*11.7,3),0)</f>
        <v>73.826999999999998</v>
      </c>
      <c r="I2132" s="152" t="str">
        <f>IF(F2132="Sắt vụn",ROUND(VLOOKUP(G2132,ThongSo!$F$2:$I$15,4,0)*B2132*E2132/1000,3),"-")</f>
        <v>-</v>
      </c>
      <c r="L2132" s="150"/>
      <c r="M2132" s="150"/>
      <c r="N2132" s="150"/>
    </row>
    <row r="2133" spans="1:14" x14ac:dyDescent="0.25">
      <c r="A2133" s="159">
        <v>65</v>
      </c>
      <c r="B2133" s="160">
        <v>1</v>
      </c>
      <c r="C2133" s="160">
        <v>11700</v>
      </c>
      <c r="D2133" s="160" t="s">
        <v>4855</v>
      </c>
      <c r="E2133" s="160">
        <v>3050</v>
      </c>
      <c r="F2133" s="160" t="s">
        <v>75</v>
      </c>
      <c r="G2133" s="148">
        <v>32</v>
      </c>
      <c r="H2133" s="152">
        <f>IF(C2133=11700,ROUND(VLOOKUP(G2133,ThongSo!$F$2:$I$15,4,0)*B2133*11.7,3),0)</f>
        <v>73.826999999999998</v>
      </c>
      <c r="I2133" s="152" t="str">
        <f>IF(F2133="Sắt vụn",ROUND(VLOOKUP(G2133,ThongSo!$F$2:$I$15,4,0)*B2133*E2133/1000,3),"-")</f>
        <v>-</v>
      </c>
      <c r="L2133" s="150"/>
      <c r="M2133" s="150"/>
      <c r="N2133" s="150"/>
    </row>
    <row r="2134" spans="1:14" x14ac:dyDescent="0.25">
      <c r="A2134" s="159">
        <v>66</v>
      </c>
      <c r="B2134" s="160">
        <v>7</v>
      </c>
      <c r="C2134" s="160">
        <v>11700</v>
      </c>
      <c r="D2134" s="160" t="s">
        <v>4856</v>
      </c>
      <c r="E2134" s="160">
        <v>3050</v>
      </c>
      <c r="F2134" s="160" t="s">
        <v>75</v>
      </c>
      <c r="G2134" s="148">
        <v>32</v>
      </c>
      <c r="H2134" s="152">
        <f>IF(C2134=11700,ROUND(VLOOKUP(G2134,ThongSo!$F$2:$I$15,4,0)*B2134*11.7,3),0)</f>
        <v>516.78899999999999</v>
      </c>
      <c r="I2134" s="152" t="str">
        <f>IF(F2134="Sắt vụn",ROUND(VLOOKUP(G2134,ThongSo!$F$2:$I$15,4,0)*B2134*E2134/1000,3),"-")</f>
        <v>-</v>
      </c>
      <c r="L2134" s="150"/>
      <c r="M2134" s="150"/>
      <c r="N2134" s="150"/>
    </row>
    <row r="2135" spans="1:14" x14ac:dyDescent="0.25">
      <c r="A2135" s="159">
        <v>67</v>
      </c>
      <c r="B2135" s="160">
        <v>10</v>
      </c>
      <c r="C2135" s="160">
        <v>11700</v>
      </c>
      <c r="D2135" s="160" t="s">
        <v>4857</v>
      </c>
      <c r="E2135" s="160">
        <v>3110</v>
      </c>
      <c r="F2135" s="160" t="s">
        <v>75</v>
      </c>
      <c r="G2135" s="148">
        <v>32</v>
      </c>
      <c r="H2135" s="152">
        <f>IF(C2135=11700,ROUND(VLOOKUP(G2135,ThongSo!$F$2:$I$15,4,0)*B2135*11.7,3),0)</f>
        <v>738.27</v>
      </c>
      <c r="I2135" s="152" t="str">
        <f>IF(F2135="Sắt vụn",ROUND(VLOOKUP(G2135,ThongSo!$F$2:$I$15,4,0)*B2135*E2135/1000,3),"-")</f>
        <v>-</v>
      </c>
      <c r="L2135" s="150"/>
      <c r="M2135" s="150"/>
      <c r="N2135" s="150"/>
    </row>
    <row r="2136" spans="1:14" x14ac:dyDescent="0.25">
      <c r="A2136" s="159">
        <v>68</v>
      </c>
      <c r="B2136" s="160">
        <v>12</v>
      </c>
      <c r="C2136" s="160">
        <v>11700</v>
      </c>
      <c r="D2136" s="160" t="s">
        <v>4858</v>
      </c>
      <c r="E2136" s="160">
        <v>3295</v>
      </c>
      <c r="F2136" s="160" t="s">
        <v>75</v>
      </c>
      <c r="G2136" s="148">
        <v>32</v>
      </c>
      <c r="H2136" s="152">
        <f>IF(C2136=11700,ROUND(VLOOKUP(G2136,ThongSo!$F$2:$I$15,4,0)*B2136*11.7,3),0)</f>
        <v>885.92399999999998</v>
      </c>
      <c r="I2136" s="152" t="str">
        <f>IF(F2136="Sắt vụn",ROUND(VLOOKUP(G2136,ThongSo!$F$2:$I$15,4,0)*B2136*E2136/1000,3),"-")</f>
        <v>-</v>
      </c>
      <c r="L2136" s="150"/>
      <c r="M2136" s="150"/>
      <c r="N2136" s="150"/>
    </row>
    <row r="2137" spans="1:14" x14ac:dyDescent="0.25">
      <c r="A2137" s="159">
        <v>69</v>
      </c>
      <c r="B2137" s="160">
        <v>6</v>
      </c>
      <c r="C2137" s="160">
        <v>11700</v>
      </c>
      <c r="D2137" s="160" t="s">
        <v>4859</v>
      </c>
      <c r="E2137" s="160">
        <v>3540</v>
      </c>
      <c r="F2137" s="160" t="s">
        <v>75</v>
      </c>
      <c r="G2137" s="148">
        <v>32</v>
      </c>
      <c r="H2137" s="152">
        <f>IF(C2137=11700,ROUND(VLOOKUP(G2137,ThongSo!$F$2:$I$15,4,0)*B2137*11.7,3),0)</f>
        <v>442.96199999999999</v>
      </c>
      <c r="I2137" s="152" t="str">
        <f>IF(F2137="Sắt vụn",ROUND(VLOOKUP(G2137,ThongSo!$F$2:$I$15,4,0)*B2137*E2137/1000,3),"-")</f>
        <v>-</v>
      </c>
      <c r="L2137" s="150"/>
      <c r="M2137" s="150"/>
      <c r="N2137" s="150"/>
    </row>
    <row r="2138" spans="1:14" x14ac:dyDescent="0.25">
      <c r="A2138" s="159">
        <v>70</v>
      </c>
      <c r="B2138" s="160">
        <v>6</v>
      </c>
      <c r="C2138" s="160">
        <v>11700</v>
      </c>
      <c r="D2138" s="160" t="s">
        <v>4860</v>
      </c>
      <c r="E2138" s="160">
        <v>3700</v>
      </c>
      <c r="F2138" s="160" t="s">
        <v>75</v>
      </c>
      <c r="G2138" s="148">
        <v>32</v>
      </c>
      <c r="H2138" s="152">
        <f>IF(C2138=11700,ROUND(VLOOKUP(G2138,ThongSo!$F$2:$I$15,4,0)*B2138*11.7,3),0)</f>
        <v>442.96199999999999</v>
      </c>
      <c r="I2138" s="152" t="str">
        <f>IF(F2138="Sắt vụn",ROUND(VLOOKUP(G2138,ThongSo!$F$2:$I$15,4,0)*B2138*E2138/1000,3),"-")</f>
        <v>-</v>
      </c>
      <c r="L2138" s="150"/>
      <c r="M2138" s="150"/>
      <c r="N2138" s="150"/>
    </row>
    <row r="2139" spans="1:14" x14ac:dyDescent="0.25">
      <c r="A2139" s="159">
        <v>71</v>
      </c>
      <c r="B2139" s="160">
        <v>7</v>
      </c>
      <c r="C2139" s="160">
        <v>11700</v>
      </c>
      <c r="D2139" s="160" t="s">
        <v>4861</v>
      </c>
      <c r="E2139" s="160">
        <v>3840</v>
      </c>
      <c r="F2139" s="160" t="s">
        <v>75</v>
      </c>
      <c r="G2139" s="148">
        <v>32</v>
      </c>
      <c r="H2139" s="152">
        <f>IF(C2139=11700,ROUND(VLOOKUP(G2139,ThongSo!$F$2:$I$15,4,0)*B2139*11.7,3),0)</f>
        <v>516.78899999999999</v>
      </c>
      <c r="I2139" s="152" t="str">
        <f>IF(F2139="Sắt vụn",ROUND(VLOOKUP(G2139,ThongSo!$F$2:$I$15,4,0)*B2139*E2139/1000,3),"-")</f>
        <v>-</v>
      </c>
      <c r="L2139" s="150"/>
      <c r="M2139" s="150"/>
      <c r="N2139" s="150"/>
    </row>
    <row r="2140" spans="1:14" x14ac:dyDescent="0.25">
      <c r="A2140" s="159">
        <v>72</v>
      </c>
      <c r="B2140" s="160">
        <v>4</v>
      </c>
      <c r="C2140" s="160">
        <v>11700</v>
      </c>
      <c r="D2140" s="160" t="s">
        <v>4862</v>
      </c>
      <c r="E2140" s="160">
        <v>3900</v>
      </c>
      <c r="F2140" s="160" t="s">
        <v>75</v>
      </c>
      <c r="G2140" s="148">
        <v>32</v>
      </c>
      <c r="H2140" s="152">
        <f>IF(C2140=11700,ROUND(VLOOKUP(G2140,ThongSo!$F$2:$I$15,4,0)*B2140*11.7,3),0)</f>
        <v>295.30799999999999</v>
      </c>
      <c r="I2140" s="152" t="str">
        <f>IF(F2140="Sắt vụn",ROUND(VLOOKUP(G2140,ThongSo!$F$2:$I$15,4,0)*B2140*E2140/1000,3),"-")</f>
        <v>-</v>
      </c>
      <c r="L2140" s="150"/>
      <c r="M2140" s="150"/>
      <c r="N2140" s="150"/>
    </row>
    <row r="2141" spans="1:14" x14ac:dyDescent="0.25">
      <c r="A2141" s="159">
        <v>73</v>
      </c>
      <c r="B2141" s="160">
        <v>6</v>
      </c>
      <c r="C2141" s="160">
        <v>11700</v>
      </c>
      <c r="D2141" s="160" t="s">
        <v>4863</v>
      </c>
      <c r="E2141" s="160">
        <v>3900</v>
      </c>
      <c r="F2141" s="160" t="s">
        <v>75</v>
      </c>
      <c r="G2141" s="148">
        <v>32</v>
      </c>
      <c r="H2141" s="152">
        <f>IF(C2141=11700,ROUND(VLOOKUP(G2141,ThongSo!$F$2:$I$15,4,0)*B2141*11.7,3),0)</f>
        <v>442.96199999999999</v>
      </c>
      <c r="I2141" s="152" t="str">
        <f>IF(F2141="Sắt vụn",ROUND(VLOOKUP(G2141,ThongSo!$F$2:$I$15,4,0)*B2141*E2141/1000,3),"-")</f>
        <v>-</v>
      </c>
      <c r="L2141" s="150"/>
      <c r="M2141" s="150"/>
      <c r="N2141" s="150"/>
    </row>
    <row r="2142" spans="1:14" x14ac:dyDescent="0.25">
      <c r="A2142" s="159">
        <v>74</v>
      </c>
      <c r="B2142" s="160">
        <v>6</v>
      </c>
      <c r="C2142" s="160">
        <v>11700</v>
      </c>
      <c r="D2142" s="160" t="s">
        <v>4864</v>
      </c>
      <c r="E2142" s="160">
        <v>3950</v>
      </c>
      <c r="F2142" s="160" t="s">
        <v>75</v>
      </c>
      <c r="G2142" s="148">
        <v>32</v>
      </c>
      <c r="H2142" s="152">
        <f>IF(C2142=11700,ROUND(VLOOKUP(G2142,ThongSo!$F$2:$I$15,4,0)*B2142*11.7,3),0)</f>
        <v>442.96199999999999</v>
      </c>
      <c r="I2142" s="152" t="str">
        <f>IF(F2142="Sắt vụn",ROUND(VLOOKUP(G2142,ThongSo!$F$2:$I$15,4,0)*B2142*E2142/1000,3),"-")</f>
        <v>-</v>
      </c>
      <c r="L2142" s="150"/>
      <c r="M2142" s="150"/>
      <c r="N2142" s="150"/>
    </row>
    <row r="2143" spans="1:14" x14ac:dyDescent="0.25">
      <c r="A2143" s="159">
        <v>75</v>
      </c>
      <c r="B2143" s="160">
        <v>7</v>
      </c>
      <c r="C2143" s="160">
        <v>11700</v>
      </c>
      <c r="D2143" s="160" t="s">
        <v>4865</v>
      </c>
      <c r="E2143" s="160">
        <v>3980</v>
      </c>
      <c r="F2143" s="160" t="s">
        <v>75</v>
      </c>
      <c r="G2143" s="148">
        <v>32</v>
      </c>
      <c r="H2143" s="152">
        <f>IF(C2143=11700,ROUND(VLOOKUP(G2143,ThongSo!$F$2:$I$15,4,0)*B2143*11.7,3),0)</f>
        <v>516.78899999999999</v>
      </c>
      <c r="I2143" s="152" t="str">
        <f>IF(F2143="Sắt vụn",ROUND(VLOOKUP(G2143,ThongSo!$F$2:$I$15,4,0)*B2143*E2143/1000,3),"-")</f>
        <v>-</v>
      </c>
      <c r="L2143" s="150"/>
      <c r="M2143" s="150"/>
      <c r="N2143" s="150"/>
    </row>
    <row r="2144" spans="1:14" x14ac:dyDescent="0.25">
      <c r="A2144" s="159">
        <v>76</v>
      </c>
      <c r="B2144" s="160">
        <v>12</v>
      </c>
      <c r="C2144" s="160">
        <v>11700</v>
      </c>
      <c r="D2144" s="160" t="s">
        <v>4866</v>
      </c>
      <c r="E2144" s="160">
        <v>4050</v>
      </c>
      <c r="F2144" s="160" t="s">
        <v>75</v>
      </c>
      <c r="G2144" s="148">
        <v>32</v>
      </c>
      <c r="H2144" s="152">
        <f>IF(C2144=11700,ROUND(VLOOKUP(G2144,ThongSo!$F$2:$I$15,4,0)*B2144*11.7,3),0)</f>
        <v>885.92399999999998</v>
      </c>
      <c r="I2144" s="152" t="str">
        <f>IF(F2144="Sắt vụn",ROUND(VLOOKUP(G2144,ThongSo!$F$2:$I$15,4,0)*B2144*E2144/1000,3),"-")</f>
        <v>-</v>
      </c>
      <c r="L2144" s="150"/>
      <c r="M2144" s="150"/>
      <c r="N2144" s="150"/>
    </row>
    <row r="2145" spans="1:14" x14ac:dyDescent="0.25">
      <c r="A2145" s="159">
        <v>77</v>
      </c>
      <c r="B2145" s="160">
        <v>2</v>
      </c>
      <c r="C2145" s="160">
        <v>11700</v>
      </c>
      <c r="D2145" s="160" t="s">
        <v>4867</v>
      </c>
      <c r="E2145" s="160">
        <v>4120</v>
      </c>
      <c r="F2145" s="160" t="s">
        <v>75</v>
      </c>
      <c r="G2145" s="148">
        <v>32</v>
      </c>
      <c r="H2145" s="152">
        <f>IF(C2145=11700,ROUND(VLOOKUP(G2145,ThongSo!$F$2:$I$15,4,0)*B2145*11.7,3),0)</f>
        <v>147.654</v>
      </c>
      <c r="I2145" s="152" t="str">
        <f>IF(F2145="Sắt vụn",ROUND(VLOOKUP(G2145,ThongSo!$F$2:$I$15,4,0)*B2145*E2145/1000,3),"-")</f>
        <v>-</v>
      </c>
      <c r="L2145" s="150"/>
      <c r="M2145" s="150"/>
      <c r="N2145" s="150"/>
    </row>
    <row r="2146" spans="1:14" x14ac:dyDescent="0.25">
      <c r="A2146" s="157" t="s">
        <v>79</v>
      </c>
      <c r="B2146" s="158"/>
      <c r="C2146" s="158"/>
      <c r="D2146" s="158"/>
      <c r="E2146" s="158"/>
      <c r="F2146" s="158"/>
      <c r="G2146" s="148"/>
      <c r="H2146" s="152">
        <f>IF(C2146=11700,ROUND(VLOOKUP(G2146,ThongSo!$F$2:$I$15,4,0)*B2146*11.7,3),0)</f>
        <v>0</v>
      </c>
      <c r="I2146" s="152" t="str">
        <f>IF(F2146="Sắt vụn",ROUND(VLOOKUP(G2146,ThongSo!$F$2:$I$15,4,0)*B2146*E2146/1000,3),"-")</f>
        <v>-</v>
      </c>
      <c r="L2146" s="150"/>
      <c r="M2146" s="150"/>
      <c r="N2146" s="150"/>
    </row>
    <row r="2147" spans="1:14" x14ac:dyDescent="0.25">
      <c r="A2147" s="159">
        <v>78</v>
      </c>
      <c r="B2147" s="160">
        <v>265</v>
      </c>
      <c r="C2147" s="160">
        <v>11700</v>
      </c>
      <c r="D2147" s="160" t="s">
        <v>4868</v>
      </c>
      <c r="E2147" s="160">
        <v>540</v>
      </c>
      <c r="F2147" s="160" t="s">
        <v>74</v>
      </c>
      <c r="G2147" s="148">
        <v>20</v>
      </c>
      <c r="H2147" s="152">
        <f>IF(C2147=11700,ROUND(VLOOKUP(G2147,ThongSo!$F$2:$I$15,4,0)*B2147*11.7,3),0)</f>
        <v>7658.2349999999997</v>
      </c>
      <c r="I2147" s="152">
        <f>IF(F2147="Sắt vụn",ROUND(VLOOKUP(G2147,ThongSo!$F$2:$I$15,4,0)*B2147*E2147/1000,3),"-")</f>
        <v>353.45699999999999</v>
      </c>
      <c r="L2147" s="150"/>
      <c r="M2147" s="150"/>
      <c r="N2147" s="150"/>
    </row>
    <row r="2148" spans="1:14" x14ac:dyDescent="0.25">
      <c r="A2148" s="159">
        <v>79</v>
      </c>
      <c r="B2148" s="160">
        <v>2</v>
      </c>
      <c r="C2148" s="160">
        <v>11700</v>
      </c>
      <c r="D2148" s="160" t="s">
        <v>4869</v>
      </c>
      <c r="E2148" s="160">
        <v>1040</v>
      </c>
      <c r="F2148" s="160" t="s">
        <v>75</v>
      </c>
      <c r="G2148" s="148">
        <v>20</v>
      </c>
      <c r="H2148" s="152">
        <f>IF(C2148=11700,ROUND(VLOOKUP(G2148,ThongSo!$F$2:$I$15,4,0)*B2148*11.7,3),0)</f>
        <v>57.798000000000002</v>
      </c>
      <c r="I2148" s="152" t="str">
        <f>IF(F2148="Sắt vụn",ROUND(VLOOKUP(G2148,ThongSo!$F$2:$I$15,4,0)*B2148*E2148/1000,3),"-")</f>
        <v>-</v>
      </c>
      <c r="L2148" s="150"/>
      <c r="M2148" s="150"/>
      <c r="N2148" s="150"/>
    </row>
    <row r="2149" spans="1:14" x14ac:dyDescent="0.25">
      <c r="A2149" s="159">
        <v>80</v>
      </c>
      <c r="B2149" s="160">
        <v>59</v>
      </c>
      <c r="C2149" s="160">
        <v>11700</v>
      </c>
      <c r="D2149" s="160" t="s">
        <v>4870</v>
      </c>
      <c r="E2149" s="160">
        <v>1920</v>
      </c>
      <c r="F2149" s="160" t="s">
        <v>75</v>
      </c>
      <c r="G2149" s="148">
        <v>20</v>
      </c>
      <c r="H2149" s="152">
        <f>IF(C2149=11700,ROUND(VLOOKUP(G2149,ThongSo!$F$2:$I$15,4,0)*B2149*11.7,3),0)</f>
        <v>1705.0409999999999</v>
      </c>
      <c r="I2149" s="152" t="str">
        <f>IF(F2149="Sắt vụn",ROUND(VLOOKUP(G2149,ThongSo!$F$2:$I$15,4,0)*B2149*E2149/1000,3),"-")</f>
        <v>-</v>
      </c>
      <c r="L2149" s="150"/>
      <c r="M2149" s="150"/>
      <c r="N2149" s="150"/>
    </row>
    <row r="2150" spans="1:14" x14ac:dyDescent="0.25">
      <c r="A2150" s="159">
        <v>81</v>
      </c>
      <c r="B2150" s="160">
        <v>116</v>
      </c>
      <c r="C2150" s="160">
        <v>11700</v>
      </c>
      <c r="D2150" s="160" t="s">
        <v>4871</v>
      </c>
      <c r="E2150" s="160">
        <v>3830</v>
      </c>
      <c r="F2150" s="160" t="s">
        <v>75</v>
      </c>
      <c r="G2150" s="148">
        <v>20</v>
      </c>
      <c r="H2150" s="152">
        <f>IF(C2150=11700,ROUND(VLOOKUP(G2150,ThongSo!$F$2:$I$15,4,0)*B2150*11.7,3),0)</f>
        <v>3352.2840000000001</v>
      </c>
      <c r="I2150" s="152" t="str">
        <f>IF(F2150="Sắt vụn",ROUND(VLOOKUP(G2150,ThongSo!$F$2:$I$15,4,0)*B2150*E2150/1000,3),"-")</f>
        <v>-</v>
      </c>
      <c r="L2150" s="150"/>
      <c r="M2150" s="150"/>
      <c r="N2150" s="150"/>
    </row>
    <row r="2151" spans="1:14" x14ac:dyDescent="0.25">
      <c r="A2151" s="157" t="s">
        <v>80</v>
      </c>
      <c r="B2151" s="158"/>
      <c r="C2151" s="158"/>
      <c r="D2151" s="158"/>
      <c r="E2151" s="158"/>
      <c r="F2151" s="158"/>
      <c r="G2151" s="148"/>
      <c r="H2151" s="152">
        <f>IF(C2151=11700,ROUND(VLOOKUP(G2151,ThongSo!$F$2:$I$15,4,0)*B2151*11.7,3),0)</f>
        <v>0</v>
      </c>
      <c r="I2151" s="152" t="str">
        <f>IF(F2151="Sắt vụn",ROUND(VLOOKUP(G2151,ThongSo!$F$2:$I$15,4,0)*B2151*E2151/1000,3),"-")</f>
        <v>-</v>
      </c>
      <c r="L2151" s="150"/>
      <c r="M2151" s="150"/>
      <c r="N2151" s="150"/>
    </row>
    <row r="2152" spans="1:14" x14ac:dyDescent="0.25">
      <c r="A2152" s="159" t="s">
        <v>73</v>
      </c>
      <c r="B2152" s="160">
        <v>18</v>
      </c>
      <c r="C2152" s="160">
        <v>11700</v>
      </c>
      <c r="D2152" s="160"/>
      <c r="E2152" s="160"/>
      <c r="F2152" s="160"/>
      <c r="G2152" s="148">
        <v>18</v>
      </c>
      <c r="H2152" s="152">
        <f>IF(C2152=11700,ROUND(VLOOKUP(G2152,ThongSo!$F$2:$I$15,4,0)*B2152*11.7,3),0)</f>
        <v>421.2</v>
      </c>
      <c r="I2152" s="152" t="str">
        <f>IF(F2152="Sắt vụn",ROUND(VLOOKUP(G2152,ThongSo!$F$2:$I$15,4,0)*B2152*E2152/1000,3),"-")</f>
        <v>-</v>
      </c>
      <c r="L2152" s="150"/>
      <c r="M2152" s="150"/>
      <c r="N2152" s="150"/>
    </row>
    <row r="2153" spans="1:14" x14ac:dyDescent="0.25">
      <c r="A2153" s="159" t="s">
        <v>327</v>
      </c>
      <c r="B2153" s="160">
        <v>3</v>
      </c>
      <c r="C2153" s="160">
        <v>3240</v>
      </c>
      <c r="D2153" s="160" t="s">
        <v>4872</v>
      </c>
      <c r="E2153" s="160">
        <v>350</v>
      </c>
      <c r="F2153" s="160" t="s">
        <v>74</v>
      </c>
      <c r="G2153" s="148">
        <v>18</v>
      </c>
      <c r="H2153" s="152">
        <f>IF(C2153=11700,ROUND(VLOOKUP(G2153,ThongSo!$F$2:$I$15,4,0)*B2153*11.7,3),0)</f>
        <v>0</v>
      </c>
      <c r="I2153" s="152">
        <f>IF(F2153="Sắt vụn",ROUND(VLOOKUP(G2153,ThongSo!$F$2:$I$15,4,0)*B2153*E2153/1000,3),"-")</f>
        <v>2.1</v>
      </c>
      <c r="L2153" s="150"/>
      <c r="M2153" s="150"/>
      <c r="N2153" s="150"/>
    </row>
    <row r="2154" spans="1:14" x14ac:dyDescent="0.25">
      <c r="A2154" s="159" t="s">
        <v>4800</v>
      </c>
      <c r="B2154" s="160">
        <v>1</v>
      </c>
      <c r="C2154" s="160">
        <v>6230</v>
      </c>
      <c r="D2154" s="160" t="s">
        <v>4873</v>
      </c>
      <c r="E2154" s="160">
        <v>1260</v>
      </c>
      <c r="F2154" s="160" t="s">
        <v>75</v>
      </c>
      <c r="G2154" s="148">
        <v>18</v>
      </c>
      <c r="H2154" s="152">
        <f>IF(C2154=11700,ROUND(VLOOKUP(G2154,ThongSo!$F$2:$I$15,4,0)*B2154*11.7,3),0)</f>
        <v>0</v>
      </c>
      <c r="I2154" s="152" t="str">
        <f>IF(F2154="Sắt vụn",ROUND(VLOOKUP(G2154,ThongSo!$F$2:$I$15,4,0)*B2154*E2154/1000,3),"-")</f>
        <v>-</v>
      </c>
      <c r="L2154" s="150"/>
      <c r="M2154" s="150"/>
      <c r="N2154" s="150"/>
    </row>
    <row r="2155" spans="1:14" x14ac:dyDescent="0.25">
      <c r="A2155" s="159">
        <v>85</v>
      </c>
      <c r="B2155" s="160">
        <v>2</v>
      </c>
      <c r="C2155" s="160">
        <v>11700</v>
      </c>
      <c r="D2155" s="160" t="s">
        <v>4874</v>
      </c>
      <c r="E2155" s="160">
        <v>0</v>
      </c>
      <c r="F2155" s="160"/>
      <c r="G2155" s="148">
        <v>18</v>
      </c>
      <c r="H2155" s="152">
        <f>IF(C2155=11700,ROUND(VLOOKUP(G2155,ThongSo!$F$2:$I$15,4,0)*B2155*11.7,3),0)</f>
        <v>46.8</v>
      </c>
      <c r="I2155" s="152" t="str">
        <f>IF(F2155="Sắt vụn",ROUND(VLOOKUP(G2155,ThongSo!$F$2:$I$15,4,0)*B2155*E2155/1000,3),"-")</f>
        <v>-</v>
      </c>
      <c r="L2155" s="150"/>
      <c r="M2155" s="150"/>
      <c r="N2155" s="150"/>
    </row>
    <row r="2156" spans="1:14" x14ac:dyDescent="0.25">
      <c r="A2156" s="159">
        <v>86</v>
      </c>
      <c r="B2156" s="160">
        <v>12</v>
      </c>
      <c r="C2156" s="160">
        <v>11700</v>
      </c>
      <c r="D2156" s="160" t="s">
        <v>4875</v>
      </c>
      <c r="E2156" s="160">
        <v>40</v>
      </c>
      <c r="F2156" s="160" t="s">
        <v>74</v>
      </c>
      <c r="G2156" s="148">
        <v>18</v>
      </c>
      <c r="H2156" s="152">
        <f>IF(C2156=11700,ROUND(VLOOKUP(G2156,ThongSo!$F$2:$I$15,4,0)*B2156*11.7,3),0)</f>
        <v>280.8</v>
      </c>
      <c r="I2156" s="152">
        <f>IF(F2156="Sắt vụn",ROUND(VLOOKUP(G2156,ThongSo!$F$2:$I$15,4,0)*B2156*E2156/1000,3),"-")</f>
        <v>0.96</v>
      </c>
      <c r="L2156" s="150"/>
      <c r="M2156" s="150"/>
      <c r="N2156" s="150"/>
    </row>
    <row r="2157" spans="1:14" x14ac:dyDescent="0.25">
      <c r="A2157" s="159">
        <v>87</v>
      </c>
      <c r="B2157" s="160">
        <v>20</v>
      </c>
      <c r="C2157" s="160">
        <v>11700</v>
      </c>
      <c r="D2157" s="160" t="s">
        <v>4876</v>
      </c>
      <c r="E2157" s="160">
        <v>1440</v>
      </c>
      <c r="F2157" s="160" t="s">
        <v>75</v>
      </c>
      <c r="G2157" s="148">
        <v>18</v>
      </c>
      <c r="H2157" s="152">
        <f>IF(C2157=11700,ROUND(VLOOKUP(G2157,ThongSo!$F$2:$I$15,4,0)*B2157*11.7,3),0)</f>
        <v>468</v>
      </c>
      <c r="I2157" s="152" t="str">
        <f>IF(F2157="Sắt vụn",ROUND(VLOOKUP(G2157,ThongSo!$F$2:$I$15,4,0)*B2157*E2157/1000,3),"-")</f>
        <v>-</v>
      </c>
      <c r="L2157" s="150"/>
      <c r="M2157" s="150"/>
      <c r="N2157" s="150"/>
    </row>
    <row r="2158" spans="1:14" x14ac:dyDescent="0.25">
      <c r="A2158" s="159">
        <v>88</v>
      </c>
      <c r="B2158" s="160">
        <v>3</v>
      </c>
      <c r="C2158" s="160">
        <v>11700</v>
      </c>
      <c r="D2158" s="160" t="s">
        <v>4877</v>
      </c>
      <c r="E2158" s="160">
        <v>2890</v>
      </c>
      <c r="F2158" s="160" t="s">
        <v>75</v>
      </c>
      <c r="G2158" s="148">
        <v>18</v>
      </c>
      <c r="H2158" s="152">
        <f>IF(C2158=11700,ROUND(VLOOKUP(G2158,ThongSo!$F$2:$I$15,4,0)*B2158*11.7,3),0)</f>
        <v>70.2</v>
      </c>
      <c r="I2158" s="152" t="str">
        <f>IF(F2158="Sắt vụn",ROUND(VLOOKUP(G2158,ThongSo!$F$2:$I$15,4,0)*B2158*E2158/1000,3),"-")</f>
        <v>-</v>
      </c>
      <c r="L2158" s="150"/>
      <c r="M2158" s="150"/>
      <c r="N2158" s="150"/>
    </row>
    <row r="2159" spans="1:14" x14ac:dyDescent="0.25">
      <c r="A2159" s="159">
        <v>89</v>
      </c>
      <c r="B2159" s="160">
        <v>1</v>
      </c>
      <c r="C2159" s="160">
        <v>11700</v>
      </c>
      <c r="D2159" s="160" t="s">
        <v>4878</v>
      </c>
      <c r="E2159" s="160">
        <v>4970</v>
      </c>
      <c r="F2159" s="160" t="s">
        <v>75</v>
      </c>
      <c r="G2159" s="148">
        <v>18</v>
      </c>
      <c r="H2159" s="152">
        <f>IF(C2159=11700,ROUND(VLOOKUP(G2159,ThongSo!$F$2:$I$15,4,0)*B2159*11.7,3),0)</f>
        <v>23.4</v>
      </c>
      <c r="I2159" s="152" t="str">
        <f>IF(F2159="Sắt vụn",ROUND(VLOOKUP(G2159,ThongSo!$F$2:$I$15,4,0)*B2159*E2159/1000,3),"-")</f>
        <v>-</v>
      </c>
      <c r="L2159" s="150"/>
      <c r="M2159" s="150"/>
      <c r="N2159" s="150"/>
    </row>
    <row r="2160" spans="1:14" x14ac:dyDescent="0.25">
      <c r="A2160" s="157" t="s">
        <v>82</v>
      </c>
      <c r="B2160" s="158"/>
      <c r="C2160" s="158"/>
      <c r="D2160" s="158"/>
      <c r="E2160" s="158"/>
      <c r="F2160" s="158"/>
      <c r="G2160" s="148"/>
      <c r="H2160" s="152">
        <f>IF(C2160=11700,ROUND(VLOOKUP(G2160,ThongSo!$F$2:$I$15,4,0)*B2160*11.7,3),0)</f>
        <v>0</v>
      </c>
      <c r="I2160" s="152" t="str">
        <f>IF(F2160="Sắt vụn",ROUND(VLOOKUP(G2160,ThongSo!$F$2:$I$15,4,0)*B2160*E2160/1000,3),"-")</f>
        <v>-</v>
      </c>
      <c r="L2160" s="150"/>
      <c r="M2160" s="150"/>
      <c r="N2160" s="150"/>
    </row>
    <row r="2161" spans="1:14" x14ac:dyDescent="0.25">
      <c r="A2161" s="159" t="s">
        <v>73</v>
      </c>
      <c r="B2161" s="160">
        <v>84</v>
      </c>
      <c r="C2161" s="160">
        <v>11700</v>
      </c>
      <c r="D2161" s="160"/>
      <c r="E2161" s="160"/>
      <c r="F2161" s="160"/>
      <c r="G2161" s="148">
        <v>14</v>
      </c>
      <c r="H2161" s="152">
        <f>IF(C2161=11700,ROUND(VLOOKUP(G2161,ThongSo!$F$2:$I$15,4,0)*B2161*11.7,3),0)</f>
        <v>1189.1880000000001</v>
      </c>
      <c r="I2161" s="152" t="str">
        <f>IF(F2161="Sắt vụn",ROUND(VLOOKUP(G2161,ThongSo!$F$2:$I$15,4,0)*B2161*E2161/1000,3),"-")</f>
        <v>-</v>
      </c>
      <c r="L2161" s="150"/>
      <c r="M2161" s="150"/>
      <c r="N2161" s="150"/>
    </row>
    <row r="2162" spans="1:14" x14ac:dyDescent="0.25">
      <c r="A2162" s="159" t="s">
        <v>172</v>
      </c>
      <c r="B2162" s="160">
        <v>11</v>
      </c>
      <c r="C2162" s="160">
        <v>3800</v>
      </c>
      <c r="D2162" s="160" t="s">
        <v>4879</v>
      </c>
      <c r="E2162" s="160">
        <v>430</v>
      </c>
      <c r="F2162" s="160" t="s">
        <v>74</v>
      </c>
      <c r="G2162" s="148">
        <v>14</v>
      </c>
      <c r="H2162" s="152">
        <f>IF(C2162=11700,ROUND(VLOOKUP(G2162,ThongSo!$F$2:$I$15,4,0)*B2162*11.7,3),0)</f>
        <v>0</v>
      </c>
      <c r="I2162" s="152">
        <f>IF(F2162="Sắt vụn",ROUND(VLOOKUP(G2162,ThongSo!$F$2:$I$15,4,0)*B2162*E2162/1000,3),"-")</f>
        <v>5.7229999999999999</v>
      </c>
      <c r="L2162" s="150"/>
      <c r="M2162" s="150"/>
      <c r="N2162" s="150"/>
    </row>
    <row r="2163" spans="1:14" x14ac:dyDescent="0.25">
      <c r="A2163" s="159" t="s">
        <v>228</v>
      </c>
      <c r="B2163" s="160">
        <v>66</v>
      </c>
      <c r="C2163" s="160">
        <v>3830</v>
      </c>
      <c r="D2163" s="160" t="s">
        <v>4879</v>
      </c>
      <c r="E2163" s="160">
        <v>460</v>
      </c>
      <c r="F2163" s="160" t="s">
        <v>74</v>
      </c>
      <c r="G2163" s="148">
        <v>14</v>
      </c>
      <c r="H2163" s="152">
        <f>IF(C2163=11700,ROUND(VLOOKUP(G2163,ThongSo!$F$2:$I$15,4,0)*B2163*11.7,3),0)</f>
        <v>0</v>
      </c>
      <c r="I2163" s="152">
        <f>IF(F2163="Sắt vụn",ROUND(VLOOKUP(G2163,ThongSo!$F$2:$I$15,4,0)*B2163*E2163/1000,3),"-")</f>
        <v>36.735999999999997</v>
      </c>
      <c r="L2163" s="150"/>
      <c r="M2163" s="150"/>
      <c r="N2163" s="150"/>
    </row>
    <row r="2164" spans="1:14" x14ac:dyDescent="0.25">
      <c r="A2164" s="159">
        <v>93</v>
      </c>
      <c r="B2164" s="160">
        <v>12</v>
      </c>
      <c r="C2164" s="160">
        <v>11700</v>
      </c>
      <c r="D2164" s="160" t="s">
        <v>4880</v>
      </c>
      <c r="E2164" s="160">
        <v>0</v>
      </c>
      <c r="F2164" s="160"/>
      <c r="G2164" s="148">
        <v>14</v>
      </c>
      <c r="H2164" s="152">
        <f>IF(C2164=11700,ROUND(VLOOKUP(G2164,ThongSo!$F$2:$I$15,4,0)*B2164*11.7,3),0)</f>
        <v>169.88399999999999</v>
      </c>
      <c r="I2164" s="152" t="str">
        <f>IF(F2164="Sắt vụn",ROUND(VLOOKUP(G2164,ThongSo!$F$2:$I$15,4,0)*B2164*E2164/1000,3),"-")</f>
        <v>-</v>
      </c>
      <c r="L2164" s="150"/>
      <c r="M2164" s="150"/>
      <c r="N2164" s="150"/>
    </row>
    <row r="2165" spans="1:14" x14ac:dyDescent="0.25">
      <c r="A2165" s="159">
        <v>94</v>
      </c>
      <c r="B2165" s="160">
        <v>12</v>
      </c>
      <c r="C2165" s="160">
        <v>11700</v>
      </c>
      <c r="D2165" s="160" t="s">
        <v>4881</v>
      </c>
      <c r="E2165" s="160">
        <v>0</v>
      </c>
      <c r="F2165" s="160"/>
      <c r="G2165" s="148">
        <v>14</v>
      </c>
      <c r="H2165" s="152">
        <f>IF(C2165=11700,ROUND(VLOOKUP(G2165,ThongSo!$F$2:$I$15,4,0)*B2165*11.7,3),0)</f>
        <v>169.88399999999999</v>
      </c>
      <c r="I2165" s="152" t="str">
        <f>IF(F2165="Sắt vụn",ROUND(VLOOKUP(G2165,ThongSo!$F$2:$I$15,4,0)*B2165*E2165/1000,3),"-")</f>
        <v>-</v>
      </c>
      <c r="L2165" s="150"/>
      <c r="M2165" s="150"/>
      <c r="N2165" s="150"/>
    </row>
    <row r="2166" spans="1:14" x14ac:dyDescent="0.25">
      <c r="A2166" s="159">
        <v>95</v>
      </c>
      <c r="B2166" s="160">
        <v>68</v>
      </c>
      <c r="C2166" s="160">
        <v>11700</v>
      </c>
      <c r="D2166" s="160" t="s">
        <v>4882</v>
      </c>
      <c r="E2166" s="160">
        <v>10</v>
      </c>
      <c r="F2166" s="160" t="s">
        <v>74</v>
      </c>
      <c r="G2166" s="148">
        <v>14</v>
      </c>
      <c r="H2166" s="152">
        <f>IF(C2166=11700,ROUND(VLOOKUP(G2166,ThongSo!$F$2:$I$15,4,0)*B2166*11.7,3),0)</f>
        <v>962.67600000000004</v>
      </c>
      <c r="I2166" s="152">
        <f>IF(F2166="Sắt vụn",ROUND(VLOOKUP(G2166,ThongSo!$F$2:$I$15,4,0)*B2166*E2166/1000,3),"-")</f>
        <v>0.82299999999999995</v>
      </c>
      <c r="L2166" s="150"/>
      <c r="M2166" s="150"/>
      <c r="N2166" s="150"/>
    </row>
    <row r="2167" spans="1:14" x14ac:dyDescent="0.25">
      <c r="A2167" s="159">
        <v>96</v>
      </c>
      <c r="B2167" s="160">
        <v>30</v>
      </c>
      <c r="C2167" s="160">
        <v>11700</v>
      </c>
      <c r="D2167" s="160" t="s">
        <v>4883</v>
      </c>
      <c r="E2167" s="160">
        <v>40</v>
      </c>
      <c r="F2167" s="160" t="s">
        <v>74</v>
      </c>
      <c r="G2167" s="148">
        <v>14</v>
      </c>
      <c r="H2167" s="152">
        <f>IF(C2167=11700,ROUND(VLOOKUP(G2167,ThongSo!$F$2:$I$15,4,0)*B2167*11.7,3),0)</f>
        <v>424.71</v>
      </c>
      <c r="I2167" s="152">
        <f>IF(F2167="Sắt vụn",ROUND(VLOOKUP(G2167,ThongSo!$F$2:$I$15,4,0)*B2167*E2167/1000,3),"-")</f>
        <v>1.452</v>
      </c>
      <c r="L2167" s="150"/>
      <c r="M2167" s="150"/>
      <c r="N2167" s="150"/>
    </row>
    <row r="2168" spans="1:14" x14ac:dyDescent="0.25">
      <c r="A2168" s="159">
        <v>97</v>
      </c>
      <c r="B2168" s="160">
        <v>70</v>
      </c>
      <c r="C2168" s="160">
        <v>11700</v>
      </c>
      <c r="D2168" s="160" t="s">
        <v>4884</v>
      </c>
      <c r="E2168" s="160">
        <v>50</v>
      </c>
      <c r="F2168" s="160" t="s">
        <v>74</v>
      </c>
      <c r="G2168" s="148">
        <v>14</v>
      </c>
      <c r="H2168" s="152">
        <f>IF(C2168=11700,ROUND(VLOOKUP(G2168,ThongSo!$F$2:$I$15,4,0)*B2168*11.7,3),0)</f>
        <v>990.99</v>
      </c>
      <c r="I2168" s="152">
        <f>IF(F2168="Sắt vụn",ROUND(VLOOKUP(G2168,ThongSo!$F$2:$I$15,4,0)*B2168*E2168/1000,3),"-")</f>
        <v>4.2350000000000003</v>
      </c>
      <c r="L2168" s="150"/>
      <c r="M2168" s="150"/>
      <c r="N2168" s="150"/>
    </row>
    <row r="2169" spans="1:14" x14ac:dyDescent="0.25">
      <c r="A2169" s="159">
        <v>98</v>
      </c>
      <c r="B2169" s="160">
        <v>122</v>
      </c>
      <c r="C2169" s="160">
        <v>11700</v>
      </c>
      <c r="D2169" s="160" t="s">
        <v>4885</v>
      </c>
      <c r="E2169" s="160">
        <v>50</v>
      </c>
      <c r="F2169" s="160" t="s">
        <v>74</v>
      </c>
      <c r="G2169" s="148">
        <v>14</v>
      </c>
      <c r="H2169" s="152">
        <f>IF(C2169=11700,ROUND(VLOOKUP(G2169,ThongSo!$F$2:$I$15,4,0)*B2169*11.7,3),0)</f>
        <v>1727.154</v>
      </c>
      <c r="I2169" s="152">
        <f>IF(F2169="Sắt vụn",ROUND(VLOOKUP(G2169,ThongSo!$F$2:$I$15,4,0)*B2169*E2169/1000,3),"-")</f>
        <v>7.3810000000000002</v>
      </c>
      <c r="L2169" s="150"/>
      <c r="M2169" s="150"/>
      <c r="N2169" s="150"/>
    </row>
    <row r="2170" spans="1:14" x14ac:dyDescent="0.25">
      <c r="A2170" s="159">
        <v>99</v>
      </c>
      <c r="B2170" s="160">
        <v>56</v>
      </c>
      <c r="C2170" s="160">
        <v>11700</v>
      </c>
      <c r="D2170" s="160" t="s">
        <v>4886</v>
      </c>
      <c r="E2170" s="160">
        <v>60</v>
      </c>
      <c r="F2170" s="160" t="s">
        <v>74</v>
      </c>
      <c r="G2170" s="148">
        <v>14</v>
      </c>
      <c r="H2170" s="152">
        <f>IF(C2170=11700,ROUND(VLOOKUP(G2170,ThongSo!$F$2:$I$15,4,0)*B2170*11.7,3),0)</f>
        <v>792.79200000000003</v>
      </c>
      <c r="I2170" s="152">
        <f>IF(F2170="Sắt vụn",ROUND(VLOOKUP(G2170,ThongSo!$F$2:$I$15,4,0)*B2170*E2170/1000,3),"-")</f>
        <v>4.0659999999999998</v>
      </c>
      <c r="L2170" s="150"/>
      <c r="M2170" s="150"/>
      <c r="N2170" s="150"/>
    </row>
    <row r="2171" spans="1:14" x14ac:dyDescent="0.25">
      <c r="A2171" s="159">
        <v>100</v>
      </c>
      <c r="B2171" s="160">
        <v>44</v>
      </c>
      <c r="C2171" s="160">
        <v>11700</v>
      </c>
      <c r="D2171" s="160" t="s">
        <v>4887</v>
      </c>
      <c r="E2171" s="160">
        <v>90</v>
      </c>
      <c r="F2171" s="160" t="s">
        <v>74</v>
      </c>
      <c r="G2171" s="148">
        <v>14</v>
      </c>
      <c r="H2171" s="152">
        <f>IF(C2171=11700,ROUND(VLOOKUP(G2171,ThongSo!$F$2:$I$15,4,0)*B2171*11.7,3),0)</f>
        <v>622.90800000000002</v>
      </c>
      <c r="I2171" s="152">
        <f>IF(F2171="Sắt vụn",ROUND(VLOOKUP(G2171,ThongSo!$F$2:$I$15,4,0)*B2171*E2171/1000,3),"-")</f>
        <v>4.7919999999999998</v>
      </c>
      <c r="L2171" s="150"/>
      <c r="M2171" s="150"/>
      <c r="N2171" s="150"/>
    </row>
    <row r="2172" spans="1:14" x14ac:dyDescent="0.25">
      <c r="A2172" s="159">
        <v>101</v>
      </c>
      <c r="B2172" s="160">
        <v>87</v>
      </c>
      <c r="C2172" s="160">
        <v>11700</v>
      </c>
      <c r="D2172" s="160" t="s">
        <v>4888</v>
      </c>
      <c r="E2172" s="160">
        <v>120</v>
      </c>
      <c r="F2172" s="160" t="s">
        <v>74</v>
      </c>
      <c r="G2172" s="148">
        <v>14</v>
      </c>
      <c r="H2172" s="152">
        <f>IF(C2172=11700,ROUND(VLOOKUP(G2172,ThongSo!$F$2:$I$15,4,0)*B2172*11.7,3),0)</f>
        <v>1231.6590000000001</v>
      </c>
      <c r="I2172" s="152">
        <f>IF(F2172="Sắt vụn",ROUND(VLOOKUP(G2172,ThongSo!$F$2:$I$15,4,0)*B2172*E2172/1000,3),"-")</f>
        <v>12.632</v>
      </c>
      <c r="L2172" s="150"/>
      <c r="M2172" s="150"/>
      <c r="N2172" s="150"/>
    </row>
    <row r="2173" spans="1:14" x14ac:dyDescent="0.25">
      <c r="A2173" s="159">
        <v>102</v>
      </c>
      <c r="B2173" s="160">
        <v>1</v>
      </c>
      <c r="C2173" s="160">
        <v>11700</v>
      </c>
      <c r="D2173" s="160" t="s">
        <v>4889</v>
      </c>
      <c r="E2173" s="160">
        <v>150</v>
      </c>
      <c r="F2173" s="160" t="s">
        <v>74</v>
      </c>
      <c r="G2173" s="148">
        <v>14</v>
      </c>
      <c r="H2173" s="152">
        <f>IF(C2173=11700,ROUND(VLOOKUP(G2173,ThongSo!$F$2:$I$15,4,0)*B2173*11.7,3),0)</f>
        <v>14.157</v>
      </c>
      <c r="I2173" s="152">
        <f>IF(F2173="Sắt vụn",ROUND(VLOOKUP(G2173,ThongSo!$F$2:$I$15,4,0)*B2173*E2173/1000,3),"-")</f>
        <v>0.182</v>
      </c>
      <c r="L2173" s="150"/>
      <c r="M2173" s="150"/>
      <c r="N2173" s="150"/>
    </row>
    <row r="2174" spans="1:14" x14ac:dyDescent="0.25">
      <c r="A2174" s="159">
        <v>103</v>
      </c>
      <c r="B2174" s="160">
        <v>2</v>
      </c>
      <c r="C2174" s="160">
        <v>11700</v>
      </c>
      <c r="D2174" s="160" t="s">
        <v>4890</v>
      </c>
      <c r="E2174" s="160">
        <v>150</v>
      </c>
      <c r="F2174" s="160" t="s">
        <v>74</v>
      </c>
      <c r="G2174" s="148">
        <v>14</v>
      </c>
      <c r="H2174" s="152">
        <f>IF(C2174=11700,ROUND(VLOOKUP(G2174,ThongSo!$F$2:$I$15,4,0)*B2174*11.7,3),0)</f>
        <v>28.314</v>
      </c>
      <c r="I2174" s="152">
        <f>IF(F2174="Sắt vụn",ROUND(VLOOKUP(G2174,ThongSo!$F$2:$I$15,4,0)*B2174*E2174/1000,3),"-")</f>
        <v>0.36299999999999999</v>
      </c>
      <c r="L2174" s="150"/>
      <c r="M2174" s="150"/>
      <c r="N2174" s="150"/>
    </row>
    <row r="2175" spans="1:14" x14ac:dyDescent="0.25">
      <c r="A2175" s="159">
        <v>104</v>
      </c>
      <c r="B2175" s="160">
        <v>5</v>
      </c>
      <c r="C2175" s="160">
        <v>11700</v>
      </c>
      <c r="D2175" s="160" t="s">
        <v>4891</v>
      </c>
      <c r="E2175" s="160">
        <v>350</v>
      </c>
      <c r="F2175" s="160" t="s">
        <v>74</v>
      </c>
      <c r="G2175" s="148">
        <v>14</v>
      </c>
      <c r="H2175" s="152">
        <f>IF(C2175=11700,ROUND(VLOOKUP(G2175,ThongSo!$F$2:$I$15,4,0)*B2175*11.7,3),0)</f>
        <v>70.784999999999997</v>
      </c>
      <c r="I2175" s="152">
        <f>IF(F2175="Sắt vụn",ROUND(VLOOKUP(G2175,ThongSo!$F$2:$I$15,4,0)*B2175*E2175/1000,3),"-")</f>
        <v>2.1179999999999999</v>
      </c>
      <c r="L2175" s="150"/>
      <c r="M2175" s="150"/>
      <c r="N2175" s="150"/>
    </row>
    <row r="2176" spans="1:14" x14ac:dyDescent="0.25">
      <c r="A2176" s="159">
        <v>105</v>
      </c>
      <c r="B2176" s="160">
        <v>1</v>
      </c>
      <c r="C2176" s="160">
        <v>11700</v>
      </c>
      <c r="D2176" s="160" t="s">
        <v>4892</v>
      </c>
      <c r="E2176" s="160">
        <v>390</v>
      </c>
      <c r="F2176" s="160" t="s">
        <v>74</v>
      </c>
      <c r="G2176" s="148">
        <v>14</v>
      </c>
      <c r="H2176" s="152">
        <f>IF(C2176=11700,ROUND(VLOOKUP(G2176,ThongSo!$F$2:$I$15,4,0)*B2176*11.7,3),0)</f>
        <v>14.157</v>
      </c>
      <c r="I2176" s="152">
        <f>IF(F2176="Sắt vụn",ROUND(VLOOKUP(G2176,ThongSo!$F$2:$I$15,4,0)*B2176*E2176/1000,3),"-")</f>
        <v>0.47199999999999998</v>
      </c>
      <c r="L2176" s="150"/>
      <c r="M2176" s="150"/>
      <c r="N2176" s="150"/>
    </row>
    <row r="2177" spans="1:14" x14ac:dyDescent="0.25">
      <c r="A2177" s="159">
        <v>106</v>
      </c>
      <c r="B2177" s="160">
        <v>1</v>
      </c>
      <c r="C2177" s="160">
        <v>11700</v>
      </c>
      <c r="D2177" s="160" t="s">
        <v>4893</v>
      </c>
      <c r="E2177" s="160">
        <v>680</v>
      </c>
      <c r="F2177" s="160" t="s">
        <v>74</v>
      </c>
      <c r="G2177" s="148">
        <v>14</v>
      </c>
      <c r="H2177" s="152">
        <f>IF(C2177=11700,ROUND(VLOOKUP(G2177,ThongSo!$F$2:$I$15,4,0)*B2177*11.7,3),0)</f>
        <v>14.157</v>
      </c>
      <c r="I2177" s="152">
        <f>IF(F2177="Sắt vụn",ROUND(VLOOKUP(G2177,ThongSo!$F$2:$I$15,4,0)*B2177*E2177/1000,3),"-")</f>
        <v>0.82299999999999995</v>
      </c>
      <c r="L2177" s="150"/>
      <c r="M2177" s="150"/>
      <c r="N2177" s="150"/>
    </row>
    <row r="2178" spans="1:14" x14ac:dyDescent="0.25">
      <c r="A2178" s="159">
        <v>107</v>
      </c>
      <c r="B2178" s="160">
        <v>16</v>
      </c>
      <c r="C2178" s="160">
        <v>11700</v>
      </c>
      <c r="D2178" s="160" t="s">
        <v>4894</v>
      </c>
      <c r="E2178" s="160">
        <v>1020</v>
      </c>
      <c r="F2178" s="160" t="s">
        <v>75</v>
      </c>
      <c r="G2178" s="148">
        <v>14</v>
      </c>
      <c r="H2178" s="152">
        <f>IF(C2178=11700,ROUND(VLOOKUP(G2178,ThongSo!$F$2:$I$15,4,0)*B2178*11.7,3),0)</f>
        <v>226.512</v>
      </c>
      <c r="I2178" s="152" t="str">
        <f>IF(F2178="Sắt vụn",ROUND(VLOOKUP(G2178,ThongSo!$F$2:$I$15,4,0)*B2178*E2178/1000,3),"-")</f>
        <v>-</v>
      </c>
      <c r="L2178" s="150"/>
      <c r="M2178" s="150"/>
      <c r="N2178" s="150"/>
    </row>
    <row r="2179" spans="1:14" x14ac:dyDescent="0.25">
      <c r="A2179" s="159">
        <v>108</v>
      </c>
      <c r="B2179" s="160">
        <v>50</v>
      </c>
      <c r="C2179" s="160">
        <v>11700</v>
      </c>
      <c r="D2179" s="160" t="s">
        <v>4895</v>
      </c>
      <c r="E2179" s="160">
        <v>1440</v>
      </c>
      <c r="F2179" s="160" t="s">
        <v>75</v>
      </c>
      <c r="G2179" s="148">
        <v>14</v>
      </c>
      <c r="H2179" s="152">
        <f>IF(C2179=11700,ROUND(VLOOKUP(G2179,ThongSo!$F$2:$I$15,4,0)*B2179*11.7,3),0)</f>
        <v>707.85</v>
      </c>
      <c r="I2179" s="152" t="str">
        <f>IF(F2179="Sắt vụn",ROUND(VLOOKUP(G2179,ThongSo!$F$2:$I$15,4,0)*B2179*E2179/1000,3),"-")</f>
        <v>-</v>
      </c>
      <c r="L2179" s="150"/>
      <c r="M2179" s="150"/>
      <c r="N2179" s="150"/>
    </row>
    <row r="2180" spans="1:14" x14ac:dyDescent="0.25">
      <c r="A2180" s="159">
        <v>109</v>
      </c>
      <c r="B2180" s="160">
        <v>67</v>
      </c>
      <c r="C2180" s="160">
        <v>11700</v>
      </c>
      <c r="D2180" s="160" t="s">
        <v>4896</v>
      </c>
      <c r="E2180" s="160">
        <v>5230</v>
      </c>
      <c r="F2180" s="160" t="s">
        <v>75</v>
      </c>
      <c r="G2180" s="148">
        <v>14</v>
      </c>
      <c r="H2180" s="152">
        <f>IF(C2180=11700,ROUND(VLOOKUP(G2180,ThongSo!$F$2:$I$15,4,0)*B2180*11.7,3),0)</f>
        <v>948.51900000000001</v>
      </c>
      <c r="I2180" s="152" t="str">
        <f>IF(F2180="Sắt vụn",ROUND(VLOOKUP(G2180,ThongSo!$F$2:$I$15,4,0)*B2180*E2180/1000,3),"-")</f>
        <v>-</v>
      </c>
      <c r="L2180" s="150"/>
      <c r="M2180" s="150"/>
      <c r="N2180" s="150"/>
    </row>
    <row r="2181" spans="1:14" x14ac:dyDescent="0.25">
      <c r="A2181" s="157" t="s">
        <v>84</v>
      </c>
      <c r="B2181" s="158"/>
      <c r="C2181" s="158"/>
      <c r="D2181" s="158"/>
      <c r="E2181" s="158"/>
      <c r="F2181" s="158"/>
      <c r="G2181" s="148"/>
      <c r="H2181" s="152">
        <f>IF(C2181=11700,ROUND(VLOOKUP(G2181,ThongSo!$F$2:$I$15,4,0)*B2181*11.7,3),0)</f>
        <v>0</v>
      </c>
      <c r="I2181" s="152" t="str">
        <f>IF(F2181="Sắt vụn",ROUND(VLOOKUP(G2181,ThongSo!$F$2:$I$15,4,0)*B2181*E2181/1000,3),"-")</f>
        <v>-</v>
      </c>
      <c r="L2181" s="150"/>
      <c r="M2181" s="150"/>
      <c r="N2181" s="150"/>
    </row>
    <row r="2182" spans="1:14" x14ac:dyDescent="0.25">
      <c r="A2182" s="159">
        <v>110</v>
      </c>
      <c r="B2182" s="160">
        <v>5</v>
      </c>
      <c r="C2182" s="160">
        <v>11700</v>
      </c>
      <c r="D2182" s="160" t="s">
        <v>4897</v>
      </c>
      <c r="E2182" s="160">
        <v>260</v>
      </c>
      <c r="F2182" s="160" t="s">
        <v>74</v>
      </c>
      <c r="G2182" s="148">
        <v>10</v>
      </c>
      <c r="H2182" s="152">
        <f>IF(C2182=11700,ROUND(VLOOKUP(G2182,ThongSo!$F$2:$I$15,4,0)*B2182*11.7,3),0)</f>
        <v>36.094999999999999</v>
      </c>
      <c r="I2182" s="152">
        <f>IF(F2182="Sắt vụn",ROUND(VLOOKUP(G2182,ThongSo!$F$2:$I$15,4,0)*B2182*E2182/1000,3),"-")</f>
        <v>0.80200000000000005</v>
      </c>
      <c r="L2182" s="150"/>
      <c r="M2182" s="150"/>
      <c r="N2182" s="150"/>
    </row>
    <row r="2183" spans="1:14" x14ac:dyDescent="0.25">
      <c r="A2183" s="159">
        <v>111</v>
      </c>
      <c r="B2183" s="160">
        <v>1</v>
      </c>
      <c r="C2183" s="160">
        <v>11700</v>
      </c>
      <c r="D2183" s="160" t="s">
        <v>4898</v>
      </c>
      <c r="E2183" s="160">
        <v>260</v>
      </c>
      <c r="F2183" s="160" t="s">
        <v>74</v>
      </c>
      <c r="G2183" s="148">
        <v>10</v>
      </c>
      <c r="H2183" s="152">
        <f>IF(C2183=11700,ROUND(VLOOKUP(G2183,ThongSo!$F$2:$I$15,4,0)*B2183*11.7,3),0)</f>
        <v>7.2190000000000003</v>
      </c>
      <c r="I2183" s="152">
        <f>IF(F2183="Sắt vụn",ROUND(VLOOKUP(G2183,ThongSo!$F$2:$I$15,4,0)*B2183*E2183/1000,3),"-")</f>
        <v>0.16</v>
      </c>
      <c r="L2183" s="150"/>
      <c r="M2183" s="150"/>
      <c r="N2183" s="150"/>
    </row>
    <row r="2184" spans="1:14" x14ac:dyDescent="0.25">
      <c r="A2184" s="159">
        <v>112</v>
      </c>
      <c r="B2184" s="160">
        <v>10</v>
      </c>
      <c r="C2184" s="160">
        <v>11700</v>
      </c>
      <c r="D2184" s="160" t="s">
        <v>4899</v>
      </c>
      <c r="E2184" s="160">
        <v>260</v>
      </c>
      <c r="F2184" s="160" t="s">
        <v>74</v>
      </c>
      <c r="G2184" s="148">
        <v>10</v>
      </c>
      <c r="H2184" s="152">
        <f>IF(C2184=11700,ROUND(VLOOKUP(G2184,ThongSo!$F$2:$I$15,4,0)*B2184*11.7,3),0)</f>
        <v>72.188999999999993</v>
      </c>
      <c r="I2184" s="152">
        <f>IF(F2184="Sắt vụn",ROUND(VLOOKUP(G2184,ThongSo!$F$2:$I$15,4,0)*B2184*E2184/1000,3),"-")</f>
        <v>1.6040000000000001</v>
      </c>
      <c r="L2184" s="150"/>
      <c r="M2184" s="150"/>
      <c r="N2184" s="150"/>
    </row>
    <row r="2185" spans="1:14" x14ac:dyDescent="0.25">
      <c r="A2185" s="159">
        <v>113</v>
      </c>
      <c r="B2185" s="160">
        <v>3</v>
      </c>
      <c r="C2185" s="160">
        <v>11700</v>
      </c>
      <c r="D2185" s="160" t="s">
        <v>4900</v>
      </c>
      <c r="E2185" s="160">
        <v>320</v>
      </c>
      <c r="F2185" s="160" t="s">
        <v>74</v>
      </c>
      <c r="G2185" s="148">
        <v>10</v>
      </c>
      <c r="H2185" s="152">
        <f>IF(C2185=11700,ROUND(VLOOKUP(G2185,ThongSo!$F$2:$I$15,4,0)*B2185*11.7,3),0)</f>
        <v>21.657</v>
      </c>
      <c r="I2185" s="152">
        <f>IF(F2185="Sắt vụn",ROUND(VLOOKUP(G2185,ThongSo!$F$2:$I$15,4,0)*B2185*E2185/1000,3),"-")</f>
        <v>0.59199999999999997</v>
      </c>
      <c r="L2185" s="150"/>
      <c r="M2185" s="150"/>
      <c r="N2185" s="150"/>
    </row>
    <row r="2186" spans="1:14" x14ac:dyDescent="0.25">
      <c r="A2186" s="159">
        <v>114</v>
      </c>
      <c r="B2186" s="160">
        <v>6</v>
      </c>
      <c r="C2186" s="160">
        <v>11700</v>
      </c>
      <c r="D2186" s="160" t="s">
        <v>4901</v>
      </c>
      <c r="E2186" s="160">
        <v>1900</v>
      </c>
      <c r="F2186" s="160" t="s">
        <v>75</v>
      </c>
      <c r="G2186" s="148">
        <v>10</v>
      </c>
      <c r="H2186" s="152">
        <f>IF(C2186=11700,ROUND(VLOOKUP(G2186,ThongSo!$F$2:$I$15,4,0)*B2186*11.7,3),0)</f>
        <v>43.313000000000002</v>
      </c>
      <c r="I2186" s="152" t="str">
        <f>IF(F2186="Sắt vụn",ROUND(VLOOKUP(G2186,ThongSo!$F$2:$I$15,4,0)*B2186*E2186/1000,3),"-")</f>
        <v>-</v>
      </c>
      <c r="L2186" s="150"/>
      <c r="M2186" s="150"/>
      <c r="N2186" s="150"/>
    </row>
    <row r="2187" spans="1:14" x14ac:dyDescent="0.25">
      <c r="A2187" s="159">
        <v>115</v>
      </c>
      <c r="B2187" s="160">
        <v>1</v>
      </c>
      <c r="C2187" s="160">
        <v>11700</v>
      </c>
      <c r="D2187" s="160" t="s">
        <v>4902</v>
      </c>
      <c r="E2187" s="160">
        <v>3860</v>
      </c>
      <c r="F2187" s="160" t="s">
        <v>75</v>
      </c>
      <c r="G2187" s="148">
        <v>10</v>
      </c>
      <c r="H2187" s="152">
        <f>IF(C2187=11700,ROUND(VLOOKUP(G2187,ThongSo!$F$2:$I$15,4,0)*B2187*11.7,3),0)</f>
        <v>7.2190000000000003</v>
      </c>
      <c r="I2187" s="152" t="str">
        <f>IF(F2187="Sắt vụn",ROUND(VLOOKUP(G2187,ThongSo!$F$2:$I$15,4,0)*B2187*E2187/1000,3),"-")</f>
        <v>-</v>
      </c>
      <c r="L2187" s="150"/>
      <c r="M2187" s="150"/>
      <c r="N2187" s="150"/>
    </row>
    <row r="2188" spans="1:14" x14ac:dyDescent="0.25">
      <c r="A2188" s="154"/>
      <c r="G2188" s="148"/>
      <c r="H2188" s="152">
        <f>IF(C2188=11700,ROUND(VLOOKUP(G2188,ThongSo!$F$2:$I$15,4,0)*B2188*11.7,3),0)</f>
        <v>0</v>
      </c>
      <c r="I2188" s="152" t="str">
        <f>IF(F2188="Sắt vụn",ROUND(VLOOKUP(G2188,ThongSo!$F$2:$I$15,4,0)*B2188*E2188/1000,3),"-")</f>
        <v>-</v>
      </c>
      <c r="L2188" s="150"/>
      <c r="M2188" s="150"/>
      <c r="N2188" s="150"/>
    </row>
    <row r="2189" spans="1:14" x14ac:dyDescent="0.25">
      <c r="A2189" s="167">
        <v>8</v>
      </c>
      <c r="B2189" s="167"/>
      <c r="C2189" s="167"/>
      <c r="D2189" s="167"/>
      <c r="E2189" s="167"/>
      <c r="F2189" s="167"/>
      <c r="G2189" s="148"/>
      <c r="H2189" s="152">
        <f>IF(C2189=11700,ROUND(VLOOKUP(G2189,ThongSo!$F$2:$I$15,4,0)*B2189*11.7,3),0)</f>
        <v>0</v>
      </c>
      <c r="I2189" s="152" t="str">
        <f>IF(F2189="Sắt vụn",ROUND(VLOOKUP(G2189,ThongSo!$F$2:$I$15,4,0)*B2189*E2189/1000,3),"-")</f>
        <v>-</v>
      </c>
      <c r="L2189" s="150"/>
      <c r="M2189" s="150"/>
      <c r="N2189" s="150"/>
    </row>
    <row r="2190" spans="1:14" x14ac:dyDescent="0.25">
      <c r="A2190" s="154"/>
      <c r="G2190" s="148"/>
      <c r="H2190" s="152">
        <f>IF(C2190=11700,ROUND(VLOOKUP(G2190,ThongSo!$F$2:$I$15,4,0)*B2190*11.7,3),0)</f>
        <v>0</v>
      </c>
      <c r="I2190" s="152" t="str">
        <f>IF(F2190="Sắt vụn",ROUND(VLOOKUP(G2190,ThongSo!$F$2:$I$15,4,0)*B2190*E2190/1000,3),"-")</f>
        <v>-</v>
      </c>
      <c r="L2190" s="150"/>
      <c r="M2190" s="150"/>
      <c r="N2190" s="150"/>
    </row>
    <row r="2191" spans="1:14" x14ac:dyDescent="0.25">
      <c r="A2191" s="155" t="s">
        <v>50</v>
      </c>
      <c r="B2191" s="155" t="s">
        <v>51</v>
      </c>
      <c r="C2191" s="155" t="s">
        <v>45</v>
      </c>
      <c r="D2191" s="155" t="s">
        <v>42</v>
      </c>
      <c r="E2191" s="155" t="s">
        <v>43</v>
      </c>
      <c r="F2191" s="156" t="s">
        <v>46</v>
      </c>
      <c r="G2191" s="148"/>
      <c r="H2191" s="152">
        <f>IF(C2191=11700,ROUND(VLOOKUP(G2191,ThongSo!$F$2:$I$15,4,0)*B2191*11.7,3),0)</f>
        <v>0</v>
      </c>
      <c r="I2191" s="152" t="str">
        <f>IF(F2191="Sắt vụn",ROUND(VLOOKUP(G2191,ThongSo!$F$2:$I$15,4,0)*B2191*E2191/1000,3),"-")</f>
        <v>-</v>
      </c>
      <c r="L2191" s="150"/>
      <c r="M2191" s="150"/>
      <c r="N2191" s="150"/>
    </row>
    <row r="2192" spans="1:14" x14ac:dyDescent="0.25">
      <c r="A2192" s="157" t="s">
        <v>72</v>
      </c>
      <c r="B2192" s="158"/>
      <c r="C2192" s="158"/>
      <c r="D2192" s="158"/>
      <c r="E2192" s="158"/>
      <c r="F2192" s="158"/>
      <c r="G2192" s="148"/>
      <c r="H2192" s="152">
        <f>IF(C2192=11700,ROUND(VLOOKUP(G2192,ThongSo!$F$2:$I$15,4,0)*B2192*11.7,3),0)</f>
        <v>0</v>
      </c>
      <c r="I2192" s="152" t="str">
        <f>IF(F2192="Sắt vụn",ROUND(VLOOKUP(G2192,ThongSo!$F$2:$I$15,4,0)*B2192*E2192/1000,3),"-")</f>
        <v>-</v>
      </c>
      <c r="L2192" s="150"/>
      <c r="M2192" s="150"/>
      <c r="N2192" s="150"/>
    </row>
    <row r="2193" spans="1:14" x14ac:dyDescent="0.25">
      <c r="A2193" s="159" t="s">
        <v>73</v>
      </c>
      <c r="B2193" s="160">
        <v>46</v>
      </c>
      <c r="C2193" s="160">
        <v>11700</v>
      </c>
      <c r="D2193" s="160"/>
      <c r="E2193" s="160"/>
      <c r="F2193" s="160"/>
      <c r="G2193" s="148">
        <v>32</v>
      </c>
      <c r="H2193" s="152">
        <f>IF(C2193=11700,ROUND(VLOOKUP(G2193,ThongSo!$F$2:$I$15,4,0)*B2193*11.7,3),0)</f>
        <v>3396.0419999999999</v>
      </c>
      <c r="I2193" s="152" t="str">
        <f>IF(F2193="Sắt vụn",ROUND(VLOOKUP(G2193,ThongSo!$F$2:$I$15,4,0)*B2193*E2193/1000,3),"-")</f>
        <v>-</v>
      </c>
      <c r="L2193" s="150"/>
      <c r="M2193" s="150"/>
      <c r="N2193" s="150"/>
    </row>
    <row r="2194" spans="1:14" x14ac:dyDescent="0.25">
      <c r="A2194" s="159" t="s">
        <v>349</v>
      </c>
      <c r="B2194" s="160">
        <v>6</v>
      </c>
      <c r="C2194" s="160">
        <v>2340</v>
      </c>
      <c r="D2194" s="160" t="s">
        <v>4903</v>
      </c>
      <c r="E2194" s="160">
        <v>160</v>
      </c>
      <c r="F2194" s="160" t="s">
        <v>74</v>
      </c>
      <c r="G2194" s="148">
        <v>32</v>
      </c>
      <c r="H2194" s="152">
        <f>IF(C2194=11700,ROUND(VLOOKUP(G2194,ThongSo!$F$2:$I$15,4,0)*B2194*11.7,3),0)</f>
        <v>0</v>
      </c>
      <c r="I2194" s="152">
        <f>IF(F2194="Sắt vụn",ROUND(VLOOKUP(G2194,ThongSo!$F$2:$I$15,4,0)*B2194*E2194/1000,3),"-")</f>
        <v>6.0579999999999998</v>
      </c>
      <c r="L2194" s="150"/>
      <c r="M2194" s="150"/>
      <c r="N2194" s="150"/>
    </row>
    <row r="2195" spans="1:14" x14ac:dyDescent="0.25">
      <c r="A2195" s="159" t="s">
        <v>349</v>
      </c>
      <c r="B2195" s="160">
        <v>12</v>
      </c>
      <c r="C2195" s="160">
        <v>2340</v>
      </c>
      <c r="D2195" s="160" t="s">
        <v>4904</v>
      </c>
      <c r="E2195" s="160">
        <v>450</v>
      </c>
      <c r="F2195" s="160" t="s">
        <v>74</v>
      </c>
      <c r="G2195" s="148">
        <v>32</v>
      </c>
      <c r="H2195" s="152">
        <f>IF(C2195=11700,ROUND(VLOOKUP(G2195,ThongSo!$F$2:$I$15,4,0)*B2195*11.7,3),0)</f>
        <v>0</v>
      </c>
      <c r="I2195" s="152">
        <f>IF(F2195="Sắt vụn",ROUND(VLOOKUP(G2195,ThongSo!$F$2:$I$15,4,0)*B2195*E2195/1000,3),"-")</f>
        <v>34.073999999999998</v>
      </c>
      <c r="L2195" s="150"/>
      <c r="M2195" s="150"/>
      <c r="N2195" s="150"/>
    </row>
    <row r="2196" spans="1:14" x14ac:dyDescent="0.25">
      <c r="A2196" s="159" t="s">
        <v>331</v>
      </c>
      <c r="B2196" s="160">
        <v>1</v>
      </c>
      <c r="C2196" s="160">
        <v>2380</v>
      </c>
      <c r="D2196" s="160" t="s">
        <v>4904</v>
      </c>
      <c r="E2196" s="160">
        <v>490</v>
      </c>
      <c r="F2196" s="160" t="s">
        <v>74</v>
      </c>
      <c r="G2196" s="148">
        <v>32</v>
      </c>
      <c r="H2196" s="152">
        <f>IF(C2196=11700,ROUND(VLOOKUP(G2196,ThongSo!$F$2:$I$15,4,0)*B2196*11.7,3),0)</f>
        <v>0</v>
      </c>
      <c r="I2196" s="152">
        <f>IF(F2196="Sắt vụn",ROUND(VLOOKUP(G2196,ThongSo!$F$2:$I$15,4,0)*B2196*E2196/1000,3),"-")</f>
        <v>3.0920000000000001</v>
      </c>
      <c r="L2196" s="150"/>
      <c r="M2196" s="150"/>
      <c r="N2196" s="150"/>
    </row>
    <row r="2197" spans="1:14" x14ac:dyDescent="0.25">
      <c r="A2197" s="159" t="s">
        <v>331</v>
      </c>
      <c r="B2197" s="160">
        <v>1</v>
      </c>
      <c r="C2197" s="160">
        <v>2380</v>
      </c>
      <c r="D2197" s="160" t="s">
        <v>4905</v>
      </c>
      <c r="E2197" s="160">
        <v>1290</v>
      </c>
      <c r="F2197" s="160" t="s">
        <v>74</v>
      </c>
      <c r="G2197" s="148">
        <v>32</v>
      </c>
      <c r="H2197" s="152">
        <f>IF(C2197=11700,ROUND(VLOOKUP(G2197,ThongSo!$F$2:$I$15,4,0)*B2197*11.7,3),0)</f>
        <v>0</v>
      </c>
      <c r="I2197" s="152">
        <f>IF(F2197="Sắt vụn",ROUND(VLOOKUP(G2197,ThongSo!$F$2:$I$15,4,0)*B2197*E2197/1000,3),"-")</f>
        <v>8.14</v>
      </c>
      <c r="L2197" s="150"/>
      <c r="M2197" s="150"/>
      <c r="N2197" s="150"/>
    </row>
    <row r="2198" spans="1:14" x14ac:dyDescent="0.25">
      <c r="A2198" s="159" t="s">
        <v>154</v>
      </c>
      <c r="B2198" s="160">
        <v>5</v>
      </c>
      <c r="C2198" s="160">
        <v>3295</v>
      </c>
      <c r="D2198" s="160" t="s">
        <v>4906</v>
      </c>
      <c r="E2198" s="160">
        <v>70</v>
      </c>
      <c r="F2198" s="160" t="s">
        <v>74</v>
      </c>
      <c r="G2198" s="148">
        <v>32</v>
      </c>
      <c r="H2198" s="152">
        <f>IF(C2198=11700,ROUND(VLOOKUP(G2198,ThongSo!$F$2:$I$15,4,0)*B2198*11.7,3),0)</f>
        <v>0</v>
      </c>
      <c r="I2198" s="152">
        <f>IF(F2198="Sắt vụn",ROUND(VLOOKUP(G2198,ThongSo!$F$2:$I$15,4,0)*B2198*E2198/1000,3),"-")</f>
        <v>2.2090000000000001</v>
      </c>
      <c r="L2198" s="150"/>
      <c r="M2198" s="150"/>
      <c r="N2198" s="150"/>
    </row>
    <row r="2199" spans="1:14" x14ac:dyDescent="0.25">
      <c r="A2199" s="159" t="s">
        <v>154</v>
      </c>
      <c r="B2199" s="160">
        <v>3</v>
      </c>
      <c r="C2199" s="160">
        <v>3295</v>
      </c>
      <c r="D2199" s="160" t="s">
        <v>4907</v>
      </c>
      <c r="E2199" s="160">
        <v>125</v>
      </c>
      <c r="F2199" s="160" t="s">
        <v>74</v>
      </c>
      <c r="G2199" s="148">
        <v>32</v>
      </c>
      <c r="H2199" s="152">
        <f>IF(C2199=11700,ROUND(VLOOKUP(G2199,ThongSo!$F$2:$I$15,4,0)*B2199*11.7,3),0)</f>
        <v>0</v>
      </c>
      <c r="I2199" s="152">
        <f>IF(F2199="Sắt vụn",ROUND(VLOOKUP(G2199,ThongSo!$F$2:$I$15,4,0)*B2199*E2199/1000,3),"-")</f>
        <v>2.3660000000000001</v>
      </c>
      <c r="L2199" s="150"/>
      <c r="M2199" s="150"/>
      <c r="N2199" s="150"/>
    </row>
    <row r="2200" spans="1:14" x14ac:dyDescent="0.25">
      <c r="A2200" s="159" t="s">
        <v>154</v>
      </c>
      <c r="B2200" s="160">
        <v>4</v>
      </c>
      <c r="C2200" s="160">
        <v>3295</v>
      </c>
      <c r="D2200" s="160" t="s">
        <v>4908</v>
      </c>
      <c r="E2200" s="160">
        <v>125</v>
      </c>
      <c r="F2200" s="160" t="s">
        <v>74</v>
      </c>
      <c r="G2200" s="148">
        <v>32</v>
      </c>
      <c r="H2200" s="152">
        <f>IF(C2200=11700,ROUND(VLOOKUP(G2200,ThongSo!$F$2:$I$15,4,0)*B2200*11.7,3),0)</f>
        <v>0</v>
      </c>
      <c r="I2200" s="152">
        <f>IF(F2200="Sắt vụn",ROUND(VLOOKUP(G2200,ThongSo!$F$2:$I$15,4,0)*B2200*E2200/1000,3),"-")</f>
        <v>3.1549999999999998</v>
      </c>
      <c r="L2200" s="150"/>
      <c r="M2200" s="150"/>
      <c r="N2200" s="150"/>
    </row>
    <row r="2201" spans="1:14" x14ac:dyDescent="0.25">
      <c r="A2201" s="159" t="s">
        <v>193</v>
      </c>
      <c r="B2201" s="160">
        <v>4</v>
      </c>
      <c r="C2201" s="160">
        <v>3540</v>
      </c>
      <c r="D2201" s="160" t="s">
        <v>4909</v>
      </c>
      <c r="E2201" s="160">
        <v>30</v>
      </c>
      <c r="F2201" s="160" t="s">
        <v>74</v>
      </c>
      <c r="G2201" s="148">
        <v>32</v>
      </c>
      <c r="H2201" s="152">
        <f>IF(C2201=11700,ROUND(VLOOKUP(G2201,ThongSo!$F$2:$I$15,4,0)*B2201*11.7,3),0)</f>
        <v>0</v>
      </c>
      <c r="I2201" s="152">
        <f>IF(F2201="Sắt vụn",ROUND(VLOOKUP(G2201,ThongSo!$F$2:$I$15,4,0)*B2201*E2201/1000,3),"-")</f>
        <v>0.75700000000000001</v>
      </c>
      <c r="L2201" s="150"/>
      <c r="M2201" s="150"/>
      <c r="N2201" s="150"/>
    </row>
    <row r="2202" spans="1:14" x14ac:dyDescent="0.25">
      <c r="A2202" s="159" t="s">
        <v>193</v>
      </c>
      <c r="B2202" s="160">
        <v>2</v>
      </c>
      <c r="C2202" s="160">
        <v>3540</v>
      </c>
      <c r="D2202" s="160" t="s">
        <v>4910</v>
      </c>
      <c r="E2202" s="160">
        <v>30</v>
      </c>
      <c r="F2202" s="160" t="s">
        <v>74</v>
      </c>
      <c r="G2202" s="148">
        <v>32</v>
      </c>
      <c r="H2202" s="152">
        <f>IF(C2202=11700,ROUND(VLOOKUP(G2202,ThongSo!$F$2:$I$15,4,0)*B2202*11.7,3),0)</f>
        <v>0</v>
      </c>
      <c r="I2202" s="152">
        <f>IF(F2202="Sắt vụn",ROUND(VLOOKUP(G2202,ThongSo!$F$2:$I$15,4,0)*B2202*E2202/1000,3),"-")</f>
        <v>0.379</v>
      </c>
      <c r="L2202" s="150"/>
      <c r="M2202" s="150"/>
      <c r="N2202" s="150"/>
    </row>
    <row r="2203" spans="1:14" x14ac:dyDescent="0.25">
      <c r="A2203" s="159" t="s">
        <v>142</v>
      </c>
      <c r="B2203" s="160">
        <v>6</v>
      </c>
      <c r="C2203" s="160">
        <v>3700</v>
      </c>
      <c r="D2203" s="160" t="s">
        <v>4911</v>
      </c>
      <c r="E2203" s="160">
        <v>55</v>
      </c>
      <c r="F2203" s="160" t="s">
        <v>74</v>
      </c>
      <c r="G2203" s="148">
        <v>32</v>
      </c>
      <c r="H2203" s="152">
        <f>IF(C2203=11700,ROUND(VLOOKUP(G2203,ThongSo!$F$2:$I$15,4,0)*B2203*11.7,3),0)</f>
        <v>0</v>
      </c>
      <c r="I2203" s="152">
        <f>IF(F2203="Sắt vụn",ROUND(VLOOKUP(G2203,ThongSo!$F$2:$I$15,4,0)*B2203*E2203/1000,3),"-")</f>
        <v>2.0819999999999999</v>
      </c>
      <c r="L2203" s="150"/>
      <c r="M2203" s="150"/>
      <c r="N2203" s="150"/>
    </row>
    <row r="2204" spans="1:14" x14ac:dyDescent="0.25">
      <c r="A2204" s="159" t="s">
        <v>184</v>
      </c>
      <c r="B2204" s="160">
        <v>1</v>
      </c>
      <c r="C2204" s="160">
        <v>3840</v>
      </c>
      <c r="D2204" s="160" t="s">
        <v>4911</v>
      </c>
      <c r="E2204" s="160">
        <v>195</v>
      </c>
      <c r="F2204" s="160" t="s">
        <v>74</v>
      </c>
      <c r="G2204" s="148">
        <v>32</v>
      </c>
      <c r="H2204" s="152">
        <f>IF(C2204=11700,ROUND(VLOOKUP(G2204,ThongSo!$F$2:$I$15,4,0)*B2204*11.7,3),0)</f>
        <v>0</v>
      </c>
      <c r="I2204" s="152">
        <f>IF(F2204="Sắt vụn",ROUND(VLOOKUP(G2204,ThongSo!$F$2:$I$15,4,0)*B2204*E2204/1000,3),"-")</f>
        <v>1.23</v>
      </c>
      <c r="L2204" s="150"/>
      <c r="M2204" s="150"/>
      <c r="N2204" s="150"/>
    </row>
    <row r="2205" spans="1:14" x14ac:dyDescent="0.25">
      <c r="A2205" s="159" t="s">
        <v>184</v>
      </c>
      <c r="B2205" s="160">
        <v>1</v>
      </c>
      <c r="C2205" s="160">
        <v>3840</v>
      </c>
      <c r="D2205" s="160" t="s">
        <v>4910</v>
      </c>
      <c r="E2205" s="160">
        <v>330</v>
      </c>
      <c r="F2205" s="160" t="s">
        <v>74</v>
      </c>
      <c r="G2205" s="148">
        <v>32</v>
      </c>
      <c r="H2205" s="152">
        <f>IF(C2205=11700,ROUND(VLOOKUP(G2205,ThongSo!$F$2:$I$15,4,0)*B2205*11.7,3),0)</f>
        <v>0</v>
      </c>
      <c r="I2205" s="152">
        <f>IF(F2205="Sắt vụn",ROUND(VLOOKUP(G2205,ThongSo!$F$2:$I$15,4,0)*B2205*E2205/1000,3),"-")</f>
        <v>2.0819999999999999</v>
      </c>
      <c r="L2205" s="150"/>
      <c r="M2205" s="150"/>
      <c r="N2205" s="150"/>
    </row>
    <row r="2206" spans="1:14" x14ac:dyDescent="0.25">
      <c r="A2206" s="159" t="s">
        <v>184</v>
      </c>
      <c r="B2206" s="160">
        <v>5</v>
      </c>
      <c r="C2206" s="160">
        <v>3840</v>
      </c>
      <c r="D2206" s="160" t="s">
        <v>4912</v>
      </c>
      <c r="E2206" s="160">
        <v>395</v>
      </c>
      <c r="F2206" s="160" t="s">
        <v>74</v>
      </c>
      <c r="G2206" s="148">
        <v>32</v>
      </c>
      <c r="H2206" s="152">
        <f>IF(C2206=11700,ROUND(VLOOKUP(G2206,ThongSo!$F$2:$I$15,4,0)*B2206*11.7,3),0)</f>
        <v>0</v>
      </c>
      <c r="I2206" s="152">
        <f>IF(F2206="Sắt vụn",ROUND(VLOOKUP(G2206,ThongSo!$F$2:$I$15,4,0)*B2206*E2206/1000,3),"-")</f>
        <v>12.462</v>
      </c>
      <c r="L2206" s="150"/>
      <c r="M2206" s="150"/>
      <c r="N2206" s="150"/>
    </row>
    <row r="2207" spans="1:14" x14ac:dyDescent="0.25">
      <c r="A2207" s="159" t="s">
        <v>185</v>
      </c>
      <c r="B2207" s="160">
        <v>2</v>
      </c>
      <c r="C2207" s="160">
        <v>3900</v>
      </c>
      <c r="D2207" s="160" t="s">
        <v>4912</v>
      </c>
      <c r="E2207" s="160">
        <v>455</v>
      </c>
      <c r="F2207" s="160" t="s">
        <v>74</v>
      </c>
      <c r="G2207" s="148">
        <v>32</v>
      </c>
      <c r="H2207" s="152">
        <f>IF(C2207=11700,ROUND(VLOOKUP(G2207,ThongSo!$F$2:$I$15,4,0)*B2207*11.7,3),0)</f>
        <v>0</v>
      </c>
      <c r="I2207" s="152">
        <f>IF(F2207="Sắt vụn",ROUND(VLOOKUP(G2207,ThongSo!$F$2:$I$15,4,0)*B2207*E2207/1000,3),"-")</f>
        <v>5.742</v>
      </c>
      <c r="L2207" s="150"/>
      <c r="M2207" s="150"/>
      <c r="N2207" s="150"/>
    </row>
    <row r="2208" spans="1:14" x14ac:dyDescent="0.25">
      <c r="A2208" s="159">
        <v>16</v>
      </c>
      <c r="B2208" s="160">
        <v>3</v>
      </c>
      <c r="C2208" s="160">
        <v>11700</v>
      </c>
      <c r="D2208" s="160" t="s">
        <v>4913</v>
      </c>
      <c r="E2208" s="160">
        <v>5</v>
      </c>
      <c r="F2208" s="160" t="s">
        <v>74</v>
      </c>
      <c r="G2208" s="148">
        <v>32</v>
      </c>
      <c r="H2208" s="152">
        <f>IF(C2208=11700,ROUND(VLOOKUP(G2208,ThongSo!$F$2:$I$15,4,0)*B2208*11.7,3),0)</f>
        <v>221.48099999999999</v>
      </c>
      <c r="I2208" s="152">
        <f>IF(F2208="Sắt vụn",ROUND(VLOOKUP(G2208,ThongSo!$F$2:$I$15,4,0)*B2208*E2208/1000,3),"-")</f>
        <v>9.5000000000000001E-2</v>
      </c>
      <c r="L2208" s="150"/>
      <c r="M2208" s="150"/>
      <c r="N2208" s="150"/>
    </row>
    <row r="2209" spans="1:14" x14ac:dyDescent="0.25">
      <c r="A2209" s="159">
        <v>17</v>
      </c>
      <c r="B2209" s="160">
        <v>4</v>
      </c>
      <c r="C2209" s="160">
        <v>11700</v>
      </c>
      <c r="D2209" s="160" t="s">
        <v>4914</v>
      </c>
      <c r="E2209" s="160">
        <v>5</v>
      </c>
      <c r="F2209" s="160" t="s">
        <v>74</v>
      </c>
      <c r="G2209" s="148">
        <v>32</v>
      </c>
      <c r="H2209" s="152">
        <f>IF(C2209=11700,ROUND(VLOOKUP(G2209,ThongSo!$F$2:$I$15,4,0)*B2209*11.7,3),0)</f>
        <v>295.30799999999999</v>
      </c>
      <c r="I2209" s="152">
        <f>IF(F2209="Sắt vụn",ROUND(VLOOKUP(G2209,ThongSo!$F$2:$I$15,4,0)*B2209*E2209/1000,3),"-")</f>
        <v>0.126</v>
      </c>
      <c r="L2209" s="150"/>
      <c r="M2209" s="150"/>
      <c r="N2209" s="150"/>
    </row>
    <row r="2210" spans="1:14" x14ac:dyDescent="0.25">
      <c r="A2210" s="159">
        <v>18</v>
      </c>
      <c r="B2210" s="160">
        <v>3</v>
      </c>
      <c r="C2210" s="160">
        <v>11700</v>
      </c>
      <c r="D2210" s="160" t="s">
        <v>4915</v>
      </c>
      <c r="E2210" s="160">
        <v>65</v>
      </c>
      <c r="F2210" s="160" t="s">
        <v>74</v>
      </c>
      <c r="G2210" s="148">
        <v>32</v>
      </c>
      <c r="H2210" s="152">
        <f>IF(C2210=11700,ROUND(VLOOKUP(G2210,ThongSo!$F$2:$I$15,4,0)*B2210*11.7,3),0)</f>
        <v>221.48099999999999</v>
      </c>
      <c r="I2210" s="152">
        <f>IF(F2210="Sắt vụn",ROUND(VLOOKUP(G2210,ThongSo!$F$2:$I$15,4,0)*B2210*E2210/1000,3),"-")</f>
        <v>1.23</v>
      </c>
      <c r="L2210" s="150"/>
      <c r="M2210" s="150"/>
      <c r="N2210" s="150"/>
    </row>
    <row r="2211" spans="1:14" x14ac:dyDescent="0.25">
      <c r="A2211" s="159">
        <v>19</v>
      </c>
      <c r="B2211" s="160">
        <v>3</v>
      </c>
      <c r="C2211" s="160">
        <v>11700</v>
      </c>
      <c r="D2211" s="160" t="s">
        <v>4916</v>
      </c>
      <c r="E2211" s="160">
        <v>335</v>
      </c>
      <c r="F2211" s="160" t="s">
        <v>74</v>
      </c>
      <c r="G2211" s="148">
        <v>32</v>
      </c>
      <c r="H2211" s="152">
        <f>IF(C2211=11700,ROUND(VLOOKUP(G2211,ThongSo!$F$2:$I$15,4,0)*B2211*11.7,3),0)</f>
        <v>221.48099999999999</v>
      </c>
      <c r="I2211" s="152">
        <f>IF(F2211="Sắt vụn",ROUND(VLOOKUP(G2211,ThongSo!$F$2:$I$15,4,0)*B2211*E2211/1000,3),"-")</f>
        <v>6.3419999999999996</v>
      </c>
      <c r="L2211" s="150"/>
      <c r="M2211" s="150"/>
      <c r="N2211" s="150"/>
    </row>
    <row r="2212" spans="1:14" x14ac:dyDescent="0.25">
      <c r="A2212" s="159">
        <v>20</v>
      </c>
      <c r="B2212" s="160">
        <v>7</v>
      </c>
      <c r="C2212" s="160">
        <v>11700</v>
      </c>
      <c r="D2212" s="160" t="s">
        <v>4917</v>
      </c>
      <c r="E2212" s="160">
        <v>700</v>
      </c>
      <c r="F2212" s="160" t="s">
        <v>74</v>
      </c>
      <c r="G2212" s="148">
        <v>32</v>
      </c>
      <c r="H2212" s="152">
        <f>IF(C2212=11700,ROUND(VLOOKUP(G2212,ThongSo!$F$2:$I$15,4,0)*B2212*11.7,3),0)</f>
        <v>516.78899999999999</v>
      </c>
      <c r="I2212" s="152">
        <f>IF(F2212="Sắt vụn",ROUND(VLOOKUP(G2212,ThongSo!$F$2:$I$15,4,0)*B2212*E2212/1000,3),"-")</f>
        <v>30.919</v>
      </c>
      <c r="L2212" s="150"/>
      <c r="M2212" s="150"/>
      <c r="N2212" s="150"/>
    </row>
    <row r="2213" spans="1:14" x14ac:dyDescent="0.25">
      <c r="A2213" s="159">
        <v>21</v>
      </c>
      <c r="B2213" s="160">
        <v>7</v>
      </c>
      <c r="C2213" s="160">
        <v>11700</v>
      </c>
      <c r="D2213" s="160" t="s">
        <v>4918</v>
      </c>
      <c r="E2213" s="160">
        <v>700</v>
      </c>
      <c r="F2213" s="160" t="s">
        <v>74</v>
      </c>
      <c r="G2213" s="148">
        <v>32</v>
      </c>
      <c r="H2213" s="152">
        <f>IF(C2213=11700,ROUND(VLOOKUP(G2213,ThongSo!$F$2:$I$15,4,0)*B2213*11.7,3),0)</f>
        <v>516.78899999999999</v>
      </c>
      <c r="I2213" s="152">
        <f>IF(F2213="Sắt vụn",ROUND(VLOOKUP(G2213,ThongSo!$F$2:$I$15,4,0)*B2213*E2213/1000,3),"-")</f>
        <v>30.919</v>
      </c>
      <c r="L2213" s="150"/>
      <c r="M2213" s="150"/>
      <c r="N2213" s="150"/>
    </row>
    <row r="2214" spans="1:14" x14ac:dyDescent="0.25">
      <c r="A2214" s="159">
        <v>22</v>
      </c>
      <c r="B2214" s="160">
        <v>14</v>
      </c>
      <c r="C2214" s="160">
        <v>11700</v>
      </c>
      <c r="D2214" s="160" t="s">
        <v>4919</v>
      </c>
      <c r="E2214" s="160">
        <v>700</v>
      </c>
      <c r="F2214" s="160" t="s">
        <v>74</v>
      </c>
      <c r="G2214" s="148">
        <v>32</v>
      </c>
      <c r="H2214" s="152">
        <f>IF(C2214=11700,ROUND(VLOOKUP(G2214,ThongSo!$F$2:$I$15,4,0)*B2214*11.7,3),0)</f>
        <v>1033.578</v>
      </c>
      <c r="I2214" s="152">
        <f>IF(F2214="Sắt vụn",ROUND(VLOOKUP(G2214,ThongSo!$F$2:$I$15,4,0)*B2214*E2214/1000,3),"-")</f>
        <v>61.838000000000001</v>
      </c>
      <c r="L2214" s="150"/>
      <c r="M2214" s="150"/>
      <c r="N2214" s="150"/>
    </row>
    <row r="2215" spans="1:14" x14ac:dyDescent="0.25">
      <c r="A2215" s="159">
        <v>23</v>
      </c>
      <c r="B2215" s="160">
        <v>14</v>
      </c>
      <c r="C2215" s="160">
        <v>11700</v>
      </c>
      <c r="D2215" s="160" t="s">
        <v>4920</v>
      </c>
      <c r="E2215" s="160">
        <v>700</v>
      </c>
      <c r="F2215" s="160" t="s">
        <v>74</v>
      </c>
      <c r="G2215" s="148">
        <v>32</v>
      </c>
      <c r="H2215" s="152">
        <f>IF(C2215=11700,ROUND(VLOOKUP(G2215,ThongSo!$F$2:$I$15,4,0)*B2215*11.7,3),0)</f>
        <v>1033.578</v>
      </c>
      <c r="I2215" s="152">
        <f>IF(F2215="Sắt vụn",ROUND(VLOOKUP(G2215,ThongSo!$F$2:$I$15,4,0)*B2215*E2215/1000,3),"-")</f>
        <v>61.838000000000001</v>
      </c>
      <c r="L2215" s="150"/>
      <c r="M2215" s="150"/>
      <c r="N2215" s="150"/>
    </row>
    <row r="2216" spans="1:14" x14ac:dyDescent="0.25">
      <c r="A2216" s="159">
        <v>24</v>
      </c>
      <c r="B2216" s="160">
        <v>3</v>
      </c>
      <c r="C2216" s="160">
        <v>11700</v>
      </c>
      <c r="D2216" s="160" t="s">
        <v>4921</v>
      </c>
      <c r="E2216" s="160">
        <v>740</v>
      </c>
      <c r="F2216" s="160" t="s">
        <v>74</v>
      </c>
      <c r="G2216" s="148">
        <v>32</v>
      </c>
      <c r="H2216" s="152">
        <f>IF(C2216=11700,ROUND(VLOOKUP(G2216,ThongSo!$F$2:$I$15,4,0)*B2216*11.7,3),0)</f>
        <v>221.48099999999999</v>
      </c>
      <c r="I2216" s="152">
        <f>IF(F2216="Sắt vụn",ROUND(VLOOKUP(G2216,ThongSo!$F$2:$I$15,4,0)*B2216*E2216/1000,3),"-")</f>
        <v>14.007999999999999</v>
      </c>
      <c r="L2216" s="150"/>
      <c r="M2216" s="150"/>
      <c r="N2216" s="150"/>
    </row>
    <row r="2217" spans="1:14" x14ac:dyDescent="0.25">
      <c r="A2217" s="159">
        <v>25</v>
      </c>
      <c r="B2217" s="160">
        <v>3</v>
      </c>
      <c r="C2217" s="160">
        <v>11700</v>
      </c>
      <c r="D2217" s="160" t="s">
        <v>4922</v>
      </c>
      <c r="E2217" s="160">
        <v>750</v>
      </c>
      <c r="F2217" s="160" t="s">
        <v>74</v>
      </c>
      <c r="G2217" s="148">
        <v>32</v>
      </c>
      <c r="H2217" s="152">
        <f>IF(C2217=11700,ROUND(VLOOKUP(G2217,ThongSo!$F$2:$I$15,4,0)*B2217*11.7,3),0)</f>
        <v>221.48099999999999</v>
      </c>
      <c r="I2217" s="152">
        <f>IF(F2217="Sắt vụn",ROUND(VLOOKUP(G2217,ThongSo!$F$2:$I$15,4,0)*B2217*E2217/1000,3),"-")</f>
        <v>14.198</v>
      </c>
      <c r="L2217" s="150"/>
      <c r="M2217" s="150"/>
      <c r="N2217" s="150"/>
    </row>
    <row r="2218" spans="1:14" x14ac:dyDescent="0.25">
      <c r="A2218" s="159">
        <v>26</v>
      </c>
      <c r="B2218" s="160">
        <v>4</v>
      </c>
      <c r="C2218" s="160">
        <v>11700</v>
      </c>
      <c r="D2218" s="160" t="s">
        <v>4923</v>
      </c>
      <c r="E2218" s="160">
        <v>765</v>
      </c>
      <c r="F2218" s="160" t="s">
        <v>74</v>
      </c>
      <c r="G2218" s="148">
        <v>32</v>
      </c>
      <c r="H2218" s="152">
        <f>IF(C2218=11700,ROUND(VLOOKUP(G2218,ThongSo!$F$2:$I$15,4,0)*B2218*11.7,3),0)</f>
        <v>295.30799999999999</v>
      </c>
      <c r="I2218" s="152">
        <f>IF(F2218="Sắt vụn",ROUND(VLOOKUP(G2218,ThongSo!$F$2:$I$15,4,0)*B2218*E2218/1000,3),"-")</f>
        <v>19.309000000000001</v>
      </c>
      <c r="L2218" s="150"/>
      <c r="M2218" s="150"/>
      <c r="N2218" s="150"/>
    </row>
    <row r="2219" spans="1:14" x14ac:dyDescent="0.25">
      <c r="A2219" s="159">
        <v>27</v>
      </c>
      <c r="B2219" s="160">
        <v>1</v>
      </c>
      <c r="C2219" s="160">
        <v>11700</v>
      </c>
      <c r="D2219" s="160" t="s">
        <v>4924</v>
      </c>
      <c r="E2219" s="160">
        <v>885</v>
      </c>
      <c r="F2219" s="160" t="s">
        <v>74</v>
      </c>
      <c r="G2219" s="148">
        <v>32</v>
      </c>
      <c r="H2219" s="152">
        <f>IF(C2219=11700,ROUND(VLOOKUP(G2219,ThongSo!$F$2:$I$15,4,0)*B2219*11.7,3),0)</f>
        <v>73.826999999999998</v>
      </c>
      <c r="I2219" s="152">
        <f>IF(F2219="Sắt vụn",ROUND(VLOOKUP(G2219,ThongSo!$F$2:$I$15,4,0)*B2219*E2219/1000,3),"-")</f>
        <v>5.5839999999999996</v>
      </c>
      <c r="L2219" s="150"/>
      <c r="M2219" s="150"/>
      <c r="N2219" s="150"/>
    </row>
    <row r="2220" spans="1:14" x14ac:dyDescent="0.25">
      <c r="A2220" s="159">
        <v>28</v>
      </c>
      <c r="B2220" s="160">
        <v>1</v>
      </c>
      <c r="C2220" s="160">
        <v>11700</v>
      </c>
      <c r="D2220" s="160" t="s">
        <v>4925</v>
      </c>
      <c r="E2220" s="160">
        <v>1020</v>
      </c>
      <c r="F2220" s="160" t="s">
        <v>74</v>
      </c>
      <c r="G2220" s="148">
        <v>32</v>
      </c>
      <c r="H2220" s="152">
        <f>IF(C2220=11700,ROUND(VLOOKUP(G2220,ThongSo!$F$2:$I$15,4,0)*B2220*11.7,3),0)</f>
        <v>73.826999999999998</v>
      </c>
      <c r="I2220" s="152">
        <f>IF(F2220="Sắt vụn",ROUND(VLOOKUP(G2220,ThongSo!$F$2:$I$15,4,0)*B2220*E2220/1000,3),"-")</f>
        <v>6.4359999999999999</v>
      </c>
      <c r="L2220" s="150"/>
      <c r="M2220" s="150"/>
      <c r="N2220" s="150"/>
    </row>
    <row r="2221" spans="1:14" x14ac:dyDescent="0.25">
      <c r="A2221" s="159">
        <v>29</v>
      </c>
      <c r="B2221" s="160">
        <v>1</v>
      </c>
      <c r="C2221" s="160">
        <v>11700</v>
      </c>
      <c r="D2221" s="160" t="s">
        <v>4926</v>
      </c>
      <c r="E2221" s="160">
        <v>1020</v>
      </c>
      <c r="F2221" s="160" t="s">
        <v>74</v>
      </c>
      <c r="G2221" s="148">
        <v>32</v>
      </c>
      <c r="H2221" s="152">
        <f>IF(C2221=11700,ROUND(VLOOKUP(G2221,ThongSo!$F$2:$I$15,4,0)*B2221*11.7,3),0)</f>
        <v>73.826999999999998</v>
      </c>
      <c r="I2221" s="152">
        <f>IF(F2221="Sắt vụn",ROUND(VLOOKUP(G2221,ThongSo!$F$2:$I$15,4,0)*B2221*E2221/1000,3),"-")</f>
        <v>6.4359999999999999</v>
      </c>
      <c r="L2221" s="150"/>
      <c r="M2221" s="150"/>
      <c r="N2221" s="150"/>
    </row>
    <row r="2222" spans="1:14" x14ac:dyDescent="0.25">
      <c r="A2222" s="159">
        <v>30</v>
      </c>
      <c r="B2222" s="160">
        <v>2</v>
      </c>
      <c r="C2222" s="160">
        <v>11700</v>
      </c>
      <c r="D2222" s="160" t="s">
        <v>4927</v>
      </c>
      <c r="E2222" s="160">
        <v>1020</v>
      </c>
      <c r="F2222" s="160" t="s">
        <v>74</v>
      </c>
      <c r="G2222" s="148">
        <v>32</v>
      </c>
      <c r="H2222" s="152">
        <f>IF(C2222=11700,ROUND(VLOOKUP(G2222,ThongSo!$F$2:$I$15,4,0)*B2222*11.7,3),0)</f>
        <v>147.654</v>
      </c>
      <c r="I2222" s="152">
        <f>IF(F2222="Sắt vụn",ROUND(VLOOKUP(G2222,ThongSo!$F$2:$I$15,4,0)*B2222*E2222/1000,3),"-")</f>
        <v>12.872</v>
      </c>
      <c r="L2222" s="150"/>
      <c r="M2222" s="150"/>
      <c r="N2222" s="150"/>
    </row>
    <row r="2223" spans="1:14" x14ac:dyDescent="0.25">
      <c r="A2223" s="159">
        <v>31</v>
      </c>
      <c r="B2223" s="160">
        <v>1</v>
      </c>
      <c r="C2223" s="160">
        <v>11700</v>
      </c>
      <c r="D2223" s="160" t="s">
        <v>4928</v>
      </c>
      <c r="E2223" s="160">
        <v>1055</v>
      </c>
      <c r="F2223" s="160" t="s">
        <v>74</v>
      </c>
      <c r="G2223" s="148">
        <v>32</v>
      </c>
      <c r="H2223" s="152">
        <f>IF(C2223=11700,ROUND(VLOOKUP(G2223,ThongSo!$F$2:$I$15,4,0)*B2223*11.7,3),0)</f>
        <v>73.826999999999998</v>
      </c>
      <c r="I2223" s="152">
        <f>IF(F2223="Sắt vụn",ROUND(VLOOKUP(G2223,ThongSo!$F$2:$I$15,4,0)*B2223*E2223/1000,3),"-")</f>
        <v>6.657</v>
      </c>
      <c r="L2223" s="150"/>
      <c r="M2223" s="150"/>
      <c r="N2223" s="150"/>
    </row>
    <row r="2224" spans="1:14" x14ac:dyDescent="0.25">
      <c r="A2224" s="159">
        <v>32</v>
      </c>
      <c r="B2224" s="160">
        <v>1</v>
      </c>
      <c r="C2224" s="160">
        <v>11700</v>
      </c>
      <c r="D2224" s="160" t="s">
        <v>4929</v>
      </c>
      <c r="E2224" s="160">
        <v>1090</v>
      </c>
      <c r="F2224" s="160" t="s">
        <v>74</v>
      </c>
      <c r="G2224" s="148">
        <v>32</v>
      </c>
      <c r="H2224" s="152">
        <f>IF(C2224=11700,ROUND(VLOOKUP(G2224,ThongSo!$F$2:$I$15,4,0)*B2224*11.7,3),0)</f>
        <v>73.826999999999998</v>
      </c>
      <c r="I2224" s="152">
        <f>IF(F2224="Sắt vụn",ROUND(VLOOKUP(G2224,ThongSo!$F$2:$I$15,4,0)*B2224*E2224/1000,3),"-")</f>
        <v>6.8780000000000001</v>
      </c>
      <c r="L2224" s="150"/>
      <c r="M2224" s="150"/>
      <c r="N2224" s="150"/>
    </row>
    <row r="2225" spans="1:14" x14ac:dyDescent="0.25">
      <c r="A2225" s="159">
        <v>33</v>
      </c>
      <c r="B2225" s="160">
        <v>1</v>
      </c>
      <c r="C2225" s="160">
        <v>11700</v>
      </c>
      <c r="D2225" s="160" t="s">
        <v>4930</v>
      </c>
      <c r="E2225" s="160">
        <v>1195</v>
      </c>
      <c r="F2225" s="160" t="s">
        <v>74</v>
      </c>
      <c r="G2225" s="148">
        <v>32</v>
      </c>
      <c r="H2225" s="152">
        <f>IF(C2225=11700,ROUND(VLOOKUP(G2225,ThongSo!$F$2:$I$15,4,0)*B2225*11.7,3),0)</f>
        <v>73.826999999999998</v>
      </c>
      <c r="I2225" s="152">
        <f>IF(F2225="Sắt vụn",ROUND(VLOOKUP(G2225,ThongSo!$F$2:$I$15,4,0)*B2225*E2225/1000,3),"-")</f>
        <v>7.54</v>
      </c>
      <c r="L2225" s="150"/>
      <c r="M2225" s="150"/>
      <c r="N2225" s="150"/>
    </row>
    <row r="2226" spans="1:14" x14ac:dyDescent="0.25">
      <c r="A2226" s="159">
        <v>34</v>
      </c>
      <c r="B2226" s="160">
        <v>2</v>
      </c>
      <c r="C2226" s="160">
        <v>11700</v>
      </c>
      <c r="D2226" s="160" t="s">
        <v>4931</v>
      </c>
      <c r="E2226" s="160">
        <v>1300</v>
      </c>
      <c r="F2226" s="160" t="s">
        <v>74</v>
      </c>
      <c r="G2226" s="148">
        <v>32</v>
      </c>
      <c r="H2226" s="152">
        <f>IF(C2226=11700,ROUND(VLOOKUP(G2226,ThongSo!$F$2:$I$15,4,0)*B2226*11.7,3),0)</f>
        <v>147.654</v>
      </c>
      <c r="I2226" s="152">
        <f>IF(F2226="Sắt vụn",ROUND(VLOOKUP(G2226,ThongSo!$F$2:$I$15,4,0)*B2226*E2226/1000,3),"-")</f>
        <v>16.405999999999999</v>
      </c>
      <c r="L2226" s="150"/>
      <c r="M2226" s="150"/>
      <c r="N2226" s="150"/>
    </row>
    <row r="2227" spans="1:14" x14ac:dyDescent="0.25">
      <c r="A2227" s="159">
        <v>35</v>
      </c>
      <c r="B2227" s="160">
        <v>1</v>
      </c>
      <c r="C2227" s="160">
        <v>11700</v>
      </c>
      <c r="D2227" s="160" t="s">
        <v>4932</v>
      </c>
      <c r="E2227" s="160">
        <v>1300</v>
      </c>
      <c r="F2227" s="160" t="s">
        <v>74</v>
      </c>
      <c r="G2227" s="148">
        <v>32</v>
      </c>
      <c r="H2227" s="152">
        <f>IF(C2227=11700,ROUND(VLOOKUP(G2227,ThongSo!$F$2:$I$15,4,0)*B2227*11.7,3),0)</f>
        <v>73.826999999999998</v>
      </c>
      <c r="I2227" s="152">
        <f>IF(F2227="Sắt vụn",ROUND(VLOOKUP(G2227,ThongSo!$F$2:$I$15,4,0)*B2227*E2227/1000,3),"-")</f>
        <v>8.2029999999999994</v>
      </c>
      <c r="L2227" s="150"/>
      <c r="M2227" s="150"/>
      <c r="N2227" s="150"/>
    </row>
    <row r="2228" spans="1:14" x14ac:dyDescent="0.25">
      <c r="A2228" s="159">
        <v>36</v>
      </c>
      <c r="B2228" s="160">
        <v>3</v>
      </c>
      <c r="C2228" s="160">
        <v>11700</v>
      </c>
      <c r="D2228" s="160" t="s">
        <v>4933</v>
      </c>
      <c r="E2228" s="160">
        <v>1300</v>
      </c>
      <c r="F2228" s="160" t="s">
        <v>74</v>
      </c>
      <c r="G2228" s="148">
        <v>32</v>
      </c>
      <c r="H2228" s="152">
        <f>IF(C2228=11700,ROUND(VLOOKUP(G2228,ThongSo!$F$2:$I$15,4,0)*B2228*11.7,3),0)</f>
        <v>221.48099999999999</v>
      </c>
      <c r="I2228" s="152">
        <f>IF(F2228="Sắt vụn",ROUND(VLOOKUP(G2228,ThongSo!$F$2:$I$15,4,0)*B2228*E2228/1000,3),"-")</f>
        <v>24.609000000000002</v>
      </c>
      <c r="L2228" s="150"/>
      <c r="M2228" s="150"/>
      <c r="N2228" s="150"/>
    </row>
    <row r="2229" spans="1:14" x14ac:dyDescent="0.25">
      <c r="A2229" s="159">
        <v>37</v>
      </c>
      <c r="B2229" s="160">
        <v>6</v>
      </c>
      <c r="C2229" s="160">
        <v>11700</v>
      </c>
      <c r="D2229" s="160" t="s">
        <v>4934</v>
      </c>
      <c r="E2229" s="160">
        <v>1430</v>
      </c>
      <c r="F2229" s="160" t="s">
        <v>74</v>
      </c>
      <c r="G2229" s="148">
        <v>32</v>
      </c>
      <c r="H2229" s="152">
        <f>IF(C2229=11700,ROUND(VLOOKUP(G2229,ThongSo!$F$2:$I$15,4,0)*B2229*11.7,3),0)</f>
        <v>442.96199999999999</v>
      </c>
      <c r="I2229" s="152">
        <f>IF(F2229="Sắt vụn",ROUND(VLOOKUP(G2229,ThongSo!$F$2:$I$15,4,0)*B2229*E2229/1000,3),"-")</f>
        <v>54.14</v>
      </c>
      <c r="L2229" s="150"/>
      <c r="M2229" s="150"/>
      <c r="N2229" s="150"/>
    </row>
    <row r="2230" spans="1:14" x14ac:dyDescent="0.25">
      <c r="A2230" s="159">
        <v>38</v>
      </c>
      <c r="B2230" s="160">
        <v>4</v>
      </c>
      <c r="C2230" s="160">
        <v>11700</v>
      </c>
      <c r="D2230" s="160" t="s">
        <v>4935</v>
      </c>
      <c r="E2230" s="160">
        <v>1700</v>
      </c>
      <c r="F2230" s="160" t="s">
        <v>75</v>
      </c>
      <c r="G2230" s="148">
        <v>32</v>
      </c>
      <c r="H2230" s="152">
        <f>IF(C2230=11700,ROUND(VLOOKUP(G2230,ThongSo!$F$2:$I$15,4,0)*B2230*11.7,3),0)</f>
        <v>295.30799999999999</v>
      </c>
      <c r="I2230" s="152" t="str">
        <f>IF(F2230="Sắt vụn",ROUND(VLOOKUP(G2230,ThongSo!$F$2:$I$15,4,0)*B2230*E2230/1000,3),"-")</f>
        <v>-</v>
      </c>
      <c r="L2230" s="150"/>
      <c r="M2230" s="150"/>
      <c r="N2230" s="150"/>
    </row>
    <row r="2231" spans="1:14" x14ac:dyDescent="0.25">
      <c r="A2231" s="159">
        <v>39</v>
      </c>
      <c r="B2231" s="160">
        <v>3</v>
      </c>
      <c r="C2231" s="160">
        <v>11700</v>
      </c>
      <c r="D2231" s="160" t="s">
        <v>4936</v>
      </c>
      <c r="E2231" s="160">
        <v>1700</v>
      </c>
      <c r="F2231" s="160" t="s">
        <v>75</v>
      </c>
      <c r="G2231" s="148">
        <v>32</v>
      </c>
      <c r="H2231" s="152">
        <f>IF(C2231=11700,ROUND(VLOOKUP(G2231,ThongSo!$F$2:$I$15,4,0)*B2231*11.7,3),0)</f>
        <v>221.48099999999999</v>
      </c>
      <c r="I2231" s="152" t="str">
        <f>IF(F2231="Sắt vụn",ROUND(VLOOKUP(G2231,ThongSo!$F$2:$I$15,4,0)*B2231*E2231/1000,3),"-")</f>
        <v>-</v>
      </c>
      <c r="L2231" s="150"/>
      <c r="M2231" s="150"/>
      <c r="N2231" s="150"/>
    </row>
    <row r="2232" spans="1:14" x14ac:dyDescent="0.25">
      <c r="A2232" s="159">
        <v>40</v>
      </c>
      <c r="B2232" s="160">
        <v>4</v>
      </c>
      <c r="C2232" s="160">
        <v>11700</v>
      </c>
      <c r="D2232" s="160" t="s">
        <v>4937</v>
      </c>
      <c r="E2232" s="160">
        <v>1700</v>
      </c>
      <c r="F2232" s="160" t="s">
        <v>75</v>
      </c>
      <c r="G2232" s="148">
        <v>32</v>
      </c>
      <c r="H2232" s="152">
        <f>IF(C2232=11700,ROUND(VLOOKUP(G2232,ThongSo!$F$2:$I$15,4,0)*B2232*11.7,3),0)</f>
        <v>295.30799999999999</v>
      </c>
      <c r="I2232" s="152" t="str">
        <f>IF(F2232="Sắt vụn",ROUND(VLOOKUP(G2232,ThongSo!$F$2:$I$15,4,0)*B2232*E2232/1000,3),"-")</f>
        <v>-</v>
      </c>
      <c r="L2232" s="150"/>
      <c r="M2232" s="150"/>
      <c r="N2232" s="150"/>
    </row>
    <row r="2233" spans="1:14" x14ac:dyDescent="0.25">
      <c r="A2233" s="159">
        <v>41</v>
      </c>
      <c r="B2233" s="160">
        <v>3</v>
      </c>
      <c r="C2233" s="160">
        <v>11700</v>
      </c>
      <c r="D2233" s="160" t="s">
        <v>4938</v>
      </c>
      <c r="E2233" s="160">
        <v>1700</v>
      </c>
      <c r="F2233" s="160" t="s">
        <v>75</v>
      </c>
      <c r="G2233" s="148">
        <v>32</v>
      </c>
      <c r="H2233" s="152">
        <f>IF(C2233=11700,ROUND(VLOOKUP(G2233,ThongSo!$F$2:$I$15,4,0)*B2233*11.7,3),0)</f>
        <v>221.48099999999999</v>
      </c>
      <c r="I2233" s="152" t="str">
        <f>IF(F2233="Sắt vụn",ROUND(VLOOKUP(G2233,ThongSo!$F$2:$I$15,4,0)*B2233*E2233/1000,3),"-")</f>
        <v>-</v>
      </c>
      <c r="L2233" s="150"/>
      <c r="M2233" s="150"/>
      <c r="N2233" s="150"/>
    </row>
    <row r="2234" spans="1:14" x14ac:dyDescent="0.25">
      <c r="A2234" s="159">
        <v>42</v>
      </c>
      <c r="B2234" s="160">
        <v>7</v>
      </c>
      <c r="C2234" s="160">
        <v>11700</v>
      </c>
      <c r="D2234" s="160" t="s">
        <v>4939</v>
      </c>
      <c r="E2234" s="160">
        <v>3190</v>
      </c>
      <c r="F2234" s="160" t="s">
        <v>75</v>
      </c>
      <c r="G2234" s="148">
        <v>32</v>
      </c>
      <c r="H2234" s="152">
        <f>IF(C2234=11700,ROUND(VLOOKUP(G2234,ThongSo!$F$2:$I$15,4,0)*B2234*11.7,3),0)</f>
        <v>516.78899999999999</v>
      </c>
      <c r="I2234" s="152" t="str">
        <f>IF(F2234="Sắt vụn",ROUND(VLOOKUP(G2234,ThongSo!$F$2:$I$15,4,0)*B2234*E2234/1000,3),"-")</f>
        <v>-</v>
      </c>
      <c r="L2234" s="150"/>
      <c r="M2234" s="150"/>
      <c r="N2234" s="150"/>
    </row>
    <row r="2235" spans="1:14" x14ac:dyDescent="0.25">
      <c r="A2235" s="159">
        <v>43</v>
      </c>
      <c r="B2235" s="160">
        <v>7</v>
      </c>
      <c r="C2235" s="160">
        <v>11700</v>
      </c>
      <c r="D2235" s="160" t="s">
        <v>4940</v>
      </c>
      <c r="E2235" s="160">
        <v>3370</v>
      </c>
      <c r="F2235" s="160" t="s">
        <v>75</v>
      </c>
      <c r="G2235" s="148">
        <v>32</v>
      </c>
      <c r="H2235" s="152">
        <f>IF(C2235=11700,ROUND(VLOOKUP(G2235,ThongSo!$F$2:$I$15,4,0)*B2235*11.7,3),0)</f>
        <v>516.78899999999999</v>
      </c>
      <c r="I2235" s="152" t="str">
        <f>IF(F2235="Sắt vụn",ROUND(VLOOKUP(G2235,ThongSo!$F$2:$I$15,4,0)*B2235*E2235/1000,3),"-")</f>
        <v>-</v>
      </c>
      <c r="L2235" s="150"/>
      <c r="M2235" s="150"/>
      <c r="N2235" s="150"/>
    </row>
    <row r="2236" spans="1:14" x14ac:dyDescent="0.25">
      <c r="A2236" s="159">
        <v>44</v>
      </c>
      <c r="B2236" s="160">
        <v>4</v>
      </c>
      <c r="C2236" s="160">
        <v>11700</v>
      </c>
      <c r="D2236" s="160" t="s">
        <v>4941</v>
      </c>
      <c r="E2236" s="160">
        <v>3645</v>
      </c>
      <c r="F2236" s="160" t="s">
        <v>75</v>
      </c>
      <c r="G2236" s="148">
        <v>32</v>
      </c>
      <c r="H2236" s="152">
        <f>IF(C2236=11700,ROUND(VLOOKUP(G2236,ThongSo!$F$2:$I$15,4,0)*B2236*11.7,3),0)</f>
        <v>295.30799999999999</v>
      </c>
      <c r="I2236" s="152" t="str">
        <f>IF(F2236="Sắt vụn",ROUND(VLOOKUP(G2236,ThongSo!$F$2:$I$15,4,0)*B2236*E2236/1000,3),"-")</f>
        <v>-</v>
      </c>
      <c r="L2236" s="150"/>
      <c r="M2236" s="150"/>
      <c r="N2236" s="150"/>
    </row>
    <row r="2237" spans="1:14" x14ac:dyDescent="0.25">
      <c r="A2237" s="159">
        <v>45</v>
      </c>
      <c r="B2237" s="160">
        <v>2</v>
      </c>
      <c r="C2237" s="160">
        <v>11700</v>
      </c>
      <c r="D2237" s="160" t="s">
        <v>4942</v>
      </c>
      <c r="E2237" s="160">
        <v>5065</v>
      </c>
      <c r="F2237" s="160" t="s">
        <v>75</v>
      </c>
      <c r="G2237" s="148">
        <v>32</v>
      </c>
      <c r="H2237" s="152">
        <f>IF(C2237=11700,ROUND(VLOOKUP(G2237,ThongSo!$F$2:$I$15,4,0)*B2237*11.7,3),0)</f>
        <v>147.654</v>
      </c>
      <c r="I2237" s="152" t="str">
        <f>IF(F2237="Sắt vụn",ROUND(VLOOKUP(G2237,ThongSo!$F$2:$I$15,4,0)*B2237*E2237/1000,3),"-")</f>
        <v>-</v>
      </c>
      <c r="L2237" s="150"/>
      <c r="M2237" s="150"/>
      <c r="N2237" s="150"/>
    </row>
    <row r="2238" spans="1:14" x14ac:dyDescent="0.25">
      <c r="A2238" s="159">
        <v>46</v>
      </c>
      <c r="B2238" s="160">
        <v>6</v>
      </c>
      <c r="C2238" s="160">
        <v>11700</v>
      </c>
      <c r="D2238" s="160" t="s">
        <v>4943</v>
      </c>
      <c r="E2238" s="160">
        <v>5130</v>
      </c>
      <c r="F2238" s="160" t="s">
        <v>75</v>
      </c>
      <c r="G2238" s="148">
        <v>32</v>
      </c>
      <c r="H2238" s="152">
        <f>IF(C2238=11700,ROUND(VLOOKUP(G2238,ThongSo!$F$2:$I$15,4,0)*B2238*11.7,3),0)</f>
        <v>442.96199999999999</v>
      </c>
      <c r="I2238" s="152" t="str">
        <f>IF(F2238="Sắt vụn",ROUND(VLOOKUP(G2238,ThongSo!$F$2:$I$15,4,0)*B2238*E2238/1000,3),"-")</f>
        <v>-</v>
      </c>
      <c r="L2238" s="150"/>
      <c r="M2238" s="150"/>
      <c r="N2238" s="150"/>
    </row>
    <row r="2239" spans="1:14" x14ac:dyDescent="0.25">
      <c r="A2239" s="157" t="s">
        <v>80</v>
      </c>
      <c r="B2239" s="158"/>
      <c r="C2239" s="158"/>
      <c r="D2239" s="158"/>
      <c r="E2239" s="158"/>
      <c r="F2239" s="158"/>
      <c r="G2239" s="148"/>
      <c r="H2239" s="152">
        <f>IF(C2239=11700,ROUND(VLOOKUP(G2239,ThongSo!$F$2:$I$15,4,0)*B2239*11.7,3),0)</f>
        <v>0</v>
      </c>
      <c r="I2239" s="152" t="str">
        <f>IF(F2239="Sắt vụn",ROUND(VLOOKUP(G2239,ThongSo!$F$2:$I$15,4,0)*B2239*E2239/1000,3),"-")</f>
        <v>-</v>
      </c>
      <c r="L2239" s="150"/>
      <c r="M2239" s="150"/>
      <c r="N2239" s="150"/>
    </row>
    <row r="2240" spans="1:14" x14ac:dyDescent="0.25">
      <c r="A2240" s="159">
        <v>47</v>
      </c>
      <c r="B2240" s="160">
        <v>12</v>
      </c>
      <c r="C2240" s="160">
        <v>11700</v>
      </c>
      <c r="D2240" s="160" t="s">
        <v>4944</v>
      </c>
      <c r="E2240" s="160">
        <v>1050</v>
      </c>
      <c r="F2240" s="160" t="s">
        <v>75</v>
      </c>
      <c r="G2240" s="148">
        <v>18</v>
      </c>
      <c r="H2240" s="152">
        <f>IF(C2240=11700,ROUND(VLOOKUP(G2240,ThongSo!$F$2:$I$15,4,0)*B2240*11.7,3),0)</f>
        <v>280.8</v>
      </c>
      <c r="I2240" s="152" t="str">
        <f>IF(F2240="Sắt vụn",ROUND(VLOOKUP(G2240,ThongSo!$F$2:$I$15,4,0)*B2240*E2240/1000,3),"-")</f>
        <v>-</v>
      </c>
      <c r="L2240" s="150"/>
      <c r="M2240" s="150"/>
      <c r="N2240" s="150"/>
    </row>
    <row r="2241" spans="1:14" x14ac:dyDescent="0.25">
      <c r="A2241" s="159">
        <v>48</v>
      </c>
      <c r="B2241" s="160">
        <v>12</v>
      </c>
      <c r="C2241" s="160">
        <v>11700</v>
      </c>
      <c r="D2241" s="160" t="s">
        <v>4945</v>
      </c>
      <c r="E2241" s="160">
        <v>3800</v>
      </c>
      <c r="F2241" s="160" t="s">
        <v>75</v>
      </c>
      <c r="G2241" s="148">
        <v>18</v>
      </c>
      <c r="H2241" s="152">
        <f>IF(C2241=11700,ROUND(VLOOKUP(G2241,ThongSo!$F$2:$I$15,4,0)*B2241*11.7,3),0)</f>
        <v>280.8</v>
      </c>
      <c r="I2241" s="152" t="str">
        <f>IF(F2241="Sắt vụn",ROUND(VLOOKUP(G2241,ThongSo!$F$2:$I$15,4,0)*B2241*E2241/1000,3),"-")</f>
        <v>-</v>
      </c>
      <c r="L2241" s="150"/>
      <c r="M2241" s="150"/>
      <c r="N2241" s="150"/>
    </row>
    <row r="2242" spans="1:14" x14ac:dyDescent="0.25">
      <c r="A2242" s="157" t="s">
        <v>81</v>
      </c>
      <c r="B2242" s="158"/>
      <c r="C2242" s="158"/>
      <c r="D2242" s="158"/>
      <c r="E2242" s="158"/>
      <c r="F2242" s="158"/>
      <c r="G2242" s="148"/>
      <c r="H2242" s="152">
        <f>IF(C2242=11700,ROUND(VLOOKUP(G2242,ThongSo!$F$2:$I$15,4,0)*B2242*11.7,3),0)</f>
        <v>0</v>
      </c>
      <c r="I2242" s="152" t="str">
        <f>IF(F2242="Sắt vụn",ROUND(VLOOKUP(G2242,ThongSo!$F$2:$I$15,4,0)*B2242*E2242/1000,3),"-")</f>
        <v>-</v>
      </c>
      <c r="L2242" s="150"/>
      <c r="M2242" s="150"/>
      <c r="N2242" s="150"/>
    </row>
    <row r="2243" spans="1:14" x14ac:dyDescent="0.25">
      <c r="A2243" s="159">
        <v>49</v>
      </c>
      <c r="B2243" s="160">
        <v>14</v>
      </c>
      <c r="C2243" s="160">
        <v>11700</v>
      </c>
      <c r="D2243" s="160" t="s">
        <v>4946</v>
      </c>
      <c r="E2243" s="160">
        <v>190</v>
      </c>
      <c r="F2243" s="160" t="s">
        <v>74</v>
      </c>
      <c r="G2243" s="148">
        <v>16</v>
      </c>
      <c r="H2243" s="152">
        <f>IF(C2243=11700,ROUND(VLOOKUP(G2243,ThongSo!$F$2:$I$15,4,0)*B2243*11.7,3),0)</f>
        <v>258.80399999999997</v>
      </c>
      <c r="I2243" s="152">
        <f>IF(F2243="Sắt vụn",ROUND(VLOOKUP(G2243,ThongSo!$F$2:$I$15,4,0)*B2243*E2243/1000,3),"-")</f>
        <v>4.2030000000000003</v>
      </c>
      <c r="L2243" s="150"/>
      <c r="M2243" s="150"/>
      <c r="N2243" s="150"/>
    </row>
    <row r="2244" spans="1:14" x14ac:dyDescent="0.25">
      <c r="A2244" s="159">
        <v>50</v>
      </c>
      <c r="B2244" s="160">
        <v>14</v>
      </c>
      <c r="C2244" s="160">
        <v>11700</v>
      </c>
      <c r="D2244" s="160" t="s">
        <v>4947</v>
      </c>
      <c r="E2244" s="160">
        <v>860</v>
      </c>
      <c r="F2244" s="160" t="s">
        <v>75</v>
      </c>
      <c r="G2244" s="148">
        <v>16</v>
      </c>
      <c r="H2244" s="152">
        <f>IF(C2244=11700,ROUND(VLOOKUP(G2244,ThongSo!$F$2:$I$15,4,0)*B2244*11.7,3),0)</f>
        <v>258.80399999999997</v>
      </c>
      <c r="I2244" s="152" t="str">
        <f>IF(F2244="Sắt vụn",ROUND(VLOOKUP(G2244,ThongSo!$F$2:$I$15,4,0)*B2244*E2244/1000,3),"-")</f>
        <v>-</v>
      </c>
      <c r="L2244" s="150"/>
      <c r="M2244" s="150"/>
      <c r="N2244" s="150"/>
    </row>
    <row r="2245" spans="1:14" x14ac:dyDescent="0.25">
      <c r="A2245" s="159">
        <v>51</v>
      </c>
      <c r="B2245" s="160">
        <v>21</v>
      </c>
      <c r="C2245" s="160">
        <v>11700</v>
      </c>
      <c r="D2245" s="160" t="s">
        <v>4948</v>
      </c>
      <c r="E2245" s="160">
        <v>960</v>
      </c>
      <c r="F2245" s="160" t="s">
        <v>75</v>
      </c>
      <c r="G2245" s="148">
        <v>16</v>
      </c>
      <c r="H2245" s="152">
        <f>IF(C2245=11700,ROUND(VLOOKUP(G2245,ThongSo!$F$2:$I$15,4,0)*B2245*11.7,3),0)</f>
        <v>388.20600000000002</v>
      </c>
      <c r="I2245" s="152" t="str">
        <f>IF(F2245="Sắt vụn",ROUND(VLOOKUP(G2245,ThongSo!$F$2:$I$15,4,0)*B2245*E2245/1000,3),"-")</f>
        <v>-</v>
      </c>
      <c r="L2245" s="150"/>
      <c r="M2245" s="150"/>
      <c r="N2245" s="150"/>
    </row>
    <row r="2246" spans="1:14" x14ac:dyDescent="0.25">
      <c r="A2246" s="157" t="s">
        <v>82</v>
      </c>
      <c r="B2246" s="158"/>
      <c r="C2246" s="158"/>
      <c r="D2246" s="158"/>
      <c r="E2246" s="158"/>
      <c r="F2246" s="158"/>
      <c r="G2246" s="148"/>
      <c r="H2246" s="152">
        <f>IF(C2246=11700,ROUND(VLOOKUP(G2246,ThongSo!$F$2:$I$15,4,0)*B2246*11.7,3),0)</f>
        <v>0</v>
      </c>
      <c r="I2246" s="152" t="str">
        <f>IF(F2246="Sắt vụn",ROUND(VLOOKUP(G2246,ThongSo!$F$2:$I$15,4,0)*B2246*E2246/1000,3),"-")</f>
        <v>-</v>
      </c>
      <c r="L2246" s="150"/>
      <c r="M2246" s="150"/>
      <c r="N2246" s="150"/>
    </row>
    <row r="2247" spans="1:14" x14ac:dyDescent="0.25">
      <c r="A2247" s="159" t="s">
        <v>255</v>
      </c>
      <c r="B2247" s="160">
        <v>50</v>
      </c>
      <c r="C2247" s="160">
        <v>1440</v>
      </c>
      <c r="D2247" s="160" t="s">
        <v>4949</v>
      </c>
      <c r="E2247" s="160">
        <v>70</v>
      </c>
      <c r="F2247" s="160" t="s">
        <v>74</v>
      </c>
      <c r="G2247" s="148">
        <v>14</v>
      </c>
      <c r="H2247" s="152">
        <f>IF(C2247=11700,ROUND(VLOOKUP(G2247,ThongSo!$F$2:$I$15,4,0)*B2247*11.7,3),0)</f>
        <v>0</v>
      </c>
      <c r="I2247" s="152">
        <f>IF(F2247="Sắt vụn",ROUND(VLOOKUP(G2247,ThongSo!$F$2:$I$15,4,0)*B2247*E2247/1000,3),"-")</f>
        <v>4.2350000000000003</v>
      </c>
      <c r="L2247" s="150"/>
      <c r="M2247" s="150"/>
      <c r="N2247" s="150"/>
    </row>
    <row r="2248" spans="1:14" x14ac:dyDescent="0.25">
      <c r="A2248" s="159" t="s">
        <v>359</v>
      </c>
      <c r="B2248" s="160">
        <v>52</v>
      </c>
      <c r="C2248" s="160">
        <v>5230</v>
      </c>
      <c r="D2248" s="160" t="s">
        <v>4950</v>
      </c>
      <c r="E2248" s="160">
        <v>140</v>
      </c>
      <c r="F2248" s="160" t="s">
        <v>74</v>
      </c>
      <c r="G2248" s="148">
        <v>14</v>
      </c>
      <c r="H2248" s="152">
        <f>IF(C2248=11700,ROUND(VLOOKUP(G2248,ThongSo!$F$2:$I$15,4,0)*B2248*11.7,3),0)</f>
        <v>0</v>
      </c>
      <c r="I2248" s="152">
        <f>IF(F2248="Sắt vụn",ROUND(VLOOKUP(G2248,ThongSo!$F$2:$I$15,4,0)*B2248*E2248/1000,3),"-")</f>
        <v>8.8089999999999993</v>
      </c>
      <c r="L2248" s="150"/>
      <c r="M2248" s="150"/>
      <c r="N2248" s="150"/>
    </row>
    <row r="2249" spans="1:14" x14ac:dyDescent="0.25">
      <c r="A2249" s="159" t="s">
        <v>359</v>
      </c>
      <c r="B2249" s="160">
        <v>1</v>
      </c>
      <c r="C2249" s="160">
        <v>5230</v>
      </c>
      <c r="D2249" s="160" t="s">
        <v>4951</v>
      </c>
      <c r="E2249" s="160">
        <v>320</v>
      </c>
      <c r="F2249" s="160" t="s">
        <v>74</v>
      </c>
      <c r="G2249" s="148">
        <v>14</v>
      </c>
      <c r="H2249" s="152">
        <f>IF(C2249=11700,ROUND(VLOOKUP(G2249,ThongSo!$F$2:$I$15,4,0)*B2249*11.7,3),0)</f>
        <v>0</v>
      </c>
      <c r="I2249" s="152">
        <f>IF(F2249="Sắt vụn",ROUND(VLOOKUP(G2249,ThongSo!$F$2:$I$15,4,0)*B2249*E2249/1000,3),"-")</f>
        <v>0.38700000000000001</v>
      </c>
      <c r="L2249" s="150"/>
      <c r="M2249" s="150"/>
      <c r="N2249" s="150"/>
    </row>
    <row r="2250" spans="1:14" x14ac:dyDescent="0.25">
      <c r="A2250" s="159" t="s">
        <v>359</v>
      </c>
      <c r="B2250" s="160">
        <v>14</v>
      </c>
      <c r="C2250" s="160">
        <v>5230</v>
      </c>
      <c r="D2250" s="160" t="s">
        <v>4952</v>
      </c>
      <c r="E2250" s="160">
        <v>390</v>
      </c>
      <c r="F2250" s="160" t="s">
        <v>74</v>
      </c>
      <c r="G2250" s="148">
        <v>14</v>
      </c>
      <c r="H2250" s="152">
        <f>IF(C2250=11700,ROUND(VLOOKUP(G2250,ThongSo!$F$2:$I$15,4,0)*B2250*11.7,3),0)</f>
        <v>0</v>
      </c>
      <c r="I2250" s="152">
        <f>IF(F2250="Sắt vụn",ROUND(VLOOKUP(G2250,ThongSo!$F$2:$I$15,4,0)*B2250*E2250/1000,3),"-")</f>
        <v>6.6070000000000002</v>
      </c>
      <c r="L2250" s="150"/>
      <c r="M2250" s="150"/>
      <c r="N2250" s="150"/>
    </row>
    <row r="2251" spans="1:14" x14ac:dyDescent="0.25">
      <c r="A2251" s="159">
        <v>56</v>
      </c>
      <c r="B2251" s="160">
        <v>52</v>
      </c>
      <c r="C2251" s="160">
        <v>11700</v>
      </c>
      <c r="D2251" s="160" t="s">
        <v>4953</v>
      </c>
      <c r="E2251" s="160">
        <v>10</v>
      </c>
      <c r="F2251" s="160" t="s">
        <v>74</v>
      </c>
      <c r="G2251" s="148">
        <v>14</v>
      </c>
      <c r="H2251" s="152">
        <f>IF(C2251=11700,ROUND(VLOOKUP(G2251,ThongSo!$F$2:$I$15,4,0)*B2251*11.7,3),0)</f>
        <v>736.16399999999999</v>
      </c>
      <c r="I2251" s="152">
        <f>IF(F2251="Sắt vụn",ROUND(VLOOKUP(G2251,ThongSo!$F$2:$I$15,4,0)*B2251*E2251/1000,3),"-")</f>
        <v>0.629</v>
      </c>
      <c r="L2251" s="150"/>
      <c r="M2251" s="150"/>
      <c r="N2251" s="150"/>
    </row>
    <row r="2252" spans="1:14" x14ac:dyDescent="0.25">
      <c r="A2252" s="159">
        <v>57</v>
      </c>
      <c r="B2252" s="160">
        <v>38</v>
      </c>
      <c r="C2252" s="160">
        <v>11700</v>
      </c>
      <c r="D2252" s="160" t="s">
        <v>4954</v>
      </c>
      <c r="E2252" s="160">
        <v>190</v>
      </c>
      <c r="F2252" s="160" t="s">
        <v>74</v>
      </c>
      <c r="G2252" s="148">
        <v>14</v>
      </c>
      <c r="H2252" s="152">
        <f>IF(C2252=11700,ROUND(VLOOKUP(G2252,ThongSo!$F$2:$I$15,4,0)*B2252*11.7,3),0)</f>
        <v>537.96600000000001</v>
      </c>
      <c r="I2252" s="152">
        <f>IF(F2252="Sắt vụn",ROUND(VLOOKUP(G2252,ThongSo!$F$2:$I$15,4,0)*B2252*E2252/1000,3),"-")</f>
        <v>8.7360000000000007</v>
      </c>
      <c r="L2252" s="150"/>
      <c r="M2252" s="150"/>
      <c r="N2252" s="150"/>
    </row>
    <row r="2253" spans="1:14" x14ac:dyDescent="0.25">
      <c r="A2253" s="159">
        <v>58</v>
      </c>
      <c r="B2253" s="160">
        <v>14</v>
      </c>
      <c r="C2253" s="160">
        <v>11700</v>
      </c>
      <c r="D2253" s="160" t="s">
        <v>4955</v>
      </c>
      <c r="E2253" s="160">
        <v>190</v>
      </c>
      <c r="F2253" s="160" t="s">
        <v>74</v>
      </c>
      <c r="G2253" s="148">
        <v>14</v>
      </c>
      <c r="H2253" s="152">
        <f>IF(C2253=11700,ROUND(VLOOKUP(G2253,ThongSo!$F$2:$I$15,4,0)*B2253*11.7,3),0)</f>
        <v>198.19800000000001</v>
      </c>
      <c r="I2253" s="152">
        <f>IF(F2253="Sắt vụn",ROUND(VLOOKUP(G2253,ThongSo!$F$2:$I$15,4,0)*B2253*E2253/1000,3),"-")</f>
        <v>3.2189999999999999</v>
      </c>
      <c r="L2253" s="150"/>
      <c r="M2253" s="150"/>
      <c r="N2253" s="150"/>
    </row>
    <row r="2254" spans="1:14" x14ac:dyDescent="0.25">
      <c r="A2254" s="159">
        <v>59</v>
      </c>
      <c r="B2254" s="160">
        <v>22</v>
      </c>
      <c r="C2254" s="160">
        <v>11700</v>
      </c>
      <c r="D2254" s="160" t="s">
        <v>4956</v>
      </c>
      <c r="E2254" s="160">
        <v>350</v>
      </c>
      <c r="F2254" s="160" t="s">
        <v>74</v>
      </c>
      <c r="G2254" s="148">
        <v>14</v>
      </c>
      <c r="H2254" s="152">
        <f>IF(C2254=11700,ROUND(VLOOKUP(G2254,ThongSo!$F$2:$I$15,4,0)*B2254*11.7,3),0)</f>
        <v>311.45400000000001</v>
      </c>
      <c r="I2254" s="152">
        <f>IF(F2254="Sắt vụn",ROUND(VLOOKUP(G2254,ThongSo!$F$2:$I$15,4,0)*B2254*E2254/1000,3),"-")</f>
        <v>9.3170000000000002</v>
      </c>
      <c r="L2254" s="150"/>
      <c r="M2254" s="150"/>
      <c r="N2254" s="150"/>
    </row>
    <row r="2255" spans="1:14" x14ac:dyDescent="0.25">
      <c r="A2255" s="159">
        <v>60</v>
      </c>
      <c r="B2255" s="160">
        <v>1</v>
      </c>
      <c r="C2255" s="160">
        <v>11700</v>
      </c>
      <c r="D2255" s="160" t="s">
        <v>4957</v>
      </c>
      <c r="E2255" s="160">
        <v>360</v>
      </c>
      <c r="F2255" s="160" t="s">
        <v>74</v>
      </c>
      <c r="G2255" s="148">
        <v>14</v>
      </c>
      <c r="H2255" s="152">
        <f>IF(C2255=11700,ROUND(VLOOKUP(G2255,ThongSo!$F$2:$I$15,4,0)*B2255*11.7,3),0)</f>
        <v>14.157</v>
      </c>
      <c r="I2255" s="152">
        <f>IF(F2255="Sắt vụn",ROUND(VLOOKUP(G2255,ThongSo!$F$2:$I$15,4,0)*B2255*E2255/1000,3),"-")</f>
        <v>0.436</v>
      </c>
      <c r="L2255" s="150"/>
      <c r="M2255" s="150"/>
      <c r="N2255" s="150"/>
    </row>
    <row r="2256" spans="1:14" x14ac:dyDescent="0.25">
      <c r="A2256" s="159">
        <v>61</v>
      </c>
      <c r="B2256" s="160">
        <v>55</v>
      </c>
      <c r="C2256" s="160">
        <v>11700</v>
      </c>
      <c r="D2256" s="160" t="s">
        <v>4958</v>
      </c>
      <c r="E2256" s="160">
        <v>1020</v>
      </c>
      <c r="F2256" s="160" t="s">
        <v>75</v>
      </c>
      <c r="G2256" s="148">
        <v>14</v>
      </c>
      <c r="H2256" s="152">
        <f>IF(C2256=11700,ROUND(VLOOKUP(G2256,ThongSo!$F$2:$I$15,4,0)*B2256*11.7,3),0)</f>
        <v>778.63499999999999</v>
      </c>
      <c r="I2256" s="152" t="str">
        <f>IF(F2256="Sắt vụn",ROUND(VLOOKUP(G2256,ThongSo!$F$2:$I$15,4,0)*B2256*E2256/1000,3),"-")</f>
        <v>-</v>
      </c>
      <c r="L2256" s="150"/>
      <c r="M2256" s="150"/>
      <c r="N2256" s="150"/>
    </row>
    <row r="2257" spans="1:14" x14ac:dyDescent="0.25">
      <c r="A2257" s="159">
        <v>62</v>
      </c>
      <c r="B2257" s="160">
        <v>30</v>
      </c>
      <c r="C2257" s="160">
        <v>11700</v>
      </c>
      <c r="D2257" s="160" t="s">
        <v>4959</v>
      </c>
      <c r="E2257" s="160">
        <v>1050</v>
      </c>
      <c r="F2257" s="160" t="s">
        <v>75</v>
      </c>
      <c r="G2257" s="148">
        <v>14</v>
      </c>
      <c r="H2257" s="152">
        <f>IF(C2257=11700,ROUND(VLOOKUP(G2257,ThongSo!$F$2:$I$15,4,0)*B2257*11.7,3),0)</f>
        <v>424.71</v>
      </c>
      <c r="I2257" s="152" t="str">
        <f>IF(F2257="Sắt vụn",ROUND(VLOOKUP(G2257,ThongSo!$F$2:$I$15,4,0)*B2257*E2257/1000,3),"-")</f>
        <v>-</v>
      </c>
      <c r="L2257" s="150"/>
      <c r="M2257" s="150"/>
      <c r="N2257" s="150"/>
    </row>
    <row r="2258" spans="1:14" x14ac:dyDescent="0.25">
      <c r="A2258" s="159">
        <v>63</v>
      </c>
      <c r="B2258" s="160">
        <v>3</v>
      </c>
      <c r="C2258" s="160">
        <v>11700</v>
      </c>
      <c r="D2258" s="160" t="s">
        <v>4960</v>
      </c>
      <c r="E2258" s="160">
        <v>2530</v>
      </c>
      <c r="F2258" s="160" t="s">
        <v>75</v>
      </c>
      <c r="G2258" s="148">
        <v>14</v>
      </c>
      <c r="H2258" s="152">
        <f>IF(C2258=11700,ROUND(VLOOKUP(G2258,ThongSo!$F$2:$I$15,4,0)*B2258*11.7,3),0)</f>
        <v>42.470999999999997</v>
      </c>
      <c r="I2258" s="152" t="str">
        <f>IF(F2258="Sắt vụn",ROUND(VLOOKUP(G2258,ThongSo!$F$2:$I$15,4,0)*B2258*E2258/1000,3),"-")</f>
        <v>-</v>
      </c>
      <c r="L2258" s="150"/>
      <c r="M2258" s="150"/>
      <c r="N2258" s="150"/>
    </row>
    <row r="2259" spans="1:14" x14ac:dyDescent="0.25">
      <c r="A2259" s="159">
        <v>64</v>
      </c>
      <c r="B2259" s="160">
        <v>8</v>
      </c>
      <c r="C2259" s="160">
        <v>11700</v>
      </c>
      <c r="D2259" s="160" t="s">
        <v>4961</v>
      </c>
      <c r="E2259" s="160">
        <v>5200</v>
      </c>
      <c r="F2259" s="160" t="s">
        <v>75</v>
      </c>
      <c r="G2259" s="148">
        <v>14</v>
      </c>
      <c r="H2259" s="152">
        <f>IF(C2259=11700,ROUND(VLOOKUP(G2259,ThongSo!$F$2:$I$15,4,0)*B2259*11.7,3),0)</f>
        <v>113.256</v>
      </c>
      <c r="I2259" s="152" t="str">
        <f>IF(F2259="Sắt vụn",ROUND(VLOOKUP(G2259,ThongSo!$F$2:$I$15,4,0)*B2259*E2259/1000,3),"-")</f>
        <v>-</v>
      </c>
      <c r="L2259" s="150"/>
      <c r="M2259" s="150"/>
      <c r="N2259" s="150"/>
    </row>
    <row r="2260" spans="1:14" x14ac:dyDescent="0.25">
      <c r="A2260" s="159">
        <v>65</v>
      </c>
      <c r="B2260" s="160">
        <v>12</v>
      </c>
      <c r="C2260" s="160">
        <v>11700</v>
      </c>
      <c r="D2260" s="160" t="s">
        <v>4962</v>
      </c>
      <c r="E2260" s="160">
        <v>5200</v>
      </c>
      <c r="F2260" s="160" t="s">
        <v>75</v>
      </c>
      <c r="G2260" s="148">
        <v>14</v>
      </c>
      <c r="H2260" s="152">
        <f>IF(C2260=11700,ROUND(VLOOKUP(G2260,ThongSo!$F$2:$I$15,4,0)*B2260*11.7,3),0)</f>
        <v>169.88399999999999</v>
      </c>
      <c r="I2260" s="152" t="str">
        <f>IF(F2260="Sắt vụn",ROUND(VLOOKUP(G2260,ThongSo!$F$2:$I$15,4,0)*B2260*E2260/1000,3),"-")</f>
        <v>-</v>
      </c>
      <c r="L2260" s="150"/>
      <c r="M2260" s="150"/>
      <c r="N2260" s="150"/>
    </row>
    <row r="2261" spans="1:14" x14ac:dyDescent="0.25">
      <c r="A2261" s="154"/>
      <c r="G2261" s="148"/>
      <c r="H2261" s="152">
        <f>IF(C2261=11700,ROUND(VLOOKUP(G2261,ThongSo!$F$2:$I$15,4,0)*B2261*11.7,3),0)</f>
        <v>0</v>
      </c>
      <c r="I2261" s="152" t="str">
        <f>IF(F2261="Sắt vụn",ROUND(VLOOKUP(G2261,ThongSo!$F$2:$I$15,4,0)*B2261*E2261/1000,3),"-")</f>
        <v>-</v>
      </c>
      <c r="L2261" s="150"/>
      <c r="M2261" s="150"/>
      <c r="N2261" s="150"/>
    </row>
    <row r="2262" spans="1:14" x14ac:dyDescent="0.25">
      <c r="A2262" s="167">
        <v>10</v>
      </c>
      <c r="B2262" s="167"/>
      <c r="C2262" s="167"/>
      <c r="D2262" s="167"/>
      <c r="E2262" s="167"/>
      <c r="F2262" s="167"/>
      <c r="G2262" s="148"/>
      <c r="H2262" s="152">
        <f>IF(C2262=11700,ROUND(VLOOKUP(G2262,ThongSo!$F$2:$I$15,4,0)*B2262*11.7,3),0)</f>
        <v>0</v>
      </c>
      <c r="I2262" s="152" t="str">
        <f>IF(F2262="Sắt vụn",ROUND(VLOOKUP(G2262,ThongSo!$F$2:$I$15,4,0)*B2262*E2262/1000,3),"-")</f>
        <v>-</v>
      </c>
      <c r="L2262" s="150"/>
      <c r="M2262" s="150"/>
      <c r="N2262" s="150"/>
    </row>
    <row r="2263" spans="1:14" x14ac:dyDescent="0.25">
      <c r="A2263" s="154"/>
      <c r="G2263" s="148"/>
      <c r="H2263" s="152">
        <f>IF(C2263=11700,ROUND(VLOOKUP(G2263,ThongSo!$F$2:$I$15,4,0)*B2263*11.7,3),0)</f>
        <v>0</v>
      </c>
      <c r="I2263" s="152" t="str">
        <f>IF(F2263="Sắt vụn",ROUND(VLOOKUP(G2263,ThongSo!$F$2:$I$15,4,0)*B2263*E2263/1000,3),"-")</f>
        <v>-</v>
      </c>
      <c r="L2263" s="150"/>
      <c r="M2263" s="150"/>
      <c r="N2263" s="150"/>
    </row>
    <row r="2264" spans="1:14" x14ac:dyDescent="0.25">
      <c r="A2264" s="155" t="s">
        <v>50</v>
      </c>
      <c r="B2264" s="155" t="s">
        <v>51</v>
      </c>
      <c r="C2264" s="155" t="s">
        <v>45</v>
      </c>
      <c r="D2264" s="155" t="s">
        <v>42</v>
      </c>
      <c r="E2264" s="155" t="s">
        <v>43</v>
      </c>
      <c r="F2264" s="156" t="s">
        <v>46</v>
      </c>
      <c r="G2264" s="148"/>
      <c r="H2264" s="152">
        <f>IF(C2264=11700,ROUND(VLOOKUP(G2264,ThongSo!$F$2:$I$15,4,0)*B2264*11.7,3),0)</f>
        <v>0</v>
      </c>
      <c r="I2264" s="152" t="str">
        <f>IF(F2264="Sắt vụn",ROUND(VLOOKUP(G2264,ThongSo!$F$2:$I$15,4,0)*B2264*E2264/1000,3),"-")</f>
        <v>-</v>
      </c>
      <c r="L2264" s="150"/>
      <c r="M2264" s="150"/>
      <c r="N2264" s="150"/>
    </row>
    <row r="2265" spans="1:14" x14ac:dyDescent="0.25">
      <c r="A2265" s="157" t="s">
        <v>72</v>
      </c>
      <c r="B2265" s="158"/>
      <c r="C2265" s="158"/>
      <c r="D2265" s="158"/>
      <c r="E2265" s="158"/>
      <c r="F2265" s="158"/>
      <c r="G2265" s="148"/>
      <c r="H2265" s="152">
        <f>IF(C2265=11700,ROUND(VLOOKUP(G2265,ThongSo!$F$2:$I$15,4,0)*B2265*11.7,3),0)</f>
        <v>0</v>
      </c>
      <c r="I2265" s="152" t="str">
        <f>IF(F2265="Sắt vụn",ROUND(VLOOKUP(G2265,ThongSo!$F$2:$I$15,4,0)*B2265*E2265/1000,3),"-")</f>
        <v>-</v>
      </c>
      <c r="L2265" s="150"/>
      <c r="M2265" s="150"/>
      <c r="N2265" s="150"/>
    </row>
    <row r="2266" spans="1:14" x14ac:dyDescent="0.25">
      <c r="A2266" s="159" t="s">
        <v>73</v>
      </c>
      <c r="B2266" s="160">
        <v>39</v>
      </c>
      <c r="C2266" s="160">
        <v>11700</v>
      </c>
      <c r="D2266" s="160"/>
      <c r="E2266" s="160"/>
      <c r="F2266" s="160"/>
      <c r="G2266" s="148">
        <v>32</v>
      </c>
      <c r="H2266" s="152">
        <f>IF(C2266=11700,ROUND(VLOOKUP(G2266,ThongSo!$F$2:$I$15,4,0)*B2266*11.7,3),0)</f>
        <v>2879.2530000000002</v>
      </c>
      <c r="I2266" s="152" t="str">
        <f>IF(F2266="Sắt vụn",ROUND(VLOOKUP(G2266,ThongSo!$F$2:$I$15,4,0)*B2266*E2266/1000,3),"-")</f>
        <v>-</v>
      </c>
      <c r="L2266" s="150"/>
      <c r="M2266" s="150"/>
      <c r="N2266" s="150"/>
    </row>
    <row r="2267" spans="1:14" x14ac:dyDescent="0.25">
      <c r="A2267" s="159" t="s">
        <v>239</v>
      </c>
      <c r="B2267" s="160">
        <v>1</v>
      </c>
      <c r="C2267" s="160">
        <v>2880</v>
      </c>
      <c r="D2267" s="160" t="s">
        <v>4964</v>
      </c>
      <c r="E2267" s="160">
        <v>30</v>
      </c>
      <c r="F2267" s="160" t="s">
        <v>74</v>
      </c>
      <c r="G2267" s="148">
        <v>32</v>
      </c>
      <c r="H2267" s="152">
        <f>IF(C2267=11700,ROUND(VLOOKUP(G2267,ThongSo!$F$2:$I$15,4,0)*B2267*11.7,3),0)</f>
        <v>0</v>
      </c>
      <c r="I2267" s="152">
        <f>IF(F2267="Sắt vụn",ROUND(VLOOKUP(G2267,ThongSo!$F$2:$I$15,4,0)*B2267*E2267/1000,3),"-")</f>
        <v>0.189</v>
      </c>
      <c r="L2267" s="150"/>
      <c r="M2267" s="150"/>
      <c r="N2267" s="150"/>
    </row>
    <row r="2268" spans="1:14" x14ac:dyDescent="0.25">
      <c r="A2268" s="159" t="s">
        <v>126</v>
      </c>
      <c r="B2268" s="160">
        <v>1</v>
      </c>
      <c r="C2268" s="160">
        <v>2965</v>
      </c>
      <c r="D2268" s="160" t="s">
        <v>4964</v>
      </c>
      <c r="E2268" s="160">
        <v>115</v>
      </c>
      <c r="F2268" s="160" t="s">
        <v>74</v>
      </c>
      <c r="G2268" s="148">
        <v>32</v>
      </c>
      <c r="H2268" s="152">
        <f>IF(C2268=11700,ROUND(VLOOKUP(G2268,ThongSo!$F$2:$I$15,4,0)*B2268*11.7,3),0)</f>
        <v>0</v>
      </c>
      <c r="I2268" s="152">
        <f>IF(F2268="Sắt vụn",ROUND(VLOOKUP(G2268,ThongSo!$F$2:$I$15,4,0)*B2268*E2268/1000,3),"-")</f>
        <v>0.72599999999999998</v>
      </c>
      <c r="L2268" s="150"/>
      <c r="M2268" s="150"/>
      <c r="N2268" s="150"/>
    </row>
    <row r="2269" spans="1:14" x14ac:dyDescent="0.25">
      <c r="A2269" s="159" t="s">
        <v>222</v>
      </c>
      <c r="B2269" s="160">
        <v>4</v>
      </c>
      <c r="C2269" s="160">
        <v>2970</v>
      </c>
      <c r="D2269" s="160" t="s">
        <v>4964</v>
      </c>
      <c r="E2269" s="160">
        <v>120</v>
      </c>
      <c r="F2269" s="160" t="s">
        <v>74</v>
      </c>
      <c r="G2269" s="148">
        <v>32</v>
      </c>
      <c r="H2269" s="152">
        <f>IF(C2269=11700,ROUND(VLOOKUP(G2269,ThongSo!$F$2:$I$15,4,0)*B2269*11.7,3),0)</f>
        <v>0</v>
      </c>
      <c r="I2269" s="152">
        <f>IF(F2269="Sắt vụn",ROUND(VLOOKUP(G2269,ThongSo!$F$2:$I$15,4,0)*B2269*E2269/1000,3),"-")</f>
        <v>3.0289999999999999</v>
      </c>
      <c r="L2269" s="150"/>
      <c r="M2269" s="150"/>
      <c r="N2269" s="150"/>
    </row>
    <row r="2270" spans="1:14" x14ac:dyDescent="0.25">
      <c r="A2270" s="159" t="s">
        <v>222</v>
      </c>
      <c r="B2270" s="160">
        <v>2</v>
      </c>
      <c r="C2270" s="160">
        <v>2970</v>
      </c>
      <c r="D2270" s="160" t="s">
        <v>4965</v>
      </c>
      <c r="E2270" s="160">
        <v>120</v>
      </c>
      <c r="F2270" s="160" t="s">
        <v>74</v>
      </c>
      <c r="G2270" s="148">
        <v>32</v>
      </c>
      <c r="H2270" s="152">
        <f>IF(C2270=11700,ROUND(VLOOKUP(G2270,ThongSo!$F$2:$I$15,4,0)*B2270*11.7,3),0)</f>
        <v>0</v>
      </c>
      <c r="I2270" s="152">
        <f>IF(F2270="Sắt vụn",ROUND(VLOOKUP(G2270,ThongSo!$F$2:$I$15,4,0)*B2270*E2270/1000,3),"-")</f>
        <v>1.514</v>
      </c>
      <c r="L2270" s="150"/>
      <c r="M2270" s="150"/>
      <c r="N2270" s="150"/>
    </row>
    <row r="2271" spans="1:14" x14ac:dyDescent="0.25">
      <c r="A2271" s="159" t="s">
        <v>209</v>
      </c>
      <c r="B2271" s="160">
        <v>2</v>
      </c>
      <c r="C2271" s="160">
        <v>3000</v>
      </c>
      <c r="D2271" s="160" t="s">
        <v>4965</v>
      </c>
      <c r="E2271" s="160">
        <v>150</v>
      </c>
      <c r="F2271" s="160" t="s">
        <v>74</v>
      </c>
      <c r="G2271" s="148">
        <v>32</v>
      </c>
      <c r="H2271" s="152">
        <f>IF(C2271=11700,ROUND(VLOOKUP(G2271,ThongSo!$F$2:$I$15,4,0)*B2271*11.7,3),0)</f>
        <v>0</v>
      </c>
      <c r="I2271" s="152">
        <f>IF(F2271="Sắt vụn",ROUND(VLOOKUP(G2271,ThongSo!$F$2:$I$15,4,0)*B2271*E2271/1000,3),"-")</f>
        <v>1.893</v>
      </c>
      <c r="L2271" s="150"/>
      <c r="M2271" s="150"/>
      <c r="N2271" s="150"/>
    </row>
    <row r="2272" spans="1:14" x14ac:dyDescent="0.25">
      <c r="A2272" s="159" t="s">
        <v>254</v>
      </c>
      <c r="B2272" s="160">
        <v>3</v>
      </c>
      <c r="C2272" s="160">
        <v>3020</v>
      </c>
      <c r="D2272" s="160" t="s">
        <v>4965</v>
      </c>
      <c r="E2272" s="160">
        <v>170</v>
      </c>
      <c r="F2272" s="160" t="s">
        <v>74</v>
      </c>
      <c r="G2272" s="148">
        <v>32</v>
      </c>
      <c r="H2272" s="152">
        <f>IF(C2272=11700,ROUND(VLOOKUP(G2272,ThongSo!$F$2:$I$15,4,0)*B2272*11.7,3),0)</f>
        <v>0</v>
      </c>
      <c r="I2272" s="152">
        <f>IF(F2272="Sắt vụn",ROUND(VLOOKUP(G2272,ThongSo!$F$2:$I$15,4,0)*B2272*E2272/1000,3),"-")</f>
        <v>3.218</v>
      </c>
      <c r="L2272" s="150"/>
      <c r="M2272" s="150"/>
      <c r="N2272" s="150"/>
    </row>
    <row r="2273" spans="1:14" x14ac:dyDescent="0.25">
      <c r="A2273" s="159" t="s">
        <v>254</v>
      </c>
      <c r="B2273" s="160">
        <v>5</v>
      </c>
      <c r="C2273" s="160">
        <v>3020</v>
      </c>
      <c r="D2273" s="160" t="s">
        <v>4966</v>
      </c>
      <c r="E2273" s="160">
        <v>270</v>
      </c>
      <c r="F2273" s="160" t="s">
        <v>74</v>
      </c>
      <c r="G2273" s="148">
        <v>32</v>
      </c>
      <c r="H2273" s="152">
        <f>IF(C2273=11700,ROUND(VLOOKUP(G2273,ThongSo!$F$2:$I$15,4,0)*B2273*11.7,3),0)</f>
        <v>0</v>
      </c>
      <c r="I2273" s="152">
        <f>IF(F2273="Sắt vụn",ROUND(VLOOKUP(G2273,ThongSo!$F$2:$I$15,4,0)*B2273*E2273/1000,3),"-")</f>
        <v>8.5190000000000001</v>
      </c>
      <c r="L2273" s="150"/>
      <c r="M2273" s="150"/>
      <c r="N2273" s="150"/>
    </row>
    <row r="2274" spans="1:14" x14ac:dyDescent="0.25">
      <c r="A2274" s="159" t="s">
        <v>152</v>
      </c>
      <c r="B2274" s="160">
        <v>2</v>
      </c>
      <c r="C2274" s="160">
        <v>3030</v>
      </c>
      <c r="D2274" s="160" t="s">
        <v>4966</v>
      </c>
      <c r="E2274" s="160">
        <v>280</v>
      </c>
      <c r="F2274" s="160" t="s">
        <v>74</v>
      </c>
      <c r="G2274" s="148">
        <v>32</v>
      </c>
      <c r="H2274" s="152">
        <f>IF(C2274=11700,ROUND(VLOOKUP(G2274,ThongSo!$F$2:$I$15,4,0)*B2274*11.7,3),0)</f>
        <v>0</v>
      </c>
      <c r="I2274" s="152">
        <f>IF(F2274="Sắt vụn",ROUND(VLOOKUP(G2274,ThongSo!$F$2:$I$15,4,0)*B2274*E2274/1000,3),"-")</f>
        <v>3.5339999999999998</v>
      </c>
      <c r="L2274" s="150"/>
      <c r="M2274" s="150"/>
      <c r="N2274" s="150"/>
    </row>
    <row r="2275" spans="1:14" x14ac:dyDescent="0.25">
      <c r="A2275" s="159" t="s">
        <v>127</v>
      </c>
      <c r="B2275" s="160">
        <v>6</v>
      </c>
      <c r="C2275" s="160">
        <v>3040</v>
      </c>
      <c r="D2275" s="160" t="s">
        <v>4967</v>
      </c>
      <c r="E2275" s="160">
        <v>290</v>
      </c>
      <c r="F2275" s="160" t="s">
        <v>74</v>
      </c>
      <c r="G2275" s="148">
        <v>32</v>
      </c>
      <c r="H2275" s="152">
        <f>IF(C2275=11700,ROUND(VLOOKUP(G2275,ThongSo!$F$2:$I$15,4,0)*B2275*11.7,3),0)</f>
        <v>0</v>
      </c>
      <c r="I2275" s="152">
        <f>IF(F2275="Sắt vụn",ROUND(VLOOKUP(G2275,ThongSo!$F$2:$I$15,4,0)*B2275*E2275/1000,3),"-")</f>
        <v>10.978999999999999</v>
      </c>
      <c r="L2275" s="150"/>
      <c r="M2275" s="150"/>
      <c r="N2275" s="150"/>
    </row>
    <row r="2276" spans="1:14" x14ac:dyDescent="0.25">
      <c r="A2276" s="159" t="s">
        <v>194</v>
      </c>
      <c r="B2276" s="160">
        <v>1</v>
      </c>
      <c r="C2276" s="160">
        <v>4050</v>
      </c>
      <c r="D2276" s="160" t="s">
        <v>4968</v>
      </c>
      <c r="E2276" s="160">
        <v>930</v>
      </c>
      <c r="F2276" s="160" t="s">
        <v>74</v>
      </c>
      <c r="G2276" s="148">
        <v>32</v>
      </c>
      <c r="H2276" s="152">
        <f>IF(C2276=11700,ROUND(VLOOKUP(G2276,ThongSo!$F$2:$I$15,4,0)*B2276*11.7,3),0)</f>
        <v>0</v>
      </c>
      <c r="I2276" s="152">
        <f>IF(F2276="Sắt vụn",ROUND(VLOOKUP(G2276,ThongSo!$F$2:$I$15,4,0)*B2276*E2276/1000,3),"-")</f>
        <v>5.8680000000000003</v>
      </c>
      <c r="L2276" s="150"/>
      <c r="M2276" s="150"/>
      <c r="N2276" s="150"/>
    </row>
    <row r="2277" spans="1:14" x14ac:dyDescent="0.25">
      <c r="A2277" s="159" t="s">
        <v>328</v>
      </c>
      <c r="B2277" s="160">
        <v>2</v>
      </c>
      <c r="C2277" s="160">
        <v>4120</v>
      </c>
      <c r="D2277" s="160" t="s">
        <v>4968</v>
      </c>
      <c r="E2277" s="160">
        <v>1000</v>
      </c>
      <c r="F2277" s="160" t="s">
        <v>74</v>
      </c>
      <c r="G2277" s="148">
        <v>32</v>
      </c>
      <c r="H2277" s="152">
        <f>IF(C2277=11700,ROUND(VLOOKUP(G2277,ThongSo!$F$2:$I$15,4,0)*B2277*11.7,3),0)</f>
        <v>0</v>
      </c>
      <c r="I2277" s="152">
        <f>IF(F2277="Sắt vụn",ROUND(VLOOKUP(G2277,ThongSo!$F$2:$I$15,4,0)*B2277*E2277/1000,3),"-")</f>
        <v>12.62</v>
      </c>
      <c r="L2277" s="150"/>
      <c r="M2277" s="150"/>
      <c r="N2277" s="150"/>
    </row>
    <row r="2278" spans="1:14" x14ac:dyDescent="0.25">
      <c r="A2278" s="159" t="s">
        <v>335</v>
      </c>
      <c r="B2278" s="160">
        <v>4</v>
      </c>
      <c r="C2278" s="160">
        <v>3190</v>
      </c>
      <c r="D2278" s="160" t="s">
        <v>4968</v>
      </c>
      <c r="E2278" s="160">
        <v>70</v>
      </c>
      <c r="F2278" s="160" t="s">
        <v>74</v>
      </c>
      <c r="G2278" s="148">
        <v>32</v>
      </c>
      <c r="H2278" s="152">
        <f>IF(C2278=11700,ROUND(VLOOKUP(G2278,ThongSo!$F$2:$I$15,4,0)*B2278*11.7,3),0)</f>
        <v>0</v>
      </c>
      <c r="I2278" s="152">
        <f>IF(F2278="Sắt vụn",ROUND(VLOOKUP(G2278,ThongSo!$F$2:$I$15,4,0)*B2278*E2278/1000,3),"-")</f>
        <v>1.7669999999999999</v>
      </c>
      <c r="L2278" s="150"/>
      <c r="M2278" s="150"/>
      <c r="N2278" s="150"/>
    </row>
    <row r="2279" spans="1:14" x14ac:dyDescent="0.25">
      <c r="A2279" s="159" t="s">
        <v>335</v>
      </c>
      <c r="B2279" s="160">
        <v>3</v>
      </c>
      <c r="C2279" s="160">
        <v>3190</v>
      </c>
      <c r="D2279" s="160" t="s">
        <v>4969</v>
      </c>
      <c r="E2279" s="160">
        <v>70</v>
      </c>
      <c r="F2279" s="160" t="s">
        <v>74</v>
      </c>
      <c r="G2279" s="148">
        <v>32</v>
      </c>
      <c r="H2279" s="152">
        <f>IF(C2279=11700,ROUND(VLOOKUP(G2279,ThongSo!$F$2:$I$15,4,0)*B2279*11.7,3),0)</f>
        <v>0</v>
      </c>
      <c r="I2279" s="152">
        <f>IF(F2279="Sắt vụn",ROUND(VLOOKUP(G2279,ThongSo!$F$2:$I$15,4,0)*B2279*E2279/1000,3),"-")</f>
        <v>1.325</v>
      </c>
      <c r="L2279" s="150"/>
      <c r="M2279" s="150"/>
      <c r="N2279" s="150"/>
    </row>
    <row r="2280" spans="1:14" x14ac:dyDescent="0.25">
      <c r="A2280" s="159" t="s">
        <v>242</v>
      </c>
      <c r="B2280" s="160">
        <v>3</v>
      </c>
      <c r="C2280" s="160">
        <v>3370</v>
      </c>
      <c r="D2280" s="160" t="s">
        <v>4969</v>
      </c>
      <c r="E2280" s="160">
        <v>250</v>
      </c>
      <c r="F2280" s="160" t="s">
        <v>74</v>
      </c>
      <c r="G2280" s="148">
        <v>32</v>
      </c>
      <c r="H2280" s="152">
        <f>IF(C2280=11700,ROUND(VLOOKUP(G2280,ThongSo!$F$2:$I$15,4,0)*B2280*11.7,3),0)</f>
        <v>0</v>
      </c>
      <c r="I2280" s="152">
        <f>IF(F2280="Sắt vụn",ROUND(VLOOKUP(G2280,ThongSo!$F$2:$I$15,4,0)*B2280*E2280/1000,3),"-")</f>
        <v>4.7329999999999997</v>
      </c>
      <c r="L2280" s="150"/>
      <c r="M2280" s="150"/>
      <c r="N2280" s="150"/>
    </row>
    <row r="2281" spans="1:14" x14ac:dyDescent="0.25">
      <c r="A2281" s="159">
        <v>16</v>
      </c>
      <c r="B2281" s="160">
        <v>3</v>
      </c>
      <c r="C2281" s="160">
        <v>11700</v>
      </c>
      <c r="D2281" s="160" t="s">
        <v>4970</v>
      </c>
      <c r="E2281" s="160">
        <v>1100</v>
      </c>
      <c r="F2281" s="160" t="s">
        <v>74</v>
      </c>
      <c r="G2281" s="148">
        <v>32</v>
      </c>
      <c r="H2281" s="152">
        <f>IF(C2281=11700,ROUND(VLOOKUP(G2281,ThongSo!$F$2:$I$15,4,0)*B2281*11.7,3),0)</f>
        <v>221.48099999999999</v>
      </c>
      <c r="I2281" s="152">
        <f>IF(F2281="Sắt vụn",ROUND(VLOOKUP(G2281,ThongSo!$F$2:$I$15,4,0)*B2281*E2281/1000,3),"-")</f>
        <v>20.823</v>
      </c>
      <c r="L2281" s="150"/>
      <c r="M2281" s="150"/>
      <c r="N2281" s="150"/>
    </row>
    <row r="2282" spans="1:14" x14ac:dyDescent="0.25">
      <c r="A2282" s="159">
        <v>17</v>
      </c>
      <c r="B2282" s="160">
        <v>6</v>
      </c>
      <c r="C2282" s="160">
        <v>11700</v>
      </c>
      <c r="D2282" s="160" t="s">
        <v>4971</v>
      </c>
      <c r="E2282" s="160">
        <v>2760</v>
      </c>
      <c r="F2282" s="160" t="s">
        <v>75</v>
      </c>
      <c r="G2282" s="148">
        <v>32</v>
      </c>
      <c r="H2282" s="152">
        <f>IF(C2282=11700,ROUND(VLOOKUP(G2282,ThongSo!$F$2:$I$15,4,0)*B2282*11.7,3),0)</f>
        <v>442.96199999999999</v>
      </c>
      <c r="I2282" s="152" t="str">
        <f>IF(F2282="Sắt vụn",ROUND(VLOOKUP(G2282,ThongSo!$F$2:$I$15,4,0)*B2282*E2282/1000,3),"-")</f>
        <v>-</v>
      </c>
      <c r="L2282" s="150"/>
      <c r="M2282" s="150"/>
      <c r="N2282" s="150"/>
    </row>
    <row r="2283" spans="1:14" x14ac:dyDescent="0.25">
      <c r="A2283" s="159">
        <v>18</v>
      </c>
      <c r="B2283" s="160">
        <v>7</v>
      </c>
      <c r="C2283" s="160">
        <v>11700</v>
      </c>
      <c r="D2283" s="160" t="s">
        <v>4972</v>
      </c>
      <c r="E2283" s="160">
        <v>4560</v>
      </c>
      <c r="F2283" s="160" t="s">
        <v>75</v>
      </c>
      <c r="G2283" s="148">
        <v>32</v>
      </c>
      <c r="H2283" s="152">
        <f>IF(C2283=11700,ROUND(VLOOKUP(G2283,ThongSo!$F$2:$I$15,4,0)*B2283*11.7,3),0)</f>
        <v>516.78899999999999</v>
      </c>
      <c r="I2283" s="152" t="str">
        <f>IF(F2283="Sắt vụn",ROUND(VLOOKUP(G2283,ThongSo!$F$2:$I$15,4,0)*B2283*E2283/1000,3),"-")</f>
        <v>-</v>
      </c>
      <c r="L2283" s="150"/>
      <c r="M2283" s="150"/>
      <c r="N2283" s="150"/>
    </row>
    <row r="2284" spans="1:14" x14ac:dyDescent="0.25">
      <c r="A2284" s="159">
        <v>19</v>
      </c>
      <c r="B2284" s="160">
        <v>7</v>
      </c>
      <c r="C2284" s="160">
        <v>11700</v>
      </c>
      <c r="D2284" s="160" t="s">
        <v>4973</v>
      </c>
      <c r="E2284" s="160">
        <v>4600</v>
      </c>
      <c r="F2284" s="160" t="s">
        <v>75</v>
      </c>
      <c r="G2284" s="148">
        <v>32</v>
      </c>
      <c r="H2284" s="152">
        <f>IF(C2284=11700,ROUND(VLOOKUP(G2284,ThongSo!$F$2:$I$15,4,0)*B2284*11.7,3),0)</f>
        <v>516.78899999999999</v>
      </c>
      <c r="I2284" s="152" t="str">
        <f>IF(F2284="Sắt vụn",ROUND(VLOOKUP(G2284,ThongSo!$F$2:$I$15,4,0)*B2284*E2284/1000,3),"-")</f>
        <v>-</v>
      </c>
      <c r="L2284" s="150"/>
      <c r="M2284" s="150"/>
      <c r="N2284" s="150"/>
    </row>
    <row r="2285" spans="1:14" x14ac:dyDescent="0.25">
      <c r="A2285" s="157" t="s">
        <v>81</v>
      </c>
      <c r="B2285" s="158"/>
      <c r="C2285" s="158"/>
      <c r="D2285" s="158"/>
      <c r="E2285" s="158"/>
      <c r="F2285" s="158"/>
      <c r="G2285" s="148"/>
      <c r="H2285" s="152">
        <f>IF(C2285=11700,ROUND(VLOOKUP(G2285,ThongSo!$F$2:$I$15,4,0)*B2285*11.7,3),0)</f>
        <v>0</v>
      </c>
      <c r="I2285" s="152" t="str">
        <f>IF(F2285="Sắt vụn",ROUND(VLOOKUP(G2285,ThongSo!$F$2:$I$15,4,0)*B2285*E2285/1000,3),"-")</f>
        <v>-</v>
      </c>
      <c r="L2285" s="150"/>
      <c r="M2285" s="150"/>
      <c r="N2285" s="150"/>
    </row>
    <row r="2286" spans="1:14" x14ac:dyDescent="0.25">
      <c r="A2286" s="159">
        <v>20</v>
      </c>
      <c r="B2286" s="160">
        <v>28</v>
      </c>
      <c r="C2286" s="160">
        <v>11700</v>
      </c>
      <c r="D2286" s="160" t="s">
        <v>4974</v>
      </c>
      <c r="E2286" s="160">
        <v>190</v>
      </c>
      <c r="F2286" s="160" t="s">
        <v>74</v>
      </c>
      <c r="G2286" s="148">
        <v>16</v>
      </c>
      <c r="H2286" s="152">
        <f>IF(C2286=11700,ROUND(VLOOKUP(G2286,ThongSo!$F$2:$I$15,4,0)*B2286*11.7,3),0)</f>
        <v>517.60799999999995</v>
      </c>
      <c r="I2286" s="152">
        <f>IF(F2286="Sắt vụn",ROUND(VLOOKUP(G2286,ThongSo!$F$2:$I$15,4,0)*B2286*E2286/1000,3),"-")</f>
        <v>8.4060000000000006</v>
      </c>
      <c r="L2286" s="150"/>
      <c r="M2286" s="150"/>
      <c r="N2286" s="150"/>
    </row>
    <row r="2287" spans="1:14" x14ac:dyDescent="0.25">
      <c r="A2287" s="159">
        <v>21</v>
      </c>
      <c r="B2287" s="160">
        <v>28</v>
      </c>
      <c r="C2287" s="160">
        <v>11700</v>
      </c>
      <c r="D2287" s="160" t="s">
        <v>4975</v>
      </c>
      <c r="E2287" s="160">
        <v>860</v>
      </c>
      <c r="F2287" s="160" t="s">
        <v>75</v>
      </c>
      <c r="G2287" s="148">
        <v>16</v>
      </c>
      <c r="H2287" s="152">
        <f>IF(C2287=11700,ROUND(VLOOKUP(G2287,ThongSo!$F$2:$I$15,4,0)*B2287*11.7,3),0)</f>
        <v>517.60799999999995</v>
      </c>
      <c r="I2287" s="152" t="str">
        <f>IF(F2287="Sắt vụn",ROUND(VLOOKUP(G2287,ThongSo!$F$2:$I$15,4,0)*B2287*E2287/1000,3),"-")</f>
        <v>-</v>
      </c>
      <c r="L2287" s="150"/>
      <c r="M2287" s="150"/>
      <c r="N2287" s="150"/>
    </row>
    <row r="2288" spans="1:14" x14ac:dyDescent="0.25">
      <c r="A2288" s="159">
        <v>22</v>
      </c>
      <c r="B2288" s="160">
        <v>42</v>
      </c>
      <c r="C2288" s="160">
        <v>11700</v>
      </c>
      <c r="D2288" s="160" t="s">
        <v>4976</v>
      </c>
      <c r="E2288" s="160">
        <v>960</v>
      </c>
      <c r="F2288" s="160" t="s">
        <v>75</v>
      </c>
      <c r="G2288" s="148">
        <v>16</v>
      </c>
      <c r="H2288" s="152">
        <f>IF(C2288=11700,ROUND(VLOOKUP(G2288,ThongSo!$F$2:$I$15,4,0)*B2288*11.7,3),0)</f>
        <v>776.41200000000003</v>
      </c>
      <c r="I2288" s="152" t="str">
        <f>IF(F2288="Sắt vụn",ROUND(VLOOKUP(G2288,ThongSo!$F$2:$I$15,4,0)*B2288*E2288/1000,3),"-")</f>
        <v>-</v>
      </c>
      <c r="L2288" s="150"/>
      <c r="M2288" s="150"/>
      <c r="N2288" s="150"/>
    </row>
    <row r="2289" spans="1:14" x14ac:dyDescent="0.25">
      <c r="A2289" s="157" t="s">
        <v>82</v>
      </c>
      <c r="B2289" s="158"/>
      <c r="C2289" s="158"/>
      <c r="D2289" s="158"/>
      <c r="E2289" s="158"/>
      <c r="F2289" s="158"/>
      <c r="G2289" s="148">
        <v>16</v>
      </c>
      <c r="H2289" s="152">
        <f>IF(C2289=11700,ROUND(VLOOKUP(G2289,ThongSo!$F$2:$I$15,4,0)*B2289*11.7,3),0)</f>
        <v>0</v>
      </c>
      <c r="I2289" s="152" t="str">
        <f>IF(F2289="Sắt vụn",ROUND(VLOOKUP(G2289,ThongSo!$F$2:$I$15,4,0)*B2289*E2289/1000,3),"-")</f>
        <v>-</v>
      </c>
      <c r="L2289" s="150">
        <f>SUM(H2286:H2388)</f>
        <v>29366.414999999994</v>
      </c>
      <c r="M2289" s="150"/>
      <c r="N2289" s="150"/>
    </row>
    <row r="2290" spans="1:14" x14ac:dyDescent="0.25">
      <c r="A2290" s="159" t="s">
        <v>133</v>
      </c>
      <c r="B2290" s="160">
        <v>20</v>
      </c>
      <c r="C2290" s="160">
        <v>5200</v>
      </c>
      <c r="D2290" s="160" t="s">
        <v>4977</v>
      </c>
      <c r="E2290" s="160">
        <v>2250</v>
      </c>
      <c r="F2290" s="160" t="s">
        <v>75</v>
      </c>
      <c r="G2290" s="148">
        <v>16</v>
      </c>
      <c r="H2290" s="152">
        <f>IF(C2290=11700,ROUND(VLOOKUP(G2290,ThongSo!$F$2:$I$15,4,0)*B2290*11.7,3),0)</f>
        <v>0</v>
      </c>
      <c r="I2290" s="152" t="str">
        <f>IF(F2290="Sắt vụn",ROUND(VLOOKUP(G2290,ThongSo!$F$2:$I$15,4,0)*B2290*E2290/1000,3),"-")</f>
        <v>-</v>
      </c>
      <c r="L2290" s="150"/>
      <c r="M2290" s="150"/>
      <c r="N2290" s="150"/>
    </row>
    <row r="2291" spans="1:14" x14ac:dyDescent="0.25">
      <c r="A2291" s="159">
        <v>24</v>
      </c>
      <c r="B2291" s="160">
        <v>12</v>
      </c>
      <c r="C2291" s="160">
        <v>11700</v>
      </c>
      <c r="D2291" s="160" t="s">
        <v>4978</v>
      </c>
      <c r="E2291" s="160">
        <v>180</v>
      </c>
      <c r="F2291" s="160" t="s">
        <v>74</v>
      </c>
      <c r="G2291" s="148">
        <v>16</v>
      </c>
      <c r="H2291" s="152">
        <f>IF(C2291=11700,ROUND(VLOOKUP(G2291,ThongSo!$F$2:$I$15,4,0)*B2291*11.7,3),0)</f>
        <v>221.83199999999999</v>
      </c>
      <c r="I2291" s="152">
        <f>IF(F2291="Sắt vụn",ROUND(VLOOKUP(G2291,ThongSo!$F$2:$I$15,4,0)*B2291*E2291/1000,3),"-")</f>
        <v>3.4129999999999998</v>
      </c>
      <c r="L2291" s="150"/>
      <c r="M2291" s="150"/>
      <c r="N2291" s="150"/>
    </row>
    <row r="2292" spans="1:14" x14ac:dyDescent="0.25">
      <c r="A2292" s="159">
        <v>25</v>
      </c>
      <c r="B2292" s="160">
        <v>1</v>
      </c>
      <c r="C2292" s="160">
        <v>11700</v>
      </c>
      <c r="D2292" s="160" t="s">
        <v>4979</v>
      </c>
      <c r="E2292" s="160">
        <v>460</v>
      </c>
      <c r="F2292" s="160" t="s">
        <v>74</v>
      </c>
      <c r="G2292" s="148">
        <v>16</v>
      </c>
      <c r="H2292" s="152">
        <f>IF(C2292=11700,ROUND(VLOOKUP(G2292,ThongSo!$F$2:$I$15,4,0)*B2292*11.7,3),0)</f>
        <v>18.486000000000001</v>
      </c>
      <c r="I2292" s="152">
        <f>IF(F2292="Sắt vụn",ROUND(VLOOKUP(G2292,ThongSo!$F$2:$I$15,4,0)*B2292*E2292/1000,3),"-")</f>
        <v>0.72699999999999998</v>
      </c>
      <c r="L2292" s="150"/>
      <c r="M2292" s="150"/>
      <c r="N2292" s="150"/>
    </row>
    <row r="2293" spans="1:14" x14ac:dyDescent="0.25">
      <c r="A2293" s="159">
        <v>26</v>
      </c>
      <c r="B2293" s="160">
        <v>69</v>
      </c>
      <c r="C2293" s="160">
        <v>11700</v>
      </c>
      <c r="D2293" s="160" t="s">
        <v>4980</v>
      </c>
      <c r="E2293" s="160">
        <v>1020</v>
      </c>
      <c r="F2293" s="160" t="s">
        <v>75</v>
      </c>
      <c r="G2293" s="148">
        <v>16</v>
      </c>
      <c r="H2293" s="152">
        <f>IF(C2293=11700,ROUND(VLOOKUP(G2293,ThongSo!$F$2:$I$15,4,0)*B2293*11.7,3),0)</f>
        <v>1275.5340000000001</v>
      </c>
      <c r="I2293" s="152" t="str">
        <f>IF(F2293="Sắt vụn",ROUND(VLOOKUP(G2293,ThongSo!$F$2:$I$15,4,0)*B2293*E2293/1000,3),"-")</f>
        <v>-</v>
      </c>
      <c r="L2293" s="150"/>
      <c r="M2293" s="150"/>
      <c r="N2293" s="150"/>
    </row>
    <row r="2294" spans="1:14" x14ac:dyDescent="0.25">
      <c r="A2294" s="159">
        <v>27</v>
      </c>
      <c r="B2294" s="160">
        <v>48</v>
      </c>
      <c r="C2294" s="160">
        <v>11700</v>
      </c>
      <c r="D2294" s="160" t="s">
        <v>4981</v>
      </c>
      <c r="E2294" s="160">
        <v>5200</v>
      </c>
      <c r="F2294" s="160" t="s">
        <v>75</v>
      </c>
      <c r="G2294" s="148">
        <v>16</v>
      </c>
      <c r="H2294" s="152">
        <f>IF(C2294=11700,ROUND(VLOOKUP(G2294,ThongSo!$F$2:$I$15,4,0)*B2294*11.7,3),0)</f>
        <v>887.32799999999997</v>
      </c>
      <c r="I2294" s="152" t="str">
        <f>IF(F2294="Sắt vụn",ROUND(VLOOKUP(G2294,ThongSo!$F$2:$I$15,4,0)*B2294*E2294/1000,3),"-")</f>
        <v>-</v>
      </c>
      <c r="L2294" s="150"/>
      <c r="M2294" s="150"/>
      <c r="N2294" s="150"/>
    </row>
    <row r="2295" spans="1:14" x14ac:dyDescent="0.25">
      <c r="A2295" s="159">
        <v>28</v>
      </c>
      <c r="B2295" s="160">
        <v>58</v>
      </c>
      <c r="C2295" s="160">
        <v>11700</v>
      </c>
      <c r="D2295" s="160" t="s">
        <v>4982</v>
      </c>
      <c r="E2295" s="160">
        <v>5230</v>
      </c>
      <c r="F2295" s="160" t="s">
        <v>75</v>
      </c>
      <c r="G2295" s="148">
        <v>16</v>
      </c>
      <c r="H2295" s="152">
        <f>IF(C2295=11700,ROUND(VLOOKUP(G2295,ThongSo!$F$2:$I$15,4,0)*B2295*11.7,3),0)</f>
        <v>1072.1880000000001</v>
      </c>
      <c r="I2295" s="152" t="str">
        <f>IF(F2295="Sắt vụn",ROUND(VLOOKUP(G2295,ThongSo!$F$2:$I$15,4,0)*B2295*E2295/1000,3),"-")</f>
        <v>-</v>
      </c>
      <c r="L2295" s="150"/>
      <c r="M2295" s="150"/>
      <c r="N2295" s="150"/>
    </row>
    <row r="2296" spans="1:14" x14ac:dyDescent="0.25">
      <c r="A2296" s="154"/>
      <c r="G2296" s="148"/>
      <c r="H2296" s="152">
        <f>IF(C2296=11700,ROUND(VLOOKUP(G2296,ThongSo!$F$2:$I$15,4,0)*B2296*11.7,3),0)</f>
        <v>0</v>
      </c>
      <c r="I2296" s="152" t="str">
        <f>IF(F2296="Sắt vụn",ROUND(VLOOKUP(G2296,ThongSo!$F$2:$I$15,4,0)*B2296*E2296/1000,3),"-")</f>
        <v>-</v>
      </c>
      <c r="L2296" s="150"/>
      <c r="M2296" s="150"/>
      <c r="N2296" s="150"/>
    </row>
    <row r="2297" spans="1:14" x14ac:dyDescent="0.25">
      <c r="A2297" s="167">
        <v>12</v>
      </c>
      <c r="B2297" s="167"/>
      <c r="C2297" s="167"/>
      <c r="D2297" s="167"/>
      <c r="E2297" s="167"/>
      <c r="F2297" s="167"/>
      <c r="G2297" s="148"/>
      <c r="H2297" s="152">
        <f>IF(C2297=11700,ROUND(VLOOKUP(G2297,ThongSo!$F$2:$I$15,4,0)*B2297*11.7,3),0)</f>
        <v>0</v>
      </c>
      <c r="I2297" s="152" t="str">
        <f>IF(F2297="Sắt vụn",ROUND(VLOOKUP(G2297,ThongSo!$F$2:$I$15,4,0)*B2297*E2297/1000,3),"-")</f>
        <v>-</v>
      </c>
      <c r="L2297" s="150"/>
      <c r="M2297" s="150"/>
      <c r="N2297" s="150"/>
    </row>
    <row r="2298" spans="1:14" x14ac:dyDescent="0.25">
      <c r="A2298" s="154"/>
      <c r="G2298" s="148"/>
      <c r="H2298" s="152">
        <f>IF(C2298=11700,ROUND(VLOOKUP(G2298,ThongSo!$F$2:$I$15,4,0)*B2298*11.7,3),0)</f>
        <v>0</v>
      </c>
      <c r="I2298" s="152" t="str">
        <f>IF(F2298="Sắt vụn",ROUND(VLOOKUP(G2298,ThongSo!$F$2:$I$15,4,0)*B2298*E2298/1000,3),"-")</f>
        <v>-</v>
      </c>
      <c r="L2298" s="150"/>
      <c r="M2298" s="150"/>
      <c r="N2298" s="150"/>
    </row>
    <row r="2299" spans="1:14" x14ac:dyDescent="0.25">
      <c r="A2299" s="155" t="s">
        <v>50</v>
      </c>
      <c r="B2299" s="155" t="s">
        <v>51</v>
      </c>
      <c r="C2299" s="155" t="s">
        <v>45</v>
      </c>
      <c r="D2299" s="155" t="s">
        <v>42</v>
      </c>
      <c r="E2299" s="155" t="s">
        <v>43</v>
      </c>
      <c r="F2299" s="156" t="s">
        <v>46</v>
      </c>
      <c r="G2299" s="148"/>
      <c r="H2299" s="152">
        <f>IF(C2299=11700,ROUND(VLOOKUP(G2299,ThongSo!$F$2:$I$15,4,0)*B2299*11.7,3),0)</f>
        <v>0</v>
      </c>
      <c r="I2299" s="152" t="str">
        <f>IF(F2299="Sắt vụn",ROUND(VLOOKUP(G2299,ThongSo!$F$2:$I$15,4,0)*B2299*E2299/1000,3),"-")</f>
        <v>-</v>
      </c>
      <c r="L2299" s="150"/>
      <c r="M2299" s="150"/>
      <c r="N2299" s="150"/>
    </row>
    <row r="2300" spans="1:14" x14ac:dyDescent="0.25">
      <c r="A2300" s="157" t="s">
        <v>82</v>
      </c>
      <c r="B2300" s="158"/>
      <c r="C2300" s="158"/>
      <c r="D2300" s="158"/>
      <c r="E2300" s="158"/>
      <c r="F2300" s="158"/>
      <c r="G2300" s="148"/>
      <c r="H2300" s="152">
        <f>IF(C2300=11700,ROUND(VLOOKUP(G2300,ThongSo!$F$2:$I$15,4,0)*B2300*11.7,3),0)</f>
        <v>0</v>
      </c>
      <c r="I2300" s="152" t="str">
        <f>IF(F2300="Sắt vụn",ROUND(VLOOKUP(G2300,ThongSo!$F$2:$I$15,4,0)*B2300*E2300/1000,3),"-")</f>
        <v>-</v>
      </c>
      <c r="L2300" s="150"/>
      <c r="M2300" s="150"/>
      <c r="N2300" s="150"/>
    </row>
    <row r="2301" spans="1:14" x14ac:dyDescent="0.25">
      <c r="A2301" s="159" t="s">
        <v>86</v>
      </c>
      <c r="B2301" s="160">
        <v>1</v>
      </c>
      <c r="C2301" s="160">
        <v>740</v>
      </c>
      <c r="D2301" s="160" t="s">
        <v>4993</v>
      </c>
      <c r="E2301" s="160">
        <v>40</v>
      </c>
      <c r="F2301" s="160" t="s">
        <v>74</v>
      </c>
      <c r="G2301" s="148">
        <v>14</v>
      </c>
      <c r="H2301" s="152">
        <f>IF(C2301=11700,ROUND(VLOOKUP(G2301,ThongSo!$F$2:$I$15,4,0)*B2301*11.7,3),0)</f>
        <v>0</v>
      </c>
      <c r="I2301" s="152">
        <f>IF(F2301="Sắt vụn",ROUND(VLOOKUP(G2301,ThongSo!$F$2:$I$15,4,0)*B2301*E2301/1000,3),"-")</f>
        <v>4.8000000000000001E-2</v>
      </c>
      <c r="L2301" s="150"/>
      <c r="M2301" s="150"/>
      <c r="N2301" s="150"/>
    </row>
    <row r="2302" spans="1:14" x14ac:dyDescent="0.25">
      <c r="A2302" s="154"/>
      <c r="G2302" s="148"/>
      <c r="H2302" s="152">
        <f>IF(C2302=11700,ROUND(VLOOKUP(G2302,ThongSo!$F$2:$I$15,4,0)*B2302*11.7,3),0)</f>
        <v>0</v>
      </c>
      <c r="I2302" s="152" t="str">
        <f>IF(F2302="Sắt vụn",ROUND(VLOOKUP(G2302,ThongSo!$F$2:$I$15,4,0)*B2302*E2302/1000,3),"-")</f>
        <v>-</v>
      </c>
      <c r="L2302" s="150"/>
      <c r="M2302" s="150"/>
      <c r="N2302" s="150"/>
    </row>
    <row r="2303" spans="1:14" x14ac:dyDescent="0.25">
      <c r="A2303" s="167">
        <v>13</v>
      </c>
      <c r="B2303" s="167"/>
      <c r="C2303" s="167"/>
      <c r="D2303" s="167"/>
      <c r="E2303" s="167"/>
      <c r="F2303" s="167"/>
      <c r="G2303" s="148"/>
      <c r="H2303" s="152">
        <f>IF(C2303=11700,ROUND(VLOOKUP(G2303,ThongSo!$F$2:$I$15,4,0)*B2303*11.7,3),0)</f>
        <v>0</v>
      </c>
      <c r="I2303" s="152" t="str">
        <f>IF(F2303="Sắt vụn",ROUND(VLOOKUP(G2303,ThongSo!$F$2:$I$15,4,0)*B2303*E2303/1000,3),"-")</f>
        <v>-</v>
      </c>
      <c r="L2303" s="150"/>
      <c r="M2303" s="150"/>
      <c r="N2303" s="150"/>
    </row>
    <row r="2304" spans="1:14" x14ac:dyDescent="0.25">
      <c r="A2304" s="154"/>
      <c r="G2304" s="148"/>
      <c r="H2304" s="152">
        <f>IF(C2304=11700,ROUND(VLOOKUP(G2304,ThongSo!$F$2:$I$15,4,0)*B2304*11.7,3),0)</f>
        <v>0</v>
      </c>
      <c r="I2304" s="152" t="str">
        <f>IF(F2304="Sắt vụn",ROUND(VLOOKUP(G2304,ThongSo!$F$2:$I$15,4,0)*B2304*E2304/1000,3),"-")</f>
        <v>-</v>
      </c>
      <c r="L2304" s="150"/>
      <c r="M2304" s="150"/>
      <c r="N2304" s="150"/>
    </row>
    <row r="2305" spans="1:14" x14ac:dyDescent="0.25">
      <c r="A2305" s="155" t="s">
        <v>50</v>
      </c>
      <c r="B2305" s="155" t="s">
        <v>51</v>
      </c>
      <c r="C2305" s="155" t="s">
        <v>45</v>
      </c>
      <c r="D2305" s="155" t="s">
        <v>42</v>
      </c>
      <c r="E2305" s="155" t="s">
        <v>43</v>
      </c>
      <c r="F2305" s="156" t="s">
        <v>46</v>
      </c>
      <c r="G2305" s="148"/>
      <c r="H2305" s="152">
        <f>IF(C2305=11700,ROUND(VLOOKUP(G2305,ThongSo!$F$2:$I$15,4,0)*B2305*11.7,3),0)</f>
        <v>0</v>
      </c>
      <c r="I2305" s="152" t="str">
        <f>IF(F2305="Sắt vụn",ROUND(VLOOKUP(G2305,ThongSo!$F$2:$I$15,4,0)*B2305*E2305/1000,3),"-")</f>
        <v>-</v>
      </c>
      <c r="L2305" s="150"/>
      <c r="M2305" s="150"/>
      <c r="N2305" s="150"/>
    </row>
    <row r="2306" spans="1:14" x14ac:dyDescent="0.25">
      <c r="A2306" s="157" t="s">
        <v>79</v>
      </c>
      <c r="B2306" s="158"/>
      <c r="C2306" s="158"/>
      <c r="D2306" s="158"/>
      <c r="E2306" s="158"/>
      <c r="F2306" s="158"/>
      <c r="G2306" s="148"/>
      <c r="H2306" s="152">
        <f>IF(C2306=11700,ROUND(VLOOKUP(G2306,ThongSo!$F$2:$I$15,4,0)*B2306*11.7,3),0)</f>
        <v>0</v>
      </c>
      <c r="I2306" s="152" t="str">
        <f>IF(F2306="Sắt vụn",ROUND(VLOOKUP(G2306,ThongSo!$F$2:$I$15,4,0)*B2306*E2306/1000,3),"-")</f>
        <v>-</v>
      </c>
      <c r="L2306" s="150"/>
      <c r="M2306" s="150"/>
      <c r="N2306" s="150"/>
    </row>
    <row r="2307" spans="1:14" x14ac:dyDescent="0.25">
      <c r="A2307" s="159">
        <v>1</v>
      </c>
      <c r="B2307" s="160">
        <v>14</v>
      </c>
      <c r="C2307" s="160">
        <v>11700</v>
      </c>
      <c r="D2307" s="160" t="s">
        <v>4996</v>
      </c>
      <c r="E2307" s="160">
        <v>540</v>
      </c>
      <c r="F2307" s="160" t="s">
        <v>74</v>
      </c>
      <c r="G2307" s="148">
        <v>20</v>
      </c>
      <c r="H2307" s="152">
        <f>IF(C2307=11700,ROUND(VLOOKUP(G2307,ThongSo!$F$2:$I$15,4,0)*B2307*11.7,3),0)</f>
        <v>404.58600000000001</v>
      </c>
      <c r="I2307" s="152">
        <f>IF(F2307="Sắt vụn",ROUND(VLOOKUP(G2307,ThongSo!$F$2:$I$15,4,0)*B2307*E2307/1000,3),"-")</f>
        <v>18.672999999999998</v>
      </c>
      <c r="L2307" s="150"/>
      <c r="M2307" s="150"/>
      <c r="N2307" s="150"/>
    </row>
    <row r="2308" spans="1:14" x14ac:dyDescent="0.25">
      <c r="A2308" s="159">
        <v>2</v>
      </c>
      <c r="B2308" s="160">
        <v>1</v>
      </c>
      <c r="C2308" s="160">
        <v>11700</v>
      </c>
      <c r="D2308" s="160" t="s">
        <v>4997</v>
      </c>
      <c r="E2308" s="160">
        <v>800</v>
      </c>
      <c r="F2308" s="160" t="s">
        <v>74</v>
      </c>
      <c r="G2308" s="148">
        <v>20</v>
      </c>
      <c r="H2308" s="152">
        <f>IF(C2308=11700,ROUND(VLOOKUP(G2308,ThongSo!$F$2:$I$15,4,0)*B2308*11.7,3),0)</f>
        <v>28.899000000000001</v>
      </c>
      <c r="I2308" s="152">
        <f>IF(F2308="Sắt vụn",ROUND(VLOOKUP(G2308,ThongSo!$F$2:$I$15,4,0)*B2308*E2308/1000,3),"-")</f>
        <v>1.976</v>
      </c>
      <c r="L2308" s="150"/>
      <c r="M2308" s="150"/>
      <c r="N2308" s="150"/>
    </row>
    <row r="2309" spans="1:14" x14ac:dyDescent="0.25">
      <c r="A2309" s="159">
        <v>3</v>
      </c>
      <c r="B2309" s="160">
        <v>284</v>
      </c>
      <c r="C2309" s="160">
        <v>11700</v>
      </c>
      <c r="D2309" s="160" t="s">
        <v>4998</v>
      </c>
      <c r="E2309" s="160">
        <v>3590</v>
      </c>
      <c r="F2309" s="160" t="s">
        <v>75</v>
      </c>
      <c r="G2309" s="148">
        <v>20</v>
      </c>
      <c r="H2309" s="152">
        <f>IF(C2309=11700,ROUND(VLOOKUP(G2309,ThongSo!$F$2:$I$15,4,0)*B2309*11.7,3),0)</f>
        <v>8207.3160000000007</v>
      </c>
      <c r="I2309" s="152" t="str">
        <f>IF(F2309="Sắt vụn",ROUND(VLOOKUP(G2309,ThongSo!$F$2:$I$15,4,0)*B2309*E2309/1000,3),"-")</f>
        <v>-</v>
      </c>
      <c r="L2309" s="150"/>
      <c r="M2309" s="150"/>
      <c r="N2309" s="150"/>
    </row>
    <row r="2310" spans="1:14" x14ac:dyDescent="0.25">
      <c r="A2310" s="159">
        <v>4</v>
      </c>
      <c r="B2310" s="160">
        <v>57</v>
      </c>
      <c r="C2310" s="160">
        <v>11700</v>
      </c>
      <c r="D2310" s="160" t="s">
        <v>4999</v>
      </c>
      <c r="E2310" s="160">
        <v>5230</v>
      </c>
      <c r="F2310" s="160" t="s">
        <v>75</v>
      </c>
      <c r="G2310" s="148">
        <v>20</v>
      </c>
      <c r="H2310" s="152">
        <f>IF(C2310=11700,ROUND(VLOOKUP(G2310,ThongSo!$F$2:$I$15,4,0)*B2310*11.7,3),0)</f>
        <v>1647.2429999999999</v>
      </c>
      <c r="I2310" s="152" t="str">
        <f>IF(F2310="Sắt vụn",ROUND(VLOOKUP(G2310,ThongSo!$F$2:$I$15,4,0)*B2310*E2310/1000,3),"-")</f>
        <v>-</v>
      </c>
      <c r="L2310" s="150"/>
      <c r="M2310" s="150"/>
      <c r="N2310" s="150"/>
    </row>
    <row r="2311" spans="1:14" x14ac:dyDescent="0.25">
      <c r="A2311" s="157" t="s">
        <v>80</v>
      </c>
      <c r="B2311" s="158"/>
      <c r="C2311" s="158"/>
      <c r="D2311" s="158"/>
      <c r="E2311" s="158"/>
      <c r="F2311" s="158"/>
      <c r="G2311" s="148"/>
      <c r="H2311" s="152">
        <f>IF(C2311=11700,ROUND(VLOOKUP(G2311,ThongSo!$F$2:$I$15,4,0)*B2311*11.7,3),0)</f>
        <v>0</v>
      </c>
      <c r="I2311" s="152" t="str">
        <f>IF(F2311="Sắt vụn",ROUND(VLOOKUP(G2311,ThongSo!$F$2:$I$15,4,0)*B2311*E2311/1000,3),"-")</f>
        <v>-</v>
      </c>
      <c r="L2311" s="150"/>
      <c r="M2311" s="150"/>
      <c r="N2311" s="150"/>
    </row>
    <row r="2312" spans="1:14" x14ac:dyDescent="0.25">
      <c r="A2312" s="159" t="s">
        <v>138</v>
      </c>
      <c r="B2312" s="160">
        <v>2</v>
      </c>
      <c r="C2312" s="160">
        <v>2150</v>
      </c>
      <c r="D2312" s="160" t="s">
        <v>5000</v>
      </c>
      <c r="E2312" s="160">
        <v>180</v>
      </c>
      <c r="F2312" s="160" t="s">
        <v>74</v>
      </c>
      <c r="G2312" s="148">
        <v>18</v>
      </c>
      <c r="H2312" s="152">
        <f>IF(C2312=11700,ROUND(VLOOKUP(G2312,ThongSo!$F$2:$I$15,4,0)*B2312*11.7,3),0)</f>
        <v>0</v>
      </c>
      <c r="I2312" s="152">
        <f>IF(F2312="Sắt vụn",ROUND(VLOOKUP(G2312,ThongSo!$F$2:$I$15,4,0)*B2312*E2312/1000,3),"-")</f>
        <v>0.72</v>
      </c>
      <c r="L2312" s="150"/>
      <c r="M2312" s="150"/>
      <c r="N2312" s="150"/>
    </row>
    <row r="2313" spans="1:14" x14ac:dyDescent="0.25">
      <c r="A2313" s="159" t="s">
        <v>374</v>
      </c>
      <c r="B2313" s="160">
        <v>6</v>
      </c>
      <c r="C2313" s="160">
        <v>2220</v>
      </c>
      <c r="D2313" s="160" t="s">
        <v>5000</v>
      </c>
      <c r="E2313" s="160">
        <v>250</v>
      </c>
      <c r="F2313" s="160" t="s">
        <v>74</v>
      </c>
      <c r="G2313" s="148">
        <v>18</v>
      </c>
      <c r="H2313" s="152">
        <f>IF(C2313=11700,ROUND(VLOOKUP(G2313,ThongSo!$F$2:$I$15,4,0)*B2313*11.7,3),0)</f>
        <v>0</v>
      </c>
      <c r="I2313" s="152">
        <f>IF(F2313="Sắt vụn",ROUND(VLOOKUP(G2313,ThongSo!$F$2:$I$15,4,0)*B2313*E2313/1000,3),"-")</f>
        <v>3</v>
      </c>
      <c r="L2313" s="150"/>
      <c r="M2313" s="150"/>
      <c r="N2313" s="150"/>
    </row>
    <row r="2314" spans="1:14" x14ac:dyDescent="0.25">
      <c r="A2314" s="159" t="s">
        <v>158</v>
      </c>
      <c r="B2314" s="160">
        <v>4</v>
      </c>
      <c r="C2314" s="160">
        <v>2300</v>
      </c>
      <c r="D2314" s="160" t="s">
        <v>5000</v>
      </c>
      <c r="E2314" s="160">
        <v>330</v>
      </c>
      <c r="F2314" s="160" t="s">
        <v>74</v>
      </c>
      <c r="G2314" s="148">
        <v>18</v>
      </c>
      <c r="H2314" s="152">
        <f>IF(C2314=11700,ROUND(VLOOKUP(G2314,ThongSo!$F$2:$I$15,4,0)*B2314*11.7,3),0)</f>
        <v>0</v>
      </c>
      <c r="I2314" s="152">
        <f>IF(F2314="Sắt vụn",ROUND(VLOOKUP(G2314,ThongSo!$F$2:$I$15,4,0)*B2314*E2314/1000,3),"-")</f>
        <v>2.64</v>
      </c>
      <c r="L2314" s="150"/>
      <c r="M2314" s="150"/>
      <c r="N2314" s="150"/>
    </row>
    <row r="2315" spans="1:14" x14ac:dyDescent="0.25">
      <c r="A2315" s="159">
        <v>8</v>
      </c>
      <c r="B2315" s="160">
        <v>12</v>
      </c>
      <c r="C2315" s="160">
        <v>11700</v>
      </c>
      <c r="D2315" s="160" t="s">
        <v>5001</v>
      </c>
      <c r="E2315" s="160">
        <v>2900</v>
      </c>
      <c r="F2315" s="160" t="s">
        <v>75</v>
      </c>
      <c r="G2315" s="148">
        <v>18</v>
      </c>
      <c r="H2315" s="152">
        <f>IF(C2315=11700,ROUND(VLOOKUP(G2315,ThongSo!$F$2:$I$15,4,0)*B2315*11.7,3),0)</f>
        <v>280.8</v>
      </c>
      <c r="I2315" s="152" t="str">
        <f>IF(F2315="Sắt vụn",ROUND(VLOOKUP(G2315,ThongSo!$F$2:$I$15,4,0)*B2315*E2315/1000,3),"-")</f>
        <v>-</v>
      </c>
      <c r="L2315" s="150"/>
      <c r="M2315" s="150"/>
      <c r="N2315" s="150"/>
    </row>
    <row r="2316" spans="1:14" x14ac:dyDescent="0.25">
      <c r="A2316" s="159">
        <v>9</v>
      </c>
      <c r="B2316" s="160">
        <v>6</v>
      </c>
      <c r="C2316" s="160">
        <v>11700</v>
      </c>
      <c r="D2316" s="160" t="s">
        <v>5002</v>
      </c>
      <c r="E2316" s="160">
        <v>3500</v>
      </c>
      <c r="F2316" s="160" t="s">
        <v>75</v>
      </c>
      <c r="G2316" s="148">
        <v>18</v>
      </c>
      <c r="H2316" s="152">
        <f>IF(C2316=11700,ROUND(VLOOKUP(G2316,ThongSo!$F$2:$I$15,4,0)*B2316*11.7,3),0)</f>
        <v>140.4</v>
      </c>
      <c r="I2316" s="152" t="str">
        <f>IF(F2316="Sắt vụn",ROUND(VLOOKUP(G2316,ThongSo!$F$2:$I$15,4,0)*B2316*E2316/1000,3),"-")</f>
        <v>-</v>
      </c>
      <c r="L2316" s="150"/>
      <c r="M2316" s="150"/>
      <c r="N2316" s="150"/>
    </row>
    <row r="2317" spans="1:14" x14ac:dyDescent="0.25">
      <c r="A2317" s="154"/>
      <c r="G2317" s="148"/>
      <c r="H2317" s="152">
        <f>IF(C2317=11700,ROUND(VLOOKUP(G2317,ThongSo!$F$2:$I$15,4,0)*B2317*11.7,3),0)</f>
        <v>0</v>
      </c>
      <c r="I2317" s="152" t="str">
        <f>IF(F2317="Sắt vụn",ROUND(VLOOKUP(G2317,ThongSo!$F$2:$I$15,4,0)*B2317*E2317/1000,3),"-")</f>
        <v>-</v>
      </c>
      <c r="L2317" s="150"/>
      <c r="M2317" s="150"/>
      <c r="N2317" s="150"/>
    </row>
    <row r="2318" spans="1:14" x14ac:dyDescent="0.25">
      <c r="A2318" s="167">
        <v>11</v>
      </c>
      <c r="B2318" s="167"/>
      <c r="C2318" s="167"/>
      <c r="D2318" s="167"/>
      <c r="E2318" s="167"/>
      <c r="F2318" s="167"/>
      <c r="G2318" s="148"/>
      <c r="H2318" s="152">
        <f>IF(C2318=11700,ROUND(VLOOKUP(G2318,ThongSo!$F$2:$I$15,4,0)*B2318*11.7,3),0)</f>
        <v>0</v>
      </c>
      <c r="I2318" s="152" t="str">
        <f>IF(F2318="Sắt vụn",ROUND(VLOOKUP(G2318,ThongSo!$F$2:$I$15,4,0)*B2318*E2318/1000,3),"-")</f>
        <v>-</v>
      </c>
      <c r="L2318" s="150"/>
      <c r="M2318" s="150"/>
      <c r="N2318" s="150"/>
    </row>
    <row r="2319" spans="1:14" x14ac:dyDescent="0.25">
      <c r="A2319" s="154"/>
      <c r="G2319" s="148"/>
      <c r="H2319" s="152">
        <f>IF(C2319=11700,ROUND(VLOOKUP(G2319,ThongSo!$F$2:$I$15,4,0)*B2319*11.7,3),0)</f>
        <v>0</v>
      </c>
      <c r="I2319" s="152" t="str">
        <f>IF(F2319="Sắt vụn",ROUND(VLOOKUP(G2319,ThongSo!$F$2:$I$15,4,0)*B2319*E2319/1000,3),"-")</f>
        <v>-</v>
      </c>
      <c r="L2319" s="150"/>
      <c r="M2319" s="150"/>
      <c r="N2319" s="150"/>
    </row>
    <row r="2320" spans="1:14" x14ac:dyDescent="0.25">
      <c r="A2320" s="155" t="s">
        <v>50</v>
      </c>
      <c r="B2320" s="155" t="s">
        <v>51</v>
      </c>
      <c r="C2320" s="155" t="s">
        <v>45</v>
      </c>
      <c r="D2320" s="155" t="s">
        <v>42</v>
      </c>
      <c r="E2320" s="155" t="s">
        <v>43</v>
      </c>
      <c r="F2320" s="156" t="s">
        <v>46</v>
      </c>
      <c r="G2320" s="148"/>
      <c r="H2320" s="152">
        <f>IF(C2320=11700,ROUND(VLOOKUP(G2320,ThongSo!$F$2:$I$15,4,0)*B2320*11.7,3),0)</f>
        <v>0</v>
      </c>
      <c r="I2320" s="152" t="str">
        <f>IF(F2320="Sắt vụn",ROUND(VLOOKUP(G2320,ThongSo!$F$2:$I$15,4,0)*B2320*E2320/1000,3),"-")</f>
        <v>-</v>
      </c>
      <c r="L2320" s="150"/>
      <c r="M2320" s="150"/>
      <c r="N2320" s="150"/>
    </row>
    <row r="2321" spans="1:14" x14ac:dyDescent="0.25">
      <c r="A2321" s="157" t="s">
        <v>72</v>
      </c>
      <c r="B2321" s="158"/>
      <c r="C2321" s="158"/>
      <c r="D2321" s="158"/>
      <c r="E2321" s="158"/>
      <c r="F2321" s="158"/>
      <c r="G2321" s="148"/>
      <c r="H2321" s="152">
        <f>IF(C2321=11700,ROUND(VLOOKUP(G2321,ThongSo!$F$2:$I$15,4,0)*B2321*11.7,3),0)</f>
        <v>0</v>
      </c>
      <c r="I2321" s="152" t="str">
        <f>IF(F2321="Sắt vụn",ROUND(VLOOKUP(G2321,ThongSo!$F$2:$I$15,4,0)*B2321*E2321/1000,3),"-")</f>
        <v>-</v>
      </c>
      <c r="L2321" s="150"/>
      <c r="M2321" s="150"/>
      <c r="N2321" s="150"/>
    </row>
    <row r="2322" spans="1:14" x14ac:dyDescent="0.25">
      <c r="A2322" s="159" t="s">
        <v>73</v>
      </c>
      <c r="B2322" s="160">
        <v>61</v>
      </c>
      <c r="C2322" s="160">
        <v>11700</v>
      </c>
      <c r="D2322" s="160"/>
      <c r="E2322" s="160"/>
      <c r="F2322" s="160"/>
      <c r="G2322" s="148">
        <v>32</v>
      </c>
      <c r="H2322" s="152">
        <f>IF(C2322=11700,ROUND(VLOOKUP(G2322,ThongSo!$F$2:$I$15,4,0)*B2322*11.7,3),0)</f>
        <v>4503.4470000000001</v>
      </c>
      <c r="I2322" s="152" t="str">
        <f>IF(F2322="Sắt vụn",ROUND(VLOOKUP(G2322,ThongSo!$F$2:$I$15,4,0)*B2322*E2322/1000,3),"-")</f>
        <v>-</v>
      </c>
      <c r="L2322" s="150"/>
      <c r="M2322" s="150"/>
      <c r="N2322" s="150"/>
    </row>
    <row r="2323" spans="1:14" x14ac:dyDescent="0.25">
      <c r="A2323" s="159" t="s">
        <v>151</v>
      </c>
      <c r="B2323" s="160">
        <v>4</v>
      </c>
      <c r="C2323" s="160">
        <v>2700</v>
      </c>
      <c r="D2323" s="160" t="s">
        <v>5003</v>
      </c>
      <c r="E2323" s="160">
        <v>40</v>
      </c>
      <c r="F2323" s="160" t="s">
        <v>74</v>
      </c>
      <c r="G2323" s="148">
        <v>32</v>
      </c>
      <c r="H2323" s="152">
        <f>IF(C2323=11700,ROUND(VLOOKUP(G2323,ThongSo!$F$2:$I$15,4,0)*B2323*11.7,3),0)</f>
        <v>0</v>
      </c>
      <c r="I2323" s="152">
        <f>IF(F2323="Sắt vụn",ROUND(VLOOKUP(G2323,ThongSo!$F$2:$I$15,4,0)*B2323*E2323/1000,3),"-")</f>
        <v>1.01</v>
      </c>
      <c r="L2323" s="150"/>
      <c r="M2323" s="150"/>
      <c r="N2323" s="150"/>
    </row>
    <row r="2324" spans="1:14" x14ac:dyDescent="0.25">
      <c r="A2324" s="159" t="s">
        <v>151</v>
      </c>
      <c r="B2324" s="160">
        <v>4</v>
      </c>
      <c r="C2324" s="160">
        <v>2700</v>
      </c>
      <c r="D2324" s="160" t="s">
        <v>5004</v>
      </c>
      <c r="E2324" s="160">
        <v>520</v>
      </c>
      <c r="F2324" s="160" t="s">
        <v>74</v>
      </c>
      <c r="G2324" s="148">
        <v>32</v>
      </c>
      <c r="H2324" s="152">
        <f>IF(C2324=11700,ROUND(VLOOKUP(G2324,ThongSo!$F$2:$I$15,4,0)*B2324*11.7,3),0)</f>
        <v>0</v>
      </c>
      <c r="I2324" s="152">
        <f>IF(F2324="Sắt vụn",ROUND(VLOOKUP(G2324,ThongSo!$F$2:$I$15,4,0)*B2324*E2324/1000,3),"-")</f>
        <v>13.125</v>
      </c>
      <c r="L2324" s="150"/>
      <c r="M2324" s="150"/>
      <c r="N2324" s="150"/>
    </row>
    <row r="2325" spans="1:14" x14ac:dyDescent="0.25">
      <c r="A2325" s="159" t="s">
        <v>151</v>
      </c>
      <c r="B2325" s="160">
        <v>15</v>
      </c>
      <c r="C2325" s="160">
        <v>2700</v>
      </c>
      <c r="D2325" s="160" t="s">
        <v>5005</v>
      </c>
      <c r="E2325" s="160">
        <v>1010</v>
      </c>
      <c r="F2325" s="160" t="s">
        <v>74</v>
      </c>
      <c r="G2325" s="148">
        <v>32</v>
      </c>
      <c r="H2325" s="152">
        <f>IF(C2325=11700,ROUND(VLOOKUP(G2325,ThongSo!$F$2:$I$15,4,0)*B2325*11.7,3),0)</f>
        <v>0</v>
      </c>
      <c r="I2325" s="152">
        <f>IF(F2325="Sắt vụn",ROUND(VLOOKUP(G2325,ThongSo!$F$2:$I$15,4,0)*B2325*E2325/1000,3),"-")</f>
        <v>95.596999999999994</v>
      </c>
      <c r="L2325" s="150"/>
      <c r="M2325" s="150"/>
      <c r="N2325" s="150"/>
    </row>
    <row r="2326" spans="1:14" x14ac:dyDescent="0.25">
      <c r="A2326" s="159" t="s">
        <v>151</v>
      </c>
      <c r="B2326" s="160">
        <v>1</v>
      </c>
      <c r="C2326" s="160">
        <v>2700</v>
      </c>
      <c r="D2326" s="160" t="s">
        <v>5006</v>
      </c>
      <c r="E2326" s="160">
        <v>1610</v>
      </c>
      <c r="F2326" s="160" t="s">
        <v>75</v>
      </c>
      <c r="G2326" s="148">
        <v>32</v>
      </c>
      <c r="H2326" s="152">
        <f>IF(C2326=11700,ROUND(VLOOKUP(G2326,ThongSo!$F$2:$I$15,4,0)*B2326*11.7,3),0)</f>
        <v>0</v>
      </c>
      <c r="I2326" s="152" t="str">
        <f>IF(F2326="Sắt vụn",ROUND(VLOOKUP(G2326,ThongSo!$F$2:$I$15,4,0)*B2326*E2326/1000,3),"-")</f>
        <v>-</v>
      </c>
      <c r="L2326" s="150"/>
      <c r="M2326" s="150"/>
      <c r="N2326" s="150"/>
    </row>
    <row r="2327" spans="1:14" x14ac:dyDescent="0.25">
      <c r="A2327" s="159">
        <v>6</v>
      </c>
      <c r="B2327" s="160">
        <v>3</v>
      </c>
      <c r="C2327" s="160">
        <v>11700</v>
      </c>
      <c r="D2327" s="160" t="s">
        <v>5007</v>
      </c>
      <c r="E2327" s="160">
        <v>0</v>
      </c>
      <c r="F2327" s="160"/>
      <c r="G2327" s="148">
        <v>32</v>
      </c>
      <c r="H2327" s="152">
        <f>IF(C2327=11700,ROUND(VLOOKUP(G2327,ThongSo!$F$2:$I$15,4,0)*B2327*11.7,3),0)</f>
        <v>221.48099999999999</v>
      </c>
      <c r="I2327" s="152" t="str">
        <f>IF(F2327="Sắt vụn",ROUND(VLOOKUP(G2327,ThongSo!$F$2:$I$15,4,0)*B2327*E2327/1000,3),"-")</f>
        <v>-</v>
      </c>
      <c r="L2327" s="150"/>
      <c r="M2327" s="150"/>
      <c r="N2327" s="150"/>
    </row>
    <row r="2328" spans="1:14" x14ac:dyDescent="0.25">
      <c r="A2328" s="159">
        <v>7</v>
      </c>
      <c r="B2328" s="160">
        <v>5</v>
      </c>
      <c r="C2328" s="160">
        <v>11700</v>
      </c>
      <c r="D2328" s="160" t="s">
        <v>5008</v>
      </c>
      <c r="E2328" s="160">
        <v>0</v>
      </c>
      <c r="F2328" s="160"/>
      <c r="G2328" s="148">
        <v>32</v>
      </c>
      <c r="H2328" s="152">
        <f>IF(C2328=11700,ROUND(VLOOKUP(G2328,ThongSo!$F$2:$I$15,4,0)*B2328*11.7,3),0)</f>
        <v>369.13499999999999</v>
      </c>
      <c r="I2328" s="152" t="str">
        <f>IF(F2328="Sắt vụn",ROUND(VLOOKUP(G2328,ThongSo!$F$2:$I$15,4,0)*B2328*E2328/1000,3),"-")</f>
        <v>-</v>
      </c>
      <c r="L2328" s="150"/>
      <c r="M2328" s="150"/>
      <c r="N2328" s="150"/>
    </row>
    <row r="2329" spans="1:14" x14ac:dyDescent="0.25">
      <c r="A2329" s="159">
        <v>8</v>
      </c>
      <c r="B2329" s="160">
        <v>3</v>
      </c>
      <c r="C2329" s="160">
        <v>11700</v>
      </c>
      <c r="D2329" s="160" t="s">
        <v>5009</v>
      </c>
      <c r="E2329" s="160">
        <v>30</v>
      </c>
      <c r="F2329" s="160" t="s">
        <v>74</v>
      </c>
      <c r="G2329" s="148">
        <v>32</v>
      </c>
      <c r="H2329" s="152">
        <f>IF(C2329=11700,ROUND(VLOOKUP(G2329,ThongSo!$F$2:$I$15,4,0)*B2329*11.7,3),0)</f>
        <v>221.48099999999999</v>
      </c>
      <c r="I2329" s="152">
        <f>IF(F2329="Sắt vụn",ROUND(VLOOKUP(G2329,ThongSo!$F$2:$I$15,4,0)*B2329*E2329/1000,3),"-")</f>
        <v>0.56799999999999995</v>
      </c>
      <c r="L2329" s="150"/>
      <c r="M2329" s="150"/>
      <c r="N2329" s="150"/>
    </row>
    <row r="2330" spans="1:14" x14ac:dyDescent="0.25">
      <c r="A2330" s="159">
        <v>9</v>
      </c>
      <c r="B2330" s="160">
        <v>7</v>
      </c>
      <c r="C2330" s="160">
        <v>11700</v>
      </c>
      <c r="D2330" s="160" t="s">
        <v>5010</v>
      </c>
      <c r="E2330" s="160">
        <v>70</v>
      </c>
      <c r="F2330" s="160" t="s">
        <v>74</v>
      </c>
      <c r="G2330" s="148">
        <v>32</v>
      </c>
      <c r="H2330" s="152">
        <f>IF(C2330=11700,ROUND(VLOOKUP(G2330,ThongSo!$F$2:$I$15,4,0)*B2330*11.7,3),0)</f>
        <v>516.78899999999999</v>
      </c>
      <c r="I2330" s="152">
        <f>IF(F2330="Sắt vụn",ROUND(VLOOKUP(G2330,ThongSo!$F$2:$I$15,4,0)*B2330*E2330/1000,3),"-")</f>
        <v>3.0920000000000001</v>
      </c>
      <c r="L2330" s="150"/>
      <c r="M2330" s="150"/>
      <c r="N2330" s="150"/>
    </row>
    <row r="2331" spans="1:14" x14ac:dyDescent="0.25">
      <c r="A2331" s="159">
        <v>10</v>
      </c>
      <c r="B2331" s="160">
        <v>1</v>
      </c>
      <c r="C2331" s="160">
        <v>11700</v>
      </c>
      <c r="D2331" s="160" t="s">
        <v>5011</v>
      </c>
      <c r="E2331" s="160">
        <v>320</v>
      </c>
      <c r="F2331" s="160" t="s">
        <v>74</v>
      </c>
      <c r="G2331" s="148">
        <v>32</v>
      </c>
      <c r="H2331" s="152">
        <f>IF(C2331=11700,ROUND(VLOOKUP(G2331,ThongSo!$F$2:$I$15,4,0)*B2331*11.7,3),0)</f>
        <v>73.826999999999998</v>
      </c>
      <c r="I2331" s="152">
        <f>IF(F2331="Sắt vụn",ROUND(VLOOKUP(G2331,ThongSo!$F$2:$I$15,4,0)*B2331*E2331/1000,3),"-")</f>
        <v>2.0190000000000001</v>
      </c>
      <c r="L2331" s="150"/>
      <c r="M2331" s="150"/>
      <c r="N2331" s="150"/>
    </row>
    <row r="2332" spans="1:14" x14ac:dyDescent="0.25">
      <c r="A2332" s="159">
        <v>11</v>
      </c>
      <c r="B2332" s="160">
        <v>9</v>
      </c>
      <c r="C2332" s="160">
        <v>11700</v>
      </c>
      <c r="D2332" s="160" t="s">
        <v>5012</v>
      </c>
      <c r="E2332" s="160">
        <v>400</v>
      </c>
      <c r="F2332" s="160" t="s">
        <v>74</v>
      </c>
      <c r="G2332" s="148">
        <v>32</v>
      </c>
      <c r="H2332" s="152">
        <f>IF(C2332=11700,ROUND(VLOOKUP(G2332,ThongSo!$F$2:$I$15,4,0)*B2332*11.7,3),0)</f>
        <v>664.44299999999998</v>
      </c>
      <c r="I2332" s="152">
        <f>IF(F2332="Sắt vụn",ROUND(VLOOKUP(G2332,ThongSo!$F$2:$I$15,4,0)*B2332*E2332/1000,3),"-")</f>
        <v>22.716000000000001</v>
      </c>
      <c r="L2332" s="150"/>
      <c r="M2332" s="150"/>
      <c r="N2332" s="150"/>
    </row>
    <row r="2333" spans="1:14" x14ac:dyDescent="0.25">
      <c r="A2333" s="159">
        <v>12</v>
      </c>
      <c r="B2333" s="160">
        <v>9</v>
      </c>
      <c r="C2333" s="160">
        <v>11700</v>
      </c>
      <c r="D2333" s="160" t="s">
        <v>5013</v>
      </c>
      <c r="E2333" s="160">
        <v>440</v>
      </c>
      <c r="F2333" s="160" t="s">
        <v>74</v>
      </c>
      <c r="G2333" s="148">
        <v>32</v>
      </c>
      <c r="H2333" s="152">
        <f>IF(C2333=11700,ROUND(VLOOKUP(G2333,ThongSo!$F$2:$I$15,4,0)*B2333*11.7,3),0)</f>
        <v>664.44299999999998</v>
      </c>
      <c r="I2333" s="152">
        <f>IF(F2333="Sắt vụn",ROUND(VLOOKUP(G2333,ThongSo!$F$2:$I$15,4,0)*B2333*E2333/1000,3),"-")</f>
        <v>24.988</v>
      </c>
      <c r="L2333" s="150"/>
      <c r="M2333" s="150"/>
      <c r="N2333" s="150"/>
    </row>
    <row r="2334" spans="1:14" x14ac:dyDescent="0.25">
      <c r="A2334" s="159">
        <v>13</v>
      </c>
      <c r="B2334" s="160">
        <v>2</v>
      </c>
      <c r="C2334" s="160">
        <v>11700</v>
      </c>
      <c r="D2334" s="160" t="s">
        <v>5014</v>
      </c>
      <c r="E2334" s="160">
        <v>450</v>
      </c>
      <c r="F2334" s="160" t="s">
        <v>74</v>
      </c>
      <c r="G2334" s="148">
        <v>32</v>
      </c>
      <c r="H2334" s="152">
        <f>IF(C2334=11700,ROUND(VLOOKUP(G2334,ThongSo!$F$2:$I$15,4,0)*B2334*11.7,3),0)</f>
        <v>147.654</v>
      </c>
      <c r="I2334" s="152">
        <f>IF(F2334="Sắt vụn",ROUND(VLOOKUP(G2334,ThongSo!$F$2:$I$15,4,0)*B2334*E2334/1000,3),"-")</f>
        <v>5.6790000000000003</v>
      </c>
      <c r="L2334" s="150"/>
      <c r="M2334" s="150"/>
      <c r="N2334" s="150"/>
    </row>
    <row r="2335" spans="1:14" x14ac:dyDescent="0.25">
      <c r="A2335" s="159">
        <v>14</v>
      </c>
      <c r="B2335" s="160">
        <v>9</v>
      </c>
      <c r="C2335" s="160">
        <v>11700</v>
      </c>
      <c r="D2335" s="160" t="s">
        <v>5015</v>
      </c>
      <c r="E2335" s="160">
        <v>500</v>
      </c>
      <c r="F2335" s="160" t="s">
        <v>74</v>
      </c>
      <c r="G2335" s="148">
        <v>32</v>
      </c>
      <c r="H2335" s="152">
        <f>IF(C2335=11700,ROUND(VLOOKUP(G2335,ThongSo!$F$2:$I$15,4,0)*B2335*11.7,3),0)</f>
        <v>664.44299999999998</v>
      </c>
      <c r="I2335" s="152">
        <f>IF(F2335="Sắt vụn",ROUND(VLOOKUP(G2335,ThongSo!$F$2:$I$15,4,0)*B2335*E2335/1000,3),"-")</f>
        <v>28.395</v>
      </c>
      <c r="L2335" s="150"/>
      <c r="M2335" s="150"/>
      <c r="N2335" s="150"/>
    </row>
    <row r="2336" spans="1:14" x14ac:dyDescent="0.25">
      <c r="A2336" s="159">
        <v>15</v>
      </c>
      <c r="B2336" s="160">
        <v>5</v>
      </c>
      <c r="C2336" s="160">
        <v>11700</v>
      </c>
      <c r="D2336" s="160" t="s">
        <v>5016</v>
      </c>
      <c r="E2336" s="160">
        <v>540</v>
      </c>
      <c r="F2336" s="160" t="s">
        <v>74</v>
      </c>
      <c r="G2336" s="148">
        <v>32</v>
      </c>
      <c r="H2336" s="152">
        <f>IF(C2336=11700,ROUND(VLOOKUP(G2336,ThongSo!$F$2:$I$15,4,0)*B2336*11.7,3),0)</f>
        <v>369.13499999999999</v>
      </c>
      <c r="I2336" s="152">
        <f>IF(F2336="Sắt vụn",ROUND(VLOOKUP(G2336,ThongSo!$F$2:$I$15,4,0)*B2336*E2336/1000,3),"-")</f>
        <v>17.036999999999999</v>
      </c>
      <c r="L2336" s="150"/>
      <c r="M2336" s="150"/>
      <c r="N2336" s="150"/>
    </row>
    <row r="2337" spans="1:14" x14ac:dyDescent="0.25">
      <c r="A2337" s="159">
        <v>16</v>
      </c>
      <c r="B2337" s="160">
        <v>5</v>
      </c>
      <c r="C2337" s="160">
        <v>11700</v>
      </c>
      <c r="D2337" s="160" t="s">
        <v>5017</v>
      </c>
      <c r="E2337" s="160">
        <v>600</v>
      </c>
      <c r="F2337" s="160" t="s">
        <v>74</v>
      </c>
      <c r="G2337" s="148">
        <v>32</v>
      </c>
      <c r="H2337" s="152">
        <f>IF(C2337=11700,ROUND(VLOOKUP(G2337,ThongSo!$F$2:$I$15,4,0)*B2337*11.7,3),0)</f>
        <v>369.13499999999999</v>
      </c>
      <c r="I2337" s="152">
        <f>IF(F2337="Sắt vụn",ROUND(VLOOKUP(G2337,ThongSo!$F$2:$I$15,4,0)*B2337*E2337/1000,3),"-")</f>
        <v>18.93</v>
      </c>
      <c r="L2337" s="150"/>
      <c r="M2337" s="150"/>
      <c r="N2337" s="150"/>
    </row>
    <row r="2338" spans="1:14" x14ac:dyDescent="0.25">
      <c r="A2338" s="159">
        <v>17</v>
      </c>
      <c r="B2338" s="160">
        <v>5</v>
      </c>
      <c r="C2338" s="160">
        <v>11700</v>
      </c>
      <c r="D2338" s="160" t="s">
        <v>5018</v>
      </c>
      <c r="E2338" s="160">
        <v>700</v>
      </c>
      <c r="F2338" s="160" t="s">
        <v>74</v>
      </c>
      <c r="G2338" s="148">
        <v>32</v>
      </c>
      <c r="H2338" s="152">
        <f>IF(C2338=11700,ROUND(VLOOKUP(G2338,ThongSo!$F$2:$I$15,4,0)*B2338*11.7,3),0)</f>
        <v>369.13499999999999</v>
      </c>
      <c r="I2338" s="152">
        <f>IF(F2338="Sắt vụn",ROUND(VLOOKUP(G2338,ThongSo!$F$2:$I$15,4,0)*B2338*E2338/1000,3),"-")</f>
        <v>22.085000000000001</v>
      </c>
      <c r="L2338" s="150"/>
      <c r="M2338" s="150"/>
      <c r="N2338" s="150"/>
    </row>
    <row r="2339" spans="1:14" x14ac:dyDescent="0.25">
      <c r="A2339" s="159">
        <v>18</v>
      </c>
      <c r="B2339" s="160">
        <v>2</v>
      </c>
      <c r="C2339" s="160">
        <v>11700</v>
      </c>
      <c r="D2339" s="160" t="s">
        <v>5019</v>
      </c>
      <c r="E2339" s="160">
        <v>1300</v>
      </c>
      <c r="F2339" s="160" t="s">
        <v>74</v>
      </c>
      <c r="G2339" s="148">
        <v>32</v>
      </c>
      <c r="H2339" s="152">
        <f>IF(C2339=11700,ROUND(VLOOKUP(G2339,ThongSo!$F$2:$I$15,4,0)*B2339*11.7,3),0)</f>
        <v>147.654</v>
      </c>
      <c r="I2339" s="152">
        <f>IF(F2339="Sắt vụn",ROUND(VLOOKUP(G2339,ThongSo!$F$2:$I$15,4,0)*B2339*E2339/1000,3),"-")</f>
        <v>16.405999999999999</v>
      </c>
      <c r="L2339" s="150"/>
      <c r="M2339" s="150"/>
      <c r="N2339" s="150"/>
    </row>
    <row r="2340" spans="1:14" x14ac:dyDescent="0.25">
      <c r="A2340" s="159">
        <v>19</v>
      </c>
      <c r="B2340" s="160">
        <v>3</v>
      </c>
      <c r="C2340" s="160">
        <v>11700</v>
      </c>
      <c r="D2340" s="160" t="s">
        <v>5020</v>
      </c>
      <c r="E2340" s="160">
        <v>2660</v>
      </c>
      <c r="F2340" s="160" t="s">
        <v>75</v>
      </c>
      <c r="G2340" s="148">
        <v>32</v>
      </c>
      <c r="H2340" s="152">
        <f>IF(C2340=11700,ROUND(VLOOKUP(G2340,ThongSo!$F$2:$I$15,4,0)*B2340*11.7,3),0)</f>
        <v>221.48099999999999</v>
      </c>
      <c r="I2340" s="152" t="str">
        <f>IF(F2340="Sắt vụn",ROUND(VLOOKUP(G2340,ThongSo!$F$2:$I$15,4,0)*B2340*E2340/1000,3),"-")</f>
        <v>-</v>
      </c>
      <c r="L2340" s="150"/>
      <c r="M2340" s="150"/>
      <c r="N2340" s="150"/>
    </row>
    <row r="2341" spans="1:14" x14ac:dyDescent="0.25">
      <c r="A2341" s="159">
        <v>20</v>
      </c>
      <c r="B2341" s="160">
        <v>6</v>
      </c>
      <c r="C2341" s="160">
        <v>11700</v>
      </c>
      <c r="D2341" s="160" t="s">
        <v>5021</v>
      </c>
      <c r="E2341" s="160">
        <v>2700</v>
      </c>
      <c r="F2341" s="160" t="s">
        <v>75</v>
      </c>
      <c r="G2341" s="148">
        <v>32</v>
      </c>
      <c r="H2341" s="152">
        <f>IF(C2341=11700,ROUND(VLOOKUP(G2341,ThongSo!$F$2:$I$15,4,0)*B2341*11.7,3),0)</f>
        <v>442.96199999999999</v>
      </c>
      <c r="I2341" s="152" t="str">
        <f>IF(F2341="Sắt vụn",ROUND(VLOOKUP(G2341,ThongSo!$F$2:$I$15,4,0)*B2341*E2341/1000,3),"-")</f>
        <v>-</v>
      </c>
      <c r="L2341" s="150"/>
      <c r="M2341" s="150"/>
      <c r="N2341" s="150"/>
    </row>
    <row r="2342" spans="1:14" x14ac:dyDescent="0.25">
      <c r="A2342" s="159">
        <v>21</v>
      </c>
      <c r="B2342" s="160">
        <v>6</v>
      </c>
      <c r="C2342" s="160">
        <v>11700</v>
      </c>
      <c r="D2342" s="160" t="s">
        <v>5022</v>
      </c>
      <c r="E2342" s="160">
        <v>3560</v>
      </c>
      <c r="F2342" s="160" t="s">
        <v>75</v>
      </c>
      <c r="G2342" s="148">
        <v>32</v>
      </c>
      <c r="H2342" s="152">
        <f>IF(C2342=11700,ROUND(VLOOKUP(G2342,ThongSo!$F$2:$I$15,4,0)*B2342*11.7,3),0)</f>
        <v>442.96199999999999</v>
      </c>
      <c r="I2342" s="152" t="str">
        <f>IF(F2342="Sắt vụn",ROUND(VLOOKUP(G2342,ThongSo!$F$2:$I$15,4,0)*B2342*E2342/1000,3),"-")</f>
        <v>-</v>
      </c>
      <c r="L2342" s="150"/>
      <c r="M2342" s="150"/>
      <c r="N2342" s="150"/>
    </row>
    <row r="2343" spans="1:14" x14ac:dyDescent="0.25">
      <c r="A2343" s="159">
        <v>22</v>
      </c>
      <c r="B2343" s="160">
        <v>1</v>
      </c>
      <c r="C2343" s="160">
        <v>11700</v>
      </c>
      <c r="D2343" s="160" t="s">
        <v>5023</v>
      </c>
      <c r="E2343" s="160">
        <v>5010</v>
      </c>
      <c r="F2343" s="160" t="s">
        <v>75</v>
      </c>
      <c r="G2343" s="148">
        <v>32</v>
      </c>
      <c r="H2343" s="152">
        <f>IF(C2343=11700,ROUND(VLOOKUP(G2343,ThongSo!$F$2:$I$15,4,0)*B2343*11.7,3),0)</f>
        <v>73.826999999999998</v>
      </c>
      <c r="I2343" s="152" t="str">
        <f>IF(F2343="Sắt vụn",ROUND(VLOOKUP(G2343,ThongSo!$F$2:$I$15,4,0)*B2343*E2343/1000,3),"-")</f>
        <v>-</v>
      </c>
      <c r="L2343" s="150"/>
      <c r="M2343" s="150"/>
      <c r="N2343" s="150"/>
    </row>
    <row r="2344" spans="1:14" x14ac:dyDescent="0.25">
      <c r="A2344" s="159">
        <v>23</v>
      </c>
      <c r="B2344" s="160">
        <v>10</v>
      </c>
      <c r="C2344" s="160">
        <v>11700</v>
      </c>
      <c r="D2344" s="160" t="s">
        <v>5024</v>
      </c>
      <c r="E2344" s="160">
        <v>5150</v>
      </c>
      <c r="F2344" s="160" t="s">
        <v>75</v>
      </c>
      <c r="G2344" s="148">
        <v>32</v>
      </c>
      <c r="H2344" s="152">
        <f>IF(C2344=11700,ROUND(VLOOKUP(G2344,ThongSo!$F$2:$I$15,4,0)*B2344*11.7,3),0)</f>
        <v>738.27</v>
      </c>
      <c r="I2344" s="152" t="str">
        <f>IF(F2344="Sắt vụn",ROUND(VLOOKUP(G2344,ThongSo!$F$2:$I$15,4,0)*B2344*E2344/1000,3),"-")</f>
        <v>-</v>
      </c>
      <c r="L2344" s="150"/>
      <c r="M2344" s="150"/>
      <c r="N2344" s="150"/>
    </row>
    <row r="2345" spans="1:14" x14ac:dyDescent="0.25">
      <c r="A2345" s="159">
        <v>24</v>
      </c>
      <c r="B2345" s="160">
        <v>5</v>
      </c>
      <c r="C2345" s="160">
        <v>11700</v>
      </c>
      <c r="D2345" s="160" t="s">
        <v>5025</v>
      </c>
      <c r="E2345" s="160">
        <v>5150</v>
      </c>
      <c r="F2345" s="160" t="s">
        <v>75</v>
      </c>
      <c r="G2345" s="148">
        <v>32</v>
      </c>
      <c r="H2345" s="152">
        <f>IF(C2345=11700,ROUND(VLOOKUP(G2345,ThongSo!$F$2:$I$15,4,0)*B2345*11.7,3),0)</f>
        <v>369.13499999999999</v>
      </c>
      <c r="I2345" s="152" t="str">
        <f>IF(F2345="Sắt vụn",ROUND(VLOOKUP(G2345,ThongSo!$F$2:$I$15,4,0)*B2345*E2345/1000,3),"-")</f>
        <v>-</v>
      </c>
      <c r="L2345" s="150"/>
      <c r="M2345" s="150"/>
      <c r="N2345" s="150"/>
    </row>
    <row r="2346" spans="1:14" x14ac:dyDescent="0.25">
      <c r="A2346" s="159">
        <v>25</v>
      </c>
      <c r="B2346" s="160">
        <v>4</v>
      </c>
      <c r="C2346" s="160">
        <v>11700</v>
      </c>
      <c r="D2346" s="160" t="s">
        <v>5026</v>
      </c>
      <c r="E2346" s="160">
        <v>5320</v>
      </c>
      <c r="F2346" s="160" t="s">
        <v>75</v>
      </c>
      <c r="G2346" s="148">
        <v>32</v>
      </c>
      <c r="H2346" s="152">
        <f>IF(C2346=11700,ROUND(VLOOKUP(G2346,ThongSo!$F$2:$I$15,4,0)*B2346*11.7,3),0)</f>
        <v>295.30799999999999</v>
      </c>
      <c r="I2346" s="152" t="str">
        <f>IF(F2346="Sắt vụn",ROUND(VLOOKUP(G2346,ThongSo!$F$2:$I$15,4,0)*B2346*E2346/1000,3),"-")</f>
        <v>-</v>
      </c>
      <c r="L2346" s="150"/>
      <c r="M2346" s="150"/>
      <c r="N2346" s="150"/>
    </row>
    <row r="2347" spans="1:14" x14ac:dyDescent="0.25">
      <c r="A2347" s="159">
        <v>26</v>
      </c>
      <c r="B2347" s="160">
        <v>14</v>
      </c>
      <c r="C2347" s="160">
        <v>11700</v>
      </c>
      <c r="D2347" s="160" t="s">
        <v>5027</v>
      </c>
      <c r="E2347" s="160">
        <v>5430</v>
      </c>
      <c r="F2347" s="160" t="s">
        <v>75</v>
      </c>
      <c r="G2347" s="148">
        <v>32</v>
      </c>
      <c r="H2347" s="152">
        <f>IF(C2347=11700,ROUND(VLOOKUP(G2347,ThongSo!$F$2:$I$15,4,0)*B2347*11.7,3),0)</f>
        <v>1033.578</v>
      </c>
      <c r="I2347" s="152" t="str">
        <f>IF(F2347="Sắt vụn",ROUND(VLOOKUP(G2347,ThongSo!$F$2:$I$15,4,0)*B2347*E2347/1000,3),"-")</f>
        <v>-</v>
      </c>
      <c r="L2347" s="150"/>
      <c r="M2347" s="150"/>
      <c r="N2347" s="150"/>
    </row>
    <row r="2348" spans="1:14" x14ac:dyDescent="0.25">
      <c r="A2348" s="154"/>
      <c r="G2348" s="148"/>
      <c r="H2348" s="152">
        <f>IF(C2348=11700,ROUND(VLOOKUP(G2348,ThongSo!$F$2:$I$15,4,0)*B2348*11.7,3),0)</f>
        <v>0</v>
      </c>
      <c r="I2348" s="152" t="str">
        <f>IF(F2348="Sắt vụn",ROUND(VLOOKUP(G2348,ThongSo!$F$2:$I$15,4,0)*B2348*E2348/1000,3),"-")</f>
        <v>-</v>
      </c>
      <c r="L2348" s="150"/>
      <c r="M2348" s="150"/>
      <c r="N2348" s="150"/>
    </row>
    <row r="2349" spans="1:14" x14ac:dyDescent="0.25">
      <c r="A2349" s="167">
        <v>14</v>
      </c>
      <c r="B2349" s="167"/>
      <c r="C2349" s="167"/>
      <c r="D2349" s="167"/>
      <c r="E2349" s="167"/>
      <c r="F2349" s="167"/>
      <c r="G2349" s="148"/>
      <c r="H2349" s="152">
        <f>IF(C2349=11700,ROUND(VLOOKUP(G2349,ThongSo!$F$2:$I$15,4,0)*B2349*11.7,3),0)</f>
        <v>0</v>
      </c>
      <c r="I2349" s="152" t="str">
        <f>IF(F2349="Sắt vụn",ROUND(VLOOKUP(G2349,ThongSo!$F$2:$I$15,4,0)*B2349*E2349/1000,3),"-")</f>
        <v>-</v>
      </c>
      <c r="L2349" s="150"/>
      <c r="M2349" s="150"/>
      <c r="N2349" s="150"/>
    </row>
    <row r="2350" spans="1:14" x14ac:dyDescent="0.25">
      <c r="A2350" s="154"/>
      <c r="G2350" s="148"/>
      <c r="H2350" s="152">
        <f>IF(C2350=11700,ROUND(VLOOKUP(G2350,ThongSo!$F$2:$I$15,4,0)*B2350*11.7,3),0)</f>
        <v>0</v>
      </c>
      <c r="I2350" s="152" t="str">
        <f>IF(F2350="Sắt vụn",ROUND(VLOOKUP(G2350,ThongSo!$F$2:$I$15,4,0)*B2350*E2350/1000,3),"-")</f>
        <v>-</v>
      </c>
      <c r="L2350" s="150"/>
      <c r="M2350" s="150"/>
      <c r="N2350" s="150"/>
    </row>
    <row r="2351" spans="1:14" x14ac:dyDescent="0.25">
      <c r="A2351" s="155" t="s">
        <v>50</v>
      </c>
      <c r="B2351" s="155" t="s">
        <v>51</v>
      </c>
      <c r="C2351" s="155" t="s">
        <v>45</v>
      </c>
      <c r="D2351" s="155" t="s">
        <v>42</v>
      </c>
      <c r="E2351" s="155" t="s">
        <v>43</v>
      </c>
      <c r="F2351" s="156" t="s">
        <v>46</v>
      </c>
      <c r="G2351" s="148"/>
      <c r="H2351" s="152">
        <f>IF(C2351=11700,ROUND(VLOOKUP(G2351,ThongSo!$F$2:$I$15,4,0)*B2351*11.7,3),0)</f>
        <v>0</v>
      </c>
      <c r="I2351" s="152" t="str">
        <f>IF(F2351="Sắt vụn",ROUND(VLOOKUP(G2351,ThongSo!$F$2:$I$15,4,0)*B2351*E2351/1000,3),"-")</f>
        <v>-</v>
      </c>
      <c r="L2351" s="150"/>
      <c r="M2351" s="150"/>
      <c r="N2351" s="150"/>
    </row>
    <row r="2352" spans="1:14" x14ac:dyDescent="0.25">
      <c r="A2352" s="157" t="s">
        <v>77</v>
      </c>
      <c r="B2352" s="158"/>
      <c r="C2352" s="158"/>
      <c r="D2352" s="158"/>
      <c r="E2352" s="158"/>
      <c r="F2352" s="158"/>
      <c r="G2352" s="148"/>
      <c r="H2352" s="152">
        <f>IF(C2352=11700,ROUND(VLOOKUP(G2352,ThongSo!$F$2:$I$15,4,0)*B2352*11.7,3),0)</f>
        <v>0</v>
      </c>
      <c r="I2352" s="152" t="str">
        <f>IF(F2352="Sắt vụn",ROUND(VLOOKUP(G2352,ThongSo!$F$2:$I$15,4,0)*B2352*E2352/1000,3),"-")</f>
        <v>-</v>
      </c>
      <c r="L2352" s="150"/>
      <c r="M2352" s="150"/>
      <c r="N2352" s="150"/>
    </row>
    <row r="2353" spans="1:14" x14ac:dyDescent="0.25">
      <c r="A2353" s="159" t="s">
        <v>73</v>
      </c>
      <c r="B2353" s="160">
        <v>10</v>
      </c>
      <c r="C2353" s="160">
        <v>11700</v>
      </c>
      <c r="D2353" s="160"/>
      <c r="E2353" s="160"/>
      <c r="F2353" s="160"/>
      <c r="G2353" s="148">
        <v>25</v>
      </c>
      <c r="H2353" s="152">
        <f>IF(C2353=11700,ROUND(VLOOKUP(G2353,ThongSo!$F$2:$I$15,4,0)*B2353*11.7,3),0)</f>
        <v>450.45</v>
      </c>
      <c r="I2353" s="152" t="str">
        <f>IF(F2353="Sắt vụn",ROUND(VLOOKUP(G2353,ThongSo!$F$2:$I$15,4,0)*B2353*E2353/1000,3),"-")</f>
        <v>-</v>
      </c>
      <c r="L2353" s="150"/>
      <c r="M2353" s="150"/>
      <c r="N2353" s="150"/>
    </row>
    <row r="2354" spans="1:14" x14ac:dyDescent="0.25">
      <c r="A2354" s="154"/>
      <c r="G2354" s="149"/>
      <c r="H2354" s="150"/>
      <c r="I2354" s="150"/>
      <c r="L2354" s="150"/>
      <c r="M2354" s="150"/>
      <c r="N2354" s="150"/>
    </row>
    <row r="2355" spans="1:14" x14ac:dyDescent="0.25">
      <c r="A2355" s="154"/>
      <c r="G2355" s="149"/>
      <c r="H2355" s="150"/>
      <c r="I2355" s="150"/>
      <c r="L2355" s="150"/>
      <c r="M2355" s="150"/>
      <c r="N2355" s="150"/>
    </row>
    <row r="2356" spans="1:14" x14ac:dyDescent="0.25">
      <c r="A2356" s="154"/>
      <c r="G2356" s="149"/>
      <c r="H2356" s="150"/>
      <c r="I2356" s="150"/>
      <c r="L2356" s="150"/>
      <c r="M2356" s="150"/>
      <c r="N2356" s="150"/>
    </row>
    <row r="2357" spans="1:14" x14ac:dyDescent="0.25">
      <c r="A2357" s="154"/>
      <c r="G2357" s="149"/>
      <c r="H2357" s="150"/>
      <c r="I2357" s="150"/>
      <c r="L2357" s="150"/>
      <c r="M2357" s="150"/>
      <c r="N2357" s="150"/>
    </row>
    <row r="2358" spans="1:14" x14ac:dyDescent="0.25">
      <c r="A2358" s="154"/>
      <c r="G2358" s="149"/>
      <c r="H2358" s="150"/>
      <c r="I2358" s="150"/>
      <c r="L2358" s="150"/>
      <c r="M2358" s="150"/>
      <c r="N2358" s="150"/>
    </row>
    <row r="2359" spans="1:14" x14ac:dyDescent="0.25">
      <c r="A2359" s="154"/>
      <c r="G2359" s="149"/>
      <c r="H2359" s="150"/>
      <c r="I2359" s="150"/>
      <c r="L2359" s="150"/>
      <c r="M2359" s="150"/>
      <c r="N2359" s="150"/>
    </row>
    <row r="2360" spans="1:14" x14ac:dyDescent="0.25">
      <c r="A2360" s="154"/>
      <c r="G2360" s="149"/>
      <c r="H2360" s="150"/>
      <c r="I2360" s="150"/>
      <c r="L2360" s="150"/>
      <c r="M2360" s="150"/>
      <c r="N2360" s="150"/>
    </row>
    <row r="2361" spans="1:14" x14ac:dyDescent="0.25">
      <c r="A2361" s="154"/>
      <c r="G2361" s="149"/>
      <c r="H2361" s="150"/>
      <c r="I2361" s="150"/>
      <c r="L2361" s="150"/>
      <c r="M2361" s="150"/>
      <c r="N2361" s="150"/>
    </row>
    <row r="2362" spans="1:14" x14ac:dyDescent="0.25">
      <c r="A2362" s="154"/>
      <c r="G2362" s="149"/>
      <c r="H2362" s="150"/>
      <c r="I2362" s="150"/>
      <c r="L2362" s="150"/>
      <c r="M2362" s="150"/>
      <c r="N2362" s="150"/>
    </row>
    <row r="2363" spans="1:14" x14ac:dyDescent="0.25">
      <c r="A2363" s="154"/>
      <c r="G2363" s="149"/>
      <c r="H2363" s="150"/>
      <c r="I2363" s="150"/>
      <c r="L2363" s="150"/>
      <c r="M2363" s="150"/>
      <c r="N2363" s="150"/>
    </row>
    <row r="2364" spans="1:14" x14ac:dyDescent="0.25">
      <c r="A2364" s="154"/>
      <c r="G2364" s="149"/>
      <c r="H2364" s="150"/>
      <c r="I2364" s="150"/>
      <c r="L2364" s="150"/>
      <c r="M2364" s="150"/>
      <c r="N2364" s="150"/>
    </row>
    <row r="2365" spans="1:14" x14ac:dyDescent="0.25">
      <c r="A2365" s="154"/>
      <c r="G2365" s="149"/>
      <c r="H2365" s="150"/>
      <c r="I2365" s="150"/>
      <c r="L2365" s="150"/>
      <c r="M2365" s="150"/>
      <c r="N2365" s="150"/>
    </row>
    <row r="2366" spans="1:14" x14ac:dyDescent="0.25">
      <c r="A2366" s="154"/>
      <c r="G2366" s="149"/>
      <c r="H2366" s="150"/>
      <c r="I2366" s="150"/>
      <c r="L2366" s="150"/>
      <c r="M2366" s="150"/>
      <c r="N2366" s="150"/>
    </row>
    <row r="2367" spans="1:14" x14ac:dyDescent="0.25">
      <c r="A2367" s="154"/>
      <c r="G2367" s="149"/>
      <c r="H2367" s="150"/>
      <c r="I2367" s="150"/>
      <c r="L2367" s="150"/>
      <c r="M2367" s="150"/>
      <c r="N2367" s="150"/>
    </row>
    <row r="2368" spans="1:14" x14ac:dyDescent="0.25">
      <c r="A2368" s="154"/>
      <c r="G2368" s="149"/>
      <c r="H2368" s="150"/>
      <c r="I2368" s="150"/>
      <c r="L2368" s="150"/>
      <c r="M2368" s="150"/>
      <c r="N2368" s="150"/>
    </row>
    <row r="2369" spans="1:14" x14ac:dyDescent="0.25">
      <c r="A2369" s="154"/>
      <c r="G2369" s="149"/>
      <c r="H2369" s="150"/>
      <c r="I2369" s="150"/>
      <c r="L2369" s="150"/>
      <c r="M2369" s="150"/>
      <c r="N2369" s="150"/>
    </row>
    <row r="2370" spans="1:14" x14ac:dyDescent="0.25">
      <c r="A2370" s="154"/>
      <c r="G2370" s="149"/>
      <c r="H2370" s="150"/>
      <c r="I2370" s="150"/>
      <c r="L2370" s="150"/>
      <c r="M2370" s="150"/>
      <c r="N2370" s="150"/>
    </row>
    <row r="2371" spans="1:14" x14ac:dyDescent="0.25">
      <c r="A2371" s="154"/>
      <c r="G2371" s="149"/>
      <c r="H2371" s="150"/>
      <c r="I2371" s="150"/>
      <c r="L2371" s="150"/>
      <c r="M2371" s="150"/>
      <c r="N2371" s="150"/>
    </row>
    <row r="2372" spans="1:14" x14ac:dyDescent="0.25">
      <c r="A2372" s="154"/>
      <c r="G2372" s="149"/>
      <c r="H2372" s="150"/>
      <c r="I2372" s="150"/>
      <c r="L2372" s="150"/>
      <c r="M2372" s="150"/>
      <c r="N2372" s="150"/>
    </row>
    <row r="2373" spans="1:14" x14ac:dyDescent="0.25">
      <c r="A2373" s="154"/>
      <c r="G2373" s="149"/>
      <c r="H2373" s="150"/>
      <c r="I2373" s="150"/>
      <c r="L2373" s="150"/>
      <c r="M2373" s="150"/>
      <c r="N2373" s="150"/>
    </row>
    <row r="2374" spans="1:14" x14ac:dyDescent="0.25">
      <c r="A2374" s="154"/>
      <c r="G2374" s="149"/>
      <c r="H2374" s="150"/>
      <c r="I2374" s="150"/>
      <c r="L2374" s="150"/>
      <c r="M2374" s="150"/>
      <c r="N2374" s="150"/>
    </row>
    <row r="2375" spans="1:14" x14ac:dyDescent="0.25">
      <c r="A2375" s="154"/>
      <c r="G2375" s="149"/>
      <c r="H2375" s="150"/>
      <c r="I2375" s="150"/>
      <c r="L2375" s="150"/>
      <c r="M2375" s="150"/>
      <c r="N2375" s="150"/>
    </row>
    <row r="2376" spans="1:14" x14ac:dyDescent="0.25">
      <c r="A2376" s="154"/>
      <c r="G2376" s="149"/>
      <c r="H2376" s="150"/>
      <c r="I2376" s="150"/>
      <c r="L2376" s="150"/>
      <c r="M2376" s="150"/>
      <c r="N2376" s="150"/>
    </row>
    <row r="2377" spans="1:14" x14ac:dyDescent="0.25">
      <c r="A2377" s="154"/>
      <c r="G2377" s="149"/>
      <c r="H2377" s="150"/>
      <c r="I2377" s="150"/>
      <c r="L2377" s="150"/>
      <c r="M2377" s="150"/>
      <c r="N2377" s="150"/>
    </row>
    <row r="2378" spans="1:14" x14ac:dyDescent="0.25">
      <c r="A2378" s="154"/>
      <c r="G2378" s="149"/>
      <c r="H2378" s="150"/>
      <c r="I2378" s="150"/>
      <c r="L2378" s="150"/>
      <c r="M2378" s="150"/>
      <c r="N2378" s="150"/>
    </row>
    <row r="2379" spans="1:14" x14ac:dyDescent="0.25">
      <c r="A2379" s="154"/>
      <c r="G2379" s="149"/>
      <c r="H2379" s="150"/>
      <c r="I2379" s="150"/>
      <c r="L2379" s="150"/>
      <c r="M2379" s="150"/>
      <c r="N2379" s="150"/>
    </row>
    <row r="2380" spans="1:14" x14ac:dyDescent="0.25">
      <c r="A2380" s="154"/>
      <c r="G2380" s="149"/>
      <c r="H2380" s="150"/>
      <c r="I2380" s="150"/>
      <c r="L2380" s="150"/>
      <c r="M2380" s="150"/>
      <c r="N2380" s="150"/>
    </row>
    <row r="2381" spans="1:14" x14ac:dyDescent="0.25">
      <c r="A2381" s="154"/>
      <c r="G2381" s="149"/>
      <c r="H2381" s="150"/>
      <c r="I2381" s="150"/>
      <c r="L2381" s="150"/>
      <c r="M2381" s="150"/>
      <c r="N2381" s="150"/>
    </row>
    <row r="2382" spans="1:14" x14ac:dyDescent="0.25">
      <c r="A2382" s="154"/>
      <c r="G2382" s="149"/>
      <c r="H2382" s="150"/>
      <c r="I2382" s="150"/>
      <c r="L2382" s="150"/>
      <c r="M2382" s="150"/>
      <c r="N2382" s="150"/>
    </row>
    <row r="2383" spans="1:14" x14ac:dyDescent="0.25">
      <c r="A2383" s="154"/>
      <c r="G2383" s="149"/>
      <c r="H2383" s="150"/>
      <c r="I2383" s="150"/>
      <c r="L2383" s="150"/>
      <c r="M2383" s="150"/>
      <c r="N2383" s="150"/>
    </row>
    <row r="2384" spans="1:14" x14ac:dyDescent="0.25">
      <c r="A2384" s="154"/>
      <c r="G2384" s="149"/>
      <c r="H2384" s="150"/>
      <c r="I2384" s="150"/>
      <c r="L2384" s="150"/>
      <c r="M2384" s="150"/>
      <c r="N2384" s="150"/>
    </row>
    <row r="2385" spans="1:14" x14ac:dyDescent="0.25">
      <c r="A2385" s="154"/>
      <c r="G2385" s="149"/>
      <c r="H2385" s="150"/>
      <c r="I2385" s="150"/>
      <c r="L2385" s="150"/>
      <c r="M2385" s="150"/>
      <c r="N2385" s="150"/>
    </row>
    <row r="2386" spans="1:14" x14ac:dyDescent="0.25">
      <c r="A2386" s="154"/>
      <c r="G2386" s="149"/>
      <c r="H2386" s="150"/>
      <c r="I2386" s="150"/>
      <c r="L2386" s="150"/>
      <c r="M2386" s="150"/>
      <c r="N2386" s="150"/>
    </row>
    <row r="2387" spans="1:14" x14ac:dyDescent="0.25">
      <c r="A2387" s="154"/>
      <c r="G2387" s="149"/>
      <c r="H2387" s="150"/>
      <c r="I2387" s="150"/>
      <c r="L2387" s="150"/>
      <c r="M2387" s="150"/>
      <c r="N2387" s="150"/>
    </row>
    <row r="2388" spans="1:14" x14ac:dyDescent="0.25">
      <c r="A2388" s="154"/>
      <c r="G2388" s="149"/>
      <c r="H2388" s="150"/>
      <c r="I2388" s="150"/>
      <c r="L2388" s="150"/>
      <c r="M2388" s="150"/>
      <c r="N2388" s="150"/>
    </row>
    <row r="2389" spans="1:14" x14ac:dyDescent="0.25">
      <c r="A2389" s="154"/>
      <c r="G2389" s="149"/>
      <c r="H2389" s="150"/>
      <c r="I2389" s="150"/>
      <c r="L2389" s="150"/>
      <c r="M2389" s="150"/>
      <c r="N2389" s="150"/>
    </row>
    <row r="2390" spans="1:14" x14ac:dyDescent="0.25">
      <c r="A2390" s="154"/>
      <c r="G2390" s="149"/>
      <c r="H2390" s="150"/>
      <c r="I2390" s="150"/>
      <c r="L2390" s="150"/>
      <c r="M2390" s="150"/>
      <c r="N2390" s="150"/>
    </row>
    <row r="2391" spans="1:14" x14ac:dyDescent="0.25">
      <c r="A2391" s="154"/>
      <c r="G2391" s="149"/>
      <c r="H2391" s="150"/>
      <c r="I2391" s="150"/>
      <c r="L2391" s="150"/>
      <c r="M2391" s="150"/>
      <c r="N2391" s="150"/>
    </row>
    <row r="2392" spans="1:14" x14ac:dyDescent="0.25">
      <c r="A2392" s="154"/>
      <c r="G2392" s="149"/>
      <c r="H2392" s="150"/>
      <c r="I2392" s="150"/>
      <c r="L2392" s="150"/>
      <c r="M2392" s="150"/>
      <c r="N2392" s="150"/>
    </row>
    <row r="2393" spans="1:14" x14ac:dyDescent="0.25">
      <c r="A2393" s="154"/>
      <c r="G2393" s="149"/>
      <c r="H2393" s="150"/>
      <c r="I2393" s="150"/>
      <c r="L2393" s="150"/>
      <c r="M2393" s="150"/>
      <c r="N2393" s="150"/>
    </row>
    <row r="2394" spans="1:14" x14ac:dyDescent="0.25">
      <c r="A2394" s="154"/>
      <c r="G2394" s="149"/>
      <c r="H2394" s="150"/>
      <c r="I2394" s="150"/>
      <c r="L2394" s="150"/>
      <c r="M2394" s="150"/>
      <c r="N2394" s="150"/>
    </row>
    <row r="2395" spans="1:14" x14ac:dyDescent="0.25">
      <c r="A2395" s="154"/>
      <c r="G2395" s="149"/>
      <c r="H2395" s="150"/>
      <c r="I2395" s="150"/>
      <c r="L2395" s="150"/>
      <c r="M2395" s="150"/>
      <c r="N2395" s="150"/>
    </row>
    <row r="2396" spans="1:14" x14ac:dyDescent="0.25">
      <c r="A2396" s="154"/>
      <c r="G2396" s="149"/>
      <c r="H2396" s="150"/>
      <c r="I2396" s="150"/>
      <c r="L2396" s="150"/>
      <c r="M2396" s="150"/>
      <c r="N2396" s="150"/>
    </row>
    <row r="2397" spans="1:14" x14ac:dyDescent="0.25">
      <c r="A2397" s="154"/>
      <c r="G2397" s="149"/>
      <c r="H2397" s="150"/>
      <c r="I2397" s="150"/>
      <c r="L2397" s="150"/>
      <c r="M2397" s="150"/>
      <c r="N2397" s="150"/>
    </row>
    <row r="2398" spans="1:14" x14ac:dyDescent="0.25">
      <c r="A2398" s="154"/>
      <c r="G2398" s="149"/>
      <c r="H2398" s="150"/>
      <c r="I2398" s="150"/>
      <c r="L2398" s="150"/>
      <c r="M2398" s="150"/>
      <c r="N2398" s="150"/>
    </row>
    <row r="2399" spans="1:14" x14ac:dyDescent="0.25">
      <c r="A2399" s="154"/>
      <c r="G2399" s="149"/>
      <c r="H2399" s="150"/>
      <c r="I2399" s="150"/>
      <c r="L2399" s="150"/>
      <c r="M2399" s="150"/>
      <c r="N2399" s="150"/>
    </row>
    <row r="2400" spans="1:14" x14ac:dyDescent="0.25">
      <c r="A2400" s="154"/>
      <c r="G2400" s="149"/>
      <c r="H2400" s="150"/>
      <c r="I2400" s="150"/>
      <c r="L2400" s="150"/>
      <c r="M2400" s="150"/>
      <c r="N2400" s="150"/>
    </row>
    <row r="2401" spans="1:14" x14ac:dyDescent="0.25">
      <c r="A2401" s="154"/>
      <c r="G2401" s="149"/>
      <c r="H2401" s="150"/>
      <c r="I2401" s="150"/>
      <c r="L2401" s="150"/>
      <c r="M2401" s="150"/>
      <c r="N2401" s="150"/>
    </row>
    <row r="2402" spans="1:14" x14ac:dyDescent="0.25">
      <c r="A2402" s="154"/>
      <c r="G2402" s="149"/>
      <c r="H2402" s="150"/>
      <c r="I2402" s="150"/>
      <c r="L2402" s="150"/>
      <c r="M2402" s="150"/>
      <c r="N2402" s="150"/>
    </row>
    <row r="2403" spans="1:14" x14ac:dyDescent="0.25">
      <c r="A2403" s="154"/>
      <c r="G2403" s="149"/>
      <c r="H2403" s="150"/>
      <c r="I2403" s="150"/>
      <c r="L2403" s="150"/>
      <c r="M2403" s="150"/>
      <c r="N2403" s="150"/>
    </row>
    <row r="2404" spans="1:14" x14ac:dyDescent="0.25">
      <c r="A2404" s="154"/>
      <c r="G2404" s="149"/>
      <c r="H2404" s="150"/>
      <c r="I2404" s="150"/>
      <c r="L2404" s="150"/>
      <c r="M2404" s="150"/>
      <c r="N2404" s="150"/>
    </row>
    <row r="2405" spans="1:14" x14ac:dyDescent="0.25">
      <c r="A2405" s="154"/>
      <c r="G2405" s="149"/>
      <c r="H2405" s="150"/>
      <c r="I2405" s="150"/>
      <c r="L2405" s="150"/>
      <c r="M2405" s="150"/>
      <c r="N2405" s="150"/>
    </row>
    <row r="2406" spans="1:14" x14ac:dyDescent="0.25">
      <c r="A2406" s="154"/>
      <c r="G2406" s="149"/>
      <c r="H2406" s="150"/>
      <c r="I2406" s="150"/>
      <c r="L2406" s="150"/>
      <c r="M2406" s="150"/>
      <c r="N2406" s="150"/>
    </row>
    <row r="2407" spans="1:14" x14ac:dyDescent="0.25">
      <c r="A2407" s="154"/>
      <c r="G2407" s="149"/>
      <c r="H2407" s="150"/>
      <c r="I2407" s="150"/>
      <c r="L2407" s="150"/>
      <c r="M2407" s="150"/>
      <c r="N2407" s="150"/>
    </row>
    <row r="2408" spans="1:14" x14ac:dyDescent="0.25">
      <c r="A2408" s="154"/>
      <c r="G2408" s="149"/>
      <c r="H2408" s="150"/>
      <c r="I2408" s="150"/>
      <c r="L2408" s="150"/>
      <c r="M2408" s="150"/>
      <c r="N2408" s="150"/>
    </row>
    <row r="2409" spans="1:14" x14ac:dyDescent="0.25">
      <c r="A2409" s="154"/>
      <c r="G2409" s="149"/>
      <c r="H2409" s="150"/>
      <c r="I2409" s="150"/>
      <c r="L2409" s="150"/>
      <c r="M2409" s="150"/>
      <c r="N2409" s="150"/>
    </row>
    <row r="2410" spans="1:14" x14ac:dyDescent="0.25">
      <c r="A2410" s="154"/>
      <c r="G2410" s="149"/>
      <c r="H2410" s="150"/>
      <c r="I2410" s="150"/>
      <c r="L2410" s="150"/>
      <c r="M2410" s="150"/>
      <c r="N2410" s="150"/>
    </row>
    <row r="2411" spans="1:14" x14ac:dyDescent="0.25">
      <c r="A2411" s="154"/>
      <c r="G2411" s="149"/>
      <c r="H2411" s="150"/>
      <c r="I2411" s="150"/>
      <c r="L2411" s="150"/>
      <c r="M2411" s="150"/>
      <c r="N2411" s="150"/>
    </row>
    <row r="2412" spans="1:14" x14ac:dyDescent="0.25">
      <c r="A2412" s="154"/>
      <c r="G2412" s="149"/>
      <c r="H2412" s="150"/>
      <c r="I2412" s="150"/>
      <c r="L2412" s="150"/>
      <c r="M2412" s="150"/>
      <c r="N2412" s="150"/>
    </row>
    <row r="2413" spans="1:14" x14ac:dyDescent="0.25">
      <c r="A2413" s="154"/>
      <c r="G2413" s="149"/>
      <c r="H2413" s="150"/>
      <c r="I2413" s="150"/>
      <c r="L2413" s="150"/>
      <c r="M2413" s="150"/>
      <c r="N2413" s="150"/>
    </row>
    <row r="2414" spans="1:14" x14ac:dyDescent="0.25">
      <c r="A2414" s="154"/>
      <c r="G2414" s="149"/>
      <c r="H2414" s="150"/>
      <c r="I2414" s="150"/>
      <c r="L2414" s="150"/>
      <c r="M2414" s="150"/>
      <c r="N2414" s="150"/>
    </row>
    <row r="2415" spans="1:14" x14ac:dyDescent="0.25">
      <c r="A2415" s="154"/>
      <c r="G2415" s="149"/>
      <c r="H2415" s="150"/>
      <c r="I2415" s="150"/>
      <c r="L2415" s="150"/>
      <c r="M2415" s="150"/>
      <c r="N2415" s="150"/>
    </row>
    <row r="2416" spans="1:14" x14ac:dyDescent="0.25">
      <c r="A2416" s="154"/>
      <c r="G2416" s="149"/>
      <c r="H2416" s="150"/>
      <c r="I2416" s="150"/>
      <c r="L2416" s="150"/>
      <c r="M2416" s="150"/>
      <c r="N2416" s="150"/>
    </row>
    <row r="2417" spans="1:14" x14ac:dyDescent="0.25">
      <c r="A2417" s="154"/>
      <c r="G2417" s="149"/>
      <c r="H2417" s="150"/>
      <c r="I2417" s="150"/>
      <c r="L2417" s="150"/>
      <c r="M2417" s="150"/>
      <c r="N2417" s="150"/>
    </row>
    <row r="2418" spans="1:14" x14ac:dyDescent="0.25">
      <c r="A2418" s="154"/>
      <c r="G2418" s="149"/>
      <c r="H2418" s="150"/>
      <c r="I2418" s="150"/>
      <c r="L2418" s="150"/>
      <c r="M2418" s="150"/>
      <c r="N2418" s="150"/>
    </row>
    <row r="2419" spans="1:14" x14ac:dyDescent="0.25">
      <c r="A2419" s="154"/>
      <c r="G2419" s="149"/>
      <c r="H2419" s="150"/>
      <c r="I2419" s="150"/>
      <c r="L2419" s="150"/>
      <c r="M2419" s="150"/>
      <c r="N2419" s="150"/>
    </row>
    <row r="2420" spans="1:14" x14ac:dyDescent="0.25">
      <c r="A2420" s="154"/>
      <c r="G2420" s="149"/>
      <c r="H2420" s="150"/>
      <c r="I2420" s="150"/>
      <c r="L2420" s="150"/>
      <c r="M2420" s="150"/>
      <c r="N2420" s="150"/>
    </row>
    <row r="2421" spans="1:14" x14ac:dyDescent="0.25">
      <c r="A2421" s="154"/>
      <c r="G2421" s="149"/>
      <c r="H2421" s="150"/>
      <c r="I2421" s="150"/>
      <c r="L2421" s="150"/>
      <c r="M2421" s="150"/>
      <c r="N2421" s="150"/>
    </row>
    <row r="2422" spans="1:14" x14ac:dyDescent="0.25">
      <c r="A2422" s="154"/>
      <c r="G2422" s="149"/>
      <c r="H2422" s="150"/>
      <c r="I2422" s="150"/>
      <c r="L2422" s="150"/>
      <c r="M2422" s="150"/>
      <c r="N2422" s="150"/>
    </row>
    <row r="2423" spans="1:14" x14ac:dyDescent="0.25">
      <c r="A2423" s="154"/>
      <c r="G2423" s="149"/>
      <c r="H2423" s="150"/>
      <c r="I2423" s="150"/>
      <c r="L2423" s="150"/>
      <c r="M2423" s="150"/>
      <c r="N2423" s="150"/>
    </row>
    <row r="2424" spans="1:14" x14ac:dyDescent="0.25">
      <c r="A2424" s="154"/>
      <c r="G2424" s="149"/>
      <c r="H2424" s="150"/>
      <c r="I2424" s="150"/>
      <c r="L2424" s="150"/>
      <c r="M2424" s="150"/>
      <c r="N2424" s="150"/>
    </row>
    <row r="2425" spans="1:14" x14ac:dyDescent="0.25">
      <c r="A2425" s="154"/>
      <c r="G2425" s="149"/>
      <c r="H2425" s="150"/>
      <c r="I2425" s="150"/>
      <c r="L2425" s="150"/>
      <c r="M2425" s="150"/>
      <c r="N2425" s="150"/>
    </row>
    <row r="2426" spans="1:14" x14ac:dyDescent="0.25">
      <c r="A2426" s="154"/>
      <c r="G2426" s="149"/>
      <c r="H2426" s="150"/>
      <c r="I2426" s="150"/>
      <c r="L2426" s="150"/>
      <c r="M2426" s="150"/>
      <c r="N2426" s="150"/>
    </row>
    <row r="2427" spans="1:14" x14ac:dyDescent="0.25">
      <c r="A2427" s="154"/>
      <c r="G2427" s="149"/>
      <c r="H2427" s="150"/>
      <c r="I2427" s="150"/>
      <c r="L2427" s="150"/>
      <c r="M2427" s="150"/>
      <c r="N2427" s="150"/>
    </row>
    <row r="2428" spans="1:14" x14ac:dyDescent="0.25">
      <c r="A2428" s="154"/>
      <c r="G2428" s="149"/>
      <c r="H2428" s="150"/>
      <c r="I2428" s="150"/>
      <c r="L2428" s="150"/>
      <c r="M2428" s="150"/>
      <c r="N2428" s="150"/>
    </row>
    <row r="2429" spans="1:14" x14ac:dyDescent="0.25">
      <c r="A2429" s="154"/>
      <c r="G2429" s="149"/>
      <c r="H2429" s="150"/>
      <c r="I2429" s="150"/>
      <c r="L2429" s="150"/>
      <c r="M2429" s="150"/>
      <c r="N2429" s="150"/>
    </row>
    <row r="2430" spans="1:14" x14ac:dyDescent="0.25">
      <c r="A2430" s="154"/>
      <c r="G2430" s="149"/>
      <c r="H2430" s="150"/>
      <c r="I2430" s="150"/>
      <c r="L2430" s="150"/>
      <c r="M2430" s="150"/>
      <c r="N2430" s="150"/>
    </row>
    <row r="2431" spans="1:14" x14ac:dyDescent="0.25">
      <c r="A2431" s="154"/>
      <c r="G2431" s="149"/>
      <c r="H2431" s="150"/>
      <c r="I2431" s="150"/>
      <c r="L2431" s="150"/>
      <c r="M2431" s="150"/>
      <c r="N2431" s="150"/>
    </row>
    <row r="2432" spans="1:14" x14ac:dyDescent="0.25">
      <c r="A2432" s="154"/>
      <c r="G2432" s="149"/>
      <c r="H2432" s="150"/>
      <c r="I2432" s="150"/>
      <c r="L2432" s="150"/>
      <c r="M2432" s="150"/>
      <c r="N2432" s="150"/>
    </row>
    <row r="2433" spans="1:14" x14ac:dyDescent="0.25">
      <c r="A2433" s="154"/>
      <c r="G2433" s="149"/>
      <c r="H2433" s="150"/>
      <c r="I2433" s="150"/>
      <c r="L2433" s="150"/>
      <c r="M2433" s="150"/>
      <c r="N2433" s="150"/>
    </row>
    <row r="2434" spans="1:14" x14ac:dyDescent="0.25">
      <c r="A2434" s="154"/>
      <c r="G2434" s="149"/>
      <c r="H2434" s="150"/>
      <c r="I2434" s="150"/>
      <c r="L2434" s="150"/>
      <c r="M2434" s="150"/>
      <c r="N2434" s="150"/>
    </row>
    <row r="2435" spans="1:14" x14ac:dyDescent="0.25">
      <c r="A2435" s="154"/>
      <c r="G2435" s="149"/>
      <c r="H2435" s="150"/>
      <c r="I2435" s="150"/>
      <c r="L2435" s="150"/>
      <c r="M2435" s="150"/>
      <c r="N2435" s="150"/>
    </row>
    <row r="2436" spans="1:14" x14ac:dyDescent="0.25">
      <c r="A2436" s="154"/>
      <c r="G2436" s="149"/>
      <c r="H2436" s="150"/>
      <c r="I2436" s="150"/>
      <c r="L2436" s="150"/>
      <c r="M2436" s="150"/>
      <c r="N2436" s="150"/>
    </row>
    <row r="2437" spans="1:14" x14ac:dyDescent="0.25">
      <c r="A2437" s="154"/>
      <c r="G2437" s="149"/>
      <c r="H2437" s="150"/>
      <c r="I2437" s="150"/>
      <c r="L2437" s="150"/>
      <c r="M2437" s="150"/>
      <c r="N2437" s="150"/>
    </row>
    <row r="2438" spans="1:14" x14ac:dyDescent="0.25">
      <c r="A2438" s="154"/>
      <c r="G2438" s="149"/>
      <c r="H2438" s="150"/>
      <c r="I2438" s="150"/>
      <c r="L2438" s="150"/>
      <c r="M2438" s="150"/>
      <c r="N2438" s="150"/>
    </row>
    <row r="2439" spans="1:14" x14ac:dyDescent="0.25">
      <c r="A2439" s="154"/>
      <c r="G2439" s="149"/>
      <c r="H2439" s="150"/>
      <c r="I2439" s="150"/>
      <c r="L2439" s="150"/>
      <c r="M2439" s="150"/>
      <c r="N2439" s="150"/>
    </row>
    <row r="2440" spans="1:14" x14ac:dyDescent="0.25">
      <c r="A2440" s="154"/>
      <c r="G2440" s="149"/>
      <c r="H2440" s="150"/>
      <c r="I2440" s="150"/>
      <c r="L2440" s="150"/>
      <c r="M2440" s="150"/>
      <c r="N2440" s="150"/>
    </row>
    <row r="2441" spans="1:14" x14ac:dyDescent="0.25">
      <c r="A2441" s="154"/>
      <c r="H2441" s="150"/>
      <c r="I2441" s="150"/>
      <c r="L2441" s="150"/>
      <c r="M2441" s="150"/>
      <c r="N2441" s="150"/>
    </row>
    <row r="2442" spans="1:14" x14ac:dyDescent="0.25">
      <c r="A2442" s="154"/>
      <c r="H2442" s="150"/>
      <c r="I2442" s="150"/>
      <c r="L2442" s="150"/>
      <c r="M2442" s="150"/>
      <c r="N2442" s="150"/>
    </row>
    <row r="2443" spans="1:14" x14ac:dyDescent="0.25">
      <c r="A2443" s="154"/>
      <c r="H2443" s="150"/>
      <c r="I2443" s="150"/>
      <c r="L2443" s="150"/>
      <c r="M2443" s="150"/>
      <c r="N2443" s="150"/>
    </row>
    <row r="2444" spans="1:14" x14ac:dyDescent="0.25">
      <c r="A2444" s="154"/>
      <c r="H2444" s="150"/>
      <c r="I2444" s="150"/>
      <c r="L2444" s="150"/>
      <c r="M2444" s="150"/>
      <c r="N2444" s="150"/>
    </row>
    <row r="2445" spans="1:14" x14ac:dyDescent="0.25">
      <c r="A2445" s="154"/>
      <c r="H2445" s="150"/>
      <c r="I2445" s="150"/>
      <c r="L2445" s="150"/>
      <c r="M2445" s="150"/>
      <c r="N2445" s="150"/>
    </row>
    <row r="2446" spans="1:14" x14ac:dyDescent="0.25">
      <c r="A2446" s="154"/>
      <c r="H2446" s="150"/>
      <c r="I2446" s="150"/>
      <c r="L2446" s="150"/>
      <c r="M2446" s="150"/>
      <c r="N2446" s="150"/>
    </row>
    <row r="2447" spans="1:14" x14ac:dyDescent="0.25">
      <c r="A2447" s="154"/>
      <c r="H2447" s="150"/>
      <c r="I2447" s="150"/>
      <c r="L2447" s="150"/>
      <c r="M2447" s="150"/>
      <c r="N2447" s="150"/>
    </row>
    <row r="2448" spans="1:14" x14ac:dyDescent="0.25">
      <c r="A2448" s="154"/>
      <c r="H2448" s="150"/>
      <c r="I2448" s="150"/>
      <c r="L2448" s="150"/>
      <c r="M2448" s="150"/>
      <c r="N2448" s="150"/>
    </row>
    <row r="2449" spans="1:14" x14ac:dyDescent="0.25">
      <c r="A2449" s="154"/>
      <c r="H2449" s="150"/>
      <c r="I2449" s="150"/>
      <c r="L2449" s="150"/>
      <c r="M2449" s="150"/>
      <c r="N2449" s="150"/>
    </row>
    <row r="2450" spans="1:14" x14ac:dyDescent="0.25">
      <c r="A2450" s="154"/>
      <c r="H2450" s="150"/>
      <c r="I2450" s="150"/>
      <c r="L2450" s="150"/>
      <c r="M2450" s="150"/>
      <c r="N2450" s="150"/>
    </row>
    <row r="2451" spans="1:14" x14ac:dyDescent="0.25">
      <c r="A2451" s="154"/>
      <c r="H2451" s="150"/>
      <c r="I2451" s="150"/>
      <c r="L2451" s="150"/>
      <c r="M2451" s="150"/>
      <c r="N2451" s="150"/>
    </row>
    <row r="2452" spans="1:14" x14ac:dyDescent="0.25">
      <c r="A2452" s="154"/>
      <c r="H2452" s="150"/>
      <c r="I2452" s="150"/>
      <c r="L2452" s="150"/>
      <c r="M2452" s="150"/>
      <c r="N2452" s="150"/>
    </row>
    <row r="2453" spans="1:14" x14ac:dyDescent="0.25">
      <c r="A2453" s="154"/>
      <c r="H2453" s="150"/>
      <c r="I2453" s="150"/>
      <c r="L2453" s="150"/>
      <c r="M2453" s="150"/>
      <c r="N2453" s="150"/>
    </row>
    <row r="2454" spans="1:14" x14ac:dyDescent="0.25">
      <c r="A2454" s="154"/>
      <c r="H2454" s="150"/>
      <c r="I2454" s="150"/>
      <c r="L2454" s="150"/>
      <c r="M2454" s="150"/>
      <c r="N2454" s="150"/>
    </row>
    <row r="2455" spans="1:14" x14ac:dyDescent="0.25">
      <c r="A2455" s="154"/>
      <c r="H2455" s="150"/>
      <c r="I2455" s="150"/>
      <c r="L2455" s="150"/>
      <c r="M2455" s="150"/>
      <c r="N2455" s="150"/>
    </row>
    <row r="2456" spans="1:14" x14ac:dyDescent="0.25">
      <c r="A2456" s="154"/>
      <c r="H2456" s="150"/>
      <c r="I2456" s="150"/>
      <c r="L2456" s="150"/>
      <c r="M2456" s="150"/>
      <c r="N2456" s="150"/>
    </row>
    <row r="2457" spans="1:14" x14ac:dyDescent="0.25">
      <c r="A2457" s="154"/>
      <c r="H2457" s="150"/>
      <c r="I2457" s="150"/>
      <c r="L2457" s="150"/>
      <c r="M2457" s="150"/>
      <c r="N2457" s="150"/>
    </row>
    <row r="2458" spans="1:14" x14ac:dyDescent="0.25">
      <c r="A2458" s="154"/>
      <c r="H2458" s="150"/>
      <c r="I2458" s="150"/>
      <c r="L2458" s="150"/>
      <c r="M2458" s="150"/>
      <c r="N2458" s="150"/>
    </row>
    <row r="2459" spans="1:14" x14ac:dyDescent="0.25">
      <c r="A2459" s="154"/>
      <c r="H2459" s="150"/>
      <c r="I2459" s="150"/>
      <c r="L2459" s="150"/>
      <c r="M2459" s="150"/>
      <c r="N2459" s="150"/>
    </row>
    <row r="2460" spans="1:14" x14ac:dyDescent="0.25">
      <c r="A2460" s="154"/>
      <c r="H2460" s="150"/>
      <c r="I2460" s="150"/>
      <c r="L2460" s="150"/>
      <c r="M2460" s="150"/>
      <c r="N2460" s="150"/>
    </row>
    <row r="2461" spans="1:14" x14ac:dyDescent="0.25">
      <c r="A2461" s="154"/>
      <c r="H2461" s="150"/>
      <c r="I2461" s="150"/>
      <c r="L2461" s="150"/>
      <c r="M2461" s="150"/>
      <c r="N2461" s="150"/>
    </row>
    <row r="2462" spans="1:14" x14ac:dyDescent="0.25">
      <c r="A2462" s="154"/>
      <c r="H2462" s="150"/>
      <c r="I2462" s="150"/>
      <c r="L2462" s="150"/>
      <c r="M2462" s="150"/>
      <c r="N2462" s="150"/>
    </row>
    <row r="2463" spans="1:14" x14ac:dyDescent="0.25">
      <c r="A2463" s="154"/>
      <c r="H2463" s="150"/>
      <c r="I2463" s="150"/>
      <c r="L2463" s="150"/>
      <c r="M2463" s="150"/>
      <c r="N2463" s="150"/>
    </row>
    <row r="2464" spans="1:14" x14ac:dyDescent="0.25">
      <c r="A2464" s="154"/>
      <c r="H2464" s="150"/>
      <c r="I2464" s="150"/>
      <c r="L2464" s="150"/>
      <c r="M2464" s="150"/>
      <c r="N2464" s="150"/>
    </row>
    <row r="2465" spans="1:14" x14ac:dyDescent="0.25">
      <c r="A2465" s="154"/>
      <c r="H2465" s="150"/>
      <c r="I2465" s="150"/>
      <c r="L2465" s="150"/>
      <c r="M2465" s="150"/>
      <c r="N2465" s="150"/>
    </row>
    <row r="2466" spans="1:14" x14ac:dyDescent="0.25">
      <c r="A2466" s="154"/>
      <c r="H2466" s="150"/>
      <c r="I2466" s="150"/>
      <c r="L2466" s="150"/>
      <c r="M2466" s="150"/>
      <c r="N2466" s="150"/>
    </row>
    <row r="2467" spans="1:14" x14ac:dyDescent="0.25">
      <c r="A2467" s="154"/>
      <c r="H2467" s="150"/>
      <c r="I2467" s="150"/>
      <c r="L2467" s="150"/>
      <c r="M2467" s="150"/>
      <c r="N2467" s="150"/>
    </row>
    <row r="2468" spans="1:14" x14ac:dyDescent="0.25">
      <c r="A2468" s="154"/>
      <c r="H2468" s="150"/>
      <c r="I2468" s="150"/>
      <c r="L2468" s="150"/>
      <c r="M2468" s="150"/>
      <c r="N2468" s="150"/>
    </row>
    <row r="2469" spans="1:14" x14ac:dyDescent="0.25">
      <c r="A2469" s="154"/>
      <c r="H2469" s="150"/>
      <c r="I2469" s="150"/>
      <c r="L2469" s="150"/>
      <c r="M2469" s="150"/>
      <c r="N2469" s="150"/>
    </row>
    <row r="2470" spans="1:14" x14ac:dyDescent="0.25">
      <c r="A2470" s="154"/>
      <c r="H2470" s="150"/>
      <c r="I2470" s="150"/>
      <c r="L2470" s="150"/>
      <c r="M2470" s="150"/>
      <c r="N2470" s="150"/>
    </row>
    <row r="2471" spans="1:14" x14ac:dyDescent="0.25">
      <c r="A2471" s="154"/>
      <c r="H2471" s="150"/>
      <c r="I2471" s="150"/>
      <c r="L2471" s="150"/>
      <c r="M2471" s="150"/>
      <c r="N2471" s="150"/>
    </row>
    <row r="2472" spans="1:14" x14ac:dyDescent="0.25">
      <c r="A2472" s="154"/>
      <c r="H2472" s="150"/>
      <c r="I2472" s="150"/>
      <c r="L2472" s="150"/>
      <c r="M2472" s="150"/>
      <c r="N2472" s="150"/>
    </row>
    <row r="2473" spans="1:14" x14ac:dyDescent="0.25">
      <c r="A2473" s="154"/>
      <c r="H2473" s="150"/>
      <c r="I2473" s="150"/>
      <c r="L2473" s="150"/>
      <c r="M2473" s="150"/>
      <c r="N2473" s="150"/>
    </row>
    <row r="2474" spans="1:14" x14ac:dyDescent="0.25">
      <c r="A2474" s="154"/>
      <c r="H2474" s="150"/>
      <c r="I2474" s="150"/>
      <c r="L2474" s="150"/>
      <c r="M2474" s="150"/>
      <c r="N2474" s="150"/>
    </row>
    <row r="2475" spans="1:14" x14ac:dyDescent="0.25">
      <c r="A2475" s="154"/>
      <c r="H2475" s="150"/>
      <c r="I2475" s="150"/>
      <c r="L2475" s="150"/>
      <c r="M2475" s="150"/>
      <c r="N2475" s="150"/>
    </row>
    <row r="2476" spans="1:14" x14ac:dyDescent="0.25">
      <c r="A2476" s="154"/>
      <c r="H2476" s="150"/>
      <c r="I2476" s="150"/>
      <c r="L2476" s="150"/>
      <c r="M2476" s="150"/>
      <c r="N2476" s="150"/>
    </row>
    <row r="2477" spans="1:14" x14ac:dyDescent="0.25">
      <c r="A2477" s="154"/>
      <c r="H2477" s="150"/>
      <c r="I2477" s="150"/>
      <c r="L2477" s="150"/>
      <c r="M2477" s="150"/>
      <c r="N2477" s="150"/>
    </row>
    <row r="2478" spans="1:14" x14ac:dyDescent="0.25">
      <c r="A2478" s="154"/>
      <c r="H2478" s="150"/>
      <c r="I2478" s="150"/>
      <c r="L2478" s="150"/>
      <c r="M2478" s="150"/>
      <c r="N2478" s="150"/>
    </row>
    <row r="2479" spans="1:14" x14ac:dyDescent="0.25">
      <c r="A2479" s="154"/>
      <c r="H2479" s="150"/>
      <c r="I2479" s="150"/>
      <c r="L2479" s="150"/>
      <c r="M2479" s="150"/>
      <c r="N2479" s="150"/>
    </row>
    <row r="2480" spans="1:14" x14ac:dyDescent="0.25">
      <c r="A2480" s="154"/>
      <c r="H2480" s="150"/>
      <c r="I2480" s="150"/>
      <c r="L2480" s="150"/>
      <c r="M2480" s="150"/>
      <c r="N2480" s="150"/>
    </row>
    <row r="2481" spans="1:14" x14ac:dyDescent="0.25">
      <c r="A2481" s="154"/>
      <c r="H2481" s="150"/>
      <c r="I2481" s="150"/>
      <c r="L2481" s="150"/>
      <c r="M2481" s="150"/>
      <c r="N2481" s="150"/>
    </row>
    <row r="2482" spans="1:14" x14ac:dyDescent="0.25">
      <c r="A2482" s="154"/>
      <c r="H2482" s="150"/>
      <c r="I2482" s="150"/>
      <c r="L2482" s="150"/>
      <c r="M2482" s="150"/>
      <c r="N2482" s="150"/>
    </row>
    <row r="2483" spans="1:14" x14ac:dyDescent="0.25">
      <c r="A2483" s="154"/>
      <c r="H2483" s="150"/>
      <c r="I2483" s="150"/>
      <c r="L2483" s="150"/>
      <c r="M2483" s="150"/>
      <c r="N2483" s="150"/>
    </row>
    <row r="2484" spans="1:14" x14ac:dyDescent="0.25">
      <c r="A2484" s="154"/>
      <c r="H2484" s="150"/>
      <c r="I2484" s="150"/>
      <c r="L2484" s="150"/>
      <c r="M2484" s="150"/>
      <c r="N2484" s="150"/>
    </row>
    <row r="2485" spans="1:14" x14ac:dyDescent="0.25">
      <c r="A2485" s="154"/>
      <c r="H2485" s="150"/>
      <c r="I2485" s="150"/>
      <c r="L2485" s="150"/>
      <c r="M2485" s="150"/>
      <c r="N2485" s="150"/>
    </row>
    <row r="2486" spans="1:14" x14ac:dyDescent="0.25">
      <c r="A2486" s="154"/>
      <c r="H2486" s="150"/>
      <c r="I2486" s="150"/>
      <c r="L2486" s="150"/>
      <c r="M2486" s="150"/>
      <c r="N2486" s="150"/>
    </row>
    <row r="2487" spans="1:14" x14ac:dyDescent="0.25">
      <c r="A2487" s="154"/>
      <c r="H2487" s="150"/>
      <c r="I2487" s="150"/>
      <c r="L2487" s="150"/>
      <c r="M2487" s="150"/>
      <c r="N2487" s="150"/>
    </row>
    <row r="2488" spans="1:14" x14ac:dyDescent="0.25">
      <c r="A2488" s="154"/>
      <c r="H2488" s="150"/>
      <c r="I2488" s="150"/>
      <c r="L2488" s="150"/>
      <c r="M2488" s="150"/>
      <c r="N2488" s="150"/>
    </row>
    <row r="2489" spans="1:14" x14ac:dyDescent="0.25">
      <c r="A2489" s="154"/>
      <c r="H2489" s="150"/>
      <c r="I2489" s="150"/>
      <c r="L2489" s="150"/>
      <c r="M2489" s="150"/>
      <c r="N2489" s="150"/>
    </row>
    <row r="2490" spans="1:14" x14ac:dyDescent="0.25">
      <c r="A2490" s="154"/>
      <c r="H2490" s="150"/>
      <c r="I2490" s="150"/>
      <c r="L2490" s="150"/>
      <c r="M2490" s="150"/>
      <c r="N2490" s="150"/>
    </row>
    <row r="2491" spans="1:14" x14ac:dyDescent="0.25">
      <c r="A2491" s="154"/>
      <c r="H2491" s="150"/>
      <c r="I2491" s="150"/>
      <c r="L2491" s="150"/>
      <c r="M2491" s="150"/>
      <c r="N2491" s="150"/>
    </row>
    <row r="2492" spans="1:14" x14ac:dyDescent="0.25">
      <c r="A2492" s="154"/>
      <c r="H2492" s="150"/>
      <c r="I2492" s="150"/>
      <c r="L2492" s="150"/>
      <c r="M2492" s="150"/>
      <c r="N2492" s="150"/>
    </row>
    <row r="2493" spans="1:14" x14ac:dyDescent="0.25">
      <c r="A2493" s="154"/>
      <c r="H2493" s="150"/>
      <c r="I2493" s="150"/>
      <c r="L2493" s="150"/>
      <c r="M2493" s="150"/>
      <c r="N2493" s="150"/>
    </row>
    <row r="2494" spans="1:14" x14ac:dyDescent="0.25">
      <c r="A2494" s="154"/>
      <c r="H2494" s="150"/>
      <c r="I2494" s="150"/>
      <c r="L2494" s="150"/>
      <c r="M2494" s="150"/>
      <c r="N2494" s="150"/>
    </row>
    <row r="2495" spans="1:14" x14ac:dyDescent="0.25">
      <c r="A2495" s="154"/>
      <c r="H2495" s="150"/>
      <c r="I2495" s="150"/>
      <c r="L2495" s="150"/>
      <c r="M2495" s="150"/>
      <c r="N2495" s="150"/>
    </row>
    <row r="2496" spans="1:14" x14ac:dyDescent="0.25">
      <c r="A2496" s="154"/>
      <c r="H2496" s="150"/>
      <c r="I2496" s="150"/>
      <c r="L2496" s="150"/>
      <c r="M2496" s="150"/>
      <c r="N2496" s="150"/>
    </row>
    <row r="2497" spans="1:14" x14ac:dyDescent="0.25">
      <c r="A2497" s="154"/>
      <c r="H2497" s="150"/>
      <c r="I2497" s="150"/>
      <c r="L2497" s="150"/>
      <c r="M2497" s="150"/>
      <c r="N2497" s="150"/>
    </row>
    <row r="2498" spans="1:14" x14ac:dyDescent="0.25">
      <c r="A2498" s="154"/>
      <c r="H2498" s="150"/>
      <c r="I2498" s="150"/>
      <c r="L2498" s="150"/>
      <c r="M2498" s="150"/>
      <c r="N2498" s="150"/>
    </row>
    <row r="2499" spans="1:14" x14ac:dyDescent="0.25">
      <c r="A2499" s="154"/>
      <c r="H2499" s="150"/>
      <c r="I2499" s="150"/>
      <c r="L2499" s="150"/>
      <c r="M2499" s="150"/>
      <c r="N2499" s="150"/>
    </row>
    <row r="2500" spans="1:14" x14ac:dyDescent="0.25">
      <c r="A2500" s="154"/>
      <c r="H2500" s="150"/>
      <c r="I2500" s="150"/>
      <c r="L2500" s="150"/>
      <c r="M2500" s="150"/>
      <c r="N2500" s="150"/>
    </row>
    <row r="2501" spans="1:14" x14ac:dyDescent="0.25">
      <c r="A2501" s="154"/>
      <c r="H2501" s="150"/>
      <c r="I2501" s="150"/>
      <c r="L2501" s="150"/>
      <c r="M2501" s="150"/>
      <c r="N2501" s="150"/>
    </row>
    <row r="2502" spans="1:14" x14ac:dyDescent="0.25">
      <c r="A2502" s="154"/>
      <c r="H2502" s="150"/>
      <c r="I2502" s="150"/>
      <c r="L2502" s="150"/>
      <c r="M2502" s="150"/>
      <c r="N2502" s="150"/>
    </row>
    <row r="2503" spans="1:14" x14ac:dyDescent="0.25">
      <c r="A2503" s="154"/>
      <c r="H2503" s="150"/>
      <c r="I2503" s="150"/>
      <c r="L2503" s="150"/>
      <c r="M2503" s="150"/>
      <c r="N2503" s="150"/>
    </row>
    <row r="2504" spans="1:14" x14ac:dyDescent="0.25">
      <c r="A2504" s="154"/>
      <c r="H2504" s="150"/>
      <c r="I2504" s="150"/>
      <c r="L2504" s="150"/>
      <c r="M2504" s="150"/>
      <c r="N2504" s="150"/>
    </row>
    <row r="2505" spans="1:14" x14ac:dyDescent="0.25">
      <c r="A2505" s="154"/>
      <c r="H2505" s="150"/>
      <c r="I2505" s="150"/>
      <c r="L2505" s="150"/>
      <c r="M2505" s="150"/>
      <c r="N2505" s="150"/>
    </row>
    <row r="2506" spans="1:14" x14ac:dyDescent="0.25">
      <c r="A2506" s="154"/>
      <c r="H2506" s="150"/>
      <c r="I2506" s="150"/>
      <c r="L2506" s="150"/>
      <c r="M2506" s="150"/>
      <c r="N2506" s="150"/>
    </row>
    <row r="2507" spans="1:14" x14ac:dyDescent="0.25">
      <c r="A2507" s="154"/>
      <c r="H2507" s="150"/>
      <c r="I2507" s="150"/>
      <c r="L2507" s="150"/>
      <c r="M2507" s="150"/>
      <c r="N2507" s="150"/>
    </row>
    <row r="2508" spans="1:14" x14ac:dyDescent="0.25">
      <c r="A2508" s="154"/>
      <c r="H2508" s="150"/>
      <c r="I2508" s="150"/>
      <c r="L2508" s="150"/>
      <c r="M2508" s="150"/>
      <c r="N2508" s="150"/>
    </row>
    <row r="2509" spans="1:14" x14ac:dyDescent="0.25">
      <c r="A2509" s="154"/>
      <c r="H2509" s="150"/>
      <c r="I2509" s="150"/>
      <c r="L2509" s="150"/>
      <c r="M2509" s="150"/>
      <c r="N2509" s="150"/>
    </row>
    <row r="2510" spans="1:14" x14ac:dyDescent="0.25">
      <c r="A2510" s="154"/>
      <c r="H2510" s="150"/>
      <c r="I2510" s="150"/>
      <c r="L2510" s="150"/>
      <c r="M2510" s="150"/>
      <c r="N2510" s="150"/>
    </row>
    <row r="2511" spans="1:14" x14ac:dyDescent="0.25">
      <c r="A2511" s="154"/>
      <c r="H2511" s="150"/>
      <c r="I2511" s="150"/>
      <c r="L2511" s="150"/>
      <c r="M2511" s="150"/>
      <c r="N2511" s="150"/>
    </row>
    <row r="2512" spans="1:14" x14ac:dyDescent="0.25">
      <c r="A2512" s="154"/>
      <c r="H2512" s="150"/>
      <c r="I2512" s="150"/>
      <c r="L2512" s="150"/>
      <c r="M2512" s="150"/>
      <c r="N2512" s="150"/>
    </row>
    <row r="2513" spans="1:14" x14ac:dyDescent="0.25">
      <c r="A2513" s="154"/>
      <c r="H2513" s="150"/>
      <c r="I2513" s="150"/>
      <c r="L2513" s="150"/>
      <c r="M2513" s="150"/>
      <c r="N2513" s="150"/>
    </row>
    <row r="2514" spans="1:14" x14ac:dyDescent="0.25">
      <c r="A2514" s="154"/>
      <c r="H2514" s="150"/>
      <c r="I2514" s="150"/>
      <c r="L2514" s="150"/>
      <c r="M2514" s="150"/>
      <c r="N2514" s="150"/>
    </row>
    <row r="2515" spans="1:14" x14ac:dyDescent="0.25">
      <c r="A2515" s="154"/>
      <c r="H2515" s="150"/>
      <c r="I2515" s="150"/>
      <c r="L2515" s="150"/>
      <c r="M2515" s="150"/>
      <c r="N2515" s="150"/>
    </row>
    <row r="2516" spans="1:14" x14ac:dyDescent="0.25">
      <c r="A2516" s="154"/>
      <c r="H2516" s="150"/>
      <c r="I2516" s="150"/>
      <c r="L2516" s="150"/>
      <c r="M2516" s="150"/>
      <c r="N2516" s="150"/>
    </row>
    <row r="2517" spans="1:14" x14ac:dyDescent="0.25">
      <c r="A2517" s="154"/>
      <c r="H2517" s="150"/>
      <c r="I2517" s="150"/>
      <c r="L2517" s="150"/>
      <c r="M2517" s="150"/>
      <c r="N2517" s="150"/>
    </row>
    <row r="2518" spans="1:14" x14ac:dyDescent="0.25">
      <c r="A2518" s="154"/>
      <c r="H2518" s="150"/>
      <c r="I2518" s="150"/>
      <c r="L2518" s="150"/>
      <c r="M2518" s="150"/>
      <c r="N2518" s="150"/>
    </row>
    <row r="2519" spans="1:14" x14ac:dyDescent="0.25">
      <c r="A2519" s="154"/>
      <c r="H2519" s="150"/>
      <c r="I2519" s="150"/>
      <c r="L2519" s="150"/>
      <c r="M2519" s="150"/>
      <c r="N2519" s="150"/>
    </row>
    <row r="2520" spans="1:14" x14ac:dyDescent="0.25">
      <c r="A2520" s="154"/>
      <c r="H2520" s="150"/>
      <c r="I2520" s="150"/>
      <c r="L2520" s="150"/>
      <c r="M2520" s="150"/>
      <c r="N2520" s="150"/>
    </row>
    <row r="2521" spans="1:14" x14ac:dyDescent="0.25">
      <c r="A2521" s="154"/>
      <c r="H2521" s="150"/>
      <c r="I2521" s="150"/>
      <c r="L2521" s="150"/>
      <c r="M2521" s="150"/>
      <c r="N2521" s="150"/>
    </row>
    <row r="2522" spans="1:14" x14ac:dyDescent="0.25">
      <c r="A2522" s="154"/>
      <c r="H2522" s="150"/>
      <c r="I2522" s="150"/>
      <c r="L2522" s="150"/>
      <c r="M2522" s="150"/>
      <c r="N2522" s="150"/>
    </row>
    <row r="2523" spans="1:14" x14ac:dyDescent="0.25">
      <c r="A2523" s="154"/>
      <c r="H2523" s="150"/>
      <c r="I2523" s="150"/>
      <c r="L2523" s="150"/>
      <c r="M2523" s="150"/>
      <c r="N2523" s="150"/>
    </row>
    <row r="2524" spans="1:14" x14ac:dyDescent="0.25">
      <c r="A2524" s="154"/>
      <c r="H2524" s="150"/>
      <c r="I2524" s="150"/>
      <c r="L2524" s="150"/>
      <c r="M2524" s="150"/>
      <c r="N2524" s="150"/>
    </row>
    <row r="2525" spans="1:14" x14ac:dyDescent="0.25">
      <c r="A2525" s="154"/>
      <c r="H2525" s="150"/>
      <c r="I2525" s="150"/>
      <c r="L2525" s="150"/>
      <c r="M2525" s="150"/>
      <c r="N2525" s="150"/>
    </row>
    <row r="2526" spans="1:14" x14ac:dyDescent="0.25">
      <c r="A2526" s="154"/>
      <c r="H2526" s="150"/>
      <c r="I2526" s="150"/>
      <c r="L2526" s="150"/>
      <c r="M2526" s="150"/>
      <c r="N2526" s="150"/>
    </row>
    <row r="2527" spans="1:14" x14ac:dyDescent="0.25">
      <c r="A2527" s="154"/>
      <c r="H2527" s="150"/>
      <c r="I2527" s="150"/>
      <c r="L2527" s="150"/>
      <c r="M2527" s="150"/>
      <c r="N2527" s="150"/>
    </row>
    <row r="2528" spans="1:14" x14ac:dyDescent="0.25">
      <c r="A2528" s="154"/>
      <c r="H2528" s="150"/>
      <c r="I2528" s="150"/>
      <c r="L2528" s="150"/>
      <c r="M2528" s="150"/>
      <c r="N2528" s="150"/>
    </row>
    <row r="2529" spans="1:14" x14ac:dyDescent="0.25">
      <c r="A2529" s="154"/>
      <c r="H2529" s="150"/>
      <c r="I2529" s="150"/>
      <c r="L2529" s="150"/>
      <c r="M2529" s="150"/>
      <c r="N2529" s="150"/>
    </row>
    <row r="2530" spans="1:14" x14ac:dyDescent="0.25">
      <c r="A2530" s="154"/>
      <c r="H2530" s="150"/>
      <c r="I2530" s="150"/>
      <c r="L2530" s="150"/>
      <c r="M2530" s="150"/>
      <c r="N2530" s="150"/>
    </row>
    <row r="2531" spans="1:14" x14ac:dyDescent="0.25">
      <c r="A2531" s="154"/>
      <c r="H2531" s="150"/>
      <c r="I2531" s="150"/>
      <c r="L2531" s="150"/>
      <c r="M2531" s="150"/>
      <c r="N2531" s="150"/>
    </row>
    <row r="2532" spans="1:14" x14ac:dyDescent="0.25">
      <c r="A2532" s="154"/>
      <c r="H2532" s="150"/>
      <c r="I2532" s="150"/>
      <c r="L2532" s="150"/>
      <c r="M2532" s="150"/>
      <c r="N2532" s="150"/>
    </row>
    <row r="2533" spans="1:14" x14ac:dyDescent="0.25">
      <c r="A2533" s="154"/>
      <c r="H2533" s="150"/>
      <c r="I2533" s="150"/>
      <c r="L2533" s="150"/>
      <c r="M2533" s="150"/>
      <c r="N2533" s="150"/>
    </row>
    <row r="2534" spans="1:14" x14ac:dyDescent="0.25">
      <c r="A2534" s="154"/>
      <c r="H2534" s="150"/>
      <c r="I2534" s="150"/>
      <c r="L2534" s="150"/>
      <c r="M2534" s="150"/>
      <c r="N2534" s="150"/>
    </row>
    <row r="2535" spans="1:14" x14ac:dyDescent="0.25">
      <c r="A2535" s="154"/>
      <c r="H2535" s="150"/>
      <c r="I2535" s="150"/>
      <c r="L2535" s="150"/>
      <c r="M2535" s="150"/>
      <c r="N2535" s="150"/>
    </row>
    <row r="2536" spans="1:14" x14ac:dyDescent="0.25">
      <c r="A2536" s="154"/>
      <c r="H2536" s="150"/>
      <c r="I2536" s="150"/>
      <c r="L2536" s="150"/>
      <c r="M2536" s="150"/>
      <c r="N2536" s="150"/>
    </row>
    <row r="2537" spans="1:14" x14ac:dyDescent="0.25">
      <c r="A2537" s="154"/>
      <c r="H2537" s="150"/>
      <c r="I2537" s="150"/>
      <c r="L2537" s="150"/>
      <c r="M2537" s="150"/>
      <c r="N2537" s="150"/>
    </row>
    <row r="2538" spans="1:14" x14ac:dyDescent="0.25">
      <c r="A2538" s="154"/>
      <c r="H2538" s="150"/>
      <c r="I2538" s="150"/>
      <c r="L2538" s="150"/>
      <c r="M2538" s="150"/>
      <c r="N2538" s="150"/>
    </row>
    <row r="2539" spans="1:14" x14ac:dyDescent="0.25">
      <c r="A2539" s="154"/>
      <c r="H2539" s="150"/>
      <c r="I2539" s="150"/>
      <c r="L2539" s="150"/>
      <c r="M2539" s="150"/>
      <c r="N2539" s="150"/>
    </row>
    <row r="2540" spans="1:14" x14ac:dyDescent="0.25">
      <c r="A2540" s="154"/>
      <c r="H2540" s="150"/>
      <c r="I2540" s="150"/>
      <c r="L2540" s="150"/>
      <c r="M2540" s="150"/>
      <c r="N2540" s="150"/>
    </row>
    <row r="2541" spans="1:14" x14ac:dyDescent="0.25">
      <c r="A2541" s="154"/>
      <c r="H2541" s="150"/>
      <c r="I2541" s="150"/>
      <c r="L2541" s="150"/>
      <c r="M2541" s="150"/>
      <c r="N2541" s="150"/>
    </row>
    <row r="2542" spans="1:14" x14ac:dyDescent="0.25">
      <c r="A2542" s="154"/>
      <c r="H2542" s="150"/>
      <c r="I2542" s="150"/>
      <c r="L2542" s="150"/>
      <c r="M2542" s="150"/>
      <c r="N2542" s="150"/>
    </row>
    <row r="2543" spans="1:14" x14ac:dyDescent="0.25">
      <c r="A2543" s="154"/>
      <c r="H2543" s="150"/>
      <c r="I2543" s="150"/>
      <c r="L2543" s="150"/>
      <c r="M2543" s="150"/>
      <c r="N2543" s="150"/>
    </row>
    <row r="2544" spans="1:14" x14ac:dyDescent="0.25">
      <c r="A2544" s="154"/>
      <c r="H2544" s="150"/>
      <c r="I2544" s="150"/>
      <c r="L2544" s="150"/>
      <c r="M2544" s="150"/>
      <c r="N2544" s="150"/>
    </row>
    <row r="2545" spans="1:14" x14ac:dyDescent="0.25">
      <c r="A2545" s="154"/>
      <c r="H2545" s="150"/>
      <c r="I2545" s="150"/>
      <c r="L2545" s="150"/>
      <c r="M2545" s="150"/>
      <c r="N2545" s="150"/>
    </row>
    <row r="2546" spans="1:14" x14ac:dyDescent="0.25">
      <c r="A2546" s="154"/>
      <c r="H2546" s="150"/>
      <c r="I2546" s="150"/>
      <c r="L2546" s="150"/>
      <c r="M2546" s="150"/>
      <c r="N2546" s="150"/>
    </row>
    <row r="2547" spans="1:14" x14ac:dyDescent="0.25">
      <c r="A2547" s="154"/>
      <c r="H2547" s="150"/>
      <c r="I2547" s="150"/>
      <c r="L2547" s="150"/>
      <c r="M2547" s="150"/>
      <c r="N2547" s="150"/>
    </row>
    <row r="2548" spans="1:14" x14ac:dyDescent="0.25">
      <c r="A2548" s="154"/>
      <c r="H2548" s="150"/>
      <c r="I2548" s="150"/>
      <c r="L2548" s="150"/>
      <c r="M2548" s="150"/>
      <c r="N2548" s="150"/>
    </row>
    <row r="2549" spans="1:14" x14ac:dyDescent="0.25">
      <c r="A2549" s="154"/>
      <c r="H2549" s="150"/>
      <c r="I2549" s="150"/>
      <c r="L2549" s="150"/>
      <c r="M2549" s="150"/>
      <c r="N2549" s="150"/>
    </row>
    <row r="2550" spans="1:14" x14ac:dyDescent="0.25">
      <c r="A2550" s="154"/>
      <c r="H2550" s="150"/>
      <c r="I2550" s="150"/>
      <c r="L2550" s="150"/>
      <c r="M2550" s="150"/>
      <c r="N2550" s="150"/>
    </row>
    <row r="2551" spans="1:14" x14ac:dyDescent="0.25">
      <c r="A2551" s="154"/>
      <c r="H2551" s="150"/>
      <c r="I2551" s="150"/>
      <c r="L2551" s="150"/>
      <c r="M2551" s="150"/>
      <c r="N2551" s="150"/>
    </row>
    <row r="2552" spans="1:14" x14ac:dyDescent="0.25">
      <c r="A2552" s="154"/>
      <c r="H2552" s="150"/>
      <c r="I2552" s="150"/>
      <c r="L2552" s="150"/>
      <c r="M2552" s="150"/>
      <c r="N2552" s="150"/>
    </row>
    <row r="2553" spans="1:14" x14ac:dyDescent="0.25">
      <c r="A2553" s="154"/>
      <c r="H2553" s="150"/>
      <c r="I2553" s="150"/>
      <c r="L2553" s="150"/>
      <c r="M2553" s="150"/>
      <c r="N2553" s="150"/>
    </row>
    <row r="2554" spans="1:14" x14ac:dyDescent="0.25">
      <c r="A2554" s="154"/>
      <c r="H2554" s="150"/>
      <c r="I2554" s="150"/>
      <c r="L2554" s="150"/>
      <c r="M2554" s="150"/>
      <c r="N2554" s="150"/>
    </row>
    <row r="2555" spans="1:14" x14ac:dyDescent="0.25">
      <c r="A2555" s="154"/>
      <c r="H2555" s="150"/>
      <c r="I2555" s="150"/>
      <c r="L2555" s="150"/>
      <c r="M2555" s="150"/>
      <c r="N2555" s="150"/>
    </row>
    <row r="2556" spans="1:14" x14ac:dyDescent="0.25">
      <c r="A2556" s="154"/>
      <c r="H2556" s="150"/>
      <c r="I2556" s="150"/>
      <c r="L2556" s="150"/>
      <c r="M2556" s="150"/>
      <c r="N2556" s="150"/>
    </row>
    <row r="2557" spans="1:14" x14ac:dyDescent="0.25">
      <c r="A2557" s="154"/>
      <c r="H2557" s="150"/>
      <c r="I2557" s="150"/>
      <c r="L2557" s="150"/>
      <c r="M2557" s="150"/>
      <c r="N2557" s="150"/>
    </row>
    <row r="2558" spans="1:14" x14ac:dyDescent="0.25">
      <c r="A2558" s="154"/>
      <c r="H2558" s="150"/>
      <c r="I2558" s="150"/>
      <c r="L2558" s="150"/>
      <c r="M2558" s="150"/>
      <c r="N2558" s="150"/>
    </row>
    <row r="2559" spans="1:14" x14ac:dyDescent="0.25">
      <c r="A2559" s="154"/>
      <c r="H2559" s="150"/>
      <c r="I2559" s="150"/>
      <c r="L2559" s="150"/>
      <c r="M2559" s="150"/>
      <c r="N2559" s="150"/>
    </row>
    <row r="2560" spans="1:14" x14ac:dyDescent="0.25">
      <c r="A2560" s="154"/>
      <c r="H2560" s="150"/>
      <c r="I2560" s="150"/>
      <c r="L2560" s="150"/>
      <c r="M2560" s="150"/>
      <c r="N2560" s="150"/>
    </row>
    <row r="2561" spans="1:14" x14ac:dyDescent="0.25">
      <c r="A2561" s="154"/>
      <c r="H2561" s="150"/>
      <c r="I2561" s="150"/>
      <c r="L2561" s="150"/>
      <c r="M2561" s="150"/>
      <c r="N2561" s="150"/>
    </row>
    <row r="2562" spans="1:14" x14ac:dyDescent="0.25">
      <c r="A2562" s="154"/>
      <c r="H2562" s="150"/>
      <c r="I2562" s="150"/>
      <c r="L2562" s="150"/>
      <c r="M2562" s="150"/>
      <c r="N2562" s="150"/>
    </row>
    <row r="2563" spans="1:14" x14ac:dyDescent="0.25">
      <c r="A2563" s="154"/>
      <c r="H2563" s="150"/>
      <c r="I2563" s="150"/>
      <c r="L2563" s="150"/>
      <c r="M2563" s="150"/>
      <c r="N2563" s="150"/>
    </row>
    <row r="2564" spans="1:14" x14ac:dyDescent="0.25">
      <c r="A2564" s="154"/>
      <c r="H2564" s="150"/>
      <c r="I2564" s="150"/>
      <c r="L2564" s="150"/>
      <c r="M2564" s="150"/>
      <c r="N2564" s="150"/>
    </row>
    <row r="2565" spans="1:14" x14ac:dyDescent="0.25">
      <c r="A2565" s="154"/>
      <c r="H2565" s="150"/>
      <c r="I2565" s="150"/>
      <c r="L2565" s="150"/>
      <c r="M2565" s="150"/>
      <c r="N2565" s="150"/>
    </row>
    <row r="2566" spans="1:14" x14ac:dyDescent="0.25">
      <c r="A2566" s="154"/>
      <c r="H2566" s="150"/>
      <c r="I2566" s="150"/>
      <c r="L2566" s="150"/>
      <c r="M2566" s="150"/>
      <c r="N2566" s="150"/>
    </row>
    <row r="2567" spans="1:14" x14ac:dyDescent="0.25">
      <c r="A2567" s="154"/>
      <c r="H2567" s="150"/>
      <c r="I2567" s="150"/>
      <c r="L2567" s="150"/>
      <c r="M2567" s="150"/>
      <c r="N2567" s="150"/>
    </row>
    <row r="2568" spans="1:14" x14ac:dyDescent="0.25">
      <c r="A2568" s="154"/>
      <c r="H2568" s="150"/>
      <c r="I2568" s="150"/>
      <c r="L2568" s="150"/>
      <c r="M2568" s="150"/>
      <c r="N2568" s="150"/>
    </row>
    <row r="2569" spans="1:14" x14ac:dyDescent="0.25">
      <c r="A2569" s="154"/>
      <c r="H2569" s="150"/>
      <c r="I2569" s="150"/>
      <c r="L2569" s="150"/>
      <c r="M2569" s="150"/>
      <c r="N2569" s="150"/>
    </row>
    <row r="2570" spans="1:14" x14ac:dyDescent="0.25">
      <c r="A2570" s="154"/>
      <c r="H2570" s="150"/>
      <c r="I2570" s="150"/>
      <c r="L2570" s="150"/>
      <c r="M2570" s="150"/>
      <c r="N2570" s="150"/>
    </row>
  </sheetData>
  <autoFilter ref="G3:I2353" xr:uid="{A32826DC-C888-4C4E-8509-AB0FB6C80F6E}"/>
  <mergeCells count="29">
    <mergeCell ref="N1:N2"/>
    <mergeCell ref="O1:O2"/>
    <mergeCell ref="L1:L2"/>
    <mergeCell ref="A5:F5"/>
    <mergeCell ref="A251:F251"/>
    <mergeCell ref="A524:F524"/>
    <mergeCell ref="A818:F818"/>
    <mergeCell ref="A1120:F1120"/>
    <mergeCell ref="A1535:F1535"/>
    <mergeCell ref="P1:P2"/>
    <mergeCell ref="K1:K2"/>
    <mergeCell ref="A6:F6"/>
    <mergeCell ref="A7:F7"/>
    <mergeCell ref="A8:F8"/>
    <mergeCell ref="A3:F4"/>
    <mergeCell ref="A1:F2"/>
    <mergeCell ref="M1:M2"/>
    <mergeCell ref="J1:J2"/>
    <mergeCell ref="G1:G2"/>
    <mergeCell ref="H1:H2"/>
    <mergeCell ref="I1:I2"/>
    <mergeCell ref="A2303:F2303"/>
    <mergeCell ref="A2318:F2318"/>
    <mergeCell ref="A2349:F2349"/>
    <mergeCell ref="A1882:F1882"/>
    <mergeCell ref="A2065:F2065"/>
    <mergeCell ref="A2189:F2189"/>
    <mergeCell ref="A2262:F2262"/>
    <mergeCell ref="A2297:F2297"/>
  </mergeCells>
  <pageMargins left="0.7" right="0.7" top="0.75" bottom="0.75" header="0.3" footer="0.3"/>
  <pageSetup paperSize="9" orientation="portrait" r:id="rId1"/>
  <ignoredErrors>
    <ignoredError sqref="G3:I3"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B8A4D-BB3B-4C98-8E20-823FDB34CA04}">
  <sheetPr>
    <tabColor rgb="FF00B050"/>
  </sheetPr>
  <dimension ref="A1:K47"/>
  <sheetViews>
    <sheetView topLeftCell="A7" zoomScale="85" zoomScaleNormal="85" workbookViewId="0">
      <selection activeCell="C35" sqref="C35"/>
    </sheetView>
  </sheetViews>
  <sheetFormatPr defaultColWidth="9.140625" defaultRowHeight="14.25" x14ac:dyDescent="0.2"/>
  <cols>
    <col min="1" max="1" width="13" style="120" customWidth="1"/>
    <col min="2" max="2" width="54.7109375" style="120" customWidth="1"/>
    <col min="3" max="3" width="11" style="120" customWidth="1"/>
    <col min="4" max="4" width="19.42578125" style="120" customWidth="1"/>
    <col min="5" max="5" width="17.7109375" style="120" customWidth="1"/>
    <col min="6" max="6" width="14.85546875" style="120" customWidth="1"/>
    <col min="7" max="7" width="17.140625" style="120" customWidth="1"/>
    <col min="8" max="8" width="12.140625" style="120" customWidth="1"/>
    <col min="9" max="9" width="11" style="120" customWidth="1"/>
    <col min="10" max="10" width="12.5703125" style="120" customWidth="1"/>
    <col min="11" max="11" width="20" style="120" customWidth="1"/>
    <col min="12" max="16384" width="9.140625" style="120"/>
  </cols>
  <sheetData>
    <row r="1" spans="1:11" s="113" customFormat="1" ht="45.75" customHeight="1" x14ac:dyDescent="0.25">
      <c r="A1" s="176" t="s">
        <v>301</v>
      </c>
      <c r="B1" s="176"/>
      <c r="C1" s="176"/>
      <c r="D1" s="176"/>
      <c r="E1" s="176"/>
      <c r="F1" s="176"/>
      <c r="G1" s="176"/>
      <c r="H1" s="176"/>
      <c r="I1" s="176"/>
      <c r="J1" s="176"/>
      <c r="K1" s="176"/>
    </row>
    <row r="2" spans="1:11" s="113" customFormat="1" ht="15" customHeight="1" x14ac:dyDescent="0.25">
      <c r="A2" s="114" t="s">
        <v>274</v>
      </c>
      <c r="B2" s="114" t="s">
        <v>256</v>
      </c>
      <c r="C2" s="114"/>
      <c r="D2" s="114"/>
      <c r="E2" s="114"/>
      <c r="F2" s="115"/>
      <c r="G2" s="115"/>
      <c r="H2" s="115"/>
      <c r="I2" s="115"/>
      <c r="J2" s="115"/>
      <c r="K2" s="115"/>
    </row>
    <row r="3" spans="1:11" s="113" customFormat="1" ht="15" customHeight="1" x14ac:dyDescent="0.25">
      <c r="A3" s="114" t="s">
        <v>275</v>
      </c>
      <c r="B3" s="114" t="s">
        <v>276</v>
      </c>
      <c r="C3" s="114"/>
      <c r="D3" s="114"/>
      <c r="E3" s="114"/>
      <c r="F3" s="115"/>
      <c r="G3" s="115"/>
      <c r="H3" s="115"/>
      <c r="I3" s="115"/>
      <c r="J3" s="115"/>
      <c r="K3" s="115"/>
    </row>
    <row r="4" spans="1:11" s="113" customFormat="1" ht="15" customHeight="1" x14ac:dyDescent="0.25">
      <c r="A4" s="114" t="s">
        <v>290</v>
      </c>
      <c r="B4" s="114" t="s">
        <v>286</v>
      </c>
      <c r="C4" s="114"/>
      <c r="D4" s="114"/>
      <c r="E4" s="114"/>
      <c r="F4" s="115"/>
      <c r="G4" s="115"/>
      <c r="H4" s="115"/>
      <c r="I4" s="115"/>
      <c r="J4" s="115"/>
      <c r="K4" s="115"/>
    </row>
    <row r="5" spans="1:11" s="113" customFormat="1" ht="15" customHeight="1" x14ac:dyDescent="0.25">
      <c r="A5" s="114" t="s">
        <v>277</v>
      </c>
      <c r="B5" s="116">
        <f ca="1">TODAY()</f>
        <v>46092</v>
      </c>
      <c r="C5" s="116"/>
      <c r="D5" s="116"/>
      <c r="E5" s="116"/>
      <c r="F5" s="115"/>
      <c r="G5" s="115"/>
      <c r="H5" s="115"/>
      <c r="I5" s="115"/>
      <c r="J5" s="115"/>
      <c r="K5" s="115"/>
    </row>
    <row r="6" spans="1:11" s="113" customFormat="1" ht="12" customHeight="1" x14ac:dyDescent="0.25">
      <c r="A6" s="114"/>
      <c r="B6" s="114"/>
      <c r="C6" s="114"/>
      <c r="D6" s="114"/>
      <c r="E6" s="114"/>
      <c r="F6" s="115"/>
      <c r="G6" s="115"/>
      <c r="H6" s="115"/>
      <c r="I6" s="115"/>
      <c r="J6" s="115"/>
      <c r="K6" s="115"/>
    </row>
    <row r="7" spans="1:11" s="113" customFormat="1" ht="46.5" customHeight="1" x14ac:dyDescent="0.25">
      <c r="A7" s="125" t="s">
        <v>287</v>
      </c>
      <c r="B7" s="125" t="s">
        <v>278</v>
      </c>
      <c r="C7" s="125" t="s">
        <v>279</v>
      </c>
      <c r="D7" s="125" t="s">
        <v>288</v>
      </c>
      <c r="E7" s="125" t="s">
        <v>289</v>
      </c>
      <c r="F7" s="125" t="s">
        <v>291</v>
      </c>
      <c r="G7" s="125" t="s">
        <v>292</v>
      </c>
      <c r="H7" s="125" t="s">
        <v>293</v>
      </c>
      <c r="I7" s="125" t="s">
        <v>294</v>
      </c>
      <c r="J7" s="125" t="s">
        <v>295</v>
      </c>
      <c r="K7" s="124" t="s">
        <v>280</v>
      </c>
    </row>
    <row r="8" spans="1:11" s="113" customFormat="1" ht="18.75" customHeight="1" x14ac:dyDescent="0.25">
      <c r="A8" s="126" t="s">
        <v>265</v>
      </c>
      <c r="B8" s="127" t="s">
        <v>266</v>
      </c>
      <c r="C8" s="127" t="s">
        <v>267</v>
      </c>
      <c r="D8" s="127" t="s">
        <v>268</v>
      </c>
      <c r="E8" s="127" t="s">
        <v>297</v>
      </c>
      <c r="F8" s="127" t="s">
        <v>298</v>
      </c>
      <c r="G8" s="127" t="s">
        <v>281</v>
      </c>
      <c r="H8" s="127" t="s">
        <v>299</v>
      </c>
      <c r="I8" s="127" t="s">
        <v>300</v>
      </c>
      <c r="J8" s="127" t="s">
        <v>282</v>
      </c>
      <c r="K8" s="126" t="s">
        <v>283</v>
      </c>
    </row>
    <row r="9" spans="1:11" ht="21.75" customHeight="1" x14ac:dyDescent="0.2">
      <c r="A9" s="117">
        <v>1</v>
      </c>
      <c r="B9" s="118" t="s">
        <v>306</v>
      </c>
      <c r="C9" s="131">
        <v>1</v>
      </c>
      <c r="D9" s="119">
        <v>30921.108510000005</v>
      </c>
      <c r="E9" s="119">
        <v>26994.068204999992</v>
      </c>
      <c r="F9" s="119">
        <v>407.24899999999997</v>
      </c>
      <c r="G9" s="119">
        <v>3519.7850000000003</v>
      </c>
      <c r="H9" s="130">
        <v>1.3170582156467452E-2</v>
      </c>
      <c r="I9" s="130">
        <v>0.11383113897296691</v>
      </c>
      <c r="J9" s="130">
        <f>H9+I9</f>
        <v>0.12700172112943436</v>
      </c>
      <c r="K9" s="117"/>
    </row>
    <row r="10" spans="1:11" ht="21.75" customHeight="1" x14ac:dyDescent="0.2">
      <c r="A10" s="117">
        <v>2</v>
      </c>
      <c r="B10" s="118" t="s">
        <v>307</v>
      </c>
      <c r="C10" s="131">
        <v>1</v>
      </c>
      <c r="D10" s="119">
        <v>67067.419259999893</v>
      </c>
      <c r="E10" s="119">
        <v>61904.579420000009</v>
      </c>
      <c r="F10" s="119">
        <v>1001.2859999999998</v>
      </c>
      <c r="G10" s="119">
        <v>4161.4610000000021</v>
      </c>
      <c r="H10" s="130">
        <v>1.4929544196688408E-2</v>
      </c>
      <c r="I10" s="130">
        <v>6.2048921009876482E-2</v>
      </c>
      <c r="J10" s="130">
        <f>H10+I10</f>
        <v>7.6978465206564886E-2</v>
      </c>
      <c r="K10" s="117"/>
    </row>
    <row r="11" spans="1:11" ht="21.75" customHeight="1" x14ac:dyDescent="0.2">
      <c r="A11" s="117">
        <v>3</v>
      </c>
      <c r="B11" s="118" t="s">
        <v>314</v>
      </c>
      <c r="C11" s="131">
        <v>1</v>
      </c>
      <c r="D11" s="119">
        <v>121855.15225999961</v>
      </c>
      <c r="E11" s="119">
        <v>117640.68185999997</v>
      </c>
      <c r="F11" s="119">
        <v>1544.1540000000009</v>
      </c>
      <c r="G11" s="119">
        <v>2670.2300000000005</v>
      </c>
      <c r="H11" s="130">
        <v>1.2672045222226419E-2</v>
      </c>
      <c r="I11" s="130">
        <v>2.1913148114595847E-2</v>
      </c>
      <c r="J11" s="130">
        <f>H11+I11</f>
        <v>3.4585193336822265E-2</v>
      </c>
      <c r="K11" s="117"/>
    </row>
    <row r="12" spans="1:11" ht="21.75" customHeight="1" x14ac:dyDescent="0.2">
      <c r="A12" s="117">
        <v>4</v>
      </c>
      <c r="B12" s="118" t="s">
        <v>317</v>
      </c>
      <c r="C12" s="131">
        <v>1</v>
      </c>
      <c r="D12" s="119">
        <v>140360.30531000055</v>
      </c>
      <c r="E12" s="119">
        <v>135418.97129999995</v>
      </c>
      <c r="F12" s="119">
        <v>1805.2300000000012</v>
      </c>
      <c r="G12" s="119">
        <v>3136.0149999999999</v>
      </c>
      <c r="H12" s="130">
        <v>1.2861399781177165E-2</v>
      </c>
      <c r="I12" s="130">
        <v>2.2342606002984815E-2</v>
      </c>
      <c r="J12" s="130">
        <f>H12+I12</f>
        <v>3.5204005784161982E-2</v>
      </c>
      <c r="K12" s="117"/>
    </row>
    <row r="13" spans="1:11" ht="21.75" customHeight="1" x14ac:dyDescent="0.2">
      <c r="A13" s="117">
        <v>5</v>
      </c>
      <c r="B13" s="118" t="s">
        <v>318</v>
      </c>
      <c r="C13" s="131">
        <v>1</v>
      </c>
      <c r="D13" s="119">
        <v>189360.09659000405</v>
      </c>
      <c r="E13" s="119">
        <v>173686.60225000003</v>
      </c>
      <c r="F13" s="119">
        <v>2002.4039999999995</v>
      </c>
      <c r="G13" s="119">
        <v>7827.8650000000007</v>
      </c>
      <c r="H13" s="130">
        <v>1.0574582692231804E-2</v>
      </c>
      <c r="I13" s="130">
        <v>4.1338513979260499E-2</v>
      </c>
      <c r="J13" s="130">
        <f>H13+I13</f>
        <v>5.1913096671492305E-2</v>
      </c>
      <c r="K13" s="117"/>
    </row>
    <row r="14" spans="1:11" ht="21.75" customHeight="1" x14ac:dyDescent="0.2">
      <c r="A14" s="117">
        <v>6</v>
      </c>
      <c r="B14" s="118" t="s">
        <v>324</v>
      </c>
      <c r="C14" s="131">
        <v>1</v>
      </c>
      <c r="D14" s="119">
        <v>263185.36081500555</v>
      </c>
      <c r="E14" s="119">
        <v>243534.72077499997</v>
      </c>
      <c r="F14" s="119">
        <v>2894.748000000001</v>
      </c>
      <c r="G14" s="119">
        <v>10912.646999999992</v>
      </c>
      <c r="H14" s="130">
        <v>1.0998894433321979E-2</v>
      </c>
      <c r="I14" s="130">
        <v>4.1463730984910484E-2</v>
      </c>
      <c r="J14" s="130">
        <v>5.2462625418232461E-2</v>
      </c>
      <c r="K14" s="117"/>
    </row>
    <row r="15" spans="1:11" ht="21.75" customHeight="1" x14ac:dyDescent="0.2">
      <c r="A15" s="117">
        <v>7</v>
      </c>
      <c r="B15" s="118" t="s">
        <v>325</v>
      </c>
      <c r="C15" s="131">
        <v>1</v>
      </c>
      <c r="D15" s="119">
        <v>327080.70200000698</v>
      </c>
      <c r="E15" s="119">
        <v>341459.81302499992</v>
      </c>
      <c r="F15" s="119">
        <v>3828.9419999999964</v>
      </c>
      <c r="G15" s="119">
        <v>15133.47100000001</v>
      </c>
      <c r="H15" s="130">
        <v>1.1706413666679485E-2</v>
      </c>
      <c r="I15" s="130">
        <v>4.6268309036464367E-2</v>
      </c>
      <c r="J15" s="130">
        <v>5.7974722703143855E-2</v>
      </c>
      <c r="K15" s="117"/>
    </row>
    <row r="16" spans="1:11" ht="21.75" customHeight="1" x14ac:dyDescent="0.2">
      <c r="A16" s="117">
        <v>8</v>
      </c>
      <c r="B16" s="118" t="s">
        <v>326</v>
      </c>
      <c r="C16" s="131">
        <v>1</v>
      </c>
      <c r="D16" s="119">
        <v>379472.90498501278</v>
      </c>
      <c r="E16" s="119">
        <v>392917.51301499986</v>
      </c>
      <c r="F16" s="119">
        <v>4467.1260000000029</v>
      </c>
      <c r="G16" s="119">
        <v>12970.902000000013</v>
      </c>
      <c r="H16" s="130">
        <v>1.1771923479428476E-2</v>
      </c>
      <c r="I16" s="130">
        <v>3.4181365334930297E-2</v>
      </c>
      <c r="J16" s="130">
        <v>4.595328881435877E-2</v>
      </c>
      <c r="K16" s="117"/>
    </row>
    <row r="17" spans="1:11" ht="21.75" customHeight="1" x14ac:dyDescent="0.2">
      <c r="A17" s="117">
        <v>9</v>
      </c>
      <c r="B17" s="118" t="s">
        <v>343</v>
      </c>
      <c r="C17" s="131">
        <v>1</v>
      </c>
      <c r="D17" s="119">
        <v>427776.1462350153</v>
      </c>
      <c r="E17" s="119">
        <v>439630.14628499979</v>
      </c>
      <c r="F17" s="119">
        <v>4715.8289999999961</v>
      </c>
      <c r="G17" s="119">
        <v>14312.703999999996</v>
      </c>
      <c r="H17" s="130">
        <v>1.1024057889869281E-2</v>
      </c>
      <c r="I17" s="130">
        <v>3.3458396701102545E-2</v>
      </c>
      <c r="J17" s="130">
        <v>4.4482454590971825E-2</v>
      </c>
      <c r="K17" s="117"/>
    </row>
    <row r="18" spans="1:11" ht="21.75" customHeight="1" x14ac:dyDescent="0.2">
      <c r="A18" s="117">
        <v>10</v>
      </c>
      <c r="B18" s="118" t="s">
        <v>354</v>
      </c>
      <c r="C18" s="131">
        <v>1</v>
      </c>
      <c r="D18" s="119">
        <v>503213.34261002264</v>
      </c>
      <c r="E18" s="119">
        <v>513278.91975999984</v>
      </c>
      <c r="F18" s="119">
        <v>5261.2089999999953</v>
      </c>
      <c r="G18" s="119">
        <v>15555.490999999987</v>
      </c>
      <c r="H18" s="130">
        <v>1.0455225556444151E-2</v>
      </c>
      <c r="I18" s="130">
        <v>3.0912318261113937E-2</v>
      </c>
      <c r="J18" s="130">
        <v>4.136754381755809E-2</v>
      </c>
      <c r="K18" s="117"/>
    </row>
    <row r="19" spans="1:11" ht="21.75" customHeight="1" x14ac:dyDescent="0.2">
      <c r="A19" s="117">
        <v>11</v>
      </c>
      <c r="B19" s="118" t="s">
        <v>362</v>
      </c>
      <c r="C19" s="131">
        <v>1</v>
      </c>
      <c r="D19" s="119">
        <v>552296.48961002752</v>
      </c>
      <c r="E19" s="119">
        <v>560471.30846999981</v>
      </c>
      <c r="F19" s="119">
        <v>5628.9890000000059</v>
      </c>
      <c r="G19" s="119">
        <v>17078.436999999991</v>
      </c>
      <c r="H19" s="130">
        <v>1.0191969541531204E-2</v>
      </c>
      <c r="I19" s="130">
        <v>3.0922588358399578E-2</v>
      </c>
      <c r="J19" s="130">
        <v>4.1114557899930779E-2</v>
      </c>
      <c r="K19" s="117"/>
    </row>
    <row r="20" spans="1:11" ht="21.75" customHeight="1" x14ac:dyDescent="0.2">
      <c r="A20" s="117">
        <v>12</v>
      </c>
      <c r="B20" s="118" t="s">
        <v>372</v>
      </c>
      <c r="C20" s="131">
        <v>1</v>
      </c>
      <c r="D20" s="119">
        <v>607205.78661002999</v>
      </c>
      <c r="E20" s="119">
        <v>613619.28742999991</v>
      </c>
      <c r="F20" s="119">
        <v>6026.814000000013</v>
      </c>
      <c r="G20" s="119">
        <v>18441.914000000004</v>
      </c>
      <c r="H20" s="130">
        <v>9.9254884141455908E-3</v>
      </c>
      <c r="I20" s="130">
        <v>3.0371769187114293E-2</v>
      </c>
      <c r="J20" s="130">
        <v>4.0297257601259885E-2</v>
      </c>
      <c r="K20" s="117"/>
    </row>
    <row r="21" spans="1:11" ht="21.75" customHeight="1" x14ac:dyDescent="0.2">
      <c r="A21" s="117">
        <v>13</v>
      </c>
      <c r="B21" s="118" t="s">
        <v>373</v>
      </c>
      <c r="C21" s="131">
        <v>1</v>
      </c>
      <c r="D21" s="119">
        <v>681310.41061003902</v>
      </c>
      <c r="E21" s="119">
        <v>684540.91273695428</v>
      </c>
      <c r="F21" s="119">
        <v>6526.5630000000056</v>
      </c>
      <c r="G21" s="119">
        <v>21115.097999999991</v>
      </c>
      <c r="H21" s="130">
        <v>9.579426496882943E-3</v>
      </c>
      <c r="I21" s="130">
        <v>3.0991891025257824E-2</v>
      </c>
      <c r="J21" s="130">
        <v>4.0571317522140771E-2</v>
      </c>
      <c r="K21" s="117"/>
    </row>
    <row r="22" spans="1:11" ht="21.75" customHeight="1" x14ac:dyDescent="0.2">
      <c r="A22" s="117">
        <v>14</v>
      </c>
      <c r="B22" s="118" t="s">
        <v>376</v>
      </c>
      <c r="C22" s="131">
        <v>1</v>
      </c>
      <c r="D22" s="119">
        <v>744649.96026004432</v>
      </c>
      <c r="E22" s="119">
        <v>744541.19900695409</v>
      </c>
      <c r="F22" s="119">
        <v>7114.0400000000081</v>
      </c>
      <c r="G22" s="119">
        <v>23866.885999999991</v>
      </c>
      <c r="H22" s="130">
        <v>9.5535357277339618E-3</v>
      </c>
      <c r="I22" s="130">
        <v>3.2051147886538893E-2</v>
      </c>
      <c r="J22" s="130">
        <v>4.1604683614272858E-2</v>
      </c>
      <c r="K22" s="117"/>
    </row>
    <row r="23" spans="1:11" ht="21.75" customHeight="1" x14ac:dyDescent="0.2">
      <c r="A23" s="117">
        <v>15</v>
      </c>
      <c r="B23" s="118" t="s">
        <v>380</v>
      </c>
      <c r="C23" s="131">
        <v>1</v>
      </c>
      <c r="D23" s="119">
        <v>799567.29826004943</v>
      </c>
      <c r="E23" s="119">
        <v>808237.56480695412</v>
      </c>
      <c r="F23" s="119">
        <v>7633.0510000000104</v>
      </c>
      <c r="G23" s="119">
        <v>24483.207000000013</v>
      </c>
      <c r="H23" s="130">
        <v>9.5464772216302604E-3</v>
      </c>
      <c r="I23" s="130">
        <v>3.0620570717784849E-2</v>
      </c>
      <c r="J23" s="130">
        <v>4.0167047939415113E-2</v>
      </c>
      <c r="K23" s="117"/>
    </row>
    <row r="24" spans="1:11" ht="21.75" customHeight="1" x14ac:dyDescent="0.2">
      <c r="A24" s="117">
        <v>16</v>
      </c>
      <c r="B24" s="118" t="s">
        <v>382</v>
      </c>
      <c r="C24" s="131">
        <v>1</v>
      </c>
      <c r="D24" s="119">
        <v>854832.08026005642</v>
      </c>
      <c r="E24" s="119">
        <v>881946.42580877047</v>
      </c>
      <c r="F24" s="119">
        <v>8265.064000000013</v>
      </c>
      <c r="G24" s="119">
        <v>23512.577999999969</v>
      </c>
      <c r="H24" s="130">
        <v>9.6686404158880194E-3</v>
      </c>
      <c r="I24" s="130">
        <v>2.750549323423495E-2</v>
      </c>
      <c r="J24" s="130">
        <v>3.7174133650122967E-2</v>
      </c>
      <c r="K24" s="117"/>
    </row>
    <row r="25" spans="1:11" ht="21.75" customHeight="1" x14ac:dyDescent="0.2">
      <c r="A25" s="117"/>
      <c r="B25" s="118"/>
      <c r="C25" s="131"/>
      <c r="D25" s="119"/>
      <c r="E25" s="119"/>
      <c r="F25" s="119"/>
      <c r="G25" s="119"/>
      <c r="H25" s="130"/>
      <c r="I25" s="130"/>
      <c r="J25" s="130"/>
      <c r="K25" s="117"/>
    </row>
    <row r="26" spans="1:11" ht="21.75" customHeight="1" x14ac:dyDescent="0.2">
      <c r="A26" s="139"/>
      <c r="B26" s="140"/>
      <c r="C26" s="141"/>
      <c r="D26" s="142"/>
      <c r="E26" s="142"/>
      <c r="F26" s="142"/>
      <c r="G26" s="142"/>
      <c r="H26" s="143"/>
      <c r="I26" s="143"/>
      <c r="J26" s="143"/>
      <c r="K26" s="139"/>
    </row>
    <row r="27" spans="1:11" ht="21.75" customHeight="1" x14ac:dyDescent="0.2">
      <c r="A27" s="139"/>
      <c r="B27" s="140"/>
      <c r="C27" s="141"/>
      <c r="D27" s="142"/>
      <c r="E27" s="142"/>
      <c r="F27" s="142"/>
      <c r="G27" s="142"/>
      <c r="H27" s="143"/>
      <c r="I27" s="143"/>
      <c r="J27" s="143"/>
      <c r="K27" s="139"/>
    </row>
    <row r="28" spans="1:11" ht="21.75" customHeight="1" x14ac:dyDescent="0.2">
      <c r="A28" s="139"/>
      <c r="B28" s="140"/>
      <c r="C28" s="141"/>
      <c r="D28" s="142"/>
      <c r="E28" s="142"/>
      <c r="F28" s="142"/>
      <c r="G28" s="142"/>
      <c r="H28" s="143"/>
      <c r="I28" s="143"/>
      <c r="J28" s="143"/>
      <c r="K28" s="139"/>
    </row>
    <row r="29" spans="1:11" ht="21.75" customHeight="1" x14ac:dyDescent="0.2">
      <c r="A29" s="139"/>
      <c r="B29" s="140"/>
      <c r="C29" s="141"/>
      <c r="D29" s="142"/>
      <c r="E29" s="142"/>
      <c r="F29" s="142"/>
      <c r="G29" s="142"/>
      <c r="H29" s="143"/>
      <c r="I29" s="143"/>
      <c r="J29" s="143"/>
      <c r="K29" s="139"/>
    </row>
    <row r="30" spans="1:11" ht="21.75" customHeight="1" x14ac:dyDescent="0.2">
      <c r="A30" s="139"/>
      <c r="B30" s="140"/>
      <c r="C30" s="141"/>
      <c r="D30" s="142"/>
      <c r="E30" s="142"/>
      <c r="F30" s="142"/>
      <c r="G30" s="142"/>
      <c r="H30" s="143"/>
      <c r="I30" s="143"/>
      <c r="J30" s="143"/>
      <c r="K30" s="139"/>
    </row>
    <row r="31" spans="1:11" ht="21.75" customHeight="1" x14ac:dyDescent="0.2">
      <c r="A31" s="139"/>
      <c r="B31" s="140"/>
      <c r="C31" s="141"/>
      <c r="D31" s="142"/>
      <c r="E31" s="142"/>
      <c r="F31" s="142"/>
      <c r="G31" s="142"/>
      <c r="H31" s="143"/>
      <c r="I31" s="143"/>
      <c r="J31" s="143"/>
      <c r="K31" s="139"/>
    </row>
    <row r="32" spans="1:11" ht="21.75" customHeight="1" x14ac:dyDescent="0.2">
      <c r="A32" s="139"/>
      <c r="B32" s="140"/>
      <c r="C32" s="141"/>
      <c r="D32" s="142"/>
      <c r="E32" s="142"/>
      <c r="F32" s="142"/>
      <c r="G32" s="142"/>
      <c r="H32" s="143"/>
      <c r="I32" s="143"/>
      <c r="J32" s="143"/>
      <c r="K32" s="139"/>
    </row>
    <row r="33" spans="1:11" ht="21.75" customHeight="1" x14ac:dyDescent="0.2">
      <c r="A33" s="139"/>
      <c r="B33" s="140"/>
      <c r="C33" s="141"/>
      <c r="D33" s="142"/>
      <c r="E33" s="142"/>
      <c r="F33" s="142"/>
      <c r="G33" s="142"/>
      <c r="H33" s="143"/>
      <c r="I33" s="143"/>
      <c r="J33" s="143"/>
      <c r="K33" s="139"/>
    </row>
    <row r="34" spans="1:11" ht="21.75" customHeight="1" x14ac:dyDescent="0.2">
      <c r="A34" s="139"/>
      <c r="B34" s="140"/>
      <c r="C34" s="141"/>
      <c r="D34" s="142"/>
      <c r="E34" s="142"/>
      <c r="F34" s="142"/>
      <c r="G34" s="142"/>
      <c r="H34" s="143"/>
      <c r="I34" s="143"/>
      <c r="J34" s="143"/>
      <c r="K34" s="139"/>
    </row>
    <row r="35" spans="1:11" ht="21.75" customHeight="1" x14ac:dyDescent="0.2">
      <c r="A35" s="139"/>
      <c r="B35" s="140"/>
      <c r="C35" s="141"/>
      <c r="D35" s="142"/>
      <c r="E35" s="142"/>
      <c r="F35" s="142"/>
      <c r="G35" s="142"/>
      <c r="H35" s="143"/>
      <c r="I35" s="143"/>
      <c r="J35" s="143"/>
      <c r="K35" s="139"/>
    </row>
    <row r="36" spans="1:11" ht="21.75" customHeight="1" x14ac:dyDescent="0.2">
      <c r="A36" s="139"/>
      <c r="B36" s="140"/>
      <c r="C36" s="141"/>
      <c r="D36" s="142"/>
      <c r="E36" s="142"/>
      <c r="F36" s="142"/>
      <c r="G36" s="142"/>
      <c r="H36" s="143"/>
      <c r="I36" s="143"/>
      <c r="J36" s="143"/>
      <c r="K36" s="139"/>
    </row>
    <row r="37" spans="1:11" ht="21.75" customHeight="1" x14ac:dyDescent="0.2">
      <c r="A37" s="139"/>
      <c r="B37" s="140"/>
      <c r="C37" s="141"/>
      <c r="D37" s="142"/>
      <c r="E37" s="142"/>
      <c r="F37" s="142"/>
      <c r="G37" s="142"/>
      <c r="H37" s="143"/>
      <c r="I37" s="143"/>
      <c r="J37" s="143"/>
      <c r="K37" s="139"/>
    </row>
    <row r="38" spans="1:11" ht="21.75" customHeight="1" x14ac:dyDescent="0.2">
      <c r="A38" s="139"/>
      <c r="B38" s="140"/>
      <c r="C38" s="141"/>
      <c r="D38" s="142"/>
      <c r="E38" s="142"/>
      <c r="F38" s="142"/>
      <c r="G38" s="142"/>
      <c r="H38" s="143"/>
      <c r="I38" s="143"/>
      <c r="J38" s="143"/>
      <c r="K38" s="139"/>
    </row>
    <row r="39" spans="1:11" ht="21.75" customHeight="1" x14ac:dyDescent="0.2">
      <c r="A39" s="139"/>
      <c r="B39" s="140"/>
      <c r="C39" s="141"/>
      <c r="D39" s="142"/>
      <c r="E39" s="142"/>
      <c r="F39" s="142"/>
      <c r="G39" s="142"/>
      <c r="H39" s="143"/>
      <c r="I39" s="143"/>
      <c r="J39" s="143"/>
      <c r="K39" s="139"/>
    </row>
    <row r="40" spans="1:11" ht="21.75" customHeight="1" x14ac:dyDescent="0.2">
      <c r="A40" s="117"/>
      <c r="B40" s="118"/>
      <c r="C40" s="131"/>
      <c r="D40" s="119"/>
      <c r="E40" s="119"/>
      <c r="F40" s="119"/>
      <c r="G40" s="119"/>
      <c r="H40" s="130"/>
      <c r="I40" s="130"/>
      <c r="J40" s="130"/>
      <c r="K40" s="117"/>
    </row>
    <row r="41" spans="1:11" ht="21.75" customHeight="1" x14ac:dyDescent="0.2">
      <c r="A41" s="117"/>
      <c r="B41" s="118"/>
      <c r="C41" s="131"/>
      <c r="D41" s="119"/>
      <c r="E41" s="119"/>
      <c r="F41" s="119"/>
      <c r="G41" s="119"/>
      <c r="H41" s="130"/>
      <c r="I41" s="130"/>
      <c r="J41" s="130"/>
      <c r="K41" s="117"/>
    </row>
    <row r="43" spans="1:11" s="113" customFormat="1" ht="59.25" customHeight="1" x14ac:dyDescent="0.25">
      <c r="A43" s="175" t="s">
        <v>296</v>
      </c>
      <c r="B43" s="175"/>
      <c r="C43" s="175"/>
      <c r="D43" s="175"/>
      <c r="E43" s="175"/>
      <c r="F43" s="175"/>
      <c r="G43" s="175"/>
      <c r="H43" s="175"/>
      <c r="I43" s="175"/>
      <c r="J43" s="175"/>
      <c r="K43" s="175"/>
    </row>
    <row r="44" spans="1:11" s="113" customFormat="1" ht="15" x14ac:dyDescent="0.25">
      <c r="A44" s="121"/>
      <c r="B44" s="121"/>
      <c r="C44" s="121"/>
      <c r="D44" s="121"/>
      <c r="E44" s="121"/>
      <c r="F44" s="121"/>
      <c r="G44" s="121"/>
      <c r="H44" s="121"/>
      <c r="I44" s="121"/>
      <c r="J44" s="121"/>
      <c r="K44" s="121"/>
    </row>
    <row r="45" spans="1:11" s="113" customFormat="1" ht="15" x14ac:dyDescent="0.25">
      <c r="B45" s="122" t="s">
        <v>284</v>
      </c>
      <c r="C45" s="122"/>
      <c r="H45" s="123" t="s">
        <v>285</v>
      </c>
      <c r="I45" s="123"/>
    </row>
    <row r="46" spans="1:11" s="113" customFormat="1" ht="15" x14ac:dyDescent="0.25"/>
    <row r="47" spans="1:11" s="113" customFormat="1" ht="15" x14ac:dyDescent="0.25"/>
  </sheetData>
  <mergeCells count="2">
    <mergeCell ref="A43:K43"/>
    <mergeCell ref="A1:K1"/>
  </mergeCells>
  <pageMargins left="0.7" right="0.7" top="0.75" bottom="0.75" header="0.3" footer="0.3"/>
  <pageSetup paperSize="9" scale="44" orientation="portrait" r:id="rId1"/>
  <ignoredErrors>
    <ignoredError sqref="A8:F8 K8" numberStoredAsText="1"/>
  </ignoredErrors>
  <drawing r:id="rId2"/>
</worksheet>
</file>

<file path=customUI/customUI.xml><?xml version="1.0" encoding="utf-8"?>
<customUI xmlns="http://schemas.microsoft.com/office/2006/01/customui" onLoad="RibbonOnLoad">
  <ribbon>
    <tabs>
      <tab id="CustomTab" label="THỐNG KÊ THÉP" insertAfterMso="TabView">
        <group id="Group1" label="Admin">
          <button id="Button1" label="Xóa toàn bộ dữ liệu" size="large" onAction="XoaBang" imageMso="BorderErase"/>
          <button id="Button2" label="Chèn dữ liệu từ file" size="large" onAction="Chen" imageMso="ContentTypePushChanges"/>
        </group>
        <group id="Group2" label="Thống kê thép">
          <button id="Button3" label="Thêm thép" size="large" onAction="ThemThep" imageMso="AdpStoredProcedureQueryAppendValues"/>
          <button id="Button4" label="Chèn thép" size="large" onAction="ChenThep" imageMso="ActionInsertAccess"/>
          <button id="Button5" label="Dời lên" size="large" onAction="DoiLen" imageMso="_3DPerspectiveIncrease"/>
          <button id="Button6" label="Dời xuống" size="large" onAction="DoiXuong" imageMso="_3DPerspectiveDecrease"/>
          <button id="Button7" label="Xóa thép" size="large" onAction="XoaThep" imageMso="DeleteCells"/>
          <button id="Button8" label="Tổng hợp thép" size="large" onAction="THThep" imageMso="ConditionalFormattingIconSetsGallery"/>
        </group>
        <group id="Group3" label="Cắt thép">
          <button id="Button9" label="Xuất SL Cắt thép" size="large" onAction="XuatTK" imageMso="AccessRefreshAllLists"/>
          <button id="Button11" label="Import thép dư" size="large" onAction="ImportThepDu" imageMso="AutoLinkingStart"/>
          <button id="Button12" label="Cắt thép" size="large" onAction="CatThep" imageMso="ContactCardCut"/>
          <button id="Button13" label="Xuất tổng hợp cắt thép" size="large" onAction="XuatCatThep" imageMso="CreateTableInDesignView"/>
        </group>
      </tab>
    </tabs>
  </ribbon>
</customUI>
</file>

<file path=customUI/customUI14.xml><?xml version="1.0" encoding="utf-8"?>
<customUI xmlns="http://schemas.microsoft.com/office/2009/07/customui" onLoad="RibbonOnLoad">
  <ribbon>
    <tabs>
      <tab id="CustomTab" label="THỐNG KÊ THÉP" insertAfterMso="TabView">
        <group id="Group1" label="Admin">
          <button id="Button1" label="Xóa toàn bộ dữ liệu" size="large" onAction="XoaBang" imageMso="BorderErase"/>
          <button id="Button2" label="Chèn dữ liệu từ file" size="large" onAction="Chen" imageMso="ContentTypePushChanges"/>
        </group>
        <group id="Group2" label="Thống kê thép">
          <button id="Button3" label="Thêm thép" size="large" onAction="ThemThep" imageMso="AdpStoredProcedureQueryAppendValues"/>
          <button id="Button7" label="Xóa thép" size="large" onAction="XoaThep" imageMso="DeleteCells"/>
          <button id="Button8" label="Tổng hợp thép" size="large" onAction="THThep" imageMso="ConditionalFormattingIconSetsGallery"/>
        </group>
        <group id="Group3" label="Cắt thép">
          <button id="Button9" label="Xuất SL Cắt thép" size="large" onAction="XuatTK" imageMso="AccessRefreshAllLists"/>
          <button id="Button11" label="Import thép dư" size="large" onAction="ImportThepDu" imageMso="AutoLinkingStart"/>
          <button id="Button12" label="Cắt thép" size="large" onAction="CatThep" imageMso="ContactCardCut"/>
          <button id="Button13" label="Xuất tổng hợp cắt thép" size="large" onAction="XuatCatThep" imageMso="CreateTableInDesignView"/>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9fbd1f-3a66-4b35-ac0c-bfd29b54ed0e">
      <Terms xmlns="http://schemas.microsoft.com/office/infopath/2007/PartnerControls"/>
    </lcf76f155ced4ddcb4097134ff3c332f>
    <TaxCatchAll xmlns="35e0e78b-09d6-4b15-9c10-4baf27c17ea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D8CCD76693EEC43A2961F6AD89D837D" ma:contentTypeVersion="12" ma:contentTypeDescription="Create a new document." ma:contentTypeScope="" ma:versionID="3c2d2655e87181da15139230fe093551">
  <xsd:schema xmlns:xsd="http://www.w3.org/2001/XMLSchema" xmlns:xs="http://www.w3.org/2001/XMLSchema" xmlns:p="http://schemas.microsoft.com/office/2006/metadata/properties" xmlns:ns2="db9fbd1f-3a66-4b35-ac0c-bfd29b54ed0e" xmlns:ns3="35e0e78b-09d6-4b15-9c10-4baf27c17ea6" targetNamespace="http://schemas.microsoft.com/office/2006/metadata/properties" ma:root="true" ma:fieldsID="e0906939b058d7a3f233cea47ce768f7" ns2:_="" ns3:_="">
    <xsd:import namespace="db9fbd1f-3a66-4b35-ac0c-bfd29b54ed0e"/>
    <xsd:import namespace="35e0e78b-09d6-4b15-9c10-4baf27c17ea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9fbd1f-3a66-4b35-ac0c-bfd29b54ed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2cf11a15-4af6-4e34-bdd4-7dfc3aad24b3"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e0e78b-09d6-4b15-9c10-4baf27c17ea6"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56d092b3-a3f3-4f5a-85cd-b49a3f6e803b}" ma:internalName="TaxCatchAll" ma:showField="CatchAllData" ma:web="35e0e78b-09d6-4b15-9c10-4baf27c17e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3855F1-43B1-410F-B82D-863D03D7F639}">
  <ds:schemaRefs>
    <ds:schemaRef ds:uri="http://schemas.microsoft.com/office/infopath/2007/PartnerControls"/>
    <ds:schemaRef ds:uri="http://schemas.microsoft.com/office/2006/documentManagement/types"/>
    <ds:schemaRef ds:uri="http://purl.org/dc/dcmitype/"/>
    <ds:schemaRef ds:uri="35e0e78b-09d6-4b15-9c10-4baf27c17ea6"/>
    <ds:schemaRef ds:uri="http://purl.org/dc/elements/1.1/"/>
    <ds:schemaRef ds:uri="http://purl.org/dc/terms/"/>
    <ds:schemaRef ds:uri="http://schemas.microsoft.com/office/2006/metadata/properties"/>
    <ds:schemaRef ds:uri="http://schemas.openxmlformats.org/package/2006/metadata/core-properties"/>
    <ds:schemaRef ds:uri="db9fbd1f-3a66-4b35-ac0c-bfd29b54ed0e"/>
    <ds:schemaRef ds:uri="http://www.w3.org/XML/1998/namespace"/>
  </ds:schemaRefs>
</ds:datastoreItem>
</file>

<file path=customXml/itemProps2.xml><?xml version="1.0" encoding="utf-8"?>
<ds:datastoreItem xmlns:ds="http://schemas.openxmlformats.org/officeDocument/2006/customXml" ds:itemID="{3C26C2E9-DCAE-469F-B99D-5EB7CD3268C8}">
  <ds:schemaRefs>
    <ds:schemaRef ds:uri="http://schemas.microsoft.com/sharepoint/v3/contenttype/forms"/>
  </ds:schemaRefs>
</ds:datastoreItem>
</file>

<file path=customXml/itemProps3.xml><?xml version="1.0" encoding="utf-8"?>
<ds:datastoreItem xmlns:ds="http://schemas.openxmlformats.org/officeDocument/2006/customXml" ds:itemID="{4555507A-CD4F-4E3C-9403-EABE68A51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9fbd1f-3a66-4b35-ac0c-bfd29b54ed0e"/>
    <ds:schemaRef ds:uri="35e0e78b-09d6-4b15-9c10-4baf27c17e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ThongSo</vt:lpstr>
      <vt:lpstr>TKT</vt:lpstr>
      <vt:lpstr>TH Thep</vt:lpstr>
      <vt:lpstr>SoLieuCatThep</vt:lpstr>
      <vt:lpstr>SLThepDu</vt:lpstr>
      <vt:lpstr>32</vt:lpstr>
      <vt:lpstr>SoDoCat</vt:lpstr>
      <vt:lpstr>SoDoCatRutGon</vt:lpstr>
      <vt:lpstr>KiemSoatThepDu</vt:lpstr>
      <vt:lpstr>BangTinhHaoHut</vt:lpstr>
      <vt:lpstr>TongHopBao Cao</vt:lpstr>
      <vt:lpstr>BoNoi</vt:lpstr>
      <vt:lpstr>Noi</vt:lpstr>
      <vt:lpstr>'TongHopBao Cao'!Print_Area</vt:lpstr>
      <vt:lpstr>'TongHopBao Cao'!Print_Titles</vt:lpstr>
      <vt:lpstr>Uon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Sơn Đoàn</dc:creator>
  <cp:lastModifiedBy>admin</cp:lastModifiedBy>
  <cp:lastPrinted>2017-08-02T21:25:15Z</cp:lastPrinted>
  <dcterms:created xsi:type="dcterms:W3CDTF">2016-11-08T07:23:48Z</dcterms:created>
  <dcterms:modified xsi:type="dcterms:W3CDTF">2026-03-11T08:41:26Z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0x010100AD8CCD76693EEC43A2961F6AD89D837D</vt:lpwstr>
  </property>
  <property fmtid="{D5CDD505-2E9C-101B-9397-08002B2CF9AE}" pid="3" name="MediaServiceImageTags">
    <vt:lpwstr/>
  </property>
</Properties>
</file>