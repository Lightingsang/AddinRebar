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63F1E2F5-E1DD-4B32-B79A-F5308047412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6" r:id="rId2"/>
    <sheet name="Pic" sheetId="5" state="veryHidden" r:id="rId3"/>
  </sheets>
  <functionGroups builtInGroupCount="19"/>
  <definedNames>
    <definedName name="_xlnm._FilterDatabase" localSheetId="1" hidden="1">Cal!#REF!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eta.T" hidden="1" xlm="1">#NAME?</definedName>
    <definedName name="PicD">INDEX(Pic!$C$1:$C$2,Pic!$A$3)</definedName>
    <definedName name="PicShearConnector">INDEX(Pic!$D$1:$D$2,Cal!$L$210)</definedName>
    <definedName name="PicSheet">INDEX(Pic!$B$1:$B$2,Pic!$A$3)</definedName>
    <definedName name="_xlnm.Print_Area" localSheetId="1">Cal!$B$2:$M$214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8" i="6" l="1"/>
  <c r="J71" i="6"/>
  <c r="H203" i="6"/>
  <c r="J178" i="6"/>
  <c r="H160" i="6"/>
  <c r="J136" i="6"/>
  <c r="H118" i="6"/>
  <c r="B97" i="6"/>
  <c r="E97" i="6"/>
  <c r="E96" i="6"/>
  <c r="Q97" i="6"/>
  <c r="P97" i="6"/>
  <c r="O97" i="6"/>
  <c r="P96" i="6"/>
  <c r="O96" i="6"/>
  <c r="P95" i="6"/>
  <c r="O95" i="6"/>
  <c r="C224" i="6" l="1"/>
  <c r="C223" i="6"/>
  <c r="L54" i="6"/>
  <c r="J54" i="6"/>
  <c r="I54" i="6"/>
  <c r="E117" i="6" l="1"/>
  <c r="H117" i="6" s="1"/>
  <c r="H202" i="6" s="1"/>
  <c r="C225" i="6"/>
  <c r="E225" i="6" s="1"/>
  <c r="E202" i="6" l="1"/>
  <c r="B217" i="6" s="1"/>
  <c r="C226" i="6"/>
  <c r="C213" i="6"/>
  <c r="C212" i="6"/>
  <c r="C209" i="6"/>
  <c r="C34" i="6"/>
  <c r="L34" i="6"/>
  <c r="L211" i="6" s="1"/>
  <c r="C208" i="6"/>
  <c r="C211" i="6"/>
  <c r="B206" i="6"/>
  <c r="C192" i="6"/>
  <c r="C191" i="6"/>
  <c r="C190" i="6"/>
  <c r="C189" i="6"/>
  <c r="C150" i="6"/>
  <c r="C149" i="6"/>
  <c r="F226" i="6" l="1" a="1"/>
  <c r="F226" i="6" s="1"/>
  <c r="F225" i="6" a="1"/>
  <c r="F225" i="6" s="1"/>
  <c r="E226" i="6"/>
  <c r="C148" i="6"/>
  <c r="C147" i="6"/>
  <c r="L177" i="6"/>
  <c r="C205" i="6"/>
  <c r="C204" i="6"/>
  <c r="C203" i="6"/>
  <c r="B201" i="6"/>
  <c r="C199" i="6"/>
  <c r="C198" i="6"/>
  <c r="C196" i="6"/>
  <c r="C195" i="6"/>
  <c r="C194" i="6"/>
  <c r="C187" i="6"/>
  <c r="C186" i="6"/>
  <c r="C185" i="6"/>
  <c r="B184" i="6"/>
  <c r="C183" i="6"/>
  <c r="C182" i="6"/>
  <c r="C181" i="6"/>
  <c r="B180" i="6"/>
  <c r="C177" i="6"/>
  <c r="C176" i="6"/>
  <c r="B175" i="6"/>
  <c r="C156" i="6"/>
  <c r="C157" i="6"/>
  <c r="C154" i="6"/>
  <c r="C153" i="6"/>
  <c r="C152" i="6"/>
  <c r="D226" i="6" a="1"/>
  <c r="D225" i="6" a="1"/>
  <c r="D225" i="6" l="1"/>
  <c r="F227" i="6" s="1"/>
  <c r="D226" i="6"/>
  <c r="F228" i="6" s="1"/>
  <c r="H161" i="6" s="1"/>
  <c r="H119" i="6"/>
  <c r="L119" i="6" s="1"/>
  <c r="H79" i="6"/>
  <c r="H204" i="6" l="1"/>
  <c r="L134" i="6"/>
  <c r="L204" i="6" s="1"/>
  <c r="B142" i="6"/>
  <c r="C145" i="6"/>
  <c r="C144" i="6"/>
  <c r="C143" i="6"/>
  <c r="B138" i="6"/>
  <c r="J173" i="6"/>
  <c r="J170" i="6"/>
  <c r="K170" i="6" s="1"/>
  <c r="J171" i="6"/>
  <c r="I168" i="6"/>
  <c r="I169" i="6"/>
  <c r="I170" i="6"/>
  <c r="I171" i="6"/>
  <c r="I167" i="6"/>
  <c r="H168" i="6"/>
  <c r="H169" i="6"/>
  <c r="H170" i="6"/>
  <c r="H171" i="6"/>
  <c r="H167" i="6"/>
  <c r="H172" i="6"/>
  <c r="B164" i="6"/>
  <c r="B123" i="6"/>
  <c r="J129" i="6"/>
  <c r="I129" i="6"/>
  <c r="H126" i="6"/>
  <c r="C162" i="6"/>
  <c r="C161" i="6"/>
  <c r="C160" i="6"/>
  <c r="B159" i="6"/>
  <c r="C141" i="6"/>
  <c r="C140" i="6"/>
  <c r="C139" i="6"/>
  <c r="C134" i="6"/>
  <c r="C133" i="6"/>
  <c r="C132" i="6"/>
  <c r="B131" i="6"/>
  <c r="L13" i="6"/>
  <c r="H116" i="6"/>
  <c r="E98" i="6" a="1"/>
  <c r="E135" i="6" a="1"/>
  <c r="L161" i="6" l="1"/>
  <c r="K171" i="6"/>
  <c r="K129" i="6"/>
  <c r="E135" i="6"/>
  <c r="E98" i="6"/>
  <c r="C80" i="6"/>
  <c r="C79" i="6"/>
  <c r="C78" i="6"/>
  <c r="B77" i="6"/>
  <c r="L25" i="6"/>
  <c r="J169" i="6"/>
  <c r="K169" i="6" s="1"/>
  <c r="L70" i="6"/>
  <c r="L79" i="6" s="1"/>
  <c r="DD20" i="3"/>
  <c r="N46" i="6"/>
  <c r="N39" i="6"/>
  <c r="B115" i="6" l="1"/>
  <c r="C113" i="6"/>
  <c r="C120" i="6" l="1"/>
  <c r="C119" i="6"/>
  <c r="B107" i="6"/>
  <c r="B99" i="6"/>
  <c r="I90" i="6"/>
  <c r="I173" i="6" s="1"/>
  <c r="K173" i="6" s="1"/>
  <c r="DO19" i="3" l="1"/>
  <c r="DL19" i="3"/>
  <c r="DK19" i="3"/>
  <c r="DN19" i="3" s="1"/>
  <c r="DD19" i="3"/>
  <c r="DM19" i="3" l="1"/>
  <c r="C118" i="6"/>
  <c r="H109" i="6"/>
  <c r="C108" i="6"/>
  <c r="C114" i="6"/>
  <c r="C111" i="6"/>
  <c r="C106" i="6"/>
  <c r="C105" i="6"/>
  <c r="C104" i="6"/>
  <c r="H102" i="6"/>
  <c r="C100" i="6"/>
  <c r="C94" i="6"/>
  <c r="K65" i="6"/>
  <c r="L75" i="6"/>
  <c r="C75" i="6"/>
  <c r="C74" i="6"/>
  <c r="C13" i="6" l="1"/>
  <c r="D3" i="5" a="1"/>
  <c r="D3" i="5" s="1"/>
  <c r="C112" i="6"/>
  <c r="L44" i="6"/>
  <c r="C39" i="6"/>
  <c r="H54" i="6"/>
  <c r="C50" i="6"/>
  <c r="C49" i="6"/>
  <c r="C48" i="6"/>
  <c r="C47" i="6"/>
  <c r="C46" i="6"/>
  <c r="C210" i="6"/>
  <c r="C33" i="6"/>
  <c r="L29" i="6"/>
  <c r="C28" i="6"/>
  <c r="C31" i="6"/>
  <c r="C30" i="6"/>
  <c r="C29" i="6"/>
  <c r="L144" i="6" l="1"/>
  <c r="L186" i="6"/>
  <c r="L30" i="6"/>
  <c r="L198" i="6" s="1"/>
  <c r="L109" i="6"/>
  <c r="L102" i="6"/>
  <c r="H103" i="6" s="1"/>
  <c r="K54" i="6"/>
  <c r="J128" i="6"/>
  <c r="H200" i="6" l="1"/>
  <c r="F200" i="6"/>
  <c r="L156" i="6"/>
  <c r="H158" i="6" s="1"/>
  <c r="L182" i="6"/>
  <c r="L194" i="6"/>
  <c r="L140" i="6"/>
  <c r="L152" i="6"/>
  <c r="K128" i="6"/>
  <c r="J172" i="6"/>
  <c r="K172" i="6" s="1"/>
  <c r="F158" i="6" l="1"/>
  <c r="L14" i="6"/>
  <c r="DD17" i="3"/>
  <c r="B4" i="5"/>
  <c r="J2" i="6"/>
  <c r="B92" i="6"/>
  <c r="B82" i="6"/>
  <c r="C76" i="6"/>
  <c r="B73" i="6"/>
  <c r="B67" i="6"/>
  <c r="B60" i="6"/>
  <c r="B20" i="6"/>
  <c r="C22" i="6"/>
  <c r="B15" i="6"/>
  <c r="B11" i="6"/>
  <c r="C12" i="6"/>
  <c r="C14" i="6"/>
  <c r="C16" i="6"/>
  <c r="C17" i="6"/>
  <c r="L17" i="6"/>
  <c r="C18" i="6"/>
  <c r="C19" i="6"/>
  <c r="C21" i="6"/>
  <c r="C23" i="6"/>
  <c r="C24" i="6"/>
  <c r="C25" i="6"/>
  <c r="C26" i="6"/>
  <c r="C41" i="6"/>
  <c r="C42" i="6"/>
  <c r="C40" i="6"/>
  <c r="C43" i="6"/>
  <c r="C44" i="6"/>
  <c r="C68" i="6"/>
  <c r="C69" i="6"/>
  <c r="C70" i="6"/>
  <c r="K87" i="6"/>
  <c r="K88" i="6"/>
  <c r="K89" i="6"/>
  <c r="K90" i="6"/>
  <c r="C93" i="6"/>
  <c r="J72" i="6" a="1"/>
  <c r="L18" i="6" l="1"/>
  <c r="H110" i="6"/>
  <c r="L93" i="6"/>
  <c r="J72" i="6"/>
  <c r="J98" i="6" l="1"/>
  <c r="J97" i="6"/>
  <c r="J96" i="6"/>
  <c r="DU16" i="3"/>
  <c r="DU15" i="3"/>
  <c r="DU14" i="3"/>
  <c r="C7" i="6"/>
  <c r="C6" i="6"/>
  <c r="C5" i="6"/>
  <c r="DA7" i="3" l="1"/>
  <c r="DD7" i="3"/>
  <c r="DK7" i="3"/>
  <c r="DN7" i="3" s="1"/>
  <c r="DL7" i="3"/>
  <c r="DO7" i="3"/>
  <c r="DA8" i="3"/>
  <c r="DD8" i="3"/>
  <c r="DK8" i="3"/>
  <c r="DM8" i="3" s="1"/>
  <c r="DL8" i="3"/>
  <c r="DO8" i="3"/>
  <c r="DA9" i="3"/>
  <c r="DD9" i="3"/>
  <c r="DK9" i="3"/>
  <c r="DL9" i="3"/>
  <c r="DO9" i="3"/>
  <c r="DA10" i="3"/>
  <c r="DD10" i="3"/>
  <c r="DK10" i="3"/>
  <c r="DN10" i="3" s="1"/>
  <c r="DL10" i="3"/>
  <c r="DO10" i="3"/>
  <c r="DA11" i="3"/>
  <c r="DD11" i="3"/>
  <c r="DK11" i="3"/>
  <c r="DM11" i="3" s="1"/>
  <c r="DL11" i="3"/>
  <c r="DO11" i="3"/>
  <c r="DA12" i="3"/>
  <c r="DD12" i="3"/>
  <c r="DK12" i="3"/>
  <c r="DL12" i="3"/>
  <c r="DO12" i="3"/>
  <c r="DA13" i="3"/>
  <c r="DD13" i="3"/>
  <c r="DK13" i="3"/>
  <c r="DL13" i="3" s="1"/>
  <c r="DA14" i="3"/>
  <c r="DD14" i="3"/>
  <c r="DK14" i="3"/>
  <c r="DL14" i="3"/>
  <c r="DO14" i="3"/>
  <c r="DO15" i="3" s="1"/>
  <c r="DO16" i="3" s="1"/>
  <c r="DA15" i="3"/>
  <c r="DD15" i="3"/>
  <c r="DK15" i="3"/>
  <c r="DL15" i="3" s="1"/>
  <c r="DA16" i="3"/>
  <c r="DD16" i="3"/>
  <c r="DK16" i="3"/>
  <c r="DL16" i="3" s="1"/>
  <c r="B29" i="3"/>
  <c r="B28" i="3"/>
  <c r="B27" i="3"/>
  <c r="B26" i="3"/>
  <c r="B25" i="3"/>
  <c r="B24" i="3"/>
  <c r="B23" i="3"/>
  <c r="B22" i="3"/>
  <c r="B21" i="3"/>
  <c r="B20" i="3"/>
  <c r="CI19" i="3"/>
  <c r="CF19" i="3"/>
  <c r="CG19" i="3" s="1"/>
  <c r="B19" i="3"/>
  <c r="CI18" i="3"/>
  <c r="CF18" i="3"/>
  <c r="CH18" i="3" s="1"/>
  <c r="B18" i="3"/>
  <c r="CI17" i="3"/>
  <c r="CF17" i="3"/>
  <c r="CH17" i="3" s="1"/>
  <c r="B17" i="3"/>
  <c r="CI16" i="3"/>
  <c r="CF16" i="3"/>
  <c r="CG16" i="3" s="1"/>
  <c r="B16" i="3"/>
  <c r="CI15" i="3"/>
  <c r="CF15" i="3"/>
  <c r="CG15" i="3" s="1"/>
  <c r="BQ15" i="3"/>
  <c r="X15" i="3"/>
  <c r="B15" i="3"/>
  <c r="CF14" i="3"/>
  <c r="CH14" i="3" s="1"/>
  <c r="BQ14" i="3"/>
  <c r="X14" i="3"/>
  <c r="B14" i="3"/>
  <c r="CF13" i="3"/>
  <c r="CH13" i="3" s="1"/>
  <c r="BQ13" i="3"/>
  <c r="X13" i="3"/>
  <c r="B13" i="3"/>
  <c r="CF12" i="3"/>
  <c r="CH12" i="3" s="1"/>
  <c r="BQ12" i="3"/>
  <c r="X12" i="3"/>
  <c r="B12" i="3"/>
  <c r="CF11" i="3"/>
  <c r="CH11" i="3" s="1"/>
  <c r="BQ11" i="3"/>
  <c r="X11" i="3"/>
  <c r="B11" i="3"/>
  <c r="CF10" i="3"/>
  <c r="CH10" i="3" s="1"/>
  <c r="BQ10" i="3"/>
  <c r="X10" i="3"/>
  <c r="B10" i="3"/>
  <c r="CI9" i="3"/>
  <c r="CF9" i="3"/>
  <c r="CG9" i="3" s="1"/>
  <c r="BQ9" i="3"/>
  <c r="X9" i="3"/>
  <c r="B9" i="3"/>
  <c r="CI8" i="3"/>
  <c r="CF8" i="3"/>
  <c r="CG8" i="3" s="1"/>
  <c r="BQ8" i="3"/>
  <c r="X8" i="3"/>
  <c r="B8" i="3"/>
  <c r="CI7" i="3"/>
  <c r="CF7" i="3"/>
  <c r="CG7" i="3" s="1"/>
  <c r="BQ7" i="3"/>
  <c r="X7" i="3"/>
  <c r="B7" i="3"/>
  <c r="CI6" i="3"/>
  <c r="CF6" i="3"/>
  <c r="CH6" i="3" s="1"/>
  <c r="BQ6" i="3"/>
  <c r="X6" i="3"/>
  <c r="B6" i="3"/>
  <c r="CI5" i="3"/>
  <c r="CF5" i="3"/>
  <c r="CH5" i="3" s="1"/>
  <c r="B5" i="3"/>
  <c r="CI4" i="3"/>
  <c r="CF4" i="3"/>
  <c r="CH4" i="3" s="1"/>
  <c r="B4" i="3"/>
  <c r="B3" i="3"/>
  <c r="DM10" i="3" l="1"/>
  <c r="DM7" i="3"/>
  <c r="E54" i="6"/>
  <c r="N21" i="6"/>
  <c r="L22" i="6"/>
  <c r="D54" i="6"/>
  <c r="C54" i="6"/>
  <c r="L42" i="6"/>
  <c r="G54" i="6"/>
  <c r="J64" i="6" s="1"/>
  <c r="J127" i="6" s="1"/>
  <c r="F54" i="6"/>
  <c r="L23" i="6"/>
  <c r="DM9" i="3"/>
  <c r="DN11" i="3"/>
  <c r="DN9" i="3"/>
  <c r="DN8" i="3"/>
  <c r="CG18" i="3"/>
  <c r="CH9" i="3"/>
  <c r="CH15" i="3"/>
  <c r="CH19" i="3"/>
  <c r="CG17" i="3"/>
  <c r="CH7" i="3"/>
  <c r="CG5" i="3"/>
  <c r="CH16" i="3"/>
  <c r="CH8" i="3"/>
  <c r="CG6" i="3"/>
  <c r="CG4" i="3"/>
  <c r="L147" i="6" l="1"/>
  <c r="L113" i="6"/>
  <c r="L94" i="6"/>
  <c r="E116" i="6"/>
  <c r="E109" i="6"/>
  <c r="L105" i="6"/>
  <c r="L41" i="6"/>
  <c r="A3" i="5"/>
  <c r="B3" i="5" s="1" a="1"/>
  <c r="B3" i="5" s="1"/>
  <c r="J86" i="6"/>
  <c r="J168" i="6" s="1"/>
  <c r="L148" i="6" l="1"/>
  <c r="L190" i="6" s="1"/>
  <c r="L189" i="6"/>
  <c r="L100" i="6"/>
  <c r="J63" i="6"/>
  <c r="J126" i="6" s="1"/>
  <c r="J125" i="6" s="1"/>
  <c r="J130" i="6" s="1"/>
  <c r="L160" i="6" s="1"/>
  <c r="K168" i="6"/>
  <c r="J85" i="6"/>
  <c r="J167" i="6" s="1"/>
  <c r="J166" i="6" s="1"/>
  <c r="K86" i="6"/>
  <c r="K64" i="6"/>
  <c r="C3" i="5" a="1"/>
  <c r="C3" i="5" s="1"/>
  <c r="J174" i="6" l="1"/>
  <c r="L202" i="6"/>
  <c r="L203" i="6" s="1"/>
  <c r="L205" i="6" s="1"/>
  <c r="M205" i="6" s="1"/>
  <c r="K167" i="6"/>
  <c r="K166" i="6" s="1"/>
  <c r="K174" i="6" s="1"/>
  <c r="L178" i="6" s="1"/>
  <c r="L181" i="6" s="1"/>
  <c r="L195" i="6" s="1"/>
  <c r="K126" i="6"/>
  <c r="K85" i="6"/>
  <c r="K91" i="6" s="1"/>
  <c r="G97" i="6" s="1"/>
  <c r="J84" i="6"/>
  <c r="J62" i="6"/>
  <c r="J66" i="6"/>
  <c r="K63" i="6"/>
  <c r="J91" i="6" l="1"/>
  <c r="L117" i="6"/>
  <c r="L118" i="6" s="1"/>
  <c r="L120" i="6" s="1"/>
  <c r="M120" i="6" s="1"/>
  <c r="L179" i="6"/>
  <c r="L78" i="6"/>
  <c r="L80" i="6" s="1"/>
  <c r="M80" i="6" s="1"/>
  <c r="L96" i="6"/>
  <c r="L98" i="6"/>
  <c r="L97" i="6"/>
  <c r="K84" i="6"/>
  <c r="K62" i="6"/>
  <c r="K66" i="6"/>
  <c r="L185" i="6" l="1"/>
  <c r="L187" i="6" s="1"/>
  <c r="M187" i="6" s="1"/>
  <c r="L196" i="6"/>
  <c r="M196" i="6" s="1"/>
  <c r="L183" i="6"/>
  <c r="L71" i="6"/>
  <c r="L74" i="6" s="1"/>
  <c r="L76" i="6" s="1"/>
  <c r="G135" i="6"/>
  <c r="D101" i="6"/>
  <c r="G98" i="6"/>
  <c r="G96" i="6"/>
  <c r="E110" i="6" s="1"/>
  <c r="L72" i="6"/>
  <c r="M183" i="6" l="1"/>
  <c r="I191" i="6"/>
  <c r="L191" i="6" s="1"/>
  <c r="L192" i="6" s="1"/>
  <c r="M192" i="6" s="1"/>
  <c r="E102" i="6"/>
  <c r="E103" i="6" s="1"/>
  <c r="L103" i="6" s="1"/>
  <c r="L104" i="6" s="1"/>
  <c r="L106" i="6" s="1"/>
  <c r="L110" i="6"/>
  <c r="L111" i="6" s="1"/>
  <c r="M76" i="6"/>
  <c r="M106" i="6" l="1"/>
  <c r="L114" i="6"/>
  <c r="M114" i="6" s="1"/>
  <c r="K127" i="6" l="1"/>
  <c r="K125" i="6" s="1"/>
  <c r="K130" i="6" s="1"/>
  <c r="L162" i="6"/>
  <c r="M162" i="6" s="1"/>
  <c r="L136" i="6" l="1"/>
  <c r="L139" i="6" s="1"/>
  <c r="L137" i="6"/>
  <c r="L143" i="6" l="1"/>
  <c r="L145" i="6" s="1"/>
  <c r="M145" i="6" s="1"/>
  <c r="L208" i="6"/>
  <c r="L212" i="6" s="1"/>
  <c r="L213" i="6" s="1"/>
  <c r="L141" i="6"/>
  <c r="I149" i="6" s="1"/>
  <c r="L149" i="6" s="1"/>
  <c r="L150" i="6" s="1"/>
  <c r="M150" i="6" s="1"/>
  <c r="L153" i="6"/>
  <c r="L154" i="6" s="1"/>
  <c r="M154" i="6" s="1"/>
  <c r="M14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H6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- TCVN không đề cập
- EC = 26 (BTCT ướt)
- EC = 25 (BTCT khô)
</t>
        </r>
      </text>
    </comment>
    <comment ref="J65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EN 1991-1-6, Giá trị = 1.5
</t>
        </r>
      </text>
    </comment>
    <comment ref="L69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Đơn giản hóa bải toán nên sử dụng sơ đồ dầm đơn giản
</t>
        </r>
      </text>
    </comment>
    <comment ref="L1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Toàn
Tính trên 1 đơn vị bs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6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Toàn
EN 1994-1-1, Clause 9.8.2(5), Nên sử dụng sơ đồ tính là dầm theo thực tế
</t>
        </r>
      </text>
    </comment>
    <comment ref="L133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Đơn giản hóa bải toán nên sử dụng sơ đồ dầm đơn giản
</t>
        </r>
      </text>
    </comment>
    <comment ref="L176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Đơn giản hóa bải toán nên sử dụng sơ đồ dầm đơn giản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<sst xmlns="http://schemas.openxmlformats.org/spreadsheetml/2006/main" count="625" uniqueCount="350">
  <si>
    <t>A. THÔNG TIN THIẾT KẾ</t>
  </si>
  <si>
    <t>MPa</t>
  </si>
  <si>
    <t>mm</t>
  </si>
  <si>
    <t>t =</t>
  </si>
  <si>
    <t>Độ dày sau mạ</t>
  </si>
  <si>
    <t>Độ dày tinh</t>
  </si>
  <si>
    <t>Khổ tôn nguyên liệu</t>
  </si>
  <si>
    <t>Khổ tôn hữu dụng</t>
  </si>
  <si>
    <t>Trọng lượng sau mạ</t>
  </si>
  <si>
    <t>Độ bền kéo</t>
  </si>
  <si>
    <t xml:space="preserve">Giới hạn đàn hồi </t>
  </si>
  <si>
    <t>Moment quán tính</t>
  </si>
  <si>
    <t>Moment chống uốn</t>
  </si>
  <si>
    <t>Khoảng cách từ trọng tâm đến mép dưới tôn</t>
  </si>
  <si>
    <t>Diện tích hữu hiệu</t>
  </si>
  <si>
    <t>Bề rộng trung bình của sóng tôn</t>
  </si>
  <si>
    <t>(mm)</t>
  </si>
  <si>
    <t>(Kg/m)</t>
  </si>
  <si>
    <t>(Mpa)</t>
  </si>
  <si>
    <r>
      <t>(mm</t>
    </r>
    <r>
      <rPr>
        <vertAlign val="superscript"/>
        <sz val="12"/>
        <rFont val="Times New Roman"/>
        <family val="1"/>
      </rPr>
      <t>4</t>
    </r>
    <r>
      <rPr>
        <sz val="12"/>
        <rFont val="Times New Roman"/>
        <family val="1"/>
      </rPr>
      <t>/m)</t>
    </r>
  </si>
  <si>
    <r>
      <t>(mm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>/m)</t>
    </r>
  </si>
  <si>
    <r>
      <t>(mm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</t>
    </r>
  </si>
  <si>
    <t>Loại tôn</t>
  </si>
  <si>
    <t>H50W1000</t>
  </si>
  <si>
    <t>Comflor 46</t>
  </si>
  <si>
    <t>Comflor 51</t>
  </si>
  <si>
    <t>TCVN 2737:2023 Tải trọng và tác động</t>
  </si>
  <si>
    <t>TCVN 5574:2018 Thiết kế kết cấu bê tông và bê tông cốt thép</t>
  </si>
  <si>
    <t>Tiêu chuẩn thiết kế:</t>
  </si>
  <si>
    <t>L =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</si>
  <si>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</si>
  <si>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</si>
  <si>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</si>
  <si>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</si>
  <si>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</si>
  <si>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</si>
  <si>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</si>
  <si>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</si>
  <si>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</si>
  <si>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</si>
  <si>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</si>
  <si>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</si>
  <si>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</si>
  <si>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</si>
  <si>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</si>
  <si>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</si>
  <si>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</si>
  <si>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</si>
  <si>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</si>
  <si>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</si>
  <si>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</si>
  <si>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</si>
  <si>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</si>
  <si>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</si>
  <si>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</si>
  <si>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t>B. QUY TRÌNH THIẾT KẾ</t>
  </si>
  <si>
    <r>
      <t>kN/m</t>
    </r>
    <r>
      <rPr>
        <vertAlign val="superscript"/>
        <sz val="10"/>
        <rFont val="Calibri"/>
        <family val="2"/>
        <scheme val="minor"/>
      </rPr>
      <t>2</t>
    </r>
  </si>
  <si>
    <t>kNm/m</t>
  </si>
  <si>
    <t>kN</t>
  </si>
  <si>
    <t>kN/m</t>
  </si>
  <si>
    <t>®</t>
  </si>
  <si>
    <t>kNm</t>
  </si>
  <si>
    <t>k =</t>
  </si>
  <si>
    <t>Tấm tôn tựa đơn giản trên hai gối</t>
  </si>
  <si>
    <t>Tấm tôn liên tục ba nhịp bằng nhau (3 gối)</t>
  </si>
  <si>
    <t>Tấm tôn liên tục hai nhịp bằng nhau</t>
  </si>
  <si>
    <t>Tĩnh tải</t>
  </si>
  <si>
    <t>1. Trọng lượng bản BTCT</t>
  </si>
  <si>
    <t>2. Trọng lượng tôn sóng</t>
  </si>
  <si>
    <t>3. Lớp hoàn thiện</t>
  </si>
  <si>
    <t>4. Tải tường quy đổi phân bố đều</t>
  </si>
  <si>
    <t>5. Tải thiết bị</t>
  </si>
  <si>
    <t>Hoạt tải</t>
  </si>
  <si>
    <t>Tổng tải</t>
  </si>
  <si>
    <t>Loại tải</t>
  </si>
  <si>
    <t>Đơn vị</t>
  </si>
  <si>
    <t>Tấm tôn liên tục</t>
  </si>
  <si>
    <t>k</t>
  </si>
  <si>
    <t>M-</t>
  </si>
  <si>
    <t>M+</t>
  </si>
  <si>
    <t>V</t>
  </si>
  <si>
    <t>fck</t>
  </si>
  <si>
    <t>CB300-T</t>
  </si>
  <si>
    <t>k1</t>
  </si>
  <si>
    <t>k2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</si>
  <si>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</si>
  <si>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</si>
  <si>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</si>
  <si>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</si>
  <si>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</si>
  <si>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</si>
  <si>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</si>
  <si>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</si>
  <si>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r>
      <t>E</t>
    </r>
    <r>
      <rPr>
        <vertAlign val="subscript"/>
        <sz val="10"/>
        <color theme="0"/>
        <rFont val="Arial"/>
        <family val="2"/>
      </rPr>
      <t>b</t>
    </r>
  </si>
  <si>
    <t>EC</t>
  </si>
  <si>
    <t>Tên</t>
  </si>
  <si>
    <t>Mpa</t>
  </si>
  <si>
    <t>fu</t>
  </si>
  <si>
    <t>A</t>
  </si>
  <si>
    <t>B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</si>
  <si>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</si>
  <si>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</si>
  <si>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</si>
  <si>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</si>
  <si>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</si>
  <si>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</si>
  <si>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</si>
  <si>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</si>
  <si>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</si>
  <si>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</si>
  <si>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Q235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</si>
  <si>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</si>
  <si>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</si>
  <si>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</si>
  <si>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</si>
  <si>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</si>
  <si>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</si>
  <si>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</si>
  <si>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</si>
  <si>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</si>
  <si>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</si>
  <si>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</si>
  <si>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</si>
  <si>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</si>
  <si>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</si>
  <si>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</si>
  <si>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Q345</t>
  </si>
  <si>
    <t>E51</t>
  </si>
  <si>
    <t>CI</t>
  </si>
  <si>
    <t>A36</t>
  </si>
  <si>
    <t>N42</t>
  </si>
  <si>
    <t>CII</t>
  </si>
  <si>
    <t>A572 gr.50</t>
  </si>
  <si>
    <t>N46</t>
  </si>
  <si>
    <t>C12/15</t>
  </si>
  <si>
    <t>CIII</t>
  </si>
  <si>
    <r>
      <t xml:space="preserve">S235 </t>
    </r>
    <r>
      <rPr>
        <sz val="10"/>
        <color theme="1"/>
        <rFont val="Calibri"/>
        <family val="2"/>
      </rPr>
      <t>≤ 16</t>
    </r>
  </si>
  <si>
    <t>N50</t>
  </si>
  <si>
    <t>C16/20</t>
  </si>
  <si>
    <t>AI</t>
  </si>
  <si>
    <r>
      <t xml:space="preserve">S235 </t>
    </r>
    <r>
      <rPr>
        <sz val="10"/>
        <color theme="1"/>
        <rFont val="Calibri"/>
        <family val="2"/>
      </rPr>
      <t>≤ 40</t>
    </r>
  </si>
  <si>
    <t>C20/25</t>
  </si>
  <si>
    <t>AII</t>
  </si>
  <si>
    <r>
      <t xml:space="preserve">S235 </t>
    </r>
    <r>
      <rPr>
        <sz val="10"/>
        <color theme="1"/>
        <rFont val="Calibri"/>
        <family val="2"/>
      </rPr>
      <t>≤ 63</t>
    </r>
  </si>
  <si>
    <t>C25/30</t>
  </si>
  <si>
    <t>AIII</t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</si>
  <si>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</si>
  <si>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t>C28/35</t>
  </si>
  <si>
    <t>CB240-T</t>
  </si>
  <si>
    <r>
      <t xml:space="preserve">S235 </t>
    </r>
    <r>
      <rPr>
        <sz val="10"/>
        <color theme="1"/>
        <rFont val="Calibri"/>
        <family val="2"/>
      </rPr>
      <t>≤ 100</t>
    </r>
  </si>
  <si>
    <t>C32/40</t>
  </si>
  <si>
    <t>S275 ≤ 16</t>
  </si>
  <si>
    <t>C35/45</t>
  </si>
  <si>
    <t>CB300-V</t>
  </si>
  <si>
    <t>S275 ≤ 40</t>
  </si>
  <si>
    <t>C40/50</t>
  </si>
  <si>
    <t>CB400-V</t>
  </si>
  <si>
    <t>S275 ≤ 63</t>
  </si>
  <si>
    <t>C45/55</t>
  </si>
  <si>
    <t>CB500-V</t>
  </si>
  <si>
    <t>S275 ≤ 80</t>
  </si>
  <si>
    <t>C50/60</t>
  </si>
  <si>
    <t>SR235</t>
  </si>
  <si>
    <t>S275 ≤ 100</t>
  </si>
  <si>
    <t>SR295</t>
  </si>
  <si>
    <t>S355 ≤ 16</t>
  </si>
  <si>
    <t>SD295</t>
  </si>
  <si>
    <t>S355 ≤ 40</t>
  </si>
  <si>
    <t>SD390</t>
  </si>
  <si>
    <t>S355 ≤ 63</t>
  </si>
  <si>
    <t>SD490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</si>
  <si>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</si>
  <si>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</si>
  <si>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</si>
  <si>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</si>
  <si>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</si>
  <si>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</si>
  <si>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</si>
  <si>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</si>
  <si>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</si>
  <si>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</si>
  <si>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r>
      <t>E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</si>
  <si>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hp</t>
  </si>
  <si>
    <t>e</t>
  </si>
  <si>
    <t>h =</t>
  </si>
  <si>
    <t>m</t>
  </si>
  <si>
    <t>Dầm đơn giản</t>
  </si>
  <si>
    <t>Dầm 2 nhịp</t>
  </si>
  <si>
    <t>Dầm liên tục</t>
  </si>
  <si>
    <r>
      <t>M</t>
    </r>
    <r>
      <rPr>
        <vertAlign val="superscript"/>
        <sz val="10"/>
        <rFont val="Calibri"/>
        <family val="2"/>
        <scheme val="minor"/>
      </rPr>
      <t>-</t>
    </r>
    <r>
      <rPr>
        <vertAlign val="subscript"/>
        <sz val="10"/>
        <rFont val="Calibri"/>
        <family val="2"/>
        <scheme val="minor"/>
      </rPr>
      <t>Ed</t>
    </r>
    <r>
      <rPr>
        <sz val="10"/>
        <rFont val="Calibri"/>
        <family val="2"/>
        <scheme val="minor"/>
      </rPr>
      <t xml:space="preserve"> =</t>
    </r>
  </si>
  <si>
    <r>
      <t>M</t>
    </r>
    <r>
      <rPr>
        <vertAlign val="superscript"/>
        <sz val="10"/>
        <rFont val="Calibri"/>
        <family val="2"/>
        <scheme val="minor"/>
      </rPr>
      <t>+</t>
    </r>
    <r>
      <rPr>
        <vertAlign val="subscript"/>
        <sz val="10"/>
        <rFont val="Calibri"/>
        <family val="2"/>
        <scheme val="minor"/>
      </rPr>
      <t>Ed</t>
    </r>
    <r>
      <rPr>
        <sz val="10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</si>
  <si>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rFont val="Calibri"/>
        <family val="2"/>
        <scheme val="minor"/>
      </rPr>
      <t>Ed</t>
    </r>
    <r>
      <rPr>
        <sz val="10"/>
        <rFont val="Calibri"/>
        <family val="2"/>
        <scheme val="minor"/>
      </rPr>
      <t xml:space="preserve"> =</t>
    </r>
  </si>
  <si>
    <r>
      <t>*q</t>
    </r>
    <r>
      <rPr>
        <vertAlign val="subscript"/>
        <sz val="10"/>
        <rFont val="Calibri"/>
        <family val="2"/>
        <scheme val="minor"/>
      </rPr>
      <t>uls</t>
    </r>
    <r>
      <rPr>
        <sz val="10"/>
        <rFont val="Calibri"/>
        <family val="2"/>
        <scheme val="minor"/>
      </rPr>
      <t>L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=</t>
    </r>
  </si>
  <si>
    <r>
      <t>*q</t>
    </r>
    <r>
      <rPr>
        <vertAlign val="subscript"/>
        <sz val="10"/>
        <rFont val="Calibri"/>
        <family val="2"/>
        <scheme val="minor"/>
      </rPr>
      <t>uls</t>
    </r>
    <r>
      <rPr>
        <sz val="10"/>
        <rFont val="Calibri"/>
        <family val="2"/>
        <scheme val="minor"/>
      </rPr>
      <t>L =</t>
    </r>
  </si>
  <si>
    <t>1. Vật liệu</t>
  </si>
  <si>
    <t>Shape</t>
  </si>
  <si>
    <t>Open trough profile</t>
  </si>
  <si>
    <t>Re-entrant trough profile</t>
  </si>
  <si>
    <t>h=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</si>
  <si>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</si>
  <si>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yp,k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</si>
  <si>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yp,d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</si>
  <si>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/m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</si>
  <si>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>/m</t>
    </r>
  </si>
  <si>
    <r>
      <t>E</t>
    </r>
    <r>
      <rPr>
        <vertAlign val="subscript"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 xml:space="preserve"> =</t>
    </r>
  </si>
  <si>
    <r>
      <t>kN/m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</si>
  <si>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</si>
  <si>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</si>
  <si>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</si>
  <si>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r>
      <t>d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</si>
  <si>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</si>
  <si>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User1</t>
  </si>
  <si>
    <r>
      <t>b</t>
    </r>
    <r>
      <rPr>
        <vertAlign val="subscript"/>
        <sz val="12"/>
        <rFont val="Times New Roman"/>
        <family val="1"/>
      </rPr>
      <t>b</t>
    </r>
  </si>
  <si>
    <r>
      <t>b</t>
    </r>
    <r>
      <rPr>
        <vertAlign val="subscript"/>
        <sz val="12"/>
        <rFont val="Times New Roman"/>
        <family val="1"/>
      </rPr>
      <t>s</t>
    </r>
  </si>
  <si>
    <r>
      <t>b</t>
    </r>
    <r>
      <rPr>
        <vertAlign val="subscript"/>
        <sz val="12"/>
        <rFont val="Times New Roman"/>
        <family val="1"/>
      </rPr>
      <t>r</t>
    </r>
  </si>
  <si>
    <r>
      <t>b</t>
    </r>
    <r>
      <rPr>
        <vertAlign val="subscript"/>
        <sz val="12"/>
        <rFont val="Times New Roman"/>
        <family val="1"/>
      </rPr>
      <t>o</t>
    </r>
  </si>
  <si>
    <t>User2</t>
  </si>
  <si>
    <t>Nhà ở</t>
  </si>
  <si>
    <t>Công năng</t>
  </si>
  <si>
    <t>Văn phòng</t>
  </si>
  <si>
    <t>Đám đông</t>
  </si>
  <si>
    <t>Mua bán</t>
  </si>
  <si>
    <t>Kho</t>
  </si>
  <si>
    <t>Xe cộ &lt;= 30 kN</t>
  </si>
  <si>
    <t>Xe cộ &gt; 30 kN</t>
  </si>
  <si>
    <t>Mái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</si>
  <si>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</si>
  <si>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</si>
  <si>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t>E =</t>
  </si>
  <si>
    <t>d. Thép tấm</t>
  </si>
  <si>
    <t>e. Đinh chống cắt</t>
  </si>
  <si>
    <t>d =</t>
  </si>
  <si>
    <t>2. Tiết diện sàn deck</t>
  </si>
  <si>
    <r>
      <t>L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</si>
  <si>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</si>
  <si>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</si>
  <si>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</si>
  <si>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</si>
  <si>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</si>
  <si>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Đặc trưng hình học dầm I</t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</si>
  <si>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</si>
  <si>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</si>
  <si>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</si>
  <si>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</si>
  <si>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</si>
  <si>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t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</si>
  <si>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Đặc trưng hình học deck</t>
  </si>
  <si>
    <r>
      <t>b</t>
    </r>
    <r>
      <rPr>
        <vertAlign val="subscript"/>
        <sz val="10"/>
        <color theme="1"/>
        <rFont val="Calibri"/>
        <family val="2"/>
        <scheme val="minor"/>
      </rPr>
      <t>b</t>
    </r>
  </si>
  <si>
    <r>
      <t>b</t>
    </r>
    <r>
      <rPr>
        <vertAlign val="subscript"/>
        <sz val="10"/>
        <color theme="1"/>
        <rFont val="Calibri"/>
        <family val="2"/>
        <scheme val="minor"/>
      </rPr>
      <t>s</t>
    </r>
  </si>
  <si>
    <r>
      <t>g</t>
    </r>
    <r>
      <rPr>
        <vertAlign val="subscript"/>
        <sz val="10"/>
        <color theme="1"/>
        <rFont val="Calibri"/>
        <family val="2"/>
        <scheme val="minor"/>
      </rPr>
      <t>p</t>
    </r>
  </si>
  <si>
    <r>
      <t>I</t>
    </r>
    <r>
      <rPr>
        <vertAlign val="subscript"/>
        <sz val="10"/>
        <color theme="1"/>
        <rFont val="Calibri"/>
        <family val="2"/>
        <scheme val="minor"/>
      </rPr>
      <t>p</t>
    </r>
  </si>
  <si>
    <r>
      <t>W</t>
    </r>
    <r>
      <rPr>
        <vertAlign val="subscript"/>
        <sz val="10"/>
        <color theme="1"/>
        <rFont val="Calibri"/>
        <family val="2"/>
        <scheme val="minor"/>
      </rPr>
      <t>p</t>
    </r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</si>
  <si>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</si>
  <si>
    <t>N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</si>
  <si>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</si>
  <si>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</si>
  <si>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t>Loại hoạt tải</t>
  </si>
  <si>
    <r>
      <t>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</si>
  <si>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t>Trạng thái TTGH II</t>
  </si>
  <si>
    <t>Trạng thái TTGH I</t>
  </si>
  <si>
    <r>
      <t>E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</si>
  <si>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</si>
  <si>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s</t>
    </r>
    <r>
      <rPr>
        <sz val="10"/>
        <rFont val="Calibri"/>
        <family val="2"/>
        <scheme val="minor"/>
      </rPr>
      <t xml:space="preserve"> = M/W =</t>
    </r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</si>
  <si>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</si>
  <si>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>=</t>
    </r>
  </si>
  <si>
    <t>1. Tính toán sàn trong giai đoạn thi công</t>
  </si>
  <si>
    <t>2. Tính toán sàn trong giai đoạn sử dụng</t>
  </si>
  <si>
    <t>B =</t>
  </si>
  <si>
    <r>
      <t>*q</t>
    </r>
    <r>
      <rPr>
        <vertAlign val="subscript"/>
        <sz val="10"/>
        <rFont val="Calibri"/>
        <family val="2"/>
        <scheme val="minor"/>
      </rPr>
      <t>uls*</t>
    </r>
    <r>
      <rPr>
        <sz val="10"/>
        <rFont val="Calibri"/>
        <family val="2"/>
        <scheme val="minor"/>
      </rPr>
      <t>BL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=</t>
    </r>
  </si>
  <si>
    <r>
      <t>*q</t>
    </r>
    <r>
      <rPr>
        <vertAlign val="subscript"/>
        <sz val="10"/>
        <rFont val="Calibri"/>
        <family val="2"/>
        <scheme val="minor"/>
      </rPr>
      <t>uls</t>
    </r>
    <r>
      <rPr>
        <sz val="10"/>
        <rFont val="Calibri"/>
        <family val="2"/>
        <scheme val="minor"/>
      </rPr>
      <t>*BL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=</t>
    </r>
  </si>
  <si>
    <r>
      <t>*q</t>
    </r>
    <r>
      <rPr>
        <vertAlign val="subscript"/>
        <sz val="10"/>
        <rFont val="Calibri"/>
        <family val="2"/>
        <scheme val="minor"/>
      </rPr>
      <t>uls</t>
    </r>
    <r>
      <rPr>
        <sz val="10"/>
        <rFont val="Calibri"/>
        <family val="2"/>
        <scheme val="minor"/>
      </rPr>
      <t>*BL =</t>
    </r>
  </si>
  <si>
    <r>
      <t>*q</t>
    </r>
    <r>
      <rPr>
        <vertAlign val="subscript"/>
        <sz val="10"/>
        <rFont val="Calibri"/>
        <family val="2"/>
        <scheme val="minor"/>
      </rPr>
      <t>sls</t>
    </r>
    <r>
      <rPr>
        <sz val="10"/>
        <rFont val="Calibri"/>
        <family val="2"/>
        <scheme val="minor"/>
      </rPr>
      <t>*BL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=</t>
    </r>
  </si>
  <si>
    <r>
      <t>*q</t>
    </r>
    <r>
      <rPr>
        <vertAlign val="subscript"/>
        <sz val="10"/>
        <rFont val="Calibri"/>
        <family val="2"/>
        <scheme val="minor"/>
      </rPr>
      <t>sls</t>
    </r>
    <r>
      <rPr>
        <sz val="10"/>
        <rFont val="Calibri"/>
        <family val="2"/>
        <scheme val="minor"/>
      </rPr>
      <t>*BL =</t>
    </r>
  </si>
  <si>
    <r>
      <t>M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 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.B.h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.(h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-0.5h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 =</t>
    </r>
  </si>
  <si>
    <t>b =</t>
  </si>
  <si>
    <r>
      <rPr>
        <sz val="10"/>
        <color theme="1"/>
        <rFont val="Symbol"/>
        <family val="1"/>
        <charset val="2"/>
      </rPr>
      <t xml:space="preserve"> 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</si>
  <si>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</si>
  <si>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 xml:space="preserve"> x</t>
    </r>
    <r>
      <rPr>
        <sz val="10"/>
        <color theme="1"/>
        <rFont val="Calibri"/>
        <family val="2"/>
        <scheme val="minor"/>
      </rPr>
      <t xml:space="preserve"> =</t>
    </r>
  </si>
  <si>
    <r>
      <t>cm</t>
    </r>
    <r>
      <rPr>
        <vertAlign val="superscript"/>
        <sz val="10"/>
        <rFont val="Calibri"/>
        <family val="2"/>
        <scheme val="minor"/>
      </rPr>
      <t>2</t>
    </r>
  </si>
  <si>
    <r>
      <t>A</t>
    </r>
    <r>
      <rPr>
        <vertAlign val="subscript"/>
        <sz val="10"/>
        <color theme="1"/>
        <rFont val="Calibri"/>
        <family val="2"/>
        <scheme val="minor"/>
      </rPr>
      <t>s,prv</t>
    </r>
    <r>
      <rPr>
        <sz val="10"/>
        <color theme="1"/>
        <rFont val="Calibri"/>
        <family val="2"/>
        <scheme val="minor"/>
      </rPr>
      <t xml:space="preserve"> =</t>
    </r>
  </si>
  <si>
    <t>User3</t>
  </si>
  <si>
    <t>4. Hệ số tin cậy :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</si>
  <si>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=k.q.L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/(EI) =</t>
    </r>
  </si>
  <si>
    <t>Tiêu chuẩn</t>
  </si>
  <si>
    <t>Tính toán</t>
  </si>
  <si>
    <r>
      <t>g</t>
    </r>
    <r>
      <rPr>
        <vertAlign val="subscript"/>
        <sz val="10"/>
        <color theme="1"/>
        <rFont val="Calibri"/>
        <family val="2"/>
        <scheme val="minor"/>
      </rPr>
      <t>f</t>
    </r>
  </si>
  <si>
    <r>
      <t>g</t>
    </r>
    <r>
      <rPr>
        <vertAlign val="subscript"/>
        <sz val="10"/>
        <color theme="1"/>
        <rFont val="Calibri"/>
        <family val="2"/>
        <scheme val="minor"/>
      </rPr>
      <t>w</t>
    </r>
  </si>
  <si>
    <t>1. Trọng lượng bê tông ướt</t>
  </si>
  <si>
    <t>-</t>
  </si>
  <si>
    <t>User4</t>
  </si>
  <si>
    <t>Chiều cao sóng
hp</t>
  </si>
  <si>
    <t>3. Tiết diện dầm thép</t>
  </si>
  <si>
    <t>Y</t>
  </si>
  <si>
    <t>3. Trọng lượng dầm</t>
  </si>
  <si>
    <t>4. Tính toán dầm trong giai đoạn sử dụng</t>
  </si>
  <si>
    <t>6. Trọng lượng dầm</t>
  </si>
  <si>
    <r>
      <t xml:space="preserve"> </t>
    </r>
    <r>
      <rPr>
        <sz val="10"/>
        <rFont val="Symbol"/>
        <family val="1"/>
        <charset val="2"/>
      </rPr>
      <t xml:space="preserve"> t</t>
    </r>
    <r>
      <rPr>
        <sz val="14.5"/>
        <rFont val="Calibri"/>
        <family val="1"/>
        <charset val="2"/>
      </rPr>
      <t xml:space="preserve"> </t>
    </r>
    <r>
      <rPr>
        <sz val="10"/>
        <rFont val="Calibri"/>
        <family val="1"/>
        <charset val="2"/>
        <scheme val="minor"/>
      </rPr>
      <t>= (V</t>
    </r>
    <r>
      <rPr>
        <vertAlign val="subscript"/>
        <sz val="10"/>
        <rFont val="Calibri"/>
        <family val="2"/>
        <scheme val="minor"/>
      </rPr>
      <t>max</t>
    </r>
    <r>
      <rPr>
        <sz val="10"/>
        <rFont val="Calibri"/>
        <family val="1"/>
        <charset val="2"/>
        <scheme val="minor"/>
      </rPr>
      <t>S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Calibri"/>
        <family val="1"/>
        <charset val="2"/>
        <scheme val="minor"/>
      </rPr>
      <t>)/(I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Calibri"/>
        <family val="1"/>
        <charset val="2"/>
        <scheme val="minor"/>
      </rPr>
      <t>.t</t>
    </r>
    <r>
      <rPr>
        <vertAlign val="subscript"/>
        <sz val="10"/>
        <rFont val="Calibri"/>
        <family val="2"/>
        <scheme val="minor"/>
      </rPr>
      <t>w</t>
    </r>
    <r>
      <rPr>
        <sz val="10"/>
        <rFont val="Calibri"/>
        <family val="1"/>
        <charset val="2"/>
        <scheme val="minor"/>
      </rPr>
      <t>) =</t>
    </r>
  </si>
  <si>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</si>
  <si>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</si>
  <si>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t xml:space="preserve"> </t>
  </si>
  <si>
    <t xml:space="preserve">                </t>
  </si>
  <si>
    <t>L /</t>
  </si>
  <si>
    <r>
      <t>[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]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</si>
  <si>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qu,uf</t>
    </r>
    <r>
      <rPr>
        <sz val="10"/>
        <color theme="1"/>
        <rFont val="Calibri"/>
        <family val="2"/>
        <scheme val="minor"/>
      </rPr>
      <t xml:space="preserve"> =0.5(f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</si>
  <si>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/ 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 xml:space="preserve">qu,uf </t>
    </r>
    <r>
      <rPr>
        <sz val="10"/>
        <color theme="1"/>
        <rFont val="Calibri"/>
        <family val="1"/>
        <charset val="2"/>
        <scheme val="minor"/>
      </rPr>
      <t>=</t>
    </r>
  </si>
  <si>
    <t>c.3 Kiểm tra điều kiện ổn định cục bộ bản cánh nén dầm chữ I (Mục 8.5.18)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</si>
  <si>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Calibri"/>
        <family val="1"/>
        <charset val="2"/>
        <scheme val="minor"/>
      </rPr>
      <t>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</si>
  <si>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=(h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/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 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</si>
  <si>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  <scheme val="minor"/>
      </rPr>
      <t>Độ mảnh giới hạn</t>
    </r>
    <r>
      <rPr>
        <sz val="10"/>
        <color theme="1"/>
        <rFont val="Symbol"/>
        <family val="1"/>
        <charset val="2"/>
      </rPr>
      <t xml:space="preserve"> 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 =</t>
    </r>
  </si>
  <si>
    <t>Kết luận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</si>
  <si>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qu,w</t>
    </r>
    <r>
      <rPr>
        <sz val="10"/>
        <color theme="1"/>
        <rFont val="Calibri"/>
        <family val="2"/>
        <scheme val="minor"/>
      </rPr>
      <t xml:space="preserve"> </t>
    </r>
  </si>
  <si>
    <r>
      <rPr>
        <sz val="10"/>
        <color theme="1"/>
        <rFont val="Symbol"/>
        <family val="1"/>
        <charset val="2"/>
      </rPr>
      <t>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</t>
    </r>
    <r>
      <rPr>
        <sz val="10"/>
        <color theme="1"/>
        <rFont val="Calibri"/>
        <family val="1"/>
        <charset val="2"/>
        <scheme val="minor"/>
      </rPr>
      <t xml:space="preserve"> </t>
    </r>
    <r>
      <rPr>
        <sz val="10"/>
        <color theme="1"/>
        <rFont val="Symbol"/>
        <family val="1"/>
        <charset val="2"/>
      </rPr>
      <t>®</t>
    </r>
  </si>
  <si>
    <t>c.4 Kiểm tra điều kiện ổn định bản bụng dầm chữ I (Mục 8.5.9)</t>
  </si>
  <si>
    <t>3. Tính toán dầm thép trong giai đoạn thi công</t>
  </si>
  <si>
    <t>c.3 Kiểm tra điều kiện ổn định tổng thể</t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</si>
  <si>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</si>
  <si>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</si>
  <si>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</si>
  <si>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=</t>
    </r>
  </si>
  <si>
    <t>c.4 Kiểm tra điều kiện ổn định cục bộ bản cánh nén dầm chữ I (Mục 8.5.18)</t>
  </si>
  <si>
    <t>c.5 Kiểm tra điều kiện ổn định bản bụng dầm chữ I (Mục 8.5.9)</t>
  </si>
  <si>
    <t>H50W1000 - 0.75</t>
  </si>
  <si>
    <r>
      <t xml:space="preserve"> Neo chống cắt dùng để chống lại lực trượt T do ứng suất tiếp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  <scheme val="minor"/>
      </rPr>
      <t xml:space="preserve"> tại vị trí tiếp giáp giữa tấm đan BTCT và cánh dầm thép</t>
    </r>
  </si>
  <si>
    <r>
      <t>T = 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.S/I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.L=</t>
    </r>
  </si>
  <si>
    <r>
      <t>T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 A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</si>
  <si>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</si>
  <si>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t>n = T/T1 =</t>
  </si>
  <si>
    <r>
      <t>a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</t>
    </r>
  </si>
  <si>
    <t>TCVN 5575:2024 Thiết kế kết cấu thép</t>
  </si>
  <si>
    <t>h</t>
  </si>
  <si>
    <r>
      <t>g</t>
    </r>
    <r>
      <rPr>
        <vertAlign val="subscript"/>
        <sz val="10"/>
        <color rgb="FF7030A0"/>
        <rFont val="Calibri"/>
        <family val="2"/>
        <scheme val="minor"/>
      </rPr>
      <t>f</t>
    </r>
  </si>
  <si>
    <t>L</t>
  </si>
  <si>
    <t>Giới hạn</t>
  </si>
  <si>
    <t>Sàn</t>
  </si>
  <si>
    <t>Dầm</t>
  </si>
  <si>
    <t>L/</t>
  </si>
  <si>
    <r>
      <rPr>
        <sz val="10"/>
        <color theme="1"/>
        <rFont val="Symbol"/>
        <family val="1"/>
        <charset val="2"/>
      </rPr>
      <t>[D]</t>
    </r>
    <r>
      <rPr>
        <sz val="10"/>
        <color theme="1"/>
        <rFont val="Calibri"/>
        <family val="2"/>
        <scheme val="minor"/>
      </rPr>
      <t>=</t>
    </r>
  </si>
  <si>
    <t>Bảng tra độ võng giới hạn</t>
  </si>
  <si>
    <t>Mục 2a</t>
  </si>
  <si>
    <t>Mục 2d (Bãi đổ xe)</t>
  </si>
  <si>
    <t>(TCVN k đề cập)</t>
  </si>
  <si>
    <r>
      <rPr>
        <sz val="10"/>
        <color theme="1"/>
        <rFont val="Symbol"/>
        <family val="1"/>
        <charset val="2"/>
      </rPr>
      <t>h</t>
    </r>
    <r>
      <rPr>
        <sz val="10"/>
        <color theme="1"/>
        <rFont val="Calibri"/>
        <family val="1"/>
        <charset val="2"/>
        <scheme val="minor"/>
      </rPr>
      <t xml:space="preserve"> =</t>
    </r>
  </si>
  <si>
    <t>q =</t>
  </si>
  <si>
    <t>Chiều cao tầng</t>
  </si>
  <si>
    <t>£ 6</t>
  </si>
  <si>
    <t>&gt; 6</t>
  </si>
  <si>
    <t>Xem xét bố trí cách nhịp</t>
  </si>
  <si>
    <t>Số nhịp</t>
  </si>
  <si>
    <t>Võng</t>
  </si>
  <si>
    <t>THIẾT KẾ DẦM SÀN DECK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</si>
</sst>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_(* #,##0_);_(* \(#,##0\);_(* &quot;-&quot;??_);_(@_)"/>
    <numFmt numFmtId="166" formatCode="0.000"/>
    <numFmt numFmtId="167" formatCode="0.0000"/>
    <numFmt numFmtId="168" formatCode="&quot;D&quot;0"/>
    <numFmt numFmtId="169" formatCode="&quot;a&quot;0"/>
    <numFmt numFmtId="170" formatCode="0.0E+00"/>
    <numFmt numFmtId="171" formatCode="&quot;-&quot;0"/>
    <numFmt numFmtId="172" formatCode="0.0&quot;mm&quot;"/>
    <numFmt numFmtId="173" formatCode="0.00000"/>
  </numFmts>
  <fonts count="5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vertAlign val="superscript"/>
      <sz val="12"/>
      <name val="Times New Roman"/>
      <family val="1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u/>
      <sz val="10"/>
      <color theme="1"/>
      <name val="Calibri"/>
      <family val="2"/>
      <scheme val="minor"/>
    </font>
    <font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b/>
      <sz val="11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rgb="FF0000FF"/>
      <name val="Arial"/>
      <family val="2"/>
    </font>
    <font>
      <sz val="10"/>
      <color theme="1"/>
      <name val="Calibri"/>
      <family val="2"/>
    </font>
    <font>
      <sz val="11"/>
      <color rgb="FF0000CC"/>
      <name val="Calibri"/>
      <family val="2"/>
      <scheme val="minor"/>
    </font>
    <font>
      <sz val="12"/>
      <color rgb="FF0000CC"/>
      <name val="Times New Roman"/>
      <family val="1"/>
    </font>
    <font>
      <b/>
      <sz val="10"/>
      <color rgb="FFFA7D00"/>
      <name val="Calibri"/>
      <family val="2"/>
      <scheme val="minor"/>
    </font>
    <font>
      <vertAlign val="subscript"/>
      <sz val="12"/>
      <name val="Times New Roman"/>
      <family val="1"/>
    </font>
    <font>
      <sz val="9"/>
      <color indexed="81"/>
      <name val="Tahoma"/>
      <family val="2"/>
    </font>
    <font>
      <sz val="10"/>
      <color theme="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charset val="2"/>
    </font>
    <font>
      <sz val="10"/>
      <name val="Symbol"/>
      <family val="1"/>
      <charset val="2"/>
    </font>
    <font>
      <sz val="10"/>
      <name val="Calibri"/>
      <family val="1"/>
      <charset val="2"/>
      <scheme val="minor"/>
    </font>
    <font>
      <vertAlign val="subscript"/>
      <sz val="10"/>
      <color theme="1"/>
      <name val="Calibri"/>
      <family val="2"/>
    </font>
    <font>
      <sz val="14.5"/>
      <name val="Calibri"/>
      <family val="1"/>
      <charset val="2"/>
    </font>
    <font>
      <sz val="10"/>
      <color theme="1"/>
      <name val="Calibri"/>
      <family val="2"/>
      <charset val="2"/>
      <scheme val="minor"/>
    </font>
    <font>
      <sz val="10"/>
      <color rgb="FF0000CC"/>
      <name val="Symbol"/>
      <family val="1"/>
      <charset val="2"/>
    </font>
    <font>
      <sz val="10"/>
      <color rgb="FF7030A0"/>
      <name val="Calibri"/>
      <family val="2"/>
      <scheme val="minor"/>
    </font>
    <font>
      <sz val="10"/>
      <color rgb="FF7030A0"/>
      <name val="Symbol"/>
      <family val="1"/>
      <charset val="2"/>
    </font>
    <font>
      <vertAlign val="subscript"/>
      <sz val="10"/>
      <color rgb="FF7030A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rgb="FF0000CC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7">
    <xf numFmtId="0" fontId="0" fillId="0" borderId="0"/>
    <xf numFmtId="0" fontId="15" fillId="0" borderId="0"/>
    <xf numFmtId="164" fontId="15" fillId="0" borderId="0" applyFont="0" applyFill="0" applyBorder="0" applyAlignment="0" applyProtection="0"/>
    <xf numFmtId="0" fontId="23" fillId="8" borderId="26" applyNumberFormat="0" applyAlignment="0" applyProtection="0"/>
    <xf numFmtId="0" fontId="29" fillId="0" borderId="0"/>
    <xf numFmtId="0" fontId="33" fillId="0" borderId="0"/>
    <xf numFmtId="0" fontId="33" fillId="0" borderId="0"/>
  </cellStyleXfs>
  <cellXfs count="283">
    <xf numFmtId="0" fontId="0" fillId="0" borderId="0" xfId="0"/>
    <xf numFmtId="0" fontId="1" fillId="0" borderId="0" xfId="0" applyFont="1"/>
    <xf numFmtId="0" fontId="1" fillId="4" borderId="9" xfId="0" applyFont="1" applyFill="1" applyBorder="1" applyAlignment="1">
      <alignment vertical="top"/>
    </xf>
    <xf numFmtId="0" fontId="4" fillId="4" borderId="10" xfId="0" applyFont="1" applyFill="1" applyBorder="1" applyAlignment="1">
      <alignment horizontal="left" indent="1"/>
    </xf>
    <xf numFmtId="0" fontId="8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0" fillId="0" borderId="11" xfId="0" applyBorder="1"/>
    <xf numFmtId="0" fontId="0" fillId="6" borderId="11" xfId="0" applyFill="1" applyBorder="1"/>
    <xf numFmtId="0" fontId="8" fillId="6" borderId="11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/>
    </xf>
    <xf numFmtId="2" fontId="8" fillId="6" borderId="11" xfId="0" applyNumberFormat="1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/>
    </xf>
    <xf numFmtId="2" fontId="8" fillId="3" borderId="11" xfId="0" applyNumberFormat="1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/>
    </xf>
    <xf numFmtId="2" fontId="8" fillId="7" borderId="11" xfId="0" applyNumberFormat="1" applyFont="1" applyFill="1" applyBorder="1" applyAlignment="1">
      <alignment horizontal="center"/>
    </xf>
    <xf numFmtId="0" fontId="11" fillId="4" borderId="10" xfId="0" applyFont="1" applyFill="1" applyBorder="1" applyAlignment="1">
      <alignment horizontal="left" vertical="center" indent="1"/>
    </xf>
    <xf numFmtId="0" fontId="6" fillId="4" borderId="1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16" fillId="0" borderId="17" xfId="1" applyFont="1" applyBorder="1" applyAlignment="1" applyProtection="1">
      <alignment horizontal="center" vertical="center"/>
      <protection hidden="1"/>
    </xf>
    <xf numFmtId="0" fontId="0" fillId="0" borderId="11" xfId="0" applyBorder="1" applyAlignment="1">
      <alignment horizontal="center" vertical="center"/>
    </xf>
    <xf numFmtId="165" fontId="17" fillId="0" borderId="11" xfId="2" applyNumberFormat="1" applyFont="1" applyBorder="1" applyAlignment="1" applyProtection="1">
      <alignment horizontal="center" vertical="center"/>
      <protection hidden="1"/>
    </xf>
    <xf numFmtId="164" fontId="17" fillId="0" borderId="11" xfId="1" applyNumberFormat="1" applyFont="1" applyBorder="1" applyAlignment="1" applyProtection="1">
      <alignment horizontal="center" vertical="center"/>
      <protection hidden="1"/>
    </xf>
    <xf numFmtId="2" fontId="17" fillId="0" borderId="11" xfId="1" applyNumberFormat="1" applyFont="1" applyBorder="1" applyAlignment="1" applyProtection="1">
      <alignment horizontal="center" vertical="center"/>
      <protection hidden="1"/>
    </xf>
    <xf numFmtId="0" fontId="16" fillId="0" borderId="18" xfId="1" applyFont="1" applyBorder="1" applyAlignment="1" applyProtection="1">
      <alignment horizontal="center" vertical="center"/>
      <protection hidden="1"/>
    </xf>
    <xf numFmtId="0" fontId="0" fillId="0" borderId="19" xfId="0" applyBorder="1" applyAlignment="1">
      <alignment horizontal="center" vertical="center"/>
    </xf>
    <xf numFmtId="165" fontId="17" fillId="0" borderId="19" xfId="2" applyNumberFormat="1" applyFont="1" applyBorder="1" applyAlignment="1" applyProtection="1">
      <alignment horizontal="center" vertical="center"/>
      <protection hidden="1"/>
    </xf>
    <xf numFmtId="164" fontId="17" fillId="0" borderId="19" xfId="1" applyNumberFormat="1" applyFont="1" applyBorder="1" applyAlignment="1" applyProtection="1">
      <alignment horizontal="center" vertical="center"/>
      <protection hidden="1"/>
    </xf>
    <xf numFmtId="2" fontId="17" fillId="0" borderId="19" xfId="1" applyNumberFormat="1" applyFont="1" applyBorder="1" applyAlignment="1" applyProtection="1">
      <alignment horizontal="center" vertical="center"/>
      <protection hidden="1"/>
    </xf>
    <xf numFmtId="0" fontId="18" fillId="4" borderId="10" xfId="0" applyFont="1" applyFill="1" applyBorder="1" applyAlignment="1">
      <alignment horizontal="left" vertical="top" indent="3"/>
    </xf>
    <xf numFmtId="0" fontId="6" fillId="4" borderId="11" xfId="0" applyFont="1" applyFill="1" applyBorder="1" applyAlignment="1">
      <alignment horizontal="center" vertical="center"/>
    </xf>
    <xf numFmtId="0" fontId="19" fillId="4" borderId="1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top"/>
    </xf>
    <xf numFmtId="0" fontId="10" fillId="4" borderId="2" xfId="0" applyFont="1" applyFill="1" applyBorder="1" applyAlignment="1">
      <alignment horizontal="center" vertical="center"/>
    </xf>
    <xf numFmtId="0" fontId="1" fillId="4" borderId="2" xfId="0" applyFont="1" applyFill="1" applyBorder="1"/>
    <xf numFmtId="0" fontId="6" fillId="4" borderId="2" xfId="0" applyFont="1" applyFill="1" applyBorder="1" applyAlignment="1">
      <alignment horizontal="right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left" vertical="center"/>
    </xf>
    <xf numFmtId="0" fontId="1" fillId="4" borderId="10" xfId="0" applyFont="1" applyFill="1" applyBorder="1"/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top"/>
    </xf>
    <xf numFmtId="0" fontId="1" fillId="4" borderId="10" xfId="0" applyFont="1" applyFill="1" applyBorder="1" applyAlignment="1">
      <alignment horizontal="center" vertical="center"/>
    </xf>
    <xf numFmtId="2" fontId="6" fillId="4" borderId="15" xfId="0" applyNumberFormat="1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top"/>
    </xf>
    <xf numFmtId="0" fontId="10" fillId="4" borderId="25" xfId="0" applyFont="1" applyFill="1" applyBorder="1" applyAlignment="1">
      <alignment horizontal="center" vertical="center"/>
    </xf>
    <xf numFmtId="0" fontId="1" fillId="4" borderId="25" xfId="0" applyFont="1" applyFill="1" applyBorder="1"/>
    <xf numFmtId="0" fontId="6" fillId="4" borderId="25" xfId="0" applyFont="1" applyFill="1" applyBorder="1" applyAlignment="1">
      <alignment horizontal="right" vertical="center"/>
    </xf>
    <xf numFmtId="0" fontId="6" fillId="4" borderId="25" xfId="0" applyFont="1" applyFill="1" applyBorder="1" applyAlignment="1">
      <alignment horizontal="center" vertical="center"/>
    </xf>
    <xf numFmtId="2" fontId="6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" fillId="4" borderId="10" xfId="0" applyFont="1" applyFill="1" applyBorder="1" applyAlignment="1">
      <alignment horizontal="left" vertical="top" indent="3"/>
    </xf>
    <xf numFmtId="0" fontId="1" fillId="0" borderId="11" xfId="0" applyFont="1" applyBorder="1" applyAlignment="1">
      <alignment horizontal="center" vertical="center"/>
    </xf>
    <xf numFmtId="167" fontId="1" fillId="0" borderId="11" xfId="0" applyNumberFormat="1" applyFont="1" applyBorder="1" applyAlignment="1">
      <alignment horizontal="right" vertical="center"/>
    </xf>
    <xf numFmtId="166" fontId="1" fillId="0" borderId="11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center"/>
    </xf>
    <xf numFmtId="0" fontId="24" fillId="9" borderId="28" xfId="0" applyFont="1" applyFill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1" fillId="10" borderId="0" xfId="0" applyFont="1" applyFill="1"/>
    <xf numFmtId="0" fontId="24" fillId="9" borderId="0" xfId="0" applyFont="1" applyFill="1" applyAlignment="1">
      <alignment horizontal="center" wrapText="1"/>
    </xf>
    <xf numFmtId="0" fontId="24" fillId="9" borderId="0" xfId="0" applyFont="1" applyFill="1" applyAlignment="1">
      <alignment horizontal="center" vertical="center" wrapText="1"/>
    </xf>
    <xf numFmtId="0" fontId="26" fillId="9" borderId="11" xfId="1" applyFont="1" applyFill="1" applyBorder="1" applyAlignment="1">
      <alignment horizontal="center" vertical="center" wrapText="1"/>
    </xf>
    <xf numFmtId="0" fontId="30" fillId="11" borderId="11" xfId="4" applyFont="1" applyFill="1" applyBorder="1" applyAlignment="1">
      <alignment horizontal="center" vertical="center"/>
    </xf>
    <xf numFmtId="0" fontId="31" fillId="11" borderId="11" xfId="0" applyFont="1" applyFill="1" applyBorder="1" applyAlignment="1">
      <alignment horizontal="center" vertical="center"/>
    </xf>
    <xf numFmtId="0" fontId="31" fillId="11" borderId="11" xfId="0" applyFont="1" applyFill="1" applyBorder="1" applyAlignment="1">
      <alignment vertical="center"/>
    </xf>
    <xf numFmtId="0" fontId="30" fillId="11" borderId="20" xfId="5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right" vertical="center"/>
    </xf>
    <xf numFmtId="0" fontId="1" fillId="4" borderId="28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vertical="center"/>
    </xf>
    <xf numFmtId="0" fontId="36" fillId="4" borderId="11" xfId="0" applyFont="1" applyFill="1" applyBorder="1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26" fillId="9" borderId="11" xfId="1" applyFont="1" applyFill="1" applyBorder="1" applyAlignment="1">
      <alignment vertical="center"/>
    </xf>
    <xf numFmtId="0" fontId="30" fillId="11" borderId="20" xfId="4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/>
    </xf>
    <xf numFmtId="1" fontId="1" fillId="4" borderId="11" xfId="0" applyNumberFormat="1" applyFont="1" applyFill="1" applyBorder="1" applyAlignment="1">
      <alignment horizontal="center" vertical="center"/>
    </xf>
    <xf numFmtId="0" fontId="37" fillId="4" borderId="11" xfId="4" applyFont="1" applyFill="1" applyBorder="1" applyAlignment="1">
      <alignment horizontal="left" vertical="center"/>
    </xf>
    <xf numFmtId="0" fontId="37" fillId="4" borderId="11" xfId="4" applyFont="1" applyFill="1" applyBorder="1" applyAlignment="1">
      <alignment horizontal="center" vertical="center"/>
    </xf>
    <xf numFmtId="0" fontId="37" fillId="4" borderId="20" xfId="4" applyFont="1" applyFill="1" applyBorder="1" applyAlignment="1">
      <alignment horizontal="left" vertical="center"/>
    </xf>
    <xf numFmtId="0" fontId="16" fillId="0" borderId="36" xfId="1" applyFont="1" applyBorder="1" applyAlignment="1" applyProtection="1">
      <alignment horizontal="center" vertical="center"/>
      <protection hidden="1"/>
    </xf>
    <xf numFmtId="0" fontId="0" fillId="0" borderId="16" xfId="0" applyBorder="1" applyAlignment="1">
      <alignment horizontal="center" vertical="center"/>
    </xf>
    <xf numFmtId="165" fontId="17" fillId="0" borderId="16" xfId="2" applyNumberFormat="1" applyFont="1" applyBorder="1" applyAlignment="1" applyProtection="1">
      <alignment horizontal="center" vertical="center"/>
      <protection hidden="1"/>
    </xf>
    <xf numFmtId="164" fontId="17" fillId="0" borderId="16" xfId="1" applyNumberFormat="1" applyFont="1" applyBorder="1" applyAlignment="1" applyProtection="1">
      <alignment horizontal="center" vertical="center"/>
      <protection hidden="1"/>
    </xf>
    <xf numFmtId="2" fontId="17" fillId="0" borderId="16" xfId="1" applyNumberFormat="1" applyFont="1" applyBorder="1" applyAlignment="1" applyProtection="1">
      <alignment horizontal="center" vertical="center"/>
      <protection hidden="1"/>
    </xf>
    <xf numFmtId="2" fontId="17" fillId="0" borderId="12" xfId="1" applyNumberFormat="1" applyFont="1" applyBorder="1" applyAlignment="1" applyProtection="1">
      <alignment horizontal="center" vertical="center"/>
      <protection hidden="1"/>
    </xf>
    <xf numFmtId="0" fontId="1" fillId="0" borderId="11" xfId="0" applyFont="1" applyBorder="1"/>
    <xf numFmtId="2" fontId="17" fillId="0" borderId="20" xfId="1" applyNumberFormat="1" applyFont="1" applyBorder="1" applyAlignment="1" applyProtection="1">
      <alignment horizontal="center" vertical="center"/>
      <protection hidden="1"/>
    </xf>
    <xf numFmtId="0" fontId="37" fillId="4" borderId="20" xfId="5" applyFont="1" applyFill="1" applyBorder="1" applyAlignment="1">
      <alignment horizontal="left" vertical="center"/>
    </xf>
    <xf numFmtId="2" fontId="17" fillId="0" borderId="37" xfId="1" applyNumberFormat="1" applyFont="1" applyBorder="1" applyAlignment="1" applyProtection="1">
      <alignment horizontal="center" vertical="center"/>
      <protection hidden="1"/>
    </xf>
    <xf numFmtId="0" fontId="37" fillId="4" borderId="20" xfId="6" applyFont="1" applyFill="1" applyBorder="1" applyAlignment="1">
      <alignment horizontal="left" vertical="center"/>
    </xf>
    <xf numFmtId="1" fontId="17" fillId="4" borderId="11" xfId="5" applyNumberFormat="1" applyFont="1" applyFill="1" applyBorder="1" applyAlignment="1">
      <alignment vertical="center"/>
    </xf>
    <xf numFmtId="1" fontId="17" fillId="4" borderId="11" xfId="5" applyNumberFormat="1" applyFont="1" applyFill="1" applyBorder="1" applyAlignment="1">
      <alignment horizontal="center" vertical="center"/>
    </xf>
    <xf numFmtId="0" fontId="17" fillId="4" borderId="11" xfId="5" applyFont="1" applyFill="1" applyBorder="1" applyAlignment="1">
      <alignment vertical="center"/>
    </xf>
    <xf numFmtId="0" fontId="17" fillId="4" borderId="20" xfId="5" applyFont="1" applyFill="1" applyBorder="1" applyAlignment="1">
      <alignment vertical="center"/>
    </xf>
    <xf numFmtId="0" fontId="17" fillId="4" borderId="11" xfId="5" applyFont="1" applyFill="1" applyBorder="1" applyAlignment="1">
      <alignment horizontal="center" vertical="center"/>
    </xf>
    <xf numFmtId="0" fontId="5" fillId="4" borderId="38" xfId="0" applyFont="1" applyFill="1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39" fillId="6" borderId="11" xfId="0" applyFont="1" applyFill="1" applyBorder="1"/>
    <xf numFmtId="0" fontId="39" fillId="7" borderId="11" xfId="0" applyFont="1" applyFill="1" applyBorder="1"/>
    <xf numFmtId="0" fontId="40" fillId="6" borderId="11" xfId="0" applyFont="1" applyFill="1" applyBorder="1" applyAlignment="1">
      <alignment horizontal="center"/>
    </xf>
    <xf numFmtId="0" fontId="40" fillId="3" borderId="11" xfId="0" applyFont="1" applyFill="1" applyBorder="1" applyAlignment="1">
      <alignment horizontal="center"/>
    </xf>
    <xf numFmtId="0" fontId="40" fillId="7" borderId="11" xfId="0" applyFont="1" applyFill="1" applyBorder="1" applyAlignment="1">
      <alignment horizontal="center"/>
    </xf>
    <xf numFmtId="0" fontId="40" fillId="6" borderId="11" xfId="0" applyFont="1" applyFill="1" applyBorder="1" applyAlignment="1">
      <alignment horizontal="center" vertical="center"/>
    </xf>
    <xf numFmtId="0" fontId="40" fillId="3" borderId="11" xfId="0" applyFont="1" applyFill="1" applyBorder="1" applyAlignment="1">
      <alignment horizontal="center" vertical="center"/>
    </xf>
    <xf numFmtId="1" fontId="40" fillId="7" borderId="11" xfId="0" applyNumberFormat="1" applyFont="1" applyFill="1" applyBorder="1" applyAlignment="1">
      <alignment horizontal="center" vertical="center"/>
    </xf>
    <xf numFmtId="164" fontId="40" fillId="6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6" fillId="4" borderId="14" xfId="0" applyNumberFormat="1" applyFont="1" applyFill="1" applyBorder="1" applyAlignment="1">
      <alignment horizontal="center" vertical="center"/>
    </xf>
    <xf numFmtId="2" fontId="10" fillId="4" borderId="11" xfId="0" applyNumberFormat="1" applyFont="1" applyFill="1" applyBorder="1" applyAlignment="1">
      <alignment horizontal="center" vertical="center"/>
    </xf>
    <xf numFmtId="0" fontId="5" fillId="0" borderId="11" xfId="0" applyFont="1" applyBorder="1"/>
    <xf numFmtId="0" fontId="5" fillId="0" borderId="11" xfId="0" applyFon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top"/>
    </xf>
    <xf numFmtId="0" fontId="1" fillId="4" borderId="9" xfId="0" applyFont="1" applyFill="1" applyBorder="1"/>
    <xf numFmtId="0" fontId="1" fillId="0" borderId="0" xfId="0" applyFont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8" fillId="4" borderId="10" xfId="0" applyFont="1" applyFill="1" applyBorder="1" applyAlignment="1">
      <alignment horizontal="left" vertical="top" indent="2"/>
    </xf>
    <xf numFmtId="0" fontId="1" fillId="4" borderId="10" xfId="0" applyFont="1" applyFill="1" applyBorder="1" applyAlignment="1">
      <alignment horizontal="left" vertical="center" indent="3"/>
    </xf>
    <xf numFmtId="0" fontId="1" fillId="4" borderId="11" xfId="0" applyFont="1" applyFill="1" applyBorder="1" applyAlignment="1">
      <alignment horizontal="center"/>
    </xf>
    <xf numFmtId="164" fontId="1" fillId="4" borderId="11" xfId="0" applyNumberFormat="1" applyFont="1" applyFill="1" applyBorder="1" applyAlignment="1">
      <alignment horizontal="center"/>
    </xf>
    <xf numFmtId="1" fontId="1" fillId="4" borderId="11" xfId="0" applyNumberFormat="1" applyFont="1" applyFill="1" applyBorder="1" applyAlignment="1">
      <alignment horizontal="center" vertical="top"/>
    </xf>
    <xf numFmtId="166" fontId="1" fillId="4" borderId="11" xfId="0" applyNumberFormat="1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0" borderId="10" xfId="0" applyFont="1" applyBorder="1"/>
    <xf numFmtId="0" fontId="1" fillId="0" borderId="9" xfId="0" applyFont="1" applyBorder="1"/>
    <xf numFmtId="164" fontId="1" fillId="0" borderId="0" xfId="0" applyNumberFormat="1" applyFont="1"/>
    <xf numFmtId="0" fontId="1" fillId="0" borderId="23" xfId="0" applyFont="1" applyBorder="1"/>
    <xf numFmtId="0" fontId="1" fillId="0" borderId="13" xfId="0" applyFont="1" applyBorder="1"/>
    <xf numFmtId="0" fontId="6" fillId="4" borderId="3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center" vertical="center"/>
    </xf>
    <xf numFmtId="0" fontId="1" fillId="4" borderId="0" xfId="0" applyFont="1" applyFill="1"/>
    <xf numFmtId="0" fontId="5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right"/>
    </xf>
    <xf numFmtId="1" fontId="1" fillId="4" borderId="0" xfId="0" applyNumberFormat="1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center"/>
    </xf>
    <xf numFmtId="0" fontId="5" fillId="4" borderId="0" xfId="0" applyFont="1" applyFill="1"/>
    <xf numFmtId="0" fontId="5" fillId="4" borderId="0" xfId="0" applyFont="1" applyFill="1" applyAlignment="1">
      <alignment horizontal="center"/>
    </xf>
    <xf numFmtId="166" fontId="1" fillId="4" borderId="0" xfId="0" applyNumberFormat="1" applyFont="1" applyFill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171" fontId="6" fillId="4" borderId="0" xfId="0" applyNumberFormat="1" applyFont="1" applyFill="1" applyAlignment="1">
      <alignment horizontal="center" vertical="center"/>
    </xf>
    <xf numFmtId="0" fontId="22" fillId="4" borderId="0" xfId="0" applyFont="1" applyFill="1" applyAlignment="1">
      <alignment horizontal="right"/>
    </xf>
    <xf numFmtId="0" fontId="6" fillId="4" borderId="1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right" vertical="center"/>
    </xf>
    <xf numFmtId="0" fontId="22" fillId="4" borderId="23" xfId="0" applyFont="1" applyFill="1" applyBorder="1" applyAlignment="1">
      <alignment horizontal="right"/>
    </xf>
    <xf numFmtId="0" fontId="1" fillId="4" borderId="23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left" vertical="center"/>
    </xf>
    <xf numFmtId="0" fontId="1" fillId="4" borderId="12" xfId="0" applyFont="1" applyFill="1" applyBorder="1"/>
    <xf numFmtId="0" fontId="1" fillId="4" borderId="23" xfId="0" applyFont="1" applyFill="1" applyBorder="1" applyAlignment="1">
      <alignment vertical="top"/>
    </xf>
    <xf numFmtId="0" fontId="1" fillId="4" borderId="23" xfId="0" applyFont="1" applyFill="1" applyBorder="1"/>
    <xf numFmtId="0" fontId="6" fillId="4" borderId="14" xfId="0" applyFont="1" applyFill="1" applyBorder="1" applyAlignment="1">
      <alignment horizontal="left" vertical="center"/>
    </xf>
    <xf numFmtId="0" fontId="6" fillId="4" borderId="38" xfId="0" applyFont="1" applyFill="1" applyBorder="1" applyAlignment="1">
      <alignment horizontal="left" vertical="center"/>
    </xf>
    <xf numFmtId="166" fontId="6" fillId="4" borderId="15" xfId="0" applyNumberFormat="1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0" fontId="1" fillId="4" borderId="39" xfId="0" applyFont="1" applyFill="1" applyBorder="1" applyAlignment="1">
      <alignment vertical="top"/>
    </xf>
    <xf numFmtId="0" fontId="10" fillId="4" borderId="40" xfId="0" applyFont="1" applyFill="1" applyBorder="1" applyAlignment="1">
      <alignment horizontal="center" vertical="center"/>
    </xf>
    <xf numFmtId="0" fontId="1" fillId="4" borderId="40" xfId="0" applyFont="1" applyFill="1" applyBorder="1"/>
    <xf numFmtId="0" fontId="6" fillId="4" borderId="40" xfId="0" applyFont="1" applyFill="1" applyBorder="1" applyAlignment="1">
      <alignment horizontal="right" vertical="center"/>
    </xf>
    <xf numFmtId="0" fontId="1" fillId="4" borderId="10" xfId="0" applyFont="1" applyFill="1" applyBorder="1" applyAlignment="1">
      <alignment horizontal="left" vertical="top" indent="2"/>
    </xf>
    <xf numFmtId="0" fontId="5" fillId="4" borderId="9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indent="1"/>
    </xf>
    <xf numFmtId="0" fontId="1" fillId="0" borderId="2" xfId="0" applyFont="1" applyBorder="1"/>
    <xf numFmtId="0" fontId="1" fillId="0" borderId="3" xfId="0" applyFont="1" applyBorder="1"/>
    <xf numFmtId="0" fontId="1" fillId="4" borderId="0" xfId="0" applyFont="1" applyFill="1" applyAlignment="1">
      <alignment horizontal="left" indent="1"/>
    </xf>
    <xf numFmtId="0" fontId="48" fillId="4" borderId="0" xfId="0" applyFont="1" applyFill="1" applyAlignment="1">
      <alignment horizontal="right" vertical="center"/>
    </xf>
    <xf numFmtId="164" fontId="6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top"/>
    </xf>
    <xf numFmtId="164" fontId="1" fillId="4" borderId="0" xfId="0" applyNumberFormat="1" applyFont="1" applyFill="1" applyAlignment="1">
      <alignment horizontal="center" vertical="center"/>
    </xf>
    <xf numFmtId="2" fontId="41" fillId="4" borderId="26" xfId="3" applyNumberFormat="1" applyFont="1" applyFill="1" applyAlignment="1">
      <alignment horizontal="center" vertical="center"/>
    </xf>
    <xf numFmtId="0" fontId="48" fillId="4" borderId="0" xfId="0" applyFont="1" applyFill="1" applyAlignment="1">
      <alignment horizontal="right"/>
    </xf>
    <xf numFmtId="0" fontId="38" fillId="4" borderId="0" xfId="0" applyFont="1" applyFill="1" applyAlignment="1">
      <alignment horizontal="right" vertical="top"/>
    </xf>
    <xf numFmtId="0" fontId="22" fillId="4" borderId="0" xfId="0" applyFont="1" applyFill="1" applyAlignment="1">
      <alignment horizontal="right" vertical="center"/>
    </xf>
    <xf numFmtId="2" fontId="1" fillId="4" borderId="0" xfId="0" applyNumberFormat="1" applyFont="1" applyFill="1" applyAlignment="1">
      <alignment horizontal="center" vertical="center"/>
    </xf>
    <xf numFmtId="0" fontId="1" fillId="4" borderId="9" xfId="0" applyFont="1" applyFill="1" applyBorder="1" applyAlignment="1">
      <alignment horizontal="left" vertical="center"/>
    </xf>
    <xf numFmtId="2" fontId="23" fillId="8" borderId="26" xfId="3" applyNumberFormat="1" applyAlignment="1">
      <alignment horizontal="center" vertical="center"/>
    </xf>
    <xf numFmtId="2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 vertical="top" indent="2"/>
    </xf>
    <xf numFmtId="0" fontId="1" fillId="4" borderId="0" xfId="0" applyFont="1" applyFill="1" applyAlignment="1">
      <alignment horizontal="right" vertical="top" indent="2"/>
    </xf>
    <xf numFmtId="0" fontId="51" fillId="4" borderId="0" xfId="0" applyFont="1" applyFill="1" applyAlignment="1">
      <alignment horizontal="right" vertical="center"/>
    </xf>
    <xf numFmtId="0" fontId="22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167" fontId="1" fillId="4" borderId="0" xfId="0" applyNumberFormat="1" applyFont="1" applyFill="1" applyAlignment="1">
      <alignment horizontal="center" vertical="center"/>
    </xf>
    <xf numFmtId="2" fontId="23" fillId="8" borderId="42" xfId="3" applyNumberFormat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left" vertical="center"/>
    </xf>
    <xf numFmtId="172" fontId="1" fillId="4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9" fillId="4" borderId="0" xfId="0" applyFont="1" applyFill="1" applyAlignment="1">
      <alignment vertical="top"/>
    </xf>
    <xf numFmtId="0" fontId="22" fillId="0" borderId="0" xfId="0" applyFont="1" applyAlignment="1">
      <alignment horizontal="right" vertical="center"/>
    </xf>
    <xf numFmtId="166" fontId="1" fillId="0" borderId="0" xfId="0" applyNumberFormat="1" applyFont="1" applyAlignment="1">
      <alignment horizontal="center" vertical="center"/>
    </xf>
    <xf numFmtId="0" fontId="46" fillId="4" borderId="0" xfId="0" applyFont="1" applyFill="1" applyAlignment="1">
      <alignment horizontal="right" vertical="center"/>
    </xf>
    <xf numFmtId="168" fontId="5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center" vertical="center"/>
    </xf>
    <xf numFmtId="1" fontId="23" fillId="8" borderId="26" xfId="3" applyNumberFormat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1" fontId="5" fillId="4" borderId="0" xfId="0" applyNumberFormat="1" applyFont="1" applyFill="1" applyAlignment="1">
      <alignment horizontal="left"/>
    </xf>
    <xf numFmtId="1" fontId="5" fillId="4" borderId="0" xfId="0" applyNumberFormat="1" applyFont="1" applyFill="1" applyAlignment="1">
      <alignment horizontal="left" vertical="center"/>
    </xf>
    <xf numFmtId="1" fontId="56" fillId="0" borderId="1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0" fontId="52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/>
    </xf>
    <xf numFmtId="167" fontId="1" fillId="4" borderId="0" xfId="0" applyNumberFormat="1" applyFont="1" applyFill="1" applyAlignment="1">
      <alignment vertical="top"/>
    </xf>
    <xf numFmtId="0" fontId="57" fillId="0" borderId="11" xfId="0" applyFont="1" applyBorder="1" applyAlignment="1">
      <alignment horizontal="center" vertical="center"/>
    </xf>
    <xf numFmtId="173" fontId="1" fillId="0" borderId="11" xfId="0" applyNumberFormat="1" applyFont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 wrapText="1"/>
    </xf>
    <xf numFmtId="0" fontId="8" fillId="5" borderId="15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 wrapText="1"/>
    </xf>
    <xf numFmtId="0" fontId="26" fillId="9" borderId="11" xfId="1" applyFont="1" applyFill="1" applyBorder="1" applyAlignment="1">
      <alignment horizontal="center" vertical="center" wrapText="1"/>
    </xf>
    <xf numFmtId="0" fontId="30" fillId="11" borderId="11" xfId="4" applyFont="1" applyFill="1" applyBorder="1" applyAlignment="1">
      <alignment horizontal="center" vertical="center"/>
    </xf>
    <xf numFmtId="0" fontId="26" fillId="9" borderId="14" xfId="1" applyFont="1" applyFill="1" applyBorder="1" applyAlignment="1">
      <alignment horizontal="center" vertical="center"/>
    </xf>
    <xf numFmtId="0" fontId="26" fillId="9" borderId="16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4" fillId="9" borderId="27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29" xfId="0" applyFont="1" applyFill="1" applyBorder="1" applyAlignment="1">
      <alignment horizontal="center" wrapText="1"/>
    </xf>
    <xf numFmtId="0" fontId="24" fillId="9" borderId="30" xfId="0" applyFont="1" applyFill="1" applyBorder="1" applyAlignment="1">
      <alignment horizontal="center" wrapText="1"/>
    </xf>
    <xf numFmtId="0" fontId="24" fillId="9" borderId="35" xfId="0" applyFont="1" applyFill="1" applyBorder="1" applyAlignment="1">
      <alignment horizontal="center" wrapText="1"/>
    </xf>
    <xf numFmtId="0" fontId="24" fillId="9" borderId="0" xfId="0" applyFont="1" applyFill="1" applyAlignment="1">
      <alignment horizontal="center" wrapText="1"/>
    </xf>
    <xf numFmtId="0" fontId="24" fillId="9" borderId="0" xfId="0" applyFont="1" applyFill="1" applyAlignment="1">
      <alignment horizontal="center" vertical="center" wrapText="1"/>
    </xf>
    <xf numFmtId="0" fontId="24" fillId="9" borderId="23" xfId="0" applyFont="1" applyFill="1" applyBorder="1" applyAlignment="1">
      <alignment horizontal="center" vertical="center" wrapText="1"/>
    </xf>
    <xf numFmtId="0" fontId="24" fillId="9" borderId="31" xfId="0" applyFont="1" applyFill="1" applyBorder="1" applyAlignment="1">
      <alignment horizontal="center"/>
    </xf>
    <xf numFmtId="0" fontId="24" fillId="9" borderId="32" xfId="0" applyFont="1" applyFill="1" applyBorder="1" applyAlignment="1">
      <alignment horizontal="center"/>
    </xf>
    <xf numFmtId="0" fontId="24" fillId="9" borderId="33" xfId="0" applyFont="1" applyFill="1" applyBorder="1" applyAlignment="1">
      <alignment horizontal="center"/>
    </xf>
    <xf numFmtId="0" fontId="26" fillId="9" borderId="11" xfId="1" applyFont="1" applyFill="1" applyBorder="1" applyAlignment="1">
      <alignment horizontal="center" vertical="center"/>
    </xf>
    <xf numFmtId="0" fontId="26" fillId="9" borderId="12" xfId="1" applyFont="1" applyFill="1" applyBorder="1" applyAlignment="1">
      <alignment horizontal="center" vertical="center" wrapText="1"/>
    </xf>
    <xf numFmtId="0" fontId="26" fillId="9" borderId="23" xfId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top"/>
    </xf>
    <xf numFmtId="0" fontId="1" fillId="4" borderId="9" xfId="0" applyFont="1" applyFill="1" applyBorder="1" applyAlignment="1">
      <alignment horizontal="center" vertical="top"/>
    </xf>
    <xf numFmtId="0" fontId="4" fillId="4" borderId="20" xfId="0" applyFont="1" applyFill="1" applyBorder="1" applyAlignment="1">
      <alignment horizontal="center" vertical="top"/>
    </xf>
    <xf numFmtId="0" fontId="4" fillId="4" borderId="21" xfId="0" applyFont="1" applyFill="1" applyBorder="1" applyAlignment="1">
      <alignment horizontal="center" vertical="top"/>
    </xf>
    <xf numFmtId="0" fontId="4" fillId="4" borderId="22" xfId="0" applyFont="1" applyFill="1" applyBorder="1" applyAlignment="1">
      <alignment horizontal="center" vertical="top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3" fillId="3" borderId="20" xfId="0" applyFont="1" applyFill="1" applyBorder="1" applyAlignment="1">
      <alignment horizontal="left" vertical="center"/>
    </xf>
    <xf numFmtId="0" fontId="3" fillId="3" borderId="21" xfId="0" applyFont="1" applyFill="1" applyBorder="1" applyAlignment="1">
      <alignment horizontal="left" vertical="center"/>
    </xf>
    <xf numFmtId="0" fontId="5" fillId="4" borderId="40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top"/>
    </xf>
    <xf numFmtId="0" fontId="1" fillId="4" borderId="21" xfId="0" applyFont="1" applyFill="1" applyBorder="1" applyAlignment="1">
      <alignment horizontal="center" vertical="top"/>
    </xf>
    <xf numFmtId="0" fontId="1" fillId="4" borderId="22" xfId="0" applyFont="1" applyFill="1" applyBorder="1" applyAlignment="1">
      <alignment horizontal="center" vertical="top"/>
    </xf>
    <xf numFmtId="0" fontId="5" fillId="4" borderId="41" xfId="0" applyFont="1" applyFill="1" applyBorder="1" applyAlignment="1">
      <alignment horizontal="right" vertical="center"/>
    </xf>
    <xf numFmtId="0" fontId="5" fillId="4" borderId="10" xfId="0" applyFont="1" applyFill="1" applyBorder="1" applyAlignment="1">
      <alignment horizontal="left" vertical="center" indent="3"/>
    </xf>
    <xf numFmtId="0" fontId="5" fillId="4" borderId="0" xfId="0" applyFont="1" applyFill="1" applyAlignment="1">
      <alignment horizontal="left" vertical="center" indent="3"/>
    </xf>
    <xf numFmtId="0" fontId="1" fillId="4" borderId="10" xfId="0" applyFont="1" applyFill="1" applyBorder="1" applyAlignment="1">
      <alignment horizontal="left" vertical="center" indent="3"/>
    </xf>
    <xf numFmtId="0" fontId="1" fillId="4" borderId="0" xfId="0" applyFont="1" applyFill="1" applyAlignment="1">
      <alignment horizontal="left" vertical="center" indent="3"/>
    </xf>
    <xf numFmtId="167" fontId="4" fillId="0" borderId="11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53" fillId="3" borderId="11" xfId="0" applyFont="1" applyFill="1" applyBorder="1" applyAlignment="1">
      <alignment horizontal="center" vertical="center" wrapText="1"/>
    </xf>
    <xf numFmtId="0" fontId="53" fillId="3" borderId="11" xfId="0" applyFont="1" applyFill="1" applyBorder="1" applyAlignment="1">
      <alignment horizontal="center" vertical="center"/>
    </xf>
    <xf numFmtId="0" fontId="54" fillId="3" borderId="11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</cellXfs>
  <cellStyles count="7">
    <cellStyle name="Calculation" xfId="3" builtinId="22"/>
    <cellStyle name="Comma 2" xfId="2" xr:uid="{00000000-0005-0000-0000-000001000000}"/>
    <cellStyle name="Normal" xfId="0" builtinId="0"/>
    <cellStyle name="Normal 2" xfId="5" xr:uid="{00000000-0005-0000-0000-000003000000}"/>
    <cellStyle name="Normal 2 2" xfId="6" xr:uid="{00000000-0005-0000-0000-000004000000}"/>
    <cellStyle name="Normal 5" xfId="1" xr:uid="{00000000-0005-0000-0000-000005000000}"/>
    <cellStyle name="Normal_Sheet3" xfId="4" xr:uid="{00000000-0005-0000-0000-000006000000}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127</xdr:col>
      <xdr:colOff>249115</xdr:colOff>
      <xdr:row>5</xdr:row>
      <xdr:rowOff>190500</xdr:rowOff>
    </xdr:from>
    <xdr:to>
      <xdr:col>134</xdr:col>
      <xdr:colOff>446942</xdr:colOff>
      <xdr:row>15</xdr:row>
      <xdr:rowOff>186103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CDE319-9294-432F-A22D-D1FF0229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94288"/>
          <a:ext cx="5667375" cy="1981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128</xdr:col>
      <xdr:colOff>476248</xdr:colOff>
      <xdr:row>17</xdr:row>
      <xdr:rowOff>190501</xdr:rowOff>
    </xdr:from>
    <xdr:to>
      <xdr:col>134</xdr:col>
      <xdr:colOff>395652</xdr:colOff>
      <xdr:row>26</xdr:row>
      <xdr:rowOff>77666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8A2FC-4712-4BA6-855C-F887D5226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14710" y="3582866"/>
          <a:ext cx="490537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104</xdr:col>
      <xdr:colOff>553884</xdr:colOff>
      <xdr:row>25</xdr:row>
      <xdr:rowOff>87365</xdr:rowOff>
    </xdr:from>
    <xdr:to>
      <xdr:col>113</xdr:col>
      <xdr:colOff>569583</xdr:colOff>
      <xdr:row>60</xdr:row>
      <xdr:rowOff>13936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321E34-A331-46A5-A5A9-28522BAD3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29813" y="5053972"/>
          <a:ext cx="6549221" cy="5641571"/>
        </a:xfrm>
        <a:prstGeom prst="rect">
          <a:avLst/>
        </a:prstGeom>
      </xdr:spPr>
    </xdr:pic>
    <xdr:clientData/>
  </xdr:twoCellAnchor>
  <xdr:twoCellAnchor editAs="oneCell">
    <xdr:from>
      <xdr:col>104</xdr:col>
      <xdr:colOff>457200</xdr:colOff>
      <xdr:row>61</xdr:row>
      <xdr:rowOff>9524</xdr:rowOff>
    </xdr:from>
    <xdr:to>
      <xdr:col>109</xdr:col>
      <xdr:colOff>481685</xdr:colOff>
      <xdr:row>76</xdr:row>
      <xdr:rowOff>86299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A00D35-4471-C822-2E0C-9FC35A6D3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00" y="10734674"/>
          <a:ext cx="3845475" cy="2505649"/>
        </a:xfrm>
        <a:prstGeom prst="rect">
          <a:avLst/>
        </a:prstGeom>
      </xdr:spPr>
    </xdr:pic>
    <xdr:clientData/>
  </xdr:twoCellAnchor>
  <xdr:twoCellAnchor editAs="oneCell">
    <xdr:from>
      <xdr:col>111</xdr:col>
      <xdr:colOff>247650</xdr:colOff>
      <xdr:row>60</xdr:row>
      <xdr:rowOff>92913</xdr:rowOff>
    </xdr:from>
    <xdr:to>
      <xdr:col>117</xdr:col>
      <xdr:colOff>432346</xdr:colOff>
      <xdr:row>76</xdr:row>
      <xdr:rowOff>105264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503C3A3-AB55-C7B2-143A-1728C9A37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031575" y="10656138"/>
          <a:ext cx="4220366" cy="2603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518945</xdr:colOff>
          <xdr:row>24</xdr:row>
          <xdr:rowOff>45983</xdr:rowOff>
        </xdr:from>
        <xdr:to>
          <xdr:col>9</xdr:col>
          <xdr:colOff>483440</xdr:colOff>
          <xdr:row>32</xdr:row>
          <xdr:rowOff>141232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035467-FFAB-4E95-801D-47D8ED712F4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Sheet" spid="_x0000_s11372"/>
                </a:ext>
              </a:extLst>
            </xdr:cNvPicPr>
          </xdr:nvPicPr>
          <xdr:blipFill rotWithShape="1"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rcRect l="8151" t="4687" r="12170" b="2415"/>
            <a:stretch>
              <a:fillRect/>
            </a:stretch>
          </xdr:blipFill>
          <xdr:spPr>
            <a:xfrm>
              <a:off x="2772100" y="3954517"/>
              <a:ext cx="2329323" cy="161924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92501</xdr:colOff>
          <xdr:row>12</xdr:row>
          <xdr:rowOff>82343</xdr:rowOff>
        </xdr:from>
        <xdr:to>
          <xdr:col>9</xdr:col>
          <xdr:colOff>263150</xdr:colOff>
          <xdr:row>19</xdr:row>
          <xdr:rowOff>136180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EA9E9CC4-9D28-4E35-93A3-BDCE8159E84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D" spid="_x0000_s11373"/>
                </a:ext>
              </a:extLst>
            </xdr:cNvPicPr>
          </xdr:nvPicPr>
          <xdr:blipFill rotWithShape="1">
            <a:blip xmlns:r="http://schemas.openxmlformats.org/officeDocument/2006/relationships" r:embed="rId2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rcRect l="9788" t="15737" r="11340" b="21388"/>
            <a:stretch>
              <a:fillRect/>
            </a:stretch>
          </xdr:blipFill>
          <xdr:spPr>
            <a:xfrm>
              <a:off x="2910587" y="2079309"/>
              <a:ext cx="1970546" cy="120340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227642</xdr:colOff>
          <xdr:row>207</xdr:row>
          <xdr:rowOff>112944</xdr:rowOff>
        </xdr:from>
        <xdr:to>
          <xdr:col>8</xdr:col>
          <xdr:colOff>356505</xdr:colOff>
          <xdr:row>213</xdr:row>
          <xdr:rowOff>52551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3B6C4927-26BC-419E-AE9E-3D85169DB9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ShearConnector" spid="_x0000_s11374"/>
                </a:ext>
              </a:extLst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rcRect l="11472" t="4687" r="12170" b="2415"/>
            <a:stretch>
              <a:fillRect/>
            </a:stretch>
          </xdr:blipFill>
          <xdr:spPr>
            <a:xfrm>
              <a:off x="3045728" y="34225582"/>
              <a:ext cx="1376967" cy="101034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>
    <xdr:from>
      <xdr:col>5</xdr:col>
      <xdr:colOff>334689</xdr:colOff>
      <xdr:row>37</xdr:row>
      <xdr:rowOff>50912</xdr:rowOff>
    </xdr:from>
    <xdr:to>
      <xdr:col>10</xdr:col>
      <xdr:colOff>153776</xdr:colOff>
      <xdr:row>42</xdr:row>
      <xdr:rowOff>35118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4AE5E1-746F-4743-9F70-FD4FD4DC501A}"/>
            </a:ext>
          </a:extLst>
        </xdr:cNvPr>
        <xdr:cNvGrpSpPr/>
      </xdr:nvGrpSpPr>
      <xdr:grpSpPr>
        <a:xfrm>
          <a:off x="2587844" y="5864446"/>
          <a:ext cx="2761984" cy="805327"/>
          <a:chOff x="2577703" y="7385106"/>
          <a:chExt cx="2734724" cy="84211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6A8E92C-45AF-D300-EA7F-67F300E587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 b="51960"/>
          <a:stretch/>
        </xdr:blipFill>
        <xdr:spPr>
          <a:xfrm>
            <a:off x="2577703" y="7385106"/>
            <a:ext cx="2734724" cy="842113"/>
          </a:xfrm>
          <a:prstGeom prst="rect">
            <a:avLst/>
          </a:prstGeom>
        </xdr:spPr>
      </xdr:pic>
      <xdr:sp macro="" textlink="N39">
        <xdr:nvSpPr>
          <xdr:cNvPr id="7" name="TextBox 6">
            <a:extLst>
              <a:ext uri="{FF2B5EF4-FFF2-40B4-BE49-F238E27FC236}">
                <a16:creationId xmlns:a16="http://schemas.microsoft.com/office/drawing/2014/main" id="{3EB3C4E8-6636-FE11-414D-EC4BA3D9EF07}"/>
              </a:ext>
            </a:extLst>
          </xdr:cNvPr>
          <xdr:cNvSpPr txBox="1"/>
        </xdr:nvSpPr>
        <xdr:spPr>
          <a:xfrm>
            <a:off x="3190875" y="7929562"/>
            <a:ext cx="408793" cy="2712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9967579-A19C-40C0-ADB5-09790E83F61A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L = 3</a:t>
            </a:fld>
            <a:endParaRPr lang="en-US" sz="1100"/>
          </a:p>
        </xdr:txBody>
      </xdr:sp>
      <xdr:sp macro="" textlink="N39">
        <xdr:nvSpPr>
          <xdr:cNvPr id="8" name="TextBox 7">
            <a:extLst>
              <a:ext uri="{FF2B5EF4-FFF2-40B4-BE49-F238E27FC236}">
                <a16:creationId xmlns:a16="http://schemas.microsoft.com/office/drawing/2014/main" id="{05618259-E26C-8401-139B-7F375BCD15BD}"/>
              </a:ext>
            </a:extLst>
          </xdr:cNvPr>
          <xdr:cNvSpPr txBox="1"/>
        </xdr:nvSpPr>
        <xdr:spPr>
          <a:xfrm>
            <a:off x="4208860" y="7911704"/>
            <a:ext cx="408793" cy="2712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A029D32-C6C7-4188-8C43-EF965E0C5326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L = 3</a:t>
            </a:fld>
            <a:endParaRPr lang="en-US" sz="1100"/>
          </a:p>
        </xdr:txBody>
      </xdr:sp>
    </xdr:grpSp>
    <xdr:clientData/>
  </xdr:twoCellAnchor>
  <xdr:twoCellAnchor>
    <xdr:from>
      <xdr:col>5</xdr:col>
      <xdr:colOff>262431</xdr:colOff>
      <xdr:row>44</xdr:row>
      <xdr:rowOff>156999</xdr:rowOff>
    </xdr:from>
    <xdr:to>
      <xdr:col>10</xdr:col>
      <xdr:colOff>81518</xdr:colOff>
      <xdr:row>48</xdr:row>
      <xdr:rowOff>147940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85C8654-610C-435E-AA88-9CBD2742E414}"/>
            </a:ext>
          </a:extLst>
        </xdr:cNvPr>
        <xdr:cNvGrpSpPr/>
      </xdr:nvGrpSpPr>
      <xdr:grpSpPr>
        <a:xfrm>
          <a:off x="2515586" y="7120102"/>
          <a:ext cx="2761984" cy="647838"/>
          <a:chOff x="2655094" y="9382125"/>
          <a:chExt cx="2734724" cy="675426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355B1B7-FAAF-722A-2B2C-8C7920178E0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t="61469"/>
          <a:stretch/>
        </xdr:blipFill>
        <xdr:spPr>
          <a:xfrm>
            <a:off x="2655094" y="9382125"/>
            <a:ext cx="2734724" cy="675426"/>
          </a:xfrm>
          <a:prstGeom prst="rect">
            <a:avLst/>
          </a:prstGeom>
        </xdr:spPr>
      </xdr:pic>
      <xdr:sp macro="" textlink="N46">
        <xdr:nvSpPr>
          <xdr:cNvPr id="11" name="TextBox 10">
            <a:extLst>
              <a:ext uri="{FF2B5EF4-FFF2-40B4-BE49-F238E27FC236}">
                <a16:creationId xmlns:a16="http://schemas.microsoft.com/office/drawing/2014/main" id="{8229191E-B8AF-0BCF-BB2D-60640A44AF93}"/>
              </a:ext>
            </a:extLst>
          </xdr:cNvPr>
          <xdr:cNvSpPr txBox="1"/>
        </xdr:nvSpPr>
        <xdr:spPr>
          <a:xfrm>
            <a:off x="3815953" y="9757172"/>
            <a:ext cx="408793" cy="2704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F9015F5-4228-43A4-B93E-8CB511582A5F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L = 6</a:t>
            </a:fld>
            <a:endParaRPr lang="en-US" sz="1100"/>
          </a:p>
        </xdr:txBody>
      </xdr:sp>
    </xdr:grpSp>
    <xdr:clientData/>
  </xdr:twoCellAnchor>
  <xdr:twoCellAnchor editAs="oneCell">
    <xdr:from>
      <xdr:col>7</xdr:col>
      <xdr:colOff>440120</xdr:colOff>
      <xdr:row>215</xdr:row>
      <xdr:rowOff>13137</xdr:rowOff>
    </xdr:from>
    <xdr:to>
      <xdr:col>14</xdr:col>
      <xdr:colOff>339165</xdr:colOff>
      <xdr:row>231</xdr:row>
      <xdr:rowOff>146828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88F3B50-F17F-A905-AB3C-9A7B63112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28241" y="35524965"/>
          <a:ext cx="3735321" cy="2787553"/>
        </a:xfrm>
        <a:prstGeom prst="rect">
          <a:avLst/>
        </a:prstGeom>
      </xdr:spPr>
    </xdr:pic>
    <xdr:clientData/>
  </xdr:twoCellAnchor>
  <xdr:twoCellAnchor editAs="oneCell">
    <xdr:from>
      <xdr:col>7</xdr:col>
      <xdr:colOff>446689</xdr:colOff>
      <xdr:row>232</xdr:row>
      <xdr:rowOff>72259</xdr:rowOff>
    </xdr:from>
    <xdr:to>
      <xdr:col>14</xdr:col>
      <xdr:colOff>400711</xdr:colOff>
      <xdr:row>236</xdr:row>
      <xdr:rowOff>75142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9E38DBE-D02C-717B-B563-8DF84E01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34810" y="38730621"/>
          <a:ext cx="3790298" cy="6597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495300</xdr:colOff>
      <xdr:row>0</xdr:row>
      <xdr:rowOff>138157</xdr:rowOff>
    </xdr:from>
    <xdr:to>
      <xdr:col>1</xdr:col>
      <xdr:colOff>3571875</xdr:colOff>
      <xdr:row>0</xdr:row>
      <xdr:rowOff>2382100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CA758-63FD-478B-8525-7EAF5958C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4900" y="138157"/>
          <a:ext cx="3076575" cy="2243943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</xdr:colOff>
      <xdr:row>1</xdr:row>
      <xdr:rowOff>152399</xdr:rowOff>
    </xdr:from>
    <xdr:to>
      <xdr:col>1</xdr:col>
      <xdr:colOff>3623310</xdr:colOff>
      <xdr:row>1</xdr:row>
      <xdr:rowOff>2392679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9FB2AB6-94D1-D274-1887-08B690F28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9175" y="2686049"/>
          <a:ext cx="3213735" cy="2240280"/>
        </a:xfrm>
        <a:prstGeom prst="rect">
          <a:avLst/>
        </a:prstGeom>
      </xdr:spPr>
    </xdr:pic>
    <xdr:clientData/>
  </xdr:twoCellAnchor>
  <xdr:oneCellAnchor>
    <xdr:from>
      <xdr:col>4</xdr:col>
      <xdr:colOff>400050</xdr:colOff>
      <xdr:row>0</xdr:row>
      <xdr:rowOff>2257425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CEDD5E9-0185-C5AC-94FB-20DF79C4B490}"/>
            </a:ext>
          </a:extLst>
        </xdr:cNvPr>
        <xdr:cNvSpPr txBox="1"/>
      </xdr:nvSpPr>
      <xdr:spPr>
        <a:xfrm>
          <a:off x="6391275" y="2257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3467719</xdr:colOff>
      <xdr:row>1</xdr:row>
      <xdr:rowOff>1056656</xdr:rowOff>
    </xdr:from>
    <xdr:ext cx="264560" cy="399148"/>
    <xdr:sp macro="" textlink="B4">
      <xdr:nvSpPr>
        <xdr:cNvPr id="6" name="TextBox 5">
          <a:extLst>
            <a:ext uri="{FF2B5EF4-FFF2-40B4-BE49-F238E27FC236}">
              <a16:creationId xmlns:a16="http://schemas.microsoft.com/office/drawing/2014/main" id="{C3CB9A7A-28BC-3651-0F68-3EB487F7576E}"/>
            </a:ext>
          </a:extLst>
        </xdr:cNvPr>
        <xdr:cNvSpPr txBox="1"/>
      </xdr:nvSpPr>
      <xdr:spPr>
        <a:xfrm rot="16200000">
          <a:off x="4010025" y="36576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6F650446-0CAD-4B97-8590-D1D810D12CED}" type="TxLink">
            <a:rPr lang="en-US" sz="1100" b="0" i="0" u="none" strike="noStrike">
              <a:solidFill>
                <a:srgbClr val="0000CC"/>
              </a:solidFill>
              <a:latin typeface="Calibri"/>
              <a:ea typeface="Calibri"/>
              <a:cs typeface="Calibri"/>
            </a:rPr>
            <a:pPr/>
            <a:t>101</a:t>
          </a:fld>
          <a:endParaRPr lang="en-US" sz="1100">
            <a:solidFill>
              <a:srgbClr val="0000CC"/>
            </a:solidFill>
          </a:endParaRPr>
        </a:p>
      </xdr:txBody>
    </xdr:sp>
    <xdr:clientData/>
  </xdr:oneCellAnchor>
  <xdr:oneCellAnchor>
    <xdr:from>
      <xdr:col>1</xdr:col>
      <xdr:colOff>3457575</xdr:colOff>
      <xdr:row>0</xdr:row>
      <xdr:rowOff>981075</xdr:rowOff>
    </xdr:from>
    <xdr:ext cx="264560" cy="399148"/>
    <xdr:sp macro="" textlink="B4">
      <xdr:nvSpPr>
        <xdr:cNvPr id="7" name="TextBox 6">
          <a:extLst>
            <a:ext uri="{FF2B5EF4-FFF2-40B4-BE49-F238E27FC236}">
              <a16:creationId xmlns:a16="http://schemas.microsoft.com/office/drawing/2014/main" id="{27477C6B-C24D-4AA5-8C95-8693F128754C}"/>
            </a:ext>
          </a:extLst>
        </xdr:cNvPr>
        <xdr:cNvSpPr txBox="1"/>
      </xdr:nvSpPr>
      <xdr:spPr>
        <a:xfrm rot="16200000">
          <a:off x="3999881" y="10483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6F650446-0CAD-4B97-8590-D1D810D12CED}" type="TxLink">
            <a:rPr lang="en-US" sz="1100" b="0" i="0" u="none" strike="noStrike">
              <a:solidFill>
                <a:srgbClr val="0000CC"/>
              </a:solidFill>
              <a:latin typeface="Calibri"/>
              <a:ea typeface="Calibri"/>
              <a:cs typeface="Calibri"/>
            </a:rPr>
            <a:pPr/>
            <a:t>101</a:t>
          </a:fld>
          <a:endParaRPr lang="en-US" sz="1100">
            <a:solidFill>
              <a:srgbClr val="0000CC"/>
            </a:solidFill>
          </a:endParaRPr>
        </a:p>
      </xdr:txBody>
    </xdr:sp>
    <xdr:clientData/>
  </xdr:oneCellAnchor>
  <xdr:twoCellAnchor editAs="oneCell">
    <xdr:from>
      <xdr:col>2</xdr:col>
      <xdr:colOff>495300</xdr:colOff>
      <xdr:row>0</xdr:row>
      <xdr:rowOff>590550</xdr:rowOff>
    </xdr:from>
    <xdr:to>
      <xdr:col>2</xdr:col>
      <xdr:colOff>2892136</xdr:colOff>
      <xdr:row>0</xdr:row>
      <xdr:rowOff>2038350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22F720A-DE60-411B-A3AC-F491C2C79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590550"/>
          <a:ext cx="2396836" cy="1447800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400051</xdr:colOff>
      <xdr:row>1</xdr:row>
      <xdr:rowOff>438150</xdr:rowOff>
    </xdr:from>
    <xdr:to>
      <xdr:col>2</xdr:col>
      <xdr:colOff>2971659</xdr:colOff>
      <xdr:row>1</xdr:row>
      <xdr:rowOff>1952625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3557AD2-A98A-C522-FF63-55506C81C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2076" y="2971800"/>
          <a:ext cx="2571608" cy="1514475"/>
        </a:xfrm>
        <a:prstGeom prst="rect">
          <a:avLst/>
        </a:prstGeom>
      </xdr:spPr>
    </xdr:pic>
    <xdr:clientData/>
  </xdr:twoCellAnchor>
  <xdr:twoCellAnchor editAs="oneCell">
    <xdr:from>
      <xdr:col>3</xdr:col>
      <xdr:colOff>504825</xdr:colOff>
      <xdr:row>1</xdr:row>
      <xdr:rowOff>247650</xdr:rowOff>
    </xdr:from>
    <xdr:to>
      <xdr:col>3</xdr:col>
      <xdr:colOff>2819557</xdr:colOff>
      <xdr:row>1</xdr:row>
      <xdr:rowOff>2324100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1716C46-70A5-C4DB-5426-BEA4728F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39175" y="2781300"/>
          <a:ext cx="2314732" cy="20764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209550</xdr:rowOff>
    </xdr:from>
    <xdr:to>
      <xdr:col>3</xdr:col>
      <xdr:colOff>2784714</xdr:colOff>
      <xdr:row>0</xdr:row>
      <xdr:rowOff>2276475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9233F4B-D98A-35AE-C6EC-19544B28A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24875" y="209550"/>
          <a:ext cx="2394189" cy="2066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EE29"/>
  <sheetViews>
    <sheetView showGridLines="0" topLeftCell="V1" zoomScale="130" zoomScaleNormal="130" zoomScaleSheetLayoutView="100" workbookViewId="0">
      <selection activeCell="DK25" sqref="DK25"/>
    </sheetView>
  </sheetViews>
  <sheetFormatPr defaultColWidth="7.28515625" defaultRowHeight="12.75"/>
  <cols>
    <col min="1" max="1" width="9.85546875" style="1" customWidth="1"/>
    <col min="2" max="4" width="7.28515625" style="1"/>
    <col min="5" max="9" width="0" style="1" hidden="1" customWidth="1"/>
    <col min="10" max="10" width="3.28515625" style="62" customWidth="1"/>
    <col min="11" max="15" width="7.28515625" style="1"/>
    <col min="16" max="20" width="0" style="1" hidden="1" customWidth="1"/>
    <col min="21" max="21" width="3.28515625" style="6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62" customWidth="1"/>
    <col min="48" max="50" width="7.28515625" style="1"/>
    <col min="51" max="51" width="3.28515625" style="62" customWidth="1"/>
    <col min="52" max="54" width="7.28515625" style="1"/>
    <col min="55" max="59" width="0" style="1" hidden="1" customWidth="1"/>
    <col min="60" max="60" width="3.28515625" style="62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62" customWidth="1"/>
    <col min="81" max="81" width="9.5703125" style="96" bestFit="1" customWidth="1"/>
    <col min="82" max="83" width="9.5703125" style="98" customWidth="1"/>
    <col min="84" max="85" width="5" style="96" bestFit="1" customWidth="1"/>
    <col min="86" max="86" width="5" style="96" customWidth="1"/>
    <col min="87" max="87" width="5" style="96" bestFit="1" customWidth="1"/>
    <col min="88" max="88" width="7" style="97" bestFit="1" customWidth="1"/>
    <col min="89" max="103" width="0" style="1" hidden="1" customWidth="1"/>
    <col min="104" max="104" width="3.28515625" style="62" customWidth="1"/>
    <col min="105" max="105" width="16.28515625" style="1" bestFit="1" customWidth="1"/>
    <col min="106" max="106" width="10.85546875" style="1" bestFit="1" customWidth="1"/>
    <col min="107" max="114" width="10" style="1" customWidth="1"/>
    <col min="115" max="115" width="10.42578125" style="1" bestFit="1" customWidth="1"/>
    <col min="116" max="119" width="10" style="1" customWidth="1"/>
    <col min="120" max="120" width="0" style="1" hidden="1" customWidth="1"/>
    <col min="121" max="123" width="7.28515625" style="1"/>
    <col min="124" max="125" width="0" style="1" hidden="1" customWidth="1"/>
    <col min="126" max="126" width="20.7109375" style="1" bestFit="1" customWidth="1"/>
    <col min="127" max="128" width="7.28515625" style="1"/>
    <col min="129" max="129" width="38.7109375" style="1" bestFit="1" customWidth="1"/>
    <col min="130" max="16384" width="7.28515625" style="1"/>
  </cols>
  <sheetData>
    <row r="1" spans="1:135" ht="14.25" customHeight="1">
      <c r="A1" s="231" t="s">
        <v>85</v>
      </c>
      <c r="B1" s="60" t="s">
        <v>86</v>
      </c>
      <c r="C1" s="60" t="s">
        <v>87</v>
      </c>
      <c r="D1" s="60" t="s">
        <v>88</v>
      </c>
      <c r="E1" s="61"/>
      <c r="F1" s="61"/>
      <c r="G1" s="61"/>
      <c r="H1" s="61"/>
      <c r="I1" s="61"/>
      <c r="K1" s="233" t="s">
        <v>89</v>
      </c>
      <c r="L1" s="234"/>
      <c r="M1" s="234"/>
      <c r="N1" s="234"/>
      <c r="O1" s="234"/>
      <c r="P1" s="63"/>
      <c r="Q1" s="63"/>
      <c r="R1" s="63"/>
      <c r="S1" s="63"/>
      <c r="T1" s="63"/>
      <c r="V1" s="237" t="s">
        <v>90</v>
      </c>
      <c r="W1" s="237"/>
      <c r="X1" s="237"/>
      <c r="Y1" s="237"/>
      <c r="Z1" s="237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V1" s="239" t="s">
        <v>91</v>
      </c>
      <c r="AW1" s="240"/>
      <c r="AX1" s="241"/>
      <c r="AZ1" s="239" t="s">
        <v>92</v>
      </c>
      <c r="BA1" s="240"/>
      <c r="BB1" s="241"/>
      <c r="BI1" s="221" t="s">
        <v>30</v>
      </c>
      <c r="BJ1" s="221"/>
      <c r="BK1" s="242" t="s">
        <v>93</v>
      </c>
      <c r="BL1" s="221" t="s">
        <v>31</v>
      </c>
      <c r="BM1" s="221"/>
      <c r="BN1" s="221"/>
      <c r="BO1" s="221"/>
      <c r="BP1" s="242" t="s">
        <v>94</v>
      </c>
      <c r="BQ1" s="242"/>
      <c r="CC1" s="243" t="s">
        <v>31</v>
      </c>
      <c r="CD1" s="244"/>
      <c r="CE1" s="244"/>
      <c r="CF1" s="244"/>
      <c r="CG1" s="244"/>
      <c r="CH1" s="244"/>
      <c r="CI1" s="244"/>
      <c r="CJ1" s="244"/>
      <c r="DA1" s="225" t="s">
        <v>22</v>
      </c>
      <c r="DB1" s="226"/>
      <c r="DC1" s="218" t="s">
        <v>4</v>
      </c>
      <c r="DD1" s="218" t="s">
        <v>5</v>
      </c>
      <c r="DE1" s="218" t="s">
        <v>6</v>
      </c>
      <c r="DF1" s="218" t="s">
        <v>7</v>
      </c>
      <c r="DG1" s="218" t="s">
        <v>290</v>
      </c>
      <c r="DH1" s="218" t="s">
        <v>8</v>
      </c>
      <c r="DI1" s="218" t="s">
        <v>9</v>
      </c>
      <c r="DJ1" s="218" t="s">
        <v>10</v>
      </c>
      <c r="DK1" s="218" t="s">
        <v>11</v>
      </c>
      <c r="DL1" s="218" t="s">
        <v>12</v>
      </c>
      <c r="DM1" s="218" t="s">
        <v>13</v>
      </c>
      <c r="DN1" s="218" t="s">
        <v>14</v>
      </c>
      <c r="DO1" s="218" t="s">
        <v>15</v>
      </c>
      <c r="DP1" s="218" t="s">
        <v>182</v>
      </c>
      <c r="DQ1" s="218" t="s">
        <v>183</v>
      </c>
      <c r="DR1" s="218" t="s">
        <v>212</v>
      </c>
      <c r="DS1" s="218" t="s">
        <v>213</v>
      </c>
      <c r="DT1" s="218" t="s">
        <v>214</v>
      </c>
      <c r="DU1" s="218" t="s">
        <v>215</v>
      </c>
      <c r="DV1" s="218" t="s">
        <v>195</v>
      </c>
      <c r="DY1" s="6"/>
      <c r="DZ1" s="21" t="s">
        <v>77</v>
      </c>
      <c r="EA1" s="21" t="s">
        <v>78</v>
      </c>
      <c r="EB1" s="21" t="s">
        <v>79</v>
      </c>
      <c r="EC1" s="21" t="s">
        <v>80</v>
      </c>
      <c r="ED1" s="21" t="s">
        <v>83</v>
      </c>
      <c r="EE1" s="21" t="s">
        <v>84</v>
      </c>
    </row>
    <row r="2" spans="1:135" ht="15" customHeight="1">
      <c r="A2" s="232"/>
      <c r="B2" s="60" t="s">
        <v>96</v>
      </c>
      <c r="C2" s="60" t="s">
        <v>96</v>
      </c>
      <c r="D2" s="60" t="s">
        <v>96</v>
      </c>
      <c r="E2" s="61"/>
      <c r="F2" s="61"/>
      <c r="G2" s="61"/>
      <c r="H2" s="61"/>
      <c r="I2" s="61"/>
      <c r="K2" s="235"/>
      <c r="L2" s="236"/>
      <c r="M2" s="236"/>
      <c r="N2" s="236"/>
      <c r="O2" s="236"/>
      <c r="P2" s="63"/>
      <c r="Q2" s="63"/>
      <c r="R2" s="63"/>
      <c r="S2" s="63"/>
      <c r="T2" s="63"/>
      <c r="V2" s="238"/>
      <c r="W2" s="238"/>
      <c r="X2" s="238"/>
      <c r="Y2" s="238"/>
      <c r="Z2" s="238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V2" s="60" t="s">
        <v>97</v>
      </c>
      <c r="AW2" s="60" t="s">
        <v>98</v>
      </c>
      <c r="AX2" s="60" t="s">
        <v>99</v>
      </c>
      <c r="AZ2" s="60" t="s">
        <v>100</v>
      </c>
      <c r="BA2" s="60" t="s">
        <v>101</v>
      </c>
      <c r="BB2" s="60" t="s">
        <v>102</v>
      </c>
      <c r="BI2" s="221"/>
      <c r="BJ2" s="221"/>
      <c r="BK2" s="242"/>
      <c r="BL2" s="221" t="s">
        <v>32</v>
      </c>
      <c r="BM2" s="221"/>
      <c r="BN2" s="221" t="s">
        <v>33</v>
      </c>
      <c r="BO2" s="221"/>
      <c r="BP2" s="242"/>
      <c r="BQ2" s="242"/>
      <c r="CC2" s="222" t="s">
        <v>103</v>
      </c>
      <c r="CD2" s="67" t="s">
        <v>104</v>
      </c>
      <c r="CE2" s="67" t="s">
        <v>97</v>
      </c>
      <c r="CF2" s="68" t="s">
        <v>105</v>
      </c>
      <c r="CG2" s="68" t="s">
        <v>106</v>
      </c>
      <c r="CH2" s="68" t="s">
        <v>107</v>
      </c>
      <c r="CI2" s="68" t="s">
        <v>108</v>
      </c>
      <c r="CJ2" s="69" t="s">
        <v>109</v>
      </c>
      <c r="DA2" s="227"/>
      <c r="DB2" s="228"/>
      <c r="DC2" s="219"/>
      <c r="DD2" s="219"/>
      <c r="DE2" s="219"/>
      <c r="DF2" s="219"/>
      <c r="DG2" s="219"/>
      <c r="DH2" s="219"/>
      <c r="DI2" s="219"/>
      <c r="DJ2" s="219"/>
      <c r="DK2" s="219"/>
      <c r="DL2" s="219"/>
      <c r="DM2" s="219"/>
      <c r="DN2" s="219"/>
      <c r="DO2" s="219"/>
      <c r="DP2" s="219"/>
      <c r="DQ2" s="219"/>
      <c r="DR2" s="219"/>
      <c r="DS2" s="219"/>
      <c r="DT2" s="219"/>
      <c r="DU2" s="219"/>
      <c r="DV2" s="219"/>
      <c r="DY2" s="6" t="s">
        <v>63</v>
      </c>
      <c r="DZ2" s="21">
        <v>1</v>
      </c>
      <c r="EA2" s="54">
        <v>0</v>
      </c>
      <c r="EB2" s="55">
        <v>0.125</v>
      </c>
      <c r="EC2" s="56">
        <v>0.5</v>
      </c>
      <c r="ED2" s="6">
        <v>1.2999999999999999E-2</v>
      </c>
      <c r="EE2" s="6">
        <v>1.2999999999999999E-2</v>
      </c>
    </row>
    <row r="3" spans="1:135" ht="15.75">
      <c r="A3" s="70" t="s">
        <v>110</v>
      </c>
      <c r="B3" s="71">
        <f>2.06*10^5</f>
        <v>206000</v>
      </c>
      <c r="C3" s="71">
        <v>235</v>
      </c>
      <c r="D3" s="71">
        <v>370</v>
      </c>
      <c r="E3" s="59"/>
      <c r="F3" s="59"/>
      <c r="G3" s="59"/>
      <c r="H3" s="59"/>
      <c r="I3" s="59"/>
      <c r="K3" s="31" t="s">
        <v>111</v>
      </c>
      <c r="L3" s="31" t="s">
        <v>112</v>
      </c>
      <c r="M3" s="31" t="s">
        <v>113</v>
      </c>
      <c r="N3" s="31" t="s">
        <v>114</v>
      </c>
      <c r="O3" s="31" t="s">
        <v>115</v>
      </c>
      <c r="P3" s="52"/>
      <c r="Q3" s="52"/>
      <c r="R3" s="52"/>
      <c r="S3" s="52"/>
      <c r="T3" s="52"/>
      <c r="V3" s="72" t="s">
        <v>116</v>
      </c>
      <c r="W3" s="72" t="s">
        <v>117</v>
      </c>
      <c r="X3" s="72" t="s">
        <v>118</v>
      </c>
      <c r="Y3" s="72" t="s">
        <v>119</v>
      </c>
      <c r="Z3" s="73" t="s">
        <v>120</v>
      </c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V3" s="75">
        <v>360</v>
      </c>
      <c r="AW3" s="75">
        <v>560</v>
      </c>
      <c r="AX3" s="75">
        <v>475</v>
      </c>
      <c r="AZ3" s="75" t="s">
        <v>121</v>
      </c>
      <c r="BA3" s="75">
        <v>430</v>
      </c>
      <c r="BB3" s="75">
        <v>180</v>
      </c>
      <c r="BI3" s="221"/>
      <c r="BJ3" s="221"/>
      <c r="BK3" s="242"/>
      <c r="BL3" s="65" t="s">
        <v>122</v>
      </c>
      <c r="BM3" s="65" t="s">
        <v>123</v>
      </c>
      <c r="BN3" s="65" t="s">
        <v>124</v>
      </c>
      <c r="BO3" s="65" t="s">
        <v>125</v>
      </c>
      <c r="BP3" s="223" t="s">
        <v>95</v>
      </c>
      <c r="BQ3" s="76" t="s">
        <v>81</v>
      </c>
      <c r="CC3" s="222"/>
      <c r="CD3" s="66" t="s">
        <v>1</v>
      </c>
      <c r="CE3" s="66" t="s">
        <v>1</v>
      </c>
      <c r="CF3" s="66" t="s">
        <v>1</v>
      </c>
      <c r="CG3" s="66" t="s">
        <v>1</v>
      </c>
      <c r="CH3" s="66" t="s">
        <v>1</v>
      </c>
      <c r="CI3" s="66" t="s">
        <v>1</v>
      </c>
      <c r="CJ3" s="77" t="s">
        <v>1</v>
      </c>
      <c r="DA3" s="227"/>
      <c r="DB3" s="228"/>
      <c r="DC3" s="219"/>
      <c r="DD3" s="219"/>
      <c r="DE3" s="219"/>
      <c r="DF3" s="219"/>
      <c r="DG3" s="219"/>
      <c r="DH3" s="219"/>
      <c r="DI3" s="219"/>
      <c r="DJ3" s="219"/>
      <c r="DK3" s="219"/>
      <c r="DL3" s="219"/>
      <c r="DM3" s="219"/>
      <c r="DN3" s="219"/>
      <c r="DO3" s="219"/>
      <c r="DP3" s="219"/>
      <c r="DQ3" s="219"/>
      <c r="DR3" s="219"/>
      <c r="DS3" s="219"/>
      <c r="DT3" s="219"/>
      <c r="DU3" s="219"/>
      <c r="DV3" s="219"/>
      <c r="DY3" s="6" t="s">
        <v>65</v>
      </c>
      <c r="DZ3" s="21">
        <v>0.41</v>
      </c>
      <c r="EA3" s="54">
        <v>-0.125</v>
      </c>
      <c r="EB3" s="55">
        <v>7.0300000000000001E-2</v>
      </c>
      <c r="EC3" s="56">
        <v>0.625</v>
      </c>
      <c r="ED3" s="6">
        <v>5.4000000000000003E-3</v>
      </c>
      <c r="EE3" s="6">
        <v>9.1999999999999998E-3</v>
      </c>
    </row>
    <row r="4" spans="1:135" ht="15" customHeight="1">
      <c r="A4" s="70" t="s">
        <v>126</v>
      </c>
      <c r="B4" s="71">
        <f t="shared" ref="B4:B29" si="0">2.06*10^5</f>
        <v>206000</v>
      </c>
      <c r="C4" s="71">
        <v>345</v>
      </c>
      <c r="D4" s="71">
        <v>510</v>
      </c>
      <c r="E4" s="59"/>
      <c r="F4" s="59"/>
      <c r="G4" s="59"/>
      <c r="H4" s="59"/>
      <c r="I4" s="59"/>
      <c r="K4" s="31">
        <v>5.6</v>
      </c>
      <c r="L4" s="31">
        <v>500</v>
      </c>
      <c r="M4" s="31">
        <v>300</v>
      </c>
      <c r="N4" s="31">
        <v>210</v>
      </c>
      <c r="O4" s="31">
        <v>225</v>
      </c>
      <c r="P4" s="52"/>
      <c r="Q4" s="52"/>
      <c r="R4" s="52"/>
      <c r="S4" s="52"/>
      <c r="T4" s="52"/>
      <c r="V4" s="78">
        <v>10</v>
      </c>
      <c r="W4" s="75">
        <v>1.5</v>
      </c>
      <c r="X4" s="79">
        <v>78.5</v>
      </c>
      <c r="Y4" s="75">
        <v>57.1</v>
      </c>
      <c r="Z4" s="75">
        <v>1</v>
      </c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V4" s="75">
        <v>370</v>
      </c>
      <c r="AW4" s="75">
        <v>580</v>
      </c>
      <c r="AX4" s="75">
        <v>485</v>
      </c>
      <c r="AZ4" s="75" t="s">
        <v>127</v>
      </c>
      <c r="BA4" s="75">
        <v>510</v>
      </c>
      <c r="BB4" s="75">
        <v>225</v>
      </c>
      <c r="BI4" s="221"/>
      <c r="BJ4" s="221"/>
      <c r="BK4" s="65" t="s">
        <v>1</v>
      </c>
      <c r="BL4" s="65" t="s">
        <v>1</v>
      </c>
      <c r="BM4" s="65" t="s">
        <v>1</v>
      </c>
      <c r="BN4" s="65" t="s">
        <v>1</v>
      </c>
      <c r="BO4" s="65" t="s">
        <v>1</v>
      </c>
      <c r="BP4" s="224"/>
      <c r="BQ4" s="65" t="s">
        <v>1</v>
      </c>
      <c r="CC4" s="80" t="s">
        <v>128</v>
      </c>
      <c r="CD4" s="81">
        <v>235</v>
      </c>
      <c r="CE4" s="81">
        <v>373</v>
      </c>
      <c r="CF4" s="80">
        <f>CD4</f>
        <v>235</v>
      </c>
      <c r="CG4" s="80">
        <f>CF4/1.15</f>
        <v>204.34782608695653</v>
      </c>
      <c r="CH4" s="80">
        <f>CF4</f>
        <v>235</v>
      </c>
      <c r="CI4" s="80">
        <f>0.7*CD4</f>
        <v>164.5</v>
      </c>
      <c r="CJ4" s="82">
        <v>200000</v>
      </c>
      <c r="DA4" s="229"/>
      <c r="DB4" s="230"/>
      <c r="DC4" s="220"/>
      <c r="DD4" s="220"/>
      <c r="DE4" s="220"/>
      <c r="DF4" s="220"/>
      <c r="DG4" s="220"/>
      <c r="DH4" s="220"/>
      <c r="DI4" s="220"/>
      <c r="DJ4" s="220"/>
      <c r="DK4" s="220"/>
      <c r="DL4" s="220"/>
      <c r="DM4" s="220"/>
      <c r="DN4" s="220"/>
      <c r="DO4" s="220"/>
      <c r="DP4" s="220"/>
      <c r="DQ4" s="220"/>
      <c r="DR4" s="220"/>
      <c r="DS4" s="220"/>
      <c r="DT4" s="220"/>
      <c r="DU4" s="220"/>
      <c r="DV4" s="220"/>
      <c r="DY4" s="6" t="s">
        <v>64</v>
      </c>
      <c r="DZ4" s="21">
        <v>0.52</v>
      </c>
      <c r="EA4" s="54">
        <v>-0.1</v>
      </c>
      <c r="EB4" s="55">
        <v>0.08</v>
      </c>
      <c r="EC4" s="56">
        <v>0.6</v>
      </c>
      <c r="ED4" s="6">
        <v>6.8999999999999999E-3</v>
      </c>
      <c r="EE4" s="6">
        <v>9.9000000000000008E-3</v>
      </c>
    </row>
    <row r="5" spans="1:135" ht="18.75">
      <c r="A5" s="70" t="s">
        <v>129</v>
      </c>
      <c r="B5" s="71">
        <f t="shared" si="0"/>
        <v>206000</v>
      </c>
      <c r="C5" s="71">
        <v>250</v>
      </c>
      <c r="D5" s="71">
        <v>400</v>
      </c>
      <c r="E5" s="59"/>
      <c r="F5" s="59"/>
      <c r="G5" s="59"/>
      <c r="H5" s="59"/>
      <c r="I5" s="59"/>
      <c r="K5" s="31">
        <v>5.8</v>
      </c>
      <c r="L5" s="31">
        <v>500</v>
      </c>
      <c r="M5" s="31">
        <v>400</v>
      </c>
      <c r="N5" s="31">
        <v>210</v>
      </c>
      <c r="O5" s="31">
        <v>210</v>
      </c>
      <c r="P5" s="52"/>
      <c r="Q5" s="52"/>
      <c r="R5" s="52"/>
      <c r="S5" s="52"/>
      <c r="T5" s="52"/>
      <c r="V5" s="78">
        <v>12</v>
      </c>
      <c r="W5" s="75">
        <v>1.5</v>
      </c>
      <c r="X5" s="79">
        <v>113</v>
      </c>
      <c r="Y5" s="75">
        <v>84.2</v>
      </c>
      <c r="Z5" s="75">
        <v>1</v>
      </c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V5" s="75">
        <v>380</v>
      </c>
      <c r="AW5" s="75">
        <v>590</v>
      </c>
      <c r="AX5" s="75">
        <v>500</v>
      </c>
      <c r="AZ5" s="75" t="s">
        <v>130</v>
      </c>
      <c r="BA5" s="75">
        <v>410</v>
      </c>
      <c r="BB5" s="75">
        <v>180</v>
      </c>
      <c r="BI5" s="83" t="s">
        <v>34</v>
      </c>
      <c r="BJ5" s="84" t="s">
        <v>35</v>
      </c>
      <c r="BK5" s="85">
        <v>19000</v>
      </c>
      <c r="BL5" s="86">
        <v>7.5</v>
      </c>
      <c r="BM5" s="86">
        <v>6</v>
      </c>
      <c r="BN5" s="87">
        <v>0.85</v>
      </c>
      <c r="BO5" s="88">
        <v>0.56000000000000005</v>
      </c>
      <c r="BP5" s="89"/>
      <c r="BQ5" s="89"/>
      <c r="CC5" s="80" t="s">
        <v>131</v>
      </c>
      <c r="CD5" s="81">
        <v>295</v>
      </c>
      <c r="CE5" s="81">
        <v>490</v>
      </c>
      <c r="CF5" s="80">
        <f t="shared" ref="CF5:CF19" si="1">CD5</f>
        <v>295</v>
      </c>
      <c r="CG5" s="80">
        <f t="shared" ref="CG5:CG19" si="2">CF5/1.15</f>
        <v>256.52173913043481</v>
      </c>
      <c r="CH5" s="80">
        <f t="shared" ref="CH5:CH19" si="3">CF5</f>
        <v>295</v>
      </c>
      <c r="CI5" s="80">
        <f t="shared" ref="CI5:CI19" si="4">0.7*CD5</f>
        <v>206.5</v>
      </c>
      <c r="CJ5" s="82">
        <v>200000</v>
      </c>
      <c r="DA5" s="6"/>
      <c r="DB5" s="6"/>
      <c r="DC5" s="4" t="s">
        <v>16</v>
      </c>
      <c r="DD5" s="4" t="s">
        <v>16</v>
      </c>
      <c r="DE5" s="4" t="s">
        <v>16</v>
      </c>
      <c r="DF5" s="4" t="s">
        <v>16</v>
      </c>
      <c r="DG5" s="4" t="s">
        <v>16</v>
      </c>
      <c r="DH5" s="4" t="s">
        <v>17</v>
      </c>
      <c r="DI5" s="4" t="s">
        <v>18</v>
      </c>
      <c r="DJ5" s="4" t="s">
        <v>18</v>
      </c>
      <c r="DK5" s="4" t="s">
        <v>19</v>
      </c>
      <c r="DL5" s="4" t="s">
        <v>20</v>
      </c>
      <c r="DM5" s="4" t="s">
        <v>16</v>
      </c>
      <c r="DN5" s="5" t="s">
        <v>21</v>
      </c>
      <c r="DO5" s="5" t="s">
        <v>16</v>
      </c>
      <c r="DP5" s="5" t="s">
        <v>16</v>
      </c>
      <c r="DQ5" s="5" t="s">
        <v>16</v>
      </c>
      <c r="DR5" s="5" t="s">
        <v>16</v>
      </c>
      <c r="DS5" s="5" t="s">
        <v>16</v>
      </c>
      <c r="DT5" s="5" t="s">
        <v>16</v>
      </c>
      <c r="DU5" s="5" t="s">
        <v>16</v>
      </c>
      <c r="DV5" s="5" t="s">
        <v>16</v>
      </c>
      <c r="DY5" s="6" t="s">
        <v>76</v>
      </c>
      <c r="DZ5" s="21">
        <v>0.49</v>
      </c>
      <c r="EA5" s="54">
        <v>-0.105</v>
      </c>
      <c r="EB5" s="55">
        <v>7.8E-2</v>
      </c>
      <c r="EC5" s="56">
        <v>0.60699999999999998</v>
      </c>
      <c r="ED5" s="6">
        <v>6.4999999999999997E-3</v>
      </c>
      <c r="EE5" s="6">
        <v>9.7000000000000003E-3</v>
      </c>
    </row>
    <row r="6" spans="1:135" ht="15">
      <c r="A6" s="70" t="s">
        <v>132</v>
      </c>
      <c r="B6" s="71">
        <f t="shared" si="0"/>
        <v>206000</v>
      </c>
      <c r="C6" s="71">
        <v>345</v>
      </c>
      <c r="D6" s="71">
        <v>450</v>
      </c>
      <c r="E6" s="59"/>
      <c r="F6" s="59"/>
      <c r="G6" s="59"/>
      <c r="H6" s="59"/>
      <c r="I6" s="59"/>
      <c r="K6" s="31">
        <v>8.8000000000000007</v>
      </c>
      <c r="L6" s="31">
        <v>830</v>
      </c>
      <c r="M6" s="31">
        <v>660</v>
      </c>
      <c r="N6" s="31">
        <v>332</v>
      </c>
      <c r="O6" s="31">
        <v>448</v>
      </c>
      <c r="P6" s="52"/>
      <c r="Q6" s="52"/>
      <c r="R6" s="52"/>
      <c r="S6" s="52"/>
      <c r="T6" s="52"/>
      <c r="V6" s="78">
        <v>16</v>
      </c>
      <c r="W6" s="75">
        <v>2</v>
      </c>
      <c r="X6" s="79">
        <f t="shared" ref="X6:X15" si="5">PI()*V6^2/4</f>
        <v>201.06192982974676</v>
      </c>
      <c r="Y6" s="75">
        <v>157</v>
      </c>
      <c r="Z6" s="75">
        <v>1</v>
      </c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V6" s="75">
        <v>390</v>
      </c>
      <c r="AW6" s="75">
        <v>610</v>
      </c>
      <c r="AX6" s="75">
        <v>515</v>
      </c>
      <c r="AZ6" s="75" t="s">
        <v>133</v>
      </c>
      <c r="BA6" s="75">
        <v>450</v>
      </c>
      <c r="BB6" s="75">
        <v>200</v>
      </c>
      <c r="BI6" s="20" t="s">
        <v>36</v>
      </c>
      <c r="BJ6" s="21" t="s">
        <v>37</v>
      </c>
      <c r="BK6" s="22">
        <v>24000</v>
      </c>
      <c r="BL6" s="23">
        <v>11</v>
      </c>
      <c r="BM6" s="23">
        <v>8.5</v>
      </c>
      <c r="BN6" s="24">
        <v>1.1000000000000001</v>
      </c>
      <c r="BO6" s="90">
        <v>0.75</v>
      </c>
      <c r="BP6" s="89" t="s">
        <v>134</v>
      </c>
      <c r="BQ6" s="89">
        <f>VALUE(MID(BP6,2,2))</f>
        <v>12</v>
      </c>
      <c r="CC6" s="80" t="s">
        <v>135</v>
      </c>
      <c r="CD6" s="81">
        <v>390</v>
      </c>
      <c r="CE6" s="81">
        <v>590</v>
      </c>
      <c r="CF6" s="80">
        <f t="shared" si="1"/>
        <v>390</v>
      </c>
      <c r="CG6" s="80">
        <f t="shared" si="2"/>
        <v>339.13043478260875</v>
      </c>
      <c r="CH6" s="80">
        <f t="shared" si="3"/>
        <v>390</v>
      </c>
      <c r="CI6" s="80">
        <f t="shared" si="4"/>
        <v>273</v>
      </c>
      <c r="CJ6" s="82">
        <v>200000</v>
      </c>
      <c r="DA6" s="75">
        <v>1</v>
      </c>
      <c r="DB6" s="75">
        <v>2</v>
      </c>
      <c r="DC6" s="75">
        <v>3</v>
      </c>
      <c r="DD6" s="75">
        <v>4</v>
      </c>
      <c r="DE6" s="75">
        <v>5</v>
      </c>
      <c r="DF6" s="75">
        <v>6</v>
      </c>
      <c r="DG6" s="75">
        <v>7</v>
      </c>
      <c r="DH6" s="75">
        <v>8</v>
      </c>
      <c r="DI6" s="75">
        <v>9</v>
      </c>
      <c r="DJ6" s="75">
        <v>10</v>
      </c>
      <c r="DK6" s="75">
        <v>11</v>
      </c>
      <c r="DL6" s="75">
        <v>12</v>
      </c>
      <c r="DM6" s="75">
        <v>13</v>
      </c>
      <c r="DN6" s="75">
        <v>14</v>
      </c>
      <c r="DO6" s="75">
        <v>15</v>
      </c>
      <c r="DP6" s="75">
        <v>16</v>
      </c>
      <c r="DQ6" s="75">
        <v>17</v>
      </c>
      <c r="DR6" s="75">
        <v>18</v>
      </c>
      <c r="DS6" s="75">
        <v>19</v>
      </c>
      <c r="DT6" s="75">
        <v>20</v>
      </c>
      <c r="DU6" s="75">
        <v>21</v>
      </c>
      <c r="DV6" s="75">
        <v>22</v>
      </c>
    </row>
    <row r="7" spans="1:135" ht="15.75">
      <c r="A7" s="70" t="s">
        <v>136</v>
      </c>
      <c r="B7" s="71">
        <f t="shared" si="0"/>
        <v>206000</v>
      </c>
      <c r="C7" s="71">
        <v>235</v>
      </c>
      <c r="D7" s="71">
        <v>360</v>
      </c>
      <c r="E7" s="59"/>
      <c r="F7" s="59"/>
      <c r="G7" s="59"/>
      <c r="H7" s="59"/>
      <c r="I7" s="59"/>
      <c r="K7" s="31">
        <v>10.9</v>
      </c>
      <c r="L7" s="31">
        <v>1040</v>
      </c>
      <c r="M7" s="31">
        <v>940</v>
      </c>
      <c r="N7" s="31">
        <v>416</v>
      </c>
      <c r="O7" s="31">
        <v>728</v>
      </c>
      <c r="P7" s="52"/>
      <c r="Q7" s="52"/>
      <c r="R7" s="52"/>
      <c r="S7" s="52"/>
      <c r="T7" s="52"/>
      <c r="V7" s="78">
        <v>18</v>
      </c>
      <c r="W7" s="75">
        <v>2.5</v>
      </c>
      <c r="X7" s="79">
        <f t="shared" si="5"/>
        <v>254.46900494077323</v>
      </c>
      <c r="Y7" s="75">
        <v>192</v>
      </c>
      <c r="Z7" s="75">
        <v>1.05</v>
      </c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V7" s="75">
        <v>430</v>
      </c>
      <c r="AW7" s="75">
        <v>670</v>
      </c>
      <c r="AX7" s="75">
        <v>565</v>
      </c>
      <c r="AZ7" s="75" t="s">
        <v>137</v>
      </c>
      <c r="BA7" s="75">
        <v>490</v>
      </c>
      <c r="BB7" s="75">
        <v>215</v>
      </c>
      <c r="BI7" s="20" t="s">
        <v>38</v>
      </c>
      <c r="BJ7" s="21" t="s">
        <v>39</v>
      </c>
      <c r="BK7" s="22">
        <v>27500</v>
      </c>
      <c r="BL7" s="23">
        <v>15</v>
      </c>
      <c r="BM7" s="23">
        <v>11.5</v>
      </c>
      <c r="BN7" s="24">
        <v>1.35</v>
      </c>
      <c r="BO7" s="90">
        <v>0.9</v>
      </c>
      <c r="BP7" s="89" t="s">
        <v>138</v>
      </c>
      <c r="BQ7" s="89">
        <f t="shared" ref="BQ7:BQ15" si="6">VALUE(MID(BP7,2,2))</f>
        <v>16</v>
      </c>
      <c r="CC7" s="80" t="s">
        <v>139</v>
      </c>
      <c r="CD7" s="81">
        <v>235</v>
      </c>
      <c r="CE7" s="81">
        <v>373</v>
      </c>
      <c r="CF7" s="80">
        <f t="shared" si="1"/>
        <v>235</v>
      </c>
      <c r="CG7" s="80">
        <f t="shared" si="2"/>
        <v>204.34782608695653</v>
      </c>
      <c r="CH7" s="80">
        <f t="shared" si="3"/>
        <v>235</v>
      </c>
      <c r="CI7" s="80">
        <f t="shared" si="4"/>
        <v>164.5</v>
      </c>
      <c r="CJ7" s="91">
        <v>200000</v>
      </c>
      <c r="DA7" s="7" t="str">
        <f t="shared" ref="DA7:DA11" si="7">DB7&amp;" - "&amp;DC7</f>
        <v>H50W1000 - 0.58</v>
      </c>
      <c r="DB7" s="101" t="s">
        <v>23</v>
      </c>
      <c r="DC7" s="103">
        <v>0.57999999999999996</v>
      </c>
      <c r="DD7" s="8">
        <f t="shared" ref="DD7:DD11" si="8">DC7-0.04</f>
        <v>0.53999999999999992</v>
      </c>
      <c r="DE7" s="103">
        <v>1200</v>
      </c>
      <c r="DF7" s="103">
        <v>1000</v>
      </c>
      <c r="DG7" s="9">
        <v>50</v>
      </c>
      <c r="DH7" s="9">
        <v>5.54</v>
      </c>
      <c r="DI7" s="9">
        <v>364</v>
      </c>
      <c r="DJ7" s="9">
        <v>280</v>
      </c>
      <c r="DK7" s="103">
        <f>51.2*10^4</f>
        <v>512000</v>
      </c>
      <c r="DL7" s="106">
        <f>16.43*10^3</f>
        <v>16430</v>
      </c>
      <c r="DM7" s="10">
        <f t="shared" ref="DM7:DM11" si="9">DK7/DL7</f>
        <v>31.162507608034083</v>
      </c>
      <c r="DN7" s="103">
        <f>DK7/DQ7^2</f>
        <v>527.23613281250005</v>
      </c>
      <c r="DO7" s="9">
        <f t="shared" ref="DO7:DO11" si="10">135+(200-135)/2</f>
        <v>167.5</v>
      </c>
      <c r="DP7" s="54"/>
      <c r="DQ7" s="89">
        <v>31.162507608034083</v>
      </c>
      <c r="DR7" s="114">
        <v>142</v>
      </c>
      <c r="DS7" s="114">
        <v>343</v>
      </c>
      <c r="DT7" s="114">
        <v>142</v>
      </c>
      <c r="DU7" s="114">
        <v>171</v>
      </c>
      <c r="DV7" s="113" t="s">
        <v>196</v>
      </c>
    </row>
    <row r="8" spans="1:135" ht="15.75">
      <c r="A8" s="70" t="s">
        <v>140</v>
      </c>
      <c r="B8" s="71">
        <f t="shared" si="0"/>
        <v>206000</v>
      </c>
      <c r="C8" s="71">
        <v>225</v>
      </c>
      <c r="D8" s="71">
        <v>360</v>
      </c>
      <c r="E8" s="59"/>
      <c r="F8" s="59"/>
      <c r="G8" s="59"/>
      <c r="H8" s="59"/>
      <c r="I8" s="59"/>
      <c r="K8" s="31">
        <v>12.9</v>
      </c>
      <c r="L8" s="31">
        <v>1220</v>
      </c>
      <c r="M8" s="31">
        <v>1100</v>
      </c>
      <c r="N8" s="31">
        <v>427</v>
      </c>
      <c r="O8" s="31">
        <v>854</v>
      </c>
      <c r="P8" s="52"/>
      <c r="Q8" s="52"/>
      <c r="R8" s="52"/>
      <c r="S8" s="52"/>
      <c r="T8" s="52"/>
      <c r="V8" s="78">
        <v>20</v>
      </c>
      <c r="W8" s="75">
        <v>2.5</v>
      </c>
      <c r="X8" s="79">
        <f t="shared" si="5"/>
        <v>314.15926535897933</v>
      </c>
      <c r="Y8" s="75">
        <v>245</v>
      </c>
      <c r="Z8" s="75">
        <v>1.1000000000000001</v>
      </c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V8" s="75">
        <v>440</v>
      </c>
      <c r="AW8" s="75">
        <v>685</v>
      </c>
      <c r="AX8" s="75">
        <v>580</v>
      </c>
      <c r="BI8" s="20" t="s">
        <v>40</v>
      </c>
      <c r="BJ8" s="21" t="s">
        <v>41</v>
      </c>
      <c r="BK8" s="22">
        <v>30000</v>
      </c>
      <c r="BL8" s="23">
        <v>18.5</v>
      </c>
      <c r="BM8" s="23">
        <v>14.5</v>
      </c>
      <c r="BN8" s="24">
        <v>1.55</v>
      </c>
      <c r="BO8" s="90">
        <v>1.05</v>
      </c>
      <c r="BP8" s="89" t="s">
        <v>141</v>
      </c>
      <c r="BQ8" s="89">
        <f t="shared" si="6"/>
        <v>20</v>
      </c>
      <c r="CC8" s="80" t="s">
        <v>142</v>
      </c>
      <c r="CD8" s="81">
        <v>295</v>
      </c>
      <c r="CE8" s="81">
        <v>490</v>
      </c>
      <c r="CF8" s="80">
        <f t="shared" si="1"/>
        <v>295</v>
      </c>
      <c r="CG8" s="80">
        <f t="shared" si="2"/>
        <v>256.52173913043481</v>
      </c>
      <c r="CH8" s="80">
        <f t="shared" si="3"/>
        <v>295</v>
      </c>
      <c r="CI8" s="80">
        <f t="shared" si="4"/>
        <v>206.5</v>
      </c>
      <c r="CJ8" s="91">
        <v>200000</v>
      </c>
      <c r="DA8" s="7" t="str">
        <f t="shared" si="7"/>
        <v>H50W1000 - 0.75</v>
      </c>
      <c r="DB8" s="101" t="s">
        <v>23</v>
      </c>
      <c r="DC8" s="103">
        <v>0.75</v>
      </c>
      <c r="DD8" s="8">
        <f t="shared" si="8"/>
        <v>0.71</v>
      </c>
      <c r="DE8" s="103">
        <v>1200</v>
      </c>
      <c r="DF8" s="103">
        <v>1000</v>
      </c>
      <c r="DG8" s="9">
        <v>50</v>
      </c>
      <c r="DH8" s="9">
        <v>7.15</v>
      </c>
      <c r="DI8" s="9">
        <v>364</v>
      </c>
      <c r="DJ8" s="9">
        <v>280</v>
      </c>
      <c r="DK8" s="103">
        <f>61.7*10^4</f>
        <v>617000</v>
      </c>
      <c r="DL8" s="106">
        <f>20.11*10^3</f>
        <v>20110</v>
      </c>
      <c r="DM8" s="10">
        <f t="shared" si="9"/>
        <v>30.681253107906514</v>
      </c>
      <c r="DN8" s="103">
        <f t="shared" ref="DN8:DN11" si="11">DK8/DQ8^2</f>
        <v>655.44910858995138</v>
      </c>
      <c r="DO8" s="9">
        <f t="shared" si="10"/>
        <v>167.5</v>
      </c>
      <c r="DP8" s="54"/>
      <c r="DQ8" s="89">
        <v>30.681253107906514</v>
      </c>
      <c r="DR8" s="114">
        <v>142</v>
      </c>
      <c r="DS8" s="114">
        <v>343</v>
      </c>
      <c r="DT8" s="114">
        <v>142</v>
      </c>
      <c r="DU8" s="114">
        <v>171</v>
      </c>
      <c r="DV8" s="113" t="s">
        <v>196</v>
      </c>
    </row>
    <row r="9" spans="1:135" ht="15.75">
      <c r="A9" s="70" t="s">
        <v>143</v>
      </c>
      <c r="B9" s="71">
        <f t="shared" si="0"/>
        <v>206000</v>
      </c>
      <c r="C9" s="71">
        <v>215</v>
      </c>
      <c r="D9" s="71">
        <v>360</v>
      </c>
      <c r="E9" s="59"/>
      <c r="F9" s="59"/>
      <c r="G9" s="59"/>
      <c r="H9" s="59"/>
      <c r="I9" s="59"/>
      <c r="V9" s="78">
        <v>22</v>
      </c>
      <c r="W9" s="75">
        <v>2.5</v>
      </c>
      <c r="X9" s="79">
        <f t="shared" si="5"/>
        <v>380.13271108436498</v>
      </c>
      <c r="Y9" s="75">
        <v>303</v>
      </c>
      <c r="Z9" s="75">
        <v>1.1000000000000001</v>
      </c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V9" s="75">
        <v>450</v>
      </c>
      <c r="AW9" s="75">
        <v>700</v>
      </c>
      <c r="AX9" s="75">
        <v>595</v>
      </c>
      <c r="BI9" s="20" t="s">
        <v>42</v>
      </c>
      <c r="BJ9" s="21" t="s">
        <v>43</v>
      </c>
      <c r="BK9" s="22">
        <v>32500</v>
      </c>
      <c r="BL9" s="23">
        <v>22</v>
      </c>
      <c r="BM9" s="23">
        <v>17</v>
      </c>
      <c r="BN9" s="24">
        <v>1.75</v>
      </c>
      <c r="BO9" s="90">
        <v>1.1499999999999999</v>
      </c>
      <c r="BP9" s="89" t="s">
        <v>144</v>
      </c>
      <c r="BQ9" s="89">
        <f t="shared" si="6"/>
        <v>25</v>
      </c>
      <c r="CC9" s="80" t="s">
        <v>145</v>
      </c>
      <c r="CD9" s="81">
        <v>390</v>
      </c>
      <c r="CE9" s="81">
        <v>590</v>
      </c>
      <c r="CF9" s="80">
        <f t="shared" si="1"/>
        <v>390</v>
      </c>
      <c r="CG9" s="80">
        <f t="shared" si="2"/>
        <v>339.13043478260875</v>
      </c>
      <c r="CH9" s="80">
        <f t="shared" si="3"/>
        <v>390</v>
      </c>
      <c r="CI9" s="80">
        <f t="shared" si="4"/>
        <v>273</v>
      </c>
      <c r="CJ9" s="91">
        <v>200000</v>
      </c>
      <c r="DA9" s="7" t="str">
        <f t="shared" si="7"/>
        <v>H50W1000 - 0.95</v>
      </c>
      <c r="DB9" s="101" t="s">
        <v>23</v>
      </c>
      <c r="DC9" s="103">
        <v>0.95</v>
      </c>
      <c r="DD9" s="8">
        <f t="shared" si="8"/>
        <v>0.90999999999999992</v>
      </c>
      <c r="DE9" s="103">
        <v>1200</v>
      </c>
      <c r="DF9" s="103">
        <v>1000</v>
      </c>
      <c r="DG9" s="9">
        <v>50</v>
      </c>
      <c r="DH9" s="9">
        <v>9.0500000000000007</v>
      </c>
      <c r="DI9" s="9">
        <v>364</v>
      </c>
      <c r="DJ9" s="9">
        <v>280</v>
      </c>
      <c r="DK9" s="103">
        <f>68.91*10^4</f>
        <v>689100</v>
      </c>
      <c r="DL9" s="106">
        <f>25.19*10^3</f>
        <v>25190</v>
      </c>
      <c r="DM9" s="10">
        <f t="shared" si="9"/>
        <v>27.356093687971416</v>
      </c>
      <c r="DN9" s="103">
        <f t="shared" si="11"/>
        <v>920.81860397620096</v>
      </c>
      <c r="DO9" s="9">
        <f t="shared" si="10"/>
        <v>167.5</v>
      </c>
      <c r="DP9" s="54"/>
      <c r="DQ9" s="89">
        <v>27.356093687971416</v>
      </c>
      <c r="DR9" s="114">
        <v>142</v>
      </c>
      <c r="DS9" s="114">
        <v>343</v>
      </c>
      <c r="DT9" s="114">
        <v>142</v>
      </c>
      <c r="DU9" s="114">
        <v>171</v>
      </c>
      <c r="DV9" s="113" t="s">
        <v>196</v>
      </c>
    </row>
    <row r="10" spans="1:135" ht="15.75">
      <c r="A10" s="70" t="s">
        <v>146</v>
      </c>
      <c r="B10" s="71">
        <f t="shared" si="0"/>
        <v>206000</v>
      </c>
      <c r="C10" s="71">
        <v>215</v>
      </c>
      <c r="D10" s="71">
        <v>360</v>
      </c>
      <c r="E10" s="59"/>
      <c r="F10" s="59"/>
      <c r="G10" s="59"/>
      <c r="H10" s="59"/>
      <c r="I10" s="59"/>
      <c r="V10" s="78">
        <v>24</v>
      </c>
      <c r="W10" s="75">
        <v>3</v>
      </c>
      <c r="X10" s="79">
        <f t="shared" si="5"/>
        <v>452.38934211693021</v>
      </c>
      <c r="Y10" s="75">
        <v>353</v>
      </c>
      <c r="Z10" s="75">
        <v>1.1000000000000001</v>
      </c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V10" s="75">
        <v>460</v>
      </c>
      <c r="AW10" s="75">
        <v>720</v>
      </c>
      <c r="AX10" s="75">
        <v>605</v>
      </c>
      <c r="BI10" s="20" t="s">
        <v>44</v>
      </c>
      <c r="BJ10" s="21" t="s">
        <v>45</v>
      </c>
      <c r="BK10" s="22">
        <v>34500</v>
      </c>
      <c r="BL10" s="23">
        <v>25.5</v>
      </c>
      <c r="BM10" s="23">
        <v>19.5</v>
      </c>
      <c r="BN10" s="24">
        <v>1.95</v>
      </c>
      <c r="BO10" s="90">
        <v>1.3</v>
      </c>
      <c r="BP10" s="89" t="s">
        <v>147</v>
      </c>
      <c r="BQ10" s="89">
        <f t="shared" si="6"/>
        <v>28</v>
      </c>
      <c r="CC10" s="80" t="s">
        <v>148</v>
      </c>
      <c r="CD10" s="81">
        <v>240</v>
      </c>
      <c r="CE10" s="81">
        <v>380</v>
      </c>
      <c r="CF10" s="80">
        <f t="shared" si="1"/>
        <v>240</v>
      </c>
      <c r="CG10" s="80"/>
      <c r="CH10" s="80">
        <f t="shared" si="3"/>
        <v>240</v>
      </c>
      <c r="CI10" s="80">
        <v>170</v>
      </c>
      <c r="CJ10" s="82">
        <v>200000</v>
      </c>
      <c r="DA10" s="7" t="str">
        <f t="shared" si="7"/>
        <v>H50W1000 - 1.15</v>
      </c>
      <c r="DB10" s="101" t="s">
        <v>23</v>
      </c>
      <c r="DC10" s="103">
        <v>1.1499999999999999</v>
      </c>
      <c r="DD10" s="8">
        <f t="shared" si="8"/>
        <v>1.1099999999999999</v>
      </c>
      <c r="DE10" s="103">
        <v>1200</v>
      </c>
      <c r="DF10" s="103">
        <v>1000</v>
      </c>
      <c r="DG10" s="9">
        <v>50</v>
      </c>
      <c r="DH10" s="9">
        <v>11.1</v>
      </c>
      <c r="DI10" s="9">
        <v>364</v>
      </c>
      <c r="DJ10" s="9">
        <v>280</v>
      </c>
      <c r="DK10" s="103">
        <f>76.76*10^4</f>
        <v>767600</v>
      </c>
      <c r="DL10" s="106">
        <f>28.47*10^3</f>
        <v>28470</v>
      </c>
      <c r="DM10" s="10">
        <f t="shared" si="9"/>
        <v>26.961714085001756</v>
      </c>
      <c r="DN10" s="103">
        <f t="shared" si="11"/>
        <v>1055.9417665450756</v>
      </c>
      <c r="DO10" s="9">
        <f t="shared" si="10"/>
        <v>167.5</v>
      </c>
      <c r="DP10" s="54"/>
      <c r="DQ10" s="89">
        <v>26.961714085001756</v>
      </c>
      <c r="DR10" s="114">
        <v>142</v>
      </c>
      <c r="DS10" s="114">
        <v>343</v>
      </c>
      <c r="DT10" s="114">
        <v>142</v>
      </c>
      <c r="DU10" s="114">
        <v>171</v>
      </c>
      <c r="DV10" s="113" t="s">
        <v>196</v>
      </c>
    </row>
    <row r="11" spans="1:135" ht="15.75">
      <c r="A11" s="70" t="s">
        <v>149</v>
      </c>
      <c r="B11" s="71">
        <f t="shared" si="0"/>
        <v>206000</v>
      </c>
      <c r="C11" s="71">
        <v>215</v>
      </c>
      <c r="D11" s="71">
        <v>360</v>
      </c>
      <c r="E11" s="59"/>
      <c r="F11" s="59"/>
      <c r="G11" s="59"/>
      <c r="H11" s="59"/>
      <c r="I11" s="59"/>
      <c r="V11" s="78">
        <v>27</v>
      </c>
      <c r="W11" s="75">
        <v>3</v>
      </c>
      <c r="X11" s="79">
        <f t="shared" si="5"/>
        <v>572.55526111673976</v>
      </c>
      <c r="Y11" s="75">
        <v>459</v>
      </c>
      <c r="Z11" s="75">
        <v>1.2</v>
      </c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V11" s="75">
        <v>470</v>
      </c>
      <c r="AW11" s="75">
        <v>735</v>
      </c>
      <c r="AX11" s="75">
        <v>620</v>
      </c>
      <c r="BI11" s="20" t="s">
        <v>46</v>
      </c>
      <c r="BJ11" s="21" t="s">
        <v>47</v>
      </c>
      <c r="BK11" s="22">
        <v>36000</v>
      </c>
      <c r="BL11" s="23">
        <v>29</v>
      </c>
      <c r="BM11" s="23">
        <v>22</v>
      </c>
      <c r="BN11" s="24">
        <v>2.1</v>
      </c>
      <c r="BO11" s="90">
        <v>1.4</v>
      </c>
      <c r="BP11" s="89" t="s">
        <v>150</v>
      </c>
      <c r="BQ11" s="89">
        <f t="shared" si="6"/>
        <v>32</v>
      </c>
      <c r="CC11" s="80" t="s">
        <v>82</v>
      </c>
      <c r="CD11" s="81">
        <v>300</v>
      </c>
      <c r="CE11" s="81">
        <v>440</v>
      </c>
      <c r="CF11" s="80">
        <f t="shared" si="1"/>
        <v>300</v>
      </c>
      <c r="CG11" s="80"/>
      <c r="CH11" s="80">
        <f t="shared" si="3"/>
        <v>300</v>
      </c>
      <c r="CI11" s="80">
        <v>210</v>
      </c>
      <c r="CJ11" s="82">
        <v>200000</v>
      </c>
      <c r="DA11" s="7" t="str">
        <f t="shared" si="7"/>
        <v>H50W1000 - 1.5</v>
      </c>
      <c r="DB11" s="101" t="s">
        <v>23</v>
      </c>
      <c r="DC11" s="103">
        <v>1.5</v>
      </c>
      <c r="DD11" s="8">
        <f t="shared" si="8"/>
        <v>1.46</v>
      </c>
      <c r="DE11" s="103">
        <v>1200</v>
      </c>
      <c r="DF11" s="103">
        <v>1000</v>
      </c>
      <c r="DG11" s="9">
        <v>50</v>
      </c>
      <c r="DH11" s="9">
        <v>14.2</v>
      </c>
      <c r="DI11" s="9">
        <v>364</v>
      </c>
      <c r="DJ11" s="9">
        <v>280</v>
      </c>
      <c r="DK11" s="103">
        <f>93.39*10^4</f>
        <v>933900</v>
      </c>
      <c r="DL11" s="106">
        <f>34.02*10^3</f>
        <v>34020</v>
      </c>
      <c r="DM11" s="10">
        <f t="shared" si="9"/>
        <v>27.451499118165785</v>
      </c>
      <c r="DN11" s="103">
        <f t="shared" si="11"/>
        <v>1239.2765820751686</v>
      </c>
      <c r="DO11" s="9">
        <f t="shared" si="10"/>
        <v>167.5</v>
      </c>
      <c r="DP11" s="54"/>
      <c r="DQ11" s="89">
        <v>27.451499118165785</v>
      </c>
      <c r="DR11" s="114">
        <v>142</v>
      </c>
      <c r="DS11" s="114">
        <v>343</v>
      </c>
      <c r="DT11" s="114">
        <v>142</v>
      </c>
      <c r="DU11" s="114">
        <v>171</v>
      </c>
      <c r="DV11" s="113" t="s">
        <v>196</v>
      </c>
    </row>
    <row r="12" spans="1:135" ht="15.75">
      <c r="A12" s="70" t="s">
        <v>151</v>
      </c>
      <c r="B12" s="71">
        <f t="shared" si="0"/>
        <v>206000</v>
      </c>
      <c r="C12" s="71">
        <v>275</v>
      </c>
      <c r="D12" s="71">
        <v>410</v>
      </c>
      <c r="E12" s="59"/>
      <c r="F12" s="59"/>
      <c r="G12" s="59"/>
      <c r="H12" s="59"/>
      <c r="I12" s="59"/>
      <c r="V12" s="78">
        <v>30</v>
      </c>
      <c r="W12" s="75">
        <v>3.5</v>
      </c>
      <c r="X12" s="79">
        <f t="shared" si="5"/>
        <v>706.85834705770344</v>
      </c>
      <c r="Y12" s="75">
        <v>561</v>
      </c>
      <c r="Z12" s="75">
        <v>1.3</v>
      </c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V12" s="75">
        <v>480</v>
      </c>
      <c r="AW12" s="75">
        <v>750</v>
      </c>
      <c r="AX12" s="75">
        <v>630</v>
      </c>
      <c r="BI12" s="20" t="s">
        <v>48</v>
      </c>
      <c r="BJ12" s="21" t="s">
        <v>49</v>
      </c>
      <c r="BK12" s="22">
        <v>37000</v>
      </c>
      <c r="BL12" s="23">
        <v>32</v>
      </c>
      <c r="BM12" s="23">
        <v>25</v>
      </c>
      <c r="BN12" s="24">
        <v>2.25</v>
      </c>
      <c r="BO12" s="90">
        <v>1.5</v>
      </c>
      <c r="BP12" s="89" t="s">
        <v>152</v>
      </c>
      <c r="BQ12" s="89">
        <f t="shared" si="6"/>
        <v>35</v>
      </c>
      <c r="CC12" s="80" t="s">
        <v>153</v>
      </c>
      <c r="CD12" s="81">
        <v>300</v>
      </c>
      <c r="CE12" s="81">
        <v>450</v>
      </c>
      <c r="CF12" s="80">
        <f t="shared" si="1"/>
        <v>300</v>
      </c>
      <c r="CG12" s="80"/>
      <c r="CH12" s="80">
        <f t="shared" si="3"/>
        <v>300</v>
      </c>
      <c r="CI12" s="80">
        <v>210</v>
      </c>
      <c r="CJ12" s="82">
        <v>200000</v>
      </c>
      <c r="DA12" s="7" t="str">
        <f>DB12&amp;" - "&amp;DC12</f>
        <v>Comflor 46 - 0.9</v>
      </c>
      <c r="DB12" s="102" t="s">
        <v>24</v>
      </c>
      <c r="DC12" s="105">
        <v>0.9</v>
      </c>
      <c r="DD12" s="14">
        <f t="shared" ref="DD12:DD17" si="12">DC12-0.04</f>
        <v>0.86</v>
      </c>
      <c r="DE12" s="15"/>
      <c r="DF12" s="105">
        <v>900</v>
      </c>
      <c r="DG12" s="15">
        <v>46</v>
      </c>
      <c r="DH12" s="15">
        <v>9</v>
      </c>
      <c r="DI12" s="15"/>
      <c r="DJ12" s="15"/>
      <c r="DK12" s="105">
        <f>41.5*10^4</f>
        <v>415000</v>
      </c>
      <c r="DL12" s="108">
        <f>DK12/DM12</f>
        <v>20363.101079489697</v>
      </c>
      <c r="DM12" s="16">
        <v>20.38</v>
      </c>
      <c r="DN12" s="105">
        <v>1137</v>
      </c>
      <c r="DO12" s="15">
        <f>105+(105-67)/2</f>
        <v>124</v>
      </c>
      <c r="DP12" s="54"/>
      <c r="DQ12" s="89">
        <v>20.38</v>
      </c>
      <c r="DR12" s="114">
        <v>105</v>
      </c>
      <c r="DS12" s="114">
        <v>225</v>
      </c>
      <c r="DT12" s="114">
        <v>67</v>
      </c>
      <c r="DU12" s="114">
        <v>131.5</v>
      </c>
      <c r="DV12" s="113" t="s">
        <v>196</v>
      </c>
    </row>
    <row r="13" spans="1:135" ht="15.75">
      <c r="A13" s="70" t="s">
        <v>154</v>
      </c>
      <c r="B13" s="71">
        <f t="shared" si="0"/>
        <v>206000</v>
      </c>
      <c r="C13" s="71">
        <v>265</v>
      </c>
      <c r="D13" s="71">
        <v>410</v>
      </c>
      <c r="E13" s="59"/>
      <c r="F13" s="59"/>
      <c r="G13" s="59"/>
      <c r="H13" s="59"/>
      <c r="I13" s="59"/>
      <c r="V13" s="78">
        <v>36</v>
      </c>
      <c r="W13" s="75">
        <v>4</v>
      </c>
      <c r="X13" s="79">
        <f t="shared" si="5"/>
        <v>1017.8760197630929</v>
      </c>
      <c r="Y13" s="75">
        <v>816</v>
      </c>
      <c r="Z13" s="75">
        <v>1.3</v>
      </c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V13" s="75">
        <v>490</v>
      </c>
      <c r="AW13" s="75">
        <v>765</v>
      </c>
      <c r="AX13" s="75">
        <v>645</v>
      </c>
      <c r="BI13" s="20" t="s">
        <v>50</v>
      </c>
      <c r="BJ13" s="21" t="s">
        <v>51</v>
      </c>
      <c r="BK13" s="22">
        <v>38000</v>
      </c>
      <c r="BL13" s="23">
        <v>36</v>
      </c>
      <c r="BM13" s="23">
        <v>27.5</v>
      </c>
      <c r="BN13" s="24">
        <v>2.4500000000000002</v>
      </c>
      <c r="BO13" s="90">
        <v>1.6</v>
      </c>
      <c r="BP13" s="89" t="s">
        <v>155</v>
      </c>
      <c r="BQ13" s="89">
        <f t="shared" si="6"/>
        <v>40</v>
      </c>
      <c r="CC13" s="80" t="s">
        <v>156</v>
      </c>
      <c r="CD13" s="81">
        <v>400</v>
      </c>
      <c r="CE13" s="81">
        <v>570</v>
      </c>
      <c r="CF13" s="80">
        <f t="shared" si="1"/>
        <v>400</v>
      </c>
      <c r="CG13" s="80"/>
      <c r="CH13" s="80">
        <f t="shared" si="3"/>
        <v>400</v>
      </c>
      <c r="CI13" s="80">
        <v>280</v>
      </c>
      <c r="CJ13" s="82">
        <v>200000</v>
      </c>
      <c r="DA13" s="7" t="str">
        <f>DB13&amp;" - "&amp;DC13</f>
        <v>Comflor 46 - 1.2</v>
      </c>
      <c r="DB13" s="102" t="s">
        <v>24</v>
      </c>
      <c r="DC13" s="105">
        <v>1.2</v>
      </c>
      <c r="DD13" s="14">
        <f t="shared" si="12"/>
        <v>1.1599999999999999</v>
      </c>
      <c r="DE13" s="15"/>
      <c r="DF13" s="105">
        <v>900</v>
      </c>
      <c r="DG13" s="15">
        <v>46</v>
      </c>
      <c r="DH13" s="15"/>
      <c r="DI13" s="15"/>
      <c r="DJ13" s="15"/>
      <c r="DK13" s="105">
        <f>53*10^4</f>
        <v>530000</v>
      </c>
      <c r="DL13" s="108">
        <f>DK13/DM13</f>
        <v>25929.549902152641</v>
      </c>
      <c r="DM13" s="16">
        <v>20.440000000000001</v>
      </c>
      <c r="DN13" s="105">
        <v>1534</v>
      </c>
      <c r="DO13" s="15">
        <v>124</v>
      </c>
      <c r="DP13" s="54"/>
      <c r="DQ13" s="89">
        <v>20.440000000000001</v>
      </c>
      <c r="DR13" s="114">
        <v>105</v>
      </c>
      <c r="DS13" s="114">
        <v>225</v>
      </c>
      <c r="DT13" s="114">
        <v>67</v>
      </c>
      <c r="DU13" s="114">
        <v>131.5</v>
      </c>
      <c r="DV13" s="113" t="s">
        <v>196</v>
      </c>
    </row>
    <row r="14" spans="1:135" ht="15.75">
      <c r="A14" s="70" t="s">
        <v>157</v>
      </c>
      <c r="B14" s="71">
        <f t="shared" si="0"/>
        <v>206000</v>
      </c>
      <c r="C14" s="71">
        <v>255</v>
      </c>
      <c r="D14" s="71">
        <v>410</v>
      </c>
      <c r="E14" s="59"/>
      <c r="F14" s="59"/>
      <c r="G14" s="59"/>
      <c r="H14" s="59"/>
      <c r="I14" s="59"/>
      <c r="V14" s="78">
        <v>42</v>
      </c>
      <c r="W14" s="75">
        <v>4.5</v>
      </c>
      <c r="X14" s="79">
        <f t="shared" si="5"/>
        <v>1385.4423602330987</v>
      </c>
      <c r="Y14" s="75">
        <v>1120</v>
      </c>
      <c r="Z14" s="75">
        <v>1.6</v>
      </c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V14" s="75">
        <v>510</v>
      </c>
      <c r="AW14" s="75">
        <v>795</v>
      </c>
      <c r="AX14" s="75">
        <v>670</v>
      </c>
      <c r="BI14" s="20" t="s">
        <v>50</v>
      </c>
      <c r="BJ14" s="21" t="s">
        <v>52</v>
      </c>
      <c r="BK14" s="22">
        <v>39000</v>
      </c>
      <c r="BL14" s="23">
        <v>39.5</v>
      </c>
      <c r="BM14" s="23">
        <v>30</v>
      </c>
      <c r="BN14" s="24">
        <v>2.6</v>
      </c>
      <c r="BO14" s="90">
        <v>1.7</v>
      </c>
      <c r="BP14" s="89" t="s">
        <v>158</v>
      </c>
      <c r="BQ14" s="89">
        <f t="shared" si="6"/>
        <v>45</v>
      </c>
      <c r="CC14" s="80" t="s">
        <v>159</v>
      </c>
      <c r="CD14" s="81">
        <v>500</v>
      </c>
      <c r="CE14" s="81">
        <v>650</v>
      </c>
      <c r="CF14" s="80">
        <f t="shared" si="1"/>
        <v>500</v>
      </c>
      <c r="CG14" s="80"/>
      <c r="CH14" s="80">
        <f t="shared" si="3"/>
        <v>500</v>
      </c>
      <c r="CI14" s="80">
        <v>300</v>
      </c>
      <c r="CJ14" s="82">
        <v>200000</v>
      </c>
      <c r="DA14" s="7" t="str">
        <f>DB14&amp;" - "&amp;DC14</f>
        <v>Comflor 51 - 0.9</v>
      </c>
      <c r="DB14" s="101" t="s">
        <v>25</v>
      </c>
      <c r="DC14" s="103">
        <v>0.9</v>
      </c>
      <c r="DD14" s="8">
        <f t="shared" si="12"/>
        <v>0.86</v>
      </c>
      <c r="DE14" s="9"/>
      <c r="DF14" s="103">
        <v>600</v>
      </c>
      <c r="DG14" s="9">
        <v>51</v>
      </c>
      <c r="DH14" s="9"/>
      <c r="DI14" s="9"/>
      <c r="DJ14" s="9"/>
      <c r="DK14" s="103">
        <f>60.44*10^4</f>
        <v>604400</v>
      </c>
      <c r="DL14" s="109">
        <f>DK14/DM14</f>
        <v>38012.578616352199</v>
      </c>
      <c r="DM14" s="10">
        <v>15.9</v>
      </c>
      <c r="DN14" s="103">
        <v>1578</v>
      </c>
      <c r="DO14" s="9">
        <f>135-(150-135)/2</f>
        <v>127.5</v>
      </c>
      <c r="DP14" s="54"/>
      <c r="DQ14" s="89">
        <v>15.9</v>
      </c>
      <c r="DR14" s="114">
        <v>135</v>
      </c>
      <c r="DS14" s="114">
        <v>150</v>
      </c>
      <c r="DT14" s="114">
        <v>38</v>
      </c>
      <c r="DU14" s="114">
        <f>150-38</f>
        <v>112</v>
      </c>
      <c r="DV14" s="89" t="s">
        <v>197</v>
      </c>
    </row>
    <row r="15" spans="1:135" ht="16.5" thickBot="1">
      <c r="A15" s="70" t="s">
        <v>160</v>
      </c>
      <c r="B15" s="71">
        <f t="shared" si="0"/>
        <v>206000</v>
      </c>
      <c r="C15" s="71">
        <v>245</v>
      </c>
      <c r="D15" s="71">
        <v>410</v>
      </c>
      <c r="E15" s="59"/>
      <c r="F15" s="59"/>
      <c r="G15" s="59"/>
      <c r="H15" s="59"/>
      <c r="I15" s="59"/>
      <c r="V15" s="78">
        <v>48</v>
      </c>
      <c r="W15" s="75">
        <v>5</v>
      </c>
      <c r="X15" s="79">
        <f t="shared" si="5"/>
        <v>1809.5573684677208</v>
      </c>
      <c r="Y15" s="75">
        <v>1472</v>
      </c>
      <c r="Z15" s="75">
        <v>1.6</v>
      </c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V15" s="75">
        <v>540</v>
      </c>
      <c r="AW15" s="75">
        <v>845</v>
      </c>
      <c r="AX15" s="75">
        <v>710</v>
      </c>
      <c r="BI15" s="25" t="s">
        <v>53</v>
      </c>
      <c r="BJ15" s="26" t="s">
        <v>54</v>
      </c>
      <c r="BK15" s="27">
        <v>39500</v>
      </c>
      <c r="BL15" s="28">
        <v>43</v>
      </c>
      <c r="BM15" s="28">
        <v>33</v>
      </c>
      <c r="BN15" s="29">
        <v>2.75</v>
      </c>
      <c r="BO15" s="92">
        <v>1.8</v>
      </c>
      <c r="BP15" s="89" t="s">
        <v>161</v>
      </c>
      <c r="BQ15" s="89">
        <f t="shared" si="6"/>
        <v>50</v>
      </c>
      <c r="CC15" s="80" t="s">
        <v>162</v>
      </c>
      <c r="CD15" s="81">
        <v>235</v>
      </c>
      <c r="CE15" s="81">
        <v>380</v>
      </c>
      <c r="CF15" s="80">
        <f t="shared" si="1"/>
        <v>235</v>
      </c>
      <c r="CG15" s="80">
        <f t="shared" si="2"/>
        <v>204.34782608695653</v>
      </c>
      <c r="CH15" s="80">
        <f t="shared" si="3"/>
        <v>235</v>
      </c>
      <c r="CI15" s="80">
        <f t="shared" si="4"/>
        <v>164.5</v>
      </c>
      <c r="CJ15" s="93">
        <v>200000</v>
      </c>
      <c r="DA15" s="7" t="str">
        <f>DB15&amp;" - "&amp;DC15</f>
        <v>Comflor 51 - 1</v>
      </c>
      <c r="DB15" s="101" t="s">
        <v>25</v>
      </c>
      <c r="DC15" s="103">
        <v>1</v>
      </c>
      <c r="DD15" s="8">
        <f t="shared" si="12"/>
        <v>0.96</v>
      </c>
      <c r="DE15" s="9"/>
      <c r="DF15" s="103">
        <v>600</v>
      </c>
      <c r="DG15" s="9">
        <v>51</v>
      </c>
      <c r="DH15" s="9"/>
      <c r="DI15" s="9"/>
      <c r="DJ15" s="9"/>
      <c r="DK15" s="103">
        <f>67.09*10^4</f>
        <v>670900</v>
      </c>
      <c r="DL15" s="109">
        <f>DK15/DM15</f>
        <v>40660.606060606064</v>
      </c>
      <c r="DM15" s="10">
        <v>16.5</v>
      </c>
      <c r="DN15" s="103">
        <v>1762</v>
      </c>
      <c r="DO15" s="9">
        <f>DO14</f>
        <v>127.5</v>
      </c>
      <c r="DP15" s="54"/>
      <c r="DQ15" s="89">
        <v>16.5</v>
      </c>
      <c r="DR15" s="114">
        <v>135</v>
      </c>
      <c r="DS15" s="114">
        <v>150</v>
      </c>
      <c r="DT15" s="114">
        <v>38</v>
      </c>
      <c r="DU15" s="114">
        <f>150-38</f>
        <v>112</v>
      </c>
      <c r="DV15" s="89" t="s">
        <v>197</v>
      </c>
    </row>
    <row r="16" spans="1:135" ht="15.75">
      <c r="A16" s="70" t="s">
        <v>163</v>
      </c>
      <c r="B16" s="71">
        <f t="shared" si="0"/>
        <v>206000</v>
      </c>
      <c r="C16" s="71">
        <v>235</v>
      </c>
      <c r="D16" s="71">
        <v>410</v>
      </c>
      <c r="E16" s="59"/>
      <c r="F16" s="59"/>
      <c r="G16" s="59"/>
      <c r="H16" s="59"/>
      <c r="I16" s="59"/>
      <c r="AV16" s="75">
        <v>570</v>
      </c>
      <c r="AW16" s="75">
        <v>890</v>
      </c>
      <c r="AX16" s="75">
        <v>750</v>
      </c>
      <c r="CC16" s="80" t="s">
        <v>164</v>
      </c>
      <c r="CD16" s="81">
        <v>295</v>
      </c>
      <c r="CE16" s="81">
        <v>440</v>
      </c>
      <c r="CF16" s="80">
        <f t="shared" si="1"/>
        <v>295</v>
      </c>
      <c r="CG16" s="80">
        <f t="shared" si="2"/>
        <v>256.52173913043481</v>
      </c>
      <c r="CH16" s="80">
        <f t="shared" si="3"/>
        <v>295</v>
      </c>
      <c r="CI16" s="80">
        <f t="shared" si="4"/>
        <v>206.5</v>
      </c>
      <c r="CJ16" s="93">
        <v>200000</v>
      </c>
      <c r="DA16" s="7" t="str">
        <f>DB16&amp;" - "&amp;DC16</f>
        <v>Comflor 51 - 1.2</v>
      </c>
      <c r="DB16" s="101" t="s">
        <v>25</v>
      </c>
      <c r="DC16" s="103">
        <v>1.2</v>
      </c>
      <c r="DD16" s="8">
        <f t="shared" si="12"/>
        <v>1.1599999999999999</v>
      </c>
      <c r="DE16" s="9"/>
      <c r="DF16" s="103">
        <v>600</v>
      </c>
      <c r="DG16" s="9">
        <v>51</v>
      </c>
      <c r="DH16" s="9"/>
      <c r="DI16" s="9"/>
      <c r="DJ16" s="9"/>
      <c r="DK16" s="103">
        <f>69*10^4</f>
        <v>690000</v>
      </c>
      <c r="DL16" s="109">
        <f>DK16/DM16</f>
        <v>41071.428571428572</v>
      </c>
      <c r="DM16" s="10">
        <v>16.8</v>
      </c>
      <c r="DN16" s="103">
        <v>2137</v>
      </c>
      <c r="DO16" s="9">
        <f>DO15</f>
        <v>127.5</v>
      </c>
      <c r="DP16" s="54"/>
      <c r="DQ16" s="89">
        <v>16.8</v>
      </c>
      <c r="DR16" s="114">
        <v>135</v>
      </c>
      <c r="DS16" s="114">
        <v>150</v>
      </c>
      <c r="DT16" s="114">
        <v>38</v>
      </c>
      <c r="DU16" s="114">
        <f>150-38</f>
        <v>112</v>
      </c>
      <c r="DV16" s="89" t="s">
        <v>197</v>
      </c>
    </row>
    <row r="17" spans="1:126" ht="15.75">
      <c r="A17" s="70" t="s">
        <v>165</v>
      </c>
      <c r="B17" s="71">
        <f t="shared" si="0"/>
        <v>206000</v>
      </c>
      <c r="C17" s="71">
        <v>355</v>
      </c>
      <c r="D17" s="71">
        <v>470</v>
      </c>
      <c r="E17" s="59"/>
      <c r="F17" s="59"/>
      <c r="G17" s="59"/>
      <c r="H17" s="59"/>
      <c r="I17" s="59"/>
      <c r="AV17" s="75">
        <v>590</v>
      </c>
      <c r="AW17" s="75">
        <v>920</v>
      </c>
      <c r="AX17" s="75">
        <v>775</v>
      </c>
      <c r="CC17" s="80" t="s">
        <v>166</v>
      </c>
      <c r="CD17" s="81">
        <v>295</v>
      </c>
      <c r="CE17" s="81">
        <v>440</v>
      </c>
      <c r="CF17" s="80">
        <f t="shared" si="1"/>
        <v>295</v>
      </c>
      <c r="CG17" s="80">
        <f t="shared" si="2"/>
        <v>256.52173913043481</v>
      </c>
      <c r="CH17" s="80">
        <f t="shared" si="3"/>
        <v>295</v>
      </c>
      <c r="CI17" s="80">
        <f t="shared" si="4"/>
        <v>206.5</v>
      </c>
      <c r="CJ17" s="93">
        <v>200000</v>
      </c>
      <c r="DA17" s="7" t="s">
        <v>211</v>
      </c>
      <c r="DB17" s="7" t="s">
        <v>211</v>
      </c>
      <c r="DC17" s="104">
        <v>1.1000000000000001</v>
      </c>
      <c r="DD17" s="11">
        <f t="shared" si="12"/>
        <v>1.06</v>
      </c>
      <c r="DE17" s="12"/>
      <c r="DF17" s="104"/>
      <c r="DG17" s="12">
        <v>51</v>
      </c>
      <c r="DH17" s="12">
        <v>16</v>
      </c>
      <c r="DI17" s="12"/>
      <c r="DJ17" s="12"/>
      <c r="DK17" s="103">
        <v>685000</v>
      </c>
      <c r="DL17" s="107"/>
      <c r="DM17" s="13">
        <v>16.7</v>
      </c>
      <c r="DN17" s="104">
        <v>1938</v>
      </c>
      <c r="DO17" s="12"/>
      <c r="DP17" s="54"/>
      <c r="DQ17" s="89">
        <v>16.7</v>
      </c>
      <c r="DR17" s="114">
        <v>137.5</v>
      </c>
      <c r="DS17" s="114">
        <v>152.5</v>
      </c>
      <c r="DT17" s="114">
        <v>40</v>
      </c>
      <c r="DU17" s="114">
        <v>112.5</v>
      </c>
      <c r="DV17" s="89" t="s">
        <v>197</v>
      </c>
    </row>
    <row r="18" spans="1:126" ht="15.75">
      <c r="A18" s="70" t="s">
        <v>167</v>
      </c>
      <c r="B18" s="71">
        <f t="shared" si="0"/>
        <v>206000</v>
      </c>
      <c r="C18" s="71">
        <v>345</v>
      </c>
      <c r="D18" s="71">
        <v>470</v>
      </c>
      <c r="E18" s="59"/>
      <c r="F18" s="59"/>
      <c r="G18" s="59"/>
      <c r="H18" s="59"/>
      <c r="I18" s="59"/>
      <c r="AV18" s="75"/>
      <c r="AW18" s="75"/>
      <c r="AX18" s="75"/>
      <c r="CC18" s="80" t="s">
        <v>168</v>
      </c>
      <c r="CD18" s="81">
        <v>390</v>
      </c>
      <c r="CE18" s="81">
        <v>560</v>
      </c>
      <c r="CF18" s="80">
        <f t="shared" si="1"/>
        <v>390</v>
      </c>
      <c r="CG18" s="80">
        <f t="shared" si="2"/>
        <v>339.13043478260875</v>
      </c>
      <c r="CH18" s="80">
        <f t="shared" si="3"/>
        <v>390</v>
      </c>
      <c r="CI18" s="80">
        <f t="shared" si="4"/>
        <v>273</v>
      </c>
      <c r="CJ18" s="91">
        <v>200000</v>
      </c>
      <c r="DA18" s="7" t="s">
        <v>216</v>
      </c>
      <c r="DB18" s="7" t="s">
        <v>216</v>
      </c>
      <c r="DC18" s="104">
        <v>0.9</v>
      </c>
      <c r="DD18" s="11">
        <v>0.86</v>
      </c>
      <c r="DE18" s="12"/>
      <c r="DF18" s="104">
        <v>900</v>
      </c>
      <c r="DG18" s="12">
        <v>46</v>
      </c>
      <c r="DH18" s="12">
        <v>9</v>
      </c>
      <c r="DI18" s="12"/>
      <c r="DJ18" s="12"/>
      <c r="DK18" s="103">
        <v>415000</v>
      </c>
      <c r="DL18" s="107">
        <v>20363.101079489697</v>
      </c>
      <c r="DM18" s="13">
        <v>20.38</v>
      </c>
      <c r="DN18" s="104">
        <v>1137</v>
      </c>
      <c r="DO18" s="12">
        <v>124</v>
      </c>
      <c r="DP18" s="54"/>
      <c r="DQ18" s="89">
        <v>20.38</v>
      </c>
      <c r="DR18" s="114">
        <v>105</v>
      </c>
      <c r="DS18" s="114">
        <v>225</v>
      </c>
      <c r="DT18" s="114">
        <v>67</v>
      </c>
      <c r="DU18" s="114">
        <v>131.5</v>
      </c>
      <c r="DV18" s="89" t="s">
        <v>196</v>
      </c>
    </row>
    <row r="19" spans="1:126" ht="15.75">
      <c r="A19" s="70" t="s">
        <v>169</v>
      </c>
      <c r="B19" s="71">
        <f t="shared" si="0"/>
        <v>206000</v>
      </c>
      <c r="C19" s="71">
        <v>335</v>
      </c>
      <c r="D19" s="71">
        <v>470</v>
      </c>
      <c r="E19" s="59"/>
      <c r="F19" s="59"/>
      <c r="G19" s="59"/>
      <c r="H19" s="59"/>
      <c r="I19" s="59"/>
      <c r="AV19" s="75"/>
      <c r="AW19" s="75"/>
      <c r="AX19" s="75"/>
      <c r="CC19" s="80" t="s">
        <v>170</v>
      </c>
      <c r="CD19" s="81">
        <v>490</v>
      </c>
      <c r="CE19" s="81">
        <v>620</v>
      </c>
      <c r="CF19" s="80">
        <f t="shared" si="1"/>
        <v>490</v>
      </c>
      <c r="CG19" s="80">
        <f t="shared" si="2"/>
        <v>426.08695652173918</v>
      </c>
      <c r="CH19" s="80">
        <f t="shared" si="3"/>
        <v>490</v>
      </c>
      <c r="CI19" s="80">
        <f t="shared" si="4"/>
        <v>343</v>
      </c>
      <c r="CJ19" s="93">
        <v>200000</v>
      </c>
      <c r="DA19" s="7" t="s">
        <v>280</v>
      </c>
      <c r="DB19" s="7" t="s">
        <v>280</v>
      </c>
      <c r="DC19" s="103">
        <v>1.1499999999999999</v>
      </c>
      <c r="DD19" s="8">
        <f t="shared" ref="DD19:DD20" si="13">DC19-0.04</f>
        <v>1.1099999999999999</v>
      </c>
      <c r="DE19" s="103">
        <v>1200</v>
      </c>
      <c r="DF19" s="103">
        <v>1000</v>
      </c>
      <c r="DG19" s="9">
        <v>50</v>
      </c>
      <c r="DH19" s="9">
        <v>11.1</v>
      </c>
      <c r="DI19" s="9">
        <v>364</v>
      </c>
      <c r="DJ19" s="9">
        <v>280</v>
      </c>
      <c r="DK19" s="103">
        <f>76.76*10^4</f>
        <v>767600</v>
      </c>
      <c r="DL19" s="106">
        <f>28.47*10^3</f>
        <v>28470</v>
      </c>
      <c r="DM19" s="10">
        <f t="shared" ref="DM19" si="14">DK19/DL19</f>
        <v>26.961714085001756</v>
      </c>
      <c r="DN19" s="103">
        <f t="shared" ref="DN19" si="15">DK19/DQ19^2</f>
        <v>1055.9417665450756</v>
      </c>
      <c r="DO19" s="9">
        <f t="shared" ref="DO19" si="16">135+(200-135)/2</f>
        <v>167.5</v>
      </c>
      <c r="DP19" s="54"/>
      <c r="DQ19" s="89">
        <v>26.961714085001756</v>
      </c>
      <c r="DR19" s="114">
        <v>135</v>
      </c>
      <c r="DS19" s="114">
        <v>335</v>
      </c>
      <c r="DT19" s="114">
        <v>142</v>
      </c>
      <c r="DU19" s="114">
        <v>171</v>
      </c>
      <c r="DV19" s="113" t="s">
        <v>196</v>
      </c>
    </row>
    <row r="20" spans="1:126" ht="15.75">
      <c r="A20" s="70" t="s">
        <v>171</v>
      </c>
      <c r="B20" s="71">
        <f t="shared" si="0"/>
        <v>206000</v>
      </c>
      <c r="C20" s="71">
        <v>325</v>
      </c>
      <c r="D20" s="71">
        <v>470</v>
      </c>
      <c r="E20" s="59"/>
      <c r="F20" s="59"/>
      <c r="G20" s="59"/>
      <c r="H20" s="59"/>
      <c r="I20" s="59"/>
      <c r="AV20" s="75"/>
      <c r="AW20" s="75"/>
      <c r="AX20" s="75"/>
      <c r="CC20" s="94"/>
      <c r="CD20" s="95"/>
      <c r="CE20" s="95"/>
      <c r="DA20" s="7" t="s">
        <v>289</v>
      </c>
      <c r="DB20" s="7" t="s">
        <v>289</v>
      </c>
      <c r="DC20" s="103">
        <v>0.6</v>
      </c>
      <c r="DD20" s="8">
        <f t="shared" si="13"/>
        <v>0.55999999999999994</v>
      </c>
      <c r="DE20" s="103"/>
      <c r="DF20" s="103"/>
      <c r="DG20" s="9">
        <v>51</v>
      </c>
      <c r="DH20" s="9">
        <v>5.6</v>
      </c>
      <c r="DI20" s="9"/>
      <c r="DJ20" s="9"/>
      <c r="DK20" s="103">
        <v>430000</v>
      </c>
      <c r="DL20" s="106">
        <v>17000</v>
      </c>
      <c r="DM20" s="10"/>
      <c r="DN20" s="103"/>
      <c r="DO20" s="9"/>
      <c r="DP20" s="54"/>
      <c r="DQ20" s="89"/>
      <c r="DR20" s="114">
        <v>190</v>
      </c>
      <c r="DS20" s="114">
        <v>380</v>
      </c>
      <c r="DT20" s="114"/>
      <c r="DU20" s="114"/>
      <c r="DV20" s="113" t="s">
        <v>196</v>
      </c>
    </row>
    <row r="21" spans="1:126">
      <c r="A21" s="70" t="s">
        <v>172</v>
      </c>
      <c r="B21" s="71">
        <f t="shared" si="0"/>
        <v>206000</v>
      </c>
      <c r="C21" s="71">
        <v>315</v>
      </c>
      <c r="D21" s="71">
        <v>470</v>
      </c>
      <c r="E21" s="59"/>
      <c r="F21" s="59"/>
      <c r="G21" s="59"/>
      <c r="H21" s="59"/>
      <c r="I21" s="59"/>
      <c r="AV21" s="75"/>
      <c r="AW21" s="75"/>
      <c r="AX21" s="75"/>
      <c r="CC21" s="94"/>
      <c r="CD21" s="95"/>
      <c r="CE21" s="95"/>
    </row>
    <row r="22" spans="1:126">
      <c r="A22" s="70" t="s">
        <v>173</v>
      </c>
      <c r="B22" s="71">
        <f t="shared" si="0"/>
        <v>206000</v>
      </c>
      <c r="C22" s="71">
        <v>205</v>
      </c>
      <c r="D22" s="71">
        <v>330</v>
      </c>
      <c r="E22" s="59"/>
      <c r="F22" s="59"/>
      <c r="G22" s="59"/>
      <c r="H22" s="59"/>
      <c r="I22" s="59"/>
      <c r="AV22" s="75"/>
      <c r="AW22" s="75"/>
      <c r="AX22" s="75"/>
    </row>
    <row r="23" spans="1:126">
      <c r="A23" s="70" t="s">
        <v>174</v>
      </c>
      <c r="B23" s="71">
        <f t="shared" si="0"/>
        <v>206000</v>
      </c>
      <c r="C23" s="71">
        <v>195</v>
      </c>
      <c r="D23" s="71">
        <v>330</v>
      </c>
      <c r="E23" s="59"/>
      <c r="F23" s="59"/>
      <c r="G23" s="59"/>
      <c r="H23" s="59"/>
      <c r="I23" s="59"/>
      <c r="AV23" s="75"/>
      <c r="AW23" s="75"/>
      <c r="AX23" s="75"/>
    </row>
    <row r="24" spans="1:126">
      <c r="A24" s="70" t="s">
        <v>175</v>
      </c>
      <c r="B24" s="71">
        <f t="shared" si="0"/>
        <v>206000</v>
      </c>
      <c r="C24" s="71">
        <v>245</v>
      </c>
      <c r="D24" s="71">
        <v>400</v>
      </c>
      <c r="E24" s="59"/>
      <c r="F24" s="59"/>
      <c r="G24" s="59"/>
      <c r="H24" s="59"/>
      <c r="I24" s="59"/>
    </row>
    <row r="25" spans="1:126">
      <c r="A25" s="70" t="s">
        <v>176</v>
      </c>
      <c r="B25" s="71">
        <f t="shared" si="0"/>
        <v>206000</v>
      </c>
      <c r="C25" s="71">
        <v>235</v>
      </c>
      <c r="D25" s="71">
        <v>400</v>
      </c>
      <c r="E25" s="59"/>
      <c r="F25" s="59"/>
      <c r="G25" s="59"/>
      <c r="H25" s="59"/>
      <c r="I25" s="59"/>
    </row>
    <row r="26" spans="1:126">
      <c r="A26" s="70" t="s">
        <v>177</v>
      </c>
      <c r="B26" s="71">
        <f t="shared" si="0"/>
        <v>206000</v>
      </c>
      <c r="C26" s="71">
        <v>285</v>
      </c>
      <c r="D26" s="71">
        <v>490</v>
      </c>
      <c r="E26" s="59"/>
      <c r="F26" s="59"/>
      <c r="G26" s="59"/>
      <c r="H26" s="59"/>
      <c r="I26" s="59"/>
    </row>
    <row r="27" spans="1:126">
      <c r="A27" s="70" t="s">
        <v>178</v>
      </c>
      <c r="B27" s="71">
        <f t="shared" si="0"/>
        <v>206000</v>
      </c>
      <c r="C27" s="71">
        <v>275</v>
      </c>
      <c r="D27" s="71">
        <v>490</v>
      </c>
      <c r="E27" s="59"/>
      <c r="F27" s="59"/>
      <c r="G27" s="59"/>
      <c r="H27" s="59"/>
      <c r="I27" s="59"/>
    </row>
    <row r="28" spans="1:126">
      <c r="A28" s="70" t="s">
        <v>179</v>
      </c>
      <c r="B28" s="71">
        <f t="shared" si="0"/>
        <v>206000</v>
      </c>
      <c r="C28" s="71">
        <v>400</v>
      </c>
      <c r="D28" s="71">
        <v>540</v>
      </c>
      <c r="E28" s="59"/>
      <c r="F28" s="59"/>
      <c r="G28" s="59"/>
      <c r="H28" s="59"/>
      <c r="I28" s="59"/>
    </row>
    <row r="29" spans="1:126">
      <c r="A29" s="70" t="s">
        <v>180</v>
      </c>
      <c r="B29" s="71">
        <f t="shared" si="0"/>
        <v>206000</v>
      </c>
      <c r="C29" s="71">
        <v>390</v>
      </c>
      <c r="D29" s="71">
        <v>540</v>
      </c>
      <c r="E29" s="59"/>
      <c r="F29" s="59"/>
      <c r="G29" s="59"/>
      <c r="H29" s="59"/>
      <c r="I29" s="59"/>
    </row>
  </sheetData>
  <mergeCells count="35">
    <mergeCell ref="BI1:BJ4"/>
    <mergeCell ref="DT1:DT4"/>
    <mergeCell ref="DU1:DU4"/>
    <mergeCell ref="DP1:DP4"/>
    <mergeCell ref="DQ1:DQ4"/>
    <mergeCell ref="DR1:DR4"/>
    <mergeCell ref="DS1:DS4"/>
    <mergeCell ref="DH1:DH4"/>
    <mergeCell ref="DG1:DG4"/>
    <mergeCell ref="BK1:BK3"/>
    <mergeCell ref="BL1:BO1"/>
    <mergeCell ref="BP1:BQ2"/>
    <mergeCell ref="CC1:CJ1"/>
    <mergeCell ref="DF1:DF4"/>
    <mergeCell ref="DE1:DE4"/>
    <mergeCell ref="DO1:DO4"/>
    <mergeCell ref="A1:A2"/>
    <mergeCell ref="K1:O2"/>
    <mergeCell ref="V1:Z2"/>
    <mergeCell ref="AV1:AX1"/>
    <mergeCell ref="AZ1:BB1"/>
    <mergeCell ref="DV1:DV4"/>
    <mergeCell ref="DN1:DN4"/>
    <mergeCell ref="BL2:BM2"/>
    <mergeCell ref="BN2:BO2"/>
    <mergeCell ref="CC2:CC3"/>
    <mergeCell ref="BP3:BP4"/>
    <mergeCell ref="DM1:DM4"/>
    <mergeCell ref="DD1:DD4"/>
    <mergeCell ref="DL1:DL4"/>
    <mergeCell ref="DK1:DK4"/>
    <mergeCell ref="DA1:DB4"/>
    <mergeCell ref="DC1:DC4"/>
    <mergeCell ref="DJ1:DJ4"/>
    <mergeCell ref="DI1:DI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C00000"/>
  </sheetPr>
  <dimension ref="B1:Y1048322"/>
  <sheetViews>
    <sheetView showGridLines="0" tabSelected="1" view="pageBreakPreview" zoomScale="145" zoomScaleNormal="145" zoomScaleSheetLayoutView="145" workbookViewId="0">
      <selection activeCell="B4" sqref="B4"/>
    </sheetView>
  </sheetViews>
  <sheetFormatPr defaultColWidth="7.28515625" defaultRowHeight="12.75"/>
  <cols>
    <col min="1" max="1" width="3" style="1" customWidth="1"/>
    <col min="2" max="3" width="7.28515625" style="1"/>
    <col min="4" max="4" width="9" style="1" bestFit="1" customWidth="1"/>
    <col min="5" max="5" width="7.28515625" style="1" customWidth="1"/>
    <col min="6" max="6" width="8.42578125" style="1" bestFit="1" customWidth="1"/>
    <col min="7" max="7" width="10" style="1" bestFit="1" customWidth="1"/>
    <col min="8" max="8" width="8.7109375" style="1" bestFit="1" customWidth="1"/>
    <col min="9" max="9" width="8.28515625" style="1" customWidth="1"/>
    <col min="10" max="12" width="8.7109375" style="1" customWidth="1"/>
    <col min="13" max="16384" width="7.28515625" style="1"/>
  </cols>
  <sheetData>
    <row r="1" spans="2:25" ht="15" customHeight="1"/>
    <row r="2" spans="2:25" ht="12.75" customHeight="1">
      <c r="B2" s="250" t="s">
        <v>349</v>
      </c>
      <c r="C2" s="251"/>
      <c r="D2" s="251"/>
      <c r="E2" s="251"/>
      <c r="F2" s="251"/>
      <c r="G2" s="251"/>
      <c r="H2" s="251"/>
      <c r="I2" s="251"/>
      <c r="J2" s="246" t="str">
        <f>L21</f>
        <v>H50W1000 - 0.75</v>
      </c>
      <c r="K2" s="246"/>
      <c r="L2" s="246"/>
      <c r="M2" s="247"/>
    </row>
    <row r="3" spans="2:25" ht="12.75" customHeight="1">
      <c r="B3" s="252"/>
      <c r="C3" s="253"/>
      <c r="D3" s="253"/>
      <c r="E3" s="253"/>
      <c r="F3" s="253"/>
      <c r="G3" s="253"/>
      <c r="H3" s="253"/>
      <c r="I3" s="253"/>
      <c r="J3" s="248"/>
      <c r="K3" s="248"/>
      <c r="L3" s="248"/>
      <c r="M3" s="249"/>
    </row>
    <row r="4" spans="2:25" ht="12.75" customHeight="1">
      <c r="B4" s="17" t="s">
        <v>28</v>
      </c>
      <c r="C4" s="133"/>
      <c r="D4" s="134"/>
      <c r="E4" s="135"/>
      <c r="F4" s="135"/>
      <c r="G4" s="135"/>
      <c r="H4" s="135"/>
      <c r="I4" s="135"/>
      <c r="J4" s="135"/>
      <c r="K4" s="135"/>
      <c r="L4" s="135"/>
      <c r="M4" s="118"/>
      <c r="Y4" s="117"/>
    </row>
    <row r="5" spans="2:25" ht="12.75" customHeight="1">
      <c r="B5" s="119"/>
      <c r="C5" s="133" t="str">
        <f>"1."</f>
        <v>1.</v>
      </c>
      <c r="D5" s="134" t="s">
        <v>26</v>
      </c>
      <c r="E5" s="135"/>
      <c r="F5" s="135"/>
      <c r="G5" s="135"/>
      <c r="H5" s="135"/>
      <c r="I5" s="135"/>
      <c r="J5" s="135"/>
      <c r="K5" s="135"/>
      <c r="L5" s="135"/>
      <c r="M5" s="118"/>
      <c r="Y5" s="117"/>
    </row>
    <row r="6" spans="2:25" ht="12.75" customHeight="1">
      <c r="B6" s="119"/>
      <c r="C6" s="133" t="str">
        <f>"2."</f>
        <v>2.</v>
      </c>
      <c r="D6" s="134" t="s">
        <v>27</v>
      </c>
      <c r="E6" s="135"/>
      <c r="F6" s="135"/>
      <c r="G6" s="135"/>
      <c r="H6" s="135"/>
      <c r="I6" s="135"/>
      <c r="J6" s="135"/>
      <c r="K6" s="135"/>
      <c r="L6" s="135"/>
      <c r="M6" s="118"/>
    </row>
    <row r="7" spans="2:25" ht="12.75" customHeight="1">
      <c r="B7" s="119"/>
      <c r="C7" s="133" t="str">
        <f>"3."</f>
        <v>3.</v>
      </c>
      <c r="D7" s="134" t="s">
        <v>328</v>
      </c>
      <c r="E7" s="135"/>
      <c r="F7" s="135"/>
      <c r="G7" s="135"/>
      <c r="H7" s="135"/>
      <c r="I7" s="135"/>
      <c r="J7" s="135"/>
      <c r="K7" s="135"/>
      <c r="L7" s="135"/>
      <c r="M7" s="118"/>
    </row>
    <row r="8" spans="2:25" ht="12.75" customHeight="1">
      <c r="B8" s="119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18"/>
    </row>
    <row r="9" spans="2:25" ht="12.75" customHeight="1">
      <c r="B9" s="259" t="s">
        <v>0</v>
      </c>
      <c r="C9" s="260"/>
      <c r="D9" s="260"/>
      <c r="E9" s="58"/>
      <c r="F9" s="58"/>
      <c r="G9" s="58"/>
      <c r="H9" s="58"/>
      <c r="I9" s="58"/>
      <c r="J9" s="58"/>
      <c r="K9" s="58"/>
      <c r="L9" s="58"/>
      <c r="M9" s="2"/>
    </row>
    <row r="10" spans="2:25" ht="12.75" customHeight="1">
      <c r="B10" s="3" t="s">
        <v>194</v>
      </c>
      <c r="C10" s="135"/>
      <c r="D10" s="135"/>
      <c r="E10" s="135"/>
      <c r="F10" s="136"/>
      <c r="G10" s="136"/>
      <c r="H10" s="135"/>
      <c r="I10" s="135"/>
      <c r="J10" s="135"/>
      <c r="K10" s="135"/>
      <c r="L10" s="135"/>
      <c r="M10" s="118"/>
      <c r="Y10" s="117"/>
    </row>
    <row r="11" spans="2:25" ht="12.75" customHeight="1">
      <c r="B11" s="30" t="str">
        <f>"a. Bê tông"</f>
        <v>a. Bê tông</v>
      </c>
      <c r="C11" s="58"/>
      <c r="D11" s="135"/>
      <c r="E11" s="135"/>
      <c r="F11" s="261"/>
      <c r="G11" s="261"/>
      <c r="H11" s="261"/>
      <c r="I11" s="135"/>
      <c r="J11" s="135"/>
      <c r="K11" s="135"/>
      <c r="L11" s="135"/>
      <c r="M11" s="118"/>
    </row>
    <row r="12" spans="2:25" ht="12.75" customHeight="1">
      <c r="B12" s="119"/>
      <c r="C12" s="136" t="str">
        <f>"- Cấp cường độ:"</f>
        <v>- Cấp cường độ:</v>
      </c>
      <c r="D12" s="136"/>
      <c r="E12" s="136"/>
      <c r="F12" s="136"/>
      <c r="G12" s="136"/>
      <c r="H12" s="136"/>
      <c r="I12" s="136"/>
      <c r="J12" s="136"/>
      <c r="K12" s="136"/>
      <c r="L12" s="137" t="s">
        <v>41</v>
      </c>
      <c r="M12" s="116"/>
    </row>
    <row r="13" spans="2:25" ht="12.75" customHeight="1">
      <c r="B13" s="18"/>
      <c r="C13" s="136" t="str">
        <f>"- Cường độ chịu nén :"</f>
        <v>- Cường độ chịu nén :</v>
      </c>
      <c r="D13" s="136"/>
      <c r="E13" s="136"/>
      <c r="F13" s="136"/>
      <c r="G13" s="136"/>
      <c r="H13" s="136"/>
      <c r="I13" s="136"/>
      <c r="J13" s="136"/>
      <c r="K13" s="138" t="s">
        <v>257</v>
      </c>
      <c r="L13" s="57">
        <f>VLOOKUP(L12,Data!$BJ$5:$BQ$15,4,FALSE)</f>
        <v>14.5</v>
      </c>
      <c r="M13" s="116" t="s">
        <v>1</v>
      </c>
    </row>
    <row r="14" spans="2:25" ht="12.75" customHeight="1">
      <c r="B14" s="18"/>
      <c r="C14" s="136" t="str">
        <f>"- Module đàn hồi của bê tông:"</f>
        <v>- Module đàn hồi của bê tông:</v>
      </c>
      <c r="D14" s="136"/>
      <c r="E14" s="136"/>
      <c r="F14" s="136"/>
      <c r="G14" s="136"/>
      <c r="H14" s="136"/>
      <c r="I14" s="136"/>
      <c r="J14" s="136"/>
      <c r="K14" s="138" t="s">
        <v>260</v>
      </c>
      <c r="L14" s="57">
        <f>VLOOKUP(L12,Data!$BJ$5:$BQ$15,2,FALSE)</f>
        <v>30000</v>
      </c>
      <c r="M14" s="116" t="s">
        <v>1</v>
      </c>
    </row>
    <row r="15" spans="2:25" ht="12.75" customHeight="1">
      <c r="B15" s="30" t="str">
        <f>"b. Cốt thép"</f>
        <v>b. Cốt thép</v>
      </c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16"/>
    </row>
    <row r="16" spans="2:25" ht="12.75" customHeight="1">
      <c r="B16" s="18"/>
      <c r="C16" s="136" t="str">
        <f>"- Mác thép:"</f>
        <v>- Mác thép:</v>
      </c>
      <c r="D16" s="136"/>
      <c r="E16" s="136"/>
      <c r="F16" s="136"/>
      <c r="G16" s="136"/>
      <c r="H16" s="136"/>
      <c r="I16" s="136"/>
      <c r="J16" s="136"/>
      <c r="K16" s="136"/>
      <c r="L16" s="137" t="s">
        <v>153</v>
      </c>
      <c r="M16" s="116"/>
    </row>
    <row r="17" spans="2:25" ht="12.75" customHeight="1">
      <c r="B17" s="18"/>
      <c r="C17" s="136" t="str">
        <f>"- Giới hạn chảy:"</f>
        <v>- Giới hạn chảy:</v>
      </c>
      <c r="D17" s="136"/>
      <c r="E17" s="136"/>
      <c r="F17" s="136"/>
      <c r="G17" s="136"/>
      <c r="H17" s="136"/>
      <c r="I17" s="136"/>
      <c r="J17" s="136"/>
      <c r="K17" s="138" t="s">
        <v>226</v>
      </c>
      <c r="L17" s="57">
        <f>VLOOKUP(L16,Data!$CC$4:$CJ$99,2,FALSE)</f>
        <v>300</v>
      </c>
      <c r="M17" s="116" t="s">
        <v>1</v>
      </c>
      <c r="Y17" s="117"/>
    </row>
    <row r="18" spans="2:25" ht="12.75" customHeight="1">
      <c r="B18" s="18"/>
      <c r="C18" s="136" t="str">
        <f>"- Cường độ chịu kéo thiết kế:"</f>
        <v>- Cường độ chịu kéo thiết kế:</v>
      </c>
      <c r="D18" s="136"/>
      <c r="E18" s="136"/>
      <c r="F18" s="136"/>
      <c r="G18" s="136"/>
      <c r="H18" s="136"/>
      <c r="I18" s="136"/>
      <c r="J18" s="136"/>
      <c r="K18" s="138" t="s">
        <v>261</v>
      </c>
      <c r="L18" s="139">
        <f>L17/1.15</f>
        <v>260.86956521739131</v>
      </c>
      <c r="M18" s="116" t="s">
        <v>1</v>
      </c>
      <c r="Y18" s="117"/>
    </row>
    <row r="19" spans="2:25" ht="12.75" customHeight="1">
      <c r="B19" s="18"/>
      <c r="C19" s="136" t="str">
        <f>"- Module đàn hồi của cốt thép:"</f>
        <v>- Module đàn hồi của cốt thép:</v>
      </c>
      <c r="D19" s="136"/>
      <c r="E19" s="136"/>
      <c r="F19" s="136"/>
      <c r="G19" s="136"/>
      <c r="H19" s="136"/>
      <c r="I19" s="136"/>
      <c r="J19" s="136"/>
      <c r="K19" s="138" t="s">
        <v>181</v>
      </c>
      <c r="L19" s="140">
        <v>200000</v>
      </c>
      <c r="M19" s="116" t="s">
        <v>1</v>
      </c>
      <c r="Y19" s="117"/>
    </row>
    <row r="20" spans="2:25" ht="15" customHeight="1">
      <c r="B20" s="30" t="str">
        <f>"c. Tôn thép"</f>
        <v>c. Tôn thép</v>
      </c>
      <c r="C20" s="136"/>
      <c r="D20" s="136"/>
      <c r="E20" s="136"/>
      <c r="F20" s="136"/>
      <c r="G20" s="136"/>
      <c r="H20" s="136"/>
      <c r="I20" s="136"/>
      <c r="J20" s="136"/>
      <c r="K20" s="136"/>
      <c r="L20" s="57"/>
      <c r="M20" s="116"/>
      <c r="Y20" s="117"/>
    </row>
    <row r="21" spans="2:25" ht="15" customHeight="1">
      <c r="B21" s="39"/>
      <c r="C21" s="136" t="str">
        <f>"- Loại tôn:"</f>
        <v>- Loại tôn:</v>
      </c>
      <c r="D21" s="136"/>
      <c r="E21" s="136"/>
      <c r="F21" s="136"/>
      <c r="G21" s="136"/>
      <c r="H21" s="136"/>
      <c r="I21" s="136"/>
      <c r="J21" s="136"/>
      <c r="K21" s="136"/>
      <c r="L21" s="137" t="s">
        <v>321</v>
      </c>
      <c r="M21" s="116"/>
      <c r="N21" s="1" t="str">
        <f>VLOOKUP(L21,Data!$DA$7:$DV$99,22,FALSE)</f>
        <v>Open trough profile</v>
      </c>
      <c r="Y21" s="117"/>
    </row>
    <row r="22" spans="2:25" ht="15" customHeight="1">
      <c r="B22" s="39"/>
      <c r="C22" s="136" t="str">
        <f>"- Chiều dày thô:"</f>
        <v>- Chiều dày thô:</v>
      </c>
      <c r="D22" s="136"/>
      <c r="E22" s="136"/>
      <c r="F22" s="136"/>
      <c r="G22" s="136"/>
      <c r="H22" s="136"/>
      <c r="I22" s="136"/>
      <c r="J22" s="136"/>
      <c r="K22" s="141" t="s">
        <v>3</v>
      </c>
      <c r="L22" s="57">
        <f>VLOOKUP(L21,Data!$DA$7:$DU$99,3,FALSE)</f>
        <v>0.75</v>
      </c>
      <c r="M22" s="116" t="s">
        <v>2</v>
      </c>
      <c r="Y22" s="117"/>
    </row>
    <row r="23" spans="2:25" ht="15" hidden="1" customHeight="1">
      <c r="B23" s="39"/>
      <c r="C23" s="136" t="str">
        <f>"- Chiều dày tinh:"</f>
        <v>- Chiều dày tinh:</v>
      </c>
      <c r="D23" s="136"/>
      <c r="E23" s="136"/>
      <c r="F23" s="136"/>
      <c r="G23" s="136"/>
      <c r="H23" s="136"/>
      <c r="I23" s="136"/>
      <c r="J23" s="136"/>
      <c r="K23" s="141" t="s">
        <v>245</v>
      </c>
      <c r="L23" s="57">
        <f>VLOOKUP(L21,Data!$DA$7:$DU$99,4,FALSE)</f>
        <v>0.71</v>
      </c>
      <c r="M23" s="116" t="s">
        <v>2</v>
      </c>
      <c r="Y23" s="117"/>
    </row>
    <row r="24" spans="2:25" ht="15" customHeight="1">
      <c r="B24" s="39"/>
      <c r="C24" s="136" t="str">
        <f>"- Giới hạn chảy:"</f>
        <v>- Giới hạn chảy:</v>
      </c>
      <c r="D24" s="136"/>
      <c r="E24" s="136"/>
      <c r="F24" s="136"/>
      <c r="G24" s="136"/>
      <c r="H24" s="136"/>
      <c r="I24" s="136"/>
      <c r="J24" s="136"/>
      <c r="K24" s="138" t="s">
        <v>200</v>
      </c>
      <c r="L24" s="137">
        <v>280</v>
      </c>
      <c r="M24" s="116" t="s">
        <v>1</v>
      </c>
      <c r="Y24" s="117"/>
    </row>
    <row r="25" spans="2:25" ht="15" customHeight="1">
      <c r="B25" s="39"/>
      <c r="C25" s="136" t="str">
        <f>"- Cường độ chịu kéo thiết kế:"</f>
        <v>- Cường độ chịu kéo thiết kế:</v>
      </c>
      <c r="D25" s="136"/>
      <c r="E25" s="136"/>
      <c r="F25" s="136"/>
      <c r="G25" s="136"/>
      <c r="H25" s="136"/>
      <c r="I25" s="136"/>
      <c r="J25" s="136"/>
      <c r="K25" s="138" t="s">
        <v>201</v>
      </c>
      <c r="L25" s="139">
        <f>L24/E56</f>
        <v>266.66666666666663</v>
      </c>
      <c r="M25" s="116" t="s">
        <v>1</v>
      </c>
      <c r="Y25" s="117"/>
    </row>
    <row r="26" spans="2:25" ht="15" customHeight="1">
      <c r="B26" s="39"/>
      <c r="C26" s="136" t="str">
        <f>"- Module đàn hồi:"</f>
        <v>- Module đàn hồi:</v>
      </c>
      <c r="D26" s="136"/>
      <c r="E26" s="136"/>
      <c r="F26" s="136"/>
      <c r="G26" s="136"/>
      <c r="H26" s="136"/>
      <c r="I26" s="136"/>
      <c r="J26" s="136"/>
      <c r="K26" s="138" t="s">
        <v>204</v>
      </c>
      <c r="L26" s="139">
        <v>210000</v>
      </c>
      <c r="M26" s="116" t="s">
        <v>203</v>
      </c>
      <c r="Y26" s="117"/>
    </row>
    <row r="27" spans="2:25" ht="15" customHeight="1">
      <c r="B27" s="120" t="s">
        <v>229</v>
      </c>
      <c r="C27" s="136"/>
      <c r="D27" s="136"/>
      <c r="H27" s="136"/>
      <c r="I27" s="136"/>
      <c r="J27" s="136"/>
      <c r="K27" s="142"/>
      <c r="M27" s="116"/>
      <c r="Y27" s="117"/>
    </row>
    <row r="28" spans="2:25" ht="15" customHeight="1">
      <c r="B28" s="120"/>
      <c r="C28" s="136" t="str">
        <f>"- Mác thép:"</f>
        <v>- Mác thép:</v>
      </c>
      <c r="D28" s="136"/>
      <c r="H28" s="136"/>
      <c r="I28" s="136"/>
      <c r="J28" s="136"/>
      <c r="K28" s="142"/>
      <c r="L28" s="143" t="s">
        <v>126</v>
      </c>
      <c r="M28" s="116"/>
      <c r="Y28" s="117"/>
    </row>
    <row r="29" spans="2:25" ht="15" customHeight="1">
      <c r="B29" s="121"/>
      <c r="C29" s="136" t="str">
        <f>"- Giới hạn chảy:"</f>
        <v>- Giới hạn chảy:</v>
      </c>
      <c r="D29" s="136"/>
      <c r="H29" s="136"/>
      <c r="I29" s="136"/>
      <c r="J29" s="136"/>
      <c r="K29" s="141" t="s">
        <v>226</v>
      </c>
      <c r="L29" s="57">
        <f>VLOOKUP(L28,Data!$A$3:$J$99,3,FALSE)</f>
        <v>345</v>
      </c>
      <c r="M29" s="126" t="s">
        <v>1</v>
      </c>
      <c r="Y29" s="117"/>
    </row>
    <row r="30" spans="2:25" ht="15" customHeight="1">
      <c r="B30" s="121"/>
      <c r="C30" s="136" t="str">
        <f>"- Cường độ chịu kéo thiết kế:"</f>
        <v>- Cường độ chịu kéo thiết kế:</v>
      </c>
      <c r="D30" s="136"/>
      <c r="H30" s="136"/>
      <c r="I30" s="136"/>
      <c r="J30" s="136"/>
      <c r="K30" s="141" t="s">
        <v>227</v>
      </c>
      <c r="L30" s="139">
        <f>L29/E56</f>
        <v>328.57142857142856</v>
      </c>
      <c r="M30" s="126" t="s">
        <v>1</v>
      </c>
      <c r="Y30" s="117"/>
    </row>
    <row r="31" spans="2:25" ht="15" customHeight="1">
      <c r="B31" s="121"/>
      <c r="C31" s="136" t="str">
        <f>"- Module đàn hồi:"</f>
        <v>- Module đàn hồi:</v>
      </c>
      <c r="D31" s="136"/>
      <c r="I31" s="136"/>
      <c r="J31" s="136"/>
      <c r="K31" s="141" t="s">
        <v>228</v>
      </c>
      <c r="L31" s="139">
        <v>210000</v>
      </c>
      <c r="M31" s="126" t="s">
        <v>1</v>
      </c>
      <c r="Y31" s="117"/>
    </row>
    <row r="32" spans="2:25" ht="15" customHeight="1">
      <c r="B32" s="120" t="s">
        <v>230</v>
      </c>
      <c r="C32" s="136"/>
      <c r="D32" s="136"/>
      <c r="H32" s="136"/>
      <c r="I32" s="136"/>
      <c r="J32" s="136"/>
      <c r="K32" s="142"/>
      <c r="L32" s="144"/>
      <c r="M32" s="116"/>
      <c r="Y32" s="117"/>
    </row>
    <row r="33" spans="2:25" ht="15" customHeight="1">
      <c r="B33" s="121"/>
      <c r="C33" s="136" t="str">
        <f>"- Mác thép:"</f>
        <v>- Mác thép:</v>
      </c>
      <c r="D33" s="136"/>
      <c r="H33" s="136"/>
      <c r="I33" s="136"/>
      <c r="J33" s="136"/>
      <c r="K33" s="141"/>
      <c r="L33" s="137">
        <v>5.6</v>
      </c>
      <c r="M33" s="126"/>
      <c r="Y33" s="117"/>
    </row>
    <row r="34" spans="2:25" ht="15" customHeight="1">
      <c r="B34" s="121"/>
      <c r="C34" s="136" t="str">
        <f>"- Giới hạn chịu cắt:"</f>
        <v>- Giới hạn chịu cắt:</v>
      </c>
      <c r="D34" s="136"/>
      <c r="H34" s="136"/>
      <c r="I34" s="136"/>
      <c r="J34" s="136"/>
      <c r="K34" s="141" t="s">
        <v>325</v>
      </c>
      <c r="L34" s="57">
        <f>VLOOKUP(L33,Data!$K$4:$O$99,4,FALSE)</f>
        <v>210</v>
      </c>
      <c r="M34" s="126" t="s">
        <v>1</v>
      </c>
      <c r="Y34" s="117"/>
    </row>
    <row r="35" spans="2:25" ht="15" hidden="1" customHeight="1">
      <c r="Y35" s="117"/>
    </row>
    <row r="36" spans="2:25" ht="15" hidden="1" customHeight="1">
      <c r="Y36" s="117"/>
    </row>
    <row r="37" spans="2:25" ht="15" hidden="1" customHeight="1">
      <c r="Y37" s="117"/>
    </row>
    <row r="38" spans="2:25" ht="12.75" customHeight="1">
      <c r="B38" s="3" t="s">
        <v>232</v>
      </c>
      <c r="C38" s="136"/>
      <c r="D38" s="136"/>
      <c r="E38" s="136"/>
      <c r="F38" s="136"/>
      <c r="G38" s="136"/>
      <c r="H38" s="136"/>
      <c r="I38" s="136"/>
      <c r="J38" s="136"/>
      <c r="K38" s="136"/>
      <c r="L38" s="57"/>
      <c r="M38" s="116"/>
      <c r="Y38" s="117"/>
    </row>
    <row r="39" spans="2:25" ht="12.75" customHeight="1">
      <c r="B39" s="39"/>
      <c r="C39" s="58" t="str">
        <f>"- Nhịp tính toán của sàn:"</f>
        <v>- Nhịp tính toán của sàn:</v>
      </c>
      <c r="D39" s="136"/>
      <c r="E39" s="136"/>
      <c r="F39" s="136"/>
      <c r="G39" s="136"/>
      <c r="H39" s="136"/>
      <c r="I39" s="136"/>
      <c r="J39" s="136"/>
      <c r="K39" s="141" t="s">
        <v>234</v>
      </c>
      <c r="L39" s="137">
        <v>3</v>
      </c>
      <c r="M39" s="116" t="s">
        <v>185</v>
      </c>
      <c r="N39" s="1" t="str">
        <f>"L = "&amp; L39</f>
        <v>L = 3</v>
      </c>
      <c r="Y39" s="117"/>
    </row>
    <row r="40" spans="2:25" ht="12.75" customHeight="1">
      <c r="B40" s="39"/>
      <c r="C40" s="136" t="str">
        <f>"- Chiều dày sàn:"</f>
        <v>- Chiều dày sàn:</v>
      </c>
      <c r="D40" s="136"/>
      <c r="E40" s="136"/>
      <c r="F40" s="136"/>
      <c r="G40" s="136"/>
      <c r="H40" s="136"/>
      <c r="I40" s="136"/>
      <c r="J40" s="136"/>
      <c r="K40" s="138" t="s">
        <v>184</v>
      </c>
      <c r="L40" s="137">
        <v>101</v>
      </c>
      <c r="M40" s="116" t="s">
        <v>2</v>
      </c>
    </row>
    <row r="41" spans="2:25" ht="12.75" customHeight="1">
      <c r="B41" s="39"/>
      <c r="C41" s="136" t="str">
        <f>"- Chiều dày phần bê tông trên bondek:"</f>
        <v>- Chiều dày phần bê tông trên bondek:</v>
      </c>
      <c r="D41" s="136"/>
      <c r="E41" s="136"/>
      <c r="F41" s="136"/>
      <c r="G41" s="136"/>
      <c r="H41" s="136"/>
      <c r="I41" s="136"/>
      <c r="J41" s="136"/>
      <c r="K41" s="138" t="s">
        <v>206</v>
      </c>
      <c r="L41" s="139">
        <f>L40-L42</f>
        <v>51</v>
      </c>
      <c r="M41" s="116" t="s">
        <v>2</v>
      </c>
      <c r="Y41" s="117"/>
    </row>
    <row r="42" spans="2:25" ht="12.75" customHeight="1">
      <c r="B42" s="39"/>
      <c r="C42" s="136" t="str">
        <f>"- Chiều cao tôn:"</f>
        <v>- Chiều cao tôn:</v>
      </c>
      <c r="D42" s="136"/>
      <c r="E42" s="136"/>
      <c r="F42" s="136"/>
      <c r="G42" s="136"/>
      <c r="H42" s="136"/>
      <c r="I42" s="136"/>
      <c r="J42" s="136"/>
      <c r="K42" s="138" t="s">
        <v>207</v>
      </c>
      <c r="L42" s="139">
        <f>VLOOKUP(L21,Data!$DA$7:$DU$99,7,FALSE)</f>
        <v>50</v>
      </c>
      <c r="M42" s="116" t="s">
        <v>2</v>
      </c>
      <c r="Y42" s="117"/>
    </row>
    <row r="43" spans="2:25" ht="12.75" customHeight="1">
      <c r="B43" s="39"/>
      <c r="C43" s="136" t="str">
        <f>"- Chiều dày lớp bê tông bảo vệ:"</f>
        <v>- Chiều dày lớp bê tông bảo vệ:</v>
      </c>
      <c r="D43" s="136"/>
      <c r="E43" s="136"/>
      <c r="F43" s="136"/>
      <c r="G43" s="136"/>
      <c r="H43" s="136"/>
      <c r="I43" s="136"/>
      <c r="J43" s="136"/>
      <c r="K43" s="138" t="s">
        <v>208</v>
      </c>
      <c r="L43" s="137">
        <v>20</v>
      </c>
      <c r="M43" s="116" t="s">
        <v>2</v>
      </c>
    </row>
    <row r="44" spans="2:25" ht="12.75" customHeight="1">
      <c r="B44" s="39"/>
      <c r="C44" s="136" t="str">
        <f>"- Chiều cao làm việc:"</f>
        <v>- Chiều cao làm việc:</v>
      </c>
      <c r="D44" s="136"/>
      <c r="E44" s="136"/>
      <c r="F44" s="136"/>
      <c r="G44" s="136"/>
      <c r="H44" s="136"/>
      <c r="I44" s="136"/>
      <c r="J44" s="136"/>
      <c r="K44" s="138" t="s">
        <v>209</v>
      </c>
      <c r="L44" s="139">
        <f>L40-L43-K112/2</f>
        <v>76</v>
      </c>
      <c r="M44" s="116" t="s">
        <v>2</v>
      </c>
    </row>
    <row r="45" spans="2:25" ht="12.75" customHeight="1">
      <c r="B45" s="3" t="s">
        <v>291</v>
      </c>
      <c r="C45" s="136"/>
      <c r="D45" s="136"/>
      <c r="E45" s="136"/>
      <c r="F45" s="136"/>
      <c r="G45" s="136"/>
      <c r="H45" s="136"/>
      <c r="I45" s="136"/>
      <c r="J45" s="136"/>
      <c r="K45" s="133"/>
      <c r="L45" s="145"/>
      <c r="M45" s="19"/>
    </row>
    <row r="46" spans="2:25" ht="12.75" customHeight="1">
      <c r="B46" s="39"/>
      <c r="C46" s="136" t="str">
        <f>"- Nhịp tính toán của dầm:"</f>
        <v>- Nhịp tính toán của dầm:</v>
      </c>
      <c r="D46" s="136"/>
      <c r="E46" s="136"/>
      <c r="F46" s="136"/>
      <c r="G46" s="136"/>
      <c r="H46" s="136"/>
      <c r="I46" s="136"/>
      <c r="J46" s="136"/>
      <c r="K46" s="141" t="s">
        <v>233</v>
      </c>
      <c r="L46" s="137">
        <v>6</v>
      </c>
      <c r="M46" s="116" t="s">
        <v>185</v>
      </c>
      <c r="N46" s="1" t="str">
        <f>"L = "&amp; L46</f>
        <v>L = 6</v>
      </c>
    </row>
    <row r="47" spans="2:25" ht="12.75" customHeight="1">
      <c r="B47" s="39"/>
      <c r="C47" s="136" t="str">
        <f>"- Chiều cao tiết diện dầm:"</f>
        <v>- Chiều cao tiết diện dầm:</v>
      </c>
      <c r="D47" s="136"/>
      <c r="E47" s="136"/>
      <c r="F47" s="136"/>
      <c r="G47" s="136"/>
      <c r="H47" s="136"/>
      <c r="I47" s="136"/>
      <c r="J47" s="136"/>
      <c r="K47" s="141" t="s">
        <v>235</v>
      </c>
      <c r="L47" s="137">
        <v>350</v>
      </c>
      <c r="M47" s="116" t="s">
        <v>2</v>
      </c>
    </row>
    <row r="48" spans="2:25" ht="12.75" customHeight="1">
      <c r="B48" s="39"/>
      <c r="C48" s="136" t="str">
        <f>"- Chiều rộng bản cánh dầm:"</f>
        <v>- Chiều rộng bản cánh dầm:</v>
      </c>
      <c r="D48" s="136"/>
      <c r="E48" s="136"/>
      <c r="F48" s="136"/>
      <c r="G48" s="136"/>
      <c r="H48" s="136"/>
      <c r="I48" s="136"/>
      <c r="J48" s="136"/>
      <c r="K48" s="141" t="s">
        <v>236</v>
      </c>
      <c r="L48" s="137">
        <v>120</v>
      </c>
      <c r="M48" s="116" t="s">
        <v>2</v>
      </c>
    </row>
    <row r="49" spans="2:13" ht="12.75" customHeight="1">
      <c r="B49" s="39"/>
      <c r="C49" s="136" t="str">
        <f>"- Chiều dày bản bụng dầm:"</f>
        <v>- Chiều dày bản bụng dầm:</v>
      </c>
      <c r="D49" s="136"/>
      <c r="E49" s="136"/>
      <c r="F49" s="136"/>
      <c r="G49" s="136"/>
      <c r="H49" s="136"/>
      <c r="I49" s="136"/>
      <c r="J49" s="136"/>
      <c r="K49" s="141" t="s">
        <v>237</v>
      </c>
      <c r="L49" s="137">
        <v>5.4</v>
      </c>
      <c r="M49" s="116" t="s">
        <v>2</v>
      </c>
    </row>
    <row r="50" spans="2:13" ht="14.25">
      <c r="B50" s="39"/>
      <c r="C50" s="136" t="str">
        <f>"- Chiều dày bản cánh dầm:"</f>
        <v>- Chiều dày bản cánh dầm:</v>
      </c>
      <c r="D50" s="136"/>
      <c r="E50" s="136"/>
      <c r="F50" s="136"/>
      <c r="G50" s="136"/>
      <c r="H50" s="136"/>
      <c r="I50" s="136"/>
      <c r="J50" s="136"/>
      <c r="K50" s="141" t="s">
        <v>238</v>
      </c>
      <c r="L50" s="137">
        <v>8.9</v>
      </c>
      <c r="M50" s="116" t="s">
        <v>2</v>
      </c>
    </row>
    <row r="51" spans="2:13" ht="12.75" customHeight="1">
      <c r="B51" s="127"/>
      <c r="C51" s="266" t="s">
        <v>246</v>
      </c>
      <c r="D51" s="266"/>
      <c r="E51" s="266"/>
      <c r="F51" s="266"/>
      <c r="G51" s="266"/>
      <c r="H51" s="266" t="s">
        <v>239</v>
      </c>
      <c r="I51" s="266"/>
      <c r="J51" s="266"/>
      <c r="K51" s="266"/>
      <c r="L51" s="266"/>
      <c r="M51" s="19"/>
    </row>
    <row r="52" spans="2:13" ht="12.75" customHeight="1">
      <c r="B52" s="127"/>
      <c r="C52" s="75" t="s">
        <v>247</v>
      </c>
      <c r="D52" s="75" t="s">
        <v>248</v>
      </c>
      <c r="E52" s="75" t="s">
        <v>250</v>
      </c>
      <c r="F52" s="75" t="s">
        <v>251</v>
      </c>
      <c r="G52" s="75" t="s">
        <v>249</v>
      </c>
      <c r="H52" s="75" t="s">
        <v>252</v>
      </c>
      <c r="I52" s="75" t="s">
        <v>98</v>
      </c>
      <c r="J52" s="75" t="s">
        <v>240</v>
      </c>
      <c r="K52" s="75" t="s">
        <v>241</v>
      </c>
      <c r="L52" s="75" t="s">
        <v>298</v>
      </c>
      <c r="M52" s="19"/>
    </row>
    <row r="53" spans="2:13" ht="12.75" customHeight="1">
      <c r="B53" s="127"/>
      <c r="C53" s="75" t="s">
        <v>2</v>
      </c>
      <c r="D53" s="75" t="s">
        <v>2</v>
      </c>
      <c r="E53" s="75" t="s">
        <v>202</v>
      </c>
      <c r="F53" s="75" t="s">
        <v>203</v>
      </c>
      <c r="G53" s="75" t="s">
        <v>205</v>
      </c>
      <c r="H53" s="75" t="s">
        <v>2</v>
      </c>
      <c r="I53" s="122" t="s">
        <v>242</v>
      </c>
      <c r="J53" s="115" t="s">
        <v>243</v>
      </c>
      <c r="K53" s="115" t="s">
        <v>244</v>
      </c>
      <c r="L53" s="115" t="s">
        <v>244</v>
      </c>
      <c r="M53" s="19"/>
    </row>
    <row r="54" spans="2:13" ht="12.75" customHeight="1">
      <c r="B54" s="127"/>
      <c r="C54" s="31">
        <f>VLOOKUP(L21,Data!$DA$7:$DU$99,18,FALSE)</f>
        <v>142</v>
      </c>
      <c r="D54" s="31">
        <f>VLOOKUP(L21,Data!$DA$7:$DU$99,19,FALSE)</f>
        <v>343</v>
      </c>
      <c r="E54" s="79">
        <f>VLOOKUP(L21,Data!$DA$7:$DU$99,11,FALSE)</f>
        <v>617000</v>
      </c>
      <c r="F54" s="79">
        <f>VLOOKUP(L21,Data!$DA$7:$DU$99,12,FALSE)</f>
        <v>20110</v>
      </c>
      <c r="G54" s="125">
        <f>VLOOKUP(L21,Data!$DA$7:$DU$99,8,FALSE)/100</f>
        <v>7.1500000000000008E-2</v>
      </c>
      <c r="H54" s="31">
        <f>L47-2*L50</f>
        <v>332.2</v>
      </c>
      <c r="I54" s="123">
        <f>_xll.DCEPropSectI(L47,L49,L48,L50,L48,L50,"A")/100</f>
        <v>39.2988</v>
      </c>
      <c r="J54" s="124">
        <f>_xll.DCEPropSectI(L47,L49,L48,L50,L48,L50,"Ix")/10000</f>
        <v>7862.7722151600019</v>
      </c>
      <c r="K54" s="124">
        <f>J54/(L47/20)</f>
        <v>449.30126943771438</v>
      </c>
      <c r="L54" s="124">
        <f>_xll.DCEPropSectI(L47,L49,L48,L50,L48,L50,"SxT")/1000</f>
        <v>256.63826699999998</v>
      </c>
      <c r="M54" s="19"/>
    </row>
    <row r="55" spans="2:13" ht="12.75" customHeight="1">
      <c r="B55" s="3" t="s">
        <v>281</v>
      </c>
      <c r="C55" s="58"/>
      <c r="D55" s="135"/>
      <c r="E55" s="136"/>
      <c r="F55" s="133"/>
      <c r="G55" s="52"/>
      <c r="H55" s="134"/>
      <c r="I55" s="52"/>
      <c r="J55" s="146"/>
      <c r="K55" s="133"/>
      <c r="L55" s="145"/>
      <c r="M55" s="19"/>
    </row>
    <row r="56" spans="2:13" ht="12.75" customHeight="1">
      <c r="B56" s="18"/>
      <c r="C56" s="133"/>
      <c r="D56" s="147" t="s">
        <v>264</v>
      </c>
      <c r="E56" s="137">
        <v>1.05</v>
      </c>
      <c r="F56" s="133"/>
      <c r="G56" s="133"/>
      <c r="H56" s="147" t="s">
        <v>210</v>
      </c>
      <c r="I56" s="57">
        <v>0.95</v>
      </c>
      <c r="J56" s="133"/>
      <c r="K56" s="147"/>
      <c r="L56" s="137"/>
      <c r="M56" s="19"/>
    </row>
    <row r="57" spans="2:13" ht="12.75" customHeight="1">
      <c r="B57" s="148"/>
      <c r="C57" s="149"/>
      <c r="D57" s="150"/>
      <c r="E57" s="151"/>
      <c r="F57" s="149"/>
      <c r="G57" s="149"/>
      <c r="H57" s="150"/>
      <c r="I57" s="151"/>
      <c r="J57" s="149"/>
      <c r="K57" s="150"/>
      <c r="L57" s="152"/>
      <c r="M57" s="153"/>
    </row>
    <row r="58" spans="2:13" ht="12.75" customHeight="1">
      <c r="B58" s="262" t="s">
        <v>55</v>
      </c>
      <c r="C58" s="263"/>
      <c r="D58" s="263"/>
      <c r="E58" s="35"/>
      <c r="F58" s="36"/>
      <c r="G58" s="37"/>
      <c r="H58" s="38"/>
      <c r="I58" s="37"/>
      <c r="J58" s="37"/>
      <c r="K58" s="36"/>
      <c r="L58" s="192"/>
      <c r="M58" s="193"/>
    </row>
    <row r="59" spans="2:13" ht="12.75" customHeight="1">
      <c r="B59" s="3" t="s">
        <v>265</v>
      </c>
      <c r="C59" s="58"/>
      <c r="D59" s="135"/>
      <c r="E59" s="136"/>
      <c r="F59" s="133"/>
      <c r="G59" s="52"/>
      <c r="H59" s="134"/>
      <c r="I59" s="52"/>
      <c r="J59" s="52"/>
      <c r="K59" s="133"/>
      <c r="L59" s="145"/>
      <c r="M59" s="19"/>
    </row>
    <row r="60" spans="2:13" ht="12.75" customHeight="1">
      <c r="B60" s="53" t="str">
        <f>"a. Tải trọng"</f>
        <v>a. Tải trọng</v>
      </c>
      <c r="C60" s="136"/>
      <c r="D60" s="136"/>
      <c r="E60" s="136"/>
      <c r="F60" s="136"/>
      <c r="G60" s="136"/>
      <c r="H60" s="136"/>
      <c r="I60" s="136"/>
      <c r="J60" s="136"/>
      <c r="K60" s="136"/>
      <c r="L60" s="57"/>
      <c r="M60" s="116"/>
    </row>
    <row r="61" spans="2:13" ht="12.75" customHeight="1">
      <c r="B61" s="39"/>
      <c r="C61" s="267" t="s">
        <v>74</v>
      </c>
      <c r="D61" s="268"/>
      <c r="E61" s="268"/>
      <c r="F61" s="268"/>
      <c r="G61" s="268"/>
      <c r="H61" s="32" t="s">
        <v>286</v>
      </c>
      <c r="I61" s="32" t="s">
        <v>285</v>
      </c>
      <c r="J61" s="31" t="s">
        <v>283</v>
      </c>
      <c r="K61" s="31" t="s">
        <v>284</v>
      </c>
      <c r="L61" s="31" t="s">
        <v>75</v>
      </c>
      <c r="M61" s="116"/>
    </row>
    <row r="62" spans="2:13" ht="12.75" customHeight="1">
      <c r="B62" s="39"/>
      <c r="C62" s="33" t="s">
        <v>66</v>
      </c>
      <c r="D62" s="34"/>
      <c r="E62" s="35"/>
      <c r="F62" s="36"/>
      <c r="G62" s="37"/>
      <c r="H62" s="157"/>
      <c r="I62" s="33"/>
      <c r="J62" s="111">
        <f>SUM(J63:J64)</f>
        <v>1.9714999999999998</v>
      </c>
      <c r="K62" s="111">
        <f>SUM(K63:K64)</f>
        <v>2.1650749999999999</v>
      </c>
      <c r="L62" s="40"/>
      <c r="M62" s="116"/>
    </row>
    <row r="63" spans="2:13" ht="15">
      <c r="B63" s="39"/>
      <c r="C63" s="39"/>
      <c r="D63" s="58" t="s">
        <v>287</v>
      </c>
      <c r="E63" s="136"/>
      <c r="F63" s="133"/>
      <c r="G63" s="52"/>
      <c r="H63" s="41">
        <v>25</v>
      </c>
      <c r="I63" s="42">
        <v>1.1000000000000001</v>
      </c>
      <c r="J63" s="44">
        <f>H63*(L41+L42/2)/1000</f>
        <v>1.9</v>
      </c>
      <c r="K63" s="44">
        <f>IF(J63=0,"",I63*J63)</f>
        <v>2.09</v>
      </c>
      <c r="L63" s="45" t="s">
        <v>56</v>
      </c>
      <c r="M63" s="116"/>
    </row>
    <row r="64" spans="2:13" ht="12.75" customHeight="1">
      <c r="B64" s="39"/>
      <c r="C64" s="39"/>
      <c r="D64" s="58" t="s">
        <v>68</v>
      </c>
      <c r="E64" s="136"/>
      <c r="F64" s="133"/>
      <c r="G64" s="52"/>
      <c r="H64" s="41" t="s">
        <v>288</v>
      </c>
      <c r="I64" s="43">
        <v>1.05</v>
      </c>
      <c r="J64" s="159">
        <f>G54</f>
        <v>7.1500000000000008E-2</v>
      </c>
      <c r="K64" s="44">
        <f>IF(J64=0,"",I64*J64)</f>
        <v>7.5075000000000017E-2</v>
      </c>
      <c r="L64" s="45" t="s">
        <v>56</v>
      </c>
      <c r="M64" s="116"/>
    </row>
    <row r="65" spans="2:13" ht="12.75" customHeight="1">
      <c r="B65" s="39"/>
      <c r="C65" s="46" t="s">
        <v>72</v>
      </c>
      <c r="D65" s="47"/>
      <c r="E65" s="48"/>
      <c r="F65" s="49"/>
      <c r="G65" s="50"/>
      <c r="H65" s="158"/>
      <c r="I65" s="160">
        <v>1.2</v>
      </c>
      <c r="J65" s="99">
        <v>2.5</v>
      </c>
      <c r="K65" s="100">
        <f>J65*I65</f>
        <v>3</v>
      </c>
      <c r="L65" s="100" t="s">
        <v>56</v>
      </c>
      <c r="M65" s="116"/>
    </row>
    <row r="66" spans="2:13" ht="12.75" customHeight="1">
      <c r="B66" s="39"/>
      <c r="C66" s="256" t="s">
        <v>73</v>
      </c>
      <c r="D66" s="257"/>
      <c r="E66" s="257"/>
      <c r="F66" s="257"/>
      <c r="G66" s="257"/>
      <c r="H66" s="257"/>
      <c r="I66" s="258"/>
      <c r="J66" s="51">
        <f>SUM(J63:J64,J65)</f>
        <v>4.4714999999999998</v>
      </c>
      <c r="K66" s="51">
        <f>SUM(K63:K64,K65)</f>
        <v>5.1650749999999999</v>
      </c>
      <c r="L66" s="31" t="s">
        <v>56</v>
      </c>
      <c r="M66" s="116"/>
    </row>
    <row r="67" spans="2:13" ht="15" customHeight="1">
      <c r="B67" s="30" t="str">
        <f>"b. Nội lực"</f>
        <v>b. Nội lực</v>
      </c>
      <c r="C67" s="136"/>
      <c r="D67" s="136"/>
      <c r="E67" s="136"/>
      <c r="F67" s="136"/>
      <c r="G67" s="136"/>
      <c r="H67" s="136"/>
      <c r="I67" s="136"/>
      <c r="J67" s="136"/>
      <c r="K67" s="136"/>
      <c r="L67" s="57"/>
      <c r="M67" s="116"/>
    </row>
    <row r="68" spans="2:13" ht="15" customHeight="1">
      <c r="B68" s="39"/>
      <c r="C68" s="58" t="str">
        <f>"- Sử dụng cây chống:"</f>
        <v>- Sử dụng cây chống:</v>
      </c>
      <c r="D68" s="136"/>
      <c r="E68" s="133"/>
      <c r="F68" s="52"/>
      <c r="G68" s="134"/>
      <c r="H68" s="58"/>
      <c r="I68" s="135"/>
      <c r="J68" s="133"/>
      <c r="K68" s="136"/>
      <c r="L68" s="137" t="s">
        <v>292</v>
      </c>
      <c r="M68" s="116"/>
    </row>
    <row r="69" spans="2:13" ht="15" customHeight="1">
      <c r="B69" s="39"/>
      <c r="C69" s="58" t="str">
        <f>"- Sơ đồ tính:"</f>
        <v>- Sơ đồ tính:</v>
      </c>
      <c r="D69" s="136"/>
      <c r="E69" s="133"/>
      <c r="F69" s="52"/>
      <c r="G69" s="134"/>
      <c r="H69" s="58"/>
      <c r="I69" s="135"/>
      <c r="J69" s="133"/>
      <c r="K69" s="136"/>
      <c r="L69" s="52" t="s">
        <v>186</v>
      </c>
      <c r="M69" s="116"/>
    </row>
    <row r="70" spans="2:13" ht="15" customHeight="1">
      <c r="B70" s="39"/>
      <c r="C70" s="58" t="str">
        <f>"- Nhịp tính toán:"</f>
        <v>- Nhịp tính toán:</v>
      </c>
      <c r="D70" s="136"/>
      <c r="E70" s="136"/>
      <c r="F70" s="136"/>
      <c r="G70" s="136"/>
      <c r="H70" s="136"/>
      <c r="I70" s="136"/>
      <c r="J70" s="136"/>
      <c r="K70" s="141" t="s">
        <v>29</v>
      </c>
      <c r="L70" s="52">
        <f>IF(L68="N",L39,L39/2)</f>
        <v>1.5</v>
      </c>
      <c r="M70" s="116" t="s">
        <v>185</v>
      </c>
    </row>
    <row r="71" spans="2:13" ht="15" customHeight="1">
      <c r="B71" s="39"/>
      <c r="C71" s="172"/>
      <c r="I71" s="133" t="s">
        <v>190</v>
      </c>
      <c r="J71" s="58">
        <f>INDEX($P$95:$P$97,MATCH(L69,$N$95:$N$97,0))</f>
        <v>0.125</v>
      </c>
      <c r="K71" s="133" t="s">
        <v>192</v>
      </c>
      <c r="L71" s="162">
        <f>J71*$K$66*$L$70^2</f>
        <v>1.45267734375</v>
      </c>
      <c r="M71" s="19" t="s">
        <v>57</v>
      </c>
    </row>
    <row r="72" spans="2:13" ht="15" hidden="1" customHeight="1">
      <c r="B72" s="39"/>
      <c r="C72" s="172"/>
      <c r="I72" s="133" t="s">
        <v>191</v>
      </c>
      <c r="J72" s="58" t="e" cm="1">
        <f t="array" ref="J72">_xll.DCEHSMVf(MATCH(L69,$N$109:$Q$109,0),"V")</f>
        <v>#VALUE!</v>
      </c>
      <c r="K72" s="133" t="s">
        <v>193</v>
      </c>
      <c r="L72" s="162" t="e">
        <f>J72*$K$66*$L$70</f>
        <v>#VALUE!</v>
      </c>
      <c r="M72" s="19" t="s">
        <v>59</v>
      </c>
    </row>
    <row r="73" spans="2:13" ht="15" customHeight="1">
      <c r="B73" s="30" t="str">
        <f>"c. Kiểm tra cường độ"</f>
        <v>c. Kiểm tra cường độ</v>
      </c>
      <c r="C73" s="136"/>
      <c r="D73" s="136"/>
      <c r="E73" s="136"/>
      <c r="F73" s="136"/>
      <c r="G73" s="136"/>
      <c r="H73" s="136"/>
      <c r="I73" s="136"/>
      <c r="J73" s="136"/>
      <c r="K73" s="136"/>
      <c r="L73" s="57"/>
      <c r="M73" s="116"/>
    </row>
    <row r="74" spans="2:13" ht="15" customHeight="1">
      <c r="B74" s="30"/>
      <c r="C74" s="58" t="str">
        <f>"- Ứng suất bền của cấu kiện:"</f>
        <v>- Ứng suất bền của cấu kiện:</v>
      </c>
      <c r="D74" s="136"/>
      <c r="E74" s="136"/>
      <c r="F74" s="136"/>
      <c r="G74" s="136"/>
      <c r="H74" s="136"/>
      <c r="I74" s="136"/>
      <c r="J74" s="136"/>
      <c r="K74" s="173" t="s">
        <v>262</v>
      </c>
      <c r="L74" s="162">
        <f>L71/F54*1000000</f>
        <v>72.236566074092494</v>
      </c>
      <c r="M74" s="2" t="s">
        <v>1</v>
      </c>
    </row>
    <row r="75" spans="2:13" ht="15" customHeight="1">
      <c r="B75" s="30"/>
      <c r="C75" s="58" t="str">
        <f>"- Ứng suất pháp giới hạn:"</f>
        <v>- Ứng suất pháp giới hạn:</v>
      </c>
      <c r="D75" s="136"/>
      <c r="E75" s="136"/>
      <c r="F75" s="136"/>
      <c r="G75" s="136"/>
      <c r="H75" s="136"/>
      <c r="I75" s="136"/>
      <c r="J75" s="136"/>
      <c r="K75" s="175" t="s">
        <v>263</v>
      </c>
      <c r="L75" s="176">
        <f>L25*I56</f>
        <v>253.33333333333329</v>
      </c>
      <c r="M75" s="2" t="s">
        <v>1</v>
      </c>
    </row>
    <row r="76" spans="2:13" ht="15" customHeight="1">
      <c r="B76" s="30"/>
      <c r="C76" s="58" t="str">
        <f>"- Tỷ số huy động cấu kiện:"</f>
        <v>- Tỷ số huy động cấu kiện:</v>
      </c>
      <c r="D76" s="136"/>
      <c r="E76" s="136"/>
      <c r="F76" s="136"/>
      <c r="G76" s="136"/>
      <c r="H76" s="136"/>
      <c r="I76" s="136"/>
      <c r="J76" s="136"/>
      <c r="K76" s="136"/>
      <c r="L76" s="177">
        <f>L74/L75</f>
        <v>0.28514433976615461</v>
      </c>
      <c r="M76" s="116" t="str">
        <f>IF(L76&lt;=1,"OK","Check")</f>
        <v>OK</v>
      </c>
    </row>
    <row r="77" spans="2:13" ht="15" customHeight="1">
      <c r="B77" s="30" t="str">
        <f>"d. Kiểm tra độ võng"</f>
        <v>d. Kiểm tra độ võng</v>
      </c>
      <c r="C77" s="136"/>
      <c r="D77" s="136"/>
      <c r="E77" s="136"/>
      <c r="F77" s="136"/>
      <c r="G77" s="136"/>
      <c r="H77" s="136"/>
      <c r="I77" s="136"/>
      <c r="J77" s="136"/>
      <c r="K77" s="136"/>
      <c r="L77" s="57"/>
      <c r="M77" s="116"/>
    </row>
    <row r="78" spans="2:13" ht="15" customHeight="1">
      <c r="B78" s="30"/>
      <c r="C78" s="58" t="str">
        <f>"- Độ võng tính toán:"</f>
        <v>- Độ võng tính toán:</v>
      </c>
      <c r="D78" s="136"/>
      <c r="E78" s="136"/>
      <c r="F78" s="136"/>
      <c r="G78" s="141" t="s">
        <v>62</v>
      </c>
      <c r="H78" s="190">
        <f>INDEX($O$95:$O$97,MATCH(L69,$N$95:$N$97,0))</f>
        <v>1.3020833333333334E-2</v>
      </c>
      <c r="I78" s="136"/>
      <c r="J78" s="136"/>
      <c r="K78" s="180" t="s">
        <v>282</v>
      </c>
      <c r="L78" s="176">
        <f>H78*J66*(L70*1000)^4/(L26*E54)</f>
        <v>2.2748490952043299</v>
      </c>
      <c r="M78" s="116" t="s">
        <v>2</v>
      </c>
    </row>
    <row r="79" spans="2:13" ht="15" customHeight="1">
      <c r="B79" s="30"/>
      <c r="C79" s="58" t="str">
        <f>"- Độ võng giới hạn:"</f>
        <v>- Độ võng giới hạn:</v>
      </c>
      <c r="D79" s="136"/>
      <c r="E79" s="136"/>
      <c r="F79" s="136"/>
      <c r="G79" s="141" t="s">
        <v>335</v>
      </c>
      <c r="H79" s="208">
        <f>F227</f>
        <v>150</v>
      </c>
      <c r="I79" s="136"/>
      <c r="J79" s="136"/>
      <c r="K79" s="180" t="s">
        <v>336</v>
      </c>
      <c r="L79" s="176">
        <f>L70*1000/H79</f>
        <v>10</v>
      </c>
      <c r="M79" s="116" t="s">
        <v>2</v>
      </c>
    </row>
    <row r="80" spans="2:13" ht="15" customHeight="1">
      <c r="B80" s="39"/>
      <c r="C80" s="58" t="str">
        <f>"- Tỷ số huy động cấu kiện:"</f>
        <v>- Tỷ số huy động cấu kiện:</v>
      </c>
      <c r="D80" s="136"/>
      <c r="E80" s="136"/>
      <c r="F80" s="136"/>
      <c r="G80" s="136"/>
      <c r="H80" s="136"/>
      <c r="I80" s="136"/>
      <c r="J80" s="136"/>
      <c r="K80" s="136"/>
      <c r="L80" s="183">
        <f>L78/L79</f>
        <v>0.22748490952043299</v>
      </c>
      <c r="M80" s="116" t="str">
        <f>IF(L80&lt;=1,"OK","Check")</f>
        <v>OK</v>
      </c>
    </row>
    <row r="81" spans="2:17" ht="12.75" customHeight="1">
      <c r="B81" s="3" t="s">
        <v>266</v>
      </c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16"/>
    </row>
    <row r="82" spans="2:17" ht="12.75" customHeight="1">
      <c r="B82" s="30" t="str">
        <f>"a. Tải trọng"</f>
        <v>a. Tải trọng</v>
      </c>
      <c r="C82" s="136"/>
      <c r="D82" s="136"/>
      <c r="E82" s="136"/>
      <c r="F82" s="136"/>
      <c r="G82" s="136"/>
      <c r="H82" s="136"/>
      <c r="I82" s="136"/>
      <c r="J82" s="136"/>
      <c r="K82" s="136"/>
      <c r="L82" s="57"/>
      <c r="M82" s="116"/>
    </row>
    <row r="83" spans="2:17" ht="12.75" customHeight="1">
      <c r="B83" s="39"/>
      <c r="C83" s="267" t="s">
        <v>74</v>
      </c>
      <c r="D83" s="268"/>
      <c r="E83" s="268"/>
      <c r="F83" s="268"/>
      <c r="G83" s="269"/>
      <c r="H83" s="32" t="s">
        <v>286</v>
      </c>
      <c r="I83" s="32" t="s">
        <v>285</v>
      </c>
      <c r="J83" s="31" t="s">
        <v>283</v>
      </c>
      <c r="K83" s="31" t="s">
        <v>284</v>
      </c>
      <c r="L83" s="31" t="s">
        <v>75</v>
      </c>
      <c r="M83" s="116"/>
    </row>
    <row r="84" spans="2:17" ht="12.75" customHeight="1">
      <c r="B84" s="39"/>
      <c r="C84" s="33" t="s">
        <v>66</v>
      </c>
      <c r="D84" s="34"/>
      <c r="E84" s="35"/>
      <c r="F84" s="36"/>
      <c r="G84" s="37"/>
      <c r="H84" s="157"/>
      <c r="I84" s="33"/>
      <c r="J84" s="111">
        <f>SUM(J85:J89)</f>
        <v>2.0914999999999999</v>
      </c>
      <c r="K84" s="111">
        <f>SUM(K85:K89)</f>
        <v>2.309075</v>
      </c>
      <c r="L84" s="40"/>
      <c r="M84" s="116"/>
    </row>
    <row r="85" spans="2:17" ht="12.75" customHeight="1">
      <c r="B85" s="39"/>
      <c r="C85" s="39"/>
      <c r="D85" s="58" t="s">
        <v>67</v>
      </c>
      <c r="E85" s="136"/>
      <c r="F85" s="133"/>
      <c r="G85" s="52"/>
      <c r="H85" s="45">
        <v>25</v>
      </c>
      <c r="I85" s="42">
        <v>1.1000000000000001</v>
      </c>
      <c r="J85" s="159">
        <f>H85*(L41+L42/2)/1000</f>
        <v>1.9</v>
      </c>
      <c r="K85" s="44">
        <f>IF(J85=0,"",I85*J85)</f>
        <v>2.09</v>
      </c>
      <c r="L85" s="45" t="s">
        <v>56</v>
      </c>
      <c r="M85" s="116"/>
    </row>
    <row r="86" spans="2:17" ht="12.75" customHeight="1">
      <c r="B86" s="39"/>
      <c r="C86" s="39"/>
      <c r="D86" s="58" t="s">
        <v>68</v>
      </c>
      <c r="E86" s="136"/>
      <c r="F86" s="133"/>
      <c r="G86" s="52"/>
      <c r="H86" s="45" t="s">
        <v>288</v>
      </c>
      <c r="I86" s="43">
        <v>1.05</v>
      </c>
      <c r="J86" s="159">
        <f>G54</f>
        <v>7.1500000000000008E-2</v>
      </c>
      <c r="K86" s="44">
        <f>IF(J86=0,"",I86*J86)</f>
        <v>7.5075000000000017E-2</v>
      </c>
      <c r="L86" s="45" t="s">
        <v>56</v>
      </c>
      <c r="M86" s="116"/>
    </row>
    <row r="87" spans="2:17" ht="12.75" customHeight="1">
      <c r="B87" s="39"/>
      <c r="C87" s="39"/>
      <c r="D87" s="58" t="s">
        <v>69</v>
      </c>
      <c r="E87" s="136"/>
      <c r="F87" s="133"/>
      <c r="G87" s="52"/>
      <c r="H87" s="45" t="s">
        <v>288</v>
      </c>
      <c r="I87" s="43">
        <v>1.2</v>
      </c>
      <c r="J87" s="41">
        <v>0.12</v>
      </c>
      <c r="K87" s="44">
        <f>IF(J87=0,"",I87*J87)</f>
        <v>0.14399999999999999</v>
      </c>
      <c r="L87" s="45" t="s">
        <v>56</v>
      </c>
      <c r="M87" s="116"/>
    </row>
    <row r="88" spans="2:17" ht="12.75" customHeight="1">
      <c r="B88" s="39"/>
      <c r="C88" s="39"/>
      <c r="D88" s="58" t="s">
        <v>70</v>
      </c>
      <c r="E88" s="136"/>
      <c r="F88" s="133"/>
      <c r="G88" s="52"/>
      <c r="H88" s="45" t="s">
        <v>288</v>
      </c>
      <c r="I88" s="43">
        <v>1.1000000000000001</v>
      </c>
      <c r="J88" s="41">
        <v>0</v>
      </c>
      <c r="K88" s="44" t="str">
        <f>IF(J88=0,"",I88*J88)</f>
        <v/>
      </c>
      <c r="L88" s="45" t="s">
        <v>56</v>
      </c>
      <c r="M88" s="116"/>
    </row>
    <row r="89" spans="2:17" ht="12.75" customHeight="1">
      <c r="B89" s="39"/>
      <c r="C89" s="39"/>
      <c r="D89" s="58" t="s">
        <v>71</v>
      </c>
      <c r="E89" s="136"/>
      <c r="F89" s="133"/>
      <c r="G89" s="52"/>
      <c r="H89" s="161" t="s">
        <v>288</v>
      </c>
      <c r="I89" s="43">
        <v>1.2</v>
      </c>
      <c r="J89" s="41">
        <v>0</v>
      </c>
      <c r="K89" s="44" t="str">
        <f>IF(J89=0,"",I89*J89)</f>
        <v/>
      </c>
      <c r="L89" s="45" t="s">
        <v>56</v>
      </c>
      <c r="M89" s="116"/>
    </row>
    <row r="90" spans="2:17" ht="12.75" customHeight="1">
      <c r="B90" s="39"/>
      <c r="C90" s="46" t="s">
        <v>256</v>
      </c>
      <c r="D90" s="47"/>
      <c r="E90" s="48"/>
      <c r="F90" s="49"/>
      <c r="G90" s="264" t="s">
        <v>222</v>
      </c>
      <c r="H90" s="265"/>
      <c r="I90" s="132">
        <f>VLOOKUP(G90,$B$232:$D$239,3,FALSE)</f>
        <v>1.2</v>
      </c>
      <c r="J90" s="99">
        <v>5</v>
      </c>
      <c r="K90" s="100">
        <f>J90*I90</f>
        <v>6</v>
      </c>
      <c r="L90" s="100" t="s">
        <v>56</v>
      </c>
      <c r="M90" s="116"/>
    </row>
    <row r="91" spans="2:17" ht="12.75" customHeight="1">
      <c r="B91" s="39"/>
      <c r="C91" s="256" t="s">
        <v>73</v>
      </c>
      <c r="D91" s="257"/>
      <c r="E91" s="257"/>
      <c r="F91" s="257"/>
      <c r="G91" s="257"/>
      <c r="H91" s="257"/>
      <c r="I91" s="258"/>
      <c r="J91" s="112">
        <f>SUM(J84,J90)</f>
        <v>7.0914999999999999</v>
      </c>
      <c r="K91" s="112">
        <f>SUM(K85:K89,K90)</f>
        <v>8.309075</v>
      </c>
      <c r="L91" s="31" t="s">
        <v>56</v>
      </c>
      <c r="M91" s="116"/>
    </row>
    <row r="92" spans="2:17" ht="12.75" customHeight="1">
      <c r="B92" s="30" t="str">
        <f>"b. Nội lực"</f>
        <v>b. Nội lực</v>
      </c>
      <c r="C92" s="136"/>
      <c r="D92" s="136"/>
      <c r="E92" s="136"/>
      <c r="F92" s="136"/>
      <c r="G92" s="136"/>
      <c r="H92" s="136"/>
      <c r="I92" s="136"/>
      <c r="J92" s="136"/>
      <c r="K92" s="136"/>
      <c r="L92" s="57"/>
      <c r="M92" s="116"/>
    </row>
    <row r="93" spans="2:17" ht="12.75" customHeight="1">
      <c r="B93" s="39"/>
      <c r="C93" s="58" t="str">
        <f>"- Nhịp tính toán:"</f>
        <v>- Nhịp tính toán:</v>
      </c>
      <c r="D93" s="136"/>
      <c r="E93" s="136"/>
      <c r="F93" s="136"/>
      <c r="G93" s="136"/>
      <c r="H93" s="136"/>
      <c r="I93" s="136"/>
      <c r="J93" s="136"/>
      <c r="K93" s="141" t="s">
        <v>29</v>
      </c>
      <c r="L93" s="52">
        <f>IF(L68="Y",L70*2,L70)</f>
        <v>3</v>
      </c>
      <c r="M93" s="116" t="s">
        <v>185</v>
      </c>
      <c r="N93" s="245" t="s">
        <v>346</v>
      </c>
      <c r="O93" s="245"/>
      <c r="P93" s="245"/>
      <c r="Q93" s="216" t="s">
        <v>253</v>
      </c>
    </row>
    <row r="94" spans="2:17" ht="12.75" customHeight="1">
      <c r="B94" s="39"/>
      <c r="C94" s="58" t="str">
        <f>"- Bề rộng tính toán:"</f>
        <v>- Bề rộng tính toán:</v>
      </c>
      <c r="D94" s="136"/>
      <c r="E94" s="136"/>
      <c r="F94" s="136"/>
      <c r="G94" s="136"/>
      <c r="H94" s="136"/>
      <c r="I94" s="136"/>
      <c r="J94" s="136"/>
      <c r="K94" s="141" t="s">
        <v>267</v>
      </c>
      <c r="L94" s="52">
        <f>D54/1000</f>
        <v>0.34300000000000003</v>
      </c>
      <c r="M94" s="116" t="s">
        <v>185</v>
      </c>
      <c r="N94" s="54" t="s">
        <v>347</v>
      </c>
      <c r="O94" s="54" t="s">
        <v>348</v>
      </c>
      <c r="P94" s="54" t="s">
        <v>79</v>
      </c>
      <c r="Q94" s="54" t="s">
        <v>78</v>
      </c>
    </row>
    <row r="95" spans="2:17" ht="12.75" customHeight="1">
      <c r="B95" s="39"/>
      <c r="C95" s="58"/>
      <c r="D95" s="135"/>
      <c r="E95" s="136"/>
      <c r="F95" s="254" t="s">
        <v>259</v>
      </c>
      <c r="G95" s="254"/>
      <c r="H95" s="255"/>
      <c r="I95" s="135"/>
      <c r="J95" s="136"/>
      <c r="K95" s="254" t="s">
        <v>258</v>
      </c>
      <c r="L95" s="254"/>
      <c r="M95" s="255"/>
      <c r="N95" s="54" t="s">
        <v>186</v>
      </c>
      <c r="O95" s="217">
        <f>5/384</f>
        <v>1.3020833333333334E-2</v>
      </c>
      <c r="P95" s="217">
        <f>1/8</f>
        <v>0.125</v>
      </c>
      <c r="Q95" s="217">
        <v>0</v>
      </c>
    </row>
    <row r="96" spans="2:17" ht="12.75" customHeight="1">
      <c r="B96" s="271" t="s">
        <v>188</v>
      </c>
      <c r="C96" s="272"/>
      <c r="D96" s="133" t="s">
        <v>189</v>
      </c>
      <c r="E96" s="58">
        <f>INDEX($Q$95:$Q$97,MATCH(B96,$N$95:$N$97,0))</f>
        <v>-9.0909090909090912E-2</v>
      </c>
      <c r="F96" s="133" t="s">
        <v>268</v>
      </c>
      <c r="G96" s="162">
        <f>E96*$K$91*$L$93^2*$L$94</f>
        <v>-2.3318285931818186</v>
      </c>
      <c r="H96" s="19" t="s">
        <v>61</v>
      </c>
      <c r="I96" s="133" t="s">
        <v>189</v>
      </c>
      <c r="J96" s="58">
        <f>E96</f>
        <v>-9.0909090909090912E-2</v>
      </c>
      <c r="K96" s="133" t="s">
        <v>271</v>
      </c>
      <c r="L96" s="162">
        <f>J96*$J$91*$L$93^2*$L$94</f>
        <v>-1.9901327727272733</v>
      </c>
      <c r="M96" s="19" t="s">
        <v>61</v>
      </c>
      <c r="N96" s="54" t="s">
        <v>187</v>
      </c>
      <c r="O96" s="217">
        <f>2.1/384</f>
        <v>5.4687500000000005E-3</v>
      </c>
      <c r="P96" s="217">
        <f>IF(Q93="Y",0.096,9/128)</f>
        <v>7.03125E-2</v>
      </c>
      <c r="Q96" s="217">
        <v>-0.125</v>
      </c>
    </row>
    <row r="97" spans="2:25" ht="12.75" customHeight="1">
      <c r="B97" s="273" t="str">
        <f>B96</f>
        <v>Dầm liên tục</v>
      </c>
      <c r="C97" s="274"/>
      <c r="D97" s="133" t="s">
        <v>190</v>
      </c>
      <c r="E97" s="215">
        <f>INDEX($P$95:$P$97,MATCH(B97,$N$95:$N$97,0))</f>
        <v>6.25E-2</v>
      </c>
      <c r="F97" s="133" t="s">
        <v>269</v>
      </c>
      <c r="G97" s="162">
        <f>E97*$K$91*$L$93^2*$L$94</f>
        <v>1.6031321578125002</v>
      </c>
      <c r="H97" s="19" t="s">
        <v>61</v>
      </c>
      <c r="I97" s="133" t="s">
        <v>190</v>
      </c>
      <c r="J97" s="58">
        <f>E97</f>
        <v>6.25E-2</v>
      </c>
      <c r="K97" s="133" t="s">
        <v>271</v>
      </c>
      <c r="L97" s="162">
        <f>J97*$J$91*$L$93^2*$L$94</f>
        <v>1.3682162812500001</v>
      </c>
      <c r="M97" s="19" t="s">
        <v>61</v>
      </c>
      <c r="N97" s="54" t="s">
        <v>188</v>
      </c>
      <c r="O97" s="217">
        <f>10.15/1152</f>
        <v>8.8107638888888888E-3</v>
      </c>
      <c r="P97" s="217">
        <f>IF(Q93="Y",0.101,1/16)</f>
        <v>6.25E-2</v>
      </c>
      <c r="Q97" s="217">
        <f>IF(Q93="Y",-0.117,-1/11)</f>
        <v>-9.0909090909090912E-2</v>
      </c>
    </row>
    <row r="98" spans="2:25" ht="12.75" hidden="1" customHeight="1">
      <c r="B98" s="39"/>
      <c r="C98" s="172"/>
      <c r="D98" s="133" t="s">
        <v>191</v>
      </c>
      <c r="E98" s="58" t="e" cm="1">
        <f t="array" ref="E98">_xll.DCEHSMVf(MATCH(B97,$N$109:$Q$109,0),"V")</f>
        <v>#VALUE!</v>
      </c>
      <c r="F98" s="133" t="s">
        <v>270</v>
      </c>
      <c r="G98" s="162" t="e">
        <f>E98*$K$91*$L$93*$L$94</f>
        <v>#VALUE!</v>
      </c>
      <c r="H98" s="19" t="s">
        <v>58</v>
      </c>
      <c r="I98" s="133" t="s">
        <v>191</v>
      </c>
      <c r="J98" s="58" t="e">
        <f>E98</f>
        <v>#VALUE!</v>
      </c>
      <c r="K98" s="133" t="s">
        <v>272</v>
      </c>
      <c r="L98" s="162" t="e">
        <f>J98*$J$91*$L$93*$L$94</f>
        <v>#VALUE!</v>
      </c>
      <c r="M98" s="19" t="s">
        <v>58</v>
      </c>
    </row>
    <row r="99" spans="2:25" ht="12.75" customHeight="1">
      <c r="B99" s="30" t="str">
        <f>"c. Khả năng chịu moment dương (Tính như dầm BTCT tiết diện chữ T)"</f>
        <v>c. Khả năng chịu moment dương (Tính như dầm BTCT tiết diện chữ T)</v>
      </c>
      <c r="C99" s="136"/>
      <c r="D99" s="136"/>
      <c r="E99" s="136"/>
      <c r="F99" s="136"/>
      <c r="G99" s="136"/>
      <c r="H99" s="136"/>
      <c r="I99" s="136"/>
      <c r="J99" s="136"/>
      <c r="K99" s="136"/>
      <c r="L99" s="57"/>
      <c r="M99" s="116"/>
    </row>
    <row r="100" spans="2:25" ht="12.75" customHeight="1">
      <c r="B100" s="39"/>
      <c r="C100" s="58" t="str">
        <f>"- Kiểm tra vị trí trục trung hòa:"</f>
        <v>- Kiểm tra vị trí trục trung hòa:</v>
      </c>
      <c r="D100" s="136"/>
      <c r="E100" s="136"/>
      <c r="F100" s="136"/>
      <c r="H100" s="180"/>
      <c r="I100" s="194"/>
      <c r="J100" s="117"/>
      <c r="K100" s="141" t="s">
        <v>273</v>
      </c>
      <c r="L100" s="195">
        <f>L13*L94*L41*(L40-L22-0.5*L41)/1000</f>
        <v>18.960225375</v>
      </c>
      <c r="M100" s="19" t="s">
        <v>61</v>
      </c>
      <c r="P100" s="129"/>
    </row>
    <row r="101" spans="2:25" ht="12.75" customHeight="1">
      <c r="B101" s="39"/>
      <c r="C101" s="196" t="s">
        <v>60</v>
      </c>
      <c r="D101" s="136" t="str">
        <f>IF(L100&gt;G97,"Trục trung hòa qua cánh","Trục trung hòa qua bụng") &amp; " , tính như tiết diện chữ nhật bxh, với b, h như sau:"</f>
        <v>Trục trung hòa qua cánh , tính như tiết diện chữ nhật bxh, với b, h như sau:</v>
      </c>
      <c r="E101" s="136"/>
      <c r="F101" s="136"/>
      <c r="G101" s="136"/>
      <c r="H101" s="136"/>
      <c r="I101" s="136"/>
      <c r="J101" s="136"/>
      <c r="K101" s="180"/>
      <c r="L101" s="176"/>
      <c r="M101" s="19"/>
    </row>
    <row r="102" spans="2:25" ht="12.75" customHeight="1">
      <c r="B102" s="39"/>
      <c r="D102" s="141" t="s">
        <v>274</v>
      </c>
      <c r="E102" s="57">
        <f>IF(L100&gt;G97,D54,C54)</f>
        <v>343</v>
      </c>
      <c r="F102" s="136" t="s">
        <v>16</v>
      </c>
      <c r="G102" s="141" t="s">
        <v>184</v>
      </c>
      <c r="H102" s="57">
        <f>L40</f>
        <v>101</v>
      </c>
      <c r="I102" s="134" t="s">
        <v>16</v>
      </c>
      <c r="K102" s="197" t="s">
        <v>275</v>
      </c>
      <c r="L102" s="198">
        <f>(0.85-0.008*L13)/(1+175*(1-(0.85-0.008*L13)/1.1)/400)</f>
        <v>0.64073008630096218</v>
      </c>
      <c r="M102" s="128"/>
    </row>
    <row r="103" spans="2:25" ht="12.75" customHeight="1">
      <c r="B103" s="39"/>
      <c r="D103" s="199" t="s">
        <v>254</v>
      </c>
      <c r="E103" s="198">
        <f>G97/(L13*E102*(H102-L22)^2)*1000000</f>
        <v>3.2072915569876584E-2</v>
      </c>
      <c r="F103" s="136"/>
      <c r="G103" s="199" t="s">
        <v>276</v>
      </c>
      <c r="H103" s="198">
        <f>L102*(1-0.5*L102)</f>
        <v>0.43546256455534293</v>
      </c>
      <c r="I103" s="136"/>
      <c r="J103" s="136"/>
      <c r="K103" s="197" t="s">
        <v>277</v>
      </c>
      <c r="L103" s="198">
        <f>0.5*(1+(1-2*E103)^0.5)</f>
        <v>0.98369777983267781</v>
      </c>
      <c r="M103" s="116"/>
    </row>
    <row r="104" spans="2:25" ht="12.75" customHeight="1">
      <c r="B104" s="39"/>
      <c r="C104" s="58" t="str">
        <f>"- Diện tích thép tính toán:"</f>
        <v>- Diện tích thép tính toán:</v>
      </c>
      <c r="D104" s="136"/>
      <c r="E104" s="136"/>
      <c r="F104" s="136"/>
      <c r="G104" s="136"/>
      <c r="H104" s="136"/>
      <c r="I104" s="136"/>
      <c r="J104" s="136"/>
      <c r="K104" s="138" t="s">
        <v>199</v>
      </c>
      <c r="L104" s="181">
        <f>G97/(L25*L103*(H102-L22))*10000</f>
        <v>0.60961342299136578</v>
      </c>
      <c r="M104" s="19" t="s">
        <v>278</v>
      </c>
    </row>
    <row r="105" spans="2:25" ht="12.75" customHeight="1">
      <c r="B105" s="39"/>
      <c r="C105" s="58" t="str">
        <f>"- Diện tích tôn tham gia chịu uốn:"</f>
        <v>- Diện tích tôn tham gia chịu uốn:</v>
      </c>
      <c r="D105" s="136"/>
      <c r="E105" s="136"/>
      <c r="F105" s="136"/>
      <c r="G105" s="136"/>
      <c r="H105" s="136"/>
      <c r="I105" s="136"/>
      <c r="J105" s="136"/>
      <c r="K105" s="138" t="s">
        <v>279</v>
      </c>
      <c r="L105" s="181">
        <f>C54*L22/100</f>
        <v>1.0649999999999999</v>
      </c>
      <c r="M105" s="19" t="s">
        <v>278</v>
      </c>
    </row>
    <row r="106" spans="2:25" ht="12.75" customHeight="1">
      <c r="B106" s="39"/>
      <c r="C106" s="58" t="str">
        <f>"- Tỷ số huy động cấu kiện:"</f>
        <v>- Tỷ số huy động cấu kiện:</v>
      </c>
      <c r="D106" s="136"/>
      <c r="E106" s="136"/>
      <c r="F106" s="136"/>
      <c r="G106" s="136"/>
      <c r="H106" s="136"/>
      <c r="I106" s="136"/>
      <c r="J106" s="136"/>
      <c r="K106" s="136"/>
      <c r="L106" s="177">
        <f>L104/L105</f>
        <v>0.57240696994494444</v>
      </c>
      <c r="M106" s="116" t="str">
        <f>IF(L106&lt;=1,"OK","Check")</f>
        <v>OK</v>
      </c>
    </row>
    <row r="107" spans="2:25" ht="12.75" customHeight="1">
      <c r="B107" s="30" t="str">
        <f>"d. Khả năng chịu moment âm (Tính như dầm BTCT tiết diện chữ nhật)"</f>
        <v>d. Khả năng chịu moment âm (Tính như dầm BTCT tiết diện chữ nhật)</v>
      </c>
      <c r="C107" s="136"/>
      <c r="D107" s="136"/>
      <c r="E107" s="136"/>
      <c r="F107" s="136"/>
      <c r="G107" s="136"/>
      <c r="H107" s="136"/>
      <c r="I107" s="136"/>
      <c r="J107" s="136"/>
      <c r="K107" s="136"/>
      <c r="L107" s="57"/>
      <c r="M107" s="116"/>
    </row>
    <row r="108" spans="2:25" ht="12.75" customHeight="1">
      <c r="B108" s="39"/>
      <c r="C108" s="58" t="str">
        <f>"- Cánh trên dầm chịu kéo, tính như tiết diện chữ nhật bxh:"</f>
        <v>- Cánh trên dầm chịu kéo, tính như tiết diện chữ nhật bxh:</v>
      </c>
      <c r="D108" s="136"/>
      <c r="E108" s="136"/>
      <c r="F108" s="136"/>
      <c r="H108" s="180"/>
      <c r="I108" s="194"/>
      <c r="J108" s="117"/>
      <c r="K108" s="141"/>
      <c r="L108" s="195"/>
      <c r="M108" s="19"/>
    </row>
    <row r="109" spans="2:25" ht="12.75" customHeight="1">
      <c r="B109" s="39"/>
      <c r="D109" s="141" t="s">
        <v>274</v>
      </c>
      <c r="E109" s="57">
        <f>C54</f>
        <v>142</v>
      </c>
      <c r="F109" s="136" t="s">
        <v>16</v>
      </c>
      <c r="G109" s="141" t="s">
        <v>184</v>
      </c>
      <c r="H109" s="57">
        <f>L40</f>
        <v>101</v>
      </c>
      <c r="I109" s="134" t="s">
        <v>16</v>
      </c>
      <c r="K109" s="197" t="s">
        <v>275</v>
      </c>
      <c r="L109" s="198">
        <f>(0.85-0.008*L13)/(1+175*(1-(0.85-0.008*L13)/1.1)/400)</f>
        <v>0.64073008630096218</v>
      </c>
      <c r="M109" s="128"/>
    </row>
    <row r="110" spans="2:25" ht="12.75" customHeight="1">
      <c r="B110" s="39"/>
      <c r="D110" s="199" t="s">
        <v>254</v>
      </c>
      <c r="E110" s="198">
        <f>ABS(G96/(L13*E109*(H109-L43-K112/2)^2)*1000000)</f>
        <v>0.19607087736410739</v>
      </c>
      <c r="F110" s="136"/>
      <c r="G110" s="199" t="s">
        <v>276</v>
      </c>
      <c r="H110" s="198">
        <f>L109*(1-0.5*L109)</f>
        <v>0.43546256455534293</v>
      </c>
      <c r="I110" s="136"/>
      <c r="J110" s="136"/>
      <c r="K110" s="197" t="s">
        <v>277</v>
      </c>
      <c r="L110" s="198">
        <f>0.5*(1+(1-2*E110)^0.5)</f>
        <v>0.88982632199217426</v>
      </c>
      <c r="M110" s="116"/>
    </row>
    <row r="111" spans="2:25" ht="12.75" customHeight="1">
      <c r="B111" s="39"/>
      <c r="C111" s="58" t="str">
        <f>"- Diện tích thép tính toán:"</f>
        <v>- Diện tích thép tính toán:</v>
      </c>
      <c r="D111" s="136"/>
      <c r="E111" s="136"/>
      <c r="F111" s="136"/>
      <c r="G111" s="136"/>
      <c r="H111" s="136"/>
      <c r="I111" s="136"/>
      <c r="J111" s="136"/>
      <c r="K111" s="138" t="s">
        <v>199</v>
      </c>
      <c r="L111" s="181">
        <f>ABS(G96)/(L18*L110*(H109-L43-K112/2))*10000</f>
        <v>1.3217653669188731</v>
      </c>
      <c r="M111" s="19" t="s">
        <v>278</v>
      </c>
    </row>
    <row r="112" spans="2:25" ht="12.75" customHeight="1">
      <c r="B112" s="18"/>
      <c r="C112" s="136" t="str">
        <f>"- Bố trí cốt thép lớp trên:"</f>
        <v>- Bố trí cốt thép lớp trên:</v>
      </c>
      <c r="D112" s="136"/>
      <c r="E112" s="136"/>
      <c r="F112" s="136"/>
      <c r="G112" s="136"/>
      <c r="H112" s="136"/>
      <c r="I112" s="136"/>
      <c r="J112" s="136"/>
      <c r="K112" s="200">
        <v>10</v>
      </c>
      <c r="L112" s="201">
        <v>200</v>
      </c>
      <c r="M112" s="116"/>
      <c r="Y112" s="117"/>
    </row>
    <row r="113" spans="2:13" ht="12.75" customHeight="1">
      <c r="B113" s="39"/>
      <c r="C113" s="58" t="str">
        <f>"- Diện tích cốt thép bố trí:"</f>
        <v>- Diện tích cốt thép bố trí:</v>
      </c>
      <c r="D113" s="136"/>
      <c r="E113" s="136"/>
      <c r="F113" s="136"/>
      <c r="G113" s="136"/>
      <c r="H113" s="136"/>
      <c r="I113" s="136"/>
      <c r="J113" s="136"/>
      <c r="K113" s="138" t="s">
        <v>279</v>
      </c>
      <c r="L113" s="181">
        <f>(D54/L112)*PI()*K112^2/400</f>
        <v>1.346957850226624</v>
      </c>
      <c r="M113" s="19" t="s">
        <v>278</v>
      </c>
    </row>
    <row r="114" spans="2:13" ht="12.75" customHeight="1">
      <c r="B114" s="39"/>
      <c r="C114" s="58" t="str">
        <f>"- Tỷ số huy động cấu kiện:"</f>
        <v>- Tỷ số huy động cấu kiện:</v>
      </c>
      <c r="D114" s="136"/>
      <c r="E114" s="136"/>
      <c r="F114" s="136"/>
      <c r="G114" s="136"/>
      <c r="H114" s="136"/>
      <c r="I114" s="136"/>
      <c r="J114" s="136"/>
      <c r="K114" s="136"/>
      <c r="L114" s="177">
        <f>L111/L113</f>
        <v>0.98129675453206477</v>
      </c>
      <c r="M114" s="116" t="str">
        <f>IF(L114&lt;=1,"OK","Check")</f>
        <v>OK</v>
      </c>
    </row>
    <row r="115" spans="2:13" ht="12.75" customHeight="1">
      <c r="B115" s="30" t="str">
        <f>"e. Kiểm tra độ võng:"</f>
        <v>e. Kiểm tra độ võng:</v>
      </c>
      <c r="C115" s="136"/>
      <c r="D115" s="136"/>
      <c r="E115" s="136"/>
      <c r="F115" s="136"/>
      <c r="G115" s="136"/>
      <c r="H115" s="136"/>
      <c r="I115" s="136"/>
      <c r="J115" s="136"/>
      <c r="K115" s="136"/>
      <c r="L115" s="57"/>
      <c r="M115" s="116"/>
    </row>
    <row r="116" spans="2:13" ht="12.75" customHeight="1">
      <c r="B116" s="30"/>
      <c r="C116" s="58"/>
      <c r="D116" s="202" t="s">
        <v>274</v>
      </c>
      <c r="E116" s="117">
        <f>C54</f>
        <v>142</v>
      </c>
      <c r="G116" s="202" t="s">
        <v>184</v>
      </c>
      <c r="H116" s="52">
        <f>L40</f>
        <v>101</v>
      </c>
      <c r="K116" s="136"/>
      <c r="L116" s="52" t="s">
        <v>186</v>
      </c>
      <c r="M116" s="116"/>
    </row>
    <row r="117" spans="2:13" ht="12.75" customHeight="1">
      <c r="B117" s="30"/>
      <c r="D117" s="141" t="s">
        <v>218</v>
      </c>
      <c r="E117" s="190" t="str">
        <f>G90</f>
        <v>Kho</v>
      </c>
      <c r="F117" s="136"/>
      <c r="G117" s="180" t="s">
        <v>341</v>
      </c>
      <c r="H117" s="176">
        <f>VLOOKUP(E117,$B$232:$E$239,4,FALSE)</f>
        <v>0.8</v>
      </c>
      <c r="I117" s="136"/>
      <c r="J117" s="136"/>
      <c r="K117" s="202" t="s">
        <v>342</v>
      </c>
      <c r="L117" s="210">
        <f>J84+J90*H117</f>
        <v>6.0914999999999999</v>
      </c>
      <c r="M117" s="116" t="s">
        <v>59</v>
      </c>
    </row>
    <row r="118" spans="2:13" ht="12.75" customHeight="1">
      <c r="B118" s="30"/>
      <c r="C118" s="58" t="str">
        <f>"- Độ võng tính toán:"</f>
        <v>- Độ võng tính toán:</v>
      </c>
      <c r="D118" s="136"/>
      <c r="E118" s="136"/>
      <c r="F118" s="136"/>
      <c r="G118" s="141" t="s">
        <v>62</v>
      </c>
      <c r="H118" s="190">
        <f>INDEX($O$95:$O$97,MATCH(B96,$N$95:$N$97,0))</f>
        <v>8.8107638888888888E-3</v>
      </c>
      <c r="I118" s="136"/>
      <c r="J118" s="136"/>
      <c r="K118" s="180" t="s">
        <v>282</v>
      </c>
      <c r="L118" s="176">
        <f>H118*L117*(L39*1000)^4/(L14*E116*H116^3/12)</f>
        <v>11.885853039070177</v>
      </c>
      <c r="M118" s="116" t="s">
        <v>2</v>
      </c>
    </row>
    <row r="119" spans="2:13" ht="12.75" customHeight="1">
      <c r="B119" s="30"/>
      <c r="C119" s="58" t="str">
        <f>"- Độ võng giới hạn:"</f>
        <v>- Độ võng giới hạn:</v>
      </c>
      <c r="D119" s="136"/>
      <c r="E119" s="136"/>
      <c r="F119" s="136"/>
      <c r="G119" s="141" t="s">
        <v>335</v>
      </c>
      <c r="H119" s="208">
        <f>F227</f>
        <v>150</v>
      </c>
      <c r="I119" s="136"/>
      <c r="J119" s="136"/>
      <c r="K119" s="180" t="s">
        <v>336</v>
      </c>
      <c r="L119" s="176">
        <f>L39*1000/H119</f>
        <v>20</v>
      </c>
      <c r="M119" s="116" t="s">
        <v>2</v>
      </c>
    </row>
    <row r="120" spans="2:13" ht="12.75" customHeight="1">
      <c r="B120" s="39"/>
      <c r="C120" s="58" t="str">
        <f>"- Tỷ số huy động cấu kiện:"</f>
        <v>- Tỷ số huy động cấu kiện:</v>
      </c>
      <c r="D120" s="136"/>
      <c r="E120" s="136"/>
      <c r="F120" s="136"/>
      <c r="G120" s="136"/>
      <c r="H120" s="136"/>
      <c r="I120" s="136"/>
      <c r="J120" s="136"/>
      <c r="K120" s="136"/>
      <c r="L120" s="183">
        <f>L118/L119</f>
        <v>0.59429265195350889</v>
      </c>
      <c r="M120" s="116" t="str">
        <f>IF(L120&lt;=1,"OK","Check")</f>
        <v>OK</v>
      </c>
    </row>
    <row r="121" spans="2:13" ht="12.75" customHeight="1">
      <c r="B121" s="154"/>
      <c r="C121" s="155"/>
      <c r="D121" s="156"/>
      <c r="E121" s="156"/>
      <c r="F121" s="156"/>
      <c r="G121" s="156"/>
      <c r="H121" s="156"/>
      <c r="I121" s="156"/>
      <c r="J121" s="156"/>
      <c r="K121" s="130"/>
      <c r="L121" s="130"/>
      <c r="M121" s="131"/>
    </row>
    <row r="122" spans="2:13">
      <c r="B122" s="169" t="s">
        <v>313</v>
      </c>
      <c r="C122" s="170"/>
      <c r="D122" s="170"/>
      <c r="E122" s="170"/>
      <c r="F122" s="170"/>
      <c r="G122" s="170"/>
      <c r="H122" s="170"/>
      <c r="I122" s="170"/>
      <c r="J122" s="170"/>
      <c r="K122" s="170"/>
      <c r="L122" s="170"/>
      <c r="M122" s="171"/>
    </row>
    <row r="123" spans="2:13">
      <c r="B123" s="53" t="str">
        <f>"a. Tải trọng"</f>
        <v>a. Tải trọng</v>
      </c>
      <c r="C123" s="136"/>
      <c r="D123" s="136"/>
      <c r="E123" s="136"/>
      <c r="F123" s="136"/>
      <c r="G123" s="136"/>
      <c r="H123" s="136"/>
      <c r="I123" s="136"/>
      <c r="J123" s="136"/>
      <c r="K123" s="136"/>
      <c r="L123" s="57"/>
      <c r="M123" s="116"/>
    </row>
    <row r="124" spans="2:13" ht="14.25">
      <c r="B124" s="39"/>
      <c r="C124" s="267" t="s">
        <v>74</v>
      </c>
      <c r="D124" s="268"/>
      <c r="E124" s="268"/>
      <c r="F124" s="268"/>
      <c r="G124" s="268"/>
      <c r="H124" s="32" t="s">
        <v>286</v>
      </c>
      <c r="I124" s="32" t="s">
        <v>285</v>
      </c>
      <c r="J124" s="31" t="s">
        <v>283</v>
      </c>
      <c r="K124" s="31" t="s">
        <v>284</v>
      </c>
      <c r="L124" s="31" t="s">
        <v>75</v>
      </c>
      <c r="M124" s="116"/>
    </row>
    <row r="125" spans="2:13">
      <c r="B125" s="39"/>
      <c r="C125" s="33" t="s">
        <v>66</v>
      </c>
      <c r="D125" s="34"/>
      <c r="E125" s="35"/>
      <c r="F125" s="36"/>
      <c r="G125" s="37"/>
      <c r="H125" s="157"/>
      <c r="I125" s="33"/>
      <c r="J125" s="111">
        <f>SUM(J126:J128)</f>
        <v>6.2229955799999992</v>
      </c>
      <c r="K125" s="111">
        <f>SUM(K126:K128)</f>
        <v>6.8191453589999993</v>
      </c>
      <c r="L125" s="40"/>
      <c r="M125" s="116"/>
    </row>
    <row r="126" spans="2:13">
      <c r="B126" s="39"/>
      <c r="C126" s="39"/>
      <c r="D126" s="58" t="s">
        <v>287</v>
      </c>
      <c r="E126" s="136"/>
      <c r="F126" s="133"/>
      <c r="G126" s="52"/>
      <c r="H126" s="45">
        <f>H63</f>
        <v>25</v>
      </c>
      <c r="I126" s="42">
        <v>1.1000000000000001</v>
      </c>
      <c r="J126" s="44">
        <f>J63*$L$39</f>
        <v>5.6999999999999993</v>
      </c>
      <c r="K126" s="44">
        <f>IF(J126=0,"",I126*J126)</f>
        <v>6.27</v>
      </c>
      <c r="L126" s="45" t="s">
        <v>59</v>
      </c>
      <c r="M126" s="116"/>
    </row>
    <row r="127" spans="2:13">
      <c r="B127" s="39"/>
      <c r="C127" s="39"/>
      <c r="D127" s="58" t="s">
        <v>68</v>
      </c>
      <c r="E127" s="136"/>
      <c r="F127" s="133"/>
      <c r="G127" s="52"/>
      <c r="H127" s="41" t="s">
        <v>288</v>
      </c>
      <c r="I127" s="43">
        <v>1.05</v>
      </c>
      <c r="J127" s="44">
        <f>J64*$L$39</f>
        <v>0.21450000000000002</v>
      </c>
      <c r="K127" s="44">
        <f>IF(J127=0,"",I127*J127)</f>
        <v>0.22522500000000004</v>
      </c>
      <c r="L127" s="45" t="s">
        <v>59</v>
      </c>
      <c r="M127" s="116"/>
    </row>
    <row r="128" spans="2:13">
      <c r="B128" s="39"/>
      <c r="C128" s="39"/>
      <c r="D128" s="58" t="s">
        <v>293</v>
      </c>
      <c r="E128" s="136"/>
      <c r="F128" s="133"/>
      <c r="G128" s="52"/>
      <c r="H128" s="45">
        <v>78.5</v>
      </c>
      <c r="I128" s="43">
        <v>1.05</v>
      </c>
      <c r="J128" s="44">
        <f>H128*I54/10000</f>
        <v>0.30849557999999999</v>
      </c>
      <c r="K128" s="44">
        <f>IF(J128=0,"",I128*J128)</f>
        <v>0.32392035899999999</v>
      </c>
      <c r="L128" s="45" t="s">
        <v>59</v>
      </c>
      <c r="M128" s="116"/>
    </row>
    <row r="129" spans="2:13">
      <c r="B129" s="39"/>
      <c r="C129" s="46" t="s">
        <v>72</v>
      </c>
      <c r="D129" s="47"/>
      <c r="E129" s="48"/>
      <c r="F129" s="49"/>
      <c r="G129" s="50"/>
      <c r="H129" s="158"/>
      <c r="I129" s="132">
        <f>I65</f>
        <v>1.2</v>
      </c>
      <c r="J129" s="100">
        <f>J65*$L$39</f>
        <v>7.5</v>
      </c>
      <c r="K129" s="100">
        <f>J129*I129</f>
        <v>9</v>
      </c>
      <c r="L129" s="100" t="s">
        <v>59</v>
      </c>
      <c r="M129" s="116"/>
    </row>
    <row r="130" spans="2:13">
      <c r="B130" s="39"/>
      <c r="C130" s="256" t="s">
        <v>73</v>
      </c>
      <c r="D130" s="257"/>
      <c r="E130" s="257"/>
      <c r="F130" s="257"/>
      <c r="G130" s="257"/>
      <c r="H130" s="257"/>
      <c r="I130" s="258"/>
      <c r="J130" s="51">
        <f>J125+J129</f>
        <v>13.722995579999999</v>
      </c>
      <c r="K130" s="51">
        <f>K125+K129</f>
        <v>15.819145359</v>
      </c>
      <c r="L130" s="31" t="s">
        <v>59</v>
      </c>
      <c r="M130" s="116"/>
    </row>
    <row r="131" spans="2:13">
      <c r="B131" s="30" t="str">
        <f>"b. Nội lực"</f>
        <v>b. Nội lực</v>
      </c>
      <c r="C131" s="136"/>
      <c r="D131" s="136"/>
      <c r="E131" s="136"/>
      <c r="F131" s="136"/>
      <c r="G131" s="136"/>
      <c r="H131" s="136"/>
      <c r="I131" s="136"/>
      <c r="J131" s="136"/>
      <c r="K131" s="136"/>
      <c r="L131" s="57"/>
      <c r="M131" s="116"/>
    </row>
    <row r="132" spans="2:13">
      <c r="B132" s="39"/>
      <c r="C132" s="58" t="str">
        <f>"- Sử dụng cây chống:"</f>
        <v>- Sử dụng cây chống:</v>
      </c>
      <c r="D132" s="136"/>
      <c r="E132" s="133"/>
      <c r="F132" s="52"/>
      <c r="G132" s="134"/>
      <c r="H132" s="58"/>
      <c r="I132" s="135"/>
      <c r="J132" s="133"/>
      <c r="K132" s="136"/>
      <c r="L132" s="137" t="s">
        <v>292</v>
      </c>
      <c r="M132" s="116"/>
    </row>
    <row r="133" spans="2:13">
      <c r="B133" s="39"/>
      <c r="C133" s="58" t="str">
        <f>"- Sơ đồ tính:"</f>
        <v>- Sơ đồ tính:</v>
      </c>
      <c r="D133" s="136"/>
      <c r="E133" s="133"/>
      <c r="F133" s="52"/>
      <c r="G133" s="134"/>
      <c r="H133" s="58"/>
      <c r="I133" s="135"/>
      <c r="J133" s="133"/>
      <c r="K133" s="136"/>
      <c r="L133" s="52" t="s">
        <v>186</v>
      </c>
      <c r="M133" s="116"/>
    </row>
    <row r="134" spans="2:13">
      <c r="B134" s="39"/>
      <c r="C134" s="58" t="str">
        <f>"- Nhịp tính toán:"</f>
        <v>- Nhịp tính toán:</v>
      </c>
      <c r="D134" s="136"/>
      <c r="E134" s="136"/>
      <c r="F134" s="136"/>
      <c r="G134" s="136"/>
      <c r="H134" s="136"/>
      <c r="I134" s="136"/>
      <c r="J134" s="136"/>
      <c r="K134" s="141" t="s">
        <v>29</v>
      </c>
      <c r="L134" s="52">
        <f>$L$46/IF(L132="N",1,2)</f>
        <v>3</v>
      </c>
      <c r="M134" s="116" t="s">
        <v>185</v>
      </c>
    </row>
    <row r="135" spans="2:13" ht="15" hidden="1">
      <c r="B135" s="39"/>
      <c r="C135" s="172"/>
      <c r="D135" s="133" t="s">
        <v>189</v>
      </c>
      <c r="E135" s="58" t="e" cm="1">
        <f t="array" ref="E135">_xll.DCEHSMVf(MATCH(L133,$N$109:$Q$109,0),"M-")</f>
        <v>#VALUE!</v>
      </c>
      <c r="F135" s="133" t="s">
        <v>192</v>
      </c>
      <c r="G135" s="162" t="e">
        <f>E135*$K$66*$L$70^2</f>
        <v>#VALUE!</v>
      </c>
      <c r="H135" s="19" t="s">
        <v>57</v>
      </c>
      <c r="I135" s="133"/>
      <c r="J135" s="58"/>
      <c r="K135" s="133"/>
      <c r="L135" s="162"/>
      <c r="M135" s="19"/>
    </row>
    <row r="136" spans="2:13" ht="15">
      <c r="B136" s="39"/>
      <c r="C136" s="172"/>
      <c r="I136" s="133" t="s">
        <v>190</v>
      </c>
      <c r="J136" s="58">
        <f>INDEX($P$95:$P$97,MATCH(L133,$N$95:$N$97,0))</f>
        <v>0.125</v>
      </c>
      <c r="K136" s="133" t="s">
        <v>192</v>
      </c>
      <c r="L136" s="162">
        <f>J136*K130*L134^2</f>
        <v>17.796538528875001</v>
      </c>
      <c r="M136" s="19" t="s">
        <v>57</v>
      </c>
    </row>
    <row r="137" spans="2:13" ht="14.25">
      <c r="B137" s="39"/>
      <c r="C137" s="172"/>
      <c r="I137" s="133" t="s">
        <v>191</v>
      </c>
      <c r="J137" s="58">
        <v>0.5</v>
      </c>
      <c r="K137" s="133" t="s">
        <v>193</v>
      </c>
      <c r="L137" s="162">
        <f>J137*K130*L134</f>
        <v>23.728718038499998</v>
      </c>
      <c r="M137" s="19" t="s">
        <v>59</v>
      </c>
    </row>
    <row r="138" spans="2:13">
      <c r="B138" s="30" t="str">
        <f>"c1. Kiểm tra cường độ ứng suất pháp"</f>
        <v>c1. Kiểm tra cường độ ứng suất pháp</v>
      </c>
      <c r="C138" s="136"/>
      <c r="D138" s="136"/>
      <c r="E138" s="136"/>
      <c r="F138" s="136"/>
      <c r="G138" s="136"/>
      <c r="H138" s="136"/>
      <c r="I138" s="136"/>
      <c r="J138" s="136"/>
      <c r="K138" s="136"/>
      <c r="L138" s="57"/>
      <c r="M138" s="116"/>
    </row>
    <row r="139" spans="2:13">
      <c r="B139" s="30"/>
      <c r="C139" s="58" t="str">
        <f>"- Ứng suất bền của cấu kiện:"</f>
        <v>- Ứng suất bền của cấu kiện:</v>
      </c>
      <c r="D139" s="136"/>
      <c r="E139" s="136"/>
      <c r="F139" s="136"/>
      <c r="G139" s="136"/>
      <c r="H139" s="136"/>
      <c r="I139" s="136"/>
      <c r="J139" s="136"/>
      <c r="K139" s="173" t="s">
        <v>262</v>
      </c>
      <c r="L139" s="174">
        <f>L136/K54*1000</f>
        <v>39.609366230250757</v>
      </c>
      <c r="M139" s="2" t="s">
        <v>1</v>
      </c>
    </row>
    <row r="140" spans="2:13" ht="14.25">
      <c r="B140" s="30"/>
      <c r="C140" s="58" t="str">
        <f>"- Ứng suất pháp giới hạn:"</f>
        <v>- Ứng suất pháp giới hạn:</v>
      </c>
      <c r="D140" s="136"/>
      <c r="E140" s="136"/>
      <c r="F140" s="136"/>
      <c r="G140" s="136"/>
      <c r="H140" s="136"/>
      <c r="I140" s="136"/>
      <c r="J140" s="136"/>
      <c r="K140" s="175" t="s">
        <v>263</v>
      </c>
      <c r="L140" s="176">
        <f>L30*I56</f>
        <v>312.14285714285711</v>
      </c>
      <c r="M140" s="2" t="s">
        <v>1</v>
      </c>
    </row>
    <row r="141" spans="2:13">
      <c r="B141" s="30"/>
      <c r="C141" s="58" t="str">
        <f>"- Tỷ số huy động cấu kiện:"</f>
        <v>- Tỷ số huy động cấu kiện:</v>
      </c>
      <c r="D141" s="136"/>
      <c r="E141" s="136"/>
      <c r="F141" s="136"/>
      <c r="G141" s="136"/>
      <c r="H141" s="136"/>
      <c r="I141" s="136"/>
      <c r="J141" s="136"/>
      <c r="K141" s="136"/>
      <c r="L141" s="177">
        <f>L139/L140</f>
        <v>0.12689499478798871</v>
      </c>
      <c r="M141" s="116" t="str">
        <f>IF(L141&lt;=1,"OK","Check")</f>
        <v>OK</v>
      </c>
    </row>
    <row r="142" spans="2:13">
      <c r="B142" s="30" t="str">
        <f>"c2. Kiểm tra cường độ ứng suất tiếp"</f>
        <v>c2. Kiểm tra cường độ ứng suất tiếp</v>
      </c>
      <c r="C142" s="136"/>
      <c r="D142" s="136"/>
      <c r="E142" s="136"/>
      <c r="F142" s="136"/>
      <c r="G142" s="136"/>
      <c r="H142" s="136"/>
      <c r="I142" s="136"/>
      <c r="J142" s="136"/>
      <c r="K142" s="136"/>
      <c r="L142" s="57"/>
      <c r="M142" s="116"/>
    </row>
    <row r="143" spans="2:13" ht="14.25" customHeight="1">
      <c r="B143" s="30"/>
      <c r="C143" s="58" t="str">
        <f>"- Ứng suất bền của cấu kiện:"</f>
        <v>- Ứng suất bền của cấu kiện:</v>
      </c>
      <c r="D143" s="136"/>
      <c r="E143" s="136"/>
      <c r="F143" s="136"/>
      <c r="G143" s="136"/>
      <c r="H143" s="136"/>
      <c r="I143" s="136"/>
      <c r="J143" s="136"/>
      <c r="K143" s="178" t="s">
        <v>296</v>
      </c>
      <c r="L143" s="162">
        <f>(L137*L54)/(J54*L49)*100</f>
        <v>14.342545476260845</v>
      </c>
      <c r="M143" s="2" t="s">
        <v>1</v>
      </c>
    </row>
    <row r="144" spans="2:13" ht="14.25">
      <c r="B144" s="30"/>
      <c r="C144" s="58" t="str">
        <f>"- Ứng suất pháp giới hạn:"</f>
        <v>- Ứng suất pháp giới hạn:</v>
      </c>
      <c r="D144" s="136"/>
      <c r="E144" s="136"/>
      <c r="F144" s="136"/>
      <c r="G144" s="136"/>
      <c r="H144" s="136"/>
      <c r="I144" s="136"/>
      <c r="J144" s="136"/>
      <c r="K144" s="179" t="s">
        <v>297</v>
      </c>
      <c r="L144" s="176">
        <f>0.58*L29/E56*I56</f>
        <v>181.04285714285712</v>
      </c>
      <c r="M144" s="2" t="s">
        <v>1</v>
      </c>
    </row>
    <row r="145" spans="2:13">
      <c r="B145" s="30"/>
      <c r="C145" s="58" t="str">
        <f>"- Tỷ số huy động cấu kiện:"</f>
        <v>- Tỷ số huy động cấu kiện:</v>
      </c>
      <c r="D145" s="136"/>
      <c r="E145" s="136"/>
      <c r="F145" s="136"/>
      <c r="G145" s="136"/>
      <c r="H145" s="136"/>
      <c r="I145" s="136"/>
      <c r="J145" s="136"/>
      <c r="K145" s="136"/>
      <c r="L145" s="177">
        <f>L143/L144</f>
        <v>7.9221824614397487E-2</v>
      </c>
      <c r="M145" s="116" t="str">
        <f>IF(L145&lt;=1,"OK","Check")</f>
        <v>OK</v>
      </c>
    </row>
    <row r="146" spans="2:13">
      <c r="B146" s="30" t="s">
        <v>314</v>
      </c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16"/>
    </row>
    <row r="147" spans="2:13" ht="14.25">
      <c r="B147" s="167"/>
      <c r="C147" s="58" t="str">
        <f>"- Chiều dài tính toán Lef:"</f>
        <v>- Chiều dài tính toán Lef:</v>
      </c>
      <c r="D147" s="136"/>
      <c r="E147" s="136"/>
      <c r="F147" s="136"/>
      <c r="G147" s="136"/>
      <c r="H147" s="136"/>
      <c r="I147" s="136"/>
      <c r="J147" s="136"/>
      <c r="K147" s="141" t="s">
        <v>315</v>
      </c>
      <c r="L147" s="139">
        <f>D54</f>
        <v>343</v>
      </c>
      <c r="M147" s="182" t="s">
        <v>2</v>
      </c>
    </row>
    <row r="148" spans="2:13" ht="14.25">
      <c r="B148" s="30"/>
      <c r="C148" s="58" t="str">
        <f>"- Độ mảnh quy ước của bản cánh:"</f>
        <v>- Độ mảnh quy ước của bản cánh:</v>
      </c>
      <c r="D148" s="136"/>
      <c r="E148" s="136"/>
      <c r="F148" s="136"/>
      <c r="G148" s="136"/>
      <c r="H148" s="136"/>
      <c r="I148" s="136"/>
      <c r="J148" s="136"/>
      <c r="K148" s="138" t="s">
        <v>316</v>
      </c>
      <c r="L148" s="181">
        <f>(L147/L48)*SQRT(L29/L31)</f>
        <v>0.11585446449940738</v>
      </c>
      <c r="M148" s="116"/>
    </row>
    <row r="149" spans="2:13" ht="14.25">
      <c r="B149" s="30"/>
      <c r="C149" s="58" t="str">
        <f>"- Độ mảnh quy ước giới hạn (Bảng 12) &amp; Chú thích 3:"</f>
        <v>- Độ mảnh quy ước giới hạn (Bảng 12) &amp; Chú thích 3:</v>
      </c>
      <c r="D149" s="136"/>
      <c r="E149" s="136"/>
      <c r="F149" s="136"/>
      <c r="G149" s="136"/>
      <c r="H149" s="141" t="s">
        <v>318</v>
      </c>
      <c r="I149" s="57">
        <f>1/L141</f>
        <v>7.8805314714797197</v>
      </c>
      <c r="J149" s="136"/>
      <c r="K149" s="138" t="s">
        <v>317</v>
      </c>
      <c r="L149" s="181">
        <f>(0.35+0.0032*(L48/L50)+(0.76-0.02*(L48/L50))*(L48/L47))*I149</f>
        <v>4.4230399959974758</v>
      </c>
      <c r="M149" s="116"/>
    </row>
    <row r="150" spans="2:13">
      <c r="B150" s="30"/>
      <c r="C150" s="58" t="str">
        <f>"- Tỷ số huy động cấu kiện:"</f>
        <v>- Tỷ số huy động cấu kiện:</v>
      </c>
      <c r="D150" s="136"/>
      <c r="E150" s="136"/>
      <c r="F150" s="136"/>
      <c r="G150" s="136"/>
      <c r="H150" s="136"/>
      <c r="I150" s="136"/>
      <c r="J150" s="136"/>
      <c r="K150" s="136"/>
      <c r="L150" s="177">
        <f>L148/L149</f>
        <v>2.6193401959793968E-2</v>
      </c>
      <c r="M150" s="116" t="str">
        <f>IF(L150&lt;=1,"OK","Check")</f>
        <v>OK</v>
      </c>
    </row>
    <row r="151" spans="2:13">
      <c r="B151" s="30" t="s">
        <v>319</v>
      </c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16"/>
    </row>
    <row r="152" spans="2:13" ht="15">
      <c r="B152" s="167"/>
      <c r="C152" s="58" t="str">
        <f>"- Độ mảnh quy ước của phần vươn cánh:"</f>
        <v>- Độ mảnh quy ước của phần vươn cánh:</v>
      </c>
      <c r="D152" s="136"/>
      <c r="E152" s="136"/>
      <c r="F152" s="136"/>
      <c r="G152" s="136"/>
      <c r="H152" s="136"/>
      <c r="I152" s="136"/>
      <c r="J152" s="136"/>
      <c r="K152" s="180" t="s">
        <v>306</v>
      </c>
      <c r="L152" s="181">
        <f>(((L48-L49)/2)/L50)*SQRT(L30/L31)</f>
        <v>0.2546653543848077</v>
      </c>
      <c r="M152" s="182"/>
    </row>
    <row r="153" spans="2:13" ht="15">
      <c r="B153" s="167"/>
      <c r="C153" s="58" t="str">
        <f>"- Độ mảnh giới hạn:"</f>
        <v>- Độ mảnh giới hạn:</v>
      </c>
      <c r="D153" s="136"/>
      <c r="E153" s="136"/>
      <c r="F153" s="136"/>
      <c r="G153" s="136"/>
      <c r="H153" s="136"/>
      <c r="I153" s="136"/>
      <c r="J153" s="136"/>
      <c r="K153" s="180" t="s">
        <v>303</v>
      </c>
      <c r="L153" s="181">
        <f>0.5*SQRT(L30/L139)</f>
        <v>1.440077800482332</v>
      </c>
      <c r="M153" s="182"/>
    </row>
    <row r="154" spans="2:13" ht="15">
      <c r="B154" s="167"/>
      <c r="C154" s="58" t="str">
        <f>"- Tỷ số huy động của cấu kiện:"</f>
        <v>- Tỷ số huy động của cấu kiện:</v>
      </c>
      <c r="D154" s="136"/>
      <c r="E154" s="136"/>
      <c r="F154" s="136"/>
      <c r="G154" s="136"/>
      <c r="H154" s="136"/>
      <c r="I154" s="136"/>
      <c r="J154" s="136"/>
      <c r="K154" s="180" t="s">
        <v>304</v>
      </c>
      <c r="L154" s="183">
        <f>L152/L153</f>
        <v>0.1768413861386596</v>
      </c>
      <c r="M154" s="116" t="str">
        <f>IF(L154&lt;=1,"OK","Check")</f>
        <v>OK</v>
      </c>
    </row>
    <row r="155" spans="2:13">
      <c r="B155" s="30" t="s">
        <v>320</v>
      </c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16"/>
    </row>
    <row r="156" spans="2:13" ht="15">
      <c r="B156" s="127"/>
      <c r="C156" s="58" t="str">
        <f>"- Độ mảnh quy ước của bản bụng:"</f>
        <v>- Độ mảnh quy ước của bản bụng:</v>
      </c>
      <c r="D156" s="136"/>
      <c r="E156" s="136"/>
      <c r="F156" s="136"/>
      <c r="G156" s="136"/>
      <c r="H156" s="136"/>
      <c r="I156" s="136"/>
      <c r="J156" s="136"/>
      <c r="K156" s="180" t="s">
        <v>307</v>
      </c>
      <c r="L156" s="184">
        <f>(H54/L49)*SQRT(L30/206000)</f>
        <v>2.4568981658855185</v>
      </c>
      <c r="M156" s="116"/>
    </row>
    <row r="157" spans="2:13" ht="14.25">
      <c r="B157" s="127"/>
      <c r="C157" s="58" t="str">
        <f>"- Sườn tăng cứng ngang"</f>
        <v>- Sườn tăng cứng ngang</v>
      </c>
      <c r="D157" s="185"/>
      <c r="E157" s="185"/>
      <c r="F157" s="136"/>
      <c r="G157" s="136"/>
      <c r="H157" s="136"/>
      <c r="I157" s="136"/>
      <c r="J157" s="186"/>
      <c r="K157" s="187" t="s">
        <v>308</v>
      </c>
      <c r="L157" s="52">
        <v>3.2</v>
      </c>
      <c r="M157" s="128"/>
    </row>
    <row r="158" spans="2:13" ht="14.25">
      <c r="B158" s="127"/>
      <c r="C158" s="58" t="s">
        <v>309</v>
      </c>
      <c r="D158" s="136"/>
      <c r="E158" s="180" t="s">
        <v>310</v>
      </c>
      <c r="F158" s="57" t="str">
        <f>IF(L156&lt;L157,"&lt;","&gt;")</f>
        <v>&lt;</v>
      </c>
      <c r="G158" s="188" t="s">
        <v>311</v>
      </c>
      <c r="H158" s="189" t="str">
        <f>IF(L156&gt;L157,"Dầm phải được tăng cường bằng các sườn cứng ngang theo 8.5.9","Không gia cường")</f>
        <v>Không gia cường</v>
      </c>
      <c r="I158" s="57"/>
      <c r="J158" s="186"/>
      <c r="K158" s="187"/>
      <c r="L158" s="52"/>
      <c r="M158" s="168"/>
    </row>
    <row r="159" spans="2:13">
      <c r="B159" s="30" t="str">
        <f>"d. Kiểm tra độ võng"</f>
        <v>d. Kiểm tra độ võng</v>
      </c>
      <c r="C159" s="136"/>
      <c r="D159" s="136"/>
      <c r="E159" s="136"/>
      <c r="F159" s="136"/>
      <c r="G159" s="136"/>
      <c r="H159" s="136"/>
      <c r="I159" s="136"/>
      <c r="J159" s="136"/>
      <c r="K159" s="136"/>
      <c r="L159" s="57"/>
      <c r="M159" s="116"/>
    </row>
    <row r="160" spans="2:13" ht="15">
      <c r="B160" s="30"/>
      <c r="C160" s="58" t="str">
        <f>"- Độ võng tính toán:"</f>
        <v>- Độ võng tính toán:</v>
      </c>
      <c r="D160" s="136"/>
      <c r="E160" s="136"/>
      <c r="F160" s="136"/>
      <c r="G160" s="141" t="s">
        <v>62</v>
      </c>
      <c r="H160" s="190">
        <f>INDEX($O$95:$O$97,MATCH(L133,$N$95:$N$97,0))</f>
        <v>1.3020833333333334E-2</v>
      </c>
      <c r="I160" s="136"/>
      <c r="J160" s="136"/>
      <c r="K160" s="180" t="s">
        <v>282</v>
      </c>
      <c r="L160" s="176">
        <f>H160*J130*(L134*1000)^4/(L31*J54)/10000</f>
        <v>0.87655209739816309</v>
      </c>
      <c r="M160" s="116" t="s">
        <v>2</v>
      </c>
    </row>
    <row r="161" spans="2:16">
      <c r="B161" s="30"/>
      <c r="C161" s="58" t="str">
        <f>"- Độ võng giới hạn:"</f>
        <v>- Độ võng giới hạn:</v>
      </c>
      <c r="D161" s="136"/>
      <c r="E161" s="136"/>
      <c r="F161" s="136"/>
      <c r="G161" s="141" t="s">
        <v>301</v>
      </c>
      <c r="H161" s="207">
        <f>F228</f>
        <v>200</v>
      </c>
      <c r="I161" s="136"/>
      <c r="J161" s="136"/>
      <c r="K161" s="141" t="s">
        <v>302</v>
      </c>
      <c r="L161" s="176">
        <f>L134*1000/H161</f>
        <v>15</v>
      </c>
      <c r="M161" s="116" t="s">
        <v>2</v>
      </c>
    </row>
    <row r="162" spans="2:16" ht="15">
      <c r="B162" s="154"/>
      <c r="C162" s="155" t="str">
        <f>"- Tỷ số huy động cấu kiện:"</f>
        <v>- Tỷ số huy động cấu kiện:</v>
      </c>
      <c r="D162" s="156"/>
      <c r="E162" s="156"/>
      <c r="F162" s="156"/>
      <c r="G162" s="156"/>
      <c r="H162" s="156"/>
      <c r="I162" s="156"/>
      <c r="J162" s="156"/>
      <c r="K162" s="156"/>
      <c r="L162" s="191">
        <f>L160/L161</f>
        <v>5.8436806493210876E-2</v>
      </c>
      <c r="M162" s="116" t="str">
        <f>IF(L162&lt;=1,"OK","Check")</f>
        <v>OK</v>
      </c>
      <c r="O162" s="1" t="s">
        <v>300</v>
      </c>
    </row>
    <row r="163" spans="2:16">
      <c r="B163" s="169" t="s">
        <v>294</v>
      </c>
      <c r="C163" s="170"/>
      <c r="D163" s="170"/>
      <c r="E163" s="170"/>
      <c r="F163" s="170"/>
      <c r="G163" s="170"/>
      <c r="H163" s="170"/>
      <c r="I163" s="170"/>
      <c r="J163" s="170"/>
      <c r="K163" s="170"/>
      <c r="L163" s="170"/>
      <c r="M163" s="171"/>
    </row>
    <row r="164" spans="2:16">
      <c r="B164" s="30" t="str">
        <f>"a. Tải trọng"</f>
        <v>a. Tải trọng</v>
      </c>
      <c r="M164" s="128"/>
    </row>
    <row r="165" spans="2:16" ht="14.25">
      <c r="B165" s="127"/>
      <c r="C165" s="267" t="s">
        <v>74</v>
      </c>
      <c r="D165" s="268"/>
      <c r="E165" s="268"/>
      <c r="F165" s="268"/>
      <c r="G165" s="269"/>
      <c r="H165" s="32" t="s">
        <v>286</v>
      </c>
      <c r="I165" s="32" t="s">
        <v>285</v>
      </c>
      <c r="J165" s="31" t="s">
        <v>283</v>
      </c>
      <c r="K165" s="31" t="s">
        <v>284</v>
      </c>
      <c r="L165" s="31" t="s">
        <v>75</v>
      </c>
      <c r="M165" s="128"/>
    </row>
    <row r="166" spans="2:16">
      <c r="B166" s="127"/>
      <c r="C166" s="33" t="s">
        <v>66</v>
      </c>
      <c r="D166" s="34"/>
      <c r="E166" s="35"/>
      <c r="F166" s="36"/>
      <c r="G166" s="37"/>
      <c r="H166" s="157"/>
      <c r="I166" s="33"/>
      <c r="J166" s="111">
        <f>SUM(J167:J172)</f>
        <v>6.5829955799999995</v>
      </c>
      <c r="K166" s="111">
        <f>SUM(K167:K172)</f>
        <v>7.2511453589999997</v>
      </c>
      <c r="L166" s="40"/>
      <c r="M166" s="128"/>
    </row>
    <row r="167" spans="2:16">
      <c r="B167" s="127"/>
      <c r="C167" s="39"/>
      <c r="D167" s="58" t="s">
        <v>67</v>
      </c>
      <c r="E167" s="136"/>
      <c r="F167" s="133"/>
      <c r="G167" s="52"/>
      <c r="H167" s="45">
        <f>H85</f>
        <v>25</v>
      </c>
      <c r="I167" s="42">
        <f>I85</f>
        <v>1.1000000000000001</v>
      </c>
      <c r="J167" s="44">
        <f>J85*$L$39</f>
        <v>5.6999999999999993</v>
      </c>
      <c r="K167" s="44">
        <f t="shared" ref="K167:K172" si="0">IF(J167=0,"",I167*J167)</f>
        <v>6.27</v>
      </c>
      <c r="L167" s="45" t="s">
        <v>59</v>
      </c>
      <c r="M167" s="128"/>
    </row>
    <row r="168" spans="2:16">
      <c r="B168" s="127"/>
      <c r="C168" s="39"/>
      <c r="D168" s="58" t="s">
        <v>68</v>
      </c>
      <c r="E168" s="136"/>
      <c r="F168" s="133"/>
      <c r="G168" s="52"/>
      <c r="H168" s="45" t="str">
        <f t="shared" ref="H168:I171" si="1">H86</f>
        <v>-</v>
      </c>
      <c r="I168" s="42">
        <f t="shared" si="1"/>
        <v>1.05</v>
      </c>
      <c r="J168" s="44">
        <f t="shared" ref="J168:J171" si="2">J86*$L$39</f>
        <v>0.21450000000000002</v>
      </c>
      <c r="K168" s="44">
        <f t="shared" si="0"/>
        <v>0.22522500000000004</v>
      </c>
      <c r="L168" s="45" t="s">
        <v>59</v>
      </c>
      <c r="M168" s="128"/>
    </row>
    <row r="169" spans="2:16">
      <c r="B169" s="127"/>
      <c r="C169" s="39"/>
      <c r="D169" s="58" t="s">
        <v>69</v>
      </c>
      <c r="E169" s="136"/>
      <c r="F169" s="133"/>
      <c r="G169" s="52"/>
      <c r="H169" s="45" t="str">
        <f t="shared" si="1"/>
        <v>-</v>
      </c>
      <c r="I169" s="42">
        <f t="shared" si="1"/>
        <v>1.2</v>
      </c>
      <c r="J169" s="44">
        <f t="shared" si="2"/>
        <v>0.36</v>
      </c>
      <c r="K169" s="44">
        <f t="shared" si="0"/>
        <v>0.432</v>
      </c>
      <c r="L169" s="45" t="s">
        <v>59</v>
      </c>
      <c r="M169" s="128"/>
      <c r="P169" s="1" t="s">
        <v>299</v>
      </c>
    </row>
    <row r="170" spans="2:16">
      <c r="B170" s="127"/>
      <c r="C170" s="39"/>
      <c r="D170" s="58" t="s">
        <v>70</v>
      </c>
      <c r="E170" s="136"/>
      <c r="F170" s="133"/>
      <c r="G170" s="52"/>
      <c r="H170" s="45" t="str">
        <f t="shared" si="1"/>
        <v>-</v>
      </c>
      <c r="I170" s="42">
        <f t="shared" si="1"/>
        <v>1.1000000000000001</v>
      </c>
      <c r="J170" s="44">
        <f t="shared" si="2"/>
        <v>0</v>
      </c>
      <c r="K170" s="44" t="str">
        <f t="shared" si="0"/>
        <v/>
      </c>
      <c r="L170" s="45" t="s">
        <v>59</v>
      </c>
      <c r="M170" s="128"/>
    </row>
    <row r="171" spans="2:16">
      <c r="B171" s="127"/>
      <c r="C171" s="39"/>
      <c r="D171" s="58" t="s">
        <v>71</v>
      </c>
      <c r="E171" s="136"/>
      <c r="F171" s="133"/>
      <c r="G171" s="52"/>
      <c r="H171" s="45" t="str">
        <f t="shared" si="1"/>
        <v>-</v>
      </c>
      <c r="I171" s="42">
        <f t="shared" si="1"/>
        <v>1.2</v>
      </c>
      <c r="J171" s="44">
        <f t="shared" si="2"/>
        <v>0</v>
      </c>
      <c r="K171" s="44" t="str">
        <f t="shared" si="0"/>
        <v/>
      </c>
      <c r="L171" s="45" t="s">
        <v>59</v>
      </c>
      <c r="M171" s="128"/>
    </row>
    <row r="172" spans="2:16">
      <c r="B172" s="127"/>
      <c r="C172" s="39"/>
      <c r="D172" s="58" t="s">
        <v>295</v>
      </c>
      <c r="E172" s="136"/>
      <c r="F172" s="133"/>
      <c r="G172" s="52"/>
      <c r="H172" s="45">
        <f>H128</f>
        <v>78.5</v>
      </c>
      <c r="I172" s="43">
        <v>1.05</v>
      </c>
      <c r="J172" s="44">
        <f>J128</f>
        <v>0.30849557999999999</v>
      </c>
      <c r="K172" s="44">
        <f t="shared" si="0"/>
        <v>0.32392035899999999</v>
      </c>
      <c r="L172" s="45" t="s">
        <v>59</v>
      </c>
      <c r="M172" s="128"/>
    </row>
    <row r="173" spans="2:16">
      <c r="B173" s="127"/>
      <c r="C173" s="163" t="s">
        <v>256</v>
      </c>
      <c r="D173" s="164"/>
      <c r="E173" s="165"/>
      <c r="F173" s="166"/>
      <c r="G173" s="264"/>
      <c r="H173" s="270"/>
      <c r="I173" s="132">
        <f>I90</f>
        <v>1.2</v>
      </c>
      <c r="J173" s="100">
        <f>J90*$L$39</f>
        <v>15</v>
      </c>
      <c r="K173" s="100">
        <f>J173*I173</f>
        <v>18</v>
      </c>
      <c r="L173" s="100" t="s">
        <v>59</v>
      </c>
      <c r="M173" s="128"/>
    </row>
    <row r="174" spans="2:16">
      <c r="B174" s="127"/>
      <c r="C174" s="256" t="s">
        <v>73</v>
      </c>
      <c r="D174" s="257"/>
      <c r="E174" s="257"/>
      <c r="F174" s="257"/>
      <c r="G174" s="257"/>
      <c r="H174" s="257"/>
      <c r="I174" s="258"/>
      <c r="J174" s="112">
        <f>J166+J173</f>
        <v>21.582995579999999</v>
      </c>
      <c r="K174" s="112">
        <f>K166+K173</f>
        <v>25.251145358999999</v>
      </c>
      <c r="L174" s="31" t="s">
        <v>59</v>
      </c>
      <c r="M174" s="128"/>
    </row>
    <row r="175" spans="2:16">
      <c r="B175" s="30" t="str">
        <f>"b. Nội lực"</f>
        <v>b. Nội lực</v>
      </c>
      <c r="C175" s="136"/>
      <c r="D175" s="136"/>
      <c r="E175" s="136"/>
      <c r="F175" s="136"/>
      <c r="G175" s="136"/>
      <c r="H175" s="136"/>
      <c r="I175" s="136"/>
      <c r="J175" s="136"/>
      <c r="K175" s="136"/>
      <c r="L175" s="57"/>
      <c r="M175" s="116"/>
    </row>
    <row r="176" spans="2:16">
      <c r="B176" s="39"/>
      <c r="C176" s="58" t="str">
        <f>"- Sơ đồ tính:"</f>
        <v>- Sơ đồ tính:</v>
      </c>
      <c r="D176" s="136"/>
      <c r="E176" s="133"/>
      <c r="F176" s="52"/>
      <c r="G176" s="134"/>
      <c r="H176" s="58"/>
      <c r="I176" s="135"/>
      <c r="J176" s="133"/>
      <c r="K176" s="136"/>
      <c r="L176" s="52" t="s">
        <v>186</v>
      </c>
      <c r="M176" s="116"/>
    </row>
    <row r="177" spans="2:13">
      <c r="B177" s="39"/>
      <c r="C177" s="58" t="str">
        <f>"- Nhịp tính toán:"</f>
        <v>- Nhịp tính toán:</v>
      </c>
      <c r="D177" s="136"/>
      <c r="E177" s="136"/>
      <c r="F177" s="136"/>
      <c r="G177" s="136"/>
      <c r="H177" s="136"/>
      <c r="I177" s="136"/>
      <c r="J177" s="136"/>
      <c r="K177" s="141" t="s">
        <v>29</v>
      </c>
      <c r="L177" s="52">
        <f>$L$46</f>
        <v>6</v>
      </c>
      <c r="M177" s="116" t="s">
        <v>185</v>
      </c>
    </row>
    <row r="178" spans="2:13" ht="15">
      <c r="B178" s="39"/>
      <c r="C178" s="172"/>
      <c r="I178" s="133" t="s">
        <v>190</v>
      </c>
      <c r="J178" s="58">
        <f>INDEX($P$95:$P$97,MATCH(L176,$N$95:$N$97,0))</f>
        <v>0.125</v>
      </c>
      <c r="K178" s="133" t="s">
        <v>192</v>
      </c>
      <c r="L178" s="162">
        <f>J178*K174*L177^2</f>
        <v>113.63015411549999</v>
      </c>
      <c r="M178" s="19" t="s">
        <v>57</v>
      </c>
    </row>
    <row r="179" spans="2:13" ht="14.25">
      <c r="B179" s="39"/>
      <c r="C179" s="172"/>
      <c r="I179" s="133" t="s">
        <v>191</v>
      </c>
      <c r="J179" s="58">
        <v>0.5</v>
      </c>
      <c r="K179" s="133" t="s">
        <v>193</v>
      </c>
      <c r="L179" s="162">
        <f>J179*K174*L177</f>
        <v>75.753436077000003</v>
      </c>
      <c r="M179" s="19" t="s">
        <v>59</v>
      </c>
    </row>
    <row r="180" spans="2:13">
      <c r="B180" s="30" t="str">
        <f>"c1. Kiểm tra cường độ ứng suất pháp"</f>
        <v>c1. Kiểm tra cường độ ứng suất pháp</v>
      </c>
      <c r="C180" s="136"/>
      <c r="D180" s="136"/>
      <c r="E180" s="136"/>
      <c r="F180" s="136"/>
      <c r="G180" s="136"/>
      <c r="H180" s="136"/>
      <c r="I180" s="136"/>
      <c r="J180" s="136"/>
      <c r="K180" s="136"/>
      <c r="L180" s="57"/>
      <c r="M180" s="116"/>
    </row>
    <row r="181" spans="2:13">
      <c r="B181" s="30"/>
      <c r="C181" s="58" t="str">
        <f>"- Ứng suất bền của cấu kiện:"</f>
        <v>- Ứng suất bền của cấu kiện:</v>
      </c>
      <c r="D181" s="136"/>
      <c r="E181" s="136"/>
      <c r="F181" s="136"/>
      <c r="G181" s="136"/>
      <c r="H181" s="136"/>
      <c r="I181" s="136"/>
      <c r="J181" s="136"/>
      <c r="K181" s="173" t="s">
        <v>262</v>
      </c>
      <c r="L181" s="174">
        <f>L178/K54*1000</f>
        <v>252.90414660458083</v>
      </c>
      <c r="M181" s="2" t="s">
        <v>1</v>
      </c>
    </row>
    <row r="182" spans="2:13" ht="14.25">
      <c r="B182" s="30"/>
      <c r="C182" s="58" t="str">
        <f>"- Ứng suất pháp giới hạn:"</f>
        <v>- Ứng suất pháp giới hạn:</v>
      </c>
      <c r="D182" s="136"/>
      <c r="E182" s="136"/>
      <c r="F182" s="136"/>
      <c r="G182" s="136"/>
      <c r="H182" s="136"/>
      <c r="I182" s="136"/>
      <c r="J182" s="136"/>
      <c r="K182" s="175" t="s">
        <v>263</v>
      </c>
      <c r="L182" s="176">
        <f>L30*I56</f>
        <v>312.14285714285711</v>
      </c>
      <c r="M182" s="2" t="s">
        <v>1</v>
      </c>
    </row>
    <row r="183" spans="2:13">
      <c r="B183" s="30"/>
      <c r="C183" s="58" t="str">
        <f>"- Tỷ số huy động cấu kiện:"</f>
        <v>- Tỷ số huy động cấu kiện:</v>
      </c>
      <c r="D183" s="136"/>
      <c r="E183" s="136"/>
      <c r="F183" s="136"/>
      <c r="G183" s="136"/>
      <c r="H183" s="136"/>
      <c r="I183" s="136"/>
      <c r="J183" s="136"/>
      <c r="K183" s="136"/>
      <c r="L183" s="177">
        <f>L181/L182</f>
        <v>0.81021923397348561</v>
      </c>
      <c r="M183" s="116" t="str">
        <f>IF(L183&lt;=1,"OK","Check")</f>
        <v>OK</v>
      </c>
    </row>
    <row r="184" spans="2:13">
      <c r="B184" s="30" t="str">
        <f>"c2. Kiểm tra cường độ ứng suất tiếp"</f>
        <v>c2. Kiểm tra cường độ ứng suất tiếp</v>
      </c>
      <c r="C184" s="136"/>
      <c r="D184" s="136"/>
      <c r="E184" s="136"/>
      <c r="F184" s="136"/>
      <c r="G184" s="136"/>
      <c r="H184" s="136"/>
      <c r="I184" s="136"/>
      <c r="J184" s="136"/>
      <c r="K184" s="136"/>
      <c r="L184" s="57"/>
      <c r="M184" s="116"/>
    </row>
    <row r="185" spans="2:13" ht="18.75">
      <c r="B185" s="30"/>
      <c r="C185" s="58" t="str">
        <f>"- Ứng suất bền của cấu kiện:"</f>
        <v>- Ứng suất bền của cấu kiện:</v>
      </c>
      <c r="D185" s="136"/>
      <c r="E185" s="136"/>
      <c r="F185" s="136"/>
      <c r="G185" s="136"/>
      <c r="H185" s="136"/>
      <c r="I185" s="136"/>
      <c r="J185" s="136"/>
      <c r="K185" s="178" t="s">
        <v>296</v>
      </c>
      <c r="L185" s="162">
        <f>(L179*L54)/(J54*L49)*100</f>
        <v>45.788276473871989</v>
      </c>
      <c r="M185" s="2" t="s">
        <v>1</v>
      </c>
    </row>
    <row r="186" spans="2:13" ht="14.25">
      <c r="B186" s="30"/>
      <c r="C186" s="58" t="str">
        <f>"- Ứng suất pháp giới hạn:"</f>
        <v>- Ứng suất pháp giới hạn:</v>
      </c>
      <c r="D186" s="136"/>
      <c r="E186" s="136"/>
      <c r="F186" s="136"/>
      <c r="G186" s="136"/>
      <c r="H186" s="136"/>
      <c r="I186" s="136"/>
      <c r="J186" s="136"/>
      <c r="K186" s="179" t="s">
        <v>297</v>
      </c>
      <c r="L186" s="176">
        <f>0.58*L29/E56*I56</f>
        <v>181.04285714285712</v>
      </c>
      <c r="M186" s="2" t="s">
        <v>1</v>
      </c>
    </row>
    <row r="187" spans="2:13">
      <c r="B187" s="30"/>
      <c r="C187" s="58" t="str">
        <f>"- Tỷ số huy động cấu kiện:"</f>
        <v>- Tỷ số huy động cấu kiện:</v>
      </c>
      <c r="D187" s="136"/>
      <c r="E187" s="136"/>
      <c r="F187" s="136"/>
      <c r="G187" s="136"/>
      <c r="H187" s="136"/>
      <c r="I187" s="136"/>
      <c r="J187" s="136"/>
      <c r="K187" s="136"/>
      <c r="L187" s="177">
        <f>L185/L186</f>
        <v>0.25291401824122461</v>
      </c>
      <c r="M187" s="116" t="str">
        <f>IF(L187&lt;=1,"OK","Check")</f>
        <v>OK</v>
      </c>
    </row>
    <row r="188" spans="2:13">
      <c r="B188" s="30" t="s">
        <v>314</v>
      </c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16"/>
    </row>
    <row r="189" spans="2:13" ht="14.25">
      <c r="B189" s="167"/>
      <c r="C189" s="58" t="str">
        <f>"- Chiều dài tính toán Lef:"</f>
        <v>- Chiều dài tính toán Lef:</v>
      </c>
      <c r="D189" s="136"/>
      <c r="E189" s="136"/>
      <c r="F189" s="136"/>
      <c r="G189" s="136"/>
      <c r="H189" s="136"/>
      <c r="I189" s="136"/>
      <c r="J189" s="136"/>
      <c r="K189" s="141" t="s">
        <v>315</v>
      </c>
      <c r="L189" s="139">
        <f>L147</f>
        <v>343</v>
      </c>
      <c r="M189" s="182" t="s">
        <v>2</v>
      </c>
    </row>
    <row r="190" spans="2:13" ht="14.25">
      <c r="B190" s="30"/>
      <c r="C190" s="58" t="str">
        <f>"- Độ mảnh quy ước của bản cánh:"</f>
        <v>- Độ mảnh quy ước của bản cánh:</v>
      </c>
      <c r="D190" s="136"/>
      <c r="E190" s="136"/>
      <c r="F190" s="136"/>
      <c r="G190" s="136"/>
      <c r="H190" s="136"/>
      <c r="I190" s="136"/>
      <c r="J190" s="136"/>
      <c r="K190" s="138" t="s">
        <v>316</v>
      </c>
      <c r="L190" s="181">
        <f>L148</f>
        <v>0.11585446449940738</v>
      </c>
      <c r="M190" s="116"/>
    </row>
    <row r="191" spans="2:13" ht="14.25">
      <c r="B191" s="30"/>
      <c r="C191" s="58" t="str">
        <f>"- Độ mảnh quy ước giới hạn (Bảng 12) &amp; Chú thích 3:"</f>
        <v>- Độ mảnh quy ước giới hạn (Bảng 12) &amp; Chú thích 3:</v>
      </c>
      <c r="D191" s="136"/>
      <c r="E191" s="136"/>
      <c r="F191" s="136"/>
      <c r="G191" s="136"/>
      <c r="H191" s="141" t="s">
        <v>318</v>
      </c>
      <c r="I191" s="181">
        <f>1/L183</f>
        <v>1.2342338444568757</v>
      </c>
      <c r="J191" s="136"/>
      <c r="K191" s="138" t="s">
        <v>317</v>
      </c>
      <c r="L191" s="181">
        <f>(0.35+0.0032*(L48/L50)+(0.76-0.02*(L48/L50))*(L48/L47))*I191</f>
        <v>0.6927281082758554</v>
      </c>
      <c r="M191" s="116"/>
    </row>
    <row r="192" spans="2:13">
      <c r="B192" s="30"/>
      <c r="C192" s="58" t="str">
        <f>"- Tỷ số huy động cấu kiện:"</f>
        <v>- Tỷ số huy động cấu kiện:</v>
      </c>
      <c r="D192" s="136"/>
      <c r="E192" s="136"/>
      <c r="F192" s="136"/>
      <c r="G192" s="136"/>
      <c r="H192" s="136"/>
      <c r="I192" s="136"/>
      <c r="J192" s="136"/>
      <c r="K192" s="136"/>
      <c r="L192" s="177">
        <f>L190/L191</f>
        <v>0.16724377589897405</v>
      </c>
      <c r="M192" s="116" t="str">
        <f>IF(L192&lt;=1,"OK","Check")</f>
        <v>OK</v>
      </c>
    </row>
    <row r="193" spans="2:13">
      <c r="B193" s="30" t="s">
        <v>305</v>
      </c>
      <c r="C193" s="136"/>
      <c r="D193" s="136"/>
      <c r="E193" s="136"/>
      <c r="F193" s="136"/>
      <c r="G193" s="136"/>
      <c r="H193" s="136"/>
      <c r="I193" s="136"/>
      <c r="J193" s="136"/>
      <c r="K193" s="136"/>
      <c r="L193" s="136"/>
      <c r="M193" s="116"/>
    </row>
    <row r="194" spans="2:13" ht="15">
      <c r="B194" s="167"/>
      <c r="C194" s="58" t="str">
        <f>"- Độ mảnh quy ước của phần vươn cánh:"</f>
        <v>- Độ mảnh quy ước của phần vươn cánh:</v>
      </c>
      <c r="D194" s="136"/>
      <c r="E194" s="136"/>
      <c r="F194" s="136"/>
      <c r="G194" s="136"/>
      <c r="H194" s="136"/>
      <c r="I194" s="136"/>
      <c r="J194" s="136"/>
      <c r="K194" s="180" t="s">
        <v>306</v>
      </c>
      <c r="L194" s="181">
        <f>(((L48-L49)/2)/L50)*SQRT(L30/L31)</f>
        <v>0.2546653543848077</v>
      </c>
      <c r="M194" s="182"/>
    </row>
    <row r="195" spans="2:13" ht="15">
      <c r="B195" s="167"/>
      <c r="C195" s="58" t="str">
        <f>"- Độ mảnh giới hạn:"</f>
        <v>- Độ mảnh giới hạn:</v>
      </c>
      <c r="D195" s="136"/>
      <c r="E195" s="136"/>
      <c r="F195" s="136"/>
      <c r="G195" s="136"/>
      <c r="H195" s="136"/>
      <c r="I195" s="136"/>
      <c r="J195" s="136"/>
      <c r="K195" s="180" t="s">
        <v>303</v>
      </c>
      <c r="L195" s="181">
        <f>0.5*SQRT(L30/L181)</f>
        <v>0.56991085278333709</v>
      </c>
      <c r="M195" s="182"/>
    </row>
    <row r="196" spans="2:13" ht="15">
      <c r="B196" s="167"/>
      <c r="C196" s="58" t="str">
        <f>"- Tỷ số huy động của cấu kiện:"</f>
        <v>- Tỷ số huy động của cấu kiện:</v>
      </c>
      <c r="D196" s="136"/>
      <c r="E196" s="136"/>
      <c r="F196" s="136"/>
      <c r="G196" s="136"/>
      <c r="H196" s="136"/>
      <c r="I196" s="136"/>
      <c r="J196" s="136"/>
      <c r="K196" s="180" t="s">
        <v>304</v>
      </c>
      <c r="L196" s="183">
        <f>L194/L195</f>
        <v>0.44685121039732822</v>
      </c>
      <c r="M196" s="116" t="str">
        <f>IF(L196&lt;=1,"OK","Check")</f>
        <v>OK</v>
      </c>
    </row>
    <row r="197" spans="2:13">
      <c r="B197" s="30" t="s">
        <v>312</v>
      </c>
      <c r="C197" s="136"/>
      <c r="D197" s="136"/>
      <c r="E197" s="136"/>
      <c r="F197" s="136"/>
      <c r="G197" s="136"/>
      <c r="H197" s="136"/>
      <c r="I197" s="136"/>
      <c r="J197" s="136"/>
      <c r="K197" s="136"/>
      <c r="L197" s="136"/>
      <c r="M197" s="116"/>
    </row>
    <row r="198" spans="2:13" ht="15">
      <c r="B198" s="127"/>
      <c r="C198" s="58" t="str">
        <f>"- Độ mảnh quy ước của bản bụng:"</f>
        <v>- Độ mảnh quy ước của bản bụng:</v>
      </c>
      <c r="D198" s="136"/>
      <c r="E198" s="136"/>
      <c r="F198" s="136"/>
      <c r="G198" s="136"/>
      <c r="H198" s="136"/>
      <c r="I198" s="136"/>
      <c r="J198" s="136"/>
      <c r="K198" s="180" t="s">
        <v>307</v>
      </c>
      <c r="L198" s="184">
        <f>(H54/L49)*SQRT(L30/206000)</f>
        <v>2.4568981658855185</v>
      </c>
      <c r="M198" s="116"/>
    </row>
    <row r="199" spans="2:13" ht="14.25">
      <c r="B199" s="127"/>
      <c r="C199" s="58" t="str">
        <f>"- Sườn tăng cứng ngang"</f>
        <v>- Sườn tăng cứng ngang</v>
      </c>
      <c r="D199" s="185"/>
      <c r="E199" s="185"/>
      <c r="F199" s="136"/>
      <c r="G199" s="136"/>
      <c r="H199" s="136"/>
      <c r="I199" s="136"/>
      <c r="J199" s="186"/>
      <c r="K199" s="187" t="s">
        <v>308</v>
      </c>
      <c r="L199" s="52">
        <v>3.2</v>
      </c>
      <c r="M199" s="128"/>
    </row>
    <row r="200" spans="2:13" ht="14.25">
      <c r="B200" s="127"/>
      <c r="C200" s="58" t="s">
        <v>309</v>
      </c>
      <c r="D200" s="136"/>
      <c r="E200" s="180" t="s">
        <v>310</v>
      </c>
      <c r="F200" s="57" t="str">
        <f>IF(L198&lt;L199,"&lt;","&gt;")</f>
        <v>&lt;</v>
      </c>
      <c r="G200" s="188" t="s">
        <v>311</v>
      </c>
      <c r="H200" s="189" t="str">
        <f>IF(L198&gt;L199,"Dầm phải được tăng cường bằng các sườn cứng ngang theo 8.5.9","Không gia cường")</f>
        <v>Không gia cường</v>
      </c>
      <c r="I200" s="57"/>
      <c r="J200" s="186"/>
      <c r="K200" s="187"/>
      <c r="L200" s="52"/>
      <c r="M200" s="168"/>
    </row>
    <row r="201" spans="2:13">
      <c r="B201" s="30" t="str">
        <f>"d. Kiểm tra độ võng"</f>
        <v>d. Kiểm tra độ võng</v>
      </c>
      <c r="C201" s="136"/>
      <c r="D201" s="136"/>
      <c r="E201" s="136"/>
      <c r="F201" s="136"/>
      <c r="G201" s="136"/>
      <c r="H201" s="136"/>
      <c r="I201" s="136"/>
      <c r="J201" s="136"/>
      <c r="K201" s="136"/>
      <c r="L201" s="57"/>
      <c r="M201" s="116"/>
    </row>
    <row r="202" spans="2:13" ht="12.75" customHeight="1">
      <c r="B202" s="30"/>
      <c r="D202" s="141" t="s">
        <v>218</v>
      </c>
      <c r="E202" s="190" t="str">
        <f>E117</f>
        <v>Kho</v>
      </c>
      <c r="F202" s="136"/>
      <c r="G202" s="180" t="s">
        <v>341</v>
      </c>
      <c r="H202" s="176">
        <f>H117</f>
        <v>0.8</v>
      </c>
      <c r="I202" s="136"/>
      <c r="J202" s="136"/>
      <c r="K202" s="202" t="s">
        <v>342</v>
      </c>
      <c r="L202" s="210">
        <f>J166+J173*H202</f>
        <v>18.582995579999999</v>
      </c>
      <c r="M202" s="116" t="s">
        <v>59</v>
      </c>
    </row>
    <row r="203" spans="2:13" ht="15">
      <c r="B203" s="30"/>
      <c r="C203" s="58" t="str">
        <f>"- Độ võng tính toán:"</f>
        <v>- Độ võng tính toán:</v>
      </c>
      <c r="D203" s="136"/>
      <c r="E203" s="136"/>
      <c r="F203" s="136"/>
      <c r="G203" s="141" t="s">
        <v>62</v>
      </c>
      <c r="H203" s="190">
        <f>INDEX($O$95:$O$97,MATCH(L176,$N$95:$N$97,0))</f>
        <v>1.3020833333333334E-2</v>
      </c>
      <c r="I203" s="136"/>
      <c r="J203" s="136"/>
      <c r="K203" s="180" t="s">
        <v>282</v>
      </c>
      <c r="L203" s="176">
        <f>H203*L202*(L134*1000)^4/(L31*J54)/10000</f>
        <v>1.1869830939339117</v>
      </c>
      <c r="M203" s="116" t="s">
        <v>2</v>
      </c>
    </row>
    <row r="204" spans="2:13">
      <c r="B204" s="30"/>
      <c r="C204" s="58" t="str">
        <f>"- Độ võng giới hạn:"</f>
        <v>- Độ võng giới hạn:</v>
      </c>
      <c r="D204" s="136"/>
      <c r="E204" s="136"/>
      <c r="F204" s="136"/>
      <c r="G204" s="141" t="s">
        <v>301</v>
      </c>
      <c r="H204" s="207">
        <f>F228</f>
        <v>200</v>
      </c>
      <c r="I204" s="136"/>
      <c r="J204" s="136"/>
      <c r="K204" s="141" t="s">
        <v>302</v>
      </c>
      <c r="L204" s="176">
        <f>L134*1000/H204</f>
        <v>15</v>
      </c>
      <c r="M204" s="116" t="s">
        <v>2</v>
      </c>
    </row>
    <row r="205" spans="2:13" ht="15">
      <c r="B205" s="39"/>
      <c r="C205" s="58" t="str">
        <f>"- Tỷ số huy động cấu kiện:"</f>
        <v>- Tỷ số huy động cấu kiện:</v>
      </c>
      <c r="D205" s="136"/>
      <c r="E205" s="136"/>
      <c r="F205" s="136"/>
      <c r="G205" s="136"/>
      <c r="H205" s="136"/>
      <c r="I205" s="136"/>
      <c r="J205" s="136"/>
      <c r="K205" s="136"/>
      <c r="L205" s="183">
        <f>L203/L204</f>
        <v>7.9132206262260779E-2</v>
      </c>
      <c r="M205" s="116" t="str">
        <f>IF(L205&lt;=1,"OK","Check")</f>
        <v>OK</v>
      </c>
    </row>
    <row r="206" spans="2:13">
      <c r="B206" s="30" t="str">
        <f>"e. Tính neo chống cắt"</f>
        <v>e. Tính neo chống cắt</v>
      </c>
      <c r="M206" s="128"/>
    </row>
    <row r="207" spans="2:13">
      <c r="C207" s="58" t="s">
        <v>322</v>
      </c>
    </row>
    <row r="208" spans="2:13" ht="14.25">
      <c r="C208" s="58" t="str">
        <f>"- Lực trượt T trên toàn bộ dầm:"</f>
        <v>- Lực trượt T trên toàn bộ dầm:</v>
      </c>
      <c r="K208" s="202" t="s">
        <v>323</v>
      </c>
      <c r="L208" s="203">
        <f>(MAX(L179,L137)*L54)/J54*(L46*100)</f>
        <v>1483.5401577534528</v>
      </c>
      <c r="M208" s="1" t="s">
        <v>58</v>
      </c>
    </row>
    <row r="209" spans="2:13">
      <c r="C209" s="136" t="str">
        <f>"- Đường kính:"</f>
        <v>- Đường kính:</v>
      </c>
      <c r="K209" s="141" t="s">
        <v>231</v>
      </c>
      <c r="L209" s="137">
        <v>16</v>
      </c>
      <c r="M209" s="126" t="s">
        <v>2</v>
      </c>
    </row>
    <row r="210" spans="2:13" ht="14.25">
      <c r="B210" s="121"/>
      <c r="C210" s="136" t="str">
        <f>"- Số lượng chốt trong 1 sóng:"</f>
        <v>- Số lượng chốt trong 1 sóng:</v>
      </c>
      <c r="D210" s="136"/>
      <c r="H210" s="136"/>
      <c r="I210" s="136"/>
      <c r="J210" s="136"/>
      <c r="K210" s="141" t="s">
        <v>255</v>
      </c>
      <c r="L210" s="137">
        <v>1</v>
      </c>
      <c r="M210" s="126"/>
    </row>
    <row r="211" spans="2:13" ht="14.25">
      <c r="C211" s="58" t="str">
        <f>"- Khả năng chống trượt của 1 neo:"</f>
        <v>- Khả năng chống trượt của 1 neo:</v>
      </c>
      <c r="K211" s="202" t="s">
        <v>324</v>
      </c>
      <c r="L211" s="203">
        <f>PI()*L209^2/4*L34/1000</f>
        <v>42.223005264246822</v>
      </c>
      <c r="M211" s="1" t="s">
        <v>58</v>
      </c>
    </row>
    <row r="212" spans="2:13">
      <c r="C212" s="58" t="str">
        <f>"- Tổng số bu lông bố trí:"</f>
        <v>- Tổng số bu lông bố trí:</v>
      </c>
      <c r="K212" s="1" t="s">
        <v>326</v>
      </c>
      <c r="L212" s="195">
        <f>ROUNDUP(L208/L211,0)</f>
        <v>36</v>
      </c>
    </row>
    <row r="213" spans="2:13" ht="15">
      <c r="C213" s="58" t="str">
        <f>"- Khoảng cách lớn nhất giữa 2 bu lông:"</f>
        <v>- Khoảng cách lớn nhất giữa 2 bu lông:</v>
      </c>
      <c r="K213" s="202" t="s">
        <v>327</v>
      </c>
      <c r="L213" s="204">
        <f>(L46*1000/(L212/L210-1))</f>
        <v>171.42857142857142</v>
      </c>
      <c r="M213" s="1" t="s">
        <v>2</v>
      </c>
    </row>
    <row r="215" spans="2:13">
      <c r="B215" s="1" t="s">
        <v>337</v>
      </c>
    </row>
    <row r="216" spans="2:13">
      <c r="B216" s="245" t="s">
        <v>343</v>
      </c>
      <c r="C216" s="245"/>
      <c r="D216" s="245"/>
      <c r="E216" s="213" t="s">
        <v>344</v>
      </c>
      <c r="F216" s="54" t="s">
        <v>185</v>
      </c>
    </row>
    <row r="217" spans="2:13" ht="15" customHeight="1">
      <c r="B217" s="275" t="str">
        <f>E202</f>
        <v>Kho</v>
      </c>
      <c r="C217" s="245" t="s">
        <v>338</v>
      </c>
      <c r="D217" s="245"/>
      <c r="E217" s="245" t="s">
        <v>339</v>
      </c>
      <c r="F217" s="245"/>
    </row>
    <row r="218" spans="2:13">
      <c r="B218" s="275"/>
      <c r="C218" s="54" t="s">
        <v>331</v>
      </c>
      <c r="D218" s="54" t="s">
        <v>332</v>
      </c>
      <c r="E218" s="54" t="s">
        <v>331</v>
      </c>
      <c r="F218" s="54" t="s">
        <v>332</v>
      </c>
    </row>
    <row r="219" spans="2:13">
      <c r="B219" s="275"/>
      <c r="C219" s="54">
        <v>0</v>
      </c>
      <c r="D219" s="54">
        <v>120</v>
      </c>
      <c r="E219" s="54">
        <v>0</v>
      </c>
      <c r="F219" s="54">
        <v>200</v>
      </c>
    </row>
    <row r="220" spans="2:13">
      <c r="B220" s="275"/>
      <c r="C220" s="54">
        <v>1</v>
      </c>
      <c r="D220" s="54">
        <v>120</v>
      </c>
      <c r="E220" s="54">
        <v>6</v>
      </c>
      <c r="F220" s="54">
        <v>200</v>
      </c>
    </row>
    <row r="221" spans="2:13">
      <c r="B221" s="275"/>
      <c r="C221" s="54">
        <v>3</v>
      </c>
      <c r="D221" s="54">
        <v>150</v>
      </c>
      <c r="E221" s="54">
        <v>12</v>
      </c>
      <c r="F221" s="54">
        <v>250</v>
      </c>
    </row>
    <row r="222" spans="2:13">
      <c r="B222" s="275"/>
      <c r="C222" s="54">
        <v>6</v>
      </c>
      <c r="D222" s="54">
        <v>200</v>
      </c>
      <c r="E222" s="54">
        <v>24</v>
      </c>
      <c r="F222" s="54">
        <v>300</v>
      </c>
    </row>
    <row r="223" spans="2:13">
      <c r="B223" s="275"/>
      <c r="C223" s="54">
        <f>IF(E216=B240,12,24)</f>
        <v>12</v>
      </c>
      <c r="D223" s="54">
        <v>250</v>
      </c>
      <c r="E223" s="282"/>
      <c r="F223" s="282"/>
    </row>
    <row r="224" spans="2:13">
      <c r="B224" s="275"/>
      <c r="C224" s="54">
        <f>IF(E216=B240,24,36)</f>
        <v>24</v>
      </c>
      <c r="D224" s="54">
        <v>300</v>
      </c>
      <c r="E224" s="282"/>
      <c r="F224" s="282"/>
    </row>
    <row r="225" spans="2:6">
      <c r="B225" s="89" t="s">
        <v>333</v>
      </c>
      <c r="C225" s="54">
        <f>L39</f>
        <v>3</v>
      </c>
      <c r="D225" s="211" cm="1">
        <f t="array" ref="D225">IF(OR($B$217=B237,B217=B238),"-",noisuy1chieu(C225,$C$219:$C$224,$D$219:$D$224))</f>
        <v>150</v>
      </c>
      <c r="E225" s="54">
        <f>C225</f>
        <v>3</v>
      </c>
      <c r="F225" s="212" t="str" cm="1">
        <f t="array" ref="F225">IF(OR($B$217=B237,B217=B238),noisuy1chieu(E225,$E$219:$E$222,$F$219:$F$222),"-")</f>
        <v>-</v>
      </c>
    </row>
    <row r="226" spans="2:6">
      <c r="B226" s="89" t="s">
        <v>334</v>
      </c>
      <c r="C226" s="54">
        <f>L46</f>
        <v>6</v>
      </c>
      <c r="D226" s="211" cm="1">
        <f t="array" ref="D226">IF(OR($B$217=B237,B217=B238),"-",noisuy1chieu(C226,$C$219:$C$224,$D$219:$D$224))</f>
        <v>200</v>
      </c>
      <c r="E226" s="54">
        <f>C226</f>
        <v>6</v>
      </c>
      <c r="F226" s="212" t="str" cm="1">
        <f t="array" ref="F226">IF(OR($B$217=B237,B217=B238),noisuy1chieu(E226,$E$219:$E$222,$F$219:$F$222),"-")</f>
        <v>-</v>
      </c>
    </row>
    <row r="227" spans="2:6">
      <c r="B227" s="276" t="s">
        <v>333</v>
      </c>
      <c r="C227" s="277"/>
      <c r="D227" s="277"/>
      <c r="E227" s="278"/>
      <c r="F227" s="209">
        <f>IF(OR($B$217=B237,B217=B238),F225,D225)</f>
        <v>150</v>
      </c>
    </row>
    <row r="228" spans="2:6">
      <c r="B228" s="276" t="s">
        <v>334</v>
      </c>
      <c r="C228" s="277"/>
      <c r="D228" s="277"/>
      <c r="E228" s="278"/>
      <c r="F228" s="209">
        <f>IF(OR($B$217=B237,B217=B238),F226,D226)</f>
        <v>200</v>
      </c>
    </row>
    <row r="230" spans="2:6">
      <c r="B230" s="279" t="s">
        <v>218</v>
      </c>
      <c r="C230" s="280" t="s">
        <v>94</v>
      </c>
      <c r="D230" s="281" t="s">
        <v>330</v>
      </c>
      <c r="E230" s="281" t="s">
        <v>329</v>
      </c>
    </row>
    <row r="231" spans="2:6">
      <c r="B231" s="279"/>
      <c r="C231" s="280"/>
      <c r="D231" s="280"/>
      <c r="E231" s="280"/>
    </row>
    <row r="232" spans="2:6">
      <c r="B232" s="206" t="s">
        <v>217</v>
      </c>
      <c r="C232" s="206">
        <v>0.3</v>
      </c>
      <c r="D232" s="206">
        <v>1.3</v>
      </c>
      <c r="E232" s="114">
        <v>0.35</v>
      </c>
    </row>
    <row r="233" spans="2:6">
      <c r="B233" s="206" t="s">
        <v>219</v>
      </c>
      <c r="C233" s="206">
        <v>0.3</v>
      </c>
      <c r="D233" s="206">
        <v>1.3</v>
      </c>
      <c r="E233" s="114">
        <v>0.35</v>
      </c>
    </row>
    <row r="234" spans="2:6">
      <c r="B234" s="206" t="s">
        <v>220</v>
      </c>
      <c r="C234" s="206">
        <v>0.6</v>
      </c>
      <c r="D234" s="206">
        <v>1.3</v>
      </c>
      <c r="E234" s="114">
        <v>0.35</v>
      </c>
    </row>
    <row r="235" spans="2:6">
      <c r="B235" s="206" t="s">
        <v>221</v>
      </c>
      <c r="C235" s="206">
        <v>0.6</v>
      </c>
      <c r="D235" s="206">
        <v>1.3</v>
      </c>
      <c r="E235" s="114">
        <v>0.35</v>
      </c>
    </row>
    <row r="236" spans="2:6">
      <c r="B236" s="206" t="s">
        <v>222</v>
      </c>
      <c r="C236" s="206">
        <v>0.8</v>
      </c>
      <c r="D236" s="206">
        <v>1.2</v>
      </c>
      <c r="E236" s="114">
        <v>0.8</v>
      </c>
      <c r="F236" s="1" t="s">
        <v>340</v>
      </c>
    </row>
    <row r="237" spans="2:6">
      <c r="B237" s="206" t="s">
        <v>223</v>
      </c>
      <c r="C237" s="206">
        <v>0.6</v>
      </c>
      <c r="D237" s="206">
        <v>1.2</v>
      </c>
      <c r="E237" s="114">
        <v>0.6</v>
      </c>
    </row>
    <row r="238" spans="2:6">
      <c r="B238" s="206" t="s">
        <v>224</v>
      </c>
      <c r="C238" s="206">
        <v>0.3</v>
      </c>
      <c r="D238" s="206">
        <v>1.2</v>
      </c>
      <c r="E238" s="114">
        <v>0.35</v>
      </c>
    </row>
    <row r="239" spans="2:6">
      <c r="B239" s="205" t="s">
        <v>225</v>
      </c>
      <c r="C239" s="205">
        <v>0</v>
      </c>
      <c r="D239" s="206">
        <v>1.3</v>
      </c>
      <c r="E239" s="114">
        <v>0</v>
      </c>
    </row>
    <row r="240" spans="2:6">
      <c r="B240" s="214" t="s">
        <v>344</v>
      </c>
      <c r="C240" s="205" t="s">
        <v>345</v>
      </c>
      <c r="D240" s="89"/>
      <c r="E240" s="89"/>
    </row>
    <row r="1048322" spans="3:3">
      <c r="C1048322" s="58"/>
    </row>
  </sheetData>
  <mergeCells count="33">
    <mergeCell ref="B217:B224"/>
    <mergeCell ref="B227:E227"/>
    <mergeCell ref="B228:E228"/>
    <mergeCell ref="B216:D216"/>
    <mergeCell ref="B230:B231"/>
    <mergeCell ref="C230:C231"/>
    <mergeCell ref="D230:D231"/>
    <mergeCell ref="E230:E231"/>
    <mergeCell ref="E223:F224"/>
    <mergeCell ref="E217:F217"/>
    <mergeCell ref="C217:D217"/>
    <mergeCell ref="C174:I174"/>
    <mergeCell ref="C130:I130"/>
    <mergeCell ref="C165:G165"/>
    <mergeCell ref="G173:H173"/>
    <mergeCell ref="C61:G61"/>
    <mergeCell ref="C83:G83"/>
    <mergeCell ref="B96:C96"/>
    <mergeCell ref="B97:C97"/>
    <mergeCell ref="C124:G124"/>
    <mergeCell ref="N93:P93"/>
    <mergeCell ref="J2:M3"/>
    <mergeCell ref="B2:I3"/>
    <mergeCell ref="F95:H95"/>
    <mergeCell ref="K95:M95"/>
    <mergeCell ref="C66:I66"/>
    <mergeCell ref="C91:I91"/>
    <mergeCell ref="B9:D9"/>
    <mergeCell ref="F11:H11"/>
    <mergeCell ref="B58:D58"/>
    <mergeCell ref="G90:H90"/>
    <mergeCell ref="C51:G51"/>
    <mergeCell ref="H51:L51"/>
  </mergeCells>
  <conditionalFormatting sqref="M205">
    <cfRule type="containsText" dxfId="29" priority="37" operator="containsText" text="Check">
      <formula>NOT(ISERROR(SEARCH("Check",M205)))</formula>
    </cfRule>
    <cfRule type="containsText" dxfId="28" priority="38" operator="containsText" text="ok">
      <formula>NOT(ISERROR(SEARCH("ok",M205)))</formula>
    </cfRule>
  </conditionalFormatting>
  <conditionalFormatting sqref="M196">
    <cfRule type="containsText" dxfId="27" priority="27" operator="containsText" text="Check">
      <formula>NOT(ISERROR(SEARCH("Check",M196)))</formula>
    </cfRule>
    <cfRule type="containsText" dxfId="26" priority="28" operator="containsText" text="ok">
      <formula>NOT(ISERROR(SEARCH("ok",M196)))</formula>
    </cfRule>
  </conditionalFormatting>
  <conditionalFormatting sqref="M192">
    <cfRule type="containsText" dxfId="25" priority="25" operator="containsText" text="Check">
      <formula>NOT(ISERROR(SEARCH("Check",M192)))</formula>
    </cfRule>
    <cfRule type="containsText" dxfId="24" priority="26" operator="containsText" text="ok">
      <formula>NOT(ISERROR(SEARCH("ok",M192)))</formula>
    </cfRule>
  </conditionalFormatting>
  <conditionalFormatting sqref="M187">
    <cfRule type="containsText" dxfId="23" priority="23" operator="containsText" text="Check">
      <formula>NOT(ISERROR(SEARCH("Check",M187)))</formula>
    </cfRule>
    <cfRule type="containsText" dxfId="22" priority="24" operator="containsText" text="ok">
      <formula>NOT(ISERROR(SEARCH("ok",M187)))</formula>
    </cfRule>
  </conditionalFormatting>
  <conditionalFormatting sqref="M183">
    <cfRule type="containsText" dxfId="21" priority="21" operator="containsText" text="Check">
      <formula>NOT(ISERROR(SEARCH("Check",M183)))</formula>
    </cfRule>
    <cfRule type="containsText" dxfId="20" priority="22" operator="containsText" text="ok">
      <formula>NOT(ISERROR(SEARCH("ok",M183)))</formula>
    </cfRule>
  </conditionalFormatting>
  <conditionalFormatting sqref="M162">
    <cfRule type="containsText" dxfId="19" priority="19" operator="containsText" text="Check">
      <formula>NOT(ISERROR(SEARCH("Check",M162)))</formula>
    </cfRule>
    <cfRule type="containsText" dxfId="18" priority="20" operator="containsText" text="ok">
      <formula>NOT(ISERROR(SEARCH("ok",M162)))</formula>
    </cfRule>
  </conditionalFormatting>
  <conditionalFormatting sqref="M154">
    <cfRule type="containsText" dxfId="17" priority="17" operator="containsText" text="Check">
      <formula>NOT(ISERROR(SEARCH("Check",M154)))</formula>
    </cfRule>
    <cfRule type="containsText" dxfId="16" priority="18" operator="containsText" text="ok">
      <formula>NOT(ISERROR(SEARCH("ok",M154)))</formula>
    </cfRule>
  </conditionalFormatting>
  <conditionalFormatting sqref="M150">
    <cfRule type="containsText" dxfId="15" priority="15" operator="containsText" text="Check">
      <formula>NOT(ISERROR(SEARCH("Check",M150)))</formula>
    </cfRule>
    <cfRule type="containsText" dxfId="14" priority="16" operator="containsText" text="ok">
      <formula>NOT(ISERROR(SEARCH("ok",M150)))</formula>
    </cfRule>
  </conditionalFormatting>
  <conditionalFormatting sqref="M145">
    <cfRule type="containsText" dxfId="13" priority="13" operator="containsText" text="Check">
      <formula>NOT(ISERROR(SEARCH("Check",M145)))</formula>
    </cfRule>
    <cfRule type="containsText" dxfId="12" priority="14" operator="containsText" text="ok">
      <formula>NOT(ISERROR(SEARCH("ok",M145)))</formula>
    </cfRule>
  </conditionalFormatting>
  <conditionalFormatting sqref="M141">
    <cfRule type="containsText" dxfId="11" priority="11" operator="containsText" text="Check">
      <formula>NOT(ISERROR(SEARCH("Check",M141)))</formula>
    </cfRule>
    <cfRule type="containsText" dxfId="10" priority="12" operator="containsText" text="ok">
      <formula>NOT(ISERROR(SEARCH("ok",M141)))</formula>
    </cfRule>
  </conditionalFormatting>
  <conditionalFormatting sqref="M120">
    <cfRule type="containsText" dxfId="9" priority="9" operator="containsText" text="Check">
      <formula>NOT(ISERROR(SEARCH("Check",M120)))</formula>
    </cfRule>
    <cfRule type="containsText" dxfId="8" priority="10" operator="containsText" text="ok">
      <formula>NOT(ISERROR(SEARCH("ok",M120)))</formula>
    </cfRule>
  </conditionalFormatting>
  <conditionalFormatting sqref="M114">
    <cfRule type="containsText" dxfId="7" priority="7" operator="containsText" text="Check">
      <formula>NOT(ISERROR(SEARCH("Check",M114)))</formula>
    </cfRule>
    <cfRule type="containsText" dxfId="6" priority="8" operator="containsText" text="ok">
      <formula>NOT(ISERROR(SEARCH("ok",M114)))</formula>
    </cfRule>
  </conditionalFormatting>
  <conditionalFormatting sqref="M106">
    <cfRule type="containsText" dxfId="5" priority="5" operator="containsText" text="Check">
      <formula>NOT(ISERROR(SEARCH("Check",M106)))</formula>
    </cfRule>
    <cfRule type="containsText" dxfId="4" priority="6" operator="containsText" text="ok">
      <formula>NOT(ISERROR(SEARCH("ok",M106)))</formula>
    </cfRule>
  </conditionalFormatting>
  <conditionalFormatting sqref="M80">
    <cfRule type="containsText" dxfId="3" priority="3" operator="containsText" text="Check">
      <formula>NOT(ISERROR(SEARCH("Check",M80)))</formula>
    </cfRule>
    <cfRule type="containsText" dxfId="2" priority="4" operator="containsText" text="ok">
      <formula>NOT(ISERROR(SEARCH("ok",M80)))</formula>
    </cfRule>
  </conditionalFormatting>
  <conditionalFormatting sqref="M76">
    <cfRule type="containsText" dxfId="1" priority="1" operator="containsText" text="Check">
      <formula>NOT(ISERROR(SEARCH("Check",M76)))</formula>
    </cfRule>
    <cfRule type="containsText" dxfId="0" priority="2" operator="containsText" text="ok">
      <formula>NOT(ISERROR(SEARCH("ok",M76)))</formula>
    </cfRule>
  </conditionalFormatting>
  <dataValidations count="8">
    <dataValidation type="list" allowBlank="1" showInputMessage="1" showErrorMessage="1" sqref="L68 L132 Q93" xr:uid="{00000000-0002-0000-0100-000000000000}">
      <formula1>"Y,N"</formula1>
    </dataValidation>
    <dataValidation type="list" allowBlank="1" showInputMessage="1" showErrorMessage="1" sqref="L210" xr:uid="{00000000-0002-0000-0100-000001000000}">
      <formula1>"1,2"</formula1>
    </dataValidation>
    <dataValidation type="list" allowBlank="1" showInputMessage="1" showErrorMessage="1" sqref="L69 L176 L133 L116" xr:uid="{00000000-0002-0000-0100-000002000000}">
      <formula1>$N$109:$Q$109</formula1>
    </dataValidation>
    <dataValidation type="list" allowBlank="1" showInputMessage="1" showErrorMessage="1" sqref="M158 M200" xr:uid="{00000000-0002-0000-0100-000003000000}">
      <formula1>"Tải trọng tĩnh,Tải trọng di dộng"</formula1>
    </dataValidation>
    <dataValidation type="list" allowBlank="1" showInputMessage="1" showErrorMessage="1" sqref="G90:H90 G173:H173" xr:uid="{00000000-0002-0000-0100-000004000000}">
      <formula1>$B$232:$B$239</formula1>
    </dataValidation>
    <dataValidation type="list" allowBlank="1" showInputMessage="1" showErrorMessage="1" sqref="E216" xr:uid="{00000000-0002-0000-0100-000005000000}">
      <formula1>$B$240:$C$240</formula1>
    </dataValidation>
    <dataValidation type="list" allowBlank="1" showInputMessage="1" showErrorMessage="1" sqref="L209" xr:uid="{00000000-0002-0000-0100-00000B000000}">
      <formula1>"16,19,22,25"</formula1>
    </dataValidation>
    <dataValidation type="list" allowBlank="1" showInputMessage="1" showErrorMessage="1" sqref="B96:C96 B97:C97" xr:uid="{E8FEFC4B-CFA8-4290-BAD1-ABDBD9111392}">
      <formula1>$N$95:$N$97</formula1>
    </dataValidation>
  </dataValidations>
  <pageMargins left="0.59055118110236227" right="0.31496062992125984" top="0.59055118110236227" bottom="0.59055118110236227" header="0.31496062992125984" footer="0.31496062992125984"/>
  <pageSetup scale="81" orientation="portrait" r:id="rId1"/>
  <rowBreaks count="3" manualBreakCount="3">
    <brk id="57" min="1" max="12" man="1"/>
    <brk id="121" min="1" max="12" man="1"/>
    <brk id="162" min="1" max="12" man="1"/>
  </rowBreaks>
  <ignoredErrors>
    <ignoredError sqref="M141" evalError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6000000}">
          <x14:formula1>
            <xm:f>Data!$BJ$5:$BJ$99</xm:f>
          </x14:formula1>
          <xm:sqref>L12</xm:sqref>
        </x14:dataValidation>
        <x14:dataValidation type="list" allowBlank="1" showInputMessage="1" showErrorMessage="1" xr:uid="{00000000-0002-0000-0100-000007000000}">
          <x14:formula1>
            <xm:f>Data!$DA$7:$DA$30</xm:f>
          </x14:formula1>
          <xm:sqref>F11:H11</xm:sqref>
        </x14:dataValidation>
        <x14:dataValidation type="list" allowBlank="1" showInputMessage="1" showErrorMessage="1" xr:uid="{00000000-0002-0000-0100-000008000000}">
          <x14:formula1>
            <xm:f>Data!$DA$7:$DA$99</xm:f>
          </x14:formula1>
          <xm:sqref>L21</xm:sqref>
        </x14:dataValidation>
        <x14:dataValidation type="list" allowBlank="1" showInputMessage="1" showErrorMessage="1" xr:uid="{00000000-0002-0000-0100-000009000000}">
          <x14:formula1>
            <xm:f>Data!$A$3:$A$99</xm:f>
          </x14:formula1>
          <xm:sqref>L28</xm:sqref>
        </x14:dataValidation>
        <x14:dataValidation type="list" allowBlank="1" showInputMessage="1" showErrorMessage="1" xr:uid="{00000000-0002-0000-0100-00000A000000}">
          <x14:formula1>
            <xm:f>Data!$K$4:$K$8</xm:f>
          </x14:formula1>
          <xm:sqref>L33</xm:sqref>
        </x14:dataValidation>
        <x14:dataValidation type="list" allowBlank="1" showInputMessage="1" showErrorMessage="1" xr:uid="{00000000-0002-0000-0100-00000C000000}">
          <x14:formula1>
            <xm:f>Data!CC$4:CC$21</xm:f>
          </x14:formula1>
          <xm:sqref>L16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4"/>
  <sheetViews>
    <sheetView workbookViewId="0">
      <selection activeCell="D3" sqref="D3"/>
    </sheetView>
  </sheetViews>
  <sheetFormatPr defaultRowHeight="15"/>
  <cols>
    <col min="2" max="2" width="62.42578125" customWidth="1"/>
    <col min="3" max="3" width="50.42578125" customWidth="1"/>
    <col min="4" max="4" width="49" customWidth="1"/>
  </cols>
  <sheetData>
    <row r="1" spans="1:4" ht="200.1" customHeight="1">
      <c r="A1" s="110">
        <v>1</v>
      </c>
    </row>
    <row r="2" spans="1:4" ht="200.1" customHeight="1">
      <c r="A2" s="110">
        <v>2</v>
      </c>
    </row>
    <row r="3" spans="1:4">
      <c r="A3">
        <f>IF(Cal!N21="Open trough profile",2,1)</f>
        <v>2</v>
      </c>
      <c r="B3" cm="1">
        <f t="array" ref="B3">INDEX(Pic!$B$1:$B$2,Pic!$A$3)</f>
        <v>0</v>
      </c>
      <c r="C3" cm="1">
        <f t="array" ref="C3">INDEX(Pic!$C$1:$C$2,Pic!$A$3)</f>
        <v>0</v>
      </c>
      <c r="D3" cm="1">
        <f t="array" ref="D3">INDEX(Pic!$D$1:$D$2,Cal!$L$210)</f>
        <v>0</v>
      </c>
    </row>
    <row r="4" spans="1:4">
      <c r="A4" t="s">
        <v>198</v>
      </c>
      <c r="B4">
        <f>Cal!L40</f>
        <v>101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2025-05-02T05:34:08Z</cp:lastPrinted>
  <dcterms:created xsi:type="dcterms:W3CDTF">2015-06-05T18:17:20Z</dcterms:created>
  <dcterms:modified xsi:type="dcterms:W3CDTF">2026-03-05T15:14:55Z</dcterms:modified>
</cp:coreProperties>
</file>