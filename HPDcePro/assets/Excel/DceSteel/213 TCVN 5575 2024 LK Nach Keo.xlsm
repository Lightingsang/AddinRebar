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Send Duy\"/>
    </mc:Choice>
  </mc:AlternateContent>
  <xr:revisionPtr revIDLastSave="0" documentId="13_ncr:1_{3D915E84-10A8-4894-9F9A-2F2AAB75B12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al" sheetId="2" r:id="rId2"/>
  </sheets>
  <definedNames>
    <definedName name="_xlnm._FilterDatabase" localSheetId="1" hidden="1">Cal!#REF!</definedName>
    <definedName name="_xleta.COT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SINGLE" hidden="1" xlm="1">#NAME?</definedName>
    <definedName name="_xlnm.Print_Area" localSheetId="1">Cal!$H$11:$S$96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24" i="2" l="1"/>
  <c r="BT25" i="2"/>
  <c r="BT26" i="2"/>
  <c r="BT27" i="2"/>
  <c r="BT28" i="2"/>
  <c r="BT29" i="2"/>
  <c r="BT30" i="2"/>
  <c r="BT31" i="2"/>
  <c r="BT32" i="2"/>
  <c r="BT33" i="2"/>
  <c r="BT34" i="2"/>
  <c r="BT35" i="2"/>
  <c r="BT36" i="2"/>
  <c r="BT37" i="2"/>
  <c r="BT38" i="2"/>
  <c r="BT39" i="2"/>
  <c r="BT40" i="2"/>
  <c r="BT41" i="2"/>
  <c r="BT42" i="2"/>
  <c r="BT43" i="2"/>
  <c r="BT44" i="2"/>
  <c r="BT45" i="2"/>
  <c r="BT46" i="2"/>
  <c r="BT47" i="2"/>
  <c r="BT48" i="2"/>
  <c r="BT49" i="2"/>
  <c r="BT50" i="2"/>
  <c r="BT51" i="2"/>
  <c r="BT52" i="2"/>
  <c r="BT53" i="2"/>
  <c r="BT54" i="2"/>
  <c r="BT55" i="2"/>
  <c r="BT56" i="2"/>
  <c r="BT57" i="2"/>
  <c r="BT58" i="2"/>
  <c r="BT59" i="2"/>
  <c r="BT60" i="2"/>
  <c r="BT61" i="2"/>
  <c r="BT62" i="2"/>
  <c r="BT63" i="2"/>
  <c r="BT64" i="2"/>
  <c r="BT65" i="2"/>
  <c r="BT66" i="2"/>
  <c r="BT67" i="2"/>
  <c r="BT68" i="2"/>
  <c r="BT69" i="2"/>
  <c r="BT70" i="2"/>
  <c r="BT71" i="2"/>
  <c r="BT72" i="2"/>
  <c r="BT73" i="2"/>
  <c r="BT74" i="2"/>
  <c r="BT23" i="2"/>
  <c r="R47" i="2"/>
  <c r="BV74" i="2"/>
  <c r="BG74" i="2"/>
  <c r="BC74" i="2"/>
  <c r="BB74" i="2"/>
  <c r="BA74" i="2"/>
  <c r="BX73" i="2"/>
  <c r="BV73" i="2"/>
  <c r="BK73" i="2"/>
  <c r="BB73" i="2"/>
  <c r="BV72" i="2"/>
  <c r="BX72" i="2" s="1"/>
  <c r="BI72" i="2"/>
  <c r="BG72" i="2"/>
  <c r="BC72" i="2"/>
  <c r="BV71" i="2"/>
  <c r="BX71" i="2" s="1"/>
  <c r="BE71" i="2"/>
  <c r="BH71" i="2" s="1"/>
  <c r="BD71" i="2"/>
  <c r="BA71" i="2"/>
  <c r="BV70" i="2"/>
  <c r="BK70" i="2"/>
  <c r="BD70" i="2"/>
  <c r="BX69" i="2"/>
  <c r="BV69" i="2"/>
  <c r="BJ69" i="2"/>
  <c r="BI69" i="2"/>
  <c r="BF69" i="2"/>
  <c r="BV68" i="2"/>
  <c r="BX68" i="2" s="1"/>
  <c r="BX67" i="2"/>
  <c r="BV67" i="2"/>
  <c r="BX66" i="2"/>
  <c r="BV66" i="2"/>
  <c r="BX65" i="2"/>
  <c r="BW65" i="2"/>
  <c r="BV65" i="2"/>
  <c r="BV64" i="2"/>
  <c r="BA64" i="2"/>
  <c r="BX63" i="2"/>
  <c r="BV63" i="2"/>
  <c r="BI63" i="2"/>
  <c r="BB63" i="2"/>
  <c r="BV62" i="2"/>
  <c r="BX62" i="2" s="1"/>
  <c r="BV61" i="2"/>
  <c r="BX61" i="2" s="1"/>
  <c r="BG61" i="2"/>
  <c r="BX60" i="2"/>
  <c r="BV60" i="2"/>
  <c r="BX59" i="2"/>
  <c r="BV59" i="2"/>
  <c r="BE59" i="2"/>
  <c r="BH59" i="2" s="1"/>
  <c r="BV58" i="2"/>
  <c r="BE58" i="2"/>
  <c r="BH58" i="2" s="1"/>
  <c r="BD58" i="2"/>
  <c r="BB58" i="2"/>
  <c r="BX57" i="2"/>
  <c r="BV57" i="2"/>
  <c r="BD57" i="2"/>
  <c r="BX56" i="2"/>
  <c r="BV56" i="2"/>
  <c r="BV55" i="2"/>
  <c r="BX55" i="2" s="1"/>
  <c r="BE55" i="2"/>
  <c r="BH55" i="2" s="1"/>
  <c r="BD55" i="2"/>
  <c r="BC55" i="2"/>
  <c r="BB55" i="2"/>
  <c r="BV54" i="2"/>
  <c r="BX54" i="2" s="1"/>
  <c r="BX53" i="2"/>
  <c r="BV53" i="2"/>
  <c r="BI53" i="2"/>
  <c r="BB53" i="2"/>
  <c r="BV52" i="2"/>
  <c r="BX52" i="2" s="1"/>
  <c r="BE52" i="2"/>
  <c r="BH52" i="2" s="1"/>
  <c r="BD52" i="2"/>
  <c r="BC52" i="2"/>
  <c r="BX51" i="2"/>
  <c r="BV51" i="2"/>
  <c r="BW51" i="2" s="1"/>
  <c r="BE51" i="2"/>
  <c r="BH51" i="2" s="1"/>
  <c r="BD51" i="2"/>
  <c r="BB51" i="2"/>
  <c r="BA51" i="2"/>
  <c r="BX50" i="2"/>
  <c r="BV50" i="2"/>
  <c r="BF50" i="2"/>
  <c r="BJ50" i="2" s="1"/>
  <c r="BB50" i="2"/>
  <c r="BA50" i="2"/>
  <c r="BX49" i="2"/>
  <c r="BV49" i="2"/>
  <c r="BK49" i="2"/>
  <c r="BI49" i="2"/>
  <c r="BE49" i="2"/>
  <c r="BH49" i="2" s="1"/>
  <c r="BV48" i="2"/>
  <c r="BX48" i="2" s="1"/>
  <c r="BF48" i="2"/>
  <c r="BJ48" i="2" s="1"/>
  <c r="BD48" i="2"/>
  <c r="BX47" i="2"/>
  <c r="BV47" i="2"/>
  <c r="BX46" i="2"/>
  <c r="BV46" i="2"/>
  <c r="BV45" i="2"/>
  <c r="BF45" i="2"/>
  <c r="BJ45" i="2" s="1"/>
  <c r="BE45" i="2"/>
  <c r="BH45" i="2" s="1"/>
  <c r="BD45" i="2"/>
  <c r="BC45" i="2"/>
  <c r="BA45" i="2"/>
  <c r="BX44" i="2"/>
  <c r="BV44" i="2"/>
  <c r="BH44" i="2"/>
  <c r="BE44" i="2"/>
  <c r="BX43" i="2"/>
  <c r="BV43" i="2"/>
  <c r="BI43" i="2"/>
  <c r="BX42" i="2"/>
  <c r="BV42" i="2"/>
  <c r="BK42" i="2"/>
  <c r="BX41" i="2"/>
  <c r="CA41" i="2" s="1"/>
  <c r="CB41" i="2" s="1"/>
  <c r="BV41" i="2"/>
  <c r="BW41" i="2" s="1"/>
  <c r="BF41" i="2"/>
  <c r="BJ41" i="2" s="1"/>
  <c r="BD41" i="2"/>
  <c r="BC41" i="2"/>
  <c r="BB41" i="2"/>
  <c r="BV40" i="2"/>
  <c r="BW40" i="2" s="1"/>
  <c r="BX39" i="2"/>
  <c r="BW39" i="2"/>
  <c r="BV39" i="2"/>
  <c r="BX38" i="2"/>
  <c r="BW38" i="2"/>
  <c r="BV38" i="2"/>
  <c r="BF38" i="2"/>
  <c r="BJ38" i="2" s="1"/>
  <c r="BC38" i="2"/>
  <c r="BB38" i="2"/>
  <c r="BA38" i="2"/>
  <c r="BX37" i="2"/>
  <c r="BV37" i="2"/>
  <c r="BC37" i="2"/>
  <c r="BX36" i="2"/>
  <c r="BV36" i="2"/>
  <c r="BI36" i="2"/>
  <c r="BX35" i="2"/>
  <c r="BV35" i="2"/>
  <c r="BI35" i="2"/>
  <c r="BG35" i="2"/>
  <c r="BF35" i="2"/>
  <c r="BJ35" i="2" s="1"/>
  <c r="BC35" i="2"/>
  <c r="BV34" i="2"/>
  <c r="BE34" i="2"/>
  <c r="BH34" i="2" s="1"/>
  <c r="BX33" i="2"/>
  <c r="BV33" i="2"/>
  <c r="BI33" i="2"/>
  <c r="BG33" i="2"/>
  <c r="BW33" i="2" s="1"/>
  <c r="BV32" i="2"/>
  <c r="BX31" i="2"/>
  <c r="BV31" i="2"/>
  <c r="BW31" i="2" s="1"/>
  <c r="BG31" i="2"/>
  <c r="BF31" i="2"/>
  <c r="BJ31" i="2" s="1"/>
  <c r="BX30" i="2"/>
  <c r="BV30" i="2"/>
  <c r="BX29" i="2"/>
  <c r="BV29" i="2"/>
  <c r="BK29" i="2"/>
  <c r="BI29" i="2"/>
  <c r="BC29" i="2"/>
  <c r="BX28" i="2"/>
  <c r="BV28" i="2"/>
  <c r="BC28" i="2"/>
  <c r="BB28" i="2"/>
  <c r="BX27" i="2"/>
  <c r="BV27" i="2"/>
  <c r="BD27" i="2"/>
  <c r="BX26" i="2"/>
  <c r="BV26" i="2"/>
  <c r="BE26" i="2"/>
  <c r="BH26" i="2" s="1"/>
  <c r="BB26" i="2"/>
  <c r="BA26" i="2"/>
  <c r="BX25" i="2"/>
  <c r="BV25" i="2"/>
  <c r="BH25" i="2"/>
  <c r="BF25" i="2"/>
  <c r="BJ25" i="2" s="1"/>
  <c r="BE25" i="2"/>
  <c r="BD25" i="2"/>
  <c r="BC25" i="2"/>
  <c r="BA25" i="2"/>
  <c r="BW24" i="2"/>
  <c r="BV24" i="2"/>
  <c r="BX24" i="2" s="1"/>
  <c r="AQ74" i="2"/>
  <c r="BE74" i="2" s="1"/>
  <c r="BH74" i="2" s="1"/>
  <c r="AP74" i="2"/>
  <c r="AO74" i="2"/>
  <c r="AN74" i="2"/>
  <c r="AM74" i="2"/>
  <c r="AL74" i="2"/>
  <c r="AL74" i="2" a="1"/>
  <c r="AQ73" i="2"/>
  <c r="AP73" i="2"/>
  <c r="AO73" i="2"/>
  <c r="AN73" i="2"/>
  <c r="AM73" i="2"/>
  <c r="BI73" i="2" s="1"/>
  <c r="AL73" i="2" a="1"/>
  <c r="AL73" i="2" s="1"/>
  <c r="AK73" i="2"/>
  <c r="CA73" i="2" s="1"/>
  <c r="CB73" i="2" s="1"/>
  <c r="AQ72" i="2"/>
  <c r="AP72" i="2"/>
  <c r="AO72" i="2"/>
  <c r="BK72" i="2" s="1"/>
  <c r="AN72" i="2"/>
  <c r="AM72" i="2"/>
  <c r="AL72" i="2" a="1"/>
  <c r="AL72" i="2" s="1"/>
  <c r="AQ71" i="2"/>
  <c r="AP71" i="2"/>
  <c r="AO71" i="2"/>
  <c r="AN71" i="2"/>
  <c r="BK71" i="2" s="1"/>
  <c r="AM71" i="2"/>
  <c r="AL71" i="2" a="1"/>
  <c r="AL71" i="2" s="1"/>
  <c r="BG71" i="2" s="1"/>
  <c r="AK71" i="2"/>
  <c r="AR71" i="2" s="1"/>
  <c r="AQ70" i="2"/>
  <c r="AP70" i="2"/>
  <c r="AO70" i="2"/>
  <c r="AN70" i="2"/>
  <c r="AM70" i="2"/>
  <c r="AL70" i="2"/>
  <c r="BG70" i="2" s="1"/>
  <c r="AL70" i="2" a="1"/>
  <c r="AK70" i="2"/>
  <c r="AR70" i="2" s="1"/>
  <c r="AQ69" i="2"/>
  <c r="AP69" i="2"/>
  <c r="BK69" i="2" s="1"/>
  <c r="AO69" i="2"/>
  <c r="AN69" i="2"/>
  <c r="AM69" i="2"/>
  <c r="AL69" i="2" a="1"/>
  <c r="AL69" i="2" s="1"/>
  <c r="BG69" i="2" s="1"/>
  <c r="BW69" i="2" s="1"/>
  <c r="AK69" i="2"/>
  <c r="AR69" i="2" s="1"/>
  <c r="AQ68" i="2"/>
  <c r="AP68" i="2"/>
  <c r="AO68" i="2"/>
  <c r="AN68" i="2"/>
  <c r="AM68" i="2"/>
  <c r="AL68" i="2"/>
  <c r="BG68" i="2" s="1"/>
  <c r="AL68" i="2" a="1"/>
  <c r="AQ67" i="2"/>
  <c r="AP67" i="2"/>
  <c r="AO67" i="2"/>
  <c r="AN67" i="2"/>
  <c r="BK67" i="2" s="1"/>
  <c r="AM67" i="2"/>
  <c r="AL67" i="2"/>
  <c r="BG67" i="2" s="1"/>
  <c r="BW67" i="2" s="1"/>
  <c r="AL67" i="2" a="1"/>
  <c r="AK67" i="2"/>
  <c r="AQ66" i="2"/>
  <c r="AP66" i="2"/>
  <c r="AO66" i="2"/>
  <c r="AN66" i="2"/>
  <c r="BK66" i="2" s="1"/>
  <c r="AM66" i="2"/>
  <c r="AL66" i="2"/>
  <c r="BG66" i="2" s="1"/>
  <c r="BW66" i="2" s="1"/>
  <c r="AL66" i="2" a="1"/>
  <c r="AQ65" i="2"/>
  <c r="AP65" i="2"/>
  <c r="AO65" i="2"/>
  <c r="AN65" i="2"/>
  <c r="BK65" i="2" s="1"/>
  <c r="AM65" i="2"/>
  <c r="AL65" i="2"/>
  <c r="BG65" i="2" s="1"/>
  <c r="AL65" i="2" a="1"/>
  <c r="AK65" i="2"/>
  <c r="AR65" i="2" s="1"/>
  <c r="AQ64" i="2"/>
  <c r="AP64" i="2"/>
  <c r="AO64" i="2"/>
  <c r="AN64" i="2"/>
  <c r="BK64" i="2" s="1"/>
  <c r="AM64" i="2"/>
  <c r="AL64" i="2"/>
  <c r="BG64" i="2" s="1"/>
  <c r="AL64" i="2" a="1"/>
  <c r="AK64" i="2"/>
  <c r="AR64" i="2" s="1"/>
  <c r="AQ63" i="2"/>
  <c r="AP63" i="2"/>
  <c r="AO63" i="2"/>
  <c r="AN63" i="2"/>
  <c r="AM63" i="2"/>
  <c r="AL63" i="2"/>
  <c r="BG63" i="2" s="1"/>
  <c r="BW63" i="2" s="1"/>
  <c r="AL63" i="2" a="1"/>
  <c r="AK63" i="2"/>
  <c r="AR63" i="2" s="1"/>
  <c r="AQ62" i="2"/>
  <c r="BD62" i="2" s="1"/>
  <c r="AP62" i="2"/>
  <c r="AO62" i="2"/>
  <c r="AN62" i="2"/>
  <c r="AM62" i="2"/>
  <c r="AL62" i="2" a="1"/>
  <c r="AL62" i="2" s="1"/>
  <c r="BG62" i="2" s="1"/>
  <c r="BW62" i="2" s="1"/>
  <c r="AQ61" i="2"/>
  <c r="BE61" i="2" s="1"/>
  <c r="BH61" i="2" s="1"/>
  <c r="AP61" i="2"/>
  <c r="AO61" i="2"/>
  <c r="AN61" i="2"/>
  <c r="AM61" i="2"/>
  <c r="AL61" i="2" a="1"/>
  <c r="AL61" i="2" s="1"/>
  <c r="AQ60" i="2"/>
  <c r="AP60" i="2"/>
  <c r="AO60" i="2"/>
  <c r="AN60" i="2"/>
  <c r="BK60" i="2" s="1"/>
  <c r="AM60" i="2"/>
  <c r="AL60" i="2" a="1"/>
  <c r="AL60" i="2" s="1"/>
  <c r="BG60" i="2" s="1"/>
  <c r="AQ59" i="2"/>
  <c r="AP59" i="2"/>
  <c r="AO59" i="2"/>
  <c r="BK59" i="2" s="1"/>
  <c r="AN59" i="2"/>
  <c r="AM59" i="2"/>
  <c r="AL59" i="2"/>
  <c r="BG59" i="2" s="1"/>
  <c r="BW59" i="2" s="1"/>
  <c r="AL59" i="2" a="1"/>
  <c r="AQ58" i="2"/>
  <c r="BF58" i="2" s="1"/>
  <c r="BJ58" i="2" s="1"/>
  <c r="AP58" i="2"/>
  <c r="AO58" i="2"/>
  <c r="AN58" i="2"/>
  <c r="AM58" i="2"/>
  <c r="BI58" i="2" s="1"/>
  <c r="AL58" i="2" a="1"/>
  <c r="AL58" i="2" s="1"/>
  <c r="BG58" i="2" s="1"/>
  <c r="AK58" i="2"/>
  <c r="AR58" i="2" s="1"/>
  <c r="AQ57" i="2"/>
  <c r="AP57" i="2"/>
  <c r="AO57" i="2"/>
  <c r="AN57" i="2"/>
  <c r="BK57" i="2" s="1"/>
  <c r="AM57" i="2"/>
  <c r="AL57" i="2"/>
  <c r="BG57" i="2" s="1"/>
  <c r="BW57" i="2" s="1"/>
  <c r="AL57" i="2" a="1"/>
  <c r="AK57" i="2"/>
  <c r="AQ56" i="2"/>
  <c r="BI56" i="2" s="1"/>
  <c r="AP56" i="2"/>
  <c r="AO56" i="2"/>
  <c r="BK56" i="2" s="1"/>
  <c r="AN56" i="2"/>
  <c r="AM56" i="2"/>
  <c r="AL56" i="2"/>
  <c r="BG56" i="2" s="1"/>
  <c r="BW56" i="2" s="1"/>
  <c r="AL56" i="2" a="1"/>
  <c r="AK56" i="2"/>
  <c r="AR56" i="2" s="1"/>
  <c r="AQ55" i="2"/>
  <c r="AK55" i="2" s="1"/>
  <c r="CA55" i="2" s="1"/>
  <c r="CB55" i="2" s="1"/>
  <c r="AP55" i="2"/>
  <c r="AO55" i="2"/>
  <c r="AN55" i="2"/>
  <c r="BK55" i="2" s="1"/>
  <c r="AM55" i="2"/>
  <c r="AL55" i="2"/>
  <c r="BG55" i="2" s="1"/>
  <c r="BW55" i="2" s="1"/>
  <c r="AL55" i="2" a="1"/>
  <c r="AQ54" i="2"/>
  <c r="AP54" i="2"/>
  <c r="AO54" i="2"/>
  <c r="AN54" i="2"/>
  <c r="BK54" i="2" s="1"/>
  <c r="AM54" i="2"/>
  <c r="AL54" i="2" a="1"/>
  <c r="AL54" i="2" s="1"/>
  <c r="BG54" i="2" s="1"/>
  <c r="AQ53" i="2"/>
  <c r="AP53" i="2"/>
  <c r="AO53" i="2"/>
  <c r="AN53" i="2"/>
  <c r="BK53" i="2" s="1"/>
  <c r="AM53" i="2"/>
  <c r="AL53" i="2" a="1"/>
  <c r="AL53" i="2" s="1"/>
  <c r="BG53" i="2" s="1"/>
  <c r="BW53" i="2" s="1"/>
  <c r="AQ52" i="2"/>
  <c r="BF52" i="2" s="1"/>
  <c r="BJ52" i="2" s="1"/>
  <c r="AP52" i="2"/>
  <c r="AO52" i="2"/>
  <c r="AN52" i="2"/>
  <c r="BK52" i="2" s="1"/>
  <c r="AM52" i="2"/>
  <c r="BI52" i="2" s="1"/>
  <c r="AL52" i="2"/>
  <c r="BG52" i="2" s="1"/>
  <c r="AL52" i="2" a="1"/>
  <c r="AK52" i="2"/>
  <c r="AQ51" i="2"/>
  <c r="AP51" i="2"/>
  <c r="AO51" i="2"/>
  <c r="AN51" i="2"/>
  <c r="AM51" i="2"/>
  <c r="AL51" i="2"/>
  <c r="BG51" i="2" s="1"/>
  <c r="AL51" i="2" a="1"/>
  <c r="AQ50" i="2"/>
  <c r="BD50" i="2" s="1"/>
  <c r="AP50" i="2"/>
  <c r="AO50" i="2"/>
  <c r="AN50" i="2"/>
  <c r="BK50" i="2" s="1"/>
  <c r="AM50" i="2"/>
  <c r="AL50" i="2" a="1"/>
  <c r="AL50" i="2" s="1"/>
  <c r="BG50" i="2" s="1"/>
  <c r="AK50" i="2"/>
  <c r="AR50" i="2" s="1"/>
  <c r="AQ49" i="2"/>
  <c r="AP49" i="2"/>
  <c r="AO49" i="2"/>
  <c r="AN49" i="2"/>
  <c r="AM49" i="2"/>
  <c r="AL49" i="2"/>
  <c r="BG49" i="2" s="1"/>
  <c r="BW49" i="2" s="1"/>
  <c r="AL49" i="2" a="1"/>
  <c r="AQ48" i="2"/>
  <c r="BI48" i="2" s="1"/>
  <c r="AP48" i="2"/>
  <c r="AO48" i="2"/>
  <c r="AN48" i="2"/>
  <c r="BK48" i="2" s="1"/>
  <c r="AM48" i="2"/>
  <c r="AL48" i="2" a="1"/>
  <c r="AL48" i="2" s="1"/>
  <c r="BG48" i="2" s="1"/>
  <c r="AK48" i="2"/>
  <c r="AQ47" i="2"/>
  <c r="AP47" i="2"/>
  <c r="AO47" i="2"/>
  <c r="AN47" i="2"/>
  <c r="AM47" i="2"/>
  <c r="AL47" i="2"/>
  <c r="BG47" i="2" s="1"/>
  <c r="BW47" i="2" s="1"/>
  <c r="AL47" i="2" a="1"/>
  <c r="AQ46" i="2"/>
  <c r="BI46" i="2" s="1"/>
  <c r="AP46" i="2"/>
  <c r="AO46" i="2"/>
  <c r="BK46" i="2" s="1"/>
  <c r="AN46" i="2"/>
  <c r="AM46" i="2"/>
  <c r="AL46" i="2" a="1"/>
  <c r="AL46" i="2" s="1"/>
  <c r="BG46" i="2" s="1"/>
  <c r="BW46" i="2" s="1"/>
  <c r="AK46" i="2"/>
  <c r="AQ45" i="2"/>
  <c r="BB45" i="2" s="1"/>
  <c r="AP45" i="2"/>
  <c r="AO45" i="2"/>
  <c r="AN45" i="2"/>
  <c r="BK45" i="2" s="1"/>
  <c r="AM45" i="2"/>
  <c r="BI45" i="2" s="1"/>
  <c r="AL45" i="2"/>
  <c r="BG45" i="2" s="1"/>
  <c r="AL45" i="2" a="1"/>
  <c r="AK45" i="2"/>
  <c r="AQ44" i="2"/>
  <c r="BF44" i="2" s="1"/>
  <c r="BJ44" i="2" s="1"/>
  <c r="AP44" i="2"/>
  <c r="AO44" i="2"/>
  <c r="AN44" i="2"/>
  <c r="BK44" i="2" s="1"/>
  <c r="AM44" i="2"/>
  <c r="AL44" i="2"/>
  <c r="BG44" i="2" s="1"/>
  <c r="AL44" i="2" a="1"/>
  <c r="AK44" i="2"/>
  <c r="AR44" i="2" s="1"/>
  <c r="AQ43" i="2"/>
  <c r="BB43" i="2" s="1"/>
  <c r="AP43" i="2"/>
  <c r="AO43" i="2"/>
  <c r="AN43" i="2"/>
  <c r="BK43" i="2" s="1"/>
  <c r="AM43" i="2"/>
  <c r="AL43" i="2" a="1"/>
  <c r="AL43" i="2" s="1"/>
  <c r="BG43" i="2" s="1"/>
  <c r="BW43" i="2" s="1"/>
  <c r="AK43" i="2"/>
  <c r="CA43" i="2" s="1"/>
  <c r="CB43" i="2" s="1"/>
  <c r="AQ42" i="2"/>
  <c r="BD42" i="2" s="1"/>
  <c r="AP42" i="2"/>
  <c r="AO42" i="2"/>
  <c r="AN42" i="2"/>
  <c r="AM42" i="2"/>
  <c r="AL42" i="2" a="1"/>
  <c r="AL42" i="2" s="1"/>
  <c r="BG42" i="2" s="1"/>
  <c r="BW42" i="2" s="1"/>
  <c r="AQ41" i="2"/>
  <c r="BA41" i="2" s="1"/>
  <c r="AP41" i="2"/>
  <c r="AO41" i="2"/>
  <c r="AN41" i="2"/>
  <c r="BK41" i="2" s="1"/>
  <c r="AM41" i="2"/>
  <c r="AL41" i="2" a="1"/>
  <c r="AL41" i="2" s="1"/>
  <c r="BG41" i="2" s="1"/>
  <c r="AK41" i="2"/>
  <c r="AQ40" i="2"/>
  <c r="AP40" i="2"/>
  <c r="AO40" i="2"/>
  <c r="AN40" i="2"/>
  <c r="BK40" i="2" s="1"/>
  <c r="AM40" i="2"/>
  <c r="AL40" i="2" a="1"/>
  <c r="AL40" i="2" s="1"/>
  <c r="BG40" i="2" s="1"/>
  <c r="AQ39" i="2"/>
  <c r="BI39" i="2" s="1"/>
  <c r="AP39" i="2"/>
  <c r="AO39" i="2"/>
  <c r="AN39" i="2"/>
  <c r="BK39" i="2" s="1"/>
  <c r="AM39" i="2"/>
  <c r="AL39" i="2" a="1"/>
  <c r="AL39" i="2" s="1"/>
  <c r="BG39" i="2" s="1"/>
  <c r="AK39" i="2"/>
  <c r="CA39" i="2" s="1"/>
  <c r="CB39" i="2" s="1"/>
  <c r="AQ38" i="2"/>
  <c r="BE38" i="2" s="1"/>
  <c r="BH38" i="2" s="1"/>
  <c r="AP38" i="2"/>
  <c r="AO38" i="2"/>
  <c r="AN38" i="2"/>
  <c r="AM38" i="2"/>
  <c r="BI38" i="2" s="1"/>
  <c r="AL38" i="2" a="1"/>
  <c r="AL38" i="2" s="1"/>
  <c r="BG38" i="2" s="1"/>
  <c r="AK38" i="2"/>
  <c r="AR38" i="2" s="1"/>
  <c r="AQ37" i="2"/>
  <c r="BD37" i="2" s="1"/>
  <c r="AP37" i="2"/>
  <c r="AO37" i="2"/>
  <c r="AN37" i="2"/>
  <c r="AM37" i="2"/>
  <c r="AL37" i="2" a="1"/>
  <c r="AL37" i="2" s="1"/>
  <c r="BG37" i="2" s="1"/>
  <c r="BW37" i="2" s="1"/>
  <c r="AK37" i="2"/>
  <c r="AR37" i="2" s="1"/>
  <c r="AQ36" i="2"/>
  <c r="AP36" i="2"/>
  <c r="AO36" i="2"/>
  <c r="BK36" i="2" s="1"/>
  <c r="AN36" i="2"/>
  <c r="AM36" i="2"/>
  <c r="AL36" i="2" a="1"/>
  <c r="AL36" i="2" s="1"/>
  <c r="BG36" i="2" s="1"/>
  <c r="BW36" i="2" s="1"/>
  <c r="AQ35" i="2"/>
  <c r="BE35" i="2" s="1"/>
  <c r="BH35" i="2" s="1"/>
  <c r="AP35" i="2"/>
  <c r="AO35" i="2"/>
  <c r="AN35" i="2"/>
  <c r="BK35" i="2" s="1"/>
  <c r="AM35" i="2"/>
  <c r="AL35" i="2" a="1"/>
  <c r="AL35" i="2" s="1"/>
  <c r="AQ34" i="2"/>
  <c r="AP34" i="2"/>
  <c r="AO34" i="2"/>
  <c r="AN34" i="2"/>
  <c r="BK34" i="2" s="1"/>
  <c r="AM34" i="2"/>
  <c r="AL34" i="2" a="1"/>
  <c r="AL34" i="2" s="1"/>
  <c r="BG34" i="2" s="1"/>
  <c r="AQ33" i="2"/>
  <c r="AP33" i="2"/>
  <c r="AO33" i="2"/>
  <c r="AN33" i="2"/>
  <c r="AM33" i="2"/>
  <c r="AL33" i="2" a="1"/>
  <c r="AL33" i="2" s="1"/>
  <c r="AK33" i="2"/>
  <c r="CA33" i="2" s="1"/>
  <c r="CB33" i="2" s="1"/>
  <c r="AQ32" i="2"/>
  <c r="AP32" i="2"/>
  <c r="AO32" i="2"/>
  <c r="AN32" i="2"/>
  <c r="BK32" i="2" s="1"/>
  <c r="AM32" i="2"/>
  <c r="AL32" i="2" a="1"/>
  <c r="AL32" i="2" s="1"/>
  <c r="BG32" i="2" s="1"/>
  <c r="AQ31" i="2"/>
  <c r="BD31" i="2" s="1"/>
  <c r="AP31" i="2"/>
  <c r="AO31" i="2"/>
  <c r="AN31" i="2"/>
  <c r="AM31" i="2"/>
  <c r="AL31" i="2"/>
  <c r="AL31" i="2" a="1"/>
  <c r="AK31" i="2"/>
  <c r="AR31" i="2" s="1"/>
  <c r="AQ30" i="2"/>
  <c r="AP30" i="2"/>
  <c r="AO30" i="2"/>
  <c r="AN30" i="2"/>
  <c r="BK30" i="2" s="1"/>
  <c r="AM30" i="2"/>
  <c r="AL30" i="2" a="1"/>
  <c r="AL30" i="2" s="1"/>
  <c r="BG30" i="2" s="1"/>
  <c r="BW30" i="2" s="1"/>
  <c r="AQ29" i="2"/>
  <c r="AP29" i="2"/>
  <c r="AO29" i="2"/>
  <c r="AN29" i="2"/>
  <c r="AM29" i="2"/>
  <c r="AL29" i="2"/>
  <c r="BG29" i="2" s="1"/>
  <c r="BW29" i="2" s="1"/>
  <c r="AL29" i="2" a="1"/>
  <c r="AK29" i="2"/>
  <c r="AR29" i="2" s="1"/>
  <c r="AQ28" i="2"/>
  <c r="AP28" i="2"/>
  <c r="AO28" i="2"/>
  <c r="AN28" i="2"/>
  <c r="BK28" i="2" s="1"/>
  <c r="AM28" i="2"/>
  <c r="AL28" i="2" a="1"/>
  <c r="AL28" i="2" s="1"/>
  <c r="BG28" i="2" s="1"/>
  <c r="BW28" i="2" s="1"/>
  <c r="AQ27" i="2"/>
  <c r="BC27" i="2" s="1"/>
  <c r="AP27" i="2"/>
  <c r="AO27" i="2"/>
  <c r="AN27" i="2"/>
  <c r="AM27" i="2"/>
  <c r="AL27" i="2" a="1"/>
  <c r="AL27" i="2" s="1"/>
  <c r="BG27" i="2" s="1"/>
  <c r="BW27" i="2" s="1"/>
  <c r="AK27" i="2"/>
  <c r="AQ26" i="2"/>
  <c r="AP26" i="2"/>
  <c r="AO26" i="2"/>
  <c r="AN26" i="2"/>
  <c r="BK26" i="2" s="1"/>
  <c r="AM26" i="2"/>
  <c r="AL26" i="2"/>
  <c r="BG26" i="2" s="1"/>
  <c r="BW26" i="2" s="1"/>
  <c r="AL26" i="2" a="1"/>
  <c r="AK26" i="2"/>
  <c r="CA26" i="2" s="1"/>
  <c r="CB26" i="2" s="1"/>
  <c r="AQ25" i="2"/>
  <c r="BB25" i="2" s="1"/>
  <c r="AP25" i="2"/>
  <c r="AO25" i="2"/>
  <c r="AN25" i="2"/>
  <c r="BK25" i="2" s="1"/>
  <c r="AM25" i="2"/>
  <c r="BI25" i="2" s="1"/>
  <c r="AL25" i="2" a="1"/>
  <c r="AL25" i="2" s="1"/>
  <c r="BG25" i="2" s="1"/>
  <c r="AK25" i="2"/>
  <c r="AR25" i="2" s="1"/>
  <c r="AQ24" i="2"/>
  <c r="AP24" i="2"/>
  <c r="AO24" i="2"/>
  <c r="AN24" i="2"/>
  <c r="BK24" i="2" s="1"/>
  <c r="AM24" i="2"/>
  <c r="BI24" i="2" s="1"/>
  <c r="AL24" i="2"/>
  <c r="BG24" i="2" s="1"/>
  <c r="AL24" i="2" a="1"/>
  <c r="AK24" i="2"/>
  <c r="CA24" i="2" s="1"/>
  <c r="CB24" i="2" s="1"/>
  <c r="BV23" i="2"/>
  <c r="DD15" i="2"/>
  <c r="DD16" i="2"/>
  <c r="DD14" i="2"/>
  <c r="FZ11" i="2"/>
  <c r="AJ57" i="2" a="1"/>
  <c r="AJ37" i="2" a="1"/>
  <c r="AJ64" i="2" a="1"/>
  <c r="AJ44" i="2" a="1"/>
  <c r="AJ24" i="2" a="1"/>
  <c r="AJ62" i="2" a="1"/>
  <c r="AJ42" i="2" a="1"/>
  <c r="AJ51" i="2" a="1"/>
  <c r="AJ69" i="2" a="1"/>
  <c r="AJ67" i="2" a="1"/>
  <c r="AJ65" i="2" a="1"/>
  <c r="AJ36" i="2" a="1"/>
  <c r="AJ34" i="2" a="1"/>
  <c r="AJ30" i="2" a="1"/>
  <c r="AJ68" i="2" a="1"/>
  <c r="AJ45" i="2" a="1"/>
  <c r="AJ70" i="2" a="1"/>
  <c r="AJ53" i="2" a="1"/>
  <c r="AJ49" i="2" a="1"/>
  <c r="AJ59" i="2" a="1"/>
  <c r="AJ74" i="2" a="1"/>
  <c r="AJ72" i="2" a="1"/>
  <c r="AJ47" i="2" a="1"/>
  <c r="AJ55" i="2" a="1"/>
  <c r="AJ27" i="2" a="1"/>
  <c r="AJ71" i="2" a="1"/>
  <c r="AJ26" i="2" a="1"/>
  <c r="AJ66" i="2" a="1"/>
  <c r="AJ43" i="2" a="1"/>
  <c r="AJ28" i="2" a="1"/>
  <c r="AJ56" i="2" a="1"/>
  <c r="AJ60" i="2" a="1"/>
  <c r="AJ48" i="2" a="1"/>
  <c r="AJ50" i="2" a="1"/>
  <c r="AJ52" i="2" a="1"/>
  <c r="AJ32" i="2" a="1"/>
  <c r="AJ61" i="2" a="1"/>
  <c r="AJ41" i="2" a="1"/>
  <c r="AJ73" i="2" a="1"/>
  <c r="AJ39" i="2" a="1"/>
  <c r="AJ54" i="2" a="1"/>
  <c r="AJ58" i="2" a="1"/>
  <c r="AJ25" i="2" a="1"/>
  <c r="AJ31" i="2" a="1"/>
  <c r="AJ40" i="2" a="1"/>
  <c r="AJ63" i="2" a="1"/>
  <c r="AJ38" i="2" a="1"/>
  <c r="AJ33" i="2" a="1"/>
  <c r="AJ29" i="2" a="1"/>
  <c r="AJ46" i="2" a="1"/>
  <c r="AJ35" i="2" a="1"/>
  <c r="BP24" i="2" a="1"/>
  <c r="BP34" i="2" a="1"/>
  <c r="BP44" i="2" a="1"/>
  <c r="BP54" i="2" a="1"/>
  <c r="BP64" i="2" a="1"/>
  <c r="BP74" i="2" a="1"/>
  <c r="BP26" i="2" a="1"/>
  <c r="BP66" i="2" a="1"/>
  <c r="BP27" i="2" a="1"/>
  <c r="BP57" i="2" a="1"/>
  <c r="BP67" i="2" a="1"/>
  <c r="BP46" i="2" a="1"/>
  <c r="BP37" i="2" a="1"/>
  <c r="BP38" i="2" a="1"/>
  <c r="BP58" i="2" a="1"/>
  <c r="BP29" i="2" a="1"/>
  <c r="BP69" i="2" a="1"/>
  <c r="BP40" i="2" a="1"/>
  <c r="BP70" i="2" a="1"/>
  <c r="BP31" i="2" a="1"/>
  <c r="BP52" i="2" a="1"/>
  <c r="BP53" i="2" a="1"/>
  <c r="BP25" i="2" a="1"/>
  <c r="BP35" i="2" a="1"/>
  <c r="BP45" i="2" a="1"/>
  <c r="BP55" i="2" a="1"/>
  <c r="BP65" i="2" a="1"/>
  <c r="BP56" i="2" a="1"/>
  <c r="BP47" i="2" a="1"/>
  <c r="BP48" i="2" a="1"/>
  <c r="BP39" i="2" a="1"/>
  <c r="BP50" i="2" a="1"/>
  <c r="BP41" i="2" a="1"/>
  <c r="BP62" i="2" a="1"/>
  <c r="BP43" i="2" a="1"/>
  <c r="BP36" i="2" a="1"/>
  <c r="BP68" i="2" a="1"/>
  <c r="BP59" i="2" a="1"/>
  <c r="BP60" i="2" a="1"/>
  <c r="BP71" i="2" a="1"/>
  <c r="BP72" i="2" a="1"/>
  <c r="BP28" i="2" a="1"/>
  <c r="BP49" i="2" a="1"/>
  <c r="BP30" i="2" a="1"/>
  <c r="BP51" i="2" a="1"/>
  <c r="BP42" i="2" a="1"/>
  <c r="BP63" i="2" a="1"/>
  <c r="BP73" i="2" a="1"/>
  <c r="BP61" i="2" a="1"/>
  <c r="BP32" i="2" a="1"/>
  <c r="BP33" i="2" a="1"/>
  <c r="BP23" i="2" a="1"/>
  <c r="BO24" i="2" a="1"/>
  <c r="BO34" i="2" a="1"/>
  <c r="BO44" i="2" a="1"/>
  <c r="BO54" i="2" a="1"/>
  <c r="BO64" i="2" a="1"/>
  <c r="BO74" i="2" a="1"/>
  <c r="BO29" i="2" a="1"/>
  <c r="BO60" i="2" a="1"/>
  <c r="BO61" i="2" a="1"/>
  <c r="BO72" i="2" a="1"/>
  <c r="BO63" i="2" a="1"/>
  <c r="BO27" i="2" a="1"/>
  <c r="BO48" i="2" a="1"/>
  <c r="BO69" i="2" a="1"/>
  <c r="BO50" i="2" a="1"/>
  <c r="BO51" i="2" a="1"/>
  <c r="BO52" i="2" a="1"/>
  <c r="BO53" i="2" a="1"/>
  <c r="BO25" i="2" a="1"/>
  <c r="BO35" i="2" a="1"/>
  <c r="BO45" i="2" a="1"/>
  <c r="BO55" i="2" a="1"/>
  <c r="BO65" i="2" a="1"/>
  <c r="BO37" i="2" a="1"/>
  <c r="BO47" i="2" a="1"/>
  <c r="BO49" i="2" a="1"/>
  <c r="BO70" i="2" a="1"/>
  <c r="BO62" i="2" a="1"/>
  <c r="BO73" i="2" a="1"/>
  <c r="BO26" i="2" a="1"/>
  <c r="BO36" i="2" a="1"/>
  <c r="BO46" i="2" a="1"/>
  <c r="BO56" i="2" a="1"/>
  <c r="BO66" i="2" a="1"/>
  <c r="BO57" i="2" a="1"/>
  <c r="BO38" i="2" a="1"/>
  <c r="BO58" i="2" a="1"/>
  <c r="BO68" i="2" a="1"/>
  <c r="BO39" i="2" a="1"/>
  <c r="BO30" i="2" a="1"/>
  <c r="BO31" i="2" a="1"/>
  <c r="BO71" i="2" a="1"/>
  <c r="BO32" i="2" a="1"/>
  <c r="BO43" i="2" a="1"/>
  <c r="BO67" i="2" a="1"/>
  <c r="BO28" i="2" a="1"/>
  <c r="BO59" i="2" a="1"/>
  <c r="BO40" i="2" a="1"/>
  <c r="BO41" i="2" a="1"/>
  <c r="BO42" i="2" a="1"/>
  <c r="BO33" i="2" a="1"/>
  <c r="BO23" i="2" a="1"/>
  <c r="N53" i="2" a="1"/>
  <c r="BP33" i="2" l="1"/>
  <c r="BP32" i="2"/>
  <c r="BP61" i="2"/>
  <c r="BP73" i="2"/>
  <c r="BP63" i="2"/>
  <c r="BP42" i="2"/>
  <c r="BP51" i="2"/>
  <c r="BP30" i="2"/>
  <c r="BP49" i="2"/>
  <c r="BP28" i="2"/>
  <c r="BP72" i="2"/>
  <c r="BP71" i="2"/>
  <c r="BP60" i="2"/>
  <c r="BP59" i="2"/>
  <c r="BP68" i="2"/>
  <c r="BP36" i="2"/>
  <c r="BP43" i="2"/>
  <c r="BP62" i="2"/>
  <c r="BP41" i="2"/>
  <c r="BP50" i="2"/>
  <c r="BP39" i="2"/>
  <c r="BP48" i="2"/>
  <c r="BP47" i="2"/>
  <c r="BP56" i="2"/>
  <c r="BP65" i="2"/>
  <c r="BP55" i="2"/>
  <c r="BP45" i="2"/>
  <c r="BP35" i="2"/>
  <c r="BP25" i="2"/>
  <c r="BP53" i="2"/>
  <c r="BP52" i="2"/>
  <c r="BP31" i="2"/>
  <c r="BP70" i="2"/>
  <c r="BP40" i="2"/>
  <c r="BP69" i="2"/>
  <c r="BP29" i="2"/>
  <c r="BP58" i="2"/>
  <c r="BP38" i="2"/>
  <c r="BP37" i="2"/>
  <c r="BP46" i="2"/>
  <c r="BP67" i="2"/>
  <c r="BP57" i="2"/>
  <c r="BP27" i="2"/>
  <c r="BP66" i="2"/>
  <c r="BP26" i="2"/>
  <c r="BP74" i="2"/>
  <c r="BP64" i="2"/>
  <c r="BP54" i="2"/>
  <c r="BP44" i="2"/>
  <c r="BP34" i="2"/>
  <c r="BP24" i="2"/>
  <c r="BP23" i="2"/>
  <c r="BO33" i="2"/>
  <c r="BO42" i="2"/>
  <c r="BO41" i="2"/>
  <c r="BO40" i="2"/>
  <c r="BO59" i="2"/>
  <c r="BO28" i="2"/>
  <c r="BO67" i="2"/>
  <c r="BO43" i="2"/>
  <c r="BO32" i="2"/>
  <c r="BO71" i="2"/>
  <c r="BO31" i="2"/>
  <c r="BO30" i="2"/>
  <c r="BO39" i="2"/>
  <c r="BO68" i="2"/>
  <c r="BO58" i="2"/>
  <c r="BO38" i="2"/>
  <c r="BO57" i="2"/>
  <c r="BO66" i="2"/>
  <c r="BO56" i="2"/>
  <c r="BO46" i="2"/>
  <c r="BO36" i="2"/>
  <c r="BO26" i="2"/>
  <c r="BO73" i="2"/>
  <c r="BO62" i="2"/>
  <c r="BO70" i="2"/>
  <c r="BO49" i="2"/>
  <c r="BO47" i="2"/>
  <c r="BO37" i="2"/>
  <c r="BO65" i="2"/>
  <c r="BO55" i="2"/>
  <c r="BO45" i="2"/>
  <c r="BO35" i="2"/>
  <c r="BO25" i="2"/>
  <c r="BO53" i="2"/>
  <c r="BO52" i="2"/>
  <c r="BO51" i="2"/>
  <c r="BO50" i="2"/>
  <c r="BO69" i="2"/>
  <c r="BO48" i="2"/>
  <c r="BO27" i="2"/>
  <c r="BO63" i="2"/>
  <c r="BO72" i="2"/>
  <c r="BO61" i="2"/>
  <c r="BO60" i="2"/>
  <c r="BO29" i="2"/>
  <c r="BO74" i="2"/>
  <c r="BO64" i="2"/>
  <c r="BO54" i="2"/>
  <c r="BO44" i="2"/>
  <c r="BO34" i="2"/>
  <c r="BO24" i="2"/>
  <c r="BO23" i="2"/>
  <c r="BL23" i="2" s="1"/>
  <c r="N53" i="2"/>
  <c r="CA56" i="2"/>
  <c r="CB56" i="2" s="1"/>
  <c r="CA63" i="2"/>
  <c r="CB63" i="2" s="1"/>
  <c r="CA29" i="2"/>
  <c r="CB29" i="2" s="1"/>
  <c r="BY41" i="2"/>
  <c r="CC41" i="2" s="1"/>
  <c r="CD41" i="2" s="1"/>
  <c r="CA57" i="2"/>
  <c r="CB57" i="2" s="1"/>
  <c r="CA52" i="2"/>
  <c r="CB52" i="2" s="1"/>
  <c r="BY67" i="2"/>
  <c r="BZ67" i="2" s="1"/>
  <c r="CE67" i="2" s="1"/>
  <c r="CF67" i="2" s="1"/>
  <c r="BY56" i="2"/>
  <c r="BZ56" i="2" s="1"/>
  <c r="BY43" i="2"/>
  <c r="BZ43" i="2" s="1"/>
  <c r="BY55" i="2"/>
  <c r="BY26" i="2"/>
  <c r="CC26" i="2" s="1"/>
  <c r="CD26" i="2" s="1"/>
  <c r="CA67" i="2"/>
  <c r="CB67" i="2" s="1"/>
  <c r="BY38" i="2"/>
  <c r="BZ38" i="2" s="1"/>
  <c r="CA65" i="2"/>
  <c r="CB65" i="2" s="1"/>
  <c r="BY46" i="2"/>
  <c r="BZ46" i="2" s="1"/>
  <c r="BY39" i="2"/>
  <c r="BZ39" i="2" s="1"/>
  <c r="CA48" i="2"/>
  <c r="CB48" i="2" s="1"/>
  <c r="BY65" i="2"/>
  <c r="BZ65" i="2" s="1"/>
  <c r="BY63" i="2"/>
  <c r="BZ63" i="2" s="1"/>
  <c r="BY27" i="2"/>
  <c r="BZ27" i="2" s="1"/>
  <c r="AJ35" i="2"/>
  <c r="AJ46" i="2"/>
  <c r="AJ29" i="2"/>
  <c r="AJ33" i="2"/>
  <c r="AJ38" i="2"/>
  <c r="AJ63" i="2"/>
  <c r="AJ40" i="2"/>
  <c r="AJ31" i="2"/>
  <c r="AJ25" i="2"/>
  <c r="AJ58" i="2"/>
  <c r="AJ54" i="2"/>
  <c r="AJ39" i="2"/>
  <c r="AJ73" i="2"/>
  <c r="AJ41" i="2"/>
  <c r="AJ61" i="2"/>
  <c r="AJ32" i="2"/>
  <c r="AJ52" i="2"/>
  <c r="AJ50" i="2"/>
  <c r="AJ48" i="2"/>
  <c r="AJ60" i="2"/>
  <c r="AJ56" i="2"/>
  <c r="AJ28" i="2"/>
  <c r="AJ43" i="2"/>
  <c r="AJ66" i="2"/>
  <c r="AJ26" i="2"/>
  <c r="AJ71" i="2"/>
  <c r="AJ27" i="2"/>
  <c r="AJ55" i="2"/>
  <c r="AJ47" i="2"/>
  <c r="AJ72" i="2"/>
  <c r="AJ74" i="2"/>
  <c r="AJ59" i="2"/>
  <c r="AJ49" i="2"/>
  <c r="AJ53" i="2"/>
  <c r="AJ70" i="2"/>
  <c r="AJ45" i="2"/>
  <c r="AJ68" i="2"/>
  <c r="AJ30" i="2"/>
  <c r="AJ34" i="2"/>
  <c r="AJ36" i="2"/>
  <c r="AJ65" i="2"/>
  <c r="AJ67" i="2"/>
  <c r="AJ69" i="2"/>
  <c r="AJ51" i="2"/>
  <c r="AJ42" i="2"/>
  <c r="AJ62" i="2"/>
  <c r="AJ24" i="2"/>
  <c r="AJ44" i="2"/>
  <c r="AJ64" i="2"/>
  <c r="AJ37" i="2"/>
  <c r="AJ57" i="2"/>
  <c r="CC55" i="2"/>
  <c r="CD55" i="2" s="1"/>
  <c r="BZ55" i="2"/>
  <c r="BZ26" i="2"/>
  <c r="BI34" i="2"/>
  <c r="BD34" i="2"/>
  <c r="BB34" i="2"/>
  <c r="BA34" i="2"/>
  <c r="BF34" i="2"/>
  <c r="BJ34" i="2" s="1"/>
  <c r="AR45" i="2"/>
  <c r="BX34" i="2"/>
  <c r="CA34" i="2" s="1"/>
  <c r="CB34" i="2" s="1"/>
  <c r="BW34" i="2"/>
  <c r="BF28" i="2"/>
  <c r="BJ28" i="2" s="1"/>
  <c r="BA28" i="2"/>
  <c r="AK28" i="2"/>
  <c r="AR28" i="2" s="1"/>
  <c r="BE28" i="2"/>
  <c r="BH28" i="2" s="1"/>
  <c r="BD28" i="2"/>
  <c r="BI30" i="2"/>
  <c r="BF30" i="2"/>
  <c r="BJ30" i="2" s="1"/>
  <c r="BA30" i="2"/>
  <c r="BE30" i="2"/>
  <c r="BH30" i="2" s="1"/>
  <c r="BB32" i="2"/>
  <c r="BI32" i="2"/>
  <c r="BD32" i="2"/>
  <c r="BC32" i="2"/>
  <c r="BY37" i="2"/>
  <c r="AR43" i="2"/>
  <c r="BD59" i="2"/>
  <c r="BC59" i="2"/>
  <c r="BB59" i="2"/>
  <c r="BA59" i="2"/>
  <c r="BF59" i="2"/>
  <c r="BJ59" i="2" s="1"/>
  <c r="AK59" i="2"/>
  <c r="BY59" i="2" s="1"/>
  <c r="BK62" i="2"/>
  <c r="BF66" i="2"/>
  <c r="BJ66" i="2" s="1"/>
  <c r="BE66" i="2"/>
  <c r="BH66" i="2" s="1"/>
  <c r="BD66" i="2"/>
  <c r="BC66" i="2"/>
  <c r="BB66" i="2"/>
  <c r="BA66" i="2"/>
  <c r="AK66" i="2"/>
  <c r="BI66" i="2"/>
  <c r="BC31" i="2"/>
  <c r="BE24" i="2"/>
  <c r="BH24" i="2" s="1"/>
  <c r="BD24" i="2"/>
  <c r="BC24" i="2"/>
  <c r="BF26" i="2"/>
  <c r="BJ26" i="2" s="1"/>
  <c r="BD26" i="2"/>
  <c r="BC26" i="2"/>
  <c r="BI26" i="2"/>
  <c r="AR46" i="2"/>
  <c r="CA46" i="2"/>
  <c r="CB46" i="2" s="1"/>
  <c r="BK74" i="2"/>
  <c r="BI59" i="2"/>
  <c r="AR24" i="2"/>
  <c r="AR57" i="2"/>
  <c r="BY29" i="2"/>
  <c r="BF53" i="2"/>
  <c r="BJ53" i="2" s="1"/>
  <c r="BE53" i="2"/>
  <c r="BH53" i="2" s="1"/>
  <c r="BC53" i="2"/>
  <c r="BA53" i="2"/>
  <c r="BD53" i="2"/>
  <c r="AK53" i="2"/>
  <c r="BY53" i="2" s="1"/>
  <c r="BA24" i="2"/>
  <c r="CA38" i="2"/>
  <c r="CB38" i="2" s="1"/>
  <c r="BW68" i="2"/>
  <c r="BI54" i="2"/>
  <c r="BB54" i="2"/>
  <c r="BE54" i="2"/>
  <c r="BH54" i="2" s="1"/>
  <c r="BD54" i="2"/>
  <c r="BC54" i="2"/>
  <c r="BA54" i="2"/>
  <c r="AR27" i="2"/>
  <c r="BX40" i="2"/>
  <c r="BY49" i="2"/>
  <c r="BB72" i="2"/>
  <c r="BA72" i="2"/>
  <c r="BE72" i="2"/>
  <c r="BH72" i="2" s="1"/>
  <c r="BD72" i="2"/>
  <c r="AK72" i="2"/>
  <c r="AR72" i="2" s="1"/>
  <c r="BB24" i="2"/>
  <c r="BY31" i="2"/>
  <c r="BF68" i="2"/>
  <c r="BJ68" i="2" s="1"/>
  <c r="AK68" i="2"/>
  <c r="AR68" i="2" s="1"/>
  <c r="BE68" i="2"/>
  <c r="BH68" i="2" s="1"/>
  <c r="BC68" i="2"/>
  <c r="BB68" i="2"/>
  <c r="BA68" i="2"/>
  <c r="BI68" i="2"/>
  <c r="BD68" i="2"/>
  <c r="BF36" i="2"/>
  <c r="BJ36" i="2" s="1"/>
  <c r="BE36" i="2"/>
  <c r="BH36" i="2" s="1"/>
  <c r="BD36" i="2"/>
  <c r="BC36" i="2"/>
  <c r="BA36" i="2"/>
  <c r="BB36" i="2"/>
  <c r="BX32" i="2"/>
  <c r="BW32" i="2"/>
  <c r="BY69" i="2"/>
  <c r="AR41" i="2"/>
  <c r="BY33" i="2"/>
  <c r="AR39" i="2"/>
  <c r="BI37" i="2"/>
  <c r="BE37" i="2"/>
  <c r="BH37" i="2" s="1"/>
  <c r="BF37" i="2"/>
  <c r="BJ37" i="2" s="1"/>
  <c r="BB37" i="2"/>
  <c r="BA37" i="2"/>
  <c r="BF33" i="2"/>
  <c r="BJ33" i="2" s="1"/>
  <c r="BE33" i="2"/>
  <c r="BH33" i="2" s="1"/>
  <c r="BC33" i="2"/>
  <c r="BA33" i="2"/>
  <c r="BD33" i="2"/>
  <c r="BB33" i="2"/>
  <c r="BF46" i="2"/>
  <c r="BJ46" i="2" s="1"/>
  <c r="BE46" i="2"/>
  <c r="BH46" i="2" s="1"/>
  <c r="BD46" i="2"/>
  <c r="BC46" i="2"/>
  <c r="BA46" i="2"/>
  <c r="BB46" i="2"/>
  <c r="BI60" i="2"/>
  <c r="BE60" i="2"/>
  <c r="BH60" i="2" s="1"/>
  <c r="BC60" i="2"/>
  <c r="BB60" i="2"/>
  <c r="AK60" i="2"/>
  <c r="AR60" i="2" s="1"/>
  <c r="BF60" i="2"/>
  <c r="BJ60" i="2" s="1"/>
  <c r="BD60" i="2"/>
  <c r="BA60" i="2"/>
  <c r="BF24" i="2"/>
  <c r="BJ24" i="2" s="1"/>
  <c r="BB27" i="2"/>
  <c r="CA31" i="2"/>
  <c r="CB31" i="2" s="1"/>
  <c r="BF54" i="2"/>
  <c r="BJ54" i="2" s="1"/>
  <c r="BW61" i="2"/>
  <c r="BX64" i="2"/>
  <c r="CA64" i="2" s="1"/>
  <c r="CB64" i="2" s="1"/>
  <c r="BW64" i="2"/>
  <c r="BY64" i="2" s="1"/>
  <c r="AR26" i="2"/>
  <c r="CC65" i="2"/>
  <c r="CD65" i="2" s="1"/>
  <c r="CE65" i="2" s="1"/>
  <c r="CF65" i="2" s="1"/>
  <c r="CC67" i="2"/>
  <c r="CD67" i="2" s="1"/>
  <c r="BI28" i="2"/>
  <c r="BD35" i="2"/>
  <c r="AK35" i="2"/>
  <c r="BA35" i="2"/>
  <c r="BB35" i="2"/>
  <c r="AR33" i="2"/>
  <c r="AK36" i="2"/>
  <c r="BY36" i="2" s="1"/>
  <c r="BI44" i="2"/>
  <c r="BD44" i="2"/>
  <c r="BA44" i="2"/>
  <c r="BC44" i="2"/>
  <c r="BB44" i="2"/>
  <c r="BI51" i="2"/>
  <c r="BC51" i="2"/>
  <c r="AK51" i="2"/>
  <c r="AR51" i="2" s="1"/>
  <c r="BF51" i="2"/>
  <c r="BJ51" i="2" s="1"/>
  <c r="AK54" i="2"/>
  <c r="AR54" i="2" s="1"/>
  <c r="BB30" i="2"/>
  <c r="CA71" i="2"/>
  <c r="CB71" i="2" s="1"/>
  <c r="BI47" i="2"/>
  <c r="BE47" i="2"/>
  <c r="BH47" i="2" s="1"/>
  <c r="BF47" i="2"/>
  <c r="BJ47" i="2" s="1"/>
  <c r="BD47" i="2"/>
  <c r="BC47" i="2"/>
  <c r="AK47" i="2"/>
  <c r="AR47" i="2" s="1"/>
  <c r="BB47" i="2"/>
  <c r="BA47" i="2"/>
  <c r="BI61" i="2"/>
  <c r="BC61" i="2"/>
  <c r="BD61" i="2"/>
  <c r="BB61" i="2"/>
  <c r="BA61" i="2"/>
  <c r="AK61" i="2"/>
  <c r="AR61" i="2" s="1"/>
  <c r="BW52" i="2"/>
  <c r="BY52" i="2" s="1"/>
  <c r="BF61" i="2"/>
  <c r="BJ61" i="2" s="1"/>
  <c r="BB42" i="2"/>
  <c r="BA42" i="2"/>
  <c r="AK42" i="2"/>
  <c r="AR42" i="2" s="1"/>
  <c r="BI42" i="2"/>
  <c r="BC42" i="2"/>
  <c r="BF42" i="2"/>
  <c r="BJ42" i="2" s="1"/>
  <c r="BE42" i="2"/>
  <c r="BH42" i="2" s="1"/>
  <c r="BC30" i="2"/>
  <c r="BI27" i="2"/>
  <c r="BA27" i="2"/>
  <c r="BF27" i="2"/>
  <c r="BJ27" i="2" s="1"/>
  <c r="AK34" i="2"/>
  <c r="AR34" i="2" s="1"/>
  <c r="BF65" i="2"/>
  <c r="BJ65" i="2" s="1"/>
  <c r="BE65" i="2"/>
  <c r="BH65" i="2" s="1"/>
  <c r="BD65" i="2"/>
  <c r="BI65" i="2"/>
  <c r="BA65" i="2"/>
  <c r="BC65" i="2"/>
  <c r="BB65" i="2"/>
  <c r="CA25" i="2"/>
  <c r="CB25" i="2" s="1"/>
  <c r="BE27" i="2"/>
  <c r="BH27" i="2" s="1"/>
  <c r="BD30" i="2"/>
  <c r="BA32" i="2"/>
  <c r="BW48" i="2"/>
  <c r="BY48" i="2" s="1"/>
  <c r="BF72" i="2"/>
  <c r="BJ72" i="2" s="1"/>
  <c r="BW54" i="2"/>
  <c r="BY24" i="2"/>
  <c r="AR48" i="2"/>
  <c r="BB62" i="2"/>
  <c r="BA62" i="2"/>
  <c r="AK62" i="2"/>
  <c r="BY62" i="2" s="1"/>
  <c r="BI62" i="2"/>
  <c r="BC62" i="2"/>
  <c r="BF62" i="2"/>
  <c r="BJ62" i="2" s="1"/>
  <c r="BD29" i="2"/>
  <c r="BB29" i="2"/>
  <c r="BA29" i="2"/>
  <c r="BE29" i="2"/>
  <c r="BH29" i="2" s="1"/>
  <c r="BF29" i="2"/>
  <c r="BJ29" i="2" s="1"/>
  <c r="BI31" i="2"/>
  <c r="BE31" i="2"/>
  <c r="BH31" i="2" s="1"/>
  <c r="BB31" i="2"/>
  <c r="BA31" i="2"/>
  <c r="BI40" i="2"/>
  <c r="BE40" i="2"/>
  <c r="BH40" i="2" s="1"/>
  <c r="BC40" i="2"/>
  <c r="AK40" i="2"/>
  <c r="AR40" i="2" s="1"/>
  <c r="BA40" i="2"/>
  <c r="BF40" i="2"/>
  <c r="BJ40" i="2" s="1"/>
  <c r="BD40" i="2"/>
  <c r="BB40" i="2"/>
  <c r="BK47" i="2"/>
  <c r="BD49" i="2"/>
  <c r="BC49" i="2"/>
  <c r="BB49" i="2"/>
  <c r="BA49" i="2"/>
  <c r="BF49" i="2"/>
  <c r="BJ49" i="2" s="1"/>
  <c r="AK49" i="2"/>
  <c r="BG73" i="2"/>
  <c r="BW73" i="2" s="1"/>
  <c r="BY73" i="2" s="1"/>
  <c r="AR73" i="2"/>
  <c r="BE32" i="2"/>
  <c r="BH32" i="2" s="1"/>
  <c r="BE62" i="2"/>
  <c r="BH62" i="2" s="1"/>
  <c r="AK30" i="2"/>
  <c r="AR30" i="2" s="1"/>
  <c r="AK32" i="2"/>
  <c r="AR32" i="2" s="1"/>
  <c r="AR52" i="2"/>
  <c r="BF56" i="2"/>
  <c r="BJ56" i="2" s="1"/>
  <c r="BE56" i="2"/>
  <c r="BH56" i="2" s="1"/>
  <c r="BD56" i="2"/>
  <c r="BC56" i="2"/>
  <c r="BA56" i="2"/>
  <c r="BB56" i="2"/>
  <c r="BF32" i="2"/>
  <c r="BJ32" i="2" s="1"/>
  <c r="BC34" i="2"/>
  <c r="CA50" i="2"/>
  <c r="CB50" i="2" s="1"/>
  <c r="AR67" i="2"/>
  <c r="BW45" i="2"/>
  <c r="BY45" i="2" s="1"/>
  <c r="BI64" i="2"/>
  <c r="BF64" i="2"/>
  <c r="BJ64" i="2" s="1"/>
  <c r="BE64" i="2"/>
  <c r="BH64" i="2" s="1"/>
  <c r="BD64" i="2"/>
  <c r="BC64" i="2"/>
  <c r="BB64" i="2"/>
  <c r="BX45" i="2"/>
  <c r="CA45" i="2" s="1"/>
  <c r="CB45" i="2" s="1"/>
  <c r="BA55" i="2"/>
  <c r="BW44" i="2"/>
  <c r="BY44" i="2" s="1"/>
  <c r="BI50" i="2"/>
  <c r="BE50" i="2"/>
  <c r="BH50" i="2" s="1"/>
  <c r="BC50" i="2"/>
  <c r="BW35" i="2"/>
  <c r="CA44" i="2"/>
  <c r="CB44" i="2" s="1"/>
  <c r="BF55" i="2"/>
  <c r="BJ55" i="2" s="1"/>
  <c r="BW72" i="2"/>
  <c r="BD74" i="2"/>
  <c r="BE48" i="2"/>
  <c r="BH48" i="2" s="1"/>
  <c r="BC48" i="2"/>
  <c r="BB48" i="2"/>
  <c r="BA48" i="2"/>
  <c r="BI71" i="2"/>
  <c r="BC71" i="2"/>
  <c r="BB71" i="2"/>
  <c r="BK27" i="2"/>
  <c r="BI67" i="2"/>
  <c r="BE67" i="2"/>
  <c r="BH67" i="2" s="1"/>
  <c r="BD67" i="2"/>
  <c r="BF67" i="2"/>
  <c r="BJ67" i="2" s="1"/>
  <c r="BB67" i="2"/>
  <c r="BA67" i="2"/>
  <c r="BW25" i="2"/>
  <c r="BY25" i="2" s="1"/>
  <c r="BF39" i="2"/>
  <c r="BJ39" i="2" s="1"/>
  <c r="BX58" i="2"/>
  <c r="CA58" i="2" s="1"/>
  <c r="CB58" i="2" s="1"/>
  <c r="BW58" i="2"/>
  <c r="BY58" i="2" s="1"/>
  <c r="CA69" i="2"/>
  <c r="CB69" i="2" s="1"/>
  <c r="BF71" i="2"/>
  <c r="BJ71" i="2" s="1"/>
  <c r="BK33" i="2"/>
  <c r="BY57" i="2"/>
  <c r="BK63" i="2"/>
  <c r="BI55" i="2"/>
  <c r="CA37" i="2"/>
  <c r="CB37" i="2" s="1"/>
  <c r="BK37" i="2"/>
  <c r="BK61" i="2"/>
  <c r="CA51" i="2"/>
  <c r="CB51" i="2" s="1"/>
  <c r="CA27" i="2"/>
  <c r="CB27" i="2" s="1"/>
  <c r="BD39" i="2"/>
  <c r="BC39" i="2"/>
  <c r="BB39" i="2"/>
  <c r="BA39" i="2"/>
  <c r="BE39" i="2"/>
  <c r="BH39" i="2" s="1"/>
  <c r="BI41" i="2"/>
  <c r="BE41" i="2"/>
  <c r="BH41" i="2" s="1"/>
  <c r="AR55" i="2"/>
  <c r="BI57" i="2"/>
  <c r="BE57" i="2"/>
  <c r="BH57" i="2" s="1"/>
  <c r="BF57" i="2"/>
  <c r="BJ57" i="2" s="1"/>
  <c r="BC57" i="2"/>
  <c r="BB57" i="2"/>
  <c r="BA57" i="2"/>
  <c r="BK68" i="2"/>
  <c r="AK74" i="2"/>
  <c r="AR74" i="2" s="1"/>
  <c r="BI74" i="2"/>
  <c r="BF74" i="2"/>
  <c r="BJ74" i="2" s="1"/>
  <c r="BC67" i="2"/>
  <c r="BX74" i="2"/>
  <c r="BW74" i="2"/>
  <c r="BI70" i="2"/>
  <c r="BF70" i="2"/>
  <c r="BJ70" i="2" s="1"/>
  <c r="BE70" i="2"/>
  <c r="BH70" i="2" s="1"/>
  <c r="BC70" i="2"/>
  <c r="BB70" i="2"/>
  <c r="BX70" i="2"/>
  <c r="CA70" i="2" s="1"/>
  <c r="CB70" i="2" s="1"/>
  <c r="BW70" i="2"/>
  <c r="BY70" i="2" s="1"/>
  <c r="BD38" i="2"/>
  <c r="BW71" i="2"/>
  <c r="BY71" i="2" s="1"/>
  <c r="BB52" i="2"/>
  <c r="BA52" i="2"/>
  <c r="BF43" i="2"/>
  <c r="BJ43" i="2" s="1"/>
  <c r="BE43" i="2"/>
  <c r="BH43" i="2" s="1"/>
  <c r="BC43" i="2"/>
  <c r="BA43" i="2"/>
  <c r="BF63" i="2"/>
  <c r="BJ63" i="2" s="1"/>
  <c r="BE63" i="2"/>
  <c r="BH63" i="2" s="1"/>
  <c r="BD63" i="2"/>
  <c r="BC63" i="2"/>
  <c r="BA63" i="2"/>
  <c r="BD43" i="2"/>
  <c r="BA58" i="2"/>
  <c r="BK38" i="2"/>
  <c r="BK58" i="2"/>
  <c r="BD69" i="2"/>
  <c r="BC69" i="2"/>
  <c r="BB69" i="2"/>
  <c r="BA69" i="2"/>
  <c r="BC58" i="2"/>
  <c r="BE69" i="2"/>
  <c r="BH69" i="2" s="1"/>
  <c r="BK31" i="2"/>
  <c r="BK51" i="2"/>
  <c r="BF73" i="2"/>
  <c r="BJ73" i="2" s="1"/>
  <c r="BE73" i="2"/>
  <c r="BH73" i="2" s="1"/>
  <c r="BD73" i="2"/>
  <c r="BC73" i="2"/>
  <c r="BA73" i="2"/>
  <c r="BW50" i="2"/>
  <c r="BY50" i="2" s="1"/>
  <c r="BW60" i="2"/>
  <c r="BA70" i="2"/>
  <c r="F42" i="2" a="1"/>
  <c r="F42" i="2" s="1"/>
  <c r="R20" i="2" s="1"/>
  <c r="U14" i="2" a="1"/>
  <c r="AJ23" i="2" a="1"/>
  <c r="CC56" i="2" l="1"/>
  <c r="CD56" i="2" s="1"/>
  <c r="CE56" i="2" s="1"/>
  <c r="CF56" i="2" s="1"/>
  <c r="BZ41" i="2"/>
  <c r="CE41" i="2" s="1"/>
  <c r="CF41" i="2" s="1"/>
  <c r="CC63" i="2"/>
  <c r="CD63" i="2" s="1"/>
  <c r="CE63" i="2" s="1"/>
  <c r="CF63" i="2" s="1"/>
  <c r="BY61" i="2"/>
  <c r="BY34" i="2"/>
  <c r="BZ34" i="2" s="1"/>
  <c r="CC43" i="2"/>
  <c r="CD43" i="2" s="1"/>
  <c r="CE43" i="2" s="1"/>
  <c r="CF43" i="2" s="1"/>
  <c r="CA28" i="2"/>
  <c r="CB28" i="2" s="1"/>
  <c r="CA61" i="2"/>
  <c r="CB61" i="2" s="1"/>
  <c r="BY51" i="2"/>
  <c r="CC51" i="2" s="1"/>
  <c r="CD51" i="2" s="1"/>
  <c r="CC39" i="2"/>
  <c r="CD39" i="2" s="1"/>
  <c r="CE39" i="2" s="1"/>
  <c r="CF39" i="2" s="1"/>
  <c r="CC27" i="2"/>
  <c r="CD27" i="2" s="1"/>
  <c r="CE27" i="2" s="1"/>
  <c r="CF27" i="2" s="1"/>
  <c r="BY47" i="2"/>
  <c r="BY32" i="2"/>
  <c r="CC32" i="2" s="1"/>
  <c r="CD32" i="2" s="1"/>
  <c r="CA32" i="2"/>
  <c r="CB32" i="2" s="1"/>
  <c r="CA40" i="2"/>
  <c r="CB40" i="2" s="1"/>
  <c r="CA47" i="2"/>
  <c r="CB47" i="2" s="1"/>
  <c r="BY72" i="2"/>
  <c r="CC72" i="2" s="1"/>
  <c r="CD72" i="2" s="1"/>
  <c r="CC46" i="2"/>
  <c r="CD46" i="2" s="1"/>
  <c r="CE46" i="2" s="1"/>
  <c r="CF46" i="2" s="1"/>
  <c r="BY68" i="2"/>
  <c r="BZ68" i="2" s="1"/>
  <c r="CA72" i="2"/>
  <c r="CB72" i="2" s="1"/>
  <c r="BY28" i="2"/>
  <c r="BZ36" i="2"/>
  <c r="CC57" i="2"/>
  <c r="CD57" i="2" s="1"/>
  <c r="BZ57" i="2"/>
  <c r="BY40" i="2"/>
  <c r="CA35" i="2"/>
  <c r="CB35" i="2" s="1"/>
  <c r="AR35" i="2"/>
  <c r="CC37" i="2"/>
  <c r="CD37" i="2" s="1"/>
  <c r="BZ37" i="2"/>
  <c r="AR66" i="2"/>
  <c r="CA66" i="2"/>
  <c r="CB66" i="2" s="1"/>
  <c r="CC58" i="2"/>
  <c r="CD58" i="2" s="1"/>
  <c r="BZ58" i="2"/>
  <c r="BZ73" i="2"/>
  <c r="CC73" i="2"/>
  <c r="CD73" i="2" s="1"/>
  <c r="CC24" i="2"/>
  <c r="CD24" i="2" s="1"/>
  <c r="BZ24" i="2"/>
  <c r="BY66" i="2"/>
  <c r="CC61" i="2"/>
  <c r="CD61" i="2" s="1"/>
  <c r="BZ61" i="2"/>
  <c r="CE61" i="2" s="1"/>
  <c r="CF61" i="2" s="1"/>
  <c r="BL41" i="2"/>
  <c r="BM41" i="2" s="1"/>
  <c r="BN41" i="2" s="1"/>
  <c r="BQ41" i="2"/>
  <c r="BR41" i="2" s="1"/>
  <c r="BS41" i="2" s="1"/>
  <c r="CA42" i="2"/>
  <c r="CB42" i="2" s="1"/>
  <c r="BZ28" i="2"/>
  <c r="AR49" i="2"/>
  <c r="CA49" i="2"/>
  <c r="CB49" i="2" s="1"/>
  <c r="BY54" i="2"/>
  <c r="CE55" i="2"/>
  <c r="CF55" i="2" s="1"/>
  <c r="BZ62" i="2"/>
  <c r="BZ53" i="2"/>
  <c r="BZ49" i="2"/>
  <c r="BQ45" i="2"/>
  <c r="BL45" i="2"/>
  <c r="BM45" i="2" s="1"/>
  <c r="BN45" i="2" s="1"/>
  <c r="BZ70" i="2"/>
  <c r="CC70" i="2"/>
  <c r="CD70" i="2" s="1"/>
  <c r="CC25" i="2"/>
  <c r="CD25" i="2" s="1"/>
  <c r="BZ25" i="2"/>
  <c r="CE25" i="2" s="1"/>
  <c r="CF25" i="2" s="1"/>
  <c r="BZ45" i="2"/>
  <c r="CC45" i="2"/>
  <c r="CD45" i="2" s="1"/>
  <c r="BZ33" i="2"/>
  <c r="CC33" i="2"/>
  <c r="CD33" i="2" s="1"/>
  <c r="CC38" i="2"/>
  <c r="CD38" i="2" s="1"/>
  <c r="CE38" i="2" s="1"/>
  <c r="CF38" i="2" s="1"/>
  <c r="BY42" i="2"/>
  <c r="CC31" i="2"/>
  <c r="CD31" i="2" s="1"/>
  <c r="BZ31" i="2"/>
  <c r="BQ25" i="2"/>
  <c r="BL25" i="2"/>
  <c r="BM25" i="2" s="1"/>
  <c r="BN25" i="2" s="1"/>
  <c r="CC52" i="2"/>
  <c r="CD52" i="2" s="1"/>
  <c r="BZ52" i="2"/>
  <c r="CE52" i="2" s="1"/>
  <c r="CF52" i="2" s="1"/>
  <c r="CC71" i="2"/>
  <c r="CD71" i="2" s="1"/>
  <c r="BZ71" i="2"/>
  <c r="CE71" i="2" s="1"/>
  <c r="CF71" i="2" s="1"/>
  <c r="BZ29" i="2"/>
  <c r="CC29" i="2"/>
  <c r="CD29" i="2" s="1"/>
  <c r="BY35" i="2"/>
  <c r="CA30" i="2"/>
  <c r="CB30" i="2" s="1"/>
  <c r="CA36" i="2"/>
  <c r="CB36" i="2" s="1"/>
  <c r="AR36" i="2"/>
  <c r="AR62" i="2"/>
  <c r="CA62" i="2"/>
  <c r="CB62" i="2" s="1"/>
  <c r="CA53" i="2"/>
  <c r="CB53" i="2" s="1"/>
  <c r="AR53" i="2"/>
  <c r="BY74" i="2"/>
  <c r="CA60" i="2"/>
  <c r="CB60" i="2" s="1"/>
  <c r="CA68" i="2"/>
  <c r="CB68" i="2" s="1"/>
  <c r="BY30" i="2"/>
  <c r="BZ50" i="2"/>
  <c r="CC50" i="2"/>
  <c r="CD50" i="2" s="1"/>
  <c r="CC44" i="2"/>
  <c r="CD44" i="2" s="1"/>
  <c r="BZ44" i="2"/>
  <c r="BZ59" i="2"/>
  <c r="CE26" i="2"/>
  <c r="CF26" i="2" s="1"/>
  <c r="CC47" i="2"/>
  <c r="CD47" i="2" s="1"/>
  <c r="BZ47" i="2"/>
  <c r="CE47" i="2" s="1"/>
  <c r="CF47" i="2" s="1"/>
  <c r="BY60" i="2"/>
  <c r="CA74" i="2"/>
  <c r="CB74" i="2" s="1"/>
  <c r="CC48" i="2"/>
  <c r="CD48" i="2" s="1"/>
  <c r="BZ48" i="2"/>
  <c r="CC64" i="2"/>
  <c r="CD64" i="2" s="1"/>
  <c r="BZ64" i="2"/>
  <c r="CC69" i="2"/>
  <c r="CD69" i="2" s="1"/>
  <c r="BZ69" i="2"/>
  <c r="CA59" i="2"/>
  <c r="CB59" i="2" s="1"/>
  <c r="AR59" i="2"/>
  <c r="CA54" i="2"/>
  <c r="CB54" i="2" s="1"/>
  <c r="AJ23" i="2"/>
  <c r="U14" i="2"/>
  <c r="Q11" i="2" s="1"/>
  <c r="CE44" i="2" l="1"/>
  <c r="CF44" i="2" s="1"/>
  <c r="BZ51" i="2"/>
  <c r="BZ32" i="2"/>
  <c r="CE32" i="2" s="1"/>
  <c r="CF32" i="2" s="1"/>
  <c r="CC34" i="2"/>
  <c r="CD34" i="2" s="1"/>
  <c r="CE34" i="2" s="1"/>
  <c r="CF34" i="2" s="1"/>
  <c r="BZ72" i="2"/>
  <c r="CC28" i="2"/>
  <c r="CD28" i="2" s="1"/>
  <c r="CE57" i="2"/>
  <c r="CF57" i="2" s="1"/>
  <c r="CE45" i="2"/>
  <c r="CF45" i="2" s="1"/>
  <c r="CE37" i="2"/>
  <c r="CF37" i="2" s="1"/>
  <c r="CE64" i="2"/>
  <c r="CF64" i="2" s="1"/>
  <c r="CE48" i="2"/>
  <c r="CF48" i="2" s="1"/>
  <c r="CE24" i="2"/>
  <c r="CF24" i="2" s="1"/>
  <c r="CC53" i="2"/>
  <c r="CD53" i="2" s="1"/>
  <c r="CE28" i="2"/>
  <c r="CF28" i="2" s="1"/>
  <c r="CC68" i="2"/>
  <c r="CD68" i="2" s="1"/>
  <c r="CE68" i="2" s="1"/>
  <c r="CF68" i="2" s="1"/>
  <c r="CE69" i="2"/>
  <c r="CF69" i="2" s="1"/>
  <c r="CE51" i="2"/>
  <c r="CF51" i="2" s="1"/>
  <c r="CE58" i="2"/>
  <c r="CF58" i="2" s="1"/>
  <c r="BU41" i="2"/>
  <c r="CC62" i="2"/>
  <c r="CD62" i="2" s="1"/>
  <c r="CE62" i="2" s="1"/>
  <c r="CF62" i="2" s="1"/>
  <c r="BL51" i="2"/>
  <c r="BM51" i="2" s="1"/>
  <c r="BN51" i="2" s="1"/>
  <c r="BQ51" i="2"/>
  <c r="BQ53" i="2"/>
  <c r="BL53" i="2"/>
  <c r="BM53" i="2" s="1"/>
  <c r="BN53" i="2" s="1"/>
  <c r="BQ50" i="2"/>
  <c r="BL50" i="2"/>
  <c r="BM50" i="2" s="1"/>
  <c r="BN50" i="2" s="1"/>
  <c r="BQ42" i="2"/>
  <c r="BL42" i="2"/>
  <c r="BM42" i="2" s="1"/>
  <c r="BN42" i="2" s="1"/>
  <c r="BQ66" i="2"/>
  <c r="BL66" i="2"/>
  <c r="BM66" i="2" s="1"/>
  <c r="BN66" i="2" s="1"/>
  <c r="CE73" i="2"/>
  <c r="CF73" i="2" s="1"/>
  <c r="BQ69" i="2"/>
  <c r="BL69" i="2"/>
  <c r="BM69" i="2" s="1"/>
  <c r="BN69" i="2" s="1"/>
  <c r="BQ46" i="2"/>
  <c r="BL46" i="2"/>
  <c r="BM46" i="2" s="1"/>
  <c r="BN46" i="2" s="1"/>
  <c r="BL24" i="2"/>
  <c r="BM24" i="2" s="1"/>
  <c r="BN24" i="2" s="1"/>
  <c r="BQ24" i="2"/>
  <c r="BQ29" i="2"/>
  <c r="BL29" i="2"/>
  <c r="BM29" i="2" s="1"/>
  <c r="BN29" i="2" s="1"/>
  <c r="BL68" i="2"/>
  <c r="BM68" i="2" s="1"/>
  <c r="BN68" i="2" s="1"/>
  <c r="BQ68" i="2"/>
  <c r="BQ55" i="2"/>
  <c r="BL55" i="2"/>
  <c r="BM55" i="2" s="1"/>
  <c r="BN55" i="2" s="1"/>
  <c r="BL44" i="2"/>
  <c r="BM44" i="2" s="1"/>
  <c r="BN44" i="2" s="1"/>
  <c r="BQ44" i="2"/>
  <c r="BQ62" i="2"/>
  <c r="BL62" i="2"/>
  <c r="BM62" i="2" s="1"/>
  <c r="BN62" i="2" s="1"/>
  <c r="BQ32" i="2"/>
  <c r="BL32" i="2"/>
  <c r="BM32" i="2" s="1"/>
  <c r="BN32" i="2" s="1"/>
  <c r="BQ49" i="2"/>
  <c r="BL49" i="2"/>
  <c r="BM49" i="2" s="1"/>
  <c r="BN49" i="2" s="1"/>
  <c r="BL64" i="2"/>
  <c r="BM64" i="2" s="1"/>
  <c r="BN64" i="2" s="1"/>
  <c r="BQ64" i="2"/>
  <c r="BQ60" i="2"/>
  <c r="BL60" i="2"/>
  <c r="BM60" i="2" s="1"/>
  <c r="BN60" i="2" s="1"/>
  <c r="CE53" i="2"/>
  <c r="CF53" i="2" s="1"/>
  <c r="BL54" i="2"/>
  <c r="BM54" i="2" s="1"/>
  <c r="BN54" i="2" s="1"/>
  <c r="BQ54" i="2"/>
  <c r="BZ40" i="2"/>
  <c r="CC40" i="2"/>
  <c r="CD40" i="2" s="1"/>
  <c r="BL74" i="2"/>
  <c r="BM74" i="2" s="1"/>
  <c r="BN74" i="2" s="1"/>
  <c r="BQ74" i="2"/>
  <c r="BQ39" i="2"/>
  <c r="BL39" i="2"/>
  <c r="BM39" i="2" s="1"/>
  <c r="BN39" i="2" s="1"/>
  <c r="BZ60" i="2"/>
  <c r="CC60" i="2"/>
  <c r="CD60" i="2" s="1"/>
  <c r="BL48" i="2"/>
  <c r="BM48" i="2" s="1"/>
  <c r="BN48" i="2" s="1"/>
  <c r="BQ48" i="2"/>
  <c r="CE31" i="2"/>
  <c r="CF31" i="2" s="1"/>
  <c r="CE70" i="2"/>
  <c r="CF70" i="2" s="1"/>
  <c r="CC36" i="2"/>
  <c r="CD36" i="2" s="1"/>
  <c r="CE36" i="2" s="1"/>
  <c r="CF36" i="2" s="1"/>
  <c r="BL31" i="2"/>
  <c r="BM31" i="2" s="1"/>
  <c r="BN31" i="2" s="1"/>
  <c r="BQ31" i="2"/>
  <c r="BZ42" i="2"/>
  <c r="CC42" i="2"/>
  <c r="CD42" i="2" s="1"/>
  <c r="BL33" i="2"/>
  <c r="BM33" i="2" s="1"/>
  <c r="BN33" i="2" s="1"/>
  <c r="BQ33" i="2"/>
  <c r="BL27" i="2"/>
  <c r="BM27" i="2" s="1"/>
  <c r="BN27" i="2" s="1"/>
  <c r="BQ27" i="2"/>
  <c r="BL63" i="2"/>
  <c r="BM63" i="2" s="1"/>
  <c r="BN63" i="2" s="1"/>
  <c r="BQ63" i="2"/>
  <c r="CE29" i="2"/>
  <c r="CF29" i="2" s="1"/>
  <c r="CE33" i="2"/>
  <c r="CF33" i="2" s="1"/>
  <c r="BQ59" i="2"/>
  <c r="BL59" i="2"/>
  <c r="BM59" i="2" s="1"/>
  <c r="BN59" i="2" s="1"/>
  <c r="BL73" i="2"/>
  <c r="BM73" i="2" s="1"/>
  <c r="BN73" i="2" s="1"/>
  <c r="BQ73" i="2"/>
  <c r="BQ26" i="2"/>
  <c r="BL26" i="2"/>
  <c r="BM26" i="2" s="1"/>
  <c r="BN26" i="2" s="1"/>
  <c r="BL38" i="2"/>
  <c r="BM38" i="2" s="1"/>
  <c r="BN38" i="2" s="1"/>
  <c r="BQ38" i="2"/>
  <c r="BL67" i="2"/>
  <c r="BM67" i="2" s="1"/>
  <c r="BN67" i="2" s="1"/>
  <c r="BQ67" i="2"/>
  <c r="BQ56" i="2"/>
  <c r="BL56" i="2"/>
  <c r="BM56" i="2" s="1"/>
  <c r="BN56" i="2" s="1"/>
  <c r="BQ40" i="2"/>
  <c r="BL40" i="2"/>
  <c r="BM40" i="2" s="1"/>
  <c r="BN40" i="2" s="1"/>
  <c r="BZ30" i="2"/>
  <c r="CC30" i="2"/>
  <c r="CD30" i="2" s="1"/>
  <c r="BL47" i="2"/>
  <c r="BM47" i="2" s="1"/>
  <c r="BN47" i="2" s="1"/>
  <c r="BQ47" i="2"/>
  <c r="BL34" i="2"/>
  <c r="BM34" i="2" s="1"/>
  <c r="BN34" i="2" s="1"/>
  <c r="BQ34" i="2"/>
  <c r="BR45" i="2"/>
  <c r="BS45" i="2" s="1"/>
  <c r="BU45" i="2"/>
  <c r="CC66" i="2"/>
  <c r="CD66" i="2" s="1"/>
  <c r="BZ66" i="2"/>
  <c r="CE66" i="2" s="1"/>
  <c r="CF66" i="2" s="1"/>
  <c r="BQ28" i="2"/>
  <c r="BL28" i="2"/>
  <c r="BM28" i="2" s="1"/>
  <c r="BN28" i="2" s="1"/>
  <c r="BQ43" i="2"/>
  <c r="BL43" i="2"/>
  <c r="BM43" i="2" s="1"/>
  <c r="BN43" i="2" s="1"/>
  <c r="BQ61" i="2"/>
  <c r="BL61" i="2"/>
  <c r="BM61" i="2" s="1"/>
  <c r="BN61" i="2" s="1"/>
  <c r="BL71" i="2"/>
  <c r="BM71" i="2" s="1"/>
  <c r="BN71" i="2" s="1"/>
  <c r="BQ71" i="2"/>
  <c r="CE50" i="2"/>
  <c r="CF50" i="2" s="1"/>
  <c r="CE72" i="2"/>
  <c r="CF72" i="2" s="1"/>
  <c r="BQ35" i="2"/>
  <c r="BL35" i="2"/>
  <c r="BM35" i="2" s="1"/>
  <c r="BN35" i="2" s="1"/>
  <c r="BL37" i="2"/>
  <c r="BM37" i="2" s="1"/>
  <c r="BN37" i="2" s="1"/>
  <c r="BQ37" i="2"/>
  <c r="BR25" i="2"/>
  <c r="BS25" i="2" s="1"/>
  <c r="BU25" i="2"/>
  <c r="CC59" i="2"/>
  <c r="CD59" i="2" s="1"/>
  <c r="CE59" i="2" s="1"/>
  <c r="CF59" i="2" s="1"/>
  <c r="BL70" i="2"/>
  <c r="BM70" i="2" s="1"/>
  <c r="BN70" i="2" s="1"/>
  <c r="BQ70" i="2"/>
  <c r="BL57" i="2"/>
  <c r="BM57" i="2" s="1"/>
  <c r="BN57" i="2" s="1"/>
  <c r="BQ57" i="2"/>
  <c r="BQ52" i="2"/>
  <c r="BL52" i="2"/>
  <c r="BM52" i="2" s="1"/>
  <c r="BN52" i="2" s="1"/>
  <c r="BQ72" i="2"/>
  <c r="BL72" i="2"/>
  <c r="BM72" i="2" s="1"/>
  <c r="BN72" i="2" s="1"/>
  <c r="BQ65" i="2"/>
  <c r="BL65" i="2"/>
  <c r="BM65" i="2" s="1"/>
  <c r="BN65" i="2" s="1"/>
  <c r="BZ35" i="2"/>
  <c r="CC35" i="2"/>
  <c r="CD35" i="2" s="1"/>
  <c r="BQ36" i="2"/>
  <c r="BL36" i="2"/>
  <c r="BM36" i="2" s="1"/>
  <c r="BN36" i="2" s="1"/>
  <c r="CC54" i="2"/>
  <c r="CD54" i="2" s="1"/>
  <c r="BZ54" i="2"/>
  <c r="BL30" i="2"/>
  <c r="BM30" i="2" s="1"/>
  <c r="BN30" i="2" s="1"/>
  <c r="BQ30" i="2"/>
  <c r="CC74" i="2"/>
  <c r="CD74" i="2" s="1"/>
  <c r="BZ74" i="2"/>
  <c r="CE74" i="2" s="1"/>
  <c r="CF74" i="2" s="1"/>
  <c r="BL58" i="2"/>
  <c r="BM58" i="2" s="1"/>
  <c r="BN58" i="2" s="1"/>
  <c r="BQ58" i="2"/>
  <c r="CC49" i="2"/>
  <c r="CD49" i="2" s="1"/>
  <c r="CE49" i="2" s="1"/>
  <c r="CF49" i="2" s="1"/>
  <c r="R53" i="2" a="1"/>
  <c r="R53" i="2" s="1"/>
  <c r="R81" i="2"/>
  <c r="CE54" i="2" l="1"/>
  <c r="CF54" i="2" s="1"/>
  <c r="CE40" i="2"/>
  <c r="CF40" i="2" s="1"/>
  <c r="BR24" i="2"/>
  <c r="BS24" i="2" s="1"/>
  <c r="BU24" i="2"/>
  <c r="BR69" i="2"/>
  <c r="BS69" i="2" s="1"/>
  <c r="BU69" i="2"/>
  <c r="BR26" i="2"/>
  <c r="BS26" i="2" s="1"/>
  <c r="BU26" i="2"/>
  <c r="BR66" i="2"/>
  <c r="BS66" i="2" s="1"/>
  <c r="BU66" i="2"/>
  <c r="BR42" i="2"/>
  <c r="BS42" i="2" s="1"/>
  <c r="BU42" i="2"/>
  <c r="BR54" i="2"/>
  <c r="BS54" i="2" s="1"/>
  <c r="BU54" i="2"/>
  <c r="BR56" i="2"/>
  <c r="BS56" i="2" s="1"/>
  <c r="BU56" i="2"/>
  <c r="BR31" i="2"/>
  <c r="BS31" i="2" s="1"/>
  <c r="BU31" i="2"/>
  <c r="BR70" i="2"/>
  <c r="BS70" i="2" s="1"/>
  <c r="BU70" i="2"/>
  <c r="CE60" i="2"/>
  <c r="CF60" i="2" s="1"/>
  <c r="BR62" i="2"/>
  <c r="BS62" i="2" s="1"/>
  <c r="BU62" i="2"/>
  <c r="BR35" i="2"/>
  <c r="BS35" i="2" s="1"/>
  <c r="BU35" i="2"/>
  <c r="BR67" i="2"/>
  <c r="BS67" i="2" s="1"/>
  <c r="BU67" i="2"/>
  <c r="BR64" i="2"/>
  <c r="BS64" i="2" s="1"/>
  <c r="BU64" i="2"/>
  <c r="BR52" i="2"/>
  <c r="BS52" i="2" s="1"/>
  <c r="BU52" i="2"/>
  <c r="BR57" i="2"/>
  <c r="BS57" i="2" s="1"/>
  <c r="BU57" i="2"/>
  <c r="BR58" i="2"/>
  <c r="BS58" i="2" s="1"/>
  <c r="BU58" i="2"/>
  <c r="BR48" i="2"/>
  <c r="BS48" i="2" s="1"/>
  <c r="BU48" i="2"/>
  <c r="BR59" i="2"/>
  <c r="BS59" i="2" s="1"/>
  <c r="BU59" i="2"/>
  <c r="BR44" i="2"/>
  <c r="BS44" i="2" s="1"/>
  <c r="BU44" i="2"/>
  <c r="BR50" i="2"/>
  <c r="BS50" i="2" s="1"/>
  <c r="BU50" i="2"/>
  <c r="BR72" i="2"/>
  <c r="BS72" i="2" s="1"/>
  <c r="BU72" i="2"/>
  <c r="BR46" i="2"/>
  <c r="BS46" i="2" s="1"/>
  <c r="BU46" i="2"/>
  <c r="BR38" i="2"/>
  <c r="BS38" i="2" s="1"/>
  <c r="BU38" i="2"/>
  <c r="BR49" i="2"/>
  <c r="BS49" i="2" s="1"/>
  <c r="BU49" i="2"/>
  <c r="BR34" i="2"/>
  <c r="BS34" i="2" s="1"/>
  <c r="BU34" i="2"/>
  <c r="BR39" i="2"/>
  <c r="BS39" i="2" s="1"/>
  <c r="BU39" i="2"/>
  <c r="BR73" i="2"/>
  <c r="BS73" i="2" s="1"/>
  <c r="BU73" i="2"/>
  <c r="BR37" i="2"/>
  <c r="BS37" i="2" s="1"/>
  <c r="BU37" i="2"/>
  <c r="BR74" i="2"/>
  <c r="BS74" i="2" s="1"/>
  <c r="BU74" i="2"/>
  <c r="BR53" i="2"/>
  <c r="BS53" i="2" s="1"/>
  <c r="BU53" i="2"/>
  <c r="BR36" i="2"/>
  <c r="BS36" i="2" s="1"/>
  <c r="BU36" i="2"/>
  <c r="BR27" i="2"/>
  <c r="BS27" i="2" s="1"/>
  <c r="BU27" i="2"/>
  <c r="CE35" i="2"/>
  <c r="CF35" i="2" s="1"/>
  <c r="BR29" i="2"/>
  <c r="BS29" i="2" s="1"/>
  <c r="BU29" i="2"/>
  <c r="BR71" i="2"/>
  <c r="BS71" i="2" s="1"/>
  <c r="BU71" i="2"/>
  <c r="BR40" i="2"/>
  <c r="BS40" i="2" s="1"/>
  <c r="BU40" i="2"/>
  <c r="BR65" i="2"/>
  <c r="BS65" i="2" s="1"/>
  <c r="BU65" i="2"/>
  <c r="CE42" i="2"/>
  <c r="CF42" i="2" s="1"/>
  <c r="BR61" i="2"/>
  <c r="BS61" i="2" s="1"/>
  <c r="BU61" i="2"/>
  <c r="BR43" i="2"/>
  <c r="BS43" i="2" s="1"/>
  <c r="BU43" i="2"/>
  <c r="BR32" i="2"/>
  <c r="BS32" i="2" s="1"/>
  <c r="BU32" i="2"/>
  <c r="BR47" i="2"/>
  <c r="BS47" i="2" s="1"/>
  <c r="BU47" i="2"/>
  <c r="BR63" i="2"/>
  <c r="BS63" i="2" s="1"/>
  <c r="BU63" i="2"/>
  <c r="BR55" i="2"/>
  <c r="BS55" i="2" s="1"/>
  <c r="BU55" i="2"/>
  <c r="BR51" i="2"/>
  <c r="BS51" i="2" s="1"/>
  <c r="BU51" i="2"/>
  <c r="CE30" i="2"/>
  <c r="CF30" i="2" s="1"/>
  <c r="BR33" i="2"/>
  <c r="BS33" i="2" s="1"/>
  <c r="BU33" i="2"/>
  <c r="BR60" i="2"/>
  <c r="BS60" i="2" s="1"/>
  <c r="BU60" i="2"/>
  <c r="BR28" i="2"/>
  <c r="BS28" i="2" s="1"/>
  <c r="BU28" i="2"/>
  <c r="BR30" i="2"/>
  <c r="BS30" i="2" s="1"/>
  <c r="BU30" i="2"/>
  <c r="BR68" i="2"/>
  <c r="BS68" i="2" s="1"/>
  <c r="BU68" i="2"/>
  <c r="P30" i="2"/>
  <c r="R29" i="2"/>
  <c r="R19" i="2" s="1"/>
  <c r="R28" i="2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CZ11" i="2"/>
  <c r="BX23" i="2"/>
  <c r="AQ23" i="2" l="1"/>
  <c r="AP23" i="2"/>
  <c r="AO23" i="2"/>
  <c r="AN23" i="2"/>
  <c r="AM23" i="2"/>
  <c r="AL23" i="2" a="1"/>
  <c r="AL23" i="2" s="1"/>
  <c r="BG23" i="2" s="1"/>
  <c r="BW23" i="2" s="1"/>
  <c r="BK23" i="2" l="1"/>
  <c r="AK23" i="2"/>
  <c r="BA23" i="2"/>
  <c r="BB23" i="2"/>
  <c r="BC23" i="2"/>
  <c r="BD23" i="2"/>
  <c r="BF23" i="2"/>
  <c r="AG16" i="2"/>
  <c r="AG15" i="2"/>
  <c r="AG14" i="2"/>
  <c r="CA23" i="2" l="1"/>
  <c r="AR23" i="2"/>
  <c r="BY23" i="2"/>
  <c r="CC23" i="2" s="1"/>
  <c r="R51" i="2"/>
  <c r="BQ23" i="2" l="1"/>
  <c r="R48" i="2"/>
  <c r="R49" i="2"/>
  <c r="M101" i="2" l="1"/>
  <c r="N100" i="2"/>
  <c r="N99" i="2"/>
  <c r="R83" i="2" l="1"/>
  <c r="H74" i="2"/>
  <c r="R50" i="2" l="1"/>
  <c r="R68" i="2" s="1"/>
  <c r="R18" i="2"/>
  <c r="R17" i="2"/>
  <c r="AL14" i="2" l="1"/>
  <c r="AL15" i="2"/>
  <c r="H93" i="2" l="1"/>
  <c r="L100" i="2"/>
  <c r="L101" i="2"/>
  <c r="M100" i="2"/>
  <c r="M99" i="2"/>
  <c r="L99" i="2"/>
  <c r="H92" i="2"/>
  <c r="O99" i="2" l="1"/>
  <c r="P99" i="2"/>
  <c r="P101" i="2"/>
  <c r="Q101" i="2" s="1"/>
  <c r="P100" i="2"/>
  <c r="Q99" i="2"/>
  <c r="O100" i="2"/>
  <c r="O101" i="2"/>
  <c r="H91" i="2"/>
  <c r="H89" i="2"/>
  <c r="H86" i="2"/>
  <c r="H85" i="2"/>
  <c r="H87" i="2"/>
  <c r="H88" i="2"/>
  <c r="H84" i="2"/>
  <c r="H83" i="2"/>
  <c r="H82" i="2"/>
  <c r="H81" i="2"/>
  <c r="H75" i="2"/>
  <c r="H66" i="2"/>
  <c r="R24" i="2"/>
  <c r="I24" i="2"/>
  <c r="I23" i="2"/>
  <c r="R23" i="2"/>
  <c r="R54" i="2"/>
  <c r="R82" i="2" s="1"/>
  <c r="M53" i="2"/>
  <c r="L53" i="2"/>
  <c r="K53" i="2"/>
  <c r="J53" i="2"/>
  <c r="G11" i="2"/>
  <c r="H55" i="2" a="1"/>
  <c r="I55" i="2" a="1"/>
  <c r="J55" i="2" a="1"/>
  <c r="K55" i="2" a="1"/>
  <c r="L55" i="2" a="1"/>
  <c r="M55" i="2" a="1"/>
  <c r="N55" i="2" a="1"/>
  <c r="R55" i="2" a="1"/>
  <c r="R55" i="2" l="1"/>
  <c r="N55" i="2"/>
  <c r="M55" i="2"/>
  <c r="L55" i="2"/>
  <c r="K55" i="2"/>
  <c r="J55" i="2"/>
  <c r="I55" i="2"/>
  <c r="H55" i="2"/>
  <c r="Q100" i="2"/>
  <c r="R91" i="2"/>
  <c r="BJ23" i="2"/>
  <c r="BR23" i="2" s="1"/>
  <c r="BS23" i="2" s="1"/>
  <c r="BI23" i="2"/>
  <c r="R52" i="2"/>
  <c r="R65" i="2"/>
  <c r="R92" i="2"/>
  <c r="R93" i="2" s="1"/>
  <c r="R86" i="2"/>
  <c r="R84" i="2"/>
  <c r="I31" i="2"/>
  <c r="H95" i="2"/>
  <c r="H94" i="2"/>
  <c r="H68" i="2"/>
  <c r="R74" i="2" l="1"/>
  <c r="R94" i="2"/>
  <c r="R69" i="2"/>
  <c r="R70" i="2" s="1"/>
  <c r="R88" i="2"/>
  <c r="H64" i="2"/>
  <c r="I21" i="2"/>
  <c r="H65" i="2"/>
  <c r="R36" i="2"/>
  <c r="R35" i="2"/>
  <c r="AL16" i="2" s="1"/>
  <c r="R37" i="2"/>
  <c r="R30" i="2"/>
  <c r="R31" i="2" l="1"/>
  <c r="R39" i="2"/>
  <c r="CB23" i="2"/>
  <c r="R87" i="2"/>
  <c r="S87" i="2" s="1"/>
  <c r="R85" i="2"/>
  <c r="S85" i="2" s="1"/>
  <c r="BZ23" i="2"/>
  <c r="CD23" i="2"/>
  <c r="R89" i="2"/>
  <c r="S89" i="2" s="1"/>
  <c r="I27" i="2"/>
  <c r="R22" i="2"/>
  <c r="R66" i="2" s="1"/>
  <c r="R75" i="2" s="1"/>
  <c r="Q33" i="1"/>
  <c r="P33" i="1"/>
  <c r="O33" i="1"/>
  <c r="N33" i="1"/>
  <c r="M33" i="1"/>
  <c r="L33" i="1"/>
  <c r="K33" i="1"/>
  <c r="J33" i="1"/>
  <c r="I33" i="1"/>
  <c r="H33" i="1"/>
  <c r="G15" i="1"/>
  <c r="G16" i="1" s="1"/>
  <c r="G17" i="1" s="1"/>
  <c r="G19" i="1" s="1"/>
  <c r="G20" i="1" s="1"/>
  <c r="G21" i="1" s="1"/>
  <c r="G22" i="1" s="1"/>
  <c r="G23" i="1" s="1"/>
  <c r="G24" i="1" s="1"/>
  <c r="I19" i="2"/>
  <c r="I18" i="2"/>
  <c r="I17" i="2"/>
  <c r="R78" i="2" l="1"/>
  <c r="CE23" i="2"/>
  <c r="CF23" i="2" s="1"/>
  <c r="R21" i="2"/>
  <c r="R64" i="2" s="1"/>
  <c r="BE23" i="2"/>
  <c r="BH23" i="2" s="1"/>
  <c r="R95" i="2"/>
  <c r="S95" i="2" s="1"/>
  <c r="S75" i="2"/>
  <c r="H71" i="2"/>
  <c r="I39" i="2"/>
  <c r="I38" i="2"/>
  <c r="I37" i="2"/>
  <c r="I36" i="2"/>
  <c r="I35" i="2"/>
  <c r="I34" i="2"/>
  <c r="I32" i="2"/>
  <c r="I30" i="2"/>
  <c r="I29" i="2"/>
  <c r="I28" i="2"/>
  <c r="I22" i="2"/>
  <c r="I20" i="2"/>
  <c r="I16" i="2"/>
  <c r="Z11" i="2"/>
  <c r="BM23" i="2" l="1"/>
  <c r="BN23" i="2" s="1"/>
  <c r="BU23" i="2"/>
  <c r="R77" i="2"/>
  <c r="R71" i="2"/>
  <c r="S71" i="2" s="1"/>
  <c r="R79" i="2"/>
  <c r="S79" i="2" s="1"/>
  <c r="H9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G11" authorId="0" shapeId="0" xr:uid="{B437427E-B849-4E23-ACFD-BE38C16567DC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0" shapeId="0" xr:uid="{1DC04EFE-5F1D-4170-B91B-7ACBC8FF1B4A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CZ11" authorId="0" shapeId="0" xr:uid="{3D504DE2-47C3-431B-81F5-64E5C5CED556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Z11" authorId="0" shapeId="0" xr:uid="{96F483E2-48EB-494A-95AE-C04A1832A463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S16" authorId="0" shapeId="0" xr:uid="{672ECFFB-D0A4-4042-B330-BC3254D42E25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BL21" authorId="1" shapeId="0" xr:uid="{CECCA6CB-7C60-4723-8D4E-7C9B8E1A06DE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tăng lên bằng cách chia cho b = 1 - 0,005*(L/d - 16), lấy không nhỏ hơn 0,75. Lấy L = hmax (khoảng cách giữa 2 bu lông ngoài cùng dọc theo lực trượt). Đồng bộ với ô R71 của phần thuyết minh.</t>
        </r>
      </text>
    </comment>
    <comment ref="EL21" authorId="1" shapeId="0" xr:uid="{543ED981-0607-4651-9E8F-60BD4F54D252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TCVN 5575:2024, 14.2.10: khi L &gt; 16d thì số bu lông nb theo CT (189) tăng lên bằng cách chia cho b = 1 - 0,005*(L/d - 16), lấy không nhỏ hơn 0,75. Lấy L = hmax (khoảng cách giữa 2 bu lông ngoài cùng dọc theo lực trượt). Đồng bộ với ô R71 của phần thuyết minh.</t>
        </r>
      </text>
    </comment>
    <comment ref="R47" authorId="0" shapeId="0" xr:uid="{195DC141-9BE8-44B8-9478-054820047599}">
      <text>
        <r>
          <rPr>
            <b/>
            <sz val="9"/>
            <color indexed="81"/>
            <rFont val="Tahoma"/>
            <family val="2"/>
          </rPr>
          <t>Phạm vi bố trí trong HCN bên trái nét đứt
Hình minh họa: 8 con</t>
        </r>
      </text>
    </comment>
    <comment ref="R48" authorId="0" shapeId="0" xr:uid="{96A22DFC-CAC0-4955-86C5-2C0D37ECA755}">
      <text>
        <r>
          <rPr>
            <b/>
            <sz val="9"/>
            <color indexed="81"/>
            <rFont val="Tahoma"/>
            <family val="2"/>
          </rPr>
          <t>Bu lông bố trí cân bằng 2 bên
Thông thường là 0 hoặc 2 con hoặc sườn tăng cứng
Hình minh họa: 2 con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49" authorId="0" shapeId="0" xr:uid="{6DADD322-8C7A-43CD-AC13-2297526B31F4}">
      <text>
        <r>
          <rPr>
            <b/>
            <sz val="9"/>
            <color indexed="81"/>
            <rFont val="Tahoma"/>
            <family val="2"/>
          </rPr>
          <t>Phạm vi bố trí trong HCN bên phải nét đứt
Hình minh họa: 6 con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61" authorId="0" shapeId="0" xr:uid="{C20B1962-1D44-449F-BF0B-7B1E5C3C6B49}">
      <text>
        <r>
          <rPr>
            <sz val="9"/>
            <color indexed="81"/>
            <rFont val="Tahoma"/>
            <family val="2"/>
          </rPr>
          <t xml:space="preserve">Toàn:
N &gt; 0: Lực kéo
N &lt; 0: Lực nén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<sst xmlns="http://schemas.openxmlformats.org/spreadsheetml/2006/main" count="675" uniqueCount="292">
  <si>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</si>
  <si>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</si>
  <si>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</si>
  <si>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</si>
  <si>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</si>
  <si>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</si>
  <si>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</si>
  <si>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</si>
  <si>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</si>
  <si>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</si>
  <si>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</si>
  <si>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</si>
  <si>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</si>
  <si>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</si>
  <si>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</si>
  <si>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</si>
  <si>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</si>
  <si>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</si>
  <si>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</si>
  <si>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</si>
  <si>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</si>
  <si>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kNm</t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</si>
  <si>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</si>
  <si>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</si>
  <si>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</si>
  <si>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</si>
  <si>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</si>
  <si>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r>
      <t>Bảng C.5 Cường độ chịu ép mặt tính toán f</t>
    </r>
    <r>
      <rPr>
        <b/>
        <vertAlign val="subscript"/>
        <sz val="10"/>
        <color theme="0"/>
        <rFont val="Calibri"/>
        <family val="2"/>
        <scheme val="minor"/>
      </rPr>
      <t>cb</t>
    </r>
    <r>
      <rPr>
        <b/>
        <sz val="10"/>
        <color theme="0"/>
        <rFont val="Calibri"/>
        <family val="2"/>
        <scheme val="minor"/>
      </rPr>
      <t xml:space="preserve"> của các cấu kiện được liên kết bằng bu lông</t>
    </r>
  </si>
  <si>
    <t>A</t>
  </si>
  <si>
    <t>B</t>
  </si>
  <si>
    <t>fcb (MPa)</t>
  </si>
  <si>
    <t>Bảng C.6 Diện tích tiết diện bu lông</t>
  </si>
  <si>
    <t>D</t>
  </si>
  <si>
    <t>p</t>
  </si>
  <si>
    <t>Ab</t>
  </si>
  <si>
    <t>Abn</t>
  </si>
  <si>
    <t>z</t>
  </si>
  <si>
    <r>
      <t>f</t>
    </r>
    <r>
      <rPr>
        <vertAlign val="subscript"/>
        <sz val="11"/>
        <color theme="1"/>
        <rFont val="Calibri"/>
        <family val="2"/>
        <scheme val="minor"/>
      </rPr>
      <t>vb</t>
    </r>
  </si>
  <si>
    <r>
      <t>f</t>
    </r>
    <r>
      <rPr>
        <vertAlign val="subscript"/>
        <sz val="11"/>
        <color theme="1"/>
        <rFont val="Calibri"/>
        <family val="2"/>
        <scheme val="minor"/>
      </rPr>
      <t>tb</t>
    </r>
  </si>
  <si>
    <r>
      <t>f</t>
    </r>
    <r>
      <rPr>
        <vertAlign val="subscript"/>
        <sz val="11"/>
        <color theme="1"/>
        <rFont val="Calibri"/>
        <family val="2"/>
        <scheme val="minor"/>
      </rPr>
      <t>yb</t>
    </r>
  </si>
  <si>
    <r>
      <t>f</t>
    </r>
    <r>
      <rPr>
        <vertAlign val="subscript"/>
        <sz val="11"/>
        <color theme="1"/>
        <rFont val="Calibri"/>
        <family val="2"/>
        <scheme val="minor"/>
      </rPr>
      <t>ub</t>
    </r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</si>
  <si>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
(MPa)</t>
    </r>
  </si>
  <si>
    <t>2. Thông số liên kết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</si>
  <si>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</si>
  <si>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</si>
  <si>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</si>
  <si>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</si>
  <si>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</si>
  <si>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</si>
  <si>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</si>
  <si>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</si>
  <si>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</si>
  <si>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</si>
  <si>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</si>
  <si>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</si>
  <si>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</si>
  <si>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</si>
  <si>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</si>
  <si>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</si>
  <si>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</si>
  <si>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</si>
  <si>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</si>
  <si>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</si>
  <si>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</si>
  <si>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</si>
  <si>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</si>
  <si>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</si>
  <si>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</si>
  <si>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</si>
  <si>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</si>
  <si>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</si>
  <si>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</si>
  <si>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</si>
  <si>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</si>
  <si>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</si>
  <si>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</si>
  <si>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</si>
  <si>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</si>
  <si>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1. Kiểm tra liên kết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</si>
  <si>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</si>
  <si>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</si>
  <si>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</si>
  <si>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</si>
  <si>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bu lông</t>
  </si>
  <si>
    <t>F</t>
  </si>
  <si>
    <t>C</t>
  </si>
  <si>
    <t>P</t>
  </si>
  <si>
    <t>Bảng tra khoảng cách bu lông</t>
  </si>
  <si>
    <t>EQ</t>
  </si>
  <si>
    <t>Khoảng cách, G =</t>
  </si>
  <si>
    <r>
      <t>Chiều cao đường hàn bản mã với cánh dầm, h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</si>
  <si>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Chiều cao đường hàn bản mã với bụng dầm, 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 xml:space="preserve"> =</t>
    </r>
  </si>
  <si>
    <t>Bề rộng bản đế</t>
  </si>
  <si>
    <t>W</t>
  </si>
  <si>
    <r>
      <t>h</t>
    </r>
    <r>
      <rPr>
        <vertAlign val="subscript"/>
        <sz val="10"/>
        <color theme="1"/>
        <rFont val="Calibri"/>
        <family val="2"/>
        <scheme val="minor"/>
      </rPr>
      <t>1</t>
    </r>
  </si>
  <si>
    <r>
      <t>h</t>
    </r>
    <r>
      <rPr>
        <vertAlign val="subscript"/>
        <sz val="10"/>
        <color theme="1"/>
        <rFont val="Calibri"/>
        <family val="2"/>
        <scheme val="minor"/>
      </rPr>
      <t>2</t>
    </r>
  </si>
  <si>
    <r>
      <t>h</t>
    </r>
    <r>
      <rPr>
        <vertAlign val="subscript"/>
        <sz val="10"/>
        <color theme="1"/>
        <rFont val="Calibri"/>
        <family val="2"/>
        <scheme val="minor"/>
      </rPr>
      <t>3</t>
    </r>
  </si>
  <si>
    <r>
      <t>h</t>
    </r>
    <r>
      <rPr>
        <vertAlign val="subscript"/>
        <sz val="10"/>
        <color theme="1"/>
        <rFont val="Calibri"/>
        <family val="2"/>
        <scheme val="minor"/>
      </rPr>
      <t>4</t>
    </r>
  </si>
  <si>
    <r>
      <t>h</t>
    </r>
    <r>
      <rPr>
        <vertAlign val="subscript"/>
        <sz val="10"/>
        <color theme="1"/>
        <rFont val="Calibri"/>
        <family val="2"/>
        <scheme val="minor"/>
      </rPr>
      <t>5</t>
    </r>
  </si>
  <si>
    <r>
      <t>h</t>
    </r>
    <r>
      <rPr>
        <vertAlign val="subscript"/>
        <sz val="10"/>
        <color theme="1"/>
        <rFont val="Calibri"/>
        <family val="2"/>
        <scheme val="minor"/>
      </rPr>
      <t>6</t>
    </r>
  </si>
  <si>
    <r>
      <t>h</t>
    </r>
    <r>
      <rPr>
        <vertAlign val="subscript"/>
        <sz val="10"/>
        <color theme="1"/>
        <rFont val="Calibri"/>
        <family val="2"/>
        <scheme val="minor"/>
      </rPr>
      <t>7</t>
    </r>
  </si>
  <si>
    <r>
      <t>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bn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</si>
  <si>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1.1. Kiểm tra khả năng chịu cắt của một bu lông</t>
  </si>
  <si>
    <t>1.2. Kiểm tra khả năng chịu kéo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</si>
  <si>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=</t>
    </r>
  </si>
  <si>
    <r>
      <t>Chiều cao mặt bích, 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</si>
  <si>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Chiều dày mặt bích, 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</si>
  <si>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r>
      <t>Bề rộng mặt bích, B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</t>
    </r>
  </si>
  <si>
    <t>Chiều cao tiết diện, h =</t>
  </si>
  <si>
    <t>Bề rộng bản cánh, b =</t>
  </si>
  <si>
    <r>
      <t>Chiều dày bản bụng,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</si>
  <si>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cánh, 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</si>
  <si>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</si>
  <si>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=P*G/8=</t>
    </r>
  </si>
  <si>
    <r>
      <t>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=P/2=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</si>
  <si>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</si>
  <si>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/ 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</si>
  <si>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= (</t>
    </r>
    <r>
      <rPr>
        <sz val="10"/>
        <color theme="1"/>
        <rFont val="Symbol"/>
        <family val="1"/>
        <charset val="2"/>
      </rPr>
      <t>s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+3</t>
    </r>
    <r>
      <rPr>
        <sz val="10"/>
        <color theme="1"/>
        <rFont val="Symbol"/>
        <family val="1"/>
        <charset val="2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</si>
  <si>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tđ</t>
    </r>
    <r>
      <rPr>
        <sz val="10"/>
        <color theme="1"/>
        <rFont val="Calibri"/>
        <family val="2"/>
        <scheme val="minor"/>
      </rPr>
      <t xml:space="preserve"> /(1.15.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</si>
  <si>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=  6M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</si>
  <si>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 xml:space="preserve">  = V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>mb</t>
    </r>
    <r>
      <rPr>
        <sz val="10"/>
        <color theme="1"/>
        <rFont val="Calibri"/>
        <family val="2"/>
        <scheme val="minor"/>
      </rPr>
      <t>)=</t>
    </r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</si>
  <si>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</si>
  <si>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Mặt ngoài cánh</t>
  </si>
  <si>
    <t>Mặt trong cánh</t>
  </si>
  <si>
    <t>Bụng</t>
  </si>
  <si>
    <t>b</t>
  </si>
  <si>
    <t>h</t>
  </si>
  <si>
    <t>d</t>
  </si>
  <si>
    <t>d: Cánh tay đòn từ tâm đến trục trung hòa</t>
  </si>
  <si>
    <t>Số lượng</t>
  </si>
  <si>
    <t>J</t>
  </si>
  <si>
    <r>
      <t>J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</si>
  <si>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</si>
  <si>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</si>
  <si>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Thông số đường hàn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</si>
  <si>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=[(M/W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+N/A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+(V/A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]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</si>
  <si>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/[(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]</t>
    </r>
    <r>
      <rPr>
        <sz val="10"/>
        <color theme="1"/>
        <rFont val="Calibri"/>
        <family val="1"/>
        <charset val="2"/>
        <scheme val="minor"/>
      </rPr>
      <t>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</si>
  <si>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</si>
  <si>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THIẾT KẾ LIÊN KẾT MẶT BÍCH ĐỈNH KÈO THEO TCVN 5575:2024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</si>
  <si>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</si>
  <si>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</si>
  <si>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</si>
  <si>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</si>
  <si>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</si>
  <si>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</si>
  <si>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</si>
  <si>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</si>
  <si>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1.2 Mặt bích liên kết:</t>
  </si>
  <si>
    <t>Số lượng bu lông bên trái =</t>
  </si>
  <si>
    <t>Số lượng bu lông giữa =</t>
  </si>
  <si>
    <t>Số lượng bu lông bên phải =</t>
  </si>
  <si>
    <t>Tổng số bu lông, n =</t>
  </si>
  <si>
    <t>G</t>
  </si>
  <si>
    <t>Khoảng cách
bu lông (mm)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</si>
  <si>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 V/n =</t>
    </r>
  </si>
  <si>
    <t>Bảng tra bản bích</t>
  </si>
  <si>
    <r>
      <t>H</t>
    </r>
    <r>
      <rPr>
        <vertAlign val="subscript"/>
        <sz val="11"/>
        <color theme="1"/>
        <rFont val="Calibri"/>
        <family val="2"/>
        <scheme val="minor"/>
      </rPr>
      <t>ck</t>
    </r>
  </si>
  <si>
    <t>thk</t>
  </si>
  <si>
    <t>n trái</t>
  </si>
  <si>
    <t>n giữa</t>
  </si>
  <si>
    <t>n phải</t>
  </si>
  <si>
    <t>Phần tử</t>
  </si>
  <si>
    <t>Vị trí</t>
  </si>
  <si>
    <t>Tổ hợp</t>
  </si>
  <si>
    <t>N</t>
  </si>
  <si>
    <t>V</t>
  </si>
  <si>
    <t>M</t>
  </si>
  <si>
    <t>(m)</t>
  </si>
  <si>
    <t>(kN)</t>
  </si>
  <si>
    <t>(kNm)</t>
  </si>
  <si>
    <t>(Theo TCVN 5575-2024)</t>
  </si>
  <si>
    <t>A. THÔNG SỐ THIẾT KẾ</t>
  </si>
  <si>
    <t>1.1 Bu lông</t>
  </si>
  <si>
    <t>1.2 Thép tấm</t>
  </si>
  <si>
    <t>B. TÍNH TOÁN</t>
  </si>
  <si>
    <t>Thông số cấu kiện</t>
  </si>
  <si>
    <t>Thông số bản bích</t>
  </si>
  <si>
    <t>Thông số lực</t>
  </si>
  <si>
    <t>Thông số bu lông</t>
  </si>
  <si>
    <t>Kiểm tra 
N bu lông</t>
  </si>
  <si>
    <t>Kiểm tra V</t>
  </si>
  <si>
    <t>Kiểm tra M</t>
  </si>
  <si>
    <t>Kiểm tra chiều dày mặt bích</t>
  </si>
  <si>
    <t>Tên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</si>
  <si>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</si>
  <si>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</si>
  <si>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</si>
  <si>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</si>
  <si>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bb</t>
    </r>
  </si>
  <si>
    <t>Bu lông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</si>
  <si>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</si>
  <si>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</si>
  <si>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</si>
  <si>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</si>
  <si>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</si>
  <si>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</si>
  <si>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</si>
  <si>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</si>
  <si>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cb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</si>
  <si>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tb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</si>
  <si>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v</t>
    </r>
  </si>
  <si>
    <t>D/C</t>
  </si>
  <si>
    <t>hmax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</si>
  <si>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</si>
  <si>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</si>
  <si>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</si>
  <si>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</si>
  <si>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</si>
  <si>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rPr>
        <b/>
        <sz val="10"/>
        <color rgb="FF0070C0"/>
        <rFont val="Symbol"/>
        <family val="1"/>
        <charset val="2"/>
      </rPr>
      <t>t</t>
    </r>
    <r>
      <rPr>
        <b/>
        <vertAlign val="subscript"/>
        <sz val="10"/>
        <color rgb="FF0070C0"/>
        <rFont val="Calibri"/>
        <family val="2"/>
        <scheme val="minor"/>
      </rPr>
      <t>mb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</si>
  <si>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tđ</t>
    </r>
  </si>
  <si>
    <t>(mm)</t>
  </si>
  <si>
    <t>CT1</t>
  </si>
  <si>
    <t>BẢNG TỔNG HỢP CHI TIẾT  - THUYẾT MINH LIÊN KẾT K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</si>
  <si>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</si>
  <si>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</si>
  <si>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</si>
  <si>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</si>
  <si>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</si>
  <si>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- Số mặt cắt tính toán của một bu lông:</t>
  </si>
  <si>
    <t>mặt cắt</t>
  </si>
  <si>
    <t>- Khoảng cách 2 bu lông ngoài cùng dọc theo lực trượt:</t>
  </si>
  <si>
    <t>L =</t>
  </si>
  <si>
    <t>- Hệ số giảm khi L &gt; 16d (14.2.10):</t>
  </si>
  <si>
    <t>1.3. Kiểm tra khả năng chịu cắt và kéo của một bu lông</t>
  </si>
  <si>
    <t>- Tỷ số huy động cấu kiện khi chịu cắt:</t>
  </si>
  <si>
    <t>- Tỷ số huy động cấu kiện khi chịu kéo:</t>
  </si>
  <si>
    <t>- Tỷ số huy động cấu kiện khi chịu cắt và kéo đồng thời:</t>
  </si>
  <si>
    <t>1.4. Kiểm tra chiều dày mặt bích</t>
  </si>
  <si>
    <t>1.5. Kiểm tra liên kết hàn bản mã với dầm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</si>
  <si>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</si>
  <si>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</si>
  <si>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/(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,N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))=</t>
    </r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</si>
  <si>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</si>
  <si>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/ 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</si>
  <si>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[(N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/N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)2+(N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>/N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>)2]0.5 =</t>
    </r>
  </si>
  <si>
    <t>m =</t>
  </si>
  <si>
    <t>cột</t>
  </si>
  <si>
    <t>mm3</t>
  </si>
  <si>
    <r>
      <t>P = M/(h-t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 + N=</t>
    </r>
  </si>
  <si>
    <t>- Số cột bu lông chịu kéo:</t>
  </si>
  <si>
    <t>Tên tiết diện</t>
  </si>
  <si>
    <t>Cột AA</t>
  </si>
  <si>
    <t>H Tổng</t>
  </si>
  <si>
    <t>Tùy chọn</t>
  </si>
  <si>
    <t>CTxxx</t>
  </si>
  <si>
    <t>Label</t>
  </si>
  <si>
    <t>Uni.</t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</si>
  <si>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</si>
  <si>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t>Tiết diện</t>
  </si>
  <si>
    <t>Kết luận</t>
  </si>
  <si>
    <t>Kiểm tra M &amp; V</t>
  </si>
  <si>
    <t>Kiểm tra (1)</t>
  </si>
  <si>
    <t>Kiểm tra (2)</t>
  </si>
  <si>
    <t>Kiểm tra
(3)</t>
  </si>
  <si>
    <t>Kiểm tra
(4)</t>
  </si>
  <si>
    <t>(1) Kiểm tra khả năng chịu cắt của một bu lông</t>
  </si>
  <si>
    <t>(2) Kiểm tra khả năng chịu kéo của một bu lông</t>
  </si>
  <si>
    <t>(3) Kiểm tra khả năng chịu cắt và kéo của một bu lông</t>
  </si>
  <si>
    <t>(4) Kiểm tra chiều dày mặt bích</t>
  </si>
  <si>
    <t>D/C: Chỉ số huy động của cấu kiện</t>
  </si>
  <si>
    <t>-</t>
  </si>
  <si>
    <t>1.LRFD1 (1.4D)</t>
  </si>
  <si>
    <t>1.LRFD30 (1.2D+1.6Lr)</t>
  </si>
  <si>
    <t>1.LRFD31 (1.2D+1.6Lr+0.5W)</t>
  </si>
  <si>
    <t>1.LRFD32 (1.2D+1.6Lr+0.5W)</t>
  </si>
  <si>
    <t>1.LRFD33 (1.2D+1.6Lr+0.5W)</t>
  </si>
  <si>
    <t>1.LRFD34 (1.2D+1.6Lr+0.5W)</t>
  </si>
  <si>
    <t>1.LRFD35 (1.2D+1.6Lr+0.5W)</t>
  </si>
  <si>
    <t>1.LRFD36 (1.2D+1.6Lr+0.5W)</t>
  </si>
  <si>
    <t>1.LRFD37 (1.2D+1.6Lr+0.5W)</t>
  </si>
  <si>
    <t>1.LRFD38 (1.2D+1.6Lr+0.5W)</t>
  </si>
  <si>
    <t>1.LRFD41 (1.2D+1.0W+0.5Lr)</t>
  </si>
  <si>
    <t>1.LRFD42 (1.2D+1.0W+0.5Lr)</t>
  </si>
  <si>
    <t>1.LRFD43 (1.2D+1.0W+0.5Lr)</t>
  </si>
  <si>
    <t>1.LRFD44 (1.2D+1.0W+0.5Lr)</t>
  </si>
  <si>
    <t>1.LRFD45 (1.2D+1.0W+0.5Lr)</t>
  </si>
  <si>
    <t>1.LRFD46 (1.2D+1.0W+0.5Lr)</t>
  </si>
  <si>
    <t>1.LRFD47 (1.2D+1.0W+0.5Lr)</t>
  </si>
  <si>
    <t>1.LRFD48 (1.2D+1.0W+0.5Lr)</t>
  </si>
  <si>
    <t>1.LRFD51(0.9D+1.0W)</t>
  </si>
  <si>
    <t>1.LRFD52(0.9D+1.0W)</t>
  </si>
  <si>
    <t>1.LRFD53(0.9D+1.0W)</t>
  </si>
  <si>
    <t>1.LRFD54(0.9D+1.0W)</t>
  </si>
  <si>
    <t>1.LRFD55(0.9D+1.0W)</t>
  </si>
  <si>
    <t>1.LRFD56(0.9D+1.0W)</t>
  </si>
  <si>
    <t>1.LRFD57(0.9D+1.0W)</t>
  </si>
  <si>
    <t>1.LRFD58(0.9D+1.0W)</t>
  </si>
  <si>
    <t>1232x350x12x16</t>
  </si>
  <si>
    <t>1382x350x25 + 14M24</t>
  </si>
  <si>
    <t>OK</t>
  </si>
  <si>
    <t>Unique</t>
  </si>
  <si>
    <r>
      <t>N</t>
    </r>
    <r>
      <rPr>
        <vertAlign val="subscript"/>
        <sz val="10"/>
        <color theme="1"/>
        <rFont val="Calibri"/>
        <family val="2"/>
        <scheme val="minor"/>
      </rPr>
      <t>M,N</t>
    </r>
    <r>
      <rPr>
        <sz val="10"/>
        <color theme="1"/>
        <rFont val="Calibri"/>
        <family val="2"/>
        <scheme val="minor"/>
      </rPr>
      <t xml:space="preserve"> = M.l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/(m.n) + N/n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</si>
</sst>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3"/>
      <color theme="0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  <scheme val="minor"/>
    </font>
    <font>
      <b/>
      <sz val="10"/>
      <color rgb="FF0070C0"/>
      <name val="Symbol"/>
      <family val="1"/>
      <charset val="2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sz val="10"/>
      <color rgb="FF0000FF"/>
      <name val="Calibri"/>
      <family val="2"/>
      <scheme val="minor"/>
    </font>
    <font>
      <b/>
      <sz val="14"/>
      <color rgb="FF0000CC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</patternFill>
    </fill>
    <fill>
      <patternFill patternType="solid">
        <fgColor rgb="FFDDEBF7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indexed="64"/>
      </right>
      <top/>
      <bottom style="thin">
        <color rgb="FFBFBFB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indexed="64"/>
      </right>
      <top style="thin">
        <color indexed="64"/>
      </top>
      <bottom/>
      <diagonal/>
    </border>
    <border>
      <left style="thin">
        <color rgb="FFBFBFBF"/>
      </left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hair">
        <color rgb="FFBFBFBF"/>
      </top>
      <bottom/>
      <diagonal/>
    </border>
    <border>
      <left/>
      <right/>
      <top style="hair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1" fillId="9" borderId="0" applyNumberFormat="0" applyBorder="0" applyAlignment="0" applyProtection="0"/>
    <xf numFmtId="9" fontId="1" fillId="0" borderId="0" applyFont="0" applyFill="0" applyBorder="0" applyAlignment="0" applyProtection="0"/>
  </cellStyleXfs>
  <cellXfs count="294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3" fillId="7" borderId="5" xfId="0" applyFont="1" applyFill="1" applyBorder="1"/>
    <xf numFmtId="0" fontId="16" fillId="0" borderId="0" xfId="0" applyFont="1"/>
    <xf numFmtId="0" fontId="3" fillId="7" borderId="7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23" fillId="7" borderId="9" xfId="0" applyFont="1" applyFill="1" applyBorder="1" applyAlignment="1">
      <alignment horizontal="left" indent="1"/>
    </xf>
    <xf numFmtId="0" fontId="3" fillId="7" borderId="10" xfId="0" applyFont="1" applyFill="1" applyBorder="1"/>
    <xf numFmtId="0" fontId="15" fillId="7" borderId="10" xfId="0" applyFont="1" applyFill="1" applyBorder="1" applyAlignment="1">
      <alignment horizontal="center"/>
    </xf>
    <xf numFmtId="0" fontId="19" fillId="7" borderId="10" xfId="0" applyFont="1" applyFill="1" applyBorder="1" applyAlignment="1">
      <alignment horizontal="left" vertical="center"/>
    </xf>
    <xf numFmtId="0" fontId="3" fillId="7" borderId="10" xfId="0" applyFont="1" applyFill="1" applyBorder="1" applyAlignment="1">
      <alignment horizontal="center" vertical="center"/>
    </xf>
    <xf numFmtId="2" fontId="3" fillId="7" borderId="10" xfId="0" applyNumberFormat="1" applyFont="1" applyFill="1" applyBorder="1" applyAlignment="1">
      <alignment horizontal="center" vertical="center"/>
    </xf>
    <xf numFmtId="0" fontId="14" fillId="7" borderId="10" xfId="0" applyFont="1" applyFill="1" applyBorder="1" applyAlignment="1">
      <alignment horizontal="right" vertical="center"/>
    </xf>
    <xf numFmtId="0" fontId="3" fillId="7" borderId="10" xfId="0" applyFont="1" applyFill="1" applyBorder="1" applyAlignment="1">
      <alignment horizontal="right" vertical="center"/>
    </xf>
    <xf numFmtId="0" fontId="3" fillId="7" borderId="11" xfId="0" applyFont="1" applyFill="1" applyBorder="1"/>
    <xf numFmtId="0" fontId="0" fillId="0" borderId="7" xfId="0" applyBorder="1" applyAlignment="1">
      <alignment horizontal="center" vertical="center"/>
    </xf>
    <xf numFmtId="0" fontId="1" fillId="3" borderId="7" xfId="2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/>
    </xf>
    <xf numFmtId="1" fontId="3" fillId="7" borderId="7" xfId="0" applyNumberFormat="1" applyFont="1" applyFill="1" applyBorder="1" applyAlignment="1">
      <alignment horizontal="center" vertical="center"/>
    </xf>
    <xf numFmtId="0" fontId="27" fillId="7" borderId="7" xfId="0" applyFont="1" applyFill="1" applyBorder="1" applyAlignment="1">
      <alignment horizontal="center" vertical="center"/>
    </xf>
    <xf numFmtId="0" fontId="0" fillId="3" borderId="7" xfId="2" applyFont="1" applyBorder="1" applyAlignment="1">
      <alignment horizontal="center" vertical="center"/>
    </xf>
    <xf numFmtId="0" fontId="25" fillId="8" borderId="16" xfId="0" applyFont="1" applyFill="1" applyBorder="1" applyAlignment="1">
      <alignment horizontal="center"/>
    </xf>
    <xf numFmtId="0" fontId="3" fillId="7" borderId="16" xfId="0" applyFont="1" applyFill="1" applyBorder="1" applyAlignment="1">
      <alignment horizontal="right" vertical="center"/>
    </xf>
    <xf numFmtId="0" fontId="3" fillId="7" borderId="16" xfId="0" applyFont="1" applyFill="1" applyBorder="1" applyAlignment="1">
      <alignment horizontal="center"/>
    </xf>
    <xf numFmtId="0" fontId="3" fillId="0" borderId="7" xfId="0" applyFont="1" applyBorder="1"/>
    <xf numFmtId="0" fontId="3" fillId="0" borderId="7" xfId="0" applyFont="1" applyBorder="1" applyAlignment="1">
      <alignment horizontal="center" vertical="center"/>
    </xf>
    <xf numFmtId="11" fontId="3" fillId="0" borderId="7" xfId="0" applyNumberFormat="1" applyFont="1" applyBorder="1" applyAlignment="1">
      <alignment horizontal="center" vertical="center"/>
    </xf>
    <xf numFmtId="0" fontId="3" fillId="7" borderId="0" xfId="0" applyFont="1" applyFill="1"/>
    <xf numFmtId="0" fontId="10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right" vertical="center"/>
    </xf>
    <xf numFmtId="0" fontId="10" fillId="7" borderId="0" xfId="0" applyFont="1" applyFill="1"/>
    <xf numFmtId="0" fontId="31" fillId="9" borderId="0" xfId="3" applyBorder="1" applyAlignment="1">
      <alignment horizontal="center" vertical="center"/>
    </xf>
    <xf numFmtId="0" fontId="1" fillId="3" borderId="0" xfId="2" applyBorder="1" applyAlignment="1">
      <alignment horizontal="center" vertical="center"/>
    </xf>
    <xf numFmtId="0" fontId="9" fillId="9" borderId="10" xfId="3" applyFont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17" xfId="0" applyFont="1" applyFill="1" applyBorder="1" applyAlignment="1">
      <alignment horizontal="center" vertical="center"/>
    </xf>
    <xf numFmtId="2" fontId="17" fillId="7" borderId="0" xfId="0" applyNumberFormat="1" applyFont="1" applyFill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2" fontId="10" fillId="7" borderId="7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vertical="top"/>
    </xf>
    <xf numFmtId="0" fontId="3" fillId="7" borderId="0" xfId="0" applyFont="1" applyFill="1" applyAlignment="1">
      <alignment horizontal="right" vertical="top"/>
    </xf>
    <xf numFmtId="0" fontId="9" fillId="7" borderId="0" xfId="0" applyFont="1" applyFill="1" applyAlignment="1">
      <alignment vertical="top"/>
    </xf>
    <xf numFmtId="0" fontId="10" fillId="7" borderId="0" xfId="0" applyFont="1" applyFill="1" applyAlignment="1">
      <alignment horizontal="right" vertical="center"/>
    </xf>
    <xf numFmtId="0" fontId="11" fillId="7" borderId="0" xfId="0" applyFont="1" applyFill="1"/>
    <xf numFmtId="0" fontId="17" fillId="7" borderId="0" xfId="0" applyFont="1" applyFill="1" applyAlignment="1">
      <alignment horizontal="center" vertical="center"/>
    </xf>
    <xf numFmtId="1" fontId="3" fillId="7" borderId="0" xfId="0" applyNumberFormat="1" applyFont="1" applyFill="1" applyAlignment="1">
      <alignment horizontal="center" vertical="center"/>
    </xf>
    <xf numFmtId="1" fontId="17" fillId="7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left" indent="1"/>
    </xf>
    <xf numFmtId="2" fontId="10" fillId="7" borderId="0" xfId="0" applyNumberFormat="1" applyFont="1" applyFill="1" applyAlignment="1">
      <alignment horizontal="right" vertical="center"/>
    </xf>
    <xf numFmtId="0" fontId="3" fillId="7" borderId="0" xfId="0" applyFont="1" applyFill="1" applyAlignment="1">
      <alignment horizontal="left" vertical="center"/>
    </xf>
    <xf numFmtId="0" fontId="7" fillId="7" borderId="0" xfId="0" applyFont="1" applyFill="1" applyAlignment="1">
      <alignment horizontal="left" vertical="center"/>
    </xf>
    <xf numFmtId="164" fontId="17" fillId="7" borderId="0" xfId="0" applyNumberFormat="1" applyFont="1" applyFill="1" applyAlignment="1">
      <alignment horizontal="center" vertical="center"/>
    </xf>
    <xf numFmtId="164" fontId="3" fillId="7" borderId="0" xfId="0" applyNumberFormat="1" applyFont="1" applyFill="1"/>
    <xf numFmtId="0" fontId="3" fillId="7" borderId="0" xfId="0" applyFont="1" applyFill="1" applyAlignment="1">
      <alignment horizontal="center"/>
    </xf>
    <xf numFmtId="165" fontId="3" fillId="7" borderId="0" xfId="0" applyNumberFormat="1" applyFont="1" applyFill="1" applyAlignment="1">
      <alignment horizontal="center"/>
    </xf>
    <xf numFmtId="11" fontId="3" fillId="7" borderId="0" xfId="0" applyNumberFormat="1" applyFont="1" applyFill="1" applyAlignment="1">
      <alignment horizontal="center"/>
    </xf>
    <xf numFmtId="0" fontId="21" fillId="7" borderId="0" xfId="0" applyFont="1" applyFill="1" applyAlignment="1">
      <alignment horizontal="right"/>
    </xf>
    <xf numFmtId="164" fontId="3" fillId="7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right" vertical="center"/>
    </xf>
    <xf numFmtId="164" fontId="3" fillId="7" borderId="0" xfId="0" applyNumberFormat="1" applyFont="1" applyFill="1" applyAlignment="1">
      <alignment horizontal="center" vertical="center"/>
    </xf>
    <xf numFmtId="0" fontId="15" fillId="7" borderId="0" xfId="0" applyFont="1" applyFill="1" applyAlignment="1">
      <alignment horizontal="center"/>
    </xf>
    <xf numFmtId="0" fontId="19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2" fontId="10" fillId="7" borderId="0" xfId="0" applyNumberFormat="1" applyFont="1" applyFill="1"/>
    <xf numFmtId="164" fontId="10" fillId="7" borderId="0" xfId="0" applyNumberFormat="1" applyFont="1" applyFill="1" applyAlignment="1">
      <alignment horizontal="center" vertical="center"/>
    </xf>
    <xf numFmtId="2" fontId="10" fillId="7" borderId="0" xfId="0" applyNumberFormat="1" applyFont="1" applyFill="1" applyAlignment="1">
      <alignment horizontal="center" vertical="center"/>
    </xf>
    <xf numFmtId="0" fontId="33" fillId="5" borderId="2" xfId="0" applyFont="1" applyFill="1" applyBorder="1" applyAlignment="1">
      <alignment horizontal="centerContinuous"/>
    </xf>
    <xf numFmtId="0" fontId="33" fillId="5" borderId="3" xfId="0" applyFont="1" applyFill="1" applyBorder="1" applyAlignment="1">
      <alignment horizontal="centerContinuous"/>
    </xf>
    <xf numFmtId="0" fontId="33" fillId="5" borderId="4" xfId="0" applyFont="1" applyFill="1" applyBorder="1" applyAlignment="1">
      <alignment horizontal="centerContinuous"/>
    </xf>
    <xf numFmtId="0" fontId="25" fillId="5" borderId="9" xfId="0" applyFont="1" applyFill="1" applyBorder="1" applyAlignment="1">
      <alignment horizontal="centerContinuous"/>
    </xf>
    <xf numFmtId="0" fontId="25" fillId="5" borderId="10" xfId="0" applyFont="1" applyFill="1" applyBorder="1" applyAlignment="1">
      <alignment horizontal="centerContinuous"/>
    </xf>
    <xf numFmtId="0" fontId="25" fillId="5" borderId="11" xfId="0" applyFont="1" applyFill="1" applyBorder="1" applyAlignment="1">
      <alignment horizontal="centerContinuous"/>
    </xf>
    <xf numFmtId="0" fontId="34" fillId="7" borderId="6" xfId="0" applyFont="1" applyFill="1" applyBorder="1" applyAlignment="1">
      <alignment horizontal="left" indent="1"/>
    </xf>
    <xf numFmtId="0" fontId="34" fillId="7" borderId="0" xfId="0" applyFont="1" applyFill="1" applyAlignment="1">
      <alignment horizontal="left" indent="1"/>
    </xf>
    <xf numFmtId="0" fontId="10" fillId="7" borderId="6" xfId="0" applyFont="1" applyFill="1" applyBorder="1"/>
    <xf numFmtId="0" fontId="3" fillId="7" borderId="0" xfId="0" applyFont="1" applyFill="1" applyAlignment="1">
      <alignment horizontal="left" indent="1"/>
    </xf>
    <xf numFmtId="0" fontId="17" fillId="7" borderId="0" xfId="0" applyFont="1" applyFill="1" applyAlignment="1">
      <alignment horizontal="left"/>
    </xf>
    <xf numFmtId="0" fontId="3" fillId="7" borderId="0" xfId="0" applyFont="1" applyFill="1" applyAlignment="1">
      <alignment vertical="center"/>
    </xf>
    <xf numFmtId="9" fontId="10" fillId="7" borderId="0" xfId="4" applyFont="1" applyFill="1" applyBorder="1" applyAlignment="1">
      <alignment horizontal="center" vertical="center"/>
    </xf>
    <xf numFmtId="0" fontId="10" fillId="7" borderId="7" xfId="0" applyFont="1" applyFill="1" applyBorder="1"/>
    <xf numFmtId="2" fontId="10" fillId="7" borderId="7" xfId="0" applyNumberFormat="1" applyFont="1" applyFill="1" applyBorder="1"/>
    <xf numFmtId="1" fontId="10" fillId="7" borderId="7" xfId="0" applyNumberFormat="1" applyFont="1" applyFill="1" applyBorder="1" applyAlignment="1">
      <alignment horizontal="center" vertical="center"/>
    </xf>
    <xf numFmtId="1" fontId="17" fillId="7" borderId="7" xfId="0" applyNumberFormat="1" applyFont="1" applyFill="1" applyBorder="1" applyAlignment="1">
      <alignment horizontal="center" vertical="center"/>
    </xf>
    <xf numFmtId="164" fontId="10" fillId="7" borderId="7" xfId="0" applyNumberFormat="1" applyFont="1" applyFill="1" applyBorder="1" applyAlignment="1">
      <alignment horizontal="center" vertical="center"/>
    </xf>
    <xf numFmtId="164" fontId="3" fillId="7" borderId="7" xfId="0" applyNumberFormat="1" applyFont="1" applyFill="1" applyBorder="1" applyAlignment="1">
      <alignment horizontal="center" vertical="center"/>
    </xf>
    <xf numFmtId="0" fontId="3" fillId="7" borderId="7" xfId="0" applyFont="1" applyFill="1" applyBorder="1"/>
    <xf numFmtId="11" fontId="3" fillId="7" borderId="7" xfId="0" applyNumberFormat="1" applyFont="1" applyFill="1" applyBorder="1"/>
    <xf numFmtId="164" fontId="18" fillId="2" borderId="1" xfId="1" applyNumberFormat="1" applyFont="1" applyAlignment="1">
      <alignment horizontal="center" vertical="center"/>
    </xf>
    <xf numFmtId="1" fontId="3" fillId="7" borderId="7" xfId="0" applyNumberFormat="1" applyFont="1" applyFill="1" applyBorder="1"/>
    <xf numFmtId="2" fontId="3" fillId="7" borderId="7" xfId="0" applyNumberFormat="1" applyFont="1" applyFill="1" applyBorder="1" applyAlignment="1">
      <alignment horizontal="center" vertical="center"/>
    </xf>
    <xf numFmtId="2" fontId="3" fillId="7" borderId="7" xfId="0" applyNumberFormat="1" applyFont="1" applyFill="1" applyBorder="1"/>
    <xf numFmtId="164" fontId="18" fillId="2" borderId="22" xfId="1" applyNumberFormat="1" applyFont="1" applyBorder="1" applyAlignment="1">
      <alignment horizontal="center" vertical="center"/>
    </xf>
    <xf numFmtId="164" fontId="18" fillId="2" borderId="23" xfId="1" applyNumberFormat="1" applyFont="1" applyBorder="1" applyAlignment="1">
      <alignment horizontal="center" vertical="center"/>
    </xf>
    <xf numFmtId="0" fontId="38" fillId="8" borderId="16" xfId="0" applyFont="1" applyFill="1" applyBorder="1" applyAlignment="1">
      <alignment horizontal="center"/>
    </xf>
    <xf numFmtId="0" fontId="25" fillId="8" borderId="24" xfId="0" applyFont="1" applyFill="1" applyBorder="1" applyAlignment="1">
      <alignment horizontal="center"/>
    </xf>
    <xf numFmtId="0" fontId="3" fillId="7" borderId="18" xfId="0" applyFont="1" applyFill="1" applyBorder="1" applyAlignment="1">
      <alignment horizontal="center"/>
    </xf>
    <xf numFmtId="0" fontId="3" fillId="7" borderId="7" xfId="0" applyFont="1" applyFill="1" applyBorder="1" applyAlignment="1">
      <alignment horizontal="center"/>
    </xf>
    <xf numFmtId="0" fontId="0" fillId="4" borderId="0" xfId="0" applyFill="1"/>
    <xf numFmtId="0" fontId="40" fillId="7" borderId="0" xfId="0" applyFont="1" applyFill="1" applyAlignment="1">
      <alignment horizontal="center" vertical="center"/>
    </xf>
    <xf numFmtId="0" fontId="10" fillId="0" borderId="7" xfId="0" applyFont="1" applyBorder="1"/>
    <xf numFmtId="0" fontId="7" fillId="6" borderId="26" xfId="0" applyFont="1" applyFill="1" applyBorder="1" applyAlignment="1">
      <alignment horizontal="center" vertical="top"/>
    </xf>
    <xf numFmtId="2" fontId="7" fillId="6" borderId="25" xfId="0" applyNumberFormat="1" applyFont="1" applyFill="1" applyBorder="1" applyAlignment="1">
      <alignment horizontal="center"/>
    </xf>
    <xf numFmtId="0" fontId="7" fillId="6" borderId="29" xfId="0" applyFont="1" applyFill="1" applyBorder="1" applyAlignment="1">
      <alignment horizontal="center" vertical="top"/>
    </xf>
    <xf numFmtId="0" fontId="7" fillId="6" borderId="29" xfId="0" applyFont="1" applyFill="1" applyBorder="1" applyAlignment="1">
      <alignment vertical="top" wrapText="1"/>
    </xf>
    <xf numFmtId="0" fontId="7" fillId="6" borderId="29" xfId="0" applyFont="1" applyFill="1" applyBorder="1" applyAlignment="1">
      <alignment horizontal="center" vertical="top" wrapText="1"/>
    </xf>
    <xf numFmtId="2" fontId="7" fillId="6" borderId="0" xfId="0" applyNumberFormat="1" applyFont="1" applyFill="1" applyAlignment="1">
      <alignment horizontal="center" vertical="center"/>
    </xf>
    <xf numFmtId="0" fontId="10" fillId="7" borderId="26" xfId="0" applyFont="1" applyFill="1" applyBorder="1"/>
    <xf numFmtId="2" fontId="10" fillId="7" borderId="25" xfId="0" applyNumberFormat="1" applyFont="1" applyFill="1" applyBorder="1"/>
    <xf numFmtId="2" fontId="10" fillId="7" borderId="26" xfId="0" applyNumberFormat="1" applyFont="1" applyFill="1" applyBorder="1"/>
    <xf numFmtId="0" fontId="7" fillId="6" borderId="26" xfId="0" applyFont="1" applyFill="1" applyBorder="1"/>
    <xf numFmtId="0" fontId="7" fillId="6" borderId="25" xfId="0" applyFont="1" applyFill="1" applyBorder="1"/>
    <xf numFmtId="0" fontId="7" fillId="6" borderId="29" xfId="0" applyFont="1" applyFill="1" applyBorder="1"/>
    <xf numFmtId="0" fontId="7" fillId="6" borderId="0" xfId="0" applyFont="1" applyFill="1"/>
    <xf numFmtId="2" fontId="7" fillId="6" borderId="26" xfId="0" applyNumberFormat="1" applyFont="1" applyFill="1" applyBorder="1" applyAlignment="1">
      <alignment horizontal="center" vertical="center"/>
    </xf>
    <xf numFmtId="2" fontId="7" fillId="6" borderId="29" xfId="0" applyNumberFormat="1" applyFont="1" applyFill="1" applyBorder="1" applyAlignment="1">
      <alignment horizontal="center" vertical="center"/>
    </xf>
    <xf numFmtId="1" fontId="10" fillId="7" borderId="26" xfId="0" applyNumberFormat="1" applyFont="1" applyFill="1" applyBorder="1" applyAlignment="1">
      <alignment horizontal="center" vertical="center"/>
    </xf>
    <xf numFmtId="0" fontId="10" fillId="7" borderId="26" xfId="0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1" fontId="17" fillId="7" borderId="21" xfId="0" applyNumberFormat="1" applyFont="1" applyFill="1" applyBorder="1" applyAlignment="1">
      <alignment horizontal="center" vertical="center"/>
    </xf>
    <xf numFmtId="0" fontId="17" fillId="7" borderId="21" xfId="0" applyFont="1" applyFill="1" applyBorder="1" applyAlignment="1">
      <alignment horizontal="center" vertical="center"/>
    </xf>
    <xf numFmtId="0" fontId="33" fillId="5" borderId="26" xfId="0" applyFont="1" applyFill="1" applyBorder="1" applyAlignment="1">
      <alignment horizontal="centerContinuous"/>
    </xf>
    <xf numFmtId="0" fontId="25" fillId="5" borderId="29" xfId="0" applyFont="1" applyFill="1" applyBorder="1" applyAlignment="1">
      <alignment horizontal="centerContinuous"/>
    </xf>
    <xf numFmtId="164" fontId="18" fillId="2" borderId="26" xfId="1" applyNumberFormat="1" applyFont="1" applyBorder="1" applyAlignment="1">
      <alignment horizontal="center" vertical="center"/>
    </xf>
    <xf numFmtId="164" fontId="18" fillId="2" borderId="30" xfId="1" applyNumberFormat="1" applyFont="1" applyBorder="1" applyAlignment="1">
      <alignment horizontal="center" vertical="center"/>
    </xf>
    <xf numFmtId="164" fontId="18" fillId="2" borderId="31" xfId="1" applyNumberFormat="1" applyFont="1" applyBorder="1" applyAlignment="1">
      <alignment horizontal="center" vertical="center"/>
    </xf>
    <xf numFmtId="0" fontId="10" fillId="7" borderId="21" xfId="0" applyFont="1" applyFill="1" applyBorder="1"/>
    <xf numFmtId="164" fontId="10" fillId="7" borderId="21" xfId="0" applyNumberFormat="1" applyFont="1" applyFill="1" applyBorder="1" applyAlignment="1">
      <alignment horizontal="center" vertical="center"/>
    </xf>
    <xf numFmtId="2" fontId="10" fillId="7" borderId="21" xfId="0" applyNumberFormat="1" applyFont="1" applyFill="1" applyBorder="1" applyAlignment="1">
      <alignment horizontal="center" vertical="center"/>
    </xf>
    <xf numFmtId="164" fontId="3" fillId="7" borderId="21" xfId="0" applyNumberFormat="1" applyFont="1" applyFill="1" applyBorder="1" applyAlignment="1">
      <alignment horizontal="center" vertical="center"/>
    </xf>
    <xf numFmtId="0" fontId="3" fillId="7" borderId="21" xfId="0" applyFont="1" applyFill="1" applyBorder="1"/>
    <xf numFmtId="11" fontId="3" fillId="7" borderId="21" xfId="0" applyNumberFormat="1" applyFont="1" applyFill="1" applyBorder="1"/>
    <xf numFmtId="1" fontId="3" fillId="7" borderId="21" xfId="0" applyNumberFormat="1" applyFont="1" applyFill="1" applyBorder="1" applyAlignment="1">
      <alignment horizontal="center" vertical="center"/>
    </xf>
    <xf numFmtId="1" fontId="3" fillId="7" borderId="21" xfId="0" applyNumberFormat="1" applyFont="1" applyFill="1" applyBorder="1"/>
    <xf numFmtId="2" fontId="3" fillId="7" borderId="21" xfId="0" applyNumberFormat="1" applyFont="1" applyFill="1" applyBorder="1" applyAlignment="1">
      <alignment horizontal="center" vertical="center"/>
    </xf>
    <xf numFmtId="2" fontId="3" fillId="7" borderId="21" xfId="0" applyNumberFormat="1" applyFont="1" applyFill="1" applyBorder="1"/>
    <xf numFmtId="164" fontId="18" fillId="2" borderId="29" xfId="1" applyNumberFormat="1" applyFont="1" applyBorder="1" applyAlignment="1">
      <alignment horizontal="center" vertical="center"/>
    </xf>
    <xf numFmtId="0" fontId="7" fillId="6" borderId="32" xfId="0" applyFont="1" applyFill="1" applyBorder="1" applyAlignment="1">
      <alignment horizontal="center" vertical="center"/>
    </xf>
    <xf numFmtId="2" fontId="7" fillId="6" borderId="32" xfId="0" applyNumberFormat="1" applyFont="1" applyFill="1" applyBorder="1" applyAlignment="1">
      <alignment horizontal="center"/>
    </xf>
    <xf numFmtId="164" fontId="7" fillId="6" borderId="32" xfId="0" applyNumberFormat="1" applyFont="1" applyFill="1" applyBorder="1" applyAlignment="1">
      <alignment horizontal="center" vertical="center"/>
    </xf>
    <xf numFmtId="2" fontId="7" fillId="6" borderId="32" xfId="0" applyNumberFormat="1" applyFont="1" applyFill="1" applyBorder="1" applyAlignment="1">
      <alignment horizontal="center" vertical="center"/>
    </xf>
    <xf numFmtId="164" fontId="37" fillId="10" borderId="32" xfId="0" applyNumberFormat="1" applyFont="1" applyFill="1" applyBorder="1" applyAlignment="1">
      <alignment horizontal="center" vertical="center"/>
    </xf>
    <xf numFmtId="164" fontId="7" fillId="10" borderId="32" xfId="0" applyNumberFormat="1" applyFont="1" applyFill="1" applyBorder="1" applyAlignment="1">
      <alignment horizontal="center" vertical="center"/>
    </xf>
    <xf numFmtId="2" fontId="36" fillId="6" borderId="32" xfId="0" applyNumberFormat="1" applyFont="1" applyFill="1" applyBorder="1" applyAlignment="1">
      <alignment horizontal="center" vertical="center"/>
    </xf>
    <xf numFmtId="2" fontId="36" fillId="6" borderId="32" xfId="0" applyNumberFormat="1" applyFont="1" applyFill="1" applyBorder="1" applyAlignment="1">
      <alignment vertical="center"/>
    </xf>
    <xf numFmtId="2" fontId="37" fillId="6" borderId="32" xfId="0" applyNumberFormat="1" applyFont="1" applyFill="1" applyBorder="1" applyAlignment="1">
      <alignment vertical="center"/>
    </xf>
    <xf numFmtId="1" fontId="17" fillId="7" borderId="32" xfId="0" applyNumberFormat="1" applyFont="1" applyFill="1" applyBorder="1" applyAlignment="1">
      <alignment horizontal="center" vertical="center"/>
    </xf>
    <xf numFmtId="0" fontId="17" fillId="7" borderId="32" xfId="0" applyFont="1" applyFill="1" applyBorder="1" applyAlignment="1">
      <alignment horizontal="center" vertical="center"/>
    </xf>
    <xf numFmtId="0" fontId="10" fillId="7" borderId="32" xfId="0" applyFont="1" applyFill="1" applyBorder="1"/>
    <xf numFmtId="164" fontId="10" fillId="7" borderId="32" xfId="0" applyNumberFormat="1" applyFont="1" applyFill="1" applyBorder="1" applyAlignment="1">
      <alignment horizontal="center" vertical="center"/>
    </xf>
    <xf numFmtId="2" fontId="10" fillId="7" borderId="32" xfId="0" applyNumberFormat="1" applyFont="1" applyFill="1" applyBorder="1" applyAlignment="1">
      <alignment horizontal="center" vertical="center"/>
    </xf>
    <xf numFmtId="164" fontId="3" fillId="7" borderId="32" xfId="0" applyNumberFormat="1" applyFont="1" applyFill="1" applyBorder="1" applyAlignment="1">
      <alignment horizontal="center" vertical="center"/>
    </xf>
    <xf numFmtId="166" fontId="3" fillId="7" borderId="32" xfId="0" applyNumberFormat="1" applyFont="1" applyFill="1" applyBorder="1" applyAlignment="1">
      <alignment horizontal="center" vertical="center"/>
    </xf>
    <xf numFmtId="164" fontId="18" fillId="2" borderId="32" xfId="1" applyNumberFormat="1" applyFont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3" fillId="7" borderId="32" xfId="0" applyFont="1" applyFill="1" applyBorder="1"/>
    <xf numFmtId="11" fontId="3" fillId="7" borderId="32" xfId="0" applyNumberFormat="1" applyFont="1" applyFill="1" applyBorder="1"/>
    <xf numFmtId="1" fontId="3" fillId="7" borderId="32" xfId="0" applyNumberFormat="1" applyFont="1" applyFill="1" applyBorder="1" applyAlignment="1">
      <alignment horizontal="center" vertical="center"/>
    </xf>
    <xf numFmtId="1" fontId="3" fillId="7" borderId="32" xfId="0" applyNumberFormat="1" applyFont="1" applyFill="1" applyBorder="1"/>
    <xf numFmtId="2" fontId="3" fillId="7" borderId="32" xfId="0" applyNumberFormat="1" applyFont="1" applyFill="1" applyBorder="1" applyAlignment="1">
      <alignment horizontal="center" vertical="center"/>
    </xf>
    <xf numFmtId="2" fontId="3" fillId="7" borderId="32" xfId="0" applyNumberFormat="1" applyFont="1" applyFill="1" applyBorder="1"/>
    <xf numFmtId="2" fontId="18" fillId="2" borderId="32" xfId="1" applyNumberFormat="1" applyFont="1" applyBorder="1" applyAlignment="1">
      <alignment horizontal="center" vertical="center"/>
    </xf>
    <xf numFmtId="0" fontId="3" fillId="7" borderId="0" xfId="0" quotePrefix="1" applyFont="1" applyFill="1"/>
    <xf numFmtId="0" fontId="33" fillId="5" borderId="36" xfId="0" applyFont="1" applyFill="1" applyBorder="1" applyAlignment="1">
      <alignment horizontal="centerContinuous"/>
    </xf>
    <xf numFmtId="0" fontId="25" fillId="5" borderId="37" xfId="0" applyFont="1" applyFill="1" applyBorder="1" applyAlignment="1">
      <alignment horizontal="centerContinuous"/>
    </xf>
    <xf numFmtId="0" fontId="7" fillId="6" borderId="38" xfId="0" applyFont="1" applyFill="1" applyBorder="1" applyAlignment="1">
      <alignment horizontal="center" vertical="center"/>
    </xf>
    <xf numFmtId="0" fontId="34" fillId="7" borderId="2" xfId="0" applyFont="1" applyFill="1" applyBorder="1" applyAlignment="1">
      <alignment horizontal="left" indent="1"/>
    </xf>
    <xf numFmtId="0" fontId="34" fillId="7" borderId="3" xfId="0" applyFont="1" applyFill="1" applyBorder="1" applyAlignment="1">
      <alignment horizontal="left" indent="1"/>
    </xf>
    <xf numFmtId="2" fontId="10" fillId="7" borderId="3" xfId="0" applyNumberFormat="1" applyFont="1" applyFill="1" applyBorder="1"/>
    <xf numFmtId="0" fontId="10" fillId="7" borderId="3" xfId="0" applyFont="1" applyFill="1" applyBorder="1" applyAlignment="1">
      <alignment horizontal="center" vertical="center"/>
    </xf>
    <xf numFmtId="0" fontId="10" fillId="7" borderId="3" xfId="0" applyFont="1" applyFill="1" applyBorder="1"/>
    <xf numFmtId="0" fontId="3" fillId="7" borderId="3" xfId="0" quotePrefix="1" applyFont="1" applyFill="1" applyBorder="1"/>
    <xf numFmtId="164" fontId="10" fillId="7" borderId="3" xfId="0" applyNumberFormat="1" applyFont="1" applyFill="1" applyBorder="1" applyAlignment="1">
      <alignment horizontal="center" vertical="center"/>
    </xf>
    <xf numFmtId="2" fontId="10" fillId="7" borderId="3" xfId="0" applyNumberFormat="1" applyFont="1" applyFill="1" applyBorder="1" applyAlignment="1">
      <alignment horizontal="center" vertical="center"/>
    </xf>
    <xf numFmtId="0" fontId="3" fillId="7" borderId="3" xfId="0" applyFont="1" applyFill="1" applyBorder="1"/>
    <xf numFmtId="0" fontId="3" fillId="7" borderId="4" xfId="0" applyFont="1" applyFill="1" applyBorder="1"/>
    <xf numFmtId="0" fontId="3" fillId="7" borderId="6" xfId="0" applyFont="1" applyFill="1" applyBorder="1" applyAlignment="1">
      <alignment horizontal="left" indent="1"/>
    </xf>
    <xf numFmtId="0" fontId="34" fillId="7" borderId="9" xfId="0" applyFont="1" applyFill="1" applyBorder="1" applyAlignment="1">
      <alignment horizontal="left" indent="1"/>
    </xf>
    <xf numFmtId="0" fontId="34" fillId="7" borderId="10" xfId="0" applyFont="1" applyFill="1" applyBorder="1" applyAlignment="1">
      <alignment horizontal="left" indent="1"/>
    </xf>
    <xf numFmtId="2" fontId="10" fillId="7" borderId="10" xfId="0" applyNumberFormat="1" applyFont="1" applyFill="1" applyBorder="1"/>
    <xf numFmtId="0" fontId="10" fillId="7" borderId="10" xfId="0" applyFont="1" applyFill="1" applyBorder="1" applyAlignment="1">
      <alignment horizontal="center" vertical="center"/>
    </xf>
    <xf numFmtId="0" fontId="10" fillId="7" borderId="10" xfId="0" applyFont="1" applyFill="1" applyBorder="1"/>
    <xf numFmtId="164" fontId="10" fillId="7" borderId="10" xfId="0" applyNumberFormat="1" applyFont="1" applyFill="1" applyBorder="1" applyAlignment="1">
      <alignment horizontal="center" vertical="center"/>
    </xf>
    <xf numFmtId="2" fontId="10" fillId="7" borderId="10" xfId="0" applyNumberFormat="1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vertical="top"/>
    </xf>
    <xf numFmtId="0" fontId="3" fillId="0" borderId="35" xfId="0" applyFont="1" applyBorder="1"/>
    <xf numFmtId="0" fontId="3" fillId="7" borderId="28" xfId="0" applyFont="1" applyFill="1" applyBorder="1" applyAlignment="1">
      <alignment vertical="top"/>
    </xf>
    <xf numFmtId="0" fontId="8" fillId="7" borderId="26" xfId="0" applyFont="1" applyFill="1" applyBorder="1" applyAlignment="1">
      <alignment horizontal="left" indent="1"/>
    </xf>
    <xf numFmtId="0" fontId="8" fillId="7" borderId="29" xfId="0" applyFont="1" applyFill="1" applyBorder="1" applyAlignment="1">
      <alignment horizontal="left" indent="1"/>
    </xf>
    <xf numFmtId="0" fontId="3" fillId="7" borderId="29" xfId="0" applyFont="1" applyFill="1" applyBorder="1" applyAlignment="1">
      <alignment horizontal="left" vertical="top" indent="2"/>
    </xf>
    <xf numFmtId="0" fontId="10" fillId="7" borderId="28" xfId="0" applyFont="1" applyFill="1" applyBorder="1" applyAlignment="1">
      <alignment horizontal="left" vertical="center"/>
    </xf>
    <xf numFmtId="0" fontId="3" fillId="7" borderId="28" xfId="0" applyFont="1" applyFill="1" applyBorder="1" applyAlignment="1">
      <alignment vertical="center"/>
    </xf>
    <xf numFmtId="0" fontId="3" fillId="7" borderId="28" xfId="0" applyFont="1" applyFill="1" applyBorder="1"/>
    <xf numFmtId="0" fontId="17" fillId="7" borderId="26" xfId="0" applyFont="1" applyFill="1" applyBorder="1" applyAlignment="1">
      <alignment horizontal="center" vertical="center" wrapText="1"/>
    </xf>
    <xf numFmtId="0" fontId="10" fillId="7" borderId="29" xfId="0" applyFont="1" applyFill="1" applyBorder="1" applyAlignment="1">
      <alignment horizontal="center" vertical="center"/>
    </xf>
    <xf numFmtId="0" fontId="3" fillId="7" borderId="39" xfId="0" applyFont="1" applyFill="1" applyBorder="1" applyAlignment="1">
      <alignment horizontal="center" vertical="center"/>
    </xf>
    <xf numFmtId="0" fontId="3" fillId="7" borderId="40" xfId="0" applyFont="1" applyFill="1" applyBorder="1" applyAlignment="1">
      <alignment horizontal="center" vertical="center"/>
    </xf>
    <xf numFmtId="0" fontId="17" fillId="7" borderId="40" xfId="0" applyFont="1" applyFill="1" applyBorder="1" applyAlignment="1">
      <alignment horizontal="center" vertical="center"/>
    </xf>
    <xf numFmtId="0" fontId="3" fillId="7" borderId="29" xfId="0" applyFont="1" applyFill="1" applyBorder="1"/>
    <xf numFmtId="0" fontId="17" fillId="7" borderId="39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left" vertical="top" indent="2"/>
    </xf>
    <xf numFmtId="1" fontId="3" fillId="7" borderId="40" xfId="0" applyNumberFormat="1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right" vertical="top"/>
    </xf>
    <xf numFmtId="0" fontId="10" fillId="7" borderId="25" xfId="0" applyFont="1" applyFill="1" applyBorder="1" applyAlignment="1">
      <alignment horizontal="right" vertical="center"/>
    </xf>
    <xf numFmtId="0" fontId="3" fillId="7" borderId="25" xfId="0" applyFont="1" applyFill="1" applyBorder="1"/>
    <xf numFmtId="0" fontId="17" fillId="7" borderId="26" xfId="0" applyFont="1" applyFill="1" applyBorder="1" applyAlignment="1">
      <alignment horizontal="center"/>
    </xf>
    <xf numFmtId="0" fontId="17" fillId="7" borderId="26" xfId="0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right" vertical="center"/>
    </xf>
    <xf numFmtId="2" fontId="10" fillId="7" borderId="26" xfId="0" applyNumberFormat="1" applyFont="1" applyFill="1" applyBorder="1" applyAlignment="1">
      <alignment horizontal="center" vertical="center"/>
    </xf>
    <xf numFmtId="2" fontId="10" fillId="7" borderId="25" xfId="0" applyNumberFormat="1" applyFont="1" applyFill="1" applyBorder="1" applyAlignment="1">
      <alignment horizontal="right" vertical="center"/>
    </xf>
    <xf numFmtId="0" fontId="3" fillId="7" borderId="25" xfId="0" applyFont="1" applyFill="1" applyBorder="1" applyAlignment="1">
      <alignment horizontal="left" vertical="center"/>
    </xf>
    <xf numFmtId="0" fontId="19" fillId="7" borderId="41" xfId="0" applyFont="1" applyFill="1" applyBorder="1" applyAlignment="1">
      <alignment horizontal="center" vertical="center"/>
    </xf>
    <xf numFmtId="2" fontId="18" fillId="2" borderId="26" xfId="1" applyNumberFormat="1" applyFont="1" applyBorder="1" applyAlignment="1">
      <alignment horizontal="center" vertical="center"/>
    </xf>
    <xf numFmtId="1" fontId="17" fillId="7" borderId="25" xfId="0" applyNumberFormat="1" applyFont="1" applyFill="1" applyBorder="1" applyAlignment="1">
      <alignment horizontal="center" vertical="center"/>
    </xf>
    <xf numFmtId="0" fontId="3" fillId="7" borderId="29" xfId="0" quotePrefix="1" applyFont="1" applyFill="1" applyBorder="1" applyAlignment="1">
      <alignment horizontal="left" vertical="top" indent="2"/>
    </xf>
    <xf numFmtId="0" fontId="19" fillId="7" borderId="28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left" vertical="top" indent="3"/>
    </xf>
    <xf numFmtId="164" fontId="3" fillId="7" borderId="25" xfId="0" applyNumberFormat="1" applyFont="1" applyFill="1" applyBorder="1"/>
    <xf numFmtId="0" fontId="23" fillId="7" borderId="29" xfId="0" applyFont="1" applyFill="1" applyBorder="1" applyAlignment="1">
      <alignment horizontal="left" indent="1"/>
    </xf>
    <xf numFmtId="164" fontId="7" fillId="6" borderId="32" xfId="0" applyNumberFormat="1" applyFont="1" applyFill="1" applyBorder="1" applyAlignment="1">
      <alignment horizontal="center" vertical="center" wrapText="1"/>
    </xf>
    <xf numFmtId="164" fontId="7" fillId="6" borderId="32" xfId="0" applyNumberFormat="1" applyFont="1" applyFill="1" applyBorder="1" applyAlignment="1">
      <alignment horizontal="center" vertical="center"/>
    </xf>
    <xf numFmtId="164" fontId="7" fillId="10" borderId="32" xfId="0" applyNumberFormat="1" applyFont="1" applyFill="1" applyBorder="1" applyAlignment="1">
      <alignment horizontal="center" vertical="center"/>
    </xf>
    <xf numFmtId="2" fontId="7" fillId="6" borderId="32" xfId="0" applyNumberFormat="1" applyFont="1" applyFill="1" applyBorder="1" applyAlignment="1">
      <alignment horizontal="center" vertical="top"/>
    </xf>
    <xf numFmtId="2" fontId="7" fillId="6" borderId="32" xfId="0" applyNumberFormat="1" applyFont="1" applyFill="1" applyBorder="1" applyAlignment="1">
      <alignment horizontal="center" vertical="center" wrapText="1"/>
    </xf>
    <xf numFmtId="0" fontId="7" fillId="6" borderId="32" xfId="0" applyFont="1" applyFill="1" applyBorder="1" applyAlignment="1">
      <alignment horizontal="center" vertical="top" wrapText="1"/>
    </xf>
    <xf numFmtId="0" fontId="3" fillId="7" borderId="11" xfId="0" applyFont="1" applyFill="1" applyBorder="1" applyAlignment="1">
      <alignment horizontal="center"/>
    </xf>
    <xf numFmtId="0" fontId="7" fillId="6" borderId="29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38" xfId="0" applyFont="1" applyFill="1" applyBorder="1" applyAlignment="1">
      <alignment horizontal="center" vertical="center"/>
    </xf>
    <xf numFmtId="0" fontId="7" fillId="6" borderId="32" xfId="0" applyFont="1" applyFill="1" applyBorder="1" applyAlignment="1">
      <alignment horizontal="center" vertical="center"/>
    </xf>
    <xf numFmtId="0" fontId="7" fillId="6" borderId="38" xfId="0" applyFont="1" applyFill="1" applyBorder="1" applyAlignment="1">
      <alignment horizontal="center" vertical="center" wrapText="1"/>
    </xf>
    <xf numFmtId="0" fontId="7" fillId="6" borderId="32" xfId="0" applyFont="1" applyFill="1" applyBorder="1" applyAlignment="1">
      <alignment horizontal="center" vertical="center" wrapText="1"/>
    </xf>
    <xf numFmtId="0" fontId="7" fillId="6" borderId="29" xfId="0" applyFont="1" applyFill="1" applyBorder="1" applyAlignment="1">
      <alignment horizontal="center" vertical="center" wrapText="1"/>
    </xf>
    <xf numFmtId="0" fontId="7" fillId="10" borderId="29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7" borderId="28" xfId="0" applyFont="1" applyFill="1" applyBorder="1" applyAlignment="1">
      <alignment horizontal="center"/>
    </xf>
    <xf numFmtId="0" fontId="3" fillId="7" borderId="34" xfId="0" applyFont="1" applyFill="1" applyBorder="1" applyAlignment="1">
      <alignment horizontal="center"/>
    </xf>
    <xf numFmtId="0" fontId="3" fillId="7" borderId="33" xfId="0" applyFont="1" applyFill="1" applyBorder="1" applyAlignment="1">
      <alignment horizontal="center"/>
    </xf>
    <xf numFmtId="0" fontId="41" fillId="7" borderId="35" xfId="0" applyFont="1" applyFill="1" applyBorder="1" applyAlignment="1">
      <alignment horizontal="center" vertical="center"/>
    </xf>
    <xf numFmtId="0" fontId="41" fillId="7" borderId="7" xfId="0" applyFont="1" applyFill="1" applyBorder="1" applyAlignment="1">
      <alignment horizontal="center" vertical="center"/>
    </xf>
    <xf numFmtId="0" fontId="7" fillId="6" borderId="26" xfId="0" applyFont="1" applyFill="1" applyBorder="1" applyAlignment="1">
      <alignment horizontal="center" vertical="top" wrapText="1"/>
    </xf>
    <xf numFmtId="2" fontId="7" fillId="6" borderId="25" xfId="0" applyNumberFormat="1" applyFont="1" applyFill="1" applyBorder="1" applyAlignment="1">
      <alignment horizontal="center" vertical="center" wrapText="1"/>
    </xf>
    <xf numFmtId="2" fontId="7" fillId="6" borderId="0" xfId="0" applyNumberFormat="1" applyFont="1" applyFill="1" applyAlignment="1">
      <alignment horizontal="center" vertical="center" wrapText="1"/>
    </xf>
    <xf numFmtId="0" fontId="7" fillId="6" borderId="26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left" vertical="center" indent="1"/>
    </xf>
    <xf numFmtId="0" fontId="3" fillId="0" borderId="7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7" fillId="6" borderId="26" xfId="0" applyFont="1" applyFill="1" applyBorder="1" applyAlignment="1">
      <alignment horizontal="left" vertical="center"/>
    </xf>
    <xf numFmtId="0" fontId="7" fillId="6" borderId="25" xfId="0" applyFont="1" applyFill="1" applyBorder="1" applyAlignment="1">
      <alignment horizontal="left" vertical="center"/>
    </xf>
    <xf numFmtId="0" fontId="30" fillId="5" borderId="26" xfId="0" applyFont="1" applyFill="1" applyBorder="1" applyAlignment="1">
      <alignment horizontal="center" vertical="center"/>
    </xf>
    <xf numFmtId="0" fontId="30" fillId="5" borderId="25" xfId="0" applyFont="1" applyFill="1" applyBorder="1" applyAlignment="1">
      <alignment horizontal="center" vertical="center"/>
    </xf>
    <xf numFmtId="0" fontId="30" fillId="5" borderId="29" xfId="0" applyFont="1" applyFill="1" applyBorder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4" fillId="6" borderId="25" xfId="0" applyFont="1" applyFill="1" applyBorder="1" applyAlignment="1">
      <alignment horizontal="center" vertical="center"/>
    </xf>
    <xf numFmtId="0" fontId="4" fillId="6" borderId="27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28" xfId="0" applyFont="1" applyFill="1" applyBorder="1" applyAlignment="1">
      <alignment horizontal="center" vertical="center"/>
    </xf>
    <xf numFmtId="0" fontId="31" fillId="9" borderId="10" xfId="3" applyBorder="1" applyAlignment="1">
      <alignment horizontal="center" vertical="center"/>
    </xf>
    <xf numFmtId="0" fontId="6" fillId="9" borderId="10" xfId="3" applyFont="1" applyBorder="1" applyAlignment="1">
      <alignment horizontal="center" vertical="center"/>
    </xf>
    <xf numFmtId="0" fontId="17" fillId="7" borderId="26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7" fillId="7" borderId="26" xfId="0" applyFont="1" applyFill="1" applyBorder="1" applyAlignment="1">
      <alignment horizontal="center" vertical="top"/>
    </xf>
    <xf numFmtId="0" fontId="10" fillId="7" borderId="26" xfId="0" applyFont="1" applyFill="1" applyBorder="1" applyAlignment="1">
      <alignment horizontal="center" vertical="center"/>
    </xf>
    <xf numFmtId="0" fontId="17" fillId="7" borderId="26" xfId="0" applyFont="1" applyFill="1" applyBorder="1" applyAlignment="1">
      <alignment horizontal="center" vertical="top" wrapText="1"/>
    </xf>
    <xf numFmtId="0" fontId="17" fillId="7" borderId="25" xfId="0" applyFont="1" applyFill="1" applyBorder="1" applyAlignment="1">
      <alignment horizontal="center" vertical="top" wrapText="1"/>
    </xf>
    <xf numFmtId="0" fontId="7" fillId="10" borderId="32" xfId="0" applyFont="1" applyFill="1" applyBorder="1" applyAlignment="1">
      <alignment horizontal="center" vertical="center" wrapText="1"/>
    </xf>
    <xf numFmtId="0" fontId="25" fillId="8" borderId="18" xfId="0" applyFont="1" applyFill="1" applyBorder="1" applyAlignment="1">
      <alignment horizontal="center"/>
    </xf>
    <xf numFmtId="0" fontId="25" fillId="8" borderId="19" xfId="0" applyFont="1" applyFill="1" applyBorder="1" applyAlignment="1">
      <alignment horizontal="center"/>
    </xf>
    <xf numFmtId="0" fontId="25" fillId="8" borderId="20" xfId="0" applyFont="1" applyFill="1" applyBorder="1" applyAlignment="1">
      <alignment horizontal="center"/>
    </xf>
    <xf numFmtId="0" fontId="25" fillId="8" borderId="12" xfId="0" applyFont="1" applyFill="1" applyBorder="1" applyAlignment="1">
      <alignment horizontal="center" wrapText="1"/>
    </xf>
    <xf numFmtId="0" fontId="25" fillId="8" borderId="13" xfId="0" applyFont="1" applyFill="1" applyBorder="1" applyAlignment="1">
      <alignment horizontal="center" wrapText="1"/>
    </xf>
    <xf numFmtId="0" fontId="25" fillId="8" borderId="14" xfId="0" applyFont="1" applyFill="1" applyBorder="1" applyAlignment="1">
      <alignment horizontal="center" wrapText="1"/>
    </xf>
    <xf numFmtId="0" fontId="25" fillId="8" borderId="0" xfId="0" applyFont="1" applyFill="1" applyAlignment="1">
      <alignment horizontal="center" wrapText="1"/>
    </xf>
    <xf numFmtId="0" fontId="0" fillId="3" borderId="7" xfId="2" applyFont="1" applyBorder="1" applyAlignment="1">
      <alignment horizontal="center" vertical="center" wrapText="1"/>
    </xf>
    <xf numFmtId="0" fontId="1" fillId="3" borderId="7" xfId="2" applyBorder="1" applyAlignment="1">
      <alignment horizontal="center" vertical="center"/>
    </xf>
    <xf numFmtId="0" fontId="25" fillId="8" borderId="7" xfId="0" applyFont="1" applyFill="1" applyBorder="1" applyAlignment="1">
      <alignment horizontal="center"/>
    </xf>
  </cellXfs>
  <cellStyles count="5">
    <cellStyle name="20% - Accent1" xfId="2" builtinId="30"/>
    <cellStyle name="Accent5" xfId="3" builtinId="45"/>
    <cellStyle name="Calculation" xfId="1" builtinId="22"/>
    <cellStyle name="Normal" xfId="0" builtinId="0"/>
    <cellStyle name="Percent" xfId="4" builtinId="5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FBFBF"/>
      <color rgb="FF63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388326</xdr:colOff>
      <xdr:row>0</xdr:row>
      <xdr:rowOff>0</xdr:rowOff>
    </xdr:from>
    <xdr:to>
      <xdr:col>18</xdr:col>
      <xdr:colOff>172038</xdr:colOff>
      <xdr:row>11</xdr:row>
      <xdr:rowOff>38669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6C3EB1-ACBB-7F2B-DE7A-4A39CC5D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8999" y="0"/>
          <a:ext cx="4044464" cy="2176226"/>
        </a:xfrm>
        <a:prstGeom prst="rect">
          <a:avLst/>
        </a:prstGeom>
      </xdr:spPr>
    </xdr:pic>
    <xdr:clientData/>
  </xdr:twoCellAnchor>
  <xdr:twoCellAnchor editAs="oneCell">
    <xdr:from>
      <xdr:col>11</xdr:col>
      <xdr:colOff>332465</xdr:colOff>
      <xdr:row>11</xdr:row>
      <xdr:rowOff>139212</xdr:rowOff>
    </xdr:from>
    <xdr:to>
      <xdr:col>18</xdr:col>
      <xdr:colOff>189167</xdr:colOff>
      <xdr:row>24</xdr:row>
      <xdr:rowOff>16889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318137-AA0D-198F-0921-2DC73ADBC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73138" y="2234712"/>
          <a:ext cx="4113644" cy="2357987"/>
        </a:xfrm>
        <a:prstGeom prst="rect">
          <a:avLst/>
        </a:prstGeom>
      </xdr:spPr>
    </xdr:pic>
    <xdr:clientData/>
  </xdr:twoCellAnchor>
  <xdr:twoCellAnchor editAs="oneCell">
    <xdr:from>
      <xdr:col>19</xdr:col>
      <xdr:colOff>29309</xdr:colOff>
      <xdr:row>0</xdr:row>
      <xdr:rowOff>56418</xdr:rowOff>
    </xdr:from>
    <xdr:to>
      <xdr:col>26</xdr:col>
      <xdr:colOff>408050</xdr:colOff>
      <xdr:row>23</xdr:row>
      <xdr:rowOff>106094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BF8E5B-34A1-1E7C-A5D3-A24195158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35059" y="56418"/>
          <a:ext cx="4641398" cy="44789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138804</xdr:rowOff>
    </xdr:from>
    <xdr:to>
      <xdr:col>4</xdr:col>
      <xdr:colOff>217998</xdr:colOff>
      <xdr:row>38</xdr:row>
      <xdr:rowOff>54598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827D23-9A92-425F-97AE-D0714D70D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6" name="Picture 5">
          <a:extLst>
            <a:ext uri="{FF2B5EF4-FFF2-40B4-BE49-F238E27FC236}">
              <a16:creationId xmlns:a16="http://schemas.microsoft.com/office/drawing/2014/main" id="{763593A8-3518-4410-8232-1AFBDD150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446690</xdr:colOff>
      <xdr:row>12</xdr:row>
      <xdr:rowOff>89776</xdr:rowOff>
    </xdr:from>
    <xdr:to>
      <xdr:col>16</xdr:col>
      <xdr:colOff>2060</xdr:colOff>
      <xdr:row>23</xdr:row>
      <xdr:rowOff>16948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A4B0E3-8EC4-EA7E-1BA2-B66895DFB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5087" y="641569"/>
          <a:ext cx="1665716" cy="1756103"/>
        </a:xfrm>
        <a:prstGeom prst="rect">
          <a:avLst/>
        </a:prstGeom>
      </xdr:spPr>
    </xdr:pic>
    <xdr:clientData/>
  </xdr:twoCellAnchor>
  <xdr:twoCellAnchor editAs="oneCell">
    <xdr:from>
      <xdr:col>7</xdr:col>
      <xdr:colOff>374431</xdr:colOff>
      <xdr:row>40</xdr:row>
      <xdr:rowOff>49818</xdr:rowOff>
    </xdr:from>
    <xdr:to>
      <xdr:col>13</xdr:col>
      <xdr:colOff>222656</xdr:colOff>
      <xdr:row>50</xdr:row>
      <xdr:rowOff>76560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F8A71F-EA68-8CE6-6B56-F4EB1DAB1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45069" y="5226163"/>
          <a:ext cx="3106432" cy="16689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7978C23-DBAC-4AD8-850D-9447A2132972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3aaa0dd6-d969-488a-84a5-6b6d5c1a1379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5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Q43"/>
  <sheetViews>
    <sheetView showGridLines="0" zoomScale="130" zoomScaleNormal="130" workbookViewId="0">
      <selection activeCell="I44" sqref="I44"/>
    </sheetView>
  </sheetViews>
  <sheetFormatPr defaultRowHeight="15"/>
  <cols>
    <col min="1" max="1" width="9.85546875" style="1" customWidth="1"/>
    <col min="2" max="4" width="7.28515625" style="1"/>
    <col min="5" max="5" width="7.28515625" style="1" customWidth="1"/>
    <col min="6" max="6" width="4" style="104" customWidth="1"/>
    <col min="7" max="7" width="9.5703125" bestFit="1" customWidth="1"/>
    <col min="19" max="19" width="11.5703125" bestFit="1" customWidth="1"/>
  </cols>
  <sheetData>
    <row r="1" spans="1:11">
      <c r="A1" s="41" t="s">
        <v>45</v>
      </c>
      <c r="B1" s="26" t="s">
        <v>46</v>
      </c>
      <c r="C1" s="26" t="s">
        <v>47</v>
      </c>
      <c r="D1" s="26" t="s">
        <v>48</v>
      </c>
      <c r="E1" s="100" t="s">
        <v>213</v>
      </c>
      <c r="G1" s="287" t="s">
        <v>22</v>
      </c>
      <c r="H1" s="288"/>
      <c r="I1" s="288"/>
      <c r="J1" s="288"/>
      <c r="K1" s="288"/>
    </row>
    <row r="2" spans="1:11">
      <c r="A2" s="42"/>
      <c r="B2" s="26" t="s">
        <v>49</v>
      </c>
      <c r="C2" s="26" t="s">
        <v>49</v>
      </c>
      <c r="D2" s="26" t="s">
        <v>49</v>
      </c>
      <c r="E2" s="101"/>
      <c r="G2" s="289"/>
      <c r="H2" s="290"/>
      <c r="I2" s="290"/>
      <c r="J2" s="290"/>
      <c r="K2" s="290"/>
    </row>
    <row r="3" spans="1:11" ht="18">
      <c r="A3" s="27" t="s">
        <v>50</v>
      </c>
      <c r="B3" s="28">
        <f>2.06*10^5</f>
        <v>206000</v>
      </c>
      <c r="C3" s="28">
        <v>235</v>
      </c>
      <c r="D3" s="102">
        <v>370</v>
      </c>
      <c r="E3" s="103">
        <v>1.1000000000000001</v>
      </c>
      <c r="G3" s="19" t="s">
        <v>23</v>
      </c>
      <c r="H3" s="25" t="s">
        <v>40</v>
      </c>
      <c r="I3" s="25" t="s">
        <v>39</v>
      </c>
      <c r="J3" s="25" t="s">
        <v>37</v>
      </c>
      <c r="K3" s="25" t="s">
        <v>38</v>
      </c>
    </row>
    <row r="4" spans="1:11">
      <c r="A4" s="27" t="s">
        <v>51</v>
      </c>
      <c r="B4" s="28">
        <f t="shared" ref="B4:B33" si="0">2.06*10^5</f>
        <v>206000</v>
      </c>
      <c r="C4" s="28">
        <v>345</v>
      </c>
      <c r="D4" s="102">
        <v>510</v>
      </c>
      <c r="E4" s="103">
        <v>1.1000000000000001</v>
      </c>
      <c r="G4" s="19">
        <v>5.6</v>
      </c>
      <c r="H4" s="8">
        <v>500</v>
      </c>
      <c r="I4" s="8">
        <v>300</v>
      </c>
      <c r="J4" s="8">
        <v>210</v>
      </c>
      <c r="K4" s="8">
        <v>225</v>
      </c>
    </row>
    <row r="5" spans="1:11">
      <c r="A5" s="27" t="s">
        <v>214</v>
      </c>
      <c r="B5" s="28">
        <f t="shared" si="0"/>
        <v>206000</v>
      </c>
      <c r="C5" s="28">
        <v>355</v>
      </c>
      <c r="D5" s="102">
        <v>510</v>
      </c>
      <c r="E5" s="103">
        <v>1.1000000000000001</v>
      </c>
      <c r="G5" s="19">
        <v>5.8</v>
      </c>
      <c r="H5" s="8">
        <v>500</v>
      </c>
      <c r="I5" s="8">
        <v>400</v>
      </c>
      <c r="J5" s="8">
        <v>210</v>
      </c>
      <c r="K5" s="8">
        <v>210</v>
      </c>
    </row>
    <row r="6" spans="1:11">
      <c r="A6" s="27" t="s">
        <v>52</v>
      </c>
      <c r="B6" s="28">
        <f t="shared" si="0"/>
        <v>206000</v>
      </c>
      <c r="C6" s="28">
        <v>250</v>
      </c>
      <c r="D6" s="102">
        <v>400</v>
      </c>
      <c r="E6" s="103">
        <v>1.1000000000000001</v>
      </c>
      <c r="G6" s="19">
        <v>8.8000000000000007</v>
      </c>
      <c r="H6" s="8">
        <v>830</v>
      </c>
      <c r="I6" s="8">
        <v>660</v>
      </c>
      <c r="J6" s="8">
        <v>332</v>
      </c>
      <c r="K6" s="8">
        <v>448</v>
      </c>
    </row>
    <row r="7" spans="1:11">
      <c r="A7" s="27" t="s">
        <v>53</v>
      </c>
      <c r="B7" s="28">
        <f t="shared" si="0"/>
        <v>206000</v>
      </c>
      <c r="C7" s="28">
        <v>345</v>
      </c>
      <c r="D7" s="102">
        <v>450</v>
      </c>
      <c r="E7" s="103">
        <v>1.1000000000000001</v>
      </c>
      <c r="G7" s="19">
        <v>10.9</v>
      </c>
      <c r="H7" s="8">
        <v>1040</v>
      </c>
      <c r="I7" s="8">
        <v>940</v>
      </c>
      <c r="J7" s="8">
        <v>416</v>
      </c>
      <c r="K7" s="8">
        <v>728</v>
      </c>
    </row>
    <row r="8" spans="1:11">
      <c r="A8" s="27" t="s">
        <v>54</v>
      </c>
      <c r="B8" s="28">
        <f t="shared" si="0"/>
        <v>206000</v>
      </c>
      <c r="C8" s="28">
        <v>235</v>
      </c>
      <c r="D8" s="102">
        <v>360</v>
      </c>
      <c r="E8" s="103">
        <v>1.05</v>
      </c>
      <c r="G8" s="19">
        <v>12.9</v>
      </c>
      <c r="H8" s="8">
        <v>1220</v>
      </c>
      <c r="I8" s="8">
        <v>1100</v>
      </c>
      <c r="J8" s="8">
        <v>427</v>
      </c>
      <c r="K8" s="8">
        <v>854</v>
      </c>
    </row>
    <row r="9" spans="1:11">
      <c r="A9" s="27" t="s">
        <v>55</v>
      </c>
      <c r="B9" s="28">
        <f t="shared" si="0"/>
        <v>206000</v>
      </c>
      <c r="C9" s="28">
        <v>225</v>
      </c>
      <c r="D9" s="102">
        <v>360</v>
      </c>
      <c r="E9" s="103">
        <v>1.05</v>
      </c>
    </row>
    <row r="10" spans="1:11">
      <c r="A10" s="27" t="s">
        <v>56</v>
      </c>
      <c r="B10" s="28">
        <f t="shared" si="0"/>
        <v>206000</v>
      </c>
      <c r="C10" s="28">
        <v>215</v>
      </c>
      <c r="D10" s="102">
        <v>360</v>
      </c>
      <c r="E10" s="103">
        <v>1.05</v>
      </c>
      <c r="G10" s="287" t="s">
        <v>27</v>
      </c>
      <c r="H10" s="288"/>
      <c r="I10" s="288"/>
      <c r="J10" s="288"/>
      <c r="K10" s="288"/>
    </row>
    <row r="11" spans="1:11">
      <c r="A11" s="27" t="s">
        <v>57</v>
      </c>
      <c r="B11" s="28">
        <f t="shared" si="0"/>
        <v>206000</v>
      </c>
      <c r="C11" s="28">
        <v>215</v>
      </c>
      <c r="D11" s="102">
        <v>360</v>
      </c>
      <c r="E11" s="103">
        <v>1.05</v>
      </c>
      <c r="G11" s="289"/>
      <c r="H11" s="290"/>
      <c r="I11" s="290"/>
      <c r="J11" s="290"/>
      <c r="K11" s="290"/>
    </row>
    <row r="12" spans="1:11">
      <c r="A12" s="27" t="s">
        <v>58</v>
      </c>
      <c r="B12" s="28">
        <f t="shared" si="0"/>
        <v>206000</v>
      </c>
      <c r="C12" s="28">
        <v>215</v>
      </c>
      <c r="D12" s="102">
        <v>360</v>
      </c>
      <c r="E12" s="103">
        <v>1.05</v>
      </c>
      <c r="G12" s="291" t="s">
        <v>41</v>
      </c>
      <c r="H12" s="292" t="s">
        <v>30</v>
      </c>
      <c r="I12" s="292"/>
    </row>
    <row r="13" spans="1:11">
      <c r="A13" s="27" t="s">
        <v>59</v>
      </c>
      <c r="B13" s="28">
        <f t="shared" si="0"/>
        <v>206000</v>
      </c>
      <c r="C13" s="28">
        <v>275</v>
      </c>
      <c r="D13" s="102">
        <v>410</v>
      </c>
      <c r="E13" s="103">
        <v>1.05</v>
      </c>
      <c r="G13" s="292"/>
      <c r="H13" s="19" t="s">
        <v>28</v>
      </c>
      <c r="I13" s="19" t="s">
        <v>29</v>
      </c>
    </row>
    <row r="14" spans="1:11">
      <c r="A14" s="27" t="s">
        <v>60</v>
      </c>
      <c r="B14" s="28">
        <f t="shared" si="0"/>
        <v>206000</v>
      </c>
      <c r="C14" s="28">
        <v>265</v>
      </c>
      <c r="D14" s="102">
        <v>410</v>
      </c>
      <c r="E14" s="103">
        <v>1.05</v>
      </c>
      <c r="G14" s="18">
        <v>360</v>
      </c>
      <c r="H14" s="20">
        <v>560</v>
      </c>
      <c r="I14" s="18">
        <v>475</v>
      </c>
    </row>
    <row r="15" spans="1:11">
      <c r="A15" s="27" t="s">
        <v>61</v>
      </c>
      <c r="B15" s="28">
        <f t="shared" si="0"/>
        <v>206000</v>
      </c>
      <c r="C15" s="28">
        <v>255</v>
      </c>
      <c r="D15" s="102">
        <v>410</v>
      </c>
      <c r="E15" s="103">
        <v>1.05</v>
      </c>
      <c r="G15" s="18">
        <f>G14+10</f>
        <v>370</v>
      </c>
      <c r="H15" s="20">
        <v>580</v>
      </c>
      <c r="I15" s="18">
        <v>485</v>
      </c>
    </row>
    <row r="16" spans="1:11">
      <c r="A16" s="27" t="s">
        <v>62</v>
      </c>
      <c r="B16" s="28">
        <f t="shared" si="0"/>
        <v>206000</v>
      </c>
      <c r="C16" s="28">
        <v>245</v>
      </c>
      <c r="D16" s="102">
        <v>410</v>
      </c>
      <c r="E16" s="103">
        <v>1.05</v>
      </c>
      <c r="G16" s="18">
        <f t="shared" ref="G16:G24" si="1">G15+10</f>
        <v>380</v>
      </c>
      <c r="H16" s="20">
        <v>590</v>
      </c>
      <c r="I16" s="18">
        <v>500</v>
      </c>
    </row>
    <row r="17" spans="1:17">
      <c r="A17" s="27" t="s">
        <v>63</v>
      </c>
      <c r="B17" s="28">
        <f t="shared" si="0"/>
        <v>206000</v>
      </c>
      <c r="C17" s="28">
        <v>235</v>
      </c>
      <c r="D17" s="102">
        <v>410</v>
      </c>
      <c r="E17" s="103">
        <v>1.05</v>
      </c>
      <c r="G17" s="18">
        <f t="shared" si="1"/>
        <v>390</v>
      </c>
      <c r="H17" s="20">
        <v>610</v>
      </c>
      <c r="I17" s="18">
        <v>515</v>
      </c>
    </row>
    <row r="18" spans="1:17">
      <c r="A18" s="27" t="s">
        <v>64</v>
      </c>
      <c r="B18" s="28">
        <f t="shared" si="0"/>
        <v>206000</v>
      </c>
      <c r="C18" s="28">
        <v>355</v>
      </c>
      <c r="D18" s="102">
        <v>470</v>
      </c>
      <c r="E18" s="103">
        <v>1.05</v>
      </c>
      <c r="G18" s="18">
        <v>430</v>
      </c>
      <c r="H18" s="20">
        <v>670</v>
      </c>
      <c r="I18" s="18">
        <v>565</v>
      </c>
    </row>
    <row r="19" spans="1:17">
      <c r="A19" s="27" t="s">
        <v>65</v>
      </c>
      <c r="B19" s="28">
        <f t="shared" si="0"/>
        <v>206000</v>
      </c>
      <c r="C19" s="28">
        <v>345</v>
      </c>
      <c r="D19" s="102">
        <v>470</v>
      </c>
      <c r="E19" s="103">
        <v>1.05</v>
      </c>
      <c r="G19" s="18">
        <f t="shared" si="1"/>
        <v>440</v>
      </c>
      <c r="H19" s="20">
        <v>685</v>
      </c>
      <c r="I19" s="18">
        <v>580</v>
      </c>
    </row>
    <row r="20" spans="1:17">
      <c r="A20" s="27" t="s">
        <v>66</v>
      </c>
      <c r="B20" s="28">
        <f t="shared" si="0"/>
        <v>206000</v>
      </c>
      <c r="C20" s="28">
        <v>335</v>
      </c>
      <c r="D20" s="102">
        <v>470</v>
      </c>
      <c r="E20" s="103">
        <v>1.05</v>
      </c>
      <c r="G20" s="18">
        <f t="shared" si="1"/>
        <v>450</v>
      </c>
      <c r="H20" s="20">
        <v>700</v>
      </c>
      <c r="I20" s="18">
        <v>595</v>
      </c>
    </row>
    <row r="21" spans="1:17">
      <c r="A21" s="27" t="s">
        <v>67</v>
      </c>
      <c r="B21" s="28">
        <f t="shared" si="0"/>
        <v>206000</v>
      </c>
      <c r="C21" s="28">
        <v>325</v>
      </c>
      <c r="D21" s="102">
        <v>470</v>
      </c>
      <c r="E21" s="103">
        <v>1.05</v>
      </c>
      <c r="G21" s="18">
        <f t="shared" si="1"/>
        <v>460</v>
      </c>
      <c r="H21" s="20">
        <v>720</v>
      </c>
      <c r="I21" s="18">
        <v>605</v>
      </c>
    </row>
    <row r="22" spans="1:17">
      <c r="A22" s="27" t="s">
        <v>68</v>
      </c>
      <c r="B22" s="28">
        <f t="shared" si="0"/>
        <v>206000</v>
      </c>
      <c r="C22" s="28">
        <v>315</v>
      </c>
      <c r="D22" s="102">
        <v>470</v>
      </c>
      <c r="E22" s="103">
        <v>1.05</v>
      </c>
      <c r="G22" s="18">
        <f t="shared" si="1"/>
        <v>470</v>
      </c>
      <c r="H22" s="20">
        <v>735</v>
      </c>
      <c r="I22" s="18">
        <v>620</v>
      </c>
    </row>
    <row r="23" spans="1:17">
      <c r="A23" s="27" t="s">
        <v>139</v>
      </c>
      <c r="B23" s="28">
        <f t="shared" si="0"/>
        <v>206000</v>
      </c>
      <c r="C23" s="28">
        <v>205</v>
      </c>
      <c r="D23" s="102">
        <v>330</v>
      </c>
      <c r="E23" s="103">
        <v>1.05</v>
      </c>
      <c r="G23" s="18">
        <f t="shared" si="1"/>
        <v>480</v>
      </c>
      <c r="H23" s="20">
        <v>750</v>
      </c>
      <c r="I23" s="18">
        <v>630</v>
      </c>
    </row>
    <row r="24" spans="1:17">
      <c r="A24" s="27" t="s">
        <v>140</v>
      </c>
      <c r="B24" s="28">
        <f t="shared" si="0"/>
        <v>206000</v>
      </c>
      <c r="C24" s="28">
        <v>195</v>
      </c>
      <c r="D24" s="102">
        <v>330</v>
      </c>
      <c r="E24" s="103">
        <v>1.05</v>
      </c>
      <c r="G24" s="18">
        <f t="shared" si="1"/>
        <v>490</v>
      </c>
      <c r="H24" s="20">
        <v>765</v>
      </c>
      <c r="I24" s="18">
        <v>645</v>
      </c>
    </row>
    <row r="25" spans="1:17">
      <c r="A25" s="27" t="s">
        <v>141</v>
      </c>
      <c r="B25" s="28">
        <f t="shared" si="0"/>
        <v>206000</v>
      </c>
      <c r="C25" s="28">
        <v>245</v>
      </c>
      <c r="D25" s="102">
        <v>400</v>
      </c>
      <c r="E25" s="103">
        <v>1.05</v>
      </c>
      <c r="G25" s="18">
        <v>510</v>
      </c>
      <c r="H25" s="20">
        <v>795</v>
      </c>
      <c r="I25" s="18">
        <v>670</v>
      </c>
    </row>
    <row r="26" spans="1:17">
      <c r="A26" s="27" t="s">
        <v>142</v>
      </c>
      <c r="B26" s="28">
        <f t="shared" si="0"/>
        <v>206000</v>
      </c>
      <c r="C26" s="28">
        <v>235</v>
      </c>
      <c r="D26" s="102">
        <v>400</v>
      </c>
      <c r="E26" s="103">
        <v>1.05</v>
      </c>
      <c r="G26" s="18">
        <v>540</v>
      </c>
      <c r="H26" s="20">
        <v>845</v>
      </c>
      <c r="I26" s="18">
        <v>710</v>
      </c>
    </row>
    <row r="27" spans="1:17">
      <c r="A27" s="27" t="s">
        <v>143</v>
      </c>
      <c r="B27" s="28">
        <f t="shared" si="0"/>
        <v>206000</v>
      </c>
      <c r="C27" s="28">
        <v>285</v>
      </c>
      <c r="D27" s="102">
        <v>490</v>
      </c>
      <c r="E27" s="103">
        <v>1.05</v>
      </c>
      <c r="G27" s="18">
        <v>570</v>
      </c>
      <c r="H27" s="20">
        <v>890</v>
      </c>
      <c r="I27" s="18">
        <v>750</v>
      </c>
    </row>
    <row r="28" spans="1:17">
      <c r="A28" s="27" t="s">
        <v>144</v>
      </c>
      <c r="B28" s="28">
        <f t="shared" si="0"/>
        <v>206000</v>
      </c>
      <c r="C28" s="28">
        <v>275</v>
      </c>
      <c r="D28" s="102">
        <v>490</v>
      </c>
      <c r="E28" s="103">
        <v>1.05</v>
      </c>
      <c r="G28" s="18">
        <v>590</v>
      </c>
      <c r="H28" s="20">
        <v>920</v>
      </c>
      <c r="I28" s="18">
        <v>775</v>
      </c>
    </row>
    <row r="29" spans="1:17">
      <c r="A29" s="27" t="s">
        <v>145</v>
      </c>
      <c r="B29" s="28">
        <f t="shared" si="0"/>
        <v>206000</v>
      </c>
      <c r="C29" s="28">
        <v>400</v>
      </c>
      <c r="D29" s="102">
        <v>540</v>
      </c>
      <c r="E29" s="103">
        <v>1.05</v>
      </c>
    </row>
    <row r="30" spans="1:17">
      <c r="A30" s="27" t="s">
        <v>146</v>
      </c>
      <c r="B30" s="28">
        <f t="shared" si="0"/>
        <v>206000</v>
      </c>
      <c r="C30" s="28">
        <v>390</v>
      </c>
      <c r="D30" s="102">
        <v>540</v>
      </c>
      <c r="E30" s="103">
        <v>1.05</v>
      </c>
      <c r="G30" s="293" t="s">
        <v>31</v>
      </c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1" spans="1:17">
      <c r="A31" s="27" t="s">
        <v>215</v>
      </c>
      <c r="B31" s="28">
        <f t="shared" si="0"/>
        <v>206000</v>
      </c>
      <c r="C31" s="28">
        <v>220</v>
      </c>
      <c r="D31" s="102">
        <v>340</v>
      </c>
      <c r="E31" s="103">
        <v>1.05</v>
      </c>
      <c r="G31" s="21" t="s">
        <v>32</v>
      </c>
      <c r="H31" s="22">
        <v>16</v>
      </c>
      <c r="I31" s="22">
        <v>18</v>
      </c>
      <c r="J31" s="22">
        <v>20</v>
      </c>
      <c r="K31" s="22">
        <v>22</v>
      </c>
      <c r="L31" s="22">
        <v>24</v>
      </c>
      <c r="M31" s="22">
        <v>27</v>
      </c>
      <c r="N31" s="22">
        <v>30</v>
      </c>
      <c r="O31" s="22">
        <v>36</v>
      </c>
      <c r="P31" s="22">
        <v>42</v>
      </c>
      <c r="Q31" s="22">
        <v>48</v>
      </c>
    </row>
    <row r="32" spans="1:17">
      <c r="A32" s="27" t="s">
        <v>216</v>
      </c>
      <c r="B32" s="28">
        <f t="shared" si="0"/>
        <v>206000</v>
      </c>
      <c r="C32" s="28">
        <v>240</v>
      </c>
      <c r="D32" s="102">
        <v>380</v>
      </c>
      <c r="E32" s="103">
        <v>1.05</v>
      </c>
      <c r="G32" s="21" t="s">
        <v>33</v>
      </c>
      <c r="H32" s="7">
        <v>2</v>
      </c>
      <c r="I32" s="7">
        <v>2.5</v>
      </c>
      <c r="J32" s="7">
        <v>2.5</v>
      </c>
      <c r="K32" s="7">
        <v>2.5</v>
      </c>
      <c r="L32" s="7">
        <v>3</v>
      </c>
      <c r="M32" s="7">
        <v>3</v>
      </c>
      <c r="N32" s="7">
        <v>3.5</v>
      </c>
      <c r="O32" s="7">
        <v>4</v>
      </c>
      <c r="P32" s="7">
        <v>4.5</v>
      </c>
      <c r="Q32" s="7">
        <v>5</v>
      </c>
    </row>
    <row r="33" spans="1:17">
      <c r="A33" s="27" t="s">
        <v>217</v>
      </c>
      <c r="B33" s="28">
        <f t="shared" si="0"/>
        <v>206000</v>
      </c>
      <c r="C33" s="28">
        <v>260</v>
      </c>
      <c r="D33" s="102">
        <v>420</v>
      </c>
      <c r="E33" s="103">
        <v>1.05</v>
      </c>
      <c r="G33" s="21" t="s">
        <v>34</v>
      </c>
      <c r="H33" s="23">
        <f>PI()*H31^2/4</f>
        <v>201.06192982974676</v>
      </c>
      <c r="I33" s="23">
        <f t="shared" ref="I33:Q33" si="2">PI()*I31^2/4</f>
        <v>254.46900494077323</v>
      </c>
      <c r="J33" s="23">
        <f t="shared" si="2"/>
        <v>314.15926535897933</v>
      </c>
      <c r="K33" s="23">
        <f t="shared" si="2"/>
        <v>380.13271108436498</v>
      </c>
      <c r="L33" s="23">
        <f t="shared" si="2"/>
        <v>452.38934211693021</v>
      </c>
      <c r="M33" s="23">
        <f t="shared" si="2"/>
        <v>572.55526111673976</v>
      </c>
      <c r="N33" s="23">
        <f t="shared" si="2"/>
        <v>706.85834705770344</v>
      </c>
      <c r="O33" s="23">
        <f t="shared" si="2"/>
        <v>1017.8760197630929</v>
      </c>
      <c r="P33" s="23">
        <f t="shared" si="2"/>
        <v>1385.4423602330987</v>
      </c>
      <c r="Q33" s="23">
        <f t="shared" si="2"/>
        <v>1809.5573684677208</v>
      </c>
    </row>
    <row r="34" spans="1:17">
      <c r="G34" s="21" t="s">
        <v>35</v>
      </c>
      <c r="H34" s="7">
        <v>157</v>
      </c>
      <c r="I34" s="7">
        <v>192</v>
      </c>
      <c r="J34" s="7">
        <v>245</v>
      </c>
      <c r="K34" s="7">
        <v>303</v>
      </c>
      <c r="L34" s="7">
        <v>353</v>
      </c>
      <c r="M34" s="7">
        <v>459</v>
      </c>
      <c r="N34" s="7">
        <v>561</v>
      </c>
      <c r="O34" s="7">
        <v>816</v>
      </c>
      <c r="P34" s="7">
        <v>1120</v>
      </c>
      <c r="Q34" s="7">
        <v>1472</v>
      </c>
    </row>
    <row r="35" spans="1:17">
      <c r="G35" s="24" t="s">
        <v>36</v>
      </c>
      <c r="H35" s="7">
        <v>1</v>
      </c>
      <c r="I35" s="7">
        <v>1.05</v>
      </c>
      <c r="J35" s="7">
        <v>1.1000000000000001</v>
      </c>
      <c r="K35" s="7">
        <v>1.1000000000000001</v>
      </c>
      <c r="L35" s="7">
        <v>1.1000000000000001</v>
      </c>
      <c r="M35" s="7">
        <v>1.2</v>
      </c>
      <c r="N35" s="7">
        <v>1.3</v>
      </c>
      <c r="O35" s="7">
        <v>1.3</v>
      </c>
      <c r="P35" s="7">
        <v>1.6</v>
      </c>
      <c r="Q35" s="7">
        <v>1.6</v>
      </c>
    </row>
    <row r="37" spans="1:17">
      <c r="L37" s="284" t="s">
        <v>69</v>
      </c>
      <c r="M37" s="285"/>
      <c r="N37" s="286"/>
    </row>
    <row r="38" spans="1:17">
      <c r="L38" s="26" t="s">
        <v>70</v>
      </c>
      <c r="M38" s="26" t="s">
        <v>71</v>
      </c>
      <c r="N38" s="26" t="s">
        <v>72</v>
      </c>
    </row>
    <row r="39" spans="1:17">
      <c r="L39" s="7" t="s">
        <v>73</v>
      </c>
      <c r="M39" s="7">
        <v>430</v>
      </c>
      <c r="N39" s="7">
        <v>180</v>
      </c>
    </row>
    <row r="40" spans="1:17">
      <c r="L40" s="7" t="s">
        <v>74</v>
      </c>
      <c r="M40" s="7">
        <v>510</v>
      </c>
      <c r="N40" s="7">
        <v>225</v>
      </c>
    </row>
    <row r="41" spans="1:17">
      <c r="L41" s="7" t="s">
        <v>13</v>
      </c>
      <c r="M41" s="7">
        <v>410</v>
      </c>
      <c r="N41" s="7">
        <v>180</v>
      </c>
    </row>
    <row r="42" spans="1:17">
      <c r="L42" s="7" t="s">
        <v>75</v>
      </c>
      <c r="M42" s="7">
        <v>450</v>
      </c>
      <c r="N42" s="7">
        <v>200</v>
      </c>
    </row>
    <row r="43" spans="1:17">
      <c r="L43" s="7" t="s">
        <v>76</v>
      </c>
      <c r="M43" s="7">
        <v>490</v>
      </c>
      <c r="N43" s="7">
        <v>215</v>
      </c>
    </row>
  </sheetData>
  <mergeCells count="6">
    <mergeCell ref="L37:N37"/>
    <mergeCell ref="G1:K2"/>
    <mergeCell ref="G10:K11"/>
    <mergeCell ref="G12:G13"/>
    <mergeCell ref="H12:I12"/>
    <mergeCell ref="G30:Q3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DB6-365D-4184-BB83-0AD8F3BD7053}">
  <sheetPr codeName="Sheet3">
    <tabColor rgb="FFC00000"/>
    <pageSetUpPr fitToPage="1"/>
  </sheetPr>
  <dimension ref="A1:FZ900"/>
  <sheetViews>
    <sheetView showGridLines="0" tabSelected="1" topLeftCell="M10" zoomScale="145" zoomScaleNormal="145" zoomScaleSheetLayoutView="100" workbookViewId="0">
      <selection activeCell="U25" sqref="U25"/>
    </sheetView>
  </sheetViews>
  <sheetFormatPr defaultColWidth="7.28515625" defaultRowHeight="12.75"/>
  <cols>
    <col min="1" max="6" width="6.7109375" style="1" customWidth="1"/>
    <col min="7" max="7" width="2.85546875" style="2" customWidth="1"/>
    <col min="8" max="8" width="10.5703125" style="1" bestFit="1" customWidth="1"/>
    <col min="9" max="9" width="8" style="1" bestFit="1" customWidth="1"/>
    <col min="10" max="10" width="8.42578125" style="1" bestFit="1" customWidth="1"/>
    <col min="11" max="11" width="7.28515625" style="1"/>
    <col min="12" max="12" width="7.28515625" style="1" customWidth="1"/>
    <col min="13" max="13" width="7.28515625" style="1"/>
    <col min="14" max="14" width="8.5703125" style="1" customWidth="1"/>
    <col min="15" max="15" width="7.7109375" style="1" customWidth="1"/>
    <col min="16" max="16" width="8.140625" style="1" bestFit="1" customWidth="1"/>
    <col min="17" max="17" width="8.140625" style="1" customWidth="1"/>
    <col min="18" max="18" width="8" style="1" customWidth="1"/>
    <col min="19" max="19" width="7.7109375" style="1" customWidth="1"/>
    <col min="20" max="20" width="10" style="1" customWidth="1"/>
    <col min="21" max="21" width="12.5703125" style="1" bestFit="1" customWidth="1"/>
    <col min="22" max="22" width="7.28515625" style="1" customWidth="1"/>
    <col min="23" max="25" width="7.28515625" style="1" hidden="1" customWidth="1"/>
    <col min="26" max="26" width="2.85546875" style="2" customWidth="1"/>
    <col min="27" max="29" width="5.28515625" style="86" customWidth="1"/>
    <col min="30" max="30" width="5.28515625" style="87" customWidth="1"/>
    <col min="31" max="35" width="5.28515625" style="44" customWidth="1"/>
    <col min="36" max="36" width="13.7109375" style="44" bestFit="1" customWidth="1"/>
    <col min="37" max="43" width="5.28515625" style="86" customWidth="1"/>
    <col min="44" max="44" width="18.28515625" style="86" bestFit="1" customWidth="1"/>
    <col min="45" max="45" width="7.5703125" style="86" customWidth="1"/>
    <col min="46" max="47" width="5.7109375" style="90" customWidth="1"/>
    <col min="48" max="50" width="0" style="45" hidden="1" customWidth="1"/>
    <col min="51" max="51" width="7.28515625" style="45"/>
    <col min="52" max="52" width="0" style="72" hidden="1" customWidth="1"/>
    <col min="53" max="56" width="7.28515625" style="72" customWidth="1"/>
    <col min="57" max="62" width="4.7109375" style="72" customWidth="1"/>
    <col min="63" max="63" width="4.7109375" style="32" customWidth="1"/>
    <col min="64" max="64" width="7.42578125" style="32" bestFit="1" customWidth="1"/>
    <col min="65" max="67" width="4.7109375" style="32" customWidth="1"/>
    <col min="68" max="68" width="8.140625" style="32" bestFit="1" customWidth="1"/>
    <col min="69" max="77" width="4.7109375" style="32" customWidth="1"/>
    <col min="78" max="78" width="5.42578125" style="32" customWidth="1"/>
    <col min="79" max="79" width="6" style="32" bestFit="1" customWidth="1"/>
    <col min="80" max="84" width="4.7109375" style="32" customWidth="1"/>
    <col min="85" max="103" width="7.28515625" style="1" hidden="1" customWidth="1"/>
    <col min="104" max="104" width="2.85546875" style="2" customWidth="1"/>
    <col min="105" max="107" width="5.28515625" style="86" customWidth="1"/>
    <col min="108" max="108" width="5.28515625" style="87" customWidth="1"/>
    <col min="109" max="113" width="5.28515625" style="44" hidden="1" customWidth="1"/>
    <col min="114" max="114" width="13.7109375" style="44" bestFit="1" customWidth="1"/>
    <col min="115" max="121" width="5.28515625" style="86" hidden="1" customWidth="1"/>
    <col min="122" max="122" width="18.28515625" style="86" bestFit="1" customWidth="1"/>
    <col min="123" max="123" width="7.5703125" style="86" customWidth="1"/>
    <col min="124" max="125" width="5.7109375" style="90" customWidth="1"/>
    <col min="126" max="128" width="0" style="45" hidden="1" customWidth="1"/>
    <col min="129" max="129" width="8" style="45" bestFit="1" customWidth="1"/>
    <col min="130" max="130" width="0" style="72" hidden="1" customWidth="1"/>
    <col min="131" max="134" width="7.28515625" style="72" hidden="1" customWidth="1"/>
    <col min="135" max="140" width="4.7109375" style="72" hidden="1" customWidth="1"/>
    <col min="141" max="141" width="4.7109375" style="32" hidden="1" customWidth="1"/>
    <col min="142" max="142" width="5.42578125" style="32" hidden="1" customWidth="1"/>
    <col min="143" max="144" width="4.7109375" style="32" customWidth="1"/>
    <col min="145" max="145" width="4.7109375" style="32" hidden="1" customWidth="1"/>
    <col min="146" max="146" width="8.140625" style="32" hidden="1" customWidth="1"/>
    <col min="147" max="147" width="4.7109375" style="32" hidden="1" customWidth="1"/>
    <col min="148" max="151" width="4.7109375" style="32" customWidth="1"/>
    <col min="152" max="155" width="4.7109375" style="32" hidden="1" customWidth="1"/>
    <col min="156" max="156" width="5.42578125" style="32" hidden="1" customWidth="1"/>
    <col min="157" max="157" width="6" style="32" hidden="1" customWidth="1"/>
    <col min="158" max="160" width="4.7109375" style="32" hidden="1" customWidth="1"/>
    <col min="161" max="162" width="4.7109375" style="32" customWidth="1"/>
    <col min="163" max="181" width="7.28515625" style="1" hidden="1" customWidth="1"/>
    <col min="182" max="182" width="2.85546875" style="2" customWidth="1"/>
    <col min="183" max="16384" width="7.28515625" style="1"/>
  </cols>
  <sheetData>
    <row r="1" spans="1:182" ht="12.75" hidden="1" customHeight="1">
      <c r="AA1" s="37"/>
      <c r="AB1" s="37"/>
      <c r="AC1" s="37"/>
      <c r="AD1" s="70"/>
      <c r="AE1" s="33"/>
      <c r="AF1" s="33"/>
      <c r="AG1" s="33"/>
      <c r="AH1" s="33"/>
      <c r="AI1" s="33"/>
      <c r="AJ1" s="33"/>
      <c r="AK1" s="37"/>
      <c r="AL1" s="37"/>
      <c r="AM1" s="37"/>
      <c r="AN1" s="37"/>
      <c r="AO1" s="37"/>
      <c r="AP1" s="37"/>
      <c r="AQ1" s="37"/>
      <c r="AR1" s="37"/>
      <c r="AS1" s="37"/>
      <c r="AT1" s="71"/>
      <c r="AU1" s="71"/>
      <c r="AV1" s="72"/>
      <c r="AW1" s="72"/>
      <c r="AX1" s="72"/>
      <c r="AY1" s="72"/>
      <c r="DA1" s="37"/>
      <c r="DB1" s="37"/>
      <c r="DC1" s="37"/>
      <c r="DD1" s="70"/>
      <c r="DE1" s="33"/>
      <c r="DF1" s="33"/>
      <c r="DG1" s="33"/>
      <c r="DH1" s="33"/>
      <c r="DI1" s="33"/>
      <c r="DJ1" s="33"/>
      <c r="DK1" s="37"/>
      <c r="DL1" s="37"/>
      <c r="DM1" s="37"/>
      <c r="DN1" s="37"/>
      <c r="DO1" s="37"/>
      <c r="DP1" s="37"/>
      <c r="DQ1" s="37"/>
      <c r="DR1" s="37"/>
      <c r="DS1" s="37"/>
      <c r="DT1" s="71"/>
      <c r="DU1" s="71"/>
      <c r="DV1" s="72"/>
      <c r="DW1" s="72"/>
      <c r="DX1" s="72"/>
      <c r="DY1" s="72"/>
    </row>
    <row r="2" spans="1:182" ht="12.75" hidden="1" customHeight="1">
      <c r="AA2" s="37"/>
      <c r="AB2" s="37"/>
      <c r="AC2" s="37"/>
      <c r="AD2" s="70"/>
      <c r="AE2" s="33"/>
      <c r="AF2" s="33"/>
      <c r="AG2" s="33"/>
      <c r="AH2" s="33"/>
      <c r="AI2" s="33"/>
      <c r="AJ2" s="33"/>
      <c r="AK2" s="37"/>
      <c r="AL2" s="37"/>
      <c r="AM2" s="37"/>
      <c r="AN2" s="37"/>
      <c r="AO2" s="37"/>
      <c r="AP2" s="37"/>
      <c r="AQ2" s="37"/>
      <c r="AR2" s="37"/>
      <c r="AS2" s="37"/>
      <c r="AT2" s="71"/>
      <c r="AU2" s="71"/>
      <c r="AV2" s="72"/>
      <c r="AW2" s="72"/>
      <c r="AX2" s="72"/>
      <c r="AY2" s="72"/>
      <c r="DA2" s="37"/>
      <c r="DB2" s="37"/>
      <c r="DC2" s="37"/>
      <c r="DD2" s="70"/>
      <c r="DE2" s="33"/>
      <c r="DF2" s="33"/>
      <c r="DG2" s="33"/>
      <c r="DH2" s="33"/>
      <c r="DI2" s="33"/>
      <c r="DJ2" s="33"/>
      <c r="DK2" s="37"/>
      <c r="DL2" s="37"/>
      <c r="DM2" s="37"/>
      <c r="DN2" s="37"/>
      <c r="DO2" s="37"/>
      <c r="DP2" s="37"/>
      <c r="DQ2" s="37"/>
      <c r="DR2" s="37"/>
      <c r="DS2" s="37"/>
      <c r="DT2" s="71"/>
      <c r="DU2" s="71"/>
      <c r="DV2" s="72"/>
      <c r="DW2" s="72"/>
      <c r="DX2" s="72"/>
      <c r="DY2" s="72"/>
    </row>
    <row r="3" spans="1:182" ht="12.75" hidden="1" customHeight="1">
      <c r="AA3" s="37"/>
      <c r="AB3" s="37"/>
      <c r="AC3" s="37"/>
      <c r="AD3" s="70"/>
      <c r="AE3" s="33"/>
      <c r="AF3" s="33"/>
      <c r="AG3" s="33"/>
      <c r="AH3" s="33"/>
      <c r="AI3" s="33"/>
      <c r="AJ3" s="33"/>
      <c r="AK3" s="37"/>
      <c r="AL3" s="37"/>
      <c r="AM3" s="37"/>
      <c r="AN3" s="37"/>
      <c r="AO3" s="37"/>
      <c r="AP3" s="37"/>
      <c r="AQ3" s="37"/>
      <c r="AR3" s="37"/>
      <c r="AS3" s="37"/>
      <c r="AT3" s="71"/>
      <c r="AU3" s="71"/>
      <c r="AV3" s="72"/>
      <c r="AW3" s="72"/>
      <c r="AX3" s="72"/>
      <c r="AY3" s="72"/>
      <c r="DA3" s="37"/>
      <c r="DB3" s="37"/>
      <c r="DC3" s="37"/>
      <c r="DD3" s="70"/>
      <c r="DE3" s="33"/>
      <c r="DF3" s="33"/>
      <c r="DG3" s="33"/>
      <c r="DH3" s="33"/>
      <c r="DI3" s="33"/>
      <c r="DJ3" s="33"/>
      <c r="DK3" s="37"/>
      <c r="DL3" s="37"/>
      <c r="DM3" s="37"/>
      <c r="DN3" s="37"/>
      <c r="DO3" s="37"/>
      <c r="DP3" s="37"/>
      <c r="DQ3" s="37"/>
      <c r="DR3" s="37"/>
      <c r="DS3" s="37"/>
      <c r="DT3" s="71"/>
      <c r="DU3" s="71"/>
      <c r="DV3" s="72"/>
      <c r="DW3" s="72"/>
      <c r="DX3" s="72"/>
      <c r="DY3" s="72"/>
    </row>
    <row r="4" spans="1:182" ht="12.75" hidden="1" customHeight="1">
      <c r="AA4" s="37"/>
      <c r="AB4" s="37"/>
      <c r="AC4" s="37"/>
      <c r="AD4" s="70"/>
      <c r="AE4" s="33"/>
      <c r="AF4" s="33"/>
      <c r="AG4" s="33"/>
      <c r="AH4" s="33"/>
      <c r="AI4" s="33"/>
      <c r="AJ4" s="33"/>
      <c r="AK4" s="37"/>
      <c r="AL4" s="37"/>
      <c r="AM4" s="37"/>
      <c r="AN4" s="37"/>
      <c r="AO4" s="37"/>
      <c r="AP4" s="37"/>
      <c r="AQ4" s="37"/>
      <c r="AR4" s="37"/>
      <c r="AS4" s="37"/>
      <c r="AT4" s="71"/>
      <c r="AU4" s="71"/>
      <c r="AV4" s="72"/>
      <c r="AW4" s="72"/>
      <c r="AX4" s="72"/>
      <c r="AY4" s="72"/>
      <c r="DA4" s="37"/>
      <c r="DB4" s="37"/>
      <c r="DC4" s="37"/>
      <c r="DD4" s="70"/>
      <c r="DE4" s="33"/>
      <c r="DF4" s="33"/>
      <c r="DG4" s="33"/>
      <c r="DH4" s="33"/>
      <c r="DI4" s="33"/>
      <c r="DJ4" s="33"/>
      <c r="DK4" s="37"/>
      <c r="DL4" s="37"/>
      <c r="DM4" s="37"/>
      <c r="DN4" s="37"/>
      <c r="DO4" s="37"/>
      <c r="DP4" s="37"/>
      <c r="DQ4" s="37"/>
      <c r="DR4" s="37"/>
      <c r="DS4" s="37"/>
      <c r="DT4" s="71"/>
      <c r="DU4" s="71"/>
      <c r="DV4" s="72"/>
      <c r="DW4" s="72"/>
      <c r="DX4" s="72"/>
      <c r="DY4" s="72"/>
    </row>
    <row r="5" spans="1:182" ht="12.75" hidden="1" customHeight="1">
      <c r="AA5" s="37"/>
      <c r="AB5" s="37"/>
      <c r="AC5" s="37"/>
      <c r="AD5" s="70"/>
      <c r="AE5" s="33"/>
      <c r="AF5" s="33"/>
      <c r="AG5" s="33"/>
      <c r="AH5" s="33"/>
      <c r="AI5" s="33"/>
      <c r="AJ5" s="33"/>
      <c r="AK5" s="37"/>
      <c r="AL5" s="37"/>
      <c r="AM5" s="37"/>
      <c r="AN5" s="37"/>
      <c r="AO5" s="37"/>
      <c r="AP5" s="37"/>
      <c r="AQ5" s="37"/>
      <c r="AR5" s="37"/>
      <c r="AS5" s="37"/>
      <c r="AT5" s="71"/>
      <c r="AU5" s="71"/>
      <c r="AV5" s="72"/>
      <c r="AW5" s="72"/>
      <c r="AX5" s="72"/>
      <c r="AY5" s="72"/>
      <c r="DA5" s="37"/>
      <c r="DB5" s="37"/>
      <c r="DC5" s="37"/>
      <c r="DD5" s="70"/>
      <c r="DE5" s="33"/>
      <c r="DF5" s="33"/>
      <c r="DG5" s="33"/>
      <c r="DH5" s="33"/>
      <c r="DI5" s="33"/>
      <c r="DJ5" s="33"/>
      <c r="DK5" s="37"/>
      <c r="DL5" s="37"/>
      <c r="DM5" s="37"/>
      <c r="DN5" s="37"/>
      <c r="DO5" s="37"/>
      <c r="DP5" s="37"/>
      <c r="DQ5" s="37"/>
      <c r="DR5" s="37"/>
      <c r="DS5" s="37"/>
      <c r="DT5" s="71"/>
      <c r="DU5" s="71"/>
      <c r="DV5" s="72"/>
      <c r="DW5" s="72"/>
      <c r="DX5" s="72"/>
      <c r="DY5" s="72"/>
    </row>
    <row r="6" spans="1:182" ht="12.75" hidden="1" customHeight="1">
      <c r="AA6" s="37"/>
      <c r="AB6" s="37"/>
      <c r="AC6" s="37"/>
      <c r="AD6" s="70"/>
      <c r="AE6" s="33"/>
      <c r="AF6" s="33"/>
      <c r="AG6" s="33"/>
      <c r="AH6" s="33"/>
      <c r="AI6" s="33"/>
      <c r="AJ6" s="33"/>
      <c r="AK6" s="37"/>
      <c r="AL6" s="37"/>
      <c r="AM6" s="37"/>
      <c r="AN6" s="37"/>
      <c r="AO6" s="37"/>
      <c r="AP6" s="37"/>
      <c r="AQ6" s="37"/>
      <c r="AR6" s="37"/>
      <c r="AS6" s="37"/>
      <c r="AT6" s="71"/>
      <c r="AU6" s="71"/>
      <c r="AV6" s="72"/>
      <c r="AW6" s="72"/>
      <c r="AX6" s="72"/>
      <c r="AY6" s="72"/>
      <c r="DA6" s="37"/>
      <c r="DB6" s="37"/>
      <c r="DC6" s="37"/>
      <c r="DD6" s="70"/>
      <c r="DE6" s="33"/>
      <c r="DF6" s="33"/>
      <c r="DG6" s="33"/>
      <c r="DH6" s="33"/>
      <c r="DI6" s="33"/>
      <c r="DJ6" s="33"/>
      <c r="DK6" s="37"/>
      <c r="DL6" s="37"/>
      <c r="DM6" s="37"/>
      <c r="DN6" s="37"/>
      <c r="DO6" s="37"/>
      <c r="DP6" s="37"/>
      <c r="DQ6" s="37"/>
      <c r="DR6" s="37"/>
      <c r="DS6" s="37"/>
      <c r="DT6" s="71"/>
      <c r="DU6" s="71"/>
      <c r="DV6" s="72"/>
      <c r="DW6" s="72"/>
      <c r="DX6" s="72"/>
      <c r="DY6" s="72"/>
    </row>
    <row r="7" spans="1:182" ht="12.75" hidden="1" customHeight="1">
      <c r="AA7" s="37"/>
      <c r="AB7" s="37"/>
      <c r="AC7" s="37"/>
      <c r="AD7" s="70"/>
      <c r="AE7" s="33"/>
      <c r="AF7" s="33"/>
      <c r="AG7" s="33"/>
      <c r="AH7" s="33"/>
      <c r="AI7" s="33"/>
      <c r="AJ7" s="33"/>
      <c r="AK7" s="37"/>
      <c r="AL7" s="37"/>
      <c r="AM7" s="37"/>
      <c r="AN7" s="37"/>
      <c r="AO7" s="37"/>
      <c r="AP7" s="37"/>
      <c r="AQ7" s="37"/>
      <c r="AR7" s="37"/>
      <c r="AS7" s="37"/>
      <c r="AT7" s="71"/>
      <c r="AU7" s="71"/>
      <c r="AV7" s="72"/>
      <c r="AW7" s="72"/>
      <c r="AX7" s="72"/>
      <c r="AY7" s="72"/>
      <c r="DA7" s="37"/>
      <c r="DB7" s="37"/>
      <c r="DC7" s="37"/>
      <c r="DD7" s="70"/>
      <c r="DE7" s="33"/>
      <c r="DF7" s="33"/>
      <c r="DG7" s="33"/>
      <c r="DH7" s="33"/>
      <c r="DI7" s="33"/>
      <c r="DJ7" s="33"/>
      <c r="DK7" s="37"/>
      <c r="DL7" s="37"/>
      <c r="DM7" s="37"/>
      <c r="DN7" s="37"/>
      <c r="DO7" s="37"/>
      <c r="DP7" s="37"/>
      <c r="DQ7" s="37"/>
      <c r="DR7" s="37"/>
      <c r="DS7" s="37"/>
      <c r="DT7" s="71"/>
      <c r="DU7" s="71"/>
      <c r="DV7" s="72"/>
      <c r="DW7" s="72"/>
      <c r="DX7" s="72"/>
      <c r="DY7" s="72"/>
    </row>
    <row r="8" spans="1:182" ht="12.75" hidden="1" customHeight="1">
      <c r="AA8" s="37"/>
      <c r="AB8" s="37"/>
      <c r="AC8" s="37"/>
      <c r="AD8" s="70"/>
      <c r="AE8" s="33"/>
      <c r="AF8" s="33"/>
      <c r="AG8" s="33"/>
      <c r="AH8" s="33"/>
      <c r="AI8" s="33"/>
      <c r="AJ8" s="33"/>
      <c r="AK8" s="37"/>
      <c r="AL8" s="37"/>
      <c r="AM8" s="37"/>
      <c r="AN8" s="37"/>
      <c r="AO8" s="37"/>
      <c r="AP8" s="37"/>
      <c r="AQ8" s="37"/>
      <c r="AR8" s="37"/>
      <c r="AS8" s="37"/>
      <c r="AT8" s="71"/>
      <c r="AU8" s="71"/>
      <c r="AV8" s="72"/>
      <c r="AW8" s="72"/>
      <c r="AX8" s="72"/>
      <c r="AY8" s="72"/>
      <c r="DA8" s="37"/>
      <c r="DB8" s="37"/>
      <c r="DC8" s="37"/>
      <c r="DD8" s="70"/>
      <c r="DE8" s="33"/>
      <c r="DF8" s="33"/>
      <c r="DG8" s="33"/>
      <c r="DH8" s="33"/>
      <c r="DI8" s="33"/>
      <c r="DJ8" s="33"/>
      <c r="DK8" s="37"/>
      <c r="DL8" s="37"/>
      <c r="DM8" s="37"/>
      <c r="DN8" s="37"/>
      <c r="DO8" s="37"/>
      <c r="DP8" s="37"/>
      <c r="DQ8" s="37"/>
      <c r="DR8" s="37"/>
      <c r="DS8" s="37"/>
      <c r="DT8" s="71"/>
      <c r="DU8" s="71"/>
      <c r="DV8" s="72"/>
      <c r="DW8" s="72"/>
      <c r="DX8" s="72"/>
      <c r="DY8" s="72"/>
    </row>
    <row r="9" spans="1:182" ht="12.75" hidden="1" customHeight="1">
      <c r="AA9" s="37"/>
      <c r="AB9" s="37"/>
      <c r="AC9" s="37"/>
      <c r="AD9" s="70"/>
      <c r="AE9" s="33"/>
      <c r="AF9" s="33"/>
      <c r="AG9" s="33"/>
      <c r="AH9" s="33"/>
      <c r="AI9" s="33"/>
      <c r="AJ9" s="33"/>
      <c r="AK9" s="37"/>
      <c r="AL9" s="37"/>
      <c r="AM9" s="37"/>
      <c r="AN9" s="37"/>
      <c r="AO9" s="37"/>
      <c r="AP9" s="37"/>
      <c r="AQ9" s="37"/>
      <c r="AR9" s="37"/>
      <c r="AS9" s="37"/>
      <c r="AT9" s="71"/>
      <c r="AU9" s="71"/>
      <c r="AV9" s="72"/>
      <c r="AW9" s="72"/>
      <c r="AX9" s="72"/>
      <c r="AY9" s="72"/>
      <c r="DA9" s="37"/>
      <c r="DB9" s="37"/>
      <c r="DC9" s="37"/>
      <c r="DD9" s="70"/>
      <c r="DE9" s="33"/>
      <c r="DF9" s="33"/>
      <c r="DG9" s="33"/>
      <c r="DH9" s="33"/>
      <c r="DI9" s="33"/>
      <c r="DJ9" s="33"/>
      <c r="DK9" s="37"/>
      <c r="DL9" s="37"/>
      <c r="DM9" s="37"/>
      <c r="DN9" s="37"/>
      <c r="DO9" s="37"/>
      <c r="DP9" s="37"/>
      <c r="DQ9" s="37"/>
      <c r="DR9" s="37"/>
      <c r="DS9" s="37"/>
      <c r="DT9" s="71"/>
      <c r="DU9" s="71"/>
      <c r="DV9" s="72"/>
      <c r="DW9" s="72"/>
      <c r="DX9" s="72"/>
      <c r="DY9" s="72"/>
    </row>
    <row r="10" spans="1:182" ht="10.5" customHeight="1">
      <c r="AA10" s="37"/>
      <c r="AB10" s="37"/>
      <c r="AC10" s="37"/>
      <c r="AD10" s="70"/>
      <c r="AE10" s="33"/>
      <c r="AF10" s="33"/>
      <c r="AG10" s="33"/>
      <c r="AH10" s="33"/>
      <c r="AI10" s="33"/>
      <c r="AJ10" s="33"/>
      <c r="AK10" s="37"/>
      <c r="AL10" s="37"/>
      <c r="AM10" s="37"/>
      <c r="AN10" s="37"/>
      <c r="AO10" s="37"/>
      <c r="AP10" s="37"/>
      <c r="AQ10" s="37"/>
      <c r="AR10" s="37"/>
      <c r="AS10" s="37"/>
      <c r="AT10" s="71"/>
      <c r="AU10" s="71"/>
      <c r="AV10" s="72"/>
      <c r="AW10" s="72"/>
      <c r="AX10" s="72"/>
      <c r="AY10" s="72"/>
      <c r="DA10" s="37"/>
      <c r="DB10" s="37"/>
      <c r="DC10" s="37"/>
      <c r="DD10" s="70"/>
      <c r="DE10" s="33"/>
      <c r="DF10" s="33"/>
      <c r="DG10" s="33"/>
      <c r="DH10" s="33"/>
      <c r="DI10" s="33"/>
      <c r="DJ10" s="33"/>
      <c r="DK10" s="37"/>
      <c r="DL10" s="37"/>
      <c r="DM10" s="37"/>
      <c r="DN10" s="37"/>
      <c r="DO10" s="37"/>
      <c r="DP10" s="37"/>
      <c r="DQ10" s="37"/>
      <c r="DR10" s="37"/>
      <c r="DS10" s="37"/>
      <c r="DT10" s="71"/>
      <c r="DU10" s="71"/>
      <c r="DV10" s="72"/>
      <c r="DW10" s="72"/>
      <c r="DX10" s="72"/>
      <c r="DY10" s="72"/>
    </row>
    <row r="11" spans="1:182" ht="20.25" customHeight="1">
      <c r="A11" s="273" t="s">
        <v>87</v>
      </c>
      <c r="B11" s="273"/>
      <c r="C11" s="273"/>
      <c r="D11" s="273"/>
      <c r="E11" s="273"/>
      <c r="F11" s="38"/>
      <c r="G11" s="3">
        <f>MAX(COUNTA(#REF!)+21,23)</f>
        <v>23</v>
      </c>
      <c r="H11" s="265" t="s">
        <v>138</v>
      </c>
      <c r="I11" s="266"/>
      <c r="J11" s="266"/>
      <c r="K11" s="266"/>
      <c r="L11" s="266"/>
      <c r="M11" s="266"/>
      <c r="N11" s="266"/>
      <c r="O11" s="266"/>
      <c r="P11" s="266"/>
      <c r="Q11" s="269" t="str">
        <f>INDEX($U$13:$U$15,MATCH(T11,$T$13:$T$15,0))</f>
        <v>1232x350x12x16</v>
      </c>
      <c r="R11" s="269"/>
      <c r="S11" s="270"/>
      <c r="T11" s="248" t="s">
        <v>240</v>
      </c>
      <c r="U11" s="249"/>
      <c r="V11" s="249"/>
      <c r="Z11" s="3">
        <f>MAX(COUNTA(#REF!)+21,23)</f>
        <v>23</v>
      </c>
      <c r="AA11" s="73" t="s">
        <v>212</v>
      </c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  <c r="BX11" s="74"/>
      <c r="BY11" s="74"/>
      <c r="BZ11" s="74"/>
      <c r="CA11" s="74"/>
      <c r="CB11" s="74"/>
      <c r="CC11" s="74"/>
      <c r="CD11" s="74"/>
      <c r="CE11" s="75"/>
      <c r="CF11" s="129"/>
      <c r="CZ11" s="3">
        <f>MAX(COUNTA(#REF!)+21,23)</f>
        <v>23</v>
      </c>
      <c r="DA11" s="73" t="s">
        <v>212</v>
      </c>
      <c r="DB11" s="74"/>
      <c r="DC11" s="74"/>
      <c r="DD11" s="74"/>
      <c r="DE11" s="74"/>
      <c r="DF11" s="74"/>
      <c r="DG11" s="74"/>
      <c r="DH11" s="74"/>
      <c r="DI11" s="74"/>
      <c r="DJ11" s="74"/>
      <c r="DK11" s="74"/>
      <c r="DL11" s="74"/>
      <c r="DM11" s="74"/>
      <c r="DN11" s="74"/>
      <c r="DO11" s="74"/>
      <c r="DP11" s="74"/>
      <c r="DQ11" s="74"/>
      <c r="DR11" s="74"/>
      <c r="DS11" s="74"/>
      <c r="DT11" s="74"/>
      <c r="DU11" s="74"/>
      <c r="DV11" s="74"/>
      <c r="DW11" s="74"/>
      <c r="DX11" s="74"/>
      <c r="DY11" s="74"/>
      <c r="DZ11" s="74"/>
      <c r="EA11" s="74"/>
      <c r="EB11" s="74"/>
      <c r="EC11" s="74"/>
      <c r="ED11" s="74"/>
      <c r="EE11" s="74"/>
      <c r="EF11" s="74"/>
      <c r="EG11" s="74"/>
      <c r="EH11" s="74"/>
      <c r="EI11" s="74"/>
      <c r="EJ11" s="74"/>
      <c r="EK11" s="74"/>
      <c r="EL11" s="74"/>
      <c r="EM11" s="74"/>
      <c r="EN11" s="74"/>
      <c r="EO11" s="74"/>
      <c r="EP11" s="74"/>
      <c r="EQ11" s="74"/>
      <c r="ER11" s="74"/>
      <c r="ES11" s="74"/>
      <c r="ET11" s="74"/>
      <c r="EU11" s="74"/>
      <c r="EV11" s="74"/>
      <c r="EW11" s="74"/>
      <c r="EX11" s="74"/>
      <c r="EY11" s="74"/>
      <c r="EZ11" s="74"/>
      <c r="FA11" s="74"/>
      <c r="FB11" s="74"/>
      <c r="FC11" s="74"/>
      <c r="FD11" s="74"/>
      <c r="FE11" s="75"/>
      <c r="FF11" s="171"/>
      <c r="FZ11" s="3">
        <f>MAX(COUNTA(#REF!)+21,23)</f>
        <v>23</v>
      </c>
    </row>
    <row r="12" spans="1:182" ht="12.75" customHeight="1">
      <c r="A12" s="7"/>
      <c r="B12" s="19" t="s">
        <v>84</v>
      </c>
      <c r="C12" s="19" t="s">
        <v>29</v>
      </c>
      <c r="D12" s="19" t="s">
        <v>85</v>
      </c>
      <c r="E12" s="19" t="s">
        <v>86</v>
      </c>
      <c r="F12" s="39"/>
      <c r="G12" s="4"/>
      <c r="H12" s="267"/>
      <c r="I12" s="268"/>
      <c r="J12" s="268"/>
      <c r="K12" s="268"/>
      <c r="L12" s="268"/>
      <c r="M12" s="268"/>
      <c r="N12" s="268"/>
      <c r="O12" s="268"/>
      <c r="P12" s="268"/>
      <c r="Q12" s="271"/>
      <c r="R12" s="271"/>
      <c r="S12" s="272"/>
      <c r="T12" s="248"/>
      <c r="U12" s="249"/>
      <c r="V12" s="249"/>
      <c r="Z12" s="4"/>
      <c r="AA12" s="76" t="s">
        <v>170</v>
      </c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 s="77"/>
      <c r="BH12" s="77"/>
      <c r="BI12" s="77"/>
      <c r="BJ12" s="77"/>
      <c r="BK12" s="77"/>
      <c r="BL12" s="77"/>
      <c r="BM12" s="77"/>
      <c r="BN12" s="77"/>
      <c r="BO12" s="77"/>
      <c r="BP12" s="77"/>
      <c r="BQ12" s="77"/>
      <c r="BR12" s="77"/>
      <c r="BS12" s="77"/>
      <c r="BT12" s="77"/>
      <c r="BU12" s="77"/>
      <c r="BV12" s="77"/>
      <c r="BW12" s="77"/>
      <c r="BX12" s="77"/>
      <c r="BY12" s="77"/>
      <c r="BZ12" s="77"/>
      <c r="CA12" s="77"/>
      <c r="CB12" s="77"/>
      <c r="CC12" s="77"/>
      <c r="CD12" s="77"/>
      <c r="CE12" s="78"/>
      <c r="CF12" s="130"/>
      <c r="CZ12" s="4"/>
      <c r="DA12" s="76" t="s">
        <v>170</v>
      </c>
      <c r="DB12" s="77"/>
      <c r="DC12" s="77"/>
      <c r="DD12" s="77"/>
      <c r="DE12" s="77"/>
      <c r="DF12" s="77"/>
      <c r="DG12" s="77"/>
      <c r="DH12" s="77"/>
      <c r="DI12" s="77"/>
      <c r="DJ12" s="77"/>
      <c r="DK12" s="77"/>
      <c r="DL12" s="77"/>
      <c r="DM12" s="77"/>
      <c r="DN12" s="77"/>
      <c r="DO12" s="77"/>
      <c r="DP12" s="77"/>
      <c r="DQ12" s="77"/>
      <c r="DR12" s="77"/>
      <c r="DS12" s="77"/>
      <c r="DT12" s="77"/>
      <c r="DU12" s="77"/>
      <c r="DV12" s="77"/>
      <c r="DW12" s="77"/>
      <c r="DX12" s="77"/>
      <c r="DY12" s="77"/>
      <c r="DZ12" s="77"/>
      <c r="EA12" s="77"/>
      <c r="EB12" s="77"/>
      <c r="EC12" s="77"/>
      <c r="ED12" s="77"/>
      <c r="EE12" s="77"/>
      <c r="EF12" s="77"/>
      <c r="EG12" s="77"/>
      <c r="EH12" s="77"/>
      <c r="EI12" s="77"/>
      <c r="EJ12" s="77"/>
      <c r="EK12" s="77"/>
      <c r="EL12" s="77"/>
      <c r="EM12" s="77"/>
      <c r="EN12" s="77"/>
      <c r="EO12" s="77"/>
      <c r="EP12" s="77"/>
      <c r="EQ12" s="77"/>
      <c r="ER12" s="77"/>
      <c r="ES12" s="77"/>
      <c r="ET12" s="77"/>
      <c r="EU12" s="77"/>
      <c r="EV12" s="77"/>
      <c r="EW12" s="77"/>
      <c r="EX12" s="77"/>
      <c r="EY12" s="77"/>
      <c r="EZ12" s="77"/>
      <c r="FA12" s="77"/>
      <c r="FB12" s="77"/>
      <c r="FC12" s="77"/>
      <c r="FD12" s="77"/>
      <c r="FE12" s="78"/>
      <c r="FF12" s="172"/>
      <c r="FZ12" s="4"/>
    </row>
    <row r="13" spans="1:182" ht="15" customHeight="1">
      <c r="A13" s="19">
        <v>12</v>
      </c>
      <c r="B13" s="7">
        <v>50</v>
      </c>
      <c r="C13" s="7">
        <v>50</v>
      </c>
      <c r="D13" s="7">
        <v>60</v>
      </c>
      <c r="E13" s="7">
        <v>120</v>
      </c>
      <c r="F13" s="35"/>
      <c r="H13" s="263" t="s">
        <v>0</v>
      </c>
      <c r="I13" s="264"/>
      <c r="J13" s="264"/>
      <c r="K13" s="192"/>
      <c r="L13" s="192"/>
      <c r="M13" s="192"/>
      <c r="N13" s="192"/>
      <c r="O13" s="192"/>
      <c r="P13" s="192"/>
      <c r="Q13" s="46"/>
      <c r="R13" s="46"/>
      <c r="S13" s="194"/>
      <c r="T13" s="193" t="s">
        <v>241</v>
      </c>
      <c r="U13" s="106" t="s">
        <v>211</v>
      </c>
      <c r="V13" s="29"/>
      <c r="AA13" s="79" t="s">
        <v>171</v>
      </c>
      <c r="AB13" s="80"/>
      <c r="AC13" s="80"/>
      <c r="AD13" s="70"/>
      <c r="AE13" s="33"/>
      <c r="AF13" s="33"/>
      <c r="AG13" s="33"/>
      <c r="AH13" s="33"/>
      <c r="AI13" s="33"/>
      <c r="AJ13" s="33"/>
      <c r="AK13" s="37"/>
      <c r="AL13" s="37"/>
      <c r="AM13" s="37"/>
      <c r="AN13" s="37"/>
      <c r="AO13" s="37"/>
      <c r="AP13" s="37"/>
      <c r="AQ13" s="37"/>
      <c r="AR13" s="37"/>
      <c r="AS13" s="37"/>
      <c r="AT13" s="71"/>
      <c r="AU13" s="71"/>
      <c r="AV13" s="72"/>
      <c r="AW13" s="72"/>
      <c r="AX13" s="72"/>
      <c r="AY13" s="72"/>
      <c r="CE13" s="243"/>
      <c r="CF13" s="243"/>
      <c r="DA13" s="174" t="s">
        <v>171</v>
      </c>
      <c r="DB13" s="175"/>
      <c r="DC13" s="175"/>
      <c r="DD13" s="176"/>
      <c r="DE13" s="177"/>
      <c r="DF13" s="177"/>
      <c r="DG13" s="177"/>
      <c r="DH13" s="177"/>
      <c r="DI13" s="177"/>
      <c r="DJ13" s="177"/>
      <c r="DK13" s="178"/>
      <c r="DL13" s="178"/>
      <c r="DM13" s="178"/>
      <c r="DN13" s="178"/>
      <c r="DO13" s="178"/>
      <c r="DP13" s="178"/>
      <c r="DQ13" s="178"/>
      <c r="DR13" s="178"/>
      <c r="DS13" s="179" t="s">
        <v>255</v>
      </c>
      <c r="DT13" s="180"/>
      <c r="DU13" s="180"/>
      <c r="DV13" s="181"/>
      <c r="DW13" s="181"/>
      <c r="DX13" s="181"/>
      <c r="DY13" s="181"/>
      <c r="DZ13" s="181"/>
      <c r="EA13" s="181"/>
      <c r="EB13" s="181"/>
      <c r="EC13" s="181"/>
      <c r="ED13" s="181"/>
      <c r="EE13" s="181"/>
      <c r="EF13" s="181"/>
      <c r="EG13" s="181"/>
      <c r="EH13" s="181"/>
      <c r="EI13" s="181"/>
      <c r="EJ13" s="181"/>
      <c r="EK13" s="182"/>
      <c r="EL13" s="182"/>
      <c r="EM13" s="182"/>
      <c r="EN13" s="182"/>
      <c r="EO13" s="182"/>
      <c r="EP13" s="182"/>
      <c r="EQ13" s="182"/>
      <c r="ER13" s="182"/>
      <c r="ES13" s="182"/>
      <c r="ET13" s="182"/>
      <c r="EU13" s="182"/>
      <c r="EV13" s="182"/>
      <c r="EW13" s="182"/>
      <c r="EX13" s="182"/>
      <c r="EY13" s="182"/>
      <c r="EZ13" s="182"/>
      <c r="FA13" s="182"/>
      <c r="FB13" s="182"/>
      <c r="FC13" s="182"/>
      <c r="FD13" s="182"/>
      <c r="FE13" s="182"/>
      <c r="FF13" s="183"/>
    </row>
    <row r="14" spans="1:182" ht="12.75" customHeight="1">
      <c r="A14" s="19">
        <v>16</v>
      </c>
      <c r="B14" s="7">
        <v>50</v>
      </c>
      <c r="C14" s="7">
        <v>50</v>
      </c>
      <c r="D14" s="7">
        <v>60</v>
      </c>
      <c r="E14" s="7">
        <v>120</v>
      </c>
      <c r="F14" s="35"/>
      <c r="H14" s="195" t="s">
        <v>44</v>
      </c>
      <c r="I14" s="192"/>
      <c r="J14" s="192"/>
      <c r="K14" s="46"/>
      <c r="L14" s="46"/>
      <c r="M14" s="46"/>
      <c r="N14" s="47"/>
      <c r="O14" s="48"/>
      <c r="P14" s="46"/>
      <c r="Q14" s="32"/>
      <c r="R14" s="32"/>
      <c r="S14" s="194"/>
      <c r="T14" s="193" t="s">
        <v>240</v>
      </c>
      <c r="U14" s="29" t="str" cm="1">
        <f t="array" ref="U14">_xll.Dce_Name_SectI(R42, R42, R43, R44, R45, "x", "-", V14)</f>
        <v>1232x350x12x16</v>
      </c>
      <c r="V14" s="106" t="s">
        <v>242</v>
      </c>
      <c r="AA14" s="81"/>
      <c r="AB14" s="37"/>
      <c r="AC14" s="37"/>
      <c r="AD14" s="82" t="s">
        <v>172</v>
      </c>
      <c r="AE14" s="33"/>
      <c r="AF14" s="33"/>
      <c r="AG14" s="83">
        <f>R16</f>
        <v>8.8000000000000007</v>
      </c>
      <c r="AH14" s="33"/>
      <c r="AI14" s="33"/>
      <c r="AJ14" s="33"/>
      <c r="AK14" s="34" t="s">
        <v>1</v>
      </c>
      <c r="AL14" s="35">
        <f>R17</f>
        <v>332</v>
      </c>
      <c r="AM14" s="84" t="s">
        <v>2</v>
      </c>
      <c r="AN14" s="37"/>
      <c r="AO14" s="37"/>
      <c r="AP14" s="37"/>
      <c r="AQ14" s="34"/>
      <c r="AR14" s="34"/>
      <c r="AS14" s="85"/>
      <c r="AT14" s="71"/>
      <c r="AU14" s="71"/>
      <c r="AV14" s="72"/>
      <c r="AW14" s="72"/>
      <c r="AX14" s="72"/>
      <c r="AY14" s="72"/>
      <c r="CE14" s="244"/>
      <c r="CF14" s="245"/>
      <c r="DA14" s="184" t="s">
        <v>172</v>
      </c>
      <c r="DB14" s="37"/>
      <c r="DC14" s="37"/>
      <c r="DD14" s="83">
        <f>AG14</f>
        <v>8.8000000000000007</v>
      </c>
      <c r="DE14" s="33"/>
      <c r="DF14" s="33"/>
      <c r="DG14" s="33"/>
      <c r="DH14" s="33"/>
      <c r="DI14" s="33"/>
      <c r="DJ14" s="33"/>
      <c r="DK14" s="37"/>
      <c r="DL14" s="37"/>
      <c r="DM14" s="37"/>
      <c r="DN14" s="37"/>
      <c r="DO14" s="37"/>
      <c r="DP14" s="37"/>
      <c r="DQ14" s="34"/>
      <c r="DR14" s="34"/>
      <c r="DS14" s="170" t="s">
        <v>256</v>
      </c>
      <c r="DT14" s="35"/>
      <c r="DU14" s="84"/>
      <c r="DV14" s="72"/>
      <c r="DW14" s="72"/>
      <c r="DX14" s="72"/>
      <c r="DY14" s="72"/>
      <c r="FF14" s="5"/>
    </row>
    <row r="15" spans="1:182" ht="12.75" customHeight="1">
      <c r="A15" s="19">
        <v>18</v>
      </c>
      <c r="B15" s="7">
        <v>50</v>
      </c>
      <c r="C15" s="7">
        <v>50</v>
      </c>
      <c r="D15" s="7">
        <v>60</v>
      </c>
      <c r="E15" s="7">
        <v>120</v>
      </c>
      <c r="F15" s="35"/>
      <c r="H15" s="196" t="s">
        <v>43</v>
      </c>
      <c r="I15" s="46"/>
      <c r="J15" s="46"/>
      <c r="K15" s="46"/>
      <c r="L15" s="46"/>
      <c r="M15" s="46"/>
      <c r="N15" s="47"/>
      <c r="O15" s="48"/>
      <c r="P15" s="46"/>
      <c r="Q15" s="32"/>
      <c r="R15" s="32"/>
      <c r="S15" s="194"/>
      <c r="T15" s="193" t="s">
        <v>243</v>
      </c>
      <c r="U15" s="106" t="s">
        <v>244</v>
      </c>
      <c r="V15" s="29"/>
      <c r="AA15" s="81"/>
      <c r="AB15" s="37"/>
      <c r="AC15" s="37"/>
      <c r="AD15" s="82" t="s">
        <v>173</v>
      </c>
      <c r="AE15" s="33"/>
      <c r="AF15" s="33"/>
      <c r="AG15" s="83" t="str">
        <f>R27</f>
        <v>CCT38</v>
      </c>
      <c r="AH15" s="33"/>
      <c r="AI15" s="33"/>
      <c r="AJ15" s="33"/>
      <c r="AK15" s="34" t="s">
        <v>1</v>
      </c>
      <c r="AL15" s="35">
        <f>R28</f>
        <v>240</v>
      </c>
      <c r="AM15" s="84" t="s">
        <v>2</v>
      </c>
      <c r="AN15" s="37"/>
      <c r="AO15" s="37"/>
      <c r="AP15" s="37"/>
      <c r="AQ15" s="36"/>
      <c r="AR15" s="36"/>
      <c r="AS15" s="43"/>
      <c r="AT15" s="84"/>
      <c r="AU15" s="71"/>
      <c r="AV15" s="72"/>
      <c r="AW15" s="72"/>
      <c r="AX15" s="72"/>
      <c r="AY15" s="72"/>
      <c r="CE15" s="244"/>
      <c r="CF15" s="245"/>
      <c r="DA15" s="184" t="s">
        <v>173</v>
      </c>
      <c r="DB15" s="37"/>
      <c r="DC15" s="37"/>
      <c r="DD15" s="83" t="str">
        <f t="shared" ref="DD15:DD16" si="0">AG15</f>
        <v>CCT38</v>
      </c>
      <c r="DE15" s="33"/>
      <c r="DF15" s="33"/>
      <c r="DG15" s="33"/>
      <c r="DH15" s="33"/>
      <c r="DI15" s="33"/>
      <c r="DJ15" s="33"/>
      <c r="DK15" s="37"/>
      <c r="DL15" s="37"/>
      <c r="DM15" s="37"/>
      <c r="DN15" s="37"/>
      <c r="DO15" s="37"/>
      <c r="DP15" s="37"/>
      <c r="DQ15" s="36"/>
      <c r="DR15" s="36"/>
      <c r="DS15" s="170" t="s">
        <v>257</v>
      </c>
      <c r="DT15" s="35"/>
      <c r="DU15" s="84"/>
      <c r="DV15" s="72"/>
      <c r="DW15" s="72"/>
      <c r="DX15" s="72"/>
      <c r="DY15" s="72"/>
      <c r="FF15" s="5"/>
    </row>
    <row r="16" spans="1:182" ht="12.75" customHeight="1">
      <c r="A16" s="19">
        <v>20</v>
      </c>
      <c r="B16" s="7">
        <v>50</v>
      </c>
      <c r="C16" s="7">
        <v>50</v>
      </c>
      <c r="D16" s="7">
        <v>60</v>
      </c>
      <c r="E16" s="7">
        <v>120</v>
      </c>
      <c r="F16" s="35"/>
      <c r="H16" s="197"/>
      <c r="I16" s="46" t="str">
        <f>"- Cấp độ bền bu lông:"</f>
        <v>- Cấp độ bền bu lông:</v>
      </c>
      <c r="J16" s="46"/>
      <c r="K16" s="47"/>
      <c r="L16" s="49"/>
      <c r="M16" s="46"/>
      <c r="N16" s="32"/>
      <c r="O16" s="32"/>
      <c r="P16" s="32"/>
      <c r="Q16" s="32"/>
      <c r="R16" s="33">
        <v>8.8000000000000007</v>
      </c>
      <c r="S16" s="198" t="s">
        <v>29</v>
      </c>
      <c r="AA16" s="81"/>
      <c r="AB16" s="37"/>
      <c r="AC16" s="37"/>
      <c r="AD16" s="82" t="s">
        <v>12</v>
      </c>
      <c r="AE16" s="33"/>
      <c r="AF16" s="33"/>
      <c r="AG16" s="83" t="str">
        <f>R34</f>
        <v>N46</v>
      </c>
      <c r="AH16" s="33"/>
      <c r="AI16" s="33"/>
      <c r="AJ16" s="33"/>
      <c r="AK16" s="34" t="s">
        <v>14</v>
      </c>
      <c r="AL16" s="35">
        <f>R35</f>
        <v>450</v>
      </c>
      <c r="AM16" s="84" t="s">
        <v>2</v>
      </c>
      <c r="AN16" s="37"/>
      <c r="AO16" s="37"/>
      <c r="AP16" s="37"/>
      <c r="AQ16" s="37"/>
      <c r="AR16" s="37"/>
      <c r="AS16" s="37"/>
      <c r="AT16" s="71"/>
      <c r="AU16" s="71"/>
      <c r="AV16" s="72"/>
      <c r="AW16" s="72"/>
      <c r="AX16" s="72"/>
      <c r="AY16" s="72"/>
      <c r="CE16" s="244"/>
      <c r="CF16" s="245"/>
      <c r="DA16" s="184" t="s">
        <v>12</v>
      </c>
      <c r="DB16" s="37"/>
      <c r="DC16" s="37"/>
      <c r="DD16" s="83" t="str">
        <f t="shared" si="0"/>
        <v>N46</v>
      </c>
      <c r="DE16" s="33"/>
      <c r="DF16" s="33"/>
      <c r="DG16" s="33"/>
      <c r="DH16" s="33"/>
      <c r="DI16" s="33"/>
      <c r="DJ16" s="33"/>
      <c r="DK16" s="37"/>
      <c r="DL16" s="37"/>
      <c r="DM16" s="37"/>
      <c r="DN16" s="37"/>
      <c r="DO16" s="37"/>
      <c r="DP16" s="37"/>
      <c r="DQ16" s="37"/>
      <c r="DR16" s="37"/>
      <c r="DS16" s="170" t="s">
        <v>258</v>
      </c>
      <c r="DT16" s="35"/>
      <c r="DU16" s="84"/>
      <c r="DV16" s="72"/>
      <c r="DW16" s="72"/>
      <c r="DX16" s="72"/>
      <c r="DY16" s="72"/>
      <c r="FF16" s="5"/>
    </row>
    <row r="17" spans="1:162" ht="12.75" customHeight="1">
      <c r="A17" s="19">
        <v>24</v>
      </c>
      <c r="B17" s="7">
        <v>60</v>
      </c>
      <c r="C17" s="7">
        <v>70</v>
      </c>
      <c r="D17" s="7">
        <v>80</v>
      </c>
      <c r="E17" s="7">
        <v>140</v>
      </c>
      <c r="F17" s="35"/>
      <c r="H17" s="197"/>
      <c r="I17" s="46" t="str">
        <f>"- Cường độ tính toán chịu cắt:"</f>
        <v>- Cường độ tính toán chịu cắt:</v>
      </c>
      <c r="J17" s="46"/>
      <c r="K17" s="47"/>
      <c r="L17" s="49"/>
      <c r="M17" s="46"/>
      <c r="N17" s="32"/>
      <c r="O17" s="32"/>
      <c r="P17" s="50"/>
      <c r="Q17" s="34" t="s">
        <v>24</v>
      </c>
      <c r="R17" s="51">
        <f>VLOOKUP(R16,Data!$G$4:$K$8,4,FALSE)</f>
        <v>332</v>
      </c>
      <c r="S17" s="199" t="s">
        <v>2</v>
      </c>
      <c r="AA17" s="81"/>
      <c r="AB17" s="37"/>
      <c r="AC17" s="37"/>
      <c r="AD17" s="82"/>
      <c r="AE17" s="33"/>
      <c r="AF17" s="33"/>
      <c r="AG17" s="83"/>
      <c r="AH17" s="33"/>
      <c r="AI17" s="33"/>
      <c r="AJ17" s="33"/>
      <c r="AK17" s="34"/>
      <c r="AL17" s="35"/>
      <c r="AM17" s="32"/>
      <c r="AN17" s="37"/>
      <c r="AO17" s="37"/>
      <c r="AP17" s="37"/>
      <c r="AQ17" s="37"/>
      <c r="AR17" s="37"/>
      <c r="AS17" s="37"/>
      <c r="AT17" s="71"/>
      <c r="AU17" s="71"/>
      <c r="AV17" s="72"/>
      <c r="AW17" s="72"/>
      <c r="AX17" s="72"/>
      <c r="AY17" s="72"/>
      <c r="CE17" s="244"/>
      <c r="CF17" s="245"/>
      <c r="DA17" s="81"/>
      <c r="DB17" s="37"/>
      <c r="DC17" s="37"/>
      <c r="DD17" s="82"/>
      <c r="DE17" s="33"/>
      <c r="DF17" s="33"/>
      <c r="DG17" s="83"/>
      <c r="DH17" s="33"/>
      <c r="DI17" s="33"/>
      <c r="DJ17" s="33"/>
      <c r="DK17" s="34"/>
      <c r="DL17" s="35"/>
      <c r="DM17" s="32"/>
      <c r="DN17" s="37"/>
      <c r="DO17" s="37"/>
      <c r="DP17" s="37"/>
      <c r="DQ17" s="37"/>
      <c r="DR17" s="37"/>
      <c r="DS17" s="32" t="s">
        <v>259</v>
      </c>
      <c r="DT17" s="71"/>
      <c r="DU17" s="71"/>
      <c r="DV17" s="72"/>
      <c r="DW17" s="72"/>
      <c r="DX17" s="72"/>
      <c r="DY17" s="72"/>
      <c r="FF17" s="5"/>
    </row>
    <row r="18" spans="1:162" ht="12.75" customHeight="1">
      <c r="A18" s="19">
        <v>27</v>
      </c>
      <c r="B18" s="7">
        <v>60</v>
      </c>
      <c r="C18" s="7">
        <v>70</v>
      </c>
      <c r="D18" s="7">
        <v>80</v>
      </c>
      <c r="E18" s="7">
        <v>160</v>
      </c>
      <c r="F18" s="35"/>
      <c r="H18" s="197"/>
      <c r="I18" s="46" t="str">
        <f>"- Cường độ tính toán chịu kéo:"</f>
        <v>- Cường độ tính toán chịu kéo:</v>
      </c>
      <c r="J18" s="46"/>
      <c r="K18" s="47"/>
      <c r="L18" s="49"/>
      <c r="M18" s="46"/>
      <c r="N18" s="32"/>
      <c r="O18" s="32"/>
      <c r="P18" s="32"/>
      <c r="Q18" s="34" t="s">
        <v>25</v>
      </c>
      <c r="R18" s="51">
        <f>VLOOKUP(R16,Data!$G$4:$K$8,5,FALSE)</f>
        <v>448</v>
      </c>
      <c r="S18" s="199" t="s">
        <v>2</v>
      </c>
      <c r="AA18" s="79" t="s">
        <v>174</v>
      </c>
      <c r="AB18" s="80"/>
      <c r="AC18" s="80"/>
      <c r="AD18" s="70"/>
      <c r="AE18" s="33"/>
      <c r="AF18" s="33"/>
      <c r="AG18" s="33"/>
      <c r="AH18" s="33"/>
      <c r="AI18" s="33"/>
      <c r="AJ18" s="33"/>
      <c r="AK18" s="37"/>
      <c r="AL18" s="37"/>
      <c r="AM18" s="37"/>
      <c r="AN18" s="37"/>
      <c r="AO18" s="37"/>
      <c r="AP18" s="37"/>
      <c r="AQ18" s="37"/>
      <c r="AR18" s="37"/>
      <c r="AS18" s="37"/>
      <c r="AT18" s="71"/>
      <c r="AU18" s="71"/>
      <c r="AV18" s="72"/>
      <c r="AW18" s="72"/>
      <c r="AX18" s="72"/>
      <c r="AY18" s="72"/>
      <c r="CE18" s="246"/>
      <c r="CF18" s="247"/>
      <c r="DA18" s="185" t="s">
        <v>174</v>
      </c>
      <c r="DB18" s="186"/>
      <c r="DC18" s="186"/>
      <c r="DD18" s="187"/>
      <c r="DE18" s="188"/>
      <c r="DF18" s="188"/>
      <c r="DG18" s="188"/>
      <c r="DH18" s="188"/>
      <c r="DI18" s="188"/>
      <c r="DJ18" s="188"/>
      <c r="DK18" s="189"/>
      <c r="DL18" s="189"/>
      <c r="DM18" s="189"/>
      <c r="DN18" s="189"/>
      <c r="DO18" s="189"/>
      <c r="DP18" s="189"/>
      <c r="DQ18" s="189"/>
      <c r="DR18" s="189"/>
      <c r="DS18" s="189"/>
      <c r="DT18" s="190"/>
      <c r="DU18" s="190"/>
      <c r="DV18" s="191"/>
      <c r="DW18" s="191"/>
      <c r="DX18" s="191"/>
      <c r="DY18" s="191"/>
      <c r="DZ18" s="191"/>
      <c r="EA18" s="191"/>
      <c r="EB18" s="191"/>
      <c r="EC18" s="191"/>
      <c r="ED18" s="191"/>
      <c r="EE18" s="191"/>
      <c r="EF18" s="191"/>
      <c r="EG18" s="191"/>
      <c r="EH18" s="191"/>
      <c r="EI18" s="191"/>
      <c r="EJ18" s="191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233"/>
      <c r="FF18" s="233"/>
    </row>
    <row r="19" spans="1:162" ht="12.75" customHeight="1">
      <c r="A19" s="19">
        <v>30</v>
      </c>
      <c r="B19" s="7">
        <v>60</v>
      </c>
      <c r="C19" s="7">
        <v>70</v>
      </c>
      <c r="D19" s="7">
        <v>80</v>
      </c>
      <c r="E19" s="7">
        <v>200</v>
      </c>
      <c r="F19" s="35"/>
      <c r="H19" s="197"/>
      <c r="I19" s="46" t="str">
        <f>"- Cường độ tính toán chịu ép mặt:"</f>
        <v>- Cường độ tính toán chịu ép mặt:</v>
      </c>
      <c r="J19" s="46"/>
      <c r="K19" s="47"/>
      <c r="L19" s="49"/>
      <c r="M19" s="46"/>
      <c r="N19" s="32"/>
      <c r="O19" s="32"/>
      <c r="P19" s="32"/>
      <c r="Q19" s="34" t="s">
        <v>26</v>
      </c>
      <c r="R19" s="51">
        <f>IFERROR(VLOOKUP(R29,Data!$G$14:$I$28,MATCH(S16,Data!$G$13:$I$13,0),FALSE),IF(S16="A",1.6,1.35)*R29/P30)</f>
        <v>500</v>
      </c>
      <c r="S19" s="199" t="s">
        <v>2</v>
      </c>
      <c r="AA19" s="116"/>
      <c r="AB19" s="117"/>
      <c r="AC19" s="117"/>
      <c r="AD19" s="117"/>
      <c r="AE19" s="253" t="s">
        <v>175</v>
      </c>
      <c r="AF19" s="254"/>
      <c r="AG19" s="254"/>
      <c r="AH19" s="254"/>
      <c r="AI19" s="254"/>
      <c r="AJ19" s="254"/>
      <c r="AK19" s="237" t="s">
        <v>176</v>
      </c>
      <c r="AL19" s="237"/>
      <c r="AM19" s="237"/>
      <c r="AN19" s="237"/>
      <c r="AO19" s="237"/>
      <c r="AP19" s="237"/>
      <c r="AQ19" s="237"/>
      <c r="AR19" s="237"/>
      <c r="AS19" s="237" t="s">
        <v>177</v>
      </c>
      <c r="AT19" s="237"/>
      <c r="AU19" s="237"/>
      <c r="AV19" s="237"/>
      <c r="AW19" s="237"/>
      <c r="AX19" s="237"/>
      <c r="AY19" s="237"/>
      <c r="AZ19" s="145"/>
      <c r="BA19" s="237" t="s">
        <v>178</v>
      </c>
      <c r="BB19" s="237"/>
      <c r="BC19" s="237"/>
      <c r="BD19" s="237"/>
      <c r="BE19" s="237"/>
      <c r="BF19" s="237"/>
      <c r="BG19" s="237"/>
      <c r="BH19" s="239" t="s">
        <v>179</v>
      </c>
      <c r="BI19" s="239"/>
      <c r="BJ19" s="239"/>
      <c r="BK19" s="239" t="s">
        <v>180</v>
      </c>
      <c r="BL19" s="239"/>
      <c r="BM19" s="239"/>
      <c r="BN19" s="239"/>
      <c r="BO19" s="239" t="s">
        <v>181</v>
      </c>
      <c r="BP19" s="239"/>
      <c r="BQ19" s="239"/>
      <c r="BR19" s="239"/>
      <c r="BS19" s="239"/>
      <c r="BT19" s="283" t="s">
        <v>250</v>
      </c>
      <c r="BU19" s="283"/>
      <c r="BV19" s="239" t="s">
        <v>182</v>
      </c>
      <c r="BW19" s="239"/>
      <c r="BX19" s="239"/>
      <c r="BY19" s="239"/>
      <c r="BZ19" s="239"/>
      <c r="CA19" s="239"/>
      <c r="CB19" s="239"/>
      <c r="CC19" s="239"/>
      <c r="CD19" s="239"/>
      <c r="CE19" s="239"/>
      <c r="CF19" s="239"/>
      <c r="DA19" s="118"/>
      <c r="DB19" s="119"/>
      <c r="DC19" s="119"/>
      <c r="DD19" s="119"/>
      <c r="DE19" s="234" t="s">
        <v>175</v>
      </c>
      <c r="DF19" s="235"/>
      <c r="DG19" s="235"/>
      <c r="DH19" s="235"/>
      <c r="DI19" s="235"/>
      <c r="DJ19" s="235"/>
      <c r="DK19" s="236" t="s">
        <v>176</v>
      </c>
      <c r="DL19" s="236"/>
      <c r="DM19" s="236"/>
      <c r="DN19" s="236"/>
      <c r="DO19" s="236"/>
      <c r="DP19" s="236"/>
      <c r="DQ19" s="236"/>
      <c r="DR19" s="236"/>
      <c r="DS19" s="236" t="s">
        <v>177</v>
      </c>
      <c r="DT19" s="236"/>
      <c r="DU19" s="236"/>
      <c r="DV19" s="236"/>
      <c r="DW19" s="236"/>
      <c r="DX19" s="236"/>
      <c r="DY19" s="236"/>
      <c r="DZ19" s="173"/>
      <c r="EA19" s="236" t="s">
        <v>178</v>
      </c>
      <c r="EB19" s="236"/>
      <c r="EC19" s="236"/>
      <c r="ED19" s="236"/>
      <c r="EE19" s="236"/>
      <c r="EF19" s="236"/>
      <c r="EG19" s="236"/>
      <c r="EH19" s="238" t="s">
        <v>179</v>
      </c>
      <c r="EI19" s="238"/>
      <c r="EJ19" s="238"/>
      <c r="EK19" s="240" t="s">
        <v>251</v>
      </c>
      <c r="EL19" s="240"/>
      <c r="EM19" s="240"/>
      <c r="EN19" s="240"/>
      <c r="EO19" s="240" t="s">
        <v>252</v>
      </c>
      <c r="EP19" s="240"/>
      <c r="EQ19" s="240"/>
      <c r="ER19" s="240"/>
      <c r="ES19" s="240"/>
      <c r="ET19" s="241" t="s">
        <v>253</v>
      </c>
      <c r="EU19" s="241"/>
      <c r="EV19" s="240" t="s">
        <v>254</v>
      </c>
      <c r="EW19" s="240"/>
      <c r="EX19" s="240"/>
      <c r="EY19" s="240"/>
      <c r="EZ19" s="240"/>
      <c r="FA19" s="240"/>
      <c r="FB19" s="240"/>
      <c r="FC19" s="240"/>
      <c r="FD19" s="240"/>
      <c r="FE19" s="240"/>
      <c r="FF19" s="242"/>
    </row>
    <row r="20" spans="1:162" ht="12.75" customHeight="1">
      <c r="A20" s="19">
        <v>33</v>
      </c>
      <c r="B20" s="7">
        <v>60</v>
      </c>
      <c r="C20" s="7">
        <v>70</v>
      </c>
      <c r="D20" s="7">
        <v>80</v>
      </c>
      <c r="E20" s="7">
        <v>200</v>
      </c>
      <c r="F20" s="35"/>
      <c r="H20" s="197"/>
      <c r="I20" s="46" t="str">
        <f>"- Đường kính ngoài bu lông:"</f>
        <v>- Đường kính ngoài bu lông:</v>
      </c>
      <c r="J20" s="46"/>
      <c r="K20" s="47"/>
      <c r="L20" s="49"/>
      <c r="M20" s="46"/>
      <c r="N20" s="32"/>
      <c r="O20" s="32"/>
      <c r="P20" s="32"/>
      <c r="Q20" s="34" t="s">
        <v>3</v>
      </c>
      <c r="R20" s="51">
        <f>VLOOKUP(F42,$A$44:$F$55,5,FALSE)</f>
        <v>24</v>
      </c>
      <c r="S20" s="199" t="s">
        <v>4</v>
      </c>
      <c r="AA20" s="118"/>
      <c r="AB20" s="119"/>
      <c r="AC20" s="119"/>
      <c r="AD20" s="119"/>
      <c r="AE20" s="234"/>
      <c r="AF20" s="235"/>
      <c r="AG20" s="235"/>
      <c r="AH20" s="235"/>
      <c r="AI20" s="235"/>
      <c r="AJ20" s="235"/>
      <c r="AK20" s="237"/>
      <c r="AL20" s="237"/>
      <c r="AM20" s="237"/>
      <c r="AN20" s="237"/>
      <c r="AO20" s="237"/>
      <c r="AP20" s="237"/>
      <c r="AQ20" s="237"/>
      <c r="AR20" s="237"/>
      <c r="AS20" s="237"/>
      <c r="AT20" s="237"/>
      <c r="AU20" s="237"/>
      <c r="AV20" s="237"/>
      <c r="AW20" s="237"/>
      <c r="AX20" s="237"/>
      <c r="AY20" s="237"/>
      <c r="AZ20" s="145"/>
      <c r="BA20" s="237"/>
      <c r="BB20" s="237"/>
      <c r="BC20" s="237"/>
      <c r="BD20" s="237"/>
      <c r="BE20" s="237"/>
      <c r="BF20" s="237"/>
      <c r="BG20" s="237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83"/>
      <c r="BU20" s="283"/>
      <c r="BV20" s="239"/>
      <c r="BW20" s="239"/>
      <c r="BX20" s="239"/>
      <c r="BY20" s="239"/>
      <c r="BZ20" s="239"/>
      <c r="CA20" s="239"/>
      <c r="CB20" s="239"/>
      <c r="CC20" s="239"/>
      <c r="CD20" s="239"/>
      <c r="CE20" s="239"/>
      <c r="CF20" s="239"/>
      <c r="DA20" s="118"/>
      <c r="DB20" s="119"/>
      <c r="DC20" s="119"/>
      <c r="DD20" s="119"/>
      <c r="DE20" s="234"/>
      <c r="DF20" s="235"/>
      <c r="DG20" s="235"/>
      <c r="DH20" s="235"/>
      <c r="DI20" s="235"/>
      <c r="DJ20" s="235"/>
      <c r="DK20" s="237"/>
      <c r="DL20" s="237"/>
      <c r="DM20" s="237"/>
      <c r="DN20" s="237"/>
      <c r="DO20" s="237"/>
      <c r="DP20" s="237"/>
      <c r="DQ20" s="237"/>
      <c r="DR20" s="237"/>
      <c r="DS20" s="237"/>
      <c r="DT20" s="237"/>
      <c r="DU20" s="237"/>
      <c r="DV20" s="237"/>
      <c r="DW20" s="237"/>
      <c r="DX20" s="237"/>
      <c r="DY20" s="237"/>
      <c r="DZ20" s="145"/>
      <c r="EA20" s="237"/>
      <c r="EB20" s="237"/>
      <c r="EC20" s="237"/>
      <c r="ED20" s="237"/>
      <c r="EE20" s="237"/>
      <c r="EF20" s="237"/>
      <c r="EG20" s="237"/>
      <c r="EH20" s="239"/>
      <c r="EI20" s="239"/>
      <c r="EJ20" s="239"/>
      <c r="EK20" s="240"/>
      <c r="EL20" s="240"/>
      <c r="EM20" s="240"/>
      <c r="EN20" s="240"/>
      <c r="EO20" s="240"/>
      <c r="EP20" s="240"/>
      <c r="EQ20" s="240"/>
      <c r="ER20" s="240"/>
      <c r="ES20" s="240"/>
      <c r="ET20" s="241"/>
      <c r="EU20" s="241"/>
      <c r="EV20" s="240"/>
      <c r="EW20" s="240"/>
      <c r="EX20" s="240"/>
      <c r="EY20" s="240"/>
      <c r="EZ20" s="240"/>
      <c r="FA20" s="240"/>
      <c r="FB20" s="240"/>
      <c r="FC20" s="240"/>
      <c r="FD20" s="240"/>
      <c r="FE20" s="240"/>
      <c r="FF20" s="242"/>
    </row>
    <row r="21" spans="1:162" ht="12.75" customHeight="1">
      <c r="A21" s="19">
        <v>36</v>
      </c>
      <c r="B21" s="7">
        <v>60</v>
      </c>
      <c r="C21" s="7">
        <v>70</v>
      </c>
      <c r="D21" s="7">
        <v>80</v>
      </c>
      <c r="E21" s="7">
        <v>200</v>
      </c>
      <c r="F21" s="35"/>
      <c r="H21" s="197"/>
      <c r="I21" s="46" t="str">
        <f>"- Diện tích tiết diện nguyên bu lông:"</f>
        <v>- Diện tích tiết diện nguyên bu lông:</v>
      </c>
      <c r="J21" s="46"/>
      <c r="K21" s="47"/>
      <c r="L21" s="49"/>
      <c r="M21" s="46"/>
      <c r="N21" s="32"/>
      <c r="O21" s="32"/>
      <c r="P21" s="32"/>
      <c r="Q21" s="34" t="s">
        <v>80</v>
      </c>
      <c r="R21" s="52">
        <f>HLOOKUP(R20,Data!$H$31:$Q$35,3,FALSE)</f>
        <v>452.38934211693021</v>
      </c>
      <c r="S21" s="199" t="s">
        <v>6</v>
      </c>
      <c r="AA21" s="107" t="s">
        <v>183</v>
      </c>
      <c r="AB21" s="250" t="s">
        <v>161</v>
      </c>
      <c r="AC21" s="250"/>
      <c r="AD21" s="108" t="s">
        <v>162</v>
      </c>
      <c r="AE21" s="120" t="s">
        <v>126</v>
      </c>
      <c r="AF21" s="120" t="s">
        <v>125</v>
      </c>
      <c r="AG21" s="120" t="s">
        <v>184</v>
      </c>
      <c r="AH21" s="120" t="s">
        <v>185</v>
      </c>
      <c r="AI21" s="120" t="s">
        <v>247</v>
      </c>
      <c r="AJ21" s="251" t="s">
        <v>248</v>
      </c>
      <c r="AK21" s="146" t="s">
        <v>186</v>
      </c>
      <c r="AL21" s="146" t="s">
        <v>187</v>
      </c>
      <c r="AM21" s="146" t="s">
        <v>188</v>
      </c>
      <c r="AN21" s="230" t="s">
        <v>189</v>
      </c>
      <c r="AO21" s="230"/>
      <c r="AP21" s="230"/>
      <c r="AQ21" s="230"/>
      <c r="AR21" s="231" t="s">
        <v>248</v>
      </c>
      <c r="AS21" s="232" t="s">
        <v>163</v>
      </c>
      <c r="AT21" s="147" t="s">
        <v>164</v>
      </c>
      <c r="AU21" s="147" t="s">
        <v>190</v>
      </c>
      <c r="AV21" s="148" t="s">
        <v>191</v>
      </c>
      <c r="AW21" s="148" t="s">
        <v>192</v>
      </c>
      <c r="AX21" s="148" t="s">
        <v>193</v>
      </c>
      <c r="AY21" s="148" t="s">
        <v>194</v>
      </c>
      <c r="AZ21" s="148"/>
      <c r="BA21" s="148" t="s">
        <v>84</v>
      </c>
      <c r="BB21" s="148" t="s">
        <v>29</v>
      </c>
      <c r="BC21" s="148" t="s">
        <v>85</v>
      </c>
      <c r="BD21" s="148" t="s">
        <v>86</v>
      </c>
      <c r="BE21" s="148" t="s">
        <v>195</v>
      </c>
      <c r="BF21" s="148" t="s">
        <v>196</v>
      </c>
      <c r="BG21" s="148" t="s">
        <v>152</v>
      </c>
      <c r="BH21" s="147" t="s">
        <v>197</v>
      </c>
      <c r="BI21" s="147" t="s">
        <v>198</v>
      </c>
      <c r="BJ21" s="147" t="s">
        <v>199</v>
      </c>
      <c r="BK21" s="147" t="s">
        <v>200</v>
      </c>
      <c r="BL21" s="149" t="s">
        <v>125</v>
      </c>
      <c r="BM21" s="228" t="s">
        <v>201</v>
      </c>
      <c r="BN21" s="227" t="s">
        <v>249</v>
      </c>
      <c r="BO21" s="147" t="s">
        <v>202</v>
      </c>
      <c r="BP21" s="147" t="s">
        <v>203</v>
      </c>
      <c r="BQ21" s="147" t="s">
        <v>204</v>
      </c>
      <c r="BR21" s="228" t="s">
        <v>201</v>
      </c>
      <c r="BS21" s="227" t="s">
        <v>249</v>
      </c>
      <c r="BT21" s="229" t="s">
        <v>201</v>
      </c>
      <c r="BU21" s="227" t="s">
        <v>249</v>
      </c>
      <c r="BV21" s="147" t="s">
        <v>86</v>
      </c>
      <c r="BW21" s="147" t="s">
        <v>205</v>
      </c>
      <c r="BX21" s="147" t="s">
        <v>206</v>
      </c>
      <c r="BY21" s="151" t="s">
        <v>207</v>
      </c>
      <c r="BZ21" s="151" t="s">
        <v>207</v>
      </c>
      <c r="CA21" s="152" t="s">
        <v>208</v>
      </c>
      <c r="CB21" s="152" t="s">
        <v>208</v>
      </c>
      <c r="CC21" s="153" t="s">
        <v>209</v>
      </c>
      <c r="CD21" s="153" t="s">
        <v>209</v>
      </c>
      <c r="CE21" s="228" t="s">
        <v>201</v>
      </c>
      <c r="CF21" s="227" t="s">
        <v>249</v>
      </c>
      <c r="DA21" s="107" t="s">
        <v>183</v>
      </c>
      <c r="DB21" s="250" t="s">
        <v>161</v>
      </c>
      <c r="DC21" s="250"/>
      <c r="DD21" s="108" t="s">
        <v>162</v>
      </c>
      <c r="DE21" s="120" t="s">
        <v>126</v>
      </c>
      <c r="DF21" s="120" t="s">
        <v>125</v>
      </c>
      <c r="DG21" s="120" t="s">
        <v>184</v>
      </c>
      <c r="DH21" s="120" t="s">
        <v>185</v>
      </c>
      <c r="DI21" s="120" t="s">
        <v>247</v>
      </c>
      <c r="DJ21" s="251" t="s">
        <v>248</v>
      </c>
      <c r="DK21" s="146" t="s">
        <v>186</v>
      </c>
      <c r="DL21" s="146" t="s">
        <v>187</v>
      </c>
      <c r="DM21" s="146" t="s">
        <v>188</v>
      </c>
      <c r="DN21" s="230" t="s">
        <v>189</v>
      </c>
      <c r="DO21" s="230"/>
      <c r="DP21" s="230"/>
      <c r="DQ21" s="230"/>
      <c r="DR21" s="231" t="s">
        <v>248</v>
      </c>
      <c r="DS21" s="232" t="s">
        <v>163</v>
      </c>
      <c r="DT21" s="147" t="s">
        <v>164</v>
      </c>
      <c r="DU21" s="147" t="s">
        <v>190</v>
      </c>
      <c r="DV21" s="148" t="s">
        <v>191</v>
      </c>
      <c r="DW21" s="148" t="s">
        <v>192</v>
      </c>
      <c r="DX21" s="148" t="s">
        <v>193</v>
      </c>
      <c r="DY21" s="148" t="s">
        <v>194</v>
      </c>
      <c r="DZ21" s="148"/>
      <c r="EA21" s="148" t="s">
        <v>84</v>
      </c>
      <c r="EB21" s="148" t="s">
        <v>29</v>
      </c>
      <c r="EC21" s="148" t="s">
        <v>85</v>
      </c>
      <c r="ED21" s="148" t="s">
        <v>86</v>
      </c>
      <c r="EE21" s="148" t="s">
        <v>195</v>
      </c>
      <c r="EF21" s="148" t="s">
        <v>196</v>
      </c>
      <c r="EG21" s="148" t="s">
        <v>152</v>
      </c>
      <c r="EH21" s="147" t="s">
        <v>197</v>
      </c>
      <c r="EI21" s="147" t="s">
        <v>198</v>
      </c>
      <c r="EJ21" s="147" t="s">
        <v>199</v>
      </c>
      <c r="EK21" s="147" t="s">
        <v>200</v>
      </c>
      <c r="EL21" s="149" t="s">
        <v>125</v>
      </c>
      <c r="EM21" s="228" t="s">
        <v>201</v>
      </c>
      <c r="EN21" s="227" t="s">
        <v>249</v>
      </c>
      <c r="EO21" s="147" t="s">
        <v>202</v>
      </c>
      <c r="EP21" s="147" t="s">
        <v>203</v>
      </c>
      <c r="EQ21" s="147" t="s">
        <v>204</v>
      </c>
      <c r="ER21" s="228" t="s">
        <v>201</v>
      </c>
      <c r="ES21" s="227" t="s">
        <v>249</v>
      </c>
      <c r="ET21" s="229" t="s">
        <v>201</v>
      </c>
      <c r="EU21" s="227" t="s">
        <v>249</v>
      </c>
      <c r="EV21" s="147" t="s">
        <v>86</v>
      </c>
      <c r="EW21" s="147" t="s">
        <v>205</v>
      </c>
      <c r="EX21" s="147" t="s">
        <v>206</v>
      </c>
      <c r="EY21" s="151" t="s">
        <v>207</v>
      </c>
      <c r="EZ21" s="151" t="s">
        <v>207</v>
      </c>
      <c r="FA21" s="152" t="s">
        <v>208</v>
      </c>
      <c r="FB21" s="152" t="s">
        <v>208</v>
      </c>
      <c r="FC21" s="153" t="s">
        <v>209</v>
      </c>
      <c r="FD21" s="153" t="s">
        <v>209</v>
      </c>
      <c r="FE21" s="228" t="s">
        <v>201</v>
      </c>
      <c r="FF21" s="227" t="s">
        <v>249</v>
      </c>
    </row>
    <row r="22" spans="1:162" ht="12.75" customHeight="1">
      <c r="H22" s="197"/>
      <c r="I22" s="46" t="str">
        <f>"- Diện tích thực thân bu lông:"</f>
        <v>- Diện tích thực thân bu lông:</v>
      </c>
      <c r="J22" s="46"/>
      <c r="K22" s="47"/>
      <c r="L22" s="49"/>
      <c r="M22" s="46"/>
      <c r="N22" s="32"/>
      <c r="O22" s="32"/>
      <c r="P22" s="32"/>
      <c r="Q22" s="34" t="s">
        <v>5</v>
      </c>
      <c r="R22" s="35">
        <f>HLOOKUP(R20,Data!$H$31:$Q$35,4,FALSE)</f>
        <v>353</v>
      </c>
      <c r="S22" s="199" t="s">
        <v>6</v>
      </c>
      <c r="AA22" s="109"/>
      <c r="AB22" s="110" t="s">
        <v>245</v>
      </c>
      <c r="AC22" s="111" t="s">
        <v>246</v>
      </c>
      <c r="AD22" s="112" t="s">
        <v>167</v>
      </c>
      <c r="AE22" s="121" t="s">
        <v>210</v>
      </c>
      <c r="AF22" s="121" t="s">
        <v>210</v>
      </c>
      <c r="AG22" s="121" t="s">
        <v>210</v>
      </c>
      <c r="AH22" s="121" t="s">
        <v>210</v>
      </c>
      <c r="AI22" s="121" t="s">
        <v>210</v>
      </c>
      <c r="AJ22" s="252"/>
      <c r="AK22" s="148" t="s">
        <v>210</v>
      </c>
      <c r="AL22" s="148" t="s">
        <v>210</v>
      </c>
      <c r="AM22" s="148" t="s">
        <v>210</v>
      </c>
      <c r="AN22" s="148" t="s">
        <v>158</v>
      </c>
      <c r="AO22" s="148" t="s">
        <v>159</v>
      </c>
      <c r="AP22" s="148" t="s">
        <v>160</v>
      </c>
      <c r="AQ22" s="148" t="s">
        <v>127</v>
      </c>
      <c r="AR22" s="231"/>
      <c r="AS22" s="232"/>
      <c r="AT22" s="147" t="s">
        <v>20</v>
      </c>
      <c r="AU22" s="147" t="s">
        <v>20</v>
      </c>
      <c r="AV22" s="148" t="s">
        <v>20</v>
      </c>
      <c r="AW22" s="148" t="s">
        <v>21</v>
      </c>
      <c r="AX22" s="148" t="s">
        <v>21</v>
      </c>
      <c r="AY22" s="148" t="s">
        <v>21</v>
      </c>
      <c r="AZ22" s="148"/>
      <c r="BA22" s="148" t="s">
        <v>210</v>
      </c>
      <c r="BB22" s="148" t="s">
        <v>210</v>
      </c>
      <c r="BC22" s="148" t="s">
        <v>210</v>
      </c>
      <c r="BD22" s="148" t="s">
        <v>210</v>
      </c>
      <c r="BE22" s="148" t="s">
        <v>6</v>
      </c>
      <c r="BF22" s="148" t="s">
        <v>6</v>
      </c>
      <c r="BG22" s="148" t="s">
        <v>210</v>
      </c>
      <c r="BH22" s="147" t="s">
        <v>20</v>
      </c>
      <c r="BI22" s="147" t="s">
        <v>20</v>
      </c>
      <c r="BJ22" s="147" t="s">
        <v>20</v>
      </c>
      <c r="BK22" s="147" t="s">
        <v>20</v>
      </c>
      <c r="BL22" s="150"/>
      <c r="BM22" s="228"/>
      <c r="BN22" s="227"/>
      <c r="BO22" s="148" t="s">
        <v>210</v>
      </c>
      <c r="BP22" s="148" t="s">
        <v>210</v>
      </c>
      <c r="BQ22" s="147" t="s">
        <v>20</v>
      </c>
      <c r="BR22" s="228"/>
      <c r="BS22" s="227"/>
      <c r="BT22" s="229"/>
      <c r="BU22" s="227"/>
      <c r="BV22" s="147" t="s">
        <v>20</v>
      </c>
      <c r="BW22" s="147" t="s">
        <v>21</v>
      </c>
      <c r="BX22" s="147" t="s">
        <v>20</v>
      </c>
      <c r="BY22" s="147" t="s">
        <v>2</v>
      </c>
      <c r="BZ22" s="147" t="s">
        <v>201</v>
      </c>
      <c r="CA22" s="147" t="s">
        <v>2</v>
      </c>
      <c r="CB22" s="147" t="s">
        <v>201</v>
      </c>
      <c r="CC22" s="147" t="s">
        <v>2</v>
      </c>
      <c r="CD22" s="147" t="s">
        <v>201</v>
      </c>
      <c r="CE22" s="228"/>
      <c r="CF22" s="227"/>
      <c r="DA22" s="109"/>
      <c r="DB22" s="110" t="s">
        <v>245</v>
      </c>
      <c r="DC22" s="111" t="s">
        <v>246</v>
      </c>
      <c r="DD22" s="112" t="s">
        <v>167</v>
      </c>
      <c r="DE22" s="121" t="s">
        <v>210</v>
      </c>
      <c r="DF22" s="121" t="s">
        <v>210</v>
      </c>
      <c r="DG22" s="121" t="s">
        <v>210</v>
      </c>
      <c r="DH22" s="121" t="s">
        <v>210</v>
      </c>
      <c r="DI22" s="121" t="s">
        <v>210</v>
      </c>
      <c r="DJ22" s="252"/>
      <c r="DK22" s="148" t="s">
        <v>210</v>
      </c>
      <c r="DL22" s="148" t="s">
        <v>210</v>
      </c>
      <c r="DM22" s="148" t="s">
        <v>210</v>
      </c>
      <c r="DN22" s="148" t="s">
        <v>158</v>
      </c>
      <c r="DO22" s="148" t="s">
        <v>159</v>
      </c>
      <c r="DP22" s="148" t="s">
        <v>160</v>
      </c>
      <c r="DQ22" s="148" t="s">
        <v>127</v>
      </c>
      <c r="DR22" s="231"/>
      <c r="DS22" s="232"/>
      <c r="DT22" s="147" t="s">
        <v>20</v>
      </c>
      <c r="DU22" s="147" t="s">
        <v>20</v>
      </c>
      <c r="DV22" s="148" t="s">
        <v>20</v>
      </c>
      <c r="DW22" s="148" t="s">
        <v>21</v>
      </c>
      <c r="DX22" s="148" t="s">
        <v>21</v>
      </c>
      <c r="DY22" s="148" t="s">
        <v>21</v>
      </c>
      <c r="DZ22" s="148"/>
      <c r="EA22" s="148" t="s">
        <v>210</v>
      </c>
      <c r="EB22" s="148" t="s">
        <v>210</v>
      </c>
      <c r="EC22" s="148" t="s">
        <v>210</v>
      </c>
      <c r="ED22" s="148" t="s">
        <v>210</v>
      </c>
      <c r="EE22" s="148" t="s">
        <v>6</v>
      </c>
      <c r="EF22" s="148" t="s">
        <v>6</v>
      </c>
      <c r="EG22" s="148" t="s">
        <v>210</v>
      </c>
      <c r="EH22" s="147" t="s">
        <v>20</v>
      </c>
      <c r="EI22" s="147" t="s">
        <v>20</v>
      </c>
      <c r="EJ22" s="147" t="s">
        <v>20</v>
      </c>
      <c r="EK22" s="147" t="s">
        <v>20</v>
      </c>
      <c r="EL22" s="150"/>
      <c r="EM22" s="228"/>
      <c r="EN22" s="227"/>
      <c r="EO22" s="148" t="s">
        <v>210</v>
      </c>
      <c r="EP22" s="148" t="s">
        <v>210</v>
      </c>
      <c r="EQ22" s="147" t="s">
        <v>20</v>
      </c>
      <c r="ER22" s="228"/>
      <c r="ES22" s="227"/>
      <c r="ET22" s="229"/>
      <c r="EU22" s="227"/>
      <c r="EV22" s="147" t="s">
        <v>20</v>
      </c>
      <c r="EW22" s="147" t="s">
        <v>21</v>
      </c>
      <c r="EX22" s="147" t="s">
        <v>20</v>
      </c>
      <c r="EY22" s="147" t="s">
        <v>2</v>
      </c>
      <c r="EZ22" s="147" t="s">
        <v>201</v>
      </c>
      <c r="FA22" s="147" t="s">
        <v>2</v>
      </c>
      <c r="FB22" s="147" t="s">
        <v>201</v>
      </c>
      <c r="FC22" s="147" t="s">
        <v>2</v>
      </c>
      <c r="FD22" s="147" t="s">
        <v>201</v>
      </c>
      <c r="FE22" s="228"/>
      <c r="FF22" s="227"/>
    </row>
    <row r="23" spans="1:162" ht="12.75" customHeight="1">
      <c r="H23" s="197"/>
      <c r="I23" s="46" t="str">
        <f>"- Hệ số điều kiện làm việc (bảng 1):"</f>
        <v>- Hệ số điều kiện làm việc (bảng 1):</v>
      </c>
      <c r="J23" s="46"/>
      <c r="K23" s="47"/>
      <c r="L23" s="49"/>
      <c r="M23" s="46"/>
      <c r="N23" s="32"/>
      <c r="O23" s="32"/>
      <c r="P23" s="32"/>
      <c r="Q23" s="36" t="s">
        <v>11</v>
      </c>
      <c r="R23" s="51">
        <f>IF(S16="A",1,0.9)</f>
        <v>0.9</v>
      </c>
      <c r="S23" s="200"/>
      <c r="AA23" s="113" t="s">
        <v>211</v>
      </c>
      <c r="AB23" s="113">
        <v>18</v>
      </c>
      <c r="AC23" s="113" t="s">
        <v>260</v>
      </c>
      <c r="AD23" s="114">
        <v>18</v>
      </c>
      <c r="AE23" s="122">
        <v>1232</v>
      </c>
      <c r="AF23" s="123">
        <v>350</v>
      </c>
      <c r="AG23" s="123">
        <v>12</v>
      </c>
      <c r="AH23" s="123">
        <v>16</v>
      </c>
      <c r="AI23" s="123">
        <v>1200</v>
      </c>
      <c r="AJ23" s="124" t="str" cm="1">
        <f t="array" ref="AJ23">_xll.Dce_Name_SectI(AE23, AE23, AF23, AG23, AH23, "x", "-", "H Tổng")</f>
        <v>1232x350x12x16</v>
      </c>
      <c r="AK23" s="154">
        <f>AE23+(VLOOKUP(AQ23,$A$13:$E$21,2,FALSE)+VLOOKUP(AQ23,$A$13:$E$21,3,FALSE)+20)</f>
        <v>1382</v>
      </c>
      <c r="AL23" s="155" cm="1">
        <f t="array" ref="AL23">IFERROR(INDEX($A$28:$A$35,IFERROR(MATCH(AF23,$A$28:$A$35,0),MATCH(AF23,$A$28:$A$35,1)+1)),$A$28)</f>
        <v>350</v>
      </c>
      <c r="AM23" s="155">
        <f>IFERROR(VLOOKUP(AE23,$A$44:$F$55,6,FALSE),INDEX($F$44:$F$55,MATCH(AE23,$A$44:$A$55,1)+1))</f>
        <v>25</v>
      </c>
      <c r="AN23" s="155">
        <f>IFERROR(VLOOKUP(AE23,$A$44:$F$55,2,FALSE),INDEX($B$44:$B$55,MATCH(AE23,$A$44:$A$55,1)+1))</f>
        <v>6</v>
      </c>
      <c r="AO23" s="155">
        <f>IFERROR(VLOOKUP(AE23,$A$44:$F$55,3,FALSE),INDEX($C$44:$C$55,MATCH(AE23,$A$44:$A$55,1)+1))</f>
        <v>2</v>
      </c>
      <c r="AP23" s="155">
        <f>IFERROR(VLOOKUP(AE23,$A$44:$F$55,4,FALSE),INDEX($D$44:$D$55,MATCH(AE23,$A$44:$A$55,1)+1))</f>
        <v>6</v>
      </c>
      <c r="AQ23" s="155">
        <f>IFERROR(VLOOKUP(AE23,$A$44:$F$55,5,FALSE),INDEX($E$44:$E$55,MATCH(AE23,$A$44:$A$55,1)+1))</f>
        <v>24</v>
      </c>
      <c r="AR23" s="155" t="str">
        <f>AK23&amp;"x"&amp;AL23&amp;"x"&amp;AM23&amp;" + "&amp;(AN23+AO23+AP23)&amp;"M"&amp;AQ23</f>
        <v>1382x350x25 + 14M24</v>
      </c>
      <c r="AS23" s="156" t="s">
        <v>261</v>
      </c>
      <c r="AT23" s="157">
        <v>-100.83560461383163</v>
      </c>
      <c r="AU23" s="157">
        <v>-34.857997196399083</v>
      </c>
      <c r="AV23" s="158">
        <v>3.5444568982379854E-2</v>
      </c>
      <c r="AW23" s="158">
        <v>-1.2126284551464655E-3</v>
      </c>
      <c r="AX23" s="158">
        <v>1.4012686535266328E-3</v>
      </c>
      <c r="AY23" s="158">
        <v>627.39976775881814</v>
      </c>
      <c r="AZ23" s="158"/>
      <c r="BA23" s="154">
        <f>VLOOKUP(AQ23,$A$13:$E$21,2,FALSE)</f>
        <v>60</v>
      </c>
      <c r="BB23" s="154">
        <f>VLOOKUP(AQ23,$A$13:$E$21,3,FALSE)</f>
        <v>70</v>
      </c>
      <c r="BC23" s="154">
        <f>VLOOKUP(AQ23,$A$13:$E$21,4,FALSE)</f>
        <v>80</v>
      </c>
      <c r="BD23" s="154">
        <f>VLOOKUP(AQ23,$A$13:$E$21,5,FALSE)</f>
        <v>140</v>
      </c>
      <c r="BE23" s="154">
        <f>HLOOKUP(AQ23,Data!$H$31:$Q$35,3,FALSE)</f>
        <v>452.38934211693021</v>
      </c>
      <c r="BF23" s="154">
        <f>HLOOKUP(AQ23,Data!$H$31:$Q$35,4,FALSE)</f>
        <v>353</v>
      </c>
      <c r="BG23" s="154">
        <f>VLOOKUP(AL23,$A$28:$B$35,2,FALSE)</f>
        <v>180</v>
      </c>
      <c r="BH23" s="154">
        <f>$R$17*BE23*$R$23*$R$24/1000</f>
        <v>121.65654188208487</v>
      </c>
      <c r="BI23" s="154">
        <f>$R$19*AQ23*AM23*$R$23*$R$24/1000</f>
        <v>243</v>
      </c>
      <c r="BJ23" s="154">
        <f>$R$18*BF23*$R$23/1000</f>
        <v>142.3296</v>
      </c>
      <c r="BK23" s="159">
        <f>ABS(AU23)/(AN23+AO23+AP23)</f>
        <v>2.4898569425999346</v>
      </c>
      <c r="BL23" s="160">
        <f>IF(BO23&gt;16*AQ23,MAX(0.75,1-0.005*(BO23/AQ23-16)),1)</f>
        <v>0.82541666666666669</v>
      </c>
      <c r="BM23" s="169">
        <f>BK23/(BL23*MIN(BH23,BI23))</f>
        <v>2.4795090271059441E-2</v>
      </c>
      <c r="BN23" s="162" t="str">
        <f>IF(BM23&lt;=1,"OK","O/S")</f>
        <v>OK</v>
      </c>
      <c r="BO23" s="163" cm="1">
        <f t="array" ref="BO23">_xll.DCEBoltDisK(AN23, AO23, AP23, AE23,  BB23, BC23, BD23, "h7")</f>
        <v>1222</v>
      </c>
      <c r="BP23" s="164" cm="1">
        <f t="array" ref="BP23">_xll.DCEBoltDisK(AN23, AO23, AP23, AE23,  BB23, BC23, BD23, "Tong")</f>
        <v>4037428</v>
      </c>
      <c r="BQ23" s="165">
        <f t="shared" ref="BQ23" si="1">ABS(AY23)*BO23/(2*BP23)*1000+AT23/(AN23+AO23+AP23)</f>
        <v>87.744353228698301</v>
      </c>
      <c r="BR23" s="161">
        <f>BQ23/BJ23</f>
        <v>0.61648703592715992</v>
      </c>
      <c r="BS23" s="162" t="str">
        <f>IF(BR23&lt;=1,"OK","O/S")</f>
        <v>OK</v>
      </c>
      <c r="BT23" s="159">
        <f>SQRT((BK23/BH23)^2+(BQ23/BJ23)^2)</f>
        <v>0.61682666456181445</v>
      </c>
      <c r="BU23" s="162" t="str">
        <f>IF(BT23&lt;=1,"OK","O/S")</f>
        <v>OK</v>
      </c>
      <c r="BV23" s="166">
        <f t="shared" ref="BV23" si="2">ABS(AY23)/(AE23/1000)+AT23</f>
        <v>408.4174536319623</v>
      </c>
      <c r="BW23" s="159">
        <f>BV23*(BG23/1000)/8</f>
        <v>9.1893927067191523</v>
      </c>
      <c r="BX23" s="166">
        <f>BV23/2</f>
        <v>204.20872681598115</v>
      </c>
      <c r="BY23" s="155">
        <f>6*BW23*1000000/(AK23*AM23^2)</f>
        <v>63.833697528584551</v>
      </c>
      <c r="BZ23" s="167">
        <f>BY23/($R$32*$R$30)</f>
        <v>0.31030269631950824</v>
      </c>
      <c r="CA23" s="159">
        <f>BX23*1000/(AK23*AM23)</f>
        <v>5.9105275489430147</v>
      </c>
      <c r="CB23" s="168">
        <f>CA23/($R$32*$R$31)</f>
        <v>4.9537467483957265E-2</v>
      </c>
      <c r="CC23" s="155">
        <f>SQRT(BY23^2+3*CA23^2)</f>
        <v>64.649392478903181</v>
      </c>
      <c r="CD23" s="159">
        <f>CC23/(1.15*$R$32*$R$30)</f>
        <v>0.27327641748328646</v>
      </c>
      <c r="CE23" s="161">
        <f>MAX(BZ23,CB23,CD23)</f>
        <v>0.31030269631950824</v>
      </c>
      <c r="CF23" s="162" t="str">
        <f>IF(CE23&lt;=1,"OK","O/S")</f>
        <v>OK</v>
      </c>
      <c r="DA23" s="113" t="s">
        <v>211</v>
      </c>
      <c r="DB23" s="113">
        <v>18</v>
      </c>
      <c r="DC23" s="113" t="s">
        <v>260</v>
      </c>
      <c r="DD23" s="114">
        <v>18</v>
      </c>
      <c r="DE23" s="122">
        <v>1232</v>
      </c>
      <c r="DF23" s="123">
        <v>350</v>
      </c>
      <c r="DG23" s="123">
        <v>12</v>
      </c>
      <c r="DH23" s="123">
        <v>16</v>
      </c>
      <c r="DI23" s="123">
        <v>1200</v>
      </c>
      <c r="DJ23" s="124" t="s">
        <v>287</v>
      </c>
      <c r="DK23" s="154">
        <v>1382</v>
      </c>
      <c r="DL23" s="155">
        <v>350</v>
      </c>
      <c r="DM23" s="155">
        <v>25</v>
      </c>
      <c r="DN23" s="155">
        <v>6</v>
      </c>
      <c r="DO23" s="155">
        <v>2</v>
      </c>
      <c r="DP23" s="155">
        <v>6</v>
      </c>
      <c r="DQ23" s="155">
        <v>24</v>
      </c>
      <c r="DR23" s="155" t="s">
        <v>288</v>
      </c>
      <c r="DS23" s="156" t="s">
        <v>261</v>
      </c>
      <c r="DT23" s="157">
        <v>-100.83560461383163</v>
      </c>
      <c r="DU23" s="157">
        <v>-34.857997196399083</v>
      </c>
      <c r="DV23" s="158">
        <v>3.5444568982379854E-2</v>
      </c>
      <c r="DW23" s="158">
        <v>-1.2126284551464655E-3</v>
      </c>
      <c r="DX23" s="158">
        <v>1.4012686535266328E-3</v>
      </c>
      <c r="DY23" s="158">
        <v>627.39976775881814</v>
      </c>
      <c r="DZ23" s="158"/>
      <c r="EA23" s="154">
        <v>60</v>
      </c>
      <c r="EB23" s="154">
        <v>70</v>
      </c>
      <c r="EC23" s="154">
        <v>80</v>
      </c>
      <c r="ED23" s="154">
        <v>150</v>
      </c>
      <c r="EE23" s="154">
        <v>452.38934211693021</v>
      </c>
      <c r="EF23" s="154">
        <v>353</v>
      </c>
      <c r="EG23" s="154">
        <v>180</v>
      </c>
      <c r="EH23" s="154">
        <v>121.65654188208487</v>
      </c>
      <c r="EI23" s="154">
        <v>243</v>
      </c>
      <c r="EJ23" s="154">
        <v>142.3296</v>
      </c>
      <c r="EK23" s="159">
        <v>2.4898569425999346</v>
      </c>
      <c r="EL23" s="160">
        <v>0.82541666666666669</v>
      </c>
      <c r="EM23" s="159">
        <v>2.4795090271059441E-2</v>
      </c>
      <c r="EN23" s="159" t="s">
        <v>289</v>
      </c>
      <c r="EO23" s="159">
        <v>1222</v>
      </c>
      <c r="EP23" s="159">
        <v>3978373</v>
      </c>
      <c r="EQ23" s="159">
        <v>89.153745703413847</v>
      </c>
      <c r="ER23" s="159">
        <v>0.6263893505174879</v>
      </c>
      <c r="ES23" s="159" t="s">
        <v>289</v>
      </c>
      <c r="ET23" s="159">
        <v>0.62672361299851953</v>
      </c>
      <c r="EU23" s="159" t="s">
        <v>289</v>
      </c>
      <c r="EV23" s="159">
        <v>408.4174536319623</v>
      </c>
      <c r="EW23" s="159">
        <v>9.1893927067191523</v>
      </c>
      <c r="EX23" s="159">
        <v>204.20872681598115</v>
      </c>
      <c r="EY23" s="159">
        <v>63.833697528584551</v>
      </c>
      <c r="EZ23" s="159">
        <v>0.31030269631950824</v>
      </c>
      <c r="FA23" s="159">
        <v>5.9105275489430147</v>
      </c>
      <c r="FB23" s="159">
        <v>4.9537467483957265E-2</v>
      </c>
      <c r="FC23" s="159">
        <v>64.649392478903181</v>
      </c>
      <c r="FD23" s="159">
        <v>0.27327641748328646</v>
      </c>
      <c r="FE23" s="159">
        <v>0.31030269631950824</v>
      </c>
      <c r="FF23" s="159" t="s">
        <v>289</v>
      </c>
    </row>
    <row r="24" spans="1:162" ht="12.75" customHeight="1">
      <c r="H24" s="197"/>
      <c r="I24" s="46" t="str">
        <f>"- Hệ số điều kiện làm việc của liên kết một bu lông (bảng 44):"</f>
        <v>- Hệ số điều kiện làm việc của liên kết một bu lông (bảng 44):</v>
      </c>
      <c r="J24" s="46"/>
      <c r="K24" s="47"/>
      <c r="L24" s="49"/>
      <c r="M24" s="46"/>
      <c r="N24" s="32"/>
      <c r="O24" s="32"/>
      <c r="P24" s="32"/>
      <c r="Q24" s="36" t="s">
        <v>7</v>
      </c>
      <c r="R24" s="51">
        <f>IF(S16="A",1,0.9)</f>
        <v>0.9</v>
      </c>
      <c r="S24" s="200"/>
      <c r="AA24" s="113" t="s">
        <v>211</v>
      </c>
      <c r="AB24" s="113">
        <v>18</v>
      </c>
      <c r="AC24" s="113" t="s">
        <v>260</v>
      </c>
      <c r="AD24" s="114">
        <v>18</v>
      </c>
      <c r="AE24" s="122">
        <v>1232</v>
      </c>
      <c r="AF24" s="123">
        <v>350</v>
      </c>
      <c r="AG24" s="123">
        <v>12</v>
      </c>
      <c r="AH24" s="123">
        <v>16</v>
      </c>
      <c r="AI24" s="123">
        <v>1200</v>
      </c>
      <c r="AJ24" s="124" t="str" cm="1">
        <f t="array" ref="AJ24">_xll.Dce_Name_SectI(AE24, AE24, AF24, AG24, AH24, "x", "-", "H Tổng")</f>
        <v>1232x350x12x16</v>
      </c>
      <c r="AK24" s="154">
        <f t="shared" ref="AK24:AK74" si="3">AE24+(VLOOKUP(AQ24,$A$13:$E$21,2,FALSE)+VLOOKUP(AQ24,$A$13:$E$21,3,FALSE)+20)</f>
        <v>1382</v>
      </c>
      <c r="AL24" s="155" cm="1">
        <f t="array" ref="AL24">IFERROR(INDEX($A$28:$A$35,IFERROR(MATCH(AF24,$A$28:$A$35,0),MATCH(AF24,$A$28:$A$35,1)+1)),$A$28)</f>
        <v>350</v>
      </c>
      <c r="AM24" s="155">
        <f t="shared" ref="AM24:AM74" si="4">IFERROR(VLOOKUP(AE24,$A$44:$F$55,6,FALSE),INDEX($F$44:$F$55,MATCH(AE24,$A$44:$A$55,1)+1))</f>
        <v>25</v>
      </c>
      <c r="AN24" s="155">
        <f t="shared" ref="AN24:AN74" si="5">IFERROR(VLOOKUP(AE24,$A$44:$F$55,2,FALSE),INDEX($B$44:$B$55,MATCH(AE24,$A$44:$A$55,1)+1))</f>
        <v>6</v>
      </c>
      <c r="AO24" s="155">
        <f t="shared" ref="AO24:AO74" si="6">IFERROR(VLOOKUP(AE24,$A$44:$F$55,3,FALSE),INDEX($C$44:$C$55,MATCH(AE24,$A$44:$A$55,1)+1))</f>
        <v>2</v>
      </c>
      <c r="AP24" s="155">
        <f t="shared" ref="AP24:AP74" si="7">IFERROR(VLOOKUP(AE24,$A$44:$F$55,4,FALSE),INDEX($D$44:$D$55,MATCH(AE24,$A$44:$A$55,1)+1))</f>
        <v>6</v>
      </c>
      <c r="AQ24" s="155">
        <f t="shared" ref="AQ24:AQ74" si="8">IFERROR(VLOOKUP(AE24,$A$44:$F$55,5,FALSE),INDEX($E$44:$E$55,MATCH(AE24,$A$44:$A$55,1)+1))</f>
        <v>24</v>
      </c>
      <c r="AR24" s="155" t="str">
        <f t="shared" ref="AR24:AR74" si="9">AK24&amp;"x"&amp;AL24&amp;"x"&amp;AM24&amp;" + "&amp;(AN24+AO24+AP24)&amp;"M"&amp;AQ24</f>
        <v>1382x350x25 + 14M24</v>
      </c>
      <c r="AS24" s="156" t="s">
        <v>262</v>
      </c>
      <c r="AT24" s="157">
        <v>-184.26226843423538</v>
      </c>
      <c r="AU24" s="157">
        <v>-66.724974115998521</v>
      </c>
      <c r="AV24" s="158">
        <v>6.529149982247151E-2</v>
      </c>
      <c r="AW24" s="158">
        <v>-2.2834966796655143E-3</v>
      </c>
      <c r="AX24" s="158">
        <v>2.1885025333101549E-3</v>
      </c>
      <c r="AY24" s="158">
        <v>1200.9471570313226</v>
      </c>
      <c r="AZ24" s="158"/>
      <c r="BA24" s="154">
        <f t="shared" ref="BA24:BA74" si="10">VLOOKUP(AQ24,$A$13:$E$21,2,FALSE)</f>
        <v>60</v>
      </c>
      <c r="BB24" s="154">
        <f t="shared" ref="BB24:BB74" si="11">VLOOKUP(AQ24,$A$13:$E$21,3,FALSE)</f>
        <v>70</v>
      </c>
      <c r="BC24" s="154">
        <f t="shared" ref="BC24:BC74" si="12">VLOOKUP(AQ24,$A$13:$E$21,4,FALSE)</f>
        <v>80</v>
      </c>
      <c r="BD24" s="154">
        <f t="shared" ref="BD24:BD74" si="13">VLOOKUP(AQ24,$A$13:$E$21,5,FALSE)</f>
        <v>140</v>
      </c>
      <c r="BE24" s="154">
        <f>HLOOKUP(AQ24,Data!$H$31:$Q$35,3,FALSE)</f>
        <v>452.38934211693021</v>
      </c>
      <c r="BF24" s="154">
        <f>HLOOKUP(AQ24,Data!$H$31:$Q$35,4,FALSE)</f>
        <v>353</v>
      </c>
      <c r="BG24" s="154">
        <f t="shared" ref="BG24:BG74" si="14">VLOOKUP(AL24,$A$28:$B$35,2,FALSE)</f>
        <v>180</v>
      </c>
      <c r="BH24" s="154">
        <f t="shared" ref="BH24:BH74" si="15">$R$17*BE24*$R$23*$R$24/1000</f>
        <v>121.65654188208487</v>
      </c>
      <c r="BI24" s="154">
        <f t="shared" ref="BI24:BI74" si="16">$R$19*AQ24*AM24*$R$23*$R$24/1000</f>
        <v>243</v>
      </c>
      <c r="BJ24" s="154">
        <f t="shared" ref="BJ24:BJ74" si="17">$R$18*BF24*$R$23/1000</f>
        <v>142.3296</v>
      </c>
      <c r="BK24" s="159">
        <f t="shared" ref="BK24:BK74" si="18">ABS(AU24)/(AN24+AO24+AP24)</f>
        <v>4.7660695797141797</v>
      </c>
      <c r="BL24" s="160">
        <f t="shared" ref="BL24:BL74" si="19">IF(BO24&gt;16*AQ24,MAX(0.75,1-0.005*(BO24/AQ24-16)),1)</f>
        <v>0.82541666666666669</v>
      </c>
      <c r="BM24" s="169">
        <f t="shared" ref="BM24:BM74" si="20">BK24/(BL24*MIN(BH24,BI24))</f>
        <v>4.7462616604696861E-2</v>
      </c>
      <c r="BN24" s="162" t="str">
        <f t="shared" ref="BN24:BN74" si="21">IF(BM24&lt;=1,"OK","O/S")</f>
        <v>OK</v>
      </c>
      <c r="BO24" s="163" cm="1">
        <f t="array" ref="BO24">_xll.DCEBoltDisK(AN24, AO24, AP24, AE24,  BB24, BC24, BD24, "h7")</f>
        <v>1222</v>
      </c>
      <c r="BP24" s="164" cm="1">
        <f t="array" ref="BP24">_xll.DCEBoltDisK(AN24, AO24, AP24, AE24,  BB24, BC24, BD24, "Tong")</f>
        <v>4037428</v>
      </c>
      <c r="BQ24" s="165">
        <f t="shared" ref="BQ24:BQ74" si="22">ABS(AY24)*BO24/(2*BP24)*1000+AT24/(AN24+AO24+AP24)</f>
        <v>168.58250810250689</v>
      </c>
      <c r="BR24" s="161">
        <f t="shared" ref="BR24:BR74" si="23">BQ24/BJ24</f>
        <v>1.1844514992138451</v>
      </c>
      <c r="BS24" s="162" t="str">
        <f t="shared" ref="BS24:BS74" si="24">IF(BR24&lt;=1,"OK","O/S")</f>
        <v>O/S</v>
      </c>
      <c r="BT24" s="159">
        <f t="shared" ref="BT24:BT74" si="25">SQRT((BK24/BH24)^2+(BQ24/BJ24)^2)</f>
        <v>1.1850992140039212</v>
      </c>
      <c r="BU24" s="162" t="str">
        <f t="shared" ref="BU24:BU74" si="26">IF(BT24&lt;=1,"OK","O/S")</f>
        <v>O/S</v>
      </c>
      <c r="BV24" s="166">
        <f t="shared" ref="BV24:BV74" si="27">ABS(AY24)/(AE24/1000)+AT24</f>
        <v>790.53250188339666</v>
      </c>
      <c r="BW24" s="159">
        <f t="shared" ref="BW24:BW74" si="28">BV24*(BG24/1000)/8</f>
        <v>17.786981292376424</v>
      </c>
      <c r="BX24" s="166">
        <f t="shared" ref="BX24:BX74" si="29">BV24/2</f>
        <v>395.26625094169833</v>
      </c>
      <c r="BY24" s="155">
        <f t="shared" ref="BY24:BY74" si="30">6*BW24*1000000/(AK24*AM24^2)</f>
        <v>123.55645470825881</v>
      </c>
      <c r="BZ24" s="167">
        <f t="shared" ref="BZ24:BZ74" si="31">BY24/($R$32*$R$30)</f>
        <v>0.60062165483181373</v>
      </c>
      <c r="CA24" s="159">
        <f t="shared" ref="CA24:CA74" si="32">BX24*1000/(AK24*AM24)</f>
        <v>11.440412472986926</v>
      </c>
      <c r="CB24" s="168">
        <f t="shared" ref="CB24:CB74" si="33">CA24/($R$32*$R$31)</f>
        <v>9.5884683082984312E-2</v>
      </c>
      <c r="CC24" s="155">
        <f t="shared" ref="CC24:CC74" si="34">SQRT(BY24^2+3*CA24^2)</f>
        <v>125.13531321225929</v>
      </c>
      <c r="CD24" s="159">
        <f t="shared" ref="CD24:CD74" si="35">CC24/(1.15*$R$32*$R$30)</f>
        <v>0.52895361865085455</v>
      </c>
      <c r="CE24" s="161">
        <f t="shared" ref="CE24:CE74" si="36">MAX(BZ24,CB24,CD24)</f>
        <v>0.60062165483181373</v>
      </c>
      <c r="CF24" s="162" t="str">
        <f t="shared" ref="CF24:CF74" si="37">IF(CE24&lt;=1,"OK","O/S")</f>
        <v>OK</v>
      </c>
      <c r="DA24" s="113" t="s">
        <v>211</v>
      </c>
      <c r="DB24" s="113">
        <v>23</v>
      </c>
      <c r="DC24" s="113" t="s">
        <v>260</v>
      </c>
      <c r="DD24" s="114">
        <v>18</v>
      </c>
      <c r="DE24" s="122">
        <v>1232</v>
      </c>
      <c r="DF24" s="123">
        <v>350</v>
      </c>
      <c r="DG24" s="123">
        <v>12</v>
      </c>
      <c r="DH24" s="123">
        <v>16</v>
      </c>
      <c r="DI24" s="123">
        <v>1200</v>
      </c>
      <c r="DJ24" s="124" t="s">
        <v>287</v>
      </c>
      <c r="DK24" s="154">
        <v>1382</v>
      </c>
      <c r="DL24" s="155">
        <v>350</v>
      </c>
      <c r="DM24" s="155">
        <v>25</v>
      </c>
      <c r="DN24" s="155">
        <v>6</v>
      </c>
      <c r="DO24" s="155">
        <v>2</v>
      </c>
      <c r="DP24" s="155">
        <v>6</v>
      </c>
      <c r="DQ24" s="155">
        <v>24</v>
      </c>
      <c r="DR24" s="155" t="s">
        <v>288</v>
      </c>
      <c r="DS24" s="156" t="s">
        <v>261</v>
      </c>
      <c r="DT24" s="157">
        <v>-103.46520874420915</v>
      </c>
      <c r="DU24" s="157">
        <v>-35.060511521731542</v>
      </c>
      <c r="DV24" s="158">
        <v>1.6975761591821972E-2</v>
      </c>
      <c r="DW24" s="158">
        <v>-3.2368018967225535E-4</v>
      </c>
      <c r="DX24" s="158">
        <v>6.4816560954791824E-4</v>
      </c>
      <c r="DY24" s="158">
        <v>631.08568100966477</v>
      </c>
      <c r="DZ24" s="158"/>
      <c r="EA24" s="154">
        <v>60</v>
      </c>
      <c r="EB24" s="154">
        <v>70</v>
      </c>
      <c r="EC24" s="154">
        <v>80</v>
      </c>
      <c r="ED24" s="154">
        <v>150</v>
      </c>
      <c r="EE24" s="154">
        <v>452.38934211693021</v>
      </c>
      <c r="EF24" s="154">
        <v>353</v>
      </c>
      <c r="EG24" s="154">
        <v>180</v>
      </c>
      <c r="EH24" s="154">
        <v>121.65654188208487</v>
      </c>
      <c r="EI24" s="154">
        <v>243</v>
      </c>
      <c r="EJ24" s="154">
        <v>142.3296</v>
      </c>
      <c r="EK24" s="159">
        <v>2.504322251552253</v>
      </c>
      <c r="EL24" s="160">
        <v>0.82541666666666669</v>
      </c>
      <c r="EM24" s="159">
        <v>2.4939142178273425E-2</v>
      </c>
      <c r="EN24" s="159" t="s">
        <v>289</v>
      </c>
      <c r="EO24" s="159">
        <v>1222</v>
      </c>
      <c r="EP24" s="159">
        <v>3978373</v>
      </c>
      <c r="EQ24" s="159">
        <v>89.532000760277555</v>
      </c>
      <c r="ER24" s="159">
        <v>0.62904694989852816</v>
      </c>
      <c r="ES24" s="159" t="s">
        <v>289</v>
      </c>
      <c r="ET24" s="159">
        <v>0.62938367865773825</v>
      </c>
      <c r="EU24" s="159" t="s">
        <v>289</v>
      </c>
      <c r="EV24" s="159">
        <v>408.77966220519409</v>
      </c>
      <c r="EW24" s="159">
        <v>9.1975423996168661</v>
      </c>
      <c r="EX24" s="159">
        <v>204.38983110259704</v>
      </c>
      <c r="EY24" s="159">
        <v>63.890308998785763</v>
      </c>
      <c r="EZ24" s="159">
        <v>0.31057789096631971</v>
      </c>
      <c r="FA24" s="159">
        <v>5.9157693517394216</v>
      </c>
      <c r="FB24" s="159">
        <v>4.9581400218122552E-2</v>
      </c>
      <c r="FC24" s="159">
        <v>64.706727355270132</v>
      </c>
      <c r="FD24" s="159">
        <v>0.27351877505247041</v>
      </c>
      <c r="FE24" s="159">
        <v>0.31057789096631971</v>
      </c>
      <c r="FF24" s="159" t="s">
        <v>289</v>
      </c>
    </row>
    <row r="25" spans="1:162" ht="12.75" customHeight="1">
      <c r="H25" s="197"/>
      <c r="I25" s="46" t="s">
        <v>218</v>
      </c>
      <c r="J25" s="46"/>
      <c r="K25" s="47"/>
      <c r="L25" s="49"/>
      <c r="M25" s="46"/>
      <c r="N25" s="32"/>
      <c r="O25" s="32"/>
      <c r="P25" s="32"/>
      <c r="Q25" s="36" t="s">
        <v>229</v>
      </c>
      <c r="R25" s="105">
        <v>1</v>
      </c>
      <c r="S25" s="200" t="s">
        <v>219</v>
      </c>
      <c r="AA25" s="113" t="s">
        <v>211</v>
      </c>
      <c r="AB25" s="113">
        <v>18</v>
      </c>
      <c r="AC25" s="113" t="s">
        <v>260</v>
      </c>
      <c r="AD25" s="114">
        <v>18</v>
      </c>
      <c r="AE25" s="122">
        <v>1232</v>
      </c>
      <c r="AF25" s="123">
        <v>350</v>
      </c>
      <c r="AG25" s="123">
        <v>12</v>
      </c>
      <c r="AH25" s="123">
        <v>16</v>
      </c>
      <c r="AI25" s="123">
        <v>1200</v>
      </c>
      <c r="AJ25" s="124" t="str" cm="1">
        <f t="array" ref="AJ25">_xll.Dce_Name_SectI(AE25, AE25, AF25, AG25, AH25, "x", "-", "H Tổng")</f>
        <v>1232x350x12x16</v>
      </c>
      <c r="AK25" s="154">
        <f t="shared" si="3"/>
        <v>1382</v>
      </c>
      <c r="AL25" s="155" cm="1">
        <f t="array" ref="AL25">IFERROR(INDEX($A$28:$A$35,IFERROR(MATCH(AF25,$A$28:$A$35,0),MATCH(AF25,$A$28:$A$35,1)+1)),$A$28)</f>
        <v>350</v>
      </c>
      <c r="AM25" s="155">
        <f t="shared" si="4"/>
        <v>25</v>
      </c>
      <c r="AN25" s="155">
        <f t="shared" si="5"/>
        <v>6</v>
      </c>
      <c r="AO25" s="155">
        <f t="shared" si="6"/>
        <v>2</v>
      </c>
      <c r="AP25" s="155">
        <f t="shared" si="7"/>
        <v>6</v>
      </c>
      <c r="AQ25" s="155">
        <f t="shared" si="8"/>
        <v>24</v>
      </c>
      <c r="AR25" s="155" t="str">
        <f t="shared" si="9"/>
        <v>1382x350x25 + 14M24</v>
      </c>
      <c r="AS25" s="156" t="s">
        <v>263</v>
      </c>
      <c r="AT25" s="157">
        <v>-89.982351884657675</v>
      </c>
      <c r="AU25" s="157">
        <v>-6.2137257980152398</v>
      </c>
      <c r="AV25" s="158">
        <v>0.14951406919724736</v>
      </c>
      <c r="AW25" s="158">
        <v>-4.1803551543686396E-3</v>
      </c>
      <c r="AX25" s="158">
        <v>-1.8098174110337251E-2</v>
      </c>
      <c r="AY25" s="158">
        <v>672.75184105747746</v>
      </c>
      <c r="AZ25" s="158"/>
      <c r="BA25" s="154">
        <f t="shared" si="10"/>
        <v>60</v>
      </c>
      <c r="BB25" s="154">
        <f t="shared" si="11"/>
        <v>70</v>
      </c>
      <c r="BC25" s="154">
        <f t="shared" si="12"/>
        <v>80</v>
      </c>
      <c r="BD25" s="154">
        <f t="shared" si="13"/>
        <v>140</v>
      </c>
      <c r="BE25" s="154">
        <f>HLOOKUP(AQ25,Data!$H$31:$Q$35,3,FALSE)</f>
        <v>452.38934211693021</v>
      </c>
      <c r="BF25" s="154">
        <f>HLOOKUP(AQ25,Data!$H$31:$Q$35,4,FALSE)</f>
        <v>353</v>
      </c>
      <c r="BG25" s="154">
        <f t="shared" si="14"/>
        <v>180</v>
      </c>
      <c r="BH25" s="154">
        <f t="shared" si="15"/>
        <v>121.65654188208487</v>
      </c>
      <c r="BI25" s="154">
        <f t="shared" si="16"/>
        <v>243</v>
      </c>
      <c r="BJ25" s="154">
        <f t="shared" si="17"/>
        <v>142.3296</v>
      </c>
      <c r="BK25" s="159">
        <f t="shared" si="18"/>
        <v>0.44383755700108857</v>
      </c>
      <c r="BL25" s="160">
        <f t="shared" si="19"/>
        <v>0.82541666666666669</v>
      </c>
      <c r="BM25" s="169">
        <f t="shared" si="20"/>
        <v>4.4199295562888661E-3</v>
      </c>
      <c r="BN25" s="162" t="str">
        <f t="shared" si="21"/>
        <v>OK</v>
      </c>
      <c r="BO25" s="163" cm="1">
        <f t="array" ref="BO25">_xll.DCEBoltDisK(AN25, AO25, AP25, AE25,  BB25, BC25, BD25, "h7")</f>
        <v>1222</v>
      </c>
      <c r="BP25" s="164" cm="1">
        <f t="array" ref="BP25">_xll.DCEBoltDisK(AN25, AO25, AP25, AE25,  BB25, BC25, BD25, "Tong")</f>
        <v>4037428</v>
      </c>
      <c r="BQ25" s="165">
        <f t="shared" si="22"/>
        <v>95.382894778569309</v>
      </c>
      <c r="BR25" s="161">
        <f t="shared" si="23"/>
        <v>0.67015501187784765</v>
      </c>
      <c r="BS25" s="162" t="str">
        <f t="shared" si="24"/>
        <v>OK</v>
      </c>
      <c r="BT25" s="159">
        <f t="shared" si="25"/>
        <v>0.67016494232214929</v>
      </c>
      <c r="BU25" s="162" t="str">
        <f t="shared" si="26"/>
        <v>OK</v>
      </c>
      <c r="BV25" s="166">
        <f t="shared" si="27"/>
        <v>456.08245416848968</v>
      </c>
      <c r="BW25" s="159">
        <f t="shared" si="28"/>
        <v>10.261855218791018</v>
      </c>
      <c r="BX25" s="166">
        <f t="shared" si="29"/>
        <v>228.04122708424484</v>
      </c>
      <c r="BY25" s="155">
        <f t="shared" si="30"/>
        <v>71.283509479300847</v>
      </c>
      <c r="BZ25" s="167">
        <f t="shared" si="31"/>
        <v>0.34651705996882359</v>
      </c>
      <c r="CA25" s="159">
        <f t="shared" si="32"/>
        <v>6.6003249517871154</v>
      </c>
      <c r="CB25" s="168">
        <f t="shared" si="33"/>
        <v>5.5318815448407339E-2</v>
      </c>
      <c r="CC25" s="155">
        <f t="shared" si="34"/>
        <v>72.194401390226403</v>
      </c>
      <c r="CD25" s="159">
        <f t="shared" si="35"/>
        <v>0.30516957109395226</v>
      </c>
      <c r="CE25" s="161">
        <f t="shared" si="36"/>
        <v>0.34651705996882359</v>
      </c>
      <c r="CF25" s="162" t="str">
        <f t="shared" si="37"/>
        <v>OK</v>
      </c>
      <c r="DA25" s="113"/>
      <c r="DB25" s="113"/>
      <c r="DC25" s="113"/>
      <c r="DD25" s="114"/>
      <c r="DE25" s="122"/>
      <c r="DF25" s="123"/>
      <c r="DG25" s="123"/>
      <c r="DH25" s="123"/>
      <c r="DI25" s="123"/>
      <c r="DJ25" s="124"/>
      <c r="DK25" s="154"/>
      <c r="DL25" s="155"/>
      <c r="DM25" s="155"/>
      <c r="DN25" s="155"/>
      <c r="DO25" s="155"/>
      <c r="DP25" s="155"/>
      <c r="DQ25" s="155"/>
      <c r="DR25" s="155"/>
      <c r="DS25" s="156"/>
      <c r="DT25" s="157"/>
      <c r="DU25" s="157"/>
      <c r="DV25" s="158"/>
      <c r="DW25" s="158"/>
      <c r="DX25" s="158"/>
      <c r="DY25" s="158"/>
      <c r="DZ25" s="158"/>
      <c r="EA25" s="154"/>
      <c r="EB25" s="154"/>
      <c r="EC25" s="154"/>
      <c r="ED25" s="154"/>
      <c r="EE25" s="154"/>
      <c r="EF25" s="154"/>
      <c r="EG25" s="154"/>
      <c r="EH25" s="154"/>
      <c r="EI25" s="154"/>
      <c r="EJ25" s="154"/>
      <c r="EK25" s="159"/>
      <c r="EL25" s="160"/>
      <c r="EM25" s="159"/>
      <c r="EN25" s="159"/>
      <c r="EO25" s="159"/>
      <c r="EP25" s="159"/>
      <c r="EQ25" s="159"/>
      <c r="ER25" s="159"/>
      <c r="ES25" s="159"/>
      <c r="ET25" s="159"/>
      <c r="EU25" s="159"/>
      <c r="EV25" s="159"/>
      <c r="EW25" s="159"/>
      <c r="EX25" s="159"/>
      <c r="EY25" s="159"/>
      <c r="EZ25" s="159"/>
      <c r="FA25" s="159"/>
      <c r="FB25" s="159"/>
      <c r="FC25" s="159"/>
      <c r="FD25" s="159"/>
      <c r="FE25" s="159"/>
      <c r="FF25" s="159"/>
    </row>
    <row r="26" spans="1:162" ht="12.75" customHeight="1">
      <c r="A26" s="274" t="s">
        <v>92</v>
      </c>
      <c r="B26" s="274"/>
      <c r="H26" s="196" t="s">
        <v>147</v>
      </c>
      <c r="I26" s="46"/>
      <c r="J26" s="46"/>
      <c r="K26" s="46"/>
      <c r="L26" s="46"/>
      <c r="M26" s="46"/>
      <c r="N26" s="47"/>
      <c r="O26" s="48"/>
      <c r="P26" s="46"/>
      <c r="Q26" s="32"/>
      <c r="R26" s="32"/>
      <c r="S26" s="194"/>
      <c r="AA26" s="113" t="s">
        <v>211</v>
      </c>
      <c r="AB26" s="113">
        <v>18</v>
      </c>
      <c r="AC26" s="113" t="s">
        <v>260</v>
      </c>
      <c r="AD26" s="114">
        <v>18</v>
      </c>
      <c r="AE26" s="122">
        <v>1232</v>
      </c>
      <c r="AF26" s="123">
        <v>350</v>
      </c>
      <c r="AG26" s="123">
        <v>12</v>
      </c>
      <c r="AH26" s="123">
        <v>16</v>
      </c>
      <c r="AI26" s="123">
        <v>1200</v>
      </c>
      <c r="AJ26" s="124" t="str" cm="1">
        <f t="array" ref="AJ26">_xll.Dce_Name_SectI(AE26, AE26, AF26, AG26, AH26, "x", "-", "H Tổng")</f>
        <v>1232x350x12x16</v>
      </c>
      <c r="AK26" s="154">
        <f t="shared" si="3"/>
        <v>1382</v>
      </c>
      <c r="AL26" s="155" cm="1">
        <f t="array" ref="AL26">IFERROR(INDEX($A$28:$A$35,IFERROR(MATCH(AF26,$A$28:$A$35,0),MATCH(AF26,$A$28:$A$35,1)+1)),$A$28)</f>
        <v>350</v>
      </c>
      <c r="AM26" s="155">
        <f t="shared" si="4"/>
        <v>25</v>
      </c>
      <c r="AN26" s="155">
        <f t="shared" si="5"/>
        <v>6</v>
      </c>
      <c r="AO26" s="155">
        <f t="shared" si="6"/>
        <v>2</v>
      </c>
      <c r="AP26" s="155">
        <f t="shared" si="7"/>
        <v>6</v>
      </c>
      <c r="AQ26" s="155">
        <f t="shared" si="8"/>
        <v>24</v>
      </c>
      <c r="AR26" s="155" t="str">
        <f t="shared" si="9"/>
        <v>1382x350x25 + 14M24</v>
      </c>
      <c r="AS26" s="156" t="s">
        <v>264</v>
      </c>
      <c r="AT26" s="157">
        <v>-134.53250113635207</v>
      </c>
      <c r="AU26" s="157">
        <v>-40.094422287818212</v>
      </c>
      <c r="AV26" s="158">
        <v>0.1728797523777118</v>
      </c>
      <c r="AW26" s="158">
        <v>-4.9025736161307544E-3</v>
      </c>
      <c r="AX26" s="158">
        <v>-1.7621500779174543E-2</v>
      </c>
      <c r="AY26" s="158">
        <v>961.82322292655908</v>
      </c>
      <c r="AZ26" s="158"/>
      <c r="BA26" s="154">
        <f t="shared" si="10"/>
        <v>60</v>
      </c>
      <c r="BB26" s="154">
        <f t="shared" si="11"/>
        <v>70</v>
      </c>
      <c r="BC26" s="154">
        <f t="shared" si="12"/>
        <v>80</v>
      </c>
      <c r="BD26" s="154">
        <f t="shared" si="13"/>
        <v>140</v>
      </c>
      <c r="BE26" s="154">
        <f>HLOOKUP(AQ26,Data!$H$31:$Q$35,3,FALSE)</f>
        <v>452.38934211693021</v>
      </c>
      <c r="BF26" s="154">
        <f>HLOOKUP(AQ26,Data!$H$31:$Q$35,4,FALSE)</f>
        <v>353</v>
      </c>
      <c r="BG26" s="154">
        <f t="shared" si="14"/>
        <v>180</v>
      </c>
      <c r="BH26" s="154">
        <f t="shared" si="15"/>
        <v>121.65654188208487</v>
      </c>
      <c r="BI26" s="154">
        <f t="shared" si="16"/>
        <v>243</v>
      </c>
      <c r="BJ26" s="154">
        <f t="shared" si="17"/>
        <v>142.3296</v>
      </c>
      <c r="BK26" s="159">
        <f t="shared" si="18"/>
        <v>2.8638873062727295</v>
      </c>
      <c r="BL26" s="160">
        <f t="shared" si="19"/>
        <v>0.82541666666666669</v>
      </c>
      <c r="BM26" s="169">
        <f t="shared" si="20"/>
        <v>2.8519849100657101E-2</v>
      </c>
      <c r="BN26" s="162" t="str">
        <f t="shared" si="21"/>
        <v>OK</v>
      </c>
      <c r="BO26" s="163" cm="1">
        <f t="array" ref="BO26">_xll.DCEBoltDisK(AN26, AO26, AP26, AE26,  BB26, BC26, BD26, "h7")</f>
        <v>1222</v>
      </c>
      <c r="BP26" s="164" cm="1">
        <f t="array" ref="BP26">_xll.DCEBoltDisK(AN26, AO26, AP26, AE26,  BB26, BC26, BD26, "Tong")</f>
        <v>4037428</v>
      </c>
      <c r="BQ26" s="165">
        <f t="shared" si="22"/>
        <v>135.94706053167383</v>
      </c>
      <c r="BR26" s="161">
        <f t="shared" si="23"/>
        <v>0.95515662611061813</v>
      </c>
      <c r="BS26" s="162" t="str">
        <f t="shared" si="24"/>
        <v>OK</v>
      </c>
      <c r="BT26" s="159">
        <f t="shared" si="25"/>
        <v>0.95544667445487863</v>
      </c>
      <c r="BU26" s="162" t="str">
        <f t="shared" si="26"/>
        <v>OK</v>
      </c>
      <c r="BV26" s="166">
        <f t="shared" si="27"/>
        <v>646.16816682351737</v>
      </c>
      <c r="BW26" s="159">
        <f t="shared" si="28"/>
        <v>14.53878375352914</v>
      </c>
      <c r="BX26" s="166">
        <f t="shared" si="29"/>
        <v>323.08408341175868</v>
      </c>
      <c r="BY26" s="155">
        <f t="shared" si="30"/>
        <v>100.99299857733702</v>
      </c>
      <c r="BZ26" s="167">
        <f t="shared" si="31"/>
        <v>0.49093818752872165</v>
      </c>
      <c r="CA26" s="159">
        <f t="shared" si="32"/>
        <v>9.3512035719756508</v>
      </c>
      <c r="CB26" s="168">
        <f t="shared" si="33"/>
        <v>7.8374551010332333E-2</v>
      </c>
      <c r="CC26" s="155">
        <f t="shared" si="34"/>
        <v>102.28353135463983</v>
      </c>
      <c r="CD26" s="159">
        <f t="shared" si="35"/>
        <v>0.4323579223928013</v>
      </c>
      <c r="CE26" s="161">
        <f t="shared" si="36"/>
        <v>0.49093818752872165</v>
      </c>
      <c r="CF26" s="162" t="str">
        <f t="shared" si="37"/>
        <v>OK</v>
      </c>
      <c r="DA26" s="113"/>
      <c r="DB26" s="113"/>
      <c r="DC26" s="113"/>
      <c r="DD26" s="114"/>
      <c r="DE26" s="122"/>
      <c r="DF26" s="123"/>
      <c r="DG26" s="123"/>
      <c r="DH26" s="123"/>
      <c r="DI26" s="123"/>
      <c r="DJ26" s="124"/>
      <c r="DK26" s="154"/>
      <c r="DL26" s="155"/>
      <c r="DM26" s="155"/>
      <c r="DN26" s="155"/>
      <c r="DO26" s="155"/>
      <c r="DP26" s="155"/>
      <c r="DQ26" s="155"/>
      <c r="DR26" s="155"/>
      <c r="DS26" s="156"/>
      <c r="DT26" s="157"/>
      <c r="DU26" s="157"/>
      <c r="DV26" s="158"/>
      <c r="DW26" s="158"/>
      <c r="DX26" s="158"/>
      <c r="DY26" s="158"/>
      <c r="DZ26" s="158"/>
      <c r="EA26" s="154"/>
      <c r="EB26" s="154"/>
      <c r="EC26" s="154"/>
      <c r="ED26" s="154"/>
      <c r="EE26" s="154"/>
      <c r="EF26" s="154"/>
      <c r="EG26" s="154"/>
      <c r="EH26" s="154"/>
      <c r="EI26" s="154"/>
      <c r="EJ26" s="154"/>
      <c r="EK26" s="159"/>
      <c r="EL26" s="160"/>
      <c r="EM26" s="159"/>
      <c r="EN26" s="159"/>
      <c r="EO26" s="159"/>
      <c r="EP26" s="159"/>
      <c r="EQ26" s="159"/>
      <c r="ER26" s="159"/>
      <c r="ES26" s="159"/>
      <c r="ET26" s="159"/>
      <c r="EU26" s="159"/>
      <c r="EV26" s="159"/>
      <c r="EW26" s="159"/>
      <c r="EX26" s="159"/>
      <c r="EY26" s="159"/>
      <c r="EZ26" s="159"/>
      <c r="FA26" s="159"/>
      <c r="FB26" s="159"/>
      <c r="FC26" s="159"/>
      <c r="FD26" s="159"/>
      <c r="FE26" s="159"/>
      <c r="FF26" s="159"/>
    </row>
    <row r="27" spans="1:162" ht="12.75" customHeight="1">
      <c r="A27" s="19" t="s">
        <v>93</v>
      </c>
      <c r="B27" s="25" t="s">
        <v>152</v>
      </c>
      <c r="H27" s="197"/>
      <c r="I27" s="46" t="str">
        <f>"- Loại thép:"</f>
        <v>- Loại thép:</v>
      </c>
      <c r="J27" s="46"/>
      <c r="K27" s="47"/>
      <c r="L27" s="49"/>
      <c r="M27" s="46"/>
      <c r="N27" s="32"/>
      <c r="O27" s="32"/>
      <c r="P27" s="32"/>
      <c r="Q27" s="32"/>
      <c r="R27" s="37" t="s">
        <v>216</v>
      </c>
      <c r="S27" s="200"/>
      <c r="AA27" s="113" t="s">
        <v>211</v>
      </c>
      <c r="AB27" s="113">
        <v>18</v>
      </c>
      <c r="AC27" s="113" t="s">
        <v>260</v>
      </c>
      <c r="AD27" s="114">
        <v>18</v>
      </c>
      <c r="AE27" s="122">
        <v>1232</v>
      </c>
      <c r="AF27" s="123">
        <v>350</v>
      </c>
      <c r="AG27" s="123">
        <v>12</v>
      </c>
      <c r="AH27" s="123">
        <v>16</v>
      </c>
      <c r="AI27" s="123">
        <v>1200</v>
      </c>
      <c r="AJ27" s="124" t="str" cm="1">
        <f t="array" ref="AJ27">_xll.Dce_Name_SectI(AE27, AE27, AF27, AG27, AH27, "x", "-", "H Tổng")</f>
        <v>1232x350x12x16</v>
      </c>
      <c r="AK27" s="154">
        <f t="shared" si="3"/>
        <v>1382</v>
      </c>
      <c r="AL27" s="155" cm="1">
        <f t="array" ref="AL27">IFERROR(INDEX($A$28:$A$35,IFERROR(MATCH(AF27,$A$28:$A$35,0),MATCH(AF27,$A$28:$A$35,1)+1)),$A$28)</f>
        <v>350</v>
      </c>
      <c r="AM27" s="155">
        <f t="shared" si="4"/>
        <v>25</v>
      </c>
      <c r="AN27" s="155">
        <f t="shared" si="5"/>
        <v>6</v>
      </c>
      <c r="AO27" s="155">
        <f t="shared" si="6"/>
        <v>2</v>
      </c>
      <c r="AP27" s="155">
        <f t="shared" si="7"/>
        <v>6</v>
      </c>
      <c r="AQ27" s="155">
        <f t="shared" si="8"/>
        <v>24</v>
      </c>
      <c r="AR27" s="155" t="str">
        <f t="shared" si="9"/>
        <v>1382x350x25 + 14M24</v>
      </c>
      <c r="AS27" s="156" t="s">
        <v>265</v>
      </c>
      <c r="AT27" s="157">
        <v>-103.45301774913483</v>
      </c>
      <c r="AU27" s="157">
        <v>-1.5261215818008296</v>
      </c>
      <c r="AV27" s="158">
        <v>-3.8879767149988149E-2</v>
      </c>
      <c r="AW27" s="158">
        <v>1.5000858455862529E-3</v>
      </c>
      <c r="AX27" s="158">
        <v>2.0920437611127784E-2</v>
      </c>
      <c r="AY27" s="158">
        <v>589.10939242798474</v>
      </c>
      <c r="AZ27" s="158"/>
      <c r="BA27" s="154">
        <f t="shared" si="10"/>
        <v>60</v>
      </c>
      <c r="BB27" s="154">
        <f t="shared" si="11"/>
        <v>70</v>
      </c>
      <c r="BC27" s="154">
        <f t="shared" si="12"/>
        <v>80</v>
      </c>
      <c r="BD27" s="154">
        <f t="shared" si="13"/>
        <v>140</v>
      </c>
      <c r="BE27" s="154">
        <f>HLOOKUP(AQ27,Data!$H$31:$Q$35,3,FALSE)</f>
        <v>452.38934211693021</v>
      </c>
      <c r="BF27" s="154">
        <f>HLOOKUP(AQ27,Data!$H$31:$Q$35,4,FALSE)</f>
        <v>353</v>
      </c>
      <c r="BG27" s="154">
        <f t="shared" si="14"/>
        <v>180</v>
      </c>
      <c r="BH27" s="154">
        <f t="shared" si="15"/>
        <v>121.65654188208487</v>
      </c>
      <c r="BI27" s="154">
        <f t="shared" si="16"/>
        <v>243</v>
      </c>
      <c r="BJ27" s="154">
        <f t="shared" si="17"/>
        <v>142.3296</v>
      </c>
      <c r="BK27" s="159">
        <f t="shared" si="18"/>
        <v>0.10900868441434497</v>
      </c>
      <c r="BL27" s="160">
        <f t="shared" si="19"/>
        <v>0.82541666666666669</v>
      </c>
      <c r="BM27" s="169">
        <f t="shared" si="20"/>
        <v>1.0855564125546661E-3</v>
      </c>
      <c r="BN27" s="162" t="str">
        <f t="shared" si="21"/>
        <v>OK</v>
      </c>
      <c r="BO27" s="163" cm="1">
        <f t="array" ref="BO27">_xll.DCEBoltDisK(AN27, AO27, AP27, AE27,  BB27, BC27, BD27, "h7")</f>
        <v>1222</v>
      </c>
      <c r="BP27" s="164" cm="1">
        <f t="array" ref="BP27">_xll.DCEBoltDisK(AN27, AO27, AP27, AE27,  BB27, BC27, BD27, "Tong")</f>
        <v>4037428</v>
      </c>
      <c r="BQ27" s="165">
        <f t="shared" si="22"/>
        <v>81.762760710250745</v>
      </c>
      <c r="BR27" s="161">
        <f t="shared" si="23"/>
        <v>0.57446069342041817</v>
      </c>
      <c r="BS27" s="162" t="str">
        <f t="shared" si="24"/>
        <v>OK</v>
      </c>
      <c r="BT27" s="159">
        <f t="shared" si="25"/>
        <v>0.57446139223294901</v>
      </c>
      <c r="BU27" s="162" t="str">
        <f t="shared" si="26"/>
        <v>OK</v>
      </c>
      <c r="BV27" s="166">
        <f t="shared" si="27"/>
        <v>374.72019039046313</v>
      </c>
      <c r="BW27" s="159">
        <f t="shared" si="28"/>
        <v>8.4312042837854193</v>
      </c>
      <c r="BX27" s="166">
        <f t="shared" si="29"/>
        <v>187.36009519523157</v>
      </c>
      <c r="BY27" s="155">
        <f t="shared" si="30"/>
        <v>58.566976211534026</v>
      </c>
      <c r="BZ27" s="167">
        <f t="shared" si="31"/>
        <v>0.28470057880606819</v>
      </c>
      <c r="CA27" s="159">
        <f t="shared" si="32"/>
        <v>5.4228681677346326</v>
      </c>
      <c r="CB27" s="168">
        <f t="shared" si="33"/>
        <v>4.5450283972871687E-2</v>
      </c>
      <c r="CC27" s="155">
        <f t="shared" si="34"/>
        <v>59.315370689697971</v>
      </c>
      <c r="CD27" s="159">
        <f t="shared" si="35"/>
        <v>0.25072922392988278</v>
      </c>
      <c r="CE27" s="161">
        <f t="shared" si="36"/>
        <v>0.28470057880606819</v>
      </c>
      <c r="CF27" s="162" t="str">
        <f t="shared" si="37"/>
        <v>OK</v>
      </c>
      <c r="DA27" s="113"/>
      <c r="DB27" s="113"/>
      <c r="DC27" s="113"/>
      <c r="DD27" s="114"/>
      <c r="DE27" s="122"/>
      <c r="DF27" s="123"/>
      <c r="DG27" s="123"/>
      <c r="DH27" s="123"/>
      <c r="DI27" s="123"/>
      <c r="DJ27" s="124"/>
      <c r="DK27" s="154"/>
      <c r="DL27" s="155"/>
      <c r="DM27" s="155"/>
      <c r="DN27" s="155"/>
      <c r="DO27" s="155"/>
      <c r="DP27" s="155"/>
      <c r="DQ27" s="155"/>
      <c r="DR27" s="155"/>
      <c r="DS27" s="156"/>
      <c r="DT27" s="157"/>
      <c r="DU27" s="157"/>
      <c r="DV27" s="158"/>
      <c r="DW27" s="158"/>
      <c r="DX27" s="158"/>
      <c r="DY27" s="158"/>
      <c r="DZ27" s="158"/>
      <c r="EA27" s="154"/>
      <c r="EB27" s="154"/>
      <c r="EC27" s="154"/>
      <c r="ED27" s="154"/>
      <c r="EE27" s="154"/>
      <c r="EF27" s="154"/>
      <c r="EG27" s="154"/>
      <c r="EH27" s="154"/>
      <c r="EI27" s="154"/>
      <c r="EJ27" s="154"/>
      <c r="EK27" s="159"/>
      <c r="EL27" s="160"/>
      <c r="EM27" s="159"/>
      <c r="EN27" s="159"/>
      <c r="EO27" s="159"/>
      <c r="EP27" s="159"/>
      <c r="EQ27" s="159"/>
      <c r="ER27" s="159"/>
      <c r="ES27" s="159"/>
      <c r="ET27" s="159"/>
      <c r="EU27" s="159"/>
      <c r="EV27" s="159"/>
      <c r="EW27" s="159"/>
      <c r="EX27" s="159"/>
      <c r="EY27" s="159"/>
      <c r="EZ27" s="159"/>
      <c r="FA27" s="159"/>
      <c r="FB27" s="159"/>
      <c r="FC27" s="159"/>
      <c r="FD27" s="159"/>
      <c r="FE27" s="159"/>
      <c r="FF27" s="159"/>
    </row>
    <row r="28" spans="1:162" ht="12.75" customHeight="1">
      <c r="A28" s="7">
        <v>184</v>
      </c>
      <c r="B28" s="7">
        <v>100</v>
      </c>
      <c r="H28" s="197"/>
      <c r="I28" s="46" t="str">
        <f>"- Cường độ tiêu chuẩn của thép:"</f>
        <v>- Cường độ tiêu chuẩn của thép:</v>
      </c>
      <c r="J28" s="46"/>
      <c r="K28" s="47"/>
      <c r="L28" s="49"/>
      <c r="M28" s="46"/>
      <c r="N28" s="32"/>
      <c r="O28" s="32"/>
      <c r="P28" s="32"/>
      <c r="Q28" s="34" t="s">
        <v>1</v>
      </c>
      <c r="R28" s="51">
        <f>VLOOKUP(R27,Data!$A$3:$E$99,3,FALSE)</f>
        <v>240</v>
      </c>
      <c r="S28" s="199" t="s">
        <v>2</v>
      </c>
      <c r="AA28" s="113" t="s">
        <v>211</v>
      </c>
      <c r="AB28" s="113">
        <v>18</v>
      </c>
      <c r="AC28" s="113" t="s">
        <v>260</v>
      </c>
      <c r="AD28" s="114">
        <v>18</v>
      </c>
      <c r="AE28" s="122">
        <v>1232</v>
      </c>
      <c r="AF28" s="123">
        <v>350</v>
      </c>
      <c r="AG28" s="123">
        <v>12</v>
      </c>
      <c r="AH28" s="123">
        <v>16</v>
      </c>
      <c r="AI28" s="123">
        <v>1200</v>
      </c>
      <c r="AJ28" s="124" t="str" cm="1">
        <f t="array" ref="AJ28">_xll.Dce_Name_SectI(AE28, AE28, AF28, AG28, AH28, "x", "-", "H Tổng")</f>
        <v>1232x350x12x16</v>
      </c>
      <c r="AK28" s="154">
        <f t="shared" si="3"/>
        <v>1382</v>
      </c>
      <c r="AL28" s="155" cm="1">
        <f t="array" ref="AL28">IFERROR(INDEX($A$28:$A$35,IFERROR(MATCH(AF28,$A$28:$A$35,0),MATCH(AF28,$A$28:$A$35,1)+1)),$A$28)</f>
        <v>350</v>
      </c>
      <c r="AM28" s="155">
        <f t="shared" si="4"/>
        <v>25</v>
      </c>
      <c r="AN28" s="155">
        <f t="shared" si="5"/>
        <v>6</v>
      </c>
      <c r="AO28" s="155">
        <f t="shared" si="6"/>
        <v>2</v>
      </c>
      <c r="AP28" s="155">
        <f t="shared" si="7"/>
        <v>6</v>
      </c>
      <c r="AQ28" s="155">
        <f t="shared" si="8"/>
        <v>24</v>
      </c>
      <c r="AR28" s="155" t="str">
        <f t="shared" si="9"/>
        <v>1382x350x25 + 14M24</v>
      </c>
      <c r="AS28" s="156" t="s">
        <v>266</v>
      </c>
      <c r="AT28" s="157">
        <v>-148.00304443888425</v>
      </c>
      <c r="AU28" s="157">
        <v>-35.406892464977567</v>
      </c>
      <c r="AV28" s="158">
        <v>-3.762289086853466E-2</v>
      </c>
      <c r="AW28" s="158">
        <v>8.0055503146586235E-4</v>
      </c>
      <c r="AX28" s="158">
        <v>2.1971490936446042E-2</v>
      </c>
      <c r="AY28" s="158">
        <v>878.17793434287739</v>
      </c>
      <c r="AZ28" s="158"/>
      <c r="BA28" s="154">
        <f t="shared" si="10"/>
        <v>60</v>
      </c>
      <c r="BB28" s="154">
        <f t="shared" si="11"/>
        <v>70</v>
      </c>
      <c r="BC28" s="154">
        <f t="shared" si="12"/>
        <v>80</v>
      </c>
      <c r="BD28" s="154">
        <f t="shared" si="13"/>
        <v>140</v>
      </c>
      <c r="BE28" s="154">
        <f>HLOOKUP(AQ28,Data!$H$31:$Q$35,3,FALSE)</f>
        <v>452.38934211693021</v>
      </c>
      <c r="BF28" s="154">
        <f>HLOOKUP(AQ28,Data!$H$31:$Q$35,4,FALSE)</f>
        <v>353</v>
      </c>
      <c r="BG28" s="154">
        <f t="shared" si="14"/>
        <v>180</v>
      </c>
      <c r="BH28" s="154">
        <f t="shared" si="15"/>
        <v>121.65654188208487</v>
      </c>
      <c r="BI28" s="154">
        <f t="shared" si="16"/>
        <v>243</v>
      </c>
      <c r="BJ28" s="154">
        <f t="shared" si="17"/>
        <v>142.3296</v>
      </c>
      <c r="BK28" s="159">
        <f t="shared" si="18"/>
        <v>2.5290637474983977</v>
      </c>
      <c r="BL28" s="160">
        <f t="shared" si="19"/>
        <v>0.82541666666666669</v>
      </c>
      <c r="BM28" s="169">
        <f t="shared" si="20"/>
        <v>2.5185528874203483E-2</v>
      </c>
      <c r="BN28" s="162" t="str">
        <f t="shared" si="21"/>
        <v>OK</v>
      </c>
      <c r="BO28" s="163" cm="1">
        <f t="array" ref="BO28">_xll.DCEBoltDisK(AN28, AO28, AP28, AE28,  BB28, BC28, BD28, "h7")</f>
        <v>1222</v>
      </c>
      <c r="BP28" s="164" cm="1">
        <f t="array" ref="BP28">_xll.DCEBoltDisK(AN28, AO28, AP28, AE28,  BB28, BC28, BD28, "Tong")</f>
        <v>4037428</v>
      </c>
      <c r="BQ28" s="165">
        <f t="shared" si="22"/>
        <v>122.32650543624339</v>
      </c>
      <c r="BR28" s="161">
        <f t="shared" si="23"/>
        <v>0.85945934953968395</v>
      </c>
      <c r="BS28" s="162" t="str">
        <f t="shared" si="24"/>
        <v>OK</v>
      </c>
      <c r="BT28" s="159">
        <f t="shared" si="25"/>
        <v>0.85971072899102974</v>
      </c>
      <c r="BU28" s="162" t="str">
        <f t="shared" si="26"/>
        <v>OK</v>
      </c>
      <c r="BV28" s="166">
        <f t="shared" si="27"/>
        <v>564.80372044981493</v>
      </c>
      <c r="BW28" s="159">
        <f t="shared" si="28"/>
        <v>12.708083710120835</v>
      </c>
      <c r="BX28" s="166">
        <f t="shared" si="29"/>
        <v>282.40186022490747</v>
      </c>
      <c r="BY28" s="155">
        <f t="shared" si="30"/>
        <v>88.276124180289457</v>
      </c>
      <c r="BZ28" s="167">
        <f t="shared" si="31"/>
        <v>0.42912004809862936</v>
      </c>
      <c r="CA28" s="159">
        <f t="shared" si="32"/>
        <v>8.1737152018786539</v>
      </c>
      <c r="CB28" s="168">
        <f t="shared" si="33"/>
        <v>6.8505754805017458E-2</v>
      </c>
      <c r="CC28" s="155">
        <f t="shared" si="34"/>
        <v>89.404155165731254</v>
      </c>
      <c r="CD28" s="159">
        <f t="shared" si="35"/>
        <v>0.37791611483098969</v>
      </c>
      <c r="CE28" s="161">
        <f t="shared" si="36"/>
        <v>0.42912004809862936</v>
      </c>
      <c r="CF28" s="162" t="str">
        <f t="shared" si="37"/>
        <v>OK</v>
      </c>
      <c r="DA28" s="113"/>
      <c r="DB28" s="113"/>
      <c r="DC28" s="113"/>
      <c r="DD28" s="114"/>
      <c r="DE28" s="122"/>
      <c r="DF28" s="123"/>
      <c r="DG28" s="123"/>
      <c r="DH28" s="123"/>
      <c r="DI28" s="123"/>
      <c r="DJ28" s="124"/>
      <c r="DK28" s="154"/>
      <c r="DL28" s="155"/>
      <c r="DM28" s="155"/>
      <c r="DN28" s="155"/>
      <c r="DO28" s="155"/>
      <c r="DP28" s="155"/>
      <c r="DQ28" s="155"/>
      <c r="DR28" s="155"/>
      <c r="DS28" s="156"/>
      <c r="DT28" s="157"/>
      <c r="DU28" s="157"/>
      <c r="DV28" s="158"/>
      <c r="DW28" s="158"/>
      <c r="DX28" s="158"/>
      <c r="DY28" s="158"/>
      <c r="DZ28" s="158"/>
      <c r="EA28" s="154"/>
      <c r="EB28" s="154"/>
      <c r="EC28" s="154"/>
      <c r="ED28" s="154"/>
      <c r="EE28" s="154"/>
      <c r="EF28" s="154"/>
      <c r="EG28" s="154"/>
      <c r="EH28" s="154"/>
      <c r="EI28" s="154"/>
      <c r="EJ28" s="154"/>
      <c r="EK28" s="159"/>
      <c r="EL28" s="160"/>
      <c r="EM28" s="159"/>
      <c r="EN28" s="159"/>
      <c r="EO28" s="159"/>
      <c r="EP28" s="159"/>
      <c r="EQ28" s="159"/>
      <c r="ER28" s="159"/>
      <c r="ES28" s="159"/>
      <c r="ET28" s="159"/>
      <c r="EU28" s="159"/>
      <c r="EV28" s="159"/>
      <c r="EW28" s="159"/>
      <c r="EX28" s="159"/>
      <c r="EY28" s="159"/>
      <c r="EZ28" s="159"/>
      <c r="FA28" s="159"/>
      <c r="FB28" s="159"/>
      <c r="FC28" s="159"/>
      <c r="FD28" s="159"/>
      <c r="FE28" s="159"/>
      <c r="FF28" s="159"/>
    </row>
    <row r="29" spans="1:162" ht="12.75" customHeight="1">
      <c r="A29" s="7">
        <v>212</v>
      </c>
      <c r="B29" s="7">
        <v>120</v>
      </c>
      <c r="H29" s="197"/>
      <c r="I29" s="46" t="str">
        <f>"- Cường độ tiêu chuẩn kéo đứt của thép:"</f>
        <v>- Cường độ tiêu chuẩn kéo đứt của thép:</v>
      </c>
      <c r="J29" s="46"/>
      <c r="K29" s="47"/>
      <c r="L29" s="49"/>
      <c r="M29" s="46"/>
      <c r="N29" s="32"/>
      <c r="O29" s="32"/>
      <c r="P29" s="32"/>
      <c r="Q29" s="34" t="s">
        <v>8</v>
      </c>
      <c r="R29" s="51">
        <f>VLOOKUP(R27,Data!$A$3:$E$99,4,FALSE)</f>
        <v>380</v>
      </c>
      <c r="S29" s="199" t="s">
        <v>2</v>
      </c>
      <c r="AA29" s="113" t="s">
        <v>211</v>
      </c>
      <c r="AB29" s="113">
        <v>18</v>
      </c>
      <c r="AC29" s="113" t="s">
        <v>260</v>
      </c>
      <c r="AD29" s="114">
        <v>18</v>
      </c>
      <c r="AE29" s="122">
        <v>1232</v>
      </c>
      <c r="AF29" s="123">
        <v>350</v>
      </c>
      <c r="AG29" s="123">
        <v>12</v>
      </c>
      <c r="AH29" s="123">
        <v>16</v>
      </c>
      <c r="AI29" s="123">
        <v>1200</v>
      </c>
      <c r="AJ29" s="124" t="str" cm="1">
        <f t="array" ref="AJ29">_xll.Dce_Name_SectI(AE29, AE29, AF29, AG29, AH29, "x", "-", "H Tổng")</f>
        <v>1232x350x12x16</v>
      </c>
      <c r="AK29" s="154">
        <f t="shared" si="3"/>
        <v>1382</v>
      </c>
      <c r="AL29" s="155" cm="1">
        <f t="array" ref="AL29">IFERROR(INDEX($A$28:$A$35,IFERROR(MATCH(AF29,$A$28:$A$35,0),MATCH(AF29,$A$28:$A$35,1)+1)),$A$28)</f>
        <v>350</v>
      </c>
      <c r="AM29" s="155">
        <f t="shared" si="4"/>
        <v>25</v>
      </c>
      <c r="AN29" s="155">
        <f t="shared" si="5"/>
        <v>6</v>
      </c>
      <c r="AO29" s="155">
        <f t="shared" si="6"/>
        <v>2</v>
      </c>
      <c r="AP29" s="155">
        <f t="shared" si="7"/>
        <v>6</v>
      </c>
      <c r="AQ29" s="155">
        <f t="shared" si="8"/>
        <v>24</v>
      </c>
      <c r="AR29" s="155" t="str">
        <f t="shared" si="9"/>
        <v>1382x350x25 + 14M24</v>
      </c>
      <c r="AS29" s="156" t="s">
        <v>267</v>
      </c>
      <c r="AT29" s="157">
        <v>-71.446309337695453</v>
      </c>
      <c r="AU29" s="157">
        <v>-27.964056717182373</v>
      </c>
      <c r="AV29" s="158">
        <v>3.0615190258530343E-2</v>
      </c>
      <c r="AW29" s="158">
        <v>-1.0005270652485082E-3</v>
      </c>
      <c r="AX29" s="158">
        <v>1.3505739081495166E-3</v>
      </c>
      <c r="AY29" s="158">
        <v>293.28672238480181</v>
      </c>
      <c r="AZ29" s="158"/>
      <c r="BA29" s="154">
        <f t="shared" si="10"/>
        <v>60</v>
      </c>
      <c r="BB29" s="154">
        <f t="shared" si="11"/>
        <v>70</v>
      </c>
      <c r="BC29" s="154">
        <f t="shared" si="12"/>
        <v>80</v>
      </c>
      <c r="BD29" s="154">
        <f t="shared" si="13"/>
        <v>140</v>
      </c>
      <c r="BE29" s="154">
        <f>HLOOKUP(AQ29,Data!$H$31:$Q$35,3,FALSE)</f>
        <v>452.38934211693021</v>
      </c>
      <c r="BF29" s="154">
        <f>HLOOKUP(AQ29,Data!$H$31:$Q$35,4,FALSE)</f>
        <v>353</v>
      </c>
      <c r="BG29" s="154">
        <f t="shared" si="14"/>
        <v>180</v>
      </c>
      <c r="BH29" s="154">
        <f t="shared" si="15"/>
        <v>121.65654188208487</v>
      </c>
      <c r="BI29" s="154">
        <f t="shared" si="16"/>
        <v>243</v>
      </c>
      <c r="BJ29" s="154">
        <f t="shared" si="17"/>
        <v>142.3296</v>
      </c>
      <c r="BK29" s="159">
        <f t="shared" si="18"/>
        <v>1.9974326226558838</v>
      </c>
      <c r="BL29" s="160">
        <f t="shared" si="19"/>
        <v>0.82541666666666669</v>
      </c>
      <c r="BM29" s="169">
        <f t="shared" si="20"/>
        <v>1.9891312364876488E-2</v>
      </c>
      <c r="BN29" s="162" t="str">
        <f t="shared" si="21"/>
        <v>OK</v>
      </c>
      <c r="BO29" s="163" cm="1">
        <f t="array" ref="BO29">_xll.DCEBoltDisK(AN29, AO29, AP29, AE29,  BB29, BC29, BD29, "h7")</f>
        <v>1222</v>
      </c>
      <c r="BP29" s="164" cm="1">
        <f t="array" ref="BP29">_xll.DCEBoltDisK(AN29, AO29, AP29, AE29,  BB29, BC29, BD29, "Tong")</f>
        <v>4037428</v>
      </c>
      <c r="BQ29" s="165">
        <f t="shared" si="22"/>
        <v>39.28093566821893</v>
      </c>
      <c r="BR29" s="161">
        <f t="shared" si="23"/>
        <v>0.27598570970633607</v>
      </c>
      <c r="BS29" s="162" t="str">
        <f t="shared" si="24"/>
        <v>OK</v>
      </c>
      <c r="BT29" s="159">
        <f t="shared" si="25"/>
        <v>0.27647365709841409</v>
      </c>
      <c r="BU29" s="162" t="str">
        <f t="shared" si="26"/>
        <v>OK</v>
      </c>
      <c r="BV29" s="166">
        <f t="shared" si="27"/>
        <v>166.61109519542291</v>
      </c>
      <c r="BW29" s="159">
        <f t="shared" si="28"/>
        <v>3.7487496418970152</v>
      </c>
      <c r="BX29" s="166">
        <f t="shared" si="29"/>
        <v>83.305547597711453</v>
      </c>
      <c r="BY29" s="155">
        <f t="shared" si="30"/>
        <v>26.040518496534983</v>
      </c>
      <c r="BZ29" s="167">
        <f t="shared" si="31"/>
        <v>0.12658585380260062</v>
      </c>
      <c r="CA29" s="159">
        <f t="shared" si="32"/>
        <v>2.4111591200495357</v>
      </c>
      <c r="CB29" s="168">
        <f t="shared" si="33"/>
        <v>2.0208469636430498E-2</v>
      </c>
      <c r="CC29" s="155">
        <f t="shared" si="34"/>
        <v>26.373275649319233</v>
      </c>
      <c r="CD29" s="159">
        <f t="shared" si="35"/>
        <v>0.11148123764808857</v>
      </c>
      <c r="CE29" s="161">
        <f t="shared" si="36"/>
        <v>0.12658585380260062</v>
      </c>
      <c r="CF29" s="162" t="str">
        <f t="shared" si="37"/>
        <v>OK</v>
      </c>
      <c r="DA29" s="113"/>
      <c r="DB29" s="113"/>
      <c r="DC29" s="113"/>
      <c r="DD29" s="114"/>
      <c r="DE29" s="122"/>
      <c r="DF29" s="123"/>
      <c r="DG29" s="123"/>
      <c r="DH29" s="123"/>
      <c r="DI29" s="123"/>
      <c r="DJ29" s="124"/>
      <c r="DK29" s="154"/>
      <c r="DL29" s="155"/>
      <c r="DM29" s="155"/>
      <c r="DN29" s="155"/>
      <c r="DO29" s="155"/>
      <c r="DP29" s="155"/>
      <c r="DQ29" s="155"/>
      <c r="DR29" s="155"/>
      <c r="DS29" s="156"/>
      <c r="DT29" s="157"/>
      <c r="DU29" s="157"/>
      <c r="DV29" s="158"/>
      <c r="DW29" s="158"/>
      <c r="DX29" s="158"/>
      <c r="DY29" s="158"/>
      <c r="DZ29" s="158"/>
      <c r="EA29" s="154"/>
      <c r="EB29" s="154"/>
      <c r="EC29" s="154"/>
      <c r="ED29" s="154"/>
      <c r="EE29" s="154"/>
      <c r="EF29" s="154"/>
      <c r="EG29" s="154"/>
      <c r="EH29" s="154"/>
      <c r="EI29" s="154"/>
      <c r="EJ29" s="154"/>
      <c r="EK29" s="159"/>
      <c r="EL29" s="160"/>
      <c r="EM29" s="159"/>
      <c r="EN29" s="159"/>
      <c r="EO29" s="159"/>
      <c r="EP29" s="159"/>
      <c r="EQ29" s="159"/>
      <c r="ER29" s="159"/>
      <c r="ES29" s="159"/>
      <c r="ET29" s="159"/>
      <c r="EU29" s="159"/>
      <c r="EV29" s="159"/>
      <c r="EW29" s="159"/>
      <c r="EX29" s="159"/>
      <c r="EY29" s="159"/>
      <c r="EZ29" s="159"/>
      <c r="FA29" s="159"/>
      <c r="FB29" s="159"/>
      <c r="FC29" s="159"/>
      <c r="FD29" s="159"/>
      <c r="FE29" s="159"/>
      <c r="FF29" s="159"/>
    </row>
    <row r="30" spans="1:162" ht="12.75" customHeight="1">
      <c r="A30" s="7">
        <v>298</v>
      </c>
      <c r="B30" s="7">
        <v>150</v>
      </c>
      <c r="H30" s="197"/>
      <c r="I30" s="46" t="str">
        <f>"- Cường độ tính toán của thép:"</f>
        <v>- Cường độ tính toán của thép:</v>
      </c>
      <c r="J30" s="46"/>
      <c r="K30" s="47"/>
      <c r="L30" s="49"/>
      <c r="M30" s="32"/>
      <c r="N30" s="32"/>
      <c r="O30" s="36" t="s">
        <v>9</v>
      </c>
      <c r="P30" s="51">
        <f>VLOOKUP(R27,Data!$A$3:$E$99,5,FALSE)</f>
        <v>1.05</v>
      </c>
      <c r="Q30" s="34" t="s">
        <v>10</v>
      </c>
      <c r="R30" s="53">
        <f>R28/P30</f>
        <v>228.57142857142856</v>
      </c>
      <c r="S30" s="199" t="s">
        <v>2</v>
      </c>
      <c r="T30" s="6"/>
      <c r="AA30" s="113" t="s">
        <v>211</v>
      </c>
      <c r="AB30" s="113">
        <v>18</v>
      </c>
      <c r="AC30" s="113" t="s">
        <v>260</v>
      </c>
      <c r="AD30" s="114">
        <v>18</v>
      </c>
      <c r="AE30" s="122">
        <v>1232</v>
      </c>
      <c r="AF30" s="123">
        <v>350</v>
      </c>
      <c r="AG30" s="123">
        <v>12</v>
      </c>
      <c r="AH30" s="123">
        <v>16</v>
      </c>
      <c r="AI30" s="123">
        <v>1200</v>
      </c>
      <c r="AJ30" s="124" t="str" cm="1">
        <f t="array" ref="AJ30">_xll.Dce_Name_SectI(AE30, AE30, AF30, AG30, AH30, "x", "-", "H Tổng")</f>
        <v>1232x350x12x16</v>
      </c>
      <c r="AK30" s="154">
        <f t="shared" si="3"/>
        <v>1382</v>
      </c>
      <c r="AL30" s="155" cm="1">
        <f t="array" ref="AL30">IFERROR(INDEX($A$28:$A$35,IFERROR(MATCH(AF30,$A$28:$A$35,0),MATCH(AF30,$A$28:$A$35,1)+1)),$A$28)</f>
        <v>350</v>
      </c>
      <c r="AM30" s="155">
        <f t="shared" si="4"/>
        <v>25</v>
      </c>
      <c r="AN30" s="155">
        <f t="shared" si="5"/>
        <v>6</v>
      </c>
      <c r="AO30" s="155">
        <f t="shared" si="6"/>
        <v>2</v>
      </c>
      <c r="AP30" s="155">
        <f t="shared" si="7"/>
        <v>6</v>
      </c>
      <c r="AQ30" s="155">
        <f t="shared" si="8"/>
        <v>24</v>
      </c>
      <c r="AR30" s="155" t="str">
        <f t="shared" si="9"/>
        <v>1382x350x25 + 14M24</v>
      </c>
      <c r="AS30" s="156" t="s">
        <v>268</v>
      </c>
      <c r="AT30" s="157">
        <v>-115.99642639590573</v>
      </c>
      <c r="AU30" s="157">
        <v>-61.844998637546688</v>
      </c>
      <c r="AV30" s="158">
        <v>4.2582229705593402E-2</v>
      </c>
      <c r="AW30" s="158">
        <v>-1.4110971309696245E-3</v>
      </c>
      <c r="AX30" s="158">
        <v>1.7039434945155931E-3</v>
      </c>
      <c r="AY30" s="158">
        <v>582.35707086014725</v>
      </c>
      <c r="AZ30" s="158"/>
      <c r="BA30" s="154">
        <f t="shared" si="10"/>
        <v>60</v>
      </c>
      <c r="BB30" s="154">
        <f t="shared" si="11"/>
        <v>70</v>
      </c>
      <c r="BC30" s="154">
        <f t="shared" si="12"/>
        <v>80</v>
      </c>
      <c r="BD30" s="154">
        <f t="shared" si="13"/>
        <v>140</v>
      </c>
      <c r="BE30" s="154">
        <f>HLOOKUP(AQ30,Data!$H$31:$Q$35,3,FALSE)</f>
        <v>452.38934211693021</v>
      </c>
      <c r="BF30" s="154">
        <f>HLOOKUP(AQ30,Data!$H$31:$Q$35,4,FALSE)</f>
        <v>353</v>
      </c>
      <c r="BG30" s="154">
        <f t="shared" si="14"/>
        <v>180</v>
      </c>
      <c r="BH30" s="154">
        <f t="shared" si="15"/>
        <v>121.65654188208487</v>
      </c>
      <c r="BI30" s="154">
        <f t="shared" si="16"/>
        <v>243</v>
      </c>
      <c r="BJ30" s="154">
        <f t="shared" si="17"/>
        <v>142.3296</v>
      </c>
      <c r="BK30" s="159">
        <f t="shared" si="18"/>
        <v>4.4174999026819064</v>
      </c>
      <c r="BL30" s="160">
        <f t="shared" si="19"/>
        <v>0.82541666666666669</v>
      </c>
      <c r="BM30" s="169">
        <f t="shared" si="20"/>
        <v>4.3991406488205459E-2</v>
      </c>
      <c r="BN30" s="162" t="str">
        <f t="shared" si="21"/>
        <v>OK</v>
      </c>
      <c r="BO30" s="163" cm="1">
        <f t="array" ref="BO30">_xll.DCEBoltDisK(AN30, AO30, AP30, AE30,  BB30, BC30, BD30, "h7")</f>
        <v>1222</v>
      </c>
      <c r="BP30" s="164" cm="1">
        <f t="array" ref="BP30">_xll.DCEBoltDisK(AN30, AO30, AP30, AE30,  BB30, BC30, BD30, "Tong")</f>
        <v>4037428</v>
      </c>
      <c r="BQ30" s="165">
        <f t="shared" si="22"/>
        <v>79.844947333283386</v>
      </c>
      <c r="BR30" s="161">
        <f t="shared" si="23"/>
        <v>0.56098624132494845</v>
      </c>
      <c r="BS30" s="162" t="str">
        <f t="shared" si="24"/>
        <v>OK</v>
      </c>
      <c r="BT30" s="159">
        <f t="shared" si="25"/>
        <v>0.56216018101061782</v>
      </c>
      <c r="BU30" s="162" t="str">
        <f t="shared" si="26"/>
        <v>OK</v>
      </c>
      <c r="BV30" s="166">
        <f t="shared" si="27"/>
        <v>356.69600125031764</v>
      </c>
      <c r="BW30" s="159">
        <f t="shared" si="28"/>
        <v>8.0256600281321457</v>
      </c>
      <c r="BX30" s="166">
        <f t="shared" si="29"/>
        <v>178.34800062515882</v>
      </c>
      <c r="BY30" s="155">
        <f t="shared" si="30"/>
        <v>55.749881526822435</v>
      </c>
      <c r="BZ30" s="167">
        <f t="shared" si="31"/>
        <v>0.27100636853316462</v>
      </c>
      <c r="CA30" s="159">
        <f t="shared" si="32"/>
        <v>5.1620260672983731</v>
      </c>
      <c r="CB30" s="168">
        <f t="shared" si="33"/>
        <v>4.3264107364809165E-2</v>
      </c>
      <c r="CC30" s="155">
        <f t="shared" si="34"/>
        <v>56.462277935035011</v>
      </c>
      <c r="CD30" s="159">
        <f t="shared" si="35"/>
        <v>0.23866904924229779</v>
      </c>
      <c r="CE30" s="161">
        <f t="shared" si="36"/>
        <v>0.27100636853316462</v>
      </c>
      <c r="CF30" s="162" t="str">
        <f t="shared" si="37"/>
        <v>OK</v>
      </c>
      <c r="DA30" s="113"/>
      <c r="DB30" s="113"/>
      <c r="DC30" s="113"/>
      <c r="DD30" s="114"/>
      <c r="DE30" s="122"/>
      <c r="DF30" s="123"/>
      <c r="DG30" s="123"/>
      <c r="DH30" s="123"/>
      <c r="DI30" s="123"/>
      <c r="DJ30" s="124"/>
      <c r="DK30" s="154"/>
      <c r="DL30" s="155"/>
      <c r="DM30" s="155"/>
      <c r="DN30" s="155"/>
      <c r="DO30" s="155"/>
      <c r="DP30" s="155"/>
      <c r="DQ30" s="155"/>
      <c r="DR30" s="155"/>
      <c r="DS30" s="156"/>
      <c r="DT30" s="157"/>
      <c r="DU30" s="157"/>
      <c r="DV30" s="158"/>
      <c r="DW30" s="158"/>
      <c r="DX30" s="158"/>
      <c r="DY30" s="158"/>
      <c r="DZ30" s="158"/>
      <c r="EA30" s="154"/>
      <c r="EB30" s="154"/>
      <c r="EC30" s="154"/>
      <c r="ED30" s="154"/>
      <c r="EE30" s="154"/>
      <c r="EF30" s="154"/>
      <c r="EG30" s="154"/>
      <c r="EH30" s="154"/>
      <c r="EI30" s="154"/>
      <c r="EJ30" s="154"/>
      <c r="EK30" s="159"/>
      <c r="EL30" s="159"/>
      <c r="EM30" s="159"/>
      <c r="EN30" s="159"/>
      <c r="EO30" s="159"/>
      <c r="EP30" s="159"/>
      <c r="EQ30" s="159"/>
      <c r="ER30" s="159"/>
      <c r="ES30" s="159"/>
      <c r="ET30" s="159"/>
      <c r="EU30" s="159"/>
      <c r="EV30" s="159"/>
      <c r="EW30" s="159"/>
      <c r="EX30" s="159"/>
      <c r="EY30" s="159"/>
      <c r="EZ30" s="159"/>
      <c r="FA30" s="159"/>
      <c r="FB30" s="159"/>
      <c r="FC30" s="159"/>
      <c r="FD30" s="159"/>
      <c r="FE30" s="159"/>
      <c r="FF30" s="159"/>
    </row>
    <row r="31" spans="1:162" ht="12.75" customHeight="1">
      <c r="A31" s="7">
        <v>300</v>
      </c>
      <c r="B31" s="7">
        <v>150</v>
      </c>
      <c r="H31" s="197"/>
      <c r="I31" s="46" t="str">
        <f>"- Cường độ tính toán chịu cắt của thép:"</f>
        <v>- Cường độ tính toán chịu cắt của thép:</v>
      </c>
      <c r="J31" s="46"/>
      <c r="K31" s="47"/>
      <c r="L31" s="49"/>
      <c r="M31" s="46"/>
      <c r="N31" s="32"/>
      <c r="O31" s="32"/>
      <c r="P31" s="32"/>
      <c r="Q31" s="34" t="s">
        <v>82</v>
      </c>
      <c r="R31" s="53">
        <f>0.58*R30</f>
        <v>132.57142857142856</v>
      </c>
      <c r="S31" s="199" t="s">
        <v>2</v>
      </c>
      <c r="T31" s="6"/>
      <c r="AA31" s="113" t="s">
        <v>211</v>
      </c>
      <c r="AB31" s="113">
        <v>18</v>
      </c>
      <c r="AC31" s="113" t="s">
        <v>260</v>
      </c>
      <c r="AD31" s="114">
        <v>18</v>
      </c>
      <c r="AE31" s="122">
        <v>1232</v>
      </c>
      <c r="AF31" s="123">
        <v>350</v>
      </c>
      <c r="AG31" s="123">
        <v>12</v>
      </c>
      <c r="AH31" s="123">
        <v>16</v>
      </c>
      <c r="AI31" s="123">
        <v>1200</v>
      </c>
      <c r="AJ31" s="124" t="str" cm="1">
        <f t="array" ref="AJ31">_xll.Dce_Name_SectI(AE31, AE31, AF31, AG31, AH31, "x", "-", "H Tổng")</f>
        <v>1232x350x12x16</v>
      </c>
      <c r="AK31" s="154">
        <f t="shared" si="3"/>
        <v>1382</v>
      </c>
      <c r="AL31" s="155" cm="1">
        <f t="array" ref="AL31">IFERROR(INDEX($A$28:$A$35,IFERROR(MATCH(AF31,$A$28:$A$35,0),MATCH(AF31,$A$28:$A$35,1)+1)),$A$28)</f>
        <v>350</v>
      </c>
      <c r="AM31" s="155">
        <f t="shared" si="4"/>
        <v>25</v>
      </c>
      <c r="AN31" s="155">
        <f t="shared" si="5"/>
        <v>6</v>
      </c>
      <c r="AO31" s="155">
        <f t="shared" si="6"/>
        <v>2</v>
      </c>
      <c r="AP31" s="155">
        <f t="shared" si="7"/>
        <v>6</v>
      </c>
      <c r="AQ31" s="155">
        <f t="shared" si="8"/>
        <v>24</v>
      </c>
      <c r="AR31" s="155" t="str">
        <f t="shared" si="9"/>
        <v>1382x350x25 + 14M24</v>
      </c>
      <c r="AS31" s="156" t="s">
        <v>269</v>
      </c>
      <c r="AT31" s="157">
        <v>-119.96383820327563</v>
      </c>
      <c r="AU31" s="157">
        <v>-27.465778750574209</v>
      </c>
      <c r="AV31" s="158">
        <v>3.7361064330677186E-2</v>
      </c>
      <c r="AW31" s="158">
        <v>-1.3660823587266107E-3</v>
      </c>
      <c r="AX31" s="158">
        <v>1.2319789510728144E-3</v>
      </c>
      <c r="AY31" s="158">
        <v>923.05290677973517</v>
      </c>
      <c r="AZ31" s="158"/>
      <c r="BA31" s="154">
        <f t="shared" si="10"/>
        <v>60</v>
      </c>
      <c r="BB31" s="154">
        <f t="shared" si="11"/>
        <v>70</v>
      </c>
      <c r="BC31" s="154">
        <f t="shared" si="12"/>
        <v>80</v>
      </c>
      <c r="BD31" s="154">
        <f t="shared" si="13"/>
        <v>140</v>
      </c>
      <c r="BE31" s="154">
        <f>HLOOKUP(AQ31,Data!$H$31:$Q$35,3,FALSE)</f>
        <v>452.38934211693021</v>
      </c>
      <c r="BF31" s="154">
        <f>HLOOKUP(AQ31,Data!$H$31:$Q$35,4,FALSE)</f>
        <v>353</v>
      </c>
      <c r="BG31" s="154">
        <f t="shared" si="14"/>
        <v>180</v>
      </c>
      <c r="BH31" s="154">
        <f t="shared" si="15"/>
        <v>121.65654188208487</v>
      </c>
      <c r="BI31" s="154">
        <f t="shared" si="16"/>
        <v>243</v>
      </c>
      <c r="BJ31" s="154">
        <f t="shared" si="17"/>
        <v>142.3296</v>
      </c>
      <c r="BK31" s="159">
        <f t="shared" si="18"/>
        <v>1.9618413393267293</v>
      </c>
      <c r="BL31" s="160">
        <f t="shared" si="19"/>
        <v>0.82541666666666669</v>
      </c>
      <c r="BM31" s="169">
        <f t="shared" si="20"/>
        <v>1.9536878715332055E-2</v>
      </c>
      <c r="BN31" s="162" t="str">
        <f t="shared" si="21"/>
        <v>OK</v>
      </c>
      <c r="BO31" s="163" cm="1">
        <f t="array" ref="BO31">_xll.DCEBoltDisK(AN31, AO31, AP31, AE31,  BB31, BC31, BD31, "h7")</f>
        <v>1222</v>
      </c>
      <c r="BP31" s="164" cm="1">
        <f t="array" ref="BP31">_xll.DCEBoltDisK(AN31, AO31, AP31, AE31,  BB31, BC31, BD31, "Tong")</f>
        <v>4037428</v>
      </c>
      <c r="BQ31" s="165">
        <f t="shared" si="22"/>
        <v>131.12041352713516</v>
      </c>
      <c r="BR31" s="161">
        <f t="shared" si="23"/>
        <v>0.92124486773752723</v>
      </c>
      <c r="BS31" s="162" t="str">
        <f t="shared" si="24"/>
        <v>OK</v>
      </c>
      <c r="BT31" s="159">
        <f t="shared" si="25"/>
        <v>0.92138599745980321</v>
      </c>
      <c r="BU31" s="162" t="str">
        <f t="shared" si="26"/>
        <v>OK</v>
      </c>
      <c r="BV31" s="166">
        <f t="shared" si="27"/>
        <v>629.26741729975618</v>
      </c>
      <c r="BW31" s="159">
        <f t="shared" si="28"/>
        <v>14.158516889244513</v>
      </c>
      <c r="BX31" s="166">
        <f t="shared" si="29"/>
        <v>314.63370864987809</v>
      </c>
      <c r="BY31" s="155">
        <f t="shared" si="30"/>
        <v>98.351492139469855</v>
      </c>
      <c r="BZ31" s="167">
        <f t="shared" si="31"/>
        <v>0.47809753123353405</v>
      </c>
      <c r="CA31" s="159">
        <f t="shared" si="32"/>
        <v>9.1066196425435049</v>
      </c>
      <c r="CB31" s="168">
        <f t="shared" si="33"/>
        <v>7.6324637808674017E-2</v>
      </c>
      <c r="CC31" s="155">
        <f t="shared" si="34"/>
        <v>99.608270590358501</v>
      </c>
      <c r="CD31" s="159">
        <f t="shared" si="35"/>
        <v>0.42104945297856861</v>
      </c>
      <c r="CE31" s="161">
        <f t="shared" si="36"/>
        <v>0.47809753123353405</v>
      </c>
      <c r="CF31" s="162" t="str">
        <f t="shared" si="37"/>
        <v>OK</v>
      </c>
      <c r="DA31" s="113"/>
      <c r="DB31" s="113"/>
      <c r="DC31" s="113"/>
      <c r="DD31" s="114"/>
      <c r="DE31" s="122"/>
      <c r="DF31" s="123"/>
      <c r="DG31" s="123"/>
      <c r="DH31" s="123"/>
      <c r="DI31" s="123"/>
      <c r="DJ31" s="124"/>
      <c r="DK31" s="154"/>
      <c r="DL31" s="155"/>
      <c r="DM31" s="155"/>
      <c r="DN31" s="155"/>
      <c r="DO31" s="155"/>
      <c r="DP31" s="155"/>
      <c r="DQ31" s="155"/>
      <c r="DR31" s="155"/>
      <c r="DS31" s="156"/>
      <c r="DT31" s="157"/>
      <c r="DU31" s="157"/>
      <c r="DV31" s="158"/>
      <c r="DW31" s="158"/>
      <c r="DX31" s="158"/>
      <c r="DY31" s="158"/>
      <c r="DZ31" s="158"/>
      <c r="EA31" s="154"/>
      <c r="EB31" s="154"/>
      <c r="EC31" s="154"/>
      <c r="ED31" s="154"/>
      <c r="EE31" s="154"/>
      <c r="EF31" s="154"/>
      <c r="EG31" s="154"/>
      <c r="EH31" s="154"/>
      <c r="EI31" s="154"/>
      <c r="EJ31" s="154"/>
      <c r="EK31" s="159"/>
      <c r="EL31" s="159"/>
      <c r="EM31" s="159"/>
      <c r="EN31" s="159"/>
      <c r="EO31" s="159"/>
      <c r="EP31" s="159"/>
      <c r="EQ31" s="159"/>
      <c r="ER31" s="159"/>
      <c r="ES31" s="159"/>
      <c r="ET31" s="159"/>
      <c r="EU31" s="159"/>
      <c r="EV31" s="159"/>
      <c r="EW31" s="159"/>
      <c r="EX31" s="159"/>
      <c r="EY31" s="159"/>
      <c r="EZ31" s="159"/>
      <c r="FA31" s="159"/>
      <c r="FB31" s="159"/>
      <c r="FC31" s="159"/>
      <c r="FD31" s="159"/>
      <c r="FE31" s="159"/>
      <c r="FF31" s="159"/>
    </row>
    <row r="32" spans="1:162" ht="12.75" customHeight="1">
      <c r="A32" s="7">
        <v>350</v>
      </c>
      <c r="B32" s="7">
        <v>180</v>
      </c>
      <c r="H32" s="197"/>
      <c r="I32" s="46" t="str">
        <f>"- Hệ số điều kiện làm việc của kết cấu (Bảng 1 - Mục 9):"</f>
        <v>- Hệ số điều kiện làm việc của kết cấu (Bảng 1 - Mục 9):</v>
      </c>
      <c r="J32" s="46"/>
      <c r="K32" s="47"/>
      <c r="L32" s="49"/>
      <c r="M32" s="46"/>
      <c r="N32" s="32"/>
      <c r="O32" s="32"/>
      <c r="P32" s="32"/>
      <c r="Q32" s="36" t="s">
        <v>11</v>
      </c>
      <c r="R32" s="33">
        <v>0.9</v>
      </c>
      <c r="S32" s="199" t="s">
        <v>2</v>
      </c>
      <c r="T32" s="6"/>
      <c r="AA32" s="113" t="s">
        <v>211</v>
      </c>
      <c r="AB32" s="113">
        <v>18</v>
      </c>
      <c r="AC32" s="113" t="s">
        <v>260</v>
      </c>
      <c r="AD32" s="114">
        <v>18</v>
      </c>
      <c r="AE32" s="122">
        <v>1232</v>
      </c>
      <c r="AF32" s="123">
        <v>350</v>
      </c>
      <c r="AG32" s="123">
        <v>12</v>
      </c>
      <c r="AH32" s="123">
        <v>16</v>
      </c>
      <c r="AI32" s="123">
        <v>1200</v>
      </c>
      <c r="AJ32" s="124" t="str" cm="1">
        <f t="array" ref="AJ32">_xll.Dce_Name_SectI(AE32, AE32, AF32, AG32, AH32, "x", "-", "H Tổng")</f>
        <v>1232x350x12x16</v>
      </c>
      <c r="AK32" s="154">
        <f t="shared" si="3"/>
        <v>1382</v>
      </c>
      <c r="AL32" s="155" cm="1">
        <f t="array" ref="AL32">IFERROR(INDEX($A$28:$A$35,IFERROR(MATCH(AF32,$A$28:$A$35,0),MATCH(AF32,$A$28:$A$35,1)+1)),$A$28)</f>
        <v>350</v>
      </c>
      <c r="AM32" s="155">
        <f t="shared" si="4"/>
        <v>25</v>
      </c>
      <c r="AN32" s="155">
        <f t="shared" si="5"/>
        <v>6</v>
      </c>
      <c r="AO32" s="155">
        <f t="shared" si="6"/>
        <v>2</v>
      </c>
      <c r="AP32" s="155">
        <f t="shared" si="7"/>
        <v>6</v>
      </c>
      <c r="AQ32" s="155">
        <f t="shared" si="8"/>
        <v>24</v>
      </c>
      <c r="AR32" s="155" t="str">
        <f t="shared" si="9"/>
        <v>1382x350x25 + 14M24</v>
      </c>
      <c r="AS32" s="156" t="s">
        <v>270</v>
      </c>
      <c r="AT32" s="157">
        <v>-164.51401505980644</v>
      </c>
      <c r="AU32" s="157">
        <v>-61.346721101714323</v>
      </c>
      <c r="AV32" s="158">
        <v>4.8541303395406771E-2</v>
      </c>
      <c r="AW32" s="158">
        <v>-1.7706888355297039E-3</v>
      </c>
      <c r="AX32" s="158">
        <v>1.5869884673966105E-3</v>
      </c>
      <c r="AY32" s="158">
        <v>1212.1246166449396</v>
      </c>
      <c r="AZ32" s="158"/>
      <c r="BA32" s="154">
        <f t="shared" si="10"/>
        <v>60</v>
      </c>
      <c r="BB32" s="154">
        <f t="shared" si="11"/>
        <v>70</v>
      </c>
      <c r="BC32" s="154">
        <f t="shared" si="12"/>
        <v>80</v>
      </c>
      <c r="BD32" s="154">
        <f t="shared" si="13"/>
        <v>140</v>
      </c>
      <c r="BE32" s="154">
        <f>HLOOKUP(AQ32,Data!$H$31:$Q$35,3,FALSE)</f>
        <v>452.38934211693021</v>
      </c>
      <c r="BF32" s="154">
        <f>HLOOKUP(AQ32,Data!$H$31:$Q$35,4,FALSE)</f>
        <v>353</v>
      </c>
      <c r="BG32" s="154">
        <f t="shared" si="14"/>
        <v>180</v>
      </c>
      <c r="BH32" s="154">
        <f t="shared" si="15"/>
        <v>121.65654188208487</v>
      </c>
      <c r="BI32" s="154">
        <f t="shared" si="16"/>
        <v>243</v>
      </c>
      <c r="BJ32" s="154">
        <f t="shared" si="17"/>
        <v>142.3296</v>
      </c>
      <c r="BK32" s="159">
        <f t="shared" si="18"/>
        <v>4.381908650122452</v>
      </c>
      <c r="BL32" s="160">
        <f t="shared" si="19"/>
        <v>0.82541666666666669</v>
      </c>
      <c r="BM32" s="169">
        <f t="shared" si="20"/>
        <v>4.3636973145079229E-2</v>
      </c>
      <c r="BN32" s="162" t="str">
        <f t="shared" si="21"/>
        <v>OK</v>
      </c>
      <c r="BO32" s="163" cm="1">
        <f t="array" ref="BO32">_xll.DCEBoltDisK(AN32, AO32, AP32, AE32,  BB32, BC32, BD32, "h7")</f>
        <v>1222</v>
      </c>
      <c r="BP32" s="164" cm="1">
        <f t="array" ref="BP32">_xll.DCEBoltDisK(AN32, AO32, AP32, AE32,  BB32, BC32, BD32, "Tong")</f>
        <v>4037428</v>
      </c>
      <c r="BQ32" s="165">
        <f t="shared" si="22"/>
        <v>171.6846269454204</v>
      </c>
      <c r="BR32" s="161">
        <f t="shared" si="23"/>
        <v>1.2062468168632554</v>
      </c>
      <c r="BS32" s="162" t="str">
        <f t="shared" si="24"/>
        <v>O/S</v>
      </c>
      <c r="BT32" s="159">
        <f t="shared" si="25"/>
        <v>1.2067844583254601</v>
      </c>
      <c r="BU32" s="162" t="str">
        <f t="shared" si="26"/>
        <v>O/S</v>
      </c>
      <c r="BV32" s="166">
        <f t="shared" si="27"/>
        <v>819.35336858056667</v>
      </c>
      <c r="BW32" s="159">
        <f t="shared" si="28"/>
        <v>18.435450793062749</v>
      </c>
      <c r="BX32" s="166">
        <f t="shared" si="29"/>
        <v>409.67668429028333</v>
      </c>
      <c r="BY32" s="155">
        <f t="shared" si="30"/>
        <v>128.06101853357626</v>
      </c>
      <c r="BZ32" s="167">
        <f t="shared" si="31"/>
        <v>0.62251884009377356</v>
      </c>
      <c r="CA32" s="159">
        <f t="shared" si="32"/>
        <v>11.857501716071877</v>
      </c>
      <c r="CB32" s="168">
        <f t="shared" si="33"/>
        <v>9.9380402313820809E-2</v>
      </c>
      <c r="CC32" s="155">
        <f t="shared" si="34"/>
        <v>129.69743832742768</v>
      </c>
      <c r="CD32" s="159">
        <f t="shared" si="35"/>
        <v>0.5482379639444408</v>
      </c>
      <c r="CE32" s="161">
        <f t="shared" si="36"/>
        <v>0.62251884009377356</v>
      </c>
      <c r="CF32" s="162" t="str">
        <f t="shared" si="37"/>
        <v>OK</v>
      </c>
      <c r="DA32" s="113"/>
      <c r="DB32" s="113"/>
      <c r="DC32" s="113"/>
      <c r="DD32" s="114"/>
      <c r="DE32" s="122"/>
      <c r="DF32" s="123"/>
      <c r="DG32" s="123"/>
      <c r="DH32" s="123"/>
      <c r="DI32" s="123"/>
      <c r="DJ32" s="124"/>
      <c r="DK32" s="154"/>
      <c r="DL32" s="155"/>
      <c r="DM32" s="155"/>
      <c r="DN32" s="155"/>
      <c r="DO32" s="155"/>
      <c r="DP32" s="155"/>
      <c r="DQ32" s="155"/>
      <c r="DR32" s="155"/>
      <c r="DS32" s="156"/>
      <c r="DT32" s="157"/>
      <c r="DU32" s="157"/>
      <c r="DV32" s="158"/>
      <c r="DW32" s="158"/>
      <c r="DX32" s="158"/>
      <c r="DY32" s="158"/>
      <c r="DZ32" s="158"/>
      <c r="EA32" s="154"/>
      <c r="EB32" s="154"/>
      <c r="EC32" s="154"/>
      <c r="ED32" s="154"/>
      <c r="EE32" s="154"/>
      <c r="EF32" s="154"/>
      <c r="EG32" s="154"/>
      <c r="EH32" s="154"/>
      <c r="EI32" s="154"/>
      <c r="EJ32" s="154"/>
      <c r="EK32" s="159"/>
      <c r="EL32" s="159"/>
      <c r="EM32" s="159"/>
      <c r="EN32" s="159"/>
      <c r="EO32" s="159"/>
      <c r="EP32" s="159"/>
      <c r="EQ32" s="159"/>
      <c r="ER32" s="159"/>
      <c r="ES32" s="159"/>
      <c r="ET32" s="159"/>
      <c r="EU32" s="159"/>
      <c r="EV32" s="159"/>
      <c r="EW32" s="159"/>
      <c r="EX32" s="159"/>
      <c r="EY32" s="159"/>
      <c r="EZ32" s="159"/>
      <c r="FA32" s="159"/>
      <c r="FB32" s="159"/>
      <c r="FC32" s="159"/>
      <c r="FD32" s="159"/>
      <c r="FE32" s="159"/>
      <c r="FF32" s="159"/>
    </row>
    <row r="33" spans="1:162" ht="12.75" customHeight="1">
      <c r="A33" s="7">
        <v>370</v>
      </c>
      <c r="B33" s="7">
        <v>200</v>
      </c>
      <c r="H33" s="196" t="s">
        <v>12</v>
      </c>
      <c r="I33" s="46"/>
      <c r="J33" s="46"/>
      <c r="K33" s="46"/>
      <c r="L33" s="46"/>
      <c r="M33" s="46"/>
      <c r="N33" s="47"/>
      <c r="O33" s="48"/>
      <c r="P33" s="46"/>
      <c r="Q33" s="32"/>
      <c r="R33" s="32"/>
      <c r="S33" s="194"/>
      <c r="AA33" s="113" t="s">
        <v>211</v>
      </c>
      <c r="AB33" s="113">
        <v>18</v>
      </c>
      <c r="AC33" s="113" t="s">
        <v>260</v>
      </c>
      <c r="AD33" s="114">
        <v>18</v>
      </c>
      <c r="AE33" s="122">
        <v>1232</v>
      </c>
      <c r="AF33" s="123">
        <v>350</v>
      </c>
      <c r="AG33" s="123">
        <v>12</v>
      </c>
      <c r="AH33" s="123">
        <v>16</v>
      </c>
      <c r="AI33" s="123">
        <v>1200</v>
      </c>
      <c r="AJ33" s="124" t="str" cm="1">
        <f t="array" ref="AJ33">_xll.Dce_Name_SectI(AE33, AE33, AF33, AG33, AH33, "x", "-", "H Tổng")</f>
        <v>1232x350x12x16</v>
      </c>
      <c r="AK33" s="154">
        <f t="shared" si="3"/>
        <v>1382</v>
      </c>
      <c r="AL33" s="155" cm="1">
        <f t="array" ref="AL33">IFERROR(INDEX($A$28:$A$35,IFERROR(MATCH(AF33,$A$28:$A$35,0),MATCH(AF33,$A$28:$A$35,1)+1)),$A$28)</f>
        <v>350</v>
      </c>
      <c r="AM33" s="155">
        <f t="shared" si="4"/>
        <v>25</v>
      </c>
      <c r="AN33" s="155">
        <f t="shared" si="5"/>
        <v>6</v>
      </c>
      <c r="AO33" s="155">
        <f t="shared" si="6"/>
        <v>2</v>
      </c>
      <c r="AP33" s="155">
        <f t="shared" si="7"/>
        <v>6</v>
      </c>
      <c r="AQ33" s="155">
        <f t="shared" si="8"/>
        <v>24</v>
      </c>
      <c r="AR33" s="155" t="str">
        <f t="shared" si="9"/>
        <v>1382x350x25 + 14M24</v>
      </c>
      <c r="AS33" s="156" t="s">
        <v>271</v>
      </c>
      <c r="AT33" s="157">
        <v>71.556819697569949</v>
      </c>
      <c r="AU33" s="157">
        <v>79.629395319442281</v>
      </c>
      <c r="AV33" s="158">
        <v>0.17217506491439571</v>
      </c>
      <c r="AW33" s="158">
        <v>-4.9196603157481197E-3</v>
      </c>
      <c r="AX33" s="158">
        <v>-3.9293187945550125E-2</v>
      </c>
      <c r="AY33" s="158">
        <v>-311.37564033665535</v>
      </c>
      <c r="AZ33" s="158"/>
      <c r="BA33" s="154">
        <f t="shared" si="10"/>
        <v>60</v>
      </c>
      <c r="BB33" s="154">
        <f t="shared" si="11"/>
        <v>70</v>
      </c>
      <c r="BC33" s="154">
        <f t="shared" si="12"/>
        <v>80</v>
      </c>
      <c r="BD33" s="154">
        <f t="shared" si="13"/>
        <v>140</v>
      </c>
      <c r="BE33" s="154">
        <f>HLOOKUP(AQ33,Data!$H$31:$Q$35,3,FALSE)</f>
        <v>452.38934211693021</v>
      </c>
      <c r="BF33" s="154">
        <f>HLOOKUP(AQ33,Data!$H$31:$Q$35,4,FALSE)</f>
        <v>353</v>
      </c>
      <c r="BG33" s="154">
        <f t="shared" si="14"/>
        <v>180</v>
      </c>
      <c r="BH33" s="154">
        <f t="shared" si="15"/>
        <v>121.65654188208487</v>
      </c>
      <c r="BI33" s="154">
        <f t="shared" si="16"/>
        <v>243</v>
      </c>
      <c r="BJ33" s="154">
        <f t="shared" si="17"/>
        <v>142.3296</v>
      </c>
      <c r="BK33" s="159">
        <f t="shared" si="18"/>
        <v>5.6878139513887342</v>
      </c>
      <c r="BL33" s="160">
        <f t="shared" si="19"/>
        <v>0.82541666666666669</v>
      </c>
      <c r="BM33" s="169">
        <f t="shared" si="20"/>
        <v>5.6641752366065702E-2</v>
      </c>
      <c r="BN33" s="162" t="str">
        <f t="shared" si="21"/>
        <v>OK</v>
      </c>
      <c r="BO33" s="163" cm="1">
        <f t="array" ref="BO33">_xll.DCEBoltDisK(AN33, AO33, AP33, AE33,  BB33, BC33, BD33, "h7")</f>
        <v>1222</v>
      </c>
      <c r="BP33" s="164" cm="1">
        <f t="array" ref="BP33">_xll.DCEBoltDisK(AN33, AO33, AP33, AE33,  BB33, BC33, BD33, "Tong")</f>
        <v>4037428</v>
      </c>
      <c r="BQ33" s="165">
        <f t="shared" si="22"/>
        <v>52.232912616604828</v>
      </c>
      <c r="BR33" s="161">
        <f t="shared" si="23"/>
        <v>0.3669855927130044</v>
      </c>
      <c r="BS33" s="162" t="str">
        <f t="shared" si="24"/>
        <v>OK</v>
      </c>
      <c r="BT33" s="159">
        <f t="shared" si="25"/>
        <v>0.36995171659231774</v>
      </c>
      <c r="BU33" s="162" t="str">
        <f t="shared" si="26"/>
        <v>OK</v>
      </c>
      <c r="BV33" s="166">
        <f t="shared" si="27"/>
        <v>324.29678750329674</v>
      </c>
      <c r="BW33" s="159">
        <f t="shared" si="28"/>
        <v>7.296677718824176</v>
      </c>
      <c r="BX33" s="166">
        <f t="shared" si="29"/>
        <v>162.14839375164837</v>
      </c>
      <c r="BY33" s="155">
        <f t="shared" si="30"/>
        <v>50.686039146680237</v>
      </c>
      <c r="BZ33" s="167">
        <f t="shared" si="31"/>
        <v>0.24639046807414006</v>
      </c>
      <c r="CA33" s="159">
        <f t="shared" si="32"/>
        <v>4.6931517728407632</v>
      </c>
      <c r="CB33" s="168">
        <f t="shared" si="33"/>
        <v>3.9334365912219046E-2</v>
      </c>
      <c r="CC33" s="155">
        <f t="shared" si="34"/>
        <v>51.333727558668059</v>
      </c>
      <c r="CD33" s="159">
        <f t="shared" si="35"/>
        <v>0.21699039426973218</v>
      </c>
      <c r="CE33" s="161">
        <f t="shared" si="36"/>
        <v>0.24639046807414006</v>
      </c>
      <c r="CF33" s="162" t="str">
        <f t="shared" si="37"/>
        <v>OK</v>
      </c>
      <c r="DA33" s="113"/>
      <c r="DB33" s="113"/>
      <c r="DC33" s="113"/>
      <c r="DD33" s="114"/>
      <c r="DE33" s="122"/>
      <c r="DF33" s="123"/>
      <c r="DG33" s="123"/>
      <c r="DH33" s="123"/>
      <c r="DI33" s="123"/>
      <c r="DJ33" s="124"/>
      <c r="DK33" s="154"/>
      <c r="DL33" s="155"/>
      <c r="DM33" s="155"/>
      <c r="DN33" s="155"/>
      <c r="DO33" s="155"/>
      <c r="DP33" s="155"/>
      <c r="DQ33" s="155"/>
      <c r="DR33" s="155"/>
      <c r="DS33" s="156"/>
      <c r="DT33" s="157"/>
      <c r="DU33" s="157"/>
      <c r="DV33" s="158"/>
      <c r="DW33" s="158"/>
      <c r="DX33" s="158"/>
      <c r="DY33" s="158"/>
      <c r="DZ33" s="158"/>
      <c r="EA33" s="154"/>
      <c r="EB33" s="154"/>
      <c r="EC33" s="154"/>
      <c r="ED33" s="154"/>
      <c r="EE33" s="154"/>
      <c r="EF33" s="154"/>
      <c r="EG33" s="154"/>
      <c r="EH33" s="154"/>
      <c r="EI33" s="154"/>
      <c r="EJ33" s="154"/>
      <c r="EK33" s="159"/>
      <c r="EL33" s="159"/>
      <c r="EM33" s="159"/>
      <c r="EN33" s="159"/>
      <c r="EO33" s="159"/>
      <c r="EP33" s="159"/>
      <c r="EQ33" s="159"/>
      <c r="ER33" s="159"/>
      <c r="ES33" s="159"/>
      <c r="ET33" s="159"/>
      <c r="EU33" s="159"/>
      <c r="EV33" s="159"/>
      <c r="EW33" s="159"/>
      <c r="EX33" s="159"/>
      <c r="EY33" s="159"/>
      <c r="EZ33" s="159"/>
      <c r="FA33" s="159"/>
      <c r="FB33" s="159"/>
      <c r="FC33" s="159"/>
      <c r="FD33" s="159"/>
      <c r="FE33" s="159"/>
      <c r="FF33" s="159"/>
    </row>
    <row r="34" spans="1:162" ht="12.75" customHeight="1">
      <c r="A34" s="7">
        <v>400</v>
      </c>
      <c r="B34" s="7">
        <v>200</v>
      </c>
      <c r="H34" s="197"/>
      <c r="I34" s="46" t="str">
        <f>"- Que hàn:"</f>
        <v>- Que hàn:</v>
      </c>
      <c r="J34" s="46"/>
      <c r="K34" s="47"/>
      <c r="L34" s="49"/>
      <c r="M34" s="46"/>
      <c r="N34" s="32"/>
      <c r="O34" s="32"/>
      <c r="P34" s="32"/>
      <c r="Q34" s="32"/>
      <c r="R34" s="33" t="s">
        <v>75</v>
      </c>
      <c r="S34" s="200"/>
      <c r="AA34" s="113" t="s">
        <v>211</v>
      </c>
      <c r="AB34" s="113">
        <v>18</v>
      </c>
      <c r="AC34" s="113" t="s">
        <v>260</v>
      </c>
      <c r="AD34" s="114">
        <v>18</v>
      </c>
      <c r="AE34" s="122">
        <v>1232</v>
      </c>
      <c r="AF34" s="123">
        <v>350</v>
      </c>
      <c r="AG34" s="123">
        <v>12</v>
      </c>
      <c r="AH34" s="123">
        <v>16</v>
      </c>
      <c r="AI34" s="123">
        <v>1200</v>
      </c>
      <c r="AJ34" s="124" t="str" cm="1">
        <f t="array" ref="AJ34">_xll.Dce_Name_SectI(AE34, AE34, AF34, AG34, AH34, "x", "-", "H Tổng")</f>
        <v>1232x350x12x16</v>
      </c>
      <c r="AK34" s="154">
        <f t="shared" si="3"/>
        <v>1382</v>
      </c>
      <c r="AL34" s="155" cm="1">
        <f t="array" ref="AL34">IFERROR(INDEX($A$28:$A$35,IFERROR(MATCH(AF34,$A$28:$A$35,0),MATCH(AF34,$A$28:$A$35,1)+1)),$A$28)</f>
        <v>350</v>
      </c>
      <c r="AM34" s="155">
        <f t="shared" si="4"/>
        <v>25</v>
      </c>
      <c r="AN34" s="155">
        <f t="shared" si="5"/>
        <v>6</v>
      </c>
      <c r="AO34" s="155">
        <f t="shared" si="6"/>
        <v>2</v>
      </c>
      <c r="AP34" s="155">
        <f t="shared" si="7"/>
        <v>6</v>
      </c>
      <c r="AQ34" s="155">
        <f t="shared" si="8"/>
        <v>24</v>
      </c>
      <c r="AR34" s="155" t="str">
        <f t="shared" si="9"/>
        <v>1382x350x25 + 14M24</v>
      </c>
      <c r="AS34" s="156" t="s">
        <v>272</v>
      </c>
      <c r="AT34" s="157">
        <v>-17.543481046973646</v>
      </c>
      <c r="AU34" s="157">
        <v>11.867858384753454</v>
      </c>
      <c r="AV34" s="158">
        <v>0.22101936632393768</v>
      </c>
      <c r="AW34" s="158">
        <v>-6.6343967990739865E-3</v>
      </c>
      <c r="AX34" s="158">
        <v>-3.6514316235691957E-2</v>
      </c>
      <c r="AY34" s="158">
        <v>266.76718159967737</v>
      </c>
      <c r="AZ34" s="158"/>
      <c r="BA34" s="154">
        <f t="shared" si="10"/>
        <v>60</v>
      </c>
      <c r="BB34" s="154">
        <f t="shared" si="11"/>
        <v>70</v>
      </c>
      <c r="BC34" s="154">
        <f t="shared" si="12"/>
        <v>80</v>
      </c>
      <c r="BD34" s="154">
        <f t="shared" si="13"/>
        <v>140</v>
      </c>
      <c r="BE34" s="154">
        <f>HLOOKUP(AQ34,Data!$H$31:$Q$35,3,FALSE)</f>
        <v>452.38934211693021</v>
      </c>
      <c r="BF34" s="154">
        <f>HLOOKUP(AQ34,Data!$H$31:$Q$35,4,FALSE)</f>
        <v>353</v>
      </c>
      <c r="BG34" s="154">
        <f t="shared" si="14"/>
        <v>180</v>
      </c>
      <c r="BH34" s="154">
        <f t="shared" si="15"/>
        <v>121.65654188208487</v>
      </c>
      <c r="BI34" s="154">
        <f t="shared" si="16"/>
        <v>243</v>
      </c>
      <c r="BJ34" s="154">
        <f t="shared" si="17"/>
        <v>142.3296</v>
      </c>
      <c r="BK34" s="159">
        <f t="shared" si="18"/>
        <v>0.84770417033953238</v>
      </c>
      <c r="BL34" s="160">
        <f t="shared" si="19"/>
        <v>0.82541666666666669</v>
      </c>
      <c r="BM34" s="169">
        <f t="shared" si="20"/>
        <v>8.4418108796138706E-3</v>
      </c>
      <c r="BN34" s="162" t="str">
        <f t="shared" si="21"/>
        <v>OK</v>
      </c>
      <c r="BO34" s="163" cm="1">
        <f t="array" ref="BO34">_xll.DCEBoltDisK(AN34, AO34, AP34, AE34,  BB34, BC34, BD34, "h7")</f>
        <v>1222</v>
      </c>
      <c r="BP34" s="164" cm="1">
        <f t="array" ref="BP34">_xll.DCEBoltDisK(AN34, AO34, AP34, AE34,  BB34, BC34, BD34, "Tong")</f>
        <v>4037428</v>
      </c>
      <c r="BQ34" s="165">
        <f t="shared" si="22"/>
        <v>39.117830350820228</v>
      </c>
      <c r="BR34" s="161">
        <f t="shared" si="23"/>
        <v>0.27483974065001399</v>
      </c>
      <c r="BS34" s="162" t="str">
        <f t="shared" si="24"/>
        <v>OK</v>
      </c>
      <c r="BT34" s="159">
        <f t="shared" si="25"/>
        <v>0.27492805645003571</v>
      </c>
      <c r="BU34" s="162" t="str">
        <f t="shared" si="26"/>
        <v>OK</v>
      </c>
      <c r="BV34" s="166">
        <f t="shared" si="27"/>
        <v>198.98832219951771</v>
      </c>
      <c r="BW34" s="159">
        <f t="shared" si="28"/>
        <v>4.4772372494891481</v>
      </c>
      <c r="BX34" s="166">
        <f t="shared" si="29"/>
        <v>99.494161099758855</v>
      </c>
      <c r="BY34" s="155">
        <f t="shared" si="30"/>
        <v>31.100924453759639</v>
      </c>
      <c r="BZ34" s="167">
        <f t="shared" si="31"/>
        <v>0.15118504942799826</v>
      </c>
      <c r="CA34" s="159">
        <f t="shared" si="32"/>
        <v>2.8797152271999669</v>
      </c>
      <c r="CB34" s="168">
        <f t="shared" si="33"/>
        <v>2.4135544289271754E-2</v>
      </c>
      <c r="CC34" s="155">
        <f t="shared" si="34"/>
        <v>31.49834569065122</v>
      </c>
      <c r="CD34" s="159">
        <f t="shared" si="35"/>
        <v>0.13314518105951606</v>
      </c>
      <c r="CE34" s="161">
        <f t="shared" si="36"/>
        <v>0.15118504942799826</v>
      </c>
      <c r="CF34" s="162" t="str">
        <f t="shared" si="37"/>
        <v>OK</v>
      </c>
      <c r="DA34" s="113"/>
      <c r="DB34" s="113"/>
      <c r="DC34" s="113"/>
      <c r="DD34" s="114"/>
      <c r="DE34" s="122"/>
      <c r="DF34" s="123"/>
      <c r="DG34" s="123"/>
      <c r="DH34" s="123"/>
      <c r="DI34" s="123"/>
      <c r="DJ34" s="124"/>
      <c r="DK34" s="154"/>
      <c r="DL34" s="155"/>
      <c r="DM34" s="155"/>
      <c r="DN34" s="155"/>
      <c r="DO34" s="155"/>
      <c r="DP34" s="155"/>
      <c r="DQ34" s="155"/>
      <c r="DR34" s="155"/>
      <c r="DS34" s="156"/>
      <c r="DT34" s="157"/>
      <c r="DU34" s="157"/>
      <c r="DV34" s="158"/>
      <c r="DW34" s="158"/>
      <c r="DX34" s="158"/>
      <c r="DY34" s="158"/>
      <c r="DZ34" s="158"/>
      <c r="EA34" s="154"/>
      <c r="EB34" s="154"/>
      <c r="EC34" s="154"/>
      <c r="ED34" s="154"/>
      <c r="EE34" s="154"/>
      <c r="EF34" s="154"/>
      <c r="EG34" s="154"/>
      <c r="EH34" s="154"/>
      <c r="EI34" s="154"/>
      <c r="EJ34" s="154"/>
      <c r="EK34" s="159"/>
      <c r="EL34" s="159"/>
      <c r="EM34" s="159"/>
      <c r="EN34" s="159"/>
      <c r="EO34" s="159"/>
      <c r="EP34" s="159"/>
      <c r="EQ34" s="159"/>
      <c r="ER34" s="159"/>
      <c r="ES34" s="159"/>
      <c r="ET34" s="159"/>
      <c r="EU34" s="159"/>
      <c r="EV34" s="159"/>
      <c r="EW34" s="159"/>
      <c r="EX34" s="159"/>
      <c r="EY34" s="159"/>
      <c r="EZ34" s="159"/>
      <c r="FA34" s="159"/>
      <c r="FB34" s="159"/>
      <c r="FC34" s="159"/>
      <c r="FD34" s="159"/>
      <c r="FE34" s="159"/>
      <c r="FF34" s="159"/>
    </row>
    <row r="35" spans="1:162" ht="12.75" customHeight="1">
      <c r="A35" s="7">
        <v>500</v>
      </c>
      <c r="B35" s="7">
        <v>250</v>
      </c>
      <c r="H35" s="197"/>
      <c r="I35" s="46" t="str">
        <f>"- Cường độ tiêu chuẩn theo giới hạn bền:"</f>
        <v>- Cường độ tiêu chuẩn theo giới hạn bền:</v>
      </c>
      <c r="J35" s="46"/>
      <c r="K35" s="47"/>
      <c r="L35" s="49"/>
      <c r="M35" s="46"/>
      <c r="N35" s="32"/>
      <c r="O35" s="32"/>
      <c r="P35" s="32"/>
      <c r="Q35" s="34" t="s">
        <v>14</v>
      </c>
      <c r="R35" s="35">
        <f>VLOOKUP(R34,Data!$L$39:$N$43,2,FALSE)</f>
        <v>450</v>
      </c>
      <c r="S35" s="199" t="s">
        <v>2</v>
      </c>
      <c r="AA35" s="113" t="s">
        <v>211</v>
      </c>
      <c r="AB35" s="113">
        <v>18</v>
      </c>
      <c r="AC35" s="113" t="s">
        <v>260</v>
      </c>
      <c r="AD35" s="114">
        <v>18</v>
      </c>
      <c r="AE35" s="122">
        <v>1232</v>
      </c>
      <c r="AF35" s="123">
        <v>350</v>
      </c>
      <c r="AG35" s="123">
        <v>12</v>
      </c>
      <c r="AH35" s="123">
        <v>16</v>
      </c>
      <c r="AI35" s="123">
        <v>1200</v>
      </c>
      <c r="AJ35" s="124" t="str" cm="1">
        <f t="array" ref="AJ35">_xll.Dce_Name_SectI(AE35, AE35, AF35, AG35, AH35, "x", "-", "H Tổng")</f>
        <v>1232x350x12x16</v>
      </c>
      <c r="AK35" s="154">
        <f t="shared" si="3"/>
        <v>1382</v>
      </c>
      <c r="AL35" s="155" cm="1">
        <f t="array" ref="AL35">IFERROR(INDEX($A$28:$A$35,IFERROR(MATCH(AF35,$A$28:$A$35,0),MATCH(AF35,$A$28:$A$35,1)+1)),$A$28)</f>
        <v>350</v>
      </c>
      <c r="AM35" s="155">
        <f t="shared" si="4"/>
        <v>25</v>
      </c>
      <c r="AN35" s="155">
        <f t="shared" si="5"/>
        <v>6</v>
      </c>
      <c r="AO35" s="155">
        <f t="shared" si="6"/>
        <v>2</v>
      </c>
      <c r="AP35" s="155">
        <f t="shared" si="7"/>
        <v>6</v>
      </c>
      <c r="AQ35" s="155">
        <f t="shared" si="8"/>
        <v>24</v>
      </c>
      <c r="AR35" s="155" t="str">
        <f t="shared" si="9"/>
        <v>1382x350x25 + 14M24</v>
      </c>
      <c r="AS35" s="156" t="s">
        <v>273</v>
      </c>
      <c r="AT35" s="157">
        <v>44.615512502172848</v>
      </c>
      <c r="AU35" s="157">
        <v>89.005047897103921</v>
      </c>
      <c r="AV35" s="158">
        <v>-0.12214829469304712</v>
      </c>
      <c r="AW35" s="158">
        <v>6.0618099297179654E-3</v>
      </c>
      <c r="AX35" s="158">
        <v>3.82736976547692E-2</v>
      </c>
      <c r="AY35" s="158">
        <v>-478.66053093125288</v>
      </c>
      <c r="AZ35" s="158"/>
      <c r="BA35" s="154">
        <f t="shared" si="10"/>
        <v>60</v>
      </c>
      <c r="BB35" s="154">
        <f t="shared" si="11"/>
        <v>70</v>
      </c>
      <c r="BC35" s="154">
        <f t="shared" si="12"/>
        <v>80</v>
      </c>
      <c r="BD35" s="154">
        <f t="shared" si="13"/>
        <v>140</v>
      </c>
      <c r="BE35" s="154">
        <f>HLOOKUP(AQ35,Data!$H$31:$Q$35,3,FALSE)</f>
        <v>452.38934211693021</v>
      </c>
      <c r="BF35" s="154">
        <f>HLOOKUP(AQ35,Data!$H$31:$Q$35,4,FALSE)</f>
        <v>353</v>
      </c>
      <c r="BG35" s="154">
        <f t="shared" si="14"/>
        <v>180</v>
      </c>
      <c r="BH35" s="154">
        <f t="shared" si="15"/>
        <v>121.65654188208487</v>
      </c>
      <c r="BI35" s="154">
        <f t="shared" si="16"/>
        <v>243</v>
      </c>
      <c r="BJ35" s="154">
        <f t="shared" si="17"/>
        <v>142.3296</v>
      </c>
      <c r="BK35" s="159">
        <f t="shared" si="18"/>
        <v>6.3575034212217085</v>
      </c>
      <c r="BL35" s="160">
        <f t="shared" si="19"/>
        <v>0.82541666666666669</v>
      </c>
      <c r="BM35" s="169">
        <f t="shared" si="20"/>
        <v>6.3310814581643199E-2</v>
      </c>
      <c r="BN35" s="162" t="str">
        <f t="shared" si="21"/>
        <v>OK</v>
      </c>
      <c r="BO35" s="163" cm="1">
        <f t="array" ref="BO35">_xll.DCEBoltDisK(AN35, AO35, AP35, AE35,  BB35, BC35, BD35, "h7")</f>
        <v>1222</v>
      </c>
      <c r="BP35" s="164" cm="1">
        <f t="array" ref="BP35">_xll.DCEBoltDisK(AN35, AO35, AP35, AE35,  BB35, BC35, BD35, "Tong")</f>
        <v>4037428</v>
      </c>
      <c r="BQ35" s="165">
        <f t="shared" si="22"/>
        <v>75.624419821525692</v>
      </c>
      <c r="BR35" s="161">
        <f t="shared" si="23"/>
        <v>0.53133304542080984</v>
      </c>
      <c r="BS35" s="162" t="str">
        <f t="shared" si="24"/>
        <v>OK</v>
      </c>
      <c r="BT35" s="159">
        <f t="shared" si="25"/>
        <v>0.53389669691572461</v>
      </c>
      <c r="BU35" s="162" t="str">
        <f t="shared" si="26"/>
        <v>OK</v>
      </c>
      <c r="BV35" s="166">
        <f t="shared" si="27"/>
        <v>433.13867072559242</v>
      </c>
      <c r="BW35" s="159">
        <f t="shared" si="28"/>
        <v>9.7456200913258293</v>
      </c>
      <c r="BX35" s="166">
        <f t="shared" si="29"/>
        <v>216.56933536279621</v>
      </c>
      <c r="BY35" s="155">
        <f t="shared" si="30"/>
        <v>67.697505699513727</v>
      </c>
      <c r="BZ35" s="167">
        <f t="shared" si="31"/>
        <v>0.32908509715041401</v>
      </c>
      <c r="CA35" s="159">
        <f t="shared" si="32"/>
        <v>6.2682875647697891</v>
      </c>
      <c r="CB35" s="168">
        <f t="shared" si="33"/>
        <v>5.2535935049555227E-2</v>
      </c>
      <c r="CC35" s="155">
        <f t="shared" si="34"/>
        <v>68.562574083238999</v>
      </c>
      <c r="CD35" s="159">
        <f t="shared" si="35"/>
        <v>0.28981764407166249</v>
      </c>
      <c r="CE35" s="161">
        <f t="shared" si="36"/>
        <v>0.32908509715041401</v>
      </c>
      <c r="CF35" s="162" t="str">
        <f t="shared" si="37"/>
        <v>OK</v>
      </c>
      <c r="DA35" s="113"/>
      <c r="DB35" s="113"/>
      <c r="DC35" s="113"/>
      <c r="DD35" s="114"/>
      <c r="DE35" s="122"/>
      <c r="DF35" s="123"/>
      <c r="DG35" s="123"/>
      <c r="DH35" s="123"/>
      <c r="DI35" s="123"/>
      <c r="DJ35" s="124"/>
      <c r="DK35" s="154"/>
      <c r="DL35" s="155"/>
      <c r="DM35" s="155"/>
      <c r="DN35" s="155"/>
      <c r="DO35" s="155"/>
      <c r="DP35" s="155"/>
      <c r="DQ35" s="155"/>
      <c r="DR35" s="155"/>
      <c r="DS35" s="156"/>
      <c r="DT35" s="157"/>
      <c r="DU35" s="157"/>
      <c r="DV35" s="158"/>
      <c r="DW35" s="158"/>
      <c r="DX35" s="158"/>
      <c r="DY35" s="158"/>
      <c r="DZ35" s="158"/>
      <c r="EA35" s="154"/>
      <c r="EB35" s="154"/>
      <c r="EC35" s="154"/>
      <c r="ED35" s="154"/>
      <c r="EE35" s="154"/>
      <c r="EF35" s="154"/>
      <c r="EG35" s="154"/>
      <c r="EH35" s="154"/>
      <c r="EI35" s="154"/>
      <c r="EJ35" s="154"/>
      <c r="EK35" s="159"/>
      <c r="EL35" s="159"/>
      <c r="EM35" s="159"/>
      <c r="EN35" s="159"/>
      <c r="EO35" s="159"/>
      <c r="EP35" s="159"/>
      <c r="EQ35" s="159"/>
      <c r="ER35" s="159"/>
      <c r="ES35" s="159"/>
      <c r="ET35" s="159"/>
      <c r="EU35" s="159"/>
      <c r="EV35" s="159"/>
      <c r="EW35" s="159"/>
      <c r="EX35" s="159"/>
      <c r="EY35" s="159"/>
      <c r="EZ35" s="159"/>
      <c r="FA35" s="159"/>
      <c r="FB35" s="159"/>
      <c r="FC35" s="159"/>
      <c r="FD35" s="159"/>
      <c r="FE35" s="159"/>
      <c r="FF35" s="159"/>
    </row>
    <row r="36" spans="1:162" ht="12.75" customHeight="1">
      <c r="H36" s="197"/>
      <c r="I36" s="46" t="str">
        <f>"- Cường độ tính toán theo kim loại đường hàn:"</f>
        <v>- Cường độ tính toán theo kim loại đường hàn:</v>
      </c>
      <c r="J36" s="46"/>
      <c r="K36" s="47"/>
      <c r="L36" s="49"/>
      <c r="M36" s="46"/>
      <c r="N36" s="32"/>
      <c r="O36" s="36" t="s">
        <v>15</v>
      </c>
      <c r="P36" s="33">
        <v>0.7</v>
      </c>
      <c r="Q36" s="34" t="s">
        <v>16</v>
      </c>
      <c r="R36" s="35">
        <f>VLOOKUP(R34,Data!$L$39:$N$43,3,FALSE)</f>
        <v>200</v>
      </c>
      <c r="S36" s="199" t="s">
        <v>2</v>
      </c>
      <c r="AA36" s="113" t="s">
        <v>211</v>
      </c>
      <c r="AB36" s="113">
        <v>18</v>
      </c>
      <c r="AC36" s="113" t="s">
        <v>260</v>
      </c>
      <c r="AD36" s="114">
        <v>18</v>
      </c>
      <c r="AE36" s="122">
        <v>1232</v>
      </c>
      <c r="AF36" s="123">
        <v>350</v>
      </c>
      <c r="AG36" s="123">
        <v>12</v>
      </c>
      <c r="AH36" s="123">
        <v>16</v>
      </c>
      <c r="AI36" s="123">
        <v>1200</v>
      </c>
      <c r="AJ36" s="124" t="str" cm="1">
        <f t="array" ref="AJ36">_xll.Dce_Name_SectI(AE36, AE36, AF36, AG36, AH36, "x", "-", "H Tổng")</f>
        <v>1232x350x12x16</v>
      </c>
      <c r="AK36" s="154">
        <f t="shared" si="3"/>
        <v>1382</v>
      </c>
      <c r="AL36" s="155" cm="1">
        <f t="array" ref="AL36">IFERROR(INDEX($A$28:$A$35,IFERROR(MATCH(AF36,$A$28:$A$35,0),MATCH(AF36,$A$28:$A$35,1)+1)),$A$28)</f>
        <v>350</v>
      </c>
      <c r="AM36" s="155">
        <f t="shared" si="4"/>
        <v>25</v>
      </c>
      <c r="AN36" s="155">
        <f t="shared" si="5"/>
        <v>6</v>
      </c>
      <c r="AO36" s="155">
        <f t="shared" si="6"/>
        <v>2</v>
      </c>
      <c r="AP36" s="155">
        <f t="shared" si="7"/>
        <v>6</v>
      </c>
      <c r="AQ36" s="155">
        <f t="shared" si="8"/>
        <v>24</v>
      </c>
      <c r="AR36" s="155" t="str">
        <f t="shared" si="9"/>
        <v>1382x350x25 + 14M24</v>
      </c>
      <c r="AS36" s="156" t="s">
        <v>274</v>
      </c>
      <c r="AT36" s="157">
        <v>-44.484535003818472</v>
      </c>
      <c r="AU36" s="157">
        <v>21.243346362655366</v>
      </c>
      <c r="AV36" s="158">
        <v>-0.11890648711848752</v>
      </c>
      <c r="AW36" s="158">
        <v>4.9475564856190212E-3</v>
      </c>
      <c r="AX36" s="158">
        <v>3.93693752824123E-2</v>
      </c>
      <c r="AY36" s="158">
        <v>99.476316244429228</v>
      </c>
      <c r="AZ36" s="158"/>
      <c r="BA36" s="154">
        <f t="shared" si="10"/>
        <v>60</v>
      </c>
      <c r="BB36" s="154">
        <f t="shared" si="11"/>
        <v>70</v>
      </c>
      <c r="BC36" s="154">
        <f t="shared" si="12"/>
        <v>80</v>
      </c>
      <c r="BD36" s="154">
        <f t="shared" si="13"/>
        <v>140</v>
      </c>
      <c r="BE36" s="154">
        <f>HLOOKUP(AQ36,Data!$H$31:$Q$35,3,FALSE)</f>
        <v>452.38934211693021</v>
      </c>
      <c r="BF36" s="154">
        <f>HLOOKUP(AQ36,Data!$H$31:$Q$35,4,FALSE)</f>
        <v>353</v>
      </c>
      <c r="BG36" s="154">
        <f t="shared" si="14"/>
        <v>180</v>
      </c>
      <c r="BH36" s="154">
        <f t="shared" si="15"/>
        <v>121.65654188208487</v>
      </c>
      <c r="BI36" s="154">
        <f t="shared" si="16"/>
        <v>243</v>
      </c>
      <c r="BJ36" s="154">
        <f t="shared" si="17"/>
        <v>142.3296</v>
      </c>
      <c r="BK36" s="159">
        <f t="shared" si="18"/>
        <v>1.5173818830468118</v>
      </c>
      <c r="BL36" s="160">
        <f t="shared" si="19"/>
        <v>0.82541666666666669</v>
      </c>
      <c r="BM36" s="169">
        <f t="shared" si="20"/>
        <v>1.5110756012563871E-2</v>
      </c>
      <c r="BN36" s="162" t="str">
        <f t="shared" si="21"/>
        <v>OK</v>
      </c>
      <c r="BO36" s="163" cm="1">
        <f t="array" ref="BO36">_xll.DCEBoltDisK(AN36, AO36, AP36, AE36,  BB36, BC36, BD36, "h7")</f>
        <v>1222</v>
      </c>
      <c r="BP36" s="164" cm="1">
        <f t="array" ref="BP36">_xll.DCEBoltDisK(AN36, AO36, AP36, AE36,  BB36, BC36, BD36, "Tong")</f>
        <v>4037428</v>
      </c>
      <c r="BQ36" s="165">
        <f t="shared" si="22"/>
        <v>11.876678879358892</v>
      </c>
      <c r="BR36" s="161">
        <f t="shared" si="23"/>
        <v>8.3444897472900167E-2</v>
      </c>
      <c r="BS36" s="162" t="str">
        <f t="shared" si="24"/>
        <v>OK</v>
      </c>
      <c r="BT36" s="159">
        <f t="shared" si="25"/>
        <v>8.4371905322014856E-2</v>
      </c>
      <c r="BU36" s="162" t="str">
        <f t="shared" si="26"/>
        <v>OK</v>
      </c>
      <c r="BV36" s="166">
        <f t="shared" si="27"/>
        <v>36.259228181594857</v>
      </c>
      <c r="BW36" s="159">
        <f t="shared" si="28"/>
        <v>0.81583263408588425</v>
      </c>
      <c r="BX36" s="166">
        <f t="shared" si="29"/>
        <v>18.129614090797428</v>
      </c>
      <c r="BY36" s="155">
        <f t="shared" si="30"/>
        <v>5.6671442020437697</v>
      </c>
      <c r="BZ36" s="167">
        <f t="shared" si="31"/>
        <v>2.7548617648823884E-2</v>
      </c>
      <c r="CA36" s="159">
        <f t="shared" si="32"/>
        <v>0.52473557426331197</v>
      </c>
      <c r="CB36" s="168">
        <f t="shared" si="33"/>
        <v>4.3979274662873371E-3</v>
      </c>
      <c r="CC36" s="155">
        <f t="shared" si="34"/>
        <v>5.7395614532340931</v>
      </c>
      <c r="CD36" s="159">
        <f t="shared" si="35"/>
        <v>2.4261431263670689E-2</v>
      </c>
      <c r="CE36" s="161">
        <f t="shared" si="36"/>
        <v>2.7548617648823884E-2</v>
      </c>
      <c r="CF36" s="162" t="str">
        <f t="shared" si="37"/>
        <v>OK</v>
      </c>
      <c r="DA36" s="113"/>
      <c r="DB36" s="113"/>
      <c r="DC36" s="113"/>
      <c r="DD36" s="114"/>
      <c r="DE36" s="122"/>
      <c r="DF36" s="123"/>
      <c r="DG36" s="123"/>
      <c r="DH36" s="123"/>
      <c r="DI36" s="123"/>
      <c r="DJ36" s="124"/>
      <c r="DK36" s="154"/>
      <c r="DL36" s="155"/>
      <c r="DM36" s="155"/>
      <c r="DN36" s="155"/>
      <c r="DO36" s="155"/>
      <c r="DP36" s="155"/>
      <c r="DQ36" s="155"/>
      <c r="DR36" s="155"/>
      <c r="DS36" s="156"/>
      <c r="DT36" s="157"/>
      <c r="DU36" s="157"/>
      <c r="DV36" s="158"/>
      <c r="DW36" s="158"/>
      <c r="DX36" s="158"/>
      <c r="DY36" s="158"/>
      <c r="DZ36" s="158"/>
      <c r="EA36" s="154"/>
      <c r="EB36" s="154"/>
      <c r="EC36" s="154"/>
      <c r="ED36" s="154"/>
      <c r="EE36" s="154"/>
      <c r="EF36" s="154"/>
      <c r="EG36" s="154"/>
      <c r="EH36" s="154"/>
      <c r="EI36" s="154"/>
      <c r="EJ36" s="154"/>
      <c r="EK36" s="159"/>
      <c r="EL36" s="159"/>
      <c r="EM36" s="159"/>
      <c r="EN36" s="159"/>
      <c r="EO36" s="159"/>
      <c r="EP36" s="159"/>
      <c r="EQ36" s="159"/>
      <c r="ER36" s="159"/>
      <c r="ES36" s="159"/>
      <c r="ET36" s="159"/>
      <c r="EU36" s="159"/>
      <c r="EV36" s="159"/>
      <c r="EW36" s="159"/>
      <c r="EX36" s="159"/>
      <c r="EY36" s="159"/>
      <c r="EZ36" s="159"/>
      <c r="FA36" s="159"/>
      <c r="FB36" s="159"/>
      <c r="FC36" s="159"/>
      <c r="FD36" s="159"/>
      <c r="FE36" s="159"/>
      <c r="FF36" s="159"/>
    </row>
    <row r="37" spans="1:162" ht="12.75" customHeight="1">
      <c r="H37" s="197"/>
      <c r="I37" s="46" t="str">
        <f>"- Cường độ tính toán theo kim loại biên nóng chảy:"</f>
        <v>- Cường độ tính toán theo kim loại biên nóng chảy:</v>
      </c>
      <c r="J37" s="46"/>
      <c r="K37" s="47"/>
      <c r="L37" s="49"/>
      <c r="M37" s="46"/>
      <c r="N37" s="32"/>
      <c r="O37" s="36" t="s">
        <v>17</v>
      </c>
      <c r="P37" s="52">
        <v>1</v>
      </c>
      <c r="Q37" s="34" t="s">
        <v>18</v>
      </c>
      <c r="R37" s="35">
        <f>0.45*R29</f>
        <v>171</v>
      </c>
      <c r="S37" s="199" t="s">
        <v>2</v>
      </c>
      <c r="AA37" s="113" t="s">
        <v>211</v>
      </c>
      <c r="AB37" s="113">
        <v>18</v>
      </c>
      <c r="AC37" s="113" t="s">
        <v>260</v>
      </c>
      <c r="AD37" s="114">
        <v>18</v>
      </c>
      <c r="AE37" s="122">
        <v>1232</v>
      </c>
      <c r="AF37" s="123">
        <v>350</v>
      </c>
      <c r="AG37" s="123">
        <v>12</v>
      </c>
      <c r="AH37" s="123">
        <v>16</v>
      </c>
      <c r="AI37" s="123">
        <v>1200</v>
      </c>
      <c r="AJ37" s="124" t="str" cm="1">
        <f t="array" ref="AJ37">_xll.Dce_Name_SectI(AE37, AE37, AF37, AG37, AH37, "x", "-", "H Tổng")</f>
        <v>1232x350x12x16</v>
      </c>
      <c r="AK37" s="154">
        <f t="shared" si="3"/>
        <v>1382</v>
      </c>
      <c r="AL37" s="155" cm="1">
        <f t="array" ref="AL37">IFERROR(INDEX($A$28:$A$35,IFERROR(MATCH(AF37,$A$28:$A$35,0),MATCH(AF37,$A$28:$A$35,1)+1)),$A$28)</f>
        <v>350</v>
      </c>
      <c r="AM37" s="155">
        <f t="shared" si="4"/>
        <v>25</v>
      </c>
      <c r="AN37" s="155">
        <f t="shared" si="5"/>
        <v>6</v>
      </c>
      <c r="AO37" s="155">
        <f t="shared" si="6"/>
        <v>2</v>
      </c>
      <c r="AP37" s="155">
        <f t="shared" si="7"/>
        <v>6</v>
      </c>
      <c r="AQ37" s="155">
        <f t="shared" si="8"/>
        <v>24</v>
      </c>
      <c r="AR37" s="155" t="str">
        <f t="shared" si="9"/>
        <v>1382x350x25 + 14M24</v>
      </c>
      <c r="AS37" s="156" t="s">
        <v>275</v>
      </c>
      <c r="AT37" s="157">
        <v>108.62930868637162</v>
      </c>
      <c r="AU37" s="157">
        <v>36.128975648181807</v>
      </c>
      <c r="AV37" s="158">
        <v>-3.44679156597575E-2</v>
      </c>
      <c r="AW37" s="158">
        <v>1.2673012847421268E-3</v>
      </c>
      <c r="AX37" s="158">
        <v>-5.0112605404229891E-4</v>
      </c>
      <c r="AY37" s="158">
        <v>-1070.3147772280749</v>
      </c>
      <c r="AZ37" s="158"/>
      <c r="BA37" s="154">
        <f t="shared" si="10"/>
        <v>60</v>
      </c>
      <c r="BB37" s="154">
        <f t="shared" si="11"/>
        <v>70</v>
      </c>
      <c r="BC37" s="154">
        <f t="shared" si="12"/>
        <v>80</v>
      </c>
      <c r="BD37" s="154">
        <f t="shared" si="13"/>
        <v>140</v>
      </c>
      <c r="BE37" s="154">
        <f>HLOOKUP(AQ37,Data!$H$31:$Q$35,3,FALSE)</f>
        <v>452.38934211693021</v>
      </c>
      <c r="BF37" s="154">
        <f>HLOOKUP(AQ37,Data!$H$31:$Q$35,4,FALSE)</f>
        <v>353</v>
      </c>
      <c r="BG37" s="154">
        <f t="shared" si="14"/>
        <v>180</v>
      </c>
      <c r="BH37" s="154">
        <f t="shared" si="15"/>
        <v>121.65654188208487</v>
      </c>
      <c r="BI37" s="154">
        <f t="shared" si="16"/>
        <v>243</v>
      </c>
      <c r="BJ37" s="154">
        <f t="shared" si="17"/>
        <v>142.3296</v>
      </c>
      <c r="BK37" s="159">
        <f t="shared" si="18"/>
        <v>2.5806411177272719</v>
      </c>
      <c r="BL37" s="160">
        <f t="shared" si="19"/>
        <v>0.82541666666666669</v>
      </c>
      <c r="BM37" s="169">
        <f t="shared" si="20"/>
        <v>2.5699159006476617E-2</v>
      </c>
      <c r="BN37" s="162" t="str">
        <f t="shared" si="21"/>
        <v>OK</v>
      </c>
      <c r="BO37" s="163" cm="1">
        <f t="array" ref="BO37">_xll.DCEBoltDisK(AN37, AO37, AP37, AE37,  BB37, BC37, BD37, "h7")</f>
        <v>1222</v>
      </c>
      <c r="BP37" s="164" cm="1">
        <f t="array" ref="BP37">_xll.DCEBoltDisK(AN37, AO37, AP37, AE37,  BB37, BC37, BD37, "Tong")</f>
        <v>4037428</v>
      </c>
      <c r="BQ37" s="165">
        <f t="shared" si="22"/>
        <v>169.73421864683499</v>
      </c>
      <c r="BR37" s="161">
        <f t="shared" si="23"/>
        <v>1.1925433546278146</v>
      </c>
      <c r="BS37" s="162" t="str">
        <f t="shared" si="24"/>
        <v>O/S</v>
      </c>
      <c r="BT37" s="159">
        <f t="shared" si="25"/>
        <v>1.1927319998323547</v>
      </c>
      <c r="BU37" s="162" t="str">
        <f t="shared" si="26"/>
        <v>O/S</v>
      </c>
      <c r="BV37" s="166">
        <f t="shared" si="27"/>
        <v>977.39130318967921</v>
      </c>
      <c r="BW37" s="159">
        <f t="shared" si="28"/>
        <v>21.991304321767782</v>
      </c>
      <c r="BX37" s="166">
        <f t="shared" si="29"/>
        <v>488.6956515948396</v>
      </c>
      <c r="BY37" s="155">
        <f t="shared" si="30"/>
        <v>152.76159297320601</v>
      </c>
      <c r="BZ37" s="167">
        <f t="shared" si="31"/>
        <v>0.74259107695308479</v>
      </c>
      <c r="CA37" s="159">
        <f t="shared" si="32"/>
        <v>14.144591941963519</v>
      </c>
      <c r="CB37" s="168">
        <f t="shared" si="33"/>
        <v>0.11854902250208889</v>
      </c>
      <c r="CC37" s="155">
        <f t="shared" si="34"/>
        <v>154.71364752770015</v>
      </c>
      <c r="CD37" s="159">
        <f t="shared" si="35"/>
        <v>0.65398280959776645</v>
      </c>
      <c r="CE37" s="161">
        <f t="shared" si="36"/>
        <v>0.74259107695308479</v>
      </c>
      <c r="CF37" s="162" t="str">
        <f t="shared" si="37"/>
        <v>OK</v>
      </c>
      <c r="DA37" s="113"/>
      <c r="DB37" s="113"/>
      <c r="DC37" s="113"/>
      <c r="DD37" s="114"/>
      <c r="DE37" s="122"/>
      <c r="DF37" s="123"/>
      <c r="DG37" s="123"/>
      <c r="DH37" s="123"/>
      <c r="DI37" s="123"/>
      <c r="DJ37" s="124"/>
      <c r="DK37" s="154"/>
      <c r="DL37" s="155"/>
      <c r="DM37" s="155"/>
      <c r="DN37" s="155"/>
      <c r="DO37" s="155"/>
      <c r="DP37" s="155"/>
      <c r="DQ37" s="155"/>
      <c r="DR37" s="155"/>
      <c r="DS37" s="156"/>
      <c r="DT37" s="157"/>
      <c r="DU37" s="157"/>
      <c r="DV37" s="158"/>
      <c r="DW37" s="158"/>
      <c r="DX37" s="158"/>
      <c r="DY37" s="158"/>
      <c r="DZ37" s="158"/>
      <c r="EA37" s="154"/>
      <c r="EB37" s="154"/>
      <c r="EC37" s="154"/>
      <c r="ED37" s="154"/>
      <c r="EE37" s="154"/>
      <c r="EF37" s="154"/>
      <c r="EG37" s="154"/>
      <c r="EH37" s="154"/>
      <c r="EI37" s="154"/>
      <c r="EJ37" s="154"/>
      <c r="EK37" s="159"/>
      <c r="EL37" s="159"/>
      <c r="EM37" s="159"/>
      <c r="EN37" s="159"/>
      <c r="EO37" s="159"/>
      <c r="EP37" s="159"/>
      <c r="EQ37" s="159"/>
      <c r="ER37" s="159"/>
      <c r="ES37" s="159"/>
      <c r="ET37" s="159"/>
      <c r="EU37" s="159"/>
      <c r="EV37" s="159"/>
      <c r="EW37" s="159"/>
      <c r="EX37" s="159"/>
      <c r="EY37" s="159"/>
      <c r="EZ37" s="159"/>
      <c r="FA37" s="159"/>
      <c r="FB37" s="159"/>
      <c r="FC37" s="159"/>
      <c r="FD37" s="159"/>
      <c r="FE37" s="159"/>
      <c r="FF37" s="159"/>
    </row>
    <row r="38" spans="1:162" ht="12.75" customHeight="1">
      <c r="H38" s="197"/>
      <c r="I38" s="46" t="str">
        <f>"- Hệ số điều kiện làm việc :"</f>
        <v>- Hệ số điều kiện làm việc :</v>
      </c>
      <c r="J38" s="46"/>
      <c r="K38" s="47"/>
      <c r="L38" s="49"/>
      <c r="M38" s="46"/>
      <c r="N38" s="32"/>
      <c r="O38" s="32"/>
      <c r="P38" s="32"/>
      <c r="Q38" s="36" t="s">
        <v>11</v>
      </c>
      <c r="R38" s="33">
        <v>0.9</v>
      </c>
      <c r="S38" s="199" t="s">
        <v>2</v>
      </c>
      <c r="T38" s="6"/>
      <c r="AA38" s="113" t="s">
        <v>211</v>
      </c>
      <c r="AB38" s="113">
        <v>18</v>
      </c>
      <c r="AC38" s="113" t="s">
        <v>260</v>
      </c>
      <c r="AD38" s="114">
        <v>18</v>
      </c>
      <c r="AE38" s="122">
        <v>1232</v>
      </c>
      <c r="AF38" s="123">
        <v>350</v>
      </c>
      <c r="AG38" s="123">
        <v>12</v>
      </c>
      <c r="AH38" s="123">
        <v>16</v>
      </c>
      <c r="AI38" s="123">
        <v>1200</v>
      </c>
      <c r="AJ38" s="124" t="str" cm="1">
        <f t="array" ref="AJ38">_xll.Dce_Name_SectI(AE38, AE38, AF38, AG38, AH38, "x", "-", "H Tổng")</f>
        <v>1232x350x12x16</v>
      </c>
      <c r="AK38" s="154">
        <f t="shared" si="3"/>
        <v>1382</v>
      </c>
      <c r="AL38" s="155" cm="1">
        <f t="array" ref="AL38">IFERROR(INDEX($A$28:$A$35,IFERROR(MATCH(AF38,$A$28:$A$35,0),MATCH(AF38,$A$28:$A$35,1)+1)),$A$28)</f>
        <v>350</v>
      </c>
      <c r="AM38" s="155">
        <f t="shared" si="4"/>
        <v>25</v>
      </c>
      <c r="AN38" s="155">
        <f t="shared" si="5"/>
        <v>6</v>
      </c>
      <c r="AO38" s="155">
        <f t="shared" si="6"/>
        <v>2</v>
      </c>
      <c r="AP38" s="155">
        <f t="shared" si="7"/>
        <v>6</v>
      </c>
      <c r="AQ38" s="155">
        <f t="shared" si="8"/>
        <v>24</v>
      </c>
      <c r="AR38" s="155" t="str">
        <f t="shared" si="9"/>
        <v>1382x350x25 + 14M24</v>
      </c>
      <c r="AS38" s="156" t="s">
        <v>276</v>
      </c>
      <c r="AT38" s="157">
        <v>19.529175627815178</v>
      </c>
      <c r="AU38" s="157">
        <v>-31.632960629853116</v>
      </c>
      <c r="AV38" s="158">
        <v>-1.1676530718683907E-2</v>
      </c>
      <c r="AW38" s="158">
        <v>3.2331999312072202E-4</v>
      </c>
      <c r="AX38" s="158">
        <v>4.7238456568040867E-4</v>
      </c>
      <c r="AY38" s="158">
        <v>-492.17631848622318</v>
      </c>
      <c r="AZ38" s="158"/>
      <c r="BA38" s="154">
        <f t="shared" si="10"/>
        <v>60</v>
      </c>
      <c r="BB38" s="154">
        <f t="shared" si="11"/>
        <v>70</v>
      </c>
      <c r="BC38" s="154">
        <f t="shared" si="12"/>
        <v>80</v>
      </c>
      <c r="BD38" s="154">
        <f t="shared" si="13"/>
        <v>140</v>
      </c>
      <c r="BE38" s="154">
        <f>HLOOKUP(AQ38,Data!$H$31:$Q$35,3,FALSE)</f>
        <v>452.38934211693021</v>
      </c>
      <c r="BF38" s="154">
        <f>HLOOKUP(AQ38,Data!$H$31:$Q$35,4,FALSE)</f>
        <v>353</v>
      </c>
      <c r="BG38" s="154">
        <f t="shared" si="14"/>
        <v>180</v>
      </c>
      <c r="BH38" s="154">
        <f t="shared" si="15"/>
        <v>121.65654188208487</v>
      </c>
      <c r="BI38" s="154">
        <f t="shared" si="16"/>
        <v>243</v>
      </c>
      <c r="BJ38" s="154">
        <f t="shared" si="17"/>
        <v>142.3296</v>
      </c>
      <c r="BK38" s="159">
        <f t="shared" si="18"/>
        <v>2.2594971878466512</v>
      </c>
      <c r="BL38" s="160">
        <f t="shared" si="19"/>
        <v>0.82541666666666669</v>
      </c>
      <c r="BM38" s="169">
        <f t="shared" si="20"/>
        <v>2.2501066539735156E-2</v>
      </c>
      <c r="BN38" s="162" t="str">
        <f t="shared" si="21"/>
        <v>OK</v>
      </c>
      <c r="BO38" s="163" cm="1">
        <f t="array" ref="BO38">_xll.DCEBoltDisK(AN38, AO38, AP38, AE38,  BB38, BC38, BD38, "h7")</f>
        <v>1222</v>
      </c>
      <c r="BP38" s="164" cm="1">
        <f t="array" ref="BP38">_xll.DCEBoltDisK(AN38, AO38, AP38, AE38,  BB38, BC38, BD38, "Tong")</f>
        <v>4037428</v>
      </c>
      <c r="BQ38" s="165">
        <f t="shared" si="22"/>
        <v>75.877936378375608</v>
      </c>
      <c r="BR38" s="161">
        <f t="shared" si="23"/>
        <v>0.53311423891007637</v>
      </c>
      <c r="BS38" s="162" t="str">
        <f t="shared" si="24"/>
        <v>OK</v>
      </c>
      <c r="BT38" s="159">
        <f t="shared" si="25"/>
        <v>0.53343766174650376</v>
      </c>
      <c r="BU38" s="162" t="str">
        <f t="shared" si="26"/>
        <v>OK</v>
      </c>
      <c r="BV38" s="166">
        <f t="shared" si="27"/>
        <v>419.02294063286644</v>
      </c>
      <c r="BW38" s="159">
        <f t="shared" si="28"/>
        <v>9.4280161642394944</v>
      </c>
      <c r="BX38" s="166">
        <f t="shared" si="29"/>
        <v>209.51147031643322</v>
      </c>
      <c r="BY38" s="155">
        <f t="shared" si="30"/>
        <v>65.491284498335133</v>
      </c>
      <c r="BZ38" s="167">
        <f t="shared" si="31"/>
        <v>0.3183604107557958</v>
      </c>
      <c r="CA38" s="159">
        <f t="shared" si="32"/>
        <v>6.06400782391992</v>
      </c>
      <c r="CB38" s="168">
        <f t="shared" si="33"/>
        <v>5.082382036331351E-2</v>
      </c>
      <c r="CC38" s="155">
        <f t="shared" si="34"/>
        <v>66.328160821083813</v>
      </c>
      <c r="CD38" s="159">
        <f t="shared" si="35"/>
        <v>0.28037266047559589</v>
      </c>
      <c r="CE38" s="161">
        <f t="shared" si="36"/>
        <v>0.3183604107557958</v>
      </c>
      <c r="CF38" s="162" t="str">
        <f t="shared" si="37"/>
        <v>OK</v>
      </c>
      <c r="DA38" s="113"/>
      <c r="DB38" s="113"/>
      <c r="DC38" s="113"/>
      <c r="DD38" s="114"/>
      <c r="DE38" s="122"/>
      <c r="DF38" s="123"/>
      <c r="DG38" s="123"/>
      <c r="DH38" s="123"/>
      <c r="DI38" s="123"/>
      <c r="DJ38" s="124"/>
      <c r="DK38" s="154"/>
      <c r="DL38" s="155"/>
      <c r="DM38" s="155"/>
      <c r="DN38" s="155"/>
      <c r="DO38" s="155"/>
      <c r="DP38" s="155"/>
      <c r="DQ38" s="155"/>
      <c r="DR38" s="155"/>
      <c r="DS38" s="156"/>
      <c r="DT38" s="157"/>
      <c r="DU38" s="157"/>
      <c r="DV38" s="158"/>
      <c r="DW38" s="158"/>
      <c r="DX38" s="158"/>
      <c r="DY38" s="158"/>
      <c r="DZ38" s="158"/>
      <c r="EA38" s="154"/>
      <c r="EB38" s="154"/>
      <c r="EC38" s="154"/>
      <c r="ED38" s="154"/>
      <c r="EE38" s="154"/>
      <c r="EF38" s="154"/>
      <c r="EG38" s="154"/>
      <c r="EH38" s="154"/>
      <c r="EI38" s="154"/>
      <c r="EJ38" s="154"/>
      <c r="EK38" s="159"/>
      <c r="EL38" s="159"/>
      <c r="EM38" s="159"/>
      <c r="EN38" s="159"/>
      <c r="EO38" s="159"/>
      <c r="EP38" s="159"/>
      <c r="EQ38" s="159"/>
      <c r="ER38" s="159"/>
      <c r="ES38" s="159"/>
      <c r="ET38" s="159"/>
      <c r="EU38" s="159"/>
      <c r="EV38" s="159"/>
      <c r="EW38" s="159"/>
      <c r="EX38" s="159"/>
      <c r="EY38" s="159"/>
      <c r="EZ38" s="159"/>
      <c r="FA38" s="159"/>
      <c r="FB38" s="159"/>
      <c r="FC38" s="159"/>
      <c r="FD38" s="159"/>
      <c r="FE38" s="159"/>
      <c r="FF38" s="159"/>
    </row>
    <row r="39" spans="1:162" ht="12.75" customHeight="1">
      <c r="H39" s="197"/>
      <c r="I39" s="46" t="str">
        <f>"- Cường độ tính toán của đường hàn:"</f>
        <v>- Cường độ tính toán của đường hàn:</v>
      </c>
      <c r="J39" s="46"/>
      <c r="K39" s="47"/>
      <c r="L39" s="49"/>
      <c r="M39" s="46"/>
      <c r="N39" s="32"/>
      <c r="O39" s="36"/>
      <c r="P39" s="33"/>
      <c r="Q39" s="34" t="s">
        <v>137</v>
      </c>
      <c r="R39" s="52">
        <f>MIN(P36*R36,P37*R37)*R38</f>
        <v>126</v>
      </c>
      <c r="S39" s="199" t="s">
        <v>2</v>
      </c>
      <c r="AA39" s="113" t="s">
        <v>211</v>
      </c>
      <c r="AB39" s="113">
        <v>18</v>
      </c>
      <c r="AC39" s="113" t="s">
        <v>260</v>
      </c>
      <c r="AD39" s="114">
        <v>18</v>
      </c>
      <c r="AE39" s="122">
        <v>1232</v>
      </c>
      <c r="AF39" s="123">
        <v>350</v>
      </c>
      <c r="AG39" s="123">
        <v>12</v>
      </c>
      <c r="AH39" s="123">
        <v>16</v>
      </c>
      <c r="AI39" s="123">
        <v>1200</v>
      </c>
      <c r="AJ39" s="124" t="str" cm="1">
        <f t="array" ref="AJ39">_xll.Dce_Name_SectI(AE39, AE39, AF39, AG39, AH39, "x", "-", "H Tổng")</f>
        <v>1232x350x12x16</v>
      </c>
      <c r="AK39" s="154">
        <f t="shared" si="3"/>
        <v>1382</v>
      </c>
      <c r="AL39" s="155" cm="1">
        <f t="array" ref="AL39">IFERROR(INDEX($A$28:$A$35,IFERROR(MATCH(AF39,$A$28:$A$35,0),MATCH(AF39,$A$28:$A$35,1)+1)),$A$28)</f>
        <v>350</v>
      </c>
      <c r="AM39" s="155">
        <f t="shared" si="4"/>
        <v>25</v>
      </c>
      <c r="AN39" s="155">
        <f t="shared" si="5"/>
        <v>6</v>
      </c>
      <c r="AO39" s="155">
        <f t="shared" si="6"/>
        <v>2</v>
      </c>
      <c r="AP39" s="155">
        <f t="shared" si="7"/>
        <v>6</v>
      </c>
      <c r="AQ39" s="155">
        <f t="shared" si="8"/>
        <v>24</v>
      </c>
      <c r="AR39" s="155" t="str">
        <f t="shared" si="9"/>
        <v>1382x350x25 + 14M24</v>
      </c>
      <c r="AS39" s="156" t="s">
        <v>277</v>
      </c>
      <c r="AT39" s="157">
        <v>11.593681599251276</v>
      </c>
      <c r="AU39" s="157">
        <v>37.125470948706933</v>
      </c>
      <c r="AV39" s="158">
        <v>-8.0832356312272782E-3</v>
      </c>
      <c r="AW39" s="158">
        <v>4.5970039971981102E-4</v>
      </c>
      <c r="AX39" s="158">
        <v>-7.4608152198762554E-4</v>
      </c>
      <c r="AY39" s="158">
        <v>189.230538149035</v>
      </c>
      <c r="AZ39" s="158"/>
      <c r="BA39" s="154">
        <f t="shared" si="10"/>
        <v>60</v>
      </c>
      <c r="BB39" s="154">
        <f t="shared" si="11"/>
        <v>70</v>
      </c>
      <c r="BC39" s="154">
        <f t="shared" si="12"/>
        <v>80</v>
      </c>
      <c r="BD39" s="154">
        <f t="shared" si="13"/>
        <v>140</v>
      </c>
      <c r="BE39" s="154">
        <f>HLOOKUP(AQ39,Data!$H$31:$Q$35,3,FALSE)</f>
        <v>452.38934211693021</v>
      </c>
      <c r="BF39" s="154">
        <f>HLOOKUP(AQ39,Data!$H$31:$Q$35,4,FALSE)</f>
        <v>353</v>
      </c>
      <c r="BG39" s="154">
        <f t="shared" si="14"/>
        <v>180</v>
      </c>
      <c r="BH39" s="154">
        <f t="shared" si="15"/>
        <v>121.65654188208487</v>
      </c>
      <c r="BI39" s="154">
        <f t="shared" si="16"/>
        <v>243</v>
      </c>
      <c r="BJ39" s="154">
        <f t="shared" si="17"/>
        <v>142.3296</v>
      </c>
      <c r="BK39" s="159">
        <f t="shared" si="18"/>
        <v>2.6518193534790666</v>
      </c>
      <c r="BL39" s="160">
        <f t="shared" si="19"/>
        <v>0.82541666666666669</v>
      </c>
      <c r="BM39" s="169">
        <f t="shared" si="20"/>
        <v>2.6407983176494034E-2</v>
      </c>
      <c r="BN39" s="162" t="str">
        <f t="shared" si="21"/>
        <v>OK</v>
      </c>
      <c r="BO39" s="163" cm="1">
        <f t="array" ref="BO39">_xll.DCEBoltDisK(AN39, AO39, AP39, AE39,  BB39, BC39, BD39, "h7")</f>
        <v>1222</v>
      </c>
      <c r="BP39" s="164" cm="1">
        <f t="array" ref="BP39">_xll.DCEBoltDisK(AN39, AO39, AP39, AE39,  BB39, BC39, BD39, "Tong")</f>
        <v>4037428</v>
      </c>
      <c r="BQ39" s="165">
        <f t="shared" si="22"/>
        <v>29.465128330616622</v>
      </c>
      <c r="BR39" s="161">
        <f t="shared" si="23"/>
        <v>0.20702038318534319</v>
      </c>
      <c r="BS39" s="162" t="str">
        <f t="shared" si="24"/>
        <v>OK</v>
      </c>
      <c r="BT39" s="159">
        <f t="shared" si="25"/>
        <v>0.20816477598264144</v>
      </c>
      <c r="BU39" s="162" t="str">
        <f t="shared" si="26"/>
        <v>OK</v>
      </c>
      <c r="BV39" s="166">
        <f t="shared" si="27"/>
        <v>165.18989762931216</v>
      </c>
      <c r="BW39" s="159">
        <f t="shared" si="28"/>
        <v>3.7167726966595236</v>
      </c>
      <c r="BX39" s="166">
        <f t="shared" si="29"/>
        <v>82.594948814656078</v>
      </c>
      <c r="BY39" s="155">
        <f t="shared" si="30"/>
        <v>25.818392104147197</v>
      </c>
      <c r="BZ39" s="167">
        <f t="shared" si="31"/>
        <v>0.12550607272849332</v>
      </c>
      <c r="CA39" s="159">
        <f t="shared" si="32"/>
        <v>2.3905918614951109</v>
      </c>
      <c r="CB39" s="168">
        <f t="shared" si="33"/>
        <v>2.0036090793182207E-2</v>
      </c>
      <c r="CC39" s="155">
        <f t="shared" si="34"/>
        <v>26.14831082858375</v>
      </c>
      <c r="CD39" s="159">
        <f t="shared" si="35"/>
        <v>0.11053029939618737</v>
      </c>
      <c r="CE39" s="161">
        <f t="shared" si="36"/>
        <v>0.12550607272849332</v>
      </c>
      <c r="CF39" s="162" t="str">
        <f t="shared" si="37"/>
        <v>OK</v>
      </c>
      <c r="DA39" s="113"/>
      <c r="DB39" s="113"/>
      <c r="DC39" s="113"/>
      <c r="DD39" s="114"/>
      <c r="DE39" s="122"/>
      <c r="DF39" s="123"/>
      <c r="DG39" s="123"/>
      <c r="DH39" s="123"/>
      <c r="DI39" s="123"/>
      <c r="DJ39" s="124"/>
      <c r="DK39" s="154"/>
      <c r="DL39" s="155"/>
      <c r="DM39" s="155"/>
      <c r="DN39" s="155"/>
      <c r="DO39" s="155"/>
      <c r="DP39" s="155"/>
      <c r="DQ39" s="155"/>
      <c r="DR39" s="155"/>
      <c r="DS39" s="156"/>
      <c r="DT39" s="157"/>
      <c r="DU39" s="157"/>
      <c r="DV39" s="158"/>
      <c r="DW39" s="158"/>
      <c r="DX39" s="158"/>
      <c r="DY39" s="158"/>
      <c r="DZ39" s="158"/>
      <c r="EA39" s="154"/>
      <c r="EB39" s="154"/>
      <c r="EC39" s="154"/>
      <c r="ED39" s="154"/>
      <c r="EE39" s="154"/>
      <c r="EF39" s="154"/>
      <c r="EG39" s="154"/>
      <c r="EH39" s="154"/>
      <c r="EI39" s="154"/>
      <c r="EJ39" s="154"/>
      <c r="EK39" s="159"/>
      <c r="EL39" s="159"/>
      <c r="EM39" s="159"/>
      <c r="EN39" s="159"/>
      <c r="EO39" s="159"/>
      <c r="EP39" s="159"/>
      <c r="EQ39" s="159"/>
      <c r="ER39" s="159"/>
      <c r="ES39" s="159"/>
      <c r="ET39" s="159"/>
      <c r="EU39" s="159"/>
      <c r="EV39" s="159"/>
      <c r="EW39" s="159"/>
      <c r="EX39" s="159"/>
      <c r="EY39" s="159"/>
      <c r="EZ39" s="159"/>
      <c r="FA39" s="159"/>
      <c r="FB39" s="159"/>
      <c r="FC39" s="159"/>
      <c r="FD39" s="159"/>
      <c r="FE39" s="159"/>
      <c r="FF39" s="159"/>
    </row>
    <row r="40" spans="1:162" ht="12.75" customHeight="1">
      <c r="H40" s="196" t="s">
        <v>42</v>
      </c>
      <c r="I40" s="46"/>
      <c r="J40" s="46"/>
      <c r="K40" s="46"/>
      <c r="L40" s="46"/>
      <c r="M40" s="46"/>
      <c r="N40" s="46"/>
      <c r="O40" s="48"/>
      <c r="P40" s="46"/>
      <c r="Q40" s="32"/>
      <c r="R40" s="32"/>
      <c r="S40" s="194"/>
      <c r="AA40" s="113" t="s">
        <v>211</v>
      </c>
      <c r="AB40" s="113">
        <v>18</v>
      </c>
      <c r="AC40" s="113" t="s">
        <v>260</v>
      </c>
      <c r="AD40" s="114">
        <v>18</v>
      </c>
      <c r="AE40" s="122">
        <v>1232</v>
      </c>
      <c r="AF40" s="123">
        <v>350</v>
      </c>
      <c r="AG40" s="123">
        <v>12</v>
      </c>
      <c r="AH40" s="123">
        <v>16</v>
      </c>
      <c r="AI40" s="123">
        <v>1200</v>
      </c>
      <c r="AJ40" s="124" t="str" cm="1">
        <f t="array" ref="AJ40">_xll.Dce_Name_SectI(AE40, AE40, AF40, AG40, AH40, "x", "-", "H Tổng")</f>
        <v>1232x350x12x16</v>
      </c>
      <c r="AK40" s="154">
        <f t="shared" si="3"/>
        <v>1382</v>
      </c>
      <c r="AL40" s="155" cm="1">
        <f t="array" ref="AL40">IFERROR(INDEX($A$28:$A$35,IFERROR(MATCH(AF40,$A$28:$A$35,0),MATCH(AF40,$A$28:$A$35,1)+1)),$A$28)</f>
        <v>350</v>
      </c>
      <c r="AM40" s="155">
        <f t="shared" si="4"/>
        <v>25</v>
      </c>
      <c r="AN40" s="155">
        <f t="shared" si="5"/>
        <v>6</v>
      </c>
      <c r="AO40" s="155">
        <f t="shared" si="6"/>
        <v>2</v>
      </c>
      <c r="AP40" s="155">
        <f t="shared" si="7"/>
        <v>6</v>
      </c>
      <c r="AQ40" s="155">
        <f t="shared" si="8"/>
        <v>24</v>
      </c>
      <c r="AR40" s="155" t="str">
        <f t="shared" si="9"/>
        <v>1382x350x25 + 14M24</v>
      </c>
      <c r="AS40" s="156" t="s">
        <v>278</v>
      </c>
      <c r="AT40" s="157">
        <v>-77.506786625600313</v>
      </c>
      <c r="AU40" s="157">
        <v>-30.636473820710673</v>
      </c>
      <c r="AV40" s="158">
        <v>8.8383804613043036E-3</v>
      </c>
      <c r="AW40" s="158">
        <v>-4.6040581590898154E-4</v>
      </c>
      <c r="AX40" s="158">
        <v>2.4231733574004962E-4</v>
      </c>
      <c r="AY40" s="158">
        <v>767.37656974133574</v>
      </c>
      <c r="AZ40" s="158"/>
      <c r="BA40" s="154">
        <f t="shared" si="10"/>
        <v>60</v>
      </c>
      <c r="BB40" s="154">
        <f t="shared" si="11"/>
        <v>70</v>
      </c>
      <c r="BC40" s="154">
        <f t="shared" si="12"/>
        <v>80</v>
      </c>
      <c r="BD40" s="154">
        <f t="shared" si="13"/>
        <v>140</v>
      </c>
      <c r="BE40" s="154">
        <f>HLOOKUP(AQ40,Data!$H$31:$Q$35,3,FALSE)</f>
        <v>452.38934211693021</v>
      </c>
      <c r="BF40" s="154">
        <f>HLOOKUP(AQ40,Data!$H$31:$Q$35,4,FALSE)</f>
        <v>353</v>
      </c>
      <c r="BG40" s="154">
        <f t="shared" si="14"/>
        <v>180</v>
      </c>
      <c r="BH40" s="154">
        <f t="shared" si="15"/>
        <v>121.65654188208487</v>
      </c>
      <c r="BI40" s="154">
        <f t="shared" si="16"/>
        <v>243</v>
      </c>
      <c r="BJ40" s="154">
        <f t="shared" si="17"/>
        <v>142.3296</v>
      </c>
      <c r="BK40" s="159">
        <f t="shared" si="18"/>
        <v>2.1883195586221911</v>
      </c>
      <c r="BL40" s="160">
        <f t="shared" si="19"/>
        <v>0.82541666666666669</v>
      </c>
      <c r="BM40" s="169">
        <f t="shared" si="20"/>
        <v>2.1792248409783641E-2</v>
      </c>
      <c r="BN40" s="162" t="str">
        <f t="shared" si="21"/>
        <v>OK</v>
      </c>
      <c r="BO40" s="163" cm="1">
        <f t="array" ref="BO40">_xll.DCEBoltDisK(AN40, AO40, AP40, AE40,  BB40, BC40, BD40, "h7")</f>
        <v>1222</v>
      </c>
      <c r="BP40" s="164" cm="1">
        <f t="array" ref="BP40">_xll.DCEBoltDisK(AN40, AO40, AP40, AE40,  BB40, BC40, BD40, "Tong")</f>
        <v>4037428</v>
      </c>
      <c r="BQ40" s="165">
        <f t="shared" si="22"/>
        <v>110.59394225119772</v>
      </c>
      <c r="BR40" s="161">
        <f t="shared" si="23"/>
        <v>0.77702700106792766</v>
      </c>
      <c r="BS40" s="162" t="str">
        <f t="shared" si="24"/>
        <v>OK</v>
      </c>
      <c r="BT40" s="159">
        <f t="shared" si="25"/>
        <v>0.77723517496429106</v>
      </c>
      <c r="BU40" s="162" t="str">
        <f t="shared" si="26"/>
        <v>OK</v>
      </c>
      <c r="BV40" s="166">
        <f t="shared" si="27"/>
        <v>545.36380569691255</v>
      </c>
      <c r="BW40" s="159">
        <f t="shared" si="28"/>
        <v>12.270685628180532</v>
      </c>
      <c r="BX40" s="166">
        <f t="shared" si="29"/>
        <v>272.68190284845628</v>
      </c>
      <c r="BY40" s="155">
        <f t="shared" si="30"/>
        <v>85.237758343366949</v>
      </c>
      <c r="BZ40" s="167">
        <f t="shared" si="31"/>
        <v>0.41435021416914491</v>
      </c>
      <c r="CA40" s="159">
        <f t="shared" si="32"/>
        <v>7.8923850317932356</v>
      </c>
      <c r="CB40" s="168">
        <f t="shared" si="33"/>
        <v>6.6147863053822628E-2</v>
      </c>
      <c r="CC40" s="155">
        <f t="shared" si="34"/>
        <v>86.326963759143311</v>
      </c>
      <c r="CD40" s="159">
        <f t="shared" si="35"/>
        <v>0.36490866323309379</v>
      </c>
      <c r="CE40" s="161">
        <f t="shared" si="36"/>
        <v>0.41435021416914491</v>
      </c>
      <c r="CF40" s="162" t="str">
        <f t="shared" si="37"/>
        <v>OK</v>
      </c>
      <c r="DA40" s="113"/>
      <c r="DB40" s="113"/>
      <c r="DC40" s="113"/>
      <c r="DD40" s="114"/>
      <c r="DE40" s="122"/>
      <c r="DF40" s="123"/>
      <c r="DG40" s="123"/>
      <c r="DH40" s="123"/>
      <c r="DI40" s="123"/>
      <c r="DJ40" s="124"/>
      <c r="DK40" s="154"/>
      <c r="DL40" s="155"/>
      <c r="DM40" s="155"/>
      <c r="DN40" s="155"/>
      <c r="DO40" s="155"/>
      <c r="DP40" s="155"/>
      <c r="DQ40" s="155"/>
      <c r="DR40" s="155"/>
      <c r="DS40" s="156"/>
      <c r="DT40" s="157"/>
      <c r="DU40" s="157"/>
      <c r="DV40" s="158"/>
      <c r="DW40" s="158"/>
      <c r="DX40" s="158"/>
      <c r="DY40" s="158"/>
      <c r="DZ40" s="158"/>
      <c r="EA40" s="154"/>
      <c r="EB40" s="154"/>
      <c r="EC40" s="154"/>
      <c r="ED40" s="154"/>
      <c r="EE40" s="154"/>
      <c r="EF40" s="154"/>
      <c r="EG40" s="154"/>
      <c r="EH40" s="154"/>
      <c r="EI40" s="154"/>
      <c r="EJ40" s="154"/>
      <c r="EK40" s="159"/>
      <c r="EL40" s="159"/>
      <c r="EM40" s="159"/>
      <c r="EN40" s="159"/>
      <c r="EO40" s="159"/>
      <c r="EP40" s="159"/>
      <c r="EQ40" s="159"/>
      <c r="ER40" s="159"/>
      <c r="ES40" s="159"/>
      <c r="ET40" s="159"/>
      <c r="EU40" s="159"/>
      <c r="EV40" s="159"/>
      <c r="EW40" s="159"/>
      <c r="EX40" s="159"/>
      <c r="EY40" s="159"/>
      <c r="EZ40" s="159"/>
      <c r="FA40" s="159"/>
      <c r="FB40" s="159"/>
      <c r="FC40" s="159"/>
      <c r="FD40" s="159"/>
      <c r="FE40" s="159"/>
      <c r="FF40" s="159"/>
    </row>
    <row r="41" spans="1:162" ht="12.75" customHeight="1">
      <c r="H41" s="196"/>
      <c r="I41" s="46"/>
      <c r="J41" s="46"/>
      <c r="K41" s="46"/>
      <c r="L41" s="46"/>
      <c r="M41" s="46"/>
      <c r="N41" s="46"/>
      <c r="O41" s="54"/>
      <c r="P41" s="46"/>
      <c r="Q41" s="32"/>
      <c r="R41" s="32"/>
      <c r="S41" s="194"/>
      <c r="AA41" s="113" t="s">
        <v>211</v>
      </c>
      <c r="AB41" s="113">
        <v>18</v>
      </c>
      <c r="AC41" s="113" t="s">
        <v>260</v>
      </c>
      <c r="AD41" s="114">
        <v>18</v>
      </c>
      <c r="AE41" s="122">
        <v>1232</v>
      </c>
      <c r="AF41" s="123">
        <v>350</v>
      </c>
      <c r="AG41" s="123">
        <v>12</v>
      </c>
      <c r="AH41" s="123">
        <v>16</v>
      </c>
      <c r="AI41" s="123">
        <v>1200</v>
      </c>
      <c r="AJ41" s="124" t="str" cm="1">
        <f t="array" ref="AJ41">_xll.Dce_Name_SectI(AE41, AE41, AF41, AG41, AH41, "x", "-", "H Tổng")</f>
        <v>1232x350x12x16</v>
      </c>
      <c r="AK41" s="154">
        <f t="shared" si="3"/>
        <v>1382</v>
      </c>
      <c r="AL41" s="155" cm="1">
        <f t="array" ref="AL41">IFERROR(INDEX($A$28:$A$35,IFERROR(MATCH(AF41,$A$28:$A$35,0),MATCH(AF41,$A$28:$A$35,1)+1)),$A$28)</f>
        <v>350</v>
      </c>
      <c r="AM41" s="155">
        <f t="shared" si="4"/>
        <v>25</v>
      </c>
      <c r="AN41" s="155">
        <f t="shared" si="5"/>
        <v>6</v>
      </c>
      <c r="AO41" s="155">
        <f t="shared" si="6"/>
        <v>2</v>
      </c>
      <c r="AP41" s="155">
        <f t="shared" si="7"/>
        <v>6</v>
      </c>
      <c r="AQ41" s="155">
        <f t="shared" si="8"/>
        <v>24</v>
      </c>
      <c r="AR41" s="155" t="str">
        <f t="shared" si="9"/>
        <v>1382x350x25 + 14M24</v>
      </c>
      <c r="AS41" s="156" t="s">
        <v>279</v>
      </c>
      <c r="AT41" s="157">
        <v>123.73681910039186</v>
      </c>
      <c r="AU41" s="157">
        <v>98.613537237650306</v>
      </c>
      <c r="AV41" s="158">
        <v>0.14461989588141833</v>
      </c>
      <c r="AW41" s="158">
        <v>-4.1572362924432414E-3</v>
      </c>
      <c r="AX41" s="158">
        <v>-4.0064365452054142E-2</v>
      </c>
      <c r="AY41" s="158">
        <v>-653.05984984708016</v>
      </c>
      <c r="AZ41" s="158"/>
      <c r="BA41" s="154">
        <f t="shared" si="10"/>
        <v>60</v>
      </c>
      <c r="BB41" s="154">
        <f t="shared" si="11"/>
        <v>70</v>
      </c>
      <c r="BC41" s="154">
        <f t="shared" si="12"/>
        <v>80</v>
      </c>
      <c r="BD41" s="154">
        <f t="shared" si="13"/>
        <v>140</v>
      </c>
      <c r="BE41" s="154">
        <f>HLOOKUP(AQ41,Data!$H$31:$Q$35,3,FALSE)</f>
        <v>452.38934211693021</v>
      </c>
      <c r="BF41" s="154">
        <f>HLOOKUP(AQ41,Data!$H$31:$Q$35,4,FALSE)</f>
        <v>353</v>
      </c>
      <c r="BG41" s="154">
        <f t="shared" si="14"/>
        <v>180</v>
      </c>
      <c r="BH41" s="154">
        <f t="shared" si="15"/>
        <v>121.65654188208487</v>
      </c>
      <c r="BI41" s="154">
        <f t="shared" si="16"/>
        <v>243</v>
      </c>
      <c r="BJ41" s="154">
        <f t="shared" si="17"/>
        <v>142.3296</v>
      </c>
      <c r="BK41" s="159">
        <f t="shared" si="18"/>
        <v>7.0438240884035936</v>
      </c>
      <c r="BL41" s="160">
        <f t="shared" si="19"/>
        <v>0.82541666666666669</v>
      </c>
      <c r="BM41" s="169">
        <f t="shared" si="20"/>
        <v>7.0145497573469578E-2</v>
      </c>
      <c r="BN41" s="162" t="str">
        <f t="shared" si="21"/>
        <v>OK</v>
      </c>
      <c r="BO41" s="163" cm="1">
        <f t="array" ref="BO41">_xll.DCEBoltDisK(AN41, AO41, AP41, AE41,  BB41, BC41, BD41, "h7")</f>
        <v>1222</v>
      </c>
      <c r="BP41" s="164" cm="1">
        <f t="array" ref="BP41">_xll.DCEBoltDisK(AN41, AO41, AP41, AE41,  BB41, BC41, BD41, "Tong")</f>
        <v>4037428</v>
      </c>
      <c r="BQ41" s="165">
        <f t="shared" si="22"/>
        <v>107.66848268004108</v>
      </c>
      <c r="BR41" s="161">
        <f t="shared" si="23"/>
        <v>0.75647288181826611</v>
      </c>
      <c r="BS41" s="162" t="str">
        <f t="shared" si="24"/>
        <v>OK</v>
      </c>
      <c r="BT41" s="159">
        <f t="shared" si="25"/>
        <v>0.75868540618487923</v>
      </c>
      <c r="BU41" s="162" t="str">
        <f t="shared" si="26"/>
        <v>OK</v>
      </c>
      <c r="BV41" s="166">
        <f t="shared" si="27"/>
        <v>653.81786605419063</v>
      </c>
      <c r="BW41" s="159">
        <f t="shared" si="28"/>
        <v>14.710901986219289</v>
      </c>
      <c r="BX41" s="166">
        <f t="shared" si="29"/>
        <v>326.90893302709532</v>
      </c>
      <c r="BY41" s="155">
        <f t="shared" si="30"/>
        <v>102.18861003451894</v>
      </c>
      <c r="BZ41" s="167">
        <f t="shared" si="31"/>
        <v>0.49675018766780049</v>
      </c>
      <c r="CA41" s="159">
        <f t="shared" si="32"/>
        <v>9.4619083365295324</v>
      </c>
      <c r="CB41" s="168">
        <f t="shared" si="33"/>
        <v>7.9302392667273389E-2</v>
      </c>
      <c r="CC41" s="155">
        <f t="shared" si="34"/>
        <v>103.49442085877696</v>
      </c>
      <c r="CD41" s="159">
        <f t="shared" si="35"/>
        <v>0.43747641667357418</v>
      </c>
      <c r="CE41" s="161">
        <f t="shared" si="36"/>
        <v>0.49675018766780049</v>
      </c>
      <c r="CF41" s="162" t="str">
        <f t="shared" si="37"/>
        <v>OK</v>
      </c>
      <c r="DA41" s="113"/>
      <c r="DB41" s="113"/>
      <c r="DC41" s="113"/>
      <c r="DD41" s="114"/>
      <c r="DE41" s="122"/>
      <c r="DF41" s="123"/>
      <c r="DG41" s="123"/>
      <c r="DH41" s="123"/>
      <c r="DI41" s="123"/>
      <c r="DJ41" s="124"/>
      <c r="DK41" s="154"/>
      <c r="DL41" s="155"/>
      <c r="DM41" s="155"/>
      <c r="DN41" s="155"/>
      <c r="DO41" s="155"/>
      <c r="DP41" s="155"/>
      <c r="DQ41" s="155"/>
      <c r="DR41" s="155"/>
      <c r="DS41" s="156"/>
      <c r="DT41" s="157"/>
      <c r="DU41" s="157"/>
      <c r="DV41" s="158"/>
      <c r="DW41" s="158"/>
      <c r="DX41" s="158"/>
      <c r="DY41" s="158"/>
      <c r="DZ41" s="158"/>
      <c r="EA41" s="154"/>
      <c r="EB41" s="154"/>
      <c r="EC41" s="154"/>
      <c r="ED41" s="154"/>
      <c r="EE41" s="154"/>
      <c r="EF41" s="154"/>
      <c r="EG41" s="154"/>
      <c r="EH41" s="154"/>
      <c r="EI41" s="154"/>
      <c r="EJ41" s="154"/>
      <c r="EK41" s="159"/>
      <c r="EL41" s="159"/>
      <c r="EM41" s="159"/>
      <c r="EN41" s="159"/>
      <c r="EO41" s="159"/>
      <c r="EP41" s="159"/>
      <c r="EQ41" s="159"/>
      <c r="ER41" s="159"/>
      <c r="ES41" s="159"/>
      <c r="ET41" s="159"/>
      <c r="EU41" s="159"/>
      <c r="EV41" s="159"/>
      <c r="EW41" s="159"/>
      <c r="EX41" s="159"/>
      <c r="EY41" s="159"/>
      <c r="EZ41" s="159"/>
      <c r="FA41" s="159"/>
      <c r="FB41" s="159"/>
      <c r="FC41" s="159"/>
      <c r="FD41" s="159"/>
      <c r="FE41" s="159"/>
      <c r="FF41" s="159"/>
    </row>
    <row r="42" spans="1:162" ht="12.75" customHeight="1">
      <c r="A42" s="274" t="s">
        <v>155</v>
      </c>
      <c r="B42" s="274"/>
      <c r="C42" s="274"/>
      <c r="D42" s="274"/>
      <c r="E42" s="274"/>
      <c r="F42" s="40" cm="1">
        <f t="array" ref="F42">INDEX(A44:A55,IFERROR(MATCH(R42,$A$44:$A$55,0),MATCH(R42,$A$44:$A$55,1)+1))</f>
        <v>1500</v>
      </c>
      <c r="H42" s="196"/>
      <c r="I42" s="46"/>
      <c r="J42" s="46"/>
      <c r="K42" s="46"/>
      <c r="L42" s="46"/>
      <c r="M42" s="46"/>
      <c r="N42" s="46"/>
      <c r="O42" s="48"/>
      <c r="P42" s="46"/>
      <c r="Q42" s="34" t="s">
        <v>108</v>
      </c>
      <c r="R42" s="33">
        <v>1232</v>
      </c>
      <c r="S42" s="199" t="s">
        <v>4</v>
      </c>
      <c r="AA42" s="113" t="s">
        <v>211</v>
      </c>
      <c r="AB42" s="113">
        <v>18</v>
      </c>
      <c r="AC42" s="113" t="s">
        <v>260</v>
      </c>
      <c r="AD42" s="114">
        <v>18</v>
      </c>
      <c r="AE42" s="122">
        <v>1232</v>
      </c>
      <c r="AF42" s="123">
        <v>350</v>
      </c>
      <c r="AG42" s="123">
        <v>12</v>
      </c>
      <c r="AH42" s="123">
        <v>16</v>
      </c>
      <c r="AI42" s="123">
        <v>1200</v>
      </c>
      <c r="AJ42" s="124" t="str" cm="1">
        <f t="array" ref="AJ42">_xll.Dce_Name_SectI(AE42, AE42, AF42, AG42, AH42, "x", "-", "H Tổng")</f>
        <v>1232x350x12x16</v>
      </c>
      <c r="AK42" s="154">
        <f t="shared" si="3"/>
        <v>1382</v>
      </c>
      <c r="AL42" s="155" cm="1">
        <f t="array" ref="AL42">IFERROR(INDEX($A$28:$A$35,IFERROR(MATCH(AF42,$A$28:$A$35,0),MATCH(AF42,$A$28:$A$35,1)+1)),$A$28)</f>
        <v>350</v>
      </c>
      <c r="AM42" s="155">
        <f t="shared" si="4"/>
        <v>25</v>
      </c>
      <c r="AN42" s="155">
        <f t="shared" si="5"/>
        <v>6</v>
      </c>
      <c r="AO42" s="155">
        <f t="shared" si="6"/>
        <v>2</v>
      </c>
      <c r="AP42" s="155">
        <f t="shared" si="7"/>
        <v>6</v>
      </c>
      <c r="AQ42" s="155">
        <f t="shared" si="8"/>
        <v>24</v>
      </c>
      <c r="AR42" s="155" t="str">
        <f t="shared" si="9"/>
        <v>1382x350x25 + 14M24</v>
      </c>
      <c r="AS42" s="156" t="s">
        <v>280</v>
      </c>
      <c r="AT42" s="157">
        <v>34.636477247460142</v>
      </c>
      <c r="AU42" s="157">
        <v>30.85193725101437</v>
      </c>
      <c r="AV42" s="158">
        <v>0.1943057658712892</v>
      </c>
      <c r="AW42" s="158">
        <v>-5.8102182538666766E-3</v>
      </c>
      <c r="AX42" s="158">
        <v>-3.6775416219629598E-2</v>
      </c>
      <c r="AY42" s="158">
        <v>-74.916133552318541</v>
      </c>
      <c r="AZ42" s="158"/>
      <c r="BA42" s="154">
        <f t="shared" si="10"/>
        <v>60</v>
      </c>
      <c r="BB42" s="154">
        <f t="shared" si="11"/>
        <v>70</v>
      </c>
      <c r="BC42" s="154">
        <f t="shared" si="12"/>
        <v>80</v>
      </c>
      <c r="BD42" s="154">
        <f t="shared" si="13"/>
        <v>140</v>
      </c>
      <c r="BE42" s="154">
        <f>HLOOKUP(AQ42,Data!$H$31:$Q$35,3,FALSE)</f>
        <v>452.38934211693021</v>
      </c>
      <c r="BF42" s="154">
        <f>HLOOKUP(AQ42,Data!$H$31:$Q$35,4,FALSE)</f>
        <v>353</v>
      </c>
      <c r="BG42" s="154">
        <f t="shared" si="14"/>
        <v>180</v>
      </c>
      <c r="BH42" s="154">
        <f t="shared" si="15"/>
        <v>121.65654188208487</v>
      </c>
      <c r="BI42" s="154">
        <f t="shared" si="16"/>
        <v>243</v>
      </c>
      <c r="BJ42" s="154">
        <f t="shared" si="17"/>
        <v>142.3296</v>
      </c>
      <c r="BK42" s="159">
        <f t="shared" si="18"/>
        <v>2.2037098036438834</v>
      </c>
      <c r="BL42" s="160">
        <f t="shared" si="19"/>
        <v>0.82541666666666669</v>
      </c>
      <c r="BM42" s="169">
        <f t="shared" si="20"/>
        <v>2.1945511237088131E-2</v>
      </c>
      <c r="BN42" s="162" t="str">
        <f t="shared" si="21"/>
        <v>OK</v>
      </c>
      <c r="BO42" s="163" cm="1">
        <f t="array" ref="BO42">_xll.DCEBoltDisK(AN42, AO42, AP42, AE42,  BB42, BC42, BD42, "h7")</f>
        <v>1222</v>
      </c>
      <c r="BP42" s="164" cm="1">
        <f t="array" ref="BP42">_xll.DCEBoltDisK(AN42, AO42, AP42, AE42,  BB42, BC42, BD42, "Tong")</f>
        <v>4037428</v>
      </c>
      <c r="BQ42" s="165">
        <f t="shared" si="22"/>
        <v>13.811389851353585</v>
      </c>
      <c r="BR42" s="161">
        <f t="shared" si="23"/>
        <v>9.7038071148612695E-2</v>
      </c>
      <c r="BS42" s="162" t="str">
        <f t="shared" si="24"/>
        <v>OK</v>
      </c>
      <c r="BT42" s="159">
        <f t="shared" si="25"/>
        <v>9.8714290546895664E-2</v>
      </c>
      <c r="BU42" s="162" t="str">
        <f t="shared" si="26"/>
        <v>OK</v>
      </c>
      <c r="BV42" s="166">
        <f t="shared" si="27"/>
        <v>95.445027208757665</v>
      </c>
      <c r="BW42" s="159">
        <f t="shared" si="28"/>
        <v>2.1475131121970472</v>
      </c>
      <c r="BX42" s="166">
        <f t="shared" si="29"/>
        <v>47.722513604378832</v>
      </c>
      <c r="BY42" s="155">
        <f t="shared" si="30"/>
        <v>14.917601937114075</v>
      </c>
      <c r="BZ42" s="167">
        <f t="shared" si="31"/>
        <v>7.2516120527637867E-2</v>
      </c>
      <c r="CA42" s="159">
        <f t="shared" si="32"/>
        <v>1.3812594386216739</v>
      </c>
      <c r="CB42" s="168">
        <f t="shared" si="33"/>
        <v>1.1576647593811924E-2</v>
      </c>
      <c r="CC42" s="155">
        <f t="shared" si="34"/>
        <v>15.108225589543398</v>
      </c>
      <c r="CD42" s="159">
        <f t="shared" si="35"/>
        <v>6.3863272419567518E-2</v>
      </c>
      <c r="CE42" s="161">
        <f t="shared" si="36"/>
        <v>7.2516120527637867E-2</v>
      </c>
      <c r="CF42" s="162" t="str">
        <f t="shared" si="37"/>
        <v>OK</v>
      </c>
      <c r="DA42" s="113"/>
      <c r="DB42" s="113"/>
      <c r="DC42" s="113"/>
      <c r="DD42" s="114"/>
      <c r="DE42" s="122"/>
      <c r="DF42" s="123"/>
      <c r="DG42" s="123"/>
      <c r="DH42" s="123"/>
      <c r="DI42" s="123"/>
      <c r="DJ42" s="124"/>
      <c r="DK42" s="154"/>
      <c r="DL42" s="155"/>
      <c r="DM42" s="155"/>
      <c r="DN42" s="155"/>
      <c r="DO42" s="155"/>
      <c r="DP42" s="155"/>
      <c r="DQ42" s="155"/>
      <c r="DR42" s="155"/>
      <c r="DS42" s="156"/>
      <c r="DT42" s="157"/>
      <c r="DU42" s="157"/>
      <c r="DV42" s="158"/>
      <c r="DW42" s="158"/>
      <c r="DX42" s="158"/>
      <c r="DY42" s="158"/>
      <c r="DZ42" s="158"/>
      <c r="EA42" s="154"/>
      <c r="EB42" s="154"/>
      <c r="EC42" s="154"/>
      <c r="ED42" s="154"/>
      <c r="EE42" s="154"/>
      <c r="EF42" s="154"/>
      <c r="EG42" s="154"/>
      <c r="EH42" s="154"/>
      <c r="EI42" s="154"/>
      <c r="EJ42" s="154"/>
      <c r="EK42" s="159"/>
      <c r="EL42" s="159"/>
      <c r="EM42" s="159"/>
      <c r="EN42" s="159"/>
      <c r="EO42" s="159"/>
      <c r="EP42" s="159"/>
      <c r="EQ42" s="159"/>
      <c r="ER42" s="159"/>
      <c r="ES42" s="159"/>
      <c r="ET42" s="159"/>
      <c r="EU42" s="159"/>
      <c r="EV42" s="159"/>
      <c r="EW42" s="159"/>
      <c r="EX42" s="159"/>
      <c r="EY42" s="159"/>
      <c r="EZ42" s="159"/>
      <c r="FA42" s="159"/>
      <c r="FB42" s="159"/>
      <c r="FC42" s="159"/>
      <c r="FD42" s="159"/>
      <c r="FE42" s="159"/>
      <c r="FF42" s="159"/>
    </row>
    <row r="43" spans="1:162" ht="12.75" customHeight="1">
      <c r="A43" s="25" t="s">
        <v>156</v>
      </c>
      <c r="B43" s="19" t="s">
        <v>158</v>
      </c>
      <c r="C43" s="19" t="s">
        <v>159</v>
      </c>
      <c r="D43" s="19" t="s">
        <v>160</v>
      </c>
      <c r="E43" s="19" t="s">
        <v>32</v>
      </c>
      <c r="F43" s="19" t="s">
        <v>157</v>
      </c>
      <c r="H43" s="196"/>
      <c r="I43" s="46"/>
      <c r="J43" s="46"/>
      <c r="K43" s="46"/>
      <c r="L43" s="46"/>
      <c r="M43" s="46"/>
      <c r="N43" s="46"/>
      <c r="O43" s="48"/>
      <c r="P43" s="46"/>
      <c r="Q43" s="34" t="s">
        <v>109</v>
      </c>
      <c r="R43" s="33">
        <v>350</v>
      </c>
      <c r="S43" s="199" t="s">
        <v>4</v>
      </c>
      <c r="AA43" s="113" t="s">
        <v>211</v>
      </c>
      <c r="AB43" s="113">
        <v>18</v>
      </c>
      <c r="AC43" s="113" t="s">
        <v>260</v>
      </c>
      <c r="AD43" s="114">
        <v>18</v>
      </c>
      <c r="AE43" s="122">
        <v>1232</v>
      </c>
      <c r="AF43" s="123">
        <v>350</v>
      </c>
      <c r="AG43" s="123">
        <v>12</v>
      </c>
      <c r="AH43" s="123">
        <v>16</v>
      </c>
      <c r="AI43" s="123">
        <v>1200</v>
      </c>
      <c r="AJ43" s="124" t="str" cm="1">
        <f t="array" ref="AJ43">_xll.Dce_Name_SectI(AE43, AE43, AF43, AG43, AH43, "x", "-", "H Tổng")</f>
        <v>1232x350x12x16</v>
      </c>
      <c r="AK43" s="154">
        <f t="shared" si="3"/>
        <v>1382</v>
      </c>
      <c r="AL43" s="155" cm="1">
        <f t="array" ref="AL43">IFERROR(INDEX($A$28:$A$35,IFERROR(MATCH(AF43,$A$28:$A$35,0),MATCH(AF43,$A$28:$A$35,1)+1)),$A$28)</f>
        <v>350</v>
      </c>
      <c r="AM43" s="155">
        <f t="shared" si="4"/>
        <v>25</v>
      </c>
      <c r="AN43" s="155">
        <f t="shared" si="5"/>
        <v>6</v>
      </c>
      <c r="AO43" s="155">
        <f t="shared" si="6"/>
        <v>2</v>
      </c>
      <c r="AP43" s="155">
        <f t="shared" si="7"/>
        <v>6</v>
      </c>
      <c r="AQ43" s="155">
        <f t="shared" si="8"/>
        <v>24</v>
      </c>
      <c r="AR43" s="155" t="str">
        <f t="shared" si="9"/>
        <v>1382x350x25 + 14M24</v>
      </c>
      <c r="AS43" s="156" t="s">
        <v>281</v>
      </c>
      <c r="AT43" s="157">
        <v>96.795687527168994</v>
      </c>
      <c r="AU43" s="157">
        <v>107.98941475032332</v>
      </c>
      <c r="AV43" s="158">
        <v>-0.13173159678496404</v>
      </c>
      <c r="AW43" s="158">
        <v>6.546758466194718E-3</v>
      </c>
      <c r="AX43" s="158">
        <v>3.7654665990096169E-2</v>
      </c>
      <c r="AY43" s="158">
        <v>-820.34851830428238</v>
      </c>
      <c r="AZ43" s="158"/>
      <c r="BA43" s="154">
        <f t="shared" si="10"/>
        <v>60</v>
      </c>
      <c r="BB43" s="154">
        <f t="shared" si="11"/>
        <v>70</v>
      </c>
      <c r="BC43" s="154">
        <f t="shared" si="12"/>
        <v>80</v>
      </c>
      <c r="BD43" s="154">
        <f t="shared" si="13"/>
        <v>140</v>
      </c>
      <c r="BE43" s="154">
        <f>HLOOKUP(AQ43,Data!$H$31:$Q$35,3,FALSE)</f>
        <v>452.38934211693021</v>
      </c>
      <c r="BF43" s="154">
        <f>HLOOKUP(AQ43,Data!$H$31:$Q$35,4,FALSE)</f>
        <v>353</v>
      </c>
      <c r="BG43" s="154">
        <f t="shared" si="14"/>
        <v>180</v>
      </c>
      <c r="BH43" s="154">
        <f t="shared" si="15"/>
        <v>121.65654188208487</v>
      </c>
      <c r="BI43" s="154">
        <f t="shared" si="16"/>
        <v>243</v>
      </c>
      <c r="BJ43" s="154">
        <f t="shared" si="17"/>
        <v>142.3296</v>
      </c>
      <c r="BK43" s="159">
        <f t="shared" si="18"/>
        <v>7.713529625023094</v>
      </c>
      <c r="BL43" s="160">
        <f t="shared" si="19"/>
        <v>0.82541666666666669</v>
      </c>
      <c r="BM43" s="169">
        <f t="shared" si="20"/>
        <v>7.6814719789172162E-2</v>
      </c>
      <c r="BN43" s="162" t="str">
        <f t="shared" si="21"/>
        <v>OK</v>
      </c>
      <c r="BO43" s="163" cm="1">
        <f t="array" ref="BO43">_xll.DCEBoltDisK(AN43, AO43, AP43, AE43,  BB43, BC43, BD43, "h7")</f>
        <v>1222</v>
      </c>
      <c r="BP43" s="164" cm="1">
        <f t="array" ref="BP43">_xll.DCEBoltDisK(AN43, AO43, AP43, AE43,  BB43, BC43, BD43, "Tong")</f>
        <v>4037428</v>
      </c>
      <c r="BQ43" s="165">
        <f t="shared" si="22"/>
        <v>131.06057414834171</v>
      </c>
      <c r="BR43" s="161">
        <f t="shared" si="23"/>
        <v>0.92082443952868354</v>
      </c>
      <c r="BS43" s="162" t="str">
        <f t="shared" si="24"/>
        <v>OK</v>
      </c>
      <c r="BT43" s="159">
        <f t="shared" si="25"/>
        <v>0.92300473165925712</v>
      </c>
      <c r="BU43" s="162" t="str">
        <f t="shared" si="26"/>
        <v>OK</v>
      </c>
      <c r="BV43" s="166">
        <f t="shared" si="27"/>
        <v>762.66299134558005</v>
      </c>
      <c r="BW43" s="159">
        <f t="shared" si="28"/>
        <v>17.159917305275549</v>
      </c>
      <c r="BX43" s="166">
        <f t="shared" si="29"/>
        <v>381.33149567279003</v>
      </c>
      <c r="BY43" s="155">
        <f t="shared" si="30"/>
        <v>119.20058330726864</v>
      </c>
      <c r="BZ43" s="167">
        <f t="shared" si="31"/>
        <v>0.57944727996588929</v>
      </c>
      <c r="CA43" s="159">
        <f t="shared" si="32"/>
        <v>11.037091046969321</v>
      </c>
      <c r="CB43" s="168">
        <f t="shared" si="33"/>
        <v>9.2504355039254374E-2</v>
      </c>
      <c r="CC43" s="155">
        <f t="shared" si="34"/>
        <v>120.72378057835319</v>
      </c>
      <c r="CD43" s="159">
        <f t="shared" si="35"/>
        <v>0.5103058357780631</v>
      </c>
      <c r="CE43" s="161">
        <f t="shared" si="36"/>
        <v>0.57944727996588929</v>
      </c>
      <c r="CF43" s="162" t="str">
        <f t="shared" si="37"/>
        <v>OK</v>
      </c>
      <c r="DA43" s="113"/>
      <c r="DB43" s="113"/>
      <c r="DC43" s="113"/>
      <c r="DD43" s="114"/>
      <c r="DE43" s="122"/>
      <c r="DF43" s="123"/>
      <c r="DG43" s="123"/>
      <c r="DH43" s="123"/>
      <c r="DI43" s="123"/>
      <c r="DJ43" s="124"/>
      <c r="DK43" s="154"/>
      <c r="DL43" s="155"/>
      <c r="DM43" s="155"/>
      <c r="DN43" s="155"/>
      <c r="DO43" s="155"/>
      <c r="DP43" s="155"/>
      <c r="DQ43" s="155"/>
      <c r="DR43" s="155"/>
      <c r="DS43" s="156"/>
      <c r="DT43" s="157"/>
      <c r="DU43" s="157"/>
      <c r="DV43" s="158"/>
      <c r="DW43" s="158"/>
      <c r="DX43" s="158"/>
      <c r="DY43" s="158"/>
      <c r="DZ43" s="158"/>
      <c r="EA43" s="154"/>
      <c r="EB43" s="154"/>
      <c r="EC43" s="154"/>
      <c r="ED43" s="154"/>
      <c r="EE43" s="154"/>
      <c r="EF43" s="154"/>
      <c r="EG43" s="154"/>
      <c r="EH43" s="154"/>
      <c r="EI43" s="154"/>
      <c r="EJ43" s="154"/>
      <c r="EK43" s="159"/>
      <c r="EL43" s="159"/>
      <c r="EM43" s="159"/>
      <c r="EN43" s="159"/>
      <c r="EO43" s="159"/>
      <c r="EP43" s="159"/>
      <c r="EQ43" s="159"/>
      <c r="ER43" s="159"/>
      <c r="ES43" s="159"/>
      <c r="ET43" s="159"/>
      <c r="EU43" s="159"/>
      <c r="EV43" s="159"/>
      <c r="EW43" s="159"/>
      <c r="EX43" s="159"/>
      <c r="EY43" s="159"/>
      <c r="EZ43" s="159"/>
      <c r="FA43" s="159"/>
      <c r="FB43" s="159"/>
      <c r="FC43" s="159"/>
      <c r="FD43" s="159"/>
      <c r="FE43" s="159"/>
      <c r="FF43" s="159"/>
    </row>
    <row r="44" spans="1:162" ht="12.75" customHeight="1">
      <c r="A44" s="7">
        <v>250</v>
      </c>
      <c r="B44" s="8">
        <v>4</v>
      </c>
      <c r="C44" s="8">
        <v>0</v>
      </c>
      <c r="D44" s="8">
        <v>2</v>
      </c>
      <c r="E44" s="7">
        <v>20</v>
      </c>
      <c r="F44" s="7">
        <v>16</v>
      </c>
      <c r="H44" s="196"/>
      <c r="I44" s="46"/>
      <c r="J44" s="46"/>
      <c r="K44" s="46"/>
      <c r="L44" s="46"/>
      <c r="M44" s="46"/>
      <c r="N44" s="46"/>
      <c r="O44" s="48"/>
      <c r="P44" s="46"/>
      <c r="Q44" s="34" t="s">
        <v>110</v>
      </c>
      <c r="R44" s="33">
        <v>12</v>
      </c>
      <c r="S44" s="199" t="s">
        <v>4</v>
      </c>
      <c r="AA44" s="113" t="s">
        <v>211</v>
      </c>
      <c r="AB44" s="113">
        <v>18</v>
      </c>
      <c r="AC44" s="113" t="s">
        <v>260</v>
      </c>
      <c r="AD44" s="114">
        <v>18</v>
      </c>
      <c r="AE44" s="122">
        <v>1232</v>
      </c>
      <c r="AF44" s="123">
        <v>350</v>
      </c>
      <c r="AG44" s="123">
        <v>12</v>
      </c>
      <c r="AH44" s="123">
        <v>16</v>
      </c>
      <c r="AI44" s="123">
        <v>1200</v>
      </c>
      <c r="AJ44" s="124" t="str" cm="1">
        <f t="array" ref="AJ44">_xll.Dce_Name_SectI(AE44, AE44, AF44, AG44, AH44, "x", "-", "H Tổng")</f>
        <v>1232x350x12x16</v>
      </c>
      <c r="AK44" s="154">
        <f t="shared" si="3"/>
        <v>1382</v>
      </c>
      <c r="AL44" s="155" cm="1">
        <f t="array" ref="AL44">IFERROR(INDEX($A$28:$A$35,IFERROR(MATCH(AF44,$A$28:$A$35,0),MATCH(AF44,$A$28:$A$35,1)+1)),$A$28)</f>
        <v>350</v>
      </c>
      <c r="AM44" s="155">
        <f t="shared" si="4"/>
        <v>25</v>
      </c>
      <c r="AN44" s="155">
        <f t="shared" si="5"/>
        <v>6</v>
      </c>
      <c r="AO44" s="155">
        <f t="shared" si="6"/>
        <v>2</v>
      </c>
      <c r="AP44" s="155">
        <f t="shared" si="7"/>
        <v>6</v>
      </c>
      <c r="AQ44" s="155">
        <f t="shared" si="8"/>
        <v>24</v>
      </c>
      <c r="AR44" s="155" t="str">
        <f t="shared" si="9"/>
        <v>1382x350x25 + 14M24</v>
      </c>
      <c r="AS44" s="156" t="s">
        <v>282</v>
      </c>
      <c r="AT44" s="157">
        <v>7.6955338442064143</v>
      </c>
      <c r="AU44" s="157">
        <v>40.227551610005158</v>
      </c>
      <c r="AV44" s="158">
        <v>-0.12784551308179884</v>
      </c>
      <c r="AW44" s="158">
        <v>5.5388541191873225E-3</v>
      </c>
      <c r="AX44" s="158">
        <v>3.8247052940676263E-2</v>
      </c>
      <c r="AY44" s="158">
        <v>-242.209324084798</v>
      </c>
      <c r="AZ44" s="158"/>
      <c r="BA44" s="154">
        <f t="shared" si="10"/>
        <v>60</v>
      </c>
      <c r="BB44" s="154">
        <f t="shared" si="11"/>
        <v>70</v>
      </c>
      <c r="BC44" s="154">
        <f t="shared" si="12"/>
        <v>80</v>
      </c>
      <c r="BD44" s="154">
        <f t="shared" si="13"/>
        <v>140</v>
      </c>
      <c r="BE44" s="154">
        <f>HLOOKUP(AQ44,Data!$H$31:$Q$35,3,FALSE)</f>
        <v>452.38934211693021</v>
      </c>
      <c r="BF44" s="154">
        <f>HLOOKUP(AQ44,Data!$H$31:$Q$35,4,FALSE)</f>
        <v>353</v>
      </c>
      <c r="BG44" s="154">
        <f t="shared" si="14"/>
        <v>180</v>
      </c>
      <c r="BH44" s="154">
        <f t="shared" si="15"/>
        <v>121.65654188208487</v>
      </c>
      <c r="BI44" s="154">
        <f t="shared" si="16"/>
        <v>243</v>
      </c>
      <c r="BJ44" s="154">
        <f t="shared" si="17"/>
        <v>142.3296</v>
      </c>
      <c r="BK44" s="159">
        <f t="shared" si="18"/>
        <v>2.873396543571797</v>
      </c>
      <c r="BL44" s="160">
        <f t="shared" si="19"/>
        <v>0.82541666666666669</v>
      </c>
      <c r="BM44" s="169">
        <f t="shared" si="20"/>
        <v>2.8614546267070644E-2</v>
      </c>
      <c r="BN44" s="162" t="str">
        <f t="shared" si="21"/>
        <v>OK</v>
      </c>
      <c r="BO44" s="163" cm="1">
        <f t="array" ref="BO44">_xll.DCEBoltDisK(AN44, AO44, AP44, AE44,  BB44, BC44, BD44, "h7")</f>
        <v>1222</v>
      </c>
      <c r="BP44" s="164" cm="1">
        <f t="array" ref="BP44">_xll.DCEBoltDisK(AN44, AO44, AP44, AE44,  BB44, BC44, BD44, "Tong")</f>
        <v>4037428</v>
      </c>
      <c r="BQ44" s="165">
        <f t="shared" si="22"/>
        <v>37.204179103961884</v>
      </c>
      <c r="BR44" s="161">
        <f t="shared" si="23"/>
        <v>0.26139453145348462</v>
      </c>
      <c r="BS44" s="162" t="str">
        <f t="shared" si="24"/>
        <v>OK</v>
      </c>
      <c r="BT44" s="159">
        <f t="shared" si="25"/>
        <v>0.26245943422987245</v>
      </c>
      <c r="BU44" s="162" t="str">
        <f t="shared" si="26"/>
        <v>OK</v>
      </c>
      <c r="BV44" s="166">
        <f t="shared" si="27"/>
        <v>204.29401118576322</v>
      </c>
      <c r="BW44" s="159">
        <f t="shared" si="28"/>
        <v>4.5966152516796726</v>
      </c>
      <c r="BX44" s="166">
        <f t="shared" si="29"/>
        <v>102.14700559288161</v>
      </c>
      <c r="BY44" s="155">
        <f t="shared" si="30"/>
        <v>31.930178303997724</v>
      </c>
      <c r="BZ44" s="167">
        <f t="shared" si="31"/>
        <v>0.15521614453332228</v>
      </c>
      <c r="CA44" s="159">
        <f t="shared" si="32"/>
        <v>2.9564979911109006</v>
      </c>
      <c r="CB44" s="168">
        <f t="shared" si="33"/>
        <v>2.4779077990632552E-2</v>
      </c>
      <c r="CC44" s="155">
        <f t="shared" si="34"/>
        <v>32.3381961098546</v>
      </c>
      <c r="CD44" s="159">
        <f t="shared" si="35"/>
        <v>0.13669527341122117</v>
      </c>
      <c r="CE44" s="161">
        <f t="shared" si="36"/>
        <v>0.15521614453332228</v>
      </c>
      <c r="CF44" s="162" t="str">
        <f t="shared" si="37"/>
        <v>OK</v>
      </c>
      <c r="DA44" s="113"/>
      <c r="DB44" s="113"/>
      <c r="DC44" s="113"/>
      <c r="DD44" s="114"/>
      <c r="DE44" s="122"/>
      <c r="DF44" s="123"/>
      <c r="DG44" s="123"/>
      <c r="DH44" s="123"/>
      <c r="DI44" s="123"/>
      <c r="DJ44" s="124"/>
      <c r="DK44" s="154"/>
      <c r="DL44" s="155"/>
      <c r="DM44" s="155"/>
      <c r="DN44" s="155"/>
      <c r="DO44" s="155"/>
      <c r="DP44" s="155"/>
      <c r="DQ44" s="155"/>
      <c r="DR44" s="155"/>
      <c r="DS44" s="156"/>
      <c r="DT44" s="157"/>
      <c r="DU44" s="157"/>
      <c r="DV44" s="158"/>
      <c r="DW44" s="158"/>
      <c r="DX44" s="158"/>
      <c r="DY44" s="158"/>
      <c r="DZ44" s="158"/>
      <c r="EA44" s="154"/>
      <c r="EB44" s="154"/>
      <c r="EC44" s="154"/>
      <c r="ED44" s="154"/>
      <c r="EE44" s="154"/>
      <c r="EF44" s="154"/>
      <c r="EG44" s="154"/>
      <c r="EH44" s="154"/>
      <c r="EI44" s="154"/>
      <c r="EJ44" s="154"/>
      <c r="EK44" s="159"/>
      <c r="EL44" s="159"/>
      <c r="EM44" s="159"/>
      <c r="EN44" s="159"/>
      <c r="EO44" s="159"/>
      <c r="EP44" s="159"/>
      <c r="EQ44" s="159"/>
      <c r="ER44" s="159"/>
      <c r="ES44" s="159"/>
      <c r="ET44" s="159"/>
      <c r="EU44" s="159"/>
      <c r="EV44" s="159"/>
      <c r="EW44" s="159"/>
      <c r="EX44" s="159"/>
      <c r="EY44" s="159"/>
      <c r="EZ44" s="159"/>
      <c r="FA44" s="159"/>
      <c r="FB44" s="159"/>
      <c r="FC44" s="159"/>
      <c r="FD44" s="159"/>
      <c r="FE44" s="159"/>
      <c r="FF44" s="159"/>
    </row>
    <row r="45" spans="1:162" ht="12.75" customHeight="1">
      <c r="A45" s="7">
        <v>300</v>
      </c>
      <c r="B45" s="8">
        <v>4</v>
      </c>
      <c r="C45" s="8">
        <v>0</v>
      </c>
      <c r="D45" s="8">
        <v>2</v>
      </c>
      <c r="E45" s="7">
        <v>20</v>
      </c>
      <c r="F45" s="7">
        <v>20</v>
      </c>
      <c r="H45" s="196"/>
      <c r="I45" s="46"/>
      <c r="J45" s="46"/>
      <c r="K45" s="46"/>
      <c r="L45" s="46"/>
      <c r="M45" s="46"/>
      <c r="N45" s="46"/>
      <c r="O45" s="48"/>
      <c r="P45" s="46"/>
      <c r="Q45" s="34" t="s">
        <v>111</v>
      </c>
      <c r="R45" s="33">
        <v>16</v>
      </c>
      <c r="S45" s="199" t="s">
        <v>4</v>
      </c>
      <c r="AA45" s="113" t="s">
        <v>211</v>
      </c>
      <c r="AB45" s="113">
        <v>18</v>
      </c>
      <c r="AC45" s="113" t="s">
        <v>260</v>
      </c>
      <c r="AD45" s="114">
        <v>18</v>
      </c>
      <c r="AE45" s="122">
        <v>1232</v>
      </c>
      <c r="AF45" s="123">
        <v>350</v>
      </c>
      <c r="AG45" s="123">
        <v>12</v>
      </c>
      <c r="AH45" s="123">
        <v>16</v>
      </c>
      <c r="AI45" s="123">
        <v>1200</v>
      </c>
      <c r="AJ45" s="124" t="str" cm="1">
        <f t="array" ref="AJ45">_xll.Dce_Name_SectI(AE45, AE45, AF45, AG45, AH45, "x", "-", "H Tổng")</f>
        <v>1232x350x12x16</v>
      </c>
      <c r="AK45" s="154">
        <f t="shared" si="3"/>
        <v>1382</v>
      </c>
      <c r="AL45" s="155" cm="1">
        <f t="array" ref="AL45">IFERROR(INDEX($A$28:$A$35,IFERROR(MATCH(AF45,$A$28:$A$35,0),MATCH(AF45,$A$28:$A$35,1)+1)),$A$28)</f>
        <v>350</v>
      </c>
      <c r="AM45" s="155">
        <f t="shared" si="4"/>
        <v>25</v>
      </c>
      <c r="AN45" s="155">
        <f t="shared" si="5"/>
        <v>6</v>
      </c>
      <c r="AO45" s="155">
        <f t="shared" si="6"/>
        <v>2</v>
      </c>
      <c r="AP45" s="155">
        <f t="shared" si="7"/>
        <v>6</v>
      </c>
      <c r="AQ45" s="155">
        <f t="shared" si="8"/>
        <v>24</v>
      </c>
      <c r="AR45" s="155" t="str">
        <f t="shared" si="9"/>
        <v>1382x350x25 + 14M24</v>
      </c>
      <c r="AS45" s="156" t="s">
        <v>283</v>
      </c>
      <c r="AT45" s="157">
        <v>160.80945217498726</v>
      </c>
      <c r="AU45" s="157">
        <v>55.113120814728831</v>
      </c>
      <c r="AV45" s="158">
        <v>-5.4372558180643862E-2</v>
      </c>
      <c r="AW45" s="158">
        <v>2.0256431784206165E-3</v>
      </c>
      <c r="AX45" s="158">
        <v>-1.1747410037095218E-3</v>
      </c>
      <c r="AY45" s="158">
        <v>-1412.0022554783095</v>
      </c>
      <c r="AZ45" s="158"/>
      <c r="BA45" s="154">
        <f t="shared" si="10"/>
        <v>60</v>
      </c>
      <c r="BB45" s="154">
        <f t="shared" si="11"/>
        <v>70</v>
      </c>
      <c r="BC45" s="154">
        <f t="shared" si="12"/>
        <v>80</v>
      </c>
      <c r="BD45" s="154">
        <f t="shared" si="13"/>
        <v>140</v>
      </c>
      <c r="BE45" s="154">
        <f>HLOOKUP(AQ45,Data!$H$31:$Q$35,3,FALSE)</f>
        <v>452.38934211693021</v>
      </c>
      <c r="BF45" s="154">
        <f>HLOOKUP(AQ45,Data!$H$31:$Q$35,4,FALSE)</f>
        <v>353</v>
      </c>
      <c r="BG45" s="154">
        <f t="shared" si="14"/>
        <v>180</v>
      </c>
      <c r="BH45" s="154">
        <f t="shared" si="15"/>
        <v>121.65654188208487</v>
      </c>
      <c r="BI45" s="154">
        <f t="shared" si="16"/>
        <v>243</v>
      </c>
      <c r="BJ45" s="154">
        <f t="shared" si="17"/>
        <v>142.3296</v>
      </c>
      <c r="BK45" s="159">
        <f t="shared" si="18"/>
        <v>3.9366514867663449</v>
      </c>
      <c r="BL45" s="160">
        <f t="shared" si="19"/>
        <v>0.82541666666666669</v>
      </c>
      <c r="BM45" s="169">
        <f t="shared" si="20"/>
        <v>3.9202906524479629E-2</v>
      </c>
      <c r="BN45" s="162" t="str">
        <f t="shared" si="21"/>
        <v>OK</v>
      </c>
      <c r="BO45" s="163" cm="1">
        <f t="array" ref="BO45">_xll.DCEBoltDisK(AN45, AO45, AP45, AE45,  BB45, BC45, BD45, "h7")</f>
        <v>1222</v>
      </c>
      <c r="BP45" s="164" cm="1">
        <f t="array" ref="BP45">_xll.DCEBoltDisK(AN45, AO45, AP45, AE45,  BB45, BC45, BD45, "Tong")</f>
        <v>4037428</v>
      </c>
      <c r="BQ45" s="165">
        <f t="shared" si="22"/>
        <v>225.17029367347965</v>
      </c>
      <c r="BR45" s="161">
        <f t="shared" si="23"/>
        <v>1.5820341915770131</v>
      </c>
      <c r="BS45" s="162" t="str">
        <f t="shared" si="24"/>
        <v>O/S</v>
      </c>
      <c r="BT45" s="159">
        <f t="shared" si="25"/>
        <v>1.5823650877351347</v>
      </c>
      <c r="BU45" s="162" t="str">
        <f t="shared" si="26"/>
        <v>O/S</v>
      </c>
      <c r="BV45" s="166">
        <f t="shared" si="27"/>
        <v>1306.9151790242645</v>
      </c>
      <c r="BW45" s="159">
        <f t="shared" si="28"/>
        <v>29.405591528045949</v>
      </c>
      <c r="BX45" s="166">
        <f t="shared" si="29"/>
        <v>653.45758951213224</v>
      </c>
      <c r="BY45" s="155">
        <f t="shared" si="30"/>
        <v>204.26460106312672</v>
      </c>
      <c r="BZ45" s="167">
        <f t="shared" si="31"/>
        <v>0.9929529218346439</v>
      </c>
      <c r="CA45" s="159">
        <f t="shared" si="32"/>
        <v>18.913388987326549</v>
      </c>
      <c r="CB45" s="168">
        <f t="shared" si="33"/>
        <v>0.15851738854320624</v>
      </c>
      <c r="CC45" s="155">
        <f t="shared" si="34"/>
        <v>206.8747836166508</v>
      </c>
      <c r="CD45" s="159">
        <f t="shared" si="35"/>
        <v>0.87447070369357238</v>
      </c>
      <c r="CE45" s="161">
        <f t="shared" si="36"/>
        <v>0.9929529218346439</v>
      </c>
      <c r="CF45" s="162" t="str">
        <f t="shared" si="37"/>
        <v>OK</v>
      </c>
      <c r="DA45" s="113"/>
      <c r="DB45" s="113"/>
      <c r="DC45" s="113"/>
      <c r="DD45" s="114"/>
      <c r="DE45" s="122"/>
      <c r="DF45" s="123"/>
      <c r="DG45" s="123"/>
      <c r="DH45" s="123"/>
      <c r="DI45" s="123"/>
      <c r="DJ45" s="124"/>
      <c r="DK45" s="154"/>
      <c r="DL45" s="155"/>
      <c r="DM45" s="155"/>
      <c r="DN45" s="155"/>
      <c r="DO45" s="155"/>
      <c r="DP45" s="155"/>
      <c r="DQ45" s="155"/>
      <c r="DR45" s="155"/>
      <c r="DS45" s="156"/>
      <c r="DT45" s="157"/>
      <c r="DU45" s="157"/>
      <c r="DV45" s="158"/>
      <c r="DW45" s="158"/>
      <c r="DX45" s="158"/>
      <c r="DY45" s="158"/>
      <c r="DZ45" s="158"/>
      <c r="EA45" s="154"/>
      <c r="EB45" s="154"/>
      <c r="EC45" s="154"/>
      <c r="ED45" s="154"/>
      <c r="EE45" s="154"/>
      <c r="EF45" s="154"/>
      <c r="EG45" s="154"/>
      <c r="EH45" s="154"/>
      <c r="EI45" s="154"/>
      <c r="EJ45" s="154"/>
      <c r="EK45" s="159"/>
      <c r="EL45" s="159"/>
      <c r="EM45" s="159"/>
      <c r="EN45" s="159"/>
      <c r="EO45" s="159"/>
      <c r="EP45" s="159"/>
      <c r="EQ45" s="159"/>
      <c r="ER45" s="159"/>
      <c r="ES45" s="159"/>
      <c r="ET45" s="159"/>
      <c r="EU45" s="159"/>
      <c r="EV45" s="159"/>
      <c r="EW45" s="159"/>
      <c r="EX45" s="159"/>
      <c r="EY45" s="159"/>
      <c r="EZ45" s="159"/>
      <c r="FA45" s="159"/>
      <c r="FB45" s="159"/>
      <c r="FC45" s="159"/>
      <c r="FD45" s="159"/>
      <c r="FE45" s="159"/>
      <c r="FF45" s="159"/>
    </row>
    <row r="46" spans="1:162" ht="12.75" customHeight="1">
      <c r="A46" s="7">
        <v>350</v>
      </c>
      <c r="B46" s="8">
        <v>4</v>
      </c>
      <c r="C46" s="8">
        <v>0</v>
      </c>
      <c r="D46" s="8">
        <v>2</v>
      </c>
      <c r="E46" s="7">
        <v>20</v>
      </c>
      <c r="F46" s="7">
        <v>20</v>
      </c>
      <c r="H46" s="196"/>
      <c r="I46" s="46"/>
      <c r="J46" s="46"/>
      <c r="K46" s="46"/>
      <c r="L46" s="46"/>
      <c r="M46" s="46"/>
      <c r="N46" s="46"/>
      <c r="O46" s="48"/>
      <c r="P46" s="46"/>
      <c r="Q46" s="32"/>
      <c r="R46" s="32"/>
      <c r="S46" s="194"/>
      <c r="AA46" s="113" t="s">
        <v>211</v>
      </c>
      <c r="AB46" s="113">
        <v>18</v>
      </c>
      <c r="AC46" s="113" t="s">
        <v>260</v>
      </c>
      <c r="AD46" s="114">
        <v>18</v>
      </c>
      <c r="AE46" s="122">
        <v>1232</v>
      </c>
      <c r="AF46" s="123">
        <v>350</v>
      </c>
      <c r="AG46" s="123">
        <v>12</v>
      </c>
      <c r="AH46" s="123">
        <v>16</v>
      </c>
      <c r="AI46" s="123">
        <v>1200</v>
      </c>
      <c r="AJ46" s="124" t="str" cm="1">
        <f t="array" ref="AJ46">_xll.Dce_Name_SectI(AE46, AE46, AF46, AG46, AH46, "x", "-", "H Tổng")</f>
        <v>1232x350x12x16</v>
      </c>
      <c r="AK46" s="154">
        <f t="shared" si="3"/>
        <v>1382</v>
      </c>
      <c r="AL46" s="155" cm="1">
        <f t="array" ref="AL46">IFERROR(INDEX($A$28:$A$35,IFERROR(MATCH(AF46,$A$28:$A$35,0),MATCH(AF46,$A$28:$A$35,1)+1)),$A$28)</f>
        <v>350</v>
      </c>
      <c r="AM46" s="155">
        <f t="shared" si="4"/>
        <v>25</v>
      </c>
      <c r="AN46" s="155">
        <f t="shared" si="5"/>
        <v>6</v>
      </c>
      <c r="AO46" s="155">
        <f t="shared" si="6"/>
        <v>2</v>
      </c>
      <c r="AP46" s="155">
        <f t="shared" si="7"/>
        <v>6</v>
      </c>
      <c r="AQ46" s="155">
        <f t="shared" si="8"/>
        <v>24</v>
      </c>
      <c r="AR46" s="155" t="str">
        <f t="shared" si="9"/>
        <v>1382x350x25 + 14M24</v>
      </c>
      <c r="AS46" s="156" t="s">
        <v>284</v>
      </c>
      <c r="AT46" s="157">
        <v>71.709233218206691</v>
      </c>
      <c r="AU46" s="157">
        <v>-12.648809701553475</v>
      </c>
      <c r="AV46" s="158">
        <v>-2.9013473853190835E-2</v>
      </c>
      <c r="AW46" s="158">
        <v>1.0620194017055416E-3</v>
      </c>
      <c r="AX46" s="158">
        <v>-3.3979814277493591E-4</v>
      </c>
      <c r="AY46" s="158">
        <v>-833.86180244437696</v>
      </c>
      <c r="AZ46" s="158"/>
      <c r="BA46" s="154">
        <f t="shared" si="10"/>
        <v>60</v>
      </c>
      <c r="BB46" s="154">
        <f t="shared" si="11"/>
        <v>70</v>
      </c>
      <c r="BC46" s="154">
        <f t="shared" si="12"/>
        <v>80</v>
      </c>
      <c r="BD46" s="154">
        <f t="shared" si="13"/>
        <v>140</v>
      </c>
      <c r="BE46" s="154">
        <f>HLOOKUP(AQ46,Data!$H$31:$Q$35,3,FALSE)</f>
        <v>452.38934211693021</v>
      </c>
      <c r="BF46" s="154">
        <f>HLOOKUP(AQ46,Data!$H$31:$Q$35,4,FALSE)</f>
        <v>353</v>
      </c>
      <c r="BG46" s="154">
        <f t="shared" si="14"/>
        <v>180</v>
      </c>
      <c r="BH46" s="154">
        <f t="shared" si="15"/>
        <v>121.65654188208487</v>
      </c>
      <c r="BI46" s="154">
        <f t="shared" si="16"/>
        <v>243</v>
      </c>
      <c r="BJ46" s="154">
        <f t="shared" si="17"/>
        <v>142.3296</v>
      </c>
      <c r="BK46" s="159">
        <f t="shared" si="18"/>
        <v>0.90348640725381968</v>
      </c>
      <c r="BL46" s="160">
        <f t="shared" si="19"/>
        <v>0.82541666666666669</v>
      </c>
      <c r="BM46" s="169">
        <f t="shared" si="20"/>
        <v>8.9973149232988481E-3</v>
      </c>
      <c r="BN46" s="162" t="str">
        <f t="shared" si="21"/>
        <v>OK</v>
      </c>
      <c r="BO46" s="163" cm="1">
        <f t="array" ref="BO46">_xll.DCEBoltDisK(AN46, AO46, AP46, AE46,  BB46, BC46, BD46, "h7")</f>
        <v>1222</v>
      </c>
      <c r="BP46" s="164" cm="1">
        <f t="array" ref="BP46">_xll.DCEBoltDisK(AN46, AO46, AP46, AE46,  BB46, BC46, BD46, "Tong")</f>
        <v>4037428</v>
      </c>
      <c r="BQ46" s="165">
        <f t="shared" si="22"/>
        <v>131.31370346529874</v>
      </c>
      <c r="BR46" s="161">
        <f t="shared" si="23"/>
        <v>0.92260291229160163</v>
      </c>
      <c r="BS46" s="162" t="str">
        <f t="shared" si="24"/>
        <v>OK</v>
      </c>
      <c r="BT46" s="159">
        <f t="shared" si="25"/>
        <v>0.92263280191614538</v>
      </c>
      <c r="BU46" s="162" t="str">
        <f t="shared" si="26"/>
        <v>OK</v>
      </c>
      <c r="BV46" s="166">
        <f t="shared" si="27"/>
        <v>748.54511182565557</v>
      </c>
      <c r="BW46" s="159">
        <f t="shared" si="28"/>
        <v>16.842265016077249</v>
      </c>
      <c r="BX46" s="166">
        <f t="shared" si="29"/>
        <v>374.27255591282778</v>
      </c>
      <c r="BY46" s="155">
        <f t="shared" si="30"/>
        <v>116.99402616088393</v>
      </c>
      <c r="BZ46" s="167">
        <f t="shared" si="31"/>
        <v>0.56872096050429699</v>
      </c>
      <c r="CA46" s="159">
        <f t="shared" si="32"/>
        <v>10.832780200081846</v>
      </c>
      <c r="CB46" s="168">
        <f t="shared" si="33"/>
        <v>9.0791979646279844E-2</v>
      </c>
      <c r="CC46" s="155">
        <f t="shared" si="34"/>
        <v>118.48902707813687</v>
      </c>
      <c r="CD46" s="159">
        <f t="shared" si="35"/>
        <v>0.50085941397763178</v>
      </c>
      <c r="CE46" s="161">
        <f t="shared" si="36"/>
        <v>0.56872096050429699</v>
      </c>
      <c r="CF46" s="162" t="str">
        <f t="shared" si="37"/>
        <v>OK</v>
      </c>
      <c r="DA46" s="113"/>
      <c r="DB46" s="113"/>
      <c r="DC46" s="113"/>
      <c r="DD46" s="114"/>
      <c r="DE46" s="122"/>
      <c r="DF46" s="123"/>
      <c r="DG46" s="123"/>
      <c r="DH46" s="123"/>
      <c r="DI46" s="123"/>
      <c r="DJ46" s="124"/>
      <c r="DK46" s="154"/>
      <c r="DL46" s="155"/>
      <c r="DM46" s="155"/>
      <c r="DN46" s="155"/>
      <c r="DO46" s="155"/>
      <c r="DP46" s="155"/>
      <c r="DQ46" s="155"/>
      <c r="DR46" s="155"/>
      <c r="DS46" s="156"/>
      <c r="DT46" s="157"/>
      <c r="DU46" s="157"/>
      <c r="DV46" s="158"/>
      <c r="DW46" s="158"/>
      <c r="DX46" s="158"/>
      <c r="DY46" s="158"/>
      <c r="DZ46" s="158"/>
      <c r="EA46" s="154"/>
      <c r="EB46" s="154"/>
      <c r="EC46" s="154"/>
      <c r="ED46" s="154"/>
      <c r="EE46" s="154"/>
      <c r="EF46" s="154"/>
      <c r="EG46" s="154"/>
      <c r="EH46" s="154"/>
      <c r="EI46" s="154"/>
      <c r="EJ46" s="154"/>
      <c r="EK46" s="159"/>
      <c r="EL46" s="159"/>
      <c r="EM46" s="159"/>
      <c r="EN46" s="159"/>
      <c r="EO46" s="159"/>
      <c r="EP46" s="159"/>
      <c r="EQ46" s="159"/>
      <c r="ER46" s="159"/>
      <c r="ES46" s="159"/>
      <c r="ET46" s="159"/>
      <c r="EU46" s="159"/>
      <c r="EV46" s="159"/>
      <c r="EW46" s="159"/>
      <c r="EX46" s="159"/>
      <c r="EY46" s="159"/>
      <c r="EZ46" s="159"/>
      <c r="FA46" s="159"/>
      <c r="FB46" s="159"/>
      <c r="FC46" s="159"/>
      <c r="FD46" s="159"/>
      <c r="FE46" s="159"/>
      <c r="FF46" s="159"/>
    </row>
    <row r="47" spans="1:162" ht="12.75" customHeight="1">
      <c r="A47" s="7">
        <v>400</v>
      </c>
      <c r="B47" s="8">
        <v>4</v>
      </c>
      <c r="C47" s="8">
        <v>2</v>
      </c>
      <c r="D47" s="8">
        <v>2</v>
      </c>
      <c r="E47" s="7">
        <v>20</v>
      </c>
      <c r="F47" s="7">
        <v>25</v>
      </c>
      <c r="H47" s="196"/>
      <c r="I47" s="46"/>
      <c r="J47" s="46"/>
      <c r="K47" s="46"/>
      <c r="L47" s="46"/>
      <c r="M47" s="46"/>
      <c r="N47" s="46"/>
      <c r="O47" s="48"/>
      <c r="P47" s="46"/>
      <c r="Q47" s="34" t="s">
        <v>148</v>
      </c>
      <c r="R47" s="51">
        <f>VLOOKUP(F42,$A$44:$F$55,2,FALSE)</f>
        <v>6</v>
      </c>
      <c r="S47" s="199" t="s">
        <v>83</v>
      </c>
      <c r="AA47" s="113" t="s">
        <v>211</v>
      </c>
      <c r="AB47" s="113">
        <v>18</v>
      </c>
      <c r="AC47" s="113" t="s">
        <v>260</v>
      </c>
      <c r="AD47" s="114">
        <v>18</v>
      </c>
      <c r="AE47" s="122">
        <v>1232</v>
      </c>
      <c r="AF47" s="123">
        <v>350</v>
      </c>
      <c r="AG47" s="123">
        <v>12</v>
      </c>
      <c r="AH47" s="123">
        <v>16</v>
      </c>
      <c r="AI47" s="123">
        <v>1200</v>
      </c>
      <c r="AJ47" s="124" t="str" cm="1">
        <f t="array" ref="AJ47">_xll.Dce_Name_SectI(AE47, AE47, AF47, AG47, AH47, "x", "-", "H Tổng")</f>
        <v>1232x350x12x16</v>
      </c>
      <c r="AK47" s="154">
        <f t="shared" si="3"/>
        <v>1382</v>
      </c>
      <c r="AL47" s="155" cm="1">
        <f t="array" ref="AL47">IFERROR(INDEX($A$28:$A$35,IFERROR(MATCH(AF47,$A$28:$A$35,0),MATCH(AF47,$A$28:$A$35,1)+1)),$A$28)</f>
        <v>350</v>
      </c>
      <c r="AM47" s="155">
        <f t="shared" si="4"/>
        <v>25</v>
      </c>
      <c r="AN47" s="155">
        <f t="shared" si="5"/>
        <v>6</v>
      </c>
      <c r="AO47" s="155">
        <f t="shared" si="6"/>
        <v>2</v>
      </c>
      <c r="AP47" s="155">
        <f t="shared" si="7"/>
        <v>6</v>
      </c>
      <c r="AQ47" s="155">
        <f t="shared" si="8"/>
        <v>24</v>
      </c>
      <c r="AR47" s="155" t="str">
        <f t="shared" si="9"/>
        <v>1382x350x25 + 14M24</v>
      </c>
      <c r="AS47" s="156" t="s">
        <v>285</v>
      </c>
      <c r="AT47" s="157">
        <v>63.773641261199359</v>
      </c>
      <c r="AU47" s="157">
        <v>56.109603036843836</v>
      </c>
      <c r="AV47" s="158">
        <v>-2.5031826914456094E-2</v>
      </c>
      <c r="AW47" s="158">
        <v>1.2298344343910695E-3</v>
      </c>
      <c r="AX47" s="158">
        <v>-1.4219680454058098E-3</v>
      </c>
      <c r="AY47" s="158">
        <v>-152.45276884453239</v>
      </c>
      <c r="AZ47" s="158"/>
      <c r="BA47" s="154">
        <f t="shared" si="10"/>
        <v>60</v>
      </c>
      <c r="BB47" s="154">
        <f t="shared" si="11"/>
        <v>70</v>
      </c>
      <c r="BC47" s="154">
        <f t="shared" si="12"/>
        <v>80</v>
      </c>
      <c r="BD47" s="154">
        <f t="shared" si="13"/>
        <v>140</v>
      </c>
      <c r="BE47" s="154">
        <f>HLOOKUP(AQ47,Data!$H$31:$Q$35,3,FALSE)</f>
        <v>452.38934211693021</v>
      </c>
      <c r="BF47" s="154">
        <f>HLOOKUP(AQ47,Data!$H$31:$Q$35,4,FALSE)</f>
        <v>353</v>
      </c>
      <c r="BG47" s="154">
        <f t="shared" si="14"/>
        <v>180</v>
      </c>
      <c r="BH47" s="154">
        <f t="shared" si="15"/>
        <v>121.65654188208487</v>
      </c>
      <c r="BI47" s="154">
        <f t="shared" si="16"/>
        <v>243</v>
      </c>
      <c r="BJ47" s="154">
        <f t="shared" si="17"/>
        <v>142.3296</v>
      </c>
      <c r="BK47" s="159">
        <f t="shared" si="18"/>
        <v>4.0078287883459884</v>
      </c>
      <c r="BL47" s="160">
        <f t="shared" si="19"/>
        <v>0.82541666666666669</v>
      </c>
      <c r="BM47" s="169">
        <f t="shared" si="20"/>
        <v>3.9911721391599993E-2</v>
      </c>
      <c r="BN47" s="162" t="str">
        <f t="shared" si="21"/>
        <v>OK</v>
      </c>
      <c r="BO47" s="163" cm="1">
        <f t="array" ref="BO47">_xll.DCEBoltDisK(AN47, AO47, AP47, AE47,  BB47, BC47, BD47, "h7")</f>
        <v>1222</v>
      </c>
      <c r="BP47" s="164" cm="1">
        <f t="array" ref="BP47">_xll.DCEBoltDisK(AN47, AO47, AP47, AE47,  BB47, BC47, BD47, "Tong")</f>
        <v>4037428</v>
      </c>
      <c r="BQ47" s="165">
        <f t="shared" si="22"/>
        <v>27.626542541192975</v>
      </c>
      <c r="BR47" s="161">
        <f t="shared" si="23"/>
        <v>0.19410257979501788</v>
      </c>
      <c r="BS47" s="162" t="str">
        <f t="shared" si="24"/>
        <v>OK</v>
      </c>
      <c r="BT47" s="159">
        <f t="shared" si="25"/>
        <v>0.19687840268457224</v>
      </c>
      <c r="BU47" s="162" t="str">
        <f t="shared" si="26"/>
        <v>OK</v>
      </c>
      <c r="BV47" s="166">
        <f t="shared" si="27"/>
        <v>187.5177718168263</v>
      </c>
      <c r="BW47" s="159">
        <f t="shared" si="28"/>
        <v>4.2191498658785918</v>
      </c>
      <c r="BX47" s="166">
        <f t="shared" si="29"/>
        <v>93.758885908413149</v>
      </c>
      <c r="BY47" s="155">
        <f t="shared" si="30"/>
        <v>29.30813220870802</v>
      </c>
      <c r="BZ47" s="167">
        <f t="shared" si="31"/>
        <v>0.142470087125664</v>
      </c>
      <c r="CA47" s="159">
        <f t="shared" si="32"/>
        <v>2.7137159452507427</v>
      </c>
      <c r="CB47" s="168">
        <f t="shared" si="33"/>
        <v>2.2744266782513411E-2</v>
      </c>
      <c r="CC47" s="155">
        <f t="shared" si="34"/>
        <v>29.682644360933089</v>
      </c>
      <c r="CD47" s="159">
        <f t="shared" si="35"/>
        <v>0.12547011505225342</v>
      </c>
      <c r="CE47" s="161">
        <f t="shared" si="36"/>
        <v>0.142470087125664</v>
      </c>
      <c r="CF47" s="162" t="str">
        <f t="shared" si="37"/>
        <v>OK</v>
      </c>
      <c r="DA47" s="113"/>
      <c r="DB47" s="113"/>
      <c r="DC47" s="113"/>
      <c r="DD47" s="114"/>
      <c r="DE47" s="122"/>
      <c r="DF47" s="123"/>
      <c r="DG47" s="123"/>
      <c r="DH47" s="123"/>
      <c r="DI47" s="123"/>
      <c r="DJ47" s="124"/>
      <c r="DK47" s="154"/>
      <c r="DL47" s="155"/>
      <c r="DM47" s="155"/>
      <c r="DN47" s="155"/>
      <c r="DO47" s="155"/>
      <c r="DP47" s="155"/>
      <c r="DQ47" s="155"/>
      <c r="DR47" s="155"/>
      <c r="DS47" s="156"/>
      <c r="DT47" s="157"/>
      <c r="DU47" s="157"/>
      <c r="DV47" s="158"/>
      <c r="DW47" s="158"/>
      <c r="DX47" s="158"/>
      <c r="DY47" s="158"/>
      <c r="DZ47" s="158"/>
      <c r="EA47" s="154"/>
      <c r="EB47" s="154"/>
      <c r="EC47" s="154"/>
      <c r="ED47" s="154"/>
      <c r="EE47" s="154"/>
      <c r="EF47" s="154"/>
      <c r="EG47" s="154"/>
      <c r="EH47" s="154"/>
      <c r="EI47" s="154"/>
      <c r="EJ47" s="154"/>
      <c r="EK47" s="159"/>
      <c r="EL47" s="159"/>
      <c r="EM47" s="159"/>
      <c r="EN47" s="159"/>
      <c r="EO47" s="159"/>
      <c r="EP47" s="159"/>
      <c r="EQ47" s="159"/>
      <c r="ER47" s="159"/>
      <c r="ES47" s="159"/>
      <c r="ET47" s="159"/>
      <c r="EU47" s="159"/>
      <c r="EV47" s="159"/>
      <c r="EW47" s="159"/>
      <c r="EX47" s="159"/>
      <c r="EY47" s="159"/>
      <c r="EZ47" s="159"/>
      <c r="FA47" s="159"/>
      <c r="FB47" s="159"/>
      <c r="FC47" s="159"/>
      <c r="FD47" s="159"/>
      <c r="FE47" s="159"/>
      <c r="FF47" s="159"/>
    </row>
    <row r="48" spans="1:162" ht="12.75" customHeight="1">
      <c r="A48" s="7">
        <v>450</v>
      </c>
      <c r="B48" s="8">
        <v>4</v>
      </c>
      <c r="C48" s="8">
        <v>2</v>
      </c>
      <c r="D48" s="8">
        <v>2</v>
      </c>
      <c r="E48" s="7">
        <v>20</v>
      </c>
      <c r="F48" s="7">
        <v>25</v>
      </c>
      <c r="H48" s="196"/>
      <c r="I48" s="46"/>
      <c r="J48" s="46"/>
      <c r="K48" s="46"/>
      <c r="L48" s="46"/>
      <c r="M48" s="46"/>
      <c r="N48" s="46"/>
      <c r="O48" s="48"/>
      <c r="P48" s="46"/>
      <c r="Q48" s="34" t="s">
        <v>149</v>
      </c>
      <c r="R48" s="51">
        <f>VLOOKUP(F42,$A$44:$F$55,3,FALSE)</f>
        <v>2</v>
      </c>
      <c r="S48" s="199" t="s">
        <v>83</v>
      </c>
      <c r="AA48" s="113" t="s">
        <v>211</v>
      </c>
      <c r="AB48" s="113">
        <v>18</v>
      </c>
      <c r="AC48" s="113" t="s">
        <v>260</v>
      </c>
      <c r="AD48" s="114">
        <v>18</v>
      </c>
      <c r="AE48" s="122">
        <v>1232</v>
      </c>
      <c r="AF48" s="123">
        <v>350</v>
      </c>
      <c r="AG48" s="123">
        <v>12</v>
      </c>
      <c r="AH48" s="123">
        <v>16</v>
      </c>
      <c r="AI48" s="123">
        <v>1200</v>
      </c>
      <c r="AJ48" s="124" t="str" cm="1">
        <f t="array" ref="AJ48">_xll.Dce_Name_SectI(AE48, AE48, AF48, AG48, AH48, "x", "-", "H Tổng")</f>
        <v>1232x350x12x16</v>
      </c>
      <c r="AK48" s="154">
        <f t="shared" si="3"/>
        <v>1382</v>
      </c>
      <c r="AL48" s="155" cm="1">
        <f t="array" ref="AL48">IFERROR(INDEX($A$28:$A$35,IFERROR(MATCH(AF48,$A$28:$A$35,0),MATCH(AF48,$A$28:$A$35,1)+1)),$A$28)</f>
        <v>350</v>
      </c>
      <c r="AM48" s="155">
        <f t="shared" si="4"/>
        <v>25</v>
      </c>
      <c r="AN48" s="155">
        <f t="shared" si="5"/>
        <v>6</v>
      </c>
      <c r="AO48" s="155">
        <f t="shared" si="6"/>
        <v>2</v>
      </c>
      <c r="AP48" s="155">
        <f t="shared" si="7"/>
        <v>6</v>
      </c>
      <c r="AQ48" s="155">
        <f t="shared" si="8"/>
        <v>24</v>
      </c>
      <c r="AR48" s="155" t="str">
        <f t="shared" si="9"/>
        <v>1382x350x25 + 14M24</v>
      </c>
      <c r="AS48" s="156" t="s">
        <v>286</v>
      </c>
      <c r="AT48" s="157">
        <v>-25.326725332573815</v>
      </c>
      <c r="AU48" s="157">
        <v>-11.652332702268177</v>
      </c>
      <c r="AV48" s="158">
        <v>-2.4734262846640466E-3</v>
      </c>
      <c r="AW48" s="158">
        <v>2.4098893868985282E-4</v>
      </c>
      <c r="AX48" s="158">
        <v>-5.8558959719400309E-4</v>
      </c>
      <c r="AY48" s="158">
        <v>425.6910315345587</v>
      </c>
      <c r="AZ48" s="158"/>
      <c r="BA48" s="154">
        <f t="shared" si="10"/>
        <v>60</v>
      </c>
      <c r="BB48" s="154">
        <f t="shared" si="11"/>
        <v>70</v>
      </c>
      <c r="BC48" s="154">
        <f t="shared" si="12"/>
        <v>80</v>
      </c>
      <c r="BD48" s="154">
        <f t="shared" si="13"/>
        <v>140</v>
      </c>
      <c r="BE48" s="154">
        <f>HLOOKUP(AQ48,Data!$H$31:$Q$35,3,FALSE)</f>
        <v>452.38934211693021</v>
      </c>
      <c r="BF48" s="154">
        <f>HLOOKUP(AQ48,Data!$H$31:$Q$35,4,FALSE)</f>
        <v>353</v>
      </c>
      <c r="BG48" s="154">
        <f t="shared" si="14"/>
        <v>180</v>
      </c>
      <c r="BH48" s="154">
        <f t="shared" si="15"/>
        <v>121.65654188208487</v>
      </c>
      <c r="BI48" s="154">
        <f t="shared" si="16"/>
        <v>243</v>
      </c>
      <c r="BJ48" s="154">
        <f t="shared" si="17"/>
        <v>142.3296</v>
      </c>
      <c r="BK48" s="159">
        <f t="shared" si="18"/>
        <v>0.83230947873344119</v>
      </c>
      <c r="BL48" s="160">
        <f t="shared" si="19"/>
        <v>0.82541666666666669</v>
      </c>
      <c r="BM48" s="169">
        <f t="shared" si="20"/>
        <v>8.2885037712666886E-3</v>
      </c>
      <c r="BN48" s="162" t="str">
        <f t="shared" si="21"/>
        <v>OK</v>
      </c>
      <c r="BO48" s="163" cm="1">
        <f t="array" ref="BO48">_xll.DCEBoltDisK(AN48, AO48, AP48, AE48,  BB48, BC48, BD48, "h7")</f>
        <v>1222</v>
      </c>
      <c r="BP48" s="164" cm="1">
        <f t="array" ref="BP48">_xll.DCEBoltDisK(AN48, AO48, AP48, AE48,  BB48, BC48, BD48, "Tong")</f>
        <v>4037428</v>
      </c>
      <c r="BQ48" s="165">
        <f t="shared" si="22"/>
        <v>62.612461160573581</v>
      </c>
      <c r="BR48" s="161">
        <f t="shared" si="23"/>
        <v>0.43991173417598012</v>
      </c>
      <c r="BS48" s="162" t="str">
        <f t="shared" si="24"/>
        <v>OK</v>
      </c>
      <c r="BT48" s="159">
        <f t="shared" si="25"/>
        <v>0.43996492992727343</v>
      </c>
      <c r="BU48" s="162" t="str">
        <f t="shared" si="26"/>
        <v>OK</v>
      </c>
      <c r="BV48" s="166">
        <f t="shared" si="27"/>
        <v>320.20170935456798</v>
      </c>
      <c r="BW48" s="159">
        <f t="shared" si="28"/>
        <v>7.2045384604777789</v>
      </c>
      <c r="BX48" s="166">
        <f t="shared" si="29"/>
        <v>160.10085467728399</v>
      </c>
      <c r="BY48" s="155">
        <f t="shared" si="30"/>
        <v>50.045997988847091</v>
      </c>
      <c r="BZ48" s="167">
        <f t="shared" si="31"/>
        <v>0.24327915689022894</v>
      </c>
      <c r="CA48" s="159">
        <f t="shared" si="32"/>
        <v>4.6338887026710269</v>
      </c>
      <c r="CB48" s="168">
        <f t="shared" si="33"/>
        <v>3.8837668724493762E-2</v>
      </c>
      <c r="CC48" s="155">
        <f t="shared" si="34"/>
        <v>50.685507674540602</v>
      </c>
      <c r="CD48" s="159">
        <f t="shared" si="35"/>
        <v>0.21425033437305815</v>
      </c>
      <c r="CE48" s="161">
        <f t="shared" si="36"/>
        <v>0.24327915689022894</v>
      </c>
      <c r="CF48" s="162" t="str">
        <f t="shared" si="37"/>
        <v>OK</v>
      </c>
      <c r="DA48" s="113"/>
      <c r="DB48" s="113"/>
      <c r="DC48" s="113"/>
      <c r="DD48" s="114"/>
      <c r="DE48" s="122"/>
      <c r="DF48" s="123"/>
      <c r="DG48" s="123"/>
      <c r="DH48" s="123"/>
      <c r="DI48" s="123"/>
      <c r="DJ48" s="124"/>
      <c r="DK48" s="154"/>
      <c r="DL48" s="155"/>
      <c r="DM48" s="155"/>
      <c r="DN48" s="155"/>
      <c r="DO48" s="155"/>
      <c r="DP48" s="155"/>
      <c r="DQ48" s="155"/>
      <c r="DR48" s="155"/>
      <c r="DS48" s="156"/>
      <c r="DT48" s="157"/>
      <c r="DU48" s="157"/>
      <c r="DV48" s="158"/>
      <c r="DW48" s="158"/>
      <c r="DX48" s="158"/>
      <c r="DY48" s="158"/>
      <c r="DZ48" s="158"/>
      <c r="EA48" s="154"/>
      <c r="EB48" s="154"/>
      <c r="EC48" s="154"/>
      <c r="ED48" s="154"/>
      <c r="EE48" s="154"/>
      <c r="EF48" s="154"/>
      <c r="EG48" s="154"/>
      <c r="EH48" s="154"/>
      <c r="EI48" s="154"/>
      <c r="EJ48" s="154"/>
      <c r="EK48" s="159"/>
      <c r="EL48" s="159"/>
      <c r="EM48" s="159"/>
      <c r="EN48" s="159"/>
      <c r="EO48" s="159"/>
      <c r="EP48" s="159"/>
      <c r="EQ48" s="159"/>
      <c r="ER48" s="159"/>
      <c r="ES48" s="159"/>
      <c r="ET48" s="159"/>
      <c r="EU48" s="159"/>
      <c r="EV48" s="159"/>
      <c r="EW48" s="159"/>
      <c r="EX48" s="159"/>
      <c r="EY48" s="159"/>
      <c r="EZ48" s="159"/>
      <c r="FA48" s="159"/>
      <c r="FB48" s="159"/>
      <c r="FC48" s="159"/>
      <c r="FD48" s="159"/>
      <c r="FE48" s="159"/>
      <c r="FF48" s="159"/>
    </row>
    <row r="49" spans="1:162" ht="12.75" customHeight="1">
      <c r="A49" s="7">
        <v>500</v>
      </c>
      <c r="B49" s="8">
        <v>6</v>
      </c>
      <c r="C49" s="8">
        <v>2</v>
      </c>
      <c r="D49" s="8">
        <v>2</v>
      </c>
      <c r="E49" s="7">
        <v>20</v>
      </c>
      <c r="F49" s="7">
        <v>25</v>
      </c>
      <c r="H49" s="196"/>
      <c r="I49" s="46"/>
      <c r="J49" s="46"/>
      <c r="K49" s="46"/>
      <c r="L49" s="46"/>
      <c r="M49" s="46"/>
      <c r="N49" s="46"/>
      <c r="O49" s="48"/>
      <c r="P49" s="46"/>
      <c r="Q49" s="34" t="s">
        <v>150</v>
      </c>
      <c r="R49" s="51">
        <f>VLOOKUP(F42,$A$44:$F$55,4,FALSE)</f>
        <v>6</v>
      </c>
      <c r="S49" s="199" t="s">
        <v>83</v>
      </c>
      <c r="AA49" s="113" t="s">
        <v>211</v>
      </c>
      <c r="AB49" s="113">
        <v>23</v>
      </c>
      <c r="AC49" s="113" t="s">
        <v>260</v>
      </c>
      <c r="AD49" s="114">
        <v>18</v>
      </c>
      <c r="AE49" s="122">
        <v>1232</v>
      </c>
      <c r="AF49" s="123">
        <v>350</v>
      </c>
      <c r="AG49" s="123">
        <v>12</v>
      </c>
      <c r="AH49" s="123">
        <v>16</v>
      </c>
      <c r="AI49" s="123">
        <v>1200</v>
      </c>
      <c r="AJ49" s="124" t="str" cm="1">
        <f t="array" ref="AJ49">_xll.Dce_Name_SectI(AE49, AE49, AF49, AG49, AH49, "x", "-", "H Tổng")</f>
        <v>1232x350x12x16</v>
      </c>
      <c r="AK49" s="154">
        <f t="shared" si="3"/>
        <v>1382</v>
      </c>
      <c r="AL49" s="155" cm="1">
        <f t="array" ref="AL49">IFERROR(INDEX($A$28:$A$35,IFERROR(MATCH(AF49,$A$28:$A$35,0),MATCH(AF49,$A$28:$A$35,1)+1)),$A$28)</f>
        <v>350</v>
      </c>
      <c r="AM49" s="155">
        <f t="shared" si="4"/>
        <v>25</v>
      </c>
      <c r="AN49" s="155">
        <f t="shared" si="5"/>
        <v>6</v>
      </c>
      <c r="AO49" s="155">
        <f t="shared" si="6"/>
        <v>2</v>
      </c>
      <c r="AP49" s="155">
        <f t="shared" si="7"/>
        <v>6</v>
      </c>
      <c r="AQ49" s="155">
        <f t="shared" si="8"/>
        <v>24</v>
      </c>
      <c r="AR49" s="155" t="str">
        <f t="shared" si="9"/>
        <v>1382x350x25 + 14M24</v>
      </c>
      <c r="AS49" s="156" t="s">
        <v>261</v>
      </c>
      <c r="AT49" s="157">
        <v>-103.46520874420915</v>
      </c>
      <c r="AU49" s="157">
        <v>-35.060511521731542</v>
      </c>
      <c r="AV49" s="158">
        <v>1.6975761591821972E-2</v>
      </c>
      <c r="AW49" s="158">
        <v>-3.2368018967225535E-4</v>
      </c>
      <c r="AX49" s="158">
        <v>6.4816560954791824E-4</v>
      </c>
      <c r="AY49" s="158">
        <v>631.08568100966477</v>
      </c>
      <c r="AZ49" s="158"/>
      <c r="BA49" s="154">
        <f t="shared" si="10"/>
        <v>60</v>
      </c>
      <c r="BB49" s="154">
        <f t="shared" si="11"/>
        <v>70</v>
      </c>
      <c r="BC49" s="154">
        <f t="shared" si="12"/>
        <v>80</v>
      </c>
      <c r="BD49" s="154">
        <f t="shared" si="13"/>
        <v>140</v>
      </c>
      <c r="BE49" s="154">
        <f>HLOOKUP(AQ49,Data!$H$31:$Q$35,3,FALSE)</f>
        <v>452.38934211693021</v>
      </c>
      <c r="BF49" s="154">
        <f>HLOOKUP(AQ49,Data!$H$31:$Q$35,4,FALSE)</f>
        <v>353</v>
      </c>
      <c r="BG49" s="154">
        <f t="shared" si="14"/>
        <v>180</v>
      </c>
      <c r="BH49" s="154">
        <f t="shared" si="15"/>
        <v>121.65654188208487</v>
      </c>
      <c r="BI49" s="154">
        <f t="shared" si="16"/>
        <v>243</v>
      </c>
      <c r="BJ49" s="154">
        <f t="shared" si="17"/>
        <v>142.3296</v>
      </c>
      <c r="BK49" s="159">
        <f t="shared" si="18"/>
        <v>2.504322251552253</v>
      </c>
      <c r="BL49" s="160">
        <f t="shared" si="19"/>
        <v>0.82541666666666669</v>
      </c>
      <c r="BM49" s="169">
        <f t="shared" si="20"/>
        <v>2.4939142178273425E-2</v>
      </c>
      <c r="BN49" s="162" t="str">
        <f t="shared" si="21"/>
        <v>OK</v>
      </c>
      <c r="BO49" s="163" cm="1">
        <f t="array" ref="BO49">_xll.DCEBoltDisK(AN49, AO49, AP49, AE49,  BB49, BC49, BD49, "h7")</f>
        <v>1222</v>
      </c>
      <c r="BP49" s="164" cm="1">
        <f t="array" ref="BP49">_xll.DCEBoltDisK(AN49, AO49, AP49, AE49,  BB49, BC49, BD49, "Tong")</f>
        <v>4037428</v>
      </c>
      <c r="BQ49" s="165">
        <f t="shared" si="22"/>
        <v>88.114328240421486</v>
      </c>
      <c r="BR49" s="161">
        <f t="shared" si="23"/>
        <v>0.61908646016304048</v>
      </c>
      <c r="BS49" s="162" t="str">
        <f t="shared" si="24"/>
        <v>OK</v>
      </c>
      <c r="BT49" s="159">
        <f t="shared" si="25"/>
        <v>0.61942860358665197</v>
      </c>
      <c r="BU49" s="162" t="str">
        <f t="shared" si="26"/>
        <v>OK</v>
      </c>
      <c r="BV49" s="166">
        <f t="shared" si="27"/>
        <v>408.77966220519409</v>
      </c>
      <c r="BW49" s="159">
        <f t="shared" si="28"/>
        <v>9.1975423996168661</v>
      </c>
      <c r="BX49" s="166">
        <f t="shared" si="29"/>
        <v>204.38983110259704</v>
      </c>
      <c r="BY49" s="155">
        <f t="shared" si="30"/>
        <v>63.890308998785763</v>
      </c>
      <c r="BZ49" s="167">
        <f t="shared" si="31"/>
        <v>0.31057789096631971</v>
      </c>
      <c r="CA49" s="159">
        <f t="shared" si="32"/>
        <v>5.9157693517394216</v>
      </c>
      <c r="CB49" s="168">
        <f t="shared" si="33"/>
        <v>4.9581400218122552E-2</v>
      </c>
      <c r="CC49" s="155">
        <f t="shared" si="34"/>
        <v>64.706727355270132</v>
      </c>
      <c r="CD49" s="159">
        <f t="shared" si="35"/>
        <v>0.27351877505247041</v>
      </c>
      <c r="CE49" s="161">
        <f t="shared" si="36"/>
        <v>0.31057789096631971</v>
      </c>
      <c r="CF49" s="162" t="str">
        <f t="shared" si="37"/>
        <v>OK</v>
      </c>
      <c r="DA49" s="113"/>
      <c r="DB49" s="113"/>
      <c r="DC49" s="113"/>
      <c r="DD49" s="114"/>
      <c r="DE49" s="122"/>
      <c r="DF49" s="123"/>
      <c r="DG49" s="123"/>
      <c r="DH49" s="123"/>
      <c r="DI49" s="123"/>
      <c r="DJ49" s="124"/>
      <c r="DK49" s="154"/>
      <c r="DL49" s="155"/>
      <c r="DM49" s="155"/>
      <c r="DN49" s="155"/>
      <c r="DO49" s="155"/>
      <c r="DP49" s="155"/>
      <c r="DQ49" s="155"/>
      <c r="DR49" s="155"/>
      <c r="DS49" s="156"/>
      <c r="DT49" s="157"/>
      <c r="DU49" s="157"/>
      <c r="DV49" s="158"/>
      <c r="DW49" s="158"/>
      <c r="DX49" s="158"/>
      <c r="DY49" s="158"/>
      <c r="DZ49" s="158"/>
      <c r="EA49" s="154"/>
      <c r="EB49" s="154"/>
      <c r="EC49" s="154"/>
      <c r="ED49" s="154"/>
      <c r="EE49" s="154"/>
      <c r="EF49" s="154"/>
      <c r="EG49" s="154"/>
      <c r="EH49" s="154"/>
      <c r="EI49" s="154"/>
      <c r="EJ49" s="154"/>
      <c r="EK49" s="159"/>
      <c r="EL49" s="159"/>
      <c r="EM49" s="159"/>
      <c r="EN49" s="159"/>
      <c r="EO49" s="159"/>
      <c r="EP49" s="159"/>
      <c r="EQ49" s="159"/>
      <c r="ER49" s="159"/>
      <c r="ES49" s="159"/>
      <c r="ET49" s="159"/>
      <c r="EU49" s="159"/>
      <c r="EV49" s="159"/>
      <c r="EW49" s="159"/>
      <c r="EX49" s="159"/>
      <c r="EY49" s="159"/>
      <c r="EZ49" s="159"/>
      <c r="FA49" s="159"/>
      <c r="FB49" s="159"/>
      <c r="FC49" s="159"/>
      <c r="FD49" s="159"/>
      <c r="FE49" s="159"/>
      <c r="FF49" s="159"/>
    </row>
    <row r="50" spans="1:162" ht="12.75" customHeight="1">
      <c r="A50" s="7">
        <v>550</v>
      </c>
      <c r="B50" s="8">
        <v>6</v>
      </c>
      <c r="C50" s="8">
        <v>2</v>
      </c>
      <c r="D50" s="8">
        <v>4</v>
      </c>
      <c r="E50" s="7">
        <v>24</v>
      </c>
      <c r="F50" s="7">
        <v>25</v>
      </c>
      <c r="H50" s="196"/>
      <c r="I50" s="46"/>
      <c r="J50" s="46"/>
      <c r="K50" s="46"/>
      <c r="L50" s="46"/>
      <c r="M50" s="46"/>
      <c r="N50" s="46"/>
      <c r="O50" s="48"/>
      <c r="P50" s="46"/>
      <c r="Q50" s="34" t="s">
        <v>151</v>
      </c>
      <c r="R50" s="35">
        <f>R47+R48+R49</f>
        <v>14</v>
      </c>
      <c r="S50" s="199" t="s">
        <v>83</v>
      </c>
      <c r="AA50" s="113" t="s">
        <v>211</v>
      </c>
      <c r="AB50" s="113">
        <v>23</v>
      </c>
      <c r="AC50" s="113" t="s">
        <v>260</v>
      </c>
      <c r="AD50" s="114">
        <v>18</v>
      </c>
      <c r="AE50" s="122">
        <v>1232</v>
      </c>
      <c r="AF50" s="123">
        <v>350</v>
      </c>
      <c r="AG50" s="123">
        <v>12</v>
      </c>
      <c r="AH50" s="123">
        <v>16</v>
      </c>
      <c r="AI50" s="123">
        <v>1200</v>
      </c>
      <c r="AJ50" s="124" t="str" cm="1">
        <f t="array" ref="AJ50">_xll.Dce_Name_SectI(AE50, AE50, AF50, AG50, AH50, "x", "-", "H Tổng")</f>
        <v>1232x350x12x16</v>
      </c>
      <c r="AK50" s="154">
        <f t="shared" si="3"/>
        <v>1382</v>
      </c>
      <c r="AL50" s="155" cm="1">
        <f t="array" ref="AL50">IFERROR(INDEX($A$28:$A$35,IFERROR(MATCH(AF50,$A$28:$A$35,0),MATCH(AF50,$A$28:$A$35,1)+1)),$A$28)</f>
        <v>350</v>
      </c>
      <c r="AM50" s="155">
        <f t="shared" si="4"/>
        <v>25</v>
      </c>
      <c r="AN50" s="155">
        <f t="shared" si="5"/>
        <v>6</v>
      </c>
      <c r="AO50" s="155">
        <f t="shared" si="6"/>
        <v>2</v>
      </c>
      <c r="AP50" s="155">
        <f t="shared" si="7"/>
        <v>6</v>
      </c>
      <c r="AQ50" s="155">
        <f t="shared" si="8"/>
        <v>24</v>
      </c>
      <c r="AR50" s="155" t="str">
        <f t="shared" si="9"/>
        <v>1382x350x25 + 14M24</v>
      </c>
      <c r="AS50" s="156" t="s">
        <v>262</v>
      </c>
      <c r="AT50" s="157">
        <v>-184.5844065546984</v>
      </c>
      <c r="AU50" s="157">
        <v>-65.553458303188336</v>
      </c>
      <c r="AV50" s="158">
        <v>3.145692544408038E-2</v>
      </c>
      <c r="AW50" s="158">
        <v>-6.7084838589173451E-4</v>
      </c>
      <c r="AX50" s="158">
        <v>8.186361691065458E-4</v>
      </c>
      <c r="AY50" s="158">
        <v>1179.9613128244077</v>
      </c>
      <c r="AZ50" s="158"/>
      <c r="BA50" s="154">
        <f t="shared" si="10"/>
        <v>60</v>
      </c>
      <c r="BB50" s="154">
        <f t="shared" si="11"/>
        <v>70</v>
      </c>
      <c r="BC50" s="154">
        <f t="shared" si="12"/>
        <v>80</v>
      </c>
      <c r="BD50" s="154">
        <f t="shared" si="13"/>
        <v>140</v>
      </c>
      <c r="BE50" s="154">
        <f>HLOOKUP(AQ50,Data!$H$31:$Q$35,3,FALSE)</f>
        <v>452.38934211693021</v>
      </c>
      <c r="BF50" s="154">
        <f>HLOOKUP(AQ50,Data!$H$31:$Q$35,4,FALSE)</f>
        <v>353</v>
      </c>
      <c r="BG50" s="154">
        <f t="shared" si="14"/>
        <v>180</v>
      </c>
      <c r="BH50" s="154">
        <f t="shared" si="15"/>
        <v>121.65654188208487</v>
      </c>
      <c r="BI50" s="154">
        <f t="shared" si="16"/>
        <v>243</v>
      </c>
      <c r="BJ50" s="154">
        <f t="shared" si="17"/>
        <v>142.3296</v>
      </c>
      <c r="BK50" s="159">
        <f t="shared" si="18"/>
        <v>4.6823898787991665</v>
      </c>
      <c r="BL50" s="160">
        <f t="shared" si="19"/>
        <v>0.82541666666666669</v>
      </c>
      <c r="BM50" s="169">
        <f t="shared" si="20"/>
        <v>4.6629297347456147E-2</v>
      </c>
      <c r="BN50" s="162" t="str">
        <f t="shared" si="21"/>
        <v>OK</v>
      </c>
      <c r="BO50" s="163" cm="1">
        <f t="array" ref="BO50">_xll.DCEBoltDisK(AN50, AO50, AP50, AE50,  BB50, BC50, BD50, "h7")</f>
        <v>1222</v>
      </c>
      <c r="BP50" s="164" cm="1">
        <f t="array" ref="BP50">_xll.DCEBoltDisK(AN50, AO50, AP50, AE50,  BB50, BC50, BD50, "Tong")</f>
        <v>4037428</v>
      </c>
      <c r="BQ50" s="165">
        <f t="shared" si="22"/>
        <v>165.38362715982024</v>
      </c>
      <c r="BR50" s="161">
        <f t="shared" si="23"/>
        <v>1.1619763363335542</v>
      </c>
      <c r="BS50" s="162" t="str">
        <f t="shared" si="24"/>
        <v>O/S</v>
      </c>
      <c r="BT50" s="159">
        <f t="shared" si="25"/>
        <v>1.1626135980911347</v>
      </c>
      <c r="BU50" s="162" t="str">
        <f t="shared" si="26"/>
        <v>O/S</v>
      </c>
      <c r="BV50" s="166">
        <f t="shared" si="27"/>
        <v>773.17639930926896</v>
      </c>
      <c r="BW50" s="159">
        <f t="shared" si="28"/>
        <v>17.396468984458551</v>
      </c>
      <c r="BX50" s="166">
        <f t="shared" si="29"/>
        <v>386.58819965463448</v>
      </c>
      <c r="BY50" s="155">
        <f t="shared" si="30"/>
        <v>120.84377876324319</v>
      </c>
      <c r="BZ50" s="167">
        <f t="shared" si="31"/>
        <v>0.58743503565465449</v>
      </c>
      <c r="CA50" s="159">
        <f t="shared" si="32"/>
        <v>11.189238774374369</v>
      </c>
      <c r="CB50" s="168">
        <f t="shared" si="33"/>
        <v>9.3779539536183648E-2</v>
      </c>
      <c r="CC50" s="155">
        <f t="shared" si="34"/>
        <v>122.38797350569033</v>
      </c>
      <c r="CD50" s="159">
        <f t="shared" si="35"/>
        <v>0.51734046771729014</v>
      </c>
      <c r="CE50" s="161">
        <f t="shared" si="36"/>
        <v>0.58743503565465449</v>
      </c>
      <c r="CF50" s="162" t="str">
        <f t="shared" si="37"/>
        <v>OK</v>
      </c>
      <c r="DA50" s="113"/>
      <c r="DB50" s="113"/>
      <c r="DC50" s="113"/>
      <c r="DD50" s="114"/>
      <c r="DE50" s="122"/>
      <c r="DF50" s="123"/>
      <c r="DG50" s="123"/>
      <c r="DH50" s="123"/>
      <c r="DI50" s="123"/>
      <c r="DJ50" s="124"/>
      <c r="DK50" s="154"/>
      <c r="DL50" s="155"/>
      <c r="DM50" s="155"/>
      <c r="DN50" s="155"/>
      <c r="DO50" s="155"/>
      <c r="DP50" s="155"/>
      <c r="DQ50" s="155"/>
      <c r="DR50" s="155"/>
      <c r="DS50" s="156"/>
      <c r="DT50" s="157"/>
      <c r="DU50" s="157"/>
      <c r="DV50" s="158"/>
      <c r="DW50" s="158"/>
      <c r="DX50" s="158"/>
      <c r="DY50" s="158"/>
      <c r="DZ50" s="158"/>
      <c r="EA50" s="154"/>
      <c r="EB50" s="154"/>
      <c r="EC50" s="154"/>
      <c r="ED50" s="154"/>
      <c r="EE50" s="154"/>
      <c r="EF50" s="154"/>
      <c r="EG50" s="154"/>
      <c r="EH50" s="154"/>
      <c r="EI50" s="154"/>
      <c r="EJ50" s="154"/>
      <c r="EK50" s="159"/>
      <c r="EL50" s="159"/>
      <c r="EM50" s="159"/>
      <c r="EN50" s="159"/>
      <c r="EO50" s="159"/>
      <c r="EP50" s="159"/>
      <c r="EQ50" s="159"/>
      <c r="ER50" s="159"/>
      <c r="ES50" s="159"/>
      <c r="ET50" s="159"/>
      <c r="EU50" s="159"/>
      <c r="EV50" s="159"/>
      <c r="EW50" s="159"/>
      <c r="EX50" s="159"/>
      <c r="EY50" s="159"/>
      <c r="EZ50" s="159"/>
      <c r="FA50" s="159"/>
      <c r="FB50" s="159"/>
      <c r="FC50" s="159"/>
      <c r="FD50" s="159"/>
      <c r="FE50" s="159"/>
      <c r="FF50" s="159"/>
    </row>
    <row r="51" spans="1:162" ht="12.75" customHeight="1">
      <c r="A51" s="7">
        <v>600</v>
      </c>
      <c r="B51" s="8">
        <v>6</v>
      </c>
      <c r="C51" s="8">
        <v>2</v>
      </c>
      <c r="D51" s="8">
        <v>4</v>
      </c>
      <c r="E51" s="7">
        <v>24</v>
      </c>
      <c r="F51" s="7">
        <v>25</v>
      </c>
      <c r="H51" s="196"/>
      <c r="I51" s="46"/>
      <c r="J51" s="46"/>
      <c r="K51" s="46"/>
      <c r="L51" s="46"/>
      <c r="M51" s="46"/>
      <c r="N51" s="46"/>
      <c r="O51" s="33"/>
      <c r="P51" s="32"/>
      <c r="Q51" s="34" t="s">
        <v>106</v>
      </c>
      <c r="R51" s="51">
        <f>VLOOKUP(F42,$A$44:$F$55,6,FALSE)</f>
        <v>25</v>
      </c>
      <c r="S51" s="199" t="s">
        <v>4</v>
      </c>
      <c r="AA51" s="113" t="s">
        <v>211</v>
      </c>
      <c r="AB51" s="113">
        <v>23</v>
      </c>
      <c r="AC51" s="113" t="s">
        <v>260</v>
      </c>
      <c r="AD51" s="114">
        <v>18</v>
      </c>
      <c r="AE51" s="122">
        <v>1232</v>
      </c>
      <c r="AF51" s="123">
        <v>350</v>
      </c>
      <c r="AG51" s="123">
        <v>12</v>
      </c>
      <c r="AH51" s="123">
        <v>16</v>
      </c>
      <c r="AI51" s="123">
        <v>1200</v>
      </c>
      <c r="AJ51" s="124" t="str" cm="1">
        <f t="array" ref="AJ51">_xll.Dce_Name_SectI(AE51, AE51, AF51, AG51, AH51, "x", "-", "H Tổng")</f>
        <v>1232x350x12x16</v>
      </c>
      <c r="AK51" s="154">
        <f t="shared" si="3"/>
        <v>1382</v>
      </c>
      <c r="AL51" s="155" cm="1">
        <f t="array" ref="AL51">IFERROR(INDEX($A$28:$A$35,IFERROR(MATCH(AF51,$A$28:$A$35,0),MATCH(AF51,$A$28:$A$35,1)+1)),$A$28)</f>
        <v>350</v>
      </c>
      <c r="AM51" s="155">
        <f t="shared" si="4"/>
        <v>25</v>
      </c>
      <c r="AN51" s="155">
        <f t="shared" si="5"/>
        <v>6</v>
      </c>
      <c r="AO51" s="155">
        <f t="shared" si="6"/>
        <v>2</v>
      </c>
      <c r="AP51" s="155">
        <f t="shared" si="7"/>
        <v>6</v>
      </c>
      <c r="AQ51" s="155">
        <f t="shared" si="8"/>
        <v>24</v>
      </c>
      <c r="AR51" s="155" t="str">
        <f t="shared" si="9"/>
        <v>1382x350x25 + 14M24</v>
      </c>
      <c r="AS51" s="156" t="s">
        <v>263</v>
      </c>
      <c r="AT51" s="157">
        <v>-88.972523566631224</v>
      </c>
      <c r="AU51" s="157">
        <v>-6.1327910225834135</v>
      </c>
      <c r="AV51" s="158">
        <v>0.12517458069583165</v>
      </c>
      <c r="AW51" s="158">
        <v>-3.3564354209016578E-3</v>
      </c>
      <c r="AX51" s="158">
        <v>-1.8922468139816712E-2</v>
      </c>
      <c r="AY51" s="158">
        <v>653.04473134964894</v>
      </c>
      <c r="AZ51" s="158"/>
      <c r="BA51" s="154">
        <f t="shared" si="10"/>
        <v>60</v>
      </c>
      <c r="BB51" s="154">
        <f t="shared" si="11"/>
        <v>70</v>
      </c>
      <c r="BC51" s="154">
        <f t="shared" si="12"/>
        <v>80</v>
      </c>
      <c r="BD51" s="154">
        <f t="shared" si="13"/>
        <v>140</v>
      </c>
      <c r="BE51" s="154">
        <f>HLOOKUP(AQ51,Data!$H$31:$Q$35,3,FALSE)</f>
        <v>452.38934211693021</v>
      </c>
      <c r="BF51" s="154">
        <f>HLOOKUP(AQ51,Data!$H$31:$Q$35,4,FALSE)</f>
        <v>353</v>
      </c>
      <c r="BG51" s="154">
        <f t="shared" si="14"/>
        <v>180</v>
      </c>
      <c r="BH51" s="154">
        <f t="shared" si="15"/>
        <v>121.65654188208487</v>
      </c>
      <c r="BI51" s="154">
        <f t="shared" si="16"/>
        <v>243</v>
      </c>
      <c r="BJ51" s="154">
        <f t="shared" si="17"/>
        <v>142.3296</v>
      </c>
      <c r="BK51" s="159">
        <f t="shared" si="18"/>
        <v>0.43805650161310095</v>
      </c>
      <c r="BL51" s="160">
        <f t="shared" si="19"/>
        <v>0.82541666666666669</v>
      </c>
      <c r="BM51" s="169">
        <f t="shared" si="20"/>
        <v>4.3623592646971458E-3</v>
      </c>
      <c r="BN51" s="162" t="str">
        <f t="shared" si="21"/>
        <v>OK</v>
      </c>
      <c r="BO51" s="163" cm="1">
        <f t="array" ref="BO51">_xll.DCEBoltDisK(AN51, AO51, AP51, AE51,  BB51, BC51, BD51, "h7")</f>
        <v>1222</v>
      </c>
      <c r="BP51" s="164" cm="1">
        <f t="array" ref="BP51">_xll.DCEBoltDisK(AN51, AO51, AP51, AE51,  BB51, BC51, BD51, "Tong")</f>
        <v>4037428</v>
      </c>
      <c r="BQ51" s="165">
        <f t="shared" si="22"/>
        <v>92.47267026161775</v>
      </c>
      <c r="BR51" s="161">
        <f t="shared" si="23"/>
        <v>0.64970793328736787</v>
      </c>
      <c r="BS51" s="162" t="str">
        <f t="shared" si="24"/>
        <v>OK</v>
      </c>
      <c r="BT51" s="159">
        <f t="shared" si="25"/>
        <v>0.64971791115701649</v>
      </c>
      <c r="BU51" s="162" t="str">
        <f t="shared" si="26"/>
        <v>OK</v>
      </c>
      <c r="BV51" s="166">
        <f t="shared" si="27"/>
        <v>441.09625187951235</v>
      </c>
      <c r="BW51" s="159">
        <f t="shared" si="28"/>
        <v>9.9246656672890268</v>
      </c>
      <c r="BX51" s="166">
        <f t="shared" si="29"/>
        <v>220.54812593975618</v>
      </c>
      <c r="BY51" s="155">
        <f t="shared" si="30"/>
        <v>68.941237630951278</v>
      </c>
      <c r="BZ51" s="167">
        <f t="shared" si="31"/>
        <v>0.33513101626156877</v>
      </c>
      <c r="CA51" s="159">
        <f t="shared" si="32"/>
        <v>6.3834479287917851</v>
      </c>
      <c r="CB51" s="168">
        <f t="shared" si="33"/>
        <v>5.3501120092843031E-2</v>
      </c>
      <c r="CC51" s="155">
        <f t="shared" si="34"/>
        <v>69.822198966131694</v>
      </c>
      <c r="CD51" s="159">
        <f t="shared" si="35"/>
        <v>0.29514214538823791</v>
      </c>
      <c r="CE51" s="161">
        <f t="shared" si="36"/>
        <v>0.33513101626156877</v>
      </c>
      <c r="CF51" s="162" t="str">
        <f t="shared" si="37"/>
        <v>OK</v>
      </c>
      <c r="DA51" s="113"/>
      <c r="DB51" s="113"/>
      <c r="DC51" s="113"/>
      <c r="DD51" s="114"/>
      <c r="DE51" s="122"/>
      <c r="DF51" s="123"/>
      <c r="DG51" s="123"/>
      <c r="DH51" s="123"/>
      <c r="DI51" s="123"/>
      <c r="DJ51" s="124"/>
      <c r="DK51" s="154"/>
      <c r="DL51" s="155"/>
      <c r="DM51" s="155"/>
      <c r="DN51" s="155"/>
      <c r="DO51" s="155"/>
      <c r="DP51" s="155"/>
      <c r="DQ51" s="155"/>
      <c r="DR51" s="155"/>
      <c r="DS51" s="156"/>
      <c r="DT51" s="157"/>
      <c r="DU51" s="157"/>
      <c r="DV51" s="158"/>
      <c r="DW51" s="158"/>
      <c r="DX51" s="158"/>
      <c r="DY51" s="158"/>
      <c r="DZ51" s="158"/>
      <c r="EA51" s="154"/>
      <c r="EB51" s="154"/>
      <c r="EC51" s="154"/>
      <c r="ED51" s="154"/>
      <c r="EE51" s="154"/>
      <c r="EF51" s="154"/>
      <c r="EG51" s="154"/>
      <c r="EH51" s="154"/>
      <c r="EI51" s="154"/>
      <c r="EJ51" s="154"/>
      <c r="EK51" s="159"/>
      <c r="EL51" s="159"/>
      <c r="EM51" s="159"/>
      <c r="EN51" s="159"/>
      <c r="EO51" s="159"/>
      <c r="EP51" s="159"/>
      <c r="EQ51" s="159"/>
      <c r="ER51" s="159"/>
      <c r="ES51" s="159"/>
      <c r="ET51" s="159"/>
      <c r="EU51" s="159"/>
      <c r="EV51" s="159"/>
      <c r="EW51" s="159"/>
      <c r="EX51" s="159"/>
      <c r="EY51" s="159"/>
      <c r="EZ51" s="159"/>
      <c r="FA51" s="159"/>
      <c r="FB51" s="159"/>
      <c r="FC51" s="159"/>
      <c r="FD51" s="159"/>
      <c r="FE51" s="159"/>
      <c r="FF51" s="159"/>
    </row>
    <row r="52" spans="1:162" ht="12.75" customHeight="1">
      <c r="A52" s="7">
        <v>700</v>
      </c>
      <c r="B52" s="8">
        <v>6</v>
      </c>
      <c r="C52" s="8">
        <v>2</v>
      </c>
      <c r="D52" s="8">
        <v>4</v>
      </c>
      <c r="E52" s="7">
        <v>24</v>
      </c>
      <c r="F52" s="7">
        <v>25</v>
      </c>
      <c r="H52" s="275" t="s">
        <v>153</v>
      </c>
      <c r="I52" s="276"/>
      <c r="J52" s="125" t="s">
        <v>84</v>
      </c>
      <c r="K52" s="124" t="s">
        <v>29</v>
      </c>
      <c r="L52" s="124" t="s">
        <v>85</v>
      </c>
      <c r="M52" s="124" t="s">
        <v>86</v>
      </c>
      <c r="N52" s="124" t="s">
        <v>88</v>
      </c>
      <c r="O52" s="202"/>
      <c r="P52" s="32"/>
      <c r="Q52" s="34" t="s">
        <v>105</v>
      </c>
      <c r="R52" s="53">
        <f>R42+J53+K53+20</f>
        <v>1382</v>
      </c>
      <c r="S52" s="199" t="s">
        <v>4</v>
      </c>
      <c r="AA52" s="113" t="s">
        <v>211</v>
      </c>
      <c r="AB52" s="113">
        <v>23</v>
      </c>
      <c r="AC52" s="113" t="s">
        <v>260</v>
      </c>
      <c r="AD52" s="114">
        <v>18</v>
      </c>
      <c r="AE52" s="122">
        <v>1232</v>
      </c>
      <c r="AF52" s="123">
        <v>350</v>
      </c>
      <c r="AG52" s="123">
        <v>12</v>
      </c>
      <c r="AH52" s="123">
        <v>16</v>
      </c>
      <c r="AI52" s="123">
        <v>1200</v>
      </c>
      <c r="AJ52" s="124" t="str" cm="1">
        <f t="array" ref="AJ52">_xll.Dce_Name_SectI(AE52, AE52, AF52, AG52, AH52, "x", "-", "H Tổng")</f>
        <v>1232x350x12x16</v>
      </c>
      <c r="AK52" s="154">
        <f t="shared" si="3"/>
        <v>1382</v>
      </c>
      <c r="AL52" s="155" cm="1">
        <f t="array" ref="AL52">IFERROR(INDEX($A$28:$A$35,IFERROR(MATCH(AF52,$A$28:$A$35,0),MATCH(AF52,$A$28:$A$35,1)+1)),$A$28)</f>
        <v>350</v>
      </c>
      <c r="AM52" s="155">
        <f t="shared" si="4"/>
        <v>25</v>
      </c>
      <c r="AN52" s="155">
        <f t="shared" si="5"/>
        <v>6</v>
      </c>
      <c r="AO52" s="155">
        <f t="shared" si="6"/>
        <v>2</v>
      </c>
      <c r="AP52" s="155">
        <f t="shared" si="7"/>
        <v>6</v>
      </c>
      <c r="AQ52" s="155">
        <f t="shared" si="8"/>
        <v>24</v>
      </c>
      <c r="AR52" s="155" t="str">
        <f t="shared" si="9"/>
        <v>1382x350x25 + 14M24</v>
      </c>
      <c r="AS52" s="156" t="s">
        <v>264</v>
      </c>
      <c r="AT52" s="157">
        <v>-132.09594109015976</v>
      </c>
      <c r="AU52" s="157">
        <v>-38.913401060021727</v>
      </c>
      <c r="AV52" s="158">
        <v>0.13880149012311679</v>
      </c>
      <c r="AW52" s="158">
        <v>-3.4998026283235518E-3</v>
      </c>
      <c r="AX52" s="158">
        <v>-1.8963733713162317E-2</v>
      </c>
      <c r="AY52" s="158">
        <v>933.02713979442524</v>
      </c>
      <c r="AZ52" s="158"/>
      <c r="BA52" s="154">
        <f t="shared" si="10"/>
        <v>60</v>
      </c>
      <c r="BB52" s="154">
        <f t="shared" si="11"/>
        <v>70</v>
      </c>
      <c r="BC52" s="154">
        <f t="shared" si="12"/>
        <v>80</v>
      </c>
      <c r="BD52" s="154">
        <f t="shared" si="13"/>
        <v>140</v>
      </c>
      <c r="BE52" s="154">
        <f>HLOOKUP(AQ52,Data!$H$31:$Q$35,3,FALSE)</f>
        <v>452.38934211693021</v>
      </c>
      <c r="BF52" s="154">
        <f>HLOOKUP(AQ52,Data!$H$31:$Q$35,4,FALSE)</f>
        <v>353</v>
      </c>
      <c r="BG52" s="154">
        <f t="shared" si="14"/>
        <v>180</v>
      </c>
      <c r="BH52" s="154">
        <f t="shared" si="15"/>
        <v>121.65654188208487</v>
      </c>
      <c r="BI52" s="154">
        <f t="shared" si="16"/>
        <v>243</v>
      </c>
      <c r="BJ52" s="154">
        <f t="shared" si="17"/>
        <v>142.3296</v>
      </c>
      <c r="BK52" s="159">
        <f t="shared" si="18"/>
        <v>2.7795286471444092</v>
      </c>
      <c r="BL52" s="160">
        <f t="shared" si="19"/>
        <v>0.82541666666666669</v>
      </c>
      <c r="BM52" s="169">
        <f t="shared" si="20"/>
        <v>2.7679768478977657E-2</v>
      </c>
      <c r="BN52" s="162" t="str">
        <f t="shared" si="21"/>
        <v>OK</v>
      </c>
      <c r="BO52" s="163" cm="1">
        <f t="array" ref="BO52">_xll.DCEBoltDisK(AN52, AO52, AP52, AE52,  BB52, BC52, BD52, "h7")</f>
        <v>1222</v>
      </c>
      <c r="BP52" s="164" cm="1">
        <f t="array" ref="BP52">_xll.DCEBoltDisK(AN52, AO52, AP52, AE52,  BB52, BC52, BD52, "Tong")</f>
        <v>4037428</v>
      </c>
      <c r="BQ52" s="165">
        <f t="shared" si="22"/>
        <v>131.76327500997724</v>
      </c>
      <c r="BR52" s="161">
        <f t="shared" si="23"/>
        <v>0.92576157742294807</v>
      </c>
      <c r="BS52" s="162" t="str">
        <f t="shared" si="24"/>
        <v>OK</v>
      </c>
      <c r="BT52" s="159">
        <f t="shared" si="25"/>
        <v>0.92604346511364799</v>
      </c>
      <c r="BU52" s="162" t="str">
        <f t="shared" si="26"/>
        <v>OK</v>
      </c>
      <c r="BV52" s="166">
        <f t="shared" si="27"/>
        <v>625.2312827689517</v>
      </c>
      <c r="BW52" s="159">
        <f t="shared" si="28"/>
        <v>14.067703862301412</v>
      </c>
      <c r="BX52" s="166">
        <f t="shared" si="29"/>
        <v>312.61564138447585</v>
      </c>
      <c r="BY52" s="155">
        <f t="shared" si="30"/>
        <v>97.720663587621956</v>
      </c>
      <c r="BZ52" s="167">
        <f t="shared" si="31"/>
        <v>0.47503100355094013</v>
      </c>
      <c r="CA52" s="159">
        <f t="shared" si="32"/>
        <v>9.0482095914464793</v>
      </c>
      <c r="CB52" s="168">
        <f t="shared" si="33"/>
        <v>7.5835089966625191E-2</v>
      </c>
      <c r="CC52" s="155">
        <f t="shared" si="34"/>
        <v>98.969381034931288</v>
      </c>
      <c r="CD52" s="159">
        <f t="shared" si="35"/>
        <v>0.4183488328771251</v>
      </c>
      <c r="CE52" s="161">
        <f t="shared" si="36"/>
        <v>0.47503100355094013</v>
      </c>
      <c r="CF52" s="162" t="str">
        <f t="shared" si="37"/>
        <v>OK</v>
      </c>
      <c r="DA52" s="113"/>
      <c r="DB52" s="113"/>
      <c r="DC52" s="113"/>
      <c r="DD52" s="114"/>
      <c r="DE52" s="122"/>
      <c r="DF52" s="123"/>
      <c r="DG52" s="123"/>
      <c r="DH52" s="123"/>
      <c r="DI52" s="123"/>
      <c r="DJ52" s="124"/>
      <c r="DK52" s="154"/>
      <c r="DL52" s="155"/>
      <c r="DM52" s="155"/>
      <c r="DN52" s="155"/>
      <c r="DO52" s="155"/>
      <c r="DP52" s="155"/>
      <c r="DQ52" s="155"/>
      <c r="DR52" s="155"/>
      <c r="DS52" s="156"/>
      <c r="DT52" s="157"/>
      <c r="DU52" s="157"/>
      <c r="DV52" s="158"/>
      <c r="DW52" s="158"/>
      <c r="DX52" s="158"/>
      <c r="DY52" s="158"/>
      <c r="DZ52" s="158"/>
      <c r="EA52" s="154"/>
      <c r="EB52" s="154"/>
      <c r="EC52" s="154"/>
      <c r="ED52" s="154"/>
      <c r="EE52" s="154"/>
      <c r="EF52" s="154"/>
      <c r="EG52" s="154"/>
      <c r="EH52" s="154"/>
      <c r="EI52" s="154"/>
      <c r="EJ52" s="154"/>
      <c r="EK52" s="159"/>
      <c r="EL52" s="159"/>
      <c r="EM52" s="159"/>
      <c r="EN52" s="159"/>
      <c r="EO52" s="159"/>
      <c r="EP52" s="159"/>
      <c r="EQ52" s="159"/>
      <c r="ER52" s="159"/>
      <c r="ES52" s="159"/>
      <c r="ET52" s="159"/>
      <c r="EU52" s="159"/>
      <c r="EV52" s="159"/>
      <c r="EW52" s="159"/>
      <c r="EX52" s="159"/>
      <c r="EY52" s="159"/>
      <c r="EZ52" s="159"/>
      <c r="FA52" s="159"/>
      <c r="FB52" s="159"/>
      <c r="FC52" s="159"/>
      <c r="FD52" s="159"/>
      <c r="FE52" s="159"/>
      <c r="FF52" s="159"/>
    </row>
    <row r="53" spans="1:162" ht="12.75" customHeight="1">
      <c r="A53" s="7">
        <v>800</v>
      </c>
      <c r="B53" s="8">
        <v>6</v>
      </c>
      <c r="C53" s="8">
        <v>2</v>
      </c>
      <c r="D53" s="8">
        <v>6</v>
      </c>
      <c r="E53" s="7">
        <v>24</v>
      </c>
      <c r="F53" s="7">
        <v>25</v>
      </c>
      <c r="H53" s="277"/>
      <c r="I53" s="278"/>
      <c r="J53" s="203">
        <f>VLOOKUP(R20,$A$13:$E$21,2,FALSE)</f>
        <v>60</v>
      </c>
      <c r="K53" s="204">
        <f>VLOOKUP(R20,$A$13:$E$21,3,FALSE)</f>
        <v>70</v>
      </c>
      <c r="L53" s="204">
        <f>VLOOKUP(R20,$A$13:$E$21,4,FALSE)</f>
        <v>80</v>
      </c>
      <c r="M53" s="204">
        <f>VLOOKUP(R20,$A$13:$E$21,5,FALSE)</f>
        <v>140</v>
      </c>
      <c r="N53" s="205" cm="1">
        <f t="array" ref="N53">_xll.DCEBoltDisK(R47, R48, R49, R42,  K53, L53, M53, "EQ")</f>
        <v>326</v>
      </c>
      <c r="O53" s="202"/>
      <c r="P53" s="32"/>
      <c r="Q53" s="34" t="s">
        <v>107</v>
      </c>
      <c r="R53" s="51" cm="1">
        <f t="array" ref="R53">INDEX(A28:A35,IFERROR(MATCH(R43,$A$28:$A$35,0),MATCH(R43,$A$28:$A$35,1)+1))</f>
        <v>350</v>
      </c>
      <c r="S53" s="199" t="s">
        <v>4</v>
      </c>
      <c r="AA53" s="113" t="s">
        <v>211</v>
      </c>
      <c r="AB53" s="113">
        <v>23</v>
      </c>
      <c r="AC53" s="113" t="s">
        <v>260</v>
      </c>
      <c r="AD53" s="114">
        <v>18</v>
      </c>
      <c r="AE53" s="122">
        <v>1232</v>
      </c>
      <c r="AF53" s="123">
        <v>350</v>
      </c>
      <c r="AG53" s="123">
        <v>12</v>
      </c>
      <c r="AH53" s="123">
        <v>16</v>
      </c>
      <c r="AI53" s="123">
        <v>1200</v>
      </c>
      <c r="AJ53" s="124" t="str" cm="1">
        <f t="array" ref="AJ53">_xll.Dce_Name_SectI(AE53, AE53, AF53, AG53, AH53, "x", "-", "H Tổng")</f>
        <v>1232x350x12x16</v>
      </c>
      <c r="AK53" s="154">
        <f t="shared" si="3"/>
        <v>1382</v>
      </c>
      <c r="AL53" s="155" cm="1">
        <f t="array" ref="AL53">IFERROR(INDEX($A$28:$A$35,IFERROR(MATCH(AF53,$A$28:$A$35,0),MATCH(AF53,$A$28:$A$35,1)+1)),$A$28)</f>
        <v>350</v>
      </c>
      <c r="AM53" s="155">
        <f t="shared" si="4"/>
        <v>25</v>
      </c>
      <c r="AN53" s="155">
        <f t="shared" si="5"/>
        <v>6</v>
      </c>
      <c r="AO53" s="155">
        <f t="shared" si="6"/>
        <v>2</v>
      </c>
      <c r="AP53" s="155">
        <f t="shared" si="7"/>
        <v>6</v>
      </c>
      <c r="AQ53" s="155">
        <f t="shared" si="8"/>
        <v>24</v>
      </c>
      <c r="AR53" s="155" t="str">
        <f t="shared" si="9"/>
        <v>1382x350x25 + 14M24</v>
      </c>
      <c r="AS53" s="156" t="s">
        <v>265</v>
      </c>
      <c r="AT53" s="157">
        <v>-124.4695318927958</v>
      </c>
      <c r="AU53" s="157">
        <v>-3.496856714368457</v>
      </c>
      <c r="AV53" s="158">
        <v>-7.1151039628442811E-2</v>
      </c>
      <c r="AW53" s="158">
        <v>2.3966035883873117E-3</v>
      </c>
      <c r="AX53" s="158">
        <v>2.0076334622929654E-2</v>
      </c>
      <c r="AY53" s="158">
        <v>605.5250592267297</v>
      </c>
      <c r="AZ53" s="158"/>
      <c r="BA53" s="154">
        <f t="shared" si="10"/>
        <v>60</v>
      </c>
      <c r="BB53" s="154">
        <f t="shared" si="11"/>
        <v>70</v>
      </c>
      <c r="BC53" s="154">
        <f t="shared" si="12"/>
        <v>80</v>
      </c>
      <c r="BD53" s="154">
        <f t="shared" si="13"/>
        <v>140</v>
      </c>
      <c r="BE53" s="154">
        <f>HLOOKUP(AQ53,Data!$H$31:$Q$35,3,FALSE)</f>
        <v>452.38934211693021</v>
      </c>
      <c r="BF53" s="154">
        <f>HLOOKUP(AQ53,Data!$H$31:$Q$35,4,FALSE)</f>
        <v>353</v>
      </c>
      <c r="BG53" s="154">
        <f t="shared" si="14"/>
        <v>180</v>
      </c>
      <c r="BH53" s="154">
        <f t="shared" si="15"/>
        <v>121.65654188208487</v>
      </c>
      <c r="BI53" s="154">
        <f t="shared" si="16"/>
        <v>243</v>
      </c>
      <c r="BJ53" s="154">
        <f t="shared" si="17"/>
        <v>142.3296</v>
      </c>
      <c r="BK53" s="159">
        <f t="shared" si="18"/>
        <v>0.24977547959774693</v>
      </c>
      <c r="BL53" s="160">
        <f t="shared" si="19"/>
        <v>0.82541666666666669</v>
      </c>
      <c r="BM53" s="169">
        <f t="shared" si="20"/>
        <v>2.4873740567826724E-3</v>
      </c>
      <c r="BN53" s="162" t="str">
        <f t="shared" si="21"/>
        <v>OK</v>
      </c>
      <c r="BO53" s="163" cm="1">
        <f t="array" ref="BO53">_xll.DCEBoltDisK(AN53, AO53, AP53, AE53,  BB53, BC53, BD53, "h7")</f>
        <v>1222</v>
      </c>
      <c r="BP53" s="164" cm="1">
        <f t="array" ref="BP53">_xll.DCEBoltDisK(AN53, AO53, AP53, AE53,  BB53, BC53, BD53, "Tong")</f>
        <v>4037428</v>
      </c>
      <c r="BQ53" s="165">
        <f t="shared" si="22"/>
        <v>82.745829123579568</v>
      </c>
      <c r="BR53" s="161">
        <f t="shared" si="23"/>
        <v>0.58136767842795578</v>
      </c>
      <c r="BS53" s="162" t="str">
        <f t="shared" si="24"/>
        <v>OK</v>
      </c>
      <c r="BT53" s="159">
        <f t="shared" si="25"/>
        <v>0.58137130374869417</v>
      </c>
      <c r="BU53" s="162" t="str">
        <f t="shared" si="26"/>
        <v>OK</v>
      </c>
      <c r="BV53" s="166">
        <f t="shared" si="27"/>
        <v>367.02808111591332</v>
      </c>
      <c r="BW53" s="159">
        <f t="shared" si="28"/>
        <v>8.25813182510805</v>
      </c>
      <c r="BX53" s="166">
        <f t="shared" si="29"/>
        <v>183.51404055795666</v>
      </c>
      <c r="BY53" s="155">
        <f t="shared" si="30"/>
        <v>57.364736267031311</v>
      </c>
      <c r="BZ53" s="167">
        <f t="shared" si="31"/>
        <v>0.27885635685362448</v>
      </c>
      <c r="CA53" s="159">
        <f t="shared" si="32"/>
        <v>5.311549654354752</v>
      </c>
      <c r="CB53" s="168">
        <f t="shared" si="33"/>
        <v>4.4517298348279777E-2</v>
      </c>
      <c r="CC53" s="155">
        <f t="shared" si="34"/>
        <v>58.097767996525356</v>
      </c>
      <c r="CD53" s="159">
        <f t="shared" si="35"/>
        <v>0.24558235264231737</v>
      </c>
      <c r="CE53" s="161">
        <f t="shared" si="36"/>
        <v>0.27885635685362448</v>
      </c>
      <c r="CF53" s="162" t="str">
        <f t="shared" si="37"/>
        <v>OK</v>
      </c>
      <c r="DA53" s="113"/>
      <c r="DB53" s="113"/>
      <c r="DC53" s="113"/>
      <c r="DD53" s="114"/>
      <c r="DE53" s="122"/>
      <c r="DF53" s="123"/>
      <c r="DG53" s="123"/>
      <c r="DH53" s="123"/>
      <c r="DI53" s="123"/>
      <c r="DJ53" s="124"/>
      <c r="DK53" s="154"/>
      <c r="DL53" s="155"/>
      <c r="DM53" s="155"/>
      <c r="DN53" s="155"/>
      <c r="DO53" s="155"/>
      <c r="DP53" s="155"/>
      <c r="DQ53" s="155"/>
      <c r="DR53" s="155"/>
      <c r="DS53" s="156"/>
      <c r="DT53" s="157"/>
      <c r="DU53" s="157"/>
      <c r="DV53" s="158"/>
      <c r="DW53" s="158"/>
      <c r="DX53" s="158"/>
      <c r="DY53" s="158"/>
      <c r="DZ53" s="158"/>
      <c r="EA53" s="154"/>
      <c r="EB53" s="154"/>
      <c r="EC53" s="154"/>
      <c r="ED53" s="154"/>
      <c r="EE53" s="154"/>
      <c r="EF53" s="154"/>
      <c r="EG53" s="154"/>
      <c r="EH53" s="154"/>
      <c r="EI53" s="154"/>
      <c r="EJ53" s="154"/>
      <c r="EK53" s="159"/>
      <c r="EL53" s="159"/>
      <c r="EM53" s="159"/>
      <c r="EN53" s="159"/>
      <c r="EO53" s="159"/>
      <c r="EP53" s="159"/>
      <c r="EQ53" s="159"/>
      <c r="ER53" s="159"/>
      <c r="ES53" s="159"/>
      <c r="ET53" s="159"/>
      <c r="EU53" s="159"/>
      <c r="EV53" s="159"/>
      <c r="EW53" s="159"/>
      <c r="EX53" s="159"/>
      <c r="EY53" s="159"/>
      <c r="EZ53" s="159"/>
      <c r="FA53" s="159"/>
      <c r="FB53" s="159"/>
      <c r="FC53" s="159"/>
      <c r="FD53" s="159"/>
      <c r="FE53" s="159"/>
      <c r="FF53" s="159"/>
    </row>
    <row r="54" spans="1:162" ht="12.75" customHeight="1">
      <c r="A54" s="7">
        <v>900</v>
      </c>
      <c r="B54" s="8">
        <v>6</v>
      </c>
      <c r="C54" s="8">
        <v>2</v>
      </c>
      <c r="D54" s="8">
        <v>6</v>
      </c>
      <c r="E54" s="7">
        <v>24</v>
      </c>
      <c r="F54" s="7">
        <v>25</v>
      </c>
      <c r="H54" s="125" t="s">
        <v>100</v>
      </c>
      <c r="I54" s="124" t="s">
        <v>99</v>
      </c>
      <c r="J54" s="124" t="s">
        <v>98</v>
      </c>
      <c r="K54" s="124" t="s">
        <v>97</v>
      </c>
      <c r="L54" s="124" t="s">
        <v>96</v>
      </c>
      <c r="M54" s="124" t="s">
        <v>95</v>
      </c>
      <c r="N54" s="124" t="s">
        <v>94</v>
      </c>
      <c r="O54" s="202"/>
      <c r="P54" s="32"/>
      <c r="Q54" s="34" t="s">
        <v>89</v>
      </c>
      <c r="R54" s="51">
        <f>VLOOKUP(R53,$A$28:$B$35,2,FALSE)</f>
        <v>180</v>
      </c>
      <c r="S54" s="199" t="s">
        <v>4</v>
      </c>
      <c r="AA54" s="113" t="s">
        <v>211</v>
      </c>
      <c r="AB54" s="113">
        <v>23</v>
      </c>
      <c r="AC54" s="113" t="s">
        <v>260</v>
      </c>
      <c r="AD54" s="114">
        <v>18</v>
      </c>
      <c r="AE54" s="122">
        <v>1232</v>
      </c>
      <c r="AF54" s="123">
        <v>350</v>
      </c>
      <c r="AG54" s="123">
        <v>12</v>
      </c>
      <c r="AH54" s="123">
        <v>16</v>
      </c>
      <c r="AI54" s="123">
        <v>1200</v>
      </c>
      <c r="AJ54" s="124" t="str" cm="1">
        <f t="array" ref="AJ54">_xll.Dce_Name_SectI(AE54, AE54, AF54, AG54, AH54, "x", "-", "H Tổng")</f>
        <v>1232x350x12x16</v>
      </c>
      <c r="AK54" s="154">
        <f t="shared" si="3"/>
        <v>1382</v>
      </c>
      <c r="AL54" s="155" cm="1">
        <f t="array" ref="AL54">IFERROR(INDEX($A$28:$A$35,IFERROR(MATCH(AF54,$A$28:$A$35,0),MATCH(AF54,$A$28:$A$35,1)+1)),$A$28)</f>
        <v>350</v>
      </c>
      <c r="AM54" s="155">
        <f t="shared" si="4"/>
        <v>25</v>
      </c>
      <c r="AN54" s="155">
        <f t="shared" si="5"/>
        <v>6</v>
      </c>
      <c r="AO54" s="155">
        <f t="shared" si="6"/>
        <v>2</v>
      </c>
      <c r="AP54" s="155">
        <f t="shared" si="7"/>
        <v>6</v>
      </c>
      <c r="AQ54" s="155">
        <f t="shared" si="8"/>
        <v>24</v>
      </c>
      <c r="AR54" s="155" t="str">
        <f t="shared" si="9"/>
        <v>1382x350x25 + 14M24</v>
      </c>
      <c r="AS54" s="156" t="s">
        <v>266</v>
      </c>
      <c r="AT54" s="157">
        <v>-167.4007035077698</v>
      </c>
      <c r="AU54" s="157">
        <v>-36.139653824626009</v>
      </c>
      <c r="AV54" s="158">
        <v>-7.680358706734261E-2</v>
      </c>
      <c r="AW54" s="158">
        <v>2.2650106479874116E-3</v>
      </c>
      <c r="AX54" s="158">
        <v>2.0606314160993316E-2</v>
      </c>
      <c r="AY54" s="158">
        <v>883.02921501817286</v>
      </c>
      <c r="AZ54" s="158"/>
      <c r="BA54" s="154">
        <f t="shared" si="10"/>
        <v>60</v>
      </c>
      <c r="BB54" s="154">
        <f t="shared" si="11"/>
        <v>70</v>
      </c>
      <c r="BC54" s="154">
        <f t="shared" si="12"/>
        <v>80</v>
      </c>
      <c r="BD54" s="154">
        <f t="shared" si="13"/>
        <v>140</v>
      </c>
      <c r="BE54" s="154">
        <f>HLOOKUP(AQ54,Data!$H$31:$Q$35,3,FALSE)</f>
        <v>452.38934211693021</v>
      </c>
      <c r="BF54" s="154">
        <f>HLOOKUP(AQ54,Data!$H$31:$Q$35,4,FALSE)</f>
        <v>353</v>
      </c>
      <c r="BG54" s="154">
        <f t="shared" si="14"/>
        <v>180</v>
      </c>
      <c r="BH54" s="154">
        <f t="shared" si="15"/>
        <v>121.65654188208487</v>
      </c>
      <c r="BI54" s="154">
        <f t="shared" si="16"/>
        <v>243</v>
      </c>
      <c r="BJ54" s="154">
        <f t="shared" si="17"/>
        <v>142.3296</v>
      </c>
      <c r="BK54" s="159">
        <f t="shared" si="18"/>
        <v>2.5814038446161436</v>
      </c>
      <c r="BL54" s="160">
        <f t="shared" si="19"/>
        <v>0.82541666666666669</v>
      </c>
      <c r="BM54" s="169">
        <f t="shared" si="20"/>
        <v>2.5706754576221274E-2</v>
      </c>
      <c r="BN54" s="162" t="str">
        <f t="shared" si="21"/>
        <v>OK</v>
      </c>
      <c r="BO54" s="163" cm="1">
        <f t="array" ref="BO54">_xll.DCEBoltDisK(AN54, AO54, AP54, AE54,  BB54, BC54, BD54, "h7")</f>
        <v>1222</v>
      </c>
      <c r="BP54" s="164" cm="1">
        <f t="array" ref="BP54">_xll.DCEBoltDisK(AN54, AO54, AP54, AE54,  BB54, BC54, BD54, "Tong")</f>
        <v>4037428</v>
      </c>
      <c r="BQ54" s="165">
        <f t="shared" si="22"/>
        <v>121.67512191466382</v>
      </c>
      <c r="BR54" s="161">
        <f t="shared" si="23"/>
        <v>0.85488276447530109</v>
      </c>
      <c r="BS54" s="162" t="str">
        <f t="shared" si="24"/>
        <v>OK</v>
      </c>
      <c r="BT54" s="159">
        <f t="shared" si="25"/>
        <v>0.85514605640060104</v>
      </c>
      <c r="BU54" s="162" t="str">
        <f t="shared" si="26"/>
        <v>OK</v>
      </c>
      <c r="BV54" s="166">
        <f t="shared" si="27"/>
        <v>549.34378920178608</v>
      </c>
      <c r="BW54" s="159">
        <f t="shared" si="28"/>
        <v>12.360235257040186</v>
      </c>
      <c r="BX54" s="166">
        <f t="shared" si="29"/>
        <v>274.67189460089304</v>
      </c>
      <c r="BY54" s="155">
        <f t="shared" si="30"/>
        <v>85.859810758021553</v>
      </c>
      <c r="BZ54" s="167">
        <f t="shared" si="31"/>
        <v>0.4173740800737159</v>
      </c>
      <c r="CA54" s="159">
        <f t="shared" si="32"/>
        <v>7.9499824775945882</v>
      </c>
      <c r="CB54" s="168">
        <f t="shared" si="33"/>
        <v>6.6630600267196027E-2</v>
      </c>
      <c r="CC54" s="155">
        <f t="shared" si="34"/>
        <v>86.95696503205167</v>
      </c>
      <c r="CD54" s="159">
        <f t="shared" si="35"/>
        <v>0.3675717120920059</v>
      </c>
      <c r="CE54" s="161">
        <f t="shared" si="36"/>
        <v>0.4173740800737159</v>
      </c>
      <c r="CF54" s="162" t="str">
        <f t="shared" si="37"/>
        <v>OK</v>
      </c>
      <c r="DA54" s="113"/>
      <c r="DB54" s="113"/>
      <c r="DC54" s="113"/>
      <c r="DD54" s="114"/>
      <c r="DE54" s="122"/>
      <c r="DF54" s="123"/>
      <c r="DG54" s="123"/>
      <c r="DH54" s="123"/>
      <c r="DI54" s="123"/>
      <c r="DJ54" s="124"/>
      <c r="DK54" s="154"/>
      <c r="DL54" s="155"/>
      <c r="DM54" s="155"/>
      <c r="DN54" s="155"/>
      <c r="DO54" s="155"/>
      <c r="DP54" s="155"/>
      <c r="DQ54" s="155"/>
      <c r="DR54" s="155"/>
      <c r="DS54" s="156"/>
      <c r="DT54" s="157"/>
      <c r="DU54" s="157"/>
      <c r="DV54" s="158"/>
      <c r="DW54" s="158"/>
      <c r="DX54" s="158"/>
      <c r="DY54" s="158"/>
      <c r="DZ54" s="158"/>
      <c r="EA54" s="154"/>
      <c r="EB54" s="154"/>
      <c r="EC54" s="154"/>
      <c r="ED54" s="154"/>
      <c r="EE54" s="154"/>
      <c r="EF54" s="154"/>
      <c r="EG54" s="154"/>
      <c r="EH54" s="154"/>
      <c r="EI54" s="154"/>
      <c r="EJ54" s="154"/>
      <c r="EK54" s="159"/>
      <c r="EL54" s="159"/>
      <c r="EM54" s="159"/>
      <c r="EN54" s="159"/>
      <c r="EO54" s="159"/>
      <c r="EP54" s="159"/>
      <c r="EQ54" s="159"/>
      <c r="ER54" s="159"/>
      <c r="ES54" s="159"/>
      <c r="ET54" s="159"/>
      <c r="EU54" s="159"/>
      <c r="EV54" s="159"/>
      <c r="EW54" s="159"/>
      <c r="EX54" s="159"/>
      <c r="EY54" s="159"/>
      <c r="EZ54" s="159"/>
      <c r="FA54" s="159"/>
      <c r="FB54" s="159"/>
      <c r="FC54" s="159"/>
      <c r="FD54" s="159"/>
      <c r="FE54" s="159"/>
      <c r="FF54" s="159"/>
    </row>
    <row r="55" spans="1:162" ht="12.75" customHeight="1">
      <c r="A55" s="7">
        <v>1500</v>
      </c>
      <c r="B55" s="8">
        <v>6</v>
      </c>
      <c r="C55" s="8">
        <v>2</v>
      </c>
      <c r="D55" s="8">
        <v>6</v>
      </c>
      <c r="E55" s="7">
        <v>24</v>
      </c>
      <c r="F55" s="7">
        <v>25</v>
      </c>
      <c r="H55" s="207" cm="1">
        <f t="array" ref="H55">_xll.DCEBoltDisK(R47, R48, R49, R42,  K53, L53, M53, "h7")</f>
        <v>1222</v>
      </c>
      <c r="I55" s="205" cm="1">
        <f t="array" ref="I55">_xll.DCEBoltDisK(R47, R48, R49, R42,  K53, L53, M53, "h6")</f>
        <v>1082</v>
      </c>
      <c r="J55" s="209" cm="1">
        <f t="array" ref="J55">_xll.DCEBoltDisK(R47, R48, R49, R42,  K53, L53, M53, "h5")</f>
        <v>942</v>
      </c>
      <c r="K55" s="204" cm="1">
        <f t="array" ref="K55">_xll.DCEBoltDisK(R47, R48, R49, R42,  K53, L53, M53, "h4")</f>
        <v>616</v>
      </c>
      <c r="L55" s="204" cm="1">
        <f t="array" ref="L55">_xll.DCEBoltDisK(R47, R48, R49, R42,  K53, L53, M53, "h3")</f>
        <v>0</v>
      </c>
      <c r="M55" s="209" cm="1">
        <f t="array" ref="M55">_xll.DCEBoltDisK(R47, R48, R49, R42,  K53, L53, M53, "h2")</f>
        <v>290</v>
      </c>
      <c r="N55" s="209" cm="1">
        <f t="array" ref="N55">_xll.DCEBoltDisK(R47, R48, R49, R42,  K53, L53, M53, "h1")</f>
        <v>150</v>
      </c>
      <c r="O55" s="206"/>
      <c r="P55" s="32"/>
      <c r="Q55" s="36" t="s">
        <v>112</v>
      </c>
      <c r="R55" s="53" cm="1">
        <f t="array" ref="R55">_xll.DCEBoltDisK(R47, R48, R49, R42,  K53, L53, M53, "Tong")</f>
        <v>4037428</v>
      </c>
      <c r="S55" s="199" t="s">
        <v>6</v>
      </c>
      <c r="AA55" s="113" t="s">
        <v>211</v>
      </c>
      <c r="AB55" s="113">
        <v>23</v>
      </c>
      <c r="AC55" s="113" t="s">
        <v>260</v>
      </c>
      <c r="AD55" s="114">
        <v>18</v>
      </c>
      <c r="AE55" s="122">
        <v>1232</v>
      </c>
      <c r="AF55" s="123">
        <v>350</v>
      </c>
      <c r="AG55" s="123">
        <v>12</v>
      </c>
      <c r="AH55" s="123">
        <v>16</v>
      </c>
      <c r="AI55" s="123">
        <v>1200</v>
      </c>
      <c r="AJ55" s="124" t="str" cm="1">
        <f t="array" ref="AJ55">_xll.Dce_Name_SectI(AE55, AE55, AF55, AG55, AH55, "x", "-", "H Tổng")</f>
        <v>1232x350x12x16</v>
      </c>
      <c r="AK55" s="154">
        <f t="shared" si="3"/>
        <v>1382</v>
      </c>
      <c r="AL55" s="155" cm="1">
        <f t="array" ref="AL55">IFERROR(INDEX($A$28:$A$35,IFERROR(MATCH(AF55,$A$28:$A$35,0),MATCH(AF55,$A$28:$A$35,1)+1)),$A$28)</f>
        <v>350</v>
      </c>
      <c r="AM55" s="155">
        <f t="shared" si="4"/>
        <v>25</v>
      </c>
      <c r="AN55" s="155">
        <f t="shared" si="5"/>
        <v>6</v>
      </c>
      <c r="AO55" s="155">
        <f t="shared" si="6"/>
        <v>2</v>
      </c>
      <c r="AP55" s="155">
        <f t="shared" si="7"/>
        <v>6</v>
      </c>
      <c r="AQ55" s="155">
        <f t="shared" si="8"/>
        <v>24</v>
      </c>
      <c r="AR55" s="155" t="str">
        <f t="shared" si="9"/>
        <v>1382x350x25 + 14M24</v>
      </c>
      <c r="AS55" s="156" t="s">
        <v>267</v>
      </c>
      <c r="AT55" s="157">
        <v>-74.350764989415296</v>
      </c>
      <c r="AU55" s="157">
        <v>-28.466746569729406</v>
      </c>
      <c r="AV55" s="158">
        <v>1.7123979569726618E-2</v>
      </c>
      <c r="AW55" s="158">
        <v>-2.5162682345103991E-4</v>
      </c>
      <c r="AX55" s="158">
        <v>2.1399070580208331E-4</v>
      </c>
      <c r="AY55" s="158">
        <v>307.97299392133812</v>
      </c>
      <c r="AZ55" s="158"/>
      <c r="BA55" s="154">
        <f t="shared" si="10"/>
        <v>60</v>
      </c>
      <c r="BB55" s="154">
        <f t="shared" si="11"/>
        <v>70</v>
      </c>
      <c r="BC55" s="154">
        <f t="shared" si="12"/>
        <v>80</v>
      </c>
      <c r="BD55" s="154">
        <f t="shared" si="13"/>
        <v>140</v>
      </c>
      <c r="BE55" s="154">
        <f>HLOOKUP(AQ55,Data!$H$31:$Q$35,3,FALSE)</f>
        <v>452.38934211693021</v>
      </c>
      <c r="BF55" s="154">
        <f>HLOOKUP(AQ55,Data!$H$31:$Q$35,4,FALSE)</f>
        <v>353</v>
      </c>
      <c r="BG55" s="154">
        <f t="shared" si="14"/>
        <v>180</v>
      </c>
      <c r="BH55" s="154">
        <f t="shared" si="15"/>
        <v>121.65654188208487</v>
      </c>
      <c r="BI55" s="154">
        <f t="shared" si="16"/>
        <v>243</v>
      </c>
      <c r="BJ55" s="154">
        <f t="shared" si="17"/>
        <v>142.3296</v>
      </c>
      <c r="BK55" s="159">
        <f t="shared" si="18"/>
        <v>2.0333390406949574</v>
      </c>
      <c r="BL55" s="160">
        <f t="shared" si="19"/>
        <v>0.82541666666666669</v>
      </c>
      <c r="BM55" s="169">
        <f t="shared" si="20"/>
        <v>2.0248884264432922E-2</v>
      </c>
      <c r="BN55" s="162" t="str">
        <f t="shared" si="21"/>
        <v>OK</v>
      </c>
      <c r="BO55" s="163" cm="1">
        <f t="array" ref="BO55">_xll.DCEBoltDisK(AN55, AO55, AP55, AE55,  BB55, BC55, BD55, "h7")</f>
        <v>1222</v>
      </c>
      <c r="BP55" s="164" cm="1">
        <f t="array" ref="BP55">_xll.DCEBoltDisK(AN55, AO55, AP55, AE55,  BB55, BC55, BD55, "Tong")</f>
        <v>4037428</v>
      </c>
      <c r="BQ55" s="165">
        <f t="shared" si="22"/>
        <v>41.296006297882158</v>
      </c>
      <c r="BR55" s="161">
        <f t="shared" si="23"/>
        <v>0.2901434859500916</v>
      </c>
      <c r="BS55" s="162" t="str">
        <f t="shared" si="24"/>
        <v>OK</v>
      </c>
      <c r="BT55" s="159">
        <f t="shared" si="25"/>
        <v>0.29062448697876114</v>
      </c>
      <c r="BU55" s="162" t="str">
        <f t="shared" si="26"/>
        <v>OK</v>
      </c>
      <c r="BV55" s="166">
        <f t="shared" si="27"/>
        <v>175.62731449219032</v>
      </c>
      <c r="BW55" s="159">
        <f t="shared" si="28"/>
        <v>3.9516145760742822</v>
      </c>
      <c r="BX55" s="166">
        <f t="shared" si="29"/>
        <v>87.813657246095161</v>
      </c>
      <c r="BY55" s="155">
        <f t="shared" si="30"/>
        <v>27.449710513974754</v>
      </c>
      <c r="BZ55" s="167">
        <f t="shared" si="31"/>
        <v>0.13343609277626617</v>
      </c>
      <c r="CA55" s="159">
        <f t="shared" si="32"/>
        <v>2.5416398624050696</v>
      </c>
      <c r="CB55" s="168">
        <f t="shared" si="33"/>
        <v>2.1302058233758966E-2</v>
      </c>
      <c r="CC55" s="155">
        <f t="shared" si="34"/>
        <v>27.800474939675322</v>
      </c>
      <c r="CD55" s="159">
        <f t="shared" si="35"/>
        <v>0.11751408488993194</v>
      </c>
      <c r="CE55" s="161">
        <f t="shared" si="36"/>
        <v>0.13343609277626617</v>
      </c>
      <c r="CF55" s="162" t="str">
        <f t="shared" si="37"/>
        <v>OK</v>
      </c>
      <c r="DA55" s="113"/>
      <c r="DB55" s="113"/>
      <c r="DC55" s="113"/>
      <c r="DD55" s="114"/>
      <c r="DE55" s="122"/>
      <c r="DF55" s="123"/>
      <c r="DG55" s="123"/>
      <c r="DH55" s="123"/>
      <c r="DI55" s="123"/>
      <c r="DJ55" s="124"/>
      <c r="DK55" s="154"/>
      <c r="DL55" s="155"/>
      <c r="DM55" s="155"/>
      <c r="DN55" s="155"/>
      <c r="DO55" s="155"/>
      <c r="DP55" s="155"/>
      <c r="DQ55" s="155"/>
      <c r="DR55" s="155"/>
      <c r="DS55" s="156"/>
      <c r="DT55" s="157"/>
      <c r="DU55" s="157"/>
      <c r="DV55" s="158"/>
      <c r="DW55" s="158"/>
      <c r="DX55" s="158"/>
      <c r="DY55" s="158"/>
      <c r="DZ55" s="158"/>
      <c r="EA55" s="154"/>
      <c r="EB55" s="154"/>
      <c r="EC55" s="154"/>
      <c r="ED55" s="154"/>
      <c r="EE55" s="154"/>
      <c r="EF55" s="154"/>
      <c r="EG55" s="154"/>
      <c r="EH55" s="154"/>
      <c r="EI55" s="154"/>
      <c r="EJ55" s="154"/>
      <c r="EK55" s="159"/>
      <c r="EL55" s="159"/>
      <c r="EM55" s="159"/>
      <c r="EN55" s="159"/>
      <c r="EO55" s="159"/>
      <c r="EP55" s="159"/>
      <c r="EQ55" s="159"/>
      <c r="ER55" s="159"/>
      <c r="ES55" s="159"/>
      <c r="ET55" s="159"/>
      <c r="EU55" s="159"/>
      <c r="EV55" s="159"/>
      <c r="EW55" s="159"/>
      <c r="EX55" s="159"/>
      <c r="EY55" s="159"/>
      <c r="EZ55" s="159"/>
      <c r="FA55" s="159"/>
      <c r="FB55" s="159"/>
      <c r="FC55" s="159"/>
      <c r="FD55" s="159"/>
      <c r="FE55" s="159"/>
      <c r="FF55" s="159"/>
    </row>
    <row r="56" spans="1:162" ht="12.75" customHeight="1">
      <c r="H56" s="208"/>
      <c r="I56" s="192"/>
      <c r="J56" s="192"/>
      <c r="K56" s="210"/>
      <c r="L56" s="211"/>
      <c r="M56" s="192"/>
      <c r="N56" s="212"/>
      <c r="O56" s="32"/>
      <c r="P56" s="50"/>
      <c r="Q56" s="34" t="s">
        <v>90</v>
      </c>
      <c r="R56" s="33">
        <v>8</v>
      </c>
      <c r="S56" s="199" t="s">
        <v>4</v>
      </c>
      <c r="AA56" s="113" t="s">
        <v>211</v>
      </c>
      <c r="AB56" s="113">
        <v>23</v>
      </c>
      <c r="AC56" s="113" t="s">
        <v>260</v>
      </c>
      <c r="AD56" s="114">
        <v>18</v>
      </c>
      <c r="AE56" s="122">
        <v>1232</v>
      </c>
      <c r="AF56" s="123">
        <v>350</v>
      </c>
      <c r="AG56" s="123">
        <v>12</v>
      </c>
      <c r="AH56" s="123">
        <v>16</v>
      </c>
      <c r="AI56" s="123">
        <v>1200</v>
      </c>
      <c r="AJ56" s="124" t="str" cm="1">
        <f t="array" ref="AJ56">_xll.Dce_Name_SectI(AE56, AE56, AF56, AG56, AH56, "x", "-", "H Tổng")</f>
        <v>1232x350x12x16</v>
      </c>
      <c r="AK56" s="154">
        <f t="shared" si="3"/>
        <v>1382</v>
      </c>
      <c r="AL56" s="155" cm="1">
        <f t="array" ref="AL56">IFERROR(INDEX($A$28:$A$35,IFERROR(MATCH(AF56,$A$28:$A$35,0),MATCH(AF56,$A$28:$A$35,1)+1)),$A$28)</f>
        <v>350</v>
      </c>
      <c r="AM56" s="155">
        <f t="shared" si="4"/>
        <v>25</v>
      </c>
      <c r="AN56" s="155">
        <f t="shared" si="5"/>
        <v>6</v>
      </c>
      <c r="AO56" s="155">
        <f t="shared" si="6"/>
        <v>2</v>
      </c>
      <c r="AP56" s="155">
        <f t="shared" si="7"/>
        <v>6</v>
      </c>
      <c r="AQ56" s="155">
        <f t="shared" si="8"/>
        <v>24</v>
      </c>
      <c r="AR56" s="155" t="str">
        <f t="shared" si="9"/>
        <v>1382x350x25 + 14M24</v>
      </c>
      <c r="AS56" s="156" t="s">
        <v>268</v>
      </c>
      <c r="AT56" s="157">
        <v>-117.76995687617878</v>
      </c>
      <c r="AU56" s="157">
        <v>-61.190005206391675</v>
      </c>
      <c r="AV56" s="158">
        <v>2.3754143574110868E-2</v>
      </c>
      <c r="AW56" s="158">
        <v>-3.8046724981543147E-4</v>
      </c>
      <c r="AX56" s="158">
        <v>3.5256843898411326E-4</v>
      </c>
      <c r="AY56" s="158">
        <v>586.92414694551496</v>
      </c>
      <c r="AZ56" s="158"/>
      <c r="BA56" s="154">
        <f t="shared" si="10"/>
        <v>60</v>
      </c>
      <c r="BB56" s="154">
        <f t="shared" si="11"/>
        <v>70</v>
      </c>
      <c r="BC56" s="154">
        <f t="shared" si="12"/>
        <v>80</v>
      </c>
      <c r="BD56" s="154">
        <f t="shared" si="13"/>
        <v>140</v>
      </c>
      <c r="BE56" s="154">
        <f>HLOOKUP(AQ56,Data!$H$31:$Q$35,3,FALSE)</f>
        <v>452.38934211693021</v>
      </c>
      <c r="BF56" s="154">
        <f>HLOOKUP(AQ56,Data!$H$31:$Q$35,4,FALSE)</f>
        <v>353</v>
      </c>
      <c r="BG56" s="154">
        <f t="shared" si="14"/>
        <v>180</v>
      </c>
      <c r="BH56" s="154">
        <f t="shared" si="15"/>
        <v>121.65654188208487</v>
      </c>
      <c r="BI56" s="154">
        <f t="shared" si="16"/>
        <v>243</v>
      </c>
      <c r="BJ56" s="154">
        <f t="shared" si="17"/>
        <v>142.3296</v>
      </c>
      <c r="BK56" s="159">
        <f t="shared" si="18"/>
        <v>4.3707146575994056</v>
      </c>
      <c r="BL56" s="160">
        <f t="shared" si="19"/>
        <v>0.82541666666666669</v>
      </c>
      <c r="BM56" s="169">
        <f t="shared" si="20"/>
        <v>4.3525498445326931E-2</v>
      </c>
      <c r="BN56" s="162" t="str">
        <f t="shared" si="21"/>
        <v>OK</v>
      </c>
      <c r="BO56" s="163" cm="1">
        <f t="array" ref="BO56">_xll.DCEBoltDisK(AN56, AO56, AP56, AE56,  BB56, BC56, BD56, "h7")</f>
        <v>1222</v>
      </c>
      <c r="BP56" s="164" cm="1">
        <f t="array" ref="BP56">_xll.DCEBoltDisK(AN56, AO56, AP56, AE56,  BB56, BC56, BD56, "Tong")</f>
        <v>4037428</v>
      </c>
      <c r="BQ56" s="165">
        <f t="shared" si="22"/>
        <v>80.409420331126981</v>
      </c>
      <c r="BR56" s="161">
        <f t="shared" si="23"/>
        <v>0.56495219779390216</v>
      </c>
      <c r="BS56" s="162" t="str">
        <f t="shared" si="24"/>
        <v>OK</v>
      </c>
      <c r="BT56" s="159">
        <f t="shared" si="25"/>
        <v>0.56609337705168827</v>
      </c>
      <c r="BU56" s="162" t="str">
        <f t="shared" si="26"/>
        <v>OK</v>
      </c>
      <c r="BV56" s="166">
        <f t="shared" si="27"/>
        <v>358.62951304712885</v>
      </c>
      <c r="BW56" s="159">
        <f t="shared" si="28"/>
        <v>8.0691640435603986</v>
      </c>
      <c r="BX56" s="166">
        <f t="shared" si="29"/>
        <v>179.31475652356443</v>
      </c>
      <c r="BY56" s="155">
        <f t="shared" si="30"/>
        <v>56.052080186816077</v>
      </c>
      <c r="BZ56" s="167">
        <f t="shared" si="31"/>
        <v>0.27247538979702263</v>
      </c>
      <c r="CA56" s="159">
        <f t="shared" si="32"/>
        <v>5.1900074247051933</v>
      </c>
      <c r="CB56" s="168">
        <f t="shared" si="33"/>
        <v>4.3498625446523415E-2</v>
      </c>
      <c r="CC56" s="155">
        <f t="shared" si="34"/>
        <v>56.768338221888655</v>
      </c>
      <c r="CD56" s="159">
        <f t="shared" si="35"/>
        <v>0.23996278233890136</v>
      </c>
      <c r="CE56" s="161">
        <f t="shared" si="36"/>
        <v>0.27247538979702263</v>
      </c>
      <c r="CF56" s="162" t="str">
        <f t="shared" si="37"/>
        <v>OK</v>
      </c>
      <c r="DA56" s="113"/>
      <c r="DB56" s="113"/>
      <c r="DC56" s="113"/>
      <c r="DD56" s="114"/>
      <c r="DE56" s="122"/>
      <c r="DF56" s="123"/>
      <c r="DG56" s="123"/>
      <c r="DH56" s="123"/>
      <c r="DI56" s="123"/>
      <c r="DJ56" s="124"/>
      <c r="DK56" s="154"/>
      <c r="DL56" s="155"/>
      <c r="DM56" s="155"/>
      <c r="DN56" s="155"/>
      <c r="DO56" s="155"/>
      <c r="DP56" s="155"/>
      <c r="DQ56" s="155"/>
      <c r="DR56" s="155"/>
      <c r="DS56" s="156"/>
      <c r="DT56" s="157"/>
      <c r="DU56" s="157"/>
      <c r="DV56" s="158"/>
      <c r="DW56" s="158"/>
      <c r="DX56" s="158"/>
      <c r="DY56" s="158"/>
      <c r="DZ56" s="158"/>
      <c r="EA56" s="154"/>
      <c r="EB56" s="154"/>
      <c r="EC56" s="154"/>
      <c r="ED56" s="154"/>
      <c r="EE56" s="154"/>
      <c r="EF56" s="154"/>
      <c r="EG56" s="154"/>
      <c r="EH56" s="154"/>
      <c r="EI56" s="154"/>
      <c r="EJ56" s="154"/>
      <c r="EK56" s="159"/>
      <c r="EL56" s="159"/>
      <c r="EM56" s="159"/>
      <c r="EN56" s="159"/>
      <c r="EO56" s="159"/>
      <c r="EP56" s="159"/>
      <c r="EQ56" s="159"/>
      <c r="ER56" s="159"/>
      <c r="ES56" s="159"/>
      <c r="ET56" s="159"/>
      <c r="EU56" s="159"/>
      <c r="EV56" s="159"/>
      <c r="EW56" s="159"/>
      <c r="EX56" s="159"/>
      <c r="EY56" s="159"/>
      <c r="EZ56" s="159"/>
      <c r="FA56" s="159"/>
      <c r="FB56" s="159"/>
      <c r="FC56" s="159"/>
      <c r="FD56" s="159"/>
      <c r="FE56" s="159"/>
      <c r="FF56" s="159"/>
    </row>
    <row r="57" spans="1:162" ht="12.75" customHeight="1">
      <c r="H57" s="197"/>
      <c r="I57" s="46"/>
      <c r="J57" s="46"/>
      <c r="K57" s="47"/>
      <c r="L57" s="49"/>
      <c r="M57" s="46"/>
      <c r="N57" s="32"/>
      <c r="O57" s="32"/>
      <c r="P57" s="50"/>
      <c r="Q57" s="34" t="s">
        <v>91</v>
      </c>
      <c r="R57" s="33">
        <v>6</v>
      </c>
      <c r="S57" s="199" t="s">
        <v>4</v>
      </c>
      <c r="AA57" s="113" t="s">
        <v>211</v>
      </c>
      <c r="AB57" s="113">
        <v>23</v>
      </c>
      <c r="AC57" s="113" t="s">
        <v>260</v>
      </c>
      <c r="AD57" s="115">
        <v>18</v>
      </c>
      <c r="AE57" s="122">
        <v>1232</v>
      </c>
      <c r="AF57" s="123">
        <v>350</v>
      </c>
      <c r="AG57" s="123">
        <v>12</v>
      </c>
      <c r="AH57" s="123">
        <v>16</v>
      </c>
      <c r="AI57" s="123">
        <v>1200</v>
      </c>
      <c r="AJ57" s="124" t="str" cm="1">
        <f t="array" ref="AJ57">_xll.Dce_Name_SectI(AE57, AE57, AF57, AG57, AH57, "x", "-", "H Tổng")</f>
        <v>1232x350x12x16</v>
      </c>
      <c r="AK57" s="154">
        <f t="shared" si="3"/>
        <v>1382</v>
      </c>
      <c r="AL57" s="155" cm="1">
        <f t="array" ref="AL57">IFERROR(INDEX($A$28:$A$35,IFERROR(MATCH(AF57,$A$28:$A$35,0),MATCH(AF57,$A$28:$A$35,1)+1)),$A$28)</f>
        <v>350</v>
      </c>
      <c r="AM57" s="155">
        <f t="shared" si="4"/>
        <v>25</v>
      </c>
      <c r="AN57" s="155">
        <f t="shared" si="5"/>
        <v>6</v>
      </c>
      <c r="AO57" s="155">
        <f t="shared" si="6"/>
        <v>2</v>
      </c>
      <c r="AP57" s="155">
        <f t="shared" si="7"/>
        <v>6</v>
      </c>
      <c r="AQ57" s="155">
        <f t="shared" si="8"/>
        <v>24</v>
      </c>
      <c r="AR57" s="155" t="str">
        <f t="shared" si="9"/>
        <v>1382x350x25 + 14M24</v>
      </c>
      <c r="AS57" s="156" t="s">
        <v>269</v>
      </c>
      <c r="AT57" s="157">
        <v>-121.25685033203658</v>
      </c>
      <c r="AU57" s="157">
        <v>-27.410224449884826</v>
      </c>
      <c r="AV57" s="158">
        <v>1.5459393484349881E-2</v>
      </c>
      <c r="AW57" s="158">
        <v>-4.0057148788989966E-4</v>
      </c>
      <c r="AX57" s="158">
        <v>9.0665952181795634E-4</v>
      </c>
      <c r="AY57" s="158">
        <v>909.21718800891369</v>
      </c>
      <c r="AZ57" s="158"/>
      <c r="BA57" s="154">
        <f t="shared" si="10"/>
        <v>60</v>
      </c>
      <c r="BB57" s="154">
        <f t="shared" si="11"/>
        <v>70</v>
      </c>
      <c r="BC57" s="154">
        <f t="shared" si="12"/>
        <v>80</v>
      </c>
      <c r="BD57" s="154">
        <f t="shared" si="13"/>
        <v>140</v>
      </c>
      <c r="BE57" s="154">
        <f>HLOOKUP(AQ57,Data!$H$31:$Q$35,3,FALSE)</f>
        <v>452.38934211693021</v>
      </c>
      <c r="BF57" s="154">
        <f>HLOOKUP(AQ57,Data!$H$31:$Q$35,4,FALSE)</f>
        <v>353</v>
      </c>
      <c r="BG57" s="154">
        <f t="shared" si="14"/>
        <v>180</v>
      </c>
      <c r="BH57" s="154">
        <f t="shared" si="15"/>
        <v>121.65654188208487</v>
      </c>
      <c r="BI57" s="154">
        <f t="shared" si="16"/>
        <v>243</v>
      </c>
      <c r="BJ57" s="154">
        <f t="shared" si="17"/>
        <v>142.3296</v>
      </c>
      <c r="BK57" s="159">
        <f t="shared" si="18"/>
        <v>1.9578731749917733</v>
      </c>
      <c r="BL57" s="160">
        <f t="shared" si="19"/>
        <v>0.82541666666666669</v>
      </c>
      <c r="BM57" s="169">
        <f t="shared" si="20"/>
        <v>1.9497361990008514E-2</v>
      </c>
      <c r="BN57" s="162" t="str">
        <f t="shared" si="21"/>
        <v>OK</v>
      </c>
      <c r="BO57" s="163" cm="1">
        <f t="array" ref="BO57">_xll.DCEBoltDisK(AN57, AO57, AP57, AE57,  BB57, BC57, BD57, "h7")</f>
        <v>1222</v>
      </c>
      <c r="BP57" s="164" cm="1">
        <f t="array" ref="BP57">_xll.DCEBoltDisK(AN57, AO57, AP57, AE57,  BB57, BC57, BD57, "Tong")</f>
        <v>4037428</v>
      </c>
      <c r="BQ57" s="165">
        <f t="shared" si="22"/>
        <v>128.93424129537547</v>
      </c>
      <c r="BR57" s="161">
        <f t="shared" si="23"/>
        <v>0.90588494097767069</v>
      </c>
      <c r="BS57" s="162" t="str">
        <f t="shared" si="24"/>
        <v>OK</v>
      </c>
      <c r="BT57" s="159">
        <f t="shared" si="25"/>
        <v>0.90602788331481499</v>
      </c>
      <c r="BU57" s="162" t="str">
        <f t="shared" si="26"/>
        <v>OK</v>
      </c>
      <c r="BV57" s="166">
        <f t="shared" si="27"/>
        <v>616.74411396091284</v>
      </c>
      <c r="BW57" s="159">
        <f t="shared" si="28"/>
        <v>13.876742564120539</v>
      </c>
      <c r="BX57" s="166">
        <f t="shared" si="29"/>
        <v>308.37205698045642</v>
      </c>
      <c r="BY57" s="155">
        <f t="shared" si="30"/>
        <v>96.394159634990714</v>
      </c>
      <c r="BZ57" s="167">
        <f t="shared" si="31"/>
        <v>0.46858272044787158</v>
      </c>
      <c r="CA57" s="159">
        <f t="shared" si="32"/>
        <v>8.9253851513880296</v>
      </c>
      <c r="CB57" s="168">
        <f t="shared" si="33"/>
        <v>7.4805670569583593E-2</v>
      </c>
      <c r="CC57" s="155">
        <f t="shared" si="34"/>
        <v>97.625926433698581</v>
      </c>
      <c r="CD57" s="159">
        <f t="shared" si="35"/>
        <v>0.41266997888640711</v>
      </c>
      <c r="CE57" s="161">
        <f t="shared" si="36"/>
        <v>0.46858272044787158</v>
      </c>
      <c r="CF57" s="162" t="str">
        <f t="shared" si="37"/>
        <v>OK</v>
      </c>
      <c r="DA57" s="113"/>
      <c r="DB57" s="113"/>
      <c r="DC57" s="113"/>
      <c r="DD57" s="115"/>
      <c r="DE57" s="122"/>
      <c r="DF57" s="123"/>
      <c r="DG57" s="123"/>
      <c r="DH57" s="123"/>
      <c r="DI57" s="123"/>
      <c r="DJ57" s="125"/>
      <c r="DK57" s="154"/>
      <c r="DL57" s="155"/>
      <c r="DM57" s="155"/>
      <c r="DN57" s="155"/>
      <c r="DO57" s="155"/>
      <c r="DP57" s="155"/>
      <c r="DQ57" s="155"/>
      <c r="DR57" s="155"/>
      <c r="DS57" s="156"/>
      <c r="DT57" s="157"/>
      <c r="DU57" s="157"/>
      <c r="DV57" s="158"/>
      <c r="DW57" s="158"/>
      <c r="DX57" s="158"/>
      <c r="DY57" s="158"/>
      <c r="DZ57" s="158"/>
      <c r="EA57" s="154"/>
      <c r="EB57" s="154"/>
      <c r="EC57" s="154"/>
      <c r="ED57" s="154"/>
      <c r="EE57" s="154"/>
      <c r="EF57" s="154"/>
      <c r="EG57" s="154"/>
      <c r="EH57" s="154"/>
      <c r="EI57" s="154"/>
      <c r="EJ57" s="154"/>
      <c r="EK57" s="159"/>
      <c r="EL57" s="159"/>
      <c r="EM57" s="159"/>
      <c r="EN57" s="159"/>
      <c r="EO57" s="159"/>
      <c r="EP57" s="159"/>
      <c r="EQ57" s="159"/>
      <c r="ER57" s="159"/>
      <c r="ES57" s="159"/>
      <c r="ET57" s="159"/>
      <c r="EU57" s="159"/>
      <c r="EV57" s="159"/>
      <c r="EW57" s="159"/>
      <c r="EX57" s="159"/>
      <c r="EY57" s="159"/>
      <c r="EZ57" s="159"/>
      <c r="FA57" s="159"/>
      <c r="FB57" s="159"/>
      <c r="FC57" s="159"/>
      <c r="FD57" s="159"/>
      <c r="FE57" s="159"/>
      <c r="FF57" s="159"/>
    </row>
    <row r="58" spans="1:162" ht="12.75" customHeight="1">
      <c r="H58" s="196" t="s">
        <v>77</v>
      </c>
      <c r="I58" s="46"/>
      <c r="J58" s="46"/>
      <c r="K58" s="46"/>
      <c r="L58" s="46"/>
      <c r="M58" s="46"/>
      <c r="N58" s="47"/>
      <c r="O58" s="48"/>
      <c r="P58" s="46"/>
      <c r="Q58" s="32"/>
      <c r="R58" s="32"/>
      <c r="S58" s="194"/>
      <c r="T58" s="6"/>
      <c r="AA58" s="113" t="s">
        <v>211</v>
      </c>
      <c r="AB58" s="113">
        <v>23</v>
      </c>
      <c r="AC58" s="113" t="s">
        <v>260</v>
      </c>
      <c r="AD58" s="115">
        <v>18</v>
      </c>
      <c r="AE58" s="122">
        <v>1232</v>
      </c>
      <c r="AF58" s="123">
        <v>350</v>
      </c>
      <c r="AG58" s="123">
        <v>12</v>
      </c>
      <c r="AH58" s="123">
        <v>16</v>
      </c>
      <c r="AI58" s="123">
        <v>1200</v>
      </c>
      <c r="AJ58" s="124" t="str" cm="1">
        <f t="array" ref="AJ58">_xll.Dce_Name_SectI(AE58, AE58, AF58, AG58, AH58, "x", "-", "H Tổng")</f>
        <v>1232x350x12x16</v>
      </c>
      <c r="AK58" s="154">
        <f t="shared" si="3"/>
        <v>1382</v>
      </c>
      <c r="AL58" s="155" cm="1">
        <f t="array" ref="AL58">IFERROR(INDEX($A$28:$A$35,IFERROR(MATCH(AF58,$A$28:$A$35,0),MATCH(AF58,$A$28:$A$35,1)+1)),$A$28)</f>
        <v>350</v>
      </c>
      <c r="AM58" s="155">
        <f t="shared" si="4"/>
        <v>25</v>
      </c>
      <c r="AN58" s="155">
        <f t="shared" si="5"/>
        <v>6</v>
      </c>
      <c r="AO58" s="155">
        <f t="shared" si="6"/>
        <v>2</v>
      </c>
      <c r="AP58" s="155">
        <f t="shared" si="7"/>
        <v>6</v>
      </c>
      <c r="AQ58" s="155">
        <f t="shared" si="8"/>
        <v>24</v>
      </c>
      <c r="AR58" s="155" t="str">
        <f t="shared" si="9"/>
        <v>1382x350x25 + 14M24</v>
      </c>
      <c r="AS58" s="156" t="s">
        <v>270</v>
      </c>
      <c r="AT58" s="157">
        <v>-164.6791466520161</v>
      </c>
      <c r="AU58" s="157">
        <v>-60.133716062764471</v>
      </c>
      <c r="AV58" s="158">
        <v>2.0421274862257772E-2</v>
      </c>
      <c r="AW58" s="158">
        <v>-5.2350296798647539E-4</v>
      </c>
      <c r="AX58" s="158">
        <v>1.0470955030065811E-3</v>
      </c>
      <c r="AY58" s="158">
        <v>1188.1724235496831</v>
      </c>
      <c r="AZ58" s="158"/>
      <c r="BA58" s="154">
        <f t="shared" si="10"/>
        <v>60</v>
      </c>
      <c r="BB58" s="154">
        <f t="shared" si="11"/>
        <v>70</v>
      </c>
      <c r="BC58" s="154">
        <f t="shared" si="12"/>
        <v>80</v>
      </c>
      <c r="BD58" s="154">
        <f t="shared" si="13"/>
        <v>140</v>
      </c>
      <c r="BE58" s="154">
        <f>HLOOKUP(AQ58,Data!$H$31:$Q$35,3,FALSE)</f>
        <v>452.38934211693021</v>
      </c>
      <c r="BF58" s="154">
        <f>HLOOKUP(AQ58,Data!$H$31:$Q$35,4,FALSE)</f>
        <v>353</v>
      </c>
      <c r="BG58" s="154">
        <f t="shared" si="14"/>
        <v>180</v>
      </c>
      <c r="BH58" s="154">
        <f t="shared" si="15"/>
        <v>121.65654188208487</v>
      </c>
      <c r="BI58" s="154">
        <f t="shared" si="16"/>
        <v>243</v>
      </c>
      <c r="BJ58" s="154">
        <f t="shared" si="17"/>
        <v>142.3296</v>
      </c>
      <c r="BK58" s="159">
        <f t="shared" si="18"/>
        <v>4.2952654330546052</v>
      </c>
      <c r="BL58" s="160">
        <f t="shared" si="19"/>
        <v>0.82541666666666669</v>
      </c>
      <c r="BM58" s="169">
        <f t="shared" si="20"/>
        <v>4.2774141890875139E-2</v>
      </c>
      <c r="BN58" s="162" t="str">
        <f t="shared" si="21"/>
        <v>OK</v>
      </c>
      <c r="BO58" s="163" cm="1">
        <f t="array" ref="BO58">_xll.DCEBoltDisK(AN58, AO58, AP58, AE58,  BB58, BC58, BD58, "h7")</f>
        <v>1222</v>
      </c>
      <c r="BP58" s="164" cm="1">
        <f t="array" ref="BP58">_xll.DCEBoltDisK(AN58, AO58, AP58, AE58,  BB58, BC58, BD58, "Tong")</f>
        <v>4037428</v>
      </c>
      <c r="BQ58" s="165">
        <f t="shared" si="22"/>
        <v>168.04805140682623</v>
      </c>
      <c r="BR58" s="161">
        <f t="shared" si="23"/>
        <v>1.1806964356453347</v>
      </c>
      <c r="BS58" s="162" t="str">
        <f t="shared" si="24"/>
        <v>O/S</v>
      </c>
      <c r="BT58" s="159">
        <f t="shared" si="25"/>
        <v>1.18122420452462</v>
      </c>
      <c r="BU58" s="162" t="str">
        <f t="shared" si="26"/>
        <v>O/S</v>
      </c>
      <c r="BV58" s="166">
        <f t="shared" si="27"/>
        <v>799.74652181363581</v>
      </c>
      <c r="BW58" s="159">
        <f t="shared" si="28"/>
        <v>17.994296740806806</v>
      </c>
      <c r="BX58" s="166">
        <f t="shared" si="29"/>
        <v>399.8732609068179</v>
      </c>
      <c r="BY58" s="155">
        <f t="shared" si="30"/>
        <v>124.99656202007624</v>
      </c>
      <c r="BZ58" s="167">
        <f t="shared" si="31"/>
        <v>0.60762217648648176</v>
      </c>
      <c r="CA58" s="159">
        <f t="shared" si="32"/>
        <v>11.57375574259965</v>
      </c>
      <c r="CB58" s="168">
        <f t="shared" si="33"/>
        <v>9.7002263168339986E-2</v>
      </c>
      <c r="CC58" s="155">
        <f t="shared" si="34"/>
        <v>126.59382284616751</v>
      </c>
      <c r="CD58" s="159">
        <f t="shared" si="35"/>
        <v>0.53511881637872749</v>
      </c>
      <c r="CE58" s="161">
        <f t="shared" si="36"/>
        <v>0.60762217648648176</v>
      </c>
      <c r="CF58" s="162" t="str">
        <f t="shared" si="37"/>
        <v>OK</v>
      </c>
      <c r="DA58" s="113"/>
      <c r="DB58" s="113"/>
      <c r="DC58" s="113"/>
      <c r="DD58" s="115"/>
      <c r="DE58" s="122"/>
      <c r="DF58" s="123"/>
      <c r="DG58" s="123"/>
      <c r="DH58" s="123"/>
      <c r="DI58" s="123"/>
      <c r="DJ58" s="125"/>
      <c r="DK58" s="154"/>
      <c r="DL58" s="155"/>
      <c r="DM58" s="155"/>
      <c r="DN58" s="155"/>
      <c r="DO58" s="155"/>
      <c r="DP58" s="155"/>
      <c r="DQ58" s="155"/>
      <c r="DR58" s="155"/>
      <c r="DS58" s="156"/>
      <c r="DT58" s="157"/>
      <c r="DU58" s="157"/>
      <c r="DV58" s="158"/>
      <c r="DW58" s="158"/>
      <c r="DX58" s="158"/>
      <c r="DY58" s="158"/>
      <c r="DZ58" s="158"/>
      <c r="EA58" s="154"/>
      <c r="EB58" s="154"/>
      <c r="EC58" s="154"/>
      <c r="ED58" s="154"/>
      <c r="EE58" s="154"/>
      <c r="EF58" s="154"/>
      <c r="EG58" s="154"/>
      <c r="EH58" s="154"/>
      <c r="EI58" s="154"/>
      <c r="EJ58" s="154"/>
      <c r="EK58" s="159"/>
      <c r="EL58" s="159"/>
      <c r="EM58" s="159"/>
      <c r="EN58" s="159"/>
      <c r="EO58" s="159"/>
      <c r="EP58" s="159"/>
      <c r="EQ58" s="159"/>
      <c r="ER58" s="159"/>
      <c r="ES58" s="159"/>
      <c r="ET58" s="159"/>
      <c r="EU58" s="159"/>
      <c r="EV58" s="159"/>
      <c r="EW58" s="159"/>
      <c r="EX58" s="159"/>
      <c r="EY58" s="159"/>
      <c r="EZ58" s="159"/>
      <c r="FA58" s="159"/>
      <c r="FB58" s="159"/>
      <c r="FC58" s="159"/>
      <c r="FD58" s="159"/>
      <c r="FE58" s="159"/>
      <c r="FF58" s="159"/>
    </row>
    <row r="59" spans="1:162" ht="12.75" customHeight="1">
      <c r="H59" s="206"/>
      <c r="I59" s="32"/>
      <c r="J59" s="281" t="s">
        <v>161</v>
      </c>
      <c r="K59" s="282"/>
      <c r="L59" s="213" t="s">
        <v>162</v>
      </c>
      <c r="M59" s="279" t="s">
        <v>163</v>
      </c>
      <c r="N59" s="279"/>
      <c r="O59" s="125" t="s">
        <v>164</v>
      </c>
      <c r="P59" s="125" t="s">
        <v>165</v>
      </c>
      <c r="Q59" s="125" t="s">
        <v>166</v>
      </c>
      <c r="R59" s="206"/>
      <c r="S59" s="200"/>
      <c r="T59" s="6"/>
      <c r="AA59" s="113" t="s">
        <v>211</v>
      </c>
      <c r="AB59" s="113">
        <v>23</v>
      </c>
      <c r="AC59" s="113" t="s">
        <v>260</v>
      </c>
      <c r="AD59" s="115">
        <v>18</v>
      </c>
      <c r="AE59" s="122">
        <v>1232</v>
      </c>
      <c r="AF59" s="123">
        <v>350</v>
      </c>
      <c r="AG59" s="123">
        <v>12</v>
      </c>
      <c r="AH59" s="123">
        <v>16</v>
      </c>
      <c r="AI59" s="123">
        <v>1200</v>
      </c>
      <c r="AJ59" s="124" t="str" cm="1">
        <f t="array" ref="AJ59">_xll.Dce_Name_SectI(AE59, AE59, AF59, AG59, AH59, "x", "-", "H Tổng")</f>
        <v>1232x350x12x16</v>
      </c>
      <c r="AK59" s="154">
        <f t="shared" si="3"/>
        <v>1382</v>
      </c>
      <c r="AL59" s="155" cm="1">
        <f t="array" ref="AL59">IFERROR(INDEX($A$28:$A$35,IFERROR(MATCH(AF59,$A$28:$A$35,0),MATCH(AF59,$A$28:$A$35,1)+1)),$A$28)</f>
        <v>350</v>
      </c>
      <c r="AM59" s="155">
        <f t="shared" si="4"/>
        <v>25</v>
      </c>
      <c r="AN59" s="155">
        <f t="shared" si="5"/>
        <v>6</v>
      </c>
      <c r="AO59" s="155">
        <f t="shared" si="6"/>
        <v>2</v>
      </c>
      <c r="AP59" s="155">
        <f t="shared" si="7"/>
        <v>6</v>
      </c>
      <c r="AQ59" s="155">
        <f t="shared" si="8"/>
        <v>24</v>
      </c>
      <c r="AR59" s="155" t="str">
        <f t="shared" si="9"/>
        <v>1382x350x25 + 14M24</v>
      </c>
      <c r="AS59" s="156" t="s">
        <v>271</v>
      </c>
      <c r="AT59" s="157">
        <v>68.941528324821547</v>
      </c>
      <c r="AU59" s="157">
        <v>77.839643780160756</v>
      </c>
      <c r="AV59" s="158">
        <v>0.17443905200192125</v>
      </c>
      <c r="AW59" s="158">
        <v>-5.5403541662402828E-3</v>
      </c>
      <c r="AX59" s="158">
        <v>-3.9113644541935166E-2</v>
      </c>
      <c r="AY59" s="158">
        <v>-315.80241858869397</v>
      </c>
      <c r="AZ59" s="158"/>
      <c r="BA59" s="154">
        <f t="shared" si="10"/>
        <v>60</v>
      </c>
      <c r="BB59" s="154">
        <f t="shared" si="11"/>
        <v>70</v>
      </c>
      <c r="BC59" s="154">
        <f t="shared" si="12"/>
        <v>80</v>
      </c>
      <c r="BD59" s="154">
        <f t="shared" si="13"/>
        <v>140</v>
      </c>
      <c r="BE59" s="154">
        <f>HLOOKUP(AQ59,Data!$H$31:$Q$35,3,FALSE)</f>
        <v>452.38934211693021</v>
      </c>
      <c r="BF59" s="154">
        <f>HLOOKUP(AQ59,Data!$H$31:$Q$35,4,FALSE)</f>
        <v>353</v>
      </c>
      <c r="BG59" s="154">
        <f t="shared" si="14"/>
        <v>180</v>
      </c>
      <c r="BH59" s="154">
        <f t="shared" si="15"/>
        <v>121.65654188208487</v>
      </c>
      <c r="BI59" s="154">
        <f t="shared" si="16"/>
        <v>243</v>
      </c>
      <c r="BJ59" s="154">
        <f t="shared" si="17"/>
        <v>142.3296</v>
      </c>
      <c r="BK59" s="159">
        <f t="shared" si="18"/>
        <v>5.559974555725768</v>
      </c>
      <c r="BL59" s="160">
        <f t="shared" si="19"/>
        <v>0.82541666666666669</v>
      </c>
      <c r="BM59" s="169">
        <f t="shared" si="20"/>
        <v>5.5368671450681466E-2</v>
      </c>
      <c r="BN59" s="162" t="str">
        <f t="shared" si="21"/>
        <v>OK</v>
      </c>
      <c r="BO59" s="163" cm="1">
        <f t="array" ref="BO59">_xll.DCEBoltDisK(AN59, AO59, AP59, AE59,  BB59, BC59, BD59, "h7")</f>
        <v>1222</v>
      </c>
      <c r="BP59" s="164" cm="1">
        <f t="array" ref="BP59">_xll.DCEBoltDisK(AN59, AO59, AP59, AE59,  BB59, BC59, BD59, "Tong")</f>
        <v>4037428</v>
      </c>
      <c r="BQ59" s="165">
        <f t="shared" si="22"/>
        <v>52.716028008586434</v>
      </c>
      <c r="BR59" s="161">
        <f t="shared" si="23"/>
        <v>0.37037993508438466</v>
      </c>
      <c r="BS59" s="162" t="str">
        <f t="shared" si="24"/>
        <v>OK</v>
      </c>
      <c r="BT59" s="159">
        <f t="shared" si="25"/>
        <v>0.37318894626230542</v>
      </c>
      <c r="BU59" s="162" t="str">
        <f t="shared" si="26"/>
        <v>OK</v>
      </c>
      <c r="BV59" s="166">
        <f t="shared" si="27"/>
        <v>325.27466029616403</v>
      </c>
      <c r="BW59" s="159">
        <f t="shared" si="28"/>
        <v>7.3186798566636906</v>
      </c>
      <c r="BX59" s="166">
        <f t="shared" si="29"/>
        <v>162.63733014808201</v>
      </c>
      <c r="BY59" s="155">
        <f t="shared" si="30"/>
        <v>50.838875994190616</v>
      </c>
      <c r="BZ59" s="167">
        <f t="shared" si="31"/>
        <v>0.24713342497175997</v>
      </c>
      <c r="CA59" s="159">
        <f t="shared" si="32"/>
        <v>4.7073033327954272</v>
      </c>
      <c r="CB59" s="168">
        <f t="shared" si="33"/>
        <v>3.9452973335210723E-2</v>
      </c>
      <c r="CC59" s="155">
        <f t="shared" si="34"/>
        <v>51.488517422368375</v>
      </c>
      <c r="CD59" s="159">
        <f t="shared" si="35"/>
        <v>0.21764469924914173</v>
      </c>
      <c r="CE59" s="161">
        <f t="shared" si="36"/>
        <v>0.24713342497175997</v>
      </c>
      <c r="CF59" s="162" t="str">
        <f t="shared" si="37"/>
        <v>OK</v>
      </c>
      <c r="DA59" s="113"/>
      <c r="DB59" s="113"/>
      <c r="DC59" s="113"/>
      <c r="DD59" s="115"/>
      <c r="DE59" s="122"/>
      <c r="DF59" s="123"/>
      <c r="DG59" s="123"/>
      <c r="DH59" s="123"/>
      <c r="DI59" s="123"/>
      <c r="DJ59" s="125"/>
      <c r="DK59" s="154"/>
      <c r="DL59" s="155"/>
      <c r="DM59" s="155"/>
      <c r="DN59" s="155"/>
      <c r="DO59" s="155"/>
      <c r="DP59" s="155"/>
      <c r="DQ59" s="155"/>
      <c r="DR59" s="155"/>
      <c r="DS59" s="156"/>
      <c r="DT59" s="157"/>
      <c r="DU59" s="157"/>
      <c r="DV59" s="158"/>
      <c r="DW59" s="158"/>
      <c r="DX59" s="158"/>
      <c r="DY59" s="158"/>
      <c r="DZ59" s="158"/>
      <c r="EA59" s="154"/>
      <c r="EB59" s="154"/>
      <c r="EC59" s="154"/>
      <c r="ED59" s="154"/>
      <c r="EE59" s="154"/>
      <c r="EF59" s="154"/>
      <c r="EG59" s="154"/>
      <c r="EH59" s="154"/>
      <c r="EI59" s="154"/>
      <c r="EJ59" s="154"/>
      <c r="EK59" s="159"/>
      <c r="EL59" s="159"/>
      <c r="EM59" s="159"/>
      <c r="EN59" s="159"/>
      <c r="EO59" s="159"/>
      <c r="EP59" s="159"/>
      <c r="EQ59" s="159"/>
      <c r="ER59" s="159"/>
      <c r="ES59" s="159"/>
      <c r="ET59" s="159"/>
      <c r="EU59" s="159"/>
      <c r="EV59" s="159"/>
      <c r="EW59" s="159"/>
      <c r="EX59" s="159"/>
      <c r="EY59" s="159"/>
      <c r="EZ59" s="159"/>
      <c r="FA59" s="159"/>
      <c r="FB59" s="159"/>
      <c r="FC59" s="159"/>
      <c r="FD59" s="159"/>
      <c r="FE59" s="159"/>
      <c r="FF59" s="159"/>
    </row>
    <row r="60" spans="1:162" ht="12.75" customHeight="1">
      <c r="H60" s="206"/>
      <c r="I60" s="32"/>
      <c r="J60" s="201" t="s">
        <v>245</v>
      </c>
      <c r="K60" s="201" t="s">
        <v>290</v>
      </c>
      <c r="L60" s="214" t="s">
        <v>167</v>
      </c>
      <c r="M60" s="279"/>
      <c r="N60" s="279"/>
      <c r="O60" s="125" t="s">
        <v>168</v>
      </c>
      <c r="P60" s="125" t="s">
        <v>168</v>
      </c>
      <c r="Q60" s="125" t="s">
        <v>169</v>
      </c>
      <c r="R60" s="206"/>
      <c r="S60" s="200"/>
      <c r="T60" s="6"/>
      <c r="AA60" s="113" t="s">
        <v>211</v>
      </c>
      <c r="AB60" s="113">
        <v>23</v>
      </c>
      <c r="AC60" s="113" t="s">
        <v>260</v>
      </c>
      <c r="AD60" s="115">
        <v>18</v>
      </c>
      <c r="AE60" s="122">
        <v>1232</v>
      </c>
      <c r="AF60" s="123">
        <v>350</v>
      </c>
      <c r="AG60" s="123">
        <v>12</v>
      </c>
      <c r="AH60" s="123">
        <v>16</v>
      </c>
      <c r="AI60" s="123">
        <v>1200</v>
      </c>
      <c r="AJ60" s="124" t="str" cm="1">
        <f t="array" ref="AJ60">_xll.Dce_Name_SectI(AE60, AE60, AF60, AG60, AH60, "x", "-", "H Tổng")</f>
        <v>1232x350x12x16</v>
      </c>
      <c r="AK60" s="154">
        <f t="shared" si="3"/>
        <v>1382</v>
      </c>
      <c r="AL60" s="155" cm="1">
        <f t="array" ref="AL60">IFERROR(INDEX($A$28:$A$35,IFERROR(MATCH(AF60,$A$28:$A$35,0),MATCH(AF60,$A$28:$A$35,1)+1)),$A$28)</f>
        <v>350</v>
      </c>
      <c r="AM60" s="155">
        <f t="shared" si="4"/>
        <v>25</v>
      </c>
      <c r="AN60" s="155">
        <f t="shared" si="5"/>
        <v>6</v>
      </c>
      <c r="AO60" s="155">
        <f t="shared" si="6"/>
        <v>2</v>
      </c>
      <c r="AP60" s="155">
        <f t="shared" si="7"/>
        <v>6</v>
      </c>
      <c r="AQ60" s="155">
        <f t="shared" si="8"/>
        <v>24</v>
      </c>
      <c r="AR60" s="155" t="str">
        <f t="shared" si="9"/>
        <v>1382x350x25 + 14M24</v>
      </c>
      <c r="AS60" s="156" t="s">
        <v>272</v>
      </c>
      <c r="AT60" s="157">
        <v>-17.166431436860314</v>
      </c>
      <c r="AU60" s="157">
        <v>12.354401766476599</v>
      </c>
      <c r="AV60" s="158">
        <v>0.20213105387746672</v>
      </c>
      <c r="AW60" s="158">
        <v>-6.142495487099487E-3</v>
      </c>
      <c r="AX60" s="158">
        <v>-3.7435666288419933E-2</v>
      </c>
      <c r="AY60" s="158">
        <v>242.79645351398892</v>
      </c>
      <c r="AZ60" s="158"/>
      <c r="BA60" s="154">
        <f t="shared" si="10"/>
        <v>60</v>
      </c>
      <c r="BB60" s="154">
        <f t="shared" si="11"/>
        <v>70</v>
      </c>
      <c r="BC60" s="154">
        <f t="shared" si="12"/>
        <v>80</v>
      </c>
      <c r="BD60" s="154">
        <f t="shared" si="13"/>
        <v>140</v>
      </c>
      <c r="BE60" s="154">
        <f>HLOOKUP(AQ60,Data!$H$31:$Q$35,3,FALSE)</f>
        <v>452.38934211693021</v>
      </c>
      <c r="BF60" s="154">
        <f>HLOOKUP(AQ60,Data!$H$31:$Q$35,4,FALSE)</f>
        <v>353</v>
      </c>
      <c r="BG60" s="154">
        <f t="shared" si="14"/>
        <v>180</v>
      </c>
      <c r="BH60" s="154">
        <f t="shared" si="15"/>
        <v>121.65654188208487</v>
      </c>
      <c r="BI60" s="154">
        <f t="shared" si="16"/>
        <v>243</v>
      </c>
      <c r="BJ60" s="154">
        <f t="shared" si="17"/>
        <v>142.3296</v>
      </c>
      <c r="BK60" s="159">
        <f t="shared" si="18"/>
        <v>0.88245726903404276</v>
      </c>
      <c r="BL60" s="160">
        <f t="shared" si="19"/>
        <v>0.82541666666666669</v>
      </c>
      <c r="BM60" s="169">
        <f t="shared" si="20"/>
        <v>8.7878975180010616E-3</v>
      </c>
      <c r="BN60" s="162" t="str">
        <f t="shared" si="21"/>
        <v>OK</v>
      </c>
      <c r="BO60" s="163" cm="1">
        <f t="array" ref="BO60">_xll.DCEBoltDisK(AN60, AO60, AP60, AE60,  BB60, BC60, BD60, "h7")</f>
        <v>1222</v>
      </c>
      <c r="BP60" s="164" cm="1">
        <f t="array" ref="BP60">_xll.DCEBoltDisK(AN60, AO60, AP60, AE60,  BB60, BC60, BD60, "Tong")</f>
        <v>4037428</v>
      </c>
      <c r="BQ60" s="165">
        <f t="shared" si="22"/>
        <v>35.517177067313312</v>
      </c>
      <c r="BR60" s="161">
        <f t="shared" si="23"/>
        <v>0.24954174723538403</v>
      </c>
      <c r="BS60" s="162" t="str">
        <f t="shared" si="24"/>
        <v>OK</v>
      </c>
      <c r="BT60" s="159">
        <f t="shared" si="25"/>
        <v>0.24964714988242059</v>
      </c>
      <c r="BU60" s="162" t="str">
        <f t="shared" si="26"/>
        <v>OK</v>
      </c>
      <c r="BV60" s="166">
        <f t="shared" si="27"/>
        <v>179.90861199981902</v>
      </c>
      <c r="BW60" s="159">
        <f t="shared" si="28"/>
        <v>4.0479437699959275</v>
      </c>
      <c r="BX60" s="166">
        <f t="shared" si="29"/>
        <v>89.954305999909508</v>
      </c>
      <c r="BY60" s="155">
        <f t="shared" si="30"/>
        <v>28.11885686827851</v>
      </c>
      <c r="BZ60" s="167">
        <f t="shared" si="31"/>
        <v>0.13668888755413167</v>
      </c>
      <c r="CA60" s="159">
        <f t="shared" si="32"/>
        <v>2.6035978581739365</v>
      </c>
      <c r="CB60" s="168">
        <f t="shared" si="33"/>
        <v>2.1821342202128301E-2</v>
      </c>
      <c r="CC60" s="155">
        <f t="shared" si="34"/>
        <v>28.478171939223859</v>
      </c>
      <c r="CD60" s="159">
        <f t="shared" si="35"/>
        <v>0.12037874611990763</v>
      </c>
      <c r="CE60" s="161">
        <f t="shared" si="36"/>
        <v>0.13668888755413167</v>
      </c>
      <c r="CF60" s="162" t="str">
        <f t="shared" si="37"/>
        <v>OK</v>
      </c>
      <c r="DA60" s="113"/>
      <c r="DB60" s="113"/>
      <c r="DC60" s="113"/>
      <c r="DD60" s="115"/>
      <c r="DE60" s="122"/>
      <c r="DF60" s="123"/>
      <c r="DG60" s="123"/>
      <c r="DH60" s="123"/>
      <c r="DI60" s="123"/>
      <c r="DJ60" s="125"/>
      <c r="DK60" s="154"/>
      <c r="DL60" s="155"/>
      <c r="DM60" s="155"/>
      <c r="DN60" s="155"/>
      <c r="DO60" s="155"/>
      <c r="DP60" s="155"/>
      <c r="DQ60" s="155"/>
      <c r="DR60" s="155"/>
      <c r="DS60" s="156"/>
      <c r="DT60" s="157"/>
      <c r="DU60" s="157"/>
      <c r="DV60" s="158"/>
      <c r="DW60" s="158"/>
      <c r="DX60" s="158"/>
      <c r="DY60" s="158"/>
      <c r="DZ60" s="158"/>
      <c r="EA60" s="154"/>
      <c r="EB60" s="154"/>
      <c r="EC60" s="154"/>
      <c r="ED60" s="154"/>
      <c r="EE60" s="154"/>
      <c r="EF60" s="154"/>
      <c r="EG60" s="154"/>
      <c r="EH60" s="154"/>
      <c r="EI60" s="154"/>
      <c r="EJ60" s="154"/>
      <c r="EK60" s="159"/>
      <c r="EL60" s="159"/>
      <c r="EM60" s="159"/>
      <c r="EN60" s="159"/>
      <c r="EO60" s="159"/>
      <c r="EP60" s="159"/>
      <c r="EQ60" s="159"/>
      <c r="ER60" s="159"/>
      <c r="ES60" s="159"/>
      <c r="ET60" s="159"/>
      <c r="EU60" s="159"/>
      <c r="EV60" s="159"/>
      <c r="EW60" s="159"/>
      <c r="EX60" s="159"/>
      <c r="EY60" s="159"/>
      <c r="EZ60" s="159"/>
      <c r="FA60" s="159"/>
      <c r="FB60" s="159"/>
      <c r="FC60" s="159"/>
      <c r="FD60" s="159"/>
      <c r="FE60" s="159"/>
      <c r="FF60" s="159"/>
    </row>
    <row r="61" spans="1:162" ht="15" customHeight="1">
      <c r="H61" s="206"/>
      <c r="I61" s="32"/>
      <c r="J61" s="125">
        <v>23</v>
      </c>
      <c r="K61" s="123" t="s">
        <v>260</v>
      </c>
      <c r="L61" s="216">
        <v>18</v>
      </c>
      <c r="M61" s="280" t="s">
        <v>261</v>
      </c>
      <c r="N61" s="280"/>
      <c r="O61" s="216">
        <v>-103.46520874420915</v>
      </c>
      <c r="P61" s="216">
        <v>35.060511521731542</v>
      </c>
      <c r="Q61" s="216">
        <v>631.08568100966477</v>
      </c>
      <c r="R61" s="206"/>
      <c r="S61" s="200"/>
      <c r="T61" s="6"/>
      <c r="AA61" s="113" t="s">
        <v>211</v>
      </c>
      <c r="AB61" s="113">
        <v>23</v>
      </c>
      <c r="AC61" s="113" t="s">
        <v>260</v>
      </c>
      <c r="AD61" s="115">
        <v>18</v>
      </c>
      <c r="AE61" s="122">
        <v>1232</v>
      </c>
      <c r="AF61" s="123">
        <v>350</v>
      </c>
      <c r="AG61" s="123">
        <v>12</v>
      </c>
      <c r="AH61" s="123">
        <v>16</v>
      </c>
      <c r="AI61" s="123">
        <v>1200</v>
      </c>
      <c r="AJ61" s="124" t="str" cm="1">
        <f t="array" ref="AJ61">_xll.Dce_Name_SectI(AE61, AE61, AF61, AG61, AH61, "x", "-", "H Tổng")</f>
        <v>1232x350x12x16</v>
      </c>
      <c r="AK61" s="154">
        <f t="shared" si="3"/>
        <v>1382</v>
      </c>
      <c r="AL61" s="155" cm="1">
        <f t="array" ref="AL61">IFERROR(INDEX($A$28:$A$35,IFERROR(MATCH(AF61,$A$28:$A$35,0),MATCH(AF61,$A$28:$A$35,1)+1)),$A$28)</f>
        <v>350</v>
      </c>
      <c r="AM61" s="155">
        <f t="shared" si="4"/>
        <v>25</v>
      </c>
      <c r="AN61" s="155">
        <f t="shared" si="5"/>
        <v>6</v>
      </c>
      <c r="AO61" s="155">
        <f t="shared" si="6"/>
        <v>2</v>
      </c>
      <c r="AP61" s="155">
        <f t="shared" si="7"/>
        <v>6</v>
      </c>
      <c r="AQ61" s="155">
        <f t="shared" si="8"/>
        <v>24</v>
      </c>
      <c r="AR61" s="155" t="str">
        <f t="shared" si="9"/>
        <v>1382x350x25 + 14M24</v>
      </c>
      <c r="AS61" s="156" t="s">
        <v>273</v>
      </c>
      <c r="AT61" s="157">
        <v>-1.2451720013838425</v>
      </c>
      <c r="AU61" s="157">
        <v>82.571721800015936</v>
      </c>
      <c r="AV61" s="158">
        <v>-0.12316471254935311</v>
      </c>
      <c r="AW61" s="158">
        <v>5.6851208372999066E-3</v>
      </c>
      <c r="AX61" s="158">
        <v>3.839512831865094E-2</v>
      </c>
      <c r="AY61" s="158">
        <v>-401.13564780355284</v>
      </c>
      <c r="AZ61" s="158"/>
      <c r="BA61" s="154">
        <f t="shared" si="10"/>
        <v>60</v>
      </c>
      <c r="BB61" s="154">
        <f t="shared" si="11"/>
        <v>70</v>
      </c>
      <c r="BC61" s="154">
        <f t="shared" si="12"/>
        <v>80</v>
      </c>
      <c r="BD61" s="154">
        <f t="shared" si="13"/>
        <v>140</v>
      </c>
      <c r="BE61" s="154">
        <f>HLOOKUP(AQ61,Data!$H$31:$Q$35,3,FALSE)</f>
        <v>452.38934211693021</v>
      </c>
      <c r="BF61" s="154">
        <f>HLOOKUP(AQ61,Data!$H$31:$Q$35,4,FALSE)</f>
        <v>353</v>
      </c>
      <c r="BG61" s="154">
        <f t="shared" si="14"/>
        <v>180</v>
      </c>
      <c r="BH61" s="154">
        <f t="shared" si="15"/>
        <v>121.65654188208487</v>
      </c>
      <c r="BI61" s="154">
        <f t="shared" si="16"/>
        <v>243</v>
      </c>
      <c r="BJ61" s="154">
        <f t="shared" si="17"/>
        <v>142.3296</v>
      </c>
      <c r="BK61" s="159">
        <f t="shared" si="18"/>
        <v>5.8979801285725673</v>
      </c>
      <c r="BL61" s="160">
        <f t="shared" si="19"/>
        <v>0.82541666666666669</v>
      </c>
      <c r="BM61" s="169">
        <f t="shared" si="20"/>
        <v>5.8734679572459793E-2</v>
      </c>
      <c r="BN61" s="162" t="str">
        <f t="shared" si="21"/>
        <v>OK</v>
      </c>
      <c r="BO61" s="163" cm="1">
        <f t="array" ref="BO61">_xll.DCEBoltDisK(AN61, AO61, AP61, AE61,  BB61, BC61, BD61, "h7")</f>
        <v>1222</v>
      </c>
      <c r="BP61" s="164" cm="1">
        <f t="array" ref="BP61">_xll.DCEBoltDisK(AN61, AO61, AP61, AE61,  BB61, BC61, BD61, "Tong")</f>
        <v>4037428</v>
      </c>
      <c r="BQ61" s="165">
        <f t="shared" si="22"/>
        <v>60.616508455531374</v>
      </c>
      <c r="BR61" s="161">
        <f t="shared" si="23"/>
        <v>0.42588827942698759</v>
      </c>
      <c r="BS61" s="162" t="str">
        <f t="shared" si="24"/>
        <v>OK</v>
      </c>
      <c r="BT61" s="159">
        <f t="shared" si="25"/>
        <v>0.42863876810554036</v>
      </c>
      <c r="BU61" s="162" t="str">
        <f t="shared" si="26"/>
        <v>OK</v>
      </c>
      <c r="BV61" s="166">
        <f t="shared" si="27"/>
        <v>324.3519447222792</v>
      </c>
      <c r="BW61" s="159">
        <f t="shared" si="28"/>
        <v>7.2979187562512813</v>
      </c>
      <c r="BX61" s="166">
        <f t="shared" si="29"/>
        <v>162.1759723611396</v>
      </c>
      <c r="BY61" s="155">
        <f t="shared" si="30"/>
        <v>50.694659956593561</v>
      </c>
      <c r="BZ61" s="167">
        <f t="shared" si="31"/>
        <v>0.24643237478899652</v>
      </c>
      <c r="CA61" s="159">
        <f t="shared" si="32"/>
        <v>4.6939499959808861</v>
      </c>
      <c r="CB61" s="168">
        <f t="shared" si="33"/>
        <v>3.934105600079766E-2</v>
      </c>
      <c r="CC61" s="155">
        <f t="shared" si="34"/>
        <v>51.342458529066931</v>
      </c>
      <c r="CD61" s="159">
        <f t="shared" si="35"/>
        <v>0.21702730054557282</v>
      </c>
      <c r="CE61" s="161">
        <f t="shared" si="36"/>
        <v>0.24643237478899652</v>
      </c>
      <c r="CF61" s="162" t="str">
        <f t="shared" si="37"/>
        <v>OK</v>
      </c>
      <c r="DA61" s="113"/>
      <c r="DB61" s="113"/>
      <c r="DC61" s="113"/>
      <c r="DD61" s="115"/>
      <c r="DE61" s="122"/>
      <c r="DF61" s="123"/>
      <c r="DG61" s="123"/>
      <c r="DH61" s="123"/>
      <c r="DI61" s="123"/>
      <c r="DJ61" s="125"/>
      <c r="DK61" s="154"/>
      <c r="DL61" s="155"/>
      <c r="DM61" s="155"/>
      <c r="DN61" s="155"/>
      <c r="DO61" s="155"/>
      <c r="DP61" s="155"/>
      <c r="DQ61" s="155"/>
      <c r="DR61" s="155"/>
      <c r="DS61" s="156"/>
      <c r="DT61" s="157"/>
      <c r="DU61" s="157"/>
      <c r="DV61" s="158"/>
      <c r="DW61" s="158"/>
      <c r="DX61" s="158"/>
      <c r="DY61" s="158"/>
      <c r="DZ61" s="158"/>
      <c r="EA61" s="154"/>
      <c r="EB61" s="154"/>
      <c r="EC61" s="154"/>
      <c r="ED61" s="154"/>
      <c r="EE61" s="154"/>
      <c r="EF61" s="154"/>
      <c r="EG61" s="154"/>
      <c r="EH61" s="154"/>
      <c r="EI61" s="154"/>
      <c r="EJ61" s="154"/>
      <c r="EK61" s="159"/>
      <c r="EL61" s="159"/>
      <c r="EM61" s="159"/>
      <c r="EN61" s="159"/>
      <c r="EO61" s="159"/>
      <c r="EP61" s="159"/>
      <c r="EQ61" s="159"/>
      <c r="ER61" s="159"/>
      <c r="ES61" s="159"/>
      <c r="ET61" s="159"/>
      <c r="EU61" s="159"/>
      <c r="EV61" s="159"/>
      <c r="EW61" s="159"/>
      <c r="EX61" s="159"/>
      <c r="EY61" s="159"/>
      <c r="EZ61" s="159"/>
      <c r="FA61" s="159"/>
      <c r="FB61" s="159"/>
      <c r="FC61" s="159"/>
      <c r="FD61" s="159"/>
      <c r="FE61" s="159"/>
      <c r="FF61" s="159"/>
    </row>
    <row r="62" spans="1:162">
      <c r="H62" s="263" t="s">
        <v>19</v>
      </c>
      <c r="I62" s="264"/>
      <c r="J62" s="264"/>
      <c r="K62" s="215"/>
      <c r="L62" s="217"/>
      <c r="M62" s="218"/>
      <c r="N62" s="212"/>
      <c r="O62" s="212"/>
      <c r="P62" s="212"/>
      <c r="Q62" s="212"/>
      <c r="R62" s="32"/>
      <c r="S62" s="200"/>
      <c r="T62" s="6"/>
      <c r="AA62" s="113" t="s">
        <v>211</v>
      </c>
      <c r="AB62" s="113">
        <v>23</v>
      </c>
      <c r="AC62" s="113" t="s">
        <v>260</v>
      </c>
      <c r="AD62" s="115">
        <v>18</v>
      </c>
      <c r="AE62" s="122">
        <v>1232</v>
      </c>
      <c r="AF62" s="123">
        <v>350</v>
      </c>
      <c r="AG62" s="123">
        <v>12</v>
      </c>
      <c r="AH62" s="123">
        <v>16</v>
      </c>
      <c r="AI62" s="123">
        <v>1200</v>
      </c>
      <c r="AJ62" s="124" t="str" cm="1">
        <f t="array" ref="AJ62">_xll.Dce_Name_SectI(AE62, AE62, AF62, AG62, AH62, "x", "-", "H Tổng")</f>
        <v>1232x350x12x16</v>
      </c>
      <c r="AK62" s="154">
        <f t="shared" si="3"/>
        <v>1382</v>
      </c>
      <c r="AL62" s="155" cm="1">
        <f t="array" ref="AL62">IFERROR(INDEX($A$28:$A$35,IFERROR(MATCH(AF62,$A$28:$A$35,0),MATCH(AF62,$A$28:$A$35,1)+1)),$A$28)</f>
        <v>350</v>
      </c>
      <c r="AM62" s="155">
        <f t="shared" si="4"/>
        <v>25</v>
      </c>
      <c r="AN62" s="155">
        <f t="shared" si="5"/>
        <v>6</v>
      </c>
      <c r="AO62" s="155">
        <f t="shared" si="6"/>
        <v>2</v>
      </c>
      <c r="AP62" s="155">
        <f t="shared" si="7"/>
        <v>6</v>
      </c>
      <c r="AQ62" s="155">
        <f t="shared" si="8"/>
        <v>24</v>
      </c>
      <c r="AR62" s="155" t="str">
        <f t="shared" si="9"/>
        <v>1382x350x25 + 14M24</v>
      </c>
      <c r="AS62" s="156" t="s">
        <v>274</v>
      </c>
      <c r="AT62" s="157">
        <v>-87.18371005719942</v>
      </c>
      <c r="AU62" s="157">
        <v>17.267595232846929</v>
      </c>
      <c r="AV62" s="158">
        <v>-0.13451658945953043</v>
      </c>
      <c r="AW62" s="158">
        <v>5.7080430752777904E-3</v>
      </c>
      <c r="AX62" s="158">
        <v>3.8388251379146643E-2</v>
      </c>
      <c r="AY62" s="158">
        <v>154.20587378000926</v>
      </c>
      <c r="AZ62" s="158"/>
      <c r="BA62" s="154">
        <f t="shared" si="10"/>
        <v>60</v>
      </c>
      <c r="BB62" s="154">
        <f t="shared" si="11"/>
        <v>70</v>
      </c>
      <c r="BC62" s="154">
        <f t="shared" si="12"/>
        <v>80</v>
      </c>
      <c r="BD62" s="154">
        <f t="shared" si="13"/>
        <v>140</v>
      </c>
      <c r="BE62" s="154">
        <f>HLOOKUP(AQ62,Data!$H$31:$Q$35,3,FALSE)</f>
        <v>452.38934211693021</v>
      </c>
      <c r="BF62" s="154">
        <f>HLOOKUP(AQ62,Data!$H$31:$Q$35,4,FALSE)</f>
        <v>353</v>
      </c>
      <c r="BG62" s="154">
        <f t="shared" si="14"/>
        <v>180</v>
      </c>
      <c r="BH62" s="154">
        <f t="shared" si="15"/>
        <v>121.65654188208487</v>
      </c>
      <c r="BI62" s="154">
        <f t="shared" si="16"/>
        <v>243</v>
      </c>
      <c r="BJ62" s="154">
        <f t="shared" si="17"/>
        <v>142.3296</v>
      </c>
      <c r="BK62" s="159">
        <f t="shared" si="18"/>
        <v>1.2333996594890664</v>
      </c>
      <c r="BL62" s="160">
        <f t="shared" si="19"/>
        <v>0.82541666666666669</v>
      </c>
      <c r="BM62" s="169">
        <f t="shared" si="20"/>
        <v>1.2282736158082667E-2</v>
      </c>
      <c r="BN62" s="162" t="str">
        <f t="shared" si="21"/>
        <v>OK</v>
      </c>
      <c r="BO62" s="163" cm="1">
        <f t="array" ref="BO62">_xll.DCEBoltDisK(AN62, AO62, AP62, AE62,  BB62, BC62, BD62, "h7")</f>
        <v>1222</v>
      </c>
      <c r="BP62" s="164" cm="1">
        <f t="array" ref="BP62">_xll.DCEBoltDisK(AN62, AO62, AP62, AE62,  BB62, BC62, BD62, "Tong")</f>
        <v>4037428</v>
      </c>
      <c r="BQ62" s="165">
        <f t="shared" si="22"/>
        <v>17.10917891619156</v>
      </c>
      <c r="BR62" s="161">
        <f t="shared" si="23"/>
        <v>0.12020815709586453</v>
      </c>
      <c r="BS62" s="162" t="str">
        <f t="shared" si="24"/>
        <v>OK</v>
      </c>
      <c r="BT62" s="159">
        <f t="shared" si="25"/>
        <v>0.12063493558171962</v>
      </c>
      <c r="BU62" s="162" t="str">
        <f t="shared" si="26"/>
        <v>OK</v>
      </c>
      <c r="BV62" s="166">
        <f t="shared" si="27"/>
        <v>37.983395283717186</v>
      </c>
      <c r="BW62" s="159">
        <f t="shared" si="28"/>
        <v>0.8546263938836367</v>
      </c>
      <c r="BX62" s="166">
        <f t="shared" si="29"/>
        <v>18.991697641858593</v>
      </c>
      <c r="BY62" s="155">
        <f t="shared" si="30"/>
        <v>5.9366232860223684</v>
      </c>
      <c r="BZ62" s="167">
        <f t="shared" si="31"/>
        <v>2.8858585418164294E-2</v>
      </c>
      <c r="CA62" s="159">
        <f t="shared" si="32"/>
        <v>0.54968734129836738</v>
      </c>
      <c r="CB62" s="168">
        <f t="shared" si="33"/>
        <v>4.607053866245896E-3</v>
      </c>
      <c r="CC62" s="155">
        <f t="shared" si="34"/>
        <v>6.0124840589970816</v>
      </c>
      <c r="CD62" s="159">
        <f t="shared" si="35"/>
        <v>2.5415089621364479E-2</v>
      </c>
      <c r="CE62" s="161">
        <f t="shared" si="36"/>
        <v>2.8858585418164294E-2</v>
      </c>
      <c r="CF62" s="162" t="str">
        <f t="shared" si="37"/>
        <v>OK</v>
      </c>
      <c r="DA62" s="113"/>
      <c r="DB62" s="113"/>
      <c r="DC62" s="113"/>
      <c r="DD62" s="115"/>
      <c r="DE62" s="122"/>
      <c r="DF62" s="123"/>
      <c r="DG62" s="123"/>
      <c r="DH62" s="123"/>
      <c r="DI62" s="123"/>
      <c r="DJ62" s="125"/>
      <c r="DK62" s="154"/>
      <c r="DL62" s="155"/>
      <c r="DM62" s="155"/>
      <c r="DN62" s="155"/>
      <c r="DO62" s="155"/>
      <c r="DP62" s="155"/>
      <c r="DQ62" s="155"/>
      <c r="DR62" s="155"/>
      <c r="DS62" s="156"/>
      <c r="DT62" s="157"/>
      <c r="DU62" s="157"/>
      <c r="DV62" s="158"/>
      <c r="DW62" s="158"/>
      <c r="DX62" s="158"/>
      <c r="DY62" s="158"/>
      <c r="DZ62" s="158"/>
      <c r="EA62" s="154"/>
      <c r="EB62" s="154"/>
      <c r="EC62" s="154"/>
      <c r="ED62" s="154"/>
      <c r="EE62" s="154"/>
      <c r="EF62" s="154"/>
      <c r="EG62" s="154"/>
      <c r="EH62" s="154"/>
      <c r="EI62" s="154"/>
      <c r="EJ62" s="154"/>
      <c r="EK62" s="159"/>
      <c r="EL62" s="159"/>
      <c r="EM62" s="159"/>
      <c r="EN62" s="159"/>
      <c r="EO62" s="159"/>
      <c r="EP62" s="159"/>
      <c r="EQ62" s="159"/>
      <c r="ER62" s="159"/>
      <c r="ES62" s="159"/>
      <c r="ET62" s="159"/>
      <c r="EU62" s="159"/>
      <c r="EV62" s="159"/>
      <c r="EW62" s="159"/>
      <c r="EX62" s="159"/>
      <c r="EY62" s="159"/>
      <c r="EZ62" s="159"/>
      <c r="FA62" s="159"/>
      <c r="FB62" s="159"/>
      <c r="FC62" s="159"/>
      <c r="FD62" s="159"/>
      <c r="FE62" s="159"/>
      <c r="FF62" s="159"/>
    </row>
    <row r="63" spans="1:162" ht="12.75" customHeight="1">
      <c r="H63" s="195" t="s">
        <v>78</v>
      </c>
      <c r="I63" s="192"/>
      <c r="J63" s="192"/>
      <c r="K63" s="46"/>
      <c r="L63" s="46"/>
      <c r="M63" s="46"/>
      <c r="N63" s="47"/>
      <c r="O63" s="48"/>
      <c r="P63" s="46"/>
      <c r="Q63" s="32"/>
      <c r="R63" s="32"/>
      <c r="S63" s="194"/>
      <c r="T63" s="6"/>
      <c r="AA63" s="113" t="s">
        <v>211</v>
      </c>
      <c r="AB63" s="113">
        <v>23</v>
      </c>
      <c r="AC63" s="113" t="s">
        <v>260</v>
      </c>
      <c r="AD63" s="115">
        <v>18</v>
      </c>
      <c r="AE63" s="122">
        <v>1232</v>
      </c>
      <c r="AF63" s="123">
        <v>350</v>
      </c>
      <c r="AG63" s="123">
        <v>12</v>
      </c>
      <c r="AH63" s="123">
        <v>16</v>
      </c>
      <c r="AI63" s="123">
        <v>1200</v>
      </c>
      <c r="AJ63" s="124" t="str" cm="1">
        <f t="array" ref="AJ63">_xll.Dce_Name_SectI(AE63, AE63, AF63, AG63, AH63, "x", "-", "H Tổng")</f>
        <v>1232x350x12x16</v>
      </c>
      <c r="AK63" s="154">
        <f t="shared" si="3"/>
        <v>1382</v>
      </c>
      <c r="AL63" s="155" cm="1">
        <f t="array" ref="AL63">IFERROR(INDEX($A$28:$A$35,IFERROR(MATCH(AF63,$A$28:$A$35,0),MATCH(AF63,$A$28:$A$35,1)+1)),$A$28)</f>
        <v>350</v>
      </c>
      <c r="AM63" s="155">
        <f t="shared" si="4"/>
        <v>25</v>
      </c>
      <c r="AN63" s="155">
        <f t="shared" si="5"/>
        <v>6</v>
      </c>
      <c r="AO63" s="155">
        <f t="shared" si="6"/>
        <v>2</v>
      </c>
      <c r="AP63" s="155">
        <f t="shared" si="7"/>
        <v>6</v>
      </c>
      <c r="AQ63" s="155">
        <f t="shared" si="8"/>
        <v>24</v>
      </c>
      <c r="AR63" s="155" t="str">
        <f t="shared" si="9"/>
        <v>1382x350x25 + 14M24</v>
      </c>
      <c r="AS63" s="156" t="s">
        <v>275</v>
      </c>
      <c r="AT63" s="157">
        <v>100.27868087910875</v>
      </c>
      <c r="AU63" s="157">
        <v>32.931751243318026</v>
      </c>
      <c r="AV63" s="158">
        <v>-1.3306992945980683E-2</v>
      </c>
      <c r="AW63" s="158">
        <v>5.1349467981012743E-4</v>
      </c>
      <c r="AX63" s="158">
        <v>-9.0413437056368652E-4</v>
      </c>
      <c r="AY63" s="158">
        <v>-1001.630821729025</v>
      </c>
      <c r="AZ63" s="158"/>
      <c r="BA63" s="154">
        <f t="shared" si="10"/>
        <v>60</v>
      </c>
      <c r="BB63" s="154">
        <f t="shared" si="11"/>
        <v>70</v>
      </c>
      <c r="BC63" s="154">
        <f t="shared" si="12"/>
        <v>80</v>
      </c>
      <c r="BD63" s="154">
        <f t="shared" si="13"/>
        <v>140</v>
      </c>
      <c r="BE63" s="154">
        <f>HLOOKUP(AQ63,Data!$H$31:$Q$35,3,FALSE)</f>
        <v>452.38934211693021</v>
      </c>
      <c r="BF63" s="154">
        <f>HLOOKUP(AQ63,Data!$H$31:$Q$35,4,FALSE)</f>
        <v>353</v>
      </c>
      <c r="BG63" s="154">
        <f t="shared" si="14"/>
        <v>180</v>
      </c>
      <c r="BH63" s="154">
        <f t="shared" si="15"/>
        <v>121.65654188208487</v>
      </c>
      <c r="BI63" s="154">
        <f t="shared" si="16"/>
        <v>243</v>
      </c>
      <c r="BJ63" s="154">
        <f t="shared" si="17"/>
        <v>142.3296</v>
      </c>
      <c r="BK63" s="159">
        <f t="shared" si="18"/>
        <v>2.3522679459512874</v>
      </c>
      <c r="BL63" s="160">
        <f t="shared" si="19"/>
        <v>0.82541666666666669</v>
      </c>
      <c r="BM63" s="169">
        <f t="shared" si="20"/>
        <v>2.3424918541977952E-2</v>
      </c>
      <c r="BN63" s="162" t="str">
        <f t="shared" si="21"/>
        <v>OK</v>
      </c>
      <c r="BO63" s="163" cm="1">
        <f t="array" ref="BO63">_xll.DCEBoltDisK(AN63, AO63, AP63, AE63,  BB63, BC63, BD63, "h7")</f>
        <v>1222</v>
      </c>
      <c r="BP63" s="164" cm="1">
        <f t="array" ref="BP63">_xll.DCEBoltDisK(AN63, AO63, AP63, AE63,  BB63, BC63, BD63, "Tong")</f>
        <v>4037428</v>
      </c>
      <c r="BQ63" s="165">
        <f t="shared" si="22"/>
        <v>158.74352970424414</v>
      </c>
      <c r="BR63" s="161">
        <f t="shared" si="23"/>
        <v>1.1153233740855319</v>
      </c>
      <c r="BS63" s="162" t="str">
        <f t="shared" si="24"/>
        <v>O/S</v>
      </c>
      <c r="BT63" s="159">
        <f t="shared" si="25"/>
        <v>1.1154909606584231</v>
      </c>
      <c r="BU63" s="162" t="str">
        <f t="shared" si="26"/>
        <v>O/S</v>
      </c>
      <c r="BV63" s="166">
        <f t="shared" si="27"/>
        <v>913.29071150331731</v>
      </c>
      <c r="BW63" s="159">
        <f t="shared" si="28"/>
        <v>20.549041008824638</v>
      </c>
      <c r="BX63" s="166">
        <f t="shared" si="29"/>
        <v>456.64535575165866</v>
      </c>
      <c r="BY63" s="155">
        <f t="shared" si="30"/>
        <v>142.7429766170163</v>
      </c>
      <c r="BZ63" s="167">
        <f t="shared" si="31"/>
        <v>0.69388946966605147</v>
      </c>
      <c r="CA63" s="159">
        <f t="shared" si="32"/>
        <v>13.216942279353363</v>
      </c>
      <c r="CB63" s="168">
        <f t="shared" si="33"/>
        <v>0.11077418098117044</v>
      </c>
      <c r="CC63" s="155">
        <f t="shared" si="34"/>
        <v>144.5670089029075</v>
      </c>
      <c r="CD63" s="159">
        <f t="shared" si="35"/>
        <v>0.611092428937411</v>
      </c>
      <c r="CE63" s="161">
        <f t="shared" si="36"/>
        <v>0.69388946966605147</v>
      </c>
      <c r="CF63" s="162" t="str">
        <f t="shared" si="37"/>
        <v>OK</v>
      </c>
      <c r="DA63" s="113"/>
      <c r="DB63" s="113"/>
      <c r="DC63" s="113"/>
      <c r="DD63" s="115"/>
      <c r="DE63" s="122"/>
      <c r="DF63" s="123"/>
      <c r="DG63" s="123"/>
      <c r="DH63" s="123"/>
      <c r="DI63" s="123"/>
      <c r="DJ63" s="125"/>
      <c r="DK63" s="154"/>
      <c r="DL63" s="155"/>
      <c r="DM63" s="155"/>
      <c r="DN63" s="155"/>
      <c r="DO63" s="155"/>
      <c r="DP63" s="155"/>
      <c r="DQ63" s="155"/>
      <c r="DR63" s="155"/>
      <c r="DS63" s="156"/>
      <c r="DT63" s="157"/>
      <c r="DU63" s="157"/>
      <c r="DV63" s="158"/>
      <c r="DW63" s="158"/>
      <c r="DX63" s="158"/>
      <c r="DY63" s="158"/>
      <c r="DZ63" s="158"/>
      <c r="EA63" s="154"/>
      <c r="EB63" s="154"/>
      <c r="EC63" s="154"/>
      <c r="ED63" s="154"/>
      <c r="EE63" s="154"/>
      <c r="EF63" s="154"/>
      <c r="EG63" s="154"/>
      <c r="EH63" s="154"/>
      <c r="EI63" s="154"/>
      <c r="EJ63" s="154"/>
      <c r="EK63" s="159"/>
      <c r="EL63" s="159"/>
      <c r="EM63" s="159"/>
      <c r="EN63" s="159"/>
      <c r="EO63" s="159"/>
      <c r="EP63" s="159"/>
      <c r="EQ63" s="159"/>
      <c r="ER63" s="159"/>
      <c r="ES63" s="159"/>
      <c r="ET63" s="159"/>
      <c r="EU63" s="159"/>
      <c r="EV63" s="159"/>
      <c r="EW63" s="159"/>
      <c r="EX63" s="159"/>
      <c r="EY63" s="159"/>
      <c r="EZ63" s="159"/>
      <c r="FA63" s="159"/>
      <c r="FB63" s="159"/>
      <c r="FC63" s="159"/>
      <c r="FD63" s="159"/>
      <c r="FE63" s="159"/>
      <c r="FF63" s="159"/>
    </row>
    <row r="64" spans="1:162" ht="14.25">
      <c r="H64" s="197" t="str">
        <f>"- Khả năng chịu cắt của 1 bu lông:"</f>
        <v>- Khả năng chịu cắt của 1 bu lông:</v>
      </c>
      <c r="I64" s="57"/>
      <c r="J64" s="57"/>
      <c r="K64" s="34"/>
      <c r="L64" s="55"/>
      <c r="M64" s="56"/>
      <c r="N64" s="32"/>
      <c r="O64" s="32"/>
      <c r="P64" s="32"/>
      <c r="Q64" s="34" t="s">
        <v>79</v>
      </c>
      <c r="R64" s="58">
        <f>R17*R21*R25*R23*R24/1000</f>
        <v>121.65654188208487</v>
      </c>
      <c r="S64" s="199" t="s">
        <v>20</v>
      </c>
      <c r="T64" s="6"/>
      <c r="AA64" s="113" t="s">
        <v>211</v>
      </c>
      <c r="AB64" s="113">
        <v>23</v>
      </c>
      <c r="AC64" s="113" t="s">
        <v>260</v>
      </c>
      <c r="AD64" s="115">
        <v>18</v>
      </c>
      <c r="AE64" s="122">
        <v>1232</v>
      </c>
      <c r="AF64" s="123">
        <v>350</v>
      </c>
      <c r="AG64" s="123">
        <v>12</v>
      </c>
      <c r="AH64" s="123">
        <v>16</v>
      </c>
      <c r="AI64" s="123">
        <v>1200</v>
      </c>
      <c r="AJ64" s="124" t="str" cm="1">
        <f t="array" ref="AJ64">_xll.Dce_Name_SectI(AE64, AE64, AF64, AG64, AH64, "x", "-", "H Tổng")</f>
        <v>1232x350x12x16</v>
      </c>
      <c r="AK64" s="154">
        <f t="shared" si="3"/>
        <v>1382</v>
      </c>
      <c r="AL64" s="155" cm="1">
        <f t="array" ref="AL64">IFERROR(INDEX($A$28:$A$35,IFERROR(MATCH(AF64,$A$28:$A$35,0),MATCH(AF64,$A$28:$A$35,1)+1)),$A$28)</f>
        <v>350</v>
      </c>
      <c r="AM64" s="155">
        <f t="shared" si="4"/>
        <v>25</v>
      </c>
      <c r="AN64" s="155">
        <f t="shared" si="5"/>
        <v>6</v>
      </c>
      <c r="AO64" s="155">
        <f t="shared" si="6"/>
        <v>2</v>
      </c>
      <c r="AP64" s="155">
        <f t="shared" si="7"/>
        <v>6</v>
      </c>
      <c r="AQ64" s="155">
        <f t="shared" si="8"/>
        <v>24</v>
      </c>
      <c r="AR64" s="155" t="str">
        <f t="shared" si="9"/>
        <v>1382x350x25 + 14M24</v>
      </c>
      <c r="AS64" s="156" t="s">
        <v>276</v>
      </c>
      <c r="AT64" s="157">
        <v>14.449945352342866</v>
      </c>
      <c r="AU64" s="157">
        <v>-32.401150255164112</v>
      </c>
      <c r="AV64" s="158">
        <v>-5.5745312955674271E-3</v>
      </c>
      <c r="AW64" s="158">
        <v>1.9518663389258238E-4</v>
      </c>
      <c r="AX64" s="158">
        <v>-3.5470435469347474E-4</v>
      </c>
      <c r="AY64" s="158">
        <v>-445.77067535728861</v>
      </c>
      <c r="AZ64" s="158"/>
      <c r="BA64" s="154">
        <f t="shared" si="10"/>
        <v>60</v>
      </c>
      <c r="BB64" s="154">
        <f t="shared" si="11"/>
        <v>70</v>
      </c>
      <c r="BC64" s="154">
        <f t="shared" si="12"/>
        <v>80</v>
      </c>
      <c r="BD64" s="154">
        <f t="shared" si="13"/>
        <v>140</v>
      </c>
      <c r="BE64" s="154">
        <f>HLOOKUP(AQ64,Data!$H$31:$Q$35,3,FALSE)</f>
        <v>452.38934211693021</v>
      </c>
      <c r="BF64" s="154">
        <f>HLOOKUP(AQ64,Data!$H$31:$Q$35,4,FALSE)</f>
        <v>353</v>
      </c>
      <c r="BG64" s="154">
        <f t="shared" si="14"/>
        <v>180</v>
      </c>
      <c r="BH64" s="154">
        <f t="shared" si="15"/>
        <v>121.65654188208487</v>
      </c>
      <c r="BI64" s="154">
        <f t="shared" si="16"/>
        <v>243</v>
      </c>
      <c r="BJ64" s="154">
        <f t="shared" si="17"/>
        <v>142.3296</v>
      </c>
      <c r="BK64" s="159">
        <f t="shared" si="18"/>
        <v>2.3143678753688652</v>
      </c>
      <c r="BL64" s="160">
        <f t="shared" si="19"/>
        <v>0.82541666666666669</v>
      </c>
      <c r="BM64" s="169">
        <f t="shared" si="20"/>
        <v>2.304749297374856E-2</v>
      </c>
      <c r="BN64" s="162" t="str">
        <f t="shared" si="21"/>
        <v>OK</v>
      </c>
      <c r="BO64" s="163" cm="1">
        <f t="array" ref="BO64">_xll.DCEBoltDisK(AN64, AO64, AP64, AE64,  BB64, BC64, BD64, "h7")</f>
        <v>1222</v>
      </c>
      <c r="BP64" s="164" cm="1">
        <f t="array" ref="BP64">_xll.DCEBoltDisK(AN64, AO64, AP64, AE64,  BB64, BC64, BD64, "Tong")</f>
        <v>4037428</v>
      </c>
      <c r="BQ64" s="165">
        <f t="shared" si="22"/>
        <v>68.49238410072428</v>
      </c>
      <c r="BR64" s="161">
        <f t="shared" si="23"/>
        <v>0.48122375177562698</v>
      </c>
      <c r="BS64" s="162" t="str">
        <f t="shared" si="24"/>
        <v>OK</v>
      </c>
      <c r="BT64" s="159">
        <f t="shared" si="25"/>
        <v>0.48159963004771289</v>
      </c>
      <c r="BU64" s="162" t="str">
        <f t="shared" si="26"/>
        <v>OK</v>
      </c>
      <c r="BV64" s="166">
        <f t="shared" si="27"/>
        <v>376.27679223325896</v>
      </c>
      <c r="BW64" s="159">
        <f t="shared" si="28"/>
        <v>8.4662278252483265</v>
      </c>
      <c r="BX64" s="166">
        <f t="shared" si="29"/>
        <v>188.13839611662948</v>
      </c>
      <c r="BY64" s="155">
        <f t="shared" si="30"/>
        <v>58.810265645719205</v>
      </c>
      <c r="BZ64" s="167">
        <f t="shared" si="31"/>
        <v>0.28588323577780173</v>
      </c>
      <c r="CA64" s="159">
        <f t="shared" si="32"/>
        <v>5.4453949671962221</v>
      </c>
      <c r="CB64" s="168">
        <f t="shared" si="33"/>
        <v>4.563908617142428E-2</v>
      </c>
      <c r="CC64" s="155">
        <f t="shared" si="34"/>
        <v>59.561768982849713</v>
      </c>
      <c r="CD64" s="159">
        <f t="shared" si="35"/>
        <v>0.25177076260866432</v>
      </c>
      <c r="CE64" s="161">
        <f t="shared" si="36"/>
        <v>0.28588323577780173</v>
      </c>
      <c r="CF64" s="162" t="str">
        <f t="shared" si="37"/>
        <v>OK</v>
      </c>
      <c r="DA64" s="113"/>
      <c r="DB64" s="113"/>
      <c r="DC64" s="113"/>
      <c r="DD64" s="115"/>
      <c r="DE64" s="122"/>
      <c r="DF64" s="123"/>
      <c r="DG64" s="123"/>
      <c r="DH64" s="123"/>
      <c r="DI64" s="123"/>
      <c r="DJ64" s="125"/>
      <c r="DK64" s="154"/>
      <c r="DL64" s="155"/>
      <c r="DM64" s="155"/>
      <c r="DN64" s="155"/>
      <c r="DO64" s="155"/>
      <c r="DP64" s="155"/>
      <c r="DQ64" s="155"/>
      <c r="DR64" s="155"/>
      <c r="DS64" s="156"/>
      <c r="DT64" s="157"/>
      <c r="DU64" s="157"/>
      <c r="DV64" s="158"/>
      <c r="DW64" s="158"/>
      <c r="DX64" s="158"/>
      <c r="DY64" s="158"/>
      <c r="DZ64" s="158"/>
      <c r="EA64" s="154"/>
      <c r="EB64" s="154"/>
      <c r="EC64" s="154"/>
      <c r="ED64" s="154"/>
      <c r="EE64" s="154"/>
      <c r="EF64" s="154"/>
      <c r="EG64" s="154"/>
      <c r="EH64" s="154"/>
      <c r="EI64" s="154"/>
      <c r="EJ64" s="154"/>
      <c r="EK64" s="159"/>
      <c r="EL64" s="159"/>
      <c r="EM64" s="159"/>
      <c r="EN64" s="159"/>
      <c r="EO64" s="159"/>
      <c r="EP64" s="159"/>
      <c r="EQ64" s="159"/>
      <c r="ER64" s="159"/>
      <c r="ES64" s="159"/>
      <c r="ET64" s="159"/>
      <c r="EU64" s="159"/>
      <c r="EV64" s="159"/>
      <c r="EW64" s="159"/>
      <c r="EX64" s="159"/>
      <c r="EY64" s="159"/>
      <c r="EZ64" s="159"/>
      <c r="FA64" s="159"/>
      <c r="FB64" s="159"/>
      <c r="FC64" s="159"/>
      <c r="FD64" s="159"/>
      <c r="FE64" s="159"/>
      <c r="FF64" s="159"/>
    </row>
    <row r="65" spans="8:162" ht="14.25">
      <c r="H65" s="197" t="str">
        <f>"- Khả năng chịu ép mặt của 1 bu lông:"</f>
        <v>- Khả năng chịu ép mặt của 1 bu lông:</v>
      </c>
      <c r="I65" s="57"/>
      <c r="J65" s="57"/>
      <c r="K65" s="34"/>
      <c r="L65" s="55"/>
      <c r="M65" s="36"/>
      <c r="N65" s="33"/>
      <c r="O65" s="33"/>
      <c r="P65" s="32"/>
      <c r="Q65" s="34" t="s">
        <v>81</v>
      </c>
      <c r="R65" s="58">
        <f>R19*R20*R51*R23*R24/1000</f>
        <v>243</v>
      </c>
      <c r="S65" s="199" t="s">
        <v>20</v>
      </c>
      <c r="T65" s="6"/>
      <c r="AA65" s="113" t="s">
        <v>211</v>
      </c>
      <c r="AB65" s="113">
        <v>23</v>
      </c>
      <c r="AC65" s="113" t="s">
        <v>260</v>
      </c>
      <c r="AD65" s="115">
        <v>18</v>
      </c>
      <c r="AE65" s="122">
        <v>1232</v>
      </c>
      <c r="AF65" s="123">
        <v>350</v>
      </c>
      <c r="AG65" s="123">
        <v>12</v>
      </c>
      <c r="AH65" s="123">
        <v>16</v>
      </c>
      <c r="AI65" s="123">
        <v>1200</v>
      </c>
      <c r="AJ65" s="124" t="str" cm="1">
        <f t="array" ref="AJ65">_xll.Dce_Name_SectI(AE65, AE65, AF65, AG65, AH65, "x", "-", "H Tổng")</f>
        <v>1232x350x12x16</v>
      </c>
      <c r="AK65" s="154">
        <f t="shared" si="3"/>
        <v>1382</v>
      </c>
      <c r="AL65" s="155" cm="1">
        <f t="array" ref="AL65">IFERROR(INDEX($A$28:$A$35,IFERROR(MATCH(AF65,$A$28:$A$35,0),MATCH(AF65,$A$28:$A$35,1)+1)),$A$28)</f>
        <v>350</v>
      </c>
      <c r="AM65" s="155">
        <f t="shared" si="4"/>
        <v>25</v>
      </c>
      <c r="AN65" s="155">
        <f t="shared" si="5"/>
        <v>6</v>
      </c>
      <c r="AO65" s="155">
        <f t="shared" si="6"/>
        <v>2</v>
      </c>
      <c r="AP65" s="155">
        <f t="shared" si="7"/>
        <v>6</v>
      </c>
      <c r="AQ65" s="155">
        <f t="shared" si="8"/>
        <v>24</v>
      </c>
      <c r="AR65" s="155" t="str">
        <f t="shared" si="9"/>
        <v>1382x350x25 + 14M24</v>
      </c>
      <c r="AS65" s="156" t="s">
        <v>277</v>
      </c>
      <c r="AT65" s="157">
        <v>7.3231705027028156</v>
      </c>
      <c r="AU65" s="157">
        <v>35.044694345257305</v>
      </c>
      <c r="AV65" s="158">
        <v>-1.5301977046334474E-3</v>
      </c>
      <c r="AW65" s="158">
        <v>1.7818754448715139E-4</v>
      </c>
      <c r="AX65" s="158">
        <v>4.3370223207495528E-4</v>
      </c>
      <c r="AY65" s="158">
        <v>200.85978656941214</v>
      </c>
      <c r="AZ65" s="158"/>
      <c r="BA65" s="154">
        <f t="shared" si="10"/>
        <v>60</v>
      </c>
      <c r="BB65" s="154">
        <f t="shared" si="11"/>
        <v>70</v>
      </c>
      <c r="BC65" s="154">
        <f t="shared" si="12"/>
        <v>80</v>
      </c>
      <c r="BD65" s="154">
        <f t="shared" si="13"/>
        <v>140</v>
      </c>
      <c r="BE65" s="154">
        <f>HLOOKUP(AQ65,Data!$H$31:$Q$35,3,FALSE)</f>
        <v>452.38934211693021</v>
      </c>
      <c r="BF65" s="154">
        <f>HLOOKUP(AQ65,Data!$H$31:$Q$35,4,FALSE)</f>
        <v>353</v>
      </c>
      <c r="BG65" s="154">
        <f t="shared" si="14"/>
        <v>180</v>
      </c>
      <c r="BH65" s="154">
        <f t="shared" si="15"/>
        <v>121.65654188208487</v>
      </c>
      <c r="BI65" s="154">
        <f t="shared" si="16"/>
        <v>243</v>
      </c>
      <c r="BJ65" s="154">
        <f t="shared" si="17"/>
        <v>142.3296</v>
      </c>
      <c r="BK65" s="159">
        <f t="shared" si="18"/>
        <v>2.5031924532326646</v>
      </c>
      <c r="BL65" s="160">
        <f t="shared" si="19"/>
        <v>0.82541666666666669</v>
      </c>
      <c r="BM65" s="169">
        <f t="shared" si="20"/>
        <v>2.492789114981352E-2</v>
      </c>
      <c r="BN65" s="162" t="str">
        <f t="shared" si="21"/>
        <v>OK</v>
      </c>
      <c r="BO65" s="163" cm="1">
        <f t="array" ref="BO65">_xll.DCEBoltDisK(AN65, AO65, AP65, AE65,  BB65, BC65, BD65, "h7")</f>
        <v>1222</v>
      </c>
      <c r="BP65" s="164" cm="1">
        <f t="array" ref="BP65">_xll.DCEBoltDisK(AN65, AO65, AP65, AE65,  BB65, BC65, BD65, "Tong")</f>
        <v>4037428</v>
      </c>
      <c r="BQ65" s="165">
        <f t="shared" si="22"/>
        <v>30.919992132741402</v>
      </c>
      <c r="BR65" s="161">
        <f t="shared" si="23"/>
        <v>0.21724217683982391</v>
      </c>
      <c r="BS65" s="162" t="str">
        <f t="shared" si="24"/>
        <v>OK</v>
      </c>
      <c r="BT65" s="159">
        <f t="shared" si="25"/>
        <v>0.21821441503266653</v>
      </c>
      <c r="BU65" s="162" t="str">
        <f t="shared" si="26"/>
        <v>OK</v>
      </c>
      <c r="BV65" s="166">
        <f t="shared" si="27"/>
        <v>170.35871154930359</v>
      </c>
      <c r="BW65" s="159">
        <f t="shared" si="28"/>
        <v>3.8330710098593306</v>
      </c>
      <c r="BX65" s="166">
        <f t="shared" si="29"/>
        <v>85.179355774651796</v>
      </c>
      <c r="BY65" s="155">
        <f t="shared" si="30"/>
        <v>26.626253035202296</v>
      </c>
      <c r="BZ65" s="167">
        <f t="shared" si="31"/>
        <v>0.12943317447667785</v>
      </c>
      <c r="CA65" s="159">
        <f t="shared" si="32"/>
        <v>2.465393799555768</v>
      </c>
      <c r="CB65" s="168">
        <f t="shared" si="33"/>
        <v>2.0663022745318938E-2</v>
      </c>
      <c r="CC65" s="155">
        <f t="shared" si="34"/>
        <v>26.966494960511344</v>
      </c>
      <c r="CD65" s="159">
        <f t="shared" si="35"/>
        <v>0.11398880720022914</v>
      </c>
      <c r="CE65" s="161">
        <f t="shared" si="36"/>
        <v>0.12943317447667785</v>
      </c>
      <c r="CF65" s="162" t="str">
        <f t="shared" si="37"/>
        <v>OK</v>
      </c>
      <c r="DA65" s="113"/>
      <c r="DB65" s="113"/>
      <c r="DC65" s="113"/>
      <c r="DD65" s="115"/>
      <c r="DE65" s="122"/>
      <c r="DF65" s="123"/>
      <c r="DG65" s="123"/>
      <c r="DH65" s="123"/>
      <c r="DI65" s="123"/>
      <c r="DJ65" s="125"/>
      <c r="DK65" s="154"/>
      <c r="DL65" s="155"/>
      <c r="DM65" s="155"/>
      <c r="DN65" s="155"/>
      <c r="DO65" s="155"/>
      <c r="DP65" s="155"/>
      <c r="DQ65" s="155"/>
      <c r="DR65" s="155"/>
      <c r="DS65" s="156"/>
      <c r="DT65" s="157"/>
      <c r="DU65" s="157"/>
      <c r="DV65" s="158"/>
      <c r="DW65" s="158"/>
      <c r="DX65" s="158"/>
      <c r="DY65" s="158"/>
      <c r="DZ65" s="158"/>
      <c r="EA65" s="154"/>
      <c r="EB65" s="154"/>
      <c r="EC65" s="154"/>
      <c r="ED65" s="154"/>
      <c r="EE65" s="154"/>
      <c r="EF65" s="154"/>
      <c r="EG65" s="154"/>
      <c r="EH65" s="154"/>
      <c r="EI65" s="154"/>
      <c r="EJ65" s="154"/>
      <c r="EK65" s="159"/>
      <c r="EL65" s="159"/>
      <c r="EM65" s="159"/>
      <c r="EN65" s="159"/>
      <c r="EO65" s="159"/>
      <c r="EP65" s="159"/>
      <c r="EQ65" s="159"/>
      <c r="ER65" s="159"/>
      <c r="ES65" s="159"/>
      <c r="ET65" s="159"/>
      <c r="EU65" s="159"/>
      <c r="EV65" s="159"/>
      <c r="EW65" s="159"/>
      <c r="EX65" s="159"/>
      <c r="EY65" s="159"/>
      <c r="EZ65" s="159"/>
      <c r="FA65" s="159"/>
      <c r="FB65" s="159"/>
      <c r="FC65" s="159"/>
      <c r="FD65" s="159"/>
      <c r="FE65" s="159"/>
      <c r="FF65" s="159"/>
    </row>
    <row r="66" spans="8:162" ht="14.25">
      <c r="H66" s="197" t="str">
        <f>"- Khả năng chịu kéo của 1 bu lông:"</f>
        <v>- Khả năng chịu kéo của 1 bu lông:</v>
      </c>
      <c r="I66" s="57"/>
      <c r="J66" s="57"/>
      <c r="K66" s="34"/>
      <c r="L66" s="55"/>
      <c r="M66" s="36"/>
      <c r="N66" s="33"/>
      <c r="O66" s="33"/>
      <c r="P66" s="32"/>
      <c r="Q66" s="34" t="s">
        <v>101</v>
      </c>
      <c r="R66" s="58">
        <f>R18*R22*R23/1000</f>
        <v>142.3296</v>
      </c>
      <c r="S66" s="199" t="s">
        <v>20</v>
      </c>
      <c r="T66" s="6"/>
      <c r="AA66" s="113" t="s">
        <v>211</v>
      </c>
      <c r="AB66" s="113">
        <v>23</v>
      </c>
      <c r="AC66" s="113" t="s">
        <v>260</v>
      </c>
      <c r="AD66" s="115">
        <v>18</v>
      </c>
      <c r="AE66" s="122">
        <v>1232</v>
      </c>
      <c r="AF66" s="123">
        <v>350</v>
      </c>
      <c r="AG66" s="123">
        <v>12</v>
      </c>
      <c r="AH66" s="123">
        <v>16</v>
      </c>
      <c r="AI66" s="123">
        <v>1200</v>
      </c>
      <c r="AJ66" s="124" t="str" cm="1">
        <f t="array" ref="AJ66">_xll.Dce_Name_SectI(AE66, AE66, AF66, AG66, AH66, "x", "-", "H Tổng")</f>
        <v>1232x350x12x16</v>
      </c>
      <c r="AK66" s="154">
        <f t="shared" si="3"/>
        <v>1382</v>
      </c>
      <c r="AL66" s="155" cm="1">
        <f t="array" ref="AL66">IFERROR(INDEX($A$28:$A$35,IFERROR(MATCH(AF66,$A$28:$A$35,0),MATCH(AF66,$A$28:$A$35,1)+1)),$A$28)</f>
        <v>350</v>
      </c>
      <c r="AM66" s="155">
        <f t="shared" si="4"/>
        <v>25</v>
      </c>
      <c r="AN66" s="155">
        <f t="shared" si="5"/>
        <v>6</v>
      </c>
      <c r="AO66" s="155">
        <f t="shared" si="6"/>
        <v>2</v>
      </c>
      <c r="AP66" s="155">
        <f t="shared" si="7"/>
        <v>6</v>
      </c>
      <c r="AQ66" s="155">
        <f t="shared" si="8"/>
        <v>24</v>
      </c>
      <c r="AR66" s="155" t="str">
        <f t="shared" si="9"/>
        <v>1382x350x25 + 14M24</v>
      </c>
      <c r="AS66" s="156" t="s">
        <v>278</v>
      </c>
      <c r="AT66" s="157">
        <v>-78.85198070567256</v>
      </c>
      <c r="AU66" s="157">
        <v>-30.293431168160097</v>
      </c>
      <c r="AV66" s="158">
        <v>-6.31408667331814E-3</v>
      </c>
      <c r="AW66" s="158">
        <v>-1.4452972036812373E-4</v>
      </c>
      <c r="AX66" s="158">
        <v>1.0052203461572479E-3</v>
      </c>
      <c r="AY66" s="158">
        <v>756.8124746739793</v>
      </c>
      <c r="AZ66" s="158"/>
      <c r="BA66" s="154">
        <f t="shared" si="10"/>
        <v>60</v>
      </c>
      <c r="BB66" s="154">
        <f t="shared" si="11"/>
        <v>70</v>
      </c>
      <c r="BC66" s="154">
        <f t="shared" si="12"/>
        <v>80</v>
      </c>
      <c r="BD66" s="154">
        <f t="shared" si="13"/>
        <v>140</v>
      </c>
      <c r="BE66" s="154">
        <f>HLOOKUP(AQ66,Data!$H$31:$Q$35,3,FALSE)</f>
        <v>452.38934211693021</v>
      </c>
      <c r="BF66" s="154">
        <f>HLOOKUP(AQ66,Data!$H$31:$Q$35,4,FALSE)</f>
        <v>353</v>
      </c>
      <c r="BG66" s="154">
        <f t="shared" si="14"/>
        <v>180</v>
      </c>
      <c r="BH66" s="154">
        <f t="shared" si="15"/>
        <v>121.65654188208487</v>
      </c>
      <c r="BI66" s="154">
        <f t="shared" si="16"/>
        <v>243</v>
      </c>
      <c r="BJ66" s="154">
        <f t="shared" si="17"/>
        <v>142.3296</v>
      </c>
      <c r="BK66" s="159">
        <f t="shared" si="18"/>
        <v>2.1638165120114357</v>
      </c>
      <c r="BL66" s="160">
        <f t="shared" si="19"/>
        <v>0.82541666666666669</v>
      </c>
      <c r="BM66" s="169">
        <f t="shared" si="20"/>
        <v>2.1548236297186021E-2</v>
      </c>
      <c r="BN66" s="162" t="str">
        <f t="shared" si="21"/>
        <v>OK</v>
      </c>
      <c r="BO66" s="163" cm="1">
        <f t="array" ref="BO66">_xll.DCEBoltDisK(AN66, AO66, AP66, AE66,  BB66, BC66, BD66, "h7")</f>
        <v>1222</v>
      </c>
      <c r="BP66" s="164" cm="1">
        <f t="array" ref="BP66">_xll.DCEBoltDisK(AN66, AO66, AP66, AE66,  BB66, BC66, BD66, "Tong")</f>
        <v>4037428</v>
      </c>
      <c r="BQ66" s="165">
        <f t="shared" si="22"/>
        <v>108.89915053424882</v>
      </c>
      <c r="BR66" s="161">
        <f t="shared" si="23"/>
        <v>0.76511948698126619</v>
      </c>
      <c r="BS66" s="162" t="str">
        <f t="shared" si="24"/>
        <v>OK</v>
      </c>
      <c r="BT66" s="159">
        <f t="shared" si="25"/>
        <v>0.76532619246901268</v>
      </c>
      <c r="BU66" s="162" t="str">
        <f t="shared" si="26"/>
        <v>OK</v>
      </c>
      <c r="BV66" s="166">
        <f t="shared" si="27"/>
        <v>535.44385912710288</v>
      </c>
      <c r="BW66" s="159">
        <f t="shared" si="28"/>
        <v>12.047486830359814</v>
      </c>
      <c r="BX66" s="166">
        <f t="shared" si="29"/>
        <v>267.72192956355144</v>
      </c>
      <c r="BY66" s="155">
        <f t="shared" si="30"/>
        <v>83.687318069069619</v>
      </c>
      <c r="BZ66" s="167">
        <f t="shared" si="31"/>
        <v>0.406813351724644</v>
      </c>
      <c r="CA66" s="159">
        <f t="shared" si="32"/>
        <v>7.7488257471360766</v>
      </c>
      <c r="CB66" s="168">
        <f t="shared" si="33"/>
        <v>6.4944660237012147E-2</v>
      </c>
      <c r="CC66" s="155">
        <f t="shared" si="34"/>
        <v>84.756711279827655</v>
      </c>
      <c r="CD66" s="159">
        <f t="shared" si="35"/>
        <v>0.35827112255965804</v>
      </c>
      <c r="CE66" s="161">
        <f t="shared" si="36"/>
        <v>0.406813351724644</v>
      </c>
      <c r="CF66" s="162" t="str">
        <f t="shared" si="37"/>
        <v>OK</v>
      </c>
      <c r="DA66" s="113"/>
      <c r="DB66" s="113"/>
      <c r="DC66" s="113"/>
      <c r="DD66" s="115"/>
      <c r="DE66" s="122"/>
      <c r="DF66" s="123"/>
      <c r="DG66" s="123"/>
      <c r="DH66" s="123"/>
      <c r="DI66" s="123"/>
      <c r="DJ66" s="125"/>
      <c r="DK66" s="154"/>
      <c r="DL66" s="155"/>
      <c r="DM66" s="155"/>
      <c r="DN66" s="155"/>
      <c r="DO66" s="155"/>
      <c r="DP66" s="155"/>
      <c r="DQ66" s="155"/>
      <c r="DR66" s="155"/>
      <c r="DS66" s="156"/>
      <c r="DT66" s="157"/>
      <c r="DU66" s="157"/>
      <c r="DV66" s="158"/>
      <c r="DW66" s="158"/>
      <c r="DX66" s="158"/>
      <c r="DY66" s="158"/>
      <c r="DZ66" s="158"/>
      <c r="EA66" s="154"/>
      <c r="EB66" s="154"/>
      <c r="EC66" s="154"/>
      <c r="ED66" s="154"/>
      <c r="EE66" s="154"/>
      <c r="EF66" s="154"/>
      <c r="EG66" s="154"/>
      <c r="EH66" s="154"/>
      <c r="EI66" s="154"/>
      <c r="EJ66" s="154"/>
      <c r="EK66" s="159"/>
      <c r="EL66" s="159"/>
      <c r="EM66" s="159"/>
      <c r="EN66" s="159"/>
      <c r="EO66" s="159"/>
      <c r="EP66" s="159"/>
      <c r="EQ66" s="159"/>
      <c r="ER66" s="159"/>
      <c r="ES66" s="159"/>
      <c r="ET66" s="159"/>
      <c r="EU66" s="159"/>
      <c r="EV66" s="159"/>
      <c r="EW66" s="159"/>
      <c r="EX66" s="159"/>
      <c r="EY66" s="159"/>
      <c r="EZ66" s="159"/>
      <c r="FA66" s="159"/>
      <c r="FB66" s="159"/>
      <c r="FC66" s="159"/>
      <c r="FD66" s="159"/>
      <c r="FE66" s="159"/>
      <c r="FF66" s="159"/>
    </row>
    <row r="67" spans="8:162">
      <c r="H67" s="196" t="s">
        <v>102</v>
      </c>
      <c r="I67" s="57"/>
      <c r="J67" s="57"/>
      <c r="K67" s="34"/>
      <c r="L67" s="55"/>
      <c r="M67" s="56"/>
      <c r="N67" s="32"/>
      <c r="O67" s="32"/>
      <c r="P67" s="32"/>
      <c r="Q67" s="34"/>
      <c r="R67" s="53"/>
      <c r="S67" s="199"/>
      <c r="T67" s="6"/>
      <c r="AA67" s="113" t="s">
        <v>211</v>
      </c>
      <c r="AB67" s="113">
        <v>23</v>
      </c>
      <c r="AC67" s="113" t="s">
        <v>260</v>
      </c>
      <c r="AD67" s="115">
        <v>18</v>
      </c>
      <c r="AE67" s="122">
        <v>1232</v>
      </c>
      <c r="AF67" s="123">
        <v>350</v>
      </c>
      <c r="AG67" s="123">
        <v>12</v>
      </c>
      <c r="AH67" s="123">
        <v>16</v>
      </c>
      <c r="AI67" s="123">
        <v>1200</v>
      </c>
      <c r="AJ67" s="124" t="str" cm="1">
        <f t="array" ref="AJ67">_xll.Dce_Name_SectI(AE67, AE67, AF67, AG67, AH67, "x", "-", "H Tổng")</f>
        <v>1232x350x12x16</v>
      </c>
      <c r="AK67" s="154">
        <f t="shared" si="3"/>
        <v>1382</v>
      </c>
      <c r="AL67" s="155" cm="1">
        <f t="array" ref="AL67">IFERROR(INDEX($A$28:$A$35,IFERROR(MATCH(AF67,$A$28:$A$35,0),MATCH(AF67,$A$28:$A$35,1)+1)),$A$28)</f>
        <v>350</v>
      </c>
      <c r="AM67" s="155">
        <f t="shared" si="4"/>
        <v>25</v>
      </c>
      <c r="AN67" s="155">
        <f t="shared" si="5"/>
        <v>6</v>
      </c>
      <c r="AO67" s="155">
        <f t="shared" si="6"/>
        <v>2</v>
      </c>
      <c r="AP67" s="155">
        <f t="shared" si="7"/>
        <v>6</v>
      </c>
      <c r="AQ67" s="155">
        <f t="shared" si="8"/>
        <v>24</v>
      </c>
      <c r="AR67" s="155" t="str">
        <f t="shared" si="9"/>
        <v>1382x350x25 + 14M24</v>
      </c>
      <c r="AS67" s="156" t="s">
        <v>279</v>
      </c>
      <c r="AT67" s="157">
        <v>120.45195365928369</v>
      </c>
      <c r="AU67" s="157">
        <v>96.542955152005831</v>
      </c>
      <c r="AV67" s="158">
        <v>0.15795546238176852</v>
      </c>
      <c r="AW67" s="158">
        <v>-5.2201001632337408E-3</v>
      </c>
      <c r="AX67" s="158">
        <v>-3.9449654601522888E-2</v>
      </c>
      <c r="AY67" s="158">
        <v>-652.46011104642923</v>
      </c>
      <c r="AZ67" s="158"/>
      <c r="BA67" s="154">
        <f t="shared" si="10"/>
        <v>60</v>
      </c>
      <c r="BB67" s="154">
        <f t="shared" si="11"/>
        <v>70</v>
      </c>
      <c r="BC67" s="154">
        <f t="shared" si="12"/>
        <v>80</v>
      </c>
      <c r="BD67" s="154">
        <f t="shared" si="13"/>
        <v>140</v>
      </c>
      <c r="BE67" s="154">
        <f>HLOOKUP(AQ67,Data!$H$31:$Q$35,3,FALSE)</f>
        <v>452.38934211693021</v>
      </c>
      <c r="BF67" s="154">
        <f>HLOOKUP(AQ67,Data!$H$31:$Q$35,4,FALSE)</f>
        <v>353</v>
      </c>
      <c r="BG67" s="154">
        <f t="shared" si="14"/>
        <v>180</v>
      </c>
      <c r="BH67" s="154">
        <f t="shared" si="15"/>
        <v>121.65654188208487</v>
      </c>
      <c r="BI67" s="154">
        <f t="shared" si="16"/>
        <v>243</v>
      </c>
      <c r="BJ67" s="154">
        <f t="shared" si="17"/>
        <v>142.3296</v>
      </c>
      <c r="BK67" s="159">
        <f t="shared" si="18"/>
        <v>6.8959253680004169</v>
      </c>
      <c r="BL67" s="160">
        <f t="shared" si="19"/>
        <v>0.82541666666666669</v>
      </c>
      <c r="BM67" s="169">
        <f t="shared" si="20"/>
        <v>6.8672657081862196E-2</v>
      </c>
      <c r="BN67" s="162" t="str">
        <f t="shared" si="21"/>
        <v>OK</v>
      </c>
      <c r="BO67" s="163" cm="1">
        <f t="array" ref="BO67">_xll.DCEBoltDisK(AN67, AO67, AP67, AE67,  BB67, BC67, BD67, "h7")</f>
        <v>1222</v>
      </c>
      <c r="BP67" s="164" cm="1">
        <f t="array" ref="BP67">_xll.DCEBoltDisK(AN67, AO67, AP67, AE67,  BB67, BC67, BD67, "Tong")</f>
        <v>4037428</v>
      </c>
      <c r="BQ67" s="165">
        <f t="shared" si="22"/>
        <v>107.34308858174506</v>
      </c>
      <c r="BR67" s="161">
        <f t="shared" si="23"/>
        <v>0.75418668064650685</v>
      </c>
      <c r="BS67" s="162" t="str">
        <f t="shared" si="24"/>
        <v>OK</v>
      </c>
      <c r="BT67" s="159">
        <f t="shared" si="25"/>
        <v>0.75631380706116413</v>
      </c>
      <c r="BU67" s="162" t="str">
        <f t="shared" si="26"/>
        <v>OK</v>
      </c>
      <c r="BV67" s="166">
        <f t="shared" si="27"/>
        <v>650.04619963852826</v>
      </c>
      <c r="BW67" s="159">
        <f t="shared" si="28"/>
        <v>14.626039491866885</v>
      </c>
      <c r="BX67" s="166">
        <f t="shared" si="29"/>
        <v>325.02309981926413</v>
      </c>
      <c r="BY67" s="155">
        <f t="shared" si="30"/>
        <v>101.59911658605073</v>
      </c>
      <c r="BZ67" s="167">
        <f t="shared" si="31"/>
        <v>0.49388459451552441</v>
      </c>
      <c r="CA67" s="159">
        <f t="shared" si="32"/>
        <v>9.4073256098195124</v>
      </c>
      <c r="CB67" s="168">
        <f t="shared" si="33"/>
        <v>7.8844922496092665E-2</v>
      </c>
      <c r="CC67" s="155">
        <f t="shared" si="34"/>
        <v>102.89739460478786</v>
      </c>
      <c r="CD67" s="159">
        <f t="shared" si="35"/>
        <v>0.43495275497192948</v>
      </c>
      <c r="CE67" s="161">
        <f t="shared" si="36"/>
        <v>0.49388459451552441</v>
      </c>
      <c r="CF67" s="162" t="str">
        <f t="shared" si="37"/>
        <v>OK</v>
      </c>
      <c r="DA67" s="113"/>
      <c r="DB67" s="113"/>
      <c r="DC67" s="113"/>
      <c r="DD67" s="115"/>
      <c r="DE67" s="122"/>
      <c r="DF67" s="123"/>
      <c r="DG67" s="123"/>
      <c r="DH67" s="123"/>
      <c r="DI67" s="123"/>
      <c r="DJ67" s="125"/>
      <c r="DK67" s="154"/>
      <c r="DL67" s="155"/>
      <c r="DM67" s="155"/>
      <c r="DN67" s="155"/>
      <c r="DO67" s="155"/>
      <c r="DP67" s="155"/>
      <c r="DQ67" s="155"/>
      <c r="DR67" s="155"/>
      <c r="DS67" s="156"/>
      <c r="DT67" s="157"/>
      <c r="DU67" s="157"/>
      <c r="DV67" s="158"/>
      <c r="DW67" s="158"/>
      <c r="DX67" s="158"/>
      <c r="DY67" s="158"/>
      <c r="DZ67" s="158"/>
      <c r="EA67" s="154"/>
      <c r="EB67" s="154"/>
      <c r="EC67" s="154"/>
      <c r="ED67" s="154"/>
      <c r="EE67" s="154"/>
      <c r="EF67" s="154"/>
      <c r="EG67" s="154"/>
      <c r="EH67" s="154"/>
      <c r="EI67" s="154"/>
      <c r="EJ67" s="154"/>
      <c r="EK67" s="159"/>
      <c r="EL67" s="159"/>
      <c r="EM67" s="159"/>
      <c r="EN67" s="159"/>
      <c r="EO67" s="159"/>
      <c r="EP67" s="159"/>
      <c r="EQ67" s="159"/>
      <c r="ER67" s="159"/>
      <c r="ES67" s="159"/>
      <c r="ET67" s="159"/>
      <c r="EU67" s="159"/>
      <c r="EV67" s="159"/>
      <c r="EW67" s="159"/>
      <c r="EX67" s="159"/>
      <c r="EY67" s="159"/>
      <c r="EZ67" s="159"/>
      <c r="FA67" s="159"/>
      <c r="FB67" s="159"/>
      <c r="FC67" s="159"/>
      <c r="FD67" s="159"/>
      <c r="FE67" s="159"/>
      <c r="FF67" s="159"/>
    </row>
    <row r="68" spans="8:162" ht="14.25">
      <c r="H68" s="197" t="str">
        <f>"- Lực tác dụng lên một bu lông do lực cắt V:"</f>
        <v>- Lực tác dụng lên một bu lông do lực cắt V:</v>
      </c>
      <c r="I68" s="57"/>
      <c r="J68" s="57"/>
      <c r="K68" s="34"/>
      <c r="L68" s="55"/>
      <c r="M68" s="56"/>
      <c r="N68" s="32"/>
      <c r="O68" s="32"/>
      <c r="P68" s="32"/>
      <c r="Q68" s="34" t="s">
        <v>154</v>
      </c>
      <c r="R68" s="58">
        <f>ABS(P61)/R50</f>
        <v>2.504322251552253</v>
      </c>
      <c r="S68" s="199" t="s">
        <v>20</v>
      </c>
      <c r="T68" s="6"/>
      <c r="AA68" s="113" t="s">
        <v>211</v>
      </c>
      <c r="AB68" s="113">
        <v>23</v>
      </c>
      <c r="AC68" s="113" t="s">
        <v>260</v>
      </c>
      <c r="AD68" s="115">
        <v>18</v>
      </c>
      <c r="AE68" s="122">
        <v>1232</v>
      </c>
      <c r="AF68" s="123">
        <v>350</v>
      </c>
      <c r="AG68" s="123">
        <v>12</v>
      </c>
      <c r="AH68" s="123">
        <v>16</v>
      </c>
      <c r="AI68" s="123">
        <v>1200</v>
      </c>
      <c r="AJ68" s="124" t="str" cm="1">
        <f t="array" ref="AJ68">_xll.Dce_Name_SectI(AE68, AE68, AF68, AG68, AH68, "x", "-", "H Tổng")</f>
        <v>1232x350x12x16</v>
      </c>
      <c r="AK68" s="154">
        <f t="shared" si="3"/>
        <v>1382</v>
      </c>
      <c r="AL68" s="155" cm="1">
        <f t="array" ref="AL68">IFERROR(INDEX($A$28:$A$35,IFERROR(MATCH(AF68,$A$28:$A$35,0),MATCH(AF68,$A$28:$A$35,1)+1)),$A$28)</f>
        <v>350</v>
      </c>
      <c r="AM68" s="155">
        <f t="shared" si="4"/>
        <v>25</v>
      </c>
      <c r="AN68" s="155">
        <f t="shared" si="5"/>
        <v>6</v>
      </c>
      <c r="AO68" s="155">
        <f t="shared" si="6"/>
        <v>2</v>
      </c>
      <c r="AP68" s="155">
        <f t="shared" si="7"/>
        <v>6</v>
      </c>
      <c r="AQ68" s="155">
        <f t="shared" si="8"/>
        <v>24</v>
      </c>
      <c r="AR68" s="155" t="str">
        <f t="shared" si="9"/>
        <v>1382x350x25 + 14M24</v>
      </c>
      <c r="AS68" s="156" t="s">
        <v>280</v>
      </c>
      <c r="AT68" s="157">
        <v>34.175692796995506</v>
      </c>
      <c r="AU68" s="157">
        <v>30.965980953908797</v>
      </c>
      <c r="AV68" s="158">
        <v>0.1861914218387703</v>
      </c>
      <c r="AW68" s="158">
        <v>-5.8162720815243402E-3</v>
      </c>
      <c r="AX68" s="158">
        <v>-3.7317918453893706E-2</v>
      </c>
      <c r="AY68" s="158">
        <v>-92.211808130997383</v>
      </c>
      <c r="AZ68" s="158"/>
      <c r="BA68" s="154">
        <f t="shared" si="10"/>
        <v>60</v>
      </c>
      <c r="BB68" s="154">
        <f t="shared" si="11"/>
        <v>70</v>
      </c>
      <c r="BC68" s="154">
        <f t="shared" si="12"/>
        <v>80</v>
      </c>
      <c r="BD68" s="154">
        <f t="shared" si="13"/>
        <v>140</v>
      </c>
      <c r="BE68" s="154">
        <f>HLOOKUP(AQ68,Data!$H$31:$Q$35,3,FALSE)</f>
        <v>452.38934211693021</v>
      </c>
      <c r="BF68" s="154">
        <f>HLOOKUP(AQ68,Data!$H$31:$Q$35,4,FALSE)</f>
        <v>353</v>
      </c>
      <c r="BG68" s="154">
        <f t="shared" si="14"/>
        <v>180</v>
      </c>
      <c r="BH68" s="154">
        <f t="shared" si="15"/>
        <v>121.65654188208487</v>
      </c>
      <c r="BI68" s="154">
        <f t="shared" si="16"/>
        <v>243</v>
      </c>
      <c r="BJ68" s="154">
        <f t="shared" si="17"/>
        <v>142.3296</v>
      </c>
      <c r="BK68" s="159">
        <f t="shared" si="18"/>
        <v>2.2118557824220568</v>
      </c>
      <c r="BL68" s="160">
        <f t="shared" si="19"/>
        <v>0.82541666666666669</v>
      </c>
      <c r="BM68" s="169">
        <f t="shared" si="20"/>
        <v>2.2026632475700355E-2</v>
      </c>
      <c r="BN68" s="162" t="str">
        <f t="shared" si="21"/>
        <v>OK</v>
      </c>
      <c r="BO68" s="163" cm="1">
        <f t="array" ref="BO68">_xll.DCEBoltDisK(AN68, AO68, AP68, AE68,  BB68, BC68, BD68, "h7")</f>
        <v>1222</v>
      </c>
      <c r="BP68" s="164" cm="1">
        <f t="array" ref="BP68">_xll.DCEBoltDisK(AN68, AO68, AP68, AE68,  BB68, BC68, BD68, "Tong")</f>
        <v>4037428</v>
      </c>
      <c r="BQ68" s="165">
        <f t="shared" si="22"/>
        <v>16.395899740601116</v>
      </c>
      <c r="BR68" s="161">
        <f t="shared" si="23"/>
        <v>0.11519669654520996</v>
      </c>
      <c r="BS68" s="162" t="str">
        <f t="shared" si="24"/>
        <v>OK</v>
      </c>
      <c r="BT68" s="159">
        <f t="shared" si="25"/>
        <v>0.11662260970372022</v>
      </c>
      <c r="BU68" s="162" t="str">
        <f t="shared" si="26"/>
        <v>OK</v>
      </c>
      <c r="BV68" s="166">
        <f t="shared" si="27"/>
        <v>109.02293965657131</v>
      </c>
      <c r="BW68" s="159">
        <f t="shared" si="28"/>
        <v>2.4530161422728542</v>
      </c>
      <c r="BX68" s="166">
        <f t="shared" si="29"/>
        <v>54.511469828285655</v>
      </c>
      <c r="BY68" s="155">
        <f t="shared" si="30"/>
        <v>17.039764808841824</v>
      </c>
      <c r="BZ68" s="167">
        <f t="shared" si="31"/>
        <v>8.2832190042981091E-2</v>
      </c>
      <c r="CA68" s="159">
        <f t="shared" si="32"/>
        <v>1.5777560008186875</v>
      </c>
      <c r="CB68" s="168">
        <f t="shared" si="33"/>
        <v>1.3223529700348196E-2</v>
      </c>
      <c r="CC68" s="155">
        <f t="shared" si="34"/>
        <v>17.25750638809102</v>
      </c>
      <c r="CD68" s="159">
        <f t="shared" si="35"/>
        <v>7.2948396568017604E-2</v>
      </c>
      <c r="CE68" s="161">
        <f t="shared" si="36"/>
        <v>8.2832190042981091E-2</v>
      </c>
      <c r="CF68" s="162" t="str">
        <f t="shared" si="37"/>
        <v>OK</v>
      </c>
      <c r="DA68" s="113"/>
      <c r="DB68" s="113"/>
      <c r="DC68" s="113"/>
      <c r="DD68" s="115"/>
      <c r="DE68" s="122"/>
      <c r="DF68" s="123"/>
      <c r="DG68" s="123"/>
      <c r="DH68" s="123"/>
      <c r="DI68" s="123"/>
      <c r="DJ68" s="125"/>
      <c r="DK68" s="154"/>
      <c r="DL68" s="155"/>
      <c r="DM68" s="155"/>
      <c r="DN68" s="155"/>
      <c r="DO68" s="155"/>
      <c r="DP68" s="155"/>
      <c r="DQ68" s="155"/>
      <c r="DR68" s="155"/>
      <c r="DS68" s="156"/>
      <c r="DT68" s="157"/>
      <c r="DU68" s="157"/>
      <c r="DV68" s="158"/>
      <c r="DW68" s="158"/>
      <c r="DX68" s="158"/>
      <c r="DY68" s="158"/>
      <c r="DZ68" s="158"/>
      <c r="EA68" s="154"/>
      <c r="EB68" s="154"/>
      <c r="EC68" s="154"/>
      <c r="ED68" s="154"/>
      <c r="EE68" s="154"/>
      <c r="EF68" s="154"/>
      <c r="EG68" s="154"/>
      <c r="EH68" s="154"/>
      <c r="EI68" s="154"/>
      <c r="EJ68" s="154"/>
      <c r="EK68" s="159"/>
      <c r="EL68" s="159"/>
      <c r="EM68" s="159"/>
      <c r="EN68" s="159"/>
      <c r="EO68" s="159"/>
      <c r="EP68" s="159"/>
      <c r="EQ68" s="159"/>
      <c r="ER68" s="159"/>
      <c r="ES68" s="159"/>
      <c r="ET68" s="159"/>
      <c r="EU68" s="159"/>
      <c r="EV68" s="159"/>
      <c r="EW68" s="159"/>
      <c r="EX68" s="159"/>
      <c r="EY68" s="159"/>
      <c r="EZ68" s="159"/>
      <c r="FA68" s="159"/>
      <c r="FB68" s="159"/>
      <c r="FC68" s="159"/>
      <c r="FD68" s="159"/>
      <c r="FE68" s="159"/>
      <c r="FF68" s="159"/>
    </row>
    <row r="69" spans="8:162">
      <c r="H69" s="197" t="s">
        <v>220</v>
      </c>
      <c r="I69" s="57"/>
      <c r="J69" s="57"/>
      <c r="K69" s="34"/>
      <c r="L69" s="55"/>
      <c r="M69" s="56"/>
      <c r="N69" s="32"/>
      <c r="O69" s="32"/>
      <c r="P69" s="32"/>
      <c r="Q69" s="34" t="s">
        <v>221</v>
      </c>
      <c r="R69" s="58">
        <f>MAX(H55:N55)</f>
        <v>1222</v>
      </c>
      <c r="S69" s="199" t="s">
        <v>4</v>
      </c>
      <c r="T69" s="6"/>
      <c r="AA69" s="113" t="s">
        <v>211</v>
      </c>
      <c r="AB69" s="113">
        <v>23</v>
      </c>
      <c r="AC69" s="113" t="s">
        <v>260</v>
      </c>
      <c r="AD69" s="115">
        <v>18</v>
      </c>
      <c r="AE69" s="122">
        <v>1232</v>
      </c>
      <c r="AF69" s="123">
        <v>350</v>
      </c>
      <c r="AG69" s="123">
        <v>12</v>
      </c>
      <c r="AH69" s="123">
        <v>16</v>
      </c>
      <c r="AI69" s="123">
        <v>1200</v>
      </c>
      <c r="AJ69" s="124" t="str" cm="1">
        <f t="array" ref="AJ69">_xll.Dce_Name_SectI(AE69, AE69, AF69, AG69, AH69, "x", "-", "H Tổng")</f>
        <v>1232x350x12x16</v>
      </c>
      <c r="AK69" s="154">
        <f t="shared" si="3"/>
        <v>1382</v>
      </c>
      <c r="AL69" s="155" cm="1">
        <f t="array" ref="AL69">IFERROR(INDEX($A$28:$A$35,IFERROR(MATCH(AF69,$A$28:$A$35,0),MATCH(AF69,$A$28:$A$35,1)+1)),$A$28)</f>
        <v>350</v>
      </c>
      <c r="AM69" s="155">
        <f t="shared" si="4"/>
        <v>25</v>
      </c>
      <c r="AN69" s="155">
        <f t="shared" si="5"/>
        <v>6</v>
      </c>
      <c r="AO69" s="155">
        <f t="shared" si="6"/>
        <v>2</v>
      </c>
      <c r="AP69" s="155">
        <f t="shared" si="7"/>
        <v>6</v>
      </c>
      <c r="AQ69" s="155">
        <f t="shared" si="8"/>
        <v>24</v>
      </c>
      <c r="AR69" s="155" t="str">
        <f t="shared" si="9"/>
        <v>1382x350x25 + 14M24</v>
      </c>
      <c r="AS69" s="156" t="s">
        <v>281</v>
      </c>
      <c r="AT69" s="157">
        <v>50.206748209756739</v>
      </c>
      <c r="AU69" s="157">
        <v>101.01899194001503</v>
      </c>
      <c r="AV69" s="158">
        <v>-0.11893255471701923</v>
      </c>
      <c r="AW69" s="158">
        <v>5.8474510833182811E-3</v>
      </c>
      <c r="AX69" s="158">
        <v>3.8246191734120749E-2</v>
      </c>
      <c r="AY69" s="158">
        <v>-733.18949829068117</v>
      </c>
      <c r="AZ69" s="158"/>
      <c r="BA69" s="154">
        <f t="shared" si="10"/>
        <v>60</v>
      </c>
      <c r="BB69" s="154">
        <f t="shared" si="11"/>
        <v>70</v>
      </c>
      <c r="BC69" s="154">
        <f t="shared" si="12"/>
        <v>80</v>
      </c>
      <c r="BD69" s="154">
        <f t="shared" si="13"/>
        <v>140</v>
      </c>
      <c r="BE69" s="154">
        <f>HLOOKUP(AQ69,Data!$H$31:$Q$35,3,FALSE)</f>
        <v>452.38934211693021</v>
      </c>
      <c r="BF69" s="154">
        <f>HLOOKUP(AQ69,Data!$H$31:$Q$35,4,FALSE)</f>
        <v>353</v>
      </c>
      <c r="BG69" s="154">
        <f t="shared" si="14"/>
        <v>180</v>
      </c>
      <c r="BH69" s="154">
        <f t="shared" si="15"/>
        <v>121.65654188208487</v>
      </c>
      <c r="BI69" s="154">
        <f t="shared" si="16"/>
        <v>243</v>
      </c>
      <c r="BJ69" s="154">
        <f t="shared" si="17"/>
        <v>142.3296</v>
      </c>
      <c r="BK69" s="159">
        <f t="shared" si="18"/>
        <v>7.2156422814296448</v>
      </c>
      <c r="BL69" s="160">
        <f t="shared" si="19"/>
        <v>0.82541666666666669</v>
      </c>
      <c r="BM69" s="169">
        <f t="shared" si="20"/>
        <v>7.1856538691294866E-2</v>
      </c>
      <c r="BN69" s="162" t="str">
        <f t="shared" si="21"/>
        <v>OK</v>
      </c>
      <c r="BO69" s="163" cm="1">
        <f t="array" ref="BO69">_xll.DCEBoltDisK(AN69, AO69, AP69, AE69,  BB69, BC69, BD69, "h7")</f>
        <v>1222</v>
      </c>
      <c r="BP69" s="164" cm="1">
        <f t="array" ref="BP69">_xll.DCEBoltDisK(AN69, AO69, AP69, AE69,  BB69, BC69, BD69, "Tong")</f>
        <v>4037428</v>
      </c>
      <c r="BQ69" s="165">
        <f t="shared" si="22"/>
        <v>114.54267241757285</v>
      </c>
      <c r="BR69" s="161">
        <f t="shared" si="23"/>
        <v>0.80477056366049537</v>
      </c>
      <c r="BS69" s="162" t="str">
        <f t="shared" si="24"/>
        <v>OK</v>
      </c>
      <c r="BT69" s="159">
        <f t="shared" si="25"/>
        <v>0.80695323545265341</v>
      </c>
      <c r="BU69" s="162" t="str">
        <f t="shared" si="26"/>
        <v>OK</v>
      </c>
      <c r="BV69" s="166">
        <f t="shared" si="27"/>
        <v>645.32809422492005</v>
      </c>
      <c r="BW69" s="159">
        <f t="shared" si="28"/>
        <v>14.5198821200607</v>
      </c>
      <c r="BX69" s="166">
        <f t="shared" si="29"/>
        <v>322.66404711246003</v>
      </c>
      <c r="BY69" s="155">
        <f t="shared" si="30"/>
        <v>100.86169924210037</v>
      </c>
      <c r="BZ69" s="167">
        <f t="shared" si="31"/>
        <v>0.49029992687132129</v>
      </c>
      <c r="CA69" s="159">
        <f t="shared" si="32"/>
        <v>9.3390462261204057</v>
      </c>
      <c r="CB69" s="168">
        <f t="shared" si="33"/>
        <v>7.8272657546507238E-2</v>
      </c>
      <c r="CC69" s="155">
        <f t="shared" si="34"/>
        <v>102.15055421897989</v>
      </c>
      <c r="CD69" s="159">
        <f t="shared" si="35"/>
        <v>0.43179582097394892</v>
      </c>
      <c r="CE69" s="161">
        <f t="shared" si="36"/>
        <v>0.49029992687132129</v>
      </c>
      <c r="CF69" s="162" t="str">
        <f t="shared" si="37"/>
        <v>OK</v>
      </c>
      <c r="DA69" s="113"/>
      <c r="DB69" s="113"/>
      <c r="DC69" s="113"/>
      <c r="DD69" s="115"/>
      <c r="DE69" s="122"/>
      <c r="DF69" s="123"/>
      <c r="DG69" s="123"/>
      <c r="DH69" s="123"/>
      <c r="DI69" s="123"/>
      <c r="DJ69" s="125"/>
      <c r="DK69" s="154"/>
      <c r="DL69" s="155"/>
      <c r="DM69" s="155"/>
      <c r="DN69" s="155"/>
      <c r="DO69" s="155"/>
      <c r="DP69" s="155"/>
      <c r="DQ69" s="155"/>
      <c r="DR69" s="155"/>
      <c r="DS69" s="156"/>
      <c r="DT69" s="157"/>
      <c r="DU69" s="157"/>
      <c r="DV69" s="158"/>
      <c r="DW69" s="158"/>
      <c r="DX69" s="158"/>
      <c r="DY69" s="158"/>
      <c r="DZ69" s="158"/>
      <c r="EA69" s="154"/>
      <c r="EB69" s="154"/>
      <c r="EC69" s="154"/>
      <c r="ED69" s="154"/>
      <c r="EE69" s="154"/>
      <c r="EF69" s="154"/>
      <c r="EG69" s="154"/>
      <c r="EH69" s="154"/>
      <c r="EI69" s="154"/>
      <c r="EJ69" s="154"/>
      <c r="EK69" s="159"/>
      <c r="EL69" s="159"/>
      <c r="EM69" s="159"/>
      <c r="EN69" s="159"/>
      <c r="EO69" s="159"/>
      <c r="EP69" s="159"/>
      <c r="EQ69" s="159"/>
      <c r="ER69" s="159"/>
      <c r="ES69" s="159"/>
      <c r="ET69" s="159"/>
      <c r="EU69" s="159"/>
      <c r="EV69" s="159"/>
      <c r="EW69" s="159"/>
      <c r="EX69" s="159"/>
      <c r="EY69" s="159"/>
      <c r="EZ69" s="159"/>
      <c r="FA69" s="159"/>
      <c r="FB69" s="159"/>
      <c r="FC69" s="159"/>
      <c r="FD69" s="159"/>
      <c r="FE69" s="159"/>
      <c r="FF69" s="159"/>
    </row>
    <row r="70" spans="8:162">
      <c r="H70" s="197" t="s">
        <v>222</v>
      </c>
      <c r="I70" s="57"/>
      <c r="J70" s="57"/>
      <c r="K70" s="34"/>
      <c r="L70" s="55"/>
      <c r="M70" s="56"/>
      <c r="N70" s="32"/>
      <c r="O70" s="32"/>
      <c r="P70" s="32"/>
      <c r="Q70" s="36" t="s">
        <v>230</v>
      </c>
      <c r="R70" s="43">
        <f>IF(R69&gt;16*R20,MAX(0.75,1-0.005*(R69/R20-16)),1)</f>
        <v>0.82541666666666669</v>
      </c>
      <c r="S70" s="199"/>
      <c r="T70" s="6"/>
      <c r="AA70" s="113" t="s">
        <v>211</v>
      </c>
      <c r="AB70" s="113">
        <v>23</v>
      </c>
      <c r="AC70" s="113" t="s">
        <v>260</v>
      </c>
      <c r="AD70" s="115">
        <v>18</v>
      </c>
      <c r="AE70" s="122">
        <v>1232</v>
      </c>
      <c r="AF70" s="123">
        <v>350</v>
      </c>
      <c r="AG70" s="123">
        <v>12</v>
      </c>
      <c r="AH70" s="123">
        <v>16</v>
      </c>
      <c r="AI70" s="123">
        <v>1200</v>
      </c>
      <c r="AJ70" s="124" t="str" cm="1">
        <f t="array" ref="AJ70">_xll.Dce_Name_SectI(AE70, AE70, AF70, AG70, AH70, "x", "-", "H Tổng")</f>
        <v>1232x350x12x16</v>
      </c>
      <c r="AK70" s="154">
        <f t="shared" si="3"/>
        <v>1382</v>
      </c>
      <c r="AL70" s="155" cm="1">
        <f t="array" ref="AL70">IFERROR(INDEX($A$28:$A$35,IFERROR(MATCH(AF70,$A$28:$A$35,0),MATCH(AF70,$A$28:$A$35,1)+1)),$A$28)</f>
        <v>350</v>
      </c>
      <c r="AM70" s="155">
        <f t="shared" si="4"/>
        <v>25</v>
      </c>
      <c r="AN70" s="155">
        <f t="shared" si="5"/>
        <v>6</v>
      </c>
      <c r="AO70" s="155">
        <f t="shared" si="6"/>
        <v>2</v>
      </c>
      <c r="AP70" s="155">
        <f t="shared" si="7"/>
        <v>6</v>
      </c>
      <c r="AQ70" s="155">
        <f t="shared" si="8"/>
        <v>24</v>
      </c>
      <c r="AR70" s="155" t="str">
        <f t="shared" si="9"/>
        <v>1382x350x25 + 14M24</v>
      </c>
      <c r="AS70" s="156" t="s">
        <v>282</v>
      </c>
      <c r="AT70" s="157">
        <v>-35.590617189109864</v>
      </c>
      <c r="AU70" s="157">
        <v>35.816800396182657</v>
      </c>
      <c r="AV70" s="158">
        <v>-0.13029901166523211</v>
      </c>
      <c r="AW70" s="158">
        <v>5.8352264854263491E-3</v>
      </c>
      <c r="AX70" s="158">
        <v>3.7636404231403409E-2</v>
      </c>
      <c r="AY70" s="158">
        <v>-179.68079362990295</v>
      </c>
      <c r="AZ70" s="158"/>
      <c r="BA70" s="154">
        <f t="shared" si="10"/>
        <v>60</v>
      </c>
      <c r="BB70" s="154">
        <f t="shared" si="11"/>
        <v>70</v>
      </c>
      <c r="BC70" s="154">
        <f t="shared" si="12"/>
        <v>80</v>
      </c>
      <c r="BD70" s="154">
        <f t="shared" si="13"/>
        <v>140</v>
      </c>
      <c r="BE70" s="154">
        <f>HLOOKUP(AQ70,Data!$H$31:$Q$35,3,FALSE)</f>
        <v>452.38934211693021</v>
      </c>
      <c r="BF70" s="154">
        <f>HLOOKUP(AQ70,Data!$H$31:$Q$35,4,FALSE)</f>
        <v>353</v>
      </c>
      <c r="BG70" s="154">
        <f t="shared" si="14"/>
        <v>180</v>
      </c>
      <c r="BH70" s="154">
        <f t="shared" si="15"/>
        <v>121.65654188208487</v>
      </c>
      <c r="BI70" s="154">
        <f t="shared" si="16"/>
        <v>243</v>
      </c>
      <c r="BJ70" s="154">
        <f t="shared" si="17"/>
        <v>142.3296</v>
      </c>
      <c r="BK70" s="159">
        <f t="shared" si="18"/>
        <v>2.5583428854416184</v>
      </c>
      <c r="BL70" s="160">
        <f t="shared" si="19"/>
        <v>0.82541666666666669</v>
      </c>
      <c r="BM70" s="169">
        <f t="shared" si="20"/>
        <v>2.5477103404426445E-2</v>
      </c>
      <c r="BN70" s="162" t="str">
        <f t="shared" si="21"/>
        <v>OK</v>
      </c>
      <c r="BO70" s="163" cm="1">
        <f t="array" ref="BO70">_xll.DCEBoltDisK(AN70, AO70, AP70, AE70,  BB70, BC70, BD70, "h7")</f>
        <v>1222</v>
      </c>
      <c r="BP70" s="164" cm="1">
        <f t="array" ref="BP70">_xll.DCEBoltDisK(AN70, AO70, AP70, AE70,  BB70, BC70, BD70, "Tong")</f>
        <v>4037428</v>
      </c>
      <c r="BQ70" s="165">
        <f t="shared" si="22"/>
        <v>24.649620542257459</v>
      </c>
      <c r="BR70" s="161">
        <f t="shared" si="23"/>
        <v>0.17318688833705329</v>
      </c>
      <c r="BS70" s="162" t="str">
        <f t="shared" si="24"/>
        <v>OK</v>
      </c>
      <c r="BT70" s="159">
        <f t="shared" si="25"/>
        <v>0.17445895399287895</v>
      </c>
      <c r="BU70" s="162" t="str">
        <f t="shared" si="26"/>
        <v>OK</v>
      </c>
      <c r="BV70" s="166">
        <f t="shared" si="27"/>
        <v>110.25418283516201</v>
      </c>
      <c r="BW70" s="159">
        <f t="shared" si="28"/>
        <v>2.4807191137911451</v>
      </c>
      <c r="BX70" s="166">
        <f t="shared" si="29"/>
        <v>55.127091417581006</v>
      </c>
      <c r="BY70" s="155">
        <f t="shared" si="30"/>
        <v>17.232202237623007</v>
      </c>
      <c r="BZ70" s="167">
        <f t="shared" si="31"/>
        <v>8.376764976622296E-2</v>
      </c>
      <c r="CA70" s="159">
        <f t="shared" si="32"/>
        <v>1.5955742812613893</v>
      </c>
      <c r="CB70" s="168">
        <f t="shared" si="33"/>
        <v>1.337286873662563E-2</v>
      </c>
      <c r="CC70" s="155">
        <f t="shared" si="34"/>
        <v>17.452402866637239</v>
      </c>
      <c r="CD70" s="159">
        <f t="shared" si="35"/>
        <v>7.3772234339650175E-2</v>
      </c>
      <c r="CE70" s="161">
        <f t="shared" si="36"/>
        <v>8.376764976622296E-2</v>
      </c>
      <c r="CF70" s="162" t="str">
        <f t="shared" si="37"/>
        <v>OK</v>
      </c>
      <c r="DA70" s="113"/>
      <c r="DB70" s="113"/>
      <c r="DC70" s="113"/>
      <c r="DD70" s="115"/>
      <c r="DE70" s="122"/>
      <c r="DF70" s="123"/>
      <c r="DG70" s="123"/>
      <c r="DH70" s="123"/>
      <c r="DI70" s="123"/>
      <c r="DJ70" s="125"/>
      <c r="DK70" s="154"/>
      <c r="DL70" s="155"/>
      <c r="DM70" s="155"/>
      <c r="DN70" s="155"/>
      <c r="DO70" s="155"/>
      <c r="DP70" s="155"/>
      <c r="DQ70" s="155"/>
      <c r="DR70" s="155"/>
      <c r="DS70" s="156"/>
      <c r="DT70" s="157"/>
      <c r="DU70" s="157"/>
      <c r="DV70" s="158"/>
      <c r="DW70" s="158"/>
      <c r="DX70" s="158"/>
      <c r="DY70" s="158"/>
      <c r="DZ70" s="158"/>
      <c r="EA70" s="154"/>
      <c r="EB70" s="154"/>
      <c r="EC70" s="154"/>
      <c r="ED70" s="154"/>
      <c r="EE70" s="154"/>
      <c r="EF70" s="154"/>
      <c r="EG70" s="154"/>
      <c r="EH70" s="154"/>
      <c r="EI70" s="154"/>
      <c r="EJ70" s="154"/>
      <c r="EK70" s="159"/>
      <c r="EL70" s="159"/>
      <c r="EM70" s="159"/>
      <c r="EN70" s="159"/>
      <c r="EO70" s="159"/>
      <c r="EP70" s="159"/>
      <c r="EQ70" s="159"/>
      <c r="ER70" s="159"/>
      <c r="ES70" s="159"/>
      <c r="ET70" s="159"/>
      <c r="EU70" s="159"/>
      <c r="EV70" s="159"/>
      <c r="EW70" s="159"/>
      <c r="EX70" s="159"/>
      <c r="EY70" s="159"/>
      <c r="EZ70" s="159"/>
      <c r="FA70" s="159"/>
      <c r="FB70" s="159"/>
      <c r="FC70" s="159"/>
      <c r="FD70" s="159"/>
      <c r="FE70" s="159"/>
      <c r="FF70" s="159"/>
    </row>
    <row r="71" spans="8:162" ht="14.25">
      <c r="H71" s="197" t="str">
        <f>"- Tỷ số huy động cấu kiện:"</f>
        <v>- Tỷ số huy động cấu kiện:</v>
      </c>
      <c r="I71" s="32"/>
      <c r="J71" s="32"/>
      <c r="K71" s="34"/>
      <c r="L71" s="55"/>
      <c r="M71" s="56"/>
      <c r="N71" s="32"/>
      <c r="O71" s="32"/>
      <c r="P71" s="32"/>
      <c r="Q71" s="34" t="s">
        <v>231</v>
      </c>
      <c r="R71" s="220">
        <f>R68/(R70*MIN(R64,R65))</f>
        <v>2.4939142178273425E-2</v>
      </c>
      <c r="S71" s="219" t="str">
        <f>IF(R71&lt;=1,"OK","Check")</f>
        <v>OK</v>
      </c>
      <c r="T71" s="6"/>
      <c r="AA71" s="113" t="s">
        <v>211</v>
      </c>
      <c r="AB71" s="113">
        <v>23</v>
      </c>
      <c r="AC71" s="113" t="s">
        <v>260</v>
      </c>
      <c r="AD71" s="115">
        <v>18</v>
      </c>
      <c r="AE71" s="122">
        <v>1232</v>
      </c>
      <c r="AF71" s="123">
        <v>350</v>
      </c>
      <c r="AG71" s="123">
        <v>12</v>
      </c>
      <c r="AH71" s="123">
        <v>16</v>
      </c>
      <c r="AI71" s="123">
        <v>1200</v>
      </c>
      <c r="AJ71" s="124" t="str" cm="1">
        <f t="array" ref="AJ71">_xll.Dce_Name_SectI(AE71, AE71, AF71, AG71, AH71, "x", "-", "H Tổng")</f>
        <v>1232x350x12x16</v>
      </c>
      <c r="AK71" s="154">
        <f t="shared" si="3"/>
        <v>1382</v>
      </c>
      <c r="AL71" s="155" cm="1">
        <f t="array" ref="AL71">IFERROR(INDEX($A$28:$A$35,IFERROR(MATCH(AF71,$A$28:$A$35,0),MATCH(AF71,$A$28:$A$35,1)+1)),$A$28)</f>
        <v>350</v>
      </c>
      <c r="AM71" s="155">
        <f t="shared" si="4"/>
        <v>25</v>
      </c>
      <c r="AN71" s="155">
        <f t="shared" si="5"/>
        <v>6</v>
      </c>
      <c r="AO71" s="155">
        <f t="shared" si="6"/>
        <v>2</v>
      </c>
      <c r="AP71" s="155">
        <f t="shared" si="7"/>
        <v>6</v>
      </c>
      <c r="AQ71" s="155">
        <f t="shared" si="8"/>
        <v>24</v>
      </c>
      <c r="AR71" s="155" t="str">
        <f t="shared" si="9"/>
        <v>1382x350x25 + 14M24</v>
      </c>
      <c r="AS71" s="156" t="s">
        <v>283</v>
      </c>
      <c r="AT71" s="157">
        <v>151.52078432347133</v>
      </c>
      <c r="AU71" s="157">
        <v>51.48934106374228</v>
      </c>
      <c r="AV71" s="158">
        <v>-2.0495522275678951E-2</v>
      </c>
      <c r="AW71" s="158">
        <v>7.6445473732156808E-4</v>
      </c>
      <c r="AX71" s="158">
        <v>-1.2087565838495521E-3</v>
      </c>
      <c r="AY71" s="158">
        <v>-1335.6680772840416</v>
      </c>
      <c r="AZ71" s="158"/>
      <c r="BA71" s="154">
        <f t="shared" si="10"/>
        <v>60</v>
      </c>
      <c r="BB71" s="154">
        <f t="shared" si="11"/>
        <v>70</v>
      </c>
      <c r="BC71" s="154">
        <f t="shared" si="12"/>
        <v>80</v>
      </c>
      <c r="BD71" s="154">
        <f t="shared" si="13"/>
        <v>140</v>
      </c>
      <c r="BE71" s="154">
        <f>HLOOKUP(AQ71,Data!$H$31:$Q$35,3,FALSE)</f>
        <v>452.38934211693021</v>
      </c>
      <c r="BF71" s="154">
        <f>HLOOKUP(AQ71,Data!$H$31:$Q$35,4,FALSE)</f>
        <v>353</v>
      </c>
      <c r="BG71" s="154">
        <f t="shared" si="14"/>
        <v>180</v>
      </c>
      <c r="BH71" s="154">
        <f t="shared" si="15"/>
        <v>121.65654188208487</v>
      </c>
      <c r="BI71" s="154">
        <f t="shared" si="16"/>
        <v>243</v>
      </c>
      <c r="BJ71" s="154">
        <f t="shared" si="17"/>
        <v>142.3296</v>
      </c>
      <c r="BK71" s="159">
        <f t="shared" si="18"/>
        <v>3.6778100759815913</v>
      </c>
      <c r="BL71" s="160">
        <f t="shared" si="19"/>
        <v>0.82541666666666669</v>
      </c>
      <c r="BM71" s="169">
        <f t="shared" si="20"/>
        <v>3.6625249938477301E-2</v>
      </c>
      <c r="BN71" s="162" t="str">
        <f t="shared" si="21"/>
        <v>OK</v>
      </c>
      <c r="BO71" s="163" cm="1">
        <f t="array" ref="BO71">_xll.DCEBoltDisK(AN71, AO71, AP71, AE71,  BB71, BC71, BD71, "h7")</f>
        <v>1222</v>
      </c>
      <c r="BP71" s="164" cm="1">
        <f t="array" ref="BP71">_xll.DCEBoltDisK(AN71, AO71, AP71, AE71,  BB71, BC71, BD71, "Tong")</f>
        <v>4037428</v>
      </c>
      <c r="BQ71" s="165">
        <f t="shared" si="22"/>
        <v>212.95486331356844</v>
      </c>
      <c r="BR71" s="161">
        <f t="shared" si="23"/>
        <v>1.4962092446937842</v>
      </c>
      <c r="BS71" s="162" t="str">
        <f t="shared" si="24"/>
        <v>O/S</v>
      </c>
      <c r="BT71" s="159">
        <f t="shared" si="25"/>
        <v>1.4965146249915937</v>
      </c>
      <c r="BU71" s="162" t="str">
        <f t="shared" si="26"/>
        <v>O/S</v>
      </c>
      <c r="BV71" s="166">
        <f t="shared" si="27"/>
        <v>1235.6669509501285</v>
      </c>
      <c r="BW71" s="159">
        <f t="shared" si="28"/>
        <v>27.80250639637789</v>
      </c>
      <c r="BX71" s="166">
        <f t="shared" si="29"/>
        <v>617.83347547506423</v>
      </c>
      <c r="BY71" s="155">
        <f t="shared" si="30"/>
        <v>193.128843274405</v>
      </c>
      <c r="BZ71" s="167">
        <f t="shared" si="31"/>
        <v>0.93882076591724661</v>
      </c>
      <c r="CA71" s="159">
        <f t="shared" si="32"/>
        <v>17.882300303185652</v>
      </c>
      <c r="CB71" s="168">
        <f t="shared" si="33"/>
        <v>0.14987560120007132</v>
      </c>
      <c r="CC71" s="155">
        <f t="shared" si="34"/>
        <v>195.59672823672085</v>
      </c>
      <c r="CD71" s="159">
        <f t="shared" si="35"/>
        <v>0.82679776428565588</v>
      </c>
      <c r="CE71" s="161">
        <f t="shared" si="36"/>
        <v>0.93882076591724661</v>
      </c>
      <c r="CF71" s="162" t="str">
        <f t="shared" si="37"/>
        <v>OK</v>
      </c>
      <c r="DA71" s="113"/>
      <c r="DB71" s="113"/>
      <c r="DC71" s="113"/>
      <c r="DD71" s="115"/>
      <c r="DE71" s="122"/>
      <c r="DF71" s="123"/>
      <c r="DG71" s="123"/>
      <c r="DH71" s="123"/>
      <c r="DI71" s="123"/>
      <c r="DJ71" s="125"/>
      <c r="DK71" s="154"/>
      <c r="DL71" s="155"/>
      <c r="DM71" s="155"/>
      <c r="DN71" s="155"/>
      <c r="DO71" s="155"/>
      <c r="DP71" s="155"/>
      <c r="DQ71" s="155"/>
      <c r="DR71" s="155"/>
      <c r="DS71" s="156"/>
      <c r="DT71" s="157"/>
      <c r="DU71" s="157"/>
      <c r="DV71" s="158"/>
      <c r="DW71" s="158"/>
      <c r="DX71" s="158"/>
      <c r="DY71" s="158"/>
      <c r="DZ71" s="158"/>
      <c r="EA71" s="154"/>
      <c r="EB71" s="154"/>
      <c r="EC71" s="154"/>
      <c r="ED71" s="154"/>
      <c r="EE71" s="154"/>
      <c r="EF71" s="154"/>
      <c r="EG71" s="154"/>
      <c r="EH71" s="154"/>
      <c r="EI71" s="154"/>
      <c r="EJ71" s="154"/>
      <c r="EK71" s="159"/>
      <c r="EL71" s="159"/>
      <c r="EM71" s="159"/>
      <c r="EN71" s="159"/>
      <c r="EO71" s="159"/>
      <c r="EP71" s="159"/>
      <c r="EQ71" s="159"/>
      <c r="ER71" s="159"/>
      <c r="ES71" s="159"/>
      <c r="ET71" s="159"/>
      <c r="EU71" s="159"/>
      <c r="EV71" s="159"/>
      <c r="EW71" s="159"/>
      <c r="EX71" s="159"/>
      <c r="EY71" s="159"/>
      <c r="EZ71" s="159"/>
      <c r="FA71" s="159"/>
      <c r="FB71" s="159"/>
      <c r="FC71" s="159"/>
      <c r="FD71" s="159"/>
      <c r="FE71" s="159"/>
      <c r="FF71" s="159"/>
    </row>
    <row r="72" spans="8:162">
      <c r="H72" s="196" t="s">
        <v>103</v>
      </c>
      <c r="I72" s="57"/>
      <c r="J72" s="57"/>
      <c r="K72" s="34"/>
      <c r="L72" s="55"/>
      <c r="M72" s="56"/>
      <c r="N72" s="32"/>
      <c r="O72" s="32"/>
      <c r="P72" s="32"/>
      <c r="Q72" s="34"/>
      <c r="R72" s="221"/>
      <c r="S72" s="199"/>
      <c r="T72" s="6"/>
      <c r="AA72" s="113" t="s">
        <v>211</v>
      </c>
      <c r="AB72" s="113">
        <v>23</v>
      </c>
      <c r="AC72" s="113" t="s">
        <v>260</v>
      </c>
      <c r="AD72" s="115">
        <v>18</v>
      </c>
      <c r="AE72" s="122">
        <v>1232</v>
      </c>
      <c r="AF72" s="123">
        <v>350</v>
      </c>
      <c r="AG72" s="123">
        <v>12</v>
      </c>
      <c r="AH72" s="123">
        <v>16</v>
      </c>
      <c r="AI72" s="123">
        <v>1200</v>
      </c>
      <c r="AJ72" s="124" t="str" cm="1">
        <f t="array" ref="AJ72">_xll.Dce_Name_SectI(AE72, AE72, AF72, AG72, AH72, "x", "-", "H Tổng")</f>
        <v>1232x350x12x16</v>
      </c>
      <c r="AK72" s="154">
        <f t="shared" si="3"/>
        <v>1382</v>
      </c>
      <c r="AL72" s="155" cm="1">
        <f t="array" ref="AL72">IFERROR(INDEX($A$28:$A$35,IFERROR(MATCH(AF72,$A$28:$A$35,0),MATCH(AF72,$A$28:$A$35,1)+1)),$A$28)</f>
        <v>350</v>
      </c>
      <c r="AM72" s="155">
        <f t="shared" si="4"/>
        <v>25</v>
      </c>
      <c r="AN72" s="155">
        <f t="shared" si="5"/>
        <v>6</v>
      </c>
      <c r="AO72" s="155">
        <f t="shared" si="6"/>
        <v>2</v>
      </c>
      <c r="AP72" s="155">
        <f t="shared" si="7"/>
        <v>6</v>
      </c>
      <c r="AQ72" s="155">
        <f t="shared" si="8"/>
        <v>24</v>
      </c>
      <c r="AR72" s="155" t="str">
        <f t="shared" si="9"/>
        <v>1382x350x25 + 14M24</v>
      </c>
      <c r="AS72" s="156" t="s">
        <v>284</v>
      </c>
      <c r="AT72" s="157">
        <v>65.704390122356102</v>
      </c>
      <c r="AU72" s="157">
        <v>-13.839038805456084</v>
      </c>
      <c r="AV72" s="158">
        <v>-1.1016924156343923E-2</v>
      </c>
      <c r="AW72" s="158">
        <v>4.3085179261935025E-4</v>
      </c>
      <c r="AX72" s="158">
        <v>-7.9485027268799138E-4</v>
      </c>
      <c r="AY72" s="158">
        <v>-779.89026478103119</v>
      </c>
      <c r="AZ72" s="158"/>
      <c r="BA72" s="154">
        <f t="shared" si="10"/>
        <v>60</v>
      </c>
      <c r="BB72" s="154">
        <f t="shared" si="11"/>
        <v>70</v>
      </c>
      <c r="BC72" s="154">
        <f t="shared" si="12"/>
        <v>80</v>
      </c>
      <c r="BD72" s="154">
        <f t="shared" si="13"/>
        <v>140</v>
      </c>
      <c r="BE72" s="154">
        <f>HLOOKUP(AQ72,Data!$H$31:$Q$35,3,FALSE)</f>
        <v>452.38934211693021</v>
      </c>
      <c r="BF72" s="154">
        <f>HLOOKUP(AQ72,Data!$H$31:$Q$35,4,FALSE)</f>
        <v>353</v>
      </c>
      <c r="BG72" s="154">
        <f t="shared" si="14"/>
        <v>180</v>
      </c>
      <c r="BH72" s="154">
        <f t="shared" si="15"/>
        <v>121.65654188208487</v>
      </c>
      <c r="BI72" s="154">
        <f t="shared" si="16"/>
        <v>243</v>
      </c>
      <c r="BJ72" s="154">
        <f t="shared" si="17"/>
        <v>142.3296</v>
      </c>
      <c r="BK72" s="159">
        <f t="shared" si="18"/>
        <v>0.98850277181829171</v>
      </c>
      <c r="BL72" s="160">
        <f t="shared" si="19"/>
        <v>0.82541666666666669</v>
      </c>
      <c r="BM72" s="169">
        <f t="shared" si="20"/>
        <v>9.8439452649168677E-3</v>
      </c>
      <c r="BN72" s="162" t="str">
        <f t="shared" si="21"/>
        <v>OK</v>
      </c>
      <c r="BO72" s="163" cm="1">
        <f t="array" ref="BO72">_xll.DCEBoltDisK(AN72, AO72, AP72, AE72,  BB72, BC72, BD72, "h7")</f>
        <v>1222</v>
      </c>
      <c r="BP72" s="164" cm="1">
        <f t="array" ref="BP72">_xll.DCEBoltDisK(AN72, AO72, AP72, AE72,  BB72, BC72, BD72, "Tong")</f>
        <v>4037428</v>
      </c>
      <c r="BQ72" s="165">
        <f t="shared" si="22"/>
        <v>122.71705914436944</v>
      </c>
      <c r="BR72" s="161">
        <f t="shared" si="23"/>
        <v>0.86220335857312491</v>
      </c>
      <c r="BS72" s="162" t="str">
        <f t="shared" si="24"/>
        <v>OK</v>
      </c>
      <c r="BT72" s="159">
        <f t="shared" si="25"/>
        <v>0.86224164417686544</v>
      </c>
      <c r="BU72" s="162" t="str">
        <f t="shared" si="26"/>
        <v>OK</v>
      </c>
      <c r="BV72" s="166">
        <f t="shared" si="27"/>
        <v>698.73220244462175</v>
      </c>
      <c r="BW72" s="159">
        <f t="shared" si="28"/>
        <v>15.721474555003988</v>
      </c>
      <c r="BX72" s="166">
        <f t="shared" si="29"/>
        <v>349.36610122231087</v>
      </c>
      <c r="BY72" s="155">
        <f t="shared" si="30"/>
        <v>109.20850631551251</v>
      </c>
      <c r="BZ72" s="167">
        <f t="shared" si="31"/>
        <v>0.53087468347818589</v>
      </c>
      <c r="CA72" s="159">
        <f t="shared" si="32"/>
        <v>10.111898732917824</v>
      </c>
      <c r="CB72" s="168">
        <f t="shared" si="33"/>
        <v>8.4750109112098626E-2</v>
      </c>
      <c r="CC72" s="155">
        <f t="shared" si="34"/>
        <v>110.60402044961879</v>
      </c>
      <c r="CD72" s="159">
        <f t="shared" si="35"/>
        <v>0.46752907194887178</v>
      </c>
      <c r="CE72" s="161">
        <f t="shared" si="36"/>
        <v>0.53087468347818589</v>
      </c>
      <c r="CF72" s="162" t="str">
        <f t="shared" si="37"/>
        <v>OK</v>
      </c>
      <c r="DA72" s="113"/>
      <c r="DB72" s="113"/>
      <c r="DC72" s="113"/>
      <c r="DD72" s="115"/>
      <c r="DE72" s="122"/>
      <c r="DF72" s="123"/>
      <c r="DG72" s="123"/>
      <c r="DH72" s="123"/>
      <c r="DI72" s="123"/>
      <c r="DJ72" s="125"/>
      <c r="DK72" s="154"/>
      <c r="DL72" s="155"/>
      <c r="DM72" s="155"/>
      <c r="DN72" s="155"/>
      <c r="DO72" s="155"/>
      <c r="DP72" s="155"/>
      <c r="DQ72" s="155"/>
      <c r="DR72" s="155"/>
      <c r="DS72" s="156"/>
      <c r="DT72" s="157"/>
      <c r="DU72" s="157"/>
      <c r="DV72" s="158"/>
      <c r="DW72" s="158"/>
      <c r="DX72" s="158"/>
      <c r="DY72" s="158"/>
      <c r="DZ72" s="158"/>
      <c r="EA72" s="154"/>
      <c r="EB72" s="154"/>
      <c r="EC72" s="154"/>
      <c r="ED72" s="154"/>
      <c r="EE72" s="154"/>
      <c r="EF72" s="154"/>
      <c r="EG72" s="154"/>
      <c r="EH72" s="154"/>
      <c r="EI72" s="154"/>
      <c r="EJ72" s="154"/>
      <c r="EK72" s="159"/>
      <c r="EL72" s="159"/>
      <c r="EM72" s="159"/>
      <c r="EN72" s="159"/>
      <c r="EO72" s="159"/>
      <c r="EP72" s="159"/>
      <c r="EQ72" s="159"/>
      <c r="ER72" s="159"/>
      <c r="ES72" s="159"/>
      <c r="ET72" s="159"/>
      <c r="EU72" s="159"/>
      <c r="EV72" s="159"/>
      <c r="EW72" s="159"/>
      <c r="EX72" s="159"/>
      <c r="EY72" s="159"/>
      <c r="EZ72" s="159"/>
      <c r="FA72" s="159"/>
      <c r="FB72" s="159"/>
      <c r="FC72" s="159"/>
      <c r="FD72" s="159"/>
      <c r="FE72" s="159"/>
      <c r="FF72" s="159"/>
    </row>
    <row r="73" spans="8:162">
      <c r="H73" s="222" t="s">
        <v>239</v>
      </c>
      <c r="I73" s="57"/>
      <c r="J73" s="57"/>
      <c r="K73" s="34"/>
      <c r="L73" s="55"/>
      <c r="M73" s="56"/>
      <c r="N73" s="32"/>
      <c r="O73" s="32"/>
      <c r="P73" s="32"/>
      <c r="Q73" s="34" t="s">
        <v>235</v>
      </c>
      <c r="R73" s="66">
        <v>2</v>
      </c>
      <c r="S73" s="199" t="s">
        <v>236</v>
      </c>
      <c r="T73" s="6"/>
      <c r="AA73" s="113" t="s">
        <v>211</v>
      </c>
      <c r="AB73" s="113">
        <v>23</v>
      </c>
      <c r="AC73" s="113" t="s">
        <v>260</v>
      </c>
      <c r="AD73" s="115">
        <v>18</v>
      </c>
      <c r="AE73" s="122">
        <v>1232</v>
      </c>
      <c r="AF73" s="123">
        <v>350</v>
      </c>
      <c r="AG73" s="123">
        <v>12</v>
      </c>
      <c r="AH73" s="123">
        <v>16</v>
      </c>
      <c r="AI73" s="123">
        <v>1200</v>
      </c>
      <c r="AJ73" s="124" t="str" cm="1">
        <f t="array" ref="AJ73">_xll.Dce_Name_SectI(AE73, AE73, AF73, AG73, AH73, "x", "-", "H Tổng")</f>
        <v>1232x350x12x16</v>
      </c>
      <c r="AK73" s="154">
        <f t="shared" si="3"/>
        <v>1382</v>
      </c>
      <c r="AL73" s="155" cm="1">
        <f t="array" ref="AL73">IFERROR(INDEX($A$28:$A$35,IFERROR(MATCH(AF73,$A$28:$A$35,0),MATCH(AF73,$A$28:$A$35,1)+1)),$A$28)</f>
        <v>350</v>
      </c>
      <c r="AM73" s="155">
        <f t="shared" si="4"/>
        <v>25</v>
      </c>
      <c r="AN73" s="155">
        <f t="shared" si="5"/>
        <v>6</v>
      </c>
      <c r="AO73" s="155">
        <f t="shared" si="6"/>
        <v>2</v>
      </c>
      <c r="AP73" s="155">
        <f t="shared" si="7"/>
        <v>6</v>
      </c>
      <c r="AQ73" s="155">
        <f t="shared" si="8"/>
        <v>24</v>
      </c>
      <c r="AR73" s="155" t="str">
        <f t="shared" si="9"/>
        <v>1382x350x25 + 14M24</v>
      </c>
      <c r="AS73" s="156" t="s">
        <v>285</v>
      </c>
      <c r="AT73" s="157">
        <v>58.635299742320356</v>
      </c>
      <c r="AU73" s="157">
        <v>53.601274878372571</v>
      </c>
      <c r="AV73" s="158">
        <v>-4.58429853668821E-3</v>
      </c>
      <c r="AW73" s="158">
        <v>4.3421915314324658E-4</v>
      </c>
      <c r="AX73" s="158">
        <v>1.2315307145175278E-4</v>
      </c>
      <c r="AY73" s="158">
        <v>-133.15949400409747</v>
      </c>
      <c r="AZ73" s="158"/>
      <c r="BA73" s="154">
        <f t="shared" si="10"/>
        <v>60</v>
      </c>
      <c r="BB73" s="154">
        <f t="shared" si="11"/>
        <v>70</v>
      </c>
      <c r="BC73" s="154">
        <f t="shared" si="12"/>
        <v>80</v>
      </c>
      <c r="BD73" s="154">
        <f t="shared" si="13"/>
        <v>140</v>
      </c>
      <c r="BE73" s="154">
        <f>HLOOKUP(AQ73,Data!$H$31:$Q$35,3,FALSE)</f>
        <v>452.38934211693021</v>
      </c>
      <c r="BF73" s="154">
        <f>HLOOKUP(AQ73,Data!$H$31:$Q$35,4,FALSE)</f>
        <v>353</v>
      </c>
      <c r="BG73" s="154">
        <f t="shared" si="14"/>
        <v>180</v>
      </c>
      <c r="BH73" s="154">
        <f t="shared" si="15"/>
        <v>121.65654188208487</v>
      </c>
      <c r="BI73" s="154">
        <f t="shared" si="16"/>
        <v>243</v>
      </c>
      <c r="BJ73" s="154">
        <f t="shared" si="17"/>
        <v>142.3296</v>
      </c>
      <c r="BK73" s="159">
        <f t="shared" si="18"/>
        <v>3.8286624913123264</v>
      </c>
      <c r="BL73" s="160">
        <f t="shared" si="19"/>
        <v>0.82541666666666669</v>
      </c>
      <c r="BM73" s="169">
        <f t="shared" si="20"/>
        <v>3.8127504622968197E-2</v>
      </c>
      <c r="BN73" s="162" t="str">
        <f t="shared" si="21"/>
        <v>OK</v>
      </c>
      <c r="BO73" s="163" cm="1">
        <f t="array" ref="BO73">_xll.DCEBoltDisK(AN73, AO73, AP73, AE73,  BB73, BC73, BD73, "h7")</f>
        <v>1222</v>
      </c>
      <c r="BP73" s="164" cm="1">
        <f t="array" ref="BP73">_xll.DCEBoltDisK(AN73, AO73, AP73, AE73,  BB73, BC73, BD73, "Tong")</f>
        <v>4037428</v>
      </c>
      <c r="BQ73" s="165">
        <f t="shared" si="22"/>
        <v>24.339790308495669</v>
      </c>
      <c r="BR73" s="161">
        <f t="shared" si="23"/>
        <v>0.1710100380278991</v>
      </c>
      <c r="BS73" s="162" t="str">
        <f t="shared" si="24"/>
        <v>OK</v>
      </c>
      <c r="BT73" s="159">
        <f t="shared" si="25"/>
        <v>0.17388174672050474</v>
      </c>
      <c r="BU73" s="162" t="str">
        <f t="shared" si="26"/>
        <v>OK</v>
      </c>
      <c r="BV73" s="166">
        <f t="shared" si="27"/>
        <v>166.71930461577608</v>
      </c>
      <c r="BW73" s="159">
        <f t="shared" si="28"/>
        <v>3.7511843538549616</v>
      </c>
      <c r="BX73" s="166">
        <f t="shared" si="29"/>
        <v>83.359652307888041</v>
      </c>
      <c r="BY73" s="155">
        <f t="shared" si="30"/>
        <v>26.057431112161819</v>
      </c>
      <c r="BZ73" s="167">
        <f t="shared" si="31"/>
        <v>0.12666806790634219</v>
      </c>
      <c r="CA73" s="159">
        <f t="shared" si="32"/>
        <v>2.4127251029779462</v>
      </c>
      <c r="CB73" s="168">
        <f t="shared" si="33"/>
        <v>2.0221594493349648E-2</v>
      </c>
      <c r="CC73" s="155">
        <f t="shared" si="34"/>
        <v>26.390404381757367</v>
      </c>
      <c r="CD73" s="159">
        <f t="shared" si="35"/>
        <v>0.11155364171032706</v>
      </c>
      <c r="CE73" s="161">
        <f t="shared" si="36"/>
        <v>0.12666806790634219</v>
      </c>
      <c r="CF73" s="162" t="str">
        <f t="shared" si="37"/>
        <v>OK</v>
      </c>
      <c r="DA73" s="113"/>
      <c r="DB73" s="113"/>
      <c r="DC73" s="113"/>
      <c r="DD73" s="115"/>
      <c r="DE73" s="122"/>
      <c r="DF73" s="123"/>
      <c r="DG73" s="123"/>
      <c r="DH73" s="123"/>
      <c r="DI73" s="123"/>
      <c r="DJ73" s="125"/>
      <c r="DK73" s="154"/>
      <c r="DL73" s="155"/>
      <c r="DM73" s="155"/>
      <c r="DN73" s="155"/>
      <c r="DO73" s="155"/>
      <c r="DP73" s="155"/>
      <c r="DQ73" s="155"/>
      <c r="DR73" s="155"/>
      <c r="DS73" s="156"/>
      <c r="DT73" s="157"/>
      <c r="DU73" s="157"/>
      <c r="DV73" s="158"/>
      <c r="DW73" s="158"/>
      <c r="DX73" s="158"/>
      <c r="DY73" s="158"/>
      <c r="DZ73" s="158"/>
      <c r="EA73" s="154"/>
      <c r="EB73" s="154"/>
      <c r="EC73" s="154"/>
      <c r="ED73" s="154"/>
      <c r="EE73" s="154"/>
      <c r="EF73" s="154"/>
      <c r="EG73" s="154"/>
      <c r="EH73" s="154"/>
      <c r="EI73" s="154"/>
      <c r="EJ73" s="154"/>
      <c r="EK73" s="159"/>
      <c r="EL73" s="159"/>
      <c r="EM73" s="159"/>
      <c r="EN73" s="159"/>
      <c r="EO73" s="159"/>
      <c r="EP73" s="159"/>
      <c r="EQ73" s="159"/>
      <c r="ER73" s="159"/>
      <c r="ES73" s="159"/>
      <c r="ET73" s="159"/>
      <c r="EU73" s="159"/>
      <c r="EV73" s="159"/>
      <c r="EW73" s="159"/>
      <c r="EX73" s="159"/>
      <c r="EY73" s="159"/>
      <c r="EZ73" s="159"/>
      <c r="FA73" s="159"/>
      <c r="FB73" s="159"/>
      <c r="FC73" s="159"/>
      <c r="FD73" s="159"/>
      <c r="FE73" s="159"/>
      <c r="FF73" s="159"/>
    </row>
    <row r="74" spans="8:162" ht="14.25">
      <c r="H74" s="197" t="str">
        <f>"- Lực kéo tác dụng vào 1 bu lông ở dãy ngoài cùng:"</f>
        <v>- Lực kéo tác dụng vào 1 bu lông ở dãy ngoài cùng:</v>
      </c>
      <c r="I74" s="57"/>
      <c r="J74" s="57"/>
      <c r="K74" s="34"/>
      <c r="L74" s="55"/>
      <c r="M74" s="56"/>
      <c r="N74" s="32"/>
      <c r="O74" s="32"/>
      <c r="P74" s="32"/>
      <c r="Q74" s="34" t="s">
        <v>291</v>
      </c>
      <c r="R74" s="58">
        <f>ABS(Q61)*H55/(R73*R55)*1000+O61/R50</f>
        <v>88.114328240421486</v>
      </c>
      <c r="S74" s="199" t="s">
        <v>20</v>
      </c>
      <c r="T74" s="6"/>
      <c r="AA74" s="113" t="s">
        <v>211</v>
      </c>
      <c r="AB74" s="113">
        <v>23</v>
      </c>
      <c r="AC74" s="113" t="s">
        <v>260</v>
      </c>
      <c r="AD74" s="115">
        <v>18</v>
      </c>
      <c r="AE74" s="122">
        <v>1232</v>
      </c>
      <c r="AF74" s="123">
        <v>350</v>
      </c>
      <c r="AG74" s="123">
        <v>12</v>
      </c>
      <c r="AH74" s="123">
        <v>16</v>
      </c>
      <c r="AI74" s="123">
        <v>1200</v>
      </c>
      <c r="AJ74" s="124" t="str" cm="1">
        <f t="array" ref="AJ74">_xll.Dce_Name_SectI(AE74, AE74, AF74, AG74, AH74, "x", "-", "H Tổng")</f>
        <v>1232x350x12x16</v>
      </c>
      <c r="AK74" s="154">
        <f t="shared" si="3"/>
        <v>1382</v>
      </c>
      <c r="AL74" s="155" cm="1">
        <f t="array" ref="AL74">IFERROR(INDEX($A$28:$A$35,IFERROR(MATCH(AF74,$A$28:$A$35,0),MATCH(AF74,$A$28:$A$35,1)+1)),$A$28)</f>
        <v>350</v>
      </c>
      <c r="AM74" s="155">
        <f t="shared" si="4"/>
        <v>25</v>
      </c>
      <c r="AN74" s="155">
        <f t="shared" si="5"/>
        <v>6</v>
      </c>
      <c r="AO74" s="155">
        <f t="shared" si="6"/>
        <v>2</v>
      </c>
      <c r="AP74" s="155">
        <f t="shared" si="7"/>
        <v>6</v>
      </c>
      <c r="AQ74" s="155">
        <f t="shared" si="8"/>
        <v>24</v>
      </c>
      <c r="AR74" s="155" t="str">
        <f t="shared" si="9"/>
        <v>1382x350x25 + 14M24</v>
      </c>
      <c r="AS74" s="156" t="s">
        <v>286</v>
      </c>
      <c r="AT74" s="157">
        <v>-27.23218346445249</v>
      </c>
      <c r="AU74" s="157">
        <v>-11.724923443123698</v>
      </c>
      <c r="AV74" s="158">
        <v>-9.6346549677233458E-4</v>
      </c>
      <c r="AW74" s="158">
        <v>8.6274149019356731E-5</v>
      </c>
      <c r="AX74" s="158">
        <v>5.4364996126205433E-4</v>
      </c>
      <c r="AY74" s="158">
        <v>422.5795377752745</v>
      </c>
      <c r="AZ74" s="158"/>
      <c r="BA74" s="154">
        <f t="shared" si="10"/>
        <v>60</v>
      </c>
      <c r="BB74" s="154">
        <f t="shared" si="11"/>
        <v>70</v>
      </c>
      <c r="BC74" s="154">
        <f t="shared" si="12"/>
        <v>80</v>
      </c>
      <c r="BD74" s="154">
        <f t="shared" si="13"/>
        <v>140</v>
      </c>
      <c r="BE74" s="154">
        <f>HLOOKUP(AQ74,Data!$H$31:$Q$35,3,FALSE)</f>
        <v>452.38934211693021</v>
      </c>
      <c r="BF74" s="154">
        <f>HLOOKUP(AQ74,Data!$H$31:$Q$35,4,FALSE)</f>
        <v>353</v>
      </c>
      <c r="BG74" s="154">
        <f t="shared" si="14"/>
        <v>180</v>
      </c>
      <c r="BH74" s="154">
        <f t="shared" si="15"/>
        <v>121.65654188208487</v>
      </c>
      <c r="BI74" s="154">
        <f t="shared" si="16"/>
        <v>243</v>
      </c>
      <c r="BJ74" s="154">
        <f t="shared" si="17"/>
        <v>142.3296</v>
      </c>
      <c r="BK74" s="159">
        <f t="shared" si="18"/>
        <v>0.83749453165169274</v>
      </c>
      <c r="BL74" s="160">
        <f t="shared" si="19"/>
        <v>0.82541666666666669</v>
      </c>
      <c r="BM74" s="169">
        <f t="shared" si="20"/>
        <v>8.3401388081913476E-3</v>
      </c>
      <c r="BN74" s="162" t="str">
        <f t="shared" si="21"/>
        <v>OK</v>
      </c>
      <c r="BO74" s="163" cm="1">
        <f t="array" ref="BO74">_xll.DCEBoltDisK(AN74, AO74, AP74, AE74,  BB74, BC74, BD74, "h7")</f>
        <v>1222</v>
      </c>
      <c r="BP74" s="164" cm="1">
        <f t="array" ref="BP74">_xll.DCEBoltDisK(AN74, AO74, AP74, AE74,  BB74, BC74, BD74, "Tong")</f>
        <v>4037428</v>
      </c>
      <c r="BQ74" s="165">
        <f t="shared" si="22"/>
        <v>62.005482311107485</v>
      </c>
      <c r="BR74" s="161">
        <f t="shared" si="23"/>
        <v>0.43564713391386956</v>
      </c>
      <c r="BS74" s="162" t="str">
        <f t="shared" si="24"/>
        <v>OK</v>
      </c>
      <c r="BT74" s="159">
        <f t="shared" si="25"/>
        <v>0.43570152165977116</v>
      </c>
      <c r="BU74" s="162" t="str">
        <f t="shared" si="26"/>
        <v>OK</v>
      </c>
      <c r="BV74" s="166">
        <f t="shared" si="27"/>
        <v>315.77068810638724</v>
      </c>
      <c r="BW74" s="159">
        <f t="shared" si="28"/>
        <v>7.1048404823937128</v>
      </c>
      <c r="BX74" s="166">
        <f t="shared" si="29"/>
        <v>157.88534405319362</v>
      </c>
      <c r="BY74" s="155">
        <f t="shared" si="30"/>
        <v>49.353450528928832</v>
      </c>
      <c r="BZ74" s="167">
        <f t="shared" si="31"/>
        <v>0.2399126067378485</v>
      </c>
      <c r="CA74" s="159">
        <f t="shared" si="32"/>
        <v>4.5697639378637804</v>
      </c>
      <c r="CB74" s="168">
        <f t="shared" si="33"/>
        <v>3.8300224575007744E-2</v>
      </c>
      <c r="CC74" s="155">
        <f t="shared" si="34"/>
        <v>49.984110539798813</v>
      </c>
      <c r="CD74" s="159">
        <f t="shared" si="35"/>
        <v>0.21128549141219308</v>
      </c>
      <c r="CE74" s="161">
        <f t="shared" si="36"/>
        <v>0.2399126067378485</v>
      </c>
      <c r="CF74" s="162" t="str">
        <f t="shared" si="37"/>
        <v>OK</v>
      </c>
      <c r="DA74" s="113"/>
      <c r="DB74" s="113"/>
      <c r="DC74" s="113"/>
      <c r="DD74" s="115"/>
      <c r="DE74" s="122"/>
      <c r="DF74" s="123"/>
      <c r="DG74" s="123"/>
      <c r="DH74" s="123"/>
      <c r="DI74" s="123"/>
      <c r="DJ74" s="125"/>
      <c r="DK74" s="154"/>
      <c r="DL74" s="155"/>
      <c r="DM74" s="155"/>
      <c r="DN74" s="155"/>
      <c r="DO74" s="155"/>
      <c r="DP74" s="155"/>
      <c r="DQ74" s="155"/>
      <c r="DR74" s="155"/>
      <c r="DS74" s="156"/>
      <c r="DT74" s="157"/>
      <c r="DU74" s="157"/>
      <c r="DV74" s="158"/>
      <c r="DW74" s="158"/>
      <c r="DX74" s="158"/>
      <c r="DY74" s="158"/>
      <c r="DZ74" s="158"/>
      <c r="EA74" s="154"/>
      <c r="EB74" s="154"/>
      <c r="EC74" s="154"/>
      <c r="ED74" s="154"/>
      <c r="EE74" s="154"/>
      <c r="EF74" s="154"/>
      <c r="EG74" s="154"/>
      <c r="EH74" s="154"/>
      <c r="EI74" s="154"/>
      <c r="EJ74" s="154"/>
      <c r="EK74" s="159"/>
      <c r="EL74" s="159"/>
      <c r="EM74" s="159"/>
      <c r="EN74" s="159"/>
      <c r="EO74" s="159"/>
      <c r="EP74" s="159"/>
      <c r="EQ74" s="159"/>
      <c r="ER74" s="159"/>
      <c r="ES74" s="159"/>
      <c r="ET74" s="159"/>
      <c r="EU74" s="159"/>
      <c r="EV74" s="159"/>
      <c r="EW74" s="159"/>
      <c r="EX74" s="159"/>
      <c r="EY74" s="159"/>
      <c r="EZ74" s="159"/>
      <c r="FA74" s="159"/>
      <c r="FB74" s="159"/>
      <c r="FC74" s="159"/>
      <c r="FD74" s="159"/>
      <c r="FE74" s="159"/>
      <c r="FF74" s="159"/>
    </row>
    <row r="75" spans="8:162" ht="14.25">
      <c r="H75" s="197" t="str">
        <f>"- Tỷ số huy động cấu kiện:"</f>
        <v>- Tỷ số huy động cấu kiện:</v>
      </c>
      <c r="I75" s="32"/>
      <c r="J75" s="32"/>
      <c r="K75" s="34"/>
      <c r="L75" s="55"/>
      <c r="M75" s="56"/>
      <c r="N75" s="32"/>
      <c r="O75" s="32"/>
      <c r="P75" s="32"/>
      <c r="Q75" s="34" t="s">
        <v>104</v>
      </c>
      <c r="R75" s="220">
        <f>R74/R66</f>
        <v>0.61908646016304048</v>
      </c>
      <c r="S75" s="219" t="str">
        <f>IF(R75&lt;=1,"OK","Check")</f>
        <v>OK</v>
      </c>
      <c r="T75" s="6"/>
      <c r="AA75" s="113"/>
      <c r="AB75" s="113"/>
      <c r="AC75" s="113"/>
      <c r="AD75" s="115"/>
      <c r="AE75" s="122"/>
      <c r="AF75" s="123"/>
      <c r="AG75" s="123"/>
      <c r="AH75" s="123"/>
      <c r="AI75" s="123"/>
      <c r="AJ75" s="124"/>
      <c r="AK75" s="154"/>
      <c r="AL75" s="155"/>
      <c r="AM75" s="155"/>
      <c r="AN75" s="155"/>
      <c r="AO75" s="155"/>
      <c r="AP75" s="155"/>
      <c r="AQ75" s="155"/>
      <c r="AR75" s="155"/>
      <c r="AS75" s="156"/>
      <c r="AT75" s="157"/>
      <c r="AU75" s="157"/>
      <c r="AV75" s="158"/>
      <c r="AW75" s="158"/>
      <c r="AX75" s="158"/>
      <c r="AY75" s="158"/>
      <c r="AZ75" s="158"/>
      <c r="BA75" s="154"/>
      <c r="BB75" s="154"/>
      <c r="BC75" s="154"/>
      <c r="BD75" s="154"/>
      <c r="BE75" s="154"/>
      <c r="BF75" s="154"/>
      <c r="BG75" s="154"/>
      <c r="BH75" s="154"/>
      <c r="BI75" s="154"/>
      <c r="BJ75" s="154"/>
      <c r="BK75" s="159"/>
      <c r="BL75" s="160"/>
      <c r="BM75" s="161"/>
      <c r="BN75" s="162"/>
      <c r="BO75" s="163"/>
      <c r="BP75" s="164"/>
      <c r="BQ75" s="165"/>
      <c r="BR75" s="161"/>
      <c r="BS75" s="162"/>
      <c r="BT75" s="159"/>
      <c r="BU75" s="162"/>
      <c r="BV75" s="166"/>
      <c r="BW75" s="159"/>
      <c r="BX75" s="166"/>
      <c r="BY75" s="155"/>
      <c r="BZ75" s="167"/>
      <c r="CA75" s="159"/>
      <c r="CB75" s="168"/>
      <c r="CC75" s="155"/>
      <c r="CD75" s="159"/>
      <c r="CE75" s="161"/>
      <c r="CF75" s="162"/>
      <c r="DA75" s="113"/>
      <c r="DB75" s="113"/>
      <c r="DC75" s="113"/>
      <c r="DD75" s="115"/>
      <c r="DE75" s="122"/>
      <c r="DF75" s="123"/>
      <c r="DG75" s="123"/>
      <c r="DH75" s="123"/>
      <c r="DI75" s="123"/>
      <c r="DJ75" s="125"/>
      <c r="DK75" s="154"/>
      <c r="DL75" s="155"/>
      <c r="DM75" s="155"/>
      <c r="DN75" s="155"/>
      <c r="DO75" s="155"/>
      <c r="DP75" s="155"/>
      <c r="DQ75" s="155"/>
      <c r="DR75" s="155"/>
      <c r="DS75" s="156"/>
      <c r="DT75" s="157"/>
      <c r="DU75" s="157"/>
      <c r="DV75" s="158"/>
      <c r="DW75" s="158"/>
      <c r="DX75" s="158"/>
      <c r="DY75" s="158"/>
      <c r="DZ75" s="158"/>
      <c r="EA75" s="154"/>
      <c r="EB75" s="154"/>
      <c r="EC75" s="154"/>
      <c r="ED75" s="154"/>
      <c r="EE75" s="154"/>
      <c r="EF75" s="154"/>
      <c r="EG75" s="154"/>
      <c r="EH75" s="154"/>
      <c r="EI75" s="154"/>
      <c r="EJ75" s="154"/>
      <c r="EK75" s="159"/>
      <c r="EL75" s="159"/>
      <c r="EM75" s="159"/>
      <c r="EN75" s="159"/>
      <c r="EO75" s="159"/>
      <c r="EP75" s="159"/>
      <c r="EQ75" s="159"/>
      <c r="ER75" s="159"/>
      <c r="ES75" s="159"/>
      <c r="ET75" s="159"/>
      <c r="EU75" s="159"/>
      <c r="EV75" s="159"/>
      <c r="EW75" s="159"/>
      <c r="EX75" s="159"/>
      <c r="EY75" s="159"/>
      <c r="EZ75" s="159"/>
      <c r="FA75" s="159"/>
      <c r="FB75" s="159"/>
      <c r="FC75" s="159"/>
      <c r="FD75" s="159"/>
      <c r="FE75" s="159"/>
      <c r="FF75" s="159"/>
    </row>
    <row r="76" spans="8:162">
      <c r="H76" s="196" t="s">
        <v>223</v>
      </c>
      <c r="I76" s="57"/>
      <c r="J76" s="57"/>
      <c r="K76" s="34"/>
      <c r="L76" s="55"/>
      <c r="M76" s="56"/>
      <c r="N76" s="32"/>
      <c r="O76" s="32"/>
      <c r="P76" s="32"/>
      <c r="Q76" s="34"/>
      <c r="R76" s="221"/>
      <c r="S76" s="199"/>
      <c r="T76" s="6"/>
      <c r="AA76" s="113"/>
      <c r="AB76" s="113"/>
      <c r="AC76" s="113"/>
      <c r="AD76" s="115"/>
      <c r="AE76" s="122"/>
      <c r="AF76" s="123"/>
      <c r="AG76" s="123"/>
      <c r="AH76" s="123"/>
      <c r="AI76" s="123"/>
      <c r="AJ76" s="124"/>
      <c r="AK76" s="154"/>
      <c r="AL76" s="155"/>
      <c r="AM76" s="155"/>
      <c r="AN76" s="155"/>
      <c r="AO76" s="155"/>
      <c r="AP76" s="155"/>
      <c r="AQ76" s="155"/>
      <c r="AR76" s="155"/>
      <c r="AS76" s="156"/>
      <c r="AT76" s="157"/>
      <c r="AU76" s="157"/>
      <c r="AV76" s="158"/>
      <c r="AW76" s="158"/>
      <c r="AX76" s="158"/>
      <c r="AY76" s="158"/>
      <c r="AZ76" s="158"/>
      <c r="BA76" s="154"/>
      <c r="BB76" s="154"/>
      <c r="BC76" s="154"/>
      <c r="BD76" s="154"/>
      <c r="BE76" s="154"/>
      <c r="BF76" s="154"/>
      <c r="BG76" s="154"/>
      <c r="BH76" s="154"/>
      <c r="BI76" s="154"/>
      <c r="BJ76" s="154"/>
      <c r="BK76" s="159"/>
      <c r="BL76" s="160"/>
      <c r="BM76" s="161"/>
      <c r="BN76" s="162"/>
      <c r="BO76" s="163"/>
      <c r="BP76" s="164"/>
      <c r="BQ76" s="165"/>
      <c r="BR76" s="161"/>
      <c r="BS76" s="162"/>
      <c r="BT76" s="159"/>
      <c r="BU76" s="162"/>
      <c r="BV76" s="166"/>
      <c r="BW76" s="159"/>
      <c r="BX76" s="166"/>
      <c r="BY76" s="155"/>
      <c r="BZ76" s="167"/>
      <c r="CA76" s="159"/>
      <c r="CB76" s="168"/>
      <c r="CC76" s="155"/>
      <c r="CD76" s="159"/>
      <c r="CE76" s="161"/>
      <c r="CF76" s="162"/>
      <c r="DA76" s="113"/>
      <c r="DB76" s="113"/>
      <c r="DC76" s="113"/>
      <c r="DD76" s="115"/>
      <c r="DE76" s="122"/>
      <c r="DF76" s="123"/>
      <c r="DG76" s="123"/>
      <c r="DH76" s="123"/>
      <c r="DI76" s="123"/>
      <c r="DJ76" s="125"/>
      <c r="DK76" s="154"/>
      <c r="DL76" s="155"/>
      <c r="DM76" s="155"/>
      <c r="DN76" s="155"/>
      <c r="DO76" s="155"/>
      <c r="DP76" s="155"/>
      <c r="DQ76" s="155"/>
      <c r="DR76" s="155"/>
      <c r="DS76" s="156"/>
      <c r="DT76" s="157"/>
      <c r="DU76" s="157"/>
      <c r="DV76" s="158"/>
      <c r="DW76" s="158"/>
      <c r="DX76" s="158"/>
      <c r="DY76" s="158"/>
      <c r="DZ76" s="158"/>
      <c r="EA76" s="154"/>
      <c r="EB76" s="154"/>
      <c r="EC76" s="154"/>
      <c r="ED76" s="154"/>
      <c r="EE76" s="154"/>
      <c r="EF76" s="154"/>
      <c r="EG76" s="154"/>
      <c r="EH76" s="154"/>
      <c r="EI76" s="154"/>
      <c r="EJ76" s="154"/>
      <c r="EK76" s="159"/>
      <c r="EL76" s="159"/>
      <c r="EM76" s="159"/>
      <c r="EN76" s="159"/>
      <c r="EO76" s="159"/>
      <c r="EP76" s="159"/>
      <c r="EQ76" s="159"/>
      <c r="ER76" s="159"/>
      <c r="ES76" s="159"/>
      <c r="ET76" s="159"/>
      <c r="EU76" s="159"/>
      <c r="EV76" s="159"/>
      <c r="EW76" s="159"/>
      <c r="EX76" s="159"/>
      <c r="EY76" s="159"/>
      <c r="EZ76" s="159"/>
      <c r="FA76" s="159"/>
      <c r="FB76" s="159"/>
      <c r="FC76" s="159"/>
      <c r="FD76" s="159"/>
      <c r="FE76" s="159"/>
      <c r="FF76" s="159"/>
    </row>
    <row r="77" spans="8:162" ht="14.25">
      <c r="H77" s="197" t="s">
        <v>224</v>
      </c>
      <c r="I77" s="57"/>
      <c r="J77" s="57"/>
      <c r="K77" s="34"/>
      <c r="L77" s="55"/>
      <c r="M77" s="56"/>
      <c r="N77" s="32"/>
      <c r="O77" s="32"/>
      <c r="P77" s="32"/>
      <c r="Q77" s="34" t="s">
        <v>232</v>
      </c>
      <c r="R77" s="43">
        <f>R68/R64</f>
        <v>2.0585183606316525E-2</v>
      </c>
      <c r="S77" s="199"/>
      <c r="T77" s="6"/>
      <c r="AA77" s="113"/>
      <c r="AB77" s="113"/>
      <c r="AC77" s="113"/>
      <c r="AD77" s="115"/>
      <c r="AE77" s="122"/>
      <c r="AF77" s="123"/>
      <c r="AG77" s="123"/>
      <c r="AH77" s="123"/>
      <c r="AI77" s="123"/>
      <c r="AJ77" s="124"/>
      <c r="AK77" s="154"/>
      <c r="AL77" s="155"/>
      <c r="AM77" s="155"/>
      <c r="AN77" s="155"/>
      <c r="AO77" s="155"/>
      <c r="AP77" s="155"/>
      <c r="AQ77" s="155"/>
      <c r="AR77" s="155"/>
      <c r="AS77" s="156"/>
      <c r="AT77" s="157"/>
      <c r="AU77" s="157"/>
      <c r="AV77" s="158"/>
      <c r="AW77" s="158"/>
      <c r="AX77" s="158"/>
      <c r="AY77" s="158"/>
      <c r="AZ77" s="158"/>
      <c r="BA77" s="154"/>
      <c r="BB77" s="154"/>
      <c r="BC77" s="154"/>
      <c r="BD77" s="154"/>
      <c r="BE77" s="154"/>
      <c r="BF77" s="154"/>
      <c r="BG77" s="154"/>
      <c r="BH77" s="154"/>
      <c r="BI77" s="154"/>
      <c r="BJ77" s="154"/>
      <c r="BK77" s="159"/>
      <c r="BL77" s="160"/>
      <c r="BM77" s="161"/>
      <c r="BN77" s="162"/>
      <c r="BO77" s="163"/>
      <c r="BP77" s="164"/>
      <c r="BQ77" s="165"/>
      <c r="BR77" s="161"/>
      <c r="BS77" s="162"/>
      <c r="BT77" s="159"/>
      <c r="BU77" s="162"/>
      <c r="BV77" s="166"/>
      <c r="BW77" s="159"/>
      <c r="BX77" s="166"/>
      <c r="BY77" s="155"/>
      <c r="BZ77" s="167"/>
      <c r="CA77" s="159"/>
      <c r="CB77" s="168"/>
      <c r="CC77" s="155"/>
      <c r="CD77" s="159"/>
      <c r="CE77" s="161"/>
      <c r="CF77" s="162"/>
      <c r="DA77" s="113"/>
      <c r="DB77" s="113"/>
      <c r="DC77" s="113"/>
      <c r="DD77" s="115"/>
      <c r="DE77" s="122"/>
      <c r="DF77" s="123"/>
      <c r="DG77" s="123"/>
      <c r="DH77" s="123"/>
      <c r="DI77" s="123"/>
      <c r="DJ77" s="125"/>
      <c r="DK77" s="154"/>
      <c r="DL77" s="155"/>
      <c r="DM77" s="155"/>
      <c r="DN77" s="155"/>
      <c r="DO77" s="155"/>
      <c r="DP77" s="155"/>
      <c r="DQ77" s="155"/>
      <c r="DR77" s="155"/>
      <c r="DS77" s="156"/>
      <c r="DT77" s="157"/>
      <c r="DU77" s="157"/>
      <c r="DV77" s="158"/>
      <c r="DW77" s="158"/>
      <c r="DX77" s="158"/>
      <c r="DY77" s="158"/>
      <c r="DZ77" s="158"/>
      <c r="EA77" s="154"/>
      <c r="EB77" s="154"/>
      <c r="EC77" s="154"/>
      <c r="ED77" s="154"/>
      <c r="EE77" s="154"/>
      <c r="EF77" s="154"/>
      <c r="EG77" s="154"/>
      <c r="EH77" s="154"/>
      <c r="EI77" s="154"/>
      <c r="EJ77" s="154"/>
      <c r="EK77" s="159"/>
      <c r="EL77" s="159"/>
      <c r="EM77" s="159"/>
      <c r="EN77" s="159"/>
      <c r="EO77" s="159"/>
      <c r="EP77" s="159"/>
      <c r="EQ77" s="159"/>
      <c r="ER77" s="159"/>
      <c r="ES77" s="159"/>
      <c r="ET77" s="159"/>
      <c r="EU77" s="159"/>
      <c r="EV77" s="159"/>
      <c r="EW77" s="159"/>
      <c r="EX77" s="159"/>
      <c r="EY77" s="159"/>
      <c r="EZ77" s="159"/>
      <c r="FA77" s="159"/>
      <c r="FB77" s="159"/>
      <c r="FC77" s="159"/>
      <c r="FD77" s="159"/>
      <c r="FE77" s="159"/>
      <c r="FF77" s="159"/>
    </row>
    <row r="78" spans="8:162" ht="14.25">
      <c r="H78" s="197" t="s">
        <v>225</v>
      </c>
      <c r="I78" s="57"/>
      <c r="J78" s="57"/>
      <c r="K78" s="34"/>
      <c r="L78" s="55"/>
      <c r="M78" s="56"/>
      <c r="N78" s="32"/>
      <c r="O78" s="32"/>
      <c r="P78" s="32"/>
      <c r="Q78" s="34" t="s">
        <v>233</v>
      </c>
      <c r="R78" s="43">
        <f>R74/R66</f>
        <v>0.61908646016304048</v>
      </c>
      <c r="S78" s="199"/>
      <c r="T78" s="6"/>
      <c r="AA78" s="113"/>
      <c r="AB78" s="113"/>
      <c r="AC78" s="113"/>
      <c r="AD78" s="115"/>
      <c r="AE78" s="122"/>
      <c r="AF78" s="123"/>
      <c r="AG78" s="123"/>
      <c r="AH78" s="123"/>
      <c r="AI78" s="123"/>
      <c r="AJ78" s="124"/>
      <c r="AK78" s="154"/>
      <c r="AL78" s="155"/>
      <c r="AM78" s="155"/>
      <c r="AN78" s="155"/>
      <c r="AO78" s="155"/>
      <c r="AP78" s="155"/>
      <c r="AQ78" s="155"/>
      <c r="AR78" s="155"/>
      <c r="AS78" s="156"/>
      <c r="AT78" s="157"/>
      <c r="AU78" s="157"/>
      <c r="AV78" s="158"/>
      <c r="AW78" s="158"/>
      <c r="AX78" s="158"/>
      <c r="AY78" s="158"/>
      <c r="AZ78" s="158"/>
      <c r="BA78" s="154"/>
      <c r="BB78" s="154"/>
      <c r="BC78" s="154"/>
      <c r="BD78" s="154"/>
      <c r="BE78" s="154"/>
      <c r="BF78" s="154"/>
      <c r="BG78" s="154"/>
      <c r="BH78" s="154"/>
      <c r="BI78" s="154"/>
      <c r="BJ78" s="154"/>
      <c r="BK78" s="159"/>
      <c r="BL78" s="160"/>
      <c r="BM78" s="161"/>
      <c r="BN78" s="162"/>
      <c r="BO78" s="163"/>
      <c r="BP78" s="164"/>
      <c r="BQ78" s="165"/>
      <c r="BR78" s="161"/>
      <c r="BS78" s="162"/>
      <c r="BT78" s="159"/>
      <c r="BU78" s="162"/>
      <c r="BV78" s="166"/>
      <c r="BW78" s="159"/>
      <c r="BX78" s="166"/>
      <c r="BY78" s="155"/>
      <c r="BZ78" s="167"/>
      <c r="CA78" s="159"/>
      <c r="CB78" s="168"/>
      <c r="CC78" s="155"/>
      <c r="CD78" s="159"/>
      <c r="CE78" s="161"/>
      <c r="CF78" s="162"/>
      <c r="DA78" s="113"/>
      <c r="DB78" s="113"/>
      <c r="DC78" s="113"/>
      <c r="DD78" s="115"/>
      <c r="DE78" s="122"/>
      <c r="DF78" s="123"/>
      <c r="DG78" s="123"/>
      <c r="DH78" s="123"/>
      <c r="DI78" s="123"/>
      <c r="DJ78" s="125"/>
      <c r="DK78" s="154"/>
      <c r="DL78" s="155"/>
      <c r="DM78" s="155"/>
      <c r="DN78" s="155"/>
      <c r="DO78" s="155"/>
      <c r="DP78" s="155"/>
      <c r="DQ78" s="155"/>
      <c r="DR78" s="155"/>
      <c r="DS78" s="156"/>
      <c r="DT78" s="157"/>
      <c r="DU78" s="157"/>
      <c r="DV78" s="158"/>
      <c r="DW78" s="158"/>
      <c r="DX78" s="158"/>
      <c r="DY78" s="158"/>
      <c r="DZ78" s="158"/>
      <c r="EA78" s="154"/>
      <c r="EB78" s="154"/>
      <c r="EC78" s="154"/>
      <c r="ED78" s="154"/>
      <c r="EE78" s="154"/>
      <c r="EF78" s="154"/>
      <c r="EG78" s="154"/>
      <c r="EH78" s="154"/>
      <c r="EI78" s="154"/>
      <c r="EJ78" s="154"/>
      <c r="EK78" s="159"/>
      <c r="EL78" s="159"/>
      <c r="EM78" s="159"/>
      <c r="EN78" s="159"/>
      <c r="EO78" s="159"/>
      <c r="EP78" s="159"/>
      <c r="EQ78" s="159"/>
      <c r="ER78" s="159"/>
      <c r="ES78" s="159"/>
      <c r="ET78" s="159"/>
      <c r="EU78" s="159"/>
      <c r="EV78" s="159"/>
      <c r="EW78" s="159"/>
      <c r="EX78" s="159"/>
      <c r="EY78" s="159"/>
      <c r="EZ78" s="159"/>
      <c r="FA78" s="159"/>
      <c r="FB78" s="159"/>
      <c r="FC78" s="159"/>
      <c r="FD78" s="159"/>
      <c r="FE78" s="159"/>
      <c r="FF78" s="159"/>
    </row>
    <row r="79" spans="8:162" ht="14.25">
      <c r="H79" s="197" t="s">
        <v>226</v>
      </c>
      <c r="I79" s="57"/>
      <c r="J79" s="57"/>
      <c r="K79" s="34"/>
      <c r="L79" s="55"/>
      <c r="M79" s="56"/>
      <c r="N79" s="32"/>
      <c r="O79" s="32"/>
      <c r="P79" s="32"/>
      <c r="Q79" s="34" t="s">
        <v>234</v>
      </c>
      <c r="R79" s="220">
        <f>SQRT(R77^2+R78^2)</f>
        <v>0.61942860358665197</v>
      </c>
      <c r="S79" s="219" t="str">
        <f>IF(R79&lt;=1,"OK","Check")</f>
        <v>OK</v>
      </c>
      <c r="T79" s="6"/>
      <c r="AA79" s="113"/>
      <c r="AB79" s="113"/>
      <c r="AC79" s="113"/>
      <c r="AD79" s="115"/>
      <c r="AE79" s="122"/>
      <c r="AF79" s="123"/>
      <c r="AG79" s="123"/>
      <c r="AH79" s="123"/>
      <c r="AI79" s="123"/>
      <c r="AJ79" s="124"/>
      <c r="AK79" s="154"/>
      <c r="AL79" s="155"/>
      <c r="AM79" s="155"/>
      <c r="AN79" s="155"/>
      <c r="AO79" s="155"/>
      <c r="AP79" s="155"/>
      <c r="AQ79" s="155"/>
      <c r="AR79" s="155"/>
      <c r="AS79" s="156"/>
      <c r="AT79" s="157"/>
      <c r="AU79" s="157"/>
      <c r="AV79" s="158"/>
      <c r="AW79" s="158"/>
      <c r="AX79" s="158"/>
      <c r="AY79" s="158"/>
      <c r="AZ79" s="158"/>
      <c r="BA79" s="154"/>
      <c r="BB79" s="154"/>
      <c r="BC79" s="154"/>
      <c r="BD79" s="154"/>
      <c r="BE79" s="154"/>
      <c r="BF79" s="154"/>
      <c r="BG79" s="154"/>
      <c r="BH79" s="154"/>
      <c r="BI79" s="154"/>
      <c r="BJ79" s="154"/>
      <c r="BK79" s="159"/>
      <c r="BL79" s="160"/>
      <c r="BM79" s="161"/>
      <c r="BN79" s="162"/>
      <c r="BO79" s="163"/>
      <c r="BP79" s="164"/>
      <c r="BQ79" s="165"/>
      <c r="BR79" s="161"/>
      <c r="BS79" s="162"/>
      <c r="BT79" s="159"/>
      <c r="BU79" s="162"/>
      <c r="BV79" s="166"/>
      <c r="BW79" s="159"/>
      <c r="BX79" s="166"/>
      <c r="BY79" s="155"/>
      <c r="BZ79" s="167"/>
      <c r="CA79" s="159"/>
      <c r="CB79" s="168"/>
      <c r="CC79" s="155"/>
      <c r="CD79" s="159"/>
      <c r="CE79" s="161"/>
      <c r="CF79" s="162"/>
      <c r="DA79" s="113"/>
      <c r="DB79" s="113"/>
      <c r="DC79" s="113"/>
      <c r="DD79" s="115"/>
      <c r="DE79" s="122"/>
      <c r="DF79" s="123"/>
      <c r="DG79" s="123"/>
      <c r="DH79" s="123"/>
      <c r="DI79" s="123"/>
      <c r="DJ79" s="125"/>
      <c r="DK79" s="154"/>
      <c r="DL79" s="155"/>
      <c r="DM79" s="155"/>
      <c r="DN79" s="155"/>
      <c r="DO79" s="155"/>
      <c r="DP79" s="155"/>
      <c r="DQ79" s="155"/>
      <c r="DR79" s="155"/>
      <c r="DS79" s="156"/>
      <c r="DT79" s="157"/>
      <c r="DU79" s="157"/>
      <c r="DV79" s="158"/>
      <c r="DW79" s="158"/>
      <c r="DX79" s="158"/>
      <c r="DY79" s="158"/>
      <c r="DZ79" s="158"/>
      <c r="EA79" s="154"/>
      <c r="EB79" s="154"/>
      <c r="EC79" s="154"/>
      <c r="ED79" s="154"/>
      <c r="EE79" s="154"/>
      <c r="EF79" s="154"/>
      <c r="EG79" s="154"/>
      <c r="EH79" s="154"/>
      <c r="EI79" s="154"/>
      <c r="EJ79" s="154"/>
      <c r="EK79" s="159"/>
      <c r="EL79" s="159"/>
      <c r="EM79" s="159"/>
      <c r="EN79" s="159"/>
      <c r="EO79" s="159"/>
      <c r="EP79" s="159"/>
      <c r="EQ79" s="159"/>
      <c r="ER79" s="159"/>
      <c r="ES79" s="159"/>
      <c r="ET79" s="159"/>
      <c r="EU79" s="159"/>
      <c r="EV79" s="159"/>
      <c r="EW79" s="159"/>
      <c r="EX79" s="159"/>
      <c r="EY79" s="159"/>
      <c r="EZ79" s="159"/>
      <c r="FA79" s="159"/>
      <c r="FB79" s="159"/>
      <c r="FC79" s="159"/>
      <c r="FD79" s="159"/>
      <c r="FE79" s="159"/>
      <c r="FF79" s="159"/>
    </row>
    <row r="80" spans="8:162">
      <c r="H80" s="196" t="s">
        <v>227</v>
      </c>
      <c r="I80" s="32"/>
      <c r="J80" s="32"/>
      <c r="K80" s="34"/>
      <c r="L80" s="55"/>
      <c r="M80" s="56"/>
      <c r="N80" s="32"/>
      <c r="O80" s="32"/>
      <c r="P80" s="32"/>
      <c r="Q80" s="34"/>
      <c r="R80" s="212"/>
      <c r="S80" s="223"/>
      <c r="T80" s="6"/>
      <c r="AA80" s="113"/>
      <c r="AB80" s="113"/>
      <c r="AC80" s="113"/>
      <c r="AD80" s="115"/>
      <c r="AE80" s="122"/>
      <c r="AF80" s="123"/>
      <c r="AG80" s="123"/>
      <c r="AH80" s="123"/>
      <c r="AI80" s="123"/>
      <c r="AJ80" s="124"/>
      <c r="AK80" s="154"/>
      <c r="AL80" s="155"/>
      <c r="AM80" s="155"/>
      <c r="AN80" s="155"/>
      <c r="AO80" s="155"/>
      <c r="AP80" s="155"/>
      <c r="AQ80" s="155"/>
      <c r="AR80" s="155"/>
      <c r="AS80" s="156"/>
      <c r="AT80" s="157"/>
      <c r="AU80" s="157"/>
      <c r="AV80" s="158"/>
      <c r="AW80" s="158"/>
      <c r="AX80" s="158"/>
      <c r="AY80" s="158"/>
      <c r="AZ80" s="158"/>
      <c r="BA80" s="154"/>
      <c r="BB80" s="154"/>
      <c r="BC80" s="154"/>
      <c r="BD80" s="154"/>
      <c r="BE80" s="154"/>
      <c r="BF80" s="154"/>
      <c r="BG80" s="154"/>
      <c r="BH80" s="154"/>
      <c r="BI80" s="154"/>
      <c r="BJ80" s="154"/>
      <c r="BK80" s="159"/>
      <c r="BL80" s="160"/>
      <c r="BM80" s="161"/>
      <c r="BN80" s="162"/>
      <c r="BO80" s="163"/>
      <c r="BP80" s="164"/>
      <c r="BQ80" s="165"/>
      <c r="BR80" s="161"/>
      <c r="BS80" s="162"/>
      <c r="BT80" s="159"/>
      <c r="BU80" s="162"/>
      <c r="BV80" s="166"/>
      <c r="BW80" s="159"/>
      <c r="BX80" s="166"/>
      <c r="BY80" s="155"/>
      <c r="BZ80" s="167"/>
      <c r="CA80" s="159"/>
      <c r="CB80" s="168"/>
      <c r="CC80" s="155"/>
      <c r="CD80" s="159"/>
      <c r="CE80" s="161"/>
      <c r="CF80" s="162"/>
      <c r="DA80" s="113"/>
      <c r="DB80" s="113"/>
      <c r="DC80" s="113"/>
      <c r="DD80" s="115"/>
      <c r="DE80" s="122"/>
      <c r="DF80" s="123"/>
      <c r="DG80" s="123"/>
      <c r="DH80" s="123"/>
      <c r="DI80" s="123"/>
      <c r="DJ80" s="125"/>
      <c r="DK80" s="154"/>
      <c r="DL80" s="155"/>
      <c r="DM80" s="155"/>
      <c r="DN80" s="155"/>
      <c r="DO80" s="155"/>
      <c r="DP80" s="155"/>
      <c r="DQ80" s="155"/>
      <c r="DR80" s="155"/>
      <c r="DS80" s="156"/>
      <c r="DT80" s="157"/>
      <c r="DU80" s="157"/>
      <c r="DV80" s="158"/>
      <c r="DW80" s="158"/>
      <c r="DX80" s="158"/>
      <c r="DY80" s="158"/>
      <c r="DZ80" s="158"/>
      <c r="EA80" s="154"/>
      <c r="EB80" s="154"/>
      <c r="EC80" s="154"/>
      <c r="ED80" s="154"/>
      <c r="EE80" s="154"/>
      <c r="EF80" s="154"/>
      <c r="EG80" s="154"/>
      <c r="EH80" s="154"/>
      <c r="EI80" s="154"/>
      <c r="EJ80" s="154"/>
      <c r="EK80" s="159"/>
      <c r="EL80" s="159"/>
      <c r="EM80" s="159"/>
      <c r="EN80" s="159"/>
      <c r="EO80" s="159"/>
      <c r="EP80" s="159"/>
      <c r="EQ80" s="159"/>
      <c r="ER80" s="159"/>
      <c r="ES80" s="159"/>
      <c r="ET80" s="159"/>
      <c r="EU80" s="159"/>
      <c r="EV80" s="159"/>
      <c r="EW80" s="159"/>
      <c r="EX80" s="159"/>
      <c r="EY80" s="159"/>
      <c r="EZ80" s="159"/>
      <c r="FA80" s="159"/>
      <c r="FB80" s="159"/>
      <c r="FC80" s="159"/>
      <c r="FD80" s="159"/>
      <c r="FE80" s="159"/>
      <c r="FF80" s="159"/>
    </row>
    <row r="81" spans="8:162" ht="14.25">
      <c r="H81" s="197" t="str">
        <f>"- Mặt bích ngàm bởi 2 cột bu lông, chịu lực tập trung P tại giữa thanh:"</f>
        <v>- Mặt bích ngàm bởi 2 cột bu lông, chịu lực tập trung P tại giữa thanh:</v>
      </c>
      <c r="I81" s="32"/>
      <c r="J81" s="32"/>
      <c r="K81" s="34"/>
      <c r="L81" s="55"/>
      <c r="M81" s="56"/>
      <c r="N81" s="32"/>
      <c r="O81" s="32"/>
      <c r="P81" s="32"/>
      <c r="Q81" s="34" t="s">
        <v>238</v>
      </c>
      <c r="R81" s="59">
        <f>ABS(Q61)/((R42-R45)/1000)+O61</f>
        <v>415.51972629663362</v>
      </c>
      <c r="S81" s="199" t="s">
        <v>20</v>
      </c>
      <c r="T81" s="6"/>
      <c r="AA81" s="113"/>
      <c r="AB81" s="113"/>
      <c r="AC81" s="113"/>
      <c r="AD81" s="115"/>
      <c r="AE81" s="122"/>
      <c r="AF81" s="123"/>
      <c r="AG81" s="123"/>
      <c r="AH81" s="123"/>
      <c r="AI81" s="123"/>
      <c r="AJ81" s="124"/>
      <c r="AK81" s="154"/>
      <c r="AL81" s="155"/>
      <c r="AM81" s="155"/>
      <c r="AN81" s="155"/>
      <c r="AO81" s="155"/>
      <c r="AP81" s="155"/>
      <c r="AQ81" s="155"/>
      <c r="AR81" s="155"/>
      <c r="AS81" s="156"/>
      <c r="AT81" s="157"/>
      <c r="AU81" s="157"/>
      <c r="AV81" s="158"/>
      <c r="AW81" s="158"/>
      <c r="AX81" s="158"/>
      <c r="AY81" s="158"/>
      <c r="AZ81" s="158"/>
      <c r="BA81" s="154"/>
      <c r="BB81" s="154"/>
      <c r="BC81" s="154"/>
      <c r="BD81" s="154"/>
      <c r="BE81" s="154"/>
      <c r="BF81" s="154"/>
      <c r="BG81" s="154"/>
      <c r="BH81" s="154"/>
      <c r="BI81" s="154"/>
      <c r="BJ81" s="154"/>
      <c r="BK81" s="159"/>
      <c r="BL81" s="160"/>
      <c r="BM81" s="161"/>
      <c r="BN81" s="162"/>
      <c r="BO81" s="163"/>
      <c r="BP81" s="164"/>
      <c r="BQ81" s="165"/>
      <c r="BR81" s="161"/>
      <c r="BS81" s="162"/>
      <c r="BT81" s="159"/>
      <c r="BU81" s="162"/>
      <c r="BV81" s="166"/>
      <c r="BW81" s="159"/>
      <c r="BX81" s="166"/>
      <c r="BY81" s="155"/>
      <c r="BZ81" s="167"/>
      <c r="CA81" s="159"/>
      <c r="CB81" s="168"/>
      <c r="CC81" s="155"/>
      <c r="CD81" s="159"/>
      <c r="CE81" s="161"/>
      <c r="CF81" s="162"/>
      <c r="DA81" s="113"/>
      <c r="DB81" s="113"/>
      <c r="DC81" s="113"/>
      <c r="DD81" s="115"/>
      <c r="DE81" s="122"/>
      <c r="DF81" s="123"/>
      <c r="DG81" s="123"/>
      <c r="DH81" s="123"/>
      <c r="DI81" s="123"/>
      <c r="DJ81" s="125"/>
      <c r="DK81" s="154"/>
      <c r="DL81" s="155"/>
      <c r="DM81" s="155"/>
      <c r="DN81" s="155"/>
      <c r="DO81" s="155"/>
      <c r="DP81" s="155"/>
      <c r="DQ81" s="155"/>
      <c r="DR81" s="155"/>
      <c r="DS81" s="156"/>
      <c r="DT81" s="157"/>
      <c r="DU81" s="157"/>
      <c r="DV81" s="158"/>
      <c r="DW81" s="158"/>
      <c r="DX81" s="158"/>
      <c r="DY81" s="158"/>
      <c r="DZ81" s="158"/>
      <c r="EA81" s="154"/>
      <c r="EB81" s="154"/>
      <c r="EC81" s="154"/>
      <c r="ED81" s="154"/>
      <c r="EE81" s="154"/>
      <c r="EF81" s="154"/>
      <c r="EG81" s="154"/>
      <c r="EH81" s="154"/>
      <c r="EI81" s="154"/>
      <c r="EJ81" s="154"/>
      <c r="EK81" s="159"/>
      <c r="EL81" s="159"/>
      <c r="EM81" s="159"/>
      <c r="EN81" s="159"/>
      <c r="EO81" s="159"/>
      <c r="EP81" s="159"/>
      <c r="EQ81" s="159"/>
      <c r="ER81" s="159"/>
      <c r="ES81" s="159"/>
      <c r="ET81" s="159"/>
      <c r="EU81" s="159"/>
      <c r="EV81" s="159"/>
      <c r="EW81" s="159"/>
      <c r="EX81" s="159"/>
      <c r="EY81" s="159"/>
      <c r="EZ81" s="159"/>
      <c r="FA81" s="159"/>
      <c r="FB81" s="159"/>
      <c r="FC81" s="159"/>
      <c r="FD81" s="159"/>
      <c r="FE81" s="159"/>
      <c r="FF81" s="159"/>
    </row>
    <row r="82" spans="8:162" ht="14.25">
      <c r="H82" s="197" t="str">
        <f>"- Moment gây uốn mặt bích:"</f>
        <v>- Moment gây uốn mặt bích:</v>
      </c>
      <c r="I82" s="32"/>
      <c r="J82" s="32"/>
      <c r="K82" s="34"/>
      <c r="L82" s="55"/>
      <c r="M82" s="56"/>
      <c r="N82" s="32"/>
      <c r="O82" s="32"/>
      <c r="P82" s="32"/>
      <c r="Q82" s="34" t="s">
        <v>113</v>
      </c>
      <c r="R82" s="59">
        <f>R81*(R54/1000)/8</f>
        <v>9.3491938416742553</v>
      </c>
      <c r="S82" s="199" t="s">
        <v>21</v>
      </c>
      <c r="T82" s="6"/>
      <c r="AA82" s="113"/>
      <c r="AB82" s="113"/>
      <c r="AC82" s="113"/>
      <c r="AD82" s="115"/>
      <c r="AE82" s="122"/>
      <c r="AF82" s="123"/>
      <c r="AG82" s="123"/>
      <c r="AH82" s="123"/>
      <c r="AI82" s="123"/>
      <c r="AJ82" s="124"/>
      <c r="AK82" s="154"/>
      <c r="AL82" s="155"/>
      <c r="AM82" s="155"/>
      <c r="AN82" s="155"/>
      <c r="AO82" s="155"/>
      <c r="AP82" s="155"/>
      <c r="AQ82" s="155"/>
      <c r="AR82" s="155"/>
      <c r="AS82" s="156"/>
      <c r="AT82" s="157"/>
      <c r="AU82" s="157"/>
      <c r="AV82" s="158"/>
      <c r="AW82" s="158"/>
      <c r="AX82" s="158"/>
      <c r="AY82" s="158"/>
      <c r="AZ82" s="158"/>
      <c r="BA82" s="154"/>
      <c r="BB82" s="154"/>
      <c r="BC82" s="154"/>
      <c r="BD82" s="154"/>
      <c r="BE82" s="154"/>
      <c r="BF82" s="154"/>
      <c r="BG82" s="154"/>
      <c r="BH82" s="154"/>
      <c r="BI82" s="154"/>
      <c r="BJ82" s="154"/>
      <c r="BK82" s="159"/>
      <c r="BL82" s="160"/>
      <c r="BM82" s="161"/>
      <c r="BN82" s="162"/>
      <c r="BO82" s="163"/>
      <c r="BP82" s="164"/>
      <c r="BQ82" s="165"/>
      <c r="BR82" s="161"/>
      <c r="BS82" s="162"/>
      <c r="BT82" s="159"/>
      <c r="BU82" s="162"/>
      <c r="BV82" s="166"/>
      <c r="BW82" s="159"/>
      <c r="BX82" s="166"/>
      <c r="BY82" s="155"/>
      <c r="BZ82" s="167"/>
      <c r="CA82" s="159"/>
      <c r="CB82" s="168"/>
      <c r="CC82" s="155"/>
      <c r="CD82" s="159"/>
      <c r="CE82" s="161"/>
      <c r="CF82" s="162"/>
      <c r="DA82" s="113"/>
      <c r="DB82" s="113"/>
      <c r="DC82" s="113"/>
      <c r="DD82" s="115"/>
      <c r="DE82" s="122"/>
      <c r="DF82" s="123"/>
      <c r="DG82" s="123"/>
      <c r="DH82" s="123"/>
      <c r="DI82" s="123"/>
      <c r="DJ82" s="125"/>
      <c r="DK82" s="154"/>
      <c r="DL82" s="155"/>
      <c r="DM82" s="155"/>
      <c r="DN82" s="155"/>
      <c r="DO82" s="155"/>
      <c r="DP82" s="155"/>
      <c r="DQ82" s="155"/>
      <c r="DR82" s="155"/>
      <c r="DS82" s="156"/>
      <c r="DT82" s="157"/>
      <c r="DU82" s="157"/>
      <c r="DV82" s="158"/>
      <c r="DW82" s="158"/>
      <c r="DX82" s="158"/>
      <c r="DY82" s="158"/>
      <c r="DZ82" s="158"/>
      <c r="EA82" s="154"/>
      <c r="EB82" s="154"/>
      <c r="EC82" s="154"/>
      <c r="ED82" s="154"/>
      <c r="EE82" s="154"/>
      <c r="EF82" s="154"/>
      <c r="EG82" s="154"/>
      <c r="EH82" s="154"/>
      <c r="EI82" s="154"/>
      <c r="EJ82" s="154"/>
      <c r="EK82" s="159"/>
      <c r="EL82" s="159"/>
      <c r="EM82" s="159"/>
      <c r="EN82" s="159"/>
      <c r="EO82" s="159"/>
      <c r="EP82" s="159"/>
      <c r="EQ82" s="159"/>
      <c r="ER82" s="159"/>
      <c r="ES82" s="159"/>
      <c r="ET82" s="159"/>
      <c r="EU82" s="159"/>
      <c r="EV82" s="159"/>
      <c r="EW82" s="159"/>
      <c r="EX82" s="159"/>
      <c r="EY82" s="159"/>
      <c r="EZ82" s="159"/>
      <c r="FA82" s="159"/>
      <c r="FB82" s="159"/>
      <c r="FC82" s="159"/>
      <c r="FD82" s="159"/>
      <c r="FE82" s="159"/>
      <c r="FF82" s="159"/>
    </row>
    <row r="83" spans="8:162" ht="14.25">
      <c r="H83" s="197" t="str">
        <f>"- Lực cắt trong mặt bích:"</f>
        <v>- Lực cắt trong mặt bích:</v>
      </c>
      <c r="I83" s="32"/>
      <c r="J83" s="32"/>
      <c r="K83" s="34"/>
      <c r="L83" s="55"/>
      <c r="M83" s="56"/>
      <c r="N83" s="32"/>
      <c r="O83" s="32"/>
      <c r="P83" s="32"/>
      <c r="Q83" s="34" t="s">
        <v>114</v>
      </c>
      <c r="R83" s="59">
        <f>R81/2</f>
        <v>207.75986314831681</v>
      </c>
      <c r="S83" s="199" t="s">
        <v>20</v>
      </c>
      <c r="T83" s="6"/>
      <c r="AA83" s="113"/>
      <c r="AB83" s="113"/>
      <c r="AC83" s="113"/>
      <c r="AD83" s="115"/>
      <c r="AE83" s="122"/>
      <c r="AF83" s="123"/>
      <c r="AG83" s="123"/>
      <c r="AH83" s="123"/>
      <c r="AI83" s="123"/>
      <c r="AJ83" s="124"/>
      <c r="AK83" s="154"/>
      <c r="AL83" s="155"/>
      <c r="AM83" s="155"/>
      <c r="AN83" s="155"/>
      <c r="AO83" s="155"/>
      <c r="AP83" s="155"/>
      <c r="AQ83" s="155"/>
      <c r="AR83" s="155"/>
      <c r="AS83" s="156"/>
      <c r="AT83" s="157"/>
      <c r="AU83" s="157"/>
      <c r="AV83" s="158"/>
      <c r="AW83" s="158"/>
      <c r="AX83" s="158"/>
      <c r="AY83" s="158"/>
      <c r="AZ83" s="158"/>
      <c r="BA83" s="154"/>
      <c r="BB83" s="154"/>
      <c r="BC83" s="154"/>
      <c r="BD83" s="154"/>
      <c r="BE83" s="154"/>
      <c r="BF83" s="154"/>
      <c r="BG83" s="154"/>
      <c r="BH83" s="154"/>
      <c r="BI83" s="154"/>
      <c r="BJ83" s="154"/>
      <c r="BK83" s="159"/>
      <c r="BL83" s="160"/>
      <c r="BM83" s="161"/>
      <c r="BN83" s="162"/>
      <c r="BO83" s="163"/>
      <c r="BP83" s="164"/>
      <c r="BQ83" s="165"/>
      <c r="BR83" s="161"/>
      <c r="BS83" s="162"/>
      <c r="BT83" s="159"/>
      <c r="BU83" s="162"/>
      <c r="BV83" s="166"/>
      <c r="BW83" s="159"/>
      <c r="BX83" s="166"/>
      <c r="BY83" s="155"/>
      <c r="BZ83" s="167"/>
      <c r="CA83" s="159"/>
      <c r="CB83" s="168"/>
      <c r="CC83" s="155"/>
      <c r="CD83" s="159"/>
      <c r="CE83" s="161"/>
      <c r="CF83" s="162"/>
      <c r="DA83" s="113"/>
      <c r="DB83" s="113"/>
      <c r="DC83" s="113"/>
      <c r="DD83" s="115"/>
      <c r="DE83" s="122"/>
      <c r="DF83" s="123"/>
      <c r="DG83" s="123"/>
      <c r="DH83" s="123"/>
      <c r="DI83" s="123"/>
      <c r="DJ83" s="125"/>
      <c r="DK83" s="154"/>
      <c r="DL83" s="155"/>
      <c r="DM83" s="155"/>
      <c r="DN83" s="155"/>
      <c r="DO83" s="155"/>
      <c r="DP83" s="155"/>
      <c r="DQ83" s="155"/>
      <c r="DR83" s="155"/>
      <c r="DS83" s="156"/>
      <c r="DT83" s="157"/>
      <c r="DU83" s="157"/>
      <c r="DV83" s="158"/>
      <c r="DW83" s="158"/>
      <c r="DX83" s="158"/>
      <c r="DY83" s="158"/>
      <c r="DZ83" s="158"/>
      <c r="EA83" s="154"/>
      <c r="EB83" s="154"/>
      <c r="EC83" s="154"/>
      <c r="ED83" s="154"/>
      <c r="EE83" s="154"/>
      <c r="EF83" s="154"/>
      <c r="EG83" s="154"/>
      <c r="EH83" s="154"/>
      <c r="EI83" s="154"/>
      <c r="EJ83" s="154"/>
      <c r="EK83" s="159"/>
      <c r="EL83" s="159"/>
      <c r="EM83" s="159"/>
      <c r="EN83" s="159"/>
      <c r="EO83" s="159"/>
      <c r="EP83" s="159"/>
      <c r="EQ83" s="159"/>
      <c r="ER83" s="159"/>
      <c r="ES83" s="159"/>
      <c r="ET83" s="159"/>
      <c r="EU83" s="159"/>
      <c r="EV83" s="159"/>
      <c r="EW83" s="159"/>
      <c r="EX83" s="159"/>
      <c r="EY83" s="159"/>
      <c r="EZ83" s="159"/>
      <c r="FA83" s="159"/>
      <c r="FB83" s="159"/>
      <c r="FC83" s="159"/>
      <c r="FD83" s="159"/>
      <c r="FE83" s="159"/>
      <c r="FF83" s="159"/>
    </row>
    <row r="84" spans="8:162" ht="15">
      <c r="H84" s="197" t="str">
        <f>"- Ứng suất pháp:"</f>
        <v>- Ứng suất pháp:</v>
      </c>
      <c r="I84" s="32"/>
      <c r="J84" s="32"/>
      <c r="K84" s="34"/>
      <c r="L84" s="55"/>
      <c r="M84" s="56"/>
      <c r="N84" s="32"/>
      <c r="O84" s="32"/>
      <c r="P84" s="32"/>
      <c r="Q84" s="36" t="s">
        <v>119</v>
      </c>
      <c r="R84" s="59">
        <f>6*R82*1000000/(R52*R51^2)</f>
        <v>64.943748827838533</v>
      </c>
      <c r="S84" s="199" t="s">
        <v>2</v>
      </c>
      <c r="T84" s="6"/>
      <c r="AA84" s="113"/>
      <c r="AB84" s="113"/>
      <c r="AC84" s="113"/>
      <c r="AD84" s="115"/>
      <c r="AE84" s="122"/>
      <c r="AF84" s="123"/>
      <c r="AG84" s="123"/>
      <c r="AH84" s="123"/>
      <c r="AI84" s="123"/>
      <c r="AJ84" s="124"/>
      <c r="AK84" s="154"/>
      <c r="AL84" s="155"/>
      <c r="AM84" s="155"/>
      <c r="AN84" s="155"/>
      <c r="AO84" s="155"/>
      <c r="AP84" s="155"/>
      <c r="AQ84" s="155"/>
      <c r="AR84" s="155"/>
      <c r="AS84" s="156"/>
      <c r="AT84" s="157"/>
      <c r="AU84" s="157"/>
      <c r="AV84" s="158"/>
      <c r="AW84" s="158"/>
      <c r="AX84" s="158"/>
      <c r="AY84" s="158"/>
      <c r="AZ84" s="158"/>
      <c r="BA84" s="154"/>
      <c r="BB84" s="154"/>
      <c r="BC84" s="154"/>
      <c r="BD84" s="154"/>
      <c r="BE84" s="154"/>
      <c r="BF84" s="154"/>
      <c r="BG84" s="154"/>
      <c r="BH84" s="154"/>
      <c r="BI84" s="154"/>
      <c r="BJ84" s="154"/>
      <c r="BK84" s="159"/>
      <c r="BL84" s="160"/>
      <c r="BM84" s="161"/>
      <c r="BN84" s="162"/>
      <c r="BO84" s="163"/>
      <c r="BP84" s="164"/>
      <c r="BQ84" s="165"/>
      <c r="BR84" s="161"/>
      <c r="BS84" s="162"/>
      <c r="BT84" s="159"/>
      <c r="BU84" s="162"/>
      <c r="BV84" s="166"/>
      <c r="BW84" s="159"/>
      <c r="BX84" s="166"/>
      <c r="BY84" s="155"/>
      <c r="BZ84" s="167"/>
      <c r="CA84" s="159"/>
      <c r="CB84" s="168"/>
      <c r="CC84" s="155"/>
      <c r="CD84" s="159"/>
      <c r="CE84" s="161"/>
      <c r="CF84" s="162"/>
      <c r="DA84" s="113"/>
      <c r="DB84" s="113"/>
      <c r="DC84" s="113"/>
      <c r="DD84" s="115"/>
      <c r="DE84" s="122"/>
      <c r="DF84" s="123"/>
      <c r="DG84" s="123"/>
      <c r="DH84" s="123"/>
      <c r="DI84" s="123"/>
      <c r="DJ84" s="125"/>
      <c r="DK84" s="154"/>
      <c r="DL84" s="155"/>
      <c r="DM84" s="155"/>
      <c r="DN84" s="155"/>
      <c r="DO84" s="155"/>
      <c r="DP84" s="155"/>
      <c r="DQ84" s="155"/>
      <c r="DR84" s="155"/>
      <c r="DS84" s="156"/>
      <c r="DT84" s="157"/>
      <c r="DU84" s="157"/>
      <c r="DV84" s="158"/>
      <c r="DW84" s="158"/>
      <c r="DX84" s="158"/>
      <c r="DY84" s="158"/>
      <c r="DZ84" s="158"/>
      <c r="EA84" s="154"/>
      <c r="EB84" s="154"/>
      <c r="EC84" s="154"/>
      <c r="ED84" s="154"/>
      <c r="EE84" s="154"/>
      <c r="EF84" s="154"/>
      <c r="EG84" s="154"/>
      <c r="EH84" s="154"/>
      <c r="EI84" s="154"/>
      <c r="EJ84" s="154"/>
      <c r="EK84" s="159"/>
      <c r="EL84" s="159"/>
      <c r="EM84" s="159"/>
      <c r="EN84" s="159"/>
      <c r="EO84" s="159"/>
      <c r="EP84" s="159"/>
      <c r="EQ84" s="159"/>
      <c r="ER84" s="159"/>
      <c r="ES84" s="159"/>
      <c r="ET84" s="159"/>
      <c r="EU84" s="159"/>
      <c r="EV84" s="159"/>
      <c r="EW84" s="159"/>
      <c r="EX84" s="159"/>
      <c r="EY84" s="159"/>
      <c r="EZ84" s="159"/>
      <c r="FA84" s="159"/>
      <c r="FB84" s="159"/>
      <c r="FC84" s="159"/>
      <c r="FD84" s="159"/>
      <c r="FE84" s="159"/>
      <c r="FF84" s="159"/>
    </row>
    <row r="85" spans="8:162" ht="14.25">
      <c r="H85" s="224" t="str">
        <f>"+ Tỷ số huy động:"</f>
        <v>+ Tỷ số huy động:</v>
      </c>
      <c r="I85" s="32"/>
      <c r="J85" s="32"/>
      <c r="K85" s="34"/>
      <c r="L85" s="55"/>
      <c r="M85" s="56"/>
      <c r="N85" s="32"/>
      <c r="O85" s="32"/>
      <c r="P85" s="32"/>
      <c r="Q85" s="36" t="s">
        <v>115</v>
      </c>
      <c r="R85" s="220">
        <f>R84/(R32*R30)</f>
        <v>0.31569877902421511</v>
      </c>
      <c r="S85" s="219" t="str">
        <f>IF(R85&lt;=1,"OK","Check")</f>
        <v>OK</v>
      </c>
      <c r="T85" s="6"/>
      <c r="AA85" s="113"/>
      <c r="AB85" s="113"/>
      <c r="AC85" s="113"/>
      <c r="AD85" s="115"/>
      <c r="AE85" s="122"/>
      <c r="AF85" s="123"/>
      <c r="AG85" s="123"/>
      <c r="AH85" s="123"/>
      <c r="AI85" s="123"/>
      <c r="AJ85" s="124"/>
      <c r="AK85" s="154"/>
      <c r="AL85" s="155"/>
      <c r="AM85" s="155"/>
      <c r="AN85" s="155"/>
      <c r="AO85" s="155"/>
      <c r="AP85" s="155"/>
      <c r="AQ85" s="155"/>
      <c r="AR85" s="155"/>
      <c r="AS85" s="156"/>
      <c r="AT85" s="157"/>
      <c r="AU85" s="157"/>
      <c r="AV85" s="158"/>
      <c r="AW85" s="158"/>
      <c r="AX85" s="158"/>
      <c r="AY85" s="158"/>
      <c r="AZ85" s="158"/>
      <c r="BA85" s="154"/>
      <c r="BB85" s="154"/>
      <c r="BC85" s="154"/>
      <c r="BD85" s="154"/>
      <c r="BE85" s="154"/>
      <c r="BF85" s="154"/>
      <c r="BG85" s="154"/>
      <c r="BH85" s="154"/>
      <c r="BI85" s="154"/>
      <c r="BJ85" s="154"/>
      <c r="BK85" s="159"/>
      <c r="BL85" s="160"/>
      <c r="BM85" s="161"/>
      <c r="BN85" s="162"/>
      <c r="BO85" s="163"/>
      <c r="BP85" s="164"/>
      <c r="BQ85" s="165"/>
      <c r="BR85" s="161"/>
      <c r="BS85" s="162"/>
      <c r="BT85" s="159"/>
      <c r="BU85" s="162"/>
      <c r="BV85" s="166"/>
      <c r="BW85" s="159"/>
      <c r="BX85" s="166"/>
      <c r="BY85" s="155"/>
      <c r="BZ85" s="167"/>
      <c r="CA85" s="159"/>
      <c r="CB85" s="168"/>
      <c r="CC85" s="155"/>
      <c r="CD85" s="159"/>
      <c r="CE85" s="161"/>
      <c r="CF85" s="162"/>
      <c r="DA85" s="113"/>
      <c r="DB85" s="113"/>
      <c r="DC85" s="113"/>
      <c r="DD85" s="115"/>
      <c r="DE85" s="122"/>
      <c r="DF85" s="123"/>
      <c r="DG85" s="123"/>
      <c r="DH85" s="123"/>
      <c r="DI85" s="123"/>
      <c r="DJ85" s="125"/>
      <c r="DK85" s="154"/>
      <c r="DL85" s="155"/>
      <c r="DM85" s="155"/>
      <c r="DN85" s="155"/>
      <c r="DO85" s="155"/>
      <c r="DP85" s="155"/>
      <c r="DQ85" s="155"/>
      <c r="DR85" s="155"/>
      <c r="DS85" s="156"/>
      <c r="DT85" s="157"/>
      <c r="DU85" s="157"/>
      <c r="DV85" s="158"/>
      <c r="DW85" s="158"/>
      <c r="DX85" s="158"/>
      <c r="DY85" s="158"/>
      <c r="DZ85" s="158"/>
      <c r="EA85" s="154"/>
      <c r="EB85" s="154"/>
      <c r="EC85" s="154"/>
      <c r="ED85" s="154"/>
      <c r="EE85" s="154"/>
      <c r="EF85" s="154"/>
      <c r="EG85" s="154"/>
      <c r="EH85" s="154"/>
      <c r="EI85" s="154"/>
      <c r="EJ85" s="154"/>
      <c r="EK85" s="159"/>
      <c r="EL85" s="159"/>
      <c r="EM85" s="159"/>
      <c r="EN85" s="159"/>
      <c r="EO85" s="159"/>
      <c r="EP85" s="159"/>
      <c r="EQ85" s="159"/>
      <c r="ER85" s="159"/>
      <c r="ES85" s="159"/>
      <c r="ET85" s="159"/>
      <c r="EU85" s="159"/>
      <c r="EV85" s="159"/>
      <c r="EW85" s="159"/>
      <c r="EX85" s="159"/>
      <c r="EY85" s="159"/>
      <c r="EZ85" s="159"/>
      <c r="FA85" s="159"/>
      <c r="FB85" s="159"/>
      <c r="FC85" s="159"/>
      <c r="FD85" s="159"/>
      <c r="FE85" s="159"/>
      <c r="FF85" s="159"/>
    </row>
    <row r="86" spans="8:162" ht="14.25">
      <c r="H86" s="197" t="str">
        <f>"+ Ứng suất tiếp:"</f>
        <v>+ Ứng suất tiếp:</v>
      </c>
      <c r="I86" s="32"/>
      <c r="J86" s="32"/>
      <c r="K86" s="34"/>
      <c r="L86" s="55"/>
      <c r="M86" s="56"/>
      <c r="N86" s="32"/>
      <c r="O86" s="32"/>
      <c r="P86" s="32"/>
      <c r="Q86" s="36" t="s">
        <v>120</v>
      </c>
      <c r="R86" s="225">
        <f>R83*1000/(R52*R51)</f>
        <v>6.0133100766517167</v>
      </c>
      <c r="S86" s="199" t="s">
        <v>2</v>
      </c>
      <c r="T86" s="6"/>
      <c r="AA86" s="113"/>
      <c r="AB86" s="113"/>
      <c r="AC86" s="113"/>
      <c r="AD86" s="115"/>
      <c r="AE86" s="122"/>
      <c r="AF86" s="123"/>
      <c r="AG86" s="123"/>
      <c r="AH86" s="123"/>
      <c r="AI86" s="123"/>
      <c r="AJ86" s="124"/>
      <c r="AK86" s="154"/>
      <c r="AL86" s="155"/>
      <c r="AM86" s="155"/>
      <c r="AN86" s="155"/>
      <c r="AO86" s="155"/>
      <c r="AP86" s="155"/>
      <c r="AQ86" s="155"/>
      <c r="AR86" s="155"/>
      <c r="AS86" s="156"/>
      <c r="AT86" s="157"/>
      <c r="AU86" s="157"/>
      <c r="AV86" s="158"/>
      <c r="AW86" s="158"/>
      <c r="AX86" s="158"/>
      <c r="AY86" s="158"/>
      <c r="AZ86" s="158"/>
      <c r="BA86" s="154"/>
      <c r="BB86" s="154"/>
      <c r="BC86" s="154"/>
      <c r="BD86" s="154"/>
      <c r="BE86" s="154"/>
      <c r="BF86" s="154"/>
      <c r="BG86" s="154"/>
      <c r="BH86" s="154"/>
      <c r="BI86" s="154"/>
      <c r="BJ86" s="154"/>
      <c r="BK86" s="159"/>
      <c r="BL86" s="160"/>
      <c r="BM86" s="161"/>
      <c r="BN86" s="162"/>
      <c r="BO86" s="163"/>
      <c r="BP86" s="164"/>
      <c r="BQ86" s="165"/>
      <c r="BR86" s="161"/>
      <c r="BS86" s="162"/>
      <c r="BT86" s="159"/>
      <c r="BU86" s="162"/>
      <c r="BV86" s="166"/>
      <c r="BW86" s="159"/>
      <c r="BX86" s="166"/>
      <c r="BY86" s="155"/>
      <c r="BZ86" s="167"/>
      <c r="CA86" s="159"/>
      <c r="CB86" s="168"/>
      <c r="CC86" s="155"/>
      <c r="CD86" s="159"/>
      <c r="CE86" s="161"/>
      <c r="CF86" s="162"/>
      <c r="DA86" s="113"/>
      <c r="DB86" s="113"/>
      <c r="DC86" s="113"/>
      <c r="DD86" s="115"/>
      <c r="DE86" s="122"/>
      <c r="DF86" s="123"/>
      <c r="DG86" s="123"/>
      <c r="DH86" s="123"/>
      <c r="DI86" s="123"/>
      <c r="DJ86" s="125"/>
      <c r="DK86" s="154"/>
      <c r="DL86" s="155"/>
      <c r="DM86" s="155"/>
      <c r="DN86" s="155"/>
      <c r="DO86" s="155"/>
      <c r="DP86" s="155"/>
      <c r="DQ86" s="155"/>
      <c r="DR86" s="155"/>
      <c r="DS86" s="156"/>
      <c r="DT86" s="157"/>
      <c r="DU86" s="157"/>
      <c r="DV86" s="158"/>
      <c r="DW86" s="158"/>
      <c r="DX86" s="158"/>
      <c r="DY86" s="158"/>
      <c r="DZ86" s="158"/>
      <c r="EA86" s="154"/>
      <c r="EB86" s="154"/>
      <c r="EC86" s="154"/>
      <c r="ED86" s="154"/>
      <c r="EE86" s="154"/>
      <c r="EF86" s="154"/>
      <c r="EG86" s="154"/>
      <c r="EH86" s="154"/>
      <c r="EI86" s="154"/>
      <c r="EJ86" s="154"/>
      <c r="EK86" s="159"/>
      <c r="EL86" s="159"/>
      <c r="EM86" s="159"/>
      <c r="EN86" s="159"/>
      <c r="EO86" s="159"/>
      <c r="EP86" s="159"/>
      <c r="EQ86" s="159"/>
      <c r="ER86" s="159"/>
      <c r="ES86" s="159"/>
      <c r="ET86" s="159"/>
      <c r="EU86" s="159"/>
      <c r="EV86" s="159"/>
      <c r="EW86" s="159"/>
      <c r="EX86" s="159"/>
      <c r="EY86" s="159"/>
      <c r="EZ86" s="159"/>
      <c r="FA86" s="159"/>
      <c r="FB86" s="159"/>
      <c r="FC86" s="159"/>
      <c r="FD86" s="159"/>
      <c r="FE86" s="159"/>
      <c r="FF86" s="159"/>
    </row>
    <row r="87" spans="8:162" ht="14.25">
      <c r="H87" s="224" t="str">
        <f>"- Tỷ số huy động:"</f>
        <v>- Tỷ số huy động:</v>
      </c>
      <c r="I87" s="32"/>
      <c r="J87" s="32"/>
      <c r="K87" s="34"/>
      <c r="L87" s="55"/>
      <c r="M87" s="56"/>
      <c r="N87" s="32"/>
      <c r="O87" s="32"/>
      <c r="P87" s="32"/>
      <c r="Q87" s="36" t="s">
        <v>116</v>
      </c>
      <c r="R87" s="220">
        <f>R86/(R32*R31)</f>
        <v>5.0398911083048399E-2</v>
      </c>
      <c r="S87" s="219" t="str">
        <f>IF(R87&lt;=1,"OK","Check")</f>
        <v>OK</v>
      </c>
      <c r="T87" s="6"/>
      <c r="AA87" s="113"/>
      <c r="AB87" s="113"/>
      <c r="AC87" s="113"/>
      <c r="AD87" s="115"/>
      <c r="AE87" s="122"/>
      <c r="AF87" s="123"/>
      <c r="AG87" s="123"/>
      <c r="AH87" s="123"/>
      <c r="AI87" s="123"/>
      <c r="AJ87" s="124"/>
      <c r="AK87" s="154"/>
      <c r="AL87" s="155"/>
      <c r="AM87" s="155"/>
      <c r="AN87" s="155"/>
      <c r="AO87" s="155"/>
      <c r="AP87" s="155"/>
      <c r="AQ87" s="155"/>
      <c r="AR87" s="155"/>
      <c r="AS87" s="156"/>
      <c r="AT87" s="157"/>
      <c r="AU87" s="157"/>
      <c r="AV87" s="158"/>
      <c r="AW87" s="158"/>
      <c r="AX87" s="158"/>
      <c r="AY87" s="158"/>
      <c r="AZ87" s="158"/>
      <c r="BA87" s="154"/>
      <c r="BB87" s="154"/>
      <c r="BC87" s="154"/>
      <c r="BD87" s="154"/>
      <c r="BE87" s="154"/>
      <c r="BF87" s="154"/>
      <c r="BG87" s="154"/>
      <c r="BH87" s="154"/>
      <c r="BI87" s="154"/>
      <c r="BJ87" s="154"/>
      <c r="BK87" s="159"/>
      <c r="BL87" s="160"/>
      <c r="BM87" s="161"/>
      <c r="BN87" s="162"/>
      <c r="BO87" s="163"/>
      <c r="BP87" s="164"/>
      <c r="BQ87" s="165"/>
      <c r="BR87" s="161"/>
      <c r="BS87" s="162"/>
      <c r="BT87" s="159"/>
      <c r="BU87" s="162"/>
      <c r="BV87" s="166"/>
      <c r="BW87" s="159"/>
      <c r="BX87" s="166"/>
      <c r="BY87" s="155"/>
      <c r="BZ87" s="167"/>
      <c r="CA87" s="159"/>
      <c r="CB87" s="168"/>
      <c r="CC87" s="155"/>
      <c r="CD87" s="159"/>
      <c r="CE87" s="161"/>
      <c r="CF87" s="162"/>
      <c r="DA87" s="113"/>
      <c r="DB87" s="113"/>
      <c r="DC87" s="113"/>
      <c r="DD87" s="115"/>
      <c r="DE87" s="122"/>
      <c r="DF87" s="123"/>
      <c r="DG87" s="123"/>
      <c r="DH87" s="123"/>
      <c r="DI87" s="123"/>
      <c r="DJ87" s="125"/>
      <c r="DK87" s="154"/>
      <c r="DL87" s="155"/>
      <c r="DM87" s="155"/>
      <c r="DN87" s="155"/>
      <c r="DO87" s="155"/>
      <c r="DP87" s="155"/>
      <c r="DQ87" s="155"/>
      <c r="DR87" s="155"/>
      <c r="DS87" s="156"/>
      <c r="DT87" s="157"/>
      <c r="DU87" s="157"/>
      <c r="DV87" s="158"/>
      <c r="DW87" s="158"/>
      <c r="DX87" s="158"/>
      <c r="DY87" s="158"/>
      <c r="DZ87" s="158"/>
      <c r="EA87" s="154"/>
      <c r="EB87" s="154"/>
      <c r="EC87" s="154"/>
      <c r="ED87" s="154"/>
      <c r="EE87" s="154"/>
      <c r="EF87" s="154"/>
      <c r="EG87" s="154"/>
      <c r="EH87" s="154"/>
      <c r="EI87" s="154"/>
      <c r="EJ87" s="154"/>
      <c r="EK87" s="159"/>
      <c r="EL87" s="159"/>
      <c r="EM87" s="159"/>
      <c r="EN87" s="159"/>
      <c r="EO87" s="159"/>
      <c r="EP87" s="159"/>
      <c r="EQ87" s="159"/>
      <c r="ER87" s="159"/>
      <c r="ES87" s="159"/>
      <c r="ET87" s="159"/>
      <c r="EU87" s="159"/>
      <c r="EV87" s="159"/>
      <c r="EW87" s="159"/>
      <c r="EX87" s="159"/>
      <c r="EY87" s="159"/>
      <c r="EZ87" s="159"/>
      <c r="FA87" s="159"/>
      <c r="FB87" s="159"/>
      <c r="FC87" s="159"/>
      <c r="FD87" s="159"/>
      <c r="FE87" s="159"/>
      <c r="FF87" s="159"/>
    </row>
    <row r="88" spans="8:162" ht="15">
      <c r="H88" s="197" t="str">
        <f>"- Ứng suất tương đương:"</f>
        <v>- Ứng suất tương đương:</v>
      </c>
      <c r="I88" s="32"/>
      <c r="J88" s="32"/>
      <c r="K88" s="34"/>
      <c r="L88" s="55"/>
      <c r="M88" s="56"/>
      <c r="N88" s="32"/>
      <c r="O88" s="32"/>
      <c r="P88" s="32"/>
      <c r="Q88" s="36" t="s">
        <v>117</v>
      </c>
      <c r="R88" s="225">
        <f>SQRT(R84^2+3*R86^2)</f>
        <v>65.77362849993348</v>
      </c>
      <c r="S88" s="199" t="s">
        <v>2</v>
      </c>
      <c r="T88" s="6"/>
      <c r="AA88" s="113"/>
      <c r="AB88" s="113"/>
      <c r="AC88" s="113"/>
      <c r="AD88" s="115"/>
      <c r="AE88" s="122"/>
      <c r="AF88" s="123"/>
      <c r="AG88" s="123"/>
      <c r="AH88" s="123"/>
      <c r="AI88" s="123"/>
      <c r="AJ88" s="124"/>
      <c r="AK88" s="154"/>
      <c r="AL88" s="155"/>
      <c r="AM88" s="155"/>
      <c r="AN88" s="155"/>
      <c r="AO88" s="155"/>
      <c r="AP88" s="155"/>
      <c r="AQ88" s="155"/>
      <c r="AR88" s="155"/>
      <c r="AS88" s="156"/>
      <c r="AT88" s="157"/>
      <c r="AU88" s="157"/>
      <c r="AV88" s="158"/>
      <c r="AW88" s="158"/>
      <c r="AX88" s="158"/>
      <c r="AY88" s="158"/>
      <c r="AZ88" s="158"/>
      <c r="BA88" s="154"/>
      <c r="BB88" s="154"/>
      <c r="BC88" s="154"/>
      <c r="BD88" s="154"/>
      <c r="BE88" s="154"/>
      <c r="BF88" s="154"/>
      <c r="BG88" s="154"/>
      <c r="BH88" s="154"/>
      <c r="BI88" s="154"/>
      <c r="BJ88" s="154"/>
      <c r="BK88" s="159"/>
      <c r="BL88" s="160"/>
      <c r="BM88" s="161"/>
      <c r="BN88" s="162"/>
      <c r="BO88" s="163"/>
      <c r="BP88" s="164"/>
      <c r="BQ88" s="165"/>
      <c r="BR88" s="161"/>
      <c r="BS88" s="162"/>
      <c r="BT88" s="159"/>
      <c r="BU88" s="162"/>
      <c r="BV88" s="166"/>
      <c r="BW88" s="159"/>
      <c r="BX88" s="166"/>
      <c r="BY88" s="155"/>
      <c r="BZ88" s="167"/>
      <c r="CA88" s="159"/>
      <c r="CB88" s="168"/>
      <c r="CC88" s="155"/>
      <c r="CD88" s="159"/>
      <c r="CE88" s="161"/>
      <c r="CF88" s="162"/>
      <c r="DA88" s="113"/>
      <c r="DB88" s="113"/>
      <c r="DC88" s="113"/>
      <c r="DD88" s="115"/>
      <c r="DE88" s="122"/>
      <c r="DF88" s="123"/>
      <c r="DG88" s="123"/>
      <c r="DH88" s="123"/>
      <c r="DI88" s="123"/>
      <c r="DJ88" s="125"/>
      <c r="DK88" s="154"/>
      <c r="DL88" s="155"/>
      <c r="DM88" s="155"/>
      <c r="DN88" s="155"/>
      <c r="DO88" s="155"/>
      <c r="DP88" s="155"/>
      <c r="DQ88" s="155"/>
      <c r="DR88" s="155"/>
      <c r="DS88" s="156"/>
      <c r="DT88" s="157"/>
      <c r="DU88" s="157"/>
      <c r="DV88" s="158"/>
      <c r="DW88" s="158"/>
      <c r="DX88" s="158"/>
      <c r="DY88" s="158"/>
      <c r="DZ88" s="158"/>
      <c r="EA88" s="154"/>
      <c r="EB88" s="154"/>
      <c r="EC88" s="154"/>
      <c r="ED88" s="154"/>
      <c r="EE88" s="154"/>
      <c r="EF88" s="154"/>
      <c r="EG88" s="154"/>
      <c r="EH88" s="154"/>
      <c r="EI88" s="154"/>
      <c r="EJ88" s="154"/>
      <c r="EK88" s="159"/>
      <c r="EL88" s="159"/>
      <c r="EM88" s="159"/>
      <c r="EN88" s="159"/>
      <c r="EO88" s="159"/>
      <c r="EP88" s="159"/>
      <c r="EQ88" s="159"/>
      <c r="ER88" s="159"/>
      <c r="ES88" s="159"/>
      <c r="ET88" s="159"/>
      <c r="EU88" s="159"/>
      <c r="EV88" s="159"/>
      <c r="EW88" s="159"/>
      <c r="EX88" s="159"/>
      <c r="EY88" s="159"/>
      <c r="EZ88" s="159"/>
      <c r="FA88" s="159"/>
      <c r="FB88" s="159"/>
      <c r="FC88" s="159"/>
      <c r="FD88" s="159"/>
      <c r="FE88" s="159"/>
      <c r="FF88" s="159"/>
    </row>
    <row r="89" spans="8:162" ht="14.25">
      <c r="H89" s="224" t="str">
        <f>"+ Tỷ số huy động:"</f>
        <v>+ Tỷ số huy động:</v>
      </c>
      <c r="I89" s="32"/>
      <c r="J89" s="32"/>
      <c r="K89" s="34"/>
      <c r="L89" s="55"/>
      <c r="M89" s="56"/>
      <c r="N89" s="32"/>
      <c r="O89" s="32"/>
      <c r="P89" s="32"/>
      <c r="Q89" s="36" t="s">
        <v>118</v>
      </c>
      <c r="R89" s="220">
        <f>R88/(1.15*R32*R30)</f>
        <v>0.27802862288619229</v>
      </c>
      <c r="S89" s="219" t="str">
        <f>IF(R89&lt;=1,"OK","Check")</f>
        <v>OK</v>
      </c>
      <c r="T89" s="6"/>
      <c r="AA89" s="113"/>
      <c r="AB89" s="113"/>
      <c r="AC89" s="113"/>
      <c r="AD89" s="115"/>
      <c r="AE89" s="122"/>
      <c r="AF89" s="123"/>
      <c r="AG89" s="123"/>
      <c r="AH89" s="123"/>
      <c r="AI89" s="123"/>
      <c r="AJ89" s="124"/>
      <c r="AK89" s="154"/>
      <c r="AL89" s="155"/>
      <c r="AM89" s="155"/>
      <c r="AN89" s="155"/>
      <c r="AO89" s="155"/>
      <c r="AP89" s="155"/>
      <c r="AQ89" s="155"/>
      <c r="AR89" s="155"/>
      <c r="AS89" s="156"/>
      <c r="AT89" s="157"/>
      <c r="AU89" s="157"/>
      <c r="AV89" s="158"/>
      <c r="AW89" s="158"/>
      <c r="AX89" s="158"/>
      <c r="AY89" s="158"/>
      <c r="AZ89" s="158"/>
      <c r="BA89" s="154"/>
      <c r="BB89" s="154"/>
      <c r="BC89" s="154"/>
      <c r="BD89" s="154"/>
      <c r="BE89" s="154"/>
      <c r="BF89" s="154"/>
      <c r="BG89" s="154"/>
      <c r="BH89" s="154"/>
      <c r="BI89" s="154"/>
      <c r="BJ89" s="154"/>
      <c r="BK89" s="159"/>
      <c r="BL89" s="160"/>
      <c r="BM89" s="161"/>
      <c r="BN89" s="162"/>
      <c r="BO89" s="163"/>
      <c r="BP89" s="164"/>
      <c r="BQ89" s="165"/>
      <c r="BR89" s="161"/>
      <c r="BS89" s="162"/>
      <c r="BT89" s="159"/>
      <c r="BU89" s="162"/>
      <c r="BV89" s="166"/>
      <c r="BW89" s="159"/>
      <c r="BX89" s="166"/>
      <c r="BY89" s="155"/>
      <c r="BZ89" s="167"/>
      <c r="CA89" s="159"/>
      <c r="CB89" s="168"/>
      <c r="CC89" s="155"/>
      <c r="CD89" s="159"/>
      <c r="CE89" s="161"/>
      <c r="CF89" s="162"/>
      <c r="DA89" s="113"/>
      <c r="DB89" s="113"/>
      <c r="DC89" s="113"/>
      <c r="DD89" s="115"/>
      <c r="DE89" s="122"/>
      <c r="DF89" s="123"/>
      <c r="DG89" s="123"/>
      <c r="DH89" s="123"/>
      <c r="DI89" s="123"/>
      <c r="DJ89" s="125"/>
      <c r="DK89" s="154"/>
      <c r="DL89" s="155"/>
      <c r="DM89" s="155"/>
      <c r="DN89" s="155"/>
      <c r="DO89" s="155"/>
      <c r="DP89" s="155"/>
      <c r="DQ89" s="155"/>
      <c r="DR89" s="155"/>
      <c r="DS89" s="156"/>
      <c r="DT89" s="157"/>
      <c r="DU89" s="157"/>
      <c r="DV89" s="158"/>
      <c r="DW89" s="158"/>
      <c r="DX89" s="158"/>
      <c r="DY89" s="158"/>
      <c r="DZ89" s="158"/>
      <c r="EA89" s="154"/>
      <c r="EB89" s="154"/>
      <c r="EC89" s="154"/>
      <c r="ED89" s="154"/>
      <c r="EE89" s="154"/>
      <c r="EF89" s="154"/>
      <c r="EG89" s="154"/>
      <c r="EH89" s="154"/>
      <c r="EI89" s="154"/>
      <c r="EJ89" s="154"/>
      <c r="EK89" s="159"/>
      <c r="EL89" s="159"/>
      <c r="EM89" s="159"/>
      <c r="EN89" s="159"/>
      <c r="EO89" s="159"/>
      <c r="EP89" s="159"/>
      <c r="EQ89" s="159"/>
      <c r="ER89" s="159"/>
      <c r="ES89" s="159"/>
      <c r="ET89" s="159"/>
      <c r="EU89" s="159"/>
      <c r="EV89" s="159"/>
      <c r="EW89" s="159"/>
      <c r="EX89" s="159"/>
      <c r="EY89" s="159"/>
      <c r="EZ89" s="159"/>
      <c r="FA89" s="159"/>
      <c r="FB89" s="159"/>
      <c r="FC89" s="159"/>
      <c r="FD89" s="159"/>
      <c r="FE89" s="159"/>
      <c r="FF89" s="159"/>
    </row>
    <row r="90" spans="8:162" ht="12.75" customHeight="1">
      <c r="H90" s="196" t="s">
        <v>228</v>
      </c>
      <c r="I90" s="46"/>
      <c r="J90" s="46"/>
      <c r="K90" s="46"/>
      <c r="L90" s="46"/>
      <c r="M90" s="46"/>
      <c r="N90" s="47"/>
      <c r="O90" s="48"/>
      <c r="P90" s="46"/>
      <c r="Q90" s="32"/>
      <c r="R90" s="212"/>
      <c r="S90" s="194"/>
      <c r="T90" s="6"/>
      <c r="AA90" s="113"/>
      <c r="AB90" s="113"/>
      <c r="AC90" s="113"/>
      <c r="AD90" s="115"/>
      <c r="AE90" s="122"/>
      <c r="AF90" s="123"/>
      <c r="AG90" s="123"/>
      <c r="AH90" s="123"/>
      <c r="AI90" s="123"/>
      <c r="AJ90" s="124"/>
      <c r="AK90" s="154"/>
      <c r="AL90" s="155"/>
      <c r="AM90" s="155"/>
      <c r="AN90" s="155"/>
      <c r="AO90" s="155"/>
      <c r="AP90" s="155"/>
      <c r="AQ90" s="155"/>
      <c r="AR90" s="155"/>
      <c r="AS90" s="156"/>
      <c r="AT90" s="157"/>
      <c r="AU90" s="157"/>
      <c r="AV90" s="158"/>
      <c r="AW90" s="158"/>
      <c r="AX90" s="158"/>
      <c r="AY90" s="158"/>
      <c r="AZ90" s="158"/>
      <c r="BA90" s="154"/>
      <c r="BB90" s="154"/>
      <c r="BC90" s="154"/>
      <c r="BD90" s="154"/>
      <c r="BE90" s="154"/>
      <c r="BF90" s="154"/>
      <c r="BG90" s="154"/>
      <c r="BH90" s="154"/>
      <c r="BI90" s="154"/>
      <c r="BJ90" s="154"/>
      <c r="BK90" s="159"/>
      <c r="BL90" s="160"/>
      <c r="BM90" s="161"/>
      <c r="BN90" s="162"/>
      <c r="BO90" s="163"/>
      <c r="BP90" s="164"/>
      <c r="BQ90" s="165"/>
      <c r="BR90" s="161"/>
      <c r="BS90" s="162"/>
      <c r="BT90" s="159"/>
      <c r="BU90" s="162"/>
      <c r="BV90" s="166"/>
      <c r="BW90" s="159"/>
      <c r="BX90" s="166"/>
      <c r="BY90" s="155"/>
      <c r="BZ90" s="167"/>
      <c r="CA90" s="159"/>
      <c r="CB90" s="168"/>
      <c r="CC90" s="155"/>
      <c r="CD90" s="159"/>
      <c r="CE90" s="161"/>
      <c r="CF90" s="162"/>
      <c r="DA90" s="113"/>
      <c r="DB90" s="113"/>
      <c r="DC90" s="113"/>
      <c r="DD90" s="115"/>
      <c r="DE90" s="122"/>
      <c r="DF90" s="123"/>
      <c r="DG90" s="123"/>
      <c r="DH90" s="123"/>
      <c r="DI90" s="123"/>
      <c r="DJ90" s="125"/>
      <c r="DK90" s="154"/>
      <c r="DL90" s="155"/>
      <c r="DM90" s="155"/>
      <c r="DN90" s="155"/>
      <c r="DO90" s="155"/>
      <c r="DP90" s="155"/>
      <c r="DQ90" s="155"/>
      <c r="DR90" s="155"/>
      <c r="DS90" s="156"/>
      <c r="DT90" s="157"/>
      <c r="DU90" s="157"/>
      <c r="DV90" s="158"/>
      <c r="DW90" s="158"/>
      <c r="DX90" s="158"/>
      <c r="DY90" s="158"/>
      <c r="DZ90" s="158"/>
      <c r="EA90" s="154"/>
      <c r="EB90" s="154"/>
      <c r="EC90" s="154"/>
      <c r="ED90" s="154"/>
      <c r="EE90" s="154"/>
      <c r="EF90" s="154"/>
      <c r="EG90" s="154"/>
      <c r="EH90" s="154"/>
      <c r="EI90" s="154"/>
      <c r="EJ90" s="154"/>
      <c r="EK90" s="159"/>
      <c r="EL90" s="159"/>
      <c r="EM90" s="159"/>
      <c r="EN90" s="159"/>
      <c r="EO90" s="159"/>
      <c r="EP90" s="159"/>
      <c r="EQ90" s="159"/>
      <c r="ER90" s="159"/>
      <c r="ES90" s="159"/>
      <c r="ET90" s="159"/>
      <c r="EU90" s="159"/>
      <c r="EV90" s="159"/>
      <c r="EW90" s="159"/>
      <c r="EX90" s="159"/>
      <c r="EY90" s="159"/>
      <c r="EZ90" s="159"/>
      <c r="FA90" s="159"/>
      <c r="FB90" s="159"/>
      <c r="FC90" s="159"/>
      <c r="FD90" s="159"/>
      <c r="FE90" s="159"/>
      <c r="FF90" s="159"/>
    </row>
    <row r="91" spans="8:162" ht="15">
      <c r="H91" s="197" t="str">
        <f>"- Diện tích mặt cắt tiết diện đường hàn:"</f>
        <v>- Diện tích mặt cắt tiết diện đường hàn:</v>
      </c>
      <c r="I91" s="57"/>
      <c r="J91" s="57"/>
      <c r="K91" s="34"/>
      <c r="L91" s="55"/>
      <c r="M91" s="34"/>
      <c r="N91" s="60"/>
      <c r="O91" s="34"/>
      <c r="P91" s="60"/>
      <c r="Q91" s="34" t="s">
        <v>121</v>
      </c>
      <c r="R91" s="60">
        <f>O99+O100+O101</f>
        <v>24808</v>
      </c>
      <c r="S91" s="199" t="s">
        <v>6</v>
      </c>
      <c r="T91" s="6"/>
      <c r="AA91" s="113"/>
      <c r="AB91" s="113"/>
      <c r="AC91" s="113"/>
      <c r="AD91" s="115"/>
      <c r="AE91" s="122"/>
      <c r="AF91" s="123"/>
      <c r="AG91" s="123"/>
      <c r="AH91" s="123"/>
      <c r="AI91" s="123"/>
      <c r="AJ91" s="124"/>
      <c r="AK91" s="154"/>
      <c r="AL91" s="155"/>
      <c r="AM91" s="155"/>
      <c r="AN91" s="155"/>
      <c r="AO91" s="155"/>
      <c r="AP91" s="155"/>
      <c r="AQ91" s="155"/>
      <c r="AR91" s="155"/>
      <c r="AS91" s="156"/>
      <c r="AT91" s="157"/>
      <c r="AU91" s="157"/>
      <c r="AV91" s="158"/>
      <c r="AW91" s="158"/>
      <c r="AX91" s="158"/>
      <c r="AY91" s="158"/>
      <c r="AZ91" s="158"/>
      <c r="BA91" s="154"/>
      <c r="BB91" s="154"/>
      <c r="BC91" s="154"/>
      <c r="BD91" s="154"/>
      <c r="BE91" s="154"/>
      <c r="BF91" s="154"/>
      <c r="BG91" s="154"/>
      <c r="BH91" s="154"/>
      <c r="BI91" s="154"/>
      <c r="BJ91" s="154"/>
      <c r="BK91" s="159"/>
      <c r="BL91" s="160"/>
      <c r="BM91" s="161"/>
      <c r="BN91" s="162"/>
      <c r="BO91" s="163"/>
      <c r="BP91" s="164"/>
      <c r="BQ91" s="165"/>
      <c r="BR91" s="161"/>
      <c r="BS91" s="162"/>
      <c r="BT91" s="159"/>
      <c r="BU91" s="162"/>
      <c r="BV91" s="166"/>
      <c r="BW91" s="159"/>
      <c r="BX91" s="166"/>
      <c r="BY91" s="155"/>
      <c r="BZ91" s="167"/>
      <c r="CA91" s="159"/>
      <c r="CB91" s="168"/>
      <c r="CC91" s="155"/>
      <c r="CD91" s="159"/>
      <c r="CE91" s="161"/>
      <c r="CF91" s="162"/>
      <c r="DA91" s="113"/>
      <c r="DB91" s="113"/>
      <c r="DC91" s="113"/>
      <c r="DD91" s="115"/>
      <c r="DE91" s="122"/>
      <c r="DF91" s="123"/>
      <c r="DG91" s="123"/>
      <c r="DH91" s="123"/>
      <c r="DI91" s="123"/>
      <c r="DJ91" s="125"/>
      <c r="DK91" s="154"/>
      <c r="DL91" s="155"/>
      <c r="DM91" s="155"/>
      <c r="DN91" s="155"/>
      <c r="DO91" s="155"/>
      <c r="DP91" s="155"/>
      <c r="DQ91" s="155"/>
      <c r="DR91" s="155"/>
      <c r="DS91" s="156"/>
      <c r="DT91" s="157"/>
      <c r="DU91" s="157"/>
      <c r="DV91" s="158"/>
      <c r="DW91" s="158"/>
      <c r="DX91" s="158"/>
      <c r="DY91" s="158"/>
      <c r="DZ91" s="158"/>
      <c r="EA91" s="154"/>
      <c r="EB91" s="154"/>
      <c r="EC91" s="154"/>
      <c r="ED91" s="154"/>
      <c r="EE91" s="154"/>
      <c r="EF91" s="154"/>
      <c r="EG91" s="154"/>
      <c r="EH91" s="154"/>
      <c r="EI91" s="154"/>
      <c r="EJ91" s="154"/>
      <c r="EK91" s="159"/>
      <c r="EL91" s="159"/>
      <c r="EM91" s="159"/>
      <c r="EN91" s="159"/>
      <c r="EO91" s="159"/>
      <c r="EP91" s="159"/>
      <c r="EQ91" s="159"/>
      <c r="ER91" s="159"/>
      <c r="ES91" s="159"/>
      <c r="ET91" s="159"/>
      <c r="EU91" s="159"/>
      <c r="EV91" s="159"/>
      <c r="EW91" s="159"/>
      <c r="EX91" s="159"/>
      <c r="EY91" s="159"/>
      <c r="EZ91" s="159"/>
      <c r="FA91" s="159"/>
      <c r="FB91" s="159"/>
      <c r="FC91" s="159"/>
      <c r="FD91" s="159"/>
      <c r="FE91" s="159"/>
      <c r="FF91" s="159"/>
    </row>
    <row r="92" spans="8:162" ht="15">
      <c r="H92" s="197" t="str">
        <f>"- Moment quán tính tiết diện đường hàn:"</f>
        <v>- Moment quán tính tiết diện đường hàn:</v>
      </c>
      <c r="I92" s="57"/>
      <c r="J92" s="57"/>
      <c r="K92" s="34"/>
      <c r="L92" s="55"/>
      <c r="M92" s="34"/>
      <c r="N92" s="61"/>
      <c r="O92" s="34"/>
      <c r="P92" s="61"/>
      <c r="Q92" s="34" t="s">
        <v>131</v>
      </c>
      <c r="R92" s="62">
        <f>P99+P100+P101</f>
        <v>5589760141.333333</v>
      </c>
      <c r="S92" s="199" t="s">
        <v>132</v>
      </c>
      <c r="T92" s="6"/>
      <c r="AA92" s="113"/>
      <c r="AB92" s="113"/>
      <c r="AC92" s="113"/>
      <c r="AD92" s="115"/>
      <c r="AE92" s="122"/>
      <c r="AF92" s="123"/>
      <c r="AG92" s="123"/>
      <c r="AH92" s="123"/>
      <c r="AI92" s="123"/>
      <c r="AJ92" s="124"/>
      <c r="AK92" s="154"/>
      <c r="AL92" s="155"/>
      <c r="AM92" s="155"/>
      <c r="AN92" s="155"/>
      <c r="AO92" s="155"/>
      <c r="AP92" s="155"/>
      <c r="AQ92" s="155"/>
      <c r="AR92" s="155"/>
      <c r="AS92" s="156"/>
      <c r="AT92" s="157"/>
      <c r="AU92" s="157"/>
      <c r="AV92" s="158"/>
      <c r="AW92" s="158"/>
      <c r="AX92" s="158"/>
      <c r="AY92" s="158"/>
      <c r="AZ92" s="158"/>
      <c r="BA92" s="154"/>
      <c r="BB92" s="154"/>
      <c r="BC92" s="154"/>
      <c r="BD92" s="154"/>
      <c r="BE92" s="154"/>
      <c r="BF92" s="154"/>
      <c r="BG92" s="154"/>
      <c r="BH92" s="154"/>
      <c r="BI92" s="154"/>
      <c r="BJ92" s="154"/>
      <c r="BK92" s="159"/>
      <c r="BL92" s="160"/>
      <c r="BM92" s="161"/>
      <c r="BN92" s="162"/>
      <c r="BO92" s="163"/>
      <c r="BP92" s="164"/>
      <c r="BQ92" s="165"/>
      <c r="BR92" s="161"/>
      <c r="BS92" s="162"/>
      <c r="BT92" s="159"/>
      <c r="BU92" s="162"/>
      <c r="BV92" s="166"/>
      <c r="BW92" s="159"/>
      <c r="BX92" s="166"/>
      <c r="BY92" s="155"/>
      <c r="BZ92" s="167"/>
      <c r="CA92" s="159"/>
      <c r="CB92" s="168"/>
      <c r="CC92" s="155"/>
      <c r="CD92" s="159"/>
      <c r="CE92" s="161"/>
      <c r="CF92" s="162"/>
      <c r="DA92" s="113"/>
      <c r="DB92" s="113"/>
      <c r="DC92" s="113"/>
      <c r="DD92" s="115"/>
      <c r="DE92" s="122"/>
      <c r="DF92" s="123"/>
      <c r="DG92" s="123"/>
      <c r="DH92" s="123"/>
      <c r="DI92" s="123"/>
      <c r="DJ92" s="125"/>
      <c r="DK92" s="154"/>
      <c r="DL92" s="155"/>
      <c r="DM92" s="155"/>
      <c r="DN92" s="155"/>
      <c r="DO92" s="155"/>
      <c r="DP92" s="155"/>
      <c r="DQ92" s="155"/>
      <c r="DR92" s="155"/>
      <c r="DS92" s="156"/>
      <c r="DT92" s="157"/>
      <c r="DU92" s="157"/>
      <c r="DV92" s="158"/>
      <c r="DW92" s="158"/>
      <c r="DX92" s="158"/>
      <c r="DY92" s="158"/>
      <c r="DZ92" s="158"/>
      <c r="EA92" s="154"/>
      <c r="EB92" s="154"/>
      <c r="EC92" s="154"/>
      <c r="ED92" s="154"/>
      <c r="EE92" s="154"/>
      <c r="EF92" s="154"/>
      <c r="EG92" s="154"/>
      <c r="EH92" s="154"/>
      <c r="EI92" s="154"/>
      <c r="EJ92" s="154"/>
      <c r="EK92" s="159"/>
      <c r="EL92" s="159"/>
      <c r="EM92" s="159"/>
      <c r="EN92" s="159"/>
      <c r="EO92" s="159"/>
      <c r="EP92" s="159"/>
      <c r="EQ92" s="159"/>
      <c r="ER92" s="159"/>
      <c r="ES92" s="159"/>
      <c r="ET92" s="159"/>
      <c r="EU92" s="159"/>
      <c r="EV92" s="159"/>
      <c r="EW92" s="159"/>
      <c r="EX92" s="159"/>
      <c r="EY92" s="159"/>
      <c r="EZ92" s="159"/>
      <c r="FA92" s="159"/>
      <c r="FB92" s="159"/>
      <c r="FC92" s="159"/>
      <c r="FD92" s="159"/>
      <c r="FE92" s="159"/>
      <c r="FF92" s="159"/>
    </row>
    <row r="93" spans="8:162" ht="14.25">
      <c r="H93" s="197" t="str">
        <f>"- Moment kháng uốn tiết diện đường hàn:"</f>
        <v>- Moment kháng uốn tiết diện đường hàn:</v>
      </c>
      <c r="I93" s="57"/>
      <c r="J93" s="57"/>
      <c r="K93" s="34"/>
      <c r="L93" s="55"/>
      <c r="M93" s="34"/>
      <c r="N93" s="61"/>
      <c r="O93" s="34"/>
      <c r="P93" s="61"/>
      <c r="Q93" s="34" t="s">
        <v>133</v>
      </c>
      <c r="R93" s="62">
        <f>R92/(R42/2+R56)</f>
        <v>8957948.944444444</v>
      </c>
      <c r="S93" s="199" t="s">
        <v>237</v>
      </c>
      <c r="T93" s="6"/>
      <c r="AA93" s="113"/>
      <c r="AB93" s="113"/>
      <c r="AC93" s="113"/>
      <c r="AD93" s="115"/>
      <c r="AE93" s="122"/>
      <c r="AF93" s="123"/>
      <c r="AG93" s="123"/>
      <c r="AH93" s="123"/>
      <c r="AI93" s="123"/>
      <c r="AJ93" s="124"/>
      <c r="AK93" s="154"/>
      <c r="AL93" s="155"/>
      <c r="AM93" s="155"/>
      <c r="AN93" s="155"/>
      <c r="AO93" s="155"/>
      <c r="AP93" s="155"/>
      <c r="AQ93" s="155"/>
      <c r="AR93" s="155"/>
      <c r="AS93" s="156"/>
      <c r="AT93" s="157"/>
      <c r="AU93" s="157"/>
      <c r="AV93" s="158"/>
      <c r="AW93" s="158"/>
      <c r="AX93" s="158"/>
      <c r="AY93" s="158"/>
      <c r="AZ93" s="158"/>
      <c r="BA93" s="154"/>
      <c r="BB93" s="154"/>
      <c r="BC93" s="154"/>
      <c r="BD93" s="154"/>
      <c r="BE93" s="154"/>
      <c r="BF93" s="154"/>
      <c r="BG93" s="154"/>
      <c r="BH93" s="154"/>
      <c r="BI93" s="154"/>
      <c r="BJ93" s="154"/>
      <c r="BK93" s="159"/>
      <c r="BL93" s="160"/>
      <c r="BM93" s="161"/>
      <c r="BN93" s="162"/>
      <c r="BO93" s="163"/>
      <c r="BP93" s="164"/>
      <c r="BQ93" s="165"/>
      <c r="BR93" s="161"/>
      <c r="BS93" s="162"/>
      <c r="BT93" s="159"/>
      <c r="BU93" s="162"/>
      <c r="BV93" s="166"/>
      <c r="BW93" s="159"/>
      <c r="BX93" s="166"/>
      <c r="BY93" s="155"/>
      <c r="BZ93" s="167"/>
      <c r="CA93" s="159"/>
      <c r="CB93" s="168"/>
      <c r="CC93" s="155"/>
      <c r="CD93" s="159"/>
      <c r="CE93" s="161"/>
      <c r="CF93" s="162"/>
      <c r="DA93" s="113"/>
      <c r="DB93" s="113"/>
      <c r="DC93" s="113"/>
      <c r="DD93" s="115"/>
      <c r="DE93" s="122"/>
      <c r="DF93" s="123"/>
      <c r="DG93" s="123"/>
      <c r="DH93" s="123"/>
      <c r="DI93" s="123"/>
      <c r="DJ93" s="125"/>
      <c r="DK93" s="154"/>
      <c r="DL93" s="155"/>
      <c r="DM93" s="155"/>
      <c r="DN93" s="155"/>
      <c r="DO93" s="155"/>
      <c r="DP93" s="155"/>
      <c r="DQ93" s="155"/>
      <c r="DR93" s="155"/>
      <c r="DS93" s="156"/>
      <c r="DT93" s="157"/>
      <c r="DU93" s="157"/>
      <c r="DV93" s="158"/>
      <c r="DW93" s="158"/>
      <c r="DX93" s="158"/>
      <c r="DY93" s="158"/>
      <c r="DZ93" s="158"/>
      <c r="EA93" s="154"/>
      <c r="EB93" s="154"/>
      <c r="EC93" s="154"/>
      <c r="ED93" s="154"/>
      <c r="EE93" s="154"/>
      <c r="EF93" s="154"/>
      <c r="EG93" s="154"/>
      <c r="EH93" s="154"/>
      <c r="EI93" s="154"/>
      <c r="EJ93" s="154"/>
      <c r="EK93" s="159"/>
      <c r="EL93" s="159"/>
      <c r="EM93" s="159"/>
      <c r="EN93" s="159"/>
      <c r="EO93" s="159"/>
      <c r="EP93" s="159"/>
      <c r="EQ93" s="159"/>
      <c r="ER93" s="159"/>
      <c r="ES93" s="159"/>
      <c r="ET93" s="159"/>
      <c r="EU93" s="159"/>
      <c r="EV93" s="159"/>
      <c r="EW93" s="159"/>
      <c r="EX93" s="159"/>
      <c r="EY93" s="159"/>
      <c r="EZ93" s="159"/>
      <c r="FA93" s="159"/>
      <c r="FB93" s="159"/>
      <c r="FC93" s="159"/>
      <c r="FD93" s="159"/>
      <c r="FE93" s="159"/>
      <c r="FF93" s="159"/>
    </row>
    <row r="94" spans="8:162" ht="12.75" customHeight="1">
      <c r="H94" s="197" t="str">
        <f>"- Ứng suất tương đương:"</f>
        <v>- Ứng suất tương đương:</v>
      </c>
      <c r="I94" s="32"/>
      <c r="J94" s="32"/>
      <c r="K94" s="63"/>
      <c r="L94" s="64"/>
      <c r="M94" s="65"/>
      <c r="N94" s="66"/>
      <c r="O94" s="56"/>
      <c r="P94" s="32"/>
      <c r="Q94" s="36" t="s">
        <v>135</v>
      </c>
      <c r="R94" s="59">
        <f>SQRT((ABS(Q61)*1000000/R93+O61*1000/R91)^2+(P61*1000/R91)^2)</f>
        <v>66.294223689583404</v>
      </c>
      <c r="S94" s="199" t="s">
        <v>2</v>
      </c>
      <c r="AA94" s="113"/>
      <c r="AB94" s="113"/>
      <c r="AC94" s="113"/>
      <c r="AD94" s="115"/>
      <c r="AE94" s="122"/>
      <c r="AF94" s="123"/>
      <c r="AG94" s="123"/>
      <c r="AH94" s="123"/>
      <c r="AI94" s="123"/>
      <c r="AJ94" s="124"/>
      <c r="AK94" s="154"/>
      <c r="AL94" s="155"/>
      <c r="AM94" s="155"/>
      <c r="AN94" s="155"/>
      <c r="AO94" s="155"/>
      <c r="AP94" s="155"/>
      <c r="AQ94" s="155"/>
      <c r="AR94" s="155"/>
      <c r="AS94" s="156"/>
      <c r="AT94" s="157"/>
      <c r="AU94" s="157"/>
      <c r="AV94" s="158"/>
      <c r="AW94" s="158"/>
      <c r="AX94" s="158"/>
      <c r="AY94" s="158"/>
      <c r="AZ94" s="158"/>
      <c r="BA94" s="154"/>
      <c r="BB94" s="154"/>
      <c r="BC94" s="154"/>
      <c r="BD94" s="154"/>
      <c r="BE94" s="154"/>
      <c r="BF94" s="154"/>
      <c r="BG94" s="154"/>
      <c r="BH94" s="154"/>
      <c r="BI94" s="154"/>
      <c r="BJ94" s="154"/>
      <c r="BK94" s="159"/>
      <c r="BL94" s="160"/>
      <c r="BM94" s="161"/>
      <c r="BN94" s="162"/>
      <c r="BO94" s="163"/>
      <c r="BP94" s="164"/>
      <c r="BQ94" s="165"/>
      <c r="BR94" s="161"/>
      <c r="BS94" s="162"/>
      <c r="BT94" s="159"/>
      <c r="BU94" s="162"/>
      <c r="BV94" s="166"/>
      <c r="BW94" s="159"/>
      <c r="BX94" s="166"/>
      <c r="BY94" s="155"/>
      <c r="BZ94" s="167"/>
      <c r="CA94" s="159"/>
      <c r="CB94" s="168"/>
      <c r="CC94" s="155"/>
      <c r="CD94" s="159"/>
      <c r="CE94" s="161"/>
      <c r="CF94" s="162"/>
      <c r="DA94" s="113"/>
      <c r="DB94" s="113"/>
      <c r="DC94" s="113"/>
      <c r="DD94" s="115"/>
      <c r="DE94" s="122"/>
      <c r="DF94" s="123"/>
      <c r="DG94" s="123"/>
      <c r="DH94" s="123"/>
      <c r="DI94" s="123"/>
      <c r="DJ94" s="125"/>
      <c r="DK94" s="154"/>
      <c r="DL94" s="155"/>
      <c r="DM94" s="155"/>
      <c r="DN94" s="155"/>
      <c r="DO94" s="155"/>
      <c r="DP94" s="155"/>
      <c r="DQ94" s="155"/>
      <c r="DR94" s="155"/>
      <c r="DS94" s="156"/>
      <c r="DT94" s="157"/>
      <c r="DU94" s="157"/>
      <c r="DV94" s="158"/>
      <c r="DW94" s="158"/>
      <c r="DX94" s="158"/>
      <c r="DY94" s="158"/>
      <c r="DZ94" s="158"/>
      <c r="EA94" s="154"/>
      <c r="EB94" s="154"/>
      <c r="EC94" s="154"/>
      <c r="ED94" s="154"/>
      <c r="EE94" s="154"/>
      <c r="EF94" s="154"/>
      <c r="EG94" s="154"/>
      <c r="EH94" s="154"/>
      <c r="EI94" s="154"/>
      <c r="EJ94" s="154"/>
      <c r="EK94" s="159"/>
      <c r="EL94" s="159"/>
      <c r="EM94" s="159"/>
      <c r="EN94" s="159"/>
      <c r="EO94" s="159"/>
      <c r="EP94" s="159"/>
      <c r="EQ94" s="159"/>
      <c r="ER94" s="159"/>
      <c r="ES94" s="159"/>
      <c r="ET94" s="159"/>
      <c r="EU94" s="159"/>
      <c r="EV94" s="159"/>
      <c r="EW94" s="159"/>
      <c r="EX94" s="159"/>
      <c r="EY94" s="159"/>
      <c r="EZ94" s="159"/>
      <c r="FA94" s="159"/>
      <c r="FB94" s="159"/>
      <c r="FC94" s="159"/>
      <c r="FD94" s="159"/>
      <c r="FE94" s="159"/>
      <c r="FF94" s="159"/>
    </row>
    <row r="95" spans="8:162" ht="14.25">
      <c r="H95" s="197" t="str">
        <f>"- Tỷ số huy động cấu kiện:"</f>
        <v>- Tỷ số huy động cấu kiện:</v>
      </c>
      <c r="I95" s="32"/>
      <c r="J95" s="32"/>
      <c r="K95" s="34"/>
      <c r="L95" s="55"/>
      <c r="M95" s="56"/>
      <c r="N95" s="32"/>
      <c r="O95" s="32"/>
      <c r="P95" s="32"/>
      <c r="Q95" s="36" t="s">
        <v>136</v>
      </c>
      <c r="R95" s="220">
        <f>R94/(R39)</f>
        <v>0.52614463245701115</v>
      </c>
      <c r="S95" s="219" t="str">
        <f>IF(R95&lt;=1,"OK","Check")</f>
        <v>OK</v>
      </c>
      <c r="T95" s="6"/>
      <c r="AA95" s="113"/>
      <c r="AB95" s="113"/>
      <c r="AC95" s="113"/>
      <c r="AD95" s="115"/>
      <c r="AE95" s="122"/>
      <c r="AF95" s="123"/>
      <c r="AG95" s="123"/>
      <c r="AH95" s="123"/>
      <c r="AI95" s="123"/>
      <c r="AJ95" s="124"/>
      <c r="AK95" s="154"/>
      <c r="AL95" s="155"/>
      <c r="AM95" s="155"/>
      <c r="AN95" s="155"/>
      <c r="AO95" s="155"/>
      <c r="AP95" s="155"/>
      <c r="AQ95" s="155"/>
      <c r="AR95" s="155"/>
      <c r="AS95" s="156"/>
      <c r="AT95" s="157"/>
      <c r="AU95" s="157"/>
      <c r="AV95" s="158"/>
      <c r="AW95" s="158"/>
      <c r="AX95" s="158"/>
      <c r="AY95" s="158"/>
      <c r="AZ95" s="158"/>
      <c r="BA95" s="154"/>
      <c r="BB95" s="154"/>
      <c r="BC95" s="154"/>
      <c r="BD95" s="154"/>
      <c r="BE95" s="154"/>
      <c r="BF95" s="154"/>
      <c r="BG95" s="154"/>
      <c r="BH95" s="154"/>
      <c r="BI95" s="154"/>
      <c r="BJ95" s="154"/>
      <c r="BK95" s="159"/>
      <c r="BL95" s="160"/>
      <c r="BM95" s="161"/>
      <c r="BN95" s="162"/>
      <c r="BO95" s="163"/>
      <c r="BP95" s="164"/>
      <c r="BQ95" s="165"/>
      <c r="BR95" s="161"/>
      <c r="BS95" s="162"/>
      <c r="BT95" s="159"/>
      <c r="BU95" s="162"/>
      <c r="BV95" s="166"/>
      <c r="BW95" s="159"/>
      <c r="BX95" s="166"/>
      <c r="BY95" s="155"/>
      <c r="BZ95" s="167"/>
      <c r="CA95" s="159"/>
      <c r="CB95" s="168"/>
      <c r="CC95" s="155"/>
      <c r="CD95" s="159"/>
      <c r="CE95" s="161"/>
      <c r="CF95" s="162"/>
      <c r="DA95" s="113"/>
      <c r="DB95" s="113"/>
      <c r="DC95" s="113"/>
      <c r="DD95" s="115"/>
      <c r="DE95" s="122"/>
      <c r="DF95" s="123"/>
      <c r="DG95" s="123"/>
      <c r="DH95" s="123"/>
      <c r="DI95" s="123"/>
      <c r="DJ95" s="125"/>
      <c r="DK95" s="154"/>
      <c r="DL95" s="155"/>
      <c r="DM95" s="155"/>
      <c r="DN95" s="155"/>
      <c r="DO95" s="155"/>
      <c r="DP95" s="155"/>
      <c r="DQ95" s="155"/>
      <c r="DR95" s="155"/>
      <c r="DS95" s="156"/>
      <c r="DT95" s="157"/>
      <c r="DU95" s="157"/>
      <c r="DV95" s="158"/>
      <c r="DW95" s="158"/>
      <c r="DX95" s="158"/>
      <c r="DY95" s="158"/>
      <c r="DZ95" s="158"/>
      <c r="EA95" s="154"/>
      <c r="EB95" s="154"/>
      <c r="EC95" s="154"/>
      <c r="ED95" s="154"/>
      <c r="EE95" s="154"/>
      <c r="EF95" s="154"/>
      <c r="EG95" s="154"/>
      <c r="EH95" s="154"/>
      <c r="EI95" s="154"/>
      <c r="EJ95" s="154"/>
      <c r="EK95" s="159"/>
      <c r="EL95" s="159"/>
      <c r="EM95" s="159"/>
      <c r="EN95" s="159"/>
      <c r="EO95" s="159"/>
      <c r="EP95" s="159"/>
      <c r="EQ95" s="159"/>
      <c r="ER95" s="159"/>
      <c r="ES95" s="159"/>
      <c r="ET95" s="159"/>
      <c r="EU95" s="159"/>
      <c r="EV95" s="159"/>
      <c r="EW95" s="159"/>
      <c r="EX95" s="159"/>
      <c r="EY95" s="159"/>
      <c r="EZ95" s="159"/>
      <c r="FA95" s="159"/>
      <c r="FB95" s="159"/>
      <c r="FC95" s="159"/>
      <c r="FD95" s="159"/>
      <c r="FE95" s="159"/>
      <c r="FF95" s="159"/>
    </row>
    <row r="96" spans="8:162">
      <c r="H96" s="226" t="str">
        <f>IF(COUNTIF(S71:S95,"Check")=0,"Kết luận: Cấu kiện đảm bảo khả năng chịu lực","Kết luận: Cấu kiện KHÔNG đảm bảo khả năng chịu lực")</f>
        <v>Kết luận: Cấu kiện đảm bảo khả năng chịu lực</v>
      </c>
      <c r="I96" s="32"/>
      <c r="J96" s="32"/>
      <c r="K96" s="67"/>
      <c r="L96" s="68"/>
      <c r="M96" s="35"/>
      <c r="N96" s="35"/>
      <c r="O96" s="69"/>
      <c r="P96" s="36"/>
      <c r="Q96" s="59"/>
      <c r="R96" s="212"/>
      <c r="S96" s="200"/>
      <c r="AA96" s="113"/>
      <c r="AB96" s="113"/>
      <c r="AC96" s="113"/>
      <c r="AD96" s="115"/>
      <c r="AE96" s="122"/>
      <c r="AF96" s="123"/>
      <c r="AG96" s="123"/>
      <c r="AH96" s="123"/>
      <c r="AI96" s="123"/>
      <c r="AJ96" s="124"/>
      <c r="AK96" s="154"/>
      <c r="AL96" s="155"/>
      <c r="AM96" s="155"/>
      <c r="AN96" s="155"/>
      <c r="AO96" s="155"/>
      <c r="AP96" s="155"/>
      <c r="AQ96" s="155"/>
      <c r="AR96" s="155"/>
      <c r="AS96" s="156"/>
      <c r="AT96" s="157"/>
      <c r="AU96" s="157"/>
      <c r="AV96" s="158"/>
      <c r="AW96" s="158"/>
      <c r="AX96" s="158"/>
      <c r="AY96" s="158"/>
      <c r="AZ96" s="158"/>
      <c r="BA96" s="154"/>
      <c r="BB96" s="154"/>
      <c r="BC96" s="154"/>
      <c r="BD96" s="154"/>
      <c r="BE96" s="154"/>
      <c r="BF96" s="154"/>
      <c r="BG96" s="154"/>
      <c r="BH96" s="154"/>
      <c r="BI96" s="154"/>
      <c r="BJ96" s="154"/>
      <c r="BK96" s="159"/>
      <c r="BL96" s="160"/>
      <c r="BM96" s="161"/>
      <c r="BN96" s="162"/>
      <c r="BO96" s="163"/>
      <c r="BP96" s="164"/>
      <c r="BQ96" s="165"/>
      <c r="BR96" s="161"/>
      <c r="BS96" s="162"/>
      <c r="BT96" s="159"/>
      <c r="BU96" s="162"/>
      <c r="BV96" s="166"/>
      <c r="BW96" s="159"/>
      <c r="BX96" s="166"/>
      <c r="BY96" s="155"/>
      <c r="BZ96" s="167"/>
      <c r="CA96" s="159"/>
      <c r="CB96" s="168"/>
      <c r="CC96" s="155"/>
      <c r="CD96" s="159"/>
      <c r="CE96" s="161"/>
      <c r="CF96" s="162"/>
      <c r="DA96" s="113"/>
      <c r="DB96" s="113"/>
      <c r="DC96" s="113"/>
      <c r="DD96" s="115"/>
      <c r="DE96" s="122"/>
      <c r="DF96" s="123"/>
      <c r="DG96" s="123"/>
      <c r="DH96" s="123"/>
      <c r="DI96" s="123"/>
      <c r="DJ96" s="125"/>
      <c r="DK96" s="154"/>
      <c r="DL96" s="155"/>
      <c r="DM96" s="155"/>
      <c r="DN96" s="155"/>
      <c r="DO96" s="155"/>
      <c r="DP96" s="155"/>
      <c r="DQ96" s="155"/>
      <c r="DR96" s="155"/>
      <c r="DS96" s="156"/>
      <c r="DT96" s="157"/>
      <c r="DU96" s="157"/>
      <c r="DV96" s="158"/>
      <c r="DW96" s="158"/>
      <c r="DX96" s="158"/>
      <c r="DY96" s="158"/>
      <c r="DZ96" s="158"/>
      <c r="EA96" s="154"/>
      <c r="EB96" s="154"/>
      <c r="EC96" s="154"/>
      <c r="ED96" s="154"/>
      <c r="EE96" s="154"/>
      <c r="EF96" s="154"/>
      <c r="EG96" s="154"/>
      <c r="EH96" s="154"/>
      <c r="EI96" s="154"/>
      <c r="EJ96" s="154"/>
      <c r="EK96" s="159"/>
      <c r="EL96" s="159"/>
      <c r="EM96" s="159"/>
      <c r="EN96" s="159"/>
      <c r="EO96" s="159"/>
      <c r="EP96" s="159"/>
      <c r="EQ96" s="159"/>
      <c r="ER96" s="159"/>
      <c r="ES96" s="159"/>
      <c r="ET96" s="159"/>
      <c r="EU96" s="159"/>
      <c r="EV96" s="159"/>
      <c r="EW96" s="159"/>
      <c r="EX96" s="159"/>
      <c r="EY96" s="159"/>
      <c r="EZ96" s="159"/>
      <c r="FA96" s="159"/>
      <c r="FB96" s="159"/>
      <c r="FC96" s="159"/>
      <c r="FD96" s="159"/>
      <c r="FE96" s="159"/>
      <c r="FF96" s="159"/>
    </row>
    <row r="97" spans="8:162">
      <c r="H97" s="9"/>
      <c r="I97" s="10"/>
      <c r="J97" s="10"/>
      <c r="K97" s="11"/>
      <c r="L97" s="12"/>
      <c r="M97" s="13"/>
      <c r="N97" s="13"/>
      <c r="O97" s="14"/>
      <c r="P97" s="15"/>
      <c r="Q97" s="16"/>
      <c r="R97" s="16"/>
      <c r="S97" s="17"/>
      <c r="AA97" s="113"/>
      <c r="AB97" s="113"/>
      <c r="AC97" s="113"/>
      <c r="AD97" s="115"/>
      <c r="AE97" s="122"/>
      <c r="AF97" s="123"/>
      <c r="AG97" s="123"/>
      <c r="AH97" s="123"/>
      <c r="AI97" s="123"/>
      <c r="AJ97" s="124"/>
      <c r="AK97" s="154"/>
      <c r="AL97" s="155"/>
      <c r="AM97" s="155"/>
      <c r="AN97" s="155"/>
      <c r="AO97" s="155"/>
      <c r="AP97" s="155"/>
      <c r="AQ97" s="155"/>
      <c r="AR97" s="155"/>
      <c r="AS97" s="156"/>
      <c r="AT97" s="157"/>
      <c r="AU97" s="157"/>
      <c r="AV97" s="158"/>
      <c r="AW97" s="158"/>
      <c r="AX97" s="158"/>
      <c r="AY97" s="158"/>
      <c r="AZ97" s="158"/>
      <c r="BA97" s="154"/>
      <c r="BB97" s="154"/>
      <c r="BC97" s="154"/>
      <c r="BD97" s="154"/>
      <c r="BE97" s="154"/>
      <c r="BF97" s="154"/>
      <c r="BG97" s="154"/>
      <c r="BH97" s="154"/>
      <c r="BI97" s="154"/>
      <c r="BJ97" s="154"/>
      <c r="BK97" s="159"/>
      <c r="BL97" s="160"/>
      <c r="BM97" s="161"/>
      <c r="BN97" s="162"/>
      <c r="BO97" s="163"/>
      <c r="BP97" s="164"/>
      <c r="BQ97" s="165"/>
      <c r="BR97" s="161"/>
      <c r="BS97" s="162"/>
      <c r="BT97" s="159"/>
      <c r="BU97" s="162"/>
      <c r="BV97" s="166"/>
      <c r="BW97" s="159"/>
      <c r="BX97" s="166"/>
      <c r="BY97" s="155"/>
      <c r="BZ97" s="167"/>
      <c r="CA97" s="159"/>
      <c r="CB97" s="168"/>
      <c r="CC97" s="155"/>
      <c r="CD97" s="159"/>
      <c r="CE97" s="161"/>
      <c r="CF97" s="162"/>
      <c r="DA97" s="113"/>
      <c r="DB97" s="113"/>
      <c r="DC97" s="113"/>
      <c r="DD97" s="115"/>
      <c r="DE97" s="122"/>
      <c r="DF97" s="123"/>
      <c r="DG97" s="123"/>
      <c r="DH97" s="123"/>
      <c r="DI97" s="123"/>
      <c r="DJ97" s="125"/>
      <c r="DK97" s="154"/>
      <c r="DL97" s="155"/>
      <c r="DM97" s="155"/>
      <c r="DN97" s="155"/>
      <c r="DO97" s="155"/>
      <c r="DP97" s="155"/>
      <c r="DQ97" s="155"/>
      <c r="DR97" s="155"/>
      <c r="DS97" s="156"/>
      <c r="DT97" s="157"/>
      <c r="DU97" s="157"/>
      <c r="DV97" s="158"/>
      <c r="DW97" s="158"/>
      <c r="DX97" s="158"/>
      <c r="DY97" s="158"/>
      <c r="DZ97" s="158"/>
      <c r="EA97" s="154"/>
      <c r="EB97" s="154"/>
      <c r="EC97" s="154"/>
      <c r="ED97" s="154"/>
      <c r="EE97" s="154"/>
      <c r="EF97" s="154"/>
      <c r="EG97" s="154"/>
      <c r="EH97" s="154"/>
      <c r="EI97" s="154"/>
      <c r="EJ97" s="154"/>
      <c r="EK97" s="159"/>
      <c r="EL97" s="159"/>
      <c r="EM97" s="159"/>
      <c r="EN97" s="159"/>
      <c r="EO97" s="159"/>
      <c r="EP97" s="159"/>
      <c r="EQ97" s="159"/>
      <c r="ER97" s="159"/>
      <c r="ES97" s="159"/>
      <c r="ET97" s="159"/>
      <c r="EU97" s="159"/>
      <c r="EV97" s="159"/>
      <c r="EW97" s="159"/>
      <c r="EX97" s="159"/>
      <c r="EY97" s="159"/>
      <c r="EZ97" s="159"/>
      <c r="FA97" s="159"/>
      <c r="FB97" s="159"/>
      <c r="FC97" s="159"/>
      <c r="FD97" s="159"/>
      <c r="FE97" s="159"/>
      <c r="FF97" s="159"/>
    </row>
    <row r="98" spans="8:162">
      <c r="H98" s="256" t="s">
        <v>134</v>
      </c>
      <c r="I98" s="256"/>
      <c r="J98" s="256"/>
      <c r="K98" s="29" t="s">
        <v>129</v>
      </c>
      <c r="L98" s="30" t="s">
        <v>125</v>
      </c>
      <c r="M98" s="30" t="s">
        <v>126</v>
      </c>
      <c r="N98" s="30" t="s">
        <v>127</v>
      </c>
      <c r="O98" s="30" t="s">
        <v>28</v>
      </c>
      <c r="P98" s="30" t="s">
        <v>130</v>
      </c>
      <c r="Q98" s="30" t="s">
        <v>93</v>
      </c>
      <c r="R98" s="257"/>
      <c r="S98" s="258"/>
      <c r="AA98" s="113"/>
      <c r="AB98" s="113"/>
      <c r="AC98" s="113"/>
      <c r="AD98" s="115"/>
      <c r="AE98" s="122"/>
      <c r="AF98" s="123"/>
      <c r="AG98" s="123"/>
      <c r="AH98" s="123"/>
      <c r="AI98" s="123"/>
      <c r="AJ98" s="124"/>
      <c r="AK98" s="154"/>
      <c r="AL98" s="155"/>
      <c r="AM98" s="155"/>
      <c r="AN98" s="155"/>
      <c r="AO98" s="155"/>
      <c r="AP98" s="155"/>
      <c r="AQ98" s="155"/>
      <c r="AR98" s="155"/>
      <c r="AS98" s="156"/>
      <c r="AT98" s="157"/>
      <c r="AU98" s="157"/>
      <c r="AV98" s="158"/>
      <c r="AW98" s="158"/>
      <c r="AX98" s="158"/>
      <c r="AY98" s="158"/>
      <c r="AZ98" s="158"/>
      <c r="BA98" s="154"/>
      <c r="BB98" s="154"/>
      <c r="BC98" s="154"/>
      <c r="BD98" s="154"/>
      <c r="BE98" s="154"/>
      <c r="BF98" s="154"/>
      <c r="BG98" s="154"/>
      <c r="BH98" s="154"/>
      <c r="BI98" s="154"/>
      <c r="BJ98" s="154"/>
      <c r="BK98" s="159"/>
      <c r="BL98" s="160"/>
      <c r="BM98" s="161"/>
      <c r="BN98" s="162"/>
      <c r="BO98" s="163"/>
      <c r="BP98" s="164"/>
      <c r="BQ98" s="165"/>
      <c r="BR98" s="161"/>
      <c r="BS98" s="162"/>
      <c r="BT98" s="159"/>
      <c r="BU98" s="162"/>
      <c r="BV98" s="166"/>
      <c r="BW98" s="159"/>
      <c r="BX98" s="166"/>
      <c r="BY98" s="155"/>
      <c r="BZ98" s="167"/>
      <c r="CA98" s="159"/>
      <c r="CB98" s="168"/>
      <c r="CC98" s="155"/>
      <c r="CD98" s="159"/>
      <c r="CE98" s="161"/>
      <c r="CF98" s="162"/>
      <c r="DA98" s="113"/>
      <c r="DB98" s="113"/>
      <c r="DC98" s="113"/>
      <c r="DD98" s="115"/>
      <c r="DE98" s="122"/>
      <c r="DF98" s="123"/>
      <c r="DG98" s="123"/>
      <c r="DH98" s="123"/>
      <c r="DI98" s="123"/>
      <c r="DJ98" s="125"/>
      <c r="DK98" s="154"/>
      <c r="DL98" s="155"/>
      <c r="DM98" s="155"/>
      <c r="DN98" s="155"/>
      <c r="DO98" s="155"/>
      <c r="DP98" s="155"/>
      <c r="DQ98" s="155"/>
      <c r="DR98" s="155"/>
      <c r="DS98" s="156"/>
      <c r="DT98" s="157"/>
      <c r="DU98" s="157"/>
      <c r="DV98" s="158"/>
      <c r="DW98" s="158"/>
      <c r="DX98" s="158"/>
      <c r="DY98" s="158"/>
      <c r="DZ98" s="158"/>
      <c r="EA98" s="154"/>
      <c r="EB98" s="154"/>
      <c r="EC98" s="154"/>
      <c r="ED98" s="154"/>
      <c r="EE98" s="154"/>
      <c r="EF98" s="154"/>
      <c r="EG98" s="154"/>
      <c r="EH98" s="154"/>
      <c r="EI98" s="154"/>
      <c r="EJ98" s="154"/>
      <c r="EK98" s="159"/>
      <c r="EL98" s="159"/>
      <c r="EM98" s="159"/>
      <c r="EN98" s="159"/>
      <c r="EO98" s="159"/>
      <c r="EP98" s="159"/>
      <c r="EQ98" s="159"/>
      <c r="ER98" s="159"/>
      <c r="ES98" s="159"/>
      <c r="ET98" s="159"/>
      <c r="EU98" s="159"/>
      <c r="EV98" s="159"/>
      <c r="EW98" s="159"/>
      <c r="EX98" s="159"/>
      <c r="EY98" s="159"/>
      <c r="EZ98" s="159"/>
      <c r="FA98" s="159"/>
      <c r="FB98" s="159"/>
      <c r="FC98" s="159"/>
      <c r="FD98" s="159"/>
      <c r="FE98" s="159"/>
      <c r="FF98" s="159"/>
    </row>
    <row r="99" spans="8:162">
      <c r="H99" s="255" t="s">
        <v>122</v>
      </c>
      <c r="I99" s="255"/>
      <c r="J99" s="255"/>
      <c r="K99" s="30">
        <v>2</v>
      </c>
      <c r="L99" s="30">
        <f>R43-10</f>
        <v>340</v>
      </c>
      <c r="M99" s="30">
        <f>R56</f>
        <v>8</v>
      </c>
      <c r="N99" s="30">
        <f>R42/2+R56/2</f>
        <v>620</v>
      </c>
      <c r="O99" s="30">
        <f>K99*L99*M99</f>
        <v>5440</v>
      </c>
      <c r="P99" s="31">
        <f>K99*(L99*M99^3/12+L99*M99*N99^2)</f>
        <v>2091165013.3333333</v>
      </c>
      <c r="Q99" s="31">
        <f>P99/N99</f>
        <v>3372846.7956989245</v>
      </c>
      <c r="R99" s="259"/>
      <c r="S99" s="260"/>
      <c r="AA99" s="113"/>
      <c r="AB99" s="113"/>
      <c r="AC99" s="113"/>
      <c r="AD99" s="115"/>
      <c r="AE99" s="122"/>
      <c r="AF99" s="123"/>
      <c r="AG99" s="123"/>
      <c r="AH99" s="123"/>
      <c r="AI99" s="123"/>
      <c r="AJ99" s="124"/>
      <c r="AK99" s="154"/>
      <c r="AL99" s="155"/>
      <c r="AM99" s="155"/>
      <c r="AN99" s="155"/>
      <c r="AO99" s="155"/>
      <c r="AP99" s="155"/>
      <c r="AQ99" s="155"/>
      <c r="AR99" s="155"/>
      <c r="AS99" s="156"/>
      <c r="AT99" s="157"/>
      <c r="AU99" s="157"/>
      <c r="AV99" s="158"/>
      <c r="AW99" s="158"/>
      <c r="AX99" s="158"/>
      <c r="AY99" s="158"/>
      <c r="AZ99" s="158"/>
      <c r="BA99" s="154"/>
      <c r="BB99" s="154"/>
      <c r="BC99" s="154"/>
      <c r="BD99" s="154"/>
      <c r="BE99" s="154"/>
      <c r="BF99" s="154"/>
      <c r="BG99" s="154"/>
      <c r="BH99" s="154"/>
      <c r="BI99" s="154"/>
      <c r="BJ99" s="154"/>
      <c r="BK99" s="159"/>
      <c r="BL99" s="160"/>
      <c r="BM99" s="161"/>
      <c r="BN99" s="162"/>
      <c r="BO99" s="163"/>
      <c r="BP99" s="164"/>
      <c r="BQ99" s="165"/>
      <c r="BR99" s="161"/>
      <c r="BS99" s="162"/>
      <c r="BT99" s="159"/>
      <c r="BU99" s="162"/>
      <c r="BV99" s="166"/>
      <c r="BW99" s="159"/>
      <c r="BX99" s="166"/>
      <c r="BY99" s="155"/>
      <c r="BZ99" s="167"/>
      <c r="CA99" s="159"/>
      <c r="CB99" s="168"/>
      <c r="CC99" s="155"/>
      <c r="CD99" s="159"/>
      <c r="CE99" s="161"/>
      <c r="CF99" s="162"/>
      <c r="DA99" s="113"/>
      <c r="DB99" s="113"/>
      <c r="DC99" s="113"/>
      <c r="DD99" s="115"/>
      <c r="DE99" s="122"/>
      <c r="DF99" s="123"/>
      <c r="DG99" s="123"/>
      <c r="DH99" s="123"/>
      <c r="DI99" s="123"/>
      <c r="DJ99" s="125"/>
      <c r="DK99" s="154"/>
      <c r="DL99" s="155"/>
      <c r="DM99" s="155"/>
      <c r="DN99" s="155"/>
      <c r="DO99" s="155"/>
      <c r="DP99" s="155"/>
      <c r="DQ99" s="155"/>
      <c r="DR99" s="155"/>
      <c r="DS99" s="156"/>
      <c r="DT99" s="157"/>
      <c r="DU99" s="157"/>
      <c r="DV99" s="158"/>
      <c r="DW99" s="158"/>
      <c r="DX99" s="158"/>
      <c r="DY99" s="158"/>
      <c r="DZ99" s="158"/>
      <c r="EA99" s="154"/>
      <c r="EB99" s="154"/>
      <c r="EC99" s="154"/>
      <c r="ED99" s="154"/>
      <c r="EE99" s="154"/>
      <c r="EF99" s="154"/>
      <c r="EG99" s="154"/>
      <c r="EH99" s="154"/>
      <c r="EI99" s="154"/>
      <c r="EJ99" s="154"/>
      <c r="EK99" s="159"/>
      <c r="EL99" s="159"/>
      <c r="EM99" s="161"/>
      <c r="EN99" s="161"/>
      <c r="EO99" s="163"/>
      <c r="EP99" s="164"/>
      <c r="EQ99" s="165"/>
      <c r="ER99" s="161"/>
      <c r="ES99" s="161"/>
      <c r="ET99" s="161"/>
      <c r="EU99" s="161"/>
      <c r="EV99" s="166"/>
      <c r="EW99" s="159"/>
      <c r="EX99" s="166"/>
      <c r="EY99" s="155"/>
      <c r="EZ99" s="167"/>
      <c r="FA99" s="159"/>
      <c r="FB99" s="168"/>
      <c r="FC99" s="155"/>
      <c r="FD99" s="159"/>
      <c r="FE99" s="161"/>
      <c r="FF99" s="162"/>
    </row>
    <row r="100" spans="8:162">
      <c r="H100" s="255" t="s">
        <v>123</v>
      </c>
      <c r="I100" s="255"/>
      <c r="J100" s="255"/>
      <c r="K100" s="30">
        <v>4</v>
      </c>
      <c r="L100" s="30">
        <f>(R43-R44)/2-10</f>
        <v>159</v>
      </c>
      <c r="M100" s="30">
        <f>R56</f>
        <v>8</v>
      </c>
      <c r="N100" s="30">
        <f>R42/2-R45-R57/2</f>
        <v>597</v>
      </c>
      <c r="O100" s="30">
        <f t="shared" ref="O100:O101" si="38">K100*L100*M100</f>
        <v>5088</v>
      </c>
      <c r="P100" s="31">
        <f>K100*(L100*M100^3/12+L100*M100*N100^2)</f>
        <v>1813436128</v>
      </c>
      <c r="Q100" s="31">
        <f>P100/N100</f>
        <v>3037581.4539363482</v>
      </c>
      <c r="R100" s="259"/>
      <c r="S100" s="260"/>
      <c r="AA100" s="113"/>
      <c r="AB100" s="113"/>
      <c r="AC100" s="113"/>
      <c r="AD100" s="115"/>
      <c r="AE100" s="122"/>
      <c r="AF100" s="123"/>
      <c r="AG100" s="123"/>
      <c r="AH100" s="123"/>
      <c r="AI100" s="123"/>
      <c r="AJ100" s="124"/>
      <c r="AK100" s="154"/>
      <c r="AL100" s="155"/>
      <c r="AM100" s="155"/>
      <c r="AN100" s="155"/>
      <c r="AO100" s="155"/>
      <c r="AP100" s="155"/>
      <c r="AQ100" s="155"/>
      <c r="AR100" s="155"/>
      <c r="AS100" s="156"/>
      <c r="AT100" s="157"/>
      <c r="AU100" s="157"/>
      <c r="AV100" s="158"/>
      <c r="AW100" s="158"/>
      <c r="AX100" s="158"/>
      <c r="AY100" s="158"/>
      <c r="AZ100" s="158"/>
      <c r="BA100" s="154"/>
      <c r="BB100" s="154"/>
      <c r="BC100" s="154"/>
      <c r="BD100" s="154"/>
      <c r="BE100" s="154"/>
      <c r="BF100" s="154"/>
      <c r="BG100" s="154"/>
      <c r="BH100" s="154"/>
      <c r="BI100" s="154"/>
      <c r="BJ100" s="154"/>
      <c r="BK100" s="159"/>
      <c r="BL100" s="160"/>
      <c r="BM100" s="161"/>
      <c r="BN100" s="162"/>
      <c r="BO100" s="163"/>
      <c r="BP100" s="164"/>
      <c r="BQ100" s="165"/>
      <c r="BR100" s="161"/>
      <c r="BS100" s="162"/>
      <c r="BT100" s="159"/>
      <c r="BU100" s="162"/>
      <c r="BV100" s="166"/>
      <c r="BW100" s="159"/>
      <c r="BX100" s="166"/>
      <c r="BY100" s="155"/>
      <c r="BZ100" s="167"/>
      <c r="CA100" s="159"/>
      <c r="CB100" s="168"/>
      <c r="CC100" s="155"/>
      <c r="CD100" s="159"/>
      <c r="CE100" s="161"/>
      <c r="CF100" s="162"/>
      <c r="DA100" s="113"/>
      <c r="DB100" s="113"/>
      <c r="DC100" s="113"/>
      <c r="DD100" s="115"/>
      <c r="DE100" s="122"/>
      <c r="DF100" s="123"/>
      <c r="DG100" s="123"/>
      <c r="DH100" s="123"/>
      <c r="DI100" s="123"/>
      <c r="DJ100" s="125"/>
      <c r="DK100" s="154"/>
      <c r="DL100" s="155"/>
      <c r="DM100" s="155"/>
      <c r="DN100" s="155"/>
      <c r="DO100" s="155"/>
      <c r="DP100" s="155"/>
      <c r="DQ100" s="155"/>
      <c r="DR100" s="155"/>
      <c r="DS100" s="156"/>
      <c r="DT100" s="157"/>
      <c r="DU100" s="157"/>
      <c r="DV100" s="158"/>
      <c r="DW100" s="158"/>
      <c r="DX100" s="158"/>
      <c r="DY100" s="158"/>
      <c r="DZ100" s="158"/>
      <c r="EA100" s="154"/>
      <c r="EB100" s="154"/>
      <c r="EC100" s="154"/>
      <c r="ED100" s="154"/>
      <c r="EE100" s="154"/>
      <c r="EF100" s="154"/>
      <c r="EG100" s="154"/>
      <c r="EH100" s="154"/>
      <c r="EI100" s="154"/>
      <c r="EJ100" s="154"/>
      <c r="EK100" s="159"/>
      <c r="EL100" s="159"/>
      <c r="EM100" s="161"/>
      <c r="EN100" s="161"/>
      <c r="EO100" s="163"/>
      <c r="EP100" s="164"/>
      <c r="EQ100" s="165"/>
      <c r="ER100" s="161"/>
      <c r="ES100" s="161"/>
      <c r="ET100" s="161"/>
      <c r="EU100" s="161"/>
      <c r="EV100" s="166"/>
      <c r="EW100" s="159"/>
      <c r="EX100" s="166"/>
      <c r="EY100" s="155"/>
      <c r="EZ100" s="167"/>
      <c r="FA100" s="159"/>
      <c r="FB100" s="168"/>
      <c r="FC100" s="155"/>
      <c r="FD100" s="159"/>
      <c r="FE100" s="161"/>
      <c r="FF100" s="162"/>
    </row>
    <row r="101" spans="8:162">
      <c r="H101" s="255" t="s">
        <v>124</v>
      </c>
      <c r="I101" s="255"/>
      <c r="J101" s="255"/>
      <c r="K101" s="30">
        <v>2</v>
      </c>
      <c r="L101" s="30">
        <f>R57</f>
        <v>6</v>
      </c>
      <c r="M101" s="30">
        <f>R42-2*R45-10</f>
        <v>1190</v>
      </c>
      <c r="N101" s="30">
        <v>0</v>
      </c>
      <c r="O101" s="30">
        <f t="shared" si="38"/>
        <v>14280</v>
      </c>
      <c r="P101" s="31">
        <f>K101*(L101*M101^3/12)</f>
        <v>1685159000</v>
      </c>
      <c r="Q101" s="31">
        <f>P101/(M101/2)</f>
        <v>2832200</v>
      </c>
      <c r="R101" s="261"/>
      <c r="S101" s="262"/>
      <c r="AA101" s="113"/>
      <c r="AB101" s="113"/>
      <c r="AC101" s="113"/>
      <c r="AD101" s="115"/>
      <c r="AE101" s="88"/>
      <c r="AJ101" s="124"/>
      <c r="AK101" s="154"/>
      <c r="AL101" s="155"/>
      <c r="AM101" s="155"/>
      <c r="AN101" s="155"/>
      <c r="AO101" s="155"/>
      <c r="AP101" s="155"/>
      <c r="AQ101" s="155"/>
      <c r="AR101" s="155"/>
      <c r="AS101" s="156"/>
      <c r="AT101" s="157"/>
      <c r="AU101" s="157"/>
      <c r="AV101" s="158"/>
      <c r="AW101" s="158"/>
      <c r="AX101" s="158"/>
      <c r="AY101" s="158"/>
      <c r="AZ101" s="158"/>
      <c r="BA101" s="154"/>
      <c r="BB101" s="154"/>
      <c r="BC101" s="154"/>
      <c r="BD101" s="154"/>
      <c r="BE101" s="154"/>
      <c r="BF101" s="154"/>
      <c r="BG101" s="154"/>
      <c r="BH101" s="154"/>
      <c r="BI101" s="154"/>
      <c r="BJ101" s="154"/>
      <c r="BK101" s="159"/>
      <c r="BL101" s="160"/>
      <c r="BM101" s="161"/>
      <c r="BN101" s="162"/>
      <c r="BO101" s="163"/>
      <c r="BP101" s="164"/>
      <c r="BQ101" s="165"/>
      <c r="BR101" s="161"/>
      <c r="BS101" s="162"/>
      <c r="BT101" s="159"/>
      <c r="BU101" s="162"/>
      <c r="BV101" s="166"/>
      <c r="BW101" s="159"/>
      <c r="BX101" s="166"/>
      <c r="BY101" s="155"/>
      <c r="BZ101" s="167"/>
      <c r="CA101" s="159"/>
      <c r="CB101" s="168"/>
      <c r="CC101" s="155"/>
      <c r="CD101" s="159"/>
      <c r="CE101" s="161"/>
      <c r="CF101" s="162"/>
      <c r="DA101" s="113"/>
      <c r="DB101" s="113"/>
      <c r="DC101" s="113"/>
      <c r="DD101" s="115"/>
      <c r="DE101" s="88"/>
      <c r="DJ101" s="126"/>
      <c r="DK101" s="154"/>
      <c r="DL101" s="155"/>
      <c r="DM101" s="155"/>
      <c r="DN101" s="155"/>
      <c r="DO101" s="155"/>
      <c r="DP101" s="155"/>
      <c r="DQ101" s="155"/>
      <c r="DR101" s="155"/>
      <c r="DS101" s="156"/>
      <c r="DT101" s="157"/>
      <c r="DU101" s="157"/>
      <c r="DV101" s="158"/>
      <c r="DW101" s="158"/>
      <c r="DX101" s="158"/>
      <c r="DY101" s="158"/>
      <c r="DZ101" s="158"/>
      <c r="EA101" s="154"/>
      <c r="EB101" s="154"/>
      <c r="EC101" s="154"/>
      <c r="ED101" s="154"/>
      <c r="EE101" s="154"/>
      <c r="EF101" s="154"/>
      <c r="EG101" s="154"/>
      <c r="EH101" s="154"/>
      <c r="EI101" s="154"/>
      <c r="EJ101" s="154"/>
      <c r="EK101" s="159"/>
      <c r="EL101" s="159"/>
      <c r="EM101" s="161"/>
      <c r="EN101" s="161"/>
      <c r="EO101" s="163"/>
      <c r="EP101" s="164"/>
      <c r="EQ101" s="165"/>
      <c r="ER101" s="161"/>
      <c r="ES101" s="161"/>
      <c r="ET101" s="161"/>
      <c r="EU101" s="161"/>
      <c r="EV101" s="166"/>
      <c r="EW101" s="159"/>
      <c r="EX101" s="166"/>
      <c r="EY101" s="155"/>
      <c r="EZ101" s="167"/>
      <c r="FA101" s="159"/>
      <c r="FB101" s="168"/>
      <c r="FC101" s="155"/>
      <c r="FD101" s="159"/>
      <c r="FE101" s="161"/>
      <c r="FF101" s="162"/>
    </row>
    <row r="102" spans="8:162">
      <c r="H102" s="1" t="s">
        <v>128</v>
      </c>
      <c r="AA102" s="113"/>
      <c r="AB102" s="113"/>
      <c r="AC102" s="113"/>
      <c r="AD102" s="115"/>
      <c r="AE102" s="88"/>
      <c r="AJ102" s="124"/>
      <c r="AK102" s="154"/>
      <c r="AL102" s="155"/>
      <c r="AM102" s="155"/>
      <c r="AN102" s="155"/>
      <c r="AO102" s="155"/>
      <c r="AP102" s="155"/>
      <c r="AQ102" s="155"/>
      <c r="AR102" s="155"/>
      <c r="AS102" s="156"/>
      <c r="AT102" s="157"/>
      <c r="AU102" s="157"/>
      <c r="AV102" s="158"/>
      <c r="AW102" s="158"/>
      <c r="AX102" s="158"/>
      <c r="AY102" s="158"/>
      <c r="AZ102" s="158"/>
      <c r="BA102" s="154"/>
      <c r="BB102" s="154"/>
      <c r="BC102" s="154"/>
      <c r="BD102" s="154"/>
      <c r="BE102" s="154"/>
      <c r="BF102" s="154"/>
      <c r="BG102" s="154"/>
      <c r="BH102" s="154"/>
      <c r="BI102" s="154"/>
      <c r="BJ102" s="154"/>
      <c r="BK102" s="159"/>
      <c r="BL102" s="160"/>
      <c r="BM102" s="161"/>
      <c r="BN102" s="162"/>
      <c r="BO102" s="163"/>
      <c r="BP102" s="164"/>
      <c r="BQ102" s="165"/>
      <c r="BR102" s="161"/>
      <c r="BS102" s="162"/>
      <c r="BT102" s="159"/>
      <c r="BU102" s="162"/>
      <c r="BV102" s="166"/>
      <c r="BW102" s="159"/>
      <c r="BX102" s="166"/>
      <c r="BY102" s="155"/>
      <c r="BZ102" s="167"/>
      <c r="CA102" s="159"/>
      <c r="CB102" s="168"/>
      <c r="CC102" s="155"/>
      <c r="CD102" s="159"/>
      <c r="CE102" s="161"/>
      <c r="CF102" s="162"/>
      <c r="DA102" s="113"/>
      <c r="DB102" s="113"/>
      <c r="DC102" s="113"/>
      <c r="DD102" s="115"/>
      <c r="DE102" s="88"/>
      <c r="DJ102" s="126"/>
      <c r="DK102" s="154"/>
      <c r="DL102" s="155"/>
      <c r="DM102" s="155"/>
      <c r="DN102" s="155"/>
      <c r="DO102" s="155"/>
      <c r="DP102" s="155"/>
      <c r="DQ102" s="155"/>
      <c r="DR102" s="155"/>
      <c r="DS102" s="156"/>
      <c r="DT102" s="157"/>
      <c r="DU102" s="157"/>
      <c r="DV102" s="158"/>
      <c r="DW102" s="158"/>
      <c r="DX102" s="158"/>
      <c r="DY102" s="158"/>
      <c r="DZ102" s="158"/>
      <c r="EA102" s="154"/>
      <c r="EB102" s="154"/>
      <c r="EC102" s="154"/>
      <c r="ED102" s="154"/>
      <c r="EE102" s="154"/>
      <c r="EF102" s="154"/>
      <c r="EG102" s="154"/>
      <c r="EH102" s="154"/>
      <c r="EI102" s="154"/>
      <c r="EJ102" s="154"/>
      <c r="EK102" s="159"/>
      <c r="EL102" s="159"/>
      <c r="EM102" s="161"/>
      <c r="EN102" s="161"/>
      <c r="EO102" s="163"/>
      <c r="EP102" s="164"/>
      <c r="EQ102" s="165"/>
      <c r="ER102" s="161"/>
      <c r="ES102" s="161"/>
      <c r="ET102" s="161"/>
      <c r="EU102" s="161"/>
      <c r="EV102" s="166"/>
      <c r="EW102" s="159"/>
      <c r="EX102" s="166"/>
      <c r="EY102" s="155"/>
      <c r="EZ102" s="167"/>
      <c r="FA102" s="159"/>
      <c r="FB102" s="168"/>
      <c r="FC102" s="155"/>
      <c r="FD102" s="159"/>
      <c r="FE102" s="161"/>
      <c r="FF102" s="162"/>
    </row>
    <row r="103" spans="8:162">
      <c r="AA103" s="113"/>
      <c r="AB103" s="113"/>
      <c r="AC103" s="113"/>
      <c r="AD103" s="115"/>
      <c r="AE103" s="88"/>
      <c r="AJ103" s="124"/>
      <c r="AK103" s="154"/>
      <c r="AL103" s="155"/>
      <c r="AM103" s="155"/>
      <c r="AN103" s="155"/>
      <c r="AO103" s="155"/>
      <c r="AP103" s="155"/>
      <c r="AQ103" s="155"/>
      <c r="AR103" s="155"/>
      <c r="AS103" s="156"/>
      <c r="AT103" s="157"/>
      <c r="AU103" s="157"/>
      <c r="AV103" s="158"/>
      <c r="AW103" s="158"/>
      <c r="AX103" s="158"/>
      <c r="AY103" s="158"/>
      <c r="AZ103" s="158"/>
      <c r="BA103" s="154"/>
      <c r="BB103" s="154"/>
      <c r="BC103" s="154"/>
      <c r="BD103" s="154"/>
      <c r="BE103" s="154"/>
      <c r="BF103" s="154"/>
      <c r="BG103" s="154"/>
      <c r="BH103" s="154"/>
      <c r="BI103" s="154"/>
      <c r="BJ103" s="154"/>
      <c r="BK103" s="159"/>
      <c r="BL103" s="160"/>
      <c r="BM103" s="161"/>
      <c r="BN103" s="162"/>
      <c r="BO103" s="163"/>
      <c r="BP103" s="164"/>
      <c r="BQ103" s="165"/>
      <c r="BR103" s="161"/>
      <c r="BS103" s="162"/>
      <c r="BT103" s="159"/>
      <c r="BU103" s="162"/>
      <c r="BV103" s="166"/>
      <c r="BW103" s="159"/>
      <c r="BX103" s="166"/>
      <c r="BY103" s="155"/>
      <c r="BZ103" s="167"/>
      <c r="CA103" s="159"/>
      <c r="CB103" s="168"/>
      <c r="CC103" s="155"/>
      <c r="CD103" s="159"/>
      <c r="CE103" s="161"/>
      <c r="CF103" s="162"/>
      <c r="DA103" s="113"/>
      <c r="DB103" s="113"/>
      <c r="DC103" s="113"/>
      <c r="DD103" s="115"/>
      <c r="DE103" s="88"/>
      <c r="DJ103" s="126"/>
      <c r="DK103" s="154"/>
      <c r="DL103" s="155"/>
      <c r="DM103" s="155"/>
      <c r="DN103" s="155"/>
      <c r="DO103" s="155"/>
      <c r="DP103" s="155"/>
      <c r="DQ103" s="155"/>
      <c r="DR103" s="155"/>
      <c r="DS103" s="156"/>
      <c r="DT103" s="157"/>
      <c r="DU103" s="157"/>
      <c r="DV103" s="158"/>
      <c r="DW103" s="158"/>
      <c r="DX103" s="158"/>
      <c r="DY103" s="158"/>
      <c r="DZ103" s="158"/>
      <c r="EA103" s="154"/>
      <c r="EB103" s="154"/>
      <c r="EC103" s="154"/>
      <c r="ED103" s="154"/>
      <c r="EE103" s="154"/>
      <c r="EF103" s="154"/>
      <c r="EG103" s="154"/>
      <c r="EH103" s="154"/>
      <c r="EI103" s="154"/>
      <c r="EJ103" s="154"/>
      <c r="EK103" s="159"/>
      <c r="EL103" s="159"/>
      <c r="EM103" s="161"/>
      <c r="EN103" s="161"/>
      <c r="EO103" s="163"/>
      <c r="EP103" s="164"/>
      <c r="EQ103" s="165"/>
      <c r="ER103" s="161"/>
      <c r="ES103" s="161"/>
      <c r="ET103" s="161"/>
      <c r="EU103" s="161"/>
      <c r="EV103" s="166"/>
      <c r="EW103" s="159"/>
      <c r="EX103" s="166"/>
      <c r="EY103" s="155"/>
      <c r="EZ103" s="167"/>
      <c r="FA103" s="159"/>
      <c r="FB103" s="168"/>
      <c r="FC103" s="155"/>
      <c r="FD103" s="159"/>
      <c r="FE103" s="161"/>
      <c r="FF103" s="162"/>
    </row>
    <row r="104" spans="8:162">
      <c r="AA104" s="113"/>
      <c r="AB104" s="113"/>
      <c r="AC104" s="113"/>
      <c r="AD104" s="115"/>
      <c r="AE104" s="88"/>
      <c r="AJ104" s="124"/>
      <c r="AK104" s="154"/>
      <c r="AL104" s="155"/>
      <c r="AM104" s="155"/>
      <c r="AN104" s="155"/>
      <c r="AO104" s="155"/>
      <c r="AP104" s="155"/>
      <c r="AQ104" s="155"/>
      <c r="AR104" s="155"/>
      <c r="AS104" s="156"/>
      <c r="AT104" s="157"/>
      <c r="AU104" s="157"/>
      <c r="AV104" s="158"/>
      <c r="AW104" s="158"/>
      <c r="AX104" s="158"/>
      <c r="AY104" s="158"/>
      <c r="AZ104" s="158"/>
      <c r="BA104" s="154"/>
      <c r="BB104" s="154"/>
      <c r="BC104" s="154"/>
      <c r="BD104" s="154"/>
      <c r="BE104" s="154"/>
      <c r="BF104" s="154"/>
      <c r="BG104" s="154"/>
      <c r="BH104" s="154"/>
      <c r="BI104" s="154"/>
      <c r="BJ104" s="154"/>
      <c r="BK104" s="159"/>
      <c r="BL104" s="160"/>
      <c r="BM104" s="161"/>
      <c r="BN104" s="162"/>
      <c r="BO104" s="163"/>
      <c r="BP104" s="164"/>
      <c r="BQ104" s="165"/>
      <c r="BR104" s="161"/>
      <c r="BS104" s="162"/>
      <c r="BT104" s="159"/>
      <c r="BU104" s="162"/>
      <c r="BV104" s="166"/>
      <c r="BW104" s="159"/>
      <c r="BX104" s="166"/>
      <c r="BY104" s="155"/>
      <c r="BZ104" s="167"/>
      <c r="CA104" s="159"/>
      <c r="CB104" s="168"/>
      <c r="CC104" s="155"/>
      <c r="CD104" s="159"/>
      <c r="CE104" s="161"/>
      <c r="CF104" s="162"/>
      <c r="DA104" s="113"/>
      <c r="DB104" s="113"/>
      <c r="DC104" s="113"/>
      <c r="DD104" s="115"/>
      <c r="DE104" s="88"/>
      <c r="DJ104" s="126"/>
      <c r="DK104" s="154"/>
      <c r="DL104" s="155"/>
      <c r="DM104" s="155"/>
      <c r="DN104" s="155"/>
      <c r="DO104" s="155"/>
      <c r="DP104" s="155"/>
      <c r="DQ104" s="155"/>
      <c r="DR104" s="155"/>
      <c r="DS104" s="156"/>
      <c r="DT104" s="157"/>
      <c r="DU104" s="157"/>
      <c r="DV104" s="158"/>
      <c r="DW104" s="158"/>
      <c r="DX104" s="158"/>
      <c r="DY104" s="158"/>
      <c r="DZ104" s="158"/>
      <c r="EA104" s="154"/>
      <c r="EB104" s="154"/>
      <c r="EC104" s="154"/>
      <c r="ED104" s="154"/>
      <c r="EE104" s="154"/>
      <c r="EF104" s="154"/>
      <c r="EG104" s="154"/>
      <c r="EH104" s="154"/>
      <c r="EI104" s="154"/>
      <c r="EJ104" s="154"/>
      <c r="EK104" s="159"/>
      <c r="EL104" s="159"/>
      <c r="EM104" s="161"/>
      <c r="EN104" s="161"/>
      <c r="EO104" s="163"/>
      <c r="EP104" s="164"/>
      <c r="EQ104" s="165"/>
      <c r="ER104" s="161"/>
      <c r="ES104" s="161"/>
      <c r="ET104" s="161"/>
      <c r="EU104" s="161"/>
      <c r="EV104" s="166"/>
      <c r="EW104" s="159"/>
      <c r="EX104" s="166"/>
      <c r="EY104" s="155"/>
      <c r="EZ104" s="167"/>
      <c r="FA104" s="159"/>
      <c r="FB104" s="168"/>
      <c r="FC104" s="155"/>
      <c r="FD104" s="159"/>
      <c r="FE104" s="161"/>
      <c r="FF104" s="162"/>
    </row>
    <row r="105" spans="8:162">
      <c r="AA105" s="113"/>
      <c r="AB105" s="113"/>
      <c r="AC105" s="113"/>
      <c r="AD105" s="115"/>
      <c r="AE105" s="88"/>
      <c r="AJ105" s="124"/>
      <c r="AK105" s="154"/>
      <c r="AL105" s="155"/>
      <c r="AM105" s="155"/>
      <c r="AN105" s="155"/>
      <c r="AO105" s="155"/>
      <c r="AP105" s="155"/>
      <c r="AQ105" s="155"/>
      <c r="AR105" s="155"/>
      <c r="AS105" s="156"/>
      <c r="AT105" s="157"/>
      <c r="AU105" s="157"/>
      <c r="AV105" s="158"/>
      <c r="AW105" s="158"/>
      <c r="AX105" s="158"/>
      <c r="AY105" s="158"/>
      <c r="AZ105" s="158"/>
      <c r="BA105" s="154"/>
      <c r="BB105" s="154"/>
      <c r="BC105" s="154"/>
      <c r="BD105" s="154"/>
      <c r="BE105" s="154"/>
      <c r="BF105" s="154"/>
      <c r="BG105" s="154"/>
      <c r="BH105" s="154"/>
      <c r="BI105" s="154"/>
      <c r="BJ105" s="154"/>
      <c r="BK105" s="159"/>
      <c r="BL105" s="160"/>
      <c r="BM105" s="161"/>
      <c r="BN105" s="162"/>
      <c r="BO105" s="163"/>
      <c r="BP105" s="164"/>
      <c r="BQ105" s="165"/>
      <c r="BR105" s="161"/>
      <c r="BS105" s="162"/>
      <c r="BT105" s="159"/>
      <c r="BU105" s="162"/>
      <c r="BV105" s="166"/>
      <c r="BW105" s="159"/>
      <c r="BX105" s="166"/>
      <c r="BY105" s="155"/>
      <c r="BZ105" s="167"/>
      <c r="CA105" s="159"/>
      <c r="CB105" s="168"/>
      <c r="CC105" s="155"/>
      <c r="CD105" s="159"/>
      <c r="CE105" s="161"/>
      <c r="CF105" s="162"/>
      <c r="DA105" s="113"/>
      <c r="DB105" s="113"/>
      <c r="DC105" s="113"/>
      <c r="DD105" s="115"/>
      <c r="DE105" s="88"/>
      <c r="DJ105" s="126"/>
      <c r="DK105" s="154"/>
      <c r="DL105" s="155"/>
      <c r="DM105" s="155"/>
      <c r="DN105" s="155"/>
      <c r="DO105" s="155"/>
      <c r="DP105" s="155"/>
      <c r="DQ105" s="155"/>
      <c r="DR105" s="155"/>
      <c r="DS105" s="156"/>
      <c r="DT105" s="157"/>
      <c r="DU105" s="157"/>
      <c r="DV105" s="158"/>
      <c r="DW105" s="158"/>
      <c r="DX105" s="158"/>
      <c r="DY105" s="158"/>
      <c r="DZ105" s="158"/>
      <c r="EA105" s="154"/>
      <c r="EB105" s="154"/>
      <c r="EC105" s="154"/>
      <c r="ED105" s="154"/>
      <c r="EE105" s="154"/>
      <c r="EF105" s="154"/>
      <c r="EG105" s="154"/>
      <c r="EH105" s="154"/>
      <c r="EI105" s="154"/>
      <c r="EJ105" s="154"/>
      <c r="EK105" s="159"/>
      <c r="EL105" s="159"/>
      <c r="EM105" s="161"/>
      <c r="EN105" s="161"/>
      <c r="EO105" s="163"/>
      <c r="EP105" s="164"/>
      <c r="EQ105" s="165"/>
      <c r="ER105" s="161"/>
      <c r="ES105" s="161"/>
      <c r="ET105" s="161"/>
      <c r="EU105" s="161"/>
      <c r="EV105" s="166"/>
      <c r="EW105" s="159"/>
      <c r="EX105" s="166"/>
      <c r="EY105" s="155"/>
      <c r="EZ105" s="167"/>
      <c r="FA105" s="159"/>
      <c r="FB105" s="168"/>
      <c r="FC105" s="155"/>
      <c r="FD105" s="159"/>
      <c r="FE105" s="161"/>
      <c r="FF105" s="162"/>
    </row>
    <row r="106" spans="8:162">
      <c r="AA106" s="113"/>
      <c r="AB106" s="113"/>
      <c r="AC106" s="113"/>
      <c r="AD106" s="115"/>
      <c r="AE106" s="88"/>
      <c r="AJ106" s="124"/>
      <c r="AK106" s="154"/>
      <c r="AL106" s="155"/>
      <c r="AM106" s="155"/>
      <c r="AN106" s="155"/>
      <c r="AO106" s="155"/>
      <c r="AP106" s="155"/>
      <c r="AQ106" s="155"/>
      <c r="AR106" s="155"/>
      <c r="AS106" s="156"/>
      <c r="AT106" s="157"/>
      <c r="AU106" s="157"/>
      <c r="AV106" s="158"/>
      <c r="AW106" s="158"/>
      <c r="AX106" s="158"/>
      <c r="AY106" s="158"/>
      <c r="AZ106" s="158"/>
      <c r="BA106" s="154"/>
      <c r="BB106" s="154"/>
      <c r="BC106" s="154"/>
      <c r="BD106" s="154"/>
      <c r="BE106" s="154"/>
      <c r="BF106" s="154"/>
      <c r="BG106" s="154"/>
      <c r="BH106" s="154"/>
      <c r="BI106" s="154"/>
      <c r="BJ106" s="154"/>
      <c r="BK106" s="159"/>
      <c r="BL106" s="160"/>
      <c r="BM106" s="161"/>
      <c r="BN106" s="162"/>
      <c r="BO106" s="163"/>
      <c r="BP106" s="164"/>
      <c r="BQ106" s="165"/>
      <c r="BR106" s="161"/>
      <c r="BS106" s="162"/>
      <c r="BT106" s="159"/>
      <c r="BU106" s="162"/>
      <c r="BV106" s="166"/>
      <c r="BW106" s="159"/>
      <c r="BX106" s="166"/>
      <c r="BY106" s="155"/>
      <c r="BZ106" s="167"/>
      <c r="CA106" s="159"/>
      <c r="CB106" s="168"/>
      <c r="CC106" s="155"/>
      <c r="CD106" s="159"/>
      <c r="CE106" s="161"/>
      <c r="CF106" s="162"/>
      <c r="DA106" s="113"/>
      <c r="DB106" s="113"/>
      <c r="DC106" s="113"/>
      <c r="DD106" s="115"/>
      <c r="DE106" s="88"/>
      <c r="DJ106" s="126"/>
      <c r="DK106" s="154"/>
      <c r="DL106" s="155"/>
      <c r="DM106" s="155"/>
      <c r="DN106" s="155"/>
      <c r="DO106" s="155"/>
      <c r="DP106" s="155"/>
      <c r="DQ106" s="155"/>
      <c r="DR106" s="155"/>
      <c r="DS106" s="156"/>
      <c r="DT106" s="157"/>
      <c r="DU106" s="157"/>
      <c r="DV106" s="158"/>
      <c r="DW106" s="158"/>
      <c r="DX106" s="158"/>
      <c r="DY106" s="158"/>
      <c r="DZ106" s="158"/>
      <c r="EA106" s="154"/>
      <c r="EB106" s="154"/>
      <c r="EC106" s="154"/>
      <c r="ED106" s="154"/>
      <c r="EE106" s="154"/>
      <c r="EF106" s="154"/>
      <c r="EG106" s="154"/>
      <c r="EH106" s="154"/>
      <c r="EI106" s="154"/>
      <c r="EJ106" s="154"/>
      <c r="EK106" s="159"/>
      <c r="EL106" s="159"/>
      <c r="EM106" s="161"/>
      <c r="EN106" s="161"/>
      <c r="EO106" s="163"/>
      <c r="EP106" s="164"/>
      <c r="EQ106" s="165"/>
      <c r="ER106" s="161"/>
      <c r="ES106" s="161"/>
      <c r="ET106" s="161"/>
      <c r="EU106" s="161"/>
      <c r="EV106" s="166"/>
      <c r="EW106" s="159"/>
      <c r="EX106" s="166"/>
      <c r="EY106" s="155"/>
      <c r="EZ106" s="167"/>
      <c r="FA106" s="159"/>
      <c r="FB106" s="168"/>
      <c r="FC106" s="155"/>
      <c r="FD106" s="159"/>
      <c r="FE106" s="161"/>
      <c r="FF106" s="162"/>
    </row>
    <row r="107" spans="8:162">
      <c r="AA107" s="113"/>
      <c r="AB107" s="113"/>
      <c r="AC107" s="113"/>
      <c r="AD107" s="115"/>
      <c r="AE107" s="88"/>
      <c r="AJ107" s="124"/>
      <c r="AK107" s="154"/>
      <c r="AL107" s="155"/>
      <c r="AM107" s="155"/>
      <c r="AN107" s="155"/>
      <c r="AO107" s="155"/>
      <c r="AP107" s="155"/>
      <c r="AQ107" s="155"/>
      <c r="AR107" s="155"/>
      <c r="AS107" s="156"/>
      <c r="AT107" s="157"/>
      <c r="AU107" s="157"/>
      <c r="AV107" s="158"/>
      <c r="AW107" s="158"/>
      <c r="AX107" s="158"/>
      <c r="AY107" s="158"/>
      <c r="AZ107" s="158"/>
      <c r="BA107" s="154"/>
      <c r="BB107" s="154"/>
      <c r="BC107" s="154"/>
      <c r="BD107" s="154"/>
      <c r="BE107" s="154"/>
      <c r="BF107" s="154"/>
      <c r="BG107" s="154"/>
      <c r="BH107" s="154"/>
      <c r="BI107" s="154"/>
      <c r="BJ107" s="154"/>
      <c r="BK107" s="159"/>
      <c r="BL107" s="160"/>
      <c r="BM107" s="161"/>
      <c r="BN107" s="162"/>
      <c r="BO107" s="163"/>
      <c r="BP107" s="164"/>
      <c r="BQ107" s="165"/>
      <c r="BR107" s="161"/>
      <c r="BS107" s="162"/>
      <c r="BT107" s="159"/>
      <c r="BU107" s="162"/>
      <c r="BV107" s="166"/>
      <c r="BW107" s="159"/>
      <c r="BX107" s="166"/>
      <c r="BY107" s="155"/>
      <c r="BZ107" s="167"/>
      <c r="CA107" s="159"/>
      <c r="CB107" s="168"/>
      <c r="CC107" s="155"/>
      <c r="CD107" s="159"/>
      <c r="CE107" s="161"/>
      <c r="CF107" s="162"/>
      <c r="DA107" s="113"/>
      <c r="DB107" s="113"/>
      <c r="DC107" s="113"/>
      <c r="DD107" s="115"/>
      <c r="DE107" s="88"/>
      <c r="DJ107" s="126"/>
      <c r="DK107" s="154"/>
      <c r="DL107" s="155"/>
      <c r="DM107" s="155"/>
      <c r="DN107" s="155"/>
      <c r="DO107" s="155"/>
      <c r="DP107" s="155"/>
      <c r="DQ107" s="155"/>
      <c r="DR107" s="155"/>
      <c r="DS107" s="156"/>
      <c r="DT107" s="157"/>
      <c r="DU107" s="157"/>
      <c r="DV107" s="158"/>
      <c r="DW107" s="158"/>
      <c r="DX107" s="158"/>
      <c r="DY107" s="158"/>
      <c r="DZ107" s="158"/>
      <c r="EA107" s="154"/>
      <c r="EB107" s="154"/>
      <c r="EC107" s="154"/>
      <c r="ED107" s="154"/>
      <c r="EE107" s="154"/>
      <c r="EF107" s="154"/>
      <c r="EG107" s="154"/>
      <c r="EH107" s="154"/>
      <c r="EI107" s="154"/>
      <c r="EJ107" s="154"/>
      <c r="EK107" s="159"/>
      <c r="EL107" s="159"/>
      <c r="EM107" s="161"/>
      <c r="EN107" s="161"/>
      <c r="EO107" s="163"/>
      <c r="EP107" s="164"/>
      <c r="EQ107" s="165"/>
      <c r="ER107" s="161"/>
      <c r="ES107" s="161"/>
      <c r="ET107" s="161"/>
      <c r="EU107" s="161"/>
      <c r="EV107" s="166"/>
      <c r="EW107" s="159"/>
      <c r="EX107" s="166"/>
      <c r="EY107" s="155"/>
      <c r="EZ107" s="167"/>
      <c r="FA107" s="159"/>
      <c r="FB107" s="168"/>
      <c r="FC107" s="155"/>
      <c r="FD107" s="159"/>
      <c r="FE107" s="161"/>
      <c r="FF107" s="162"/>
    </row>
    <row r="108" spans="8:162">
      <c r="AA108" s="113"/>
      <c r="AB108" s="113"/>
      <c r="AC108" s="113"/>
      <c r="AD108" s="115"/>
      <c r="AE108" s="88"/>
      <c r="AJ108" s="124"/>
      <c r="AK108" s="154"/>
      <c r="AL108" s="155"/>
      <c r="AM108" s="155"/>
      <c r="AN108" s="155"/>
      <c r="AO108" s="155"/>
      <c r="AP108" s="155"/>
      <c r="AQ108" s="155"/>
      <c r="AR108" s="155"/>
      <c r="AS108" s="156"/>
      <c r="AT108" s="157"/>
      <c r="AU108" s="157"/>
      <c r="AV108" s="158"/>
      <c r="AW108" s="158"/>
      <c r="AX108" s="158"/>
      <c r="AY108" s="158"/>
      <c r="AZ108" s="158"/>
      <c r="BA108" s="154"/>
      <c r="BB108" s="154"/>
      <c r="BC108" s="154"/>
      <c r="BD108" s="154"/>
      <c r="BE108" s="154"/>
      <c r="BF108" s="154"/>
      <c r="BG108" s="154"/>
      <c r="BH108" s="154"/>
      <c r="BI108" s="154"/>
      <c r="BJ108" s="154"/>
      <c r="BK108" s="159"/>
      <c r="BL108" s="160"/>
      <c r="BM108" s="161"/>
      <c r="BN108" s="162"/>
      <c r="BO108" s="163"/>
      <c r="BP108" s="164"/>
      <c r="BQ108" s="165"/>
      <c r="BR108" s="161"/>
      <c r="BS108" s="162"/>
      <c r="BT108" s="159"/>
      <c r="BU108" s="162"/>
      <c r="BV108" s="166"/>
      <c r="BW108" s="159"/>
      <c r="BX108" s="166"/>
      <c r="BY108" s="155"/>
      <c r="BZ108" s="167"/>
      <c r="CA108" s="159"/>
      <c r="CB108" s="168"/>
      <c r="CC108" s="155"/>
      <c r="CD108" s="159"/>
      <c r="CE108" s="161"/>
      <c r="CF108" s="162"/>
      <c r="DA108" s="113"/>
      <c r="DB108" s="113"/>
      <c r="DC108" s="113"/>
      <c r="DD108" s="115"/>
      <c r="DE108" s="88"/>
      <c r="DJ108" s="126"/>
      <c r="DK108" s="154"/>
      <c r="DL108" s="155"/>
      <c r="DM108" s="155"/>
      <c r="DN108" s="155"/>
      <c r="DO108" s="155"/>
      <c r="DP108" s="155"/>
      <c r="DQ108" s="155"/>
      <c r="DR108" s="155"/>
      <c r="DS108" s="156"/>
      <c r="DT108" s="157"/>
      <c r="DU108" s="157"/>
      <c r="DV108" s="158"/>
      <c r="DW108" s="158"/>
      <c r="DX108" s="158"/>
      <c r="DY108" s="158"/>
      <c r="DZ108" s="158"/>
      <c r="EA108" s="154"/>
      <c r="EB108" s="154"/>
      <c r="EC108" s="154"/>
      <c r="ED108" s="154"/>
      <c r="EE108" s="154"/>
      <c r="EF108" s="154"/>
      <c r="EG108" s="154"/>
      <c r="EH108" s="154"/>
      <c r="EI108" s="154"/>
      <c r="EJ108" s="154"/>
      <c r="EK108" s="159"/>
      <c r="EL108" s="159"/>
      <c r="EM108" s="161"/>
      <c r="EN108" s="161"/>
      <c r="EO108" s="163"/>
      <c r="EP108" s="164"/>
      <c r="EQ108" s="165"/>
      <c r="ER108" s="161"/>
      <c r="ES108" s="161"/>
      <c r="ET108" s="161"/>
      <c r="EU108" s="161"/>
      <c r="EV108" s="166"/>
      <c r="EW108" s="159"/>
      <c r="EX108" s="166"/>
      <c r="EY108" s="155"/>
      <c r="EZ108" s="167"/>
      <c r="FA108" s="159"/>
      <c r="FB108" s="168"/>
      <c r="FC108" s="155"/>
      <c r="FD108" s="159"/>
      <c r="FE108" s="161"/>
      <c r="FF108" s="162"/>
    </row>
    <row r="109" spans="8:162">
      <c r="AA109" s="113"/>
      <c r="AB109" s="113"/>
      <c r="AC109" s="113"/>
      <c r="AD109" s="115"/>
      <c r="AE109" s="88"/>
      <c r="AJ109" s="124"/>
      <c r="AK109" s="154"/>
      <c r="AL109" s="155"/>
      <c r="AM109" s="155"/>
      <c r="AN109" s="155"/>
      <c r="AO109" s="155"/>
      <c r="AP109" s="155"/>
      <c r="AQ109" s="155"/>
      <c r="AR109" s="155"/>
      <c r="AS109" s="156"/>
      <c r="AT109" s="157"/>
      <c r="AU109" s="157"/>
      <c r="AV109" s="158"/>
      <c r="AW109" s="158"/>
      <c r="AX109" s="158"/>
      <c r="AY109" s="158"/>
      <c r="AZ109" s="158"/>
      <c r="BA109" s="154"/>
      <c r="BB109" s="154"/>
      <c r="BC109" s="154"/>
      <c r="BD109" s="154"/>
      <c r="BE109" s="154"/>
      <c r="BF109" s="154"/>
      <c r="BG109" s="154"/>
      <c r="BH109" s="154"/>
      <c r="BI109" s="154"/>
      <c r="BJ109" s="154"/>
      <c r="BK109" s="159"/>
      <c r="BL109" s="160"/>
      <c r="BM109" s="161"/>
      <c r="BN109" s="162"/>
      <c r="BO109" s="163"/>
      <c r="BP109" s="164"/>
      <c r="BQ109" s="165"/>
      <c r="BR109" s="161"/>
      <c r="BS109" s="162"/>
      <c r="BT109" s="159"/>
      <c r="BU109" s="162"/>
      <c r="BV109" s="166"/>
      <c r="BW109" s="159"/>
      <c r="BX109" s="166"/>
      <c r="BY109" s="155"/>
      <c r="BZ109" s="167"/>
      <c r="CA109" s="159"/>
      <c r="CB109" s="168"/>
      <c r="CC109" s="155"/>
      <c r="CD109" s="159"/>
      <c r="CE109" s="161"/>
      <c r="CF109" s="162"/>
      <c r="DA109" s="113"/>
      <c r="DB109" s="113"/>
      <c r="DC109" s="113"/>
      <c r="DD109" s="115"/>
      <c r="DE109" s="88"/>
      <c r="DJ109" s="126"/>
      <c r="DK109" s="154"/>
      <c r="DL109" s="155"/>
      <c r="DM109" s="155"/>
      <c r="DN109" s="155"/>
      <c r="DO109" s="155"/>
      <c r="DP109" s="155"/>
      <c r="DQ109" s="155"/>
      <c r="DR109" s="155"/>
      <c r="DS109" s="156"/>
      <c r="DT109" s="157"/>
      <c r="DU109" s="157"/>
      <c r="DV109" s="158"/>
      <c r="DW109" s="158"/>
      <c r="DX109" s="158"/>
      <c r="DY109" s="158"/>
      <c r="DZ109" s="158"/>
      <c r="EA109" s="154"/>
      <c r="EB109" s="154"/>
      <c r="EC109" s="154"/>
      <c r="ED109" s="154"/>
      <c r="EE109" s="154"/>
      <c r="EF109" s="154"/>
      <c r="EG109" s="154"/>
      <c r="EH109" s="154"/>
      <c r="EI109" s="154"/>
      <c r="EJ109" s="154"/>
      <c r="EK109" s="159"/>
      <c r="EL109" s="159"/>
      <c r="EM109" s="161"/>
      <c r="EN109" s="161"/>
      <c r="EO109" s="163"/>
      <c r="EP109" s="164"/>
      <c r="EQ109" s="165"/>
      <c r="ER109" s="161"/>
      <c r="ES109" s="161"/>
      <c r="ET109" s="161"/>
      <c r="EU109" s="161"/>
      <c r="EV109" s="166"/>
      <c r="EW109" s="159"/>
      <c r="EX109" s="166"/>
      <c r="EY109" s="155"/>
      <c r="EZ109" s="167"/>
      <c r="FA109" s="159"/>
      <c r="FB109" s="168"/>
      <c r="FC109" s="155"/>
      <c r="FD109" s="159"/>
      <c r="FE109" s="161"/>
      <c r="FF109" s="162"/>
    </row>
    <row r="110" spans="8:162">
      <c r="AA110" s="113"/>
      <c r="AB110" s="113"/>
      <c r="AC110" s="113"/>
      <c r="AD110" s="115"/>
      <c r="AE110" s="88"/>
      <c r="AJ110" s="124"/>
      <c r="AK110" s="154"/>
      <c r="AL110" s="155"/>
      <c r="AM110" s="155"/>
      <c r="AN110" s="155"/>
      <c r="AO110" s="155"/>
      <c r="AP110" s="155"/>
      <c r="AQ110" s="155"/>
      <c r="AR110" s="155"/>
      <c r="AS110" s="156"/>
      <c r="AT110" s="157"/>
      <c r="AU110" s="157"/>
      <c r="AV110" s="158"/>
      <c r="AW110" s="158"/>
      <c r="AX110" s="158"/>
      <c r="AY110" s="158"/>
      <c r="AZ110" s="158"/>
      <c r="BA110" s="154"/>
      <c r="BB110" s="154"/>
      <c r="BC110" s="154"/>
      <c r="BD110" s="154"/>
      <c r="BE110" s="154"/>
      <c r="BF110" s="154"/>
      <c r="BG110" s="154"/>
      <c r="BH110" s="154"/>
      <c r="BI110" s="154"/>
      <c r="BJ110" s="154"/>
      <c r="BK110" s="159"/>
      <c r="BL110" s="160"/>
      <c r="BM110" s="161"/>
      <c r="BN110" s="162"/>
      <c r="BO110" s="163"/>
      <c r="BP110" s="164"/>
      <c r="BQ110" s="165"/>
      <c r="BR110" s="161"/>
      <c r="BS110" s="162"/>
      <c r="BT110" s="159"/>
      <c r="BU110" s="162"/>
      <c r="BV110" s="166"/>
      <c r="BW110" s="159"/>
      <c r="BX110" s="166"/>
      <c r="BY110" s="155"/>
      <c r="BZ110" s="167"/>
      <c r="CA110" s="159"/>
      <c r="CB110" s="168"/>
      <c r="CC110" s="155"/>
      <c r="CD110" s="159"/>
      <c r="CE110" s="161"/>
      <c r="CF110" s="162"/>
      <c r="DA110" s="113"/>
      <c r="DB110" s="113"/>
      <c r="DC110" s="113"/>
      <c r="DD110" s="115"/>
      <c r="DE110" s="88"/>
      <c r="DJ110" s="126"/>
      <c r="DK110" s="154"/>
      <c r="DL110" s="155"/>
      <c r="DM110" s="155"/>
      <c r="DN110" s="155"/>
      <c r="DO110" s="155"/>
      <c r="DP110" s="155"/>
      <c r="DQ110" s="155"/>
      <c r="DR110" s="155"/>
      <c r="DS110" s="156"/>
      <c r="DT110" s="157"/>
      <c r="DU110" s="157"/>
      <c r="DV110" s="158"/>
      <c r="DW110" s="158"/>
      <c r="DX110" s="158"/>
      <c r="DY110" s="158"/>
      <c r="DZ110" s="158"/>
      <c r="EA110" s="154"/>
      <c r="EB110" s="154"/>
      <c r="EC110" s="154"/>
      <c r="ED110" s="154"/>
      <c r="EE110" s="154"/>
      <c r="EF110" s="154"/>
      <c r="EG110" s="154"/>
      <c r="EH110" s="154"/>
      <c r="EI110" s="154"/>
      <c r="EJ110" s="154"/>
      <c r="EK110" s="159"/>
      <c r="EL110" s="159"/>
      <c r="EM110" s="161"/>
      <c r="EN110" s="161"/>
      <c r="EO110" s="163"/>
      <c r="EP110" s="164"/>
      <c r="EQ110" s="165"/>
      <c r="ER110" s="161"/>
      <c r="ES110" s="161"/>
      <c r="ET110" s="161"/>
      <c r="EU110" s="161"/>
      <c r="EV110" s="166"/>
      <c r="EW110" s="159"/>
      <c r="EX110" s="166"/>
      <c r="EY110" s="155"/>
      <c r="EZ110" s="167"/>
      <c r="FA110" s="159"/>
      <c r="FB110" s="168"/>
      <c r="FC110" s="155"/>
      <c r="FD110" s="159"/>
      <c r="FE110" s="161"/>
      <c r="FF110" s="162"/>
    </row>
    <row r="111" spans="8:162">
      <c r="AA111" s="113"/>
      <c r="AB111" s="113"/>
      <c r="AC111" s="113"/>
      <c r="AD111" s="115"/>
      <c r="AE111" s="88"/>
      <c r="AJ111" s="124"/>
      <c r="AK111" s="154"/>
      <c r="AL111" s="155"/>
      <c r="AM111" s="155"/>
      <c r="AN111" s="155"/>
      <c r="AO111" s="155"/>
      <c r="AP111" s="155"/>
      <c r="AQ111" s="155"/>
      <c r="AR111" s="155"/>
      <c r="AS111" s="156"/>
      <c r="AT111" s="157"/>
      <c r="AU111" s="157"/>
      <c r="AV111" s="158"/>
      <c r="AW111" s="158"/>
      <c r="AX111" s="158"/>
      <c r="AY111" s="158"/>
      <c r="AZ111" s="158"/>
      <c r="BA111" s="154"/>
      <c r="BB111" s="154"/>
      <c r="BC111" s="154"/>
      <c r="BD111" s="154"/>
      <c r="BE111" s="154"/>
      <c r="BF111" s="154"/>
      <c r="BG111" s="154"/>
      <c r="BH111" s="154"/>
      <c r="BI111" s="154"/>
      <c r="BJ111" s="154"/>
      <c r="BK111" s="159"/>
      <c r="BL111" s="160"/>
      <c r="BM111" s="161"/>
      <c r="BN111" s="162"/>
      <c r="BO111" s="163"/>
      <c r="BP111" s="164"/>
      <c r="BQ111" s="165"/>
      <c r="BR111" s="161"/>
      <c r="BS111" s="162"/>
      <c r="BT111" s="159"/>
      <c r="BU111" s="162"/>
      <c r="BV111" s="166"/>
      <c r="BW111" s="159"/>
      <c r="BX111" s="166"/>
      <c r="BY111" s="155"/>
      <c r="BZ111" s="167"/>
      <c r="CA111" s="159"/>
      <c r="CB111" s="168"/>
      <c r="CC111" s="155"/>
      <c r="CD111" s="159"/>
      <c r="CE111" s="161"/>
      <c r="CF111" s="162"/>
      <c r="DA111" s="113"/>
      <c r="DB111" s="113"/>
      <c r="DC111" s="113"/>
      <c r="DD111" s="115"/>
      <c r="DE111" s="88"/>
      <c r="DJ111" s="126"/>
      <c r="DK111" s="154"/>
      <c r="DL111" s="155"/>
      <c r="DM111" s="155"/>
      <c r="DN111" s="155"/>
      <c r="DO111" s="155"/>
      <c r="DP111" s="155"/>
      <c r="DQ111" s="155"/>
      <c r="DR111" s="155"/>
      <c r="DS111" s="156"/>
      <c r="DT111" s="157"/>
      <c r="DU111" s="157"/>
      <c r="DV111" s="158"/>
      <c r="DW111" s="158"/>
      <c r="DX111" s="158"/>
      <c r="DY111" s="158"/>
      <c r="DZ111" s="158"/>
      <c r="EA111" s="154"/>
      <c r="EB111" s="154"/>
      <c r="EC111" s="154"/>
      <c r="ED111" s="154"/>
      <c r="EE111" s="154"/>
      <c r="EF111" s="154"/>
      <c r="EG111" s="154"/>
      <c r="EH111" s="154"/>
      <c r="EI111" s="154"/>
      <c r="EJ111" s="154"/>
      <c r="EK111" s="159"/>
      <c r="EL111" s="159"/>
      <c r="EM111" s="161"/>
      <c r="EN111" s="161"/>
      <c r="EO111" s="163"/>
      <c r="EP111" s="164"/>
      <c r="EQ111" s="165"/>
      <c r="ER111" s="161"/>
      <c r="ES111" s="161"/>
      <c r="ET111" s="161"/>
      <c r="EU111" s="161"/>
      <c r="EV111" s="166"/>
      <c r="EW111" s="159"/>
      <c r="EX111" s="166"/>
      <c r="EY111" s="155"/>
      <c r="EZ111" s="167"/>
      <c r="FA111" s="159"/>
      <c r="FB111" s="168"/>
      <c r="FC111" s="155"/>
      <c r="FD111" s="159"/>
      <c r="FE111" s="161"/>
      <c r="FF111" s="162"/>
    </row>
    <row r="112" spans="8:162">
      <c r="AA112" s="113"/>
      <c r="AB112" s="113"/>
      <c r="AC112" s="113"/>
      <c r="AD112" s="115"/>
      <c r="AE112" s="88"/>
      <c r="AJ112" s="124"/>
      <c r="AK112" s="154"/>
      <c r="AL112" s="155"/>
      <c r="AM112" s="155"/>
      <c r="AN112" s="155"/>
      <c r="AO112" s="155"/>
      <c r="AP112" s="155"/>
      <c r="AQ112" s="155"/>
      <c r="AR112" s="155"/>
      <c r="AS112" s="156"/>
      <c r="AT112" s="157"/>
      <c r="AU112" s="157"/>
      <c r="AV112" s="158"/>
      <c r="AW112" s="158"/>
      <c r="AX112" s="158"/>
      <c r="AY112" s="158"/>
      <c r="AZ112" s="158"/>
      <c r="BA112" s="154"/>
      <c r="BB112" s="154"/>
      <c r="BC112" s="154"/>
      <c r="BD112" s="154"/>
      <c r="BE112" s="154"/>
      <c r="BF112" s="154"/>
      <c r="BG112" s="154"/>
      <c r="BH112" s="154"/>
      <c r="BI112" s="154"/>
      <c r="BJ112" s="154"/>
      <c r="BK112" s="159"/>
      <c r="BL112" s="160"/>
      <c r="BM112" s="161"/>
      <c r="BN112" s="162"/>
      <c r="BO112" s="163"/>
      <c r="BP112" s="164"/>
      <c r="BQ112" s="165"/>
      <c r="BR112" s="161"/>
      <c r="BS112" s="162"/>
      <c r="BT112" s="159"/>
      <c r="BU112" s="162"/>
      <c r="BV112" s="166"/>
      <c r="BW112" s="159"/>
      <c r="BX112" s="166"/>
      <c r="BY112" s="155"/>
      <c r="BZ112" s="167"/>
      <c r="CA112" s="159"/>
      <c r="CB112" s="168"/>
      <c r="CC112" s="155"/>
      <c r="CD112" s="159"/>
      <c r="CE112" s="161"/>
      <c r="CF112" s="162"/>
      <c r="DA112" s="113"/>
      <c r="DB112" s="113"/>
      <c r="DC112" s="113"/>
      <c r="DD112" s="115"/>
      <c r="DE112" s="88"/>
      <c r="DJ112" s="126"/>
      <c r="DK112" s="154"/>
      <c r="DL112" s="155"/>
      <c r="DM112" s="155"/>
      <c r="DN112" s="155"/>
      <c r="DO112" s="155"/>
      <c r="DP112" s="155"/>
      <c r="DQ112" s="155"/>
      <c r="DR112" s="155"/>
      <c r="DS112" s="156"/>
      <c r="DT112" s="157"/>
      <c r="DU112" s="157"/>
      <c r="DV112" s="158"/>
      <c r="DW112" s="158"/>
      <c r="DX112" s="158"/>
      <c r="DY112" s="158"/>
      <c r="DZ112" s="158"/>
      <c r="EA112" s="154"/>
      <c r="EB112" s="154"/>
      <c r="EC112" s="154"/>
      <c r="ED112" s="154"/>
      <c r="EE112" s="154"/>
      <c r="EF112" s="154"/>
      <c r="EG112" s="154"/>
      <c r="EH112" s="154"/>
      <c r="EI112" s="154"/>
      <c r="EJ112" s="154"/>
      <c r="EK112" s="159"/>
      <c r="EL112" s="159"/>
      <c r="EM112" s="161"/>
      <c r="EN112" s="161"/>
      <c r="EO112" s="163"/>
      <c r="EP112" s="164"/>
      <c r="EQ112" s="165"/>
      <c r="ER112" s="161"/>
      <c r="ES112" s="161"/>
      <c r="ET112" s="161"/>
      <c r="EU112" s="161"/>
      <c r="EV112" s="166"/>
      <c r="EW112" s="159"/>
      <c r="EX112" s="166"/>
      <c r="EY112" s="155"/>
      <c r="EZ112" s="167"/>
      <c r="FA112" s="159"/>
      <c r="FB112" s="168"/>
      <c r="FC112" s="155"/>
      <c r="FD112" s="159"/>
      <c r="FE112" s="161"/>
      <c r="FF112" s="162"/>
    </row>
    <row r="113" spans="26:162">
      <c r="AA113" s="113"/>
      <c r="AB113" s="113"/>
      <c r="AC113" s="113"/>
      <c r="AD113" s="115"/>
      <c r="AE113" s="88"/>
      <c r="AJ113" s="124"/>
      <c r="AK113" s="154"/>
      <c r="AL113" s="155"/>
      <c r="AM113" s="155"/>
      <c r="AN113" s="155"/>
      <c r="AO113" s="155"/>
      <c r="AP113" s="155"/>
      <c r="AQ113" s="155"/>
      <c r="AR113" s="155"/>
      <c r="AS113" s="156"/>
      <c r="AT113" s="157"/>
      <c r="AU113" s="157"/>
      <c r="AV113" s="158"/>
      <c r="AW113" s="158"/>
      <c r="AX113" s="158"/>
      <c r="AY113" s="158"/>
      <c r="AZ113" s="158"/>
      <c r="BA113" s="154"/>
      <c r="BB113" s="154"/>
      <c r="BC113" s="154"/>
      <c r="BD113" s="154"/>
      <c r="BE113" s="154"/>
      <c r="BF113" s="154"/>
      <c r="BG113" s="154"/>
      <c r="BH113" s="154"/>
      <c r="BI113" s="154"/>
      <c r="BJ113" s="154"/>
      <c r="BK113" s="159"/>
      <c r="BL113" s="160"/>
      <c r="BM113" s="161"/>
      <c r="BN113" s="162"/>
      <c r="BO113" s="163"/>
      <c r="BP113" s="164"/>
      <c r="BQ113" s="165"/>
      <c r="BR113" s="161"/>
      <c r="BS113" s="162"/>
      <c r="BT113" s="159"/>
      <c r="BU113" s="162"/>
      <c r="BV113" s="166"/>
      <c r="BW113" s="159"/>
      <c r="BX113" s="166"/>
      <c r="BY113" s="155"/>
      <c r="BZ113" s="167"/>
      <c r="CA113" s="159"/>
      <c r="CB113" s="168"/>
      <c r="CC113" s="155"/>
      <c r="CD113" s="159"/>
      <c r="CE113" s="161"/>
      <c r="CF113" s="162"/>
      <c r="DA113" s="113"/>
      <c r="DB113" s="113"/>
      <c r="DC113" s="113"/>
      <c r="DD113" s="115"/>
      <c r="DE113" s="88"/>
      <c r="DJ113" s="126"/>
      <c r="DK113" s="154"/>
      <c r="DL113" s="155"/>
      <c r="DM113" s="155"/>
      <c r="DN113" s="155"/>
      <c r="DO113" s="155"/>
      <c r="DP113" s="155"/>
      <c r="DQ113" s="155"/>
      <c r="DR113" s="155"/>
      <c r="DS113" s="156"/>
      <c r="DT113" s="157"/>
      <c r="DU113" s="157"/>
      <c r="DV113" s="158"/>
      <c r="DW113" s="158"/>
      <c r="DX113" s="158"/>
      <c r="DY113" s="158"/>
      <c r="DZ113" s="158"/>
      <c r="EA113" s="154"/>
      <c r="EB113" s="154"/>
      <c r="EC113" s="154"/>
      <c r="ED113" s="154"/>
      <c r="EE113" s="154"/>
      <c r="EF113" s="154"/>
      <c r="EG113" s="154"/>
      <c r="EH113" s="154"/>
      <c r="EI113" s="154"/>
      <c r="EJ113" s="154"/>
      <c r="EK113" s="159"/>
      <c r="EL113" s="159"/>
      <c r="EM113" s="161"/>
      <c r="EN113" s="161"/>
      <c r="EO113" s="163"/>
      <c r="EP113" s="164"/>
      <c r="EQ113" s="165"/>
      <c r="ER113" s="161"/>
      <c r="ES113" s="161"/>
      <c r="ET113" s="161"/>
      <c r="EU113" s="161"/>
      <c r="EV113" s="166"/>
      <c r="EW113" s="159"/>
      <c r="EX113" s="166"/>
      <c r="EY113" s="155"/>
      <c r="EZ113" s="167"/>
      <c r="FA113" s="159"/>
      <c r="FB113" s="168"/>
      <c r="FC113" s="155"/>
      <c r="FD113" s="159"/>
      <c r="FE113" s="161"/>
      <c r="FF113" s="162"/>
    </row>
    <row r="114" spans="26:162">
      <c r="AA114" s="113"/>
      <c r="AB114" s="113"/>
      <c r="AC114" s="113"/>
      <c r="AD114" s="115"/>
      <c r="AE114" s="88"/>
      <c r="AJ114" s="124"/>
      <c r="AK114" s="154"/>
      <c r="AL114" s="155"/>
      <c r="AM114" s="155"/>
      <c r="AN114" s="155"/>
      <c r="AO114" s="155"/>
      <c r="AP114" s="155"/>
      <c r="AQ114" s="155"/>
      <c r="AR114" s="155"/>
      <c r="AS114" s="156"/>
      <c r="AT114" s="157"/>
      <c r="AU114" s="157"/>
      <c r="AV114" s="158"/>
      <c r="AW114" s="158"/>
      <c r="AX114" s="158"/>
      <c r="AY114" s="158"/>
      <c r="AZ114" s="158"/>
      <c r="BA114" s="154"/>
      <c r="BB114" s="154"/>
      <c r="BC114" s="154"/>
      <c r="BD114" s="154"/>
      <c r="BE114" s="154"/>
      <c r="BF114" s="154"/>
      <c r="BG114" s="154"/>
      <c r="BH114" s="154"/>
      <c r="BI114" s="154"/>
      <c r="BJ114" s="154"/>
      <c r="BK114" s="159"/>
      <c r="BL114" s="160"/>
      <c r="BM114" s="161"/>
      <c r="BN114" s="162"/>
      <c r="BO114" s="163"/>
      <c r="BP114" s="164"/>
      <c r="BQ114" s="165"/>
      <c r="BR114" s="161"/>
      <c r="BS114" s="162"/>
      <c r="BT114" s="159"/>
      <c r="BU114" s="162"/>
      <c r="BV114" s="166"/>
      <c r="BW114" s="159"/>
      <c r="BX114" s="166"/>
      <c r="BY114" s="155"/>
      <c r="BZ114" s="167"/>
      <c r="CA114" s="159"/>
      <c r="CB114" s="168"/>
      <c r="CC114" s="155"/>
      <c r="CD114" s="159"/>
      <c r="CE114" s="161"/>
      <c r="CF114" s="162"/>
      <c r="DA114" s="113"/>
      <c r="DB114" s="113"/>
      <c r="DC114" s="113"/>
      <c r="DD114" s="115"/>
      <c r="DE114" s="88"/>
      <c r="DJ114" s="126"/>
      <c r="DK114" s="154"/>
      <c r="DL114" s="155"/>
      <c r="DM114" s="155"/>
      <c r="DN114" s="155"/>
      <c r="DO114" s="155"/>
      <c r="DP114" s="155"/>
      <c r="DQ114" s="155"/>
      <c r="DR114" s="155"/>
      <c r="DS114" s="156"/>
      <c r="DT114" s="157"/>
      <c r="DU114" s="157"/>
      <c r="DV114" s="158"/>
      <c r="DW114" s="158"/>
      <c r="DX114" s="158"/>
      <c r="DY114" s="158"/>
      <c r="DZ114" s="158"/>
      <c r="EA114" s="154"/>
      <c r="EB114" s="154"/>
      <c r="EC114" s="154"/>
      <c r="ED114" s="154"/>
      <c r="EE114" s="154"/>
      <c r="EF114" s="154"/>
      <c r="EG114" s="154"/>
      <c r="EH114" s="154"/>
      <c r="EI114" s="154"/>
      <c r="EJ114" s="154"/>
      <c r="EK114" s="159"/>
      <c r="EL114" s="159"/>
      <c r="EM114" s="161"/>
      <c r="EN114" s="161"/>
      <c r="EO114" s="163"/>
      <c r="EP114" s="164"/>
      <c r="EQ114" s="165"/>
      <c r="ER114" s="161"/>
      <c r="ES114" s="161"/>
      <c r="ET114" s="161"/>
      <c r="EU114" s="161"/>
      <c r="EV114" s="166"/>
      <c r="EW114" s="159"/>
      <c r="EX114" s="166"/>
      <c r="EY114" s="155"/>
      <c r="EZ114" s="167"/>
      <c r="FA114" s="159"/>
      <c r="FB114" s="168"/>
      <c r="FC114" s="155"/>
      <c r="FD114" s="159"/>
      <c r="FE114" s="161"/>
      <c r="FF114" s="162"/>
    </row>
    <row r="115" spans="26:162">
      <c r="AA115" s="113"/>
      <c r="AB115" s="113"/>
      <c r="AC115" s="113"/>
      <c r="AD115" s="115"/>
      <c r="AE115" s="88"/>
      <c r="AJ115" s="124"/>
      <c r="AK115" s="154"/>
      <c r="AL115" s="155"/>
      <c r="AM115" s="155"/>
      <c r="AN115" s="155"/>
      <c r="AO115" s="155"/>
      <c r="AP115" s="155"/>
      <c r="AQ115" s="155"/>
      <c r="AR115" s="155"/>
      <c r="AS115" s="156"/>
      <c r="AT115" s="157"/>
      <c r="AU115" s="157"/>
      <c r="AV115" s="158"/>
      <c r="AW115" s="158"/>
      <c r="AX115" s="158"/>
      <c r="AY115" s="158"/>
      <c r="AZ115" s="158"/>
      <c r="BA115" s="154"/>
      <c r="BB115" s="154"/>
      <c r="BC115" s="154"/>
      <c r="BD115" s="154"/>
      <c r="BE115" s="154"/>
      <c r="BF115" s="154"/>
      <c r="BG115" s="154"/>
      <c r="BH115" s="154"/>
      <c r="BI115" s="154"/>
      <c r="BJ115" s="154"/>
      <c r="BK115" s="159"/>
      <c r="BL115" s="160"/>
      <c r="BM115" s="161"/>
      <c r="BN115" s="162"/>
      <c r="BO115" s="163"/>
      <c r="BP115" s="164"/>
      <c r="BQ115" s="165"/>
      <c r="BR115" s="161"/>
      <c r="BS115" s="162"/>
      <c r="BT115" s="159"/>
      <c r="BU115" s="162"/>
      <c r="BV115" s="166"/>
      <c r="BW115" s="159"/>
      <c r="BX115" s="166"/>
      <c r="BY115" s="155"/>
      <c r="BZ115" s="167"/>
      <c r="CA115" s="159"/>
      <c r="CB115" s="168"/>
      <c r="CC115" s="155"/>
      <c r="CD115" s="159"/>
      <c r="CE115" s="161"/>
      <c r="CF115" s="162"/>
      <c r="DA115" s="113"/>
      <c r="DB115" s="113"/>
      <c r="DC115" s="113"/>
      <c r="DD115" s="115"/>
      <c r="DE115" s="88"/>
      <c r="DJ115" s="126"/>
      <c r="DK115" s="154"/>
      <c r="DL115" s="155"/>
      <c r="DM115" s="155"/>
      <c r="DN115" s="155"/>
      <c r="DO115" s="155"/>
      <c r="DP115" s="155"/>
      <c r="DQ115" s="155"/>
      <c r="DR115" s="155"/>
      <c r="DS115" s="156"/>
      <c r="DT115" s="157"/>
      <c r="DU115" s="157"/>
      <c r="DV115" s="158"/>
      <c r="DW115" s="158"/>
      <c r="DX115" s="158"/>
      <c r="DY115" s="158"/>
      <c r="DZ115" s="158"/>
      <c r="EA115" s="154"/>
      <c r="EB115" s="154"/>
      <c r="EC115" s="154"/>
      <c r="ED115" s="154"/>
      <c r="EE115" s="154"/>
      <c r="EF115" s="154"/>
      <c r="EG115" s="154"/>
      <c r="EH115" s="154"/>
      <c r="EI115" s="154"/>
      <c r="EJ115" s="154"/>
      <c r="EK115" s="159"/>
      <c r="EL115" s="159"/>
      <c r="EM115" s="161"/>
      <c r="EN115" s="161"/>
      <c r="EO115" s="163"/>
      <c r="EP115" s="164"/>
      <c r="EQ115" s="165"/>
      <c r="ER115" s="161"/>
      <c r="ES115" s="161"/>
      <c r="ET115" s="161"/>
      <c r="EU115" s="161"/>
      <c r="EV115" s="166"/>
      <c r="EW115" s="159"/>
      <c r="EX115" s="166"/>
      <c r="EY115" s="155"/>
      <c r="EZ115" s="167"/>
      <c r="FA115" s="159"/>
      <c r="FB115" s="168"/>
      <c r="FC115" s="155"/>
      <c r="FD115" s="159"/>
      <c r="FE115" s="161"/>
      <c r="FF115" s="162"/>
    </row>
    <row r="116" spans="26:162">
      <c r="AA116" s="113"/>
      <c r="AB116" s="113"/>
      <c r="AC116" s="113"/>
      <c r="AD116" s="115"/>
      <c r="AE116" s="88"/>
      <c r="AJ116" s="124"/>
      <c r="AK116" s="154"/>
      <c r="AL116" s="155"/>
      <c r="AM116" s="155"/>
      <c r="AN116" s="155"/>
      <c r="AO116" s="155"/>
      <c r="AP116" s="155"/>
      <c r="AQ116" s="155"/>
      <c r="AR116" s="155"/>
      <c r="AS116" s="156"/>
      <c r="AT116" s="157"/>
      <c r="AU116" s="157"/>
      <c r="AV116" s="158"/>
      <c r="AW116" s="158"/>
      <c r="AX116" s="158"/>
      <c r="AY116" s="158"/>
      <c r="AZ116" s="158"/>
      <c r="BA116" s="154"/>
      <c r="BB116" s="154"/>
      <c r="BC116" s="154"/>
      <c r="BD116" s="154"/>
      <c r="BE116" s="154"/>
      <c r="BF116" s="154"/>
      <c r="BG116" s="154"/>
      <c r="BH116" s="154"/>
      <c r="BI116" s="154"/>
      <c r="BJ116" s="154"/>
      <c r="BK116" s="159"/>
      <c r="BL116" s="160"/>
      <c r="BM116" s="161"/>
      <c r="BN116" s="162"/>
      <c r="BO116" s="163"/>
      <c r="BP116" s="164"/>
      <c r="BQ116" s="165"/>
      <c r="BR116" s="161"/>
      <c r="BS116" s="162"/>
      <c r="BT116" s="159"/>
      <c r="BU116" s="162"/>
      <c r="BV116" s="166"/>
      <c r="BW116" s="159"/>
      <c r="BX116" s="166"/>
      <c r="BY116" s="155"/>
      <c r="BZ116" s="167"/>
      <c r="CA116" s="159"/>
      <c r="CB116" s="168"/>
      <c r="CC116" s="155"/>
      <c r="CD116" s="159"/>
      <c r="CE116" s="161"/>
      <c r="CF116" s="162"/>
      <c r="DA116" s="113"/>
      <c r="DB116" s="113"/>
      <c r="DC116" s="113"/>
      <c r="DD116" s="115"/>
      <c r="DE116" s="88"/>
      <c r="DJ116" s="126"/>
      <c r="DK116" s="154"/>
      <c r="DL116" s="155"/>
      <c r="DM116" s="155"/>
      <c r="DN116" s="155"/>
      <c r="DO116" s="155"/>
      <c r="DP116" s="155"/>
      <c r="DQ116" s="155"/>
      <c r="DR116" s="155"/>
      <c r="DS116" s="156"/>
      <c r="DT116" s="157"/>
      <c r="DU116" s="157"/>
      <c r="DV116" s="158"/>
      <c r="DW116" s="158"/>
      <c r="DX116" s="158"/>
      <c r="DY116" s="158"/>
      <c r="DZ116" s="158"/>
      <c r="EA116" s="154"/>
      <c r="EB116" s="154"/>
      <c r="EC116" s="154"/>
      <c r="ED116" s="154"/>
      <c r="EE116" s="154"/>
      <c r="EF116" s="154"/>
      <c r="EG116" s="154"/>
      <c r="EH116" s="154"/>
      <c r="EI116" s="154"/>
      <c r="EJ116" s="154"/>
      <c r="EK116" s="159"/>
      <c r="EL116" s="159"/>
      <c r="EM116" s="161"/>
      <c r="EN116" s="161"/>
      <c r="EO116" s="163"/>
      <c r="EP116" s="164"/>
      <c r="EQ116" s="165"/>
      <c r="ER116" s="161"/>
      <c r="ES116" s="161"/>
      <c r="ET116" s="161"/>
      <c r="EU116" s="161"/>
      <c r="EV116" s="166"/>
      <c r="EW116" s="159"/>
      <c r="EX116" s="166"/>
      <c r="EY116" s="155"/>
      <c r="EZ116" s="167"/>
      <c r="FA116" s="159"/>
      <c r="FB116" s="168"/>
      <c r="FC116" s="155"/>
      <c r="FD116" s="159"/>
      <c r="FE116" s="161"/>
      <c r="FF116" s="162"/>
    </row>
    <row r="117" spans="26:162">
      <c r="AA117" s="113"/>
      <c r="AB117" s="113"/>
      <c r="AC117" s="113"/>
      <c r="AD117" s="115"/>
      <c r="AE117" s="88"/>
      <c r="AJ117" s="124"/>
      <c r="AK117" s="154"/>
      <c r="AL117" s="155"/>
      <c r="AM117" s="155"/>
      <c r="AN117" s="155"/>
      <c r="AO117" s="155"/>
      <c r="AP117" s="155"/>
      <c r="AQ117" s="155"/>
      <c r="AR117" s="155"/>
      <c r="AS117" s="156"/>
      <c r="AT117" s="157"/>
      <c r="AU117" s="157"/>
      <c r="AV117" s="158"/>
      <c r="AW117" s="158"/>
      <c r="AX117" s="158"/>
      <c r="AY117" s="158"/>
      <c r="AZ117" s="158"/>
      <c r="BA117" s="154"/>
      <c r="BB117" s="154"/>
      <c r="BC117" s="154"/>
      <c r="BD117" s="154"/>
      <c r="BE117" s="154"/>
      <c r="BF117" s="154"/>
      <c r="BG117" s="154"/>
      <c r="BH117" s="154"/>
      <c r="BI117" s="154"/>
      <c r="BJ117" s="154"/>
      <c r="BK117" s="159"/>
      <c r="BL117" s="160"/>
      <c r="BM117" s="161"/>
      <c r="BN117" s="162"/>
      <c r="BO117" s="163"/>
      <c r="BP117" s="164"/>
      <c r="BQ117" s="165"/>
      <c r="BR117" s="161"/>
      <c r="BS117" s="162"/>
      <c r="BT117" s="159"/>
      <c r="BU117" s="162"/>
      <c r="BV117" s="166"/>
      <c r="BW117" s="159"/>
      <c r="BX117" s="166"/>
      <c r="BY117" s="155"/>
      <c r="BZ117" s="167"/>
      <c r="CA117" s="159"/>
      <c r="CB117" s="168"/>
      <c r="CC117" s="155"/>
      <c r="CD117" s="159"/>
      <c r="CE117" s="161"/>
      <c r="CF117" s="162"/>
      <c r="DA117" s="113"/>
      <c r="DB117" s="113"/>
      <c r="DC117" s="113"/>
      <c r="DD117" s="115"/>
      <c r="DE117" s="88"/>
      <c r="DJ117" s="126"/>
      <c r="DK117" s="154"/>
      <c r="DL117" s="155"/>
      <c r="DM117" s="155"/>
      <c r="DN117" s="155"/>
      <c r="DO117" s="155"/>
      <c r="DP117" s="155"/>
      <c r="DQ117" s="155"/>
      <c r="DR117" s="155"/>
      <c r="DS117" s="156"/>
      <c r="DT117" s="157"/>
      <c r="DU117" s="157"/>
      <c r="DV117" s="158"/>
      <c r="DW117" s="158"/>
      <c r="DX117" s="158"/>
      <c r="DY117" s="158"/>
      <c r="DZ117" s="158"/>
      <c r="EA117" s="154"/>
      <c r="EB117" s="154"/>
      <c r="EC117" s="154"/>
      <c r="ED117" s="154"/>
      <c r="EE117" s="154"/>
      <c r="EF117" s="154"/>
      <c r="EG117" s="154"/>
      <c r="EH117" s="154"/>
      <c r="EI117" s="154"/>
      <c r="EJ117" s="154"/>
      <c r="EK117" s="159"/>
      <c r="EL117" s="159"/>
      <c r="EM117" s="161"/>
      <c r="EN117" s="161"/>
      <c r="EO117" s="163"/>
      <c r="EP117" s="164"/>
      <c r="EQ117" s="165"/>
      <c r="ER117" s="161"/>
      <c r="ES117" s="161"/>
      <c r="ET117" s="161"/>
      <c r="EU117" s="161"/>
      <c r="EV117" s="166"/>
      <c r="EW117" s="159"/>
      <c r="EX117" s="166"/>
      <c r="EY117" s="155"/>
      <c r="EZ117" s="167"/>
      <c r="FA117" s="159"/>
      <c r="FB117" s="168"/>
      <c r="FC117" s="155"/>
      <c r="FD117" s="159"/>
      <c r="FE117" s="161"/>
      <c r="FF117" s="162"/>
    </row>
    <row r="118" spans="26:162">
      <c r="AA118" s="113"/>
      <c r="AB118" s="113"/>
      <c r="AC118" s="113"/>
      <c r="AD118" s="115"/>
      <c r="AE118" s="88"/>
      <c r="AJ118" s="124"/>
      <c r="AK118" s="154"/>
      <c r="AL118" s="155"/>
      <c r="AM118" s="155"/>
      <c r="AN118" s="155"/>
      <c r="AO118" s="155"/>
      <c r="AP118" s="155"/>
      <c r="AQ118" s="155"/>
      <c r="AR118" s="155"/>
      <c r="AS118" s="156"/>
      <c r="AT118" s="157"/>
      <c r="AU118" s="157"/>
      <c r="AV118" s="158"/>
      <c r="AW118" s="158"/>
      <c r="AX118" s="158"/>
      <c r="AY118" s="158"/>
      <c r="AZ118" s="158"/>
      <c r="BA118" s="154"/>
      <c r="BB118" s="154"/>
      <c r="BC118" s="154"/>
      <c r="BD118" s="154"/>
      <c r="BE118" s="154"/>
      <c r="BF118" s="154"/>
      <c r="BG118" s="154"/>
      <c r="BH118" s="154"/>
      <c r="BI118" s="154"/>
      <c r="BJ118" s="154"/>
      <c r="BK118" s="159"/>
      <c r="BL118" s="160"/>
      <c r="BM118" s="161"/>
      <c r="BN118" s="162"/>
      <c r="BO118" s="163"/>
      <c r="BP118" s="164"/>
      <c r="BQ118" s="165"/>
      <c r="BR118" s="161"/>
      <c r="BS118" s="162"/>
      <c r="BT118" s="159"/>
      <c r="BU118" s="162"/>
      <c r="BV118" s="166"/>
      <c r="BW118" s="159"/>
      <c r="BX118" s="166"/>
      <c r="BY118" s="155"/>
      <c r="BZ118" s="167"/>
      <c r="CA118" s="159"/>
      <c r="CB118" s="168"/>
      <c r="CC118" s="155"/>
      <c r="CD118" s="159"/>
      <c r="CE118" s="161"/>
      <c r="CF118" s="162"/>
      <c r="DA118" s="113"/>
      <c r="DB118" s="113"/>
      <c r="DC118" s="113"/>
      <c r="DD118" s="115"/>
      <c r="DE118" s="88"/>
      <c r="DJ118" s="126"/>
      <c r="DK118" s="154"/>
      <c r="DL118" s="155"/>
      <c r="DM118" s="155"/>
      <c r="DN118" s="155"/>
      <c r="DO118" s="155"/>
      <c r="DP118" s="155"/>
      <c r="DQ118" s="155"/>
      <c r="DR118" s="155"/>
      <c r="DS118" s="156"/>
      <c r="DT118" s="157"/>
      <c r="DU118" s="157"/>
      <c r="DV118" s="158"/>
      <c r="DW118" s="158"/>
      <c r="DX118" s="158"/>
      <c r="DY118" s="158"/>
      <c r="DZ118" s="158"/>
      <c r="EA118" s="154"/>
      <c r="EB118" s="154"/>
      <c r="EC118" s="154"/>
      <c r="ED118" s="154"/>
      <c r="EE118" s="154"/>
      <c r="EF118" s="154"/>
      <c r="EG118" s="154"/>
      <c r="EH118" s="154"/>
      <c r="EI118" s="154"/>
      <c r="EJ118" s="154"/>
      <c r="EK118" s="159"/>
      <c r="EL118" s="159"/>
      <c r="EM118" s="161"/>
      <c r="EN118" s="161"/>
      <c r="EO118" s="163"/>
      <c r="EP118" s="164"/>
      <c r="EQ118" s="165"/>
      <c r="ER118" s="161"/>
      <c r="ES118" s="161"/>
      <c r="ET118" s="161"/>
      <c r="EU118" s="161"/>
      <c r="EV118" s="166"/>
      <c r="EW118" s="159"/>
      <c r="EX118" s="166"/>
      <c r="EY118" s="155"/>
      <c r="EZ118" s="167"/>
      <c r="FA118" s="159"/>
      <c r="FB118" s="168"/>
      <c r="FC118" s="155"/>
      <c r="FD118" s="159"/>
      <c r="FE118" s="161"/>
      <c r="FF118" s="162"/>
    </row>
    <row r="119" spans="26:162">
      <c r="AA119" s="113"/>
      <c r="AB119" s="113"/>
      <c r="AC119" s="113"/>
      <c r="AD119" s="115"/>
      <c r="AE119" s="88"/>
      <c r="AJ119" s="124"/>
      <c r="AK119" s="154"/>
      <c r="AL119" s="155"/>
      <c r="AM119" s="155"/>
      <c r="AN119" s="155"/>
      <c r="AO119" s="155"/>
      <c r="AP119" s="155"/>
      <c r="AQ119" s="155"/>
      <c r="AR119" s="155"/>
      <c r="AS119" s="156"/>
      <c r="AT119" s="157"/>
      <c r="AU119" s="157"/>
      <c r="AV119" s="158"/>
      <c r="AW119" s="158"/>
      <c r="AX119" s="158"/>
      <c r="AY119" s="158"/>
      <c r="AZ119" s="158"/>
      <c r="BA119" s="154"/>
      <c r="BB119" s="154"/>
      <c r="BC119" s="154"/>
      <c r="BD119" s="154"/>
      <c r="BE119" s="154"/>
      <c r="BF119" s="154"/>
      <c r="BG119" s="154"/>
      <c r="BH119" s="154"/>
      <c r="BI119" s="154"/>
      <c r="BJ119" s="154"/>
      <c r="BK119" s="159"/>
      <c r="BL119" s="160"/>
      <c r="BM119" s="161"/>
      <c r="BN119" s="162"/>
      <c r="BO119" s="163"/>
      <c r="BP119" s="164"/>
      <c r="BQ119" s="165"/>
      <c r="BR119" s="161"/>
      <c r="BS119" s="162"/>
      <c r="BT119" s="159"/>
      <c r="BU119" s="162"/>
      <c r="BV119" s="166"/>
      <c r="BW119" s="159"/>
      <c r="BX119" s="166"/>
      <c r="BY119" s="155"/>
      <c r="BZ119" s="167"/>
      <c r="CA119" s="159"/>
      <c r="CB119" s="168"/>
      <c r="CC119" s="155"/>
      <c r="CD119" s="159"/>
      <c r="CE119" s="161"/>
      <c r="CF119" s="162"/>
      <c r="DA119" s="113"/>
      <c r="DB119" s="113"/>
      <c r="DC119" s="113"/>
      <c r="DD119" s="115"/>
      <c r="DE119" s="88"/>
      <c r="DJ119" s="126"/>
      <c r="DK119" s="154"/>
      <c r="DL119" s="155"/>
      <c r="DM119" s="155"/>
      <c r="DN119" s="155"/>
      <c r="DO119" s="155"/>
      <c r="DP119" s="155"/>
      <c r="DQ119" s="155"/>
      <c r="DR119" s="155"/>
      <c r="DS119" s="156"/>
      <c r="DT119" s="157"/>
      <c r="DU119" s="157"/>
      <c r="DV119" s="158"/>
      <c r="DW119" s="158"/>
      <c r="DX119" s="158"/>
      <c r="DY119" s="158"/>
      <c r="DZ119" s="158"/>
      <c r="EA119" s="154"/>
      <c r="EB119" s="154"/>
      <c r="EC119" s="154"/>
      <c r="ED119" s="154"/>
      <c r="EE119" s="154"/>
      <c r="EF119" s="154"/>
      <c r="EG119" s="154"/>
      <c r="EH119" s="154"/>
      <c r="EI119" s="154"/>
      <c r="EJ119" s="154"/>
      <c r="EK119" s="159"/>
      <c r="EL119" s="159"/>
      <c r="EM119" s="161"/>
      <c r="EN119" s="161"/>
      <c r="EO119" s="163"/>
      <c r="EP119" s="164"/>
      <c r="EQ119" s="165"/>
      <c r="ER119" s="161"/>
      <c r="ES119" s="161"/>
      <c r="ET119" s="161"/>
      <c r="EU119" s="161"/>
      <c r="EV119" s="166"/>
      <c r="EW119" s="159"/>
      <c r="EX119" s="166"/>
      <c r="EY119" s="155"/>
      <c r="EZ119" s="167"/>
      <c r="FA119" s="159"/>
      <c r="FB119" s="168"/>
      <c r="FC119" s="155"/>
      <c r="FD119" s="159"/>
      <c r="FE119" s="161"/>
      <c r="FF119" s="162"/>
    </row>
    <row r="120" spans="26:162" ht="15">
      <c r="Z120"/>
      <c r="AA120" s="113"/>
      <c r="AB120" s="113"/>
      <c r="AC120" s="113"/>
      <c r="AD120" s="115"/>
      <c r="AE120" s="88"/>
      <c r="AJ120" s="124"/>
      <c r="AK120" s="154"/>
      <c r="AL120" s="155"/>
      <c r="AM120" s="155"/>
      <c r="AN120" s="155"/>
      <c r="AO120" s="155"/>
      <c r="AP120" s="155"/>
      <c r="AQ120" s="155"/>
      <c r="AR120" s="155"/>
      <c r="AS120" s="156"/>
      <c r="AT120" s="157"/>
      <c r="AU120" s="157"/>
      <c r="AV120" s="158"/>
      <c r="AW120" s="158"/>
      <c r="AX120" s="158"/>
      <c r="AY120" s="158"/>
      <c r="AZ120" s="158"/>
      <c r="BA120" s="154"/>
      <c r="BB120" s="154"/>
      <c r="BC120" s="154"/>
      <c r="BD120" s="154"/>
      <c r="BE120" s="154"/>
      <c r="BF120" s="154"/>
      <c r="BG120" s="154"/>
      <c r="BH120" s="154"/>
      <c r="BI120" s="154"/>
      <c r="BJ120" s="154"/>
      <c r="BK120" s="159"/>
      <c r="BL120" s="160"/>
      <c r="BM120" s="161"/>
      <c r="BN120" s="162"/>
      <c r="BO120" s="163"/>
      <c r="BP120" s="164"/>
      <c r="BQ120" s="165"/>
      <c r="BR120" s="161"/>
      <c r="BS120" s="162"/>
      <c r="BT120" s="159"/>
      <c r="BU120" s="162"/>
      <c r="BV120" s="166"/>
      <c r="BW120" s="159"/>
      <c r="BX120" s="166"/>
      <c r="BY120" s="155"/>
      <c r="BZ120" s="167"/>
      <c r="CA120" s="159"/>
      <c r="CB120" s="168"/>
      <c r="CC120" s="155"/>
      <c r="CD120" s="159"/>
      <c r="CE120" s="161"/>
      <c r="CF120" s="162"/>
      <c r="DA120" s="113"/>
      <c r="DB120" s="113"/>
      <c r="DC120" s="113"/>
      <c r="DD120" s="115"/>
      <c r="DE120" s="88"/>
      <c r="DJ120" s="126"/>
      <c r="DK120" s="154"/>
      <c r="DL120" s="155"/>
      <c r="DM120" s="155"/>
      <c r="DN120" s="155"/>
      <c r="DO120" s="155"/>
      <c r="DP120" s="155"/>
      <c r="DQ120" s="155"/>
      <c r="DR120" s="155"/>
      <c r="DS120" s="156"/>
      <c r="DT120" s="157"/>
      <c r="DU120" s="157"/>
      <c r="DV120" s="158"/>
      <c r="DW120" s="158"/>
      <c r="DX120" s="158"/>
      <c r="DY120" s="158"/>
      <c r="DZ120" s="158"/>
      <c r="EA120" s="154"/>
      <c r="EB120" s="154"/>
      <c r="EC120" s="154"/>
      <c r="ED120" s="154"/>
      <c r="EE120" s="154"/>
      <c r="EF120" s="154"/>
      <c r="EG120" s="154"/>
      <c r="EH120" s="154"/>
      <c r="EI120" s="154"/>
      <c r="EJ120" s="154"/>
      <c r="EK120" s="159"/>
      <c r="EL120" s="159"/>
      <c r="EM120" s="161"/>
      <c r="EN120" s="161"/>
      <c r="EO120" s="163"/>
      <c r="EP120" s="164"/>
      <c r="EQ120" s="165"/>
      <c r="ER120" s="161"/>
      <c r="ES120" s="161"/>
      <c r="ET120" s="161"/>
      <c r="EU120" s="161"/>
      <c r="EV120" s="166"/>
      <c r="EW120" s="159"/>
      <c r="EX120" s="166"/>
      <c r="EY120" s="155"/>
      <c r="EZ120" s="167"/>
      <c r="FA120" s="159"/>
      <c r="FB120" s="168"/>
      <c r="FC120" s="155"/>
      <c r="FD120" s="159"/>
      <c r="FE120" s="161"/>
      <c r="FF120" s="162"/>
    </row>
    <row r="121" spans="26:162">
      <c r="AA121" s="113"/>
      <c r="AB121" s="113"/>
      <c r="AC121" s="113"/>
      <c r="AD121" s="115"/>
      <c r="AE121" s="88"/>
      <c r="AJ121" s="124"/>
      <c r="AK121" s="154"/>
      <c r="AL121" s="155"/>
      <c r="AM121" s="155"/>
      <c r="AN121" s="155"/>
      <c r="AO121" s="155"/>
      <c r="AP121" s="155"/>
      <c r="AQ121" s="155"/>
      <c r="AR121" s="155"/>
      <c r="AS121" s="156"/>
      <c r="AT121" s="157"/>
      <c r="AU121" s="157"/>
      <c r="AV121" s="158"/>
      <c r="AW121" s="158"/>
      <c r="AX121" s="158"/>
      <c r="AY121" s="158"/>
      <c r="AZ121" s="158"/>
      <c r="BA121" s="154"/>
      <c r="BB121" s="154"/>
      <c r="BC121" s="154"/>
      <c r="BD121" s="154"/>
      <c r="BE121" s="154"/>
      <c r="BF121" s="154"/>
      <c r="BG121" s="154"/>
      <c r="BH121" s="154"/>
      <c r="BI121" s="154"/>
      <c r="BJ121" s="154"/>
      <c r="BK121" s="159"/>
      <c r="BL121" s="160"/>
      <c r="BM121" s="161"/>
      <c r="BN121" s="162"/>
      <c r="BO121" s="163"/>
      <c r="BP121" s="164"/>
      <c r="BQ121" s="165"/>
      <c r="BR121" s="161"/>
      <c r="BS121" s="162"/>
      <c r="BT121" s="159"/>
      <c r="BU121" s="162"/>
      <c r="BV121" s="166"/>
      <c r="BW121" s="159"/>
      <c r="BX121" s="166"/>
      <c r="BY121" s="155"/>
      <c r="BZ121" s="167"/>
      <c r="CA121" s="159"/>
      <c r="CB121" s="168"/>
      <c r="CC121" s="155"/>
      <c r="CD121" s="159"/>
      <c r="CE121" s="161"/>
      <c r="CF121" s="162"/>
      <c r="DA121" s="113"/>
      <c r="DB121" s="113"/>
      <c r="DC121" s="113"/>
      <c r="DD121" s="115"/>
      <c r="DE121" s="88"/>
      <c r="DJ121" s="126"/>
      <c r="DK121" s="154"/>
      <c r="DL121" s="155"/>
      <c r="DM121" s="155"/>
      <c r="DN121" s="155"/>
      <c r="DO121" s="155"/>
      <c r="DP121" s="155"/>
      <c r="DQ121" s="155"/>
      <c r="DR121" s="155"/>
      <c r="DS121" s="156"/>
      <c r="DT121" s="157"/>
      <c r="DU121" s="157"/>
      <c r="DV121" s="158"/>
      <c r="DW121" s="158"/>
      <c r="DX121" s="158"/>
      <c r="DY121" s="158"/>
      <c r="DZ121" s="158"/>
      <c r="EA121" s="154"/>
      <c r="EB121" s="154"/>
      <c r="EC121" s="154"/>
      <c r="ED121" s="154"/>
      <c r="EE121" s="154"/>
      <c r="EF121" s="154"/>
      <c r="EG121" s="154"/>
      <c r="EH121" s="154"/>
      <c r="EI121" s="154"/>
      <c r="EJ121" s="154"/>
      <c r="EK121" s="159"/>
      <c r="EL121" s="159"/>
      <c r="EM121" s="161"/>
      <c r="EN121" s="161"/>
      <c r="EO121" s="163"/>
      <c r="EP121" s="164"/>
      <c r="EQ121" s="165"/>
      <c r="ER121" s="161"/>
      <c r="ES121" s="161"/>
      <c r="ET121" s="161"/>
      <c r="EU121" s="161"/>
      <c r="EV121" s="166"/>
      <c r="EW121" s="159"/>
      <c r="EX121" s="166"/>
      <c r="EY121" s="155"/>
      <c r="EZ121" s="167"/>
      <c r="FA121" s="159"/>
      <c r="FB121" s="168"/>
      <c r="FC121" s="155"/>
      <c r="FD121" s="159"/>
      <c r="FE121" s="161"/>
      <c r="FF121" s="162"/>
    </row>
    <row r="122" spans="26:162">
      <c r="AA122" s="113"/>
      <c r="AB122" s="113"/>
      <c r="AC122" s="113"/>
      <c r="AD122" s="115"/>
      <c r="AE122" s="88"/>
      <c r="AJ122" s="124"/>
      <c r="AK122" s="154"/>
      <c r="AL122" s="155"/>
      <c r="AM122" s="155"/>
      <c r="AN122" s="155"/>
      <c r="AO122" s="155"/>
      <c r="AP122" s="155"/>
      <c r="AQ122" s="155"/>
      <c r="AR122" s="155"/>
      <c r="AS122" s="156"/>
      <c r="AT122" s="157"/>
      <c r="AU122" s="157"/>
      <c r="AV122" s="158"/>
      <c r="AW122" s="158"/>
      <c r="AX122" s="158"/>
      <c r="AY122" s="158"/>
      <c r="AZ122" s="158"/>
      <c r="BA122" s="154"/>
      <c r="BB122" s="154"/>
      <c r="BC122" s="154"/>
      <c r="BD122" s="154"/>
      <c r="BE122" s="154"/>
      <c r="BF122" s="154"/>
      <c r="BG122" s="154"/>
      <c r="BH122" s="154"/>
      <c r="BI122" s="154"/>
      <c r="BJ122" s="154"/>
      <c r="BK122" s="159"/>
      <c r="BL122" s="160"/>
      <c r="BM122" s="161"/>
      <c r="BN122" s="162"/>
      <c r="BO122" s="163"/>
      <c r="BP122" s="164"/>
      <c r="BQ122" s="165"/>
      <c r="BR122" s="161"/>
      <c r="BS122" s="162"/>
      <c r="BT122" s="159"/>
      <c r="BU122" s="162"/>
      <c r="BV122" s="166"/>
      <c r="BW122" s="159"/>
      <c r="BX122" s="166"/>
      <c r="BY122" s="155"/>
      <c r="BZ122" s="167"/>
      <c r="CA122" s="159"/>
      <c r="CB122" s="168"/>
      <c r="CC122" s="155"/>
      <c r="CD122" s="159"/>
      <c r="CE122" s="161"/>
      <c r="CF122" s="162"/>
      <c r="DA122" s="113"/>
      <c r="DB122" s="113"/>
      <c r="DC122" s="113"/>
      <c r="DD122" s="115"/>
      <c r="DE122" s="88"/>
      <c r="DJ122" s="126"/>
      <c r="DK122" s="154"/>
      <c r="DL122" s="155"/>
      <c r="DM122" s="155"/>
      <c r="DN122" s="155"/>
      <c r="DO122" s="155"/>
      <c r="DP122" s="155"/>
      <c r="DQ122" s="155"/>
      <c r="DR122" s="155"/>
      <c r="DS122" s="156"/>
      <c r="DT122" s="157"/>
      <c r="DU122" s="157"/>
      <c r="DV122" s="158"/>
      <c r="DW122" s="158"/>
      <c r="DX122" s="158"/>
      <c r="DY122" s="158"/>
      <c r="DZ122" s="158"/>
      <c r="EA122" s="154"/>
      <c r="EB122" s="154"/>
      <c r="EC122" s="154"/>
      <c r="ED122" s="154"/>
      <c r="EE122" s="154"/>
      <c r="EF122" s="154"/>
      <c r="EG122" s="154"/>
      <c r="EH122" s="154"/>
      <c r="EI122" s="154"/>
      <c r="EJ122" s="154"/>
      <c r="EK122" s="159"/>
      <c r="EL122" s="159"/>
      <c r="EM122" s="161"/>
      <c r="EN122" s="161"/>
      <c r="EO122" s="163"/>
      <c r="EP122" s="164"/>
      <c r="EQ122" s="165"/>
      <c r="ER122" s="161"/>
      <c r="ES122" s="161"/>
      <c r="ET122" s="161"/>
      <c r="EU122" s="161"/>
      <c r="EV122" s="166"/>
      <c r="EW122" s="159"/>
      <c r="EX122" s="166"/>
      <c r="EY122" s="155"/>
      <c r="EZ122" s="167"/>
      <c r="FA122" s="159"/>
      <c r="FB122" s="168"/>
      <c r="FC122" s="155"/>
      <c r="FD122" s="159"/>
      <c r="FE122" s="161"/>
      <c r="FF122" s="162"/>
    </row>
    <row r="123" spans="26:162">
      <c r="AA123" s="113"/>
      <c r="AB123" s="113"/>
      <c r="AC123" s="113"/>
      <c r="AD123" s="115"/>
      <c r="AE123" s="88"/>
      <c r="AJ123" s="124"/>
      <c r="AK123" s="154"/>
      <c r="AL123" s="155"/>
      <c r="AM123" s="155"/>
      <c r="AN123" s="155"/>
      <c r="AO123" s="155"/>
      <c r="AP123" s="155"/>
      <c r="AQ123" s="155"/>
      <c r="AR123" s="155"/>
      <c r="AS123" s="156"/>
      <c r="AT123" s="157"/>
      <c r="AU123" s="157"/>
      <c r="AV123" s="158"/>
      <c r="AW123" s="158"/>
      <c r="AX123" s="158"/>
      <c r="AY123" s="158"/>
      <c r="AZ123" s="158"/>
      <c r="BA123" s="154"/>
      <c r="BB123" s="154"/>
      <c r="BC123" s="154"/>
      <c r="BD123" s="154"/>
      <c r="BE123" s="154"/>
      <c r="BF123" s="154"/>
      <c r="BG123" s="154"/>
      <c r="BH123" s="154"/>
      <c r="BI123" s="154"/>
      <c r="BJ123" s="154"/>
      <c r="BK123" s="159"/>
      <c r="BL123" s="160"/>
      <c r="BM123" s="161"/>
      <c r="BN123" s="162"/>
      <c r="BO123" s="163"/>
      <c r="BP123" s="164"/>
      <c r="BQ123" s="165"/>
      <c r="BR123" s="161"/>
      <c r="BS123" s="162"/>
      <c r="BT123" s="159"/>
      <c r="BU123" s="162"/>
      <c r="BV123" s="166"/>
      <c r="BW123" s="159"/>
      <c r="BX123" s="166"/>
      <c r="BY123" s="155"/>
      <c r="BZ123" s="167"/>
      <c r="CA123" s="159"/>
      <c r="CB123" s="168"/>
      <c r="CC123" s="155"/>
      <c r="CD123" s="159"/>
      <c r="CE123" s="161"/>
      <c r="CF123" s="162"/>
      <c r="DA123" s="113"/>
      <c r="DB123" s="113"/>
      <c r="DC123" s="113"/>
      <c r="DD123" s="115"/>
      <c r="DE123" s="88"/>
      <c r="DJ123" s="126"/>
      <c r="DK123" s="154"/>
      <c r="DL123" s="155"/>
      <c r="DM123" s="155"/>
      <c r="DN123" s="155"/>
      <c r="DO123" s="155"/>
      <c r="DP123" s="155"/>
      <c r="DQ123" s="155"/>
      <c r="DR123" s="155"/>
      <c r="DS123" s="156"/>
      <c r="DT123" s="157"/>
      <c r="DU123" s="157"/>
      <c r="DV123" s="158"/>
      <c r="DW123" s="158"/>
      <c r="DX123" s="158"/>
      <c r="DY123" s="158"/>
      <c r="DZ123" s="158"/>
      <c r="EA123" s="154"/>
      <c r="EB123" s="154"/>
      <c r="EC123" s="154"/>
      <c r="ED123" s="154"/>
      <c r="EE123" s="154"/>
      <c r="EF123" s="154"/>
      <c r="EG123" s="154"/>
      <c r="EH123" s="154"/>
      <c r="EI123" s="154"/>
      <c r="EJ123" s="154"/>
      <c r="EK123" s="159"/>
      <c r="EL123" s="159"/>
      <c r="EM123" s="161"/>
      <c r="EN123" s="161"/>
      <c r="EO123" s="163"/>
      <c r="EP123" s="164"/>
      <c r="EQ123" s="165"/>
      <c r="ER123" s="161"/>
      <c r="ES123" s="161"/>
      <c r="ET123" s="161"/>
      <c r="EU123" s="161"/>
      <c r="EV123" s="166"/>
      <c r="EW123" s="159"/>
      <c r="EX123" s="166"/>
      <c r="EY123" s="155"/>
      <c r="EZ123" s="167"/>
      <c r="FA123" s="159"/>
      <c r="FB123" s="168"/>
      <c r="FC123" s="155"/>
      <c r="FD123" s="159"/>
      <c r="FE123" s="161"/>
      <c r="FF123" s="162"/>
    </row>
    <row r="124" spans="26:162">
      <c r="AA124" s="113"/>
      <c r="AB124" s="113"/>
      <c r="AC124" s="113"/>
      <c r="AD124" s="115"/>
      <c r="AE124" s="88"/>
      <c r="AJ124" s="124"/>
      <c r="AK124" s="154"/>
      <c r="AL124" s="155"/>
      <c r="AM124" s="155"/>
      <c r="AN124" s="155"/>
      <c r="AO124" s="155"/>
      <c r="AP124" s="155"/>
      <c r="AQ124" s="155"/>
      <c r="AR124" s="155"/>
      <c r="AS124" s="156"/>
      <c r="AT124" s="157"/>
      <c r="AU124" s="157"/>
      <c r="AV124" s="158"/>
      <c r="AW124" s="158"/>
      <c r="AX124" s="158"/>
      <c r="AY124" s="158"/>
      <c r="AZ124" s="158"/>
      <c r="BA124" s="154"/>
      <c r="BB124" s="154"/>
      <c r="BC124" s="154"/>
      <c r="BD124" s="154"/>
      <c r="BE124" s="154"/>
      <c r="BF124" s="154"/>
      <c r="BG124" s="154"/>
      <c r="BH124" s="154"/>
      <c r="BI124" s="154"/>
      <c r="BJ124" s="154"/>
      <c r="BK124" s="159"/>
      <c r="BL124" s="160"/>
      <c r="BM124" s="161"/>
      <c r="BN124" s="162"/>
      <c r="BO124" s="163"/>
      <c r="BP124" s="164"/>
      <c r="BQ124" s="165"/>
      <c r="BR124" s="161"/>
      <c r="BS124" s="162"/>
      <c r="BT124" s="159"/>
      <c r="BU124" s="162"/>
      <c r="BV124" s="166"/>
      <c r="BW124" s="159"/>
      <c r="BX124" s="166"/>
      <c r="BY124" s="155"/>
      <c r="BZ124" s="167"/>
      <c r="CA124" s="159"/>
      <c r="CB124" s="168"/>
      <c r="CC124" s="155"/>
      <c r="CD124" s="159"/>
      <c r="CE124" s="161"/>
      <c r="CF124" s="162"/>
      <c r="DA124" s="113"/>
      <c r="DB124" s="113"/>
      <c r="DC124" s="113"/>
      <c r="DD124" s="115"/>
      <c r="DE124" s="88"/>
      <c r="DJ124" s="126"/>
      <c r="DK124" s="154"/>
      <c r="DL124" s="155"/>
      <c r="DM124" s="155"/>
      <c r="DN124" s="155"/>
      <c r="DO124" s="155"/>
      <c r="DP124" s="155"/>
      <c r="DQ124" s="155"/>
      <c r="DR124" s="155"/>
      <c r="DS124" s="156"/>
      <c r="DT124" s="157"/>
      <c r="DU124" s="157"/>
      <c r="DV124" s="158"/>
      <c r="DW124" s="158"/>
      <c r="DX124" s="158"/>
      <c r="DY124" s="158"/>
      <c r="DZ124" s="158"/>
      <c r="EA124" s="154"/>
      <c r="EB124" s="154"/>
      <c r="EC124" s="154"/>
      <c r="ED124" s="154"/>
      <c r="EE124" s="154"/>
      <c r="EF124" s="154"/>
      <c r="EG124" s="154"/>
      <c r="EH124" s="154"/>
      <c r="EI124" s="154"/>
      <c r="EJ124" s="154"/>
      <c r="EK124" s="159"/>
      <c r="EL124" s="159"/>
      <c r="EM124" s="161"/>
      <c r="EN124" s="161"/>
      <c r="EO124" s="163"/>
      <c r="EP124" s="164"/>
      <c r="EQ124" s="165"/>
      <c r="ER124" s="161"/>
      <c r="ES124" s="161"/>
      <c r="ET124" s="161"/>
      <c r="EU124" s="161"/>
      <c r="EV124" s="166"/>
      <c r="EW124" s="159"/>
      <c r="EX124" s="166"/>
      <c r="EY124" s="155"/>
      <c r="EZ124" s="167"/>
      <c r="FA124" s="159"/>
      <c r="FB124" s="168"/>
      <c r="FC124" s="155"/>
      <c r="FD124" s="159"/>
      <c r="FE124" s="161"/>
      <c r="FF124" s="162"/>
    </row>
    <row r="125" spans="26:162">
      <c r="AA125" s="113"/>
      <c r="AB125" s="113"/>
      <c r="AC125" s="113"/>
      <c r="AD125" s="115"/>
      <c r="AE125" s="88"/>
      <c r="AJ125" s="124"/>
      <c r="AK125" s="154"/>
      <c r="AL125" s="155"/>
      <c r="AM125" s="155"/>
      <c r="AN125" s="155"/>
      <c r="AO125" s="155"/>
      <c r="AP125" s="155"/>
      <c r="AQ125" s="155"/>
      <c r="AR125" s="155"/>
      <c r="AS125" s="156"/>
      <c r="AT125" s="157"/>
      <c r="AU125" s="157"/>
      <c r="AV125" s="158"/>
      <c r="AW125" s="158"/>
      <c r="AX125" s="158"/>
      <c r="AY125" s="158"/>
      <c r="AZ125" s="158"/>
      <c r="BA125" s="154"/>
      <c r="BB125" s="154"/>
      <c r="BC125" s="154"/>
      <c r="BD125" s="154"/>
      <c r="BE125" s="154"/>
      <c r="BF125" s="154"/>
      <c r="BG125" s="154"/>
      <c r="BH125" s="154"/>
      <c r="BI125" s="154"/>
      <c r="BJ125" s="154"/>
      <c r="BK125" s="159"/>
      <c r="BL125" s="160"/>
      <c r="BM125" s="161"/>
      <c r="BN125" s="162"/>
      <c r="BO125" s="163"/>
      <c r="BP125" s="164"/>
      <c r="BQ125" s="165"/>
      <c r="BR125" s="161"/>
      <c r="BS125" s="162"/>
      <c r="BT125" s="159"/>
      <c r="BU125" s="162"/>
      <c r="BV125" s="166"/>
      <c r="BW125" s="159"/>
      <c r="BX125" s="166"/>
      <c r="BY125" s="155"/>
      <c r="BZ125" s="167"/>
      <c r="CA125" s="159"/>
      <c r="CB125" s="168"/>
      <c r="CC125" s="155"/>
      <c r="CD125" s="159"/>
      <c r="CE125" s="161"/>
      <c r="CF125" s="162"/>
      <c r="DA125" s="113"/>
      <c r="DB125" s="113"/>
      <c r="DC125" s="113"/>
      <c r="DD125" s="115"/>
      <c r="DE125" s="88"/>
      <c r="DJ125" s="126"/>
      <c r="DK125" s="154"/>
      <c r="DL125" s="155"/>
      <c r="DM125" s="155"/>
      <c r="DN125" s="155"/>
      <c r="DO125" s="155"/>
      <c r="DP125" s="155"/>
      <c r="DQ125" s="155"/>
      <c r="DR125" s="155"/>
      <c r="DS125" s="156"/>
      <c r="DT125" s="157"/>
      <c r="DU125" s="157"/>
      <c r="DV125" s="158"/>
      <c r="DW125" s="158"/>
      <c r="DX125" s="158"/>
      <c r="DY125" s="158"/>
      <c r="DZ125" s="158"/>
      <c r="EA125" s="154"/>
      <c r="EB125" s="154"/>
      <c r="EC125" s="154"/>
      <c r="ED125" s="154"/>
      <c r="EE125" s="154"/>
      <c r="EF125" s="154"/>
      <c r="EG125" s="154"/>
      <c r="EH125" s="154"/>
      <c r="EI125" s="154"/>
      <c r="EJ125" s="154"/>
      <c r="EK125" s="159"/>
      <c r="EL125" s="159"/>
      <c r="EM125" s="161"/>
      <c r="EN125" s="161"/>
      <c r="EO125" s="163"/>
      <c r="EP125" s="164"/>
      <c r="EQ125" s="165"/>
      <c r="ER125" s="161"/>
      <c r="ES125" s="161"/>
      <c r="ET125" s="161"/>
      <c r="EU125" s="161"/>
      <c r="EV125" s="166"/>
      <c r="EW125" s="159"/>
      <c r="EX125" s="166"/>
      <c r="EY125" s="155"/>
      <c r="EZ125" s="167"/>
      <c r="FA125" s="159"/>
      <c r="FB125" s="168"/>
      <c r="FC125" s="155"/>
      <c r="FD125" s="159"/>
      <c r="FE125" s="161"/>
      <c r="FF125" s="162"/>
    </row>
    <row r="126" spans="26:162">
      <c r="AA126" s="113"/>
      <c r="AB126" s="113"/>
      <c r="AC126" s="113"/>
      <c r="AD126" s="115"/>
      <c r="AE126" s="88"/>
      <c r="AJ126" s="124"/>
      <c r="AK126" s="154"/>
      <c r="AL126" s="155"/>
      <c r="AM126" s="155"/>
      <c r="AN126" s="155"/>
      <c r="AO126" s="155"/>
      <c r="AP126" s="155"/>
      <c r="AQ126" s="155"/>
      <c r="AR126" s="155"/>
      <c r="AS126" s="156"/>
      <c r="AT126" s="157"/>
      <c r="AU126" s="157"/>
      <c r="AV126" s="158"/>
      <c r="AW126" s="158"/>
      <c r="AX126" s="158"/>
      <c r="AY126" s="158"/>
      <c r="AZ126" s="158"/>
      <c r="BA126" s="154"/>
      <c r="BB126" s="154"/>
      <c r="BC126" s="154"/>
      <c r="BD126" s="154"/>
      <c r="BE126" s="154"/>
      <c r="BF126" s="154"/>
      <c r="BG126" s="154"/>
      <c r="BH126" s="154"/>
      <c r="BI126" s="154"/>
      <c r="BJ126" s="154"/>
      <c r="BK126" s="159"/>
      <c r="BL126" s="160"/>
      <c r="BM126" s="161"/>
      <c r="BN126" s="162"/>
      <c r="BO126" s="163"/>
      <c r="BP126" s="164"/>
      <c r="BQ126" s="165"/>
      <c r="BR126" s="161"/>
      <c r="BS126" s="162"/>
      <c r="BT126" s="159"/>
      <c r="BU126" s="162"/>
      <c r="BV126" s="166"/>
      <c r="BW126" s="159"/>
      <c r="BX126" s="166"/>
      <c r="BY126" s="155"/>
      <c r="BZ126" s="167"/>
      <c r="CA126" s="159"/>
      <c r="CB126" s="168"/>
      <c r="CC126" s="155"/>
      <c r="CD126" s="159"/>
      <c r="CE126" s="161"/>
      <c r="CF126" s="162"/>
      <c r="DA126" s="113"/>
      <c r="DB126" s="113"/>
      <c r="DC126" s="113"/>
      <c r="DD126" s="115"/>
      <c r="DE126" s="88"/>
      <c r="DJ126" s="126"/>
      <c r="DK126" s="154"/>
      <c r="DL126" s="155"/>
      <c r="DM126" s="155"/>
      <c r="DN126" s="155"/>
      <c r="DO126" s="155"/>
      <c r="DP126" s="155"/>
      <c r="DQ126" s="155"/>
      <c r="DR126" s="155"/>
      <c r="DS126" s="156"/>
      <c r="DT126" s="157"/>
      <c r="DU126" s="157"/>
      <c r="DV126" s="158"/>
      <c r="DW126" s="158"/>
      <c r="DX126" s="158"/>
      <c r="DY126" s="158"/>
      <c r="DZ126" s="158"/>
      <c r="EA126" s="154"/>
      <c r="EB126" s="154"/>
      <c r="EC126" s="154"/>
      <c r="ED126" s="154"/>
      <c r="EE126" s="154"/>
      <c r="EF126" s="154"/>
      <c r="EG126" s="154"/>
      <c r="EH126" s="154"/>
      <c r="EI126" s="154"/>
      <c r="EJ126" s="154"/>
      <c r="EK126" s="159"/>
      <c r="EL126" s="159"/>
      <c r="EM126" s="161"/>
      <c r="EN126" s="161"/>
      <c r="EO126" s="163"/>
      <c r="EP126" s="164"/>
      <c r="EQ126" s="165"/>
      <c r="ER126" s="161"/>
      <c r="ES126" s="161"/>
      <c r="ET126" s="161"/>
      <c r="EU126" s="161"/>
      <c r="EV126" s="166"/>
      <c r="EW126" s="159"/>
      <c r="EX126" s="166"/>
      <c r="EY126" s="155"/>
      <c r="EZ126" s="167"/>
      <c r="FA126" s="159"/>
      <c r="FB126" s="168"/>
      <c r="FC126" s="155"/>
      <c r="FD126" s="159"/>
      <c r="FE126" s="161"/>
      <c r="FF126" s="162"/>
    </row>
    <row r="127" spans="26:162">
      <c r="AA127" s="113"/>
      <c r="AB127" s="113"/>
      <c r="AC127" s="113"/>
      <c r="AD127" s="115"/>
      <c r="AE127" s="88"/>
      <c r="AJ127" s="126"/>
      <c r="AK127" s="154"/>
      <c r="AL127" s="155"/>
      <c r="AM127" s="155"/>
      <c r="AN127" s="155"/>
      <c r="AO127" s="155"/>
      <c r="AP127" s="155"/>
      <c r="AQ127" s="155"/>
      <c r="AR127" s="155"/>
      <c r="AS127" s="156"/>
      <c r="AT127" s="157"/>
      <c r="AU127" s="157"/>
      <c r="AV127" s="158"/>
      <c r="AW127" s="158"/>
      <c r="AX127" s="158"/>
      <c r="AY127" s="158"/>
      <c r="AZ127" s="158"/>
      <c r="BA127" s="154"/>
      <c r="BB127" s="154"/>
      <c r="BC127" s="154"/>
      <c r="BD127" s="154"/>
      <c r="BE127" s="154"/>
      <c r="BF127" s="154"/>
      <c r="BG127" s="154"/>
      <c r="BH127" s="154"/>
      <c r="BI127" s="154"/>
      <c r="BJ127" s="154"/>
      <c r="BK127" s="159"/>
      <c r="BL127" s="159"/>
      <c r="BM127" s="161"/>
      <c r="BN127" s="161"/>
      <c r="BO127" s="163"/>
      <c r="BP127" s="164"/>
      <c r="BQ127" s="165"/>
      <c r="BR127" s="161"/>
      <c r="BS127" s="161"/>
      <c r="BT127" s="161"/>
      <c r="BU127" s="161"/>
      <c r="BV127" s="166"/>
      <c r="BW127" s="159"/>
      <c r="BX127" s="166"/>
      <c r="BY127" s="155"/>
      <c r="BZ127" s="167"/>
      <c r="CA127" s="159"/>
      <c r="CB127" s="168"/>
      <c r="CC127" s="155"/>
      <c r="CD127" s="159"/>
      <c r="CE127" s="161"/>
      <c r="CF127" s="162"/>
      <c r="DA127" s="113"/>
      <c r="DB127" s="113"/>
      <c r="DC127" s="113"/>
      <c r="DD127" s="115"/>
      <c r="DE127" s="88"/>
      <c r="DJ127" s="126"/>
      <c r="DK127" s="154"/>
      <c r="DL127" s="155"/>
      <c r="DM127" s="155"/>
      <c r="DN127" s="155"/>
      <c r="DO127" s="155"/>
      <c r="DP127" s="155"/>
      <c r="DQ127" s="155"/>
      <c r="DR127" s="155"/>
      <c r="DS127" s="156"/>
      <c r="DT127" s="157"/>
      <c r="DU127" s="157"/>
      <c r="DV127" s="158"/>
      <c r="DW127" s="158"/>
      <c r="DX127" s="158"/>
      <c r="DY127" s="158"/>
      <c r="DZ127" s="158"/>
      <c r="EA127" s="154"/>
      <c r="EB127" s="154"/>
      <c r="EC127" s="154"/>
      <c r="ED127" s="154"/>
      <c r="EE127" s="154"/>
      <c r="EF127" s="154"/>
      <c r="EG127" s="154"/>
      <c r="EH127" s="154"/>
      <c r="EI127" s="154"/>
      <c r="EJ127" s="154"/>
      <c r="EK127" s="159"/>
      <c r="EL127" s="159"/>
      <c r="EM127" s="161"/>
      <c r="EN127" s="161"/>
      <c r="EO127" s="163"/>
      <c r="EP127" s="164"/>
      <c r="EQ127" s="165"/>
      <c r="ER127" s="161"/>
      <c r="ES127" s="161"/>
      <c r="ET127" s="161"/>
      <c r="EU127" s="161"/>
      <c r="EV127" s="166"/>
      <c r="EW127" s="159"/>
      <c r="EX127" s="166"/>
      <c r="EY127" s="155"/>
      <c r="EZ127" s="167"/>
      <c r="FA127" s="159"/>
      <c r="FB127" s="168"/>
      <c r="FC127" s="155"/>
      <c r="FD127" s="159"/>
      <c r="FE127" s="161"/>
      <c r="FF127" s="162"/>
    </row>
    <row r="128" spans="26:162">
      <c r="AA128" s="113"/>
      <c r="AB128" s="113"/>
      <c r="AC128" s="113"/>
      <c r="AD128" s="115"/>
      <c r="AE128" s="88"/>
      <c r="AJ128" s="126"/>
      <c r="AK128" s="154"/>
      <c r="AL128" s="155"/>
      <c r="AM128" s="155"/>
      <c r="AN128" s="155"/>
      <c r="AO128" s="155"/>
      <c r="AP128" s="155"/>
      <c r="AQ128" s="155"/>
      <c r="AR128" s="155"/>
      <c r="AS128" s="156"/>
      <c r="AT128" s="157"/>
      <c r="AU128" s="157"/>
      <c r="AV128" s="158"/>
      <c r="AW128" s="158"/>
      <c r="AX128" s="158"/>
      <c r="AY128" s="158"/>
      <c r="AZ128" s="158"/>
      <c r="BA128" s="154"/>
      <c r="BB128" s="154"/>
      <c r="BC128" s="154"/>
      <c r="BD128" s="154"/>
      <c r="BE128" s="154"/>
      <c r="BF128" s="154"/>
      <c r="BG128" s="154"/>
      <c r="BH128" s="154"/>
      <c r="BI128" s="154"/>
      <c r="BJ128" s="154"/>
      <c r="BK128" s="159"/>
      <c r="BL128" s="159"/>
      <c r="BM128" s="161"/>
      <c r="BN128" s="161"/>
      <c r="BO128" s="163"/>
      <c r="BP128" s="164"/>
      <c r="BQ128" s="165"/>
      <c r="BR128" s="161"/>
      <c r="BS128" s="161"/>
      <c r="BT128" s="161"/>
      <c r="BU128" s="161"/>
      <c r="BV128" s="166"/>
      <c r="BW128" s="159"/>
      <c r="BX128" s="166"/>
      <c r="BY128" s="155"/>
      <c r="BZ128" s="167"/>
      <c r="CA128" s="159"/>
      <c r="CB128" s="168"/>
      <c r="CC128" s="155"/>
      <c r="CD128" s="159"/>
      <c r="CE128" s="161"/>
      <c r="CF128" s="162"/>
      <c r="DA128" s="113"/>
      <c r="DB128" s="113"/>
      <c r="DC128" s="113"/>
      <c r="DD128" s="115"/>
      <c r="DE128" s="88"/>
      <c r="DJ128" s="126"/>
      <c r="DK128" s="154"/>
      <c r="DL128" s="155"/>
      <c r="DM128" s="155"/>
      <c r="DN128" s="155"/>
      <c r="DO128" s="155"/>
      <c r="DP128" s="155"/>
      <c r="DQ128" s="155"/>
      <c r="DR128" s="155"/>
      <c r="DS128" s="156"/>
      <c r="DT128" s="157"/>
      <c r="DU128" s="157"/>
      <c r="DV128" s="158"/>
      <c r="DW128" s="158"/>
      <c r="DX128" s="158"/>
      <c r="DY128" s="158"/>
      <c r="DZ128" s="158"/>
      <c r="EA128" s="154"/>
      <c r="EB128" s="154"/>
      <c r="EC128" s="154"/>
      <c r="ED128" s="154"/>
      <c r="EE128" s="154"/>
      <c r="EF128" s="154"/>
      <c r="EG128" s="154"/>
      <c r="EH128" s="154"/>
      <c r="EI128" s="154"/>
      <c r="EJ128" s="154"/>
      <c r="EK128" s="159"/>
      <c r="EL128" s="159"/>
      <c r="EM128" s="161"/>
      <c r="EN128" s="161"/>
      <c r="EO128" s="163"/>
      <c r="EP128" s="164"/>
      <c r="EQ128" s="165"/>
      <c r="ER128" s="161"/>
      <c r="ES128" s="161"/>
      <c r="ET128" s="161"/>
      <c r="EU128" s="161"/>
      <c r="EV128" s="166"/>
      <c r="EW128" s="159"/>
      <c r="EX128" s="166"/>
      <c r="EY128" s="155"/>
      <c r="EZ128" s="167"/>
      <c r="FA128" s="159"/>
      <c r="FB128" s="168"/>
      <c r="FC128" s="155"/>
      <c r="FD128" s="159"/>
      <c r="FE128" s="161"/>
      <c r="FF128" s="162"/>
    </row>
    <row r="129" spans="27:162">
      <c r="AA129" s="113"/>
      <c r="AB129" s="113"/>
      <c r="AC129" s="113"/>
      <c r="AD129" s="115"/>
      <c r="AE129" s="88"/>
      <c r="AJ129" s="126"/>
      <c r="AK129" s="154"/>
      <c r="AL129" s="155"/>
      <c r="AM129" s="155"/>
      <c r="AN129" s="155"/>
      <c r="AO129" s="155"/>
      <c r="AP129" s="155"/>
      <c r="AQ129" s="155"/>
      <c r="AR129" s="155"/>
      <c r="AS129" s="156"/>
      <c r="AT129" s="157"/>
      <c r="AU129" s="157"/>
      <c r="AV129" s="158"/>
      <c r="AW129" s="158"/>
      <c r="AX129" s="158"/>
      <c r="AY129" s="158"/>
      <c r="AZ129" s="158"/>
      <c r="BA129" s="154"/>
      <c r="BB129" s="154"/>
      <c r="BC129" s="154"/>
      <c r="BD129" s="154"/>
      <c r="BE129" s="154"/>
      <c r="BF129" s="154"/>
      <c r="BG129" s="154"/>
      <c r="BH129" s="154"/>
      <c r="BI129" s="154"/>
      <c r="BJ129" s="154"/>
      <c r="BK129" s="159"/>
      <c r="BL129" s="159"/>
      <c r="BM129" s="161"/>
      <c r="BN129" s="161"/>
      <c r="BO129" s="163"/>
      <c r="BP129" s="164"/>
      <c r="BQ129" s="165"/>
      <c r="BR129" s="161"/>
      <c r="BS129" s="161"/>
      <c r="BT129" s="161"/>
      <c r="BU129" s="161"/>
      <c r="BV129" s="166"/>
      <c r="BW129" s="159"/>
      <c r="BX129" s="166"/>
      <c r="BY129" s="155"/>
      <c r="BZ129" s="167"/>
      <c r="CA129" s="159"/>
      <c r="CB129" s="168"/>
      <c r="CC129" s="155"/>
      <c r="CD129" s="159"/>
      <c r="CE129" s="161"/>
      <c r="CF129" s="162"/>
      <c r="DA129" s="113"/>
      <c r="DB129" s="113"/>
      <c r="DC129" s="113"/>
      <c r="DD129" s="115"/>
      <c r="DE129" s="88"/>
      <c r="DJ129" s="126"/>
      <c r="DK129" s="154"/>
      <c r="DL129" s="155"/>
      <c r="DM129" s="155"/>
      <c r="DN129" s="155"/>
      <c r="DO129" s="155"/>
      <c r="DP129" s="155"/>
      <c r="DQ129" s="155"/>
      <c r="DR129" s="155"/>
      <c r="DS129" s="156"/>
      <c r="DT129" s="157"/>
      <c r="DU129" s="157"/>
      <c r="DV129" s="158"/>
      <c r="DW129" s="158"/>
      <c r="DX129" s="158"/>
      <c r="DY129" s="158"/>
      <c r="DZ129" s="158"/>
      <c r="EA129" s="154"/>
      <c r="EB129" s="154"/>
      <c r="EC129" s="154"/>
      <c r="ED129" s="154"/>
      <c r="EE129" s="154"/>
      <c r="EF129" s="154"/>
      <c r="EG129" s="154"/>
      <c r="EH129" s="154"/>
      <c r="EI129" s="154"/>
      <c r="EJ129" s="154"/>
      <c r="EK129" s="159"/>
      <c r="EL129" s="159"/>
      <c r="EM129" s="161"/>
      <c r="EN129" s="161"/>
      <c r="EO129" s="163"/>
      <c r="EP129" s="164"/>
      <c r="EQ129" s="165"/>
      <c r="ER129" s="161"/>
      <c r="ES129" s="161"/>
      <c r="ET129" s="161"/>
      <c r="EU129" s="161"/>
      <c r="EV129" s="166"/>
      <c r="EW129" s="159"/>
      <c r="EX129" s="166"/>
      <c r="EY129" s="155"/>
      <c r="EZ129" s="167"/>
      <c r="FA129" s="159"/>
      <c r="FB129" s="168"/>
      <c r="FC129" s="155"/>
      <c r="FD129" s="159"/>
      <c r="FE129" s="161"/>
      <c r="FF129" s="162"/>
    </row>
    <row r="130" spans="27:162">
      <c r="AA130" s="113"/>
      <c r="AB130" s="113"/>
      <c r="AC130" s="113"/>
      <c r="AD130" s="115"/>
      <c r="AE130" s="88"/>
      <c r="AJ130" s="126"/>
      <c r="AK130" s="154"/>
      <c r="AL130" s="155"/>
      <c r="AM130" s="155"/>
      <c r="AN130" s="155"/>
      <c r="AO130" s="155"/>
      <c r="AP130" s="155"/>
      <c r="AQ130" s="155"/>
      <c r="AR130" s="155"/>
      <c r="AS130" s="156"/>
      <c r="AT130" s="157"/>
      <c r="AU130" s="157"/>
      <c r="AV130" s="158"/>
      <c r="AW130" s="158"/>
      <c r="AX130" s="158"/>
      <c r="AY130" s="158"/>
      <c r="AZ130" s="158"/>
      <c r="BA130" s="154"/>
      <c r="BB130" s="154"/>
      <c r="BC130" s="154"/>
      <c r="BD130" s="154"/>
      <c r="BE130" s="154"/>
      <c r="BF130" s="154"/>
      <c r="BG130" s="154"/>
      <c r="BH130" s="154"/>
      <c r="BI130" s="154"/>
      <c r="BJ130" s="154"/>
      <c r="BK130" s="159"/>
      <c r="BL130" s="159"/>
      <c r="BM130" s="161"/>
      <c r="BN130" s="161"/>
      <c r="BO130" s="163"/>
      <c r="BP130" s="164"/>
      <c r="BQ130" s="165"/>
      <c r="BR130" s="161"/>
      <c r="BS130" s="161"/>
      <c r="BT130" s="161"/>
      <c r="BU130" s="161"/>
      <c r="BV130" s="166"/>
      <c r="BW130" s="159"/>
      <c r="BX130" s="166"/>
      <c r="BY130" s="155"/>
      <c r="BZ130" s="167"/>
      <c r="CA130" s="159"/>
      <c r="CB130" s="168"/>
      <c r="CC130" s="155"/>
      <c r="CD130" s="159"/>
      <c r="CE130" s="161"/>
      <c r="CF130" s="162"/>
      <c r="DA130" s="113"/>
      <c r="DB130" s="113"/>
      <c r="DC130" s="113"/>
      <c r="DD130" s="115"/>
      <c r="DE130" s="88"/>
      <c r="DJ130" s="126"/>
      <c r="DK130" s="154"/>
      <c r="DL130" s="155"/>
      <c r="DM130" s="155"/>
      <c r="DN130" s="155"/>
      <c r="DO130" s="155"/>
      <c r="DP130" s="155"/>
      <c r="DQ130" s="155"/>
      <c r="DR130" s="155"/>
      <c r="DS130" s="156"/>
      <c r="DT130" s="157"/>
      <c r="DU130" s="157"/>
      <c r="DV130" s="158"/>
      <c r="DW130" s="158"/>
      <c r="DX130" s="158"/>
      <c r="DY130" s="158"/>
      <c r="DZ130" s="158"/>
      <c r="EA130" s="154"/>
      <c r="EB130" s="154"/>
      <c r="EC130" s="154"/>
      <c r="ED130" s="154"/>
      <c r="EE130" s="154"/>
      <c r="EF130" s="154"/>
      <c r="EG130" s="154"/>
      <c r="EH130" s="154"/>
      <c r="EI130" s="154"/>
      <c r="EJ130" s="154"/>
      <c r="EK130" s="159"/>
      <c r="EL130" s="159"/>
      <c r="EM130" s="161"/>
      <c r="EN130" s="161"/>
      <c r="EO130" s="163"/>
      <c r="EP130" s="164"/>
      <c r="EQ130" s="165"/>
      <c r="ER130" s="161"/>
      <c r="ES130" s="161"/>
      <c r="ET130" s="161"/>
      <c r="EU130" s="161"/>
      <c r="EV130" s="166"/>
      <c r="EW130" s="159"/>
      <c r="EX130" s="166"/>
      <c r="EY130" s="155"/>
      <c r="EZ130" s="167"/>
      <c r="FA130" s="159"/>
      <c r="FB130" s="168"/>
      <c r="FC130" s="155"/>
      <c r="FD130" s="159"/>
      <c r="FE130" s="161"/>
      <c r="FF130" s="162"/>
    </row>
    <row r="131" spans="27:162">
      <c r="AA131" s="113"/>
      <c r="AB131" s="113"/>
      <c r="AC131" s="113"/>
      <c r="AD131" s="115"/>
      <c r="AE131" s="88"/>
      <c r="AJ131" s="126"/>
      <c r="AK131" s="154"/>
      <c r="AL131" s="155"/>
      <c r="AM131" s="155"/>
      <c r="AN131" s="155"/>
      <c r="AO131" s="155"/>
      <c r="AP131" s="155"/>
      <c r="AQ131" s="155"/>
      <c r="AR131" s="155"/>
      <c r="AS131" s="156"/>
      <c r="AT131" s="157"/>
      <c r="AU131" s="157"/>
      <c r="AV131" s="158"/>
      <c r="AW131" s="158"/>
      <c r="AX131" s="158"/>
      <c r="AY131" s="158"/>
      <c r="AZ131" s="158"/>
      <c r="BA131" s="154"/>
      <c r="BB131" s="154"/>
      <c r="BC131" s="154"/>
      <c r="BD131" s="154"/>
      <c r="BE131" s="154"/>
      <c r="BF131" s="154"/>
      <c r="BG131" s="154"/>
      <c r="BH131" s="154"/>
      <c r="BI131" s="154"/>
      <c r="BJ131" s="154"/>
      <c r="BK131" s="159"/>
      <c r="BL131" s="159"/>
      <c r="BM131" s="161"/>
      <c r="BN131" s="161"/>
      <c r="BO131" s="163"/>
      <c r="BP131" s="164"/>
      <c r="BQ131" s="165"/>
      <c r="BR131" s="161"/>
      <c r="BS131" s="161"/>
      <c r="BT131" s="161"/>
      <c r="BU131" s="161"/>
      <c r="BV131" s="166"/>
      <c r="BW131" s="159"/>
      <c r="BX131" s="166"/>
      <c r="BY131" s="155"/>
      <c r="BZ131" s="167"/>
      <c r="CA131" s="159"/>
      <c r="CB131" s="168"/>
      <c r="CC131" s="155"/>
      <c r="CD131" s="159"/>
      <c r="CE131" s="161"/>
      <c r="CF131" s="162"/>
      <c r="DA131" s="113"/>
      <c r="DB131" s="113"/>
      <c r="DC131" s="113"/>
      <c r="DD131" s="115"/>
      <c r="DE131" s="88"/>
      <c r="DJ131" s="126"/>
      <c r="DK131" s="154"/>
      <c r="DL131" s="155"/>
      <c r="DM131" s="155"/>
      <c r="DN131" s="155"/>
      <c r="DO131" s="155"/>
      <c r="DP131" s="155"/>
      <c r="DQ131" s="155"/>
      <c r="DR131" s="155"/>
      <c r="DS131" s="156"/>
      <c r="DT131" s="157"/>
      <c r="DU131" s="157"/>
      <c r="DV131" s="158"/>
      <c r="DW131" s="158"/>
      <c r="DX131" s="158"/>
      <c r="DY131" s="158"/>
      <c r="DZ131" s="158"/>
      <c r="EA131" s="154"/>
      <c r="EB131" s="154"/>
      <c r="EC131" s="154"/>
      <c r="ED131" s="154"/>
      <c r="EE131" s="154"/>
      <c r="EF131" s="154"/>
      <c r="EG131" s="154"/>
      <c r="EH131" s="154"/>
      <c r="EI131" s="154"/>
      <c r="EJ131" s="154"/>
      <c r="EK131" s="159"/>
      <c r="EL131" s="159"/>
      <c r="EM131" s="161"/>
      <c r="EN131" s="161"/>
      <c r="EO131" s="163"/>
      <c r="EP131" s="164"/>
      <c r="EQ131" s="165"/>
      <c r="ER131" s="161"/>
      <c r="ES131" s="161"/>
      <c r="ET131" s="161"/>
      <c r="EU131" s="161"/>
      <c r="EV131" s="166"/>
      <c r="EW131" s="159"/>
      <c r="EX131" s="166"/>
      <c r="EY131" s="155"/>
      <c r="EZ131" s="167"/>
      <c r="FA131" s="159"/>
      <c r="FB131" s="168"/>
      <c r="FC131" s="155"/>
      <c r="FD131" s="159"/>
      <c r="FE131" s="161"/>
      <c r="FF131" s="162"/>
    </row>
    <row r="132" spans="27:162">
      <c r="AA132" s="113"/>
      <c r="AB132" s="113"/>
      <c r="AC132" s="113"/>
      <c r="AD132" s="115"/>
      <c r="AE132" s="88"/>
      <c r="AJ132" s="126"/>
      <c r="AK132" s="154"/>
      <c r="AL132" s="155"/>
      <c r="AM132" s="155"/>
      <c r="AN132" s="155"/>
      <c r="AO132" s="155"/>
      <c r="AP132" s="155"/>
      <c r="AQ132" s="155"/>
      <c r="AR132" s="155"/>
      <c r="AS132" s="156"/>
      <c r="AT132" s="157"/>
      <c r="AU132" s="157"/>
      <c r="AV132" s="158"/>
      <c r="AW132" s="158"/>
      <c r="AX132" s="158"/>
      <c r="AY132" s="158"/>
      <c r="AZ132" s="158"/>
      <c r="BA132" s="154"/>
      <c r="BB132" s="154"/>
      <c r="BC132" s="154"/>
      <c r="BD132" s="154"/>
      <c r="BE132" s="154"/>
      <c r="BF132" s="154"/>
      <c r="BG132" s="154"/>
      <c r="BH132" s="154"/>
      <c r="BI132" s="154"/>
      <c r="BJ132" s="154"/>
      <c r="BK132" s="159"/>
      <c r="BL132" s="159"/>
      <c r="BM132" s="161"/>
      <c r="BN132" s="161"/>
      <c r="BO132" s="163"/>
      <c r="BP132" s="164"/>
      <c r="BQ132" s="165"/>
      <c r="BR132" s="161"/>
      <c r="BS132" s="161"/>
      <c r="BT132" s="161"/>
      <c r="BU132" s="161"/>
      <c r="BV132" s="166"/>
      <c r="BW132" s="159"/>
      <c r="BX132" s="166"/>
      <c r="BY132" s="155"/>
      <c r="BZ132" s="167"/>
      <c r="CA132" s="159"/>
      <c r="CB132" s="168"/>
      <c r="CC132" s="155"/>
      <c r="CD132" s="159"/>
      <c r="CE132" s="161"/>
      <c r="CF132" s="162"/>
      <c r="DA132" s="113"/>
      <c r="DB132" s="113"/>
      <c r="DC132" s="113"/>
      <c r="DD132" s="115"/>
      <c r="DE132" s="88"/>
      <c r="DJ132" s="126"/>
      <c r="DK132" s="154"/>
      <c r="DL132" s="155"/>
      <c r="DM132" s="155"/>
      <c r="DN132" s="155"/>
      <c r="DO132" s="155"/>
      <c r="DP132" s="155"/>
      <c r="DQ132" s="155"/>
      <c r="DR132" s="155"/>
      <c r="DS132" s="156"/>
      <c r="DT132" s="157"/>
      <c r="DU132" s="157"/>
      <c r="DV132" s="158"/>
      <c r="DW132" s="158"/>
      <c r="DX132" s="158"/>
      <c r="DY132" s="158"/>
      <c r="DZ132" s="158"/>
      <c r="EA132" s="154"/>
      <c r="EB132" s="154"/>
      <c r="EC132" s="154"/>
      <c r="ED132" s="154"/>
      <c r="EE132" s="154"/>
      <c r="EF132" s="154"/>
      <c r="EG132" s="154"/>
      <c r="EH132" s="154"/>
      <c r="EI132" s="154"/>
      <c r="EJ132" s="154"/>
      <c r="EK132" s="159"/>
      <c r="EL132" s="159"/>
      <c r="EM132" s="161"/>
      <c r="EN132" s="161"/>
      <c r="EO132" s="163"/>
      <c r="EP132" s="164"/>
      <c r="EQ132" s="165"/>
      <c r="ER132" s="161"/>
      <c r="ES132" s="161"/>
      <c r="ET132" s="161"/>
      <c r="EU132" s="161"/>
      <c r="EV132" s="166"/>
      <c r="EW132" s="159"/>
      <c r="EX132" s="166"/>
      <c r="EY132" s="155"/>
      <c r="EZ132" s="167"/>
      <c r="FA132" s="159"/>
      <c r="FB132" s="168"/>
      <c r="FC132" s="155"/>
      <c r="FD132" s="159"/>
      <c r="FE132" s="161"/>
      <c r="FF132" s="162"/>
    </row>
    <row r="133" spans="27:162">
      <c r="AA133" s="113"/>
      <c r="AB133" s="113"/>
      <c r="AC133" s="113"/>
      <c r="AD133" s="115"/>
      <c r="AE133" s="88"/>
      <c r="AJ133" s="126"/>
      <c r="AK133" s="154"/>
      <c r="AL133" s="155"/>
      <c r="AM133" s="155"/>
      <c r="AN133" s="155"/>
      <c r="AO133" s="155"/>
      <c r="AP133" s="155"/>
      <c r="AQ133" s="155"/>
      <c r="AR133" s="155"/>
      <c r="AS133" s="156"/>
      <c r="AT133" s="157"/>
      <c r="AU133" s="157"/>
      <c r="AV133" s="158"/>
      <c r="AW133" s="158"/>
      <c r="AX133" s="158"/>
      <c r="AY133" s="158"/>
      <c r="AZ133" s="158"/>
      <c r="BA133" s="154"/>
      <c r="BB133" s="154"/>
      <c r="BC133" s="154"/>
      <c r="BD133" s="154"/>
      <c r="BE133" s="154"/>
      <c r="BF133" s="154"/>
      <c r="BG133" s="154"/>
      <c r="BH133" s="154"/>
      <c r="BI133" s="154"/>
      <c r="BJ133" s="154"/>
      <c r="BK133" s="159"/>
      <c r="BL133" s="159"/>
      <c r="BM133" s="161"/>
      <c r="BN133" s="161"/>
      <c r="BO133" s="163"/>
      <c r="BP133" s="164"/>
      <c r="BQ133" s="165"/>
      <c r="BR133" s="161"/>
      <c r="BS133" s="161"/>
      <c r="BT133" s="161"/>
      <c r="BU133" s="161"/>
      <c r="BV133" s="166"/>
      <c r="BW133" s="159"/>
      <c r="BX133" s="166"/>
      <c r="BY133" s="155"/>
      <c r="BZ133" s="167"/>
      <c r="CA133" s="159"/>
      <c r="CB133" s="168"/>
      <c r="CC133" s="155"/>
      <c r="CD133" s="159"/>
      <c r="CE133" s="161"/>
      <c r="CF133" s="162"/>
      <c r="DA133" s="113"/>
      <c r="DB133" s="113"/>
      <c r="DC133" s="113"/>
      <c r="DD133" s="115"/>
      <c r="DE133" s="88"/>
      <c r="DJ133" s="126"/>
      <c r="DK133" s="154"/>
      <c r="DL133" s="155"/>
      <c r="DM133" s="155"/>
      <c r="DN133" s="155"/>
      <c r="DO133" s="155"/>
      <c r="DP133" s="155"/>
      <c r="DQ133" s="155"/>
      <c r="DR133" s="155"/>
      <c r="DS133" s="156"/>
      <c r="DT133" s="157"/>
      <c r="DU133" s="157"/>
      <c r="DV133" s="158"/>
      <c r="DW133" s="158"/>
      <c r="DX133" s="158"/>
      <c r="DY133" s="158"/>
      <c r="DZ133" s="158"/>
      <c r="EA133" s="154"/>
      <c r="EB133" s="154"/>
      <c r="EC133" s="154"/>
      <c r="ED133" s="154"/>
      <c r="EE133" s="154"/>
      <c r="EF133" s="154"/>
      <c r="EG133" s="154"/>
      <c r="EH133" s="154"/>
      <c r="EI133" s="154"/>
      <c r="EJ133" s="154"/>
      <c r="EK133" s="159"/>
      <c r="EL133" s="159"/>
      <c r="EM133" s="161"/>
      <c r="EN133" s="161"/>
      <c r="EO133" s="163"/>
      <c r="EP133" s="164"/>
      <c r="EQ133" s="165"/>
      <c r="ER133" s="161"/>
      <c r="ES133" s="161"/>
      <c r="ET133" s="161"/>
      <c r="EU133" s="161"/>
      <c r="EV133" s="166"/>
      <c r="EW133" s="159"/>
      <c r="EX133" s="166"/>
      <c r="EY133" s="155"/>
      <c r="EZ133" s="167"/>
      <c r="FA133" s="159"/>
      <c r="FB133" s="168"/>
      <c r="FC133" s="155"/>
      <c r="FD133" s="159"/>
      <c r="FE133" s="161"/>
      <c r="FF133" s="162"/>
    </row>
    <row r="134" spans="27:162">
      <c r="AA134" s="113"/>
      <c r="AB134" s="113"/>
      <c r="AC134" s="113"/>
      <c r="AD134" s="115"/>
      <c r="AE134" s="88"/>
      <c r="AJ134" s="126"/>
      <c r="AK134" s="154"/>
      <c r="AL134" s="155"/>
      <c r="AM134" s="155"/>
      <c r="AN134" s="155"/>
      <c r="AO134" s="155"/>
      <c r="AP134" s="155"/>
      <c r="AQ134" s="155"/>
      <c r="AR134" s="155"/>
      <c r="AS134" s="156"/>
      <c r="AT134" s="157"/>
      <c r="AU134" s="157"/>
      <c r="AV134" s="158"/>
      <c r="AW134" s="158"/>
      <c r="AX134" s="158"/>
      <c r="AY134" s="158"/>
      <c r="AZ134" s="158"/>
      <c r="BA134" s="154"/>
      <c r="BB134" s="154"/>
      <c r="BC134" s="154"/>
      <c r="BD134" s="154"/>
      <c r="BE134" s="154"/>
      <c r="BF134" s="154"/>
      <c r="BG134" s="154"/>
      <c r="BH134" s="154"/>
      <c r="BI134" s="154"/>
      <c r="BJ134" s="154"/>
      <c r="BK134" s="159"/>
      <c r="BL134" s="159"/>
      <c r="BM134" s="161"/>
      <c r="BN134" s="161"/>
      <c r="BO134" s="163"/>
      <c r="BP134" s="164"/>
      <c r="BQ134" s="165"/>
      <c r="BR134" s="161"/>
      <c r="BS134" s="161"/>
      <c r="BT134" s="161"/>
      <c r="BU134" s="161"/>
      <c r="BV134" s="166"/>
      <c r="BW134" s="159"/>
      <c r="BX134" s="166"/>
      <c r="BY134" s="155"/>
      <c r="BZ134" s="167"/>
      <c r="CA134" s="159"/>
      <c r="CB134" s="168"/>
      <c r="CC134" s="155"/>
      <c r="CD134" s="159"/>
      <c r="CE134" s="161"/>
      <c r="CF134" s="162"/>
      <c r="DA134" s="113"/>
      <c r="DB134" s="113"/>
      <c r="DC134" s="113"/>
      <c r="DD134" s="115"/>
      <c r="DE134" s="88"/>
      <c r="DJ134" s="126"/>
      <c r="DK134" s="154"/>
      <c r="DL134" s="155"/>
      <c r="DM134" s="155"/>
      <c r="DN134" s="155"/>
      <c r="DO134" s="155"/>
      <c r="DP134" s="155"/>
      <c r="DQ134" s="155"/>
      <c r="DR134" s="155"/>
      <c r="DS134" s="156"/>
      <c r="DT134" s="157"/>
      <c r="DU134" s="157"/>
      <c r="DV134" s="158"/>
      <c r="DW134" s="158"/>
      <c r="DX134" s="158"/>
      <c r="DY134" s="158"/>
      <c r="DZ134" s="158"/>
      <c r="EA134" s="154"/>
      <c r="EB134" s="154"/>
      <c r="EC134" s="154"/>
      <c r="ED134" s="154"/>
      <c r="EE134" s="154"/>
      <c r="EF134" s="154"/>
      <c r="EG134" s="154"/>
      <c r="EH134" s="154"/>
      <c r="EI134" s="154"/>
      <c r="EJ134" s="154"/>
      <c r="EK134" s="159"/>
      <c r="EL134" s="159"/>
      <c r="EM134" s="161"/>
      <c r="EN134" s="161"/>
      <c r="EO134" s="163"/>
      <c r="EP134" s="164"/>
      <c r="EQ134" s="165"/>
      <c r="ER134" s="161"/>
      <c r="ES134" s="161"/>
      <c r="ET134" s="161"/>
      <c r="EU134" s="161"/>
      <c r="EV134" s="166"/>
      <c r="EW134" s="159"/>
      <c r="EX134" s="166"/>
      <c r="EY134" s="155"/>
      <c r="EZ134" s="167"/>
      <c r="FA134" s="159"/>
      <c r="FB134" s="168"/>
      <c r="FC134" s="155"/>
      <c r="FD134" s="159"/>
      <c r="FE134" s="161"/>
      <c r="FF134" s="162"/>
    </row>
    <row r="135" spans="27:162">
      <c r="AA135" s="113"/>
      <c r="AB135" s="113"/>
      <c r="AC135" s="113"/>
      <c r="AD135" s="115"/>
      <c r="AE135" s="88"/>
      <c r="AJ135" s="126"/>
      <c r="AK135" s="154"/>
      <c r="AL135" s="155"/>
      <c r="AM135" s="155"/>
      <c r="AN135" s="155"/>
      <c r="AO135" s="155"/>
      <c r="AP135" s="155"/>
      <c r="AQ135" s="155"/>
      <c r="AR135" s="155"/>
      <c r="AS135" s="156"/>
      <c r="AT135" s="157"/>
      <c r="AU135" s="157"/>
      <c r="AV135" s="158"/>
      <c r="AW135" s="158"/>
      <c r="AX135" s="158"/>
      <c r="AY135" s="158"/>
      <c r="AZ135" s="158"/>
      <c r="BA135" s="154"/>
      <c r="BB135" s="154"/>
      <c r="BC135" s="154"/>
      <c r="BD135" s="154"/>
      <c r="BE135" s="154"/>
      <c r="BF135" s="154"/>
      <c r="BG135" s="154"/>
      <c r="BH135" s="154"/>
      <c r="BI135" s="154"/>
      <c r="BJ135" s="154"/>
      <c r="BK135" s="159"/>
      <c r="BL135" s="159"/>
      <c r="BM135" s="161"/>
      <c r="BN135" s="161"/>
      <c r="BO135" s="163"/>
      <c r="BP135" s="164"/>
      <c r="BQ135" s="165"/>
      <c r="BR135" s="161"/>
      <c r="BS135" s="161"/>
      <c r="BT135" s="161"/>
      <c r="BU135" s="161"/>
      <c r="BV135" s="166"/>
      <c r="BW135" s="159"/>
      <c r="BX135" s="166"/>
      <c r="BY135" s="155"/>
      <c r="BZ135" s="167"/>
      <c r="CA135" s="159"/>
      <c r="CB135" s="168"/>
      <c r="CC135" s="155"/>
      <c r="CD135" s="159"/>
      <c r="CE135" s="161"/>
      <c r="CF135" s="162"/>
      <c r="DA135" s="113"/>
      <c r="DB135" s="113"/>
      <c r="DC135" s="113"/>
      <c r="DD135" s="115"/>
      <c r="DE135" s="88"/>
      <c r="DJ135" s="126"/>
      <c r="DK135" s="154"/>
      <c r="DL135" s="155"/>
      <c r="DM135" s="155"/>
      <c r="DN135" s="155"/>
      <c r="DO135" s="155"/>
      <c r="DP135" s="155"/>
      <c r="DQ135" s="155"/>
      <c r="DR135" s="155"/>
      <c r="DS135" s="156"/>
      <c r="DT135" s="157"/>
      <c r="DU135" s="157"/>
      <c r="DV135" s="158"/>
      <c r="DW135" s="158"/>
      <c r="DX135" s="158"/>
      <c r="DY135" s="158"/>
      <c r="DZ135" s="158"/>
      <c r="EA135" s="154"/>
      <c r="EB135" s="154"/>
      <c r="EC135" s="154"/>
      <c r="ED135" s="154"/>
      <c r="EE135" s="154"/>
      <c r="EF135" s="154"/>
      <c r="EG135" s="154"/>
      <c r="EH135" s="154"/>
      <c r="EI135" s="154"/>
      <c r="EJ135" s="154"/>
      <c r="EK135" s="159"/>
      <c r="EL135" s="159"/>
      <c r="EM135" s="161"/>
      <c r="EN135" s="161"/>
      <c r="EO135" s="163"/>
      <c r="EP135" s="164"/>
      <c r="EQ135" s="165"/>
      <c r="ER135" s="161"/>
      <c r="ES135" s="161"/>
      <c r="ET135" s="161"/>
      <c r="EU135" s="161"/>
      <c r="EV135" s="166"/>
      <c r="EW135" s="159"/>
      <c r="EX135" s="166"/>
      <c r="EY135" s="155"/>
      <c r="EZ135" s="167"/>
      <c r="FA135" s="159"/>
      <c r="FB135" s="168"/>
      <c r="FC135" s="155"/>
      <c r="FD135" s="159"/>
      <c r="FE135" s="161"/>
      <c r="FF135" s="162"/>
    </row>
    <row r="136" spans="27:162">
      <c r="AA136" s="113"/>
      <c r="AB136" s="113"/>
      <c r="AC136" s="113"/>
      <c r="AD136" s="115"/>
      <c r="AE136" s="88"/>
      <c r="AJ136" s="126"/>
      <c r="AK136" s="154"/>
      <c r="AL136" s="155"/>
      <c r="AM136" s="155"/>
      <c r="AN136" s="155"/>
      <c r="AO136" s="155"/>
      <c r="AP136" s="155"/>
      <c r="AQ136" s="155"/>
      <c r="AR136" s="155"/>
      <c r="AS136" s="156"/>
      <c r="AT136" s="157"/>
      <c r="AU136" s="157"/>
      <c r="AV136" s="158"/>
      <c r="AW136" s="158"/>
      <c r="AX136" s="158"/>
      <c r="AY136" s="158"/>
      <c r="AZ136" s="158"/>
      <c r="BA136" s="154"/>
      <c r="BB136" s="154"/>
      <c r="BC136" s="154"/>
      <c r="BD136" s="154"/>
      <c r="BE136" s="154"/>
      <c r="BF136" s="154"/>
      <c r="BG136" s="154"/>
      <c r="BH136" s="154"/>
      <c r="BI136" s="154"/>
      <c r="BJ136" s="154"/>
      <c r="BK136" s="159"/>
      <c r="BL136" s="159"/>
      <c r="BM136" s="161"/>
      <c r="BN136" s="161"/>
      <c r="BO136" s="163"/>
      <c r="BP136" s="164"/>
      <c r="BQ136" s="165"/>
      <c r="BR136" s="161"/>
      <c r="BS136" s="161"/>
      <c r="BT136" s="161"/>
      <c r="BU136" s="161"/>
      <c r="BV136" s="166"/>
      <c r="BW136" s="159"/>
      <c r="BX136" s="166"/>
      <c r="BY136" s="155"/>
      <c r="BZ136" s="167"/>
      <c r="CA136" s="159"/>
      <c r="CB136" s="168"/>
      <c r="CC136" s="155"/>
      <c r="CD136" s="159"/>
      <c r="CE136" s="161"/>
      <c r="CF136" s="162"/>
      <c r="DA136" s="113"/>
      <c r="DB136" s="113"/>
      <c r="DC136" s="113"/>
      <c r="DD136" s="115"/>
      <c r="DE136" s="88"/>
      <c r="DJ136" s="126"/>
      <c r="DK136" s="154"/>
      <c r="DL136" s="155"/>
      <c r="DM136" s="155"/>
      <c r="DN136" s="155"/>
      <c r="DO136" s="155"/>
      <c r="DP136" s="155"/>
      <c r="DQ136" s="155"/>
      <c r="DR136" s="155"/>
      <c r="DS136" s="156"/>
      <c r="DT136" s="157"/>
      <c r="DU136" s="157"/>
      <c r="DV136" s="158"/>
      <c r="DW136" s="158"/>
      <c r="DX136" s="158"/>
      <c r="DY136" s="158"/>
      <c r="DZ136" s="158"/>
      <c r="EA136" s="154"/>
      <c r="EB136" s="154"/>
      <c r="EC136" s="154"/>
      <c r="ED136" s="154"/>
      <c r="EE136" s="154"/>
      <c r="EF136" s="154"/>
      <c r="EG136" s="154"/>
      <c r="EH136" s="154"/>
      <c r="EI136" s="154"/>
      <c r="EJ136" s="154"/>
      <c r="EK136" s="159"/>
      <c r="EL136" s="159"/>
      <c r="EM136" s="161"/>
      <c r="EN136" s="161"/>
      <c r="EO136" s="163"/>
      <c r="EP136" s="164"/>
      <c r="EQ136" s="165"/>
      <c r="ER136" s="161"/>
      <c r="ES136" s="161"/>
      <c r="ET136" s="161"/>
      <c r="EU136" s="161"/>
      <c r="EV136" s="166"/>
      <c r="EW136" s="159"/>
      <c r="EX136" s="166"/>
      <c r="EY136" s="155"/>
      <c r="EZ136" s="167"/>
      <c r="FA136" s="159"/>
      <c r="FB136" s="168"/>
      <c r="FC136" s="155"/>
      <c r="FD136" s="159"/>
      <c r="FE136" s="161"/>
      <c r="FF136" s="162"/>
    </row>
    <row r="137" spans="27:162">
      <c r="AA137" s="113"/>
      <c r="AB137" s="113"/>
      <c r="AC137" s="113"/>
      <c r="AD137" s="115"/>
      <c r="AE137" s="88"/>
      <c r="AJ137" s="126"/>
      <c r="AK137" s="154"/>
      <c r="AL137" s="155"/>
      <c r="AM137" s="155"/>
      <c r="AN137" s="155"/>
      <c r="AO137" s="155"/>
      <c r="AP137" s="155"/>
      <c r="AQ137" s="155"/>
      <c r="AR137" s="155"/>
      <c r="AS137" s="156"/>
      <c r="AT137" s="157"/>
      <c r="AU137" s="157"/>
      <c r="AV137" s="158"/>
      <c r="AW137" s="158"/>
      <c r="AX137" s="158"/>
      <c r="AY137" s="158"/>
      <c r="AZ137" s="158"/>
      <c r="BA137" s="154"/>
      <c r="BB137" s="154"/>
      <c r="BC137" s="154"/>
      <c r="BD137" s="154"/>
      <c r="BE137" s="154"/>
      <c r="BF137" s="154"/>
      <c r="BG137" s="154"/>
      <c r="BH137" s="154"/>
      <c r="BI137" s="154"/>
      <c r="BJ137" s="154"/>
      <c r="BK137" s="159"/>
      <c r="BL137" s="159"/>
      <c r="BM137" s="161"/>
      <c r="BN137" s="161"/>
      <c r="BO137" s="163"/>
      <c r="BP137" s="164"/>
      <c r="BQ137" s="165"/>
      <c r="BR137" s="161"/>
      <c r="BS137" s="161"/>
      <c r="BT137" s="161"/>
      <c r="BU137" s="161"/>
      <c r="BV137" s="166"/>
      <c r="BW137" s="159"/>
      <c r="BX137" s="166"/>
      <c r="BY137" s="155"/>
      <c r="BZ137" s="167"/>
      <c r="CA137" s="159"/>
      <c r="CB137" s="168"/>
      <c r="CC137" s="155"/>
      <c r="CD137" s="159"/>
      <c r="CE137" s="161"/>
      <c r="CF137" s="162"/>
      <c r="DA137" s="113"/>
      <c r="DB137" s="113"/>
      <c r="DC137" s="113"/>
      <c r="DD137" s="115"/>
      <c r="DE137" s="88"/>
      <c r="DJ137" s="126"/>
      <c r="DK137" s="154"/>
      <c r="DL137" s="155"/>
      <c r="DM137" s="155"/>
      <c r="DN137" s="155"/>
      <c r="DO137" s="155"/>
      <c r="DP137" s="155"/>
      <c r="DQ137" s="155"/>
      <c r="DR137" s="155"/>
      <c r="DS137" s="156"/>
      <c r="DT137" s="157"/>
      <c r="DU137" s="157"/>
      <c r="DV137" s="158"/>
      <c r="DW137" s="158"/>
      <c r="DX137" s="158"/>
      <c r="DY137" s="158"/>
      <c r="DZ137" s="158"/>
      <c r="EA137" s="154"/>
      <c r="EB137" s="154"/>
      <c r="EC137" s="154"/>
      <c r="ED137" s="154"/>
      <c r="EE137" s="154"/>
      <c r="EF137" s="154"/>
      <c r="EG137" s="154"/>
      <c r="EH137" s="154"/>
      <c r="EI137" s="154"/>
      <c r="EJ137" s="154"/>
      <c r="EK137" s="159"/>
      <c r="EL137" s="159"/>
      <c r="EM137" s="161"/>
      <c r="EN137" s="161"/>
      <c r="EO137" s="163"/>
      <c r="EP137" s="164"/>
      <c r="EQ137" s="165"/>
      <c r="ER137" s="161"/>
      <c r="ES137" s="161"/>
      <c r="ET137" s="161"/>
      <c r="EU137" s="161"/>
      <c r="EV137" s="166"/>
      <c r="EW137" s="159"/>
      <c r="EX137" s="166"/>
      <c r="EY137" s="155"/>
      <c r="EZ137" s="167"/>
      <c r="FA137" s="159"/>
      <c r="FB137" s="168"/>
      <c r="FC137" s="155"/>
      <c r="FD137" s="159"/>
      <c r="FE137" s="161"/>
      <c r="FF137" s="162"/>
    </row>
    <row r="138" spans="27:162">
      <c r="AA138" s="113"/>
      <c r="AB138" s="113"/>
      <c r="AC138" s="113"/>
      <c r="AD138" s="115"/>
      <c r="AE138" s="88"/>
      <c r="AJ138" s="126"/>
      <c r="AK138" s="154"/>
      <c r="AL138" s="155"/>
      <c r="AM138" s="155"/>
      <c r="AN138" s="155"/>
      <c r="AO138" s="155"/>
      <c r="AP138" s="155"/>
      <c r="AQ138" s="155"/>
      <c r="AR138" s="155"/>
      <c r="AS138" s="156"/>
      <c r="AT138" s="157"/>
      <c r="AU138" s="157"/>
      <c r="AV138" s="158"/>
      <c r="AW138" s="158"/>
      <c r="AX138" s="158"/>
      <c r="AY138" s="158"/>
      <c r="AZ138" s="158"/>
      <c r="BA138" s="154"/>
      <c r="BB138" s="154"/>
      <c r="BC138" s="154"/>
      <c r="BD138" s="154"/>
      <c r="BE138" s="154"/>
      <c r="BF138" s="154"/>
      <c r="BG138" s="154"/>
      <c r="BH138" s="154"/>
      <c r="BI138" s="154"/>
      <c r="BJ138" s="154"/>
      <c r="BK138" s="159"/>
      <c r="BL138" s="159"/>
      <c r="BM138" s="161"/>
      <c r="BN138" s="161"/>
      <c r="BO138" s="163"/>
      <c r="BP138" s="164"/>
      <c r="BQ138" s="165"/>
      <c r="BR138" s="161"/>
      <c r="BS138" s="161"/>
      <c r="BT138" s="161"/>
      <c r="BU138" s="161"/>
      <c r="BV138" s="166"/>
      <c r="BW138" s="159"/>
      <c r="BX138" s="166"/>
      <c r="BY138" s="155"/>
      <c r="BZ138" s="167"/>
      <c r="CA138" s="159"/>
      <c r="CB138" s="168"/>
      <c r="CC138" s="155"/>
      <c r="CD138" s="159"/>
      <c r="CE138" s="161"/>
      <c r="CF138" s="162"/>
      <c r="DA138" s="113"/>
      <c r="DB138" s="113"/>
      <c r="DC138" s="113"/>
      <c r="DD138" s="115"/>
      <c r="DE138" s="88"/>
      <c r="DJ138" s="126"/>
      <c r="DK138" s="154"/>
      <c r="DL138" s="155"/>
      <c r="DM138" s="155"/>
      <c r="DN138" s="155"/>
      <c r="DO138" s="155"/>
      <c r="DP138" s="155"/>
      <c r="DQ138" s="155"/>
      <c r="DR138" s="155"/>
      <c r="DS138" s="156"/>
      <c r="DT138" s="157"/>
      <c r="DU138" s="157"/>
      <c r="DV138" s="158"/>
      <c r="DW138" s="158"/>
      <c r="DX138" s="158"/>
      <c r="DY138" s="158"/>
      <c r="DZ138" s="158"/>
      <c r="EA138" s="154"/>
      <c r="EB138" s="154"/>
      <c r="EC138" s="154"/>
      <c r="ED138" s="154"/>
      <c r="EE138" s="154"/>
      <c r="EF138" s="154"/>
      <c r="EG138" s="154"/>
      <c r="EH138" s="154"/>
      <c r="EI138" s="154"/>
      <c r="EJ138" s="154"/>
      <c r="EK138" s="159"/>
      <c r="EL138" s="159"/>
      <c r="EM138" s="161"/>
      <c r="EN138" s="161"/>
      <c r="EO138" s="163"/>
      <c r="EP138" s="164"/>
      <c r="EQ138" s="165"/>
      <c r="ER138" s="161"/>
      <c r="ES138" s="161"/>
      <c r="ET138" s="161"/>
      <c r="EU138" s="161"/>
      <c r="EV138" s="166"/>
      <c r="EW138" s="159"/>
      <c r="EX138" s="166"/>
      <c r="EY138" s="155"/>
      <c r="EZ138" s="167"/>
      <c r="FA138" s="159"/>
      <c r="FB138" s="168"/>
      <c r="FC138" s="155"/>
      <c r="FD138" s="159"/>
      <c r="FE138" s="161"/>
      <c r="FF138" s="162"/>
    </row>
    <row r="139" spans="27:162">
      <c r="AA139" s="113"/>
      <c r="AB139" s="113"/>
      <c r="AC139" s="113"/>
      <c r="AD139" s="115"/>
      <c r="AE139" s="88"/>
      <c r="AJ139" s="126"/>
      <c r="AK139" s="154"/>
      <c r="AL139" s="155"/>
      <c r="AM139" s="155"/>
      <c r="AN139" s="155"/>
      <c r="AO139" s="155"/>
      <c r="AP139" s="155"/>
      <c r="AQ139" s="155"/>
      <c r="AR139" s="155"/>
      <c r="AS139" s="156"/>
      <c r="AT139" s="157"/>
      <c r="AU139" s="157"/>
      <c r="AV139" s="158"/>
      <c r="AW139" s="158"/>
      <c r="AX139" s="158"/>
      <c r="AY139" s="158"/>
      <c r="AZ139" s="158"/>
      <c r="BA139" s="154"/>
      <c r="BB139" s="154"/>
      <c r="BC139" s="154"/>
      <c r="BD139" s="154"/>
      <c r="BE139" s="154"/>
      <c r="BF139" s="154"/>
      <c r="BG139" s="154"/>
      <c r="BH139" s="154"/>
      <c r="BI139" s="154"/>
      <c r="BJ139" s="154"/>
      <c r="BK139" s="159"/>
      <c r="BL139" s="159"/>
      <c r="BM139" s="161"/>
      <c r="BN139" s="161"/>
      <c r="BO139" s="163"/>
      <c r="BP139" s="164"/>
      <c r="BQ139" s="165"/>
      <c r="BR139" s="161"/>
      <c r="BS139" s="161"/>
      <c r="BT139" s="161"/>
      <c r="BU139" s="161"/>
      <c r="BV139" s="166"/>
      <c r="BW139" s="159"/>
      <c r="BX139" s="166"/>
      <c r="BY139" s="155"/>
      <c r="BZ139" s="167"/>
      <c r="CA139" s="159"/>
      <c r="CB139" s="168"/>
      <c r="CC139" s="155"/>
      <c r="CD139" s="159"/>
      <c r="CE139" s="161"/>
      <c r="CF139" s="162"/>
      <c r="DA139" s="113"/>
      <c r="DB139" s="113"/>
      <c r="DC139" s="113"/>
      <c r="DD139" s="115"/>
      <c r="DE139" s="88"/>
      <c r="DJ139" s="126"/>
      <c r="DK139" s="154"/>
      <c r="DL139" s="155"/>
      <c r="DM139" s="155"/>
      <c r="DN139" s="155"/>
      <c r="DO139" s="155"/>
      <c r="DP139" s="155"/>
      <c r="DQ139" s="155"/>
      <c r="DR139" s="155"/>
      <c r="DS139" s="156"/>
      <c r="DT139" s="157"/>
      <c r="DU139" s="157"/>
      <c r="DV139" s="158"/>
      <c r="DW139" s="158"/>
      <c r="DX139" s="158"/>
      <c r="DY139" s="158"/>
      <c r="DZ139" s="158"/>
      <c r="EA139" s="154"/>
      <c r="EB139" s="154"/>
      <c r="EC139" s="154"/>
      <c r="ED139" s="154"/>
      <c r="EE139" s="154"/>
      <c r="EF139" s="154"/>
      <c r="EG139" s="154"/>
      <c r="EH139" s="154"/>
      <c r="EI139" s="154"/>
      <c r="EJ139" s="154"/>
      <c r="EK139" s="159"/>
      <c r="EL139" s="159"/>
      <c r="EM139" s="161"/>
      <c r="EN139" s="161"/>
      <c r="EO139" s="163"/>
      <c r="EP139" s="164"/>
      <c r="EQ139" s="165"/>
      <c r="ER139" s="161"/>
      <c r="ES139" s="161"/>
      <c r="ET139" s="161"/>
      <c r="EU139" s="161"/>
      <c r="EV139" s="166"/>
      <c r="EW139" s="159"/>
      <c r="EX139" s="166"/>
      <c r="EY139" s="155"/>
      <c r="EZ139" s="167"/>
      <c r="FA139" s="159"/>
      <c r="FB139" s="168"/>
      <c r="FC139" s="155"/>
      <c r="FD139" s="159"/>
      <c r="FE139" s="161"/>
      <c r="FF139" s="162"/>
    </row>
    <row r="140" spans="27:162">
      <c r="AA140" s="113"/>
      <c r="AB140" s="113"/>
      <c r="AC140" s="113"/>
      <c r="AD140" s="115"/>
      <c r="AE140" s="88"/>
      <c r="AJ140" s="126"/>
      <c r="AK140" s="154"/>
      <c r="AL140" s="155"/>
      <c r="AM140" s="155"/>
      <c r="AN140" s="155"/>
      <c r="AO140" s="155"/>
      <c r="AP140" s="155"/>
      <c r="AQ140" s="155"/>
      <c r="AR140" s="155"/>
      <c r="AS140" s="156"/>
      <c r="AT140" s="157"/>
      <c r="AU140" s="157"/>
      <c r="AV140" s="158"/>
      <c r="AW140" s="158"/>
      <c r="AX140" s="158"/>
      <c r="AY140" s="158"/>
      <c r="AZ140" s="158"/>
      <c r="BA140" s="154"/>
      <c r="BB140" s="154"/>
      <c r="BC140" s="154"/>
      <c r="BD140" s="154"/>
      <c r="BE140" s="154"/>
      <c r="BF140" s="154"/>
      <c r="BG140" s="154"/>
      <c r="BH140" s="154"/>
      <c r="BI140" s="154"/>
      <c r="BJ140" s="154"/>
      <c r="BK140" s="159"/>
      <c r="BL140" s="159"/>
      <c r="BM140" s="161"/>
      <c r="BN140" s="161"/>
      <c r="BO140" s="163"/>
      <c r="BP140" s="164"/>
      <c r="BQ140" s="165"/>
      <c r="BR140" s="161"/>
      <c r="BS140" s="161"/>
      <c r="BT140" s="161"/>
      <c r="BU140" s="161"/>
      <c r="BV140" s="166"/>
      <c r="BW140" s="159"/>
      <c r="BX140" s="166"/>
      <c r="BY140" s="155"/>
      <c r="BZ140" s="167"/>
      <c r="CA140" s="159"/>
      <c r="CB140" s="168"/>
      <c r="CC140" s="155"/>
      <c r="CD140" s="159"/>
      <c r="CE140" s="161"/>
      <c r="CF140" s="162"/>
      <c r="DA140" s="113"/>
      <c r="DB140" s="113"/>
      <c r="DC140" s="113"/>
      <c r="DD140" s="115"/>
      <c r="DE140" s="88"/>
      <c r="DJ140" s="126"/>
      <c r="DK140" s="154"/>
      <c r="DL140" s="155"/>
      <c r="DM140" s="155"/>
      <c r="DN140" s="155"/>
      <c r="DO140" s="155"/>
      <c r="DP140" s="155"/>
      <c r="DQ140" s="155"/>
      <c r="DR140" s="155"/>
      <c r="DS140" s="156"/>
      <c r="DT140" s="157"/>
      <c r="DU140" s="157"/>
      <c r="DV140" s="158"/>
      <c r="DW140" s="158"/>
      <c r="DX140" s="158"/>
      <c r="DY140" s="158"/>
      <c r="DZ140" s="158"/>
      <c r="EA140" s="154"/>
      <c r="EB140" s="154"/>
      <c r="EC140" s="154"/>
      <c r="ED140" s="154"/>
      <c r="EE140" s="154"/>
      <c r="EF140" s="154"/>
      <c r="EG140" s="154"/>
      <c r="EH140" s="154"/>
      <c r="EI140" s="154"/>
      <c r="EJ140" s="154"/>
      <c r="EK140" s="159"/>
      <c r="EL140" s="159"/>
      <c r="EM140" s="161"/>
      <c r="EN140" s="161"/>
      <c r="EO140" s="163"/>
      <c r="EP140" s="164"/>
      <c r="EQ140" s="165"/>
      <c r="ER140" s="161"/>
      <c r="ES140" s="161"/>
      <c r="ET140" s="161"/>
      <c r="EU140" s="161"/>
      <c r="EV140" s="166"/>
      <c r="EW140" s="159"/>
      <c r="EX140" s="166"/>
      <c r="EY140" s="155"/>
      <c r="EZ140" s="167"/>
      <c r="FA140" s="159"/>
      <c r="FB140" s="168"/>
      <c r="FC140" s="155"/>
      <c r="FD140" s="159"/>
      <c r="FE140" s="161"/>
      <c r="FF140" s="162"/>
    </row>
    <row r="141" spans="27:162">
      <c r="AA141" s="113"/>
      <c r="AB141" s="113"/>
      <c r="AC141" s="113"/>
      <c r="AD141" s="115"/>
      <c r="AE141" s="88"/>
      <c r="AJ141" s="126"/>
      <c r="AK141" s="154"/>
      <c r="AL141" s="155"/>
      <c r="AM141" s="155"/>
      <c r="AN141" s="155"/>
      <c r="AO141" s="155"/>
      <c r="AP141" s="155"/>
      <c r="AQ141" s="155"/>
      <c r="AR141" s="155"/>
      <c r="AS141" s="156"/>
      <c r="AT141" s="157"/>
      <c r="AU141" s="157"/>
      <c r="AV141" s="158"/>
      <c r="AW141" s="158"/>
      <c r="AX141" s="158"/>
      <c r="AY141" s="158"/>
      <c r="AZ141" s="158"/>
      <c r="BA141" s="154"/>
      <c r="BB141" s="154"/>
      <c r="BC141" s="154"/>
      <c r="BD141" s="154"/>
      <c r="BE141" s="154"/>
      <c r="BF141" s="154"/>
      <c r="BG141" s="154"/>
      <c r="BH141" s="154"/>
      <c r="BI141" s="154"/>
      <c r="BJ141" s="154"/>
      <c r="BK141" s="159"/>
      <c r="BL141" s="159"/>
      <c r="BM141" s="161"/>
      <c r="BN141" s="161"/>
      <c r="BO141" s="163"/>
      <c r="BP141" s="164"/>
      <c r="BQ141" s="165"/>
      <c r="BR141" s="161"/>
      <c r="BS141" s="161"/>
      <c r="BT141" s="161"/>
      <c r="BU141" s="161"/>
      <c r="BV141" s="166"/>
      <c r="BW141" s="159"/>
      <c r="BX141" s="166"/>
      <c r="BY141" s="155"/>
      <c r="BZ141" s="167"/>
      <c r="CA141" s="159"/>
      <c r="CB141" s="168"/>
      <c r="CC141" s="155"/>
      <c r="CD141" s="159"/>
      <c r="CE141" s="161"/>
      <c r="CF141" s="162"/>
      <c r="DA141" s="113"/>
      <c r="DB141" s="113"/>
      <c r="DC141" s="113"/>
      <c r="DD141" s="115"/>
      <c r="DE141" s="88"/>
      <c r="DJ141" s="126"/>
      <c r="DK141" s="154"/>
      <c r="DL141" s="155"/>
      <c r="DM141" s="155"/>
      <c r="DN141" s="155"/>
      <c r="DO141" s="155"/>
      <c r="DP141" s="155"/>
      <c r="DQ141" s="155"/>
      <c r="DR141" s="155"/>
      <c r="DS141" s="156"/>
      <c r="DT141" s="157"/>
      <c r="DU141" s="157"/>
      <c r="DV141" s="158"/>
      <c r="DW141" s="158"/>
      <c r="DX141" s="158"/>
      <c r="DY141" s="158"/>
      <c r="DZ141" s="158"/>
      <c r="EA141" s="154"/>
      <c r="EB141" s="154"/>
      <c r="EC141" s="154"/>
      <c r="ED141" s="154"/>
      <c r="EE141" s="154"/>
      <c r="EF141" s="154"/>
      <c r="EG141" s="154"/>
      <c r="EH141" s="154"/>
      <c r="EI141" s="154"/>
      <c r="EJ141" s="154"/>
      <c r="EK141" s="159"/>
      <c r="EL141" s="159"/>
      <c r="EM141" s="161"/>
      <c r="EN141" s="161"/>
      <c r="EO141" s="163"/>
      <c r="EP141" s="164"/>
      <c r="EQ141" s="165"/>
      <c r="ER141" s="161"/>
      <c r="ES141" s="161"/>
      <c r="ET141" s="161"/>
      <c r="EU141" s="161"/>
      <c r="EV141" s="166"/>
      <c r="EW141" s="159"/>
      <c r="EX141" s="166"/>
      <c r="EY141" s="155"/>
      <c r="EZ141" s="167"/>
      <c r="FA141" s="159"/>
      <c r="FB141" s="168"/>
      <c r="FC141" s="155"/>
      <c r="FD141" s="159"/>
      <c r="FE141" s="161"/>
      <c r="FF141" s="162"/>
    </row>
    <row r="142" spans="27:162">
      <c r="AA142" s="113"/>
      <c r="AB142" s="113"/>
      <c r="AC142" s="113"/>
      <c r="AD142" s="115"/>
      <c r="AE142" s="88"/>
      <c r="AJ142" s="126"/>
      <c r="AK142" s="154"/>
      <c r="AL142" s="155"/>
      <c r="AM142" s="155"/>
      <c r="AN142" s="155"/>
      <c r="AO142" s="155"/>
      <c r="AP142" s="155"/>
      <c r="AQ142" s="155"/>
      <c r="AR142" s="155"/>
      <c r="AS142" s="156"/>
      <c r="AT142" s="157"/>
      <c r="AU142" s="157"/>
      <c r="AV142" s="158"/>
      <c r="AW142" s="158"/>
      <c r="AX142" s="158"/>
      <c r="AY142" s="158"/>
      <c r="AZ142" s="158"/>
      <c r="BA142" s="154"/>
      <c r="BB142" s="154"/>
      <c r="BC142" s="154"/>
      <c r="BD142" s="154"/>
      <c r="BE142" s="154"/>
      <c r="BF142" s="154"/>
      <c r="BG142" s="154"/>
      <c r="BH142" s="154"/>
      <c r="BI142" s="154"/>
      <c r="BJ142" s="154"/>
      <c r="BK142" s="159"/>
      <c r="BL142" s="159"/>
      <c r="BM142" s="161"/>
      <c r="BN142" s="161"/>
      <c r="BO142" s="163"/>
      <c r="BP142" s="164"/>
      <c r="BQ142" s="165"/>
      <c r="BR142" s="161"/>
      <c r="BS142" s="161"/>
      <c r="BT142" s="161"/>
      <c r="BU142" s="161"/>
      <c r="BV142" s="166"/>
      <c r="BW142" s="159"/>
      <c r="BX142" s="166"/>
      <c r="BY142" s="155"/>
      <c r="BZ142" s="167"/>
      <c r="CA142" s="159"/>
      <c r="CB142" s="168"/>
      <c r="CC142" s="155"/>
      <c r="CD142" s="159"/>
      <c r="CE142" s="161"/>
      <c r="CF142" s="162"/>
      <c r="DA142" s="113"/>
      <c r="DB142" s="113"/>
      <c r="DC142" s="113"/>
      <c r="DD142" s="115"/>
      <c r="DE142" s="88"/>
      <c r="DJ142" s="126"/>
      <c r="DK142" s="154"/>
      <c r="DL142" s="155"/>
      <c r="DM142" s="155"/>
      <c r="DN142" s="155"/>
      <c r="DO142" s="155"/>
      <c r="DP142" s="155"/>
      <c r="DQ142" s="155"/>
      <c r="DR142" s="155"/>
      <c r="DS142" s="156"/>
      <c r="DT142" s="157"/>
      <c r="DU142" s="157"/>
      <c r="DV142" s="158"/>
      <c r="DW142" s="158"/>
      <c r="DX142" s="158"/>
      <c r="DY142" s="158"/>
      <c r="DZ142" s="158"/>
      <c r="EA142" s="154"/>
      <c r="EB142" s="154"/>
      <c r="EC142" s="154"/>
      <c r="ED142" s="154"/>
      <c r="EE142" s="154"/>
      <c r="EF142" s="154"/>
      <c r="EG142" s="154"/>
      <c r="EH142" s="154"/>
      <c r="EI142" s="154"/>
      <c r="EJ142" s="154"/>
      <c r="EK142" s="159"/>
      <c r="EL142" s="159"/>
      <c r="EM142" s="161"/>
      <c r="EN142" s="161"/>
      <c r="EO142" s="163"/>
      <c r="EP142" s="164"/>
      <c r="EQ142" s="165"/>
      <c r="ER142" s="161"/>
      <c r="ES142" s="161"/>
      <c r="ET142" s="161"/>
      <c r="EU142" s="161"/>
      <c r="EV142" s="166"/>
      <c r="EW142" s="159"/>
      <c r="EX142" s="166"/>
      <c r="EY142" s="155"/>
      <c r="EZ142" s="167"/>
      <c r="FA142" s="159"/>
      <c r="FB142" s="168"/>
      <c r="FC142" s="155"/>
      <c r="FD142" s="159"/>
      <c r="FE142" s="161"/>
      <c r="FF142" s="162"/>
    </row>
    <row r="143" spans="27:162">
      <c r="AA143" s="113"/>
      <c r="AB143" s="113"/>
      <c r="AC143" s="113"/>
      <c r="AD143" s="115"/>
      <c r="AE143" s="88"/>
      <c r="AJ143" s="126"/>
      <c r="AK143" s="154"/>
      <c r="AL143" s="155"/>
      <c r="AM143" s="155"/>
      <c r="AN143" s="155"/>
      <c r="AO143" s="155"/>
      <c r="AP143" s="155"/>
      <c r="AQ143" s="155"/>
      <c r="AR143" s="155"/>
      <c r="AS143" s="156"/>
      <c r="AT143" s="157"/>
      <c r="AU143" s="157"/>
      <c r="AV143" s="158"/>
      <c r="AW143" s="158"/>
      <c r="AX143" s="158"/>
      <c r="AY143" s="158"/>
      <c r="AZ143" s="158"/>
      <c r="BA143" s="154"/>
      <c r="BB143" s="154"/>
      <c r="BC143" s="154"/>
      <c r="BD143" s="154"/>
      <c r="BE143" s="154"/>
      <c r="BF143" s="154"/>
      <c r="BG143" s="154"/>
      <c r="BH143" s="154"/>
      <c r="BI143" s="154"/>
      <c r="BJ143" s="154"/>
      <c r="BK143" s="159"/>
      <c r="BL143" s="159"/>
      <c r="BM143" s="161"/>
      <c r="BN143" s="161"/>
      <c r="BO143" s="163"/>
      <c r="BP143" s="164"/>
      <c r="BQ143" s="165"/>
      <c r="BR143" s="161"/>
      <c r="BS143" s="161"/>
      <c r="BT143" s="161"/>
      <c r="BU143" s="161"/>
      <c r="BV143" s="166"/>
      <c r="BW143" s="159"/>
      <c r="BX143" s="166"/>
      <c r="BY143" s="155"/>
      <c r="BZ143" s="167"/>
      <c r="CA143" s="159"/>
      <c r="CB143" s="168"/>
      <c r="CC143" s="155"/>
      <c r="CD143" s="159"/>
      <c r="CE143" s="161"/>
      <c r="CF143" s="162"/>
      <c r="DA143" s="113"/>
      <c r="DB143" s="113"/>
      <c r="DC143" s="113"/>
      <c r="DD143" s="115"/>
      <c r="DE143" s="88"/>
      <c r="DJ143" s="126"/>
      <c r="DK143" s="154"/>
      <c r="DL143" s="155"/>
      <c r="DM143" s="155"/>
      <c r="DN143" s="155"/>
      <c r="DO143" s="155"/>
      <c r="DP143" s="155"/>
      <c r="DQ143" s="155"/>
      <c r="DR143" s="155"/>
      <c r="DS143" s="156"/>
      <c r="DT143" s="157"/>
      <c r="DU143" s="157"/>
      <c r="DV143" s="158"/>
      <c r="DW143" s="158"/>
      <c r="DX143" s="158"/>
      <c r="DY143" s="158"/>
      <c r="DZ143" s="158"/>
      <c r="EA143" s="154"/>
      <c r="EB143" s="154"/>
      <c r="EC143" s="154"/>
      <c r="ED143" s="154"/>
      <c r="EE143" s="154"/>
      <c r="EF143" s="154"/>
      <c r="EG143" s="154"/>
      <c r="EH143" s="154"/>
      <c r="EI143" s="154"/>
      <c r="EJ143" s="154"/>
      <c r="EK143" s="159"/>
      <c r="EL143" s="159"/>
      <c r="EM143" s="161"/>
      <c r="EN143" s="161"/>
      <c r="EO143" s="163"/>
      <c r="EP143" s="164"/>
      <c r="EQ143" s="165"/>
      <c r="ER143" s="161"/>
      <c r="ES143" s="161"/>
      <c r="ET143" s="161"/>
      <c r="EU143" s="161"/>
      <c r="EV143" s="166"/>
      <c r="EW143" s="159"/>
      <c r="EX143" s="166"/>
      <c r="EY143" s="155"/>
      <c r="EZ143" s="167"/>
      <c r="FA143" s="159"/>
      <c r="FB143" s="168"/>
      <c r="FC143" s="155"/>
      <c r="FD143" s="159"/>
      <c r="FE143" s="161"/>
      <c r="FF143" s="162"/>
    </row>
    <row r="144" spans="27:162">
      <c r="AA144" s="113"/>
      <c r="AB144" s="113"/>
      <c r="AC144" s="113"/>
      <c r="AD144" s="115"/>
      <c r="AE144" s="88"/>
      <c r="AJ144" s="126"/>
      <c r="AK144" s="154"/>
      <c r="AL144" s="155"/>
      <c r="AM144" s="155"/>
      <c r="AN144" s="155"/>
      <c r="AO144" s="155"/>
      <c r="AP144" s="155"/>
      <c r="AQ144" s="155"/>
      <c r="AR144" s="155"/>
      <c r="AS144" s="156"/>
      <c r="AT144" s="157"/>
      <c r="AU144" s="157"/>
      <c r="AV144" s="158"/>
      <c r="AW144" s="158"/>
      <c r="AX144" s="158"/>
      <c r="AY144" s="158"/>
      <c r="AZ144" s="158"/>
      <c r="BA144" s="154"/>
      <c r="BB144" s="154"/>
      <c r="BC144" s="154"/>
      <c r="BD144" s="154"/>
      <c r="BE144" s="154"/>
      <c r="BF144" s="154"/>
      <c r="BG144" s="154"/>
      <c r="BH144" s="154"/>
      <c r="BI144" s="154"/>
      <c r="BJ144" s="154"/>
      <c r="BK144" s="159"/>
      <c r="BL144" s="159"/>
      <c r="BM144" s="161"/>
      <c r="BN144" s="161"/>
      <c r="BO144" s="163"/>
      <c r="BP144" s="164"/>
      <c r="BQ144" s="165"/>
      <c r="BR144" s="161"/>
      <c r="BS144" s="161"/>
      <c r="BT144" s="161"/>
      <c r="BU144" s="161"/>
      <c r="BV144" s="166"/>
      <c r="BW144" s="159"/>
      <c r="BX144" s="166"/>
      <c r="BY144" s="155"/>
      <c r="BZ144" s="167"/>
      <c r="CA144" s="159"/>
      <c r="CB144" s="168"/>
      <c r="CC144" s="155"/>
      <c r="CD144" s="159"/>
      <c r="CE144" s="161"/>
      <c r="CF144" s="162"/>
      <c r="DA144" s="113"/>
      <c r="DB144" s="113"/>
      <c r="DC144" s="113"/>
      <c r="DD144" s="115"/>
      <c r="DE144" s="88"/>
      <c r="DJ144" s="126"/>
      <c r="DK144" s="154"/>
      <c r="DL144" s="155"/>
      <c r="DM144" s="155"/>
      <c r="DN144" s="155"/>
      <c r="DO144" s="155"/>
      <c r="DP144" s="155"/>
      <c r="DQ144" s="155"/>
      <c r="DR144" s="155"/>
      <c r="DS144" s="156"/>
      <c r="DT144" s="157"/>
      <c r="DU144" s="157"/>
      <c r="DV144" s="158"/>
      <c r="DW144" s="158"/>
      <c r="DX144" s="158"/>
      <c r="DY144" s="158"/>
      <c r="DZ144" s="158"/>
      <c r="EA144" s="154"/>
      <c r="EB144" s="154"/>
      <c r="EC144" s="154"/>
      <c r="ED144" s="154"/>
      <c r="EE144" s="154"/>
      <c r="EF144" s="154"/>
      <c r="EG144" s="154"/>
      <c r="EH144" s="154"/>
      <c r="EI144" s="154"/>
      <c r="EJ144" s="154"/>
      <c r="EK144" s="159"/>
      <c r="EL144" s="159"/>
      <c r="EM144" s="161"/>
      <c r="EN144" s="161"/>
      <c r="EO144" s="163"/>
      <c r="EP144" s="164"/>
      <c r="EQ144" s="165"/>
      <c r="ER144" s="161"/>
      <c r="ES144" s="161"/>
      <c r="ET144" s="161"/>
      <c r="EU144" s="161"/>
      <c r="EV144" s="166"/>
      <c r="EW144" s="159"/>
      <c r="EX144" s="166"/>
      <c r="EY144" s="155"/>
      <c r="EZ144" s="167"/>
      <c r="FA144" s="159"/>
      <c r="FB144" s="168"/>
      <c r="FC144" s="155"/>
      <c r="FD144" s="159"/>
      <c r="FE144" s="161"/>
      <c r="FF144" s="162"/>
    </row>
    <row r="145" spans="27:162">
      <c r="AA145" s="113"/>
      <c r="AB145" s="113"/>
      <c r="AC145" s="113"/>
      <c r="AD145" s="115"/>
      <c r="AE145" s="88"/>
      <c r="AJ145" s="126"/>
      <c r="AK145" s="154"/>
      <c r="AL145" s="155"/>
      <c r="AM145" s="155"/>
      <c r="AN145" s="155"/>
      <c r="AO145" s="155"/>
      <c r="AP145" s="155"/>
      <c r="AQ145" s="155"/>
      <c r="AR145" s="155"/>
      <c r="AS145" s="156"/>
      <c r="AT145" s="157"/>
      <c r="AU145" s="157"/>
      <c r="AV145" s="158"/>
      <c r="AW145" s="158"/>
      <c r="AX145" s="158"/>
      <c r="AY145" s="158"/>
      <c r="AZ145" s="158"/>
      <c r="BA145" s="154"/>
      <c r="BB145" s="154"/>
      <c r="BC145" s="154"/>
      <c r="BD145" s="154"/>
      <c r="BE145" s="154"/>
      <c r="BF145" s="154"/>
      <c r="BG145" s="154"/>
      <c r="BH145" s="154"/>
      <c r="BI145" s="154"/>
      <c r="BJ145" s="154"/>
      <c r="BK145" s="159"/>
      <c r="BL145" s="159"/>
      <c r="BM145" s="161"/>
      <c r="BN145" s="161"/>
      <c r="BO145" s="163"/>
      <c r="BP145" s="164"/>
      <c r="BQ145" s="165"/>
      <c r="BR145" s="161"/>
      <c r="BS145" s="161"/>
      <c r="BT145" s="161"/>
      <c r="BU145" s="161"/>
      <c r="BV145" s="166"/>
      <c r="BW145" s="159"/>
      <c r="BX145" s="166"/>
      <c r="BY145" s="155"/>
      <c r="BZ145" s="167"/>
      <c r="CA145" s="159"/>
      <c r="CB145" s="168"/>
      <c r="CC145" s="155"/>
      <c r="CD145" s="159"/>
      <c r="CE145" s="161"/>
      <c r="CF145" s="162"/>
      <c r="DA145" s="113"/>
      <c r="DB145" s="113"/>
      <c r="DC145" s="113"/>
      <c r="DD145" s="115"/>
      <c r="DE145" s="88"/>
      <c r="DJ145" s="126"/>
      <c r="DK145" s="154"/>
      <c r="DL145" s="155"/>
      <c r="DM145" s="155"/>
      <c r="DN145" s="155"/>
      <c r="DO145" s="155"/>
      <c r="DP145" s="155"/>
      <c r="DQ145" s="155"/>
      <c r="DR145" s="155"/>
      <c r="DS145" s="156"/>
      <c r="DT145" s="157"/>
      <c r="DU145" s="157"/>
      <c r="DV145" s="158"/>
      <c r="DW145" s="158"/>
      <c r="DX145" s="158"/>
      <c r="DY145" s="158"/>
      <c r="DZ145" s="158"/>
      <c r="EA145" s="154"/>
      <c r="EB145" s="154"/>
      <c r="EC145" s="154"/>
      <c r="ED145" s="154"/>
      <c r="EE145" s="154"/>
      <c r="EF145" s="154"/>
      <c r="EG145" s="154"/>
      <c r="EH145" s="154"/>
      <c r="EI145" s="154"/>
      <c r="EJ145" s="154"/>
      <c r="EK145" s="159"/>
      <c r="EL145" s="159"/>
      <c r="EM145" s="161"/>
      <c r="EN145" s="161"/>
      <c r="EO145" s="163"/>
      <c r="EP145" s="164"/>
      <c r="EQ145" s="165"/>
      <c r="ER145" s="161"/>
      <c r="ES145" s="161"/>
      <c r="ET145" s="161"/>
      <c r="EU145" s="161"/>
      <c r="EV145" s="166"/>
      <c r="EW145" s="159"/>
      <c r="EX145" s="166"/>
      <c r="EY145" s="155"/>
      <c r="EZ145" s="167"/>
      <c r="FA145" s="159"/>
      <c r="FB145" s="168"/>
      <c r="FC145" s="155"/>
      <c r="FD145" s="159"/>
      <c r="FE145" s="161"/>
      <c r="FF145" s="162"/>
    </row>
    <row r="146" spans="27:162">
      <c r="AA146" s="113"/>
      <c r="AB146" s="113"/>
      <c r="AC146" s="113"/>
      <c r="AD146" s="115"/>
      <c r="AE146" s="88"/>
      <c r="AJ146" s="126"/>
      <c r="AK146" s="154"/>
      <c r="AL146" s="155"/>
      <c r="AM146" s="155"/>
      <c r="AN146" s="155"/>
      <c r="AO146" s="155"/>
      <c r="AP146" s="155"/>
      <c r="AQ146" s="155"/>
      <c r="AR146" s="155"/>
      <c r="AS146" s="156"/>
      <c r="AT146" s="157"/>
      <c r="AU146" s="157"/>
      <c r="AV146" s="158"/>
      <c r="AW146" s="158"/>
      <c r="AX146" s="158"/>
      <c r="AY146" s="158"/>
      <c r="AZ146" s="158"/>
      <c r="BA146" s="154"/>
      <c r="BB146" s="154"/>
      <c r="BC146" s="154"/>
      <c r="BD146" s="154"/>
      <c r="BE146" s="154"/>
      <c r="BF146" s="154"/>
      <c r="BG146" s="154"/>
      <c r="BH146" s="154"/>
      <c r="BI146" s="154"/>
      <c r="BJ146" s="154"/>
      <c r="BK146" s="159"/>
      <c r="BL146" s="159"/>
      <c r="BM146" s="161"/>
      <c r="BN146" s="161"/>
      <c r="BO146" s="163"/>
      <c r="BP146" s="164"/>
      <c r="BQ146" s="165"/>
      <c r="BR146" s="161"/>
      <c r="BS146" s="161"/>
      <c r="BT146" s="161"/>
      <c r="BU146" s="161"/>
      <c r="BV146" s="166"/>
      <c r="BW146" s="159"/>
      <c r="BX146" s="166"/>
      <c r="BY146" s="155"/>
      <c r="BZ146" s="167"/>
      <c r="CA146" s="159"/>
      <c r="CB146" s="168"/>
      <c r="CC146" s="155"/>
      <c r="CD146" s="159"/>
      <c r="CE146" s="161"/>
      <c r="CF146" s="162"/>
      <c r="DA146" s="113"/>
      <c r="DB146" s="113"/>
      <c r="DC146" s="113"/>
      <c r="DD146" s="115"/>
      <c r="DE146" s="88"/>
      <c r="DJ146" s="126"/>
      <c r="DK146" s="154"/>
      <c r="DL146" s="155"/>
      <c r="DM146" s="155"/>
      <c r="DN146" s="155"/>
      <c r="DO146" s="155"/>
      <c r="DP146" s="155"/>
      <c r="DQ146" s="155"/>
      <c r="DR146" s="155"/>
      <c r="DS146" s="156"/>
      <c r="DT146" s="157"/>
      <c r="DU146" s="157"/>
      <c r="DV146" s="158"/>
      <c r="DW146" s="158"/>
      <c r="DX146" s="158"/>
      <c r="DY146" s="158"/>
      <c r="DZ146" s="158"/>
      <c r="EA146" s="154"/>
      <c r="EB146" s="154"/>
      <c r="EC146" s="154"/>
      <c r="ED146" s="154"/>
      <c r="EE146" s="154"/>
      <c r="EF146" s="154"/>
      <c r="EG146" s="154"/>
      <c r="EH146" s="154"/>
      <c r="EI146" s="154"/>
      <c r="EJ146" s="154"/>
      <c r="EK146" s="159"/>
      <c r="EL146" s="159"/>
      <c r="EM146" s="161"/>
      <c r="EN146" s="161"/>
      <c r="EO146" s="163"/>
      <c r="EP146" s="164"/>
      <c r="EQ146" s="165"/>
      <c r="ER146" s="161"/>
      <c r="ES146" s="161"/>
      <c r="ET146" s="161"/>
      <c r="EU146" s="161"/>
      <c r="EV146" s="166"/>
      <c r="EW146" s="159"/>
      <c r="EX146" s="166"/>
      <c r="EY146" s="155"/>
      <c r="EZ146" s="167"/>
      <c r="FA146" s="159"/>
      <c r="FB146" s="168"/>
      <c r="FC146" s="155"/>
      <c r="FD146" s="159"/>
      <c r="FE146" s="161"/>
      <c r="FF146" s="162"/>
    </row>
    <row r="147" spans="27:162">
      <c r="AA147" s="113"/>
      <c r="AB147" s="113"/>
      <c r="AC147" s="113"/>
      <c r="AD147" s="115"/>
      <c r="AE147" s="88"/>
      <c r="AJ147" s="126"/>
      <c r="AK147" s="154"/>
      <c r="AL147" s="155"/>
      <c r="AM147" s="155"/>
      <c r="AN147" s="155"/>
      <c r="AO147" s="155"/>
      <c r="AP147" s="155"/>
      <c r="AQ147" s="155"/>
      <c r="AR147" s="155"/>
      <c r="AS147" s="156"/>
      <c r="AT147" s="157"/>
      <c r="AU147" s="157"/>
      <c r="AV147" s="158"/>
      <c r="AW147" s="158"/>
      <c r="AX147" s="158"/>
      <c r="AY147" s="158"/>
      <c r="AZ147" s="158"/>
      <c r="BA147" s="154"/>
      <c r="BB147" s="154"/>
      <c r="BC147" s="154"/>
      <c r="BD147" s="154"/>
      <c r="BE147" s="154"/>
      <c r="BF147" s="154"/>
      <c r="BG147" s="154"/>
      <c r="BH147" s="154"/>
      <c r="BI147" s="154"/>
      <c r="BJ147" s="154"/>
      <c r="BK147" s="159"/>
      <c r="BL147" s="159"/>
      <c r="BM147" s="161"/>
      <c r="BN147" s="161"/>
      <c r="BO147" s="163"/>
      <c r="BP147" s="164"/>
      <c r="BQ147" s="165"/>
      <c r="BR147" s="161"/>
      <c r="BS147" s="161"/>
      <c r="BT147" s="161"/>
      <c r="BU147" s="161"/>
      <c r="BV147" s="166"/>
      <c r="BW147" s="159"/>
      <c r="BX147" s="166"/>
      <c r="BY147" s="155"/>
      <c r="BZ147" s="167"/>
      <c r="CA147" s="159"/>
      <c r="CB147" s="168"/>
      <c r="CC147" s="155"/>
      <c r="CD147" s="159"/>
      <c r="CE147" s="161"/>
      <c r="CF147" s="162"/>
      <c r="DA147" s="113"/>
      <c r="DB147" s="113"/>
      <c r="DC147" s="113"/>
      <c r="DD147" s="115"/>
      <c r="DE147" s="88"/>
      <c r="DJ147" s="126"/>
      <c r="DK147" s="154"/>
      <c r="DL147" s="155"/>
      <c r="DM147" s="155"/>
      <c r="DN147" s="155"/>
      <c r="DO147" s="155"/>
      <c r="DP147" s="155"/>
      <c r="DQ147" s="155"/>
      <c r="DR147" s="155"/>
      <c r="DS147" s="156"/>
      <c r="DT147" s="157"/>
      <c r="DU147" s="157"/>
      <c r="DV147" s="158"/>
      <c r="DW147" s="158"/>
      <c r="DX147" s="158"/>
      <c r="DY147" s="158"/>
      <c r="DZ147" s="158"/>
      <c r="EA147" s="154"/>
      <c r="EB147" s="154"/>
      <c r="EC147" s="154"/>
      <c r="ED147" s="154"/>
      <c r="EE147" s="154"/>
      <c r="EF147" s="154"/>
      <c r="EG147" s="154"/>
      <c r="EH147" s="154"/>
      <c r="EI147" s="154"/>
      <c r="EJ147" s="154"/>
      <c r="EK147" s="159"/>
      <c r="EL147" s="159"/>
      <c r="EM147" s="161"/>
      <c r="EN147" s="161"/>
      <c r="EO147" s="163"/>
      <c r="EP147" s="164"/>
      <c r="EQ147" s="165"/>
      <c r="ER147" s="161"/>
      <c r="ES147" s="161"/>
      <c r="ET147" s="161"/>
      <c r="EU147" s="161"/>
      <c r="EV147" s="166"/>
      <c r="EW147" s="159"/>
      <c r="EX147" s="166"/>
      <c r="EY147" s="155"/>
      <c r="EZ147" s="167"/>
      <c r="FA147" s="159"/>
      <c r="FB147" s="168"/>
      <c r="FC147" s="155"/>
      <c r="FD147" s="159"/>
      <c r="FE147" s="161"/>
      <c r="FF147" s="162"/>
    </row>
    <row r="148" spans="27:162">
      <c r="AA148" s="113"/>
      <c r="AB148" s="113"/>
      <c r="AC148" s="113"/>
      <c r="AD148" s="115"/>
      <c r="AE148" s="88"/>
      <c r="AJ148" s="126"/>
      <c r="AK148" s="154"/>
      <c r="AL148" s="155"/>
      <c r="AM148" s="155"/>
      <c r="AN148" s="155"/>
      <c r="AO148" s="155"/>
      <c r="AP148" s="155"/>
      <c r="AQ148" s="155"/>
      <c r="AR148" s="155"/>
      <c r="AS148" s="156"/>
      <c r="AT148" s="157"/>
      <c r="AU148" s="157"/>
      <c r="AV148" s="158"/>
      <c r="AW148" s="158"/>
      <c r="AX148" s="158"/>
      <c r="AY148" s="158"/>
      <c r="AZ148" s="158"/>
      <c r="BA148" s="154"/>
      <c r="BB148" s="154"/>
      <c r="BC148" s="154"/>
      <c r="BD148" s="154"/>
      <c r="BE148" s="154"/>
      <c r="BF148" s="154"/>
      <c r="BG148" s="154"/>
      <c r="BH148" s="154"/>
      <c r="BI148" s="154"/>
      <c r="BJ148" s="154"/>
      <c r="BK148" s="159"/>
      <c r="BL148" s="159"/>
      <c r="BM148" s="161"/>
      <c r="BN148" s="161"/>
      <c r="BO148" s="163"/>
      <c r="BP148" s="164"/>
      <c r="BQ148" s="165"/>
      <c r="BR148" s="161"/>
      <c r="BS148" s="161"/>
      <c r="BT148" s="161"/>
      <c r="BU148" s="161"/>
      <c r="BV148" s="166"/>
      <c r="BW148" s="159"/>
      <c r="BX148" s="166"/>
      <c r="BY148" s="155"/>
      <c r="BZ148" s="167"/>
      <c r="CA148" s="159"/>
      <c r="CB148" s="168"/>
      <c r="CC148" s="155"/>
      <c r="CD148" s="159"/>
      <c r="CE148" s="161"/>
      <c r="CF148" s="162"/>
      <c r="DA148" s="113"/>
      <c r="DB148" s="113"/>
      <c r="DC148" s="113"/>
      <c r="DD148" s="115"/>
      <c r="DE148" s="88"/>
      <c r="DJ148" s="126"/>
      <c r="DK148" s="154"/>
      <c r="DL148" s="155"/>
      <c r="DM148" s="155"/>
      <c r="DN148" s="155"/>
      <c r="DO148" s="155"/>
      <c r="DP148" s="155"/>
      <c r="DQ148" s="155"/>
      <c r="DR148" s="155"/>
      <c r="DS148" s="156"/>
      <c r="DT148" s="157"/>
      <c r="DU148" s="157"/>
      <c r="DV148" s="158"/>
      <c r="DW148" s="158"/>
      <c r="DX148" s="158"/>
      <c r="DY148" s="158"/>
      <c r="DZ148" s="158"/>
      <c r="EA148" s="154"/>
      <c r="EB148" s="154"/>
      <c r="EC148" s="154"/>
      <c r="ED148" s="154"/>
      <c r="EE148" s="154"/>
      <c r="EF148" s="154"/>
      <c r="EG148" s="154"/>
      <c r="EH148" s="154"/>
      <c r="EI148" s="154"/>
      <c r="EJ148" s="154"/>
      <c r="EK148" s="159"/>
      <c r="EL148" s="159"/>
      <c r="EM148" s="161"/>
      <c r="EN148" s="161"/>
      <c r="EO148" s="163"/>
      <c r="EP148" s="164"/>
      <c r="EQ148" s="165"/>
      <c r="ER148" s="161"/>
      <c r="ES148" s="161"/>
      <c r="ET148" s="161"/>
      <c r="EU148" s="161"/>
      <c r="EV148" s="166"/>
      <c r="EW148" s="159"/>
      <c r="EX148" s="166"/>
      <c r="EY148" s="155"/>
      <c r="EZ148" s="167"/>
      <c r="FA148" s="159"/>
      <c r="FB148" s="168"/>
      <c r="FC148" s="155"/>
      <c r="FD148" s="159"/>
      <c r="FE148" s="161"/>
      <c r="FF148" s="162"/>
    </row>
    <row r="149" spans="27:162">
      <c r="AA149" s="113"/>
      <c r="AB149" s="113"/>
      <c r="AC149" s="113"/>
      <c r="AD149" s="115"/>
      <c r="AE149" s="88"/>
      <c r="AJ149" s="126"/>
      <c r="AK149" s="154"/>
      <c r="AL149" s="155"/>
      <c r="AM149" s="155"/>
      <c r="AN149" s="155"/>
      <c r="AO149" s="155"/>
      <c r="AP149" s="155"/>
      <c r="AQ149" s="155"/>
      <c r="AR149" s="155"/>
      <c r="AS149" s="156"/>
      <c r="AT149" s="157"/>
      <c r="AU149" s="157"/>
      <c r="AV149" s="158"/>
      <c r="AW149" s="158"/>
      <c r="AX149" s="158"/>
      <c r="AY149" s="158"/>
      <c r="AZ149" s="158"/>
      <c r="BA149" s="154"/>
      <c r="BB149" s="154"/>
      <c r="BC149" s="154"/>
      <c r="BD149" s="154"/>
      <c r="BE149" s="154"/>
      <c r="BF149" s="154"/>
      <c r="BG149" s="154"/>
      <c r="BH149" s="154"/>
      <c r="BI149" s="154"/>
      <c r="BJ149" s="154"/>
      <c r="BK149" s="159"/>
      <c r="BL149" s="159"/>
      <c r="BM149" s="161"/>
      <c r="BN149" s="161"/>
      <c r="BO149" s="163"/>
      <c r="BP149" s="164"/>
      <c r="BQ149" s="165"/>
      <c r="BR149" s="161"/>
      <c r="BS149" s="161"/>
      <c r="BT149" s="161"/>
      <c r="BU149" s="161"/>
      <c r="BV149" s="166"/>
      <c r="BW149" s="159"/>
      <c r="BX149" s="166"/>
      <c r="BY149" s="155"/>
      <c r="BZ149" s="167"/>
      <c r="CA149" s="159"/>
      <c r="CB149" s="168"/>
      <c r="CC149" s="155"/>
      <c r="CD149" s="159"/>
      <c r="CE149" s="161"/>
      <c r="CF149" s="162"/>
      <c r="DA149" s="113"/>
      <c r="DB149" s="113"/>
      <c r="DC149" s="113"/>
      <c r="DD149" s="115"/>
      <c r="DE149" s="88"/>
      <c r="DJ149" s="126"/>
      <c r="DK149" s="154"/>
      <c r="DL149" s="155"/>
      <c r="DM149" s="155"/>
      <c r="DN149" s="155"/>
      <c r="DO149" s="155"/>
      <c r="DP149" s="155"/>
      <c r="DQ149" s="155"/>
      <c r="DR149" s="155"/>
      <c r="DS149" s="156"/>
      <c r="DT149" s="157"/>
      <c r="DU149" s="157"/>
      <c r="DV149" s="158"/>
      <c r="DW149" s="158"/>
      <c r="DX149" s="158"/>
      <c r="DY149" s="158"/>
      <c r="DZ149" s="158"/>
      <c r="EA149" s="154"/>
      <c r="EB149" s="154"/>
      <c r="EC149" s="154"/>
      <c r="ED149" s="154"/>
      <c r="EE149" s="154"/>
      <c r="EF149" s="154"/>
      <c r="EG149" s="154"/>
      <c r="EH149" s="154"/>
      <c r="EI149" s="154"/>
      <c r="EJ149" s="154"/>
      <c r="EK149" s="159"/>
      <c r="EL149" s="159"/>
      <c r="EM149" s="161"/>
      <c r="EN149" s="161"/>
      <c r="EO149" s="163"/>
      <c r="EP149" s="164"/>
      <c r="EQ149" s="165"/>
      <c r="ER149" s="161"/>
      <c r="ES149" s="161"/>
      <c r="ET149" s="161"/>
      <c r="EU149" s="161"/>
      <c r="EV149" s="166"/>
      <c r="EW149" s="159"/>
      <c r="EX149" s="166"/>
      <c r="EY149" s="155"/>
      <c r="EZ149" s="167"/>
      <c r="FA149" s="159"/>
      <c r="FB149" s="168"/>
      <c r="FC149" s="155"/>
      <c r="FD149" s="159"/>
      <c r="FE149" s="161"/>
      <c r="FF149" s="162"/>
    </row>
    <row r="150" spans="27:162">
      <c r="AA150" s="113"/>
      <c r="AB150" s="113"/>
      <c r="AC150" s="113"/>
      <c r="AD150" s="115"/>
      <c r="AE150" s="88"/>
      <c r="AJ150" s="126"/>
      <c r="AK150" s="154"/>
      <c r="AL150" s="155"/>
      <c r="AM150" s="155"/>
      <c r="AN150" s="155"/>
      <c r="AO150" s="155"/>
      <c r="AP150" s="155"/>
      <c r="AQ150" s="155"/>
      <c r="AR150" s="155"/>
      <c r="AS150" s="156"/>
      <c r="AT150" s="157"/>
      <c r="AU150" s="157"/>
      <c r="AV150" s="158"/>
      <c r="AW150" s="158"/>
      <c r="AX150" s="158"/>
      <c r="AY150" s="158"/>
      <c r="AZ150" s="158"/>
      <c r="BA150" s="154"/>
      <c r="BB150" s="154"/>
      <c r="BC150" s="154"/>
      <c r="BD150" s="154"/>
      <c r="BE150" s="154"/>
      <c r="BF150" s="154"/>
      <c r="BG150" s="154"/>
      <c r="BH150" s="154"/>
      <c r="BI150" s="154"/>
      <c r="BJ150" s="154"/>
      <c r="BK150" s="159"/>
      <c r="BL150" s="159"/>
      <c r="BM150" s="161"/>
      <c r="BN150" s="161"/>
      <c r="BO150" s="163"/>
      <c r="BP150" s="164"/>
      <c r="BQ150" s="165"/>
      <c r="BR150" s="161"/>
      <c r="BS150" s="161"/>
      <c r="BT150" s="161"/>
      <c r="BU150" s="161"/>
      <c r="BV150" s="166"/>
      <c r="BW150" s="159"/>
      <c r="BX150" s="166"/>
      <c r="BY150" s="155"/>
      <c r="BZ150" s="167"/>
      <c r="CA150" s="159"/>
      <c r="CB150" s="168"/>
      <c r="CC150" s="155"/>
      <c r="CD150" s="159"/>
      <c r="CE150" s="161"/>
      <c r="CF150" s="162"/>
      <c r="DA150" s="113"/>
      <c r="DB150" s="113"/>
      <c r="DC150" s="113"/>
      <c r="DD150" s="115"/>
      <c r="DE150" s="88"/>
      <c r="DJ150" s="126"/>
      <c r="DK150" s="154"/>
      <c r="DL150" s="155"/>
      <c r="DM150" s="155"/>
      <c r="DN150" s="155"/>
      <c r="DO150" s="155"/>
      <c r="DP150" s="155"/>
      <c r="DQ150" s="155"/>
      <c r="DR150" s="155"/>
      <c r="DS150" s="156"/>
      <c r="DT150" s="157"/>
      <c r="DU150" s="157"/>
      <c r="DV150" s="158"/>
      <c r="DW150" s="158"/>
      <c r="DX150" s="158"/>
      <c r="DY150" s="158"/>
      <c r="DZ150" s="158"/>
      <c r="EA150" s="154"/>
      <c r="EB150" s="154"/>
      <c r="EC150" s="154"/>
      <c r="ED150" s="154"/>
      <c r="EE150" s="154"/>
      <c r="EF150" s="154"/>
      <c r="EG150" s="154"/>
      <c r="EH150" s="154"/>
      <c r="EI150" s="154"/>
      <c r="EJ150" s="154"/>
      <c r="EK150" s="159"/>
      <c r="EL150" s="159"/>
      <c r="EM150" s="161"/>
      <c r="EN150" s="161"/>
      <c r="EO150" s="163"/>
      <c r="EP150" s="164"/>
      <c r="EQ150" s="165"/>
      <c r="ER150" s="161"/>
      <c r="ES150" s="161"/>
      <c r="ET150" s="161"/>
      <c r="EU150" s="161"/>
      <c r="EV150" s="166"/>
      <c r="EW150" s="159"/>
      <c r="EX150" s="166"/>
      <c r="EY150" s="155"/>
      <c r="EZ150" s="167"/>
      <c r="FA150" s="159"/>
      <c r="FB150" s="168"/>
      <c r="FC150" s="155"/>
      <c r="FD150" s="159"/>
      <c r="FE150" s="161"/>
      <c r="FF150" s="162"/>
    </row>
    <row r="151" spans="27:162">
      <c r="AA151" s="113"/>
      <c r="AB151" s="113"/>
      <c r="AC151" s="113"/>
      <c r="AD151" s="115"/>
      <c r="AE151" s="88"/>
      <c r="AJ151" s="126"/>
      <c r="AK151" s="154"/>
      <c r="AL151" s="155"/>
      <c r="AM151" s="155"/>
      <c r="AN151" s="155"/>
      <c r="AO151" s="155"/>
      <c r="AP151" s="155"/>
      <c r="AQ151" s="155"/>
      <c r="AR151" s="155"/>
      <c r="AS151" s="156"/>
      <c r="AT151" s="157"/>
      <c r="AU151" s="157"/>
      <c r="AV151" s="158"/>
      <c r="AW151" s="158"/>
      <c r="AX151" s="158"/>
      <c r="AY151" s="158"/>
      <c r="AZ151" s="158"/>
      <c r="BA151" s="154"/>
      <c r="BB151" s="154"/>
      <c r="BC151" s="154"/>
      <c r="BD151" s="154"/>
      <c r="BE151" s="154"/>
      <c r="BF151" s="154"/>
      <c r="BG151" s="154"/>
      <c r="BH151" s="154"/>
      <c r="BI151" s="154"/>
      <c r="BJ151" s="154"/>
      <c r="BK151" s="159"/>
      <c r="BL151" s="159"/>
      <c r="BM151" s="161"/>
      <c r="BN151" s="161"/>
      <c r="BO151" s="163"/>
      <c r="BP151" s="164"/>
      <c r="BQ151" s="165"/>
      <c r="BR151" s="161"/>
      <c r="BS151" s="161"/>
      <c r="BT151" s="161"/>
      <c r="BU151" s="161"/>
      <c r="BV151" s="166"/>
      <c r="BW151" s="159"/>
      <c r="BX151" s="166"/>
      <c r="BY151" s="155"/>
      <c r="BZ151" s="167"/>
      <c r="CA151" s="159"/>
      <c r="CB151" s="168"/>
      <c r="CC151" s="155"/>
      <c r="CD151" s="159"/>
      <c r="CE151" s="161"/>
      <c r="CF151" s="162"/>
      <c r="DA151" s="113"/>
      <c r="DB151" s="113"/>
      <c r="DC151" s="113"/>
      <c r="DD151" s="115"/>
      <c r="DE151" s="88"/>
      <c r="DJ151" s="126"/>
      <c r="DK151" s="154"/>
      <c r="DL151" s="155"/>
      <c r="DM151" s="155"/>
      <c r="DN151" s="155"/>
      <c r="DO151" s="155"/>
      <c r="DP151" s="155"/>
      <c r="DQ151" s="155"/>
      <c r="DR151" s="155"/>
      <c r="DS151" s="156"/>
      <c r="DT151" s="157"/>
      <c r="DU151" s="157"/>
      <c r="DV151" s="158"/>
      <c r="DW151" s="158"/>
      <c r="DX151" s="158"/>
      <c r="DY151" s="158"/>
      <c r="DZ151" s="158"/>
      <c r="EA151" s="154"/>
      <c r="EB151" s="154"/>
      <c r="EC151" s="154"/>
      <c r="ED151" s="154"/>
      <c r="EE151" s="154"/>
      <c r="EF151" s="154"/>
      <c r="EG151" s="154"/>
      <c r="EH151" s="154"/>
      <c r="EI151" s="154"/>
      <c r="EJ151" s="154"/>
      <c r="EK151" s="159"/>
      <c r="EL151" s="159"/>
      <c r="EM151" s="161"/>
      <c r="EN151" s="161"/>
      <c r="EO151" s="163"/>
      <c r="EP151" s="164"/>
      <c r="EQ151" s="165"/>
      <c r="ER151" s="161"/>
      <c r="ES151" s="161"/>
      <c r="ET151" s="161"/>
      <c r="EU151" s="161"/>
      <c r="EV151" s="166"/>
      <c r="EW151" s="159"/>
      <c r="EX151" s="166"/>
      <c r="EY151" s="155"/>
      <c r="EZ151" s="167"/>
      <c r="FA151" s="159"/>
      <c r="FB151" s="168"/>
      <c r="FC151" s="155"/>
      <c r="FD151" s="159"/>
      <c r="FE151" s="161"/>
      <c r="FF151" s="162"/>
    </row>
    <row r="152" spans="27:162">
      <c r="AA152" s="113"/>
      <c r="AB152" s="113"/>
      <c r="AC152" s="113"/>
      <c r="AD152" s="115"/>
      <c r="AE152" s="88"/>
      <c r="AJ152" s="126"/>
      <c r="AK152" s="154"/>
      <c r="AL152" s="155"/>
      <c r="AM152" s="155"/>
      <c r="AN152" s="155"/>
      <c r="AO152" s="155"/>
      <c r="AP152" s="155"/>
      <c r="AQ152" s="155"/>
      <c r="AR152" s="155"/>
      <c r="AS152" s="156"/>
      <c r="AT152" s="157"/>
      <c r="AU152" s="157"/>
      <c r="AV152" s="158"/>
      <c r="AW152" s="158"/>
      <c r="AX152" s="158"/>
      <c r="AY152" s="158"/>
      <c r="AZ152" s="158"/>
      <c r="BA152" s="154"/>
      <c r="BB152" s="154"/>
      <c r="BC152" s="154"/>
      <c r="BD152" s="154"/>
      <c r="BE152" s="154"/>
      <c r="BF152" s="154"/>
      <c r="BG152" s="154"/>
      <c r="BH152" s="154"/>
      <c r="BI152" s="154"/>
      <c r="BJ152" s="154"/>
      <c r="BK152" s="159"/>
      <c r="BL152" s="159"/>
      <c r="BM152" s="161"/>
      <c r="BN152" s="161"/>
      <c r="BO152" s="163"/>
      <c r="BP152" s="164"/>
      <c r="BQ152" s="165"/>
      <c r="BR152" s="161"/>
      <c r="BS152" s="161"/>
      <c r="BT152" s="161"/>
      <c r="BU152" s="161"/>
      <c r="BV152" s="166"/>
      <c r="BW152" s="159"/>
      <c r="BX152" s="166"/>
      <c r="BY152" s="155"/>
      <c r="BZ152" s="167"/>
      <c r="CA152" s="159"/>
      <c r="CB152" s="168"/>
      <c r="CC152" s="155"/>
      <c r="CD152" s="159"/>
      <c r="CE152" s="161"/>
      <c r="CF152" s="162"/>
      <c r="DA152" s="113"/>
      <c r="DB152" s="113"/>
      <c r="DC152" s="113"/>
      <c r="DD152" s="115"/>
      <c r="DE152" s="88"/>
      <c r="DJ152" s="126"/>
      <c r="DK152" s="154"/>
      <c r="DL152" s="155"/>
      <c r="DM152" s="155"/>
      <c r="DN152" s="155"/>
      <c r="DO152" s="155"/>
      <c r="DP152" s="155"/>
      <c r="DQ152" s="155"/>
      <c r="DR152" s="155"/>
      <c r="DS152" s="156"/>
      <c r="DT152" s="157"/>
      <c r="DU152" s="157"/>
      <c r="DV152" s="158"/>
      <c r="DW152" s="158"/>
      <c r="DX152" s="158"/>
      <c r="DY152" s="158"/>
      <c r="DZ152" s="158"/>
      <c r="EA152" s="154"/>
      <c r="EB152" s="154"/>
      <c r="EC152" s="154"/>
      <c r="ED152" s="154"/>
      <c r="EE152" s="154"/>
      <c r="EF152" s="154"/>
      <c r="EG152" s="154"/>
      <c r="EH152" s="154"/>
      <c r="EI152" s="154"/>
      <c r="EJ152" s="154"/>
      <c r="EK152" s="159"/>
      <c r="EL152" s="159"/>
      <c r="EM152" s="161"/>
      <c r="EN152" s="161"/>
      <c r="EO152" s="163"/>
      <c r="EP152" s="164"/>
      <c r="EQ152" s="165"/>
      <c r="ER152" s="161"/>
      <c r="ES152" s="161"/>
      <c r="ET152" s="161"/>
      <c r="EU152" s="161"/>
      <c r="EV152" s="166"/>
      <c r="EW152" s="159"/>
      <c r="EX152" s="166"/>
      <c r="EY152" s="155"/>
      <c r="EZ152" s="167"/>
      <c r="FA152" s="159"/>
      <c r="FB152" s="168"/>
      <c r="FC152" s="155"/>
      <c r="FD152" s="159"/>
      <c r="FE152" s="161"/>
      <c r="FF152" s="162"/>
    </row>
    <row r="153" spans="27:162">
      <c r="AA153" s="113"/>
      <c r="AB153" s="113"/>
      <c r="AC153" s="113"/>
      <c r="AD153" s="115"/>
      <c r="AE153" s="88"/>
      <c r="AJ153" s="126"/>
      <c r="AK153" s="154"/>
      <c r="AL153" s="155"/>
      <c r="AM153" s="155"/>
      <c r="AN153" s="155"/>
      <c r="AO153" s="155"/>
      <c r="AP153" s="155"/>
      <c r="AQ153" s="155"/>
      <c r="AR153" s="155"/>
      <c r="AS153" s="156"/>
      <c r="AT153" s="157"/>
      <c r="AU153" s="157"/>
      <c r="AV153" s="158"/>
      <c r="AW153" s="158"/>
      <c r="AX153" s="158"/>
      <c r="AY153" s="158"/>
      <c r="AZ153" s="158"/>
      <c r="BA153" s="154"/>
      <c r="BB153" s="154"/>
      <c r="BC153" s="154"/>
      <c r="BD153" s="154"/>
      <c r="BE153" s="154"/>
      <c r="BF153" s="154"/>
      <c r="BG153" s="154"/>
      <c r="BH153" s="154"/>
      <c r="BI153" s="154"/>
      <c r="BJ153" s="154"/>
      <c r="BK153" s="159"/>
      <c r="BL153" s="159"/>
      <c r="BM153" s="161"/>
      <c r="BN153" s="161"/>
      <c r="BO153" s="163"/>
      <c r="BP153" s="164"/>
      <c r="BQ153" s="165"/>
      <c r="BR153" s="161"/>
      <c r="BS153" s="161"/>
      <c r="BT153" s="161"/>
      <c r="BU153" s="161"/>
      <c r="BV153" s="166"/>
      <c r="BW153" s="159"/>
      <c r="BX153" s="166"/>
      <c r="BY153" s="155"/>
      <c r="BZ153" s="167"/>
      <c r="CA153" s="159"/>
      <c r="CB153" s="168"/>
      <c r="CC153" s="155"/>
      <c r="CD153" s="159"/>
      <c r="CE153" s="161"/>
      <c r="CF153" s="162"/>
      <c r="DA153" s="113"/>
      <c r="DB153" s="113"/>
      <c r="DC153" s="113"/>
      <c r="DD153" s="115"/>
      <c r="DE153" s="88"/>
      <c r="DJ153" s="126"/>
      <c r="DK153" s="154"/>
      <c r="DL153" s="155"/>
      <c r="DM153" s="155"/>
      <c r="DN153" s="155"/>
      <c r="DO153" s="155"/>
      <c r="DP153" s="155"/>
      <c r="DQ153" s="155"/>
      <c r="DR153" s="155"/>
      <c r="DS153" s="156"/>
      <c r="DT153" s="157"/>
      <c r="DU153" s="157"/>
      <c r="DV153" s="158"/>
      <c r="DW153" s="158"/>
      <c r="DX153" s="158"/>
      <c r="DY153" s="158"/>
      <c r="DZ153" s="158"/>
      <c r="EA153" s="154"/>
      <c r="EB153" s="154"/>
      <c r="EC153" s="154"/>
      <c r="ED153" s="154"/>
      <c r="EE153" s="154"/>
      <c r="EF153" s="154"/>
      <c r="EG153" s="154"/>
      <c r="EH153" s="154"/>
      <c r="EI153" s="154"/>
      <c r="EJ153" s="154"/>
      <c r="EK153" s="159"/>
      <c r="EL153" s="159"/>
      <c r="EM153" s="161"/>
      <c r="EN153" s="161"/>
      <c r="EO153" s="163"/>
      <c r="EP153" s="164"/>
      <c r="EQ153" s="165"/>
      <c r="ER153" s="161"/>
      <c r="ES153" s="161"/>
      <c r="ET153" s="161"/>
      <c r="EU153" s="161"/>
      <c r="EV153" s="166"/>
      <c r="EW153" s="159"/>
      <c r="EX153" s="166"/>
      <c r="EY153" s="155"/>
      <c r="EZ153" s="167"/>
      <c r="FA153" s="159"/>
      <c r="FB153" s="168"/>
      <c r="FC153" s="155"/>
      <c r="FD153" s="159"/>
      <c r="FE153" s="161"/>
      <c r="FF153" s="162"/>
    </row>
    <row r="154" spans="27:162">
      <c r="AA154" s="113"/>
      <c r="AB154" s="113"/>
      <c r="AC154" s="113"/>
      <c r="AD154" s="115"/>
      <c r="AE154" s="88"/>
      <c r="AJ154" s="126"/>
      <c r="AK154" s="154"/>
      <c r="AL154" s="155"/>
      <c r="AM154" s="155"/>
      <c r="AN154" s="155"/>
      <c r="AO154" s="155"/>
      <c r="AP154" s="155"/>
      <c r="AQ154" s="155"/>
      <c r="AR154" s="155"/>
      <c r="AS154" s="156"/>
      <c r="AT154" s="157"/>
      <c r="AU154" s="157"/>
      <c r="AV154" s="158"/>
      <c r="AW154" s="158"/>
      <c r="AX154" s="158"/>
      <c r="AY154" s="158"/>
      <c r="AZ154" s="158"/>
      <c r="BA154" s="154"/>
      <c r="BB154" s="154"/>
      <c r="BC154" s="154"/>
      <c r="BD154" s="154"/>
      <c r="BE154" s="154"/>
      <c r="BF154" s="154"/>
      <c r="BG154" s="154"/>
      <c r="BH154" s="154"/>
      <c r="BI154" s="154"/>
      <c r="BJ154" s="154"/>
      <c r="BK154" s="159"/>
      <c r="BL154" s="159"/>
      <c r="BM154" s="161"/>
      <c r="BN154" s="161"/>
      <c r="BO154" s="163"/>
      <c r="BP154" s="164"/>
      <c r="BQ154" s="165"/>
      <c r="BR154" s="161"/>
      <c r="BS154" s="161"/>
      <c r="BT154" s="161"/>
      <c r="BU154" s="161"/>
      <c r="BV154" s="166"/>
      <c r="BW154" s="159"/>
      <c r="BX154" s="166"/>
      <c r="BY154" s="155"/>
      <c r="BZ154" s="167"/>
      <c r="CA154" s="159"/>
      <c r="CB154" s="168"/>
      <c r="CC154" s="155"/>
      <c r="CD154" s="159"/>
      <c r="CE154" s="161"/>
      <c r="CF154" s="162"/>
      <c r="DA154" s="113"/>
      <c r="DB154" s="113"/>
      <c r="DC154" s="113"/>
      <c r="DD154" s="115"/>
      <c r="DE154" s="88"/>
      <c r="DJ154" s="126"/>
      <c r="DK154" s="154"/>
      <c r="DL154" s="155"/>
      <c r="DM154" s="155"/>
      <c r="DN154" s="155"/>
      <c r="DO154" s="155"/>
      <c r="DP154" s="155"/>
      <c r="DQ154" s="155"/>
      <c r="DR154" s="155"/>
      <c r="DS154" s="156"/>
      <c r="DT154" s="157"/>
      <c r="DU154" s="157"/>
      <c r="DV154" s="158"/>
      <c r="DW154" s="158"/>
      <c r="DX154" s="158"/>
      <c r="DY154" s="158"/>
      <c r="DZ154" s="158"/>
      <c r="EA154" s="154"/>
      <c r="EB154" s="154"/>
      <c r="EC154" s="154"/>
      <c r="ED154" s="154"/>
      <c r="EE154" s="154"/>
      <c r="EF154" s="154"/>
      <c r="EG154" s="154"/>
      <c r="EH154" s="154"/>
      <c r="EI154" s="154"/>
      <c r="EJ154" s="154"/>
      <c r="EK154" s="159"/>
      <c r="EL154" s="159"/>
      <c r="EM154" s="161"/>
      <c r="EN154" s="161"/>
      <c r="EO154" s="163"/>
      <c r="EP154" s="164"/>
      <c r="EQ154" s="165"/>
      <c r="ER154" s="161"/>
      <c r="ES154" s="161"/>
      <c r="ET154" s="161"/>
      <c r="EU154" s="161"/>
      <c r="EV154" s="166"/>
      <c r="EW154" s="159"/>
      <c r="EX154" s="166"/>
      <c r="EY154" s="155"/>
      <c r="EZ154" s="167"/>
      <c r="FA154" s="159"/>
      <c r="FB154" s="168"/>
      <c r="FC154" s="155"/>
      <c r="FD154" s="159"/>
      <c r="FE154" s="161"/>
      <c r="FF154" s="162"/>
    </row>
    <row r="155" spans="27:162">
      <c r="AA155" s="113"/>
      <c r="AB155" s="113"/>
      <c r="AC155" s="113"/>
      <c r="AD155" s="115"/>
      <c r="AE155" s="88"/>
      <c r="AJ155" s="126"/>
      <c r="AK155" s="154"/>
      <c r="AL155" s="155"/>
      <c r="AM155" s="155"/>
      <c r="AN155" s="155"/>
      <c r="AO155" s="155"/>
      <c r="AP155" s="155"/>
      <c r="AQ155" s="155"/>
      <c r="AR155" s="155"/>
      <c r="AS155" s="156"/>
      <c r="AT155" s="157"/>
      <c r="AU155" s="157"/>
      <c r="AV155" s="158"/>
      <c r="AW155" s="158"/>
      <c r="AX155" s="158"/>
      <c r="AY155" s="158"/>
      <c r="AZ155" s="158"/>
      <c r="BA155" s="154"/>
      <c r="BB155" s="154"/>
      <c r="BC155" s="154"/>
      <c r="BD155" s="154"/>
      <c r="BE155" s="154"/>
      <c r="BF155" s="154"/>
      <c r="BG155" s="154"/>
      <c r="BH155" s="154"/>
      <c r="BI155" s="154"/>
      <c r="BJ155" s="154"/>
      <c r="BK155" s="159"/>
      <c r="BL155" s="159"/>
      <c r="BM155" s="161"/>
      <c r="BN155" s="161"/>
      <c r="BO155" s="163"/>
      <c r="BP155" s="164"/>
      <c r="BQ155" s="165"/>
      <c r="BR155" s="161"/>
      <c r="BS155" s="161"/>
      <c r="BT155" s="161"/>
      <c r="BU155" s="161"/>
      <c r="BV155" s="166"/>
      <c r="BW155" s="159"/>
      <c r="BX155" s="166"/>
      <c r="BY155" s="155"/>
      <c r="BZ155" s="167"/>
      <c r="CA155" s="159"/>
      <c r="CB155" s="168"/>
      <c r="CC155" s="155"/>
      <c r="CD155" s="159"/>
      <c r="CE155" s="161"/>
      <c r="CF155" s="162"/>
      <c r="DA155" s="113"/>
      <c r="DB155" s="113"/>
      <c r="DC155" s="113"/>
      <c r="DD155" s="115"/>
      <c r="DE155" s="88"/>
      <c r="DJ155" s="126"/>
      <c r="DK155" s="154"/>
      <c r="DL155" s="155"/>
      <c r="DM155" s="155"/>
      <c r="DN155" s="155"/>
      <c r="DO155" s="155"/>
      <c r="DP155" s="155"/>
      <c r="DQ155" s="155"/>
      <c r="DR155" s="155"/>
      <c r="DS155" s="156"/>
      <c r="DT155" s="157"/>
      <c r="DU155" s="157"/>
      <c r="DV155" s="158"/>
      <c r="DW155" s="158"/>
      <c r="DX155" s="158"/>
      <c r="DY155" s="158"/>
      <c r="DZ155" s="158"/>
      <c r="EA155" s="154"/>
      <c r="EB155" s="154"/>
      <c r="EC155" s="154"/>
      <c r="ED155" s="154"/>
      <c r="EE155" s="154"/>
      <c r="EF155" s="154"/>
      <c r="EG155" s="154"/>
      <c r="EH155" s="154"/>
      <c r="EI155" s="154"/>
      <c r="EJ155" s="154"/>
      <c r="EK155" s="159"/>
      <c r="EL155" s="159"/>
      <c r="EM155" s="161"/>
      <c r="EN155" s="161"/>
      <c r="EO155" s="163"/>
      <c r="EP155" s="164"/>
      <c r="EQ155" s="165"/>
      <c r="ER155" s="161"/>
      <c r="ES155" s="161"/>
      <c r="ET155" s="161"/>
      <c r="EU155" s="161"/>
      <c r="EV155" s="166"/>
      <c r="EW155" s="159"/>
      <c r="EX155" s="166"/>
      <c r="EY155" s="155"/>
      <c r="EZ155" s="167"/>
      <c r="FA155" s="159"/>
      <c r="FB155" s="168"/>
      <c r="FC155" s="155"/>
      <c r="FD155" s="159"/>
      <c r="FE155" s="161"/>
      <c r="FF155" s="162"/>
    </row>
    <row r="156" spans="27:162">
      <c r="AA156" s="113"/>
      <c r="AB156" s="113"/>
      <c r="AC156" s="113"/>
      <c r="AD156" s="115"/>
      <c r="AE156" s="88"/>
      <c r="AJ156" s="126"/>
      <c r="AK156" s="154"/>
      <c r="AL156" s="155"/>
      <c r="AM156" s="155"/>
      <c r="AN156" s="155"/>
      <c r="AO156" s="155"/>
      <c r="AP156" s="155"/>
      <c r="AQ156" s="155"/>
      <c r="AR156" s="155"/>
      <c r="AS156" s="156"/>
      <c r="AT156" s="157"/>
      <c r="AU156" s="157"/>
      <c r="AV156" s="158"/>
      <c r="AW156" s="158"/>
      <c r="AX156" s="158"/>
      <c r="AY156" s="158"/>
      <c r="AZ156" s="158"/>
      <c r="BA156" s="154"/>
      <c r="BB156" s="154"/>
      <c r="BC156" s="154"/>
      <c r="BD156" s="154"/>
      <c r="BE156" s="154"/>
      <c r="BF156" s="154"/>
      <c r="BG156" s="154"/>
      <c r="BH156" s="154"/>
      <c r="BI156" s="154"/>
      <c r="BJ156" s="154"/>
      <c r="BK156" s="159"/>
      <c r="BL156" s="159"/>
      <c r="BM156" s="161"/>
      <c r="BN156" s="161"/>
      <c r="BO156" s="163"/>
      <c r="BP156" s="164"/>
      <c r="BQ156" s="165"/>
      <c r="BR156" s="161"/>
      <c r="BS156" s="161"/>
      <c r="BT156" s="161"/>
      <c r="BU156" s="161"/>
      <c r="BV156" s="166"/>
      <c r="BW156" s="159"/>
      <c r="BX156" s="166"/>
      <c r="BY156" s="155"/>
      <c r="BZ156" s="167"/>
      <c r="CA156" s="159"/>
      <c r="CB156" s="168"/>
      <c r="CC156" s="155"/>
      <c r="CD156" s="159"/>
      <c r="CE156" s="161"/>
      <c r="CF156" s="162"/>
      <c r="DA156" s="113"/>
      <c r="DB156" s="113"/>
      <c r="DC156" s="113"/>
      <c r="DD156" s="115"/>
      <c r="DE156" s="88"/>
      <c r="DJ156" s="126"/>
      <c r="DK156" s="154"/>
      <c r="DL156" s="155"/>
      <c r="DM156" s="155"/>
      <c r="DN156" s="155"/>
      <c r="DO156" s="155"/>
      <c r="DP156" s="155"/>
      <c r="DQ156" s="155"/>
      <c r="DR156" s="155"/>
      <c r="DS156" s="156"/>
      <c r="DT156" s="157"/>
      <c r="DU156" s="157"/>
      <c r="DV156" s="158"/>
      <c r="DW156" s="158"/>
      <c r="DX156" s="158"/>
      <c r="DY156" s="158"/>
      <c r="DZ156" s="158"/>
      <c r="EA156" s="154"/>
      <c r="EB156" s="154"/>
      <c r="EC156" s="154"/>
      <c r="ED156" s="154"/>
      <c r="EE156" s="154"/>
      <c r="EF156" s="154"/>
      <c r="EG156" s="154"/>
      <c r="EH156" s="154"/>
      <c r="EI156" s="154"/>
      <c r="EJ156" s="154"/>
      <c r="EK156" s="159"/>
      <c r="EL156" s="159"/>
      <c r="EM156" s="161"/>
      <c r="EN156" s="161"/>
      <c r="EO156" s="163"/>
      <c r="EP156" s="164"/>
      <c r="EQ156" s="165"/>
      <c r="ER156" s="161"/>
      <c r="ES156" s="161"/>
      <c r="ET156" s="161"/>
      <c r="EU156" s="161"/>
      <c r="EV156" s="166"/>
      <c r="EW156" s="159"/>
      <c r="EX156" s="166"/>
      <c r="EY156" s="155"/>
      <c r="EZ156" s="167"/>
      <c r="FA156" s="159"/>
      <c r="FB156" s="168"/>
      <c r="FC156" s="155"/>
      <c r="FD156" s="159"/>
      <c r="FE156" s="161"/>
      <c r="FF156" s="162"/>
    </row>
    <row r="157" spans="27:162">
      <c r="AA157" s="113"/>
      <c r="AB157" s="113"/>
      <c r="AC157" s="113"/>
      <c r="AD157" s="115"/>
      <c r="AE157" s="88"/>
      <c r="AJ157" s="126"/>
      <c r="AK157" s="154"/>
      <c r="AL157" s="155"/>
      <c r="AM157" s="155"/>
      <c r="AN157" s="155"/>
      <c r="AO157" s="155"/>
      <c r="AP157" s="155"/>
      <c r="AQ157" s="155"/>
      <c r="AR157" s="155"/>
      <c r="AS157" s="156"/>
      <c r="AT157" s="157"/>
      <c r="AU157" s="157"/>
      <c r="AV157" s="158"/>
      <c r="AW157" s="158"/>
      <c r="AX157" s="158"/>
      <c r="AY157" s="158"/>
      <c r="AZ157" s="158"/>
      <c r="BA157" s="154"/>
      <c r="BB157" s="154"/>
      <c r="BC157" s="154"/>
      <c r="BD157" s="154"/>
      <c r="BE157" s="154"/>
      <c r="BF157" s="154"/>
      <c r="BG157" s="154"/>
      <c r="BH157" s="154"/>
      <c r="BI157" s="154"/>
      <c r="BJ157" s="154"/>
      <c r="BK157" s="159"/>
      <c r="BL157" s="159"/>
      <c r="BM157" s="161"/>
      <c r="BN157" s="161"/>
      <c r="BO157" s="163"/>
      <c r="BP157" s="164"/>
      <c r="BQ157" s="165"/>
      <c r="BR157" s="161"/>
      <c r="BS157" s="161"/>
      <c r="BT157" s="161"/>
      <c r="BU157" s="161"/>
      <c r="BV157" s="166"/>
      <c r="BW157" s="159"/>
      <c r="BX157" s="166"/>
      <c r="BY157" s="155"/>
      <c r="BZ157" s="167"/>
      <c r="CA157" s="159"/>
      <c r="CB157" s="168"/>
      <c r="CC157" s="155"/>
      <c r="CD157" s="159"/>
      <c r="CE157" s="161"/>
      <c r="CF157" s="162"/>
      <c r="DA157" s="113"/>
      <c r="DB157" s="113"/>
      <c r="DC157" s="113"/>
      <c r="DD157" s="115"/>
      <c r="DE157" s="88"/>
      <c r="DJ157" s="126"/>
      <c r="DK157" s="154"/>
      <c r="DL157" s="155"/>
      <c r="DM157" s="155"/>
      <c r="DN157" s="155"/>
      <c r="DO157" s="155"/>
      <c r="DP157" s="155"/>
      <c r="DQ157" s="155"/>
      <c r="DR157" s="155"/>
      <c r="DS157" s="156"/>
      <c r="DT157" s="157"/>
      <c r="DU157" s="157"/>
      <c r="DV157" s="158"/>
      <c r="DW157" s="158"/>
      <c r="DX157" s="158"/>
      <c r="DY157" s="158"/>
      <c r="DZ157" s="158"/>
      <c r="EA157" s="154"/>
      <c r="EB157" s="154"/>
      <c r="EC157" s="154"/>
      <c r="ED157" s="154"/>
      <c r="EE157" s="154"/>
      <c r="EF157" s="154"/>
      <c r="EG157" s="154"/>
      <c r="EH157" s="154"/>
      <c r="EI157" s="154"/>
      <c r="EJ157" s="154"/>
      <c r="EK157" s="159"/>
      <c r="EL157" s="159"/>
      <c r="EM157" s="161"/>
      <c r="EN157" s="161"/>
      <c r="EO157" s="163"/>
      <c r="EP157" s="164"/>
      <c r="EQ157" s="165"/>
      <c r="ER157" s="161"/>
      <c r="ES157" s="161"/>
      <c r="ET157" s="161"/>
      <c r="EU157" s="161"/>
      <c r="EV157" s="166"/>
      <c r="EW157" s="159"/>
      <c r="EX157" s="166"/>
      <c r="EY157" s="155"/>
      <c r="EZ157" s="167"/>
      <c r="FA157" s="159"/>
      <c r="FB157" s="168"/>
      <c r="FC157" s="155"/>
      <c r="FD157" s="159"/>
      <c r="FE157" s="161"/>
      <c r="FF157" s="162"/>
    </row>
    <row r="158" spans="27:162">
      <c r="AA158" s="113"/>
      <c r="AB158" s="113"/>
      <c r="AC158" s="113"/>
      <c r="AD158" s="115"/>
      <c r="AE158" s="88"/>
      <c r="AJ158" s="126"/>
      <c r="AK158" s="154"/>
      <c r="AL158" s="155"/>
      <c r="AM158" s="155"/>
      <c r="AN158" s="155"/>
      <c r="AO158" s="155"/>
      <c r="AP158" s="155"/>
      <c r="AQ158" s="155"/>
      <c r="AR158" s="155"/>
      <c r="AS158" s="156"/>
      <c r="AT158" s="157"/>
      <c r="AU158" s="157"/>
      <c r="AV158" s="158"/>
      <c r="AW158" s="158"/>
      <c r="AX158" s="158"/>
      <c r="AY158" s="158"/>
      <c r="AZ158" s="158"/>
      <c r="BA158" s="154"/>
      <c r="BB158" s="154"/>
      <c r="BC158" s="154"/>
      <c r="BD158" s="154"/>
      <c r="BE158" s="154"/>
      <c r="BF158" s="154"/>
      <c r="BG158" s="154"/>
      <c r="BH158" s="154"/>
      <c r="BI158" s="154"/>
      <c r="BJ158" s="154"/>
      <c r="BK158" s="159"/>
      <c r="BL158" s="159"/>
      <c r="BM158" s="161"/>
      <c r="BN158" s="161"/>
      <c r="BO158" s="163"/>
      <c r="BP158" s="164"/>
      <c r="BQ158" s="165"/>
      <c r="BR158" s="161"/>
      <c r="BS158" s="161"/>
      <c r="BT158" s="161"/>
      <c r="BU158" s="161"/>
      <c r="BV158" s="166"/>
      <c r="BW158" s="159"/>
      <c r="BX158" s="166"/>
      <c r="BY158" s="155"/>
      <c r="BZ158" s="167"/>
      <c r="CA158" s="159"/>
      <c r="CB158" s="168"/>
      <c r="CC158" s="155"/>
      <c r="CD158" s="159"/>
      <c r="CE158" s="161"/>
      <c r="CF158" s="162"/>
      <c r="DA158" s="113"/>
      <c r="DB158" s="113"/>
      <c r="DC158" s="113"/>
      <c r="DD158" s="115"/>
      <c r="DE158" s="88"/>
      <c r="DJ158" s="126"/>
      <c r="DK158" s="154"/>
      <c r="DL158" s="155"/>
      <c r="DM158" s="155"/>
      <c r="DN158" s="155"/>
      <c r="DO158" s="155"/>
      <c r="DP158" s="155"/>
      <c r="DQ158" s="155"/>
      <c r="DR158" s="155"/>
      <c r="DS158" s="156"/>
      <c r="DT158" s="157"/>
      <c r="DU158" s="157"/>
      <c r="DV158" s="158"/>
      <c r="DW158" s="158"/>
      <c r="DX158" s="158"/>
      <c r="DY158" s="158"/>
      <c r="DZ158" s="158"/>
      <c r="EA158" s="154"/>
      <c r="EB158" s="154"/>
      <c r="EC158" s="154"/>
      <c r="ED158" s="154"/>
      <c r="EE158" s="154"/>
      <c r="EF158" s="154"/>
      <c r="EG158" s="154"/>
      <c r="EH158" s="154"/>
      <c r="EI158" s="154"/>
      <c r="EJ158" s="154"/>
      <c r="EK158" s="159"/>
      <c r="EL158" s="159"/>
      <c r="EM158" s="161"/>
      <c r="EN158" s="161"/>
      <c r="EO158" s="163"/>
      <c r="EP158" s="164"/>
      <c r="EQ158" s="165"/>
      <c r="ER158" s="161"/>
      <c r="ES158" s="161"/>
      <c r="ET158" s="161"/>
      <c r="EU158" s="161"/>
      <c r="EV158" s="166"/>
      <c r="EW158" s="159"/>
      <c r="EX158" s="166"/>
      <c r="EY158" s="155"/>
      <c r="EZ158" s="167"/>
      <c r="FA158" s="159"/>
      <c r="FB158" s="168"/>
      <c r="FC158" s="155"/>
      <c r="FD158" s="159"/>
      <c r="FE158" s="161"/>
      <c r="FF158" s="162"/>
    </row>
    <row r="159" spans="27:162">
      <c r="AA159" s="113"/>
      <c r="AB159" s="113"/>
      <c r="AC159" s="113"/>
      <c r="AD159" s="115"/>
      <c r="AE159" s="88"/>
      <c r="AJ159" s="126"/>
      <c r="AK159" s="154"/>
      <c r="AL159" s="155"/>
      <c r="AM159" s="155"/>
      <c r="AN159" s="155"/>
      <c r="AO159" s="155"/>
      <c r="AP159" s="155"/>
      <c r="AQ159" s="155"/>
      <c r="AR159" s="155"/>
      <c r="AS159" s="156"/>
      <c r="AT159" s="157"/>
      <c r="AU159" s="157"/>
      <c r="AV159" s="158"/>
      <c r="AW159" s="158"/>
      <c r="AX159" s="158"/>
      <c r="AY159" s="158"/>
      <c r="AZ159" s="158"/>
      <c r="BA159" s="154"/>
      <c r="BB159" s="154"/>
      <c r="BC159" s="154"/>
      <c r="BD159" s="154"/>
      <c r="BE159" s="154"/>
      <c r="BF159" s="154"/>
      <c r="BG159" s="154"/>
      <c r="BH159" s="154"/>
      <c r="BI159" s="154"/>
      <c r="BJ159" s="154"/>
      <c r="BK159" s="159"/>
      <c r="BL159" s="159"/>
      <c r="BM159" s="161"/>
      <c r="BN159" s="161"/>
      <c r="BO159" s="163"/>
      <c r="BP159" s="164"/>
      <c r="BQ159" s="165"/>
      <c r="BR159" s="161"/>
      <c r="BS159" s="161"/>
      <c r="BT159" s="161"/>
      <c r="BU159" s="161"/>
      <c r="BV159" s="166"/>
      <c r="BW159" s="159"/>
      <c r="BX159" s="166"/>
      <c r="BY159" s="155"/>
      <c r="BZ159" s="167"/>
      <c r="CA159" s="159"/>
      <c r="CB159" s="168"/>
      <c r="CC159" s="155"/>
      <c r="CD159" s="159"/>
      <c r="CE159" s="161"/>
      <c r="CF159" s="162"/>
      <c r="DA159" s="113"/>
      <c r="DB159" s="113"/>
      <c r="DC159" s="113"/>
      <c r="DD159" s="115"/>
      <c r="DE159" s="88"/>
      <c r="DJ159" s="126"/>
      <c r="DK159" s="154"/>
      <c r="DL159" s="155"/>
      <c r="DM159" s="155"/>
      <c r="DN159" s="155"/>
      <c r="DO159" s="155"/>
      <c r="DP159" s="155"/>
      <c r="DQ159" s="155"/>
      <c r="DR159" s="155"/>
      <c r="DS159" s="156"/>
      <c r="DT159" s="157"/>
      <c r="DU159" s="157"/>
      <c r="DV159" s="158"/>
      <c r="DW159" s="158"/>
      <c r="DX159" s="158"/>
      <c r="DY159" s="158"/>
      <c r="DZ159" s="158"/>
      <c r="EA159" s="154"/>
      <c r="EB159" s="154"/>
      <c r="EC159" s="154"/>
      <c r="ED159" s="154"/>
      <c r="EE159" s="154"/>
      <c r="EF159" s="154"/>
      <c r="EG159" s="154"/>
      <c r="EH159" s="154"/>
      <c r="EI159" s="154"/>
      <c r="EJ159" s="154"/>
      <c r="EK159" s="159"/>
      <c r="EL159" s="159"/>
      <c r="EM159" s="161"/>
      <c r="EN159" s="161"/>
      <c r="EO159" s="163"/>
      <c r="EP159" s="164"/>
      <c r="EQ159" s="165"/>
      <c r="ER159" s="161"/>
      <c r="ES159" s="161"/>
      <c r="ET159" s="161"/>
      <c r="EU159" s="161"/>
      <c r="EV159" s="166"/>
      <c r="EW159" s="159"/>
      <c r="EX159" s="166"/>
      <c r="EY159" s="155"/>
      <c r="EZ159" s="167"/>
      <c r="FA159" s="159"/>
      <c r="FB159" s="168"/>
      <c r="FC159" s="155"/>
      <c r="FD159" s="159"/>
      <c r="FE159" s="161"/>
      <c r="FF159" s="162"/>
    </row>
    <row r="160" spans="27:162">
      <c r="AA160" s="113"/>
      <c r="AB160" s="113"/>
      <c r="AC160" s="113"/>
      <c r="AD160" s="115"/>
      <c r="AE160" s="88"/>
      <c r="AJ160" s="126"/>
      <c r="AK160" s="154"/>
      <c r="AL160" s="155"/>
      <c r="AM160" s="155"/>
      <c r="AN160" s="155"/>
      <c r="AO160" s="155"/>
      <c r="AP160" s="155"/>
      <c r="AQ160" s="155"/>
      <c r="AR160" s="155"/>
      <c r="AS160" s="156"/>
      <c r="AT160" s="157"/>
      <c r="AU160" s="157"/>
      <c r="AV160" s="158"/>
      <c r="AW160" s="158"/>
      <c r="AX160" s="158"/>
      <c r="AY160" s="158"/>
      <c r="AZ160" s="158"/>
      <c r="BA160" s="154"/>
      <c r="BB160" s="154"/>
      <c r="BC160" s="154"/>
      <c r="BD160" s="154"/>
      <c r="BE160" s="154"/>
      <c r="BF160" s="154"/>
      <c r="BG160" s="154"/>
      <c r="BH160" s="154"/>
      <c r="BI160" s="154"/>
      <c r="BJ160" s="154"/>
      <c r="BK160" s="159"/>
      <c r="BL160" s="159"/>
      <c r="BM160" s="161"/>
      <c r="BN160" s="161"/>
      <c r="BO160" s="163"/>
      <c r="BP160" s="164"/>
      <c r="BQ160" s="165"/>
      <c r="BR160" s="161"/>
      <c r="BS160" s="161"/>
      <c r="BT160" s="161"/>
      <c r="BU160" s="161"/>
      <c r="BV160" s="166"/>
      <c r="BW160" s="159"/>
      <c r="BX160" s="166"/>
      <c r="BY160" s="155"/>
      <c r="BZ160" s="167"/>
      <c r="CA160" s="159"/>
      <c r="CB160" s="168"/>
      <c r="CC160" s="155"/>
      <c r="CD160" s="159"/>
      <c r="CE160" s="161"/>
      <c r="CF160" s="162"/>
      <c r="DA160" s="113"/>
      <c r="DB160" s="113"/>
      <c r="DC160" s="113"/>
      <c r="DD160" s="115"/>
      <c r="DE160" s="88"/>
      <c r="DJ160" s="126"/>
      <c r="DK160" s="154"/>
      <c r="DL160" s="155"/>
      <c r="DM160" s="155"/>
      <c r="DN160" s="155"/>
      <c r="DO160" s="155"/>
      <c r="DP160" s="155"/>
      <c r="DQ160" s="155"/>
      <c r="DR160" s="155"/>
      <c r="DS160" s="156"/>
      <c r="DT160" s="157"/>
      <c r="DU160" s="157"/>
      <c r="DV160" s="158"/>
      <c r="DW160" s="158"/>
      <c r="DX160" s="158"/>
      <c r="DY160" s="158"/>
      <c r="DZ160" s="158"/>
      <c r="EA160" s="154"/>
      <c r="EB160" s="154"/>
      <c r="EC160" s="154"/>
      <c r="ED160" s="154"/>
      <c r="EE160" s="154"/>
      <c r="EF160" s="154"/>
      <c r="EG160" s="154"/>
      <c r="EH160" s="154"/>
      <c r="EI160" s="154"/>
      <c r="EJ160" s="154"/>
      <c r="EK160" s="159"/>
      <c r="EL160" s="159"/>
      <c r="EM160" s="161"/>
      <c r="EN160" s="161"/>
      <c r="EO160" s="163"/>
      <c r="EP160" s="164"/>
      <c r="EQ160" s="165"/>
      <c r="ER160" s="161"/>
      <c r="ES160" s="161"/>
      <c r="ET160" s="161"/>
      <c r="EU160" s="161"/>
      <c r="EV160" s="166"/>
      <c r="EW160" s="159"/>
      <c r="EX160" s="166"/>
      <c r="EY160" s="155"/>
      <c r="EZ160" s="167"/>
      <c r="FA160" s="159"/>
      <c r="FB160" s="168"/>
      <c r="FC160" s="155"/>
      <c r="FD160" s="159"/>
      <c r="FE160" s="161"/>
      <c r="FF160" s="162"/>
    </row>
    <row r="161" spans="27:162">
      <c r="AA161" s="113"/>
      <c r="AB161" s="113"/>
      <c r="AC161" s="113"/>
      <c r="AD161" s="115"/>
      <c r="AE161" s="88"/>
      <c r="AJ161" s="126"/>
      <c r="AK161" s="154"/>
      <c r="AL161" s="155"/>
      <c r="AM161" s="155"/>
      <c r="AN161" s="155"/>
      <c r="AO161" s="155"/>
      <c r="AP161" s="155"/>
      <c r="AQ161" s="155"/>
      <c r="AR161" s="155"/>
      <c r="AS161" s="156"/>
      <c r="AT161" s="157"/>
      <c r="AU161" s="157"/>
      <c r="AV161" s="158"/>
      <c r="AW161" s="158"/>
      <c r="AX161" s="158"/>
      <c r="AY161" s="158"/>
      <c r="AZ161" s="158"/>
      <c r="BA161" s="154"/>
      <c r="BB161" s="154"/>
      <c r="BC161" s="154"/>
      <c r="BD161" s="154"/>
      <c r="BE161" s="154"/>
      <c r="BF161" s="154"/>
      <c r="BG161" s="154"/>
      <c r="BH161" s="154"/>
      <c r="BI161" s="154"/>
      <c r="BJ161" s="154"/>
      <c r="BK161" s="159"/>
      <c r="BL161" s="159"/>
      <c r="BM161" s="161"/>
      <c r="BN161" s="161"/>
      <c r="BO161" s="163"/>
      <c r="BP161" s="164"/>
      <c r="BQ161" s="165"/>
      <c r="BR161" s="161"/>
      <c r="BS161" s="161"/>
      <c r="BT161" s="161"/>
      <c r="BU161" s="161"/>
      <c r="BV161" s="166"/>
      <c r="BW161" s="159"/>
      <c r="BX161" s="166"/>
      <c r="BY161" s="155"/>
      <c r="BZ161" s="167"/>
      <c r="CA161" s="159"/>
      <c r="CB161" s="168"/>
      <c r="CC161" s="155"/>
      <c r="CD161" s="159"/>
      <c r="CE161" s="161"/>
      <c r="CF161" s="162"/>
      <c r="DA161" s="113"/>
      <c r="DB161" s="113"/>
      <c r="DC161" s="113"/>
      <c r="DD161" s="115"/>
      <c r="DE161" s="88"/>
      <c r="DJ161" s="126"/>
      <c r="DK161" s="154"/>
      <c r="DL161" s="155"/>
      <c r="DM161" s="155"/>
      <c r="DN161" s="155"/>
      <c r="DO161" s="155"/>
      <c r="DP161" s="155"/>
      <c r="DQ161" s="155"/>
      <c r="DR161" s="155"/>
      <c r="DS161" s="156"/>
      <c r="DT161" s="157"/>
      <c r="DU161" s="157"/>
      <c r="DV161" s="158"/>
      <c r="DW161" s="158"/>
      <c r="DX161" s="158"/>
      <c r="DY161" s="158"/>
      <c r="DZ161" s="158"/>
      <c r="EA161" s="154"/>
      <c r="EB161" s="154"/>
      <c r="EC161" s="154"/>
      <c r="ED161" s="154"/>
      <c r="EE161" s="154"/>
      <c r="EF161" s="154"/>
      <c r="EG161" s="154"/>
      <c r="EH161" s="154"/>
      <c r="EI161" s="154"/>
      <c r="EJ161" s="154"/>
      <c r="EK161" s="159"/>
      <c r="EL161" s="159"/>
      <c r="EM161" s="161"/>
      <c r="EN161" s="161"/>
      <c r="EO161" s="163"/>
      <c r="EP161" s="164"/>
      <c r="EQ161" s="165"/>
      <c r="ER161" s="161"/>
      <c r="ES161" s="161"/>
      <c r="ET161" s="161"/>
      <c r="EU161" s="161"/>
      <c r="EV161" s="166"/>
      <c r="EW161" s="159"/>
      <c r="EX161" s="166"/>
      <c r="EY161" s="155"/>
      <c r="EZ161" s="167"/>
      <c r="FA161" s="159"/>
      <c r="FB161" s="168"/>
      <c r="FC161" s="155"/>
      <c r="FD161" s="159"/>
      <c r="FE161" s="161"/>
      <c r="FF161" s="162"/>
    </row>
    <row r="162" spans="27:162">
      <c r="AA162" s="113"/>
      <c r="AB162" s="113"/>
      <c r="AC162" s="113"/>
      <c r="AD162" s="115"/>
      <c r="AE162" s="88"/>
      <c r="AJ162" s="126"/>
      <c r="AK162" s="154"/>
      <c r="AL162" s="155"/>
      <c r="AM162" s="155"/>
      <c r="AN162" s="155"/>
      <c r="AO162" s="155"/>
      <c r="AP162" s="155"/>
      <c r="AQ162" s="155"/>
      <c r="AR162" s="155"/>
      <c r="AS162" s="156"/>
      <c r="AT162" s="157"/>
      <c r="AU162" s="157"/>
      <c r="AV162" s="158"/>
      <c r="AW162" s="158"/>
      <c r="AX162" s="158"/>
      <c r="AY162" s="158"/>
      <c r="AZ162" s="158"/>
      <c r="BA162" s="154"/>
      <c r="BB162" s="154"/>
      <c r="BC162" s="154"/>
      <c r="BD162" s="154"/>
      <c r="BE162" s="154"/>
      <c r="BF162" s="154"/>
      <c r="BG162" s="154"/>
      <c r="BH162" s="154"/>
      <c r="BI162" s="154"/>
      <c r="BJ162" s="154"/>
      <c r="BK162" s="159"/>
      <c r="BL162" s="159"/>
      <c r="BM162" s="161"/>
      <c r="BN162" s="161"/>
      <c r="BO162" s="163"/>
      <c r="BP162" s="164"/>
      <c r="BQ162" s="165"/>
      <c r="BR162" s="161"/>
      <c r="BS162" s="161"/>
      <c r="BT162" s="161"/>
      <c r="BU162" s="161"/>
      <c r="BV162" s="166"/>
      <c r="BW162" s="159"/>
      <c r="BX162" s="166"/>
      <c r="BY162" s="155"/>
      <c r="BZ162" s="167"/>
      <c r="CA162" s="159"/>
      <c r="CB162" s="168"/>
      <c r="CC162" s="155"/>
      <c r="CD162" s="159"/>
      <c r="CE162" s="161"/>
      <c r="CF162" s="162"/>
      <c r="DA162" s="113"/>
      <c r="DB162" s="113"/>
      <c r="DC162" s="113"/>
      <c r="DD162" s="115"/>
      <c r="DE162" s="88"/>
      <c r="DJ162" s="126"/>
      <c r="DK162" s="154"/>
      <c r="DL162" s="155"/>
      <c r="DM162" s="155"/>
      <c r="DN162" s="155"/>
      <c r="DO162" s="155"/>
      <c r="DP162" s="155"/>
      <c r="DQ162" s="155"/>
      <c r="DR162" s="155"/>
      <c r="DS162" s="156"/>
      <c r="DT162" s="157"/>
      <c r="DU162" s="157"/>
      <c r="DV162" s="158"/>
      <c r="DW162" s="158"/>
      <c r="DX162" s="158"/>
      <c r="DY162" s="158"/>
      <c r="DZ162" s="158"/>
      <c r="EA162" s="154"/>
      <c r="EB162" s="154"/>
      <c r="EC162" s="154"/>
      <c r="ED162" s="154"/>
      <c r="EE162" s="154"/>
      <c r="EF162" s="154"/>
      <c r="EG162" s="154"/>
      <c r="EH162" s="154"/>
      <c r="EI162" s="154"/>
      <c r="EJ162" s="154"/>
      <c r="EK162" s="159"/>
      <c r="EL162" s="159"/>
      <c r="EM162" s="161"/>
      <c r="EN162" s="161"/>
      <c r="EO162" s="163"/>
      <c r="EP162" s="164"/>
      <c r="EQ162" s="165"/>
      <c r="ER162" s="161"/>
      <c r="ES162" s="161"/>
      <c r="ET162" s="161"/>
      <c r="EU162" s="161"/>
      <c r="EV162" s="166"/>
      <c r="EW162" s="159"/>
      <c r="EX162" s="166"/>
      <c r="EY162" s="155"/>
      <c r="EZ162" s="167"/>
      <c r="FA162" s="159"/>
      <c r="FB162" s="168"/>
      <c r="FC162" s="155"/>
      <c r="FD162" s="159"/>
      <c r="FE162" s="161"/>
      <c r="FF162" s="162"/>
    </row>
    <row r="163" spans="27:162">
      <c r="AA163" s="113"/>
      <c r="AB163" s="113"/>
      <c r="AC163" s="113"/>
      <c r="AD163" s="115"/>
      <c r="AE163" s="88"/>
      <c r="AJ163" s="126"/>
      <c r="AK163" s="154"/>
      <c r="AL163" s="155"/>
      <c r="AM163" s="155"/>
      <c r="AN163" s="155"/>
      <c r="AO163" s="155"/>
      <c r="AP163" s="155"/>
      <c r="AQ163" s="155"/>
      <c r="AR163" s="155"/>
      <c r="AS163" s="156"/>
      <c r="AT163" s="157"/>
      <c r="AU163" s="157"/>
      <c r="AV163" s="158"/>
      <c r="AW163" s="158"/>
      <c r="AX163" s="158"/>
      <c r="AY163" s="158"/>
      <c r="AZ163" s="158"/>
      <c r="BA163" s="154"/>
      <c r="BB163" s="154"/>
      <c r="BC163" s="154"/>
      <c r="BD163" s="154"/>
      <c r="BE163" s="154"/>
      <c r="BF163" s="154"/>
      <c r="BG163" s="154"/>
      <c r="BH163" s="154"/>
      <c r="BI163" s="154"/>
      <c r="BJ163" s="154"/>
      <c r="BK163" s="159"/>
      <c r="BL163" s="159"/>
      <c r="BM163" s="161"/>
      <c r="BN163" s="161"/>
      <c r="BO163" s="163"/>
      <c r="BP163" s="164"/>
      <c r="BQ163" s="165"/>
      <c r="BR163" s="161"/>
      <c r="BS163" s="161"/>
      <c r="BT163" s="161"/>
      <c r="BU163" s="161"/>
      <c r="BV163" s="166"/>
      <c r="BW163" s="159"/>
      <c r="BX163" s="166"/>
      <c r="BY163" s="155"/>
      <c r="BZ163" s="167"/>
      <c r="CA163" s="159"/>
      <c r="CB163" s="168"/>
      <c r="CC163" s="155"/>
      <c r="CD163" s="159"/>
      <c r="CE163" s="161"/>
      <c r="CF163" s="162"/>
      <c r="DA163" s="113"/>
      <c r="DB163" s="113"/>
      <c r="DC163" s="113"/>
      <c r="DD163" s="115"/>
      <c r="DE163" s="88"/>
      <c r="DJ163" s="126"/>
      <c r="DK163" s="154"/>
      <c r="DL163" s="155"/>
      <c r="DM163" s="155"/>
      <c r="DN163" s="155"/>
      <c r="DO163" s="155"/>
      <c r="DP163" s="155"/>
      <c r="DQ163" s="155"/>
      <c r="DR163" s="155"/>
      <c r="DS163" s="156"/>
      <c r="DT163" s="157"/>
      <c r="DU163" s="157"/>
      <c r="DV163" s="158"/>
      <c r="DW163" s="158"/>
      <c r="DX163" s="158"/>
      <c r="DY163" s="158"/>
      <c r="DZ163" s="158"/>
      <c r="EA163" s="154"/>
      <c r="EB163" s="154"/>
      <c r="EC163" s="154"/>
      <c r="ED163" s="154"/>
      <c r="EE163" s="154"/>
      <c r="EF163" s="154"/>
      <c r="EG163" s="154"/>
      <c r="EH163" s="154"/>
      <c r="EI163" s="154"/>
      <c r="EJ163" s="154"/>
      <c r="EK163" s="159"/>
      <c r="EL163" s="159"/>
      <c r="EM163" s="161"/>
      <c r="EN163" s="161"/>
      <c r="EO163" s="163"/>
      <c r="EP163" s="164"/>
      <c r="EQ163" s="165"/>
      <c r="ER163" s="161"/>
      <c r="ES163" s="161"/>
      <c r="ET163" s="161"/>
      <c r="EU163" s="161"/>
      <c r="EV163" s="166"/>
      <c r="EW163" s="159"/>
      <c r="EX163" s="166"/>
      <c r="EY163" s="155"/>
      <c r="EZ163" s="167"/>
      <c r="FA163" s="159"/>
      <c r="FB163" s="168"/>
      <c r="FC163" s="155"/>
      <c r="FD163" s="159"/>
      <c r="FE163" s="161"/>
      <c r="FF163" s="162"/>
    </row>
    <row r="164" spans="27:162">
      <c r="AA164" s="113"/>
      <c r="AB164" s="113"/>
      <c r="AC164" s="113"/>
      <c r="AD164" s="115"/>
      <c r="AE164" s="88"/>
      <c r="AJ164" s="126"/>
      <c r="AK164" s="154"/>
      <c r="AL164" s="155"/>
      <c r="AM164" s="155"/>
      <c r="AN164" s="155"/>
      <c r="AO164" s="155"/>
      <c r="AP164" s="155"/>
      <c r="AQ164" s="155"/>
      <c r="AR164" s="155"/>
      <c r="AS164" s="156"/>
      <c r="AT164" s="157"/>
      <c r="AU164" s="157"/>
      <c r="AV164" s="158"/>
      <c r="AW164" s="158"/>
      <c r="AX164" s="158"/>
      <c r="AY164" s="158"/>
      <c r="AZ164" s="158"/>
      <c r="BA164" s="154"/>
      <c r="BB164" s="154"/>
      <c r="BC164" s="154"/>
      <c r="BD164" s="154"/>
      <c r="BE164" s="154"/>
      <c r="BF164" s="154"/>
      <c r="BG164" s="154"/>
      <c r="BH164" s="154"/>
      <c r="BI164" s="154"/>
      <c r="BJ164" s="154"/>
      <c r="BK164" s="159"/>
      <c r="BL164" s="159"/>
      <c r="BM164" s="161"/>
      <c r="BN164" s="161"/>
      <c r="BO164" s="163"/>
      <c r="BP164" s="164"/>
      <c r="BQ164" s="165"/>
      <c r="BR164" s="161"/>
      <c r="BS164" s="161"/>
      <c r="BT164" s="161"/>
      <c r="BU164" s="161"/>
      <c r="BV164" s="166"/>
      <c r="BW164" s="159"/>
      <c r="BX164" s="166"/>
      <c r="BY164" s="155"/>
      <c r="BZ164" s="167"/>
      <c r="CA164" s="159"/>
      <c r="CB164" s="168"/>
      <c r="CC164" s="155"/>
      <c r="CD164" s="159"/>
      <c r="CE164" s="161"/>
      <c r="CF164" s="162"/>
      <c r="DA164" s="113"/>
      <c r="DB164" s="113"/>
      <c r="DC164" s="113"/>
      <c r="DD164" s="115"/>
      <c r="DE164" s="88"/>
      <c r="DJ164" s="126"/>
      <c r="DK164" s="154"/>
      <c r="DL164" s="155"/>
      <c r="DM164" s="155"/>
      <c r="DN164" s="155"/>
      <c r="DO164" s="155"/>
      <c r="DP164" s="155"/>
      <c r="DQ164" s="155"/>
      <c r="DR164" s="155"/>
      <c r="DS164" s="156"/>
      <c r="DT164" s="157"/>
      <c r="DU164" s="157"/>
      <c r="DV164" s="158"/>
      <c r="DW164" s="158"/>
      <c r="DX164" s="158"/>
      <c r="DY164" s="158"/>
      <c r="DZ164" s="158"/>
      <c r="EA164" s="154"/>
      <c r="EB164" s="154"/>
      <c r="EC164" s="154"/>
      <c r="ED164" s="154"/>
      <c r="EE164" s="154"/>
      <c r="EF164" s="154"/>
      <c r="EG164" s="154"/>
      <c r="EH164" s="154"/>
      <c r="EI164" s="154"/>
      <c r="EJ164" s="154"/>
      <c r="EK164" s="159"/>
      <c r="EL164" s="159"/>
      <c r="EM164" s="161"/>
      <c r="EN164" s="161"/>
      <c r="EO164" s="163"/>
      <c r="EP164" s="164"/>
      <c r="EQ164" s="165"/>
      <c r="ER164" s="161"/>
      <c r="ES164" s="161"/>
      <c r="ET164" s="161"/>
      <c r="EU164" s="161"/>
      <c r="EV164" s="166"/>
      <c r="EW164" s="159"/>
      <c r="EX164" s="166"/>
      <c r="EY164" s="155"/>
      <c r="EZ164" s="167"/>
      <c r="FA164" s="159"/>
      <c r="FB164" s="168"/>
      <c r="FC164" s="155"/>
      <c r="FD164" s="159"/>
      <c r="FE164" s="161"/>
      <c r="FF164" s="162"/>
    </row>
    <row r="165" spans="27:162">
      <c r="AA165" s="113"/>
      <c r="AB165" s="113"/>
      <c r="AC165" s="113"/>
      <c r="AD165" s="115"/>
      <c r="AE165" s="88"/>
      <c r="AJ165" s="126"/>
      <c r="AK165" s="154"/>
      <c r="AL165" s="155"/>
      <c r="AM165" s="155"/>
      <c r="AN165" s="155"/>
      <c r="AO165" s="155"/>
      <c r="AP165" s="155"/>
      <c r="AQ165" s="155"/>
      <c r="AR165" s="155"/>
      <c r="AS165" s="156"/>
      <c r="AT165" s="157"/>
      <c r="AU165" s="157"/>
      <c r="AV165" s="158"/>
      <c r="AW165" s="158"/>
      <c r="AX165" s="158"/>
      <c r="AY165" s="158"/>
      <c r="AZ165" s="158"/>
      <c r="BA165" s="154"/>
      <c r="BB165" s="154"/>
      <c r="BC165" s="154"/>
      <c r="BD165" s="154"/>
      <c r="BE165" s="154"/>
      <c r="BF165" s="154"/>
      <c r="BG165" s="154"/>
      <c r="BH165" s="154"/>
      <c r="BI165" s="154"/>
      <c r="BJ165" s="154"/>
      <c r="BK165" s="159"/>
      <c r="BL165" s="159"/>
      <c r="BM165" s="161"/>
      <c r="BN165" s="161"/>
      <c r="BO165" s="163"/>
      <c r="BP165" s="164"/>
      <c r="BQ165" s="165"/>
      <c r="BR165" s="161"/>
      <c r="BS165" s="161"/>
      <c r="BT165" s="161"/>
      <c r="BU165" s="161"/>
      <c r="BV165" s="166"/>
      <c r="BW165" s="159"/>
      <c r="BX165" s="166"/>
      <c r="BY165" s="155"/>
      <c r="BZ165" s="167"/>
      <c r="CA165" s="159"/>
      <c r="CB165" s="168"/>
      <c r="CC165" s="155"/>
      <c r="CD165" s="159"/>
      <c r="CE165" s="161"/>
      <c r="CF165" s="162"/>
      <c r="DA165" s="113"/>
      <c r="DB165" s="113"/>
      <c r="DC165" s="113"/>
      <c r="DD165" s="115"/>
      <c r="DE165" s="88"/>
      <c r="DJ165" s="126"/>
      <c r="DK165" s="154"/>
      <c r="DL165" s="155"/>
      <c r="DM165" s="155"/>
      <c r="DN165" s="155"/>
      <c r="DO165" s="155"/>
      <c r="DP165" s="155"/>
      <c r="DQ165" s="155"/>
      <c r="DR165" s="155"/>
      <c r="DS165" s="156"/>
      <c r="DT165" s="157"/>
      <c r="DU165" s="157"/>
      <c r="DV165" s="158"/>
      <c r="DW165" s="158"/>
      <c r="DX165" s="158"/>
      <c r="DY165" s="158"/>
      <c r="DZ165" s="158"/>
      <c r="EA165" s="154"/>
      <c r="EB165" s="154"/>
      <c r="EC165" s="154"/>
      <c r="ED165" s="154"/>
      <c r="EE165" s="154"/>
      <c r="EF165" s="154"/>
      <c r="EG165" s="154"/>
      <c r="EH165" s="154"/>
      <c r="EI165" s="154"/>
      <c r="EJ165" s="154"/>
      <c r="EK165" s="159"/>
      <c r="EL165" s="159"/>
      <c r="EM165" s="161"/>
      <c r="EN165" s="161"/>
      <c r="EO165" s="163"/>
      <c r="EP165" s="164"/>
      <c r="EQ165" s="165"/>
      <c r="ER165" s="161"/>
      <c r="ES165" s="161"/>
      <c r="ET165" s="161"/>
      <c r="EU165" s="161"/>
      <c r="EV165" s="166"/>
      <c r="EW165" s="159"/>
      <c r="EX165" s="166"/>
      <c r="EY165" s="155"/>
      <c r="EZ165" s="167"/>
      <c r="FA165" s="159"/>
      <c r="FB165" s="168"/>
      <c r="FC165" s="155"/>
      <c r="FD165" s="159"/>
      <c r="FE165" s="161"/>
      <c r="FF165" s="162"/>
    </row>
    <row r="166" spans="27:162">
      <c r="AA166" s="113"/>
      <c r="AB166" s="113"/>
      <c r="AC166" s="113"/>
      <c r="AD166" s="115"/>
      <c r="AE166" s="88"/>
      <c r="AJ166" s="126"/>
      <c r="AK166" s="154"/>
      <c r="AL166" s="155"/>
      <c r="AM166" s="155"/>
      <c r="AN166" s="155"/>
      <c r="AO166" s="155"/>
      <c r="AP166" s="155"/>
      <c r="AQ166" s="155"/>
      <c r="AR166" s="155"/>
      <c r="AS166" s="156"/>
      <c r="AT166" s="157"/>
      <c r="AU166" s="157"/>
      <c r="AV166" s="158"/>
      <c r="AW166" s="158"/>
      <c r="AX166" s="158"/>
      <c r="AY166" s="158"/>
      <c r="AZ166" s="158"/>
      <c r="BA166" s="154"/>
      <c r="BB166" s="154"/>
      <c r="BC166" s="154"/>
      <c r="BD166" s="154"/>
      <c r="BE166" s="154"/>
      <c r="BF166" s="154"/>
      <c r="BG166" s="154"/>
      <c r="BH166" s="154"/>
      <c r="BI166" s="154"/>
      <c r="BJ166" s="154"/>
      <c r="BK166" s="159"/>
      <c r="BL166" s="159"/>
      <c r="BM166" s="161"/>
      <c r="BN166" s="161"/>
      <c r="BO166" s="163"/>
      <c r="BP166" s="164"/>
      <c r="BQ166" s="165"/>
      <c r="BR166" s="161"/>
      <c r="BS166" s="161"/>
      <c r="BT166" s="161"/>
      <c r="BU166" s="161"/>
      <c r="BV166" s="166"/>
      <c r="BW166" s="159"/>
      <c r="BX166" s="166"/>
      <c r="BY166" s="155"/>
      <c r="BZ166" s="167"/>
      <c r="CA166" s="159"/>
      <c r="CB166" s="168"/>
      <c r="CC166" s="155"/>
      <c r="CD166" s="159"/>
      <c r="CE166" s="161"/>
      <c r="CF166" s="162"/>
      <c r="DA166" s="113"/>
      <c r="DB166" s="113"/>
      <c r="DC166" s="113"/>
      <c r="DD166" s="115"/>
      <c r="DE166" s="88"/>
      <c r="DJ166" s="126"/>
      <c r="DK166" s="154"/>
      <c r="DL166" s="155"/>
      <c r="DM166" s="155"/>
      <c r="DN166" s="155"/>
      <c r="DO166" s="155"/>
      <c r="DP166" s="155"/>
      <c r="DQ166" s="155"/>
      <c r="DR166" s="155"/>
      <c r="DS166" s="156"/>
      <c r="DT166" s="157"/>
      <c r="DU166" s="157"/>
      <c r="DV166" s="158"/>
      <c r="DW166" s="158"/>
      <c r="DX166" s="158"/>
      <c r="DY166" s="158"/>
      <c r="DZ166" s="158"/>
      <c r="EA166" s="154"/>
      <c r="EB166" s="154"/>
      <c r="EC166" s="154"/>
      <c r="ED166" s="154"/>
      <c r="EE166" s="154"/>
      <c r="EF166" s="154"/>
      <c r="EG166" s="154"/>
      <c r="EH166" s="154"/>
      <c r="EI166" s="154"/>
      <c r="EJ166" s="154"/>
      <c r="EK166" s="159"/>
      <c r="EL166" s="159"/>
      <c r="EM166" s="161"/>
      <c r="EN166" s="161"/>
      <c r="EO166" s="163"/>
      <c r="EP166" s="164"/>
      <c r="EQ166" s="165"/>
      <c r="ER166" s="161"/>
      <c r="ES166" s="161"/>
      <c r="ET166" s="161"/>
      <c r="EU166" s="161"/>
      <c r="EV166" s="166"/>
      <c r="EW166" s="159"/>
      <c r="EX166" s="166"/>
      <c r="EY166" s="155"/>
      <c r="EZ166" s="167"/>
      <c r="FA166" s="159"/>
      <c r="FB166" s="168"/>
      <c r="FC166" s="155"/>
      <c r="FD166" s="159"/>
      <c r="FE166" s="161"/>
      <c r="FF166" s="162"/>
    </row>
    <row r="167" spans="27:162">
      <c r="AA167" s="113"/>
      <c r="AB167" s="113"/>
      <c r="AC167" s="113"/>
      <c r="AD167" s="115"/>
      <c r="AE167" s="88"/>
      <c r="AJ167" s="126"/>
      <c r="AK167" s="154"/>
      <c r="AL167" s="155"/>
      <c r="AM167" s="155"/>
      <c r="AN167" s="155"/>
      <c r="AO167" s="155"/>
      <c r="AP167" s="155"/>
      <c r="AQ167" s="155"/>
      <c r="AR167" s="155"/>
      <c r="AS167" s="156"/>
      <c r="AT167" s="157"/>
      <c r="AU167" s="157"/>
      <c r="AV167" s="158"/>
      <c r="AW167" s="158"/>
      <c r="AX167" s="158"/>
      <c r="AY167" s="158"/>
      <c r="AZ167" s="158"/>
      <c r="BA167" s="154"/>
      <c r="BB167" s="154"/>
      <c r="BC167" s="154"/>
      <c r="BD167" s="154"/>
      <c r="BE167" s="154"/>
      <c r="BF167" s="154"/>
      <c r="BG167" s="154"/>
      <c r="BH167" s="154"/>
      <c r="BI167" s="154"/>
      <c r="BJ167" s="154"/>
      <c r="BK167" s="159"/>
      <c r="BL167" s="159"/>
      <c r="BM167" s="161"/>
      <c r="BN167" s="161"/>
      <c r="BO167" s="163"/>
      <c r="BP167" s="164"/>
      <c r="BQ167" s="165"/>
      <c r="BR167" s="161"/>
      <c r="BS167" s="161"/>
      <c r="BT167" s="161"/>
      <c r="BU167" s="161"/>
      <c r="BV167" s="166"/>
      <c r="BW167" s="159"/>
      <c r="BX167" s="166"/>
      <c r="BY167" s="155"/>
      <c r="BZ167" s="167"/>
      <c r="CA167" s="159"/>
      <c r="CB167" s="168"/>
      <c r="CC167" s="155"/>
      <c r="CD167" s="159"/>
      <c r="CE167" s="161"/>
      <c r="CF167" s="162"/>
      <c r="DA167" s="113"/>
      <c r="DB167" s="113"/>
      <c r="DC167" s="113"/>
      <c r="DD167" s="115"/>
      <c r="DE167" s="88"/>
      <c r="DJ167" s="126"/>
      <c r="DK167" s="154"/>
      <c r="DL167" s="155"/>
      <c r="DM167" s="155"/>
      <c r="DN167" s="155"/>
      <c r="DO167" s="155"/>
      <c r="DP167" s="155"/>
      <c r="DQ167" s="155"/>
      <c r="DR167" s="155"/>
      <c r="DS167" s="156"/>
      <c r="DT167" s="157"/>
      <c r="DU167" s="157"/>
      <c r="DV167" s="158"/>
      <c r="DW167" s="158"/>
      <c r="DX167" s="158"/>
      <c r="DY167" s="158"/>
      <c r="DZ167" s="158"/>
      <c r="EA167" s="154"/>
      <c r="EB167" s="154"/>
      <c r="EC167" s="154"/>
      <c r="ED167" s="154"/>
      <c r="EE167" s="154"/>
      <c r="EF167" s="154"/>
      <c r="EG167" s="154"/>
      <c r="EH167" s="154"/>
      <c r="EI167" s="154"/>
      <c r="EJ167" s="154"/>
      <c r="EK167" s="159"/>
      <c r="EL167" s="159"/>
      <c r="EM167" s="161"/>
      <c r="EN167" s="161"/>
      <c r="EO167" s="163"/>
      <c r="EP167" s="164"/>
      <c r="EQ167" s="165"/>
      <c r="ER167" s="161"/>
      <c r="ES167" s="161"/>
      <c r="ET167" s="161"/>
      <c r="EU167" s="161"/>
      <c r="EV167" s="166"/>
      <c r="EW167" s="159"/>
      <c r="EX167" s="166"/>
      <c r="EY167" s="155"/>
      <c r="EZ167" s="167"/>
      <c r="FA167" s="159"/>
      <c r="FB167" s="168"/>
      <c r="FC167" s="155"/>
      <c r="FD167" s="159"/>
      <c r="FE167" s="161"/>
      <c r="FF167" s="162"/>
    </row>
    <row r="168" spans="27:162">
      <c r="AA168" s="113"/>
      <c r="AB168" s="113"/>
      <c r="AC168" s="113"/>
      <c r="AD168" s="115"/>
      <c r="AE168" s="88"/>
      <c r="AJ168" s="126"/>
      <c r="AK168" s="154"/>
      <c r="AL168" s="155"/>
      <c r="AM168" s="155"/>
      <c r="AN168" s="155"/>
      <c r="AO168" s="155"/>
      <c r="AP168" s="155"/>
      <c r="AQ168" s="155"/>
      <c r="AR168" s="155"/>
      <c r="AS168" s="156"/>
      <c r="AT168" s="157"/>
      <c r="AU168" s="157"/>
      <c r="AV168" s="158"/>
      <c r="AW168" s="158"/>
      <c r="AX168" s="158"/>
      <c r="AY168" s="158"/>
      <c r="AZ168" s="158"/>
      <c r="BA168" s="154"/>
      <c r="BB168" s="154"/>
      <c r="BC168" s="154"/>
      <c r="BD168" s="154"/>
      <c r="BE168" s="154"/>
      <c r="BF168" s="154"/>
      <c r="BG168" s="154"/>
      <c r="BH168" s="154"/>
      <c r="BI168" s="154"/>
      <c r="BJ168" s="154"/>
      <c r="BK168" s="159"/>
      <c r="BL168" s="159"/>
      <c r="BM168" s="161"/>
      <c r="BN168" s="161"/>
      <c r="BO168" s="163"/>
      <c r="BP168" s="164"/>
      <c r="BQ168" s="165"/>
      <c r="BR168" s="161"/>
      <c r="BS168" s="161"/>
      <c r="BT168" s="161"/>
      <c r="BU168" s="161"/>
      <c r="BV168" s="166"/>
      <c r="BW168" s="159"/>
      <c r="BX168" s="166"/>
      <c r="BY168" s="155"/>
      <c r="BZ168" s="167"/>
      <c r="CA168" s="159"/>
      <c r="CB168" s="168"/>
      <c r="CC168" s="155"/>
      <c r="CD168" s="159"/>
      <c r="CE168" s="161"/>
      <c r="CF168" s="162"/>
      <c r="DA168" s="113"/>
      <c r="DB168" s="113"/>
      <c r="DC168" s="113"/>
      <c r="DD168" s="115"/>
      <c r="DE168" s="88"/>
      <c r="DJ168" s="126"/>
      <c r="DK168" s="154"/>
      <c r="DL168" s="155"/>
      <c r="DM168" s="155"/>
      <c r="DN168" s="155"/>
      <c r="DO168" s="155"/>
      <c r="DP168" s="155"/>
      <c r="DQ168" s="155"/>
      <c r="DR168" s="155"/>
      <c r="DS168" s="156"/>
      <c r="DT168" s="157"/>
      <c r="DU168" s="157"/>
      <c r="DV168" s="158"/>
      <c r="DW168" s="158"/>
      <c r="DX168" s="158"/>
      <c r="DY168" s="158"/>
      <c r="DZ168" s="158"/>
      <c r="EA168" s="154"/>
      <c r="EB168" s="154"/>
      <c r="EC168" s="154"/>
      <c r="ED168" s="154"/>
      <c r="EE168" s="154"/>
      <c r="EF168" s="154"/>
      <c r="EG168" s="154"/>
      <c r="EH168" s="154"/>
      <c r="EI168" s="154"/>
      <c r="EJ168" s="154"/>
      <c r="EK168" s="159"/>
      <c r="EL168" s="159"/>
      <c r="EM168" s="161"/>
      <c r="EN168" s="161"/>
      <c r="EO168" s="163"/>
      <c r="EP168" s="164"/>
      <c r="EQ168" s="165"/>
      <c r="ER168" s="161"/>
      <c r="ES168" s="161"/>
      <c r="ET168" s="161"/>
      <c r="EU168" s="161"/>
      <c r="EV168" s="166"/>
      <c r="EW168" s="159"/>
      <c r="EX168" s="166"/>
      <c r="EY168" s="155"/>
      <c r="EZ168" s="167"/>
      <c r="FA168" s="159"/>
      <c r="FB168" s="168"/>
      <c r="FC168" s="155"/>
      <c r="FD168" s="159"/>
      <c r="FE168" s="161"/>
      <c r="FF168" s="162"/>
    </row>
    <row r="169" spans="27:162">
      <c r="AA169" s="113"/>
      <c r="AB169" s="113"/>
      <c r="AC169" s="113"/>
      <c r="AD169" s="115"/>
      <c r="AE169" s="88"/>
      <c r="AJ169" s="126"/>
      <c r="AK169" s="154"/>
      <c r="AL169" s="155"/>
      <c r="AM169" s="155"/>
      <c r="AN169" s="155"/>
      <c r="AO169" s="155"/>
      <c r="AP169" s="155"/>
      <c r="AQ169" s="155"/>
      <c r="AR169" s="155"/>
      <c r="AS169" s="156"/>
      <c r="AT169" s="157"/>
      <c r="AU169" s="157"/>
      <c r="AV169" s="158"/>
      <c r="AW169" s="158"/>
      <c r="AX169" s="158"/>
      <c r="AY169" s="158"/>
      <c r="AZ169" s="158"/>
      <c r="BA169" s="154"/>
      <c r="BB169" s="154"/>
      <c r="BC169" s="154"/>
      <c r="BD169" s="154"/>
      <c r="BE169" s="154"/>
      <c r="BF169" s="154"/>
      <c r="BG169" s="154"/>
      <c r="BH169" s="154"/>
      <c r="BI169" s="154"/>
      <c r="BJ169" s="154"/>
      <c r="BK169" s="159"/>
      <c r="BL169" s="159"/>
      <c r="BM169" s="161"/>
      <c r="BN169" s="161"/>
      <c r="BO169" s="163"/>
      <c r="BP169" s="164"/>
      <c r="BQ169" s="165"/>
      <c r="BR169" s="161"/>
      <c r="BS169" s="161"/>
      <c r="BT169" s="161"/>
      <c r="BU169" s="161"/>
      <c r="BV169" s="166"/>
      <c r="BW169" s="159"/>
      <c r="BX169" s="166"/>
      <c r="BY169" s="155"/>
      <c r="BZ169" s="167"/>
      <c r="CA169" s="159"/>
      <c r="CB169" s="168"/>
      <c r="CC169" s="155"/>
      <c r="CD169" s="159"/>
      <c r="CE169" s="161"/>
      <c r="CF169" s="162"/>
      <c r="DA169" s="113"/>
      <c r="DB169" s="113"/>
      <c r="DC169" s="113"/>
      <c r="DD169" s="115"/>
      <c r="DE169" s="88"/>
      <c r="DJ169" s="126"/>
      <c r="DK169" s="154"/>
      <c r="DL169" s="155"/>
      <c r="DM169" s="155"/>
      <c r="DN169" s="155"/>
      <c r="DO169" s="155"/>
      <c r="DP169" s="155"/>
      <c r="DQ169" s="155"/>
      <c r="DR169" s="155"/>
      <c r="DS169" s="156"/>
      <c r="DT169" s="157"/>
      <c r="DU169" s="157"/>
      <c r="DV169" s="158"/>
      <c r="DW169" s="158"/>
      <c r="DX169" s="158"/>
      <c r="DY169" s="158"/>
      <c r="DZ169" s="158"/>
      <c r="EA169" s="154"/>
      <c r="EB169" s="154"/>
      <c r="EC169" s="154"/>
      <c r="ED169" s="154"/>
      <c r="EE169" s="154"/>
      <c r="EF169" s="154"/>
      <c r="EG169" s="154"/>
      <c r="EH169" s="154"/>
      <c r="EI169" s="154"/>
      <c r="EJ169" s="154"/>
      <c r="EK169" s="159"/>
      <c r="EL169" s="159"/>
      <c r="EM169" s="161"/>
      <c r="EN169" s="161"/>
      <c r="EO169" s="163"/>
      <c r="EP169" s="164"/>
      <c r="EQ169" s="165"/>
      <c r="ER169" s="161"/>
      <c r="ES169" s="161"/>
      <c r="ET169" s="161"/>
      <c r="EU169" s="161"/>
      <c r="EV169" s="166"/>
      <c r="EW169" s="159"/>
      <c r="EX169" s="166"/>
      <c r="EY169" s="155"/>
      <c r="EZ169" s="167"/>
      <c r="FA169" s="159"/>
      <c r="FB169" s="168"/>
      <c r="FC169" s="155"/>
      <c r="FD169" s="159"/>
      <c r="FE169" s="161"/>
      <c r="FF169" s="162"/>
    </row>
    <row r="170" spans="27:162">
      <c r="AA170" s="113"/>
      <c r="AB170" s="113"/>
      <c r="AC170" s="113"/>
      <c r="AD170" s="115"/>
      <c r="AE170" s="88"/>
      <c r="AJ170" s="126"/>
      <c r="AK170" s="154"/>
      <c r="AL170" s="155"/>
      <c r="AM170" s="155"/>
      <c r="AN170" s="155"/>
      <c r="AO170" s="155"/>
      <c r="AP170" s="155"/>
      <c r="AQ170" s="155"/>
      <c r="AR170" s="155"/>
      <c r="AS170" s="156"/>
      <c r="AT170" s="157"/>
      <c r="AU170" s="157"/>
      <c r="AV170" s="158"/>
      <c r="AW170" s="158"/>
      <c r="AX170" s="158"/>
      <c r="AY170" s="158"/>
      <c r="AZ170" s="158"/>
      <c r="BA170" s="154"/>
      <c r="BB170" s="154"/>
      <c r="BC170" s="154"/>
      <c r="BD170" s="154"/>
      <c r="BE170" s="154"/>
      <c r="BF170" s="154"/>
      <c r="BG170" s="154"/>
      <c r="BH170" s="154"/>
      <c r="BI170" s="154"/>
      <c r="BJ170" s="154"/>
      <c r="BK170" s="159"/>
      <c r="BL170" s="159"/>
      <c r="BM170" s="161"/>
      <c r="BN170" s="161"/>
      <c r="BO170" s="163"/>
      <c r="BP170" s="164"/>
      <c r="BQ170" s="165"/>
      <c r="BR170" s="161"/>
      <c r="BS170" s="161"/>
      <c r="BT170" s="161"/>
      <c r="BU170" s="161"/>
      <c r="BV170" s="166"/>
      <c r="BW170" s="159"/>
      <c r="BX170" s="166"/>
      <c r="BY170" s="155"/>
      <c r="BZ170" s="167"/>
      <c r="CA170" s="159"/>
      <c r="CB170" s="168"/>
      <c r="CC170" s="155"/>
      <c r="CD170" s="159"/>
      <c r="CE170" s="161"/>
      <c r="CF170" s="162"/>
      <c r="DA170" s="113"/>
      <c r="DB170" s="113"/>
      <c r="DC170" s="113"/>
      <c r="DD170" s="115"/>
      <c r="DE170" s="88"/>
      <c r="DJ170" s="126"/>
      <c r="DK170" s="154"/>
      <c r="DL170" s="155"/>
      <c r="DM170" s="155"/>
      <c r="DN170" s="155"/>
      <c r="DO170" s="155"/>
      <c r="DP170" s="155"/>
      <c r="DQ170" s="155"/>
      <c r="DR170" s="155"/>
      <c r="DS170" s="156"/>
      <c r="DT170" s="157"/>
      <c r="DU170" s="157"/>
      <c r="DV170" s="158"/>
      <c r="DW170" s="158"/>
      <c r="DX170" s="158"/>
      <c r="DY170" s="158"/>
      <c r="DZ170" s="158"/>
      <c r="EA170" s="154"/>
      <c r="EB170" s="154"/>
      <c r="EC170" s="154"/>
      <c r="ED170" s="154"/>
      <c r="EE170" s="154"/>
      <c r="EF170" s="154"/>
      <c r="EG170" s="154"/>
      <c r="EH170" s="154"/>
      <c r="EI170" s="154"/>
      <c r="EJ170" s="154"/>
      <c r="EK170" s="159"/>
      <c r="EL170" s="159"/>
      <c r="EM170" s="161"/>
      <c r="EN170" s="161"/>
      <c r="EO170" s="163"/>
      <c r="EP170" s="164"/>
      <c r="EQ170" s="165"/>
      <c r="ER170" s="161"/>
      <c r="ES170" s="161"/>
      <c r="ET170" s="161"/>
      <c r="EU170" s="161"/>
      <c r="EV170" s="166"/>
      <c r="EW170" s="159"/>
      <c r="EX170" s="166"/>
      <c r="EY170" s="155"/>
      <c r="EZ170" s="167"/>
      <c r="FA170" s="159"/>
      <c r="FB170" s="168"/>
      <c r="FC170" s="155"/>
      <c r="FD170" s="159"/>
      <c r="FE170" s="161"/>
      <c r="FF170" s="162"/>
    </row>
    <row r="171" spans="27:162">
      <c r="AA171" s="113"/>
      <c r="AB171" s="113"/>
      <c r="AC171" s="113"/>
      <c r="AD171" s="115"/>
      <c r="AE171" s="88"/>
      <c r="AJ171" s="126"/>
      <c r="AK171" s="154"/>
      <c r="AL171" s="155"/>
      <c r="AM171" s="155"/>
      <c r="AN171" s="155"/>
      <c r="AO171" s="155"/>
      <c r="AP171" s="155"/>
      <c r="AQ171" s="155"/>
      <c r="AR171" s="155"/>
      <c r="AS171" s="156"/>
      <c r="AT171" s="157"/>
      <c r="AU171" s="157"/>
      <c r="AV171" s="158"/>
      <c r="AW171" s="158"/>
      <c r="AX171" s="158"/>
      <c r="AY171" s="158"/>
      <c r="AZ171" s="158"/>
      <c r="BA171" s="154"/>
      <c r="BB171" s="154"/>
      <c r="BC171" s="154"/>
      <c r="BD171" s="154"/>
      <c r="BE171" s="154"/>
      <c r="BF171" s="154"/>
      <c r="BG171" s="154"/>
      <c r="BH171" s="154"/>
      <c r="BI171" s="154"/>
      <c r="BJ171" s="154"/>
      <c r="BK171" s="159"/>
      <c r="BL171" s="159"/>
      <c r="BM171" s="161"/>
      <c r="BN171" s="161"/>
      <c r="BO171" s="163"/>
      <c r="BP171" s="164"/>
      <c r="BQ171" s="165"/>
      <c r="BR171" s="161"/>
      <c r="BS171" s="161"/>
      <c r="BT171" s="161"/>
      <c r="BU171" s="161"/>
      <c r="BV171" s="166"/>
      <c r="BW171" s="159"/>
      <c r="BX171" s="166"/>
      <c r="BY171" s="155"/>
      <c r="BZ171" s="167"/>
      <c r="CA171" s="159"/>
      <c r="CB171" s="168"/>
      <c r="CC171" s="155"/>
      <c r="CD171" s="159"/>
      <c r="CE171" s="161"/>
      <c r="CF171" s="162"/>
      <c r="DA171" s="113"/>
      <c r="DB171" s="113"/>
      <c r="DC171" s="113"/>
      <c r="DD171" s="115"/>
      <c r="DE171" s="88"/>
      <c r="DJ171" s="126"/>
      <c r="DK171" s="154"/>
      <c r="DL171" s="155"/>
      <c r="DM171" s="155"/>
      <c r="DN171" s="155"/>
      <c r="DO171" s="155"/>
      <c r="DP171" s="155"/>
      <c r="DQ171" s="155"/>
      <c r="DR171" s="155"/>
      <c r="DS171" s="156"/>
      <c r="DT171" s="157"/>
      <c r="DU171" s="157"/>
      <c r="DV171" s="158"/>
      <c r="DW171" s="158"/>
      <c r="DX171" s="158"/>
      <c r="DY171" s="158"/>
      <c r="DZ171" s="158"/>
      <c r="EA171" s="154"/>
      <c r="EB171" s="154"/>
      <c r="EC171" s="154"/>
      <c r="ED171" s="154"/>
      <c r="EE171" s="154"/>
      <c r="EF171" s="154"/>
      <c r="EG171" s="154"/>
      <c r="EH171" s="154"/>
      <c r="EI171" s="154"/>
      <c r="EJ171" s="154"/>
      <c r="EK171" s="159"/>
      <c r="EL171" s="159"/>
      <c r="EM171" s="161"/>
      <c r="EN171" s="161"/>
      <c r="EO171" s="163"/>
      <c r="EP171" s="164"/>
      <c r="EQ171" s="165"/>
      <c r="ER171" s="161"/>
      <c r="ES171" s="161"/>
      <c r="ET171" s="161"/>
      <c r="EU171" s="161"/>
      <c r="EV171" s="166"/>
      <c r="EW171" s="159"/>
      <c r="EX171" s="166"/>
      <c r="EY171" s="155"/>
      <c r="EZ171" s="167"/>
      <c r="FA171" s="159"/>
      <c r="FB171" s="168"/>
      <c r="FC171" s="155"/>
      <c r="FD171" s="159"/>
      <c r="FE171" s="161"/>
      <c r="FF171" s="162"/>
    </row>
    <row r="172" spans="27:162">
      <c r="AA172" s="113"/>
      <c r="AB172" s="113"/>
      <c r="AC172" s="113"/>
      <c r="AD172" s="115"/>
      <c r="AE172" s="88"/>
      <c r="AJ172" s="126"/>
      <c r="AK172" s="154"/>
      <c r="AL172" s="155"/>
      <c r="AM172" s="155"/>
      <c r="AN172" s="155"/>
      <c r="AO172" s="155"/>
      <c r="AP172" s="155"/>
      <c r="AQ172" s="155"/>
      <c r="AR172" s="155"/>
      <c r="AS172" s="156"/>
      <c r="AT172" s="157"/>
      <c r="AU172" s="157"/>
      <c r="AV172" s="158"/>
      <c r="AW172" s="158"/>
      <c r="AX172" s="158"/>
      <c r="AY172" s="158"/>
      <c r="AZ172" s="158"/>
      <c r="BA172" s="154"/>
      <c r="BB172" s="154"/>
      <c r="BC172" s="154"/>
      <c r="BD172" s="154"/>
      <c r="BE172" s="154"/>
      <c r="BF172" s="154"/>
      <c r="BG172" s="154"/>
      <c r="BH172" s="154"/>
      <c r="BI172" s="154"/>
      <c r="BJ172" s="154"/>
      <c r="BK172" s="159"/>
      <c r="BL172" s="159"/>
      <c r="BM172" s="161"/>
      <c r="BN172" s="161"/>
      <c r="BO172" s="163"/>
      <c r="BP172" s="164"/>
      <c r="BQ172" s="165"/>
      <c r="BR172" s="161"/>
      <c r="BS172" s="161"/>
      <c r="BT172" s="161"/>
      <c r="BU172" s="161"/>
      <c r="BV172" s="166"/>
      <c r="BW172" s="159"/>
      <c r="BX172" s="166"/>
      <c r="BY172" s="155"/>
      <c r="BZ172" s="167"/>
      <c r="CA172" s="159"/>
      <c r="CB172" s="168"/>
      <c r="CC172" s="155"/>
      <c r="CD172" s="159"/>
      <c r="CE172" s="161"/>
      <c r="CF172" s="162"/>
      <c r="DA172" s="113"/>
      <c r="DB172" s="113"/>
      <c r="DC172" s="113"/>
      <c r="DD172" s="115"/>
      <c r="DE172" s="88"/>
      <c r="DJ172" s="126"/>
      <c r="DK172" s="154"/>
      <c r="DL172" s="155"/>
      <c r="DM172" s="155"/>
      <c r="DN172" s="155"/>
      <c r="DO172" s="155"/>
      <c r="DP172" s="155"/>
      <c r="DQ172" s="155"/>
      <c r="DR172" s="155"/>
      <c r="DS172" s="156"/>
      <c r="DT172" s="157"/>
      <c r="DU172" s="157"/>
      <c r="DV172" s="158"/>
      <c r="DW172" s="158"/>
      <c r="DX172" s="158"/>
      <c r="DY172" s="158"/>
      <c r="DZ172" s="158"/>
      <c r="EA172" s="154"/>
      <c r="EB172" s="154"/>
      <c r="EC172" s="154"/>
      <c r="ED172" s="154"/>
      <c r="EE172" s="154"/>
      <c r="EF172" s="154"/>
      <c r="EG172" s="154"/>
      <c r="EH172" s="154"/>
      <c r="EI172" s="154"/>
      <c r="EJ172" s="154"/>
      <c r="EK172" s="159"/>
      <c r="EL172" s="159"/>
      <c r="EM172" s="161"/>
      <c r="EN172" s="161"/>
      <c r="EO172" s="163"/>
      <c r="EP172" s="164"/>
      <c r="EQ172" s="165"/>
      <c r="ER172" s="161"/>
      <c r="ES172" s="161"/>
      <c r="ET172" s="161"/>
      <c r="EU172" s="161"/>
      <c r="EV172" s="166"/>
      <c r="EW172" s="159"/>
      <c r="EX172" s="166"/>
      <c r="EY172" s="155"/>
      <c r="EZ172" s="167"/>
      <c r="FA172" s="159"/>
      <c r="FB172" s="168"/>
      <c r="FC172" s="155"/>
      <c r="FD172" s="159"/>
      <c r="FE172" s="161"/>
      <c r="FF172" s="162"/>
    </row>
    <row r="173" spans="27:162">
      <c r="AA173" s="113"/>
      <c r="AB173" s="113"/>
      <c r="AC173" s="113"/>
      <c r="AD173" s="115"/>
      <c r="AE173" s="88"/>
      <c r="AJ173" s="126"/>
      <c r="AK173" s="154"/>
      <c r="AL173" s="155"/>
      <c r="AM173" s="155"/>
      <c r="AN173" s="155"/>
      <c r="AO173" s="155"/>
      <c r="AP173" s="155"/>
      <c r="AQ173" s="155"/>
      <c r="AR173" s="155"/>
      <c r="AS173" s="156"/>
      <c r="AT173" s="157"/>
      <c r="AU173" s="157"/>
      <c r="AV173" s="158"/>
      <c r="AW173" s="158"/>
      <c r="AX173" s="158"/>
      <c r="AY173" s="158"/>
      <c r="AZ173" s="158"/>
      <c r="BA173" s="154"/>
      <c r="BB173" s="154"/>
      <c r="BC173" s="154"/>
      <c r="BD173" s="154"/>
      <c r="BE173" s="154"/>
      <c r="BF173" s="154"/>
      <c r="BG173" s="154"/>
      <c r="BH173" s="154"/>
      <c r="BI173" s="154"/>
      <c r="BJ173" s="154"/>
      <c r="BK173" s="159"/>
      <c r="BL173" s="159"/>
      <c r="BM173" s="161"/>
      <c r="BN173" s="161"/>
      <c r="BO173" s="163"/>
      <c r="BP173" s="164"/>
      <c r="BQ173" s="165"/>
      <c r="BR173" s="161"/>
      <c r="BS173" s="161"/>
      <c r="BT173" s="161"/>
      <c r="BU173" s="161"/>
      <c r="BV173" s="166"/>
      <c r="BW173" s="159"/>
      <c r="BX173" s="166"/>
      <c r="BY173" s="155"/>
      <c r="BZ173" s="167"/>
      <c r="CA173" s="159"/>
      <c r="CB173" s="168"/>
      <c r="CC173" s="155"/>
      <c r="CD173" s="159"/>
      <c r="CE173" s="161"/>
      <c r="CF173" s="162"/>
      <c r="DA173" s="113"/>
      <c r="DB173" s="113"/>
      <c r="DC173" s="113"/>
      <c r="DD173" s="115"/>
      <c r="DE173" s="88"/>
      <c r="DJ173" s="126"/>
      <c r="DK173" s="154"/>
      <c r="DL173" s="155"/>
      <c r="DM173" s="155"/>
      <c r="DN173" s="155"/>
      <c r="DO173" s="155"/>
      <c r="DP173" s="155"/>
      <c r="DQ173" s="155"/>
      <c r="DR173" s="155"/>
      <c r="DS173" s="156"/>
      <c r="DT173" s="157"/>
      <c r="DU173" s="157"/>
      <c r="DV173" s="158"/>
      <c r="DW173" s="158"/>
      <c r="DX173" s="158"/>
      <c r="DY173" s="158"/>
      <c r="DZ173" s="158"/>
      <c r="EA173" s="154"/>
      <c r="EB173" s="154"/>
      <c r="EC173" s="154"/>
      <c r="ED173" s="154"/>
      <c r="EE173" s="154"/>
      <c r="EF173" s="154"/>
      <c r="EG173" s="154"/>
      <c r="EH173" s="154"/>
      <c r="EI173" s="154"/>
      <c r="EJ173" s="154"/>
      <c r="EK173" s="159"/>
      <c r="EL173" s="159"/>
      <c r="EM173" s="161"/>
      <c r="EN173" s="161"/>
      <c r="EO173" s="163"/>
      <c r="EP173" s="164"/>
      <c r="EQ173" s="165"/>
      <c r="ER173" s="161"/>
      <c r="ES173" s="161"/>
      <c r="ET173" s="161"/>
      <c r="EU173" s="161"/>
      <c r="EV173" s="166"/>
      <c r="EW173" s="159"/>
      <c r="EX173" s="166"/>
      <c r="EY173" s="155"/>
      <c r="EZ173" s="167"/>
      <c r="FA173" s="159"/>
      <c r="FB173" s="168"/>
      <c r="FC173" s="155"/>
      <c r="FD173" s="159"/>
      <c r="FE173" s="161"/>
      <c r="FF173" s="162"/>
    </row>
    <row r="174" spans="27:162">
      <c r="AA174" s="113"/>
      <c r="AB174" s="113"/>
      <c r="AC174" s="113"/>
      <c r="AD174" s="115"/>
      <c r="AE174" s="88"/>
      <c r="AJ174" s="126"/>
      <c r="AK174" s="154"/>
      <c r="AL174" s="155"/>
      <c r="AM174" s="155"/>
      <c r="AN174" s="155"/>
      <c r="AO174" s="155"/>
      <c r="AP174" s="155"/>
      <c r="AQ174" s="155"/>
      <c r="AR174" s="155"/>
      <c r="AS174" s="156"/>
      <c r="AT174" s="157"/>
      <c r="AU174" s="157"/>
      <c r="AV174" s="158"/>
      <c r="AW174" s="158"/>
      <c r="AX174" s="158"/>
      <c r="AY174" s="158"/>
      <c r="AZ174" s="158"/>
      <c r="BA174" s="154"/>
      <c r="BB174" s="154"/>
      <c r="BC174" s="154"/>
      <c r="BD174" s="154"/>
      <c r="BE174" s="154"/>
      <c r="BF174" s="154"/>
      <c r="BG174" s="154"/>
      <c r="BH174" s="154"/>
      <c r="BI174" s="154"/>
      <c r="BJ174" s="154"/>
      <c r="BK174" s="159"/>
      <c r="BL174" s="159"/>
      <c r="BM174" s="161"/>
      <c r="BN174" s="161"/>
      <c r="BO174" s="163"/>
      <c r="BP174" s="164"/>
      <c r="BQ174" s="165"/>
      <c r="BR174" s="161"/>
      <c r="BS174" s="161"/>
      <c r="BT174" s="161"/>
      <c r="BU174" s="161"/>
      <c r="BV174" s="166"/>
      <c r="BW174" s="159"/>
      <c r="BX174" s="166"/>
      <c r="BY174" s="155"/>
      <c r="BZ174" s="167"/>
      <c r="CA174" s="159"/>
      <c r="CB174" s="168"/>
      <c r="CC174" s="155"/>
      <c r="CD174" s="159"/>
      <c r="CE174" s="161"/>
      <c r="CF174" s="162"/>
      <c r="DA174" s="113"/>
      <c r="DB174" s="113"/>
      <c r="DC174" s="113"/>
      <c r="DD174" s="115"/>
      <c r="DE174" s="88"/>
      <c r="DJ174" s="126"/>
      <c r="DK174" s="154"/>
      <c r="DL174" s="155"/>
      <c r="DM174" s="155"/>
      <c r="DN174" s="155"/>
      <c r="DO174" s="155"/>
      <c r="DP174" s="155"/>
      <c r="DQ174" s="155"/>
      <c r="DR174" s="155"/>
      <c r="DS174" s="156"/>
      <c r="DT174" s="157"/>
      <c r="DU174" s="157"/>
      <c r="DV174" s="158"/>
      <c r="DW174" s="158"/>
      <c r="DX174" s="158"/>
      <c r="DY174" s="158"/>
      <c r="DZ174" s="158"/>
      <c r="EA174" s="154"/>
      <c r="EB174" s="154"/>
      <c r="EC174" s="154"/>
      <c r="ED174" s="154"/>
      <c r="EE174" s="154"/>
      <c r="EF174" s="154"/>
      <c r="EG174" s="154"/>
      <c r="EH174" s="154"/>
      <c r="EI174" s="154"/>
      <c r="EJ174" s="154"/>
      <c r="EK174" s="159"/>
      <c r="EL174" s="159"/>
      <c r="EM174" s="161"/>
      <c r="EN174" s="161"/>
      <c r="EO174" s="163"/>
      <c r="EP174" s="164"/>
      <c r="EQ174" s="165"/>
      <c r="ER174" s="161"/>
      <c r="ES174" s="161"/>
      <c r="ET174" s="161"/>
      <c r="EU174" s="161"/>
      <c r="EV174" s="166"/>
      <c r="EW174" s="159"/>
      <c r="EX174" s="166"/>
      <c r="EY174" s="155"/>
      <c r="EZ174" s="167"/>
      <c r="FA174" s="159"/>
      <c r="FB174" s="168"/>
      <c r="FC174" s="155"/>
      <c r="FD174" s="159"/>
      <c r="FE174" s="161"/>
      <c r="FF174" s="162"/>
    </row>
    <row r="175" spans="27:162">
      <c r="AA175" s="113"/>
      <c r="AB175" s="113"/>
      <c r="AC175" s="113"/>
      <c r="AD175" s="115"/>
      <c r="AE175" s="88"/>
      <c r="AJ175" s="126"/>
      <c r="AK175" s="154"/>
      <c r="AL175" s="155"/>
      <c r="AM175" s="155"/>
      <c r="AN175" s="155"/>
      <c r="AO175" s="155"/>
      <c r="AP175" s="155"/>
      <c r="AQ175" s="155"/>
      <c r="AR175" s="155"/>
      <c r="AS175" s="156"/>
      <c r="AT175" s="157"/>
      <c r="AU175" s="157"/>
      <c r="AV175" s="158"/>
      <c r="AW175" s="158"/>
      <c r="AX175" s="158"/>
      <c r="AY175" s="158"/>
      <c r="AZ175" s="158"/>
      <c r="BA175" s="154"/>
      <c r="BB175" s="154"/>
      <c r="BC175" s="154"/>
      <c r="BD175" s="154"/>
      <c r="BE175" s="154"/>
      <c r="BF175" s="154"/>
      <c r="BG175" s="154"/>
      <c r="BH175" s="154"/>
      <c r="BI175" s="154"/>
      <c r="BJ175" s="154"/>
      <c r="BK175" s="159"/>
      <c r="BL175" s="159"/>
      <c r="BM175" s="161"/>
      <c r="BN175" s="161"/>
      <c r="BO175" s="163"/>
      <c r="BP175" s="164"/>
      <c r="BQ175" s="165"/>
      <c r="BR175" s="161"/>
      <c r="BS175" s="161"/>
      <c r="BT175" s="161"/>
      <c r="BU175" s="161"/>
      <c r="BV175" s="166"/>
      <c r="BW175" s="159"/>
      <c r="BX175" s="166"/>
      <c r="BY175" s="155"/>
      <c r="BZ175" s="167"/>
      <c r="CA175" s="159"/>
      <c r="CB175" s="168"/>
      <c r="CC175" s="155"/>
      <c r="CD175" s="159"/>
      <c r="CE175" s="161"/>
      <c r="CF175" s="162"/>
      <c r="DA175" s="113"/>
      <c r="DB175" s="113"/>
      <c r="DC175" s="113"/>
      <c r="DD175" s="115"/>
      <c r="DE175" s="88"/>
      <c r="DJ175" s="126"/>
      <c r="DK175" s="154"/>
      <c r="DL175" s="155"/>
      <c r="DM175" s="155"/>
      <c r="DN175" s="155"/>
      <c r="DO175" s="155"/>
      <c r="DP175" s="155"/>
      <c r="DQ175" s="155"/>
      <c r="DR175" s="155"/>
      <c r="DS175" s="156"/>
      <c r="DT175" s="157"/>
      <c r="DU175" s="157"/>
      <c r="DV175" s="158"/>
      <c r="DW175" s="158"/>
      <c r="DX175" s="158"/>
      <c r="DY175" s="158"/>
      <c r="DZ175" s="158"/>
      <c r="EA175" s="154"/>
      <c r="EB175" s="154"/>
      <c r="EC175" s="154"/>
      <c r="ED175" s="154"/>
      <c r="EE175" s="154"/>
      <c r="EF175" s="154"/>
      <c r="EG175" s="154"/>
      <c r="EH175" s="154"/>
      <c r="EI175" s="154"/>
      <c r="EJ175" s="154"/>
      <c r="EK175" s="159"/>
      <c r="EL175" s="159"/>
      <c r="EM175" s="161"/>
      <c r="EN175" s="161"/>
      <c r="EO175" s="163"/>
      <c r="EP175" s="164"/>
      <c r="EQ175" s="165"/>
      <c r="ER175" s="161"/>
      <c r="ES175" s="161"/>
      <c r="ET175" s="161"/>
      <c r="EU175" s="161"/>
      <c r="EV175" s="166"/>
      <c r="EW175" s="159"/>
      <c r="EX175" s="166"/>
      <c r="EY175" s="155"/>
      <c r="EZ175" s="167"/>
      <c r="FA175" s="159"/>
      <c r="FB175" s="168"/>
      <c r="FC175" s="155"/>
      <c r="FD175" s="159"/>
      <c r="FE175" s="161"/>
      <c r="FF175" s="162"/>
    </row>
    <row r="176" spans="27:162">
      <c r="AA176" s="113"/>
      <c r="AB176" s="113"/>
      <c r="AC176" s="113"/>
      <c r="AD176" s="115"/>
      <c r="AE176" s="88"/>
      <c r="AJ176" s="126"/>
      <c r="AK176" s="154"/>
      <c r="AL176" s="155"/>
      <c r="AM176" s="155"/>
      <c r="AN176" s="155"/>
      <c r="AO176" s="155"/>
      <c r="AP176" s="155"/>
      <c r="AQ176" s="155"/>
      <c r="AR176" s="155"/>
      <c r="AS176" s="156"/>
      <c r="AT176" s="157"/>
      <c r="AU176" s="157"/>
      <c r="AV176" s="158"/>
      <c r="AW176" s="158"/>
      <c r="AX176" s="158"/>
      <c r="AY176" s="158"/>
      <c r="AZ176" s="158"/>
      <c r="BA176" s="154"/>
      <c r="BB176" s="154"/>
      <c r="BC176" s="154"/>
      <c r="BD176" s="154"/>
      <c r="BE176" s="154"/>
      <c r="BF176" s="154"/>
      <c r="BG176" s="154"/>
      <c r="BH176" s="154"/>
      <c r="BI176" s="154"/>
      <c r="BJ176" s="154"/>
      <c r="BK176" s="159"/>
      <c r="BL176" s="159"/>
      <c r="BM176" s="161"/>
      <c r="BN176" s="161"/>
      <c r="BO176" s="163"/>
      <c r="BP176" s="164"/>
      <c r="BQ176" s="165"/>
      <c r="BR176" s="161"/>
      <c r="BS176" s="161"/>
      <c r="BT176" s="161"/>
      <c r="BU176" s="161"/>
      <c r="BV176" s="166"/>
      <c r="BW176" s="159"/>
      <c r="BX176" s="166"/>
      <c r="BY176" s="155"/>
      <c r="BZ176" s="167"/>
      <c r="CA176" s="159"/>
      <c r="CB176" s="168"/>
      <c r="CC176" s="155"/>
      <c r="CD176" s="159"/>
      <c r="CE176" s="161"/>
      <c r="CF176" s="162"/>
      <c r="DA176" s="113"/>
      <c r="DB176" s="113"/>
      <c r="DC176" s="113"/>
      <c r="DD176" s="115"/>
      <c r="DE176" s="88"/>
      <c r="DJ176" s="126"/>
      <c r="DK176" s="154"/>
      <c r="DL176" s="155"/>
      <c r="DM176" s="155"/>
      <c r="DN176" s="155"/>
      <c r="DO176" s="155"/>
      <c r="DP176" s="155"/>
      <c r="DQ176" s="155"/>
      <c r="DR176" s="155"/>
      <c r="DS176" s="156"/>
      <c r="DT176" s="157"/>
      <c r="DU176" s="157"/>
      <c r="DV176" s="158"/>
      <c r="DW176" s="158"/>
      <c r="DX176" s="158"/>
      <c r="DY176" s="158"/>
      <c r="DZ176" s="158"/>
      <c r="EA176" s="154"/>
      <c r="EB176" s="154"/>
      <c r="EC176" s="154"/>
      <c r="ED176" s="154"/>
      <c r="EE176" s="154"/>
      <c r="EF176" s="154"/>
      <c r="EG176" s="154"/>
      <c r="EH176" s="154"/>
      <c r="EI176" s="154"/>
      <c r="EJ176" s="154"/>
      <c r="EK176" s="159"/>
      <c r="EL176" s="159"/>
      <c r="EM176" s="161"/>
      <c r="EN176" s="161"/>
      <c r="EO176" s="163"/>
      <c r="EP176" s="164"/>
      <c r="EQ176" s="165"/>
      <c r="ER176" s="161"/>
      <c r="ES176" s="161"/>
      <c r="ET176" s="161"/>
      <c r="EU176" s="161"/>
      <c r="EV176" s="166"/>
      <c r="EW176" s="159"/>
      <c r="EX176" s="166"/>
      <c r="EY176" s="155"/>
      <c r="EZ176" s="167"/>
      <c r="FA176" s="159"/>
      <c r="FB176" s="168"/>
      <c r="FC176" s="155"/>
      <c r="FD176" s="159"/>
      <c r="FE176" s="161"/>
      <c r="FF176" s="162"/>
    </row>
    <row r="177" spans="27:162">
      <c r="AA177" s="113"/>
      <c r="AB177" s="113"/>
      <c r="AC177" s="113"/>
      <c r="AD177" s="115"/>
      <c r="AE177" s="88"/>
      <c r="AJ177" s="126"/>
      <c r="AK177" s="154"/>
      <c r="AL177" s="155"/>
      <c r="AM177" s="155"/>
      <c r="AN177" s="155"/>
      <c r="AO177" s="155"/>
      <c r="AP177" s="155"/>
      <c r="AQ177" s="155"/>
      <c r="AR177" s="155"/>
      <c r="AS177" s="156"/>
      <c r="AT177" s="157"/>
      <c r="AU177" s="157"/>
      <c r="AV177" s="158"/>
      <c r="AW177" s="158"/>
      <c r="AX177" s="158"/>
      <c r="AY177" s="158"/>
      <c r="AZ177" s="158"/>
      <c r="BA177" s="154"/>
      <c r="BB177" s="154"/>
      <c r="BC177" s="154"/>
      <c r="BD177" s="154"/>
      <c r="BE177" s="154"/>
      <c r="BF177" s="154"/>
      <c r="BG177" s="154"/>
      <c r="BH177" s="154"/>
      <c r="BI177" s="154"/>
      <c r="BJ177" s="154"/>
      <c r="BK177" s="159"/>
      <c r="BL177" s="159"/>
      <c r="BM177" s="161"/>
      <c r="BN177" s="161"/>
      <c r="BO177" s="163"/>
      <c r="BP177" s="164"/>
      <c r="BQ177" s="165"/>
      <c r="BR177" s="161"/>
      <c r="BS177" s="161"/>
      <c r="BT177" s="161"/>
      <c r="BU177" s="161"/>
      <c r="BV177" s="166"/>
      <c r="BW177" s="159"/>
      <c r="BX177" s="166"/>
      <c r="BY177" s="155"/>
      <c r="BZ177" s="167"/>
      <c r="CA177" s="159"/>
      <c r="CB177" s="168"/>
      <c r="CC177" s="155"/>
      <c r="CD177" s="159"/>
      <c r="CE177" s="161"/>
      <c r="CF177" s="162"/>
      <c r="DA177" s="113"/>
      <c r="DB177" s="113"/>
      <c r="DC177" s="113"/>
      <c r="DD177" s="115"/>
      <c r="DE177" s="88"/>
      <c r="DJ177" s="126"/>
      <c r="DK177" s="154"/>
      <c r="DL177" s="155"/>
      <c r="DM177" s="155"/>
      <c r="DN177" s="155"/>
      <c r="DO177" s="155"/>
      <c r="DP177" s="155"/>
      <c r="DQ177" s="155"/>
      <c r="DR177" s="155"/>
      <c r="DS177" s="156"/>
      <c r="DT177" s="157"/>
      <c r="DU177" s="157"/>
      <c r="DV177" s="158"/>
      <c r="DW177" s="158"/>
      <c r="DX177" s="158"/>
      <c r="DY177" s="158"/>
      <c r="DZ177" s="158"/>
      <c r="EA177" s="154"/>
      <c r="EB177" s="154"/>
      <c r="EC177" s="154"/>
      <c r="ED177" s="154"/>
      <c r="EE177" s="154"/>
      <c r="EF177" s="154"/>
      <c r="EG177" s="154"/>
      <c r="EH177" s="154"/>
      <c r="EI177" s="154"/>
      <c r="EJ177" s="154"/>
      <c r="EK177" s="159"/>
      <c r="EL177" s="159"/>
      <c r="EM177" s="161"/>
      <c r="EN177" s="161"/>
      <c r="EO177" s="163"/>
      <c r="EP177" s="164"/>
      <c r="EQ177" s="165"/>
      <c r="ER177" s="161"/>
      <c r="ES177" s="161"/>
      <c r="ET177" s="161"/>
      <c r="EU177" s="161"/>
      <c r="EV177" s="166"/>
      <c r="EW177" s="159"/>
      <c r="EX177" s="166"/>
      <c r="EY177" s="155"/>
      <c r="EZ177" s="167"/>
      <c r="FA177" s="159"/>
      <c r="FB177" s="168"/>
      <c r="FC177" s="155"/>
      <c r="FD177" s="159"/>
      <c r="FE177" s="161"/>
      <c r="FF177" s="162"/>
    </row>
    <row r="178" spans="27:162">
      <c r="AA178" s="113"/>
      <c r="AB178" s="113"/>
      <c r="AC178" s="113"/>
      <c r="AD178" s="115"/>
      <c r="AE178" s="88"/>
      <c r="AJ178" s="126"/>
      <c r="AK178" s="154"/>
      <c r="AL178" s="155"/>
      <c r="AM178" s="155"/>
      <c r="AN178" s="155"/>
      <c r="AO178" s="155"/>
      <c r="AP178" s="155"/>
      <c r="AQ178" s="155"/>
      <c r="AR178" s="155"/>
      <c r="AS178" s="156"/>
      <c r="AT178" s="157"/>
      <c r="AU178" s="157"/>
      <c r="AV178" s="158"/>
      <c r="AW178" s="158"/>
      <c r="AX178" s="158"/>
      <c r="AY178" s="158"/>
      <c r="AZ178" s="158"/>
      <c r="BA178" s="154"/>
      <c r="BB178" s="154"/>
      <c r="BC178" s="154"/>
      <c r="BD178" s="154"/>
      <c r="BE178" s="154"/>
      <c r="BF178" s="154"/>
      <c r="BG178" s="154"/>
      <c r="BH178" s="154"/>
      <c r="BI178" s="154"/>
      <c r="BJ178" s="154"/>
      <c r="BK178" s="159"/>
      <c r="BL178" s="159"/>
      <c r="BM178" s="161"/>
      <c r="BN178" s="161"/>
      <c r="BO178" s="163"/>
      <c r="BP178" s="164"/>
      <c r="BQ178" s="165"/>
      <c r="BR178" s="161"/>
      <c r="BS178" s="161"/>
      <c r="BT178" s="161"/>
      <c r="BU178" s="161"/>
      <c r="BV178" s="166"/>
      <c r="BW178" s="159"/>
      <c r="BX178" s="166"/>
      <c r="BY178" s="155"/>
      <c r="BZ178" s="167"/>
      <c r="CA178" s="159"/>
      <c r="CB178" s="168"/>
      <c r="CC178" s="155"/>
      <c r="CD178" s="159"/>
      <c r="CE178" s="161"/>
      <c r="CF178" s="162"/>
      <c r="DA178" s="113"/>
      <c r="DB178" s="113"/>
      <c r="DC178" s="113"/>
      <c r="DD178" s="115"/>
      <c r="DE178" s="88"/>
      <c r="DJ178" s="126"/>
      <c r="DK178" s="154"/>
      <c r="DL178" s="155"/>
      <c r="DM178" s="155"/>
      <c r="DN178" s="155"/>
      <c r="DO178" s="155"/>
      <c r="DP178" s="155"/>
      <c r="DQ178" s="155"/>
      <c r="DR178" s="155"/>
      <c r="DS178" s="156"/>
      <c r="DT178" s="157"/>
      <c r="DU178" s="157"/>
      <c r="DV178" s="158"/>
      <c r="DW178" s="158"/>
      <c r="DX178" s="158"/>
      <c r="DY178" s="158"/>
      <c r="DZ178" s="158"/>
      <c r="EA178" s="154"/>
      <c r="EB178" s="154"/>
      <c r="EC178" s="154"/>
      <c r="ED178" s="154"/>
      <c r="EE178" s="154"/>
      <c r="EF178" s="154"/>
      <c r="EG178" s="154"/>
      <c r="EH178" s="154"/>
      <c r="EI178" s="154"/>
      <c r="EJ178" s="154"/>
      <c r="EK178" s="159"/>
      <c r="EL178" s="159"/>
      <c r="EM178" s="161"/>
      <c r="EN178" s="161"/>
      <c r="EO178" s="163"/>
      <c r="EP178" s="164"/>
      <c r="EQ178" s="165"/>
      <c r="ER178" s="161"/>
      <c r="ES178" s="161"/>
      <c r="ET178" s="161"/>
      <c r="EU178" s="161"/>
      <c r="EV178" s="166"/>
      <c r="EW178" s="159"/>
      <c r="EX178" s="166"/>
      <c r="EY178" s="155"/>
      <c r="EZ178" s="167"/>
      <c r="FA178" s="159"/>
      <c r="FB178" s="168"/>
      <c r="FC178" s="155"/>
      <c r="FD178" s="159"/>
      <c r="FE178" s="161"/>
      <c r="FF178" s="162"/>
    </row>
    <row r="179" spans="27:162">
      <c r="AA179" s="113"/>
      <c r="AB179" s="113"/>
      <c r="AC179" s="113"/>
      <c r="AD179" s="115"/>
      <c r="AE179" s="88"/>
      <c r="AJ179" s="126"/>
      <c r="AK179" s="154"/>
      <c r="AL179" s="155"/>
      <c r="AM179" s="155"/>
      <c r="AN179" s="155"/>
      <c r="AO179" s="155"/>
      <c r="AP179" s="155"/>
      <c r="AQ179" s="155"/>
      <c r="AR179" s="155"/>
      <c r="AS179" s="156"/>
      <c r="AT179" s="157"/>
      <c r="AU179" s="157"/>
      <c r="AV179" s="158"/>
      <c r="AW179" s="158"/>
      <c r="AX179" s="158"/>
      <c r="AY179" s="158"/>
      <c r="AZ179" s="158"/>
      <c r="BA179" s="154"/>
      <c r="BB179" s="154"/>
      <c r="BC179" s="154"/>
      <c r="BD179" s="154"/>
      <c r="BE179" s="154"/>
      <c r="BF179" s="154"/>
      <c r="BG179" s="154"/>
      <c r="BH179" s="154"/>
      <c r="BI179" s="154"/>
      <c r="BJ179" s="154"/>
      <c r="BK179" s="159"/>
      <c r="BL179" s="159"/>
      <c r="BM179" s="161"/>
      <c r="BN179" s="161"/>
      <c r="BO179" s="163"/>
      <c r="BP179" s="164"/>
      <c r="BQ179" s="165"/>
      <c r="BR179" s="161"/>
      <c r="BS179" s="161"/>
      <c r="BT179" s="161"/>
      <c r="BU179" s="161"/>
      <c r="BV179" s="166"/>
      <c r="BW179" s="159"/>
      <c r="BX179" s="166"/>
      <c r="BY179" s="155"/>
      <c r="BZ179" s="167"/>
      <c r="CA179" s="159"/>
      <c r="CB179" s="168"/>
      <c r="CC179" s="155"/>
      <c r="CD179" s="159"/>
      <c r="CE179" s="161"/>
      <c r="CF179" s="162"/>
      <c r="DA179" s="113"/>
      <c r="DB179" s="113"/>
      <c r="DC179" s="113"/>
      <c r="DD179" s="115"/>
      <c r="DE179" s="88"/>
      <c r="DJ179" s="126"/>
      <c r="DK179" s="154"/>
      <c r="DL179" s="155"/>
      <c r="DM179" s="155"/>
      <c r="DN179" s="155"/>
      <c r="DO179" s="155"/>
      <c r="DP179" s="155"/>
      <c r="DQ179" s="155"/>
      <c r="DR179" s="155"/>
      <c r="DS179" s="156"/>
      <c r="DT179" s="157"/>
      <c r="DU179" s="157"/>
      <c r="DV179" s="158"/>
      <c r="DW179" s="158"/>
      <c r="DX179" s="158"/>
      <c r="DY179" s="158"/>
      <c r="DZ179" s="158"/>
      <c r="EA179" s="154"/>
      <c r="EB179" s="154"/>
      <c r="EC179" s="154"/>
      <c r="ED179" s="154"/>
      <c r="EE179" s="154"/>
      <c r="EF179" s="154"/>
      <c r="EG179" s="154"/>
      <c r="EH179" s="154"/>
      <c r="EI179" s="154"/>
      <c r="EJ179" s="154"/>
      <c r="EK179" s="159"/>
      <c r="EL179" s="159"/>
      <c r="EM179" s="161"/>
      <c r="EN179" s="161"/>
      <c r="EO179" s="163"/>
      <c r="EP179" s="164"/>
      <c r="EQ179" s="165"/>
      <c r="ER179" s="161"/>
      <c r="ES179" s="161"/>
      <c r="ET179" s="161"/>
      <c r="EU179" s="161"/>
      <c r="EV179" s="166"/>
      <c r="EW179" s="159"/>
      <c r="EX179" s="166"/>
      <c r="EY179" s="155"/>
      <c r="EZ179" s="167"/>
      <c r="FA179" s="159"/>
      <c r="FB179" s="168"/>
      <c r="FC179" s="155"/>
      <c r="FD179" s="159"/>
      <c r="FE179" s="161"/>
      <c r="FF179" s="162"/>
    </row>
    <row r="180" spans="27:162">
      <c r="AA180" s="113"/>
      <c r="AB180" s="113"/>
      <c r="AC180" s="113"/>
      <c r="AD180" s="115"/>
      <c r="AE180" s="88"/>
      <c r="AJ180" s="126"/>
      <c r="AK180" s="154"/>
      <c r="AL180" s="155"/>
      <c r="AM180" s="155"/>
      <c r="AN180" s="155"/>
      <c r="AO180" s="155"/>
      <c r="AP180" s="155"/>
      <c r="AQ180" s="155"/>
      <c r="AR180" s="155"/>
      <c r="AS180" s="156"/>
      <c r="AT180" s="157"/>
      <c r="AU180" s="157"/>
      <c r="AV180" s="158"/>
      <c r="AW180" s="158"/>
      <c r="AX180" s="158"/>
      <c r="AY180" s="158"/>
      <c r="AZ180" s="158"/>
      <c r="BA180" s="154"/>
      <c r="BB180" s="154"/>
      <c r="BC180" s="154"/>
      <c r="BD180" s="154"/>
      <c r="BE180" s="154"/>
      <c r="BF180" s="154"/>
      <c r="BG180" s="154"/>
      <c r="BH180" s="154"/>
      <c r="BI180" s="154"/>
      <c r="BJ180" s="154"/>
      <c r="BK180" s="159"/>
      <c r="BL180" s="159"/>
      <c r="BM180" s="161"/>
      <c r="BN180" s="161"/>
      <c r="BO180" s="163"/>
      <c r="BP180" s="164"/>
      <c r="BQ180" s="165"/>
      <c r="BR180" s="161"/>
      <c r="BS180" s="161"/>
      <c r="BT180" s="161"/>
      <c r="BU180" s="161"/>
      <c r="BV180" s="166"/>
      <c r="BW180" s="159"/>
      <c r="BX180" s="166"/>
      <c r="BY180" s="155"/>
      <c r="BZ180" s="167"/>
      <c r="CA180" s="159"/>
      <c r="CB180" s="168"/>
      <c r="CC180" s="155"/>
      <c r="CD180" s="159"/>
      <c r="CE180" s="161"/>
      <c r="CF180" s="162"/>
      <c r="DA180" s="113"/>
      <c r="DB180" s="113"/>
      <c r="DC180" s="113"/>
      <c r="DD180" s="115"/>
      <c r="DE180" s="88"/>
      <c r="DJ180" s="126"/>
      <c r="DK180" s="154"/>
      <c r="DL180" s="155"/>
      <c r="DM180" s="155"/>
      <c r="DN180" s="155"/>
      <c r="DO180" s="155"/>
      <c r="DP180" s="155"/>
      <c r="DQ180" s="155"/>
      <c r="DR180" s="155"/>
      <c r="DS180" s="156"/>
      <c r="DT180" s="157"/>
      <c r="DU180" s="157"/>
      <c r="DV180" s="158"/>
      <c r="DW180" s="158"/>
      <c r="DX180" s="158"/>
      <c r="DY180" s="158"/>
      <c r="DZ180" s="158"/>
      <c r="EA180" s="154"/>
      <c r="EB180" s="154"/>
      <c r="EC180" s="154"/>
      <c r="ED180" s="154"/>
      <c r="EE180" s="154"/>
      <c r="EF180" s="154"/>
      <c r="EG180" s="154"/>
      <c r="EH180" s="154"/>
      <c r="EI180" s="154"/>
      <c r="EJ180" s="154"/>
      <c r="EK180" s="159"/>
      <c r="EL180" s="159"/>
      <c r="EM180" s="161"/>
      <c r="EN180" s="161"/>
      <c r="EO180" s="163"/>
      <c r="EP180" s="164"/>
      <c r="EQ180" s="165"/>
      <c r="ER180" s="161"/>
      <c r="ES180" s="161"/>
      <c r="ET180" s="161"/>
      <c r="EU180" s="161"/>
      <c r="EV180" s="166"/>
      <c r="EW180" s="159"/>
      <c r="EX180" s="166"/>
      <c r="EY180" s="155"/>
      <c r="EZ180" s="167"/>
      <c r="FA180" s="159"/>
      <c r="FB180" s="168"/>
      <c r="FC180" s="155"/>
      <c r="FD180" s="159"/>
      <c r="FE180" s="161"/>
      <c r="FF180" s="162"/>
    </row>
    <row r="181" spans="27:162">
      <c r="AA181" s="113"/>
      <c r="AB181" s="113"/>
      <c r="AC181" s="113"/>
      <c r="AD181" s="115"/>
      <c r="AE181" s="88"/>
      <c r="AJ181" s="126"/>
      <c r="AK181" s="154"/>
      <c r="AL181" s="155"/>
      <c r="AM181" s="155"/>
      <c r="AN181" s="155"/>
      <c r="AO181" s="155"/>
      <c r="AP181" s="155"/>
      <c r="AQ181" s="155"/>
      <c r="AR181" s="155"/>
      <c r="AS181" s="156"/>
      <c r="AT181" s="157"/>
      <c r="AU181" s="157"/>
      <c r="AV181" s="158"/>
      <c r="AW181" s="158"/>
      <c r="AX181" s="158"/>
      <c r="AY181" s="158"/>
      <c r="AZ181" s="158"/>
      <c r="BA181" s="154"/>
      <c r="BB181" s="154"/>
      <c r="BC181" s="154"/>
      <c r="BD181" s="154"/>
      <c r="BE181" s="154"/>
      <c r="BF181" s="154"/>
      <c r="BG181" s="154"/>
      <c r="BH181" s="154"/>
      <c r="BI181" s="154"/>
      <c r="BJ181" s="154"/>
      <c r="BK181" s="159"/>
      <c r="BL181" s="159"/>
      <c r="BM181" s="161"/>
      <c r="BN181" s="161"/>
      <c r="BO181" s="163"/>
      <c r="BP181" s="164"/>
      <c r="BQ181" s="165"/>
      <c r="BR181" s="161"/>
      <c r="BS181" s="161"/>
      <c r="BT181" s="161"/>
      <c r="BU181" s="161"/>
      <c r="BV181" s="166"/>
      <c r="BW181" s="159"/>
      <c r="BX181" s="166"/>
      <c r="BY181" s="155"/>
      <c r="BZ181" s="167"/>
      <c r="CA181" s="159"/>
      <c r="CB181" s="168"/>
      <c r="CC181" s="155"/>
      <c r="CD181" s="159"/>
      <c r="CE181" s="161"/>
      <c r="CF181" s="162"/>
      <c r="DA181" s="113"/>
      <c r="DB181" s="113"/>
      <c r="DC181" s="113"/>
      <c r="DD181" s="115"/>
      <c r="DE181" s="88"/>
      <c r="DJ181" s="126"/>
      <c r="DK181" s="154"/>
      <c r="DL181" s="155"/>
      <c r="DM181" s="155"/>
      <c r="DN181" s="155"/>
      <c r="DO181" s="155"/>
      <c r="DP181" s="155"/>
      <c r="DQ181" s="155"/>
      <c r="DR181" s="155"/>
      <c r="DS181" s="156"/>
      <c r="DT181" s="157"/>
      <c r="DU181" s="157"/>
      <c r="DV181" s="158"/>
      <c r="DW181" s="158"/>
      <c r="DX181" s="158"/>
      <c r="DY181" s="158"/>
      <c r="DZ181" s="158"/>
      <c r="EA181" s="154"/>
      <c r="EB181" s="154"/>
      <c r="EC181" s="154"/>
      <c r="ED181" s="154"/>
      <c r="EE181" s="154"/>
      <c r="EF181" s="154"/>
      <c r="EG181" s="154"/>
      <c r="EH181" s="154"/>
      <c r="EI181" s="154"/>
      <c r="EJ181" s="154"/>
      <c r="EK181" s="159"/>
      <c r="EL181" s="159"/>
      <c r="EM181" s="161"/>
      <c r="EN181" s="161"/>
      <c r="EO181" s="163"/>
      <c r="EP181" s="164"/>
      <c r="EQ181" s="165"/>
      <c r="ER181" s="161"/>
      <c r="ES181" s="161"/>
      <c r="ET181" s="161"/>
      <c r="EU181" s="161"/>
      <c r="EV181" s="166"/>
      <c r="EW181" s="159"/>
      <c r="EX181" s="166"/>
      <c r="EY181" s="155"/>
      <c r="EZ181" s="167"/>
      <c r="FA181" s="159"/>
      <c r="FB181" s="168"/>
      <c r="FC181" s="155"/>
      <c r="FD181" s="159"/>
      <c r="FE181" s="161"/>
      <c r="FF181" s="162"/>
    </row>
    <row r="182" spans="27:162">
      <c r="AA182" s="113"/>
      <c r="AB182" s="113"/>
      <c r="AC182" s="113"/>
      <c r="AD182" s="115"/>
      <c r="AE182" s="88"/>
      <c r="AJ182" s="126"/>
      <c r="AK182" s="154"/>
      <c r="AL182" s="155"/>
      <c r="AM182" s="155"/>
      <c r="AN182" s="155"/>
      <c r="AO182" s="155"/>
      <c r="AP182" s="155"/>
      <c r="AQ182" s="155"/>
      <c r="AR182" s="155"/>
      <c r="AS182" s="156"/>
      <c r="AT182" s="157"/>
      <c r="AU182" s="157"/>
      <c r="AV182" s="158"/>
      <c r="AW182" s="158"/>
      <c r="AX182" s="158"/>
      <c r="AY182" s="158"/>
      <c r="AZ182" s="158"/>
      <c r="BA182" s="154"/>
      <c r="BB182" s="154"/>
      <c r="BC182" s="154"/>
      <c r="BD182" s="154"/>
      <c r="BE182" s="154"/>
      <c r="BF182" s="154"/>
      <c r="BG182" s="154"/>
      <c r="BH182" s="154"/>
      <c r="BI182" s="154"/>
      <c r="BJ182" s="154"/>
      <c r="BK182" s="159"/>
      <c r="BL182" s="159"/>
      <c r="BM182" s="161"/>
      <c r="BN182" s="161"/>
      <c r="BO182" s="163"/>
      <c r="BP182" s="164"/>
      <c r="BQ182" s="165"/>
      <c r="BR182" s="161"/>
      <c r="BS182" s="161"/>
      <c r="BT182" s="161"/>
      <c r="BU182" s="161"/>
      <c r="BV182" s="166"/>
      <c r="BW182" s="159"/>
      <c r="BX182" s="166"/>
      <c r="BY182" s="155"/>
      <c r="BZ182" s="167"/>
      <c r="CA182" s="159"/>
      <c r="CB182" s="168"/>
      <c r="CC182" s="155"/>
      <c r="CD182" s="159"/>
      <c r="CE182" s="161"/>
      <c r="CF182" s="162"/>
      <c r="DA182" s="113"/>
      <c r="DB182" s="113"/>
      <c r="DC182" s="113"/>
      <c r="DD182" s="115"/>
      <c r="DE182" s="88"/>
      <c r="DJ182" s="126"/>
      <c r="DK182" s="154"/>
      <c r="DL182" s="155"/>
      <c r="DM182" s="155"/>
      <c r="DN182" s="155"/>
      <c r="DO182" s="155"/>
      <c r="DP182" s="155"/>
      <c r="DQ182" s="155"/>
      <c r="DR182" s="155"/>
      <c r="DS182" s="156"/>
      <c r="DT182" s="157"/>
      <c r="DU182" s="157"/>
      <c r="DV182" s="158"/>
      <c r="DW182" s="158"/>
      <c r="DX182" s="158"/>
      <c r="DY182" s="158"/>
      <c r="DZ182" s="158"/>
      <c r="EA182" s="154"/>
      <c r="EB182" s="154"/>
      <c r="EC182" s="154"/>
      <c r="ED182" s="154"/>
      <c r="EE182" s="154"/>
      <c r="EF182" s="154"/>
      <c r="EG182" s="154"/>
      <c r="EH182" s="154"/>
      <c r="EI182" s="154"/>
      <c r="EJ182" s="154"/>
      <c r="EK182" s="159"/>
      <c r="EL182" s="159"/>
      <c r="EM182" s="161"/>
      <c r="EN182" s="161"/>
      <c r="EO182" s="163"/>
      <c r="EP182" s="164"/>
      <c r="EQ182" s="165"/>
      <c r="ER182" s="161"/>
      <c r="ES182" s="161"/>
      <c r="ET182" s="161"/>
      <c r="EU182" s="161"/>
      <c r="EV182" s="166"/>
      <c r="EW182" s="159"/>
      <c r="EX182" s="166"/>
      <c r="EY182" s="155"/>
      <c r="EZ182" s="167"/>
      <c r="FA182" s="159"/>
      <c r="FB182" s="168"/>
      <c r="FC182" s="155"/>
      <c r="FD182" s="159"/>
      <c r="FE182" s="161"/>
      <c r="FF182" s="162"/>
    </row>
    <row r="183" spans="27:162">
      <c r="AA183" s="113"/>
      <c r="AB183" s="113"/>
      <c r="AC183" s="113"/>
      <c r="AD183" s="115"/>
      <c r="AE183" s="88"/>
      <c r="AJ183" s="126"/>
      <c r="AK183" s="154"/>
      <c r="AL183" s="155"/>
      <c r="AM183" s="155"/>
      <c r="AN183" s="155"/>
      <c r="AO183" s="155"/>
      <c r="AP183" s="155"/>
      <c r="AQ183" s="155"/>
      <c r="AR183" s="155"/>
      <c r="AS183" s="156"/>
      <c r="AT183" s="157"/>
      <c r="AU183" s="157"/>
      <c r="AV183" s="158"/>
      <c r="AW183" s="158"/>
      <c r="AX183" s="158"/>
      <c r="AY183" s="158"/>
      <c r="AZ183" s="158"/>
      <c r="BA183" s="154"/>
      <c r="BB183" s="154"/>
      <c r="BC183" s="154"/>
      <c r="BD183" s="154"/>
      <c r="BE183" s="154"/>
      <c r="BF183" s="154"/>
      <c r="BG183" s="154"/>
      <c r="BH183" s="154"/>
      <c r="BI183" s="154"/>
      <c r="BJ183" s="154"/>
      <c r="BK183" s="159"/>
      <c r="BL183" s="159"/>
      <c r="BM183" s="161"/>
      <c r="BN183" s="161"/>
      <c r="BO183" s="163"/>
      <c r="BP183" s="164"/>
      <c r="BQ183" s="165"/>
      <c r="BR183" s="161"/>
      <c r="BS183" s="161"/>
      <c r="BT183" s="161"/>
      <c r="BU183" s="161"/>
      <c r="BV183" s="166"/>
      <c r="BW183" s="159"/>
      <c r="BX183" s="166"/>
      <c r="BY183" s="155"/>
      <c r="BZ183" s="167"/>
      <c r="CA183" s="159"/>
      <c r="CB183" s="168"/>
      <c r="CC183" s="155"/>
      <c r="CD183" s="159"/>
      <c r="CE183" s="161"/>
      <c r="CF183" s="162"/>
      <c r="DA183" s="113"/>
      <c r="DB183" s="113"/>
      <c r="DC183" s="113"/>
      <c r="DD183" s="115"/>
      <c r="DE183" s="88"/>
      <c r="DJ183" s="126"/>
      <c r="DK183" s="154"/>
      <c r="DL183" s="155"/>
      <c r="DM183" s="155"/>
      <c r="DN183" s="155"/>
      <c r="DO183" s="155"/>
      <c r="DP183" s="155"/>
      <c r="DQ183" s="155"/>
      <c r="DR183" s="155"/>
      <c r="DS183" s="156"/>
      <c r="DT183" s="157"/>
      <c r="DU183" s="157"/>
      <c r="DV183" s="158"/>
      <c r="DW183" s="158"/>
      <c r="DX183" s="158"/>
      <c r="DY183" s="158"/>
      <c r="DZ183" s="158"/>
      <c r="EA183" s="154"/>
      <c r="EB183" s="154"/>
      <c r="EC183" s="154"/>
      <c r="ED183" s="154"/>
      <c r="EE183" s="154"/>
      <c r="EF183" s="154"/>
      <c r="EG183" s="154"/>
      <c r="EH183" s="154"/>
      <c r="EI183" s="154"/>
      <c r="EJ183" s="154"/>
      <c r="EK183" s="159"/>
      <c r="EL183" s="159"/>
      <c r="EM183" s="161"/>
      <c r="EN183" s="161"/>
      <c r="EO183" s="163"/>
      <c r="EP183" s="164"/>
      <c r="EQ183" s="165"/>
      <c r="ER183" s="161"/>
      <c r="ES183" s="161"/>
      <c r="ET183" s="161"/>
      <c r="EU183" s="161"/>
      <c r="EV183" s="166"/>
      <c r="EW183" s="159"/>
      <c r="EX183" s="166"/>
      <c r="EY183" s="155"/>
      <c r="EZ183" s="167"/>
      <c r="FA183" s="159"/>
      <c r="FB183" s="168"/>
      <c r="FC183" s="155"/>
      <c r="FD183" s="159"/>
      <c r="FE183" s="161"/>
      <c r="FF183" s="162"/>
    </row>
    <row r="184" spans="27:162">
      <c r="AA184" s="113"/>
      <c r="AB184" s="113"/>
      <c r="AC184" s="113"/>
      <c r="AD184" s="115"/>
      <c r="AE184" s="88"/>
      <c r="AJ184" s="126"/>
      <c r="AK184" s="154"/>
      <c r="AL184" s="155"/>
      <c r="AM184" s="155"/>
      <c r="AN184" s="155"/>
      <c r="AO184" s="155"/>
      <c r="AP184" s="155"/>
      <c r="AQ184" s="155"/>
      <c r="AR184" s="155"/>
      <c r="AS184" s="156"/>
      <c r="AT184" s="157"/>
      <c r="AU184" s="157"/>
      <c r="AV184" s="158"/>
      <c r="AW184" s="158"/>
      <c r="AX184" s="158"/>
      <c r="AY184" s="158"/>
      <c r="AZ184" s="158"/>
      <c r="BA184" s="154"/>
      <c r="BB184" s="154"/>
      <c r="BC184" s="154"/>
      <c r="BD184" s="154"/>
      <c r="BE184" s="154"/>
      <c r="BF184" s="154"/>
      <c r="BG184" s="154"/>
      <c r="BH184" s="154"/>
      <c r="BI184" s="154"/>
      <c r="BJ184" s="154"/>
      <c r="BK184" s="159"/>
      <c r="BL184" s="159"/>
      <c r="BM184" s="161"/>
      <c r="BN184" s="161"/>
      <c r="BO184" s="163"/>
      <c r="BP184" s="164"/>
      <c r="BQ184" s="165"/>
      <c r="BR184" s="161"/>
      <c r="BS184" s="161"/>
      <c r="BT184" s="161"/>
      <c r="BU184" s="161"/>
      <c r="BV184" s="166"/>
      <c r="BW184" s="159"/>
      <c r="BX184" s="166"/>
      <c r="BY184" s="155"/>
      <c r="BZ184" s="167"/>
      <c r="CA184" s="159"/>
      <c r="CB184" s="168"/>
      <c r="CC184" s="155"/>
      <c r="CD184" s="159"/>
      <c r="CE184" s="161"/>
      <c r="CF184" s="162"/>
      <c r="DA184" s="113"/>
      <c r="DB184" s="113"/>
      <c r="DC184" s="113"/>
      <c r="DD184" s="115"/>
      <c r="DE184" s="88"/>
      <c r="DJ184" s="126"/>
      <c r="DK184" s="154"/>
      <c r="DL184" s="155"/>
      <c r="DM184" s="155"/>
      <c r="DN184" s="155"/>
      <c r="DO184" s="155"/>
      <c r="DP184" s="155"/>
      <c r="DQ184" s="155"/>
      <c r="DR184" s="155"/>
      <c r="DS184" s="156"/>
      <c r="DT184" s="157"/>
      <c r="DU184" s="157"/>
      <c r="DV184" s="158"/>
      <c r="DW184" s="158"/>
      <c r="DX184" s="158"/>
      <c r="DY184" s="158"/>
      <c r="DZ184" s="158"/>
      <c r="EA184" s="154"/>
      <c r="EB184" s="154"/>
      <c r="EC184" s="154"/>
      <c r="ED184" s="154"/>
      <c r="EE184" s="154"/>
      <c r="EF184" s="154"/>
      <c r="EG184" s="154"/>
      <c r="EH184" s="154"/>
      <c r="EI184" s="154"/>
      <c r="EJ184" s="154"/>
      <c r="EK184" s="159"/>
      <c r="EL184" s="159"/>
      <c r="EM184" s="161"/>
      <c r="EN184" s="161"/>
      <c r="EO184" s="163"/>
      <c r="EP184" s="164"/>
      <c r="EQ184" s="165"/>
      <c r="ER184" s="161"/>
      <c r="ES184" s="161"/>
      <c r="ET184" s="161"/>
      <c r="EU184" s="161"/>
      <c r="EV184" s="166"/>
      <c r="EW184" s="159"/>
      <c r="EX184" s="166"/>
      <c r="EY184" s="155"/>
      <c r="EZ184" s="167"/>
      <c r="FA184" s="159"/>
      <c r="FB184" s="168"/>
      <c r="FC184" s="155"/>
      <c r="FD184" s="159"/>
      <c r="FE184" s="161"/>
      <c r="FF184" s="162"/>
    </row>
    <row r="185" spans="27:162">
      <c r="AA185" s="113"/>
      <c r="AB185" s="113"/>
      <c r="AC185" s="113"/>
      <c r="AD185" s="115"/>
      <c r="AE185" s="88"/>
      <c r="AJ185" s="126"/>
      <c r="AK185" s="154"/>
      <c r="AL185" s="155"/>
      <c r="AM185" s="155"/>
      <c r="AN185" s="155"/>
      <c r="AO185" s="155"/>
      <c r="AP185" s="155"/>
      <c r="AQ185" s="155"/>
      <c r="AR185" s="155"/>
      <c r="AS185" s="156"/>
      <c r="AT185" s="157"/>
      <c r="AU185" s="157"/>
      <c r="AV185" s="158"/>
      <c r="AW185" s="158"/>
      <c r="AX185" s="158"/>
      <c r="AY185" s="158"/>
      <c r="AZ185" s="158"/>
      <c r="BA185" s="154"/>
      <c r="BB185" s="154"/>
      <c r="BC185" s="154"/>
      <c r="BD185" s="154"/>
      <c r="BE185" s="154"/>
      <c r="BF185" s="154"/>
      <c r="BG185" s="154"/>
      <c r="BH185" s="154"/>
      <c r="BI185" s="154"/>
      <c r="BJ185" s="154"/>
      <c r="BK185" s="159"/>
      <c r="BL185" s="159"/>
      <c r="BM185" s="161"/>
      <c r="BN185" s="161"/>
      <c r="BO185" s="163"/>
      <c r="BP185" s="164"/>
      <c r="BQ185" s="165"/>
      <c r="BR185" s="161"/>
      <c r="BS185" s="161"/>
      <c r="BT185" s="161"/>
      <c r="BU185" s="161"/>
      <c r="BV185" s="166"/>
      <c r="BW185" s="159"/>
      <c r="BX185" s="166"/>
      <c r="BY185" s="155"/>
      <c r="BZ185" s="167"/>
      <c r="CA185" s="159"/>
      <c r="CB185" s="168"/>
      <c r="CC185" s="155"/>
      <c r="CD185" s="159"/>
      <c r="CE185" s="161"/>
      <c r="CF185" s="162"/>
      <c r="DA185" s="113"/>
      <c r="DB185" s="113"/>
      <c r="DC185" s="113"/>
      <c r="DD185" s="115"/>
      <c r="DE185" s="88"/>
      <c r="DJ185" s="126"/>
      <c r="DK185" s="154"/>
      <c r="DL185" s="155"/>
      <c r="DM185" s="155"/>
      <c r="DN185" s="155"/>
      <c r="DO185" s="155"/>
      <c r="DP185" s="155"/>
      <c r="DQ185" s="155"/>
      <c r="DR185" s="155"/>
      <c r="DS185" s="156"/>
      <c r="DT185" s="157"/>
      <c r="DU185" s="157"/>
      <c r="DV185" s="158"/>
      <c r="DW185" s="158"/>
      <c r="DX185" s="158"/>
      <c r="DY185" s="158"/>
      <c r="DZ185" s="158"/>
      <c r="EA185" s="154"/>
      <c r="EB185" s="154"/>
      <c r="EC185" s="154"/>
      <c r="ED185" s="154"/>
      <c r="EE185" s="154"/>
      <c r="EF185" s="154"/>
      <c r="EG185" s="154"/>
      <c r="EH185" s="154"/>
      <c r="EI185" s="154"/>
      <c r="EJ185" s="154"/>
      <c r="EK185" s="159"/>
      <c r="EL185" s="159"/>
      <c r="EM185" s="161"/>
      <c r="EN185" s="161"/>
      <c r="EO185" s="163"/>
      <c r="EP185" s="164"/>
      <c r="EQ185" s="165"/>
      <c r="ER185" s="161"/>
      <c r="ES185" s="161"/>
      <c r="ET185" s="161"/>
      <c r="EU185" s="161"/>
      <c r="EV185" s="166"/>
      <c r="EW185" s="159"/>
      <c r="EX185" s="166"/>
      <c r="EY185" s="155"/>
      <c r="EZ185" s="167"/>
      <c r="FA185" s="159"/>
      <c r="FB185" s="168"/>
      <c r="FC185" s="155"/>
      <c r="FD185" s="159"/>
      <c r="FE185" s="161"/>
      <c r="FF185" s="162"/>
    </row>
    <row r="186" spans="27:162">
      <c r="AA186" s="113"/>
      <c r="AB186" s="113"/>
      <c r="AC186" s="113"/>
      <c r="AD186" s="115"/>
      <c r="AE186" s="88"/>
      <c r="AJ186" s="126"/>
      <c r="AK186" s="154"/>
      <c r="AL186" s="155"/>
      <c r="AM186" s="155"/>
      <c r="AN186" s="155"/>
      <c r="AO186" s="155"/>
      <c r="AP186" s="155"/>
      <c r="AQ186" s="155"/>
      <c r="AR186" s="155"/>
      <c r="AS186" s="156"/>
      <c r="AT186" s="157"/>
      <c r="AU186" s="157"/>
      <c r="AV186" s="158"/>
      <c r="AW186" s="158"/>
      <c r="AX186" s="158"/>
      <c r="AY186" s="158"/>
      <c r="AZ186" s="158"/>
      <c r="BA186" s="154"/>
      <c r="BB186" s="154"/>
      <c r="BC186" s="154"/>
      <c r="BD186" s="154"/>
      <c r="BE186" s="154"/>
      <c r="BF186" s="154"/>
      <c r="BG186" s="154"/>
      <c r="BH186" s="154"/>
      <c r="BI186" s="154"/>
      <c r="BJ186" s="154"/>
      <c r="BK186" s="159"/>
      <c r="BL186" s="159"/>
      <c r="BM186" s="161"/>
      <c r="BN186" s="161"/>
      <c r="BO186" s="163"/>
      <c r="BP186" s="164"/>
      <c r="BQ186" s="165"/>
      <c r="BR186" s="161"/>
      <c r="BS186" s="161"/>
      <c r="BT186" s="161"/>
      <c r="BU186" s="161"/>
      <c r="BV186" s="166"/>
      <c r="BW186" s="159"/>
      <c r="BX186" s="166"/>
      <c r="BY186" s="155"/>
      <c r="BZ186" s="167"/>
      <c r="CA186" s="159"/>
      <c r="CB186" s="168"/>
      <c r="CC186" s="155"/>
      <c r="CD186" s="159"/>
      <c r="CE186" s="161"/>
      <c r="CF186" s="162"/>
      <c r="DA186" s="113"/>
      <c r="DB186" s="113"/>
      <c r="DC186" s="113"/>
      <c r="DD186" s="115"/>
      <c r="DE186" s="88"/>
      <c r="DJ186" s="126"/>
      <c r="DK186" s="154"/>
      <c r="DL186" s="155"/>
      <c r="DM186" s="155"/>
      <c r="DN186" s="155"/>
      <c r="DO186" s="155"/>
      <c r="DP186" s="155"/>
      <c r="DQ186" s="155"/>
      <c r="DR186" s="155"/>
      <c r="DS186" s="156"/>
      <c r="DT186" s="157"/>
      <c r="DU186" s="157"/>
      <c r="DV186" s="158"/>
      <c r="DW186" s="158"/>
      <c r="DX186" s="158"/>
      <c r="DY186" s="158"/>
      <c r="DZ186" s="158"/>
      <c r="EA186" s="154"/>
      <c r="EB186" s="154"/>
      <c r="EC186" s="154"/>
      <c r="ED186" s="154"/>
      <c r="EE186" s="154"/>
      <c r="EF186" s="154"/>
      <c r="EG186" s="154"/>
      <c r="EH186" s="154"/>
      <c r="EI186" s="154"/>
      <c r="EJ186" s="154"/>
      <c r="EK186" s="159"/>
      <c r="EL186" s="159"/>
      <c r="EM186" s="161"/>
      <c r="EN186" s="161"/>
      <c r="EO186" s="163"/>
      <c r="EP186" s="164"/>
      <c r="EQ186" s="165"/>
      <c r="ER186" s="161"/>
      <c r="ES186" s="161"/>
      <c r="ET186" s="161"/>
      <c r="EU186" s="161"/>
      <c r="EV186" s="166"/>
      <c r="EW186" s="159"/>
      <c r="EX186" s="166"/>
      <c r="EY186" s="155"/>
      <c r="EZ186" s="167"/>
      <c r="FA186" s="159"/>
      <c r="FB186" s="168"/>
      <c r="FC186" s="155"/>
      <c r="FD186" s="159"/>
      <c r="FE186" s="161"/>
      <c r="FF186" s="162"/>
    </row>
    <row r="187" spans="27:162">
      <c r="AA187" s="113"/>
      <c r="AB187" s="113"/>
      <c r="AC187" s="113"/>
      <c r="AD187" s="115"/>
      <c r="AE187" s="88"/>
      <c r="AJ187" s="126"/>
      <c r="AK187" s="154"/>
      <c r="AL187" s="155"/>
      <c r="AM187" s="155"/>
      <c r="AN187" s="155"/>
      <c r="AO187" s="155"/>
      <c r="AP187" s="155"/>
      <c r="AQ187" s="155"/>
      <c r="AR187" s="155"/>
      <c r="AS187" s="156"/>
      <c r="AT187" s="157"/>
      <c r="AU187" s="157"/>
      <c r="AV187" s="158"/>
      <c r="AW187" s="158"/>
      <c r="AX187" s="158"/>
      <c r="AY187" s="158"/>
      <c r="AZ187" s="158"/>
      <c r="BA187" s="154"/>
      <c r="BB187" s="154"/>
      <c r="BC187" s="154"/>
      <c r="BD187" s="154"/>
      <c r="BE187" s="154"/>
      <c r="BF187" s="154"/>
      <c r="BG187" s="154"/>
      <c r="BH187" s="154"/>
      <c r="BI187" s="154"/>
      <c r="BJ187" s="154"/>
      <c r="BK187" s="159"/>
      <c r="BL187" s="159"/>
      <c r="BM187" s="161"/>
      <c r="BN187" s="161"/>
      <c r="BO187" s="163"/>
      <c r="BP187" s="164"/>
      <c r="BQ187" s="165"/>
      <c r="BR187" s="161"/>
      <c r="BS187" s="161"/>
      <c r="BT187" s="161"/>
      <c r="BU187" s="161"/>
      <c r="BV187" s="166"/>
      <c r="BW187" s="159"/>
      <c r="BX187" s="166"/>
      <c r="BY187" s="155"/>
      <c r="BZ187" s="167"/>
      <c r="CA187" s="159"/>
      <c r="CB187" s="168"/>
      <c r="CC187" s="155"/>
      <c r="CD187" s="159"/>
      <c r="CE187" s="161"/>
      <c r="CF187" s="162"/>
      <c r="DA187" s="113"/>
      <c r="DB187" s="113"/>
      <c r="DC187" s="113"/>
      <c r="DD187" s="115"/>
      <c r="DE187" s="88"/>
      <c r="DJ187" s="126"/>
      <c r="DK187" s="154"/>
      <c r="DL187" s="155"/>
      <c r="DM187" s="155"/>
      <c r="DN187" s="155"/>
      <c r="DO187" s="155"/>
      <c r="DP187" s="155"/>
      <c r="DQ187" s="155"/>
      <c r="DR187" s="155"/>
      <c r="DS187" s="156"/>
      <c r="DT187" s="157"/>
      <c r="DU187" s="157"/>
      <c r="DV187" s="158"/>
      <c r="DW187" s="158"/>
      <c r="DX187" s="158"/>
      <c r="DY187" s="158"/>
      <c r="DZ187" s="158"/>
      <c r="EA187" s="154"/>
      <c r="EB187" s="154"/>
      <c r="EC187" s="154"/>
      <c r="ED187" s="154"/>
      <c r="EE187" s="154"/>
      <c r="EF187" s="154"/>
      <c r="EG187" s="154"/>
      <c r="EH187" s="154"/>
      <c r="EI187" s="154"/>
      <c r="EJ187" s="154"/>
      <c r="EK187" s="159"/>
      <c r="EL187" s="159"/>
      <c r="EM187" s="161"/>
      <c r="EN187" s="161"/>
      <c r="EO187" s="163"/>
      <c r="EP187" s="164"/>
      <c r="EQ187" s="165"/>
      <c r="ER187" s="161"/>
      <c r="ES187" s="161"/>
      <c r="ET187" s="161"/>
      <c r="EU187" s="161"/>
      <c r="EV187" s="166"/>
      <c r="EW187" s="159"/>
      <c r="EX187" s="166"/>
      <c r="EY187" s="155"/>
      <c r="EZ187" s="167"/>
      <c r="FA187" s="159"/>
      <c r="FB187" s="168"/>
      <c r="FC187" s="155"/>
      <c r="FD187" s="159"/>
      <c r="FE187" s="161"/>
      <c r="FF187" s="162"/>
    </row>
    <row r="188" spans="27:162">
      <c r="AA188" s="113"/>
      <c r="AB188" s="113"/>
      <c r="AC188" s="113"/>
      <c r="AD188" s="115"/>
      <c r="AE188" s="88"/>
      <c r="AJ188" s="126"/>
      <c r="AK188" s="154"/>
      <c r="AL188" s="155"/>
      <c r="AM188" s="155"/>
      <c r="AN188" s="155"/>
      <c r="AO188" s="155"/>
      <c r="AP188" s="155"/>
      <c r="AQ188" s="155"/>
      <c r="AR188" s="155"/>
      <c r="AS188" s="156"/>
      <c r="AT188" s="157"/>
      <c r="AU188" s="157"/>
      <c r="AV188" s="158"/>
      <c r="AW188" s="158"/>
      <c r="AX188" s="158"/>
      <c r="AY188" s="158"/>
      <c r="AZ188" s="158"/>
      <c r="BA188" s="154"/>
      <c r="BB188" s="154"/>
      <c r="BC188" s="154"/>
      <c r="BD188" s="154"/>
      <c r="BE188" s="154"/>
      <c r="BF188" s="154"/>
      <c r="BG188" s="154"/>
      <c r="BH188" s="154"/>
      <c r="BI188" s="154"/>
      <c r="BJ188" s="154"/>
      <c r="BK188" s="159"/>
      <c r="BL188" s="159"/>
      <c r="BM188" s="161"/>
      <c r="BN188" s="161"/>
      <c r="BO188" s="163"/>
      <c r="BP188" s="164"/>
      <c r="BQ188" s="165"/>
      <c r="BR188" s="161"/>
      <c r="BS188" s="161"/>
      <c r="BT188" s="161"/>
      <c r="BU188" s="161"/>
      <c r="BV188" s="166"/>
      <c r="BW188" s="159"/>
      <c r="BX188" s="166"/>
      <c r="BY188" s="155"/>
      <c r="BZ188" s="167"/>
      <c r="CA188" s="159"/>
      <c r="CB188" s="168"/>
      <c r="CC188" s="155"/>
      <c r="CD188" s="159"/>
      <c r="CE188" s="161"/>
      <c r="CF188" s="162"/>
      <c r="DA188" s="113"/>
      <c r="DB188" s="113"/>
      <c r="DC188" s="113"/>
      <c r="DD188" s="115"/>
      <c r="DE188" s="88"/>
      <c r="DJ188" s="126"/>
      <c r="DK188" s="154"/>
      <c r="DL188" s="155"/>
      <c r="DM188" s="155"/>
      <c r="DN188" s="155"/>
      <c r="DO188" s="155"/>
      <c r="DP188" s="155"/>
      <c r="DQ188" s="155"/>
      <c r="DR188" s="155"/>
      <c r="DS188" s="156"/>
      <c r="DT188" s="157"/>
      <c r="DU188" s="157"/>
      <c r="DV188" s="158"/>
      <c r="DW188" s="158"/>
      <c r="DX188" s="158"/>
      <c r="DY188" s="158"/>
      <c r="DZ188" s="158"/>
      <c r="EA188" s="154"/>
      <c r="EB188" s="154"/>
      <c r="EC188" s="154"/>
      <c r="ED188" s="154"/>
      <c r="EE188" s="154"/>
      <c r="EF188" s="154"/>
      <c r="EG188" s="154"/>
      <c r="EH188" s="154"/>
      <c r="EI188" s="154"/>
      <c r="EJ188" s="154"/>
      <c r="EK188" s="159"/>
      <c r="EL188" s="159"/>
      <c r="EM188" s="161"/>
      <c r="EN188" s="161"/>
      <c r="EO188" s="163"/>
      <c r="EP188" s="164"/>
      <c r="EQ188" s="165"/>
      <c r="ER188" s="161"/>
      <c r="ES188" s="161"/>
      <c r="ET188" s="161"/>
      <c r="EU188" s="161"/>
      <c r="EV188" s="166"/>
      <c r="EW188" s="159"/>
      <c r="EX188" s="166"/>
      <c r="EY188" s="155"/>
      <c r="EZ188" s="167"/>
      <c r="FA188" s="159"/>
      <c r="FB188" s="168"/>
      <c r="FC188" s="155"/>
      <c r="FD188" s="159"/>
      <c r="FE188" s="161"/>
      <c r="FF188" s="162"/>
    </row>
    <row r="189" spans="27:162">
      <c r="AA189" s="113"/>
      <c r="AB189" s="113"/>
      <c r="AC189" s="113"/>
      <c r="AD189" s="115"/>
      <c r="AE189" s="88"/>
      <c r="AJ189" s="126"/>
      <c r="AK189" s="154"/>
      <c r="AL189" s="155"/>
      <c r="AM189" s="155"/>
      <c r="AN189" s="155"/>
      <c r="AO189" s="155"/>
      <c r="AP189" s="155"/>
      <c r="AQ189" s="155"/>
      <c r="AR189" s="155"/>
      <c r="AS189" s="156"/>
      <c r="AT189" s="157"/>
      <c r="AU189" s="157"/>
      <c r="AV189" s="158"/>
      <c r="AW189" s="158"/>
      <c r="AX189" s="158"/>
      <c r="AY189" s="158"/>
      <c r="AZ189" s="158"/>
      <c r="BA189" s="154"/>
      <c r="BB189" s="154"/>
      <c r="BC189" s="154"/>
      <c r="BD189" s="154"/>
      <c r="BE189" s="154"/>
      <c r="BF189" s="154"/>
      <c r="BG189" s="154"/>
      <c r="BH189" s="154"/>
      <c r="BI189" s="154"/>
      <c r="BJ189" s="154"/>
      <c r="BK189" s="159"/>
      <c r="BL189" s="159"/>
      <c r="BM189" s="161"/>
      <c r="BN189" s="161"/>
      <c r="BO189" s="163"/>
      <c r="BP189" s="164"/>
      <c r="BQ189" s="165"/>
      <c r="BR189" s="161"/>
      <c r="BS189" s="161"/>
      <c r="BT189" s="161"/>
      <c r="BU189" s="161"/>
      <c r="BV189" s="166"/>
      <c r="BW189" s="159"/>
      <c r="BX189" s="166"/>
      <c r="BY189" s="155"/>
      <c r="BZ189" s="167"/>
      <c r="CA189" s="159"/>
      <c r="CB189" s="168"/>
      <c r="CC189" s="155"/>
      <c r="CD189" s="159"/>
      <c r="CE189" s="161"/>
      <c r="CF189" s="162"/>
      <c r="DA189" s="113"/>
      <c r="DB189" s="113"/>
      <c r="DC189" s="113"/>
      <c r="DD189" s="115"/>
      <c r="DE189" s="88"/>
      <c r="DJ189" s="126"/>
      <c r="DK189" s="154"/>
      <c r="DL189" s="155"/>
      <c r="DM189" s="155"/>
      <c r="DN189" s="155"/>
      <c r="DO189" s="155"/>
      <c r="DP189" s="155"/>
      <c r="DQ189" s="155"/>
      <c r="DR189" s="155"/>
      <c r="DS189" s="156"/>
      <c r="DT189" s="157"/>
      <c r="DU189" s="157"/>
      <c r="DV189" s="158"/>
      <c r="DW189" s="158"/>
      <c r="DX189" s="158"/>
      <c r="DY189" s="158"/>
      <c r="DZ189" s="158"/>
      <c r="EA189" s="154"/>
      <c r="EB189" s="154"/>
      <c r="EC189" s="154"/>
      <c r="ED189" s="154"/>
      <c r="EE189" s="154"/>
      <c r="EF189" s="154"/>
      <c r="EG189" s="154"/>
      <c r="EH189" s="154"/>
      <c r="EI189" s="154"/>
      <c r="EJ189" s="154"/>
      <c r="EK189" s="159"/>
      <c r="EL189" s="159"/>
      <c r="EM189" s="161"/>
      <c r="EN189" s="161"/>
      <c r="EO189" s="163"/>
      <c r="EP189" s="164"/>
      <c r="EQ189" s="165"/>
      <c r="ER189" s="161"/>
      <c r="ES189" s="161"/>
      <c r="ET189" s="161"/>
      <c r="EU189" s="161"/>
      <c r="EV189" s="166"/>
      <c r="EW189" s="159"/>
      <c r="EX189" s="166"/>
      <c r="EY189" s="155"/>
      <c r="EZ189" s="167"/>
      <c r="FA189" s="159"/>
      <c r="FB189" s="168"/>
      <c r="FC189" s="155"/>
      <c r="FD189" s="159"/>
      <c r="FE189" s="161"/>
      <c r="FF189" s="162"/>
    </row>
    <row r="190" spans="27:162">
      <c r="AA190" s="113"/>
      <c r="AB190" s="113"/>
      <c r="AC190" s="113"/>
      <c r="AD190" s="115"/>
      <c r="AE190" s="88"/>
      <c r="AJ190" s="126"/>
      <c r="AK190" s="154"/>
      <c r="AL190" s="155"/>
      <c r="AM190" s="155"/>
      <c r="AN190" s="155"/>
      <c r="AO190" s="155"/>
      <c r="AP190" s="155"/>
      <c r="AQ190" s="155"/>
      <c r="AR190" s="155"/>
      <c r="AS190" s="156"/>
      <c r="AT190" s="157"/>
      <c r="AU190" s="157"/>
      <c r="AV190" s="158"/>
      <c r="AW190" s="158"/>
      <c r="AX190" s="158"/>
      <c r="AY190" s="158"/>
      <c r="AZ190" s="158"/>
      <c r="BA190" s="154"/>
      <c r="BB190" s="154"/>
      <c r="BC190" s="154"/>
      <c r="BD190" s="154"/>
      <c r="BE190" s="154"/>
      <c r="BF190" s="154"/>
      <c r="BG190" s="154"/>
      <c r="BH190" s="154"/>
      <c r="BI190" s="154"/>
      <c r="BJ190" s="154"/>
      <c r="BK190" s="159"/>
      <c r="BL190" s="159"/>
      <c r="BM190" s="161"/>
      <c r="BN190" s="161"/>
      <c r="BO190" s="163"/>
      <c r="BP190" s="164"/>
      <c r="BQ190" s="165"/>
      <c r="BR190" s="161"/>
      <c r="BS190" s="161"/>
      <c r="BT190" s="161"/>
      <c r="BU190" s="161"/>
      <c r="BV190" s="166"/>
      <c r="BW190" s="159"/>
      <c r="BX190" s="166"/>
      <c r="BY190" s="155"/>
      <c r="BZ190" s="167"/>
      <c r="CA190" s="159"/>
      <c r="CB190" s="168"/>
      <c r="CC190" s="155"/>
      <c r="CD190" s="159"/>
      <c r="CE190" s="161"/>
      <c r="CF190" s="162"/>
      <c r="DA190" s="113"/>
      <c r="DB190" s="113"/>
      <c r="DC190" s="113"/>
      <c r="DD190" s="115"/>
      <c r="DE190" s="88"/>
      <c r="DJ190" s="126"/>
      <c r="DK190" s="154"/>
      <c r="DL190" s="155"/>
      <c r="DM190" s="155"/>
      <c r="DN190" s="155"/>
      <c r="DO190" s="155"/>
      <c r="DP190" s="155"/>
      <c r="DQ190" s="155"/>
      <c r="DR190" s="155"/>
      <c r="DS190" s="156"/>
      <c r="DT190" s="157"/>
      <c r="DU190" s="157"/>
      <c r="DV190" s="158"/>
      <c r="DW190" s="158"/>
      <c r="DX190" s="158"/>
      <c r="DY190" s="158"/>
      <c r="DZ190" s="158"/>
      <c r="EA190" s="154"/>
      <c r="EB190" s="154"/>
      <c r="EC190" s="154"/>
      <c r="ED190" s="154"/>
      <c r="EE190" s="154"/>
      <c r="EF190" s="154"/>
      <c r="EG190" s="154"/>
      <c r="EH190" s="154"/>
      <c r="EI190" s="154"/>
      <c r="EJ190" s="154"/>
      <c r="EK190" s="159"/>
      <c r="EL190" s="159"/>
      <c r="EM190" s="161"/>
      <c r="EN190" s="161"/>
      <c r="EO190" s="163"/>
      <c r="EP190" s="164"/>
      <c r="EQ190" s="165"/>
      <c r="ER190" s="161"/>
      <c r="ES190" s="161"/>
      <c r="ET190" s="161"/>
      <c r="EU190" s="161"/>
      <c r="EV190" s="166"/>
      <c r="EW190" s="159"/>
      <c r="EX190" s="166"/>
      <c r="EY190" s="155"/>
      <c r="EZ190" s="167"/>
      <c r="FA190" s="159"/>
      <c r="FB190" s="168"/>
      <c r="FC190" s="155"/>
      <c r="FD190" s="159"/>
      <c r="FE190" s="161"/>
      <c r="FF190" s="162"/>
    </row>
    <row r="191" spans="27:162">
      <c r="AA191" s="113"/>
      <c r="AB191" s="113"/>
      <c r="AC191" s="113"/>
      <c r="AD191" s="115"/>
      <c r="AE191" s="88"/>
      <c r="AJ191" s="126"/>
      <c r="AK191" s="154"/>
      <c r="AL191" s="155"/>
      <c r="AM191" s="155"/>
      <c r="AN191" s="155"/>
      <c r="AO191" s="155"/>
      <c r="AP191" s="155"/>
      <c r="AQ191" s="155"/>
      <c r="AR191" s="155"/>
      <c r="AS191" s="156"/>
      <c r="AT191" s="157"/>
      <c r="AU191" s="157"/>
      <c r="AV191" s="158"/>
      <c r="AW191" s="158"/>
      <c r="AX191" s="158"/>
      <c r="AY191" s="158"/>
      <c r="AZ191" s="158"/>
      <c r="BA191" s="154"/>
      <c r="BB191" s="154"/>
      <c r="BC191" s="154"/>
      <c r="BD191" s="154"/>
      <c r="BE191" s="154"/>
      <c r="BF191" s="154"/>
      <c r="BG191" s="154"/>
      <c r="BH191" s="154"/>
      <c r="BI191" s="154"/>
      <c r="BJ191" s="154"/>
      <c r="BK191" s="159"/>
      <c r="BL191" s="159"/>
      <c r="BM191" s="161"/>
      <c r="BN191" s="161"/>
      <c r="BO191" s="163"/>
      <c r="BP191" s="164"/>
      <c r="BQ191" s="165"/>
      <c r="BR191" s="161"/>
      <c r="BS191" s="161"/>
      <c r="BT191" s="161"/>
      <c r="BU191" s="161"/>
      <c r="BV191" s="166"/>
      <c r="BW191" s="159"/>
      <c r="BX191" s="166"/>
      <c r="BY191" s="155"/>
      <c r="BZ191" s="167"/>
      <c r="CA191" s="159"/>
      <c r="CB191" s="168"/>
      <c r="CC191" s="155"/>
      <c r="CD191" s="159"/>
      <c r="CE191" s="161"/>
      <c r="CF191" s="162"/>
      <c r="DA191" s="113"/>
      <c r="DB191" s="113"/>
      <c r="DC191" s="113"/>
      <c r="DD191" s="115"/>
      <c r="DE191" s="88"/>
      <c r="DJ191" s="126"/>
      <c r="DK191" s="154"/>
      <c r="DL191" s="155"/>
      <c r="DM191" s="155"/>
      <c r="DN191" s="155"/>
      <c r="DO191" s="155"/>
      <c r="DP191" s="155"/>
      <c r="DQ191" s="155"/>
      <c r="DR191" s="155"/>
      <c r="DS191" s="156"/>
      <c r="DT191" s="157"/>
      <c r="DU191" s="157"/>
      <c r="DV191" s="158"/>
      <c r="DW191" s="158"/>
      <c r="DX191" s="158"/>
      <c r="DY191" s="158"/>
      <c r="DZ191" s="158"/>
      <c r="EA191" s="154"/>
      <c r="EB191" s="154"/>
      <c r="EC191" s="154"/>
      <c r="ED191" s="154"/>
      <c r="EE191" s="154"/>
      <c r="EF191" s="154"/>
      <c r="EG191" s="154"/>
      <c r="EH191" s="154"/>
      <c r="EI191" s="154"/>
      <c r="EJ191" s="154"/>
      <c r="EK191" s="159"/>
      <c r="EL191" s="159"/>
      <c r="EM191" s="161"/>
      <c r="EN191" s="161"/>
      <c r="EO191" s="163"/>
      <c r="EP191" s="164"/>
      <c r="EQ191" s="165"/>
      <c r="ER191" s="161"/>
      <c r="ES191" s="161"/>
      <c r="ET191" s="161"/>
      <c r="EU191" s="161"/>
      <c r="EV191" s="166"/>
      <c r="EW191" s="159"/>
      <c r="EX191" s="166"/>
      <c r="EY191" s="155"/>
      <c r="EZ191" s="167"/>
      <c r="FA191" s="159"/>
      <c r="FB191" s="168"/>
      <c r="FC191" s="155"/>
      <c r="FD191" s="159"/>
      <c r="FE191" s="161"/>
      <c r="FF191" s="162"/>
    </row>
    <row r="192" spans="27:162">
      <c r="AA192" s="113"/>
      <c r="AB192" s="113"/>
      <c r="AC192" s="113"/>
      <c r="AD192" s="115"/>
      <c r="AE192" s="88"/>
      <c r="AJ192" s="126"/>
      <c r="AK192" s="154"/>
      <c r="AL192" s="155"/>
      <c r="AM192" s="155"/>
      <c r="AN192" s="155"/>
      <c r="AO192" s="155"/>
      <c r="AP192" s="155"/>
      <c r="AQ192" s="155"/>
      <c r="AR192" s="155"/>
      <c r="AS192" s="156"/>
      <c r="AT192" s="157"/>
      <c r="AU192" s="157"/>
      <c r="AV192" s="158"/>
      <c r="AW192" s="158"/>
      <c r="AX192" s="158"/>
      <c r="AY192" s="158"/>
      <c r="AZ192" s="158"/>
      <c r="BA192" s="154"/>
      <c r="BB192" s="154"/>
      <c r="BC192" s="154"/>
      <c r="BD192" s="154"/>
      <c r="BE192" s="154"/>
      <c r="BF192" s="154"/>
      <c r="BG192" s="154"/>
      <c r="BH192" s="154"/>
      <c r="BI192" s="154"/>
      <c r="BJ192" s="154"/>
      <c r="BK192" s="159"/>
      <c r="BL192" s="159"/>
      <c r="BM192" s="161"/>
      <c r="BN192" s="161"/>
      <c r="BO192" s="163"/>
      <c r="BP192" s="164"/>
      <c r="BQ192" s="165"/>
      <c r="BR192" s="161"/>
      <c r="BS192" s="161"/>
      <c r="BT192" s="161"/>
      <c r="BU192" s="161"/>
      <c r="BV192" s="166"/>
      <c r="BW192" s="159"/>
      <c r="BX192" s="166"/>
      <c r="BY192" s="155"/>
      <c r="BZ192" s="167"/>
      <c r="CA192" s="159"/>
      <c r="CB192" s="168"/>
      <c r="CC192" s="155"/>
      <c r="CD192" s="159"/>
      <c r="CE192" s="161"/>
      <c r="CF192" s="162"/>
      <c r="DA192" s="113"/>
      <c r="DB192" s="113"/>
      <c r="DC192" s="113"/>
      <c r="DD192" s="115"/>
      <c r="DE192" s="88"/>
      <c r="DJ192" s="126"/>
      <c r="DK192" s="154"/>
      <c r="DL192" s="155"/>
      <c r="DM192" s="155"/>
      <c r="DN192" s="155"/>
      <c r="DO192" s="155"/>
      <c r="DP192" s="155"/>
      <c r="DQ192" s="155"/>
      <c r="DR192" s="155"/>
      <c r="DS192" s="156"/>
      <c r="DT192" s="157"/>
      <c r="DU192" s="157"/>
      <c r="DV192" s="158"/>
      <c r="DW192" s="158"/>
      <c r="DX192" s="158"/>
      <c r="DY192" s="158"/>
      <c r="DZ192" s="158"/>
      <c r="EA192" s="154"/>
      <c r="EB192" s="154"/>
      <c r="EC192" s="154"/>
      <c r="ED192" s="154"/>
      <c r="EE192" s="154"/>
      <c r="EF192" s="154"/>
      <c r="EG192" s="154"/>
      <c r="EH192" s="154"/>
      <c r="EI192" s="154"/>
      <c r="EJ192" s="154"/>
      <c r="EK192" s="159"/>
      <c r="EL192" s="159"/>
      <c r="EM192" s="161"/>
      <c r="EN192" s="161"/>
      <c r="EO192" s="163"/>
      <c r="EP192" s="164"/>
      <c r="EQ192" s="165"/>
      <c r="ER192" s="161"/>
      <c r="ES192" s="161"/>
      <c r="ET192" s="161"/>
      <c r="EU192" s="161"/>
      <c r="EV192" s="166"/>
      <c r="EW192" s="159"/>
      <c r="EX192" s="166"/>
      <c r="EY192" s="155"/>
      <c r="EZ192" s="167"/>
      <c r="FA192" s="159"/>
      <c r="FB192" s="168"/>
      <c r="FC192" s="155"/>
      <c r="FD192" s="159"/>
      <c r="FE192" s="161"/>
      <c r="FF192" s="162"/>
    </row>
    <row r="193" spans="27:162">
      <c r="AA193" s="113"/>
      <c r="AB193" s="113"/>
      <c r="AC193" s="113"/>
      <c r="AD193" s="115"/>
      <c r="AE193" s="88"/>
      <c r="AJ193" s="126"/>
      <c r="AK193" s="154"/>
      <c r="AL193" s="155"/>
      <c r="AM193" s="155"/>
      <c r="AN193" s="155"/>
      <c r="AO193" s="155"/>
      <c r="AP193" s="155"/>
      <c r="AQ193" s="155"/>
      <c r="AR193" s="155"/>
      <c r="AS193" s="156"/>
      <c r="AT193" s="157"/>
      <c r="AU193" s="157"/>
      <c r="AV193" s="158"/>
      <c r="AW193" s="158"/>
      <c r="AX193" s="158"/>
      <c r="AY193" s="158"/>
      <c r="AZ193" s="158"/>
      <c r="BA193" s="154"/>
      <c r="BB193" s="154"/>
      <c r="BC193" s="154"/>
      <c r="BD193" s="154"/>
      <c r="BE193" s="154"/>
      <c r="BF193" s="154"/>
      <c r="BG193" s="154"/>
      <c r="BH193" s="154"/>
      <c r="BI193" s="154"/>
      <c r="BJ193" s="154"/>
      <c r="BK193" s="159"/>
      <c r="BL193" s="159"/>
      <c r="BM193" s="161"/>
      <c r="BN193" s="161"/>
      <c r="BO193" s="163"/>
      <c r="BP193" s="164"/>
      <c r="BQ193" s="165"/>
      <c r="BR193" s="161"/>
      <c r="BS193" s="161"/>
      <c r="BT193" s="161"/>
      <c r="BU193" s="161"/>
      <c r="BV193" s="166"/>
      <c r="BW193" s="159"/>
      <c r="BX193" s="166"/>
      <c r="BY193" s="155"/>
      <c r="BZ193" s="167"/>
      <c r="CA193" s="159"/>
      <c r="CB193" s="168"/>
      <c r="CC193" s="155"/>
      <c r="CD193" s="159"/>
      <c r="CE193" s="161"/>
      <c r="CF193" s="162"/>
      <c r="DA193" s="113"/>
      <c r="DB193" s="113"/>
      <c r="DC193" s="113"/>
      <c r="DD193" s="115"/>
      <c r="DE193" s="88"/>
      <c r="DJ193" s="126"/>
      <c r="DK193" s="154"/>
      <c r="DL193" s="155"/>
      <c r="DM193" s="155"/>
      <c r="DN193" s="155"/>
      <c r="DO193" s="155"/>
      <c r="DP193" s="155"/>
      <c r="DQ193" s="155"/>
      <c r="DR193" s="155"/>
      <c r="DS193" s="156"/>
      <c r="DT193" s="157"/>
      <c r="DU193" s="157"/>
      <c r="DV193" s="158"/>
      <c r="DW193" s="158"/>
      <c r="DX193" s="158"/>
      <c r="DY193" s="158"/>
      <c r="DZ193" s="158"/>
      <c r="EA193" s="154"/>
      <c r="EB193" s="154"/>
      <c r="EC193" s="154"/>
      <c r="ED193" s="154"/>
      <c r="EE193" s="154"/>
      <c r="EF193" s="154"/>
      <c r="EG193" s="154"/>
      <c r="EH193" s="154"/>
      <c r="EI193" s="154"/>
      <c r="EJ193" s="154"/>
      <c r="EK193" s="159"/>
      <c r="EL193" s="159"/>
      <c r="EM193" s="161"/>
      <c r="EN193" s="161"/>
      <c r="EO193" s="163"/>
      <c r="EP193" s="164"/>
      <c r="EQ193" s="165"/>
      <c r="ER193" s="161"/>
      <c r="ES193" s="161"/>
      <c r="ET193" s="161"/>
      <c r="EU193" s="161"/>
      <c r="EV193" s="166"/>
      <c r="EW193" s="159"/>
      <c r="EX193" s="166"/>
      <c r="EY193" s="155"/>
      <c r="EZ193" s="167"/>
      <c r="FA193" s="159"/>
      <c r="FB193" s="168"/>
      <c r="FC193" s="155"/>
      <c r="FD193" s="159"/>
      <c r="FE193" s="161"/>
      <c r="FF193" s="162"/>
    </row>
    <row r="194" spans="27:162">
      <c r="AA194" s="113"/>
      <c r="AB194" s="113"/>
      <c r="AC194" s="113"/>
      <c r="AD194" s="115"/>
      <c r="AE194" s="88"/>
      <c r="AJ194" s="126"/>
      <c r="AK194" s="154"/>
      <c r="AL194" s="155"/>
      <c r="AM194" s="155"/>
      <c r="AN194" s="155"/>
      <c r="AO194" s="155"/>
      <c r="AP194" s="155"/>
      <c r="AQ194" s="155"/>
      <c r="AR194" s="155"/>
      <c r="AS194" s="156"/>
      <c r="AT194" s="157"/>
      <c r="AU194" s="157"/>
      <c r="AV194" s="158"/>
      <c r="AW194" s="158"/>
      <c r="AX194" s="158"/>
      <c r="AY194" s="158"/>
      <c r="AZ194" s="158"/>
      <c r="BA194" s="154"/>
      <c r="BB194" s="154"/>
      <c r="BC194" s="154"/>
      <c r="BD194" s="154"/>
      <c r="BE194" s="154"/>
      <c r="BF194" s="154"/>
      <c r="BG194" s="154"/>
      <c r="BH194" s="154"/>
      <c r="BI194" s="154"/>
      <c r="BJ194" s="154"/>
      <c r="BK194" s="159"/>
      <c r="BL194" s="159"/>
      <c r="BM194" s="161"/>
      <c r="BN194" s="161"/>
      <c r="BO194" s="163"/>
      <c r="BP194" s="164"/>
      <c r="BQ194" s="165"/>
      <c r="BR194" s="161"/>
      <c r="BS194" s="161"/>
      <c r="BT194" s="161"/>
      <c r="BU194" s="161"/>
      <c r="BV194" s="166"/>
      <c r="BW194" s="159"/>
      <c r="BX194" s="166"/>
      <c r="BY194" s="155"/>
      <c r="BZ194" s="167"/>
      <c r="CA194" s="159"/>
      <c r="CB194" s="168"/>
      <c r="CC194" s="155"/>
      <c r="CD194" s="159"/>
      <c r="CE194" s="161"/>
      <c r="CF194" s="162"/>
      <c r="DA194" s="113"/>
      <c r="DB194" s="113"/>
      <c r="DC194" s="113"/>
      <c r="DD194" s="115"/>
      <c r="DE194" s="88"/>
      <c r="DJ194" s="126"/>
      <c r="DK194" s="154"/>
      <c r="DL194" s="155"/>
      <c r="DM194" s="155"/>
      <c r="DN194" s="155"/>
      <c r="DO194" s="155"/>
      <c r="DP194" s="155"/>
      <c r="DQ194" s="155"/>
      <c r="DR194" s="155"/>
      <c r="DS194" s="156"/>
      <c r="DT194" s="157"/>
      <c r="DU194" s="157"/>
      <c r="DV194" s="158"/>
      <c r="DW194" s="158"/>
      <c r="DX194" s="158"/>
      <c r="DY194" s="158"/>
      <c r="DZ194" s="158"/>
      <c r="EA194" s="154"/>
      <c r="EB194" s="154"/>
      <c r="EC194" s="154"/>
      <c r="ED194" s="154"/>
      <c r="EE194" s="154"/>
      <c r="EF194" s="154"/>
      <c r="EG194" s="154"/>
      <c r="EH194" s="154"/>
      <c r="EI194" s="154"/>
      <c r="EJ194" s="154"/>
      <c r="EK194" s="159"/>
      <c r="EL194" s="159"/>
      <c r="EM194" s="161"/>
      <c r="EN194" s="161"/>
      <c r="EO194" s="163"/>
      <c r="EP194" s="164"/>
      <c r="EQ194" s="165"/>
      <c r="ER194" s="161"/>
      <c r="ES194" s="161"/>
      <c r="ET194" s="161"/>
      <c r="EU194" s="161"/>
      <c r="EV194" s="166"/>
      <c r="EW194" s="159"/>
      <c r="EX194" s="166"/>
      <c r="EY194" s="155"/>
      <c r="EZ194" s="167"/>
      <c r="FA194" s="159"/>
      <c r="FB194" s="168"/>
      <c r="FC194" s="155"/>
      <c r="FD194" s="159"/>
      <c r="FE194" s="161"/>
      <c r="FF194" s="162"/>
    </row>
    <row r="195" spans="27:162">
      <c r="AA195" s="113"/>
      <c r="AB195" s="113"/>
      <c r="AC195" s="113"/>
      <c r="AD195" s="115"/>
      <c r="AE195" s="88"/>
      <c r="AJ195" s="126"/>
      <c r="AK195" s="154"/>
      <c r="AL195" s="155"/>
      <c r="AM195" s="155"/>
      <c r="AN195" s="155"/>
      <c r="AO195" s="155"/>
      <c r="AP195" s="155"/>
      <c r="AQ195" s="155"/>
      <c r="AR195" s="155"/>
      <c r="AS195" s="156"/>
      <c r="AT195" s="157"/>
      <c r="AU195" s="157"/>
      <c r="AV195" s="158"/>
      <c r="AW195" s="158"/>
      <c r="AX195" s="158"/>
      <c r="AY195" s="158"/>
      <c r="AZ195" s="158"/>
      <c r="BA195" s="154"/>
      <c r="BB195" s="154"/>
      <c r="BC195" s="154"/>
      <c r="BD195" s="154"/>
      <c r="BE195" s="154"/>
      <c r="BF195" s="154"/>
      <c r="BG195" s="154"/>
      <c r="BH195" s="154"/>
      <c r="BI195" s="154"/>
      <c r="BJ195" s="154"/>
      <c r="BK195" s="159"/>
      <c r="BL195" s="159"/>
      <c r="BM195" s="161"/>
      <c r="BN195" s="161"/>
      <c r="BO195" s="163"/>
      <c r="BP195" s="164"/>
      <c r="BQ195" s="165"/>
      <c r="BR195" s="161"/>
      <c r="BS195" s="161"/>
      <c r="BT195" s="161"/>
      <c r="BU195" s="161"/>
      <c r="BV195" s="166"/>
      <c r="BW195" s="159"/>
      <c r="BX195" s="166"/>
      <c r="BY195" s="155"/>
      <c r="BZ195" s="167"/>
      <c r="CA195" s="159"/>
      <c r="CB195" s="168"/>
      <c r="CC195" s="155"/>
      <c r="CD195" s="159"/>
      <c r="CE195" s="161"/>
      <c r="CF195" s="162"/>
      <c r="DA195" s="113"/>
      <c r="DB195" s="113"/>
      <c r="DC195" s="113"/>
      <c r="DD195" s="115"/>
      <c r="DE195" s="88"/>
      <c r="DJ195" s="126"/>
      <c r="DK195" s="154"/>
      <c r="DL195" s="155"/>
      <c r="DM195" s="155"/>
      <c r="DN195" s="155"/>
      <c r="DO195" s="155"/>
      <c r="DP195" s="155"/>
      <c r="DQ195" s="155"/>
      <c r="DR195" s="155"/>
      <c r="DS195" s="156"/>
      <c r="DT195" s="157"/>
      <c r="DU195" s="157"/>
      <c r="DV195" s="158"/>
      <c r="DW195" s="158"/>
      <c r="DX195" s="158"/>
      <c r="DY195" s="158"/>
      <c r="DZ195" s="158"/>
      <c r="EA195" s="154"/>
      <c r="EB195" s="154"/>
      <c r="EC195" s="154"/>
      <c r="ED195" s="154"/>
      <c r="EE195" s="154"/>
      <c r="EF195" s="154"/>
      <c r="EG195" s="154"/>
      <c r="EH195" s="154"/>
      <c r="EI195" s="154"/>
      <c r="EJ195" s="154"/>
      <c r="EK195" s="159"/>
      <c r="EL195" s="159"/>
      <c r="EM195" s="161"/>
      <c r="EN195" s="161"/>
      <c r="EO195" s="163"/>
      <c r="EP195" s="164"/>
      <c r="EQ195" s="165"/>
      <c r="ER195" s="161"/>
      <c r="ES195" s="161"/>
      <c r="ET195" s="161"/>
      <c r="EU195" s="161"/>
      <c r="EV195" s="166"/>
      <c r="EW195" s="159"/>
      <c r="EX195" s="166"/>
      <c r="EY195" s="155"/>
      <c r="EZ195" s="167"/>
      <c r="FA195" s="159"/>
      <c r="FB195" s="168"/>
      <c r="FC195" s="155"/>
      <c r="FD195" s="159"/>
      <c r="FE195" s="161"/>
      <c r="FF195" s="162"/>
    </row>
    <row r="196" spans="27:162">
      <c r="AA196" s="113"/>
      <c r="AB196" s="113"/>
      <c r="AC196" s="113"/>
      <c r="AD196" s="115"/>
      <c r="AE196" s="88"/>
      <c r="AJ196" s="126"/>
      <c r="AK196" s="154"/>
      <c r="AL196" s="155"/>
      <c r="AM196" s="155"/>
      <c r="AN196" s="155"/>
      <c r="AO196" s="155"/>
      <c r="AP196" s="155"/>
      <c r="AQ196" s="155"/>
      <c r="AR196" s="155"/>
      <c r="AS196" s="156"/>
      <c r="AT196" s="157"/>
      <c r="AU196" s="157"/>
      <c r="AV196" s="158"/>
      <c r="AW196" s="158"/>
      <c r="AX196" s="158"/>
      <c r="AY196" s="158"/>
      <c r="AZ196" s="158"/>
      <c r="BA196" s="154"/>
      <c r="BB196" s="154"/>
      <c r="BC196" s="154"/>
      <c r="BD196" s="154"/>
      <c r="BE196" s="154"/>
      <c r="BF196" s="154"/>
      <c r="BG196" s="154"/>
      <c r="BH196" s="154"/>
      <c r="BI196" s="154"/>
      <c r="BJ196" s="154"/>
      <c r="BK196" s="159"/>
      <c r="BL196" s="159"/>
      <c r="BM196" s="161"/>
      <c r="BN196" s="161"/>
      <c r="BO196" s="163"/>
      <c r="BP196" s="164"/>
      <c r="BQ196" s="165"/>
      <c r="BR196" s="161"/>
      <c r="BS196" s="161"/>
      <c r="BT196" s="161"/>
      <c r="BU196" s="161"/>
      <c r="BV196" s="166"/>
      <c r="BW196" s="159"/>
      <c r="BX196" s="166"/>
      <c r="BY196" s="155"/>
      <c r="BZ196" s="167"/>
      <c r="CA196" s="159"/>
      <c r="CB196" s="168"/>
      <c r="CC196" s="155"/>
      <c r="CD196" s="159"/>
      <c r="CE196" s="161"/>
      <c r="CF196" s="162"/>
      <c r="DA196" s="113"/>
      <c r="DB196" s="113"/>
      <c r="DC196" s="113"/>
      <c r="DD196" s="115"/>
      <c r="DE196" s="88"/>
      <c r="DJ196" s="126"/>
      <c r="DK196" s="154"/>
      <c r="DL196" s="155"/>
      <c r="DM196" s="155"/>
      <c r="DN196" s="155"/>
      <c r="DO196" s="155"/>
      <c r="DP196" s="155"/>
      <c r="DQ196" s="155"/>
      <c r="DR196" s="155"/>
      <c r="DS196" s="156"/>
      <c r="DT196" s="157"/>
      <c r="DU196" s="157"/>
      <c r="DV196" s="158"/>
      <c r="DW196" s="158"/>
      <c r="DX196" s="158"/>
      <c r="DY196" s="158"/>
      <c r="DZ196" s="158"/>
      <c r="EA196" s="154"/>
      <c r="EB196" s="154"/>
      <c r="EC196" s="154"/>
      <c r="ED196" s="154"/>
      <c r="EE196" s="154"/>
      <c r="EF196" s="154"/>
      <c r="EG196" s="154"/>
      <c r="EH196" s="154"/>
      <c r="EI196" s="154"/>
      <c r="EJ196" s="154"/>
      <c r="EK196" s="159"/>
      <c r="EL196" s="159"/>
      <c r="EM196" s="161"/>
      <c r="EN196" s="161"/>
      <c r="EO196" s="163"/>
      <c r="EP196" s="164"/>
      <c r="EQ196" s="165"/>
      <c r="ER196" s="161"/>
      <c r="ES196" s="161"/>
      <c r="ET196" s="161"/>
      <c r="EU196" s="161"/>
      <c r="EV196" s="166"/>
      <c r="EW196" s="159"/>
      <c r="EX196" s="166"/>
      <c r="EY196" s="155"/>
      <c r="EZ196" s="167"/>
      <c r="FA196" s="159"/>
      <c r="FB196" s="168"/>
      <c r="FC196" s="155"/>
      <c r="FD196" s="159"/>
      <c r="FE196" s="161"/>
      <c r="FF196" s="162"/>
    </row>
    <row r="197" spans="27:162">
      <c r="AA197" s="113"/>
      <c r="AB197" s="113"/>
      <c r="AC197" s="113"/>
      <c r="AD197" s="115"/>
      <c r="AE197" s="88"/>
      <c r="AJ197" s="126"/>
      <c r="AK197" s="154"/>
      <c r="AL197" s="155"/>
      <c r="AM197" s="155"/>
      <c r="AN197" s="155"/>
      <c r="AO197" s="155"/>
      <c r="AP197" s="155"/>
      <c r="AQ197" s="155"/>
      <c r="AR197" s="155"/>
      <c r="AS197" s="156"/>
      <c r="AT197" s="157"/>
      <c r="AU197" s="157"/>
      <c r="AV197" s="158"/>
      <c r="AW197" s="158"/>
      <c r="AX197" s="158"/>
      <c r="AY197" s="158"/>
      <c r="AZ197" s="158"/>
      <c r="BA197" s="154"/>
      <c r="BB197" s="154"/>
      <c r="BC197" s="154"/>
      <c r="BD197" s="154"/>
      <c r="BE197" s="154"/>
      <c r="BF197" s="154"/>
      <c r="BG197" s="154"/>
      <c r="BH197" s="154"/>
      <c r="BI197" s="154"/>
      <c r="BJ197" s="154"/>
      <c r="BK197" s="159"/>
      <c r="BL197" s="159"/>
      <c r="BM197" s="161"/>
      <c r="BN197" s="161"/>
      <c r="BO197" s="163"/>
      <c r="BP197" s="164"/>
      <c r="BQ197" s="165"/>
      <c r="BR197" s="161"/>
      <c r="BS197" s="161"/>
      <c r="BT197" s="161"/>
      <c r="BU197" s="161"/>
      <c r="BV197" s="166"/>
      <c r="BW197" s="159"/>
      <c r="BX197" s="166"/>
      <c r="BY197" s="155"/>
      <c r="BZ197" s="167"/>
      <c r="CA197" s="159"/>
      <c r="CB197" s="168"/>
      <c r="CC197" s="155"/>
      <c r="CD197" s="159"/>
      <c r="CE197" s="161"/>
      <c r="CF197" s="162"/>
      <c r="DA197" s="113"/>
      <c r="DB197" s="113"/>
      <c r="DC197" s="113"/>
      <c r="DD197" s="115"/>
      <c r="DE197" s="88"/>
      <c r="DJ197" s="126"/>
      <c r="DK197" s="154"/>
      <c r="DL197" s="155"/>
      <c r="DM197" s="155"/>
      <c r="DN197" s="155"/>
      <c r="DO197" s="155"/>
      <c r="DP197" s="155"/>
      <c r="DQ197" s="155"/>
      <c r="DR197" s="155"/>
      <c r="DS197" s="156"/>
      <c r="DT197" s="157"/>
      <c r="DU197" s="157"/>
      <c r="DV197" s="158"/>
      <c r="DW197" s="158"/>
      <c r="DX197" s="158"/>
      <c r="DY197" s="158"/>
      <c r="DZ197" s="158"/>
      <c r="EA197" s="154"/>
      <c r="EB197" s="154"/>
      <c r="EC197" s="154"/>
      <c r="ED197" s="154"/>
      <c r="EE197" s="154"/>
      <c r="EF197" s="154"/>
      <c r="EG197" s="154"/>
      <c r="EH197" s="154"/>
      <c r="EI197" s="154"/>
      <c r="EJ197" s="154"/>
      <c r="EK197" s="159"/>
      <c r="EL197" s="159"/>
      <c r="EM197" s="161"/>
      <c r="EN197" s="161"/>
      <c r="EO197" s="163"/>
      <c r="EP197" s="164"/>
      <c r="EQ197" s="165"/>
      <c r="ER197" s="161"/>
      <c r="ES197" s="161"/>
      <c r="ET197" s="161"/>
      <c r="EU197" s="161"/>
      <c r="EV197" s="166"/>
      <c r="EW197" s="159"/>
      <c r="EX197" s="166"/>
      <c r="EY197" s="155"/>
      <c r="EZ197" s="167"/>
      <c r="FA197" s="159"/>
      <c r="FB197" s="168"/>
      <c r="FC197" s="155"/>
      <c r="FD197" s="159"/>
      <c r="FE197" s="161"/>
      <c r="FF197" s="162"/>
    </row>
    <row r="198" spans="27:162">
      <c r="AA198" s="113"/>
      <c r="AB198" s="113"/>
      <c r="AC198" s="113"/>
      <c r="AD198" s="115"/>
      <c r="AE198" s="88"/>
      <c r="AJ198" s="126"/>
      <c r="AK198" s="154"/>
      <c r="AL198" s="155"/>
      <c r="AM198" s="155"/>
      <c r="AN198" s="155"/>
      <c r="AO198" s="155"/>
      <c r="AP198" s="155"/>
      <c r="AQ198" s="155"/>
      <c r="AR198" s="155"/>
      <c r="AS198" s="156"/>
      <c r="AT198" s="157"/>
      <c r="AU198" s="157"/>
      <c r="AV198" s="158"/>
      <c r="AW198" s="158"/>
      <c r="AX198" s="158"/>
      <c r="AY198" s="158"/>
      <c r="AZ198" s="158"/>
      <c r="BA198" s="154"/>
      <c r="BB198" s="154"/>
      <c r="BC198" s="154"/>
      <c r="BD198" s="154"/>
      <c r="BE198" s="154"/>
      <c r="BF198" s="154"/>
      <c r="BG198" s="154"/>
      <c r="BH198" s="154"/>
      <c r="BI198" s="154"/>
      <c r="BJ198" s="154"/>
      <c r="BK198" s="159"/>
      <c r="BL198" s="159"/>
      <c r="BM198" s="161"/>
      <c r="BN198" s="161"/>
      <c r="BO198" s="163"/>
      <c r="BP198" s="164"/>
      <c r="BQ198" s="165"/>
      <c r="BR198" s="161"/>
      <c r="BS198" s="161"/>
      <c r="BT198" s="161"/>
      <c r="BU198" s="161"/>
      <c r="BV198" s="166"/>
      <c r="BW198" s="159"/>
      <c r="BX198" s="166"/>
      <c r="BY198" s="155"/>
      <c r="BZ198" s="167"/>
      <c r="CA198" s="159"/>
      <c r="CB198" s="168"/>
      <c r="CC198" s="155"/>
      <c r="CD198" s="159"/>
      <c r="CE198" s="161"/>
      <c r="CF198" s="162"/>
      <c r="DA198" s="113"/>
      <c r="DB198" s="113"/>
      <c r="DC198" s="113"/>
      <c r="DD198" s="115"/>
      <c r="DE198" s="88"/>
      <c r="DJ198" s="126"/>
      <c r="DK198" s="154"/>
      <c r="DL198" s="155"/>
      <c r="DM198" s="155"/>
      <c r="DN198" s="155"/>
      <c r="DO198" s="155"/>
      <c r="DP198" s="155"/>
      <c r="DQ198" s="155"/>
      <c r="DR198" s="155"/>
      <c r="DS198" s="156"/>
      <c r="DT198" s="157"/>
      <c r="DU198" s="157"/>
      <c r="DV198" s="158"/>
      <c r="DW198" s="158"/>
      <c r="DX198" s="158"/>
      <c r="DY198" s="158"/>
      <c r="DZ198" s="158"/>
      <c r="EA198" s="154"/>
      <c r="EB198" s="154"/>
      <c r="EC198" s="154"/>
      <c r="ED198" s="154"/>
      <c r="EE198" s="154"/>
      <c r="EF198" s="154"/>
      <c r="EG198" s="154"/>
      <c r="EH198" s="154"/>
      <c r="EI198" s="154"/>
      <c r="EJ198" s="154"/>
      <c r="EK198" s="159"/>
      <c r="EL198" s="159"/>
      <c r="EM198" s="161"/>
      <c r="EN198" s="161"/>
      <c r="EO198" s="163"/>
      <c r="EP198" s="164"/>
      <c r="EQ198" s="165"/>
      <c r="ER198" s="161"/>
      <c r="ES198" s="161"/>
      <c r="ET198" s="161"/>
      <c r="EU198" s="161"/>
      <c r="EV198" s="166"/>
      <c r="EW198" s="159"/>
      <c r="EX198" s="166"/>
      <c r="EY198" s="155"/>
      <c r="EZ198" s="167"/>
      <c r="FA198" s="159"/>
      <c r="FB198" s="168"/>
      <c r="FC198" s="155"/>
      <c r="FD198" s="159"/>
      <c r="FE198" s="161"/>
      <c r="FF198" s="162"/>
    </row>
    <row r="199" spans="27:162">
      <c r="AA199" s="113"/>
      <c r="AB199" s="113"/>
      <c r="AC199" s="113"/>
      <c r="AD199" s="115"/>
      <c r="AE199" s="88"/>
      <c r="AJ199" s="126"/>
      <c r="AK199" s="154"/>
      <c r="AL199" s="155"/>
      <c r="AM199" s="155"/>
      <c r="AN199" s="155"/>
      <c r="AO199" s="155"/>
      <c r="AP199" s="155"/>
      <c r="AQ199" s="155"/>
      <c r="AR199" s="155"/>
      <c r="AS199" s="156"/>
      <c r="AT199" s="157"/>
      <c r="AU199" s="157"/>
      <c r="AV199" s="158"/>
      <c r="AW199" s="158"/>
      <c r="AX199" s="158"/>
      <c r="AY199" s="158"/>
      <c r="AZ199" s="158"/>
      <c r="BA199" s="154"/>
      <c r="BB199" s="154"/>
      <c r="BC199" s="154"/>
      <c r="BD199" s="154"/>
      <c r="BE199" s="154"/>
      <c r="BF199" s="154"/>
      <c r="BG199" s="154"/>
      <c r="BH199" s="154"/>
      <c r="BI199" s="154"/>
      <c r="BJ199" s="154"/>
      <c r="BK199" s="159"/>
      <c r="BL199" s="159"/>
      <c r="BM199" s="161"/>
      <c r="BN199" s="161"/>
      <c r="BO199" s="163"/>
      <c r="BP199" s="164"/>
      <c r="BQ199" s="165"/>
      <c r="BR199" s="161"/>
      <c r="BS199" s="161"/>
      <c r="BT199" s="161"/>
      <c r="BU199" s="161"/>
      <c r="BV199" s="166"/>
      <c r="BW199" s="159"/>
      <c r="BX199" s="166"/>
      <c r="BY199" s="155"/>
      <c r="BZ199" s="167"/>
      <c r="CA199" s="159"/>
      <c r="CB199" s="168"/>
      <c r="CC199" s="155"/>
      <c r="CD199" s="159"/>
      <c r="CE199" s="161"/>
      <c r="CF199" s="162"/>
      <c r="DA199" s="113"/>
      <c r="DB199" s="113"/>
      <c r="DC199" s="113"/>
      <c r="DD199" s="115"/>
      <c r="DE199" s="88"/>
      <c r="DJ199" s="126"/>
      <c r="DK199" s="154"/>
      <c r="DL199" s="155"/>
      <c r="DM199" s="155"/>
      <c r="DN199" s="155"/>
      <c r="DO199" s="155"/>
      <c r="DP199" s="155"/>
      <c r="DQ199" s="155"/>
      <c r="DR199" s="155"/>
      <c r="DS199" s="156"/>
      <c r="DT199" s="157"/>
      <c r="DU199" s="157"/>
      <c r="DV199" s="158"/>
      <c r="DW199" s="158"/>
      <c r="DX199" s="158"/>
      <c r="DY199" s="158"/>
      <c r="DZ199" s="158"/>
      <c r="EA199" s="154"/>
      <c r="EB199" s="154"/>
      <c r="EC199" s="154"/>
      <c r="ED199" s="154"/>
      <c r="EE199" s="154"/>
      <c r="EF199" s="154"/>
      <c r="EG199" s="154"/>
      <c r="EH199" s="154"/>
      <c r="EI199" s="154"/>
      <c r="EJ199" s="154"/>
      <c r="EK199" s="159"/>
      <c r="EL199" s="159"/>
      <c r="EM199" s="161"/>
      <c r="EN199" s="161"/>
      <c r="EO199" s="163"/>
      <c r="EP199" s="164"/>
      <c r="EQ199" s="165"/>
      <c r="ER199" s="161"/>
      <c r="ES199" s="161"/>
      <c r="ET199" s="161"/>
      <c r="EU199" s="161"/>
      <c r="EV199" s="166"/>
      <c r="EW199" s="159"/>
      <c r="EX199" s="166"/>
      <c r="EY199" s="155"/>
      <c r="EZ199" s="167"/>
      <c r="FA199" s="159"/>
      <c r="FB199" s="168"/>
      <c r="FC199" s="155"/>
      <c r="FD199" s="159"/>
      <c r="FE199" s="161"/>
      <c r="FF199" s="162"/>
    </row>
    <row r="200" spans="27:162">
      <c r="AA200" s="113"/>
      <c r="AB200" s="113"/>
      <c r="AC200" s="113"/>
      <c r="AD200" s="115"/>
      <c r="AE200" s="88"/>
      <c r="AJ200" s="126"/>
      <c r="AK200" s="154"/>
      <c r="AL200" s="155"/>
      <c r="AM200" s="155"/>
      <c r="AN200" s="155"/>
      <c r="AO200" s="155"/>
      <c r="AP200" s="155"/>
      <c r="AQ200" s="155"/>
      <c r="AR200" s="155"/>
      <c r="AS200" s="156"/>
      <c r="AT200" s="157"/>
      <c r="AU200" s="157"/>
      <c r="AV200" s="158"/>
      <c r="AW200" s="158"/>
      <c r="AX200" s="158"/>
      <c r="AY200" s="158"/>
      <c r="AZ200" s="158"/>
      <c r="BA200" s="154"/>
      <c r="BB200" s="154"/>
      <c r="BC200" s="154"/>
      <c r="BD200" s="154"/>
      <c r="BE200" s="154"/>
      <c r="BF200" s="154"/>
      <c r="BG200" s="154"/>
      <c r="BH200" s="154"/>
      <c r="BI200" s="154"/>
      <c r="BJ200" s="154"/>
      <c r="BK200" s="159"/>
      <c r="BL200" s="159"/>
      <c r="BM200" s="161"/>
      <c r="BN200" s="161"/>
      <c r="BO200" s="163"/>
      <c r="BP200" s="164"/>
      <c r="BQ200" s="165"/>
      <c r="BR200" s="161"/>
      <c r="BS200" s="161"/>
      <c r="BT200" s="161"/>
      <c r="BU200" s="161"/>
      <c r="BV200" s="166"/>
      <c r="BW200" s="159"/>
      <c r="BX200" s="166"/>
      <c r="BY200" s="155"/>
      <c r="BZ200" s="167"/>
      <c r="CA200" s="159"/>
      <c r="CB200" s="168"/>
      <c r="CC200" s="155"/>
      <c r="CD200" s="159"/>
      <c r="CE200" s="161"/>
      <c r="CF200" s="162"/>
      <c r="DA200" s="113"/>
      <c r="DB200" s="113"/>
      <c r="DC200" s="113"/>
      <c r="DD200" s="115"/>
      <c r="DE200" s="88"/>
      <c r="DJ200" s="126"/>
      <c r="DK200" s="154"/>
      <c r="DL200" s="155"/>
      <c r="DM200" s="155"/>
      <c r="DN200" s="155"/>
      <c r="DO200" s="155"/>
      <c r="DP200" s="155"/>
      <c r="DQ200" s="155"/>
      <c r="DR200" s="155"/>
      <c r="DS200" s="156"/>
      <c r="DT200" s="157"/>
      <c r="DU200" s="157"/>
      <c r="DV200" s="158"/>
      <c r="DW200" s="158"/>
      <c r="DX200" s="158"/>
      <c r="DY200" s="158"/>
      <c r="DZ200" s="158"/>
      <c r="EA200" s="154"/>
      <c r="EB200" s="154"/>
      <c r="EC200" s="154"/>
      <c r="ED200" s="154"/>
      <c r="EE200" s="154"/>
      <c r="EF200" s="154"/>
      <c r="EG200" s="154"/>
      <c r="EH200" s="154"/>
      <c r="EI200" s="154"/>
      <c r="EJ200" s="154"/>
      <c r="EK200" s="159"/>
      <c r="EL200" s="159"/>
      <c r="EM200" s="161"/>
      <c r="EN200" s="161"/>
      <c r="EO200" s="163"/>
      <c r="EP200" s="164"/>
      <c r="EQ200" s="165"/>
      <c r="ER200" s="161"/>
      <c r="ES200" s="161"/>
      <c r="ET200" s="161"/>
      <c r="EU200" s="161"/>
      <c r="EV200" s="166"/>
      <c r="EW200" s="159"/>
      <c r="EX200" s="166"/>
      <c r="EY200" s="155"/>
      <c r="EZ200" s="167"/>
      <c r="FA200" s="159"/>
      <c r="FB200" s="168"/>
      <c r="FC200" s="155"/>
      <c r="FD200" s="159"/>
      <c r="FE200" s="161"/>
      <c r="FF200" s="162"/>
    </row>
    <row r="201" spans="27:162">
      <c r="AA201" s="113"/>
      <c r="AB201" s="113"/>
      <c r="AC201" s="113"/>
      <c r="AD201" s="115"/>
      <c r="AE201" s="88"/>
      <c r="AJ201" s="126"/>
      <c r="AK201" s="154"/>
      <c r="AL201" s="155"/>
      <c r="AM201" s="155"/>
      <c r="AN201" s="155"/>
      <c r="AO201" s="155"/>
      <c r="AP201" s="155"/>
      <c r="AQ201" s="155"/>
      <c r="AR201" s="155"/>
      <c r="AS201" s="156"/>
      <c r="AT201" s="157"/>
      <c r="AU201" s="157"/>
      <c r="AV201" s="158"/>
      <c r="AW201" s="158"/>
      <c r="AX201" s="158"/>
      <c r="AY201" s="158"/>
      <c r="AZ201" s="158"/>
      <c r="BA201" s="154"/>
      <c r="BB201" s="154"/>
      <c r="BC201" s="154"/>
      <c r="BD201" s="154"/>
      <c r="BE201" s="154"/>
      <c r="BF201" s="154"/>
      <c r="BG201" s="154"/>
      <c r="BH201" s="154"/>
      <c r="BI201" s="154"/>
      <c r="BJ201" s="154"/>
      <c r="BK201" s="159"/>
      <c r="BL201" s="159"/>
      <c r="BM201" s="161"/>
      <c r="BN201" s="161"/>
      <c r="BO201" s="163"/>
      <c r="BP201" s="164"/>
      <c r="BQ201" s="165"/>
      <c r="BR201" s="161"/>
      <c r="BS201" s="161"/>
      <c r="BT201" s="161"/>
      <c r="BU201" s="161"/>
      <c r="BV201" s="166"/>
      <c r="BW201" s="159"/>
      <c r="BX201" s="166"/>
      <c r="BY201" s="155"/>
      <c r="BZ201" s="167"/>
      <c r="CA201" s="159"/>
      <c r="CB201" s="168"/>
      <c r="CC201" s="155"/>
      <c r="CD201" s="159"/>
      <c r="CE201" s="161"/>
      <c r="CF201" s="162"/>
      <c r="DA201" s="113"/>
      <c r="DB201" s="113"/>
      <c r="DC201" s="113"/>
      <c r="DD201" s="115"/>
      <c r="DE201" s="88"/>
      <c r="DJ201" s="126"/>
      <c r="DK201" s="154"/>
      <c r="DL201" s="155"/>
      <c r="DM201" s="155"/>
      <c r="DN201" s="155"/>
      <c r="DO201" s="155"/>
      <c r="DP201" s="155"/>
      <c r="DQ201" s="155"/>
      <c r="DR201" s="155"/>
      <c r="DS201" s="156"/>
      <c r="DT201" s="157"/>
      <c r="DU201" s="157"/>
      <c r="DV201" s="158"/>
      <c r="DW201" s="158"/>
      <c r="DX201" s="158"/>
      <c r="DY201" s="158"/>
      <c r="DZ201" s="158"/>
      <c r="EA201" s="154"/>
      <c r="EB201" s="154"/>
      <c r="EC201" s="154"/>
      <c r="ED201" s="154"/>
      <c r="EE201" s="154"/>
      <c r="EF201" s="154"/>
      <c r="EG201" s="154"/>
      <c r="EH201" s="154"/>
      <c r="EI201" s="154"/>
      <c r="EJ201" s="154"/>
      <c r="EK201" s="159"/>
      <c r="EL201" s="159"/>
      <c r="EM201" s="161"/>
      <c r="EN201" s="161"/>
      <c r="EO201" s="163"/>
      <c r="EP201" s="164"/>
      <c r="EQ201" s="165"/>
      <c r="ER201" s="161"/>
      <c r="ES201" s="161"/>
      <c r="ET201" s="161"/>
      <c r="EU201" s="161"/>
      <c r="EV201" s="166"/>
      <c r="EW201" s="159"/>
      <c r="EX201" s="166"/>
      <c r="EY201" s="155"/>
      <c r="EZ201" s="167"/>
      <c r="FA201" s="159"/>
      <c r="FB201" s="168"/>
      <c r="FC201" s="155"/>
      <c r="FD201" s="159"/>
      <c r="FE201" s="161"/>
      <c r="FF201" s="162"/>
    </row>
    <row r="202" spans="27:162">
      <c r="AA202" s="113"/>
      <c r="AB202" s="113"/>
      <c r="AC202" s="113"/>
      <c r="AD202" s="115"/>
      <c r="AE202" s="88"/>
      <c r="AJ202" s="126"/>
      <c r="AK202" s="154"/>
      <c r="AL202" s="155"/>
      <c r="AM202" s="155"/>
      <c r="AN202" s="155"/>
      <c r="AO202" s="155"/>
      <c r="AP202" s="155"/>
      <c r="AQ202" s="155"/>
      <c r="AR202" s="155"/>
      <c r="AS202" s="156"/>
      <c r="AT202" s="157"/>
      <c r="AU202" s="157"/>
      <c r="AV202" s="158"/>
      <c r="AW202" s="158"/>
      <c r="AX202" s="158"/>
      <c r="AY202" s="158"/>
      <c r="AZ202" s="158"/>
      <c r="BA202" s="154"/>
      <c r="BB202" s="154"/>
      <c r="BC202" s="154"/>
      <c r="BD202" s="154"/>
      <c r="BE202" s="154"/>
      <c r="BF202" s="154"/>
      <c r="BG202" s="154"/>
      <c r="BH202" s="154"/>
      <c r="BI202" s="154"/>
      <c r="BJ202" s="154"/>
      <c r="BK202" s="159"/>
      <c r="BL202" s="159"/>
      <c r="BM202" s="161"/>
      <c r="BN202" s="161"/>
      <c r="BO202" s="163"/>
      <c r="BP202" s="164"/>
      <c r="BQ202" s="165"/>
      <c r="BR202" s="161"/>
      <c r="BS202" s="161"/>
      <c r="BT202" s="161"/>
      <c r="BU202" s="161"/>
      <c r="BV202" s="166"/>
      <c r="BW202" s="159"/>
      <c r="BX202" s="166"/>
      <c r="BY202" s="155"/>
      <c r="BZ202" s="167"/>
      <c r="CA202" s="159"/>
      <c r="CB202" s="168"/>
      <c r="CC202" s="155"/>
      <c r="CD202" s="159"/>
      <c r="CE202" s="161"/>
      <c r="CF202" s="162"/>
      <c r="DA202" s="113"/>
      <c r="DB202" s="113"/>
      <c r="DC202" s="113"/>
      <c r="DD202" s="115"/>
      <c r="DE202" s="88"/>
      <c r="DJ202" s="126"/>
      <c r="DK202" s="154"/>
      <c r="DL202" s="155"/>
      <c r="DM202" s="155"/>
      <c r="DN202" s="155"/>
      <c r="DO202" s="155"/>
      <c r="DP202" s="155"/>
      <c r="DQ202" s="155"/>
      <c r="DR202" s="155"/>
      <c r="DS202" s="156"/>
      <c r="DT202" s="157"/>
      <c r="DU202" s="157"/>
      <c r="DV202" s="158"/>
      <c r="DW202" s="158"/>
      <c r="DX202" s="158"/>
      <c r="DY202" s="158"/>
      <c r="DZ202" s="158"/>
      <c r="EA202" s="154"/>
      <c r="EB202" s="154"/>
      <c r="EC202" s="154"/>
      <c r="ED202" s="154"/>
      <c r="EE202" s="154"/>
      <c r="EF202" s="154"/>
      <c r="EG202" s="154"/>
      <c r="EH202" s="154"/>
      <c r="EI202" s="154"/>
      <c r="EJ202" s="154"/>
      <c r="EK202" s="159"/>
      <c r="EL202" s="159"/>
      <c r="EM202" s="161"/>
      <c r="EN202" s="161"/>
      <c r="EO202" s="163"/>
      <c r="EP202" s="164"/>
      <c r="EQ202" s="165"/>
      <c r="ER202" s="161"/>
      <c r="ES202" s="161"/>
      <c r="ET202" s="161"/>
      <c r="EU202" s="161"/>
      <c r="EV202" s="166"/>
      <c r="EW202" s="159"/>
      <c r="EX202" s="166"/>
      <c r="EY202" s="155"/>
      <c r="EZ202" s="167"/>
      <c r="FA202" s="159"/>
      <c r="FB202" s="168"/>
      <c r="FC202" s="155"/>
      <c r="FD202" s="159"/>
      <c r="FE202" s="161"/>
      <c r="FF202" s="162"/>
    </row>
    <row r="203" spans="27:162">
      <c r="AA203" s="113"/>
      <c r="AB203" s="113"/>
      <c r="AC203" s="113"/>
      <c r="AD203" s="115"/>
      <c r="AE203" s="88"/>
      <c r="AJ203" s="126"/>
      <c r="AK203" s="154"/>
      <c r="AL203" s="155"/>
      <c r="AM203" s="155"/>
      <c r="AN203" s="155"/>
      <c r="AO203" s="155"/>
      <c r="AP203" s="155"/>
      <c r="AQ203" s="155"/>
      <c r="AR203" s="155"/>
      <c r="AS203" s="156"/>
      <c r="AT203" s="157"/>
      <c r="AU203" s="157"/>
      <c r="AV203" s="158"/>
      <c r="AW203" s="158"/>
      <c r="AX203" s="158"/>
      <c r="AY203" s="158"/>
      <c r="AZ203" s="158"/>
      <c r="BA203" s="154"/>
      <c r="BB203" s="154"/>
      <c r="BC203" s="154"/>
      <c r="BD203" s="154"/>
      <c r="BE203" s="154"/>
      <c r="BF203" s="154"/>
      <c r="BG203" s="154"/>
      <c r="BH203" s="154"/>
      <c r="BI203" s="154"/>
      <c r="BJ203" s="154"/>
      <c r="BK203" s="159"/>
      <c r="BL203" s="159"/>
      <c r="BM203" s="161"/>
      <c r="BN203" s="161"/>
      <c r="BO203" s="163"/>
      <c r="BP203" s="164"/>
      <c r="BQ203" s="165"/>
      <c r="BR203" s="161"/>
      <c r="BS203" s="161"/>
      <c r="BT203" s="161"/>
      <c r="BU203" s="161"/>
      <c r="BV203" s="166"/>
      <c r="BW203" s="159"/>
      <c r="BX203" s="166"/>
      <c r="BY203" s="155"/>
      <c r="BZ203" s="167"/>
      <c r="CA203" s="159"/>
      <c r="CB203" s="168"/>
      <c r="CC203" s="155"/>
      <c r="CD203" s="159"/>
      <c r="CE203" s="161"/>
      <c r="CF203" s="162"/>
      <c r="DA203" s="113"/>
      <c r="DB203" s="113"/>
      <c r="DC203" s="113"/>
      <c r="DD203" s="115"/>
      <c r="DE203" s="88"/>
      <c r="DJ203" s="126"/>
      <c r="DK203" s="154"/>
      <c r="DL203" s="155"/>
      <c r="DM203" s="155"/>
      <c r="DN203" s="155"/>
      <c r="DO203" s="155"/>
      <c r="DP203" s="155"/>
      <c r="DQ203" s="155"/>
      <c r="DR203" s="155"/>
      <c r="DS203" s="156"/>
      <c r="DT203" s="157"/>
      <c r="DU203" s="157"/>
      <c r="DV203" s="158"/>
      <c r="DW203" s="158"/>
      <c r="DX203" s="158"/>
      <c r="DY203" s="158"/>
      <c r="DZ203" s="158"/>
      <c r="EA203" s="154"/>
      <c r="EB203" s="154"/>
      <c r="EC203" s="154"/>
      <c r="ED203" s="154"/>
      <c r="EE203" s="154"/>
      <c r="EF203" s="154"/>
      <c r="EG203" s="154"/>
      <c r="EH203" s="154"/>
      <c r="EI203" s="154"/>
      <c r="EJ203" s="154"/>
      <c r="EK203" s="159"/>
      <c r="EL203" s="159"/>
      <c r="EM203" s="161"/>
      <c r="EN203" s="161"/>
      <c r="EO203" s="163"/>
      <c r="EP203" s="164"/>
      <c r="EQ203" s="165"/>
      <c r="ER203" s="161"/>
      <c r="ES203" s="161"/>
      <c r="ET203" s="161"/>
      <c r="EU203" s="161"/>
      <c r="EV203" s="166"/>
      <c r="EW203" s="159"/>
      <c r="EX203" s="166"/>
      <c r="EY203" s="155"/>
      <c r="EZ203" s="167"/>
      <c r="FA203" s="159"/>
      <c r="FB203" s="168"/>
      <c r="FC203" s="155"/>
      <c r="FD203" s="159"/>
      <c r="FE203" s="161"/>
      <c r="FF203" s="162"/>
    </row>
    <row r="204" spans="27:162">
      <c r="AA204" s="113"/>
      <c r="AB204" s="113"/>
      <c r="AC204" s="113"/>
      <c r="AD204" s="115"/>
      <c r="AE204" s="88"/>
      <c r="AJ204" s="126"/>
      <c r="AK204" s="154"/>
      <c r="AL204" s="155"/>
      <c r="AM204" s="155"/>
      <c r="AN204" s="155"/>
      <c r="AO204" s="155"/>
      <c r="AP204" s="155"/>
      <c r="AQ204" s="155"/>
      <c r="AR204" s="155"/>
      <c r="AS204" s="156"/>
      <c r="AT204" s="157"/>
      <c r="AU204" s="157"/>
      <c r="AV204" s="158"/>
      <c r="AW204" s="158"/>
      <c r="AX204" s="158"/>
      <c r="AY204" s="158"/>
      <c r="AZ204" s="158"/>
      <c r="BA204" s="154"/>
      <c r="BB204" s="154"/>
      <c r="BC204" s="154"/>
      <c r="BD204" s="154"/>
      <c r="BE204" s="154"/>
      <c r="BF204" s="154"/>
      <c r="BG204" s="154"/>
      <c r="BH204" s="154"/>
      <c r="BI204" s="154"/>
      <c r="BJ204" s="154"/>
      <c r="BK204" s="159"/>
      <c r="BL204" s="159"/>
      <c r="BM204" s="161"/>
      <c r="BN204" s="161"/>
      <c r="BO204" s="163"/>
      <c r="BP204" s="164"/>
      <c r="BQ204" s="165"/>
      <c r="BR204" s="161"/>
      <c r="BS204" s="161"/>
      <c r="BT204" s="161"/>
      <c r="BU204" s="161"/>
      <c r="BV204" s="166"/>
      <c r="BW204" s="159"/>
      <c r="BX204" s="166"/>
      <c r="BY204" s="155"/>
      <c r="BZ204" s="167"/>
      <c r="CA204" s="159"/>
      <c r="CB204" s="168"/>
      <c r="CC204" s="155"/>
      <c r="CD204" s="159"/>
      <c r="CE204" s="161"/>
      <c r="CF204" s="162"/>
      <c r="DA204" s="113"/>
      <c r="DB204" s="113"/>
      <c r="DC204" s="113"/>
      <c r="DD204" s="115"/>
      <c r="DE204" s="88"/>
      <c r="DJ204" s="126"/>
      <c r="DK204" s="154"/>
      <c r="DL204" s="155"/>
      <c r="DM204" s="155"/>
      <c r="DN204" s="155"/>
      <c r="DO204" s="155"/>
      <c r="DP204" s="155"/>
      <c r="DQ204" s="155"/>
      <c r="DR204" s="155"/>
      <c r="DS204" s="156"/>
      <c r="DT204" s="157"/>
      <c r="DU204" s="157"/>
      <c r="DV204" s="158"/>
      <c r="DW204" s="158"/>
      <c r="DX204" s="158"/>
      <c r="DY204" s="158"/>
      <c r="DZ204" s="158"/>
      <c r="EA204" s="154"/>
      <c r="EB204" s="154"/>
      <c r="EC204" s="154"/>
      <c r="ED204" s="154"/>
      <c r="EE204" s="154"/>
      <c r="EF204" s="154"/>
      <c r="EG204" s="154"/>
      <c r="EH204" s="154"/>
      <c r="EI204" s="154"/>
      <c r="EJ204" s="154"/>
      <c r="EK204" s="159"/>
      <c r="EL204" s="159"/>
      <c r="EM204" s="161"/>
      <c r="EN204" s="161"/>
      <c r="EO204" s="163"/>
      <c r="EP204" s="164"/>
      <c r="EQ204" s="165"/>
      <c r="ER204" s="161"/>
      <c r="ES204" s="161"/>
      <c r="ET204" s="161"/>
      <c r="EU204" s="161"/>
      <c r="EV204" s="166"/>
      <c r="EW204" s="159"/>
      <c r="EX204" s="166"/>
      <c r="EY204" s="155"/>
      <c r="EZ204" s="167"/>
      <c r="FA204" s="159"/>
      <c r="FB204" s="168"/>
      <c r="FC204" s="155"/>
      <c r="FD204" s="159"/>
      <c r="FE204" s="161"/>
      <c r="FF204" s="162"/>
    </row>
    <row r="205" spans="27:162">
      <c r="AA205" s="113"/>
      <c r="AB205" s="113"/>
      <c r="AC205" s="113"/>
      <c r="AD205" s="115"/>
      <c r="AE205" s="88"/>
      <c r="AJ205" s="126"/>
      <c r="AK205" s="154"/>
      <c r="AL205" s="155"/>
      <c r="AM205" s="155"/>
      <c r="AN205" s="155"/>
      <c r="AO205" s="155"/>
      <c r="AP205" s="155"/>
      <c r="AQ205" s="155"/>
      <c r="AR205" s="155"/>
      <c r="AS205" s="156"/>
      <c r="AT205" s="157"/>
      <c r="AU205" s="157"/>
      <c r="AV205" s="158"/>
      <c r="AW205" s="158"/>
      <c r="AX205" s="158"/>
      <c r="AY205" s="158"/>
      <c r="AZ205" s="158"/>
      <c r="BA205" s="154"/>
      <c r="BB205" s="154"/>
      <c r="BC205" s="154"/>
      <c r="BD205" s="154"/>
      <c r="BE205" s="154"/>
      <c r="BF205" s="154"/>
      <c r="BG205" s="154"/>
      <c r="BH205" s="154"/>
      <c r="BI205" s="154"/>
      <c r="BJ205" s="154"/>
      <c r="BK205" s="159"/>
      <c r="BL205" s="159"/>
      <c r="BM205" s="161"/>
      <c r="BN205" s="161"/>
      <c r="BO205" s="163"/>
      <c r="BP205" s="164"/>
      <c r="BQ205" s="165"/>
      <c r="BR205" s="161"/>
      <c r="BS205" s="161"/>
      <c r="BT205" s="161"/>
      <c r="BU205" s="161"/>
      <c r="BV205" s="166"/>
      <c r="BW205" s="159"/>
      <c r="BX205" s="166"/>
      <c r="BY205" s="155"/>
      <c r="BZ205" s="167"/>
      <c r="CA205" s="159"/>
      <c r="CB205" s="168"/>
      <c r="CC205" s="155"/>
      <c r="CD205" s="159"/>
      <c r="CE205" s="161"/>
      <c r="CF205" s="162"/>
      <c r="DA205" s="113"/>
      <c r="DB205" s="113"/>
      <c r="DC205" s="113"/>
      <c r="DD205" s="115"/>
      <c r="DE205" s="88"/>
      <c r="DJ205" s="126"/>
      <c r="DK205" s="154"/>
      <c r="DL205" s="155"/>
      <c r="DM205" s="155"/>
      <c r="DN205" s="155"/>
      <c r="DO205" s="155"/>
      <c r="DP205" s="155"/>
      <c r="DQ205" s="155"/>
      <c r="DR205" s="155"/>
      <c r="DS205" s="156"/>
      <c r="DT205" s="157"/>
      <c r="DU205" s="157"/>
      <c r="DV205" s="158"/>
      <c r="DW205" s="158"/>
      <c r="DX205" s="158"/>
      <c r="DY205" s="158"/>
      <c r="DZ205" s="158"/>
      <c r="EA205" s="154"/>
      <c r="EB205" s="154"/>
      <c r="EC205" s="154"/>
      <c r="ED205" s="154"/>
      <c r="EE205" s="154"/>
      <c r="EF205" s="154"/>
      <c r="EG205" s="154"/>
      <c r="EH205" s="154"/>
      <c r="EI205" s="154"/>
      <c r="EJ205" s="154"/>
      <c r="EK205" s="159"/>
      <c r="EL205" s="159"/>
      <c r="EM205" s="161"/>
      <c r="EN205" s="161"/>
      <c r="EO205" s="163"/>
      <c r="EP205" s="164"/>
      <c r="EQ205" s="165"/>
      <c r="ER205" s="161"/>
      <c r="ES205" s="161"/>
      <c r="ET205" s="161"/>
      <c r="EU205" s="161"/>
      <c r="EV205" s="166"/>
      <c r="EW205" s="159"/>
      <c r="EX205" s="166"/>
      <c r="EY205" s="155"/>
      <c r="EZ205" s="167"/>
      <c r="FA205" s="159"/>
      <c r="FB205" s="168"/>
      <c r="FC205" s="155"/>
      <c r="FD205" s="159"/>
      <c r="FE205" s="161"/>
      <c r="FF205" s="162"/>
    </row>
    <row r="206" spans="27:162">
      <c r="AA206" s="113"/>
      <c r="AB206" s="113"/>
      <c r="AC206" s="113"/>
      <c r="AD206" s="115"/>
      <c r="AE206" s="88"/>
      <c r="AJ206" s="126"/>
      <c r="AK206" s="154"/>
      <c r="AL206" s="155"/>
      <c r="AM206" s="155"/>
      <c r="AN206" s="155"/>
      <c r="AO206" s="155"/>
      <c r="AP206" s="155"/>
      <c r="AQ206" s="155"/>
      <c r="AR206" s="155"/>
      <c r="AS206" s="156"/>
      <c r="AT206" s="157"/>
      <c r="AU206" s="157"/>
      <c r="AV206" s="158"/>
      <c r="AW206" s="158"/>
      <c r="AX206" s="158"/>
      <c r="AY206" s="158"/>
      <c r="AZ206" s="158"/>
      <c r="BA206" s="154"/>
      <c r="BB206" s="154"/>
      <c r="BC206" s="154"/>
      <c r="BD206" s="154"/>
      <c r="BE206" s="154"/>
      <c r="BF206" s="154"/>
      <c r="BG206" s="154"/>
      <c r="BH206" s="154"/>
      <c r="BI206" s="154"/>
      <c r="BJ206" s="154"/>
      <c r="BK206" s="159"/>
      <c r="BL206" s="159"/>
      <c r="BM206" s="161"/>
      <c r="BN206" s="161"/>
      <c r="BO206" s="163"/>
      <c r="BP206" s="164"/>
      <c r="BQ206" s="165"/>
      <c r="BR206" s="161"/>
      <c r="BS206" s="161"/>
      <c r="BT206" s="161"/>
      <c r="BU206" s="161"/>
      <c r="BV206" s="166"/>
      <c r="BW206" s="159"/>
      <c r="BX206" s="166"/>
      <c r="BY206" s="155"/>
      <c r="BZ206" s="167"/>
      <c r="CA206" s="159"/>
      <c r="CB206" s="168"/>
      <c r="CC206" s="155"/>
      <c r="CD206" s="159"/>
      <c r="CE206" s="161"/>
      <c r="CF206" s="162"/>
      <c r="DA206" s="113"/>
      <c r="DB206" s="113"/>
      <c r="DC206" s="113"/>
      <c r="DD206" s="115"/>
      <c r="DE206" s="88"/>
      <c r="DJ206" s="126"/>
      <c r="DK206" s="154"/>
      <c r="DL206" s="155"/>
      <c r="DM206" s="155"/>
      <c r="DN206" s="155"/>
      <c r="DO206" s="155"/>
      <c r="DP206" s="155"/>
      <c r="DQ206" s="155"/>
      <c r="DR206" s="155"/>
      <c r="DS206" s="156"/>
      <c r="DT206" s="157"/>
      <c r="DU206" s="157"/>
      <c r="DV206" s="158"/>
      <c r="DW206" s="158"/>
      <c r="DX206" s="158"/>
      <c r="DY206" s="158"/>
      <c r="DZ206" s="158"/>
      <c r="EA206" s="154"/>
      <c r="EB206" s="154"/>
      <c r="EC206" s="154"/>
      <c r="ED206" s="154"/>
      <c r="EE206" s="154"/>
      <c r="EF206" s="154"/>
      <c r="EG206" s="154"/>
      <c r="EH206" s="154"/>
      <c r="EI206" s="154"/>
      <c r="EJ206" s="154"/>
      <c r="EK206" s="159"/>
      <c r="EL206" s="159"/>
      <c r="EM206" s="161"/>
      <c r="EN206" s="161"/>
      <c r="EO206" s="163"/>
      <c r="EP206" s="164"/>
      <c r="EQ206" s="165"/>
      <c r="ER206" s="161"/>
      <c r="ES206" s="161"/>
      <c r="ET206" s="161"/>
      <c r="EU206" s="161"/>
      <c r="EV206" s="166"/>
      <c r="EW206" s="159"/>
      <c r="EX206" s="166"/>
      <c r="EY206" s="155"/>
      <c r="EZ206" s="167"/>
      <c r="FA206" s="159"/>
      <c r="FB206" s="168"/>
      <c r="FC206" s="155"/>
      <c r="FD206" s="159"/>
      <c r="FE206" s="161"/>
      <c r="FF206" s="162"/>
    </row>
    <row r="207" spans="27:162">
      <c r="AA207" s="113"/>
      <c r="AB207" s="113"/>
      <c r="AC207" s="113"/>
      <c r="AD207" s="115"/>
      <c r="AE207" s="88"/>
      <c r="AJ207" s="126"/>
      <c r="AK207" s="154"/>
      <c r="AL207" s="155"/>
      <c r="AM207" s="155"/>
      <c r="AN207" s="155"/>
      <c r="AO207" s="155"/>
      <c r="AP207" s="155"/>
      <c r="AQ207" s="155"/>
      <c r="AR207" s="155"/>
      <c r="AS207" s="156"/>
      <c r="AT207" s="157"/>
      <c r="AU207" s="157"/>
      <c r="AV207" s="158"/>
      <c r="AW207" s="158"/>
      <c r="AX207" s="158"/>
      <c r="AY207" s="158"/>
      <c r="AZ207" s="158"/>
      <c r="BA207" s="154"/>
      <c r="BB207" s="154"/>
      <c r="BC207" s="154"/>
      <c r="BD207" s="154"/>
      <c r="BE207" s="154"/>
      <c r="BF207" s="154"/>
      <c r="BG207" s="154"/>
      <c r="BH207" s="154"/>
      <c r="BI207" s="154"/>
      <c r="BJ207" s="154"/>
      <c r="BK207" s="159"/>
      <c r="BL207" s="159"/>
      <c r="BM207" s="161"/>
      <c r="BN207" s="161"/>
      <c r="BO207" s="163"/>
      <c r="BP207" s="164"/>
      <c r="BQ207" s="165"/>
      <c r="BR207" s="161"/>
      <c r="BS207" s="161"/>
      <c r="BT207" s="161"/>
      <c r="BU207" s="161"/>
      <c r="BV207" s="166"/>
      <c r="BW207" s="159"/>
      <c r="BX207" s="166"/>
      <c r="BY207" s="155"/>
      <c r="BZ207" s="167"/>
      <c r="CA207" s="159"/>
      <c r="CB207" s="168"/>
      <c r="CC207" s="155"/>
      <c r="CD207" s="159"/>
      <c r="CE207" s="161"/>
      <c r="CF207" s="162"/>
      <c r="DA207" s="113"/>
      <c r="DB207" s="113"/>
      <c r="DC207" s="113"/>
      <c r="DD207" s="115"/>
      <c r="DE207" s="88"/>
      <c r="DJ207" s="126"/>
      <c r="DK207" s="154"/>
      <c r="DL207" s="155"/>
      <c r="DM207" s="155"/>
      <c r="DN207" s="155"/>
      <c r="DO207" s="155"/>
      <c r="DP207" s="155"/>
      <c r="DQ207" s="155"/>
      <c r="DR207" s="155"/>
      <c r="DS207" s="156"/>
      <c r="DT207" s="157"/>
      <c r="DU207" s="157"/>
      <c r="DV207" s="158"/>
      <c r="DW207" s="158"/>
      <c r="DX207" s="158"/>
      <c r="DY207" s="158"/>
      <c r="DZ207" s="158"/>
      <c r="EA207" s="154"/>
      <c r="EB207" s="154"/>
      <c r="EC207" s="154"/>
      <c r="ED207" s="154"/>
      <c r="EE207" s="154"/>
      <c r="EF207" s="154"/>
      <c r="EG207" s="154"/>
      <c r="EH207" s="154"/>
      <c r="EI207" s="154"/>
      <c r="EJ207" s="154"/>
      <c r="EK207" s="159"/>
      <c r="EL207" s="159"/>
      <c r="EM207" s="161"/>
      <c r="EN207" s="161"/>
      <c r="EO207" s="163"/>
      <c r="EP207" s="164"/>
      <c r="EQ207" s="165"/>
      <c r="ER207" s="161"/>
      <c r="ES207" s="161"/>
      <c r="ET207" s="161"/>
      <c r="EU207" s="161"/>
      <c r="EV207" s="166"/>
      <c r="EW207" s="159"/>
      <c r="EX207" s="166"/>
      <c r="EY207" s="155"/>
      <c r="EZ207" s="167"/>
      <c r="FA207" s="159"/>
      <c r="FB207" s="168"/>
      <c r="FC207" s="155"/>
      <c r="FD207" s="159"/>
      <c r="FE207" s="161"/>
      <c r="FF207" s="162"/>
    </row>
    <row r="208" spans="27:162">
      <c r="AA208" s="113"/>
      <c r="AB208" s="113"/>
      <c r="AC208" s="113"/>
      <c r="AD208" s="115"/>
      <c r="AE208" s="88"/>
      <c r="AJ208" s="126"/>
      <c r="AK208" s="154"/>
      <c r="AL208" s="155"/>
      <c r="AM208" s="155"/>
      <c r="AN208" s="155"/>
      <c r="AO208" s="155"/>
      <c r="AP208" s="155"/>
      <c r="AQ208" s="155"/>
      <c r="AR208" s="155"/>
      <c r="AS208" s="156"/>
      <c r="AT208" s="157"/>
      <c r="AU208" s="157"/>
      <c r="AV208" s="158"/>
      <c r="AW208" s="158"/>
      <c r="AX208" s="158"/>
      <c r="AY208" s="158"/>
      <c r="AZ208" s="158"/>
      <c r="BA208" s="154"/>
      <c r="BB208" s="154"/>
      <c r="BC208" s="154"/>
      <c r="BD208" s="154"/>
      <c r="BE208" s="154"/>
      <c r="BF208" s="154"/>
      <c r="BG208" s="154"/>
      <c r="BH208" s="154"/>
      <c r="BI208" s="154"/>
      <c r="BJ208" s="154"/>
      <c r="BK208" s="159"/>
      <c r="BL208" s="159"/>
      <c r="BM208" s="161"/>
      <c r="BN208" s="161"/>
      <c r="BO208" s="163"/>
      <c r="BP208" s="164"/>
      <c r="BQ208" s="165"/>
      <c r="BR208" s="161"/>
      <c r="BS208" s="161"/>
      <c r="BT208" s="161"/>
      <c r="BU208" s="161"/>
      <c r="BV208" s="166"/>
      <c r="BW208" s="159"/>
      <c r="BX208" s="166"/>
      <c r="BY208" s="155"/>
      <c r="BZ208" s="167"/>
      <c r="CA208" s="159"/>
      <c r="CB208" s="168"/>
      <c r="CC208" s="155"/>
      <c r="CD208" s="159"/>
      <c r="CE208" s="161"/>
      <c r="CF208" s="162"/>
      <c r="DA208" s="113"/>
      <c r="DB208" s="113"/>
      <c r="DC208" s="113"/>
      <c r="DD208" s="115"/>
      <c r="DE208" s="88"/>
      <c r="DJ208" s="126"/>
      <c r="DK208" s="154"/>
      <c r="DL208" s="155"/>
      <c r="DM208" s="155"/>
      <c r="DN208" s="155"/>
      <c r="DO208" s="155"/>
      <c r="DP208" s="155"/>
      <c r="DQ208" s="155"/>
      <c r="DR208" s="155"/>
      <c r="DS208" s="156"/>
      <c r="DT208" s="157"/>
      <c r="DU208" s="157"/>
      <c r="DV208" s="158"/>
      <c r="DW208" s="158"/>
      <c r="DX208" s="158"/>
      <c r="DY208" s="158"/>
      <c r="DZ208" s="158"/>
      <c r="EA208" s="154"/>
      <c r="EB208" s="154"/>
      <c r="EC208" s="154"/>
      <c r="ED208" s="154"/>
      <c r="EE208" s="154"/>
      <c r="EF208" s="154"/>
      <c r="EG208" s="154"/>
      <c r="EH208" s="154"/>
      <c r="EI208" s="154"/>
      <c r="EJ208" s="154"/>
      <c r="EK208" s="159"/>
      <c r="EL208" s="159"/>
      <c r="EM208" s="161"/>
      <c r="EN208" s="161"/>
      <c r="EO208" s="163"/>
      <c r="EP208" s="164"/>
      <c r="EQ208" s="165"/>
      <c r="ER208" s="161"/>
      <c r="ES208" s="161"/>
      <c r="ET208" s="161"/>
      <c r="EU208" s="161"/>
      <c r="EV208" s="166"/>
      <c r="EW208" s="159"/>
      <c r="EX208" s="166"/>
      <c r="EY208" s="155"/>
      <c r="EZ208" s="167"/>
      <c r="FA208" s="159"/>
      <c r="FB208" s="168"/>
      <c r="FC208" s="155"/>
      <c r="FD208" s="159"/>
      <c r="FE208" s="161"/>
      <c r="FF208" s="162"/>
    </row>
    <row r="209" spans="27:162">
      <c r="AA209" s="113"/>
      <c r="AB209" s="113"/>
      <c r="AC209" s="113"/>
      <c r="AD209" s="115"/>
      <c r="AE209" s="88"/>
      <c r="AJ209" s="126"/>
      <c r="AK209" s="154"/>
      <c r="AL209" s="155"/>
      <c r="AM209" s="155"/>
      <c r="AN209" s="155"/>
      <c r="AO209" s="155"/>
      <c r="AP209" s="155"/>
      <c r="AQ209" s="155"/>
      <c r="AR209" s="155"/>
      <c r="AS209" s="156"/>
      <c r="AT209" s="157"/>
      <c r="AU209" s="157"/>
      <c r="AV209" s="158"/>
      <c r="AW209" s="158"/>
      <c r="AX209" s="158"/>
      <c r="AY209" s="158"/>
      <c r="AZ209" s="158"/>
      <c r="BA209" s="154"/>
      <c r="BB209" s="154"/>
      <c r="BC209" s="154"/>
      <c r="BD209" s="154"/>
      <c r="BE209" s="154"/>
      <c r="BF209" s="154"/>
      <c r="BG209" s="154"/>
      <c r="BH209" s="154"/>
      <c r="BI209" s="154"/>
      <c r="BJ209" s="154"/>
      <c r="BK209" s="159"/>
      <c r="BL209" s="159"/>
      <c r="BM209" s="161"/>
      <c r="BN209" s="161"/>
      <c r="BO209" s="163"/>
      <c r="BP209" s="164"/>
      <c r="BQ209" s="165"/>
      <c r="BR209" s="161"/>
      <c r="BS209" s="161"/>
      <c r="BT209" s="161"/>
      <c r="BU209" s="161"/>
      <c r="BV209" s="166"/>
      <c r="BW209" s="159"/>
      <c r="BX209" s="166"/>
      <c r="BY209" s="155"/>
      <c r="BZ209" s="167"/>
      <c r="CA209" s="159"/>
      <c r="CB209" s="168"/>
      <c r="CC209" s="155"/>
      <c r="CD209" s="159"/>
      <c r="CE209" s="161"/>
      <c r="CF209" s="162"/>
      <c r="DA209" s="113"/>
      <c r="DB209" s="113"/>
      <c r="DC209" s="113"/>
      <c r="DD209" s="115"/>
      <c r="DE209" s="88"/>
      <c r="DJ209" s="126"/>
      <c r="DK209" s="154"/>
      <c r="DL209" s="155"/>
      <c r="DM209" s="155"/>
      <c r="DN209" s="155"/>
      <c r="DO209" s="155"/>
      <c r="DP209" s="155"/>
      <c r="DQ209" s="155"/>
      <c r="DR209" s="155"/>
      <c r="DS209" s="156"/>
      <c r="DT209" s="157"/>
      <c r="DU209" s="157"/>
      <c r="DV209" s="158"/>
      <c r="DW209" s="158"/>
      <c r="DX209" s="158"/>
      <c r="DY209" s="158"/>
      <c r="DZ209" s="158"/>
      <c r="EA209" s="154"/>
      <c r="EB209" s="154"/>
      <c r="EC209" s="154"/>
      <c r="ED209" s="154"/>
      <c r="EE209" s="154"/>
      <c r="EF209" s="154"/>
      <c r="EG209" s="154"/>
      <c r="EH209" s="154"/>
      <c r="EI209" s="154"/>
      <c r="EJ209" s="154"/>
      <c r="EK209" s="159"/>
      <c r="EL209" s="159"/>
      <c r="EM209" s="161"/>
      <c r="EN209" s="161"/>
      <c r="EO209" s="163"/>
      <c r="EP209" s="164"/>
      <c r="EQ209" s="165"/>
      <c r="ER209" s="161"/>
      <c r="ES209" s="161"/>
      <c r="ET209" s="161"/>
      <c r="EU209" s="161"/>
      <c r="EV209" s="166"/>
      <c r="EW209" s="159"/>
      <c r="EX209" s="166"/>
      <c r="EY209" s="155"/>
      <c r="EZ209" s="167"/>
      <c r="FA209" s="159"/>
      <c r="FB209" s="168"/>
      <c r="FC209" s="155"/>
      <c r="FD209" s="159"/>
      <c r="FE209" s="161"/>
      <c r="FF209" s="162"/>
    </row>
    <row r="210" spans="27:162">
      <c r="AA210" s="113"/>
      <c r="AB210" s="113"/>
      <c r="AC210" s="113"/>
      <c r="AD210" s="115"/>
      <c r="AE210" s="88"/>
      <c r="AJ210" s="126"/>
      <c r="AK210" s="154"/>
      <c r="AL210" s="155"/>
      <c r="AM210" s="155"/>
      <c r="AN210" s="155"/>
      <c r="AO210" s="155"/>
      <c r="AP210" s="155"/>
      <c r="AQ210" s="155"/>
      <c r="AR210" s="155"/>
      <c r="AS210" s="156"/>
      <c r="AT210" s="157"/>
      <c r="AU210" s="157"/>
      <c r="AV210" s="158"/>
      <c r="AW210" s="158"/>
      <c r="AX210" s="158"/>
      <c r="AY210" s="158"/>
      <c r="AZ210" s="158"/>
      <c r="BA210" s="154"/>
      <c r="BB210" s="154"/>
      <c r="BC210" s="154"/>
      <c r="BD210" s="154"/>
      <c r="BE210" s="154"/>
      <c r="BF210" s="154"/>
      <c r="BG210" s="154"/>
      <c r="BH210" s="154"/>
      <c r="BI210" s="154"/>
      <c r="BJ210" s="154"/>
      <c r="BK210" s="159"/>
      <c r="BL210" s="159"/>
      <c r="BM210" s="161"/>
      <c r="BN210" s="161"/>
      <c r="BO210" s="163"/>
      <c r="BP210" s="164"/>
      <c r="BQ210" s="165"/>
      <c r="BR210" s="161"/>
      <c r="BS210" s="161"/>
      <c r="BT210" s="161"/>
      <c r="BU210" s="161"/>
      <c r="BV210" s="166"/>
      <c r="BW210" s="159"/>
      <c r="BX210" s="166"/>
      <c r="BY210" s="155"/>
      <c r="BZ210" s="167"/>
      <c r="CA210" s="159"/>
      <c r="CB210" s="168"/>
      <c r="CC210" s="155"/>
      <c r="CD210" s="159"/>
      <c r="CE210" s="161"/>
      <c r="CF210" s="162"/>
      <c r="DA210" s="113"/>
      <c r="DB210" s="113"/>
      <c r="DC210" s="113"/>
      <c r="DD210" s="115"/>
      <c r="DE210" s="88"/>
      <c r="DJ210" s="126"/>
      <c r="DK210" s="154"/>
      <c r="DL210" s="155"/>
      <c r="DM210" s="155"/>
      <c r="DN210" s="155"/>
      <c r="DO210" s="155"/>
      <c r="DP210" s="155"/>
      <c r="DQ210" s="155"/>
      <c r="DR210" s="155"/>
      <c r="DS210" s="156"/>
      <c r="DT210" s="157"/>
      <c r="DU210" s="157"/>
      <c r="DV210" s="158"/>
      <c r="DW210" s="158"/>
      <c r="DX210" s="158"/>
      <c r="DY210" s="158"/>
      <c r="DZ210" s="158"/>
      <c r="EA210" s="154"/>
      <c r="EB210" s="154"/>
      <c r="EC210" s="154"/>
      <c r="ED210" s="154"/>
      <c r="EE210" s="154"/>
      <c r="EF210" s="154"/>
      <c r="EG210" s="154"/>
      <c r="EH210" s="154"/>
      <c r="EI210" s="154"/>
      <c r="EJ210" s="154"/>
      <c r="EK210" s="159"/>
      <c r="EL210" s="159"/>
      <c r="EM210" s="161"/>
      <c r="EN210" s="161"/>
      <c r="EO210" s="163"/>
      <c r="EP210" s="164"/>
      <c r="EQ210" s="165"/>
      <c r="ER210" s="161"/>
      <c r="ES210" s="161"/>
      <c r="ET210" s="161"/>
      <c r="EU210" s="161"/>
      <c r="EV210" s="166"/>
      <c r="EW210" s="159"/>
      <c r="EX210" s="166"/>
      <c r="EY210" s="155"/>
      <c r="EZ210" s="167"/>
      <c r="FA210" s="159"/>
      <c r="FB210" s="168"/>
      <c r="FC210" s="155"/>
      <c r="FD210" s="159"/>
      <c r="FE210" s="161"/>
      <c r="FF210" s="162"/>
    </row>
    <row r="211" spans="27:162">
      <c r="AA211" s="113"/>
      <c r="AB211" s="113"/>
      <c r="AC211" s="113"/>
      <c r="AD211" s="115"/>
      <c r="AE211" s="88"/>
      <c r="AJ211" s="126"/>
      <c r="AK211" s="154"/>
      <c r="AL211" s="155"/>
      <c r="AM211" s="155"/>
      <c r="AN211" s="155"/>
      <c r="AO211" s="155"/>
      <c r="AP211" s="155"/>
      <c r="AQ211" s="155"/>
      <c r="AR211" s="155"/>
      <c r="AS211" s="156"/>
      <c r="AT211" s="157"/>
      <c r="AU211" s="157"/>
      <c r="AV211" s="158"/>
      <c r="AW211" s="158"/>
      <c r="AX211" s="158"/>
      <c r="AY211" s="158"/>
      <c r="AZ211" s="158"/>
      <c r="BA211" s="154"/>
      <c r="BB211" s="154"/>
      <c r="BC211" s="154"/>
      <c r="BD211" s="154"/>
      <c r="BE211" s="154"/>
      <c r="BF211" s="154"/>
      <c r="BG211" s="154"/>
      <c r="BH211" s="154"/>
      <c r="BI211" s="154"/>
      <c r="BJ211" s="154"/>
      <c r="BK211" s="159"/>
      <c r="BL211" s="159"/>
      <c r="BM211" s="161"/>
      <c r="BN211" s="161"/>
      <c r="BO211" s="163"/>
      <c r="BP211" s="164"/>
      <c r="BQ211" s="165"/>
      <c r="BR211" s="161"/>
      <c r="BS211" s="161"/>
      <c r="BT211" s="161"/>
      <c r="BU211" s="161"/>
      <c r="BV211" s="166"/>
      <c r="BW211" s="159"/>
      <c r="BX211" s="166"/>
      <c r="BY211" s="155"/>
      <c r="BZ211" s="167"/>
      <c r="CA211" s="159"/>
      <c r="CB211" s="168"/>
      <c r="CC211" s="155"/>
      <c r="CD211" s="159"/>
      <c r="CE211" s="161"/>
      <c r="CF211" s="162"/>
      <c r="DA211" s="113"/>
      <c r="DB211" s="113"/>
      <c r="DC211" s="113"/>
      <c r="DD211" s="115"/>
      <c r="DE211" s="88"/>
      <c r="DJ211" s="126"/>
      <c r="DK211" s="154"/>
      <c r="DL211" s="155"/>
      <c r="DM211" s="155"/>
      <c r="DN211" s="155"/>
      <c r="DO211" s="155"/>
      <c r="DP211" s="155"/>
      <c r="DQ211" s="155"/>
      <c r="DR211" s="155"/>
      <c r="DS211" s="156"/>
      <c r="DT211" s="157"/>
      <c r="DU211" s="157"/>
      <c r="DV211" s="158"/>
      <c r="DW211" s="158"/>
      <c r="DX211" s="158"/>
      <c r="DY211" s="158"/>
      <c r="DZ211" s="158"/>
      <c r="EA211" s="154"/>
      <c r="EB211" s="154"/>
      <c r="EC211" s="154"/>
      <c r="ED211" s="154"/>
      <c r="EE211" s="154"/>
      <c r="EF211" s="154"/>
      <c r="EG211" s="154"/>
      <c r="EH211" s="154"/>
      <c r="EI211" s="154"/>
      <c r="EJ211" s="154"/>
      <c r="EK211" s="159"/>
      <c r="EL211" s="159"/>
      <c r="EM211" s="161"/>
      <c r="EN211" s="161"/>
      <c r="EO211" s="163"/>
      <c r="EP211" s="164"/>
      <c r="EQ211" s="165"/>
      <c r="ER211" s="161"/>
      <c r="ES211" s="161"/>
      <c r="ET211" s="161"/>
      <c r="EU211" s="161"/>
      <c r="EV211" s="166"/>
      <c r="EW211" s="159"/>
      <c r="EX211" s="166"/>
      <c r="EY211" s="155"/>
      <c r="EZ211" s="167"/>
      <c r="FA211" s="159"/>
      <c r="FB211" s="168"/>
      <c r="FC211" s="155"/>
      <c r="FD211" s="159"/>
      <c r="FE211" s="161"/>
      <c r="FF211" s="162"/>
    </row>
    <row r="212" spans="27:162">
      <c r="AA212" s="113"/>
      <c r="AB212" s="113"/>
      <c r="AC212" s="113"/>
      <c r="AD212" s="115"/>
      <c r="AE212" s="88"/>
      <c r="AJ212" s="126"/>
      <c r="AK212" s="154"/>
      <c r="AL212" s="155"/>
      <c r="AM212" s="155"/>
      <c r="AN212" s="155"/>
      <c r="AO212" s="155"/>
      <c r="AP212" s="155"/>
      <c r="AQ212" s="155"/>
      <c r="AR212" s="155"/>
      <c r="AS212" s="156"/>
      <c r="AT212" s="157"/>
      <c r="AU212" s="157"/>
      <c r="AV212" s="158"/>
      <c r="AW212" s="158"/>
      <c r="AX212" s="158"/>
      <c r="AY212" s="158"/>
      <c r="AZ212" s="158"/>
      <c r="BA212" s="154"/>
      <c r="BB212" s="154"/>
      <c r="BC212" s="154"/>
      <c r="BD212" s="154"/>
      <c r="BE212" s="154"/>
      <c r="BF212" s="154"/>
      <c r="BG212" s="154"/>
      <c r="BH212" s="154"/>
      <c r="BI212" s="154"/>
      <c r="BJ212" s="154"/>
      <c r="BK212" s="159"/>
      <c r="BL212" s="159"/>
      <c r="BM212" s="161"/>
      <c r="BN212" s="161"/>
      <c r="BO212" s="163"/>
      <c r="BP212" s="164"/>
      <c r="BQ212" s="165"/>
      <c r="BR212" s="161"/>
      <c r="BS212" s="161"/>
      <c r="BT212" s="161"/>
      <c r="BU212" s="161"/>
      <c r="BV212" s="166"/>
      <c r="BW212" s="159"/>
      <c r="BX212" s="166"/>
      <c r="BY212" s="155"/>
      <c r="BZ212" s="167"/>
      <c r="CA212" s="159"/>
      <c r="CB212" s="168"/>
      <c r="CC212" s="155"/>
      <c r="CD212" s="159"/>
      <c r="CE212" s="161"/>
      <c r="CF212" s="162"/>
      <c r="DA212" s="113"/>
      <c r="DB212" s="113"/>
      <c r="DC212" s="113"/>
      <c r="DD212" s="115"/>
      <c r="DE212" s="88"/>
      <c r="DJ212" s="126"/>
      <c r="DK212" s="154"/>
      <c r="DL212" s="155"/>
      <c r="DM212" s="155"/>
      <c r="DN212" s="155"/>
      <c r="DO212" s="155"/>
      <c r="DP212" s="155"/>
      <c r="DQ212" s="155"/>
      <c r="DR212" s="155"/>
      <c r="DS212" s="156"/>
      <c r="DT212" s="157"/>
      <c r="DU212" s="157"/>
      <c r="DV212" s="158"/>
      <c r="DW212" s="158"/>
      <c r="DX212" s="158"/>
      <c r="DY212" s="158"/>
      <c r="DZ212" s="158"/>
      <c r="EA212" s="154"/>
      <c r="EB212" s="154"/>
      <c r="EC212" s="154"/>
      <c r="ED212" s="154"/>
      <c r="EE212" s="154"/>
      <c r="EF212" s="154"/>
      <c r="EG212" s="154"/>
      <c r="EH212" s="154"/>
      <c r="EI212" s="154"/>
      <c r="EJ212" s="154"/>
      <c r="EK212" s="159"/>
      <c r="EL212" s="159"/>
      <c r="EM212" s="161"/>
      <c r="EN212" s="161"/>
      <c r="EO212" s="163"/>
      <c r="EP212" s="164"/>
      <c r="EQ212" s="165"/>
      <c r="ER212" s="161"/>
      <c r="ES212" s="161"/>
      <c r="ET212" s="161"/>
      <c r="EU212" s="161"/>
      <c r="EV212" s="166"/>
      <c r="EW212" s="159"/>
      <c r="EX212" s="166"/>
      <c r="EY212" s="155"/>
      <c r="EZ212" s="167"/>
      <c r="FA212" s="159"/>
      <c r="FB212" s="168"/>
      <c r="FC212" s="155"/>
      <c r="FD212" s="159"/>
      <c r="FE212" s="161"/>
      <c r="FF212" s="162"/>
    </row>
    <row r="213" spans="27:162">
      <c r="AA213" s="113"/>
      <c r="AB213" s="113"/>
      <c r="AC213" s="113"/>
      <c r="AD213" s="115"/>
      <c r="AE213" s="88"/>
      <c r="AJ213" s="126"/>
      <c r="AK213" s="154"/>
      <c r="AL213" s="155"/>
      <c r="AM213" s="155"/>
      <c r="AN213" s="155"/>
      <c r="AO213" s="155"/>
      <c r="AP213" s="155"/>
      <c r="AQ213" s="155"/>
      <c r="AR213" s="155"/>
      <c r="AS213" s="156"/>
      <c r="AT213" s="157"/>
      <c r="AU213" s="157"/>
      <c r="AV213" s="158"/>
      <c r="AW213" s="158"/>
      <c r="AX213" s="158"/>
      <c r="AY213" s="158"/>
      <c r="AZ213" s="158"/>
      <c r="BA213" s="154"/>
      <c r="BB213" s="154"/>
      <c r="BC213" s="154"/>
      <c r="BD213" s="154"/>
      <c r="BE213" s="154"/>
      <c r="BF213" s="154"/>
      <c r="BG213" s="154"/>
      <c r="BH213" s="154"/>
      <c r="BI213" s="154"/>
      <c r="BJ213" s="154"/>
      <c r="BK213" s="159"/>
      <c r="BL213" s="159"/>
      <c r="BM213" s="161"/>
      <c r="BN213" s="161"/>
      <c r="BO213" s="163"/>
      <c r="BP213" s="164"/>
      <c r="BQ213" s="165"/>
      <c r="BR213" s="161"/>
      <c r="BS213" s="161"/>
      <c r="BT213" s="161"/>
      <c r="BU213" s="161"/>
      <c r="BV213" s="166"/>
      <c r="BW213" s="159"/>
      <c r="BX213" s="166"/>
      <c r="BY213" s="155"/>
      <c r="BZ213" s="167"/>
      <c r="CA213" s="159"/>
      <c r="CB213" s="168"/>
      <c r="CC213" s="155"/>
      <c r="CD213" s="159"/>
      <c r="CE213" s="161"/>
      <c r="CF213" s="162"/>
      <c r="DA213" s="113"/>
      <c r="DB213" s="113"/>
      <c r="DC213" s="113"/>
      <c r="DD213" s="115"/>
      <c r="DE213" s="88"/>
      <c r="DJ213" s="126"/>
      <c r="DK213" s="154"/>
      <c r="DL213" s="155"/>
      <c r="DM213" s="155"/>
      <c r="DN213" s="155"/>
      <c r="DO213" s="155"/>
      <c r="DP213" s="155"/>
      <c r="DQ213" s="155"/>
      <c r="DR213" s="155"/>
      <c r="DS213" s="156"/>
      <c r="DT213" s="157"/>
      <c r="DU213" s="157"/>
      <c r="DV213" s="158"/>
      <c r="DW213" s="158"/>
      <c r="DX213" s="158"/>
      <c r="DY213" s="158"/>
      <c r="DZ213" s="158"/>
      <c r="EA213" s="154"/>
      <c r="EB213" s="154"/>
      <c r="EC213" s="154"/>
      <c r="ED213" s="154"/>
      <c r="EE213" s="154"/>
      <c r="EF213" s="154"/>
      <c r="EG213" s="154"/>
      <c r="EH213" s="154"/>
      <c r="EI213" s="154"/>
      <c r="EJ213" s="154"/>
      <c r="EK213" s="159"/>
      <c r="EL213" s="159"/>
      <c r="EM213" s="161"/>
      <c r="EN213" s="161"/>
      <c r="EO213" s="163"/>
      <c r="EP213" s="164"/>
      <c r="EQ213" s="165"/>
      <c r="ER213" s="161"/>
      <c r="ES213" s="161"/>
      <c r="ET213" s="161"/>
      <c r="EU213" s="161"/>
      <c r="EV213" s="166"/>
      <c r="EW213" s="159"/>
      <c r="EX213" s="166"/>
      <c r="EY213" s="155"/>
      <c r="EZ213" s="167"/>
      <c r="FA213" s="159"/>
      <c r="FB213" s="168"/>
      <c r="FC213" s="155"/>
      <c r="FD213" s="159"/>
      <c r="FE213" s="161"/>
      <c r="FF213" s="162"/>
    </row>
    <row r="214" spans="27:162">
      <c r="AA214" s="113"/>
      <c r="AB214" s="113"/>
      <c r="AC214" s="113"/>
      <c r="AD214" s="115"/>
      <c r="AE214" s="88"/>
      <c r="AJ214" s="126"/>
      <c r="AK214" s="154"/>
      <c r="AL214" s="155"/>
      <c r="AM214" s="155"/>
      <c r="AN214" s="155"/>
      <c r="AO214" s="155"/>
      <c r="AP214" s="155"/>
      <c r="AQ214" s="155"/>
      <c r="AR214" s="155"/>
      <c r="AS214" s="156"/>
      <c r="AT214" s="157"/>
      <c r="AU214" s="157"/>
      <c r="AV214" s="158"/>
      <c r="AW214" s="158"/>
      <c r="AX214" s="158"/>
      <c r="AY214" s="158"/>
      <c r="AZ214" s="158"/>
      <c r="BA214" s="154"/>
      <c r="BB214" s="154"/>
      <c r="BC214" s="154"/>
      <c r="BD214" s="154"/>
      <c r="BE214" s="154"/>
      <c r="BF214" s="154"/>
      <c r="BG214" s="154"/>
      <c r="BH214" s="154"/>
      <c r="BI214" s="154"/>
      <c r="BJ214" s="154"/>
      <c r="BK214" s="159"/>
      <c r="BL214" s="159"/>
      <c r="BM214" s="161"/>
      <c r="BN214" s="161"/>
      <c r="BO214" s="163"/>
      <c r="BP214" s="164"/>
      <c r="BQ214" s="165"/>
      <c r="BR214" s="161"/>
      <c r="BS214" s="161"/>
      <c r="BT214" s="161"/>
      <c r="BU214" s="161"/>
      <c r="BV214" s="166"/>
      <c r="BW214" s="159"/>
      <c r="BX214" s="166"/>
      <c r="BY214" s="155"/>
      <c r="BZ214" s="167"/>
      <c r="CA214" s="159"/>
      <c r="CB214" s="168"/>
      <c r="CC214" s="155"/>
      <c r="CD214" s="159"/>
      <c r="CE214" s="161"/>
      <c r="CF214" s="162"/>
      <c r="DA214" s="113"/>
      <c r="DB214" s="113"/>
      <c r="DC214" s="113"/>
      <c r="DD214" s="115"/>
      <c r="DE214" s="88"/>
      <c r="DJ214" s="126"/>
      <c r="DK214" s="154"/>
      <c r="DL214" s="155"/>
      <c r="DM214" s="155"/>
      <c r="DN214" s="155"/>
      <c r="DO214" s="155"/>
      <c r="DP214" s="155"/>
      <c r="DQ214" s="155"/>
      <c r="DR214" s="155"/>
      <c r="DS214" s="156"/>
      <c r="DT214" s="157"/>
      <c r="DU214" s="157"/>
      <c r="DV214" s="158"/>
      <c r="DW214" s="158"/>
      <c r="DX214" s="158"/>
      <c r="DY214" s="158"/>
      <c r="DZ214" s="158"/>
      <c r="EA214" s="154"/>
      <c r="EB214" s="154"/>
      <c r="EC214" s="154"/>
      <c r="ED214" s="154"/>
      <c r="EE214" s="154"/>
      <c r="EF214" s="154"/>
      <c r="EG214" s="154"/>
      <c r="EH214" s="154"/>
      <c r="EI214" s="154"/>
      <c r="EJ214" s="154"/>
      <c r="EK214" s="159"/>
      <c r="EL214" s="159"/>
      <c r="EM214" s="161"/>
      <c r="EN214" s="161"/>
      <c r="EO214" s="163"/>
      <c r="EP214" s="164"/>
      <c r="EQ214" s="165"/>
      <c r="ER214" s="161"/>
      <c r="ES214" s="161"/>
      <c r="ET214" s="161"/>
      <c r="EU214" s="161"/>
      <c r="EV214" s="166"/>
      <c r="EW214" s="159"/>
      <c r="EX214" s="166"/>
      <c r="EY214" s="155"/>
      <c r="EZ214" s="167"/>
      <c r="FA214" s="159"/>
      <c r="FB214" s="168"/>
      <c r="FC214" s="155"/>
      <c r="FD214" s="159"/>
      <c r="FE214" s="161"/>
      <c r="FF214" s="162"/>
    </row>
    <row r="215" spans="27:162">
      <c r="AA215" s="113"/>
      <c r="AB215" s="113"/>
      <c r="AC215" s="113"/>
      <c r="AD215" s="115"/>
      <c r="AE215" s="88"/>
      <c r="AJ215" s="126"/>
      <c r="AK215" s="154"/>
      <c r="AL215" s="155"/>
      <c r="AM215" s="155"/>
      <c r="AN215" s="155"/>
      <c r="AO215" s="155"/>
      <c r="AP215" s="155"/>
      <c r="AQ215" s="155"/>
      <c r="AR215" s="155"/>
      <c r="AS215" s="156"/>
      <c r="AT215" s="157"/>
      <c r="AU215" s="157"/>
      <c r="AV215" s="158"/>
      <c r="AW215" s="158"/>
      <c r="AX215" s="158"/>
      <c r="AY215" s="158"/>
      <c r="AZ215" s="158"/>
      <c r="BA215" s="154"/>
      <c r="BB215" s="154"/>
      <c r="BC215" s="154"/>
      <c r="BD215" s="154"/>
      <c r="BE215" s="154"/>
      <c r="BF215" s="154"/>
      <c r="BG215" s="154"/>
      <c r="BH215" s="154"/>
      <c r="BI215" s="154"/>
      <c r="BJ215" s="154"/>
      <c r="BK215" s="159"/>
      <c r="BL215" s="159"/>
      <c r="BM215" s="161"/>
      <c r="BN215" s="161"/>
      <c r="BO215" s="163"/>
      <c r="BP215" s="164"/>
      <c r="BQ215" s="165"/>
      <c r="BR215" s="161"/>
      <c r="BS215" s="161"/>
      <c r="BT215" s="161"/>
      <c r="BU215" s="161"/>
      <c r="BV215" s="166"/>
      <c r="BW215" s="159"/>
      <c r="BX215" s="166"/>
      <c r="BY215" s="155"/>
      <c r="BZ215" s="167"/>
      <c r="CA215" s="159"/>
      <c r="CB215" s="168"/>
      <c r="CC215" s="155"/>
      <c r="CD215" s="159"/>
      <c r="CE215" s="161"/>
      <c r="CF215" s="162"/>
      <c r="DA215" s="113"/>
      <c r="DB215" s="113"/>
      <c r="DC215" s="113"/>
      <c r="DD215" s="115"/>
      <c r="DE215" s="88"/>
      <c r="DJ215" s="126"/>
      <c r="DK215" s="154"/>
      <c r="DL215" s="155"/>
      <c r="DM215" s="155"/>
      <c r="DN215" s="155"/>
      <c r="DO215" s="155"/>
      <c r="DP215" s="155"/>
      <c r="DQ215" s="155"/>
      <c r="DR215" s="155"/>
      <c r="DS215" s="156"/>
      <c r="DT215" s="157"/>
      <c r="DU215" s="157"/>
      <c r="DV215" s="158"/>
      <c r="DW215" s="158"/>
      <c r="DX215" s="158"/>
      <c r="DY215" s="158"/>
      <c r="DZ215" s="158"/>
      <c r="EA215" s="154"/>
      <c r="EB215" s="154"/>
      <c r="EC215" s="154"/>
      <c r="ED215" s="154"/>
      <c r="EE215" s="154"/>
      <c r="EF215" s="154"/>
      <c r="EG215" s="154"/>
      <c r="EH215" s="154"/>
      <c r="EI215" s="154"/>
      <c r="EJ215" s="154"/>
      <c r="EK215" s="159"/>
      <c r="EL215" s="159"/>
      <c r="EM215" s="161"/>
      <c r="EN215" s="161"/>
      <c r="EO215" s="163"/>
      <c r="EP215" s="164"/>
      <c r="EQ215" s="165"/>
      <c r="ER215" s="161"/>
      <c r="ES215" s="161"/>
      <c r="ET215" s="161"/>
      <c r="EU215" s="161"/>
      <c r="EV215" s="166"/>
      <c r="EW215" s="159"/>
      <c r="EX215" s="166"/>
      <c r="EY215" s="155"/>
      <c r="EZ215" s="167"/>
      <c r="FA215" s="159"/>
      <c r="FB215" s="168"/>
      <c r="FC215" s="155"/>
      <c r="FD215" s="159"/>
      <c r="FE215" s="161"/>
      <c r="FF215" s="162"/>
    </row>
    <row r="216" spans="27:162">
      <c r="AA216" s="113"/>
      <c r="AB216" s="113"/>
      <c r="AC216" s="113"/>
      <c r="AD216" s="115"/>
      <c r="AE216" s="88"/>
      <c r="AJ216" s="126"/>
      <c r="AK216" s="154"/>
      <c r="AL216" s="155"/>
      <c r="AM216" s="155"/>
      <c r="AN216" s="155"/>
      <c r="AO216" s="155"/>
      <c r="AP216" s="155"/>
      <c r="AQ216" s="155"/>
      <c r="AR216" s="155"/>
      <c r="AS216" s="156"/>
      <c r="AT216" s="157"/>
      <c r="AU216" s="157"/>
      <c r="AV216" s="158"/>
      <c r="AW216" s="158"/>
      <c r="AX216" s="158"/>
      <c r="AY216" s="158"/>
      <c r="AZ216" s="158"/>
      <c r="BA216" s="154"/>
      <c r="BB216" s="154"/>
      <c r="BC216" s="154"/>
      <c r="BD216" s="154"/>
      <c r="BE216" s="154"/>
      <c r="BF216" s="154"/>
      <c r="BG216" s="154"/>
      <c r="BH216" s="154"/>
      <c r="BI216" s="154"/>
      <c r="BJ216" s="154"/>
      <c r="BK216" s="159"/>
      <c r="BL216" s="159"/>
      <c r="BM216" s="161"/>
      <c r="BN216" s="161"/>
      <c r="BO216" s="163"/>
      <c r="BP216" s="164"/>
      <c r="BQ216" s="165"/>
      <c r="BR216" s="161"/>
      <c r="BS216" s="161"/>
      <c r="BT216" s="161"/>
      <c r="BU216" s="161"/>
      <c r="BV216" s="166"/>
      <c r="BW216" s="159"/>
      <c r="BX216" s="166"/>
      <c r="BY216" s="155"/>
      <c r="BZ216" s="167"/>
      <c r="CA216" s="159"/>
      <c r="CB216" s="168"/>
      <c r="CC216" s="155"/>
      <c r="CD216" s="159"/>
      <c r="CE216" s="161"/>
      <c r="CF216" s="162"/>
      <c r="DA216" s="113"/>
      <c r="DB216" s="113"/>
      <c r="DC216" s="113"/>
      <c r="DD216" s="115"/>
      <c r="DE216" s="88"/>
      <c r="DJ216" s="126"/>
      <c r="DK216" s="154"/>
      <c r="DL216" s="155"/>
      <c r="DM216" s="155"/>
      <c r="DN216" s="155"/>
      <c r="DO216" s="155"/>
      <c r="DP216" s="155"/>
      <c r="DQ216" s="155"/>
      <c r="DR216" s="155"/>
      <c r="DS216" s="156"/>
      <c r="DT216" s="157"/>
      <c r="DU216" s="157"/>
      <c r="DV216" s="158"/>
      <c r="DW216" s="158"/>
      <c r="DX216" s="158"/>
      <c r="DY216" s="158"/>
      <c r="DZ216" s="158"/>
      <c r="EA216" s="154"/>
      <c r="EB216" s="154"/>
      <c r="EC216" s="154"/>
      <c r="ED216" s="154"/>
      <c r="EE216" s="154"/>
      <c r="EF216" s="154"/>
      <c r="EG216" s="154"/>
      <c r="EH216" s="154"/>
      <c r="EI216" s="154"/>
      <c r="EJ216" s="154"/>
      <c r="EK216" s="159"/>
      <c r="EL216" s="159"/>
      <c r="EM216" s="161"/>
      <c r="EN216" s="161"/>
      <c r="EO216" s="163"/>
      <c r="EP216" s="164"/>
      <c r="EQ216" s="165"/>
      <c r="ER216" s="161"/>
      <c r="ES216" s="161"/>
      <c r="ET216" s="161"/>
      <c r="EU216" s="161"/>
      <c r="EV216" s="166"/>
      <c r="EW216" s="159"/>
      <c r="EX216" s="166"/>
      <c r="EY216" s="155"/>
      <c r="EZ216" s="167"/>
      <c r="FA216" s="159"/>
      <c r="FB216" s="168"/>
      <c r="FC216" s="155"/>
      <c r="FD216" s="159"/>
      <c r="FE216" s="161"/>
      <c r="FF216" s="162"/>
    </row>
    <row r="217" spans="27:162">
      <c r="AA217" s="113"/>
      <c r="AB217" s="113"/>
      <c r="AC217" s="113"/>
      <c r="AD217" s="115"/>
      <c r="AE217" s="88"/>
      <c r="AJ217" s="126"/>
      <c r="AK217" s="154"/>
      <c r="AL217" s="155"/>
      <c r="AM217" s="155"/>
      <c r="AN217" s="155"/>
      <c r="AO217" s="155"/>
      <c r="AP217" s="155"/>
      <c r="AQ217" s="155"/>
      <c r="AR217" s="155"/>
      <c r="AS217" s="156"/>
      <c r="AT217" s="157"/>
      <c r="AU217" s="157"/>
      <c r="AV217" s="158"/>
      <c r="AW217" s="158"/>
      <c r="AX217" s="158"/>
      <c r="AY217" s="158"/>
      <c r="AZ217" s="158"/>
      <c r="BA217" s="154"/>
      <c r="BB217" s="154"/>
      <c r="BC217" s="154"/>
      <c r="BD217" s="154"/>
      <c r="BE217" s="154"/>
      <c r="BF217" s="154"/>
      <c r="BG217" s="154"/>
      <c r="BH217" s="154"/>
      <c r="BI217" s="154"/>
      <c r="BJ217" s="154"/>
      <c r="BK217" s="159"/>
      <c r="BL217" s="159"/>
      <c r="BM217" s="161"/>
      <c r="BN217" s="161"/>
      <c r="BO217" s="163"/>
      <c r="BP217" s="164"/>
      <c r="BQ217" s="165"/>
      <c r="BR217" s="161"/>
      <c r="BS217" s="161"/>
      <c r="BT217" s="161"/>
      <c r="BU217" s="161"/>
      <c r="BV217" s="166"/>
      <c r="BW217" s="159"/>
      <c r="BX217" s="166"/>
      <c r="BY217" s="155"/>
      <c r="BZ217" s="167"/>
      <c r="CA217" s="159"/>
      <c r="CB217" s="168"/>
      <c r="CC217" s="155"/>
      <c r="CD217" s="159"/>
      <c r="CE217" s="161"/>
      <c r="CF217" s="162"/>
      <c r="DA217" s="113"/>
      <c r="DB217" s="113"/>
      <c r="DC217" s="113"/>
      <c r="DD217" s="115"/>
      <c r="DE217" s="88"/>
      <c r="DJ217" s="126"/>
      <c r="DK217" s="154"/>
      <c r="DL217" s="155"/>
      <c r="DM217" s="155"/>
      <c r="DN217" s="155"/>
      <c r="DO217" s="155"/>
      <c r="DP217" s="155"/>
      <c r="DQ217" s="155"/>
      <c r="DR217" s="155"/>
      <c r="DS217" s="156"/>
      <c r="DT217" s="157"/>
      <c r="DU217" s="157"/>
      <c r="DV217" s="158"/>
      <c r="DW217" s="158"/>
      <c r="DX217" s="158"/>
      <c r="DY217" s="158"/>
      <c r="DZ217" s="158"/>
      <c r="EA217" s="154"/>
      <c r="EB217" s="154"/>
      <c r="EC217" s="154"/>
      <c r="ED217" s="154"/>
      <c r="EE217" s="154"/>
      <c r="EF217" s="154"/>
      <c r="EG217" s="154"/>
      <c r="EH217" s="154"/>
      <c r="EI217" s="154"/>
      <c r="EJ217" s="154"/>
      <c r="EK217" s="159"/>
      <c r="EL217" s="159"/>
      <c r="EM217" s="161"/>
      <c r="EN217" s="161"/>
      <c r="EO217" s="163"/>
      <c r="EP217" s="164"/>
      <c r="EQ217" s="165"/>
      <c r="ER217" s="161"/>
      <c r="ES217" s="161"/>
      <c r="ET217" s="161"/>
      <c r="EU217" s="161"/>
      <c r="EV217" s="166"/>
      <c r="EW217" s="159"/>
      <c r="EX217" s="166"/>
      <c r="EY217" s="155"/>
      <c r="EZ217" s="167"/>
      <c r="FA217" s="159"/>
      <c r="FB217" s="168"/>
      <c r="FC217" s="155"/>
      <c r="FD217" s="159"/>
      <c r="FE217" s="161"/>
      <c r="FF217" s="162"/>
    </row>
    <row r="218" spans="27:162">
      <c r="AA218" s="113"/>
      <c r="AB218" s="113"/>
      <c r="AC218" s="113"/>
      <c r="AD218" s="115"/>
      <c r="AE218" s="88"/>
      <c r="AJ218" s="126"/>
      <c r="AK218" s="154"/>
      <c r="AL218" s="155"/>
      <c r="AM218" s="155"/>
      <c r="AN218" s="155"/>
      <c r="AO218" s="155"/>
      <c r="AP218" s="155"/>
      <c r="AQ218" s="155"/>
      <c r="AR218" s="155"/>
      <c r="AS218" s="156"/>
      <c r="AT218" s="157"/>
      <c r="AU218" s="157"/>
      <c r="AV218" s="158"/>
      <c r="AW218" s="158"/>
      <c r="AX218" s="158"/>
      <c r="AY218" s="158"/>
      <c r="AZ218" s="158"/>
      <c r="BA218" s="154"/>
      <c r="BB218" s="154"/>
      <c r="BC218" s="154"/>
      <c r="BD218" s="154"/>
      <c r="BE218" s="154"/>
      <c r="BF218" s="154"/>
      <c r="BG218" s="154"/>
      <c r="BH218" s="154"/>
      <c r="BI218" s="154"/>
      <c r="BJ218" s="154"/>
      <c r="BK218" s="159"/>
      <c r="BL218" s="159"/>
      <c r="BM218" s="161"/>
      <c r="BN218" s="161"/>
      <c r="BO218" s="163"/>
      <c r="BP218" s="164"/>
      <c r="BQ218" s="165"/>
      <c r="BR218" s="161"/>
      <c r="BS218" s="161"/>
      <c r="BT218" s="161"/>
      <c r="BU218" s="161"/>
      <c r="BV218" s="166"/>
      <c r="BW218" s="159"/>
      <c r="BX218" s="166"/>
      <c r="BY218" s="155"/>
      <c r="BZ218" s="167"/>
      <c r="CA218" s="159"/>
      <c r="CB218" s="168"/>
      <c r="CC218" s="155"/>
      <c r="CD218" s="159"/>
      <c r="CE218" s="161"/>
      <c r="CF218" s="162"/>
      <c r="DA218" s="113"/>
      <c r="DB218" s="113"/>
      <c r="DC218" s="113"/>
      <c r="DD218" s="115"/>
      <c r="DE218" s="88"/>
      <c r="DJ218" s="126"/>
      <c r="DK218" s="154"/>
      <c r="DL218" s="155"/>
      <c r="DM218" s="155"/>
      <c r="DN218" s="155"/>
      <c r="DO218" s="155"/>
      <c r="DP218" s="155"/>
      <c r="DQ218" s="155"/>
      <c r="DR218" s="155"/>
      <c r="DS218" s="156"/>
      <c r="DT218" s="157"/>
      <c r="DU218" s="157"/>
      <c r="DV218" s="158"/>
      <c r="DW218" s="158"/>
      <c r="DX218" s="158"/>
      <c r="DY218" s="158"/>
      <c r="DZ218" s="158"/>
      <c r="EA218" s="154"/>
      <c r="EB218" s="154"/>
      <c r="EC218" s="154"/>
      <c r="ED218" s="154"/>
      <c r="EE218" s="154"/>
      <c r="EF218" s="154"/>
      <c r="EG218" s="154"/>
      <c r="EH218" s="154"/>
      <c r="EI218" s="154"/>
      <c r="EJ218" s="154"/>
      <c r="EK218" s="159"/>
      <c r="EL218" s="159"/>
      <c r="EM218" s="161"/>
      <c r="EN218" s="161"/>
      <c r="EO218" s="163"/>
      <c r="EP218" s="164"/>
      <c r="EQ218" s="165"/>
      <c r="ER218" s="161"/>
      <c r="ES218" s="161"/>
      <c r="ET218" s="161"/>
      <c r="EU218" s="161"/>
      <c r="EV218" s="166"/>
      <c r="EW218" s="159"/>
      <c r="EX218" s="166"/>
      <c r="EY218" s="155"/>
      <c r="EZ218" s="167"/>
      <c r="FA218" s="159"/>
      <c r="FB218" s="168"/>
      <c r="FC218" s="155"/>
      <c r="FD218" s="159"/>
      <c r="FE218" s="161"/>
      <c r="FF218" s="162"/>
    </row>
    <row r="219" spans="27:162">
      <c r="AA219" s="113"/>
      <c r="AB219" s="113"/>
      <c r="AC219" s="113"/>
      <c r="AD219" s="115"/>
      <c r="AE219" s="88"/>
      <c r="AJ219" s="126"/>
      <c r="AK219" s="154"/>
      <c r="AL219" s="155"/>
      <c r="AM219" s="155"/>
      <c r="AN219" s="155"/>
      <c r="AO219" s="155"/>
      <c r="AP219" s="155"/>
      <c r="AQ219" s="155"/>
      <c r="AR219" s="155"/>
      <c r="AS219" s="156"/>
      <c r="AT219" s="157"/>
      <c r="AU219" s="157"/>
      <c r="AV219" s="158"/>
      <c r="AW219" s="158"/>
      <c r="AX219" s="158"/>
      <c r="AY219" s="158"/>
      <c r="AZ219" s="158"/>
      <c r="BA219" s="154"/>
      <c r="BB219" s="154"/>
      <c r="BC219" s="154"/>
      <c r="BD219" s="154"/>
      <c r="BE219" s="154"/>
      <c r="BF219" s="154"/>
      <c r="BG219" s="154"/>
      <c r="BH219" s="154"/>
      <c r="BI219" s="154"/>
      <c r="BJ219" s="154"/>
      <c r="BK219" s="159"/>
      <c r="BL219" s="159"/>
      <c r="BM219" s="161"/>
      <c r="BN219" s="161"/>
      <c r="BO219" s="163"/>
      <c r="BP219" s="164"/>
      <c r="BQ219" s="165"/>
      <c r="BR219" s="161"/>
      <c r="BS219" s="161"/>
      <c r="BT219" s="161"/>
      <c r="BU219" s="161"/>
      <c r="BV219" s="166"/>
      <c r="BW219" s="159"/>
      <c r="BX219" s="166"/>
      <c r="BY219" s="155"/>
      <c r="BZ219" s="167"/>
      <c r="CA219" s="159"/>
      <c r="CB219" s="168"/>
      <c r="CC219" s="155"/>
      <c r="CD219" s="159"/>
      <c r="CE219" s="161"/>
      <c r="CF219" s="162"/>
      <c r="DA219" s="113"/>
      <c r="DB219" s="113"/>
      <c r="DC219" s="113"/>
      <c r="DD219" s="115"/>
      <c r="DE219" s="88"/>
      <c r="DJ219" s="126"/>
      <c r="DK219" s="154"/>
      <c r="DL219" s="155"/>
      <c r="DM219" s="155"/>
      <c r="DN219" s="155"/>
      <c r="DO219" s="155"/>
      <c r="DP219" s="155"/>
      <c r="DQ219" s="155"/>
      <c r="DR219" s="155"/>
      <c r="DS219" s="156"/>
      <c r="DT219" s="157"/>
      <c r="DU219" s="157"/>
      <c r="DV219" s="158"/>
      <c r="DW219" s="158"/>
      <c r="DX219" s="158"/>
      <c r="DY219" s="158"/>
      <c r="DZ219" s="158"/>
      <c r="EA219" s="154"/>
      <c r="EB219" s="154"/>
      <c r="EC219" s="154"/>
      <c r="ED219" s="154"/>
      <c r="EE219" s="154"/>
      <c r="EF219" s="154"/>
      <c r="EG219" s="154"/>
      <c r="EH219" s="154"/>
      <c r="EI219" s="154"/>
      <c r="EJ219" s="154"/>
      <c r="EK219" s="159"/>
      <c r="EL219" s="159"/>
      <c r="EM219" s="161"/>
      <c r="EN219" s="161"/>
      <c r="EO219" s="163"/>
      <c r="EP219" s="164"/>
      <c r="EQ219" s="165"/>
      <c r="ER219" s="161"/>
      <c r="ES219" s="161"/>
      <c r="ET219" s="161"/>
      <c r="EU219" s="161"/>
      <c r="EV219" s="166"/>
      <c r="EW219" s="159"/>
      <c r="EX219" s="166"/>
      <c r="EY219" s="155"/>
      <c r="EZ219" s="167"/>
      <c r="FA219" s="159"/>
      <c r="FB219" s="168"/>
      <c r="FC219" s="155"/>
      <c r="FD219" s="159"/>
      <c r="FE219" s="161"/>
      <c r="FF219" s="162"/>
    </row>
    <row r="220" spans="27:162">
      <c r="AA220" s="113"/>
      <c r="AB220" s="113"/>
      <c r="AC220" s="113"/>
      <c r="AD220" s="115"/>
      <c r="AE220" s="88"/>
      <c r="AJ220" s="126"/>
      <c r="AK220" s="154"/>
      <c r="AL220" s="155"/>
      <c r="AM220" s="155"/>
      <c r="AN220" s="155"/>
      <c r="AO220" s="155"/>
      <c r="AP220" s="155"/>
      <c r="AQ220" s="155"/>
      <c r="AR220" s="155"/>
      <c r="AS220" s="156"/>
      <c r="AT220" s="157"/>
      <c r="AU220" s="157"/>
      <c r="AV220" s="158"/>
      <c r="AW220" s="158"/>
      <c r="AX220" s="158"/>
      <c r="AY220" s="158"/>
      <c r="AZ220" s="158"/>
      <c r="BA220" s="154"/>
      <c r="BB220" s="154"/>
      <c r="BC220" s="154"/>
      <c r="BD220" s="154"/>
      <c r="BE220" s="154"/>
      <c r="BF220" s="154"/>
      <c r="BG220" s="154"/>
      <c r="BH220" s="154"/>
      <c r="BI220" s="154"/>
      <c r="BJ220" s="154"/>
      <c r="BK220" s="159"/>
      <c r="BL220" s="159"/>
      <c r="BM220" s="161"/>
      <c r="BN220" s="161"/>
      <c r="BO220" s="163"/>
      <c r="BP220" s="164"/>
      <c r="BQ220" s="165"/>
      <c r="BR220" s="161"/>
      <c r="BS220" s="161"/>
      <c r="BT220" s="161"/>
      <c r="BU220" s="161"/>
      <c r="BV220" s="166"/>
      <c r="BW220" s="159"/>
      <c r="BX220" s="166"/>
      <c r="BY220" s="155"/>
      <c r="BZ220" s="167"/>
      <c r="CA220" s="159"/>
      <c r="CB220" s="168"/>
      <c r="CC220" s="155"/>
      <c r="CD220" s="159"/>
      <c r="CE220" s="161"/>
      <c r="CF220" s="162"/>
      <c r="DA220" s="113"/>
      <c r="DB220" s="113"/>
      <c r="DC220" s="113"/>
      <c r="DD220" s="115"/>
      <c r="DE220" s="88"/>
      <c r="DJ220" s="126"/>
      <c r="DK220" s="154"/>
      <c r="DL220" s="155"/>
      <c r="DM220" s="155"/>
      <c r="DN220" s="155"/>
      <c r="DO220" s="155"/>
      <c r="DP220" s="155"/>
      <c r="DQ220" s="155"/>
      <c r="DR220" s="155"/>
      <c r="DS220" s="156"/>
      <c r="DT220" s="157"/>
      <c r="DU220" s="157"/>
      <c r="DV220" s="158"/>
      <c r="DW220" s="158"/>
      <c r="DX220" s="158"/>
      <c r="DY220" s="158"/>
      <c r="DZ220" s="158"/>
      <c r="EA220" s="154"/>
      <c r="EB220" s="154"/>
      <c r="EC220" s="154"/>
      <c r="ED220" s="154"/>
      <c r="EE220" s="154"/>
      <c r="EF220" s="154"/>
      <c r="EG220" s="154"/>
      <c r="EH220" s="154"/>
      <c r="EI220" s="154"/>
      <c r="EJ220" s="154"/>
      <c r="EK220" s="159"/>
      <c r="EL220" s="159"/>
      <c r="EM220" s="161"/>
      <c r="EN220" s="161"/>
      <c r="EO220" s="163"/>
      <c r="EP220" s="164"/>
      <c r="EQ220" s="165"/>
      <c r="ER220" s="161"/>
      <c r="ES220" s="161"/>
      <c r="ET220" s="161"/>
      <c r="EU220" s="161"/>
      <c r="EV220" s="166"/>
      <c r="EW220" s="159"/>
      <c r="EX220" s="166"/>
      <c r="EY220" s="155"/>
      <c r="EZ220" s="167"/>
      <c r="FA220" s="159"/>
      <c r="FB220" s="168"/>
      <c r="FC220" s="155"/>
      <c r="FD220" s="159"/>
      <c r="FE220" s="161"/>
      <c r="FF220" s="162"/>
    </row>
    <row r="221" spans="27:162">
      <c r="AA221" s="113"/>
      <c r="AB221" s="113"/>
      <c r="AC221" s="113"/>
      <c r="AD221" s="115"/>
      <c r="AE221" s="88"/>
      <c r="AJ221" s="126"/>
      <c r="AK221" s="154"/>
      <c r="AL221" s="155"/>
      <c r="AM221" s="155"/>
      <c r="AN221" s="155"/>
      <c r="AO221" s="155"/>
      <c r="AP221" s="155"/>
      <c r="AQ221" s="155"/>
      <c r="AR221" s="155"/>
      <c r="AS221" s="156"/>
      <c r="AT221" s="157"/>
      <c r="AU221" s="157"/>
      <c r="AV221" s="158"/>
      <c r="AW221" s="158"/>
      <c r="AX221" s="158"/>
      <c r="AY221" s="158"/>
      <c r="AZ221" s="158"/>
      <c r="BA221" s="154"/>
      <c r="BB221" s="154"/>
      <c r="BC221" s="154"/>
      <c r="BD221" s="154"/>
      <c r="BE221" s="154"/>
      <c r="BF221" s="154"/>
      <c r="BG221" s="154"/>
      <c r="BH221" s="154"/>
      <c r="BI221" s="154"/>
      <c r="BJ221" s="154"/>
      <c r="BK221" s="159"/>
      <c r="BL221" s="159"/>
      <c r="BM221" s="161"/>
      <c r="BN221" s="161"/>
      <c r="BO221" s="163"/>
      <c r="BP221" s="164"/>
      <c r="BQ221" s="165"/>
      <c r="BR221" s="161"/>
      <c r="BS221" s="161"/>
      <c r="BT221" s="161"/>
      <c r="BU221" s="161"/>
      <c r="BV221" s="166"/>
      <c r="BW221" s="159"/>
      <c r="BX221" s="166"/>
      <c r="BY221" s="155"/>
      <c r="BZ221" s="167"/>
      <c r="CA221" s="159"/>
      <c r="CB221" s="168"/>
      <c r="CC221" s="155"/>
      <c r="CD221" s="159"/>
      <c r="CE221" s="161"/>
      <c r="CF221" s="162"/>
      <c r="DA221" s="113"/>
      <c r="DB221" s="113"/>
      <c r="DC221" s="113"/>
      <c r="DD221" s="115"/>
      <c r="DE221" s="88"/>
      <c r="DJ221" s="126"/>
      <c r="DK221" s="154"/>
      <c r="DL221" s="155"/>
      <c r="DM221" s="155"/>
      <c r="DN221" s="155"/>
      <c r="DO221" s="155"/>
      <c r="DP221" s="155"/>
      <c r="DQ221" s="155"/>
      <c r="DR221" s="155"/>
      <c r="DS221" s="156"/>
      <c r="DT221" s="157"/>
      <c r="DU221" s="157"/>
      <c r="DV221" s="158"/>
      <c r="DW221" s="158"/>
      <c r="DX221" s="158"/>
      <c r="DY221" s="158"/>
      <c r="DZ221" s="158"/>
      <c r="EA221" s="154"/>
      <c r="EB221" s="154"/>
      <c r="EC221" s="154"/>
      <c r="ED221" s="154"/>
      <c r="EE221" s="154"/>
      <c r="EF221" s="154"/>
      <c r="EG221" s="154"/>
      <c r="EH221" s="154"/>
      <c r="EI221" s="154"/>
      <c r="EJ221" s="154"/>
      <c r="EK221" s="159"/>
      <c r="EL221" s="159"/>
      <c r="EM221" s="161"/>
      <c r="EN221" s="161"/>
      <c r="EO221" s="163"/>
      <c r="EP221" s="164"/>
      <c r="EQ221" s="165"/>
      <c r="ER221" s="161"/>
      <c r="ES221" s="161"/>
      <c r="ET221" s="161"/>
      <c r="EU221" s="161"/>
      <c r="EV221" s="166"/>
      <c r="EW221" s="159"/>
      <c r="EX221" s="166"/>
      <c r="EY221" s="155"/>
      <c r="EZ221" s="167"/>
      <c r="FA221" s="159"/>
      <c r="FB221" s="168"/>
      <c r="FC221" s="155"/>
      <c r="FD221" s="159"/>
      <c r="FE221" s="161"/>
      <c r="FF221" s="162"/>
    </row>
    <row r="222" spans="27:162">
      <c r="AA222" s="113"/>
      <c r="AB222" s="113"/>
      <c r="AC222" s="113"/>
      <c r="AD222" s="115"/>
      <c r="AE222" s="88"/>
      <c r="AJ222" s="126"/>
      <c r="AK222" s="154"/>
      <c r="AL222" s="155"/>
      <c r="AM222" s="155"/>
      <c r="AN222" s="155"/>
      <c r="AO222" s="155"/>
      <c r="AP222" s="155"/>
      <c r="AQ222" s="155"/>
      <c r="AR222" s="155"/>
      <c r="AS222" s="156"/>
      <c r="AT222" s="157"/>
      <c r="AU222" s="157"/>
      <c r="AV222" s="158"/>
      <c r="AW222" s="158"/>
      <c r="AX222" s="158"/>
      <c r="AY222" s="158"/>
      <c r="AZ222" s="158"/>
      <c r="BA222" s="154"/>
      <c r="BB222" s="154"/>
      <c r="BC222" s="154"/>
      <c r="BD222" s="154"/>
      <c r="BE222" s="154"/>
      <c r="BF222" s="154"/>
      <c r="BG222" s="154"/>
      <c r="BH222" s="154"/>
      <c r="BI222" s="154"/>
      <c r="BJ222" s="154"/>
      <c r="BK222" s="159"/>
      <c r="BL222" s="159"/>
      <c r="BM222" s="161"/>
      <c r="BN222" s="161"/>
      <c r="BO222" s="163"/>
      <c r="BP222" s="164"/>
      <c r="BQ222" s="165"/>
      <c r="BR222" s="161"/>
      <c r="BS222" s="161"/>
      <c r="BT222" s="161"/>
      <c r="BU222" s="161"/>
      <c r="BV222" s="166"/>
      <c r="BW222" s="159"/>
      <c r="BX222" s="166"/>
      <c r="BY222" s="155"/>
      <c r="BZ222" s="167"/>
      <c r="CA222" s="159"/>
      <c r="CB222" s="168"/>
      <c r="CC222" s="155"/>
      <c r="CD222" s="159"/>
      <c r="CE222" s="161"/>
      <c r="CF222" s="162"/>
      <c r="DA222" s="113"/>
      <c r="DB222" s="113"/>
      <c r="DC222" s="113"/>
      <c r="DD222" s="115"/>
      <c r="DE222" s="88"/>
      <c r="DJ222" s="126"/>
      <c r="DK222" s="154"/>
      <c r="DL222" s="155"/>
      <c r="DM222" s="155"/>
      <c r="DN222" s="155"/>
      <c r="DO222" s="155"/>
      <c r="DP222" s="155"/>
      <c r="DQ222" s="155"/>
      <c r="DR222" s="155"/>
      <c r="DS222" s="156"/>
      <c r="DT222" s="157"/>
      <c r="DU222" s="157"/>
      <c r="DV222" s="158"/>
      <c r="DW222" s="158"/>
      <c r="DX222" s="158"/>
      <c r="DY222" s="158"/>
      <c r="DZ222" s="158"/>
      <c r="EA222" s="154"/>
      <c r="EB222" s="154"/>
      <c r="EC222" s="154"/>
      <c r="ED222" s="154"/>
      <c r="EE222" s="154"/>
      <c r="EF222" s="154"/>
      <c r="EG222" s="154"/>
      <c r="EH222" s="154"/>
      <c r="EI222" s="154"/>
      <c r="EJ222" s="154"/>
      <c r="EK222" s="159"/>
      <c r="EL222" s="159"/>
      <c r="EM222" s="161"/>
      <c r="EN222" s="161"/>
      <c r="EO222" s="163"/>
      <c r="EP222" s="164"/>
      <c r="EQ222" s="165"/>
      <c r="ER222" s="161"/>
      <c r="ES222" s="161"/>
      <c r="ET222" s="161"/>
      <c r="EU222" s="161"/>
      <c r="EV222" s="166"/>
      <c r="EW222" s="159"/>
      <c r="EX222" s="166"/>
      <c r="EY222" s="155"/>
      <c r="EZ222" s="167"/>
      <c r="FA222" s="159"/>
      <c r="FB222" s="168"/>
      <c r="FC222" s="155"/>
      <c r="FD222" s="159"/>
      <c r="FE222" s="161"/>
      <c r="FF222" s="162"/>
    </row>
    <row r="223" spans="27:162">
      <c r="AA223" s="113"/>
      <c r="AB223" s="113"/>
      <c r="AC223" s="113"/>
      <c r="AD223" s="115"/>
      <c r="AE223" s="88"/>
      <c r="AJ223" s="126"/>
      <c r="AK223" s="154"/>
      <c r="AL223" s="155"/>
      <c r="AM223" s="155"/>
      <c r="AN223" s="155"/>
      <c r="AO223" s="155"/>
      <c r="AP223" s="155"/>
      <c r="AQ223" s="155"/>
      <c r="AR223" s="155"/>
      <c r="AS223" s="156"/>
      <c r="AT223" s="157"/>
      <c r="AU223" s="157"/>
      <c r="AV223" s="158"/>
      <c r="AW223" s="158"/>
      <c r="AX223" s="158"/>
      <c r="AY223" s="158"/>
      <c r="AZ223" s="158"/>
      <c r="BA223" s="154"/>
      <c r="BB223" s="154"/>
      <c r="BC223" s="154"/>
      <c r="BD223" s="154"/>
      <c r="BE223" s="154"/>
      <c r="BF223" s="154"/>
      <c r="BG223" s="154"/>
      <c r="BH223" s="154"/>
      <c r="BI223" s="154"/>
      <c r="BJ223" s="154"/>
      <c r="BK223" s="159"/>
      <c r="BL223" s="159"/>
      <c r="BM223" s="161"/>
      <c r="BN223" s="161"/>
      <c r="BO223" s="163"/>
      <c r="BP223" s="164"/>
      <c r="BQ223" s="165"/>
      <c r="BR223" s="161"/>
      <c r="BS223" s="161"/>
      <c r="BT223" s="161"/>
      <c r="BU223" s="161"/>
      <c r="BV223" s="166"/>
      <c r="BW223" s="159"/>
      <c r="BX223" s="166"/>
      <c r="BY223" s="155"/>
      <c r="BZ223" s="167"/>
      <c r="CA223" s="159"/>
      <c r="CB223" s="168"/>
      <c r="CC223" s="155"/>
      <c r="CD223" s="159"/>
      <c r="CE223" s="161"/>
      <c r="CF223" s="162"/>
      <c r="DA223" s="113"/>
      <c r="DB223" s="113"/>
      <c r="DC223" s="113"/>
      <c r="DD223" s="115"/>
      <c r="DE223" s="88"/>
      <c r="DJ223" s="126"/>
      <c r="DK223" s="154"/>
      <c r="DL223" s="155"/>
      <c r="DM223" s="155"/>
      <c r="DN223" s="155"/>
      <c r="DO223" s="155"/>
      <c r="DP223" s="155"/>
      <c r="DQ223" s="155"/>
      <c r="DR223" s="155"/>
      <c r="DS223" s="156"/>
      <c r="DT223" s="157"/>
      <c r="DU223" s="157"/>
      <c r="DV223" s="158"/>
      <c r="DW223" s="158"/>
      <c r="DX223" s="158"/>
      <c r="DY223" s="158"/>
      <c r="DZ223" s="158"/>
      <c r="EA223" s="154"/>
      <c r="EB223" s="154"/>
      <c r="EC223" s="154"/>
      <c r="ED223" s="154"/>
      <c r="EE223" s="154"/>
      <c r="EF223" s="154"/>
      <c r="EG223" s="154"/>
      <c r="EH223" s="154"/>
      <c r="EI223" s="154"/>
      <c r="EJ223" s="154"/>
      <c r="EK223" s="159"/>
      <c r="EL223" s="159"/>
      <c r="EM223" s="161"/>
      <c r="EN223" s="161"/>
      <c r="EO223" s="163"/>
      <c r="EP223" s="164"/>
      <c r="EQ223" s="165"/>
      <c r="ER223" s="161"/>
      <c r="ES223" s="161"/>
      <c r="ET223" s="161"/>
      <c r="EU223" s="161"/>
      <c r="EV223" s="166"/>
      <c r="EW223" s="159"/>
      <c r="EX223" s="166"/>
      <c r="EY223" s="155"/>
      <c r="EZ223" s="167"/>
      <c r="FA223" s="159"/>
      <c r="FB223" s="168"/>
      <c r="FC223" s="155"/>
      <c r="FD223" s="159"/>
      <c r="FE223" s="161"/>
      <c r="FF223" s="162"/>
    </row>
    <row r="224" spans="27:162">
      <c r="AA224" s="113"/>
      <c r="AB224" s="113"/>
      <c r="AC224" s="113"/>
      <c r="AD224" s="115"/>
      <c r="AE224" s="88"/>
      <c r="AJ224" s="126"/>
      <c r="AK224" s="154"/>
      <c r="AL224" s="155"/>
      <c r="AM224" s="155"/>
      <c r="AN224" s="155"/>
      <c r="AO224" s="155"/>
      <c r="AP224" s="155"/>
      <c r="AQ224" s="155"/>
      <c r="AR224" s="155"/>
      <c r="AS224" s="156"/>
      <c r="AT224" s="157"/>
      <c r="AU224" s="157"/>
      <c r="AV224" s="158"/>
      <c r="AW224" s="158"/>
      <c r="AX224" s="158"/>
      <c r="AY224" s="158"/>
      <c r="AZ224" s="158"/>
      <c r="BA224" s="154"/>
      <c r="BB224" s="154"/>
      <c r="BC224" s="154"/>
      <c r="BD224" s="154"/>
      <c r="BE224" s="154"/>
      <c r="BF224" s="154"/>
      <c r="BG224" s="154"/>
      <c r="BH224" s="154"/>
      <c r="BI224" s="154"/>
      <c r="BJ224" s="154"/>
      <c r="BK224" s="159"/>
      <c r="BL224" s="159"/>
      <c r="BM224" s="161"/>
      <c r="BN224" s="161"/>
      <c r="BO224" s="163"/>
      <c r="BP224" s="164"/>
      <c r="BQ224" s="165"/>
      <c r="BR224" s="161"/>
      <c r="BS224" s="161"/>
      <c r="BT224" s="161"/>
      <c r="BU224" s="161"/>
      <c r="BV224" s="166"/>
      <c r="BW224" s="159"/>
      <c r="BX224" s="166"/>
      <c r="BY224" s="155"/>
      <c r="BZ224" s="167"/>
      <c r="CA224" s="159"/>
      <c r="CB224" s="168"/>
      <c r="CC224" s="155"/>
      <c r="CD224" s="159"/>
      <c r="CE224" s="161"/>
      <c r="CF224" s="162"/>
      <c r="DA224" s="113"/>
      <c r="DB224" s="113"/>
      <c r="DC224" s="113"/>
      <c r="DD224" s="115"/>
      <c r="DE224" s="88"/>
      <c r="DJ224" s="126"/>
      <c r="DK224" s="154"/>
      <c r="DL224" s="155"/>
      <c r="DM224" s="155"/>
      <c r="DN224" s="155"/>
      <c r="DO224" s="155"/>
      <c r="DP224" s="155"/>
      <c r="DQ224" s="155"/>
      <c r="DR224" s="155"/>
      <c r="DS224" s="156"/>
      <c r="DT224" s="157"/>
      <c r="DU224" s="157"/>
      <c r="DV224" s="158"/>
      <c r="DW224" s="158"/>
      <c r="DX224" s="158"/>
      <c r="DY224" s="158"/>
      <c r="DZ224" s="158"/>
      <c r="EA224" s="154"/>
      <c r="EB224" s="154"/>
      <c r="EC224" s="154"/>
      <c r="ED224" s="154"/>
      <c r="EE224" s="154"/>
      <c r="EF224" s="154"/>
      <c r="EG224" s="154"/>
      <c r="EH224" s="154"/>
      <c r="EI224" s="154"/>
      <c r="EJ224" s="154"/>
      <c r="EK224" s="159"/>
      <c r="EL224" s="159"/>
      <c r="EM224" s="161"/>
      <c r="EN224" s="161"/>
      <c r="EO224" s="163"/>
      <c r="EP224" s="164"/>
      <c r="EQ224" s="165"/>
      <c r="ER224" s="161"/>
      <c r="ES224" s="161"/>
      <c r="ET224" s="161"/>
      <c r="EU224" s="161"/>
      <c r="EV224" s="166"/>
      <c r="EW224" s="159"/>
      <c r="EX224" s="166"/>
      <c r="EY224" s="155"/>
      <c r="EZ224" s="167"/>
      <c r="FA224" s="159"/>
      <c r="FB224" s="168"/>
      <c r="FC224" s="155"/>
      <c r="FD224" s="159"/>
      <c r="FE224" s="161"/>
      <c r="FF224" s="162"/>
    </row>
    <row r="225" spans="27:162">
      <c r="AA225" s="113"/>
      <c r="AB225" s="113"/>
      <c r="AC225" s="113"/>
      <c r="AD225" s="115"/>
      <c r="AE225" s="88"/>
      <c r="AJ225" s="126"/>
      <c r="AK225" s="154"/>
      <c r="AL225" s="155"/>
      <c r="AM225" s="155"/>
      <c r="AN225" s="155"/>
      <c r="AO225" s="155"/>
      <c r="AP225" s="155"/>
      <c r="AQ225" s="155"/>
      <c r="AR225" s="155"/>
      <c r="AS225" s="156"/>
      <c r="AT225" s="157"/>
      <c r="AU225" s="157"/>
      <c r="AV225" s="158"/>
      <c r="AW225" s="158"/>
      <c r="AX225" s="158"/>
      <c r="AY225" s="158"/>
      <c r="AZ225" s="158"/>
      <c r="BA225" s="154"/>
      <c r="BB225" s="154"/>
      <c r="BC225" s="154"/>
      <c r="BD225" s="154"/>
      <c r="BE225" s="154"/>
      <c r="BF225" s="154"/>
      <c r="BG225" s="154"/>
      <c r="BH225" s="154"/>
      <c r="BI225" s="154"/>
      <c r="BJ225" s="154"/>
      <c r="BK225" s="159"/>
      <c r="BL225" s="159"/>
      <c r="BM225" s="161"/>
      <c r="BN225" s="161"/>
      <c r="BO225" s="163"/>
      <c r="BP225" s="164"/>
      <c r="BQ225" s="165"/>
      <c r="BR225" s="161"/>
      <c r="BS225" s="161"/>
      <c r="BT225" s="161"/>
      <c r="BU225" s="161"/>
      <c r="BV225" s="166"/>
      <c r="BW225" s="159"/>
      <c r="BX225" s="166"/>
      <c r="BY225" s="155"/>
      <c r="BZ225" s="167"/>
      <c r="CA225" s="159"/>
      <c r="CB225" s="168"/>
      <c r="CC225" s="155"/>
      <c r="CD225" s="159"/>
      <c r="CE225" s="161"/>
      <c r="CF225" s="162"/>
      <c r="DA225" s="113"/>
      <c r="DB225" s="113"/>
      <c r="DC225" s="113"/>
      <c r="DD225" s="115"/>
      <c r="DE225" s="88"/>
      <c r="DJ225" s="126"/>
      <c r="DK225" s="154"/>
      <c r="DL225" s="155"/>
      <c r="DM225" s="155"/>
      <c r="DN225" s="155"/>
      <c r="DO225" s="155"/>
      <c r="DP225" s="155"/>
      <c r="DQ225" s="155"/>
      <c r="DR225" s="155"/>
      <c r="DS225" s="156"/>
      <c r="DT225" s="157"/>
      <c r="DU225" s="157"/>
      <c r="DV225" s="158"/>
      <c r="DW225" s="158"/>
      <c r="DX225" s="158"/>
      <c r="DY225" s="158"/>
      <c r="DZ225" s="158"/>
      <c r="EA225" s="154"/>
      <c r="EB225" s="154"/>
      <c r="EC225" s="154"/>
      <c r="ED225" s="154"/>
      <c r="EE225" s="154"/>
      <c r="EF225" s="154"/>
      <c r="EG225" s="154"/>
      <c r="EH225" s="154"/>
      <c r="EI225" s="154"/>
      <c r="EJ225" s="154"/>
      <c r="EK225" s="159"/>
      <c r="EL225" s="159"/>
      <c r="EM225" s="161"/>
      <c r="EN225" s="161"/>
      <c r="EO225" s="163"/>
      <c r="EP225" s="164"/>
      <c r="EQ225" s="165"/>
      <c r="ER225" s="161"/>
      <c r="ES225" s="161"/>
      <c r="ET225" s="161"/>
      <c r="EU225" s="161"/>
      <c r="EV225" s="166"/>
      <c r="EW225" s="159"/>
      <c r="EX225" s="166"/>
      <c r="EY225" s="155"/>
      <c r="EZ225" s="167"/>
      <c r="FA225" s="159"/>
      <c r="FB225" s="168"/>
      <c r="FC225" s="155"/>
      <c r="FD225" s="159"/>
      <c r="FE225" s="161"/>
      <c r="FF225" s="162"/>
    </row>
    <row r="226" spans="27:162">
      <c r="AA226" s="113"/>
      <c r="AB226" s="113"/>
      <c r="AC226" s="113"/>
      <c r="AD226" s="115"/>
      <c r="AE226" s="88"/>
      <c r="AJ226" s="126"/>
      <c r="AK226" s="154"/>
      <c r="AL226" s="155"/>
      <c r="AM226" s="155"/>
      <c r="AN226" s="155"/>
      <c r="AO226" s="155"/>
      <c r="AP226" s="155"/>
      <c r="AQ226" s="155"/>
      <c r="AR226" s="155"/>
      <c r="AS226" s="156"/>
      <c r="AT226" s="157"/>
      <c r="AU226" s="157"/>
      <c r="AV226" s="158"/>
      <c r="AW226" s="158"/>
      <c r="AX226" s="158"/>
      <c r="AY226" s="158"/>
      <c r="AZ226" s="158"/>
      <c r="BA226" s="154"/>
      <c r="BB226" s="154"/>
      <c r="BC226" s="154"/>
      <c r="BD226" s="154"/>
      <c r="BE226" s="154"/>
      <c r="BF226" s="154"/>
      <c r="BG226" s="154"/>
      <c r="BH226" s="154"/>
      <c r="BI226" s="154"/>
      <c r="BJ226" s="154"/>
      <c r="BK226" s="159"/>
      <c r="BL226" s="159"/>
      <c r="BM226" s="161"/>
      <c r="BN226" s="161"/>
      <c r="BO226" s="163"/>
      <c r="BP226" s="164"/>
      <c r="BQ226" s="165"/>
      <c r="BR226" s="161"/>
      <c r="BS226" s="161"/>
      <c r="BT226" s="161"/>
      <c r="BU226" s="161"/>
      <c r="BV226" s="166"/>
      <c r="BW226" s="159"/>
      <c r="BX226" s="166"/>
      <c r="BY226" s="155"/>
      <c r="BZ226" s="167"/>
      <c r="CA226" s="159"/>
      <c r="CB226" s="168"/>
      <c r="CC226" s="155"/>
      <c r="CD226" s="159"/>
      <c r="CE226" s="161"/>
      <c r="CF226" s="162"/>
      <c r="DA226" s="113"/>
      <c r="DB226" s="113"/>
      <c r="DC226" s="113"/>
      <c r="DD226" s="115"/>
      <c r="DE226" s="88"/>
      <c r="DJ226" s="126"/>
      <c r="DK226" s="154"/>
      <c r="DL226" s="155"/>
      <c r="DM226" s="155"/>
      <c r="DN226" s="155"/>
      <c r="DO226" s="155"/>
      <c r="DP226" s="155"/>
      <c r="DQ226" s="155"/>
      <c r="DR226" s="155"/>
      <c r="DS226" s="156"/>
      <c r="DT226" s="157"/>
      <c r="DU226" s="157"/>
      <c r="DV226" s="158"/>
      <c r="DW226" s="158"/>
      <c r="DX226" s="158"/>
      <c r="DY226" s="158"/>
      <c r="DZ226" s="158"/>
      <c r="EA226" s="154"/>
      <c r="EB226" s="154"/>
      <c r="EC226" s="154"/>
      <c r="ED226" s="154"/>
      <c r="EE226" s="154"/>
      <c r="EF226" s="154"/>
      <c r="EG226" s="154"/>
      <c r="EH226" s="154"/>
      <c r="EI226" s="154"/>
      <c r="EJ226" s="154"/>
      <c r="EK226" s="159"/>
      <c r="EL226" s="159"/>
      <c r="EM226" s="161"/>
      <c r="EN226" s="161"/>
      <c r="EO226" s="163"/>
      <c r="EP226" s="164"/>
      <c r="EQ226" s="165"/>
      <c r="ER226" s="161"/>
      <c r="ES226" s="161"/>
      <c r="ET226" s="161"/>
      <c r="EU226" s="161"/>
      <c r="EV226" s="166"/>
      <c r="EW226" s="159"/>
      <c r="EX226" s="166"/>
      <c r="EY226" s="155"/>
      <c r="EZ226" s="167"/>
      <c r="FA226" s="159"/>
      <c r="FB226" s="168"/>
      <c r="FC226" s="155"/>
      <c r="FD226" s="159"/>
      <c r="FE226" s="161"/>
      <c r="FF226" s="162"/>
    </row>
    <row r="227" spans="27:162">
      <c r="AA227" s="113"/>
      <c r="AB227" s="113"/>
      <c r="AC227" s="113"/>
      <c r="AD227" s="115"/>
      <c r="AE227" s="88"/>
      <c r="AJ227" s="126"/>
      <c r="AK227" s="154"/>
      <c r="AL227" s="155"/>
      <c r="AM227" s="155"/>
      <c r="AN227" s="155"/>
      <c r="AO227" s="155"/>
      <c r="AP227" s="155"/>
      <c r="AQ227" s="155"/>
      <c r="AR227" s="155"/>
      <c r="AS227" s="156"/>
      <c r="AT227" s="157"/>
      <c r="AU227" s="157"/>
      <c r="AV227" s="158"/>
      <c r="AW227" s="158"/>
      <c r="AX227" s="158"/>
      <c r="AY227" s="158"/>
      <c r="AZ227" s="158"/>
      <c r="BA227" s="154"/>
      <c r="BB227" s="154"/>
      <c r="BC227" s="154"/>
      <c r="BD227" s="154"/>
      <c r="BE227" s="154"/>
      <c r="BF227" s="154"/>
      <c r="BG227" s="154"/>
      <c r="BH227" s="154"/>
      <c r="BI227" s="154"/>
      <c r="BJ227" s="154"/>
      <c r="BK227" s="159"/>
      <c r="BL227" s="159"/>
      <c r="BM227" s="161"/>
      <c r="BN227" s="161"/>
      <c r="BO227" s="163"/>
      <c r="BP227" s="164"/>
      <c r="BQ227" s="165"/>
      <c r="BR227" s="161"/>
      <c r="BS227" s="161"/>
      <c r="BT227" s="161"/>
      <c r="BU227" s="161"/>
      <c r="BV227" s="166"/>
      <c r="BW227" s="159"/>
      <c r="BX227" s="166"/>
      <c r="BY227" s="155"/>
      <c r="BZ227" s="167"/>
      <c r="CA227" s="159"/>
      <c r="CB227" s="168"/>
      <c r="CC227" s="155"/>
      <c r="CD227" s="159"/>
      <c r="CE227" s="161"/>
      <c r="CF227" s="162"/>
      <c r="DA227" s="113"/>
      <c r="DB227" s="113"/>
      <c r="DC227" s="113"/>
      <c r="DD227" s="115"/>
      <c r="DE227" s="88"/>
      <c r="DJ227" s="126"/>
      <c r="DK227" s="154"/>
      <c r="DL227" s="155"/>
      <c r="DM227" s="155"/>
      <c r="DN227" s="155"/>
      <c r="DO227" s="155"/>
      <c r="DP227" s="155"/>
      <c r="DQ227" s="155"/>
      <c r="DR227" s="155"/>
      <c r="DS227" s="156"/>
      <c r="DT227" s="157"/>
      <c r="DU227" s="157"/>
      <c r="DV227" s="158"/>
      <c r="DW227" s="158"/>
      <c r="DX227" s="158"/>
      <c r="DY227" s="158"/>
      <c r="DZ227" s="158"/>
      <c r="EA227" s="154"/>
      <c r="EB227" s="154"/>
      <c r="EC227" s="154"/>
      <c r="ED227" s="154"/>
      <c r="EE227" s="154"/>
      <c r="EF227" s="154"/>
      <c r="EG227" s="154"/>
      <c r="EH227" s="154"/>
      <c r="EI227" s="154"/>
      <c r="EJ227" s="154"/>
      <c r="EK227" s="159"/>
      <c r="EL227" s="159"/>
      <c r="EM227" s="161"/>
      <c r="EN227" s="161"/>
      <c r="EO227" s="163"/>
      <c r="EP227" s="164"/>
      <c r="EQ227" s="165"/>
      <c r="ER227" s="161"/>
      <c r="ES227" s="161"/>
      <c r="ET227" s="161"/>
      <c r="EU227" s="161"/>
      <c r="EV227" s="166"/>
      <c r="EW227" s="159"/>
      <c r="EX227" s="166"/>
      <c r="EY227" s="155"/>
      <c r="EZ227" s="167"/>
      <c r="FA227" s="159"/>
      <c r="FB227" s="168"/>
      <c r="FC227" s="155"/>
      <c r="FD227" s="159"/>
      <c r="FE227" s="161"/>
      <c r="FF227" s="162"/>
    </row>
    <row r="228" spans="27:162">
      <c r="AA228" s="113"/>
      <c r="AB228" s="113"/>
      <c r="AC228" s="113"/>
      <c r="AD228" s="115"/>
      <c r="AE228" s="88"/>
      <c r="AJ228" s="126"/>
      <c r="AK228" s="154"/>
      <c r="AL228" s="155"/>
      <c r="AM228" s="155"/>
      <c r="AN228" s="155"/>
      <c r="AO228" s="155"/>
      <c r="AP228" s="155"/>
      <c r="AQ228" s="155"/>
      <c r="AR228" s="155"/>
      <c r="AS228" s="156"/>
      <c r="AT228" s="157"/>
      <c r="AU228" s="157"/>
      <c r="AV228" s="158"/>
      <c r="AW228" s="158"/>
      <c r="AX228" s="158"/>
      <c r="AY228" s="158"/>
      <c r="AZ228" s="158"/>
      <c r="BA228" s="154"/>
      <c r="BB228" s="154"/>
      <c r="BC228" s="154"/>
      <c r="BD228" s="154"/>
      <c r="BE228" s="154"/>
      <c r="BF228" s="154"/>
      <c r="BG228" s="154"/>
      <c r="BH228" s="154"/>
      <c r="BI228" s="154"/>
      <c r="BJ228" s="154"/>
      <c r="BK228" s="159"/>
      <c r="BL228" s="159"/>
      <c r="BM228" s="161"/>
      <c r="BN228" s="161"/>
      <c r="BO228" s="163"/>
      <c r="BP228" s="164"/>
      <c r="BQ228" s="165"/>
      <c r="BR228" s="161"/>
      <c r="BS228" s="161"/>
      <c r="BT228" s="161"/>
      <c r="BU228" s="161"/>
      <c r="BV228" s="166"/>
      <c r="BW228" s="159"/>
      <c r="BX228" s="166"/>
      <c r="BY228" s="155"/>
      <c r="BZ228" s="167"/>
      <c r="CA228" s="159"/>
      <c r="CB228" s="168"/>
      <c r="CC228" s="155"/>
      <c r="CD228" s="159"/>
      <c r="CE228" s="161"/>
      <c r="CF228" s="162"/>
      <c r="DA228" s="113"/>
      <c r="DB228" s="113"/>
      <c r="DC228" s="113"/>
      <c r="DD228" s="115"/>
      <c r="DE228" s="88"/>
      <c r="DJ228" s="126"/>
      <c r="DK228" s="154"/>
      <c r="DL228" s="155"/>
      <c r="DM228" s="155"/>
      <c r="DN228" s="155"/>
      <c r="DO228" s="155"/>
      <c r="DP228" s="155"/>
      <c r="DQ228" s="155"/>
      <c r="DR228" s="155"/>
      <c r="DS228" s="156"/>
      <c r="DT228" s="157"/>
      <c r="DU228" s="157"/>
      <c r="DV228" s="158"/>
      <c r="DW228" s="158"/>
      <c r="DX228" s="158"/>
      <c r="DY228" s="158"/>
      <c r="DZ228" s="158"/>
      <c r="EA228" s="154"/>
      <c r="EB228" s="154"/>
      <c r="EC228" s="154"/>
      <c r="ED228" s="154"/>
      <c r="EE228" s="154"/>
      <c r="EF228" s="154"/>
      <c r="EG228" s="154"/>
      <c r="EH228" s="154"/>
      <c r="EI228" s="154"/>
      <c r="EJ228" s="154"/>
      <c r="EK228" s="159"/>
      <c r="EL228" s="159"/>
      <c r="EM228" s="161"/>
      <c r="EN228" s="161"/>
      <c r="EO228" s="163"/>
      <c r="EP228" s="164"/>
      <c r="EQ228" s="165"/>
      <c r="ER228" s="161"/>
      <c r="ES228" s="161"/>
      <c r="ET228" s="161"/>
      <c r="EU228" s="161"/>
      <c r="EV228" s="166"/>
      <c r="EW228" s="159"/>
      <c r="EX228" s="166"/>
      <c r="EY228" s="155"/>
      <c r="EZ228" s="167"/>
      <c r="FA228" s="159"/>
      <c r="FB228" s="168"/>
      <c r="FC228" s="155"/>
      <c r="FD228" s="159"/>
      <c r="FE228" s="161"/>
      <c r="FF228" s="162"/>
    </row>
    <row r="229" spans="27:162">
      <c r="AA229" s="113"/>
      <c r="AB229" s="113"/>
      <c r="AC229" s="113"/>
      <c r="AD229" s="115"/>
      <c r="AE229" s="88"/>
      <c r="AJ229" s="126"/>
      <c r="AK229" s="154"/>
      <c r="AL229" s="155"/>
      <c r="AM229" s="155"/>
      <c r="AN229" s="155"/>
      <c r="AO229" s="155"/>
      <c r="AP229" s="155"/>
      <c r="AQ229" s="155"/>
      <c r="AR229" s="155"/>
      <c r="AS229" s="156"/>
      <c r="AT229" s="157"/>
      <c r="AU229" s="157"/>
      <c r="AV229" s="158"/>
      <c r="AW229" s="158"/>
      <c r="AX229" s="158"/>
      <c r="AY229" s="158"/>
      <c r="AZ229" s="158"/>
      <c r="BA229" s="154"/>
      <c r="BB229" s="154"/>
      <c r="BC229" s="154"/>
      <c r="BD229" s="154"/>
      <c r="BE229" s="154"/>
      <c r="BF229" s="154"/>
      <c r="BG229" s="154"/>
      <c r="BH229" s="154"/>
      <c r="BI229" s="154"/>
      <c r="BJ229" s="154"/>
      <c r="BK229" s="159"/>
      <c r="BL229" s="159"/>
      <c r="BM229" s="161"/>
      <c r="BN229" s="161"/>
      <c r="BO229" s="163"/>
      <c r="BP229" s="164"/>
      <c r="BQ229" s="165"/>
      <c r="BR229" s="161"/>
      <c r="BS229" s="161"/>
      <c r="BT229" s="161"/>
      <c r="BU229" s="161"/>
      <c r="BV229" s="166"/>
      <c r="BW229" s="159"/>
      <c r="BX229" s="166"/>
      <c r="BY229" s="155"/>
      <c r="BZ229" s="167"/>
      <c r="CA229" s="159"/>
      <c r="CB229" s="168"/>
      <c r="CC229" s="155"/>
      <c r="CD229" s="159"/>
      <c r="CE229" s="161"/>
      <c r="CF229" s="162"/>
      <c r="DA229" s="113"/>
      <c r="DB229" s="113"/>
      <c r="DC229" s="113"/>
      <c r="DD229" s="115"/>
      <c r="DE229" s="88"/>
      <c r="DJ229" s="126"/>
      <c r="DK229" s="154"/>
      <c r="DL229" s="155"/>
      <c r="DM229" s="155"/>
      <c r="DN229" s="155"/>
      <c r="DO229" s="155"/>
      <c r="DP229" s="155"/>
      <c r="DQ229" s="155"/>
      <c r="DR229" s="155"/>
      <c r="DS229" s="156"/>
      <c r="DT229" s="157"/>
      <c r="DU229" s="157"/>
      <c r="DV229" s="158"/>
      <c r="DW229" s="158"/>
      <c r="DX229" s="158"/>
      <c r="DY229" s="158"/>
      <c r="DZ229" s="158"/>
      <c r="EA229" s="154"/>
      <c r="EB229" s="154"/>
      <c r="EC229" s="154"/>
      <c r="ED229" s="154"/>
      <c r="EE229" s="154"/>
      <c r="EF229" s="154"/>
      <c r="EG229" s="154"/>
      <c r="EH229" s="154"/>
      <c r="EI229" s="154"/>
      <c r="EJ229" s="154"/>
      <c r="EK229" s="159"/>
      <c r="EL229" s="159"/>
      <c r="EM229" s="161"/>
      <c r="EN229" s="161"/>
      <c r="EO229" s="163"/>
      <c r="EP229" s="164"/>
      <c r="EQ229" s="165"/>
      <c r="ER229" s="161"/>
      <c r="ES229" s="161"/>
      <c r="ET229" s="161"/>
      <c r="EU229" s="161"/>
      <c r="EV229" s="166"/>
      <c r="EW229" s="159"/>
      <c r="EX229" s="166"/>
      <c r="EY229" s="155"/>
      <c r="EZ229" s="167"/>
      <c r="FA229" s="159"/>
      <c r="FB229" s="168"/>
      <c r="FC229" s="155"/>
      <c r="FD229" s="159"/>
      <c r="FE229" s="161"/>
      <c r="FF229" s="162"/>
    </row>
    <row r="230" spans="27:162">
      <c r="AA230" s="113"/>
      <c r="AB230" s="113"/>
      <c r="AC230" s="113"/>
      <c r="AD230" s="115"/>
      <c r="AE230" s="88"/>
      <c r="AJ230" s="126"/>
      <c r="AK230" s="154"/>
      <c r="AL230" s="155"/>
      <c r="AM230" s="155"/>
      <c r="AN230" s="155"/>
      <c r="AO230" s="155"/>
      <c r="AP230" s="155"/>
      <c r="AQ230" s="155"/>
      <c r="AR230" s="155"/>
      <c r="AS230" s="156"/>
      <c r="AT230" s="157"/>
      <c r="AU230" s="157"/>
      <c r="AV230" s="158"/>
      <c r="AW230" s="158"/>
      <c r="AX230" s="158"/>
      <c r="AY230" s="158"/>
      <c r="AZ230" s="158"/>
      <c r="BA230" s="154"/>
      <c r="BB230" s="154"/>
      <c r="BC230" s="154"/>
      <c r="BD230" s="154"/>
      <c r="BE230" s="154"/>
      <c r="BF230" s="154"/>
      <c r="BG230" s="154"/>
      <c r="BH230" s="154"/>
      <c r="BI230" s="154"/>
      <c r="BJ230" s="154"/>
      <c r="BK230" s="159"/>
      <c r="BL230" s="159"/>
      <c r="BM230" s="161"/>
      <c r="BN230" s="161"/>
      <c r="BO230" s="163"/>
      <c r="BP230" s="164"/>
      <c r="BQ230" s="165"/>
      <c r="BR230" s="161"/>
      <c r="BS230" s="161"/>
      <c r="BT230" s="161"/>
      <c r="BU230" s="161"/>
      <c r="BV230" s="166"/>
      <c r="BW230" s="159"/>
      <c r="BX230" s="166"/>
      <c r="BY230" s="155"/>
      <c r="BZ230" s="167"/>
      <c r="CA230" s="159"/>
      <c r="CB230" s="168"/>
      <c r="CC230" s="155"/>
      <c r="CD230" s="159"/>
      <c r="CE230" s="161"/>
      <c r="CF230" s="162"/>
      <c r="DA230" s="113"/>
      <c r="DB230" s="113"/>
      <c r="DC230" s="113"/>
      <c r="DD230" s="115"/>
      <c r="DE230" s="88"/>
      <c r="DJ230" s="126"/>
      <c r="DK230" s="154"/>
      <c r="DL230" s="155"/>
      <c r="DM230" s="155"/>
      <c r="DN230" s="155"/>
      <c r="DO230" s="155"/>
      <c r="DP230" s="155"/>
      <c r="DQ230" s="155"/>
      <c r="DR230" s="155"/>
      <c r="DS230" s="156"/>
      <c r="DT230" s="157"/>
      <c r="DU230" s="157"/>
      <c r="DV230" s="158"/>
      <c r="DW230" s="158"/>
      <c r="DX230" s="158"/>
      <c r="DY230" s="158"/>
      <c r="DZ230" s="158"/>
      <c r="EA230" s="154"/>
      <c r="EB230" s="154"/>
      <c r="EC230" s="154"/>
      <c r="ED230" s="154"/>
      <c r="EE230" s="154"/>
      <c r="EF230" s="154"/>
      <c r="EG230" s="154"/>
      <c r="EH230" s="154"/>
      <c r="EI230" s="154"/>
      <c r="EJ230" s="154"/>
      <c r="EK230" s="159"/>
      <c r="EL230" s="159"/>
      <c r="EM230" s="161"/>
      <c r="EN230" s="161"/>
      <c r="EO230" s="163"/>
      <c r="EP230" s="164"/>
      <c r="EQ230" s="165"/>
      <c r="ER230" s="161"/>
      <c r="ES230" s="161"/>
      <c r="ET230" s="161"/>
      <c r="EU230" s="161"/>
      <c r="EV230" s="166"/>
      <c r="EW230" s="159"/>
      <c r="EX230" s="166"/>
      <c r="EY230" s="155"/>
      <c r="EZ230" s="167"/>
      <c r="FA230" s="159"/>
      <c r="FB230" s="168"/>
      <c r="FC230" s="155"/>
      <c r="FD230" s="159"/>
      <c r="FE230" s="161"/>
      <c r="FF230" s="162"/>
    </row>
    <row r="231" spans="27:162">
      <c r="AA231" s="113"/>
      <c r="AB231" s="113"/>
      <c r="AC231" s="113"/>
      <c r="AD231" s="115"/>
      <c r="AE231" s="88"/>
      <c r="AJ231" s="126"/>
      <c r="AK231" s="154"/>
      <c r="AL231" s="155"/>
      <c r="AM231" s="155"/>
      <c r="AN231" s="155"/>
      <c r="AO231" s="155"/>
      <c r="AP231" s="155"/>
      <c r="AQ231" s="155"/>
      <c r="AR231" s="155"/>
      <c r="AS231" s="156"/>
      <c r="AT231" s="157"/>
      <c r="AU231" s="157"/>
      <c r="AV231" s="158"/>
      <c r="AW231" s="158"/>
      <c r="AX231" s="158"/>
      <c r="AY231" s="158"/>
      <c r="AZ231" s="158"/>
      <c r="BA231" s="154"/>
      <c r="BB231" s="154"/>
      <c r="BC231" s="154"/>
      <c r="BD231" s="154"/>
      <c r="BE231" s="154"/>
      <c r="BF231" s="154"/>
      <c r="BG231" s="154"/>
      <c r="BH231" s="154"/>
      <c r="BI231" s="154"/>
      <c r="BJ231" s="154"/>
      <c r="BK231" s="159"/>
      <c r="BL231" s="159"/>
      <c r="BM231" s="161"/>
      <c r="BN231" s="161"/>
      <c r="BO231" s="163"/>
      <c r="BP231" s="164"/>
      <c r="BQ231" s="165"/>
      <c r="BR231" s="161"/>
      <c r="BS231" s="161"/>
      <c r="BT231" s="161"/>
      <c r="BU231" s="161"/>
      <c r="BV231" s="166"/>
      <c r="BW231" s="159"/>
      <c r="BX231" s="166"/>
      <c r="BY231" s="155"/>
      <c r="BZ231" s="167"/>
      <c r="CA231" s="159"/>
      <c r="CB231" s="168"/>
      <c r="CC231" s="155"/>
      <c r="CD231" s="159"/>
      <c r="CE231" s="161"/>
      <c r="CF231" s="162"/>
      <c r="DA231" s="113"/>
      <c r="DB231" s="113"/>
      <c r="DC231" s="113"/>
      <c r="DD231" s="115"/>
      <c r="DE231" s="88"/>
      <c r="DJ231" s="126"/>
      <c r="DK231" s="154"/>
      <c r="DL231" s="155"/>
      <c r="DM231" s="155"/>
      <c r="DN231" s="155"/>
      <c r="DO231" s="155"/>
      <c r="DP231" s="155"/>
      <c r="DQ231" s="155"/>
      <c r="DR231" s="155"/>
      <c r="DS231" s="156"/>
      <c r="DT231" s="157"/>
      <c r="DU231" s="157"/>
      <c r="DV231" s="158"/>
      <c r="DW231" s="158"/>
      <c r="DX231" s="158"/>
      <c r="DY231" s="158"/>
      <c r="DZ231" s="158"/>
      <c r="EA231" s="154"/>
      <c r="EB231" s="154"/>
      <c r="EC231" s="154"/>
      <c r="ED231" s="154"/>
      <c r="EE231" s="154"/>
      <c r="EF231" s="154"/>
      <c r="EG231" s="154"/>
      <c r="EH231" s="154"/>
      <c r="EI231" s="154"/>
      <c r="EJ231" s="154"/>
      <c r="EK231" s="159"/>
      <c r="EL231" s="159"/>
      <c r="EM231" s="161"/>
      <c r="EN231" s="161"/>
      <c r="EO231" s="163"/>
      <c r="EP231" s="164"/>
      <c r="EQ231" s="165"/>
      <c r="ER231" s="161"/>
      <c r="ES231" s="161"/>
      <c r="ET231" s="161"/>
      <c r="EU231" s="161"/>
      <c r="EV231" s="166"/>
      <c r="EW231" s="159"/>
      <c r="EX231" s="166"/>
      <c r="EY231" s="155"/>
      <c r="EZ231" s="167"/>
      <c r="FA231" s="159"/>
      <c r="FB231" s="168"/>
      <c r="FC231" s="155"/>
      <c r="FD231" s="159"/>
      <c r="FE231" s="161"/>
      <c r="FF231" s="162"/>
    </row>
    <row r="232" spans="27:162">
      <c r="AA232" s="113"/>
      <c r="AB232" s="113"/>
      <c r="AC232" s="113"/>
      <c r="AD232" s="115"/>
      <c r="AE232" s="88"/>
      <c r="AJ232" s="126"/>
      <c r="AK232" s="154"/>
      <c r="AL232" s="155"/>
      <c r="AM232" s="155"/>
      <c r="AN232" s="155"/>
      <c r="AO232" s="155"/>
      <c r="AP232" s="155"/>
      <c r="AQ232" s="155"/>
      <c r="AR232" s="155"/>
      <c r="AS232" s="156"/>
      <c r="AT232" s="157"/>
      <c r="AU232" s="157"/>
      <c r="AV232" s="158"/>
      <c r="AW232" s="158"/>
      <c r="AX232" s="158"/>
      <c r="AY232" s="158"/>
      <c r="AZ232" s="158"/>
      <c r="BA232" s="154"/>
      <c r="BB232" s="154"/>
      <c r="BC232" s="154"/>
      <c r="BD232" s="154"/>
      <c r="BE232" s="154"/>
      <c r="BF232" s="154"/>
      <c r="BG232" s="154"/>
      <c r="BH232" s="154"/>
      <c r="BI232" s="154"/>
      <c r="BJ232" s="154"/>
      <c r="BK232" s="159"/>
      <c r="BL232" s="159"/>
      <c r="BM232" s="161"/>
      <c r="BN232" s="161"/>
      <c r="BO232" s="163"/>
      <c r="BP232" s="164"/>
      <c r="BQ232" s="165"/>
      <c r="BR232" s="161"/>
      <c r="BS232" s="161"/>
      <c r="BT232" s="161"/>
      <c r="BU232" s="161"/>
      <c r="BV232" s="166"/>
      <c r="BW232" s="159"/>
      <c r="BX232" s="166"/>
      <c r="BY232" s="155"/>
      <c r="BZ232" s="167"/>
      <c r="CA232" s="159"/>
      <c r="CB232" s="168"/>
      <c r="CC232" s="155"/>
      <c r="CD232" s="159"/>
      <c r="CE232" s="161"/>
      <c r="CF232" s="162"/>
      <c r="DA232" s="113"/>
      <c r="DB232" s="113"/>
      <c r="DC232" s="113"/>
      <c r="DD232" s="115"/>
      <c r="DE232" s="88"/>
      <c r="DJ232" s="126"/>
      <c r="DK232" s="154"/>
      <c r="DL232" s="155"/>
      <c r="DM232" s="155"/>
      <c r="DN232" s="155"/>
      <c r="DO232" s="155"/>
      <c r="DP232" s="155"/>
      <c r="DQ232" s="155"/>
      <c r="DR232" s="155"/>
      <c r="DS232" s="156"/>
      <c r="DT232" s="157"/>
      <c r="DU232" s="157"/>
      <c r="DV232" s="158"/>
      <c r="DW232" s="158"/>
      <c r="DX232" s="158"/>
      <c r="DY232" s="158"/>
      <c r="DZ232" s="158"/>
      <c r="EA232" s="154"/>
      <c r="EB232" s="154"/>
      <c r="EC232" s="154"/>
      <c r="ED232" s="154"/>
      <c r="EE232" s="154"/>
      <c r="EF232" s="154"/>
      <c r="EG232" s="154"/>
      <c r="EH232" s="154"/>
      <c r="EI232" s="154"/>
      <c r="EJ232" s="154"/>
      <c r="EK232" s="159"/>
      <c r="EL232" s="159"/>
      <c r="EM232" s="161"/>
      <c r="EN232" s="161"/>
      <c r="EO232" s="163"/>
      <c r="EP232" s="164"/>
      <c r="EQ232" s="165"/>
      <c r="ER232" s="161"/>
      <c r="ES232" s="161"/>
      <c r="ET232" s="161"/>
      <c r="EU232" s="161"/>
      <c r="EV232" s="166"/>
      <c r="EW232" s="159"/>
      <c r="EX232" s="166"/>
      <c r="EY232" s="155"/>
      <c r="EZ232" s="167"/>
      <c r="FA232" s="159"/>
      <c r="FB232" s="168"/>
      <c r="FC232" s="155"/>
      <c r="FD232" s="159"/>
      <c r="FE232" s="161"/>
      <c r="FF232" s="162"/>
    </row>
    <row r="233" spans="27:162">
      <c r="AA233" s="113"/>
      <c r="AB233" s="113"/>
      <c r="AC233" s="113"/>
      <c r="AD233" s="115"/>
      <c r="AE233" s="88"/>
      <c r="AJ233" s="126"/>
      <c r="AK233" s="154"/>
      <c r="AL233" s="155"/>
      <c r="AM233" s="155"/>
      <c r="AN233" s="155"/>
      <c r="AO233" s="155"/>
      <c r="AP233" s="155"/>
      <c r="AQ233" s="155"/>
      <c r="AR233" s="155"/>
      <c r="AS233" s="156"/>
      <c r="AT233" s="157"/>
      <c r="AU233" s="157"/>
      <c r="AV233" s="158"/>
      <c r="AW233" s="158"/>
      <c r="AX233" s="158"/>
      <c r="AY233" s="158"/>
      <c r="AZ233" s="158"/>
      <c r="BA233" s="154"/>
      <c r="BB233" s="154"/>
      <c r="BC233" s="154"/>
      <c r="BD233" s="154"/>
      <c r="BE233" s="154"/>
      <c r="BF233" s="154"/>
      <c r="BG233" s="154"/>
      <c r="BH233" s="154"/>
      <c r="BI233" s="154"/>
      <c r="BJ233" s="154"/>
      <c r="BK233" s="159"/>
      <c r="BL233" s="159"/>
      <c r="BM233" s="161"/>
      <c r="BN233" s="161"/>
      <c r="BO233" s="163"/>
      <c r="BP233" s="164"/>
      <c r="BQ233" s="165"/>
      <c r="BR233" s="161"/>
      <c r="BS233" s="161"/>
      <c r="BT233" s="161"/>
      <c r="BU233" s="161"/>
      <c r="BV233" s="166"/>
      <c r="BW233" s="159"/>
      <c r="BX233" s="166"/>
      <c r="BY233" s="155"/>
      <c r="BZ233" s="167"/>
      <c r="CA233" s="159"/>
      <c r="CB233" s="168"/>
      <c r="CC233" s="155"/>
      <c r="CD233" s="159"/>
      <c r="CE233" s="161"/>
      <c r="CF233" s="162"/>
      <c r="DA233" s="113"/>
      <c r="DB233" s="113"/>
      <c r="DC233" s="113"/>
      <c r="DD233" s="115"/>
      <c r="DE233" s="88"/>
      <c r="DJ233" s="126"/>
      <c r="DK233" s="154"/>
      <c r="DL233" s="155"/>
      <c r="DM233" s="155"/>
      <c r="DN233" s="155"/>
      <c r="DO233" s="155"/>
      <c r="DP233" s="155"/>
      <c r="DQ233" s="155"/>
      <c r="DR233" s="155"/>
      <c r="DS233" s="156"/>
      <c r="DT233" s="157"/>
      <c r="DU233" s="157"/>
      <c r="DV233" s="158"/>
      <c r="DW233" s="158"/>
      <c r="DX233" s="158"/>
      <c r="DY233" s="158"/>
      <c r="DZ233" s="158"/>
      <c r="EA233" s="154"/>
      <c r="EB233" s="154"/>
      <c r="EC233" s="154"/>
      <c r="ED233" s="154"/>
      <c r="EE233" s="154"/>
      <c r="EF233" s="154"/>
      <c r="EG233" s="154"/>
      <c r="EH233" s="154"/>
      <c r="EI233" s="154"/>
      <c r="EJ233" s="154"/>
      <c r="EK233" s="159"/>
      <c r="EL233" s="159"/>
      <c r="EM233" s="161"/>
      <c r="EN233" s="161"/>
      <c r="EO233" s="163"/>
      <c r="EP233" s="164"/>
      <c r="EQ233" s="165"/>
      <c r="ER233" s="161"/>
      <c r="ES233" s="161"/>
      <c r="ET233" s="161"/>
      <c r="EU233" s="161"/>
      <c r="EV233" s="166"/>
      <c r="EW233" s="159"/>
      <c r="EX233" s="166"/>
      <c r="EY233" s="155"/>
      <c r="EZ233" s="167"/>
      <c r="FA233" s="159"/>
      <c r="FB233" s="168"/>
      <c r="FC233" s="155"/>
      <c r="FD233" s="159"/>
      <c r="FE233" s="161"/>
      <c r="FF233" s="162"/>
    </row>
    <row r="234" spans="27:162">
      <c r="AA234" s="113"/>
      <c r="AB234" s="113"/>
      <c r="AC234" s="113"/>
      <c r="AD234" s="115"/>
      <c r="AE234" s="88"/>
      <c r="AJ234" s="126"/>
      <c r="AK234" s="154"/>
      <c r="AL234" s="155"/>
      <c r="AM234" s="155"/>
      <c r="AN234" s="155"/>
      <c r="AO234" s="155"/>
      <c r="AP234" s="155"/>
      <c r="AQ234" s="155"/>
      <c r="AR234" s="155"/>
      <c r="AS234" s="156"/>
      <c r="AT234" s="157"/>
      <c r="AU234" s="157"/>
      <c r="AV234" s="158"/>
      <c r="AW234" s="158"/>
      <c r="AX234" s="158"/>
      <c r="AY234" s="158"/>
      <c r="AZ234" s="158"/>
      <c r="BA234" s="154"/>
      <c r="BB234" s="154"/>
      <c r="BC234" s="154"/>
      <c r="BD234" s="154"/>
      <c r="BE234" s="154"/>
      <c r="BF234" s="154"/>
      <c r="BG234" s="154"/>
      <c r="BH234" s="154"/>
      <c r="BI234" s="154"/>
      <c r="BJ234" s="154"/>
      <c r="BK234" s="159"/>
      <c r="BL234" s="159"/>
      <c r="BM234" s="161"/>
      <c r="BN234" s="161"/>
      <c r="BO234" s="163"/>
      <c r="BP234" s="164"/>
      <c r="BQ234" s="165"/>
      <c r="BR234" s="161"/>
      <c r="BS234" s="161"/>
      <c r="BT234" s="161"/>
      <c r="BU234" s="161"/>
      <c r="BV234" s="166"/>
      <c r="BW234" s="159"/>
      <c r="BX234" s="166"/>
      <c r="BY234" s="155"/>
      <c r="BZ234" s="167"/>
      <c r="CA234" s="159"/>
      <c r="CB234" s="168"/>
      <c r="CC234" s="155"/>
      <c r="CD234" s="159"/>
      <c r="CE234" s="161"/>
      <c r="CF234" s="162"/>
      <c r="DA234" s="113"/>
      <c r="DB234" s="113"/>
      <c r="DC234" s="113"/>
      <c r="DD234" s="115"/>
      <c r="DE234" s="88"/>
      <c r="DJ234" s="126"/>
      <c r="DK234" s="154"/>
      <c r="DL234" s="155"/>
      <c r="DM234" s="155"/>
      <c r="DN234" s="155"/>
      <c r="DO234" s="155"/>
      <c r="DP234" s="155"/>
      <c r="DQ234" s="155"/>
      <c r="DR234" s="155"/>
      <c r="DS234" s="156"/>
      <c r="DT234" s="157"/>
      <c r="DU234" s="157"/>
      <c r="DV234" s="158"/>
      <c r="DW234" s="158"/>
      <c r="DX234" s="158"/>
      <c r="DY234" s="158"/>
      <c r="DZ234" s="158"/>
      <c r="EA234" s="154"/>
      <c r="EB234" s="154"/>
      <c r="EC234" s="154"/>
      <c r="ED234" s="154"/>
      <c r="EE234" s="154"/>
      <c r="EF234" s="154"/>
      <c r="EG234" s="154"/>
      <c r="EH234" s="154"/>
      <c r="EI234" s="154"/>
      <c r="EJ234" s="154"/>
      <c r="EK234" s="159"/>
      <c r="EL234" s="159"/>
      <c r="EM234" s="161"/>
      <c r="EN234" s="161"/>
      <c r="EO234" s="163"/>
      <c r="EP234" s="164"/>
      <c r="EQ234" s="165"/>
      <c r="ER234" s="161"/>
      <c r="ES234" s="161"/>
      <c r="ET234" s="161"/>
      <c r="EU234" s="161"/>
      <c r="EV234" s="166"/>
      <c r="EW234" s="159"/>
      <c r="EX234" s="166"/>
      <c r="EY234" s="155"/>
      <c r="EZ234" s="167"/>
      <c r="FA234" s="159"/>
      <c r="FB234" s="168"/>
      <c r="FC234" s="155"/>
      <c r="FD234" s="159"/>
      <c r="FE234" s="161"/>
      <c r="FF234" s="162"/>
    </row>
    <row r="235" spans="27:162">
      <c r="AA235" s="113"/>
      <c r="AB235" s="113"/>
      <c r="AC235" s="113"/>
      <c r="AD235" s="115"/>
      <c r="AE235" s="88"/>
      <c r="AJ235" s="126"/>
      <c r="AK235" s="154"/>
      <c r="AL235" s="155"/>
      <c r="AM235" s="155"/>
      <c r="AN235" s="155"/>
      <c r="AO235" s="155"/>
      <c r="AP235" s="155"/>
      <c r="AQ235" s="155"/>
      <c r="AR235" s="155"/>
      <c r="AS235" s="156"/>
      <c r="AT235" s="157"/>
      <c r="AU235" s="157"/>
      <c r="AV235" s="158"/>
      <c r="AW235" s="158"/>
      <c r="AX235" s="158"/>
      <c r="AY235" s="158"/>
      <c r="AZ235" s="158"/>
      <c r="BA235" s="154"/>
      <c r="BB235" s="154"/>
      <c r="BC235" s="154"/>
      <c r="BD235" s="154"/>
      <c r="BE235" s="154"/>
      <c r="BF235" s="154"/>
      <c r="BG235" s="154"/>
      <c r="BH235" s="154"/>
      <c r="BI235" s="154"/>
      <c r="BJ235" s="154"/>
      <c r="BK235" s="159"/>
      <c r="BL235" s="159"/>
      <c r="BM235" s="161"/>
      <c r="BN235" s="161"/>
      <c r="BO235" s="163"/>
      <c r="BP235" s="164"/>
      <c r="BQ235" s="165"/>
      <c r="BR235" s="161"/>
      <c r="BS235" s="161"/>
      <c r="BT235" s="161"/>
      <c r="BU235" s="161"/>
      <c r="BV235" s="166"/>
      <c r="BW235" s="159"/>
      <c r="BX235" s="166"/>
      <c r="BY235" s="155"/>
      <c r="BZ235" s="167"/>
      <c r="CA235" s="159"/>
      <c r="CB235" s="168"/>
      <c r="CC235" s="155"/>
      <c r="CD235" s="159"/>
      <c r="CE235" s="161"/>
      <c r="CF235" s="162"/>
      <c r="DA235" s="113"/>
      <c r="DB235" s="113"/>
      <c r="DC235" s="113"/>
      <c r="DD235" s="115"/>
      <c r="DE235" s="88"/>
      <c r="DJ235" s="126"/>
      <c r="DK235" s="154"/>
      <c r="DL235" s="155"/>
      <c r="DM235" s="155"/>
      <c r="DN235" s="155"/>
      <c r="DO235" s="155"/>
      <c r="DP235" s="155"/>
      <c r="DQ235" s="155"/>
      <c r="DR235" s="155"/>
      <c r="DS235" s="156"/>
      <c r="DT235" s="157"/>
      <c r="DU235" s="157"/>
      <c r="DV235" s="158"/>
      <c r="DW235" s="158"/>
      <c r="DX235" s="158"/>
      <c r="DY235" s="158"/>
      <c r="DZ235" s="158"/>
      <c r="EA235" s="154"/>
      <c r="EB235" s="154"/>
      <c r="EC235" s="154"/>
      <c r="ED235" s="154"/>
      <c r="EE235" s="154"/>
      <c r="EF235" s="154"/>
      <c r="EG235" s="154"/>
      <c r="EH235" s="154"/>
      <c r="EI235" s="154"/>
      <c r="EJ235" s="154"/>
      <c r="EK235" s="159"/>
      <c r="EL235" s="159"/>
      <c r="EM235" s="161"/>
      <c r="EN235" s="161"/>
      <c r="EO235" s="163"/>
      <c r="EP235" s="164"/>
      <c r="EQ235" s="165"/>
      <c r="ER235" s="161"/>
      <c r="ES235" s="161"/>
      <c r="ET235" s="161"/>
      <c r="EU235" s="161"/>
      <c r="EV235" s="166"/>
      <c r="EW235" s="159"/>
      <c r="EX235" s="166"/>
      <c r="EY235" s="155"/>
      <c r="EZ235" s="167"/>
      <c r="FA235" s="159"/>
      <c r="FB235" s="168"/>
      <c r="FC235" s="155"/>
      <c r="FD235" s="159"/>
      <c r="FE235" s="161"/>
      <c r="FF235" s="162"/>
    </row>
    <row r="236" spans="27:162">
      <c r="AA236" s="113"/>
      <c r="AB236" s="113"/>
      <c r="AC236" s="113"/>
      <c r="AD236" s="115"/>
      <c r="AE236" s="88"/>
      <c r="AJ236" s="126"/>
      <c r="AK236" s="154"/>
      <c r="AL236" s="155"/>
      <c r="AM236" s="155"/>
      <c r="AN236" s="155"/>
      <c r="AO236" s="155"/>
      <c r="AP236" s="155"/>
      <c r="AQ236" s="155"/>
      <c r="AR236" s="155"/>
      <c r="AS236" s="156"/>
      <c r="AT236" s="157"/>
      <c r="AU236" s="157"/>
      <c r="AV236" s="158"/>
      <c r="AW236" s="158"/>
      <c r="AX236" s="158"/>
      <c r="AY236" s="158"/>
      <c r="AZ236" s="158"/>
      <c r="BA236" s="154"/>
      <c r="BB236" s="154"/>
      <c r="BC236" s="154"/>
      <c r="BD236" s="154"/>
      <c r="BE236" s="154"/>
      <c r="BF236" s="154"/>
      <c r="BG236" s="154"/>
      <c r="BH236" s="154"/>
      <c r="BI236" s="154"/>
      <c r="BJ236" s="154"/>
      <c r="BK236" s="159"/>
      <c r="BL236" s="159"/>
      <c r="BM236" s="161"/>
      <c r="BN236" s="161"/>
      <c r="BO236" s="163"/>
      <c r="BP236" s="164"/>
      <c r="BQ236" s="165"/>
      <c r="BR236" s="161"/>
      <c r="BS236" s="161"/>
      <c r="BT236" s="161"/>
      <c r="BU236" s="161"/>
      <c r="BV236" s="166"/>
      <c r="BW236" s="159"/>
      <c r="BX236" s="166"/>
      <c r="BY236" s="155"/>
      <c r="BZ236" s="167"/>
      <c r="CA236" s="159"/>
      <c r="CB236" s="168"/>
      <c r="CC236" s="155"/>
      <c r="CD236" s="159"/>
      <c r="CE236" s="161"/>
      <c r="CF236" s="162"/>
      <c r="DA236" s="113"/>
      <c r="DB236" s="113"/>
      <c r="DC236" s="113"/>
      <c r="DD236" s="115"/>
      <c r="DE236" s="88"/>
      <c r="DJ236" s="126"/>
      <c r="DK236" s="154"/>
      <c r="DL236" s="155"/>
      <c r="DM236" s="155"/>
      <c r="DN236" s="155"/>
      <c r="DO236" s="155"/>
      <c r="DP236" s="155"/>
      <c r="DQ236" s="155"/>
      <c r="DR236" s="155"/>
      <c r="DS236" s="156"/>
      <c r="DT236" s="157"/>
      <c r="DU236" s="157"/>
      <c r="DV236" s="158"/>
      <c r="DW236" s="158"/>
      <c r="DX236" s="158"/>
      <c r="DY236" s="158"/>
      <c r="DZ236" s="158"/>
      <c r="EA236" s="154"/>
      <c r="EB236" s="154"/>
      <c r="EC236" s="154"/>
      <c r="ED236" s="154"/>
      <c r="EE236" s="154"/>
      <c r="EF236" s="154"/>
      <c r="EG236" s="154"/>
      <c r="EH236" s="154"/>
      <c r="EI236" s="154"/>
      <c r="EJ236" s="154"/>
      <c r="EK236" s="159"/>
      <c r="EL236" s="159"/>
      <c r="EM236" s="161"/>
      <c r="EN236" s="161"/>
      <c r="EO236" s="163"/>
      <c r="EP236" s="164"/>
      <c r="EQ236" s="165"/>
      <c r="ER236" s="161"/>
      <c r="ES236" s="161"/>
      <c r="ET236" s="161"/>
      <c r="EU236" s="161"/>
      <c r="EV236" s="166"/>
      <c r="EW236" s="159"/>
      <c r="EX236" s="166"/>
      <c r="EY236" s="155"/>
      <c r="EZ236" s="167"/>
      <c r="FA236" s="159"/>
      <c r="FB236" s="168"/>
      <c r="FC236" s="155"/>
      <c r="FD236" s="159"/>
      <c r="FE236" s="161"/>
      <c r="FF236" s="162"/>
    </row>
    <row r="237" spans="27:162">
      <c r="AA237" s="113"/>
      <c r="AB237" s="113"/>
      <c r="AC237" s="113"/>
      <c r="AD237" s="115"/>
      <c r="AE237" s="88"/>
      <c r="AJ237" s="126"/>
      <c r="AK237" s="154"/>
      <c r="AL237" s="155"/>
      <c r="AM237" s="155"/>
      <c r="AN237" s="155"/>
      <c r="AO237" s="155"/>
      <c r="AP237" s="155"/>
      <c r="AQ237" s="155"/>
      <c r="AR237" s="155"/>
      <c r="AS237" s="156"/>
      <c r="AT237" s="157"/>
      <c r="AU237" s="157"/>
      <c r="AV237" s="158"/>
      <c r="AW237" s="158"/>
      <c r="AX237" s="158"/>
      <c r="AY237" s="158"/>
      <c r="AZ237" s="158"/>
      <c r="BA237" s="154"/>
      <c r="BB237" s="154"/>
      <c r="BC237" s="154"/>
      <c r="BD237" s="154"/>
      <c r="BE237" s="154"/>
      <c r="BF237" s="154"/>
      <c r="BG237" s="154"/>
      <c r="BH237" s="154"/>
      <c r="BI237" s="154"/>
      <c r="BJ237" s="154"/>
      <c r="BK237" s="159"/>
      <c r="BL237" s="159"/>
      <c r="BM237" s="161"/>
      <c r="BN237" s="161"/>
      <c r="BO237" s="163"/>
      <c r="BP237" s="164"/>
      <c r="BQ237" s="165"/>
      <c r="BR237" s="161"/>
      <c r="BS237" s="161"/>
      <c r="BT237" s="161"/>
      <c r="BU237" s="161"/>
      <c r="BV237" s="166"/>
      <c r="BW237" s="159"/>
      <c r="BX237" s="166"/>
      <c r="BY237" s="155"/>
      <c r="BZ237" s="167"/>
      <c r="CA237" s="159"/>
      <c r="CB237" s="168"/>
      <c r="CC237" s="155"/>
      <c r="CD237" s="159"/>
      <c r="CE237" s="161"/>
      <c r="CF237" s="162"/>
      <c r="DA237" s="113"/>
      <c r="DB237" s="113"/>
      <c r="DC237" s="113"/>
      <c r="DD237" s="115"/>
      <c r="DE237" s="88"/>
      <c r="DJ237" s="126"/>
      <c r="DK237" s="154"/>
      <c r="DL237" s="155"/>
      <c r="DM237" s="155"/>
      <c r="DN237" s="155"/>
      <c r="DO237" s="155"/>
      <c r="DP237" s="155"/>
      <c r="DQ237" s="155"/>
      <c r="DR237" s="155"/>
      <c r="DS237" s="156"/>
      <c r="DT237" s="157"/>
      <c r="DU237" s="157"/>
      <c r="DV237" s="158"/>
      <c r="DW237" s="158"/>
      <c r="DX237" s="158"/>
      <c r="DY237" s="158"/>
      <c r="DZ237" s="158"/>
      <c r="EA237" s="154"/>
      <c r="EB237" s="154"/>
      <c r="EC237" s="154"/>
      <c r="ED237" s="154"/>
      <c r="EE237" s="154"/>
      <c r="EF237" s="154"/>
      <c r="EG237" s="154"/>
      <c r="EH237" s="154"/>
      <c r="EI237" s="154"/>
      <c r="EJ237" s="154"/>
      <c r="EK237" s="159"/>
      <c r="EL237" s="159"/>
      <c r="EM237" s="161"/>
      <c r="EN237" s="161"/>
      <c r="EO237" s="163"/>
      <c r="EP237" s="164"/>
      <c r="EQ237" s="165"/>
      <c r="ER237" s="161"/>
      <c r="ES237" s="161"/>
      <c r="ET237" s="161"/>
      <c r="EU237" s="161"/>
      <c r="EV237" s="166"/>
      <c r="EW237" s="159"/>
      <c r="EX237" s="166"/>
      <c r="EY237" s="155"/>
      <c r="EZ237" s="167"/>
      <c r="FA237" s="159"/>
      <c r="FB237" s="168"/>
      <c r="FC237" s="155"/>
      <c r="FD237" s="159"/>
      <c r="FE237" s="161"/>
      <c r="FF237" s="162"/>
    </row>
    <row r="238" spans="27:162">
      <c r="AA238" s="113"/>
      <c r="AB238" s="113"/>
      <c r="AC238" s="113"/>
      <c r="AD238" s="115"/>
      <c r="AE238" s="88"/>
      <c r="AJ238" s="126"/>
      <c r="AK238" s="154"/>
      <c r="AL238" s="155"/>
      <c r="AM238" s="155"/>
      <c r="AN238" s="155"/>
      <c r="AO238" s="155"/>
      <c r="AP238" s="155"/>
      <c r="AQ238" s="155"/>
      <c r="AR238" s="155"/>
      <c r="AS238" s="156"/>
      <c r="AT238" s="157"/>
      <c r="AU238" s="157"/>
      <c r="AV238" s="158"/>
      <c r="AW238" s="158"/>
      <c r="AX238" s="158"/>
      <c r="AY238" s="158"/>
      <c r="AZ238" s="158"/>
      <c r="BA238" s="154"/>
      <c r="BB238" s="154"/>
      <c r="BC238" s="154"/>
      <c r="BD238" s="154"/>
      <c r="BE238" s="154"/>
      <c r="BF238" s="154"/>
      <c r="BG238" s="154"/>
      <c r="BH238" s="154"/>
      <c r="BI238" s="154"/>
      <c r="BJ238" s="154"/>
      <c r="BK238" s="159"/>
      <c r="BL238" s="159"/>
      <c r="BM238" s="161"/>
      <c r="BN238" s="161"/>
      <c r="BO238" s="163"/>
      <c r="BP238" s="164"/>
      <c r="BQ238" s="165"/>
      <c r="BR238" s="161"/>
      <c r="BS238" s="161"/>
      <c r="BT238" s="161"/>
      <c r="BU238" s="161"/>
      <c r="BV238" s="166"/>
      <c r="BW238" s="159"/>
      <c r="BX238" s="166"/>
      <c r="BY238" s="155"/>
      <c r="BZ238" s="167"/>
      <c r="CA238" s="159"/>
      <c r="CB238" s="168"/>
      <c r="CC238" s="155"/>
      <c r="CD238" s="159"/>
      <c r="CE238" s="161"/>
      <c r="CF238" s="162"/>
      <c r="DA238" s="113"/>
      <c r="DB238" s="113"/>
      <c r="DC238" s="113"/>
      <c r="DD238" s="115"/>
      <c r="DE238" s="88"/>
      <c r="DJ238" s="126"/>
      <c r="DK238" s="154"/>
      <c r="DL238" s="155"/>
      <c r="DM238" s="155"/>
      <c r="DN238" s="155"/>
      <c r="DO238" s="155"/>
      <c r="DP238" s="155"/>
      <c r="DQ238" s="155"/>
      <c r="DR238" s="155"/>
      <c r="DS238" s="156"/>
      <c r="DT238" s="157"/>
      <c r="DU238" s="157"/>
      <c r="DV238" s="158"/>
      <c r="DW238" s="158"/>
      <c r="DX238" s="158"/>
      <c r="DY238" s="158"/>
      <c r="DZ238" s="158"/>
      <c r="EA238" s="154"/>
      <c r="EB238" s="154"/>
      <c r="EC238" s="154"/>
      <c r="ED238" s="154"/>
      <c r="EE238" s="154"/>
      <c r="EF238" s="154"/>
      <c r="EG238" s="154"/>
      <c r="EH238" s="154"/>
      <c r="EI238" s="154"/>
      <c r="EJ238" s="154"/>
      <c r="EK238" s="159"/>
      <c r="EL238" s="159"/>
      <c r="EM238" s="161"/>
      <c r="EN238" s="161"/>
      <c r="EO238" s="163"/>
      <c r="EP238" s="164"/>
      <c r="EQ238" s="165"/>
      <c r="ER238" s="161"/>
      <c r="ES238" s="161"/>
      <c r="ET238" s="161"/>
      <c r="EU238" s="161"/>
      <c r="EV238" s="166"/>
      <c r="EW238" s="159"/>
      <c r="EX238" s="166"/>
      <c r="EY238" s="155"/>
      <c r="EZ238" s="167"/>
      <c r="FA238" s="159"/>
      <c r="FB238" s="168"/>
      <c r="FC238" s="155"/>
      <c r="FD238" s="159"/>
      <c r="FE238" s="161"/>
      <c r="FF238" s="162"/>
    </row>
    <row r="239" spans="27:162">
      <c r="AE239" s="88"/>
      <c r="AK239" s="127"/>
      <c r="AL239" s="128"/>
      <c r="AM239" s="128"/>
      <c r="AN239" s="128"/>
      <c r="AO239" s="128"/>
      <c r="AP239" s="128"/>
      <c r="AQ239" s="128"/>
      <c r="AR239" s="128"/>
      <c r="AS239" s="134"/>
      <c r="AT239" s="135"/>
      <c r="AU239" s="135"/>
      <c r="AV239" s="136"/>
      <c r="AW239" s="136"/>
      <c r="AX239" s="136"/>
      <c r="AY239" s="136"/>
      <c r="AZ239" s="136"/>
      <c r="BA239" s="127"/>
      <c r="BB239" s="127"/>
      <c r="BC239" s="127"/>
      <c r="BD239" s="127"/>
      <c r="BE239" s="127"/>
      <c r="BF239" s="127"/>
      <c r="BG239" s="127"/>
      <c r="BH239" s="127"/>
      <c r="BI239" s="127"/>
      <c r="BJ239" s="127"/>
      <c r="BK239" s="137"/>
      <c r="BL239" s="66"/>
      <c r="BM239" s="99"/>
      <c r="BN239" s="99"/>
      <c r="BO239" s="138"/>
      <c r="BP239" s="139"/>
      <c r="BQ239" s="140"/>
      <c r="BR239" s="99"/>
      <c r="BS239" s="99"/>
      <c r="BT239" s="99"/>
      <c r="BU239" s="99"/>
      <c r="BV239" s="141"/>
      <c r="BW239" s="137"/>
      <c r="BX239" s="141"/>
      <c r="BY239" s="128"/>
      <c r="BZ239" s="142"/>
      <c r="CA239" s="137"/>
      <c r="CB239" s="143"/>
      <c r="CC239" s="128"/>
      <c r="CD239" s="137"/>
      <c r="CE239" s="133"/>
      <c r="CF239" s="144"/>
      <c r="DE239" s="88"/>
      <c r="DK239" s="127"/>
      <c r="DL239" s="128"/>
      <c r="DM239" s="128"/>
      <c r="DN239" s="128"/>
      <c r="DO239" s="128"/>
      <c r="DP239" s="128"/>
      <c r="DQ239" s="128"/>
      <c r="DR239" s="128"/>
      <c r="DS239" s="134"/>
      <c r="DT239" s="135"/>
      <c r="DU239" s="135"/>
      <c r="DV239" s="136"/>
      <c r="DW239" s="136"/>
      <c r="DX239" s="136"/>
      <c r="DY239" s="136"/>
      <c r="DZ239" s="136"/>
      <c r="EA239" s="127"/>
      <c r="EB239" s="127"/>
      <c r="EC239" s="127"/>
      <c r="ED239" s="127"/>
      <c r="EE239" s="127"/>
      <c r="EF239" s="127"/>
      <c r="EG239" s="127"/>
      <c r="EH239" s="127"/>
      <c r="EI239" s="127"/>
      <c r="EJ239" s="127"/>
      <c r="EK239" s="137"/>
      <c r="EL239" s="66"/>
      <c r="EM239" s="99"/>
      <c r="EN239" s="99"/>
      <c r="EO239" s="138"/>
      <c r="EP239" s="139"/>
      <c r="EQ239" s="140"/>
      <c r="ER239" s="99"/>
      <c r="ES239" s="99"/>
      <c r="ET239" s="99"/>
      <c r="EU239" s="99"/>
      <c r="EV239" s="141"/>
      <c r="EW239" s="137"/>
      <c r="EX239" s="141"/>
      <c r="EY239" s="128"/>
      <c r="EZ239" s="142"/>
      <c r="FA239" s="137"/>
      <c r="FB239" s="143"/>
      <c r="FC239" s="128"/>
      <c r="FD239" s="137"/>
      <c r="FE239" s="133"/>
      <c r="FF239" s="144"/>
    </row>
    <row r="240" spans="27:162">
      <c r="AE240" s="88"/>
      <c r="AK240" s="89"/>
      <c r="AL240" s="8"/>
      <c r="AM240" s="8"/>
      <c r="AN240" s="8"/>
      <c r="AO240" s="8"/>
      <c r="AP240" s="8"/>
      <c r="AQ240" s="8"/>
      <c r="AR240" s="8"/>
      <c r="AZ240" s="45"/>
      <c r="BA240" s="89"/>
      <c r="BB240" s="89"/>
      <c r="BC240" s="89"/>
      <c r="BD240" s="89"/>
      <c r="BE240" s="89"/>
      <c r="BF240" s="89"/>
      <c r="BG240" s="89"/>
      <c r="BH240" s="89"/>
      <c r="BI240" s="89"/>
      <c r="BJ240" s="89"/>
      <c r="BK240" s="91"/>
      <c r="BL240" s="66"/>
      <c r="BM240" s="94"/>
      <c r="BN240" s="94"/>
      <c r="BO240" s="92"/>
      <c r="BP240" s="93"/>
      <c r="BQ240" s="23"/>
      <c r="BR240" s="94"/>
      <c r="BS240" s="94"/>
      <c r="BT240" s="94"/>
      <c r="BU240" s="94"/>
      <c r="BV240" s="95"/>
      <c r="BW240" s="91"/>
      <c r="BX240" s="95"/>
      <c r="BY240" s="8"/>
      <c r="BZ240" s="96"/>
      <c r="CA240" s="91"/>
      <c r="CB240" s="97"/>
      <c r="CC240" s="8"/>
      <c r="CD240" s="91"/>
      <c r="CE240" s="98"/>
      <c r="CF240" s="131"/>
      <c r="DE240" s="88"/>
      <c r="DK240" s="89"/>
      <c r="DL240" s="8"/>
      <c r="DM240" s="8"/>
      <c r="DN240" s="8"/>
      <c r="DO240" s="8"/>
      <c r="DP240" s="8"/>
      <c r="DQ240" s="8"/>
      <c r="DR240" s="8"/>
      <c r="DZ240" s="45"/>
      <c r="EA240" s="89"/>
      <c r="EB240" s="89"/>
      <c r="EC240" s="89"/>
      <c r="ED240" s="89"/>
      <c r="EE240" s="89"/>
      <c r="EF240" s="89"/>
      <c r="EG240" s="89"/>
      <c r="EH240" s="89"/>
      <c r="EI240" s="89"/>
      <c r="EJ240" s="89"/>
      <c r="EK240" s="91"/>
      <c r="EL240" s="66"/>
      <c r="EM240" s="94"/>
      <c r="EN240" s="94"/>
      <c r="EO240" s="92"/>
      <c r="EP240" s="93"/>
      <c r="EQ240" s="23"/>
      <c r="ER240" s="94"/>
      <c r="ES240" s="94"/>
      <c r="ET240" s="94"/>
      <c r="EU240" s="94"/>
      <c r="EV240" s="95"/>
      <c r="EW240" s="91"/>
      <c r="EX240" s="95"/>
      <c r="EY240" s="8"/>
      <c r="EZ240" s="96"/>
      <c r="FA240" s="91"/>
      <c r="FB240" s="97"/>
      <c r="FC240" s="8"/>
      <c r="FD240" s="91"/>
      <c r="FE240" s="98"/>
      <c r="FF240" s="131"/>
    </row>
    <row r="241" spans="31:162">
      <c r="AE241" s="88"/>
      <c r="AK241" s="89"/>
      <c r="AL241" s="8"/>
      <c r="AM241" s="8"/>
      <c r="AN241" s="8"/>
      <c r="AO241" s="8"/>
      <c r="AP241" s="8"/>
      <c r="AQ241" s="8"/>
      <c r="AR241" s="8"/>
      <c r="AZ241" s="45"/>
      <c r="BA241" s="89"/>
      <c r="BB241" s="89"/>
      <c r="BC241" s="89"/>
      <c r="BD241" s="89"/>
      <c r="BE241" s="89"/>
      <c r="BF241" s="89"/>
      <c r="BG241" s="89"/>
      <c r="BH241" s="89"/>
      <c r="BI241" s="89"/>
      <c r="BJ241" s="89"/>
      <c r="BK241" s="91"/>
      <c r="BL241" s="66"/>
      <c r="BM241" s="94"/>
      <c r="BN241" s="94"/>
      <c r="BO241" s="92"/>
      <c r="BP241" s="93"/>
      <c r="BQ241" s="23"/>
      <c r="BR241" s="94"/>
      <c r="BS241" s="94"/>
      <c r="BT241" s="94"/>
      <c r="BU241" s="94"/>
      <c r="BV241" s="95"/>
      <c r="BW241" s="91"/>
      <c r="BX241" s="95"/>
      <c r="BY241" s="8"/>
      <c r="BZ241" s="96"/>
      <c r="CA241" s="91"/>
      <c r="CB241" s="97"/>
      <c r="CC241" s="8"/>
      <c r="CD241" s="91"/>
      <c r="CE241" s="98"/>
      <c r="CF241" s="131"/>
      <c r="DE241" s="88"/>
      <c r="DK241" s="89"/>
      <c r="DL241" s="8"/>
      <c r="DM241" s="8"/>
      <c r="DN241" s="8"/>
      <c r="DO241" s="8"/>
      <c r="DP241" s="8"/>
      <c r="DQ241" s="8"/>
      <c r="DR241" s="8"/>
      <c r="DZ241" s="45"/>
      <c r="EA241" s="89"/>
      <c r="EB241" s="89"/>
      <c r="EC241" s="89"/>
      <c r="ED241" s="89"/>
      <c r="EE241" s="89"/>
      <c r="EF241" s="89"/>
      <c r="EG241" s="89"/>
      <c r="EH241" s="89"/>
      <c r="EI241" s="89"/>
      <c r="EJ241" s="89"/>
      <c r="EK241" s="91"/>
      <c r="EL241" s="66"/>
      <c r="EM241" s="94"/>
      <c r="EN241" s="94"/>
      <c r="EO241" s="92"/>
      <c r="EP241" s="93"/>
      <c r="EQ241" s="23"/>
      <c r="ER241" s="94"/>
      <c r="ES241" s="94"/>
      <c r="ET241" s="94"/>
      <c r="EU241" s="94"/>
      <c r="EV241" s="95"/>
      <c r="EW241" s="91"/>
      <c r="EX241" s="95"/>
      <c r="EY241" s="8"/>
      <c r="EZ241" s="96"/>
      <c r="FA241" s="91"/>
      <c r="FB241" s="97"/>
      <c r="FC241" s="8"/>
      <c r="FD241" s="91"/>
      <c r="FE241" s="98"/>
      <c r="FF241" s="131"/>
    </row>
    <row r="242" spans="31:162">
      <c r="AE242" s="88"/>
      <c r="AK242" s="89"/>
      <c r="AL242" s="8"/>
      <c r="AM242" s="8"/>
      <c r="AN242" s="8"/>
      <c r="AO242" s="8"/>
      <c r="AP242" s="8"/>
      <c r="AQ242" s="8"/>
      <c r="AR242" s="8"/>
      <c r="AZ242" s="45"/>
      <c r="BA242" s="89"/>
      <c r="BB242" s="89"/>
      <c r="BC242" s="89"/>
      <c r="BD242" s="89"/>
      <c r="BE242" s="89"/>
      <c r="BF242" s="89"/>
      <c r="BG242" s="89"/>
      <c r="BH242" s="89"/>
      <c r="BI242" s="89"/>
      <c r="BJ242" s="89"/>
      <c r="BK242" s="91"/>
      <c r="BL242" s="66"/>
      <c r="BM242" s="94"/>
      <c r="BN242" s="94"/>
      <c r="BO242" s="92"/>
      <c r="BP242" s="93"/>
      <c r="BQ242" s="23"/>
      <c r="BR242" s="94"/>
      <c r="BS242" s="94"/>
      <c r="BT242" s="94"/>
      <c r="BU242" s="94"/>
      <c r="BV242" s="95"/>
      <c r="BW242" s="91"/>
      <c r="BX242" s="95"/>
      <c r="BY242" s="8"/>
      <c r="BZ242" s="96"/>
      <c r="CA242" s="91"/>
      <c r="CB242" s="97"/>
      <c r="CC242" s="8"/>
      <c r="CD242" s="91"/>
      <c r="CE242" s="98"/>
      <c r="CF242" s="131"/>
      <c r="DE242" s="88"/>
      <c r="DK242" s="89"/>
      <c r="DL242" s="8"/>
      <c r="DM242" s="8"/>
      <c r="DN242" s="8"/>
      <c r="DO242" s="8"/>
      <c r="DP242" s="8"/>
      <c r="DQ242" s="8"/>
      <c r="DR242" s="8"/>
      <c r="DZ242" s="45"/>
      <c r="EA242" s="89"/>
      <c r="EB242" s="89"/>
      <c r="EC242" s="89"/>
      <c r="ED242" s="89"/>
      <c r="EE242" s="89"/>
      <c r="EF242" s="89"/>
      <c r="EG242" s="89"/>
      <c r="EH242" s="89"/>
      <c r="EI242" s="89"/>
      <c r="EJ242" s="89"/>
      <c r="EK242" s="91"/>
      <c r="EL242" s="66"/>
      <c r="EM242" s="94"/>
      <c r="EN242" s="94"/>
      <c r="EO242" s="92"/>
      <c r="EP242" s="93"/>
      <c r="EQ242" s="23"/>
      <c r="ER242" s="94"/>
      <c r="ES242" s="94"/>
      <c r="ET242" s="94"/>
      <c r="EU242" s="94"/>
      <c r="EV242" s="95"/>
      <c r="EW242" s="91"/>
      <c r="EX242" s="95"/>
      <c r="EY242" s="8"/>
      <c r="EZ242" s="96"/>
      <c r="FA242" s="91"/>
      <c r="FB242" s="97"/>
      <c r="FC242" s="8"/>
      <c r="FD242" s="91"/>
      <c r="FE242" s="98"/>
      <c r="FF242" s="131"/>
    </row>
    <row r="243" spans="31:162">
      <c r="AE243" s="88"/>
      <c r="AK243" s="89"/>
      <c r="AL243" s="8"/>
      <c r="AM243" s="8"/>
      <c r="AN243" s="8"/>
      <c r="AO243" s="8"/>
      <c r="AP243" s="8"/>
      <c r="AQ243" s="8"/>
      <c r="AR243" s="8"/>
      <c r="AZ243" s="45"/>
      <c r="BA243" s="89"/>
      <c r="BB243" s="89"/>
      <c r="BC243" s="89"/>
      <c r="BD243" s="89"/>
      <c r="BE243" s="89"/>
      <c r="BF243" s="89"/>
      <c r="BG243" s="89"/>
      <c r="BH243" s="89"/>
      <c r="BI243" s="89"/>
      <c r="BJ243" s="89"/>
      <c r="BK243" s="91"/>
      <c r="BL243" s="66"/>
      <c r="BM243" s="94"/>
      <c r="BN243" s="94"/>
      <c r="BO243" s="92"/>
      <c r="BP243" s="93"/>
      <c r="BQ243" s="23"/>
      <c r="BR243" s="94"/>
      <c r="BS243" s="94"/>
      <c r="BT243" s="94"/>
      <c r="BU243" s="94"/>
      <c r="BV243" s="95"/>
      <c r="BW243" s="91"/>
      <c r="BX243" s="95"/>
      <c r="BY243" s="8"/>
      <c r="BZ243" s="96"/>
      <c r="CA243" s="91"/>
      <c r="CB243" s="97"/>
      <c r="CC243" s="8"/>
      <c r="CD243" s="91"/>
      <c r="CE243" s="98"/>
      <c r="CF243" s="131"/>
      <c r="DE243" s="88"/>
      <c r="DK243" s="89"/>
      <c r="DL243" s="8"/>
      <c r="DM243" s="8"/>
      <c r="DN243" s="8"/>
      <c r="DO243" s="8"/>
      <c r="DP243" s="8"/>
      <c r="DQ243" s="8"/>
      <c r="DR243" s="8"/>
      <c r="DZ243" s="45"/>
      <c r="EA243" s="89"/>
      <c r="EB243" s="89"/>
      <c r="EC243" s="89"/>
      <c r="ED243" s="89"/>
      <c r="EE243" s="89"/>
      <c r="EF243" s="89"/>
      <c r="EG243" s="89"/>
      <c r="EH243" s="89"/>
      <c r="EI243" s="89"/>
      <c r="EJ243" s="89"/>
      <c r="EK243" s="91"/>
      <c r="EL243" s="66"/>
      <c r="EM243" s="94"/>
      <c r="EN243" s="94"/>
      <c r="EO243" s="92"/>
      <c r="EP243" s="93"/>
      <c r="EQ243" s="23"/>
      <c r="ER243" s="94"/>
      <c r="ES243" s="94"/>
      <c r="ET243" s="94"/>
      <c r="EU243" s="94"/>
      <c r="EV243" s="95"/>
      <c r="EW243" s="91"/>
      <c r="EX243" s="95"/>
      <c r="EY243" s="8"/>
      <c r="EZ243" s="96"/>
      <c r="FA243" s="91"/>
      <c r="FB243" s="97"/>
      <c r="FC243" s="8"/>
      <c r="FD243" s="91"/>
      <c r="FE243" s="98"/>
      <c r="FF243" s="131"/>
    </row>
    <row r="244" spans="31:162">
      <c r="AE244" s="88"/>
      <c r="AK244" s="89"/>
      <c r="AL244" s="8"/>
      <c r="AM244" s="8"/>
      <c r="AN244" s="8"/>
      <c r="AO244" s="8"/>
      <c r="AP244" s="8"/>
      <c r="AQ244" s="8"/>
      <c r="AR244" s="8"/>
      <c r="AZ244" s="45"/>
      <c r="BA244" s="89"/>
      <c r="BB244" s="89"/>
      <c r="BC244" s="89"/>
      <c r="BD244" s="89"/>
      <c r="BE244" s="89"/>
      <c r="BF244" s="89"/>
      <c r="BG244" s="89"/>
      <c r="BH244" s="89"/>
      <c r="BI244" s="89"/>
      <c r="BJ244" s="89"/>
      <c r="BK244" s="91"/>
      <c r="BL244" s="66"/>
      <c r="BM244" s="94"/>
      <c r="BN244" s="94"/>
      <c r="BO244" s="92"/>
      <c r="BP244" s="93"/>
      <c r="BQ244" s="23"/>
      <c r="BR244" s="94"/>
      <c r="BS244" s="94"/>
      <c r="BT244" s="94"/>
      <c r="BU244" s="94"/>
      <c r="BV244" s="95"/>
      <c r="BW244" s="91"/>
      <c r="BX244" s="95"/>
      <c r="BY244" s="8"/>
      <c r="BZ244" s="96"/>
      <c r="CA244" s="91"/>
      <c r="CB244" s="97"/>
      <c r="CC244" s="8"/>
      <c r="CD244" s="91"/>
      <c r="CE244" s="98"/>
      <c r="CF244" s="131"/>
      <c r="DE244" s="88"/>
      <c r="DK244" s="89"/>
      <c r="DL244" s="8"/>
      <c r="DM244" s="8"/>
      <c r="DN244" s="8"/>
      <c r="DO244" s="8"/>
      <c r="DP244" s="8"/>
      <c r="DQ244" s="8"/>
      <c r="DR244" s="8"/>
      <c r="DZ244" s="45"/>
      <c r="EA244" s="89"/>
      <c r="EB244" s="89"/>
      <c r="EC244" s="89"/>
      <c r="ED244" s="89"/>
      <c r="EE244" s="89"/>
      <c r="EF244" s="89"/>
      <c r="EG244" s="89"/>
      <c r="EH244" s="89"/>
      <c r="EI244" s="89"/>
      <c r="EJ244" s="89"/>
      <c r="EK244" s="91"/>
      <c r="EL244" s="66"/>
      <c r="EM244" s="94"/>
      <c r="EN244" s="94"/>
      <c r="EO244" s="92"/>
      <c r="EP244" s="93"/>
      <c r="EQ244" s="23"/>
      <c r="ER244" s="94"/>
      <c r="ES244" s="94"/>
      <c r="ET244" s="94"/>
      <c r="EU244" s="94"/>
      <c r="EV244" s="95"/>
      <c r="EW244" s="91"/>
      <c r="EX244" s="95"/>
      <c r="EY244" s="8"/>
      <c r="EZ244" s="96"/>
      <c r="FA244" s="91"/>
      <c r="FB244" s="97"/>
      <c r="FC244" s="8"/>
      <c r="FD244" s="91"/>
      <c r="FE244" s="98"/>
      <c r="FF244" s="131"/>
    </row>
    <row r="245" spans="31:162">
      <c r="AE245" s="88"/>
      <c r="AK245" s="89"/>
      <c r="AL245" s="8"/>
      <c r="AM245" s="8"/>
      <c r="AN245" s="8"/>
      <c r="AO245" s="8"/>
      <c r="AP245" s="8"/>
      <c r="AQ245" s="8"/>
      <c r="AR245" s="8"/>
      <c r="AZ245" s="45"/>
      <c r="BA245" s="89"/>
      <c r="BB245" s="89"/>
      <c r="BC245" s="89"/>
      <c r="BD245" s="89"/>
      <c r="BE245" s="89"/>
      <c r="BF245" s="89"/>
      <c r="BG245" s="89"/>
      <c r="BH245" s="89"/>
      <c r="BI245" s="89"/>
      <c r="BJ245" s="89"/>
      <c r="BK245" s="91"/>
      <c r="BL245" s="66"/>
      <c r="BM245" s="94"/>
      <c r="BN245" s="94"/>
      <c r="BO245" s="92"/>
      <c r="BP245" s="93"/>
      <c r="BQ245" s="23"/>
      <c r="BR245" s="94"/>
      <c r="BS245" s="94"/>
      <c r="BT245" s="94"/>
      <c r="BU245" s="94"/>
      <c r="BV245" s="95"/>
      <c r="BW245" s="91"/>
      <c r="BX245" s="95"/>
      <c r="BY245" s="8"/>
      <c r="BZ245" s="96"/>
      <c r="CA245" s="91"/>
      <c r="CB245" s="97"/>
      <c r="CC245" s="8"/>
      <c r="CD245" s="91"/>
      <c r="CE245" s="98"/>
      <c r="CF245" s="132"/>
      <c r="DE245" s="88"/>
      <c r="DK245" s="89"/>
      <c r="DL245" s="8"/>
      <c r="DM245" s="8"/>
      <c r="DN245" s="8"/>
      <c r="DO245" s="8"/>
      <c r="DP245" s="8"/>
      <c r="DQ245" s="8"/>
      <c r="DR245" s="8"/>
      <c r="DZ245" s="45"/>
      <c r="EA245" s="89"/>
      <c r="EB245" s="89"/>
      <c r="EC245" s="89"/>
      <c r="ED245" s="89"/>
      <c r="EE245" s="89"/>
      <c r="EF245" s="89"/>
      <c r="EG245" s="89"/>
      <c r="EH245" s="89"/>
      <c r="EI245" s="89"/>
      <c r="EJ245" s="89"/>
      <c r="EK245" s="91"/>
      <c r="EL245" s="66"/>
      <c r="EM245" s="94"/>
      <c r="EN245" s="94"/>
      <c r="EO245" s="92"/>
      <c r="EP245" s="93"/>
      <c r="EQ245" s="23"/>
      <c r="ER245" s="94"/>
      <c r="ES245" s="94"/>
      <c r="ET245" s="94"/>
      <c r="EU245" s="94"/>
      <c r="EV245" s="95"/>
      <c r="EW245" s="91"/>
      <c r="EX245" s="95"/>
      <c r="EY245" s="8"/>
      <c r="EZ245" s="96"/>
      <c r="FA245" s="91"/>
      <c r="FB245" s="97"/>
      <c r="FC245" s="8"/>
      <c r="FD245" s="91"/>
      <c r="FE245" s="98"/>
      <c r="FF245" s="132"/>
    </row>
    <row r="246" spans="31:162">
      <c r="AE246" s="88"/>
      <c r="AK246" s="89"/>
      <c r="AL246" s="8"/>
      <c r="AM246" s="8"/>
      <c r="AN246" s="8"/>
      <c r="AO246" s="8"/>
      <c r="AP246" s="8"/>
      <c r="AQ246" s="8"/>
      <c r="AR246" s="8"/>
      <c r="AZ246" s="45"/>
      <c r="BA246" s="89"/>
      <c r="BB246" s="89"/>
      <c r="BC246" s="89"/>
      <c r="BD246" s="89"/>
      <c r="BE246" s="89"/>
      <c r="BF246" s="89"/>
      <c r="BG246" s="89"/>
      <c r="BH246" s="89"/>
      <c r="BI246" s="89"/>
      <c r="BJ246" s="89"/>
      <c r="BK246" s="91"/>
      <c r="BL246" s="66"/>
      <c r="BM246" s="94"/>
      <c r="BN246" s="94"/>
      <c r="BO246" s="92"/>
      <c r="BP246" s="93"/>
      <c r="BQ246" s="23"/>
      <c r="BR246" s="94"/>
      <c r="BS246" s="94"/>
      <c r="BT246" s="94"/>
      <c r="BU246" s="94"/>
      <c r="BV246" s="95"/>
      <c r="BW246" s="91"/>
      <c r="BX246" s="95"/>
      <c r="BY246" s="8"/>
      <c r="BZ246" s="96"/>
      <c r="CA246" s="91"/>
      <c r="CB246" s="97"/>
      <c r="CC246" s="8"/>
      <c r="CD246" s="91"/>
      <c r="CE246" s="98"/>
      <c r="CF246" s="133"/>
      <c r="DE246" s="88"/>
      <c r="DK246" s="89"/>
      <c r="DL246" s="8"/>
      <c r="DM246" s="8"/>
      <c r="DN246" s="8"/>
      <c r="DO246" s="8"/>
      <c r="DP246" s="8"/>
      <c r="DQ246" s="8"/>
      <c r="DR246" s="8"/>
      <c r="DZ246" s="45"/>
      <c r="EA246" s="89"/>
      <c r="EB246" s="89"/>
      <c r="EC246" s="89"/>
      <c r="ED246" s="89"/>
      <c r="EE246" s="89"/>
      <c r="EF246" s="89"/>
      <c r="EG246" s="89"/>
      <c r="EH246" s="89"/>
      <c r="EI246" s="89"/>
      <c r="EJ246" s="89"/>
      <c r="EK246" s="91"/>
      <c r="EL246" s="66"/>
      <c r="EM246" s="94"/>
      <c r="EN246" s="94"/>
      <c r="EO246" s="92"/>
      <c r="EP246" s="93"/>
      <c r="EQ246" s="23"/>
      <c r="ER246" s="94"/>
      <c r="ES246" s="94"/>
      <c r="ET246" s="94"/>
      <c r="EU246" s="94"/>
      <c r="EV246" s="95"/>
      <c r="EW246" s="91"/>
      <c r="EX246" s="95"/>
      <c r="EY246" s="8"/>
      <c r="EZ246" s="96"/>
      <c r="FA246" s="91"/>
      <c r="FB246" s="97"/>
      <c r="FC246" s="8"/>
      <c r="FD246" s="91"/>
      <c r="FE246" s="98"/>
      <c r="FF246" s="133"/>
    </row>
    <row r="247" spans="31:162">
      <c r="AE247" s="88"/>
      <c r="AK247" s="89"/>
      <c r="AL247" s="8"/>
      <c r="AM247" s="8"/>
      <c r="AN247" s="8"/>
      <c r="AO247" s="8"/>
      <c r="AP247" s="8"/>
      <c r="AQ247" s="8"/>
      <c r="AR247" s="8"/>
      <c r="AZ247" s="45"/>
      <c r="BA247" s="89"/>
      <c r="BB247" s="89"/>
      <c r="BC247" s="89"/>
      <c r="BD247" s="89"/>
      <c r="BE247" s="89"/>
      <c r="BF247" s="89"/>
      <c r="BG247" s="89"/>
      <c r="BH247" s="89"/>
      <c r="BI247" s="89"/>
      <c r="BJ247" s="89"/>
      <c r="BK247" s="91"/>
      <c r="BL247" s="66"/>
      <c r="BM247" s="94"/>
      <c r="BN247" s="94"/>
      <c r="BO247" s="92"/>
      <c r="BP247" s="93"/>
      <c r="BQ247" s="23"/>
      <c r="BR247" s="94"/>
      <c r="BS247" s="94"/>
      <c r="BT247" s="94"/>
      <c r="BU247" s="94"/>
      <c r="BV247" s="95"/>
      <c r="BW247" s="91"/>
      <c r="BX247" s="95"/>
      <c r="BY247" s="8"/>
      <c r="BZ247" s="96"/>
      <c r="CA247" s="91"/>
      <c r="CB247" s="97"/>
      <c r="CC247" s="8"/>
      <c r="CD247" s="91"/>
      <c r="CE247" s="98"/>
      <c r="CF247" s="98"/>
      <c r="DE247" s="88"/>
      <c r="DK247" s="89"/>
      <c r="DL247" s="8"/>
      <c r="DM247" s="8"/>
      <c r="DN247" s="8"/>
      <c r="DO247" s="8"/>
      <c r="DP247" s="8"/>
      <c r="DQ247" s="8"/>
      <c r="DR247" s="8"/>
      <c r="DZ247" s="45"/>
      <c r="EA247" s="89"/>
      <c r="EB247" s="89"/>
      <c r="EC247" s="89"/>
      <c r="ED247" s="89"/>
      <c r="EE247" s="89"/>
      <c r="EF247" s="89"/>
      <c r="EG247" s="89"/>
      <c r="EH247" s="89"/>
      <c r="EI247" s="89"/>
      <c r="EJ247" s="89"/>
      <c r="EK247" s="91"/>
      <c r="EL247" s="66"/>
      <c r="EM247" s="94"/>
      <c r="EN247" s="94"/>
      <c r="EO247" s="92"/>
      <c r="EP247" s="93"/>
      <c r="EQ247" s="23"/>
      <c r="ER247" s="94"/>
      <c r="ES247" s="94"/>
      <c r="ET247" s="94"/>
      <c r="EU247" s="94"/>
      <c r="EV247" s="95"/>
      <c r="EW247" s="91"/>
      <c r="EX247" s="95"/>
      <c r="EY247" s="8"/>
      <c r="EZ247" s="96"/>
      <c r="FA247" s="91"/>
      <c r="FB247" s="97"/>
      <c r="FC247" s="8"/>
      <c r="FD247" s="91"/>
      <c r="FE247" s="98"/>
      <c r="FF247" s="98"/>
    </row>
    <row r="248" spans="31:162">
      <c r="AE248" s="88"/>
      <c r="AK248" s="89"/>
      <c r="AL248" s="8"/>
      <c r="AM248" s="8"/>
      <c r="AN248" s="8"/>
      <c r="AO248" s="8"/>
      <c r="AP248" s="8"/>
      <c r="AQ248" s="8"/>
      <c r="AR248" s="8"/>
      <c r="AZ248" s="45"/>
      <c r="BA248" s="89"/>
      <c r="BB248" s="89"/>
      <c r="BC248" s="89"/>
      <c r="BD248" s="89"/>
      <c r="BE248" s="89"/>
      <c r="BF248" s="89"/>
      <c r="BG248" s="89"/>
      <c r="BH248" s="89"/>
      <c r="BI248" s="89"/>
      <c r="BJ248" s="89"/>
      <c r="BK248" s="91"/>
      <c r="BL248" s="66"/>
      <c r="BM248" s="94"/>
      <c r="BN248" s="94"/>
      <c r="BO248" s="92"/>
      <c r="BP248" s="93"/>
      <c r="BQ248" s="23"/>
      <c r="BR248" s="94"/>
      <c r="BS248" s="94"/>
      <c r="BT248" s="94"/>
      <c r="BU248" s="94"/>
      <c r="BV248" s="95"/>
      <c r="BW248" s="91"/>
      <c r="BX248" s="95"/>
      <c r="BY248" s="8"/>
      <c r="BZ248" s="96"/>
      <c r="CA248" s="91"/>
      <c r="CB248" s="97"/>
      <c r="CC248" s="8"/>
      <c r="CD248" s="91"/>
      <c r="CE248" s="98"/>
      <c r="CF248" s="98"/>
      <c r="DE248" s="88"/>
      <c r="DK248" s="89"/>
      <c r="DL248" s="8"/>
      <c r="DM248" s="8"/>
      <c r="DN248" s="8"/>
      <c r="DO248" s="8"/>
      <c r="DP248" s="8"/>
      <c r="DQ248" s="8"/>
      <c r="DR248" s="8"/>
      <c r="DZ248" s="45"/>
      <c r="EA248" s="89"/>
      <c r="EB248" s="89"/>
      <c r="EC248" s="89"/>
      <c r="ED248" s="89"/>
      <c r="EE248" s="89"/>
      <c r="EF248" s="89"/>
      <c r="EG248" s="89"/>
      <c r="EH248" s="89"/>
      <c r="EI248" s="89"/>
      <c r="EJ248" s="89"/>
      <c r="EK248" s="91"/>
      <c r="EL248" s="66"/>
      <c r="EM248" s="94"/>
      <c r="EN248" s="94"/>
      <c r="EO248" s="92"/>
      <c r="EP248" s="93"/>
      <c r="EQ248" s="23"/>
      <c r="ER248" s="94"/>
      <c r="ES248" s="94"/>
      <c r="ET248" s="94"/>
      <c r="EU248" s="94"/>
      <c r="EV248" s="95"/>
      <c r="EW248" s="91"/>
      <c r="EX248" s="95"/>
      <c r="EY248" s="8"/>
      <c r="EZ248" s="96"/>
      <c r="FA248" s="91"/>
      <c r="FB248" s="97"/>
      <c r="FC248" s="8"/>
      <c r="FD248" s="91"/>
      <c r="FE248" s="98"/>
      <c r="FF248" s="98"/>
    </row>
    <row r="249" spans="31:162">
      <c r="AE249" s="88"/>
      <c r="AK249" s="89"/>
      <c r="AL249" s="8"/>
      <c r="AM249" s="8"/>
      <c r="AN249" s="8"/>
      <c r="AO249" s="8"/>
      <c r="AP249" s="8"/>
      <c r="AQ249" s="8"/>
      <c r="AR249" s="8"/>
      <c r="AZ249" s="45"/>
      <c r="BA249" s="89"/>
      <c r="BB249" s="89"/>
      <c r="BC249" s="89"/>
      <c r="BD249" s="89"/>
      <c r="BE249" s="89"/>
      <c r="BF249" s="89"/>
      <c r="BG249" s="89"/>
      <c r="BH249" s="89"/>
      <c r="BI249" s="89"/>
      <c r="BJ249" s="89"/>
      <c r="BK249" s="91"/>
      <c r="BL249" s="66"/>
      <c r="BM249" s="94"/>
      <c r="BN249" s="94"/>
      <c r="BO249" s="92"/>
      <c r="BP249" s="93"/>
      <c r="BQ249" s="23"/>
      <c r="BR249" s="94"/>
      <c r="BS249" s="94"/>
      <c r="BT249" s="94"/>
      <c r="BU249" s="94"/>
      <c r="BV249" s="95"/>
      <c r="BW249" s="91"/>
      <c r="BX249" s="95"/>
      <c r="BY249" s="8"/>
      <c r="BZ249" s="96"/>
      <c r="CA249" s="91"/>
      <c r="CB249" s="97"/>
      <c r="CC249" s="8"/>
      <c r="CD249" s="91"/>
      <c r="CE249" s="98"/>
      <c r="CF249" s="98"/>
      <c r="DE249" s="88"/>
      <c r="DK249" s="89"/>
      <c r="DL249" s="8"/>
      <c r="DM249" s="8"/>
      <c r="DN249" s="8"/>
      <c r="DO249" s="8"/>
      <c r="DP249" s="8"/>
      <c r="DQ249" s="8"/>
      <c r="DR249" s="8"/>
      <c r="DZ249" s="45"/>
      <c r="EA249" s="89"/>
      <c r="EB249" s="89"/>
      <c r="EC249" s="89"/>
      <c r="ED249" s="89"/>
      <c r="EE249" s="89"/>
      <c r="EF249" s="89"/>
      <c r="EG249" s="89"/>
      <c r="EH249" s="89"/>
      <c r="EI249" s="89"/>
      <c r="EJ249" s="89"/>
      <c r="EK249" s="91"/>
      <c r="EL249" s="66"/>
      <c r="EM249" s="94"/>
      <c r="EN249" s="94"/>
      <c r="EO249" s="92"/>
      <c r="EP249" s="93"/>
      <c r="EQ249" s="23"/>
      <c r="ER249" s="94"/>
      <c r="ES249" s="94"/>
      <c r="ET249" s="94"/>
      <c r="EU249" s="94"/>
      <c r="EV249" s="95"/>
      <c r="EW249" s="91"/>
      <c r="EX249" s="95"/>
      <c r="EY249" s="8"/>
      <c r="EZ249" s="96"/>
      <c r="FA249" s="91"/>
      <c r="FB249" s="97"/>
      <c r="FC249" s="8"/>
      <c r="FD249" s="91"/>
      <c r="FE249" s="98"/>
      <c r="FF249" s="98"/>
    </row>
    <row r="250" spans="31:162">
      <c r="AE250" s="88"/>
      <c r="AK250" s="89"/>
      <c r="AL250" s="8"/>
      <c r="AM250" s="8"/>
      <c r="AN250" s="8"/>
      <c r="AO250" s="8"/>
      <c r="AP250" s="8"/>
      <c r="AQ250" s="8"/>
      <c r="AR250" s="8"/>
      <c r="AZ250" s="45"/>
      <c r="BA250" s="89"/>
      <c r="BB250" s="89"/>
      <c r="BC250" s="89"/>
      <c r="BD250" s="89"/>
      <c r="BE250" s="89"/>
      <c r="BF250" s="89"/>
      <c r="BG250" s="89"/>
      <c r="BH250" s="89"/>
      <c r="BI250" s="89"/>
      <c r="BJ250" s="89"/>
      <c r="BK250" s="91"/>
      <c r="BL250" s="66"/>
      <c r="BM250" s="94"/>
      <c r="BN250" s="94"/>
      <c r="BO250" s="92"/>
      <c r="BP250" s="93"/>
      <c r="BQ250" s="23"/>
      <c r="BR250" s="94"/>
      <c r="BS250" s="94"/>
      <c r="BT250" s="94"/>
      <c r="BU250" s="94"/>
      <c r="BV250" s="95"/>
      <c r="BW250" s="91"/>
      <c r="BX250" s="95"/>
      <c r="BY250" s="8"/>
      <c r="BZ250" s="96"/>
      <c r="CA250" s="91"/>
      <c r="CB250" s="97"/>
      <c r="CC250" s="8"/>
      <c r="CD250" s="91"/>
      <c r="CE250" s="98"/>
      <c r="CF250" s="98"/>
      <c r="DE250" s="88"/>
      <c r="DK250" s="89"/>
      <c r="DL250" s="8"/>
      <c r="DM250" s="8"/>
      <c r="DN250" s="8"/>
      <c r="DO250" s="8"/>
      <c r="DP250" s="8"/>
      <c r="DQ250" s="8"/>
      <c r="DR250" s="8"/>
      <c r="DZ250" s="45"/>
      <c r="EA250" s="89"/>
      <c r="EB250" s="89"/>
      <c r="EC250" s="89"/>
      <c r="ED250" s="89"/>
      <c r="EE250" s="89"/>
      <c r="EF250" s="89"/>
      <c r="EG250" s="89"/>
      <c r="EH250" s="89"/>
      <c r="EI250" s="89"/>
      <c r="EJ250" s="89"/>
      <c r="EK250" s="91"/>
      <c r="EL250" s="66"/>
      <c r="EM250" s="94"/>
      <c r="EN250" s="94"/>
      <c r="EO250" s="92"/>
      <c r="EP250" s="93"/>
      <c r="EQ250" s="23"/>
      <c r="ER250" s="94"/>
      <c r="ES250" s="94"/>
      <c r="ET250" s="94"/>
      <c r="EU250" s="94"/>
      <c r="EV250" s="95"/>
      <c r="EW250" s="91"/>
      <c r="EX250" s="95"/>
      <c r="EY250" s="8"/>
      <c r="EZ250" s="96"/>
      <c r="FA250" s="91"/>
      <c r="FB250" s="97"/>
      <c r="FC250" s="8"/>
      <c r="FD250" s="91"/>
      <c r="FE250" s="98"/>
      <c r="FF250" s="98"/>
    </row>
    <row r="251" spans="31:162">
      <c r="AE251" s="88"/>
      <c r="AK251" s="89"/>
      <c r="AL251" s="8"/>
      <c r="AM251" s="8"/>
      <c r="AN251" s="8"/>
      <c r="AO251" s="8"/>
      <c r="AP251" s="8"/>
      <c r="AQ251" s="8"/>
      <c r="AR251" s="8"/>
      <c r="AZ251" s="45"/>
      <c r="BA251" s="89"/>
      <c r="BB251" s="89"/>
      <c r="BC251" s="89"/>
      <c r="BD251" s="89"/>
      <c r="BE251" s="89"/>
      <c r="BF251" s="89"/>
      <c r="BG251" s="89"/>
      <c r="BH251" s="89"/>
      <c r="BI251" s="89"/>
      <c r="BJ251" s="89"/>
      <c r="BK251" s="91"/>
      <c r="BL251" s="66"/>
      <c r="BM251" s="94"/>
      <c r="BN251" s="94"/>
      <c r="BO251" s="92"/>
      <c r="BP251" s="93"/>
      <c r="BQ251" s="23"/>
      <c r="BR251" s="94"/>
      <c r="BS251" s="94"/>
      <c r="BT251" s="94"/>
      <c r="BU251" s="94"/>
      <c r="BV251" s="95"/>
      <c r="BW251" s="91"/>
      <c r="BX251" s="95"/>
      <c r="BY251" s="8"/>
      <c r="BZ251" s="96"/>
      <c r="CA251" s="91"/>
      <c r="CB251" s="97"/>
      <c r="CC251" s="8"/>
      <c r="CD251" s="91"/>
      <c r="CE251" s="98"/>
      <c r="CF251" s="98"/>
      <c r="DE251" s="88"/>
      <c r="DK251" s="89"/>
      <c r="DL251" s="8"/>
      <c r="DM251" s="8"/>
      <c r="DN251" s="8"/>
      <c r="DO251" s="8"/>
      <c r="DP251" s="8"/>
      <c r="DQ251" s="8"/>
      <c r="DR251" s="8"/>
      <c r="DZ251" s="45"/>
      <c r="EA251" s="89"/>
      <c r="EB251" s="89"/>
      <c r="EC251" s="89"/>
      <c r="ED251" s="89"/>
      <c r="EE251" s="89"/>
      <c r="EF251" s="89"/>
      <c r="EG251" s="89"/>
      <c r="EH251" s="89"/>
      <c r="EI251" s="89"/>
      <c r="EJ251" s="89"/>
      <c r="EK251" s="91"/>
      <c r="EL251" s="66"/>
      <c r="EM251" s="94"/>
      <c r="EN251" s="94"/>
      <c r="EO251" s="92"/>
      <c r="EP251" s="93"/>
      <c r="EQ251" s="23"/>
      <c r="ER251" s="94"/>
      <c r="ES251" s="94"/>
      <c r="ET251" s="94"/>
      <c r="EU251" s="94"/>
      <c r="EV251" s="95"/>
      <c r="EW251" s="91"/>
      <c r="EX251" s="95"/>
      <c r="EY251" s="8"/>
      <c r="EZ251" s="96"/>
      <c r="FA251" s="91"/>
      <c r="FB251" s="97"/>
      <c r="FC251" s="8"/>
      <c r="FD251" s="91"/>
      <c r="FE251" s="98"/>
      <c r="FF251" s="98"/>
    </row>
    <row r="252" spans="31:162">
      <c r="AE252" s="88"/>
      <c r="AK252" s="89"/>
      <c r="AL252" s="8"/>
      <c r="AM252" s="8"/>
      <c r="AN252" s="8"/>
      <c r="AO252" s="8"/>
      <c r="AP252" s="8"/>
      <c r="AQ252" s="8"/>
      <c r="AR252" s="8"/>
      <c r="AZ252" s="45"/>
      <c r="BA252" s="89"/>
      <c r="BB252" s="89"/>
      <c r="BC252" s="89"/>
      <c r="BD252" s="89"/>
      <c r="BE252" s="89"/>
      <c r="BF252" s="89"/>
      <c r="BG252" s="89"/>
      <c r="BH252" s="89"/>
      <c r="BI252" s="89"/>
      <c r="BJ252" s="89"/>
      <c r="BK252" s="91"/>
      <c r="BL252" s="66"/>
      <c r="BM252" s="94"/>
      <c r="BN252" s="94"/>
      <c r="BO252" s="92"/>
      <c r="BP252" s="93"/>
      <c r="BQ252" s="23"/>
      <c r="BR252" s="94"/>
      <c r="BS252" s="94"/>
      <c r="BT252" s="94"/>
      <c r="BU252" s="94"/>
      <c r="BV252" s="95"/>
      <c r="BW252" s="91"/>
      <c r="BX252" s="95"/>
      <c r="BY252" s="8"/>
      <c r="BZ252" s="96"/>
      <c r="CA252" s="91"/>
      <c r="CB252" s="97"/>
      <c r="CC252" s="8"/>
      <c r="CD252" s="91"/>
      <c r="CE252" s="98"/>
      <c r="CF252" s="98"/>
      <c r="DE252" s="88"/>
      <c r="DK252" s="89"/>
      <c r="DL252" s="8"/>
      <c r="DM252" s="8"/>
      <c r="DN252" s="8"/>
      <c r="DO252" s="8"/>
      <c r="DP252" s="8"/>
      <c r="DQ252" s="8"/>
      <c r="DR252" s="8"/>
      <c r="DZ252" s="45"/>
      <c r="EA252" s="89"/>
      <c r="EB252" s="89"/>
      <c r="EC252" s="89"/>
      <c r="ED252" s="89"/>
      <c r="EE252" s="89"/>
      <c r="EF252" s="89"/>
      <c r="EG252" s="89"/>
      <c r="EH252" s="89"/>
      <c r="EI252" s="89"/>
      <c r="EJ252" s="89"/>
      <c r="EK252" s="91"/>
      <c r="EL252" s="66"/>
      <c r="EM252" s="94"/>
      <c r="EN252" s="94"/>
      <c r="EO252" s="92"/>
      <c r="EP252" s="93"/>
      <c r="EQ252" s="23"/>
      <c r="ER252" s="94"/>
      <c r="ES252" s="94"/>
      <c r="ET252" s="94"/>
      <c r="EU252" s="94"/>
      <c r="EV252" s="95"/>
      <c r="EW252" s="91"/>
      <c r="EX252" s="95"/>
      <c r="EY252" s="8"/>
      <c r="EZ252" s="96"/>
      <c r="FA252" s="91"/>
      <c r="FB252" s="97"/>
      <c r="FC252" s="8"/>
      <c r="FD252" s="91"/>
      <c r="FE252" s="98"/>
      <c r="FF252" s="98"/>
    </row>
    <row r="253" spans="31:162">
      <c r="AE253" s="88"/>
      <c r="AK253" s="89"/>
      <c r="AL253" s="8"/>
      <c r="AM253" s="8"/>
      <c r="AN253" s="8"/>
      <c r="AO253" s="8"/>
      <c r="AP253" s="8"/>
      <c r="AQ253" s="8"/>
      <c r="AR253" s="8"/>
      <c r="AZ253" s="45"/>
      <c r="BA253" s="89"/>
      <c r="BB253" s="89"/>
      <c r="BC253" s="89"/>
      <c r="BD253" s="89"/>
      <c r="BE253" s="89"/>
      <c r="BF253" s="89"/>
      <c r="BG253" s="89"/>
      <c r="BH253" s="89"/>
      <c r="BI253" s="89"/>
      <c r="BJ253" s="89"/>
      <c r="BK253" s="91"/>
      <c r="BL253" s="66"/>
      <c r="BM253" s="94"/>
      <c r="BN253" s="94"/>
      <c r="BO253" s="92"/>
      <c r="BP253" s="93"/>
      <c r="BQ253" s="23"/>
      <c r="BR253" s="94"/>
      <c r="BS253" s="94"/>
      <c r="BT253" s="94"/>
      <c r="BU253" s="94"/>
      <c r="BV253" s="95"/>
      <c r="BW253" s="91"/>
      <c r="BX253" s="95"/>
      <c r="BY253" s="8"/>
      <c r="BZ253" s="96"/>
      <c r="CA253" s="91"/>
      <c r="CB253" s="97"/>
      <c r="CC253" s="8"/>
      <c r="CD253" s="91"/>
      <c r="CE253" s="98"/>
      <c r="CF253" s="98"/>
      <c r="DE253" s="88"/>
      <c r="DK253" s="89"/>
      <c r="DL253" s="8"/>
      <c r="DM253" s="8"/>
      <c r="DN253" s="8"/>
      <c r="DO253" s="8"/>
      <c r="DP253" s="8"/>
      <c r="DQ253" s="8"/>
      <c r="DR253" s="8"/>
      <c r="DZ253" s="45"/>
      <c r="EA253" s="89"/>
      <c r="EB253" s="89"/>
      <c r="EC253" s="89"/>
      <c r="ED253" s="89"/>
      <c r="EE253" s="89"/>
      <c r="EF253" s="89"/>
      <c r="EG253" s="89"/>
      <c r="EH253" s="89"/>
      <c r="EI253" s="89"/>
      <c r="EJ253" s="89"/>
      <c r="EK253" s="91"/>
      <c r="EL253" s="66"/>
      <c r="EM253" s="94"/>
      <c r="EN253" s="94"/>
      <c r="EO253" s="92"/>
      <c r="EP253" s="93"/>
      <c r="EQ253" s="23"/>
      <c r="ER253" s="94"/>
      <c r="ES253" s="94"/>
      <c r="ET253" s="94"/>
      <c r="EU253" s="94"/>
      <c r="EV253" s="95"/>
      <c r="EW253" s="91"/>
      <c r="EX253" s="95"/>
      <c r="EY253" s="8"/>
      <c r="EZ253" s="96"/>
      <c r="FA253" s="91"/>
      <c r="FB253" s="97"/>
      <c r="FC253" s="8"/>
      <c r="FD253" s="91"/>
      <c r="FE253" s="98"/>
      <c r="FF253" s="98"/>
    </row>
    <row r="254" spans="31:162">
      <c r="AE254" s="88"/>
      <c r="AK254" s="89"/>
      <c r="AL254" s="8"/>
      <c r="AM254" s="8"/>
      <c r="AN254" s="8"/>
      <c r="AO254" s="8"/>
      <c r="AP254" s="8"/>
      <c r="AQ254" s="8"/>
      <c r="AR254" s="8"/>
      <c r="AZ254" s="45"/>
      <c r="BA254" s="89"/>
      <c r="BB254" s="89"/>
      <c r="BC254" s="89"/>
      <c r="BD254" s="89"/>
      <c r="BE254" s="89"/>
      <c r="BF254" s="89"/>
      <c r="BG254" s="89"/>
      <c r="BH254" s="89"/>
      <c r="BI254" s="89"/>
      <c r="BJ254" s="89"/>
      <c r="BK254" s="91"/>
      <c r="BL254" s="66"/>
      <c r="BM254" s="94"/>
      <c r="BN254" s="94"/>
      <c r="BO254" s="92"/>
      <c r="BP254" s="93"/>
      <c r="BQ254" s="23"/>
      <c r="BR254" s="94"/>
      <c r="BS254" s="94"/>
      <c r="BT254" s="94"/>
      <c r="BU254" s="94"/>
      <c r="BV254" s="95"/>
      <c r="BW254" s="91"/>
      <c r="BX254" s="95"/>
      <c r="BY254" s="8"/>
      <c r="BZ254" s="96"/>
      <c r="CA254" s="91"/>
      <c r="CB254" s="97"/>
      <c r="CC254" s="8"/>
      <c r="CD254" s="91"/>
      <c r="CE254" s="98"/>
      <c r="CF254" s="98"/>
      <c r="DE254" s="88"/>
      <c r="DK254" s="89"/>
      <c r="DL254" s="8"/>
      <c r="DM254" s="8"/>
      <c r="DN254" s="8"/>
      <c r="DO254" s="8"/>
      <c r="DP254" s="8"/>
      <c r="DQ254" s="8"/>
      <c r="DR254" s="8"/>
      <c r="DZ254" s="45"/>
      <c r="EA254" s="89"/>
      <c r="EB254" s="89"/>
      <c r="EC254" s="89"/>
      <c r="ED254" s="89"/>
      <c r="EE254" s="89"/>
      <c r="EF254" s="89"/>
      <c r="EG254" s="89"/>
      <c r="EH254" s="89"/>
      <c r="EI254" s="89"/>
      <c r="EJ254" s="89"/>
      <c r="EK254" s="91"/>
      <c r="EL254" s="66"/>
      <c r="EM254" s="94"/>
      <c r="EN254" s="94"/>
      <c r="EO254" s="92"/>
      <c r="EP254" s="93"/>
      <c r="EQ254" s="23"/>
      <c r="ER254" s="94"/>
      <c r="ES254" s="94"/>
      <c r="ET254" s="94"/>
      <c r="EU254" s="94"/>
      <c r="EV254" s="95"/>
      <c r="EW254" s="91"/>
      <c r="EX254" s="95"/>
      <c r="EY254" s="8"/>
      <c r="EZ254" s="96"/>
      <c r="FA254" s="91"/>
      <c r="FB254" s="97"/>
      <c r="FC254" s="8"/>
      <c r="FD254" s="91"/>
      <c r="FE254" s="98"/>
      <c r="FF254" s="98"/>
    </row>
    <row r="255" spans="31:162">
      <c r="AE255" s="88"/>
      <c r="AK255" s="89"/>
      <c r="AL255" s="8"/>
      <c r="AM255" s="8"/>
      <c r="AN255" s="8"/>
      <c r="AO255" s="8"/>
      <c r="AP255" s="8"/>
      <c r="AQ255" s="8"/>
      <c r="AR255" s="8"/>
      <c r="AZ255" s="45"/>
      <c r="BA255" s="89"/>
      <c r="BB255" s="89"/>
      <c r="BC255" s="89"/>
      <c r="BD255" s="89"/>
      <c r="BE255" s="89"/>
      <c r="BF255" s="89"/>
      <c r="BG255" s="89"/>
      <c r="BH255" s="89"/>
      <c r="BI255" s="89"/>
      <c r="BJ255" s="89"/>
      <c r="BK255" s="91"/>
      <c r="BL255" s="66"/>
      <c r="BM255" s="94"/>
      <c r="BN255" s="94"/>
      <c r="BO255" s="92"/>
      <c r="BP255" s="93"/>
      <c r="BQ255" s="23"/>
      <c r="BR255" s="94"/>
      <c r="BS255" s="94"/>
      <c r="BT255" s="94"/>
      <c r="BU255" s="94"/>
      <c r="BV255" s="95"/>
      <c r="BW255" s="91"/>
      <c r="BX255" s="95"/>
      <c r="BY255" s="8"/>
      <c r="BZ255" s="96"/>
      <c r="CA255" s="91"/>
      <c r="CB255" s="97"/>
      <c r="CC255" s="8"/>
      <c r="CD255" s="91"/>
      <c r="CE255" s="98"/>
      <c r="CF255" s="98"/>
      <c r="DE255" s="88"/>
      <c r="DK255" s="89"/>
      <c r="DL255" s="8"/>
      <c r="DM255" s="8"/>
      <c r="DN255" s="8"/>
      <c r="DO255" s="8"/>
      <c r="DP255" s="8"/>
      <c r="DQ255" s="8"/>
      <c r="DR255" s="8"/>
      <c r="DZ255" s="45"/>
      <c r="EA255" s="89"/>
      <c r="EB255" s="89"/>
      <c r="EC255" s="89"/>
      <c r="ED255" s="89"/>
      <c r="EE255" s="89"/>
      <c r="EF255" s="89"/>
      <c r="EG255" s="89"/>
      <c r="EH255" s="89"/>
      <c r="EI255" s="89"/>
      <c r="EJ255" s="89"/>
      <c r="EK255" s="91"/>
      <c r="EL255" s="66"/>
      <c r="EM255" s="94"/>
      <c r="EN255" s="94"/>
      <c r="EO255" s="92"/>
      <c r="EP255" s="93"/>
      <c r="EQ255" s="23"/>
      <c r="ER255" s="94"/>
      <c r="ES255" s="94"/>
      <c r="ET255" s="94"/>
      <c r="EU255" s="94"/>
      <c r="EV255" s="95"/>
      <c r="EW255" s="91"/>
      <c r="EX255" s="95"/>
      <c r="EY255" s="8"/>
      <c r="EZ255" s="96"/>
      <c r="FA255" s="91"/>
      <c r="FB255" s="97"/>
      <c r="FC255" s="8"/>
      <c r="FD255" s="91"/>
      <c r="FE255" s="98"/>
      <c r="FF255" s="98"/>
    </row>
    <row r="256" spans="31:162">
      <c r="AE256" s="88"/>
      <c r="AK256" s="89"/>
      <c r="AL256" s="8"/>
      <c r="AM256" s="8"/>
      <c r="AN256" s="8"/>
      <c r="AO256" s="8"/>
      <c r="AP256" s="8"/>
      <c r="AQ256" s="8"/>
      <c r="AR256" s="8"/>
      <c r="AZ256" s="45"/>
      <c r="BA256" s="89"/>
      <c r="BB256" s="89"/>
      <c r="BC256" s="89"/>
      <c r="BD256" s="89"/>
      <c r="BE256" s="89"/>
      <c r="BF256" s="89"/>
      <c r="BG256" s="89"/>
      <c r="BH256" s="89"/>
      <c r="BI256" s="89"/>
      <c r="BJ256" s="89"/>
      <c r="BK256" s="91"/>
      <c r="BL256" s="66"/>
      <c r="BM256" s="94"/>
      <c r="BN256" s="94"/>
      <c r="BO256" s="92"/>
      <c r="BP256" s="93"/>
      <c r="BQ256" s="23"/>
      <c r="BR256" s="94"/>
      <c r="BS256" s="94"/>
      <c r="BT256" s="94"/>
      <c r="BU256" s="94"/>
      <c r="BV256" s="95"/>
      <c r="BW256" s="91"/>
      <c r="BX256" s="95"/>
      <c r="BY256" s="8"/>
      <c r="BZ256" s="96"/>
      <c r="CA256" s="91"/>
      <c r="CB256" s="97"/>
      <c r="CC256" s="8"/>
      <c r="CD256" s="91"/>
      <c r="CE256" s="98"/>
      <c r="CF256" s="98"/>
      <c r="DE256" s="88"/>
      <c r="DK256" s="89"/>
      <c r="DL256" s="8"/>
      <c r="DM256" s="8"/>
      <c r="DN256" s="8"/>
      <c r="DO256" s="8"/>
      <c r="DP256" s="8"/>
      <c r="DQ256" s="8"/>
      <c r="DR256" s="8"/>
      <c r="DZ256" s="45"/>
      <c r="EA256" s="89"/>
      <c r="EB256" s="89"/>
      <c r="EC256" s="89"/>
      <c r="ED256" s="89"/>
      <c r="EE256" s="89"/>
      <c r="EF256" s="89"/>
      <c r="EG256" s="89"/>
      <c r="EH256" s="89"/>
      <c r="EI256" s="89"/>
      <c r="EJ256" s="89"/>
      <c r="EK256" s="91"/>
      <c r="EL256" s="66"/>
      <c r="EM256" s="94"/>
      <c r="EN256" s="94"/>
      <c r="EO256" s="92"/>
      <c r="EP256" s="93"/>
      <c r="EQ256" s="23"/>
      <c r="ER256" s="94"/>
      <c r="ES256" s="94"/>
      <c r="ET256" s="94"/>
      <c r="EU256" s="94"/>
      <c r="EV256" s="95"/>
      <c r="EW256" s="91"/>
      <c r="EX256" s="95"/>
      <c r="EY256" s="8"/>
      <c r="EZ256" s="96"/>
      <c r="FA256" s="91"/>
      <c r="FB256" s="97"/>
      <c r="FC256" s="8"/>
      <c r="FD256" s="91"/>
      <c r="FE256" s="98"/>
      <c r="FF256" s="98"/>
    </row>
    <row r="257" spans="31:162">
      <c r="AE257" s="88"/>
      <c r="AK257" s="89"/>
      <c r="AL257" s="8"/>
      <c r="AM257" s="8"/>
      <c r="AN257" s="8"/>
      <c r="AO257" s="8"/>
      <c r="AP257" s="8"/>
      <c r="AQ257" s="8"/>
      <c r="AR257" s="8"/>
      <c r="AZ257" s="45"/>
      <c r="BA257" s="89"/>
      <c r="BB257" s="89"/>
      <c r="BC257" s="89"/>
      <c r="BD257" s="89"/>
      <c r="BE257" s="89"/>
      <c r="BF257" s="89"/>
      <c r="BG257" s="89"/>
      <c r="BH257" s="89"/>
      <c r="BI257" s="89"/>
      <c r="BJ257" s="89"/>
      <c r="BK257" s="91"/>
      <c r="BL257" s="66"/>
      <c r="BM257" s="94"/>
      <c r="BN257" s="94"/>
      <c r="BO257" s="92"/>
      <c r="BP257" s="93"/>
      <c r="BQ257" s="23"/>
      <c r="BR257" s="94"/>
      <c r="BS257" s="94"/>
      <c r="BT257" s="94"/>
      <c r="BU257" s="94"/>
      <c r="BV257" s="95"/>
      <c r="BW257" s="91"/>
      <c r="BX257" s="95"/>
      <c r="BY257" s="8"/>
      <c r="BZ257" s="96"/>
      <c r="CA257" s="91"/>
      <c r="CB257" s="97"/>
      <c r="CC257" s="8"/>
      <c r="CD257" s="91"/>
      <c r="CE257" s="98"/>
      <c r="CF257" s="98"/>
      <c r="DE257" s="88"/>
      <c r="DK257" s="89"/>
      <c r="DL257" s="8"/>
      <c r="DM257" s="8"/>
      <c r="DN257" s="8"/>
      <c r="DO257" s="8"/>
      <c r="DP257" s="8"/>
      <c r="DQ257" s="8"/>
      <c r="DR257" s="8"/>
      <c r="DZ257" s="45"/>
      <c r="EA257" s="89"/>
      <c r="EB257" s="89"/>
      <c r="EC257" s="89"/>
      <c r="ED257" s="89"/>
      <c r="EE257" s="89"/>
      <c r="EF257" s="89"/>
      <c r="EG257" s="89"/>
      <c r="EH257" s="89"/>
      <c r="EI257" s="89"/>
      <c r="EJ257" s="89"/>
      <c r="EK257" s="91"/>
      <c r="EL257" s="66"/>
      <c r="EM257" s="94"/>
      <c r="EN257" s="94"/>
      <c r="EO257" s="92"/>
      <c r="EP257" s="93"/>
      <c r="EQ257" s="23"/>
      <c r="ER257" s="94"/>
      <c r="ES257" s="94"/>
      <c r="ET257" s="94"/>
      <c r="EU257" s="94"/>
      <c r="EV257" s="95"/>
      <c r="EW257" s="91"/>
      <c r="EX257" s="95"/>
      <c r="EY257" s="8"/>
      <c r="EZ257" s="96"/>
      <c r="FA257" s="91"/>
      <c r="FB257" s="97"/>
      <c r="FC257" s="8"/>
      <c r="FD257" s="91"/>
      <c r="FE257" s="98"/>
      <c r="FF257" s="98"/>
    </row>
    <row r="258" spans="31:162">
      <c r="AE258" s="88"/>
      <c r="AK258" s="89"/>
      <c r="AL258" s="8"/>
      <c r="AM258" s="8"/>
      <c r="AN258" s="8"/>
      <c r="AO258" s="8"/>
      <c r="AP258" s="8"/>
      <c r="AQ258" s="8"/>
      <c r="AR258" s="8"/>
      <c r="AZ258" s="45"/>
      <c r="BA258" s="89"/>
      <c r="BB258" s="89"/>
      <c r="BC258" s="89"/>
      <c r="BD258" s="89"/>
      <c r="BE258" s="89"/>
      <c r="BF258" s="89"/>
      <c r="BG258" s="89"/>
      <c r="BH258" s="89"/>
      <c r="BI258" s="89"/>
      <c r="BJ258" s="89"/>
      <c r="BK258" s="91"/>
      <c r="BL258" s="66"/>
      <c r="BM258" s="94"/>
      <c r="BN258" s="94"/>
      <c r="BO258" s="92"/>
      <c r="BP258" s="93"/>
      <c r="BQ258" s="23"/>
      <c r="BR258" s="94"/>
      <c r="BS258" s="94"/>
      <c r="BT258" s="94"/>
      <c r="BU258" s="94"/>
      <c r="BV258" s="95"/>
      <c r="BW258" s="91"/>
      <c r="BX258" s="95"/>
      <c r="BY258" s="8"/>
      <c r="BZ258" s="96"/>
      <c r="CA258" s="91"/>
      <c r="CB258" s="97"/>
      <c r="CC258" s="8"/>
      <c r="CD258" s="91"/>
      <c r="CE258" s="98"/>
      <c r="CF258" s="98"/>
      <c r="DE258" s="88"/>
      <c r="DK258" s="89"/>
      <c r="DL258" s="8"/>
      <c r="DM258" s="8"/>
      <c r="DN258" s="8"/>
      <c r="DO258" s="8"/>
      <c r="DP258" s="8"/>
      <c r="DQ258" s="8"/>
      <c r="DR258" s="8"/>
      <c r="DZ258" s="45"/>
      <c r="EA258" s="89"/>
      <c r="EB258" s="89"/>
      <c r="EC258" s="89"/>
      <c r="ED258" s="89"/>
      <c r="EE258" s="89"/>
      <c r="EF258" s="89"/>
      <c r="EG258" s="89"/>
      <c r="EH258" s="89"/>
      <c r="EI258" s="89"/>
      <c r="EJ258" s="89"/>
      <c r="EK258" s="91"/>
      <c r="EL258" s="66"/>
      <c r="EM258" s="94"/>
      <c r="EN258" s="94"/>
      <c r="EO258" s="92"/>
      <c r="EP258" s="93"/>
      <c r="EQ258" s="23"/>
      <c r="ER258" s="94"/>
      <c r="ES258" s="94"/>
      <c r="ET258" s="94"/>
      <c r="EU258" s="94"/>
      <c r="EV258" s="95"/>
      <c r="EW258" s="91"/>
      <c r="EX258" s="95"/>
      <c r="EY258" s="8"/>
      <c r="EZ258" s="96"/>
      <c r="FA258" s="91"/>
      <c r="FB258" s="97"/>
      <c r="FC258" s="8"/>
      <c r="FD258" s="91"/>
      <c r="FE258" s="98"/>
      <c r="FF258" s="98"/>
    </row>
    <row r="259" spans="31:162">
      <c r="AE259" s="88"/>
      <c r="AK259" s="89"/>
      <c r="AL259" s="8"/>
      <c r="AM259" s="8"/>
      <c r="AN259" s="8"/>
      <c r="AO259" s="8"/>
      <c r="AP259" s="8"/>
      <c r="AQ259" s="8"/>
      <c r="AR259" s="8"/>
      <c r="AZ259" s="45"/>
      <c r="BA259" s="89"/>
      <c r="BB259" s="89"/>
      <c r="BC259" s="89"/>
      <c r="BD259" s="89"/>
      <c r="BE259" s="89"/>
      <c r="BF259" s="89"/>
      <c r="BG259" s="89"/>
      <c r="BH259" s="89"/>
      <c r="BI259" s="89"/>
      <c r="BJ259" s="89"/>
      <c r="BK259" s="91"/>
      <c r="BL259" s="66"/>
      <c r="BM259" s="94"/>
      <c r="BN259" s="94"/>
      <c r="BO259" s="92"/>
      <c r="BP259" s="93"/>
      <c r="BQ259" s="23"/>
      <c r="BR259" s="94"/>
      <c r="BS259" s="94"/>
      <c r="BT259" s="94"/>
      <c r="BU259" s="94"/>
      <c r="BV259" s="95"/>
      <c r="BW259" s="91"/>
      <c r="BX259" s="95"/>
      <c r="BY259" s="8"/>
      <c r="BZ259" s="96"/>
      <c r="CA259" s="91"/>
      <c r="CB259" s="97"/>
      <c r="CC259" s="8"/>
      <c r="CD259" s="91"/>
      <c r="CE259" s="98"/>
      <c r="CF259" s="98"/>
      <c r="DE259" s="88"/>
      <c r="DK259" s="89"/>
      <c r="DL259" s="8"/>
      <c r="DM259" s="8"/>
      <c r="DN259" s="8"/>
      <c r="DO259" s="8"/>
      <c r="DP259" s="8"/>
      <c r="DQ259" s="8"/>
      <c r="DR259" s="8"/>
      <c r="DZ259" s="45"/>
      <c r="EA259" s="89"/>
      <c r="EB259" s="89"/>
      <c r="EC259" s="89"/>
      <c r="ED259" s="89"/>
      <c r="EE259" s="89"/>
      <c r="EF259" s="89"/>
      <c r="EG259" s="89"/>
      <c r="EH259" s="89"/>
      <c r="EI259" s="89"/>
      <c r="EJ259" s="89"/>
      <c r="EK259" s="91"/>
      <c r="EL259" s="66"/>
      <c r="EM259" s="94"/>
      <c r="EN259" s="94"/>
      <c r="EO259" s="92"/>
      <c r="EP259" s="93"/>
      <c r="EQ259" s="23"/>
      <c r="ER259" s="94"/>
      <c r="ES259" s="94"/>
      <c r="ET259" s="94"/>
      <c r="EU259" s="94"/>
      <c r="EV259" s="95"/>
      <c r="EW259" s="91"/>
      <c r="EX259" s="95"/>
      <c r="EY259" s="8"/>
      <c r="EZ259" s="96"/>
      <c r="FA259" s="91"/>
      <c r="FB259" s="97"/>
      <c r="FC259" s="8"/>
      <c r="FD259" s="91"/>
      <c r="FE259" s="98"/>
      <c r="FF259" s="98"/>
    </row>
    <row r="260" spans="31:162">
      <c r="AE260" s="88"/>
      <c r="AK260" s="89"/>
      <c r="AL260" s="8"/>
      <c r="AM260" s="8"/>
      <c r="AN260" s="8"/>
      <c r="AO260" s="8"/>
      <c r="AP260" s="8"/>
      <c r="AQ260" s="8"/>
      <c r="AR260" s="8"/>
      <c r="AZ260" s="45"/>
      <c r="BA260" s="89"/>
      <c r="BB260" s="89"/>
      <c r="BC260" s="89"/>
      <c r="BD260" s="89"/>
      <c r="BE260" s="89"/>
      <c r="BF260" s="89"/>
      <c r="BG260" s="89"/>
      <c r="BH260" s="89"/>
      <c r="BI260" s="89"/>
      <c r="BJ260" s="89"/>
      <c r="BK260" s="91"/>
      <c r="BL260" s="66"/>
      <c r="BM260" s="94"/>
      <c r="BN260" s="94"/>
      <c r="BO260" s="92"/>
      <c r="BP260" s="93"/>
      <c r="BQ260" s="23"/>
      <c r="BR260" s="94"/>
      <c r="BS260" s="94"/>
      <c r="BT260" s="94"/>
      <c r="BU260" s="94"/>
      <c r="BV260" s="95"/>
      <c r="BW260" s="91"/>
      <c r="BX260" s="95"/>
      <c r="BY260" s="8"/>
      <c r="BZ260" s="96"/>
      <c r="CA260" s="91"/>
      <c r="CB260" s="97"/>
      <c r="CC260" s="8"/>
      <c r="CD260" s="91"/>
      <c r="CE260" s="98"/>
      <c r="CF260" s="98"/>
      <c r="DE260" s="88"/>
      <c r="DK260" s="89"/>
      <c r="DL260" s="8"/>
      <c r="DM260" s="8"/>
      <c r="DN260" s="8"/>
      <c r="DO260" s="8"/>
      <c r="DP260" s="8"/>
      <c r="DQ260" s="8"/>
      <c r="DR260" s="8"/>
      <c r="DZ260" s="45"/>
      <c r="EA260" s="89"/>
      <c r="EB260" s="89"/>
      <c r="EC260" s="89"/>
      <c r="ED260" s="89"/>
      <c r="EE260" s="89"/>
      <c r="EF260" s="89"/>
      <c r="EG260" s="89"/>
      <c r="EH260" s="89"/>
      <c r="EI260" s="89"/>
      <c r="EJ260" s="89"/>
      <c r="EK260" s="91"/>
      <c r="EL260" s="66"/>
      <c r="EM260" s="94"/>
      <c r="EN260" s="94"/>
      <c r="EO260" s="92"/>
      <c r="EP260" s="93"/>
      <c r="EQ260" s="23"/>
      <c r="ER260" s="94"/>
      <c r="ES260" s="94"/>
      <c r="ET260" s="94"/>
      <c r="EU260" s="94"/>
      <c r="EV260" s="95"/>
      <c r="EW260" s="91"/>
      <c r="EX260" s="95"/>
      <c r="EY260" s="8"/>
      <c r="EZ260" s="96"/>
      <c r="FA260" s="91"/>
      <c r="FB260" s="97"/>
      <c r="FC260" s="8"/>
      <c r="FD260" s="91"/>
      <c r="FE260" s="98"/>
      <c r="FF260" s="98"/>
    </row>
    <row r="261" spans="31:162">
      <c r="AE261" s="88"/>
      <c r="AK261" s="89"/>
      <c r="AL261" s="8"/>
      <c r="AM261" s="8"/>
      <c r="AN261" s="8"/>
      <c r="AO261" s="8"/>
      <c r="AP261" s="8"/>
      <c r="AQ261" s="8"/>
      <c r="AR261" s="8"/>
      <c r="AZ261" s="45"/>
      <c r="BA261" s="89"/>
      <c r="BB261" s="89"/>
      <c r="BC261" s="89"/>
      <c r="BD261" s="89"/>
      <c r="BE261" s="89"/>
      <c r="BF261" s="89"/>
      <c r="BG261" s="89"/>
      <c r="BH261" s="89"/>
      <c r="BI261" s="89"/>
      <c r="BJ261" s="89"/>
      <c r="BK261" s="91"/>
      <c r="BL261" s="66"/>
      <c r="BM261" s="94"/>
      <c r="BN261" s="94"/>
      <c r="BO261" s="92"/>
      <c r="BP261" s="93"/>
      <c r="BQ261" s="23"/>
      <c r="BR261" s="94"/>
      <c r="BS261" s="94"/>
      <c r="BT261" s="94"/>
      <c r="BU261" s="94"/>
      <c r="BV261" s="95"/>
      <c r="BW261" s="91"/>
      <c r="BX261" s="95"/>
      <c r="BY261" s="8"/>
      <c r="BZ261" s="96"/>
      <c r="CA261" s="91"/>
      <c r="CB261" s="97"/>
      <c r="CC261" s="8"/>
      <c r="CD261" s="91"/>
      <c r="CE261" s="98"/>
      <c r="CF261" s="98"/>
      <c r="DE261" s="88"/>
      <c r="DK261" s="89"/>
      <c r="DL261" s="8"/>
      <c r="DM261" s="8"/>
      <c r="DN261" s="8"/>
      <c r="DO261" s="8"/>
      <c r="DP261" s="8"/>
      <c r="DQ261" s="8"/>
      <c r="DR261" s="8"/>
      <c r="DZ261" s="45"/>
      <c r="EA261" s="89"/>
      <c r="EB261" s="89"/>
      <c r="EC261" s="89"/>
      <c r="ED261" s="89"/>
      <c r="EE261" s="89"/>
      <c r="EF261" s="89"/>
      <c r="EG261" s="89"/>
      <c r="EH261" s="89"/>
      <c r="EI261" s="89"/>
      <c r="EJ261" s="89"/>
      <c r="EK261" s="91"/>
      <c r="EL261" s="66"/>
      <c r="EM261" s="94"/>
      <c r="EN261" s="94"/>
      <c r="EO261" s="92"/>
      <c r="EP261" s="93"/>
      <c r="EQ261" s="23"/>
      <c r="ER261" s="94"/>
      <c r="ES261" s="94"/>
      <c r="ET261" s="94"/>
      <c r="EU261" s="94"/>
      <c r="EV261" s="95"/>
      <c r="EW261" s="91"/>
      <c r="EX261" s="95"/>
      <c r="EY261" s="8"/>
      <c r="EZ261" s="96"/>
      <c r="FA261" s="91"/>
      <c r="FB261" s="97"/>
      <c r="FC261" s="8"/>
      <c r="FD261" s="91"/>
      <c r="FE261" s="98"/>
      <c r="FF261" s="98"/>
    </row>
    <row r="262" spans="31:162">
      <c r="AE262" s="88"/>
      <c r="AK262" s="89"/>
      <c r="AL262" s="8"/>
      <c r="AM262" s="8"/>
      <c r="AN262" s="8"/>
      <c r="AO262" s="8"/>
      <c r="AP262" s="8"/>
      <c r="AQ262" s="8"/>
      <c r="AR262" s="8"/>
      <c r="AZ262" s="45"/>
      <c r="BA262" s="89"/>
      <c r="BB262" s="89"/>
      <c r="BC262" s="89"/>
      <c r="BD262" s="89"/>
      <c r="BE262" s="89"/>
      <c r="BF262" s="89"/>
      <c r="BG262" s="89"/>
      <c r="BH262" s="89"/>
      <c r="BI262" s="89"/>
      <c r="BJ262" s="89"/>
      <c r="BK262" s="91"/>
      <c r="BL262" s="66"/>
      <c r="BM262" s="94"/>
      <c r="BN262" s="94"/>
      <c r="BO262" s="92"/>
      <c r="BP262" s="93"/>
      <c r="BQ262" s="23"/>
      <c r="BR262" s="94"/>
      <c r="BS262" s="94"/>
      <c r="BT262" s="94"/>
      <c r="BU262" s="94"/>
      <c r="BV262" s="95"/>
      <c r="BW262" s="91"/>
      <c r="BX262" s="95"/>
      <c r="BY262" s="8"/>
      <c r="BZ262" s="96"/>
      <c r="CA262" s="91"/>
      <c r="CB262" s="97"/>
      <c r="CC262" s="8"/>
      <c r="CD262" s="91"/>
      <c r="CE262" s="98"/>
      <c r="CF262" s="98"/>
      <c r="DE262" s="88"/>
      <c r="DK262" s="89"/>
      <c r="DL262" s="8"/>
      <c r="DM262" s="8"/>
      <c r="DN262" s="8"/>
      <c r="DO262" s="8"/>
      <c r="DP262" s="8"/>
      <c r="DQ262" s="8"/>
      <c r="DR262" s="8"/>
      <c r="DZ262" s="45"/>
      <c r="EA262" s="89"/>
      <c r="EB262" s="89"/>
      <c r="EC262" s="89"/>
      <c r="ED262" s="89"/>
      <c r="EE262" s="89"/>
      <c r="EF262" s="89"/>
      <c r="EG262" s="89"/>
      <c r="EH262" s="89"/>
      <c r="EI262" s="89"/>
      <c r="EJ262" s="89"/>
      <c r="EK262" s="91"/>
      <c r="EL262" s="66"/>
      <c r="EM262" s="94"/>
      <c r="EN262" s="94"/>
      <c r="EO262" s="92"/>
      <c r="EP262" s="93"/>
      <c r="EQ262" s="23"/>
      <c r="ER262" s="94"/>
      <c r="ES262" s="94"/>
      <c r="ET262" s="94"/>
      <c r="EU262" s="94"/>
      <c r="EV262" s="95"/>
      <c r="EW262" s="91"/>
      <c r="EX262" s="95"/>
      <c r="EY262" s="8"/>
      <c r="EZ262" s="96"/>
      <c r="FA262" s="91"/>
      <c r="FB262" s="97"/>
      <c r="FC262" s="8"/>
      <c r="FD262" s="91"/>
      <c r="FE262" s="98"/>
      <c r="FF262" s="98"/>
    </row>
    <row r="263" spans="31:162">
      <c r="AE263" s="88"/>
      <c r="AK263" s="89"/>
      <c r="AL263" s="8"/>
      <c r="AM263" s="8"/>
      <c r="AN263" s="8"/>
      <c r="AO263" s="8"/>
      <c r="AP263" s="8"/>
      <c r="AQ263" s="8"/>
      <c r="AR263" s="8"/>
      <c r="AZ263" s="45"/>
      <c r="BA263" s="89"/>
      <c r="BB263" s="89"/>
      <c r="BC263" s="89"/>
      <c r="BD263" s="89"/>
      <c r="BE263" s="89"/>
      <c r="BF263" s="89"/>
      <c r="BG263" s="89"/>
      <c r="BH263" s="89"/>
      <c r="BI263" s="89"/>
      <c r="BJ263" s="89"/>
      <c r="BK263" s="91"/>
      <c r="BL263" s="66"/>
      <c r="BM263" s="94"/>
      <c r="BN263" s="94"/>
      <c r="BO263" s="92"/>
      <c r="BP263" s="93"/>
      <c r="BQ263" s="23"/>
      <c r="BR263" s="94"/>
      <c r="BS263" s="94"/>
      <c r="BT263" s="94"/>
      <c r="BU263" s="94"/>
      <c r="BV263" s="95"/>
      <c r="BW263" s="91"/>
      <c r="BX263" s="95"/>
      <c r="BY263" s="8"/>
      <c r="BZ263" s="96"/>
      <c r="CA263" s="91"/>
      <c r="CB263" s="97"/>
      <c r="CC263" s="8"/>
      <c r="CD263" s="91"/>
      <c r="CE263" s="98"/>
      <c r="CF263" s="98"/>
      <c r="DE263" s="88"/>
      <c r="DK263" s="89"/>
      <c r="DL263" s="8"/>
      <c r="DM263" s="8"/>
      <c r="DN263" s="8"/>
      <c r="DO263" s="8"/>
      <c r="DP263" s="8"/>
      <c r="DQ263" s="8"/>
      <c r="DR263" s="8"/>
      <c r="DZ263" s="45"/>
      <c r="EA263" s="89"/>
      <c r="EB263" s="89"/>
      <c r="EC263" s="89"/>
      <c r="ED263" s="89"/>
      <c r="EE263" s="89"/>
      <c r="EF263" s="89"/>
      <c r="EG263" s="89"/>
      <c r="EH263" s="89"/>
      <c r="EI263" s="89"/>
      <c r="EJ263" s="89"/>
      <c r="EK263" s="91"/>
      <c r="EL263" s="66"/>
      <c r="EM263" s="94"/>
      <c r="EN263" s="94"/>
      <c r="EO263" s="92"/>
      <c r="EP263" s="93"/>
      <c r="EQ263" s="23"/>
      <c r="ER263" s="94"/>
      <c r="ES263" s="94"/>
      <c r="ET263" s="94"/>
      <c r="EU263" s="94"/>
      <c r="EV263" s="95"/>
      <c r="EW263" s="91"/>
      <c r="EX263" s="95"/>
      <c r="EY263" s="8"/>
      <c r="EZ263" s="96"/>
      <c r="FA263" s="91"/>
      <c r="FB263" s="97"/>
      <c r="FC263" s="8"/>
      <c r="FD263" s="91"/>
      <c r="FE263" s="98"/>
      <c r="FF263" s="98"/>
    </row>
    <row r="264" spans="31:162">
      <c r="AE264" s="88"/>
      <c r="AK264" s="89"/>
      <c r="AL264" s="8"/>
      <c r="AM264" s="8"/>
      <c r="AN264" s="8"/>
      <c r="AO264" s="8"/>
      <c r="AP264" s="8"/>
      <c r="AQ264" s="8"/>
      <c r="AR264" s="8"/>
      <c r="AZ264" s="45"/>
      <c r="BA264" s="89"/>
      <c r="BB264" s="89"/>
      <c r="BC264" s="89"/>
      <c r="BD264" s="89"/>
      <c r="BE264" s="89"/>
      <c r="BF264" s="89"/>
      <c r="BG264" s="89"/>
      <c r="BH264" s="89"/>
      <c r="BI264" s="89"/>
      <c r="BJ264" s="89"/>
      <c r="BK264" s="91"/>
      <c r="BL264" s="66"/>
      <c r="BM264" s="94"/>
      <c r="BN264" s="94"/>
      <c r="BO264" s="92"/>
      <c r="BP264" s="93"/>
      <c r="BQ264" s="23"/>
      <c r="BR264" s="94"/>
      <c r="BS264" s="94"/>
      <c r="BT264" s="94"/>
      <c r="BU264" s="94"/>
      <c r="BV264" s="95"/>
      <c r="BW264" s="91"/>
      <c r="BX264" s="95"/>
      <c r="BY264" s="8"/>
      <c r="BZ264" s="96"/>
      <c r="CA264" s="91"/>
      <c r="CB264" s="97"/>
      <c r="CC264" s="8"/>
      <c r="CD264" s="91"/>
      <c r="CE264" s="98"/>
      <c r="CF264" s="98"/>
      <c r="DE264" s="88"/>
      <c r="DK264" s="89"/>
      <c r="DL264" s="8"/>
      <c r="DM264" s="8"/>
      <c r="DN264" s="8"/>
      <c r="DO264" s="8"/>
      <c r="DP264" s="8"/>
      <c r="DQ264" s="8"/>
      <c r="DR264" s="8"/>
      <c r="DZ264" s="45"/>
      <c r="EA264" s="89"/>
      <c r="EB264" s="89"/>
      <c r="EC264" s="89"/>
      <c r="ED264" s="89"/>
      <c r="EE264" s="89"/>
      <c r="EF264" s="89"/>
      <c r="EG264" s="89"/>
      <c r="EH264" s="89"/>
      <c r="EI264" s="89"/>
      <c r="EJ264" s="89"/>
      <c r="EK264" s="91"/>
      <c r="EL264" s="66"/>
      <c r="EM264" s="94"/>
      <c r="EN264" s="94"/>
      <c r="EO264" s="92"/>
      <c r="EP264" s="93"/>
      <c r="EQ264" s="23"/>
      <c r="ER264" s="94"/>
      <c r="ES264" s="94"/>
      <c r="ET264" s="94"/>
      <c r="EU264" s="94"/>
      <c r="EV264" s="95"/>
      <c r="EW264" s="91"/>
      <c r="EX264" s="95"/>
      <c r="EY264" s="8"/>
      <c r="EZ264" s="96"/>
      <c r="FA264" s="91"/>
      <c r="FB264" s="97"/>
      <c r="FC264" s="8"/>
      <c r="FD264" s="91"/>
      <c r="FE264" s="98"/>
      <c r="FF264" s="98"/>
    </row>
    <row r="265" spans="31:162">
      <c r="AE265" s="88"/>
      <c r="AK265" s="89"/>
      <c r="AL265" s="8"/>
      <c r="AM265" s="8"/>
      <c r="AN265" s="8"/>
      <c r="AO265" s="8"/>
      <c r="AP265" s="8"/>
      <c r="AQ265" s="8"/>
      <c r="AR265" s="8"/>
      <c r="AZ265" s="45"/>
      <c r="BA265" s="89"/>
      <c r="BB265" s="89"/>
      <c r="BC265" s="89"/>
      <c r="BD265" s="89"/>
      <c r="BE265" s="89"/>
      <c r="BF265" s="89"/>
      <c r="BG265" s="89"/>
      <c r="BH265" s="89"/>
      <c r="BI265" s="89"/>
      <c r="BJ265" s="89"/>
      <c r="BK265" s="91"/>
      <c r="BL265" s="66"/>
      <c r="BM265" s="94"/>
      <c r="BN265" s="94"/>
      <c r="BO265" s="92"/>
      <c r="BP265" s="93"/>
      <c r="BQ265" s="23"/>
      <c r="BR265" s="94"/>
      <c r="BS265" s="94"/>
      <c r="BT265" s="94"/>
      <c r="BU265" s="94"/>
      <c r="BV265" s="95"/>
      <c r="BW265" s="91"/>
      <c r="BX265" s="95"/>
      <c r="BY265" s="8"/>
      <c r="BZ265" s="96"/>
      <c r="CA265" s="91"/>
      <c r="CB265" s="97"/>
      <c r="CC265" s="8"/>
      <c r="CD265" s="91"/>
      <c r="CE265" s="98"/>
      <c r="CF265" s="98"/>
      <c r="DE265" s="88"/>
      <c r="DK265" s="89"/>
      <c r="DL265" s="8"/>
      <c r="DM265" s="8"/>
      <c r="DN265" s="8"/>
      <c r="DO265" s="8"/>
      <c r="DP265" s="8"/>
      <c r="DQ265" s="8"/>
      <c r="DR265" s="8"/>
      <c r="DZ265" s="45"/>
      <c r="EA265" s="89"/>
      <c r="EB265" s="89"/>
      <c r="EC265" s="89"/>
      <c r="ED265" s="89"/>
      <c r="EE265" s="89"/>
      <c r="EF265" s="89"/>
      <c r="EG265" s="89"/>
      <c r="EH265" s="89"/>
      <c r="EI265" s="89"/>
      <c r="EJ265" s="89"/>
      <c r="EK265" s="91"/>
      <c r="EL265" s="66"/>
      <c r="EM265" s="94"/>
      <c r="EN265" s="94"/>
      <c r="EO265" s="92"/>
      <c r="EP265" s="93"/>
      <c r="EQ265" s="23"/>
      <c r="ER265" s="94"/>
      <c r="ES265" s="94"/>
      <c r="ET265" s="94"/>
      <c r="EU265" s="94"/>
      <c r="EV265" s="95"/>
      <c r="EW265" s="91"/>
      <c r="EX265" s="95"/>
      <c r="EY265" s="8"/>
      <c r="EZ265" s="96"/>
      <c r="FA265" s="91"/>
      <c r="FB265" s="97"/>
      <c r="FC265" s="8"/>
      <c r="FD265" s="91"/>
      <c r="FE265" s="98"/>
      <c r="FF265" s="98"/>
    </row>
    <row r="266" spans="31:162">
      <c r="AE266" s="88"/>
      <c r="AK266" s="89"/>
      <c r="AL266" s="8"/>
      <c r="AM266" s="8"/>
      <c r="AN266" s="8"/>
      <c r="AO266" s="8"/>
      <c r="AP266" s="8"/>
      <c r="AQ266" s="8"/>
      <c r="AR266" s="8"/>
      <c r="AZ266" s="45"/>
      <c r="BA266" s="89"/>
      <c r="BB266" s="89"/>
      <c r="BC266" s="89"/>
      <c r="BD266" s="89"/>
      <c r="BE266" s="89"/>
      <c r="BF266" s="89"/>
      <c r="BG266" s="89"/>
      <c r="BH266" s="89"/>
      <c r="BI266" s="89"/>
      <c r="BJ266" s="89"/>
      <c r="BK266" s="91"/>
      <c r="BL266" s="66"/>
      <c r="BM266" s="94"/>
      <c r="BN266" s="94"/>
      <c r="BO266" s="92"/>
      <c r="BP266" s="93"/>
      <c r="BQ266" s="23"/>
      <c r="BR266" s="94"/>
      <c r="BS266" s="94"/>
      <c r="BT266" s="94"/>
      <c r="BU266" s="94"/>
      <c r="BV266" s="95"/>
      <c r="BW266" s="91"/>
      <c r="BX266" s="95"/>
      <c r="BY266" s="8"/>
      <c r="BZ266" s="96"/>
      <c r="CA266" s="91"/>
      <c r="CB266" s="97"/>
      <c r="CC266" s="8"/>
      <c r="CD266" s="91"/>
      <c r="CE266" s="98"/>
      <c r="CF266" s="98"/>
      <c r="DE266" s="88"/>
      <c r="DK266" s="89"/>
      <c r="DL266" s="8"/>
      <c r="DM266" s="8"/>
      <c r="DN266" s="8"/>
      <c r="DO266" s="8"/>
      <c r="DP266" s="8"/>
      <c r="DQ266" s="8"/>
      <c r="DR266" s="8"/>
      <c r="DZ266" s="45"/>
      <c r="EA266" s="89"/>
      <c r="EB266" s="89"/>
      <c r="EC266" s="89"/>
      <c r="ED266" s="89"/>
      <c r="EE266" s="89"/>
      <c r="EF266" s="89"/>
      <c r="EG266" s="89"/>
      <c r="EH266" s="89"/>
      <c r="EI266" s="89"/>
      <c r="EJ266" s="89"/>
      <c r="EK266" s="91"/>
      <c r="EL266" s="66"/>
      <c r="EM266" s="94"/>
      <c r="EN266" s="94"/>
      <c r="EO266" s="92"/>
      <c r="EP266" s="93"/>
      <c r="EQ266" s="23"/>
      <c r="ER266" s="94"/>
      <c r="ES266" s="94"/>
      <c r="ET266" s="94"/>
      <c r="EU266" s="94"/>
      <c r="EV266" s="95"/>
      <c r="EW266" s="91"/>
      <c r="EX266" s="95"/>
      <c r="EY266" s="8"/>
      <c r="EZ266" s="96"/>
      <c r="FA266" s="91"/>
      <c r="FB266" s="97"/>
      <c r="FC266" s="8"/>
      <c r="FD266" s="91"/>
      <c r="FE266" s="98"/>
      <c r="FF266" s="98"/>
    </row>
    <row r="267" spans="31:162">
      <c r="AE267" s="88"/>
      <c r="AK267" s="89"/>
      <c r="AL267" s="8"/>
      <c r="AM267" s="8"/>
      <c r="AN267" s="8"/>
      <c r="AO267" s="8"/>
      <c r="AP267" s="8"/>
      <c r="AQ267" s="8"/>
      <c r="AR267" s="8"/>
      <c r="AZ267" s="45"/>
      <c r="BA267" s="89"/>
      <c r="BB267" s="89"/>
      <c r="BC267" s="89"/>
      <c r="BD267" s="89"/>
      <c r="BE267" s="89"/>
      <c r="BF267" s="89"/>
      <c r="BG267" s="89"/>
      <c r="BH267" s="89"/>
      <c r="BI267" s="89"/>
      <c r="BJ267" s="89"/>
      <c r="BK267" s="91"/>
      <c r="BL267" s="66"/>
      <c r="BM267" s="94"/>
      <c r="BN267" s="94"/>
      <c r="BO267" s="92"/>
      <c r="BP267" s="93"/>
      <c r="BQ267" s="23"/>
      <c r="BR267" s="94"/>
      <c r="BS267" s="94"/>
      <c r="BT267" s="94"/>
      <c r="BU267" s="94"/>
      <c r="BV267" s="95"/>
      <c r="BW267" s="91"/>
      <c r="BX267" s="95"/>
      <c r="BY267" s="8"/>
      <c r="BZ267" s="96"/>
      <c r="CA267" s="91"/>
      <c r="CB267" s="97"/>
      <c r="CC267" s="8"/>
      <c r="CD267" s="91"/>
      <c r="CE267" s="98"/>
      <c r="CF267" s="5"/>
      <c r="DE267" s="88"/>
      <c r="DK267" s="89"/>
      <c r="DL267" s="8"/>
      <c r="DM267" s="8"/>
      <c r="DN267" s="8"/>
      <c r="DO267" s="8"/>
      <c r="DP267" s="8"/>
      <c r="DQ267" s="8"/>
      <c r="DR267" s="8"/>
      <c r="DZ267" s="45"/>
      <c r="EA267" s="89"/>
      <c r="EB267" s="89"/>
      <c r="EC267" s="89"/>
      <c r="ED267" s="89"/>
      <c r="EE267" s="89"/>
      <c r="EF267" s="89"/>
      <c r="EG267" s="89"/>
      <c r="EH267" s="89"/>
      <c r="EI267" s="89"/>
      <c r="EJ267" s="89"/>
      <c r="EK267" s="91"/>
      <c r="EL267" s="66"/>
      <c r="EM267" s="94"/>
      <c r="EN267" s="94"/>
      <c r="EO267" s="92"/>
      <c r="EP267" s="93"/>
      <c r="EQ267" s="23"/>
      <c r="ER267" s="94"/>
      <c r="ES267" s="94"/>
      <c r="ET267" s="94"/>
      <c r="EU267" s="94"/>
      <c r="EV267" s="95"/>
      <c r="EW267" s="91"/>
      <c r="EX267" s="95"/>
      <c r="EY267" s="8"/>
      <c r="EZ267" s="96"/>
      <c r="FA267" s="91"/>
      <c r="FB267" s="97"/>
      <c r="FC267" s="8"/>
      <c r="FD267" s="91"/>
      <c r="FE267" s="98"/>
      <c r="FF267" s="5"/>
    </row>
    <row r="268" spans="31:162">
      <c r="AE268" s="88"/>
      <c r="AK268" s="89"/>
      <c r="AL268" s="8"/>
      <c r="AM268" s="8"/>
      <c r="AN268" s="8"/>
      <c r="AO268" s="8"/>
      <c r="AP268" s="8"/>
      <c r="AQ268" s="8"/>
      <c r="AR268" s="8"/>
      <c r="AZ268" s="45"/>
      <c r="BA268" s="89"/>
      <c r="BB268" s="89"/>
      <c r="BC268" s="89"/>
      <c r="BD268" s="89"/>
      <c r="BE268" s="89"/>
      <c r="BF268" s="89"/>
      <c r="BG268" s="89"/>
      <c r="BH268" s="89"/>
      <c r="BI268" s="89"/>
      <c r="BJ268" s="89"/>
      <c r="BK268" s="91"/>
      <c r="BL268" s="66"/>
      <c r="BM268" s="94"/>
      <c r="BN268" s="94"/>
      <c r="BO268" s="92"/>
      <c r="BP268" s="93"/>
      <c r="BQ268" s="23"/>
      <c r="BR268" s="94"/>
      <c r="BS268" s="94"/>
      <c r="BT268" s="94"/>
      <c r="BU268" s="94"/>
      <c r="BV268" s="95"/>
      <c r="BW268" s="91"/>
      <c r="BX268" s="95"/>
      <c r="BY268" s="8"/>
      <c r="BZ268" s="96"/>
      <c r="CA268" s="91"/>
      <c r="CB268" s="97"/>
      <c r="CC268" s="8"/>
      <c r="CD268" s="91"/>
      <c r="CE268" s="98"/>
      <c r="CF268" s="5"/>
      <c r="DE268" s="88"/>
      <c r="DK268" s="89"/>
      <c r="DL268" s="8"/>
      <c r="DM268" s="8"/>
      <c r="DN268" s="8"/>
      <c r="DO268" s="8"/>
      <c r="DP268" s="8"/>
      <c r="DQ268" s="8"/>
      <c r="DR268" s="8"/>
      <c r="DZ268" s="45"/>
      <c r="EA268" s="89"/>
      <c r="EB268" s="89"/>
      <c r="EC268" s="89"/>
      <c r="ED268" s="89"/>
      <c r="EE268" s="89"/>
      <c r="EF268" s="89"/>
      <c r="EG268" s="89"/>
      <c r="EH268" s="89"/>
      <c r="EI268" s="89"/>
      <c r="EJ268" s="89"/>
      <c r="EK268" s="91"/>
      <c r="EL268" s="66"/>
      <c r="EM268" s="94"/>
      <c r="EN268" s="94"/>
      <c r="EO268" s="92"/>
      <c r="EP268" s="93"/>
      <c r="EQ268" s="23"/>
      <c r="ER268" s="94"/>
      <c r="ES268" s="94"/>
      <c r="ET268" s="94"/>
      <c r="EU268" s="94"/>
      <c r="EV268" s="95"/>
      <c r="EW268" s="91"/>
      <c r="EX268" s="95"/>
      <c r="EY268" s="8"/>
      <c r="EZ268" s="96"/>
      <c r="FA268" s="91"/>
      <c r="FB268" s="97"/>
      <c r="FC268" s="8"/>
      <c r="FD268" s="91"/>
      <c r="FE268" s="98"/>
      <c r="FF268" s="5"/>
    </row>
    <row r="269" spans="31:162">
      <c r="AE269" s="88"/>
      <c r="AK269" s="89"/>
      <c r="AL269" s="8"/>
      <c r="AM269" s="8"/>
      <c r="AN269" s="8"/>
      <c r="AO269" s="8"/>
      <c r="AP269" s="8"/>
      <c r="AQ269" s="8"/>
      <c r="AR269" s="8"/>
      <c r="AZ269" s="45"/>
      <c r="BA269" s="89"/>
      <c r="BB269" s="89"/>
      <c r="BC269" s="89"/>
      <c r="BD269" s="89"/>
      <c r="BE269" s="89"/>
      <c r="BF269" s="89"/>
      <c r="BG269" s="89"/>
      <c r="BH269" s="89"/>
      <c r="BI269" s="89"/>
      <c r="BJ269" s="89"/>
      <c r="BK269" s="91"/>
      <c r="BL269" s="66"/>
      <c r="BM269" s="94"/>
      <c r="BN269" s="94"/>
      <c r="BO269" s="92"/>
      <c r="BP269" s="93"/>
      <c r="BQ269" s="23"/>
      <c r="BR269" s="94"/>
      <c r="BS269" s="94"/>
      <c r="BT269" s="94"/>
      <c r="BU269" s="94"/>
      <c r="BV269" s="95"/>
      <c r="BW269" s="91"/>
      <c r="BX269" s="95"/>
      <c r="BY269" s="8"/>
      <c r="BZ269" s="96"/>
      <c r="CA269" s="91"/>
      <c r="CB269" s="97"/>
      <c r="CC269" s="8"/>
      <c r="CD269" s="91"/>
      <c r="CE269" s="98"/>
      <c r="CF269" s="5"/>
      <c r="DE269" s="88"/>
      <c r="DK269" s="89"/>
      <c r="DL269" s="8"/>
      <c r="DM269" s="8"/>
      <c r="DN269" s="8"/>
      <c r="DO269" s="8"/>
      <c r="DP269" s="8"/>
      <c r="DQ269" s="8"/>
      <c r="DR269" s="8"/>
      <c r="DZ269" s="45"/>
      <c r="EA269" s="89"/>
      <c r="EB269" s="89"/>
      <c r="EC269" s="89"/>
      <c r="ED269" s="89"/>
      <c r="EE269" s="89"/>
      <c r="EF269" s="89"/>
      <c r="EG269" s="89"/>
      <c r="EH269" s="89"/>
      <c r="EI269" s="89"/>
      <c r="EJ269" s="89"/>
      <c r="EK269" s="91"/>
      <c r="EL269" s="66"/>
      <c r="EM269" s="94"/>
      <c r="EN269" s="94"/>
      <c r="EO269" s="92"/>
      <c r="EP269" s="93"/>
      <c r="EQ269" s="23"/>
      <c r="ER269" s="94"/>
      <c r="ES269" s="94"/>
      <c r="ET269" s="94"/>
      <c r="EU269" s="94"/>
      <c r="EV269" s="95"/>
      <c r="EW269" s="91"/>
      <c r="EX269" s="95"/>
      <c r="EY269" s="8"/>
      <c r="EZ269" s="96"/>
      <c r="FA269" s="91"/>
      <c r="FB269" s="97"/>
      <c r="FC269" s="8"/>
      <c r="FD269" s="91"/>
      <c r="FE269" s="98"/>
      <c r="FF269" s="5"/>
    </row>
    <row r="270" spans="31:162">
      <c r="AE270" s="88"/>
      <c r="AK270" s="89"/>
      <c r="AL270" s="8"/>
      <c r="AM270" s="8"/>
      <c r="AN270" s="8"/>
      <c r="AO270" s="8"/>
      <c r="AP270" s="8"/>
      <c r="AQ270" s="8"/>
      <c r="AR270" s="8"/>
      <c r="AZ270" s="45"/>
      <c r="BA270" s="89"/>
      <c r="BB270" s="89"/>
      <c r="BC270" s="89"/>
      <c r="BD270" s="89"/>
      <c r="BE270" s="89"/>
      <c r="BF270" s="89"/>
      <c r="BG270" s="89"/>
      <c r="BH270" s="89"/>
      <c r="BI270" s="89"/>
      <c r="BJ270" s="89"/>
      <c r="BK270" s="91"/>
      <c r="BL270" s="66"/>
      <c r="BM270" s="94"/>
      <c r="BN270" s="94"/>
      <c r="BO270" s="92"/>
      <c r="BP270" s="93"/>
      <c r="BQ270" s="23"/>
      <c r="BR270" s="94"/>
      <c r="BS270" s="94"/>
      <c r="BT270" s="94"/>
      <c r="BU270" s="94"/>
      <c r="BV270" s="95"/>
      <c r="BW270" s="91"/>
      <c r="BX270" s="95"/>
      <c r="BY270" s="8"/>
      <c r="BZ270" s="96"/>
      <c r="CA270" s="91"/>
      <c r="CB270" s="97"/>
      <c r="CC270" s="8"/>
      <c r="CD270" s="91"/>
      <c r="CE270" s="98"/>
      <c r="CF270" s="5"/>
      <c r="DE270" s="88"/>
      <c r="DK270" s="89"/>
      <c r="DL270" s="8"/>
      <c r="DM270" s="8"/>
      <c r="DN270" s="8"/>
      <c r="DO270" s="8"/>
      <c r="DP270" s="8"/>
      <c r="DQ270" s="8"/>
      <c r="DR270" s="8"/>
      <c r="DZ270" s="45"/>
      <c r="EA270" s="89"/>
      <c r="EB270" s="89"/>
      <c r="EC270" s="89"/>
      <c r="ED270" s="89"/>
      <c r="EE270" s="89"/>
      <c r="EF270" s="89"/>
      <c r="EG270" s="89"/>
      <c r="EH270" s="89"/>
      <c r="EI270" s="89"/>
      <c r="EJ270" s="89"/>
      <c r="EK270" s="91"/>
      <c r="EL270" s="66"/>
      <c r="EM270" s="94"/>
      <c r="EN270" s="94"/>
      <c r="EO270" s="92"/>
      <c r="EP270" s="93"/>
      <c r="EQ270" s="23"/>
      <c r="ER270" s="94"/>
      <c r="ES270" s="94"/>
      <c r="ET270" s="94"/>
      <c r="EU270" s="94"/>
      <c r="EV270" s="95"/>
      <c r="EW270" s="91"/>
      <c r="EX270" s="95"/>
      <c r="EY270" s="8"/>
      <c r="EZ270" s="96"/>
      <c r="FA270" s="91"/>
      <c r="FB270" s="97"/>
      <c r="FC270" s="8"/>
      <c r="FD270" s="91"/>
      <c r="FE270" s="98"/>
      <c r="FF270" s="5"/>
    </row>
    <row r="271" spans="31:162">
      <c r="AK271" s="89"/>
      <c r="AL271" s="8"/>
      <c r="AM271" s="8"/>
      <c r="AN271" s="8"/>
      <c r="AO271" s="8"/>
      <c r="AP271" s="8"/>
      <c r="AQ271" s="8"/>
      <c r="AR271" s="8"/>
      <c r="AZ271" s="45"/>
      <c r="BA271" s="89"/>
      <c r="BB271" s="89"/>
      <c r="BC271" s="89"/>
      <c r="BD271" s="89"/>
      <c r="BE271" s="89"/>
      <c r="BF271" s="89"/>
      <c r="BG271" s="89"/>
      <c r="BH271" s="89"/>
      <c r="BI271" s="89"/>
      <c r="BJ271" s="89"/>
      <c r="BK271" s="91"/>
      <c r="BL271" s="66"/>
      <c r="BM271" s="94"/>
      <c r="BN271" s="94"/>
      <c r="BO271" s="92"/>
      <c r="BP271" s="93"/>
      <c r="BQ271" s="23"/>
      <c r="BR271" s="94"/>
      <c r="BS271" s="94"/>
      <c r="BT271" s="94"/>
      <c r="BU271" s="94"/>
      <c r="BV271" s="95"/>
      <c r="BW271" s="91"/>
      <c r="BX271" s="95"/>
      <c r="BY271" s="8"/>
      <c r="BZ271" s="96"/>
      <c r="CA271" s="91"/>
      <c r="CB271" s="97"/>
      <c r="CC271" s="8"/>
      <c r="CD271" s="91"/>
      <c r="CE271" s="98"/>
      <c r="CF271" s="5"/>
      <c r="DK271" s="89"/>
      <c r="DL271" s="8"/>
      <c r="DM271" s="8"/>
      <c r="DN271" s="8"/>
      <c r="DO271" s="8"/>
      <c r="DP271" s="8"/>
      <c r="DQ271" s="8"/>
      <c r="DR271" s="8"/>
      <c r="DZ271" s="45"/>
      <c r="EA271" s="89"/>
      <c r="EB271" s="89"/>
      <c r="EC271" s="89"/>
      <c r="ED271" s="89"/>
      <c r="EE271" s="89"/>
      <c r="EF271" s="89"/>
      <c r="EG271" s="89"/>
      <c r="EH271" s="89"/>
      <c r="EI271" s="89"/>
      <c r="EJ271" s="89"/>
      <c r="EK271" s="91"/>
      <c r="EL271" s="66"/>
      <c r="EM271" s="94"/>
      <c r="EN271" s="94"/>
      <c r="EO271" s="92"/>
      <c r="EP271" s="93"/>
      <c r="EQ271" s="23"/>
      <c r="ER271" s="94"/>
      <c r="ES271" s="94"/>
      <c r="ET271" s="94"/>
      <c r="EU271" s="94"/>
      <c r="EV271" s="95"/>
      <c r="EW271" s="91"/>
      <c r="EX271" s="95"/>
      <c r="EY271" s="8"/>
      <c r="EZ271" s="96"/>
      <c r="FA271" s="91"/>
      <c r="FB271" s="97"/>
      <c r="FC271" s="8"/>
      <c r="FD271" s="91"/>
      <c r="FE271" s="98"/>
      <c r="FF271" s="5"/>
    </row>
    <row r="272" spans="31:162">
      <c r="AK272" s="89"/>
      <c r="AL272" s="8"/>
      <c r="AM272" s="8"/>
      <c r="AN272" s="8"/>
      <c r="AO272" s="8"/>
      <c r="AP272" s="8"/>
      <c r="AQ272" s="8"/>
      <c r="AR272" s="8"/>
      <c r="AZ272" s="45"/>
      <c r="BA272" s="89"/>
      <c r="BB272" s="89"/>
      <c r="BC272" s="89"/>
      <c r="BD272" s="89"/>
      <c r="BE272" s="89"/>
      <c r="BF272" s="89"/>
      <c r="BG272" s="89"/>
      <c r="BH272" s="89"/>
      <c r="BI272" s="89"/>
      <c r="BJ272" s="89"/>
      <c r="BK272" s="91"/>
      <c r="BL272" s="66"/>
      <c r="BM272" s="94"/>
      <c r="BN272" s="94"/>
      <c r="BO272" s="92"/>
      <c r="BP272" s="93"/>
      <c r="BQ272" s="23"/>
      <c r="BR272" s="94"/>
      <c r="BS272" s="94"/>
      <c r="BT272" s="94"/>
      <c r="BU272" s="94"/>
      <c r="BV272" s="95"/>
      <c r="BW272" s="91"/>
      <c r="BX272" s="95"/>
      <c r="BY272" s="8"/>
      <c r="BZ272" s="96"/>
      <c r="CA272" s="91"/>
      <c r="CB272" s="97"/>
      <c r="CC272" s="8"/>
      <c r="CD272" s="91"/>
      <c r="CE272" s="98"/>
      <c r="CF272" s="5"/>
      <c r="DK272" s="89"/>
      <c r="DL272" s="8"/>
      <c r="DM272" s="8"/>
      <c r="DN272" s="8"/>
      <c r="DO272" s="8"/>
      <c r="DP272" s="8"/>
      <c r="DQ272" s="8"/>
      <c r="DR272" s="8"/>
      <c r="DZ272" s="45"/>
      <c r="EA272" s="89"/>
      <c r="EB272" s="89"/>
      <c r="EC272" s="89"/>
      <c r="ED272" s="89"/>
      <c r="EE272" s="89"/>
      <c r="EF272" s="89"/>
      <c r="EG272" s="89"/>
      <c r="EH272" s="89"/>
      <c r="EI272" s="89"/>
      <c r="EJ272" s="89"/>
      <c r="EK272" s="91"/>
      <c r="EL272" s="66"/>
      <c r="EM272" s="94"/>
      <c r="EN272" s="94"/>
      <c r="EO272" s="92"/>
      <c r="EP272" s="93"/>
      <c r="EQ272" s="23"/>
      <c r="ER272" s="94"/>
      <c r="ES272" s="94"/>
      <c r="ET272" s="94"/>
      <c r="EU272" s="94"/>
      <c r="EV272" s="95"/>
      <c r="EW272" s="91"/>
      <c r="EX272" s="95"/>
      <c r="EY272" s="8"/>
      <c r="EZ272" s="96"/>
      <c r="FA272" s="91"/>
      <c r="FB272" s="97"/>
      <c r="FC272" s="8"/>
      <c r="FD272" s="91"/>
      <c r="FE272" s="98"/>
      <c r="FF272" s="5"/>
    </row>
    <row r="273" spans="37:162">
      <c r="AK273" s="89"/>
      <c r="AL273" s="8"/>
      <c r="AM273" s="8"/>
      <c r="AN273" s="8"/>
      <c r="AO273" s="8"/>
      <c r="AP273" s="8"/>
      <c r="AQ273" s="8"/>
      <c r="AR273" s="8"/>
      <c r="AZ273" s="45"/>
      <c r="BA273" s="89"/>
      <c r="BB273" s="89"/>
      <c r="BC273" s="89"/>
      <c r="BD273" s="89"/>
      <c r="BE273" s="89"/>
      <c r="BF273" s="89"/>
      <c r="BG273" s="89"/>
      <c r="BH273" s="89"/>
      <c r="BI273" s="89"/>
      <c r="BJ273" s="89"/>
      <c r="BK273" s="91"/>
      <c r="BL273" s="66"/>
      <c r="BM273" s="94"/>
      <c r="BN273" s="94"/>
      <c r="BO273" s="92"/>
      <c r="BP273" s="93"/>
      <c r="BQ273" s="23"/>
      <c r="BR273" s="94"/>
      <c r="BS273" s="94"/>
      <c r="BT273" s="94"/>
      <c r="BU273" s="94"/>
      <c r="BV273" s="95"/>
      <c r="BW273" s="91"/>
      <c r="BX273" s="95"/>
      <c r="BY273" s="8"/>
      <c r="BZ273" s="96"/>
      <c r="CA273" s="91"/>
      <c r="CB273" s="97"/>
      <c r="CC273" s="8"/>
      <c r="CD273" s="91"/>
      <c r="CE273" s="98"/>
      <c r="CF273" s="5"/>
      <c r="DK273" s="89"/>
      <c r="DL273" s="8"/>
      <c r="DM273" s="8"/>
      <c r="DN273" s="8"/>
      <c r="DO273" s="8"/>
      <c r="DP273" s="8"/>
      <c r="DQ273" s="8"/>
      <c r="DR273" s="8"/>
      <c r="DZ273" s="45"/>
      <c r="EA273" s="89"/>
      <c r="EB273" s="89"/>
      <c r="EC273" s="89"/>
      <c r="ED273" s="89"/>
      <c r="EE273" s="89"/>
      <c r="EF273" s="89"/>
      <c r="EG273" s="89"/>
      <c r="EH273" s="89"/>
      <c r="EI273" s="89"/>
      <c r="EJ273" s="89"/>
      <c r="EK273" s="91"/>
      <c r="EL273" s="66"/>
      <c r="EM273" s="94"/>
      <c r="EN273" s="94"/>
      <c r="EO273" s="92"/>
      <c r="EP273" s="93"/>
      <c r="EQ273" s="23"/>
      <c r="ER273" s="94"/>
      <c r="ES273" s="94"/>
      <c r="ET273" s="94"/>
      <c r="EU273" s="94"/>
      <c r="EV273" s="95"/>
      <c r="EW273" s="91"/>
      <c r="EX273" s="95"/>
      <c r="EY273" s="8"/>
      <c r="EZ273" s="96"/>
      <c r="FA273" s="91"/>
      <c r="FB273" s="97"/>
      <c r="FC273" s="8"/>
      <c r="FD273" s="91"/>
      <c r="FE273" s="98"/>
      <c r="FF273" s="5"/>
    </row>
    <row r="274" spans="37:162">
      <c r="AK274" s="89"/>
      <c r="AL274" s="8"/>
      <c r="AM274" s="8"/>
      <c r="AN274" s="8"/>
      <c r="AO274" s="8"/>
      <c r="AP274" s="8"/>
      <c r="AQ274" s="8"/>
      <c r="AR274" s="8"/>
      <c r="AZ274" s="45"/>
      <c r="BA274" s="89"/>
      <c r="BB274" s="89"/>
      <c r="BC274" s="89"/>
      <c r="BD274" s="89"/>
      <c r="BE274" s="89"/>
      <c r="BF274" s="89"/>
      <c r="BG274" s="89"/>
      <c r="BH274" s="89"/>
      <c r="BI274" s="89"/>
      <c r="BJ274" s="89"/>
      <c r="BK274" s="91"/>
      <c r="BL274" s="66"/>
      <c r="BM274" s="94"/>
      <c r="BN274" s="94"/>
      <c r="BO274" s="92"/>
      <c r="BP274" s="93"/>
      <c r="BQ274" s="23"/>
      <c r="BR274" s="94"/>
      <c r="BS274" s="94"/>
      <c r="BT274" s="94"/>
      <c r="BU274" s="94"/>
      <c r="BV274" s="95"/>
      <c r="BW274" s="91"/>
      <c r="BX274" s="95"/>
      <c r="BY274" s="8"/>
      <c r="BZ274" s="96"/>
      <c r="CA274" s="91"/>
      <c r="CB274" s="97"/>
      <c r="CC274" s="8"/>
      <c r="CD274" s="91"/>
      <c r="CE274" s="98"/>
      <c r="CF274" s="5"/>
      <c r="DK274" s="89"/>
      <c r="DL274" s="8"/>
      <c r="DM274" s="8"/>
      <c r="DN274" s="8"/>
      <c r="DO274" s="8"/>
      <c r="DP274" s="8"/>
      <c r="DQ274" s="8"/>
      <c r="DR274" s="8"/>
      <c r="DZ274" s="45"/>
      <c r="EA274" s="89"/>
      <c r="EB274" s="89"/>
      <c r="EC274" s="89"/>
      <c r="ED274" s="89"/>
      <c r="EE274" s="89"/>
      <c r="EF274" s="89"/>
      <c r="EG274" s="89"/>
      <c r="EH274" s="89"/>
      <c r="EI274" s="89"/>
      <c r="EJ274" s="89"/>
      <c r="EK274" s="91"/>
      <c r="EL274" s="66"/>
      <c r="EM274" s="94"/>
      <c r="EN274" s="94"/>
      <c r="EO274" s="92"/>
      <c r="EP274" s="93"/>
      <c r="EQ274" s="23"/>
      <c r="ER274" s="94"/>
      <c r="ES274" s="94"/>
      <c r="ET274" s="94"/>
      <c r="EU274" s="94"/>
      <c r="EV274" s="95"/>
      <c r="EW274" s="91"/>
      <c r="EX274" s="95"/>
      <c r="EY274" s="8"/>
      <c r="EZ274" s="96"/>
      <c r="FA274" s="91"/>
      <c r="FB274" s="97"/>
      <c r="FC274" s="8"/>
      <c r="FD274" s="91"/>
      <c r="FE274" s="98"/>
      <c r="FF274" s="5"/>
    </row>
    <row r="275" spans="37:162">
      <c r="AK275" s="89"/>
      <c r="AL275" s="8"/>
      <c r="AM275" s="8"/>
      <c r="AN275" s="8"/>
      <c r="AO275" s="8"/>
      <c r="AP275" s="8"/>
      <c r="AQ275" s="8"/>
      <c r="AR275" s="8"/>
      <c r="AZ275" s="45"/>
      <c r="BA275" s="89"/>
      <c r="BB275" s="89"/>
      <c r="BC275" s="89"/>
      <c r="BD275" s="89"/>
      <c r="BE275" s="89"/>
      <c r="BF275" s="89"/>
      <c r="BG275" s="89"/>
      <c r="BH275" s="89"/>
      <c r="BI275" s="89"/>
      <c r="BJ275" s="89"/>
      <c r="BK275" s="91"/>
      <c r="BL275" s="66"/>
      <c r="BM275" s="94"/>
      <c r="BN275" s="94"/>
      <c r="BO275" s="92"/>
      <c r="BP275" s="93"/>
      <c r="BQ275" s="23"/>
      <c r="BR275" s="94"/>
      <c r="BS275" s="94"/>
      <c r="BT275" s="94"/>
      <c r="BU275" s="94"/>
      <c r="BV275" s="95"/>
      <c r="BW275" s="91"/>
      <c r="BX275" s="95"/>
      <c r="BY275" s="8"/>
      <c r="BZ275" s="96"/>
      <c r="CA275" s="91"/>
      <c r="CB275" s="97"/>
      <c r="CC275" s="8"/>
      <c r="CD275" s="91"/>
      <c r="CE275" s="98"/>
      <c r="CF275" s="5"/>
      <c r="DK275" s="89"/>
      <c r="DL275" s="8"/>
      <c r="DM275" s="8"/>
      <c r="DN275" s="8"/>
      <c r="DO275" s="8"/>
      <c r="DP275" s="8"/>
      <c r="DQ275" s="8"/>
      <c r="DR275" s="8"/>
      <c r="DZ275" s="45"/>
      <c r="EA275" s="89"/>
      <c r="EB275" s="89"/>
      <c r="EC275" s="89"/>
      <c r="ED275" s="89"/>
      <c r="EE275" s="89"/>
      <c r="EF275" s="89"/>
      <c r="EG275" s="89"/>
      <c r="EH275" s="89"/>
      <c r="EI275" s="89"/>
      <c r="EJ275" s="89"/>
      <c r="EK275" s="91"/>
      <c r="EL275" s="66"/>
      <c r="EM275" s="94"/>
      <c r="EN275" s="94"/>
      <c r="EO275" s="92"/>
      <c r="EP275" s="93"/>
      <c r="EQ275" s="23"/>
      <c r="ER275" s="94"/>
      <c r="ES275" s="94"/>
      <c r="ET275" s="94"/>
      <c r="EU275" s="94"/>
      <c r="EV275" s="95"/>
      <c r="EW275" s="91"/>
      <c r="EX275" s="95"/>
      <c r="EY275" s="8"/>
      <c r="EZ275" s="96"/>
      <c r="FA275" s="91"/>
      <c r="FB275" s="97"/>
      <c r="FC275" s="8"/>
      <c r="FD275" s="91"/>
      <c r="FE275" s="98"/>
      <c r="FF275" s="5"/>
    </row>
    <row r="276" spans="37:162">
      <c r="AK276" s="89"/>
      <c r="AL276" s="8"/>
      <c r="AM276" s="8"/>
      <c r="AN276" s="8"/>
      <c r="AO276" s="8"/>
      <c r="AP276" s="8"/>
      <c r="AQ276" s="8"/>
      <c r="AR276" s="8"/>
      <c r="AZ276" s="45"/>
      <c r="BA276" s="89"/>
      <c r="BB276" s="89"/>
      <c r="BC276" s="89"/>
      <c r="BD276" s="89"/>
      <c r="BE276" s="89"/>
      <c r="BF276" s="89"/>
      <c r="BG276" s="89"/>
      <c r="BH276" s="89"/>
      <c r="BI276" s="89"/>
      <c r="BJ276" s="89"/>
      <c r="BK276" s="91"/>
      <c r="BL276" s="66"/>
      <c r="BM276" s="94"/>
      <c r="BN276" s="94"/>
      <c r="BO276" s="92"/>
      <c r="BP276" s="93"/>
      <c r="BQ276" s="23"/>
      <c r="BR276" s="94"/>
      <c r="BS276" s="94"/>
      <c r="BT276" s="94"/>
      <c r="BU276" s="94"/>
      <c r="BV276" s="95"/>
      <c r="BW276" s="91"/>
      <c r="BX276" s="95"/>
      <c r="BY276" s="8"/>
      <c r="BZ276" s="96"/>
      <c r="CA276" s="91"/>
      <c r="CB276" s="97"/>
      <c r="CC276" s="8"/>
      <c r="CD276" s="91"/>
      <c r="CE276" s="98"/>
      <c r="CF276" s="5"/>
      <c r="DK276" s="89"/>
      <c r="DL276" s="8"/>
      <c r="DM276" s="8"/>
      <c r="DN276" s="8"/>
      <c r="DO276" s="8"/>
      <c r="DP276" s="8"/>
      <c r="DQ276" s="8"/>
      <c r="DR276" s="8"/>
      <c r="DZ276" s="45"/>
      <c r="EA276" s="89"/>
      <c r="EB276" s="89"/>
      <c r="EC276" s="89"/>
      <c r="ED276" s="89"/>
      <c r="EE276" s="89"/>
      <c r="EF276" s="89"/>
      <c r="EG276" s="89"/>
      <c r="EH276" s="89"/>
      <c r="EI276" s="89"/>
      <c r="EJ276" s="89"/>
      <c r="EK276" s="91"/>
      <c r="EL276" s="66"/>
      <c r="EM276" s="94"/>
      <c r="EN276" s="94"/>
      <c r="EO276" s="92"/>
      <c r="EP276" s="93"/>
      <c r="EQ276" s="23"/>
      <c r="ER276" s="94"/>
      <c r="ES276" s="94"/>
      <c r="ET276" s="94"/>
      <c r="EU276" s="94"/>
      <c r="EV276" s="95"/>
      <c r="EW276" s="91"/>
      <c r="EX276" s="95"/>
      <c r="EY276" s="8"/>
      <c r="EZ276" s="96"/>
      <c r="FA276" s="91"/>
      <c r="FB276" s="97"/>
      <c r="FC276" s="8"/>
      <c r="FD276" s="91"/>
      <c r="FE276" s="98"/>
      <c r="FF276" s="5"/>
    </row>
    <row r="277" spans="37:162">
      <c r="AK277" s="89"/>
      <c r="AL277" s="8"/>
      <c r="AM277" s="8"/>
      <c r="AN277" s="8"/>
      <c r="AO277" s="8"/>
      <c r="AP277" s="8"/>
      <c r="AQ277" s="8"/>
      <c r="AR277" s="8"/>
      <c r="AZ277" s="45"/>
      <c r="BA277" s="89"/>
      <c r="BB277" s="89"/>
      <c r="BC277" s="89"/>
      <c r="BD277" s="89"/>
      <c r="BE277" s="89"/>
      <c r="BF277" s="89"/>
      <c r="BG277" s="89"/>
      <c r="BH277" s="89"/>
      <c r="BI277" s="89"/>
      <c r="BJ277" s="89"/>
      <c r="BK277" s="91"/>
      <c r="BL277" s="66"/>
      <c r="BM277" s="94"/>
      <c r="BN277" s="94"/>
      <c r="BO277" s="92"/>
      <c r="BP277" s="93"/>
      <c r="BQ277" s="23"/>
      <c r="BR277" s="94"/>
      <c r="BS277" s="94"/>
      <c r="BT277" s="94"/>
      <c r="BU277" s="94"/>
      <c r="BV277" s="95"/>
      <c r="BW277" s="91"/>
      <c r="BX277" s="95"/>
      <c r="BY277" s="8"/>
      <c r="BZ277" s="96"/>
      <c r="CA277" s="91"/>
      <c r="CB277" s="97"/>
      <c r="CC277" s="8"/>
      <c r="CD277" s="91"/>
      <c r="CE277" s="98"/>
      <c r="CF277" s="5"/>
      <c r="DK277" s="89"/>
      <c r="DL277" s="8"/>
      <c r="DM277" s="8"/>
      <c r="DN277" s="8"/>
      <c r="DO277" s="8"/>
      <c r="DP277" s="8"/>
      <c r="DQ277" s="8"/>
      <c r="DR277" s="8"/>
      <c r="DZ277" s="45"/>
      <c r="EA277" s="89"/>
      <c r="EB277" s="89"/>
      <c r="EC277" s="89"/>
      <c r="ED277" s="89"/>
      <c r="EE277" s="89"/>
      <c r="EF277" s="89"/>
      <c r="EG277" s="89"/>
      <c r="EH277" s="89"/>
      <c r="EI277" s="89"/>
      <c r="EJ277" s="89"/>
      <c r="EK277" s="91"/>
      <c r="EL277" s="66"/>
      <c r="EM277" s="94"/>
      <c r="EN277" s="94"/>
      <c r="EO277" s="92"/>
      <c r="EP277" s="93"/>
      <c r="EQ277" s="23"/>
      <c r="ER277" s="94"/>
      <c r="ES277" s="94"/>
      <c r="ET277" s="94"/>
      <c r="EU277" s="94"/>
      <c r="EV277" s="95"/>
      <c r="EW277" s="91"/>
      <c r="EX277" s="95"/>
      <c r="EY277" s="8"/>
      <c r="EZ277" s="96"/>
      <c r="FA277" s="91"/>
      <c r="FB277" s="97"/>
      <c r="FC277" s="8"/>
      <c r="FD277" s="91"/>
      <c r="FE277" s="98"/>
      <c r="FF277" s="5"/>
    </row>
    <row r="278" spans="37:162">
      <c r="AK278" s="89"/>
      <c r="AL278" s="8"/>
      <c r="AM278" s="8"/>
      <c r="AN278" s="8"/>
      <c r="AO278" s="8"/>
      <c r="AP278" s="8"/>
      <c r="AQ278" s="8"/>
      <c r="AR278" s="8"/>
      <c r="AZ278" s="45"/>
      <c r="BA278" s="89"/>
      <c r="BB278" s="89"/>
      <c r="BC278" s="89"/>
      <c r="BD278" s="89"/>
      <c r="BE278" s="89"/>
      <c r="BF278" s="89"/>
      <c r="BG278" s="89"/>
      <c r="BH278" s="89"/>
      <c r="BI278" s="89"/>
      <c r="BJ278" s="89"/>
      <c r="BK278" s="91"/>
      <c r="BL278" s="66"/>
      <c r="BM278" s="94"/>
      <c r="BN278" s="94"/>
      <c r="BO278" s="92"/>
      <c r="BP278" s="93"/>
      <c r="BQ278" s="23"/>
      <c r="BR278" s="94"/>
      <c r="BS278" s="94"/>
      <c r="BT278" s="94"/>
      <c r="BU278" s="94"/>
      <c r="BV278" s="95"/>
      <c r="BW278" s="91"/>
      <c r="BX278" s="95"/>
      <c r="BY278" s="8"/>
      <c r="BZ278" s="96"/>
      <c r="CA278" s="91"/>
      <c r="CB278" s="97"/>
      <c r="CC278" s="8"/>
      <c r="CD278" s="91"/>
      <c r="CE278" s="98"/>
      <c r="CF278" s="5"/>
      <c r="DK278" s="89"/>
      <c r="DL278" s="8"/>
      <c r="DM278" s="8"/>
      <c r="DN278" s="8"/>
      <c r="DO278" s="8"/>
      <c r="DP278" s="8"/>
      <c r="DQ278" s="8"/>
      <c r="DR278" s="8"/>
      <c r="DZ278" s="45"/>
      <c r="EA278" s="89"/>
      <c r="EB278" s="89"/>
      <c r="EC278" s="89"/>
      <c r="ED278" s="89"/>
      <c r="EE278" s="89"/>
      <c r="EF278" s="89"/>
      <c r="EG278" s="89"/>
      <c r="EH278" s="89"/>
      <c r="EI278" s="89"/>
      <c r="EJ278" s="89"/>
      <c r="EK278" s="91"/>
      <c r="EL278" s="66"/>
      <c r="EM278" s="94"/>
      <c r="EN278" s="94"/>
      <c r="EO278" s="92"/>
      <c r="EP278" s="93"/>
      <c r="EQ278" s="23"/>
      <c r="ER278" s="94"/>
      <c r="ES278" s="94"/>
      <c r="ET278" s="94"/>
      <c r="EU278" s="94"/>
      <c r="EV278" s="95"/>
      <c r="EW278" s="91"/>
      <c r="EX278" s="95"/>
      <c r="EY278" s="8"/>
      <c r="EZ278" s="96"/>
      <c r="FA278" s="91"/>
      <c r="FB278" s="97"/>
      <c r="FC278" s="8"/>
      <c r="FD278" s="91"/>
      <c r="FE278" s="98"/>
      <c r="FF278" s="5"/>
    </row>
    <row r="279" spans="37:162">
      <c r="AK279" s="89"/>
      <c r="AL279" s="8"/>
      <c r="AM279" s="8"/>
      <c r="AN279" s="8"/>
      <c r="AO279" s="8"/>
      <c r="AP279" s="8"/>
      <c r="AQ279" s="8"/>
      <c r="AR279" s="8"/>
      <c r="AZ279" s="45"/>
      <c r="BA279" s="89"/>
      <c r="BB279" s="89"/>
      <c r="BC279" s="89"/>
      <c r="BD279" s="89"/>
      <c r="BE279" s="89"/>
      <c r="BF279" s="89"/>
      <c r="BG279" s="89"/>
      <c r="BH279" s="89"/>
      <c r="BI279" s="89"/>
      <c r="BJ279" s="89"/>
      <c r="BK279" s="91"/>
      <c r="BL279" s="66"/>
      <c r="BM279" s="94"/>
      <c r="BN279" s="94"/>
      <c r="BO279" s="92"/>
      <c r="BP279" s="93"/>
      <c r="BQ279" s="23"/>
      <c r="BR279" s="94"/>
      <c r="BS279" s="94"/>
      <c r="BT279" s="94"/>
      <c r="BU279" s="94"/>
      <c r="BV279" s="95"/>
      <c r="BW279" s="91"/>
      <c r="BX279" s="95"/>
      <c r="BY279" s="8"/>
      <c r="BZ279" s="96"/>
      <c r="CA279" s="91"/>
      <c r="CB279" s="97"/>
      <c r="CC279" s="8"/>
      <c r="CD279" s="91"/>
      <c r="CE279" s="98"/>
      <c r="CF279" s="5"/>
      <c r="DK279" s="89"/>
      <c r="DL279" s="8"/>
      <c r="DM279" s="8"/>
      <c r="DN279" s="8"/>
      <c r="DO279" s="8"/>
      <c r="DP279" s="8"/>
      <c r="DQ279" s="8"/>
      <c r="DR279" s="8"/>
      <c r="DZ279" s="45"/>
      <c r="EA279" s="89"/>
      <c r="EB279" s="89"/>
      <c r="EC279" s="89"/>
      <c r="ED279" s="89"/>
      <c r="EE279" s="89"/>
      <c r="EF279" s="89"/>
      <c r="EG279" s="89"/>
      <c r="EH279" s="89"/>
      <c r="EI279" s="89"/>
      <c r="EJ279" s="89"/>
      <c r="EK279" s="91"/>
      <c r="EL279" s="66"/>
      <c r="EM279" s="94"/>
      <c r="EN279" s="94"/>
      <c r="EO279" s="92"/>
      <c r="EP279" s="93"/>
      <c r="EQ279" s="23"/>
      <c r="ER279" s="94"/>
      <c r="ES279" s="94"/>
      <c r="ET279" s="94"/>
      <c r="EU279" s="94"/>
      <c r="EV279" s="95"/>
      <c r="EW279" s="91"/>
      <c r="EX279" s="95"/>
      <c r="EY279" s="8"/>
      <c r="EZ279" s="96"/>
      <c r="FA279" s="91"/>
      <c r="FB279" s="97"/>
      <c r="FC279" s="8"/>
      <c r="FD279" s="91"/>
      <c r="FE279" s="98"/>
      <c r="FF279" s="5"/>
    </row>
    <row r="280" spans="37:162">
      <c r="AK280" s="89"/>
      <c r="AL280" s="8"/>
      <c r="AM280" s="8"/>
      <c r="AN280" s="8"/>
      <c r="AO280" s="8"/>
      <c r="AP280" s="8"/>
      <c r="AQ280" s="8"/>
      <c r="AR280" s="8"/>
      <c r="AZ280" s="45"/>
      <c r="BA280" s="89"/>
      <c r="BB280" s="89"/>
      <c r="BC280" s="89"/>
      <c r="BD280" s="89"/>
      <c r="BE280" s="89"/>
      <c r="BF280" s="89"/>
      <c r="BG280" s="89"/>
      <c r="BH280" s="89"/>
      <c r="BI280" s="89"/>
      <c r="BJ280" s="89"/>
      <c r="BK280" s="91"/>
      <c r="BL280" s="66"/>
      <c r="BM280" s="94"/>
      <c r="BN280" s="94"/>
      <c r="BO280" s="92"/>
      <c r="BP280" s="93"/>
      <c r="BQ280" s="23"/>
      <c r="BR280" s="94"/>
      <c r="BS280" s="94"/>
      <c r="BT280" s="94"/>
      <c r="BU280" s="94"/>
      <c r="BV280" s="95"/>
      <c r="BW280" s="91"/>
      <c r="BX280" s="95"/>
      <c r="BY280" s="8"/>
      <c r="BZ280" s="96"/>
      <c r="CA280" s="91"/>
      <c r="CB280" s="97"/>
      <c r="CC280" s="8"/>
      <c r="CD280" s="91"/>
      <c r="CE280" s="98"/>
      <c r="CF280" s="5"/>
      <c r="DK280" s="89"/>
      <c r="DL280" s="8"/>
      <c r="DM280" s="8"/>
      <c r="DN280" s="8"/>
      <c r="DO280" s="8"/>
      <c r="DP280" s="8"/>
      <c r="DQ280" s="8"/>
      <c r="DR280" s="8"/>
      <c r="DZ280" s="45"/>
      <c r="EA280" s="89"/>
      <c r="EB280" s="89"/>
      <c r="EC280" s="89"/>
      <c r="ED280" s="89"/>
      <c r="EE280" s="89"/>
      <c r="EF280" s="89"/>
      <c r="EG280" s="89"/>
      <c r="EH280" s="89"/>
      <c r="EI280" s="89"/>
      <c r="EJ280" s="89"/>
      <c r="EK280" s="91"/>
      <c r="EL280" s="66"/>
      <c r="EM280" s="94"/>
      <c r="EN280" s="94"/>
      <c r="EO280" s="92"/>
      <c r="EP280" s="93"/>
      <c r="EQ280" s="23"/>
      <c r="ER280" s="94"/>
      <c r="ES280" s="94"/>
      <c r="ET280" s="94"/>
      <c r="EU280" s="94"/>
      <c r="EV280" s="95"/>
      <c r="EW280" s="91"/>
      <c r="EX280" s="95"/>
      <c r="EY280" s="8"/>
      <c r="EZ280" s="96"/>
      <c r="FA280" s="91"/>
      <c r="FB280" s="97"/>
      <c r="FC280" s="8"/>
      <c r="FD280" s="91"/>
      <c r="FE280" s="98"/>
      <c r="FF280" s="5"/>
    </row>
    <row r="281" spans="37:162">
      <c r="AK281" s="89"/>
      <c r="AL281" s="8"/>
      <c r="AM281" s="8"/>
      <c r="AN281" s="8"/>
      <c r="AO281" s="8"/>
      <c r="AP281" s="8"/>
      <c r="AQ281" s="8"/>
      <c r="AR281" s="8"/>
      <c r="AZ281" s="45"/>
      <c r="BA281" s="89"/>
      <c r="BB281" s="89"/>
      <c r="BC281" s="89"/>
      <c r="BD281" s="89"/>
      <c r="BE281" s="89"/>
      <c r="BF281" s="89"/>
      <c r="BG281" s="89"/>
      <c r="BH281" s="89"/>
      <c r="BI281" s="89"/>
      <c r="BJ281" s="89"/>
      <c r="BK281" s="91"/>
      <c r="BL281" s="66"/>
      <c r="BM281" s="94"/>
      <c r="BN281" s="94"/>
      <c r="BO281" s="92"/>
      <c r="BP281" s="93"/>
      <c r="BQ281" s="23"/>
      <c r="BR281" s="94"/>
      <c r="BS281" s="94"/>
      <c r="BT281" s="94"/>
      <c r="BU281" s="94"/>
      <c r="BV281" s="95"/>
      <c r="BW281" s="91"/>
      <c r="BX281" s="95"/>
      <c r="BY281" s="8"/>
      <c r="BZ281" s="96"/>
      <c r="CA281" s="91"/>
      <c r="CB281" s="97"/>
      <c r="CC281" s="8"/>
      <c r="CD281" s="91"/>
      <c r="CE281" s="98"/>
      <c r="CF281" s="5"/>
      <c r="DK281" s="89"/>
      <c r="DL281" s="8"/>
      <c r="DM281" s="8"/>
      <c r="DN281" s="8"/>
      <c r="DO281" s="8"/>
      <c r="DP281" s="8"/>
      <c r="DQ281" s="8"/>
      <c r="DR281" s="8"/>
      <c r="DZ281" s="45"/>
      <c r="EA281" s="89"/>
      <c r="EB281" s="89"/>
      <c r="EC281" s="89"/>
      <c r="ED281" s="89"/>
      <c r="EE281" s="89"/>
      <c r="EF281" s="89"/>
      <c r="EG281" s="89"/>
      <c r="EH281" s="89"/>
      <c r="EI281" s="89"/>
      <c r="EJ281" s="89"/>
      <c r="EK281" s="91"/>
      <c r="EL281" s="66"/>
      <c r="EM281" s="94"/>
      <c r="EN281" s="94"/>
      <c r="EO281" s="92"/>
      <c r="EP281" s="93"/>
      <c r="EQ281" s="23"/>
      <c r="ER281" s="94"/>
      <c r="ES281" s="94"/>
      <c r="ET281" s="94"/>
      <c r="EU281" s="94"/>
      <c r="EV281" s="95"/>
      <c r="EW281" s="91"/>
      <c r="EX281" s="95"/>
      <c r="EY281" s="8"/>
      <c r="EZ281" s="96"/>
      <c r="FA281" s="91"/>
      <c r="FB281" s="97"/>
      <c r="FC281" s="8"/>
      <c r="FD281" s="91"/>
      <c r="FE281" s="98"/>
      <c r="FF281" s="5"/>
    </row>
    <row r="282" spans="37:162">
      <c r="AK282" s="89"/>
      <c r="AL282" s="8"/>
      <c r="AM282" s="8"/>
      <c r="AN282" s="8"/>
      <c r="AO282" s="8"/>
      <c r="AP282" s="8"/>
      <c r="AQ282" s="8"/>
      <c r="AR282" s="8"/>
      <c r="AZ282" s="45"/>
      <c r="BA282" s="89"/>
      <c r="BB282" s="89"/>
      <c r="BC282" s="89"/>
      <c r="BD282" s="89"/>
      <c r="BE282" s="89"/>
      <c r="BF282" s="89"/>
      <c r="BG282" s="89"/>
      <c r="BH282" s="89"/>
      <c r="BI282" s="89"/>
      <c r="BJ282" s="89"/>
      <c r="BK282" s="91"/>
      <c r="BL282" s="66"/>
      <c r="BM282" s="94"/>
      <c r="BN282" s="94"/>
      <c r="BO282" s="92"/>
      <c r="BP282" s="93"/>
      <c r="BQ282" s="23"/>
      <c r="BR282" s="94"/>
      <c r="BS282" s="94"/>
      <c r="BT282" s="94"/>
      <c r="BU282" s="94"/>
      <c r="BV282" s="95"/>
      <c r="BW282" s="91"/>
      <c r="BX282" s="95"/>
      <c r="BY282" s="8"/>
      <c r="BZ282" s="96"/>
      <c r="CA282" s="91"/>
      <c r="CB282" s="97"/>
      <c r="CC282" s="8"/>
      <c r="CD282" s="91"/>
      <c r="CE282" s="98"/>
      <c r="CF282" s="5"/>
      <c r="DK282" s="89"/>
      <c r="DL282" s="8"/>
      <c r="DM282" s="8"/>
      <c r="DN282" s="8"/>
      <c r="DO282" s="8"/>
      <c r="DP282" s="8"/>
      <c r="DQ282" s="8"/>
      <c r="DR282" s="8"/>
      <c r="DZ282" s="45"/>
      <c r="EA282" s="89"/>
      <c r="EB282" s="89"/>
      <c r="EC282" s="89"/>
      <c r="ED282" s="89"/>
      <c r="EE282" s="89"/>
      <c r="EF282" s="89"/>
      <c r="EG282" s="89"/>
      <c r="EH282" s="89"/>
      <c r="EI282" s="89"/>
      <c r="EJ282" s="89"/>
      <c r="EK282" s="91"/>
      <c r="EL282" s="66"/>
      <c r="EM282" s="94"/>
      <c r="EN282" s="94"/>
      <c r="EO282" s="92"/>
      <c r="EP282" s="93"/>
      <c r="EQ282" s="23"/>
      <c r="ER282" s="94"/>
      <c r="ES282" s="94"/>
      <c r="ET282" s="94"/>
      <c r="EU282" s="94"/>
      <c r="EV282" s="95"/>
      <c r="EW282" s="91"/>
      <c r="EX282" s="95"/>
      <c r="EY282" s="8"/>
      <c r="EZ282" s="96"/>
      <c r="FA282" s="91"/>
      <c r="FB282" s="97"/>
      <c r="FC282" s="8"/>
      <c r="FD282" s="91"/>
      <c r="FE282" s="98"/>
      <c r="FF282" s="5"/>
    </row>
    <row r="283" spans="37:162">
      <c r="AK283" s="89"/>
      <c r="AL283" s="8"/>
      <c r="AM283" s="8"/>
      <c r="AN283" s="8"/>
      <c r="AO283" s="8"/>
      <c r="AP283" s="8"/>
      <c r="AQ283" s="8"/>
      <c r="AR283" s="8"/>
      <c r="AZ283" s="45"/>
      <c r="BA283" s="89"/>
      <c r="BB283" s="89"/>
      <c r="BC283" s="89"/>
      <c r="BD283" s="89"/>
      <c r="BE283" s="89"/>
      <c r="BF283" s="89"/>
      <c r="BG283" s="89"/>
      <c r="BH283" s="89"/>
      <c r="BI283" s="89"/>
      <c r="BJ283" s="89"/>
      <c r="BK283" s="91"/>
      <c r="BL283" s="66"/>
      <c r="BM283" s="94"/>
      <c r="BN283" s="94"/>
      <c r="BO283" s="92"/>
      <c r="BP283" s="93"/>
      <c r="BQ283" s="23"/>
      <c r="BR283" s="94"/>
      <c r="BS283" s="94"/>
      <c r="BT283" s="94"/>
      <c r="BU283" s="94"/>
      <c r="BV283" s="95"/>
      <c r="BW283" s="91"/>
      <c r="BX283" s="95"/>
      <c r="BY283" s="8"/>
      <c r="BZ283" s="96"/>
      <c r="CA283" s="91"/>
      <c r="CB283" s="97"/>
      <c r="CC283" s="8"/>
      <c r="CD283" s="91"/>
      <c r="CE283" s="98"/>
      <c r="CF283" s="5"/>
      <c r="DK283" s="89"/>
      <c r="DL283" s="8"/>
      <c r="DM283" s="8"/>
      <c r="DN283" s="8"/>
      <c r="DO283" s="8"/>
      <c r="DP283" s="8"/>
      <c r="DQ283" s="8"/>
      <c r="DR283" s="8"/>
      <c r="DZ283" s="45"/>
      <c r="EA283" s="89"/>
      <c r="EB283" s="89"/>
      <c r="EC283" s="89"/>
      <c r="ED283" s="89"/>
      <c r="EE283" s="89"/>
      <c r="EF283" s="89"/>
      <c r="EG283" s="89"/>
      <c r="EH283" s="89"/>
      <c r="EI283" s="89"/>
      <c r="EJ283" s="89"/>
      <c r="EK283" s="91"/>
      <c r="EL283" s="66"/>
      <c r="EM283" s="94"/>
      <c r="EN283" s="94"/>
      <c r="EO283" s="92"/>
      <c r="EP283" s="93"/>
      <c r="EQ283" s="23"/>
      <c r="ER283" s="94"/>
      <c r="ES283" s="94"/>
      <c r="ET283" s="94"/>
      <c r="EU283" s="94"/>
      <c r="EV283" s="95"/>
      <c r="EW283" s="91"/>
      <c r="EX283" s="95"/>
      <c r="EY283" s="8"/>
      <c r="EZ283" s="96"/>
      <c r="FA283" s="91"/>
      <c r="FB283" s="97"/>
      <c r="FC283" s="8"/>
      <c r="FD283" s="91"/>
      <c r="FE283" s="98"/>
      <c r="FF283" s="5"/>
    </row>
    <row r="284" spans="37:162">
      <c r="AK284" s="89"/>
      <c r="AL284" s="8"/>
      <c r="AM284" s="8"/>
      <c r="AN284" s="8"/>
      <c r="AO284" s="8"/>
      <c r="AP284" s="8"/>
      <c r="AQ284" s="8"/>
      <c r="AR284" s="8"/>
      <c r="AZ284" s="45"/>
      <c r="BA284" s="89"/>
      <c r="BB284" s="89"/>
      <c r="BC284" s="89"/>
      <c r="BD284" s="89"/>
      <c r="BE284" s="89"/>
      <c r="BF284" s="89"/>
      <c r="BG284" s="89"/>
      <c r="BH284" s="89"/>
      <c r="BI284" s="89"/>
      <c r="BJ284" s="89"/>
      <c r="BK284" s="91"/>
      <c r="BL284" s="66"/>
      <c r="BM284" s="94"/>
      <c r="BN284" s="94"/>
      <c r="BO284" s="92"/>
      <c r="BP284" s="93"/>
      <c r="BQ284" s="23"/>
      <c r="BR284" s="94"/>
      <c r="BS284" s="94"/>
      <c r="BT284" s="94"/>
      <c r="BU284" s="94"/>
      <c r="BV284" s="95"/>
      <c r="BW284" s="91"/>
      <c r="BX284" s="95"/>
      <c r="BY284" s="8"/>
      <c r="BZ284" s="96"/>
      <c r="CA284" s="91"/>
      <c r="CB284" s="97"/>
      <c r="CC284" s="8"/>
      <c r="CD284" s="91"/>
      <c r="CE284" s="98"/>
      <c r="CF284" s="5"/>
      <c r="DK284" s="89"/>
      <c r="DL284" s="8"/>
      <c r="DM284" s="8"/>
      <c r="DN284" s="8"/>
      <c r="DO284" s="8"/>
      <c r="DP284" s="8"/>
      <c r="DQ284" s="8"/>
      <c r="DR284" s="8"/>
      <c r="DZ284" s="45"/>
      <c r="EA284" s="89"/>
      <c r="EB284" s="89"/>
      <c r="EC284" s="89"/>
      <c r="ED284" s="89"/>
      <c r="EE284" s="89"/>
      <c r="EF284" s="89"/>
      <c r="EG284" s="89"/>
      <c r="EH284" s="89"/>
      <c r="EI284" s="89"/>
      <c r="EJ284" s="89"/>
      <c r="EK284" s="91"/>
      <c r="EL284" s="66"/>
      <c r="EM284" s="94"/>
      <c r="EN284" s="94"/>
      <c r="EO284" s="92"/>
      <c r="EP284" s="93"/>
      <c r="EQ284" s="23"/>
      <c r="ER284" s="94"/>
      <c r="ES284" s="94"/>
      <c r="ET284" s="94"/>
      <c r="EU284" s="94"/>
      <c r="EV284" s="95"/>
      <c r="EW284" s="91"/>
      <c r="EX284" s="95"/>
      <c r="EY284" s="8"/>
      <c r="EZ284" s="96"/>
      <c r="FA284" s="91"/>
      <c r="FB284" s="97"/>
      <c r="FC284" s="8"/>
      <c r="FD284" s="91"/>
      <c r="FE284" s="98"/>
      <c r="FF284" s="5"/>
    </row>
    <row r="285" spans="37:162">
      <c r="AK285" s="89"/>
      <c r="AL285" s="8"/>
      <c r="AM285" s="8"/>
      <c r="AN285" s="8"/>
      <c r="AO285" s="8"/>
      <c r="AP285" s="8"/>
      <c r="AQ285" s="8"/>
      <c r="AR285" s="8"/>
      <c r="AZ285" s="45"/>
      <c r="BA285" s="89"/>
      <c r="BB285" s="89"/>
      <c r="BC285" s="89"/>
      <c r="BD285" s="89"/>
      <c r="BE285" s="89"/>
      <c r="BF285" s="89"/>
      <c r="BG285" s="89"/>
      <c r="BH285" s="89"/>
      <c r="BI285" s="89"/>
      <c r="BJ285" s="89"/>
      <c r="BK285" s="91"/>
      <c r="BL285" s="66"/>
      <c r="BM285" s="94"/>
      <c r="BN285" s="94"/>
      <c r="BO285" s="92"/>
      <c r="BP285" s="93"/>
      <c r="BQ285" s="23"/>
      <c r="BR285" s="94"/>
      <c r="BS285" s="94"/>
      <c r="BT285" s="94"/>
      <c r="BU285" s="94"/>
      <c r="BV285" s="95"/>
      <c r="BW285" s="91"/>
      <c r="BX285" s="95"/>
      <c r="BY285" s="8"/>
      <c r="BZ285" s="96"/>
      <c r="CA285" s="91"/>
      <c r="CB285" s="97"/>
      <c r="CC285" s="8"/>
      <c r="CD285" s="91"/>
      <c r="CE285" s="98"/>
      <c r="CF285" s="5"/>
      <c r="DK285" s="89"/>
      <c r="DL285" s="8"/>
      <c r="DM285" s="8"/>
      <c r="DN285" s="8"/>
      <c r="DO285" s="8"/>
      <c r="DP285" s="8"/>
      <c r="DQ285" s="8"/>
      <c r="DR285" s="8"/>
      <c r="DZ285" s="45"/>
      <c r="EA285" s="89"/>
      <c r="EB285" s="89"/>
      <c r="EC285" s="89"/>
      <c r="ED285" s="89"/>
      <c r="EE285" s="89"/>
      <c r="EF285" s="89"/>
      <c r="EG285" s="89"/>
      <c r="EH285" s="89"/>
      <c r="EI285" s="89"/>
      <c r="EJ285" s="89"/>
      <c r="EK285" s="91"/>
      <c r="EL285" s="66"/>
      <c r="EM285" s="94"/>
      <c r="EN285" s="94"/>
      <c r="EO285" s="92"/>
      <c r="EP285" s="93"/>
      <c r="EQ285" s="23"/>
      <c r="ER285" s="94"/>
      <c r="ES285" s="94"/>
      <c r="ET285" s="94"/>
      <c r="EU285" s="94"/>
      <c r="EV285" s="95"/>
      <c r="EW285" s="91"/>
      <c r="EX285" s="95"/>
      <c r="EY285" s="8"/>
      <c r="EZ285" s="96"/>
      <c r="FA285" s="91"/>
      <c r="FB285" s="97"/>
      <c r="FC285" s="8"/>
      <c r="FD285" s="91"/>
      <c r="FE285" s="98"/>
      <c r="FF285" s="5"/>
    </row>
    <row r="286" spans="37:162">
      <c r="AK286" s="89"/>
      <c r="AL286" s="8"/>
      <c r="AM286" s="8"/>
      <c r="AN286" s="8"/>
      <c r="AO286" s="8"/>
      <c r="AP286" s="8"/>
      <c r="AQ286" s="8"/>
      <c r="AR286" s="8"/>
      <c r="AZ286" s="45"/>
      <c r="BA286" s="89"/>
      <c r="BB286" s="89"/>
      <c r="BC286" s="89"/>
      <c r="BD286" s="89"/>
      <c r="BE286" s="89"/>
      <c r="BF286" s="89"/>
      <c r="BG286" s="89"/>
      <c r="BH286" s="89"/>
      <c r="BI286" s="89"/>
      <c r="BJ286" s="89"/>
      <c r="BK286" s="91"/>
      <c r="BL286" s="66"/>
      <c r="BM286" s="94"/>
      <c r="BN286" s="94"/>
      <c r="BO286" s="92"/>
      <c r="BP286" s="93"/>
      <c r="BQ286" s="23"/>
      <c r="BR286" s="94"/>
      <c r="BS286" s="94"/>
      <c r="BT286" s="94"/>
      <c r="BU286" s="94"/>
      <c r="BV286" s="95"/>
      <c r="BW286" s="91"/>
      <c r="BX286" s="95"/>
      <c r="BY286" s="8"/>
      <c r="BZ286" s="96"/>
      <c r="CA286" s="91"/>
      <c r="CB286" s="97"/>
      <c r="CC286" s="8"/>
      <c r="CD286" s="91"/>
      <c r="CE286" s="98"/>
      <c r="CF286" s="5"/>
      <c r="DK286" s="89"/>
      <c r="DL286" s="8"/>
      <c r="DM286" s="8"/>
      <c r="DN286" s="8"/>
      <c r="DO286" s="8"/>
      <c r="DP286" s="8"/>
      <c r="DQ286" s="8"/>
      <c r="DR286" s="8"/>
      <c r="DZ286" s="45"/>
      <c r="EA286" s="89"/>
      <c r="EB286" s="89"/>
      <c r="EC286" s="89"/>
      <c r="ED286" s="89"/>
      <c r="EE286" s="89"/>
      <c r="EF286" s="89"/>
      <c r="EG286" s="89"/>
      <c r="EH286" s="89"/>
      <c r="EI286" s="89"/>
      <c r="EJ286" s="89"/>
      <c r="EK286" s="91"/>
      <c r="EL286" s="66"/>
      <c r="EM286" s="94"/>
      <c r="EN286" s="94"/>
      <c r="EO286" s="92"/>
      <c r="EP286" s="93"/>
      <c r="EQ286" s="23"/>
      <c r="ER286" s="94"/>
      <c r="ES286" s="94"/>
      <c r="ET286" s="94"/>
      <c r="EU286" s="94"/>
      <c r="EV286" s="95"/>
      <c r="EW286" s="91"/>
      <c r="EX286" s="95"/>
      <c r="EY286" s="8"/>
      <c r="EZ286" s="96"/>
      <c r="FA286" s="91"/>
      <c r="FB286" s="97"/>
      <c r="FC286" s="8"/>
      <c r="FD286" s="91"/>
      <c r="FE286" s="98"/>
      <c r="FF286" s="5"/>
    </row>
    <row r="287" spans="37:162">
      <c r="AK287" s="89"/>
      <c r="AL287" s="8"/>
      <c r="AM287" s="8"/>
      <c r="AN287" s="8"/>
      <c r="AO287" s="8"/>
      <c r="AP287" s="8"/>
      <c r="AQ287" s="8"/>
      <c r="AR287" s="8"/>
      <c r="AZ287" s="45"/>
      <c r="BA287" s="89"/>
      <c r="BB287" s="89"/>
      <c r="BC287" s="89"/>
      <c r="BD287" s="89"/>
      <c r="BE287" s="89"/>
      <c r="BF287" s="89"/>
      <c r="BG287" s="89"/>
      <c r="BH287" s="89"/>
      <c r="BI287" s="89"/>
      <c r="BJ287" s="89"/>
      <c r="BK287" s="91"/>
      <c r="BL287" s="66"/>
      <c r="BM287" s="94"/>
      <c r="BN287" s="94"/>
      <c r="BO287" s="92"/>
      <c r="BP287" s="93"/>
      <c r="BQ287" s="23"/>
      <c r="BR287" s="94"/>
      <c r="BS287" s="94"/>
      <c r="BT287" s="94"/>
      <c r="BU287" s="94"/>
      <c r="BV287" s="95"/>
      <c r="BW287" s="91"/>
      <c r="BX287" s="95"/>
      <c r="BY287" s="8"/>
      <c r="BZ287" s="96"/>
      <c r="CA287" s="91"/>
      <c r="CB287" s="97"/>
      <c r="CC287" s="8"/>
      <c r="CD287" s="91"/>
      <c r="CE287" s="98"/>
      <c r="CF287" s="5"/>
      <c r="DK287" s="89"/>
      <c r="DL287" s="8"/>
      <c r="DM287" s="8"/>
      <c r="DN287" s="8"/>
      <c r="DO287" s="8"/>
      <c r="DP287" s="8"/>
      <c r="DQ287" s="8"/>
      <c r="DR287" s="8"/>
      <c r="DZ287" s="45"/>
      <c r="EA287" s="89"/>
      <c r="EB287" s="89"/>
      <c r="EC287" s="89"/>
      <c r="ED287" s="89"/>
      <c r="EE287" s="89"/>
      <c r="EF287" s="89"/>
      <c r="EG287" s="89"/>
      <c r="EH287" s="89"/>
      <c r="EI287" s="89"/>
      <c r="EJ287" s="89"/>
      <c r="EK287" s="91"/>
      <c r="EL287" s="66"/>
      <c r="EM287" s="94"/>
      <c r="EN287" s="94"/>
      <c r="EO287" s="92"/>
      <c r="EP287" s="93"/>
      <c r="EQ287" s="23"/>
      <c r="ER287" s="94"/>
      <c r="ES287" s="94"/>
      <c r="ET287" s="94"/>
      <c r="EU287" s="94"/>
      <c r="EV287" s="95"/>
      <c r="EW287" s="91"/>
      <c r="EX287" s="95"/>
      <c r="EY287" s="8"/>
      <c r="EZ287" s="96"/>
      <c r="FA287" s="91"/>
      <c r="FB287" s="97"/>
      <c r="FC287" s="8"/>
      <c r="FD287" s="91"/>
      <c r="FE287" s="98"/>
      <c r="FF287" s="5"/>
    </row>
    <row r="288" spans="37:162">
      <c r="AK288" s="89"/>
      <c r="AL288" s="8"/>
      <c r="AM288" s="8"/>
      <c r="AN288" s="8"/>
      <c r="AO288" s="8"/>
      <c r="AP288" s="8"/>
      <c r="AQ288" s="8"/>
      <c r="AR288" s="8"/>
      <c r="AZ288" s="45"/>
      <c r="BA288" s="89"/>
      <c r="BB288" s="89"/>
      <c r="BC288" s="89"/>
      <c r="BD288" s="89"/>
      <c r="BE288" s="89"/>
      <c r="BF288" s="89"/>
      <c r="BG288" s="89"/>
      <c r="BH288" s="89"/>
      <c r="BI288" s="89"/>
      <c r="BJ288" s="89"/>
      <c r="BK288" s="91"/>
      <c r="BL288" s="66"/>
      <c r="BM288" s="94"/>
      <c r="BN288" s="94"/>
      <c r="BO288" s="92"/>
      <c r="BP288" s="93"/>
      <c r="BQ288" s="23"/>
      <c r="BR288" s="94"/>
      <c r="BS288" s="94"/>
      <c r="BT288" s="94"/>
      <c r="BU288" s="94"/>
      <c r="BV288" s="95"/>
      <c r="BW288" s="91"/>
      <c r="BX288" s="95"/>
      <c r="BY288" s="8"/>
      <c r="BZ288" s="96"/>
      <c r="CA288" s="91"/>
      <c r="CB288" s="97"/>
      <c r="CC288" s="8"/>
      <c r="CD288" s="91"/>
      <c r="CE288" s="98"/>
      <c r="CF288" s="5"/>
      <c r="DK288" s="89"/>
      <c r="DL288" s="8"/>
      <c r="DM288" s="8"/>
      <c r="DN288" s="8"/>
      <c r="DO288" s="8"/>
      <c r="DP288" s="8"/>
      <c r="DQ288" s="8"/>
      <c r="DR288" s="8"/>
      <c r="DZ288" s="45"/>
      <c r="EA288" s="89"/>
      <c r="EB288" s="89"/>
      <c r="EC288" s="89"/>
      <c r="ED288" s="89"/>
      <c r="EE288" s="89"/>
      <c r="EF288" s="89"/>
      <c r="EG288" s="89"/>
      <c r="EH288" s="89"/>
      <c r="EI288" s="89"/>
      <c r="EJ288" s="89"/>
      <c r="EK288" s="91"/>
      <c r="EL288" s="66"/>
      <c r="EM288" s="94"/>
      <c r="EN288" s="94"/>
      <c r="EO288" s="92"/>
      <c r="EP288" s="93"/>
      <c r="EQ288" s="23"/>
      <c r="ER288" s="94"/>
      <c r="ES288" s="94"/>
      <c r="ET288" s="94"/>
      <c r="EU288" s="94"/>
      <c r="EV288" s="95"/>
      <c r="EW288" s="91"/>
      <c r="EX288" s="95"/>
      <c r="EY288" s="8"/>
      <c r="EZ288" s="96"/>
      <c r="FA288" s="91"/>
      <c r="FB288" s="97"/>
      <c r="FC288" s="8"/>
      <c r="FD288" s="91"/>
      <c r="FE288" s="98"/>
      <c r="FF288" s="5"/>
    </row>
    <row r="289" spans="37:162">
      <c r="AK289" s="89"/>
      <c r="AL289" s="8"/>
      <c r="AM289" s="8"/>
      <c r="AN289" s="8"/>
      <c r="AO289" s="8"/>
      <c r="AP289" s="8"/>
      <c r="AQ289" s="8"/>
      <c r="AR289" s="8"/>
      <c r="AZ289" s="45"/>
      <c r="BA289" s="89"/>
      <c r="BB289" s="89"/>
      <c r="BC289" s="89"/>
      <c r="BD289" s="89"/>
      <c r="BE289" s="89"/>
      <c r="BF289" s="89"/>
      <c r="BG289" s="89"/>
      <c r="BH289" s="89"/>
      <c r="BI289" s="89"/>
      <c r="BJ289" s="89"/>
      <c r="BK289" s="91"/>
      <c r="BL289" s="66"/>
      <c r="BM289" s="94"/>
      <c r="BN289" s="94"/>
      <c r="BO289" s="92"/>
      <c r="BP289" s="93"/>
      <c r="BQ289" s="23"/>
      <c r="BR289" s="94"/>
      <c r="BS289" s="94"/>
      <c r="BT289" s="94"/>
      <c r="BU289" s="94"/>
      <c r="BV289" s="95"/>
      <c r="BW289" s="91"/>
      <c r="BX289" s="95"/>
      <c r="BY289" s="8"/>
      <c r="BZ289" s="96"/>
      <c r="CA289" s="91"/>
      <c r="CB289" s="97"/>
      <c r="CC289" s="8"/>
      <c r="CD289" s="91"/>
      <c r="CE289" s="98"/>
      <c r="CF289" s="5"/>
      <c r="DK289" s="89"/>
      <c r="DL289" s="8"/>
      <c r="DM289" s="8"/>
      <c r="DN289" s="8"/>
      <c r="DO289" s="8"/>
      <c r="DP289" s="8"/>
      <c r="DQ289" s="8"/>
      <c r="DR289" s="8"/>
      <c r="DZ289" s="45"/>
      <c r="EA289" s="89"/>
      <c r="EB289" s="89"/>
      <c r="EC289" s="89"/>
      <c r="ED289" s="89"/>
      <c r="EE289" s="89"/>
      <c r="EF289" s="89"/>
      <c r="EG289" s="89"/>
      <c r="EH289" s="89"/>
      <c r="EI289" s="89"/>
      <c r="EJ289" s="89"/>
      <c r="EK289" s="91"/>
      <c r="EL289" s="66"/>
      <c r="EM289" s="94"/>
      <c r="EN289" s="94"/>
      <c r="EO289" s="92"/>
      <c r="EP289" s="93"/>
      <c r="EQ289" s="23"/>
      <c r="ER289" s="94"/>
      <c r="ES289" s="94"/>
      <c r="ET289" s="94"/>
      <c r="EU289" s="94"/>
      <c r="EV289" s="95"/>
      <c r="EW289" s="91"/>
      <c r="EX289" s="95"/>
      <c r="EY289" s="8"/>
      <c r="EZ289" s="96"/>
      <c r="FA289" s="91"/>
      <c r="FB289" s="97"/>
      <c r="FC289" s="8"/>
      <c r="FD289" s="91"/>
      <c r="FE289" s="98"/>
      <c r="FF289" s="5"/>
    </row>
    <row r="290" spans="37:162">
      <c r="AK290" s="89"/>
      <c r="AL290" s="8"/>
      <c r="AM290" s="8"/>
      <c r="AN290" s="8"/>
      <c r="AO290" s="8"/>
      <c r="AP290" s="8"/>
      <c r="AQ290" s="8"/>
      <c r="AR290" s="8"/>
      <c r="AZ290" s="45"/>
      <c r="BA290" s="89"/>
      <c r="BB290" s="89"/>
      <c r="BC290" s="89"/>
      <c r="BD290" s="89"/>
      <c r="BE290" s="89"/>
      <c r="BF290" s="89"/>
      <c r="BG290" s="89"/>
      <c r="BH290" s="89"/>
      <c r="BI290" s="89"/>
      <c r="BJ290" s="89"/>
      <c r="BK290" s="91"/>
      <c r="BL290" s="66"/>
      <c r="BM290" s="94"/>
      <c r="BN290" s="94"/>
      <c r="BO290" s="92"/>
      <c r="BP290" s="93"/>
      <c r="BQ290" s="23"/>
      <c r="BR290" s="94"/>
      <c r="BS290" s="94"/>
      <c r="BT290" s="94"/>
      <c r="BU290" s="94"/>
      <c r="BV290" s="95"/>
      <c r="BW290" s="91"/>
      <c r="BX290" s="95"/>
      <c r="BY290" s="8"/>
      <c r="BZ290" s="96"/>
      <c r="CA290" s="91"/>
      <c r="CB290" s="97"/>
      <c r="CC290" s="8"/>
      <c r="CD290" s="91"/>
      <c r="CE290" s="98"/>
      <c r="CF290" s="5"/>
      <c r="DK290" s="89"/>
      <c r="DL290" s="8"/>
      <c r="DM290" s="8"/>
      <c r="DN290" s="8"/>
      <c r="DO290" s="8"/>
      <c r="DP290" s="8"/>
      <c r="DQ290" s="8"/>
      <c r="DR290" s="8"/>
      <c r="DZ290" s="45"/>
      <c r="EA290" s="89"/>
      <c r="EB290" s="89"/>
      <c r="EC290" s="89"/>
      <c r="ED290" s="89"/>
      <c r="EE290" s="89"/>
      <c r="EF290" s="89"/>
      <c r="EG290" s="89"/>
      <c r="EH290" s="89"/>
      <c r="EI290" s="89"/>
      <c r="EJ290" s="89"/>
      <c r="EK290" s="91"/>
      <c r="EL290" s="66"/>
      <c r="EM290" s="94"/>
      <c r="EN290" s="94"/>
      <c r="EO290" s="92"/>
      <c r="EP290" s="93"/>
      <c r="EQ290" s="23"/>
      <c r="ER290" s="94"/>
      <c r="ES290" s="94"/>
      <c r="ET290" s="94"/>
      <c r="EU290" s="94"/>
      <c r="EV290" s="95"/>
      <c r="EW290" s="91"/>
      <c r="EX290" s="95"/>
      <c r="EY290" s="8"/>
      <c r="EZ290" s="96"/>
      <c r="FA290" s="91"/>
      <c r="FB290" s="97"/>
      <c r="FC290" s="8"/>
      <c r="FD290" s="91"/>
      <c r="FE290" s="98"/>
      <c r="FF290" s="5"/>
    </row>
    <row r="291" spans="37:162">
      <c r="AK291" s="89"/>
      <c r="AL291" s="8"/>
      <c r="AM291" s="8"/>
      <c r="AN291" s="8"/>
      <c r="AO291" s="8"/>
      <c r="AP291" s="8"/>
      <c r="AQ291" s="8"/>
      <c r="AR291" s="8"/>
      <c r="AZ291" s="45"/>
      <c r="BA291" s="89"/>
      <c r="BB291" s="89"/>
      <c r="BC291" s="89"/>
      <c r="BD291" s="89"/>
      <c r="BE291" s="89"/>
      <c r="BF291" s="89"/>
      <c r="BG291" s="89"/>
      <c r="BH291" s="89"/>
      <c r="BI291" s="89"/>
      <c r="BJ291" s="89"/>
      <c r="BK291" s="91"/>
      <c r="BL291" s="66"/>
      <c r="BM291" s="94"/>
      <c r="BN291" s="94"/>
      <c r="BO291" s="92"/>
      <c r="BP291" s="93"/>
      <c r="BQ291" s="23"/>
      <c r="BR291" s="94"/>
      <c r="BS291" s="94"/>
      <c r="BT291" s="94"/>
      <c r="BU291" s="94"/>
      <c r="BV291" s="95"/>
      <c r="BW291" s="91"/>
      <c r="BX291" s="95"/>
      <c r="BY291" s="8"/>
      <c r="BZ291" s="96"/>
      <c r="CA291" s="91"/>
      <c r="CB291" s="97"/>
      <c r="CC291" s="8"/>
      <c r="CD291" s="91"/>
      <c r="CE291" s="98"/>
      <c r="CF291" s="5"/>
      <c r="DK291" s="89"/>
      <c r="DL291" s="8"/>
      <c r="DM291" s="8"/>
      <c r="DN291" s="8"/>
      <c r="DO291" s="8"/>
      <c r="DP291" s="8"/>
      <c r="DQ291" s="8"/>
      <c r="DR291" s="8"/>
      <c r="DZ291" s="45"/>
      <c r="EA291" s="89"/>
      <c r="EB291" s="89"/>
      <c r="EC291" s="89"/>
      <c r="ED291" s="89"/>
      <c r="EE291" s="89"/>
      <c r="EF291" s="89"/>
      <c r="EG291" s="89"/>
      <c r="EH291" s="89"/>
      <c r="EI291" s="89"/>
      <c r="EJ291" s="89"/>
      <c r="EK291" s="91"/>
      <c r="EL291" s="66"/>
      <c r="EM291" s="94"/>
      <c r="EN291" s="94"/>
      <c r="EO291" s="92"/>
      <c r="EP291" s="93"/>
      <c r="EQ291" s="23"/>
      <c r="ER291" s="94"/>
      <c r="ES291" s="94"/>
      <c r="ET291" s="94"/>
      <c r="EU291" s="94"/>
      <c r="EV291" s="95"/>
      <c r="EW291" s="91"/>
      <c r="EX291" s="95"/>
      <c r="EY291" s="8"/>
      <c r="EZ291" s="96"/>
      <c r="FA291" s="91"/>
      <c r="FB291" s="97"/>
      <c r="FC291" s="8"/>
      <c r="FD291" s="91"/>
      <c r="FE291" s="98"/>
      <c r="FF291" s="5"/>
    </row>
    <row r="292" spans="37:162">
      <c r="AK292" s="89"/>
      <c r="AL292" s="8"/>
      <c r="AM292" s="8"/>
      <c r="AN292" s="8"/>
      <c r="AO292" s="8"/>
      <c r="AP292" s="8"/>
      <c r="AQ292" s="8"/>
      <c r="AR292" s="8"/>
      <c r="AZ292" s="45"/>
      <c r="BA292" s="89"/>
      <c r="BB292" s="89"/>
      <c r="BC292" s="89"/>
      <c r="BD292" s="89"/>
      <c r="BE292" s="89"/>
      <c r="BF292" s="89"/>
      <c r="BG292" s="89"/>
      <c r="BH292" s="89"/>
      <c r="BI292" s="89"/>
      <c r="BJ292" s="89"/>
      <c r="BK292" s="91"/>
      <c r="BL292" s="66"/>
      <c r="BM292" s="94"/>
      <c r="BN292" s="94"/>
      <c r="BO292" s="92"/>
      <c r="BP292" s="93"/>
      <c r="BQ292" s="23"/>
      <c r="BR292" s="94"/>
      <c r="BS292" s="94"/>
      <c r="BT292" s="94"/>
      <c r="BU292" s="94"/>
      <c r="BV292" s="95"/>
      <c r="BW292" s="91"/>
      <c r="BX292" s="95"/>
      <c r="BY292" s="8"/>
      <c r="BZ292" s="96"/>
      <c r="CA292" s="91"/>
      <c r="CB292" s="97"/>
      <c r="CC292" s="8"/>
      <c r="CD292" s="91"/>
      <c r="CE292" s="98"/>
      <c r="CF292" s="5"/>
      <c r="DK292" s="89"/>
      <c r="DL292" s="8"/>
      <c r="DM292" s="8"/>
      <c r="DN292" s="8"/>
      <c r="DO292" s="8"/>
      <c r="DP292" s="8"/>
      <c r="DQ292" s="8"/>
      <c r="DR292" s="8"/>
      <c r="DZ292" s="45"/>
      <c r="EA292" s="89"/>
      <c r="EB292" s="89"/>
      <c r="EC292" s="89"/>
      <c r="ED292" s="89"/>
      <c r="EE292" s="89"/>
      <c r="EF292" s="89"/>
      <c r="EG292" s="89"/>
      <c r="EH292" s="89"/>
      <c r="EI292" s="89"/>
      <c r="EJ292" s="89"/>
      <c r="EK292" s="91"/>
      <c r="EL292" s="66"/>
      <c r="EM292" s="94"/>
      <c r="EN292" s="94"/>
      <c r="EO292" s="92"/>
      <c r="EP292" s="93"/>
      <c r="EQ292" s="23"/>
      <c r="ER292" s="94"/>
      <c r="ES292" s="94"/>
      <c r="ET292" s="94"/>
      <c r="EU292" s="94"/>
      <c r="EV292" s="95"/>
      <c r="EW292" s="91"/>
      <c r="EX292" s="95"/>
      <c r="EY292" s="8"/>
      <c r="EZ292" s="96"/>
      <c r="FA292" s="91"/>
      <c r="FB292" s="97"/>
      <c r="FC292" s="8"/>
      <c r="FD292" s="91"/>
      <c r="FE292" s="98"/>
      <c r="FF292" s="5"/>
    </row>
    <row r="293" spans="37:162">
      <c r="AK293" s="89"/>
      <c r="AL293" s="8"/>
      <c r="AM293" s="8"/>
      <c r="AN293" s="8"/>
      <c r="AO293" s="8"/>
      <c r="AP293" s="8"/>
      <c r="AQ293" s="8"/>
      <c r="AR293" s="8"/>
      <c r="AZ293" s="45"/>
      <c r="BA293" s="89"/>
      <c r="BB293" s="89"/>
      <c r="BC293" s="89"/>
      <c r="BD293" s="89"/>
      <c r="BE293" s="89"/>
      <c r="BF293" s="89"/>
      <c r="BG293" s="89"/>
      <c r="BH293" s="89"/>
      <c r="BI293" s="89"/>
      <c r="BJ293" s="89"/>
      <c r="BK293" s="91"/>
      <c r="BL293" s="66"/>
      <c r="BM293" s="94"/>
      <c r="BN293" s="94"/>
      <c r="BO293" s="92"/>
      <c r="BP293" s="93"/>
      <c r="BQ293" s="23"/>
      <c r="BR293" s="94"/>
      <c r="BS293" s="94"/>
      <c r="BT293" s="94"/>
      <c r="BU293" s="94"/>
      <c r="BV293" s="95"/>
      <c r="BW293" s="91"/>
      <c r="BX293" s="95"/>
      <c r="BY293" s="8"/>
      <c r="BZ293" s="96"/>
      <c r="CA293" s="91"/>
      <c r="CB293" s="97"/>
      <c r="CC293" s="8"/>
      <c r="CD293" s="91"/>
      <c r="CE293" s="98"/>
      <c r="CF293" s="5"/>
      <c r="DK293" s="89"/>
      <c r="DL293" s="8"/>
      <c r="DM293" s="8"/>
      <c r="DN293" s="8"/>
      <c r="DO293" s="8"/>
      <c r="DP293" s="8"/>
      <c r="DQ293" s="8"/>
      <c r="DR293" s="8"/>
      <c r="DZ293" s="45"/>
      <c r="EA293" s="89"/>
      <c r="EB293" s="89"/>
      <c r="EC293" s="89"/>
      <c r="ED293" s="89"/>
      <c r="EE293" s="89"/>
      <c r="EF293" s="89"/>
      <c r="EG293" s="89"/>
      <c r="EH293" s="89"/>
      <c r="EI293" s="89"/>
      <c r="EJ293" s="89"/>
      <c r="EK293" s="91"/>
      <c r="EL293" s="66"/>
      <c r="EM293" s="94"/>
      <c r="EN293" s="94"/>
      <c r="EO293" s="92"/>
      <c r="EP293" s="93"/>
      <c r="EQ293" s="23"/>
      <c r="ER293" s="94"/>
      <c r="ES293" s="94"/>
      <c r="ET293" s="94"/>
      <c r="EU293" s="94"/>
      <c r="EV293" s="95"/>
      <c r="EW293" s="91"/>
      <c r="EX293" s="95"/>
      <c r="EY293" s="8"/>
      <c r="EZ293" s="96"/>
      <c r="FA293" s="91"/>
      <c r="FB293" s="97"/>
      <c r="FC293" s="8"/>
      <c r="FD293" s="91"/>
      <c r="FE293" s="98"/>
      <c r="FF293" s="5"/>
    </row>
    <row r="294" spans="37:162">
      <c r="AK294" s="89"/>
      <c r="AL294" s="8"/>
      <c r="AM294" s="8"/>
      <c r="AN294" s="8"/>
      <c r="AO294" s="8"/>
      <c r="AP294" s="8"/>
      <c r="AQ294" s="8"/>
      <c r="AR294" s="8"/>
      <c r="AZ294" s="45"/>
      <c r="BA294" s="89"/>
      <c r="BB294" s="89"/>
      <c r="BC294" s="89"/>
      <c r="BD294" s="89"/>
      <c r="BE294" s="89"/>
      <c r="BF294" s="89"/>
      <c r="BG294" s="89"/>
      <c r="BH294" s="89"/>
      <c r="BI294" s="89"/>
      <c r="BJ294" s="89"/>
      <c r="BK294" s="91"/>
      <c r="BL294" s="66"/>
      <c r="BM294" s="94"/>
      <c r="BN294" s="94"/>
      <c r="BO294" s="92"/>
      <c r="BP294" s="93"/>
      <c r="BQ294" s="23"/>
      <c r="BR294" s="94"/>
      <c r="BS294" s="94"/>
      <c r="BT294" s="94"/>
      <c r="BU294" s="94"/>
      <c r="BV294" s="95"/>
      <c r="BW294" s="91"/>
      <c r="BX294" s="95"/>
      <c r="BY294" s="8"/>
      <c r="BZ294" s="96"/>
      <c r="CA294" s="91"/>
      <c r="CB294" s="97"/>
      <c r="CC294" s="8"/>
      <c r="CD294" s="91"/>
      <c r="CE294" s="98"/>
      <c r="CF294" s="5"/>
      <c r="DK294" s="89"/>
      <c r="DL294" s="8"/>
      <c r="DM294" s="8"/>
      <c r="DN294" s="8"/>
      <c r="DO294" s="8"/>
      <c r="DP294" s="8"/>
      <c r="DQ294" s="8"/>
      <c r="DR294" s="8"/>
      <c r="DZ294" s="45"/>
      <c r="EA294" s="89"/>
      <c r="EB294" s="89"/>
      <c r="EC294" s="89"/>
      <c r="ED294" s="89"/>
      <c r="EE294" s="89"/>
      <c r="EF294" s="89"/>
      <c r="EG294" s="89"/>
      <c r="EH294" s="89"/>
      <c r="EI294" s="89"/>
      <c r="EJ294" s="89"/>
      <c r="EK294" s="91"/>
      <c r="EL294" s="66"/>
      <c r="EM294" s="94"/>
      <c r="EN294" s="94"/>
      <c r="EO294" s="92"/>
      <c r="EP294" s="93"/>
      <c r="EQ294" s="23"/>
      <c r="ER294" s="94"/>
      <c r="ES294" s="94"/>
      <c r="ET294" s="94"/>
      <c r="EU294" s="94"/>
      <c r="EV294" s="95"/>
      <c r="EW294" s="91"/>
      <c r="EX294" s="95"/>
      <c r="EY294" s="8"/>
      <c r="EZ294" s="96"/>
      <c r="FA294" s="91"/>
      <c r="FB294" s="97"/>
      <c r="FC294" s="8"/>
      <c r="FD294" s="91"/>
      <c r="FE294" s="98"/>
      <c r="FF294" s="5"/>
    </row>
    <row r="295" spans="37:162">
      <c r="AK295" s="89"/>
      <c r="AL295" s="8"/>
      <c r="AM295" s="8"/>
      <c r="AN295" s="8"/>
      <c r="AO295" s="8"/>
      <c r="AP295" s="8"/>
      <c r="AQ295" s="8"/>
      <c r="AR295" s="8"/>
      <c r="AZ295" s="45"/>
      <c r="BA295" s="89"/>
      <c r="BB295" s="89"/>
      <c r="BC295" s="89"/>
      <c r="BD295" s="89"/>
      <c r="BE295" s="89"/>
      <c r="BF295" s="89"/>
      <c r="BG295" s="89"/>
      <c r="BH295" s="89"/>
      <c r="BI295" s="89"/>
      <c r="BJ295" s="89"/>
      <c r="BK295" s="91"/>
      <c r="BL295" s="66"/>
      <c r="BM295" s="94"/>
      <c r="BN295" s="94"/>
      <c r="BO295" s="92"/>
      <c r="BP295" s="93"/>
      <c r="BQ295" s="23"/>
      <c r="BR295" s="94"/>
      <c r="BS295" s="94"/>
      <c r="BT295" s="94"/>
      <c r="BU295" s="94"/>
      <c r="BV295" s="95"/>
      <c r="BW295" s="91"/>
      <c r="BX295" s="95"/>
      <c r="BY295" s="8"/>
      <c r="BZ295" s="96"/>
      <c r="CA295" s="91"/>
      <c r="CB295" s="97"/>
      <c r="CC295" s="8"/>
      <c r="CD295" s="91"/>
      <c r="CE295" s="98"/>
      <c r="CF295" s="5"/>
      <c r="DK295" s="89"/>
      <c r="DL295" s="8"/>
      <c r="DM295" s="8"/>
      <c r="DN295" s="8"/>
      <c r="DO295" s="8"/>
      <c r="DP295" s="8"/>
      <c r="DQ295" s="8"/>
      <c r="DR295" s="8"/>
      <c r="DZ295" s="45"/>
      <c r="EA295" s="89"/>
      <c r="EB295" s="89"/>
      <c r="EC295" s="89"/>
      <c r="ED295" s="89"/>
      <c r="EE295" s="89"/>
      <c r="EF295" s="89"/>
      <c r="EG295" s="89"/>
      <c r="EH295" s="89"/>
      <c r="EI295" s="89"/>
      <c r="EJ295" s="89"/>
      <c r="EK295" s="91"/>
      <c r="EL295" s="66"/>
      <c r="EM295" s="94"/>
      <c r="EN295" s="94"/>
      <c r="EO295" s="92"/>
      <c r="EP295" s="93"/>
      <c r="EQ295" s="23"/>
      <c r="ER295" s="94"/>
      <c r="ES295" s="94"/>
      <c r="ET295" s="94"/>
      <c r="EU295" s="94"/>
      <c r="EV295" s="95"/>
      <c r="EW295" s="91"/>
      <c r="EX295" s="95"/>
      <c r="EY295" s="8"/>
      <c r="EZ295" s="96"/>
      <c r="FA295" s="91"/>
      <c r="FB295" s="97"/>
      <c r="FC295" s="8"/>
      <c r="FD295" s="91"/>
      <c r="FE295" s="98"/>
      <c r="FF295" s="5"/>
    </row>
    <row r="296" spans="37:162">
      <c r="AK296" s="89"/>
      <c r="AL296" s="8"/>
      <c r="AM296" s="8"/>
      <c r="AN296" s="8"/>
      <c r="AO296" s="8"/>
      <c r="AP296" s="8"/>
      <c r="AQ296" s="8"/>
      <c r="AR296" s="8"/>
      <c r="AZ296" s="45"/>
      <c r="BA296" s="89"/>
      <c r="BB296" s="89"/>
      <c r="BC296" s="89"/>
      <c r="BD296" s="89"/>
      <c r="BE296" s="89"/>
      <c r="BF296" s="89"/>
      <c r="BG296" s="89"/>
      <c r="BH296" s="89"/>
      <c r="BI296" s="89"/>
      <c r="BJ296" s="89"/>
      <c r="BK296" s="91"/>
      <c r="BL296" s="66"/>
      <c r="BM296" s="94"/>
      <c r="BN296" s="94"/>
      <c r="BO296" s="92"/>
      <c r="BP296" s="93"/>
      <c r="BQ296" s="23"/>
      <c r="BR296" s="94"/>
      <c r="BS296" s="94"/>
      <c r="BT296" s="94"/>
      <c r="BU296" s="94"/>
      <c r="BV296" s="95"/>
      <c r="BW296" s="91"/>
      <c r="BX296" s="95"/>
      <c r="BY296" s="8"/>
      <c r="BZ296" s="96"/>
      <c r="CA296" s="91"/>
      <c r="CB296" s="97"/>
      <c r="CC296" s="8"/>
      <c r="CD296" s="91"/>
      <c r="CE296" s="98"/>
      <c r="CF296" s="5"/>
      <c r="DK296" s="89"/>
      <c r="DL296" s="8"/>
      <c r="DM296" s="8"/>
      <c r="DN296" s="8"/>
      <c r="DO296" s="8"/>
      <c r="DP296" s="8"/>
      <c r="DQ296" s="8"/>
      <c r="DR296" s="8"/>
      <c r="DZ296" s="45"/>
      <c r="EA296" s="89"/>
      <c r="EB296" s="89"/>
      <c r="EC296" s="89"/>
      <c r="ED296" s="89"/>
      <c r="EE296" s="89"/>
      <c r="EF296" s="89"/>
      <c r="EG296" s="89"/>
      <c r="EH296" s="89"/>
      <c r="EI296" s="89"/>
      <c r="EJ296" s="89"/>
      <c r="EK296" s="91"/>
      <c r="EL296" s="66"/>
      <c r="EM296" s="94"/>
      <c r="EN296" s="94"/>
      <c r="EO296" s="92"/>
      <c r="EP296" s="93"/>
      <c r="EQ296" s="23"/>
      <c r="ER296" s="94"/>
      <c r="ES296" s="94"/>
      <c r="ET296" s="94"/>
      <c r="EU296" s="94"/>
      <c r="EV296" s="95"/>
      <c r="EW296" s="91"/>
      <c r="EX296" s="95"/>
      <c r="EY296" s="8"/>
      <c r="EZ296" s="96"/>
      <c r="FA296" s="91"/>
      <c r="FB296" s="97"/>
      <c r="FC296" s="8"/>
      <c r="FD296" s="91"/>
      <c r="FE296" s="98"/>
      <c r="FF296" s="5"/>
    </row>
    <row r="297" spans="37:162">
      <c r="AK297" s="89"/>
      <c r="AL297" s="8"/>
      <c r="AM297" s="8"/>
      <c r="AN297" s="8"/>
      <c r="AO297" s="8"/>
      <c r="AP297" s="8"/>
      <c r="AQ297" s="8"/>
      <c r="AR297" s="8"/>
      <c r="AZ297" s="45"/>
      <c r="BA297" s="89"/>
      <c r="BB297" s="89"/>
      <c r="BC297" s="89"/>
      <c r="BD297" s="89"/>
      <c r="BE297" s="89"/>
      <c r="BF297" s="89"/>
      <c r="BG297" s="89"/>
      <c r="BH297" s="89"/>
      <c r="BI297" s="89"/>
      <c r="BJ297" s="89"/>
      <c r="BK297" s="91"/>
      <c r="BL297" s="66"/>
      <c r="BM297" s="94"/>
      <c r="BN297" s="94"/>
      <c r="BO297" s="92"/>
      <c r="BP297" s="93"/>
      <c r="BQ297" s="23"/>
      <c r="BR297" s="94"/>
      <c r="BS297" s="94"/>
      <c r="BT297" s="94"/>
      <c r="BU297" s="94"/>
      <c r="BV297" s="95"/>
      <c r="BW297" s="91"/>
      <c r="BX297" s="95"/>
      <c r="BY297" s="8"/>
      <c r="BZ297" s="96"/>
      <c r="CA297" s="91"/>
      <c r="CB297" s="97"/>
      <c r="CC297" s="8"/>
      <c r="CD297" s="91"/>
      <c r="CE297" s="98"/>
      <c r="CF297" s="5"/>
      <c r="DK297" s="89"/>
      <c r="DL297" s="8"/>
      <c r="DM297" s="8"/>
      <c r="DN297" s="8"/>
      <c r="DO297" s="8"/>
      <c r="DP297" s="8"/>
      <c r="DQ297" s="8"/>
      <c r="DR297" s="8"/>
      <c r="DZ297" s="45"/>
      <c r="EA297" s="89"/>
      <c r="EB297" s="89"/>
      <c r="EC297" s="89"/>
      <c r="ED297" s="89"/>
      <c r="EE297" s="89"/>
      <c r="EF297" s="89"/>
      <c r="EG297" s="89"/>
      <c r="EH297" s="89"/>
      <c r="EI297" s="89"/>
      <c r="EJ297" s="89"/>
      <c r="EK297" s="91"/>
      <c r="EL297" s="66"/>
      <c r="EM297" s="94"/>
      <c r="EN297" s="94"/>
      <c r="EO297" s="92"/>
      <c r="EP297" s="93"/>
      <c r="EQ297" s="23"/>
      <c r="ER297" s="94"/>
      <c r="ES297" s="94"/>
      <c r="ET297" s="94"/>
      <c r="EU297" s="94"/>
      <c r="EV297" s="95"/>
      <c r="EW297" s="91"/>
      <c r="EX297" s="95"/>
      <c r="EY297" s="8"/>
      <c r="EZ297" s="96"/>
      <c r="FA297" s="91"/>
      <c r="FB297" s="97"/>
      <c r="FC297" s="8"/>
      <c r="FD297" s="91"/>
      <c r="FE297" s="98"/>
      <c r="FF297" s="5"/>
    </row>
    <row r="298" spans="37:162">
      <c r="AK298" s="89"/>
      <c r="AL298" s="8"/>
      <c r="AM298" s="8"/>
      <c r="AN298" s="8"/>
      <c r="AO298" s="8"/>
      <c r="AP298" s="8"/>
      <c r="AQ298" s="8"/>
      <c r="AR298" s="8"/>
      <c r="AZ298" s="45"/>
      <c r="BA298" s="89"/>
      <c r="BB298" s="89"/>
      <c r="BC298" s="89"/>
      <c r="BD298" s="89"/>
      <c r="BE298" s="89"/>
      <c r="BF298" s="89"/>
      <c r="BG298" s="89"/>
      <c r="BH298" s="89"/>
      <c r="BI298" s="89"/>
      <c r="BJ298" s="89"/>
      <c r="BK298" s="91"/>
      <c r="BL298" s="66"/>
      <c r="BM298" s="94"/>
      <c r="BN298" s="94"/>
      <c r="BO298" s="92"/>
      <c r="BP298" s="93"/>
      <c r="BQ298" s="23"/>
      <c r="BR298" s="94"/>
      <c r="BS298" s="94"/>
      <c r="BT298" s="94"/>
      <c r="BU298" s="94"/>
      <c r="BV298" s="95"/>
      <c r="BW298" s="91"/>
      <c r="BX298" s="95"/>
      <c r="BY298" s="8"/>
      <c r="BZ298" s="96"/>
      <c r="CA298" s="91"/>
      <c r="CB298" s="97"/>
      <c r="CC298" s="8"/>
      <c r="CD298" s="91"/>
      <c r="CE298" s="98"/>
      <c r="CF298" s="5"/>
      <c r="DK298" s="89"/>
      <c r="DL298" s="8"/>
      <c r="DM298" s="8"/>
      <c r="DN298" s="8"/>
      <c r="DO298" s="8"/>
      <c r="DP298" s="8"/>
      <c r="DQ298" s="8"/>
      <c r="DR298" s="8"/>
      <c r="DZ298" s="45"/>
      <c r="EA298" s="89"/>
      <c r="EB298" s="89"/>
      <c r="EC298" s="89"/>
      <c r="ED298" s="89"/>
      <c r="EE298" s="89"/>
      <c r="EF298" s="89"/>
      <c r="EG298" s="89"/>
      <c r="EH298" s="89"/>
      <c r="EI298" s="89"/>
      <c r="EJ298" s="89"/>
      <c r="EK298" s="91"/>
      <c r="EL298" s="66"/>
      <c r="EM298" s="94"/>
      <c r="EN298" s="94"/>
      <c r="EO298" s="92"/>
      <c r="EP298" s="93"/>
      <c r="EQ298" s="23"/>
      <c r="ER298" s="94"/>
      <c r="ES298" s="94"/>
      <c r="ET298" s="94"/>
      <c r="EU298" s="94"/>
      <c r="EV298" s="95"/>
      <c r="EW298" s="91"/>
      <c r="EX298" s="95"/>
      <c r="EY298" s="8"/>
      <c r="EZ298" s="96"/>
      <c r="FA298" s="91"/>
      <c r="FB298" s="97"/>
      <c r="FC298" s="8"/>
      <c r="FD298" s="91"/>
      <c r="FE298" s="98"/>
      <c r="FF298" s="5"/>
    </row>
    <row r="299" spans="37:162">
      <c r="AK299" s="89"/>
      <c r="AL299" s="8"/>
      <c r="AM299" s="8"/>
      <c r="AN299" s="8"/>
      <c r="AO299" s="8"/>
      <c r="AP299" s="8"/>
      <c r="AQ299" s="8"/>
      <c r="AR299" s="8"/>
      <c r="AZ299" s="45"/>
      <c r="BA299" s="89"/>
      <c r="BB299" s="89"/>
      <c r="BC299" s="89"/>
      <c r="BD299" s="89"/>
      <c r="BE299" s="89"/>
      <c r="BF299" s="89"/>
      <c r="BG299" s="89"/>
      <c r="BH299" s="89"/>
      <c r="BI299" s="89"/>
      <c r="BJ299" s="89"/>
      <c r="BK299" s="91"/>
      <c r="BL299" s="66"/>
      <c r="BM299" s="94"/>
      <c r="BN299" s="94"/>
      <c r="BO299" s="92"/>
      <c r="BP299" s="93"/>
      <c r="BQ299" s="23"/>
      <c r="BR299" s="94"/>
      <c r="BS299" s="94"/>
      <c r="BT299" s="94"/>
      <c r="BU299" s="94"/>
      <c r="BV299" s="95"/>
      <c r="BW299" s="91"/>
      <c r="BX299" s="95"/>
      <c r="BY299" s="8"/>
      <c r="BZ299" s="96"/>
      <c r="CA299" s="91"/>
      <c r="CB299" s="97"/>
      <c r="CC299" s="8"/>
      <c r="CD299" s="91"/>
      <c r="CE299" s="98"/>
      <c r="CF299" s="5"/>
      <c r="DK299" s="89"/>
      <c r="DL299" s="8"/>
      <c r="DM299" s="8"/>
      <c r="DN299" s="8"/>
      <c r="DO299" s="8"/>
      <c r="DP299" s="8"/>
      <c r="DQ299" s="8"/>
      <c r="DR299" s="8"/>
      <c r="DZ299" s="45"/>
      <c r="EA299" s="89"/>
      <c r="EB299" s="89"/>
      <c r="EC299" s="89"/>
      <c r="ED299" s="89"/>
      <c r="EE299" s="89"/>
      <c r="EF299" s="89"/>
      <c r="EG299" s="89"/>
      <c r="EH299" s="89"/>
      <c r="EI299" s="89"/>
      <c r="EJ299" s="89"/>
      <c r="EK299" s="91"/>
      <c r="EL299" s="66"/>
      <c r="EM299" s="94"/>
      <c r="EN299" s="94"/>
      <c r="EO299" s="92"/>
      <c r="EP299" s="93"/>
      <c r="EQ299" s="23"/>
      <c r="ER299" s="94"/>
      <c r="ES299" s="94"/>
      <c r="ET299" s="94"/>
      <c r="EU299" s="94"/>
      <c r="EV299" s="95"/>
      <c r="EW299" s="91"/>
      <c r="EX299" s="95"/>
      <c r="EY299" s="8"/>
      <c r="EZ299" s="96"/>
      <c r="FA299" s="91"/>
      <c r="FB299" s="97"/>
      <c r="FC299" s="8"/>
      <c r="FD299" s="91"/>
      <c r="FE299" s="98"/>
      <c r="FF299" s="5"/>
    </row>
    <row r="300" spans="37:162">
      <c r="AK300" s="89"/>
      <c r="AL300" s="8"/>
      <c r="AM300" s="8"/>
      <c r="AN300" s="8"/>
      <c r="AO300" s="8"/>
      <c r="AP300" s="8"/>
      <c r="AQ300" s="8"/>
      <c r="AR300" s="8"/>
      <c r="AZ300" s="45"/>
      <c r="BA300" s="89"/>
      <c r="BB300" s="89"/>
      <c r="BC300" s="89"/>
      <c r="BD300" s="89"/>
      <c r="BE300" s="89"/>
      <c r="BF300" s="89"/>
      <c r="BG300" s="89"/>
      <c r="BH300" s="89"/>
      <c r="BI300" s="89"/>
      <c r="BJ300" s="89"/>
      <c r="BK300" s="91"/>
      <c r="BL300" s="66"/>
      <c r="BM300" s="94"/>
      <c r="BN300" s="94"/>
      <c r="BO300" s="92"/>
      <c r="BP300" s="93"/>
      <c r="BQ300" s="23"/>
      <c r="BR300" s="94"/>
      <c r="BS300" s="94"/>
      <c r="BT300" s="94"/>
      <c r="BU300" s="94"/>
      <c r="BV300" s="95"/>
      <c r="BW300" s="91"/>
      <c r="BX300" s="95"/>
      <c r="BY300" s="8"/>
      <c r="BZ300" s="96"/>
      <c r="CA300" s="91"/>
      <c r="CB300" s="97"/>
      <c r="CC300" s="8"/>
      <c r="CD300" s="91"/>
      <c r="CE300" s="98"/>
      <c r="CF300" s="5"/>
      <c r="DK300" s="89"/>
      <c r="DL300" s="8"/>
      <c r="DM300" s="8"/>
      <c r="DN300" s="8"/>
      <c r="DO300" s="8"/>
      <c r="DP300" s="8"/>
      <c r="DQ300" s="8"/>
      <c r="DR300" s="8"/>
      <c r="DZ300" s="45"/>
      <c r="EA300" s="89"/>
      <c r="EB300" s="89"/>
      <c r="EC300" s="89"/>
      <c r="ED300" s="89"/>
      <c r="EE300" s="89"/>
      <c r="EF300" s="89"/>
      <c r="EG300" s="89"/>
      <c r="EH300" s="89"/>
      <c r="EI300" s="89"/>
      <c r="EJ300" s="89"/>
      <c r="EK300" s="91"/>
      <c r="EL300" s="66"/>
      <c r="EM300" s="94"/>
      <c r="EN300" s="94"/>
      <c r="EO300" s="92"/>
      <c r="EP300" s="93"/>
      <c r="EQ300" s="23"/>
      <c r="ER300" s="94"/>
      <c r="ES300" s="94"/>
      <c r="ET300" s="94"/>
      <c r="EU300" s="94"/>
      <c r="EV300" s="95"/>
      <c r="EW300" s="91"/>
      <c r="EX300" s="95"/>
      <c r="EY300" s="8"/>
      <c r="EZ300" s="96"/>
      <c r="FA300" s="91"/>
      <c r="FB300" s="97"/>
      <c r="FC300" s="8"/>
      <c r="FD300" s="91"/>
      <c r="FE300" s="98"/>
      <c r="FF300" s="5"/>
    </row>
    <row r="301" spans="37:162">
      <c r="AK301" s="89"/>
      <c r="AL301" s="8"/>
      <c r="AM301" s="8"/>
      <c r="AN301" s="8"/>
      <c r="AO301" s="8"/>
      <c r="AP301" s="8"/>
      <c r="AQ301" s="8"/>
      <c r="AR301" s="8"/>
      <c r="AZ301" s="45"/>
      <c r="BA301" s="89"/>
      <c r="BB301" s="89"/>
      <c r="BC301" s="89"/>
      <c r="BD301" s="89"/>
      <c r="BE301" s="89"/>
      <c r="BF301" s="89"/>
      <c r="BG301" s="89"/>
      <c r="BH301" s="89"/>
      <c r="BI301" s="89"/>
      <c r="BJ301" s="89"/>
      <c r="BK301" s="91"/>
      <c r="BL301" s="66"/>
      <c r="BM301" s="94"/>
      <c r="BN301" s="94"/>
      <c r="BO301" s="92"/>
      <c r="BP301" s="93"/>
      <c r="BQ301" s="23"/>
      <c r="BR301" s="94"/>
      <c r="BS301" s="94"/>
      <c r="BT301" s="94"/>
      <c r="BU301" s="94"/>
      <c r="BV301" s="95"/>
      <c r="BW301" s="91"/>
      <c r="BX301" s="95"/>
      <c r="BY301" s="8"/>
      <c r="BZ301" s="96"/>
      <c r="CA301" s="91"/>
      <c r="CB301" s="97"/>
      <c r="CC301" s="8"/>
      <c r="CD301" s="91"/>
      <c r="CE301" s="98"/>
      <c r="CF301" s="5"/>
      <c r="DK301" s="89"/>
      <c r="DL301" s="8"/>
      <c r="DM301" s="8"/>
      <c r="DN301" s="8"/>
      <c r="DO301" s="8"/>
      <c r="DP301" s="8"/>
      <c r="DQ301" s="8"/>
      <c r="DR301" s="8"/>
      <c r="DZ301" s="45"/>
      <c r="EA301" s="89"/>
      <c r="EB301" s="89"/>
      <c r="EC301" s="89"/>
      <c r="ED301" s="89"/>
      <c r="EE301" s="89"/>
      <c r="EF301" s="89"/>
      <c r="EG301" s="89"/>
      <c r="EH301" s="89"/>
      <c r="EI301" s="89"/>
      <c r="EJ301" s="89"/>
      <c r="EK301" s="91"/>
      <c r="EL301" s="66"/>
      <c r="EM301" s="94"/>
      <c r="EN301" s="94"/>
      <c r="EO301" s="92"/>
      <c r="EP301" s="93"/>
      <c r="EQ301" s="23"/>
      <c r="ER301" s="94"/>
      <c r="ES301" s="94"/>
      <c r="ET301" s="94"/>
      <c r="EU301" s="94"/>
      <c r="EV301" s="95"/>
      <c r="EW301" s="91"/>
      <c r="EX301" s="95"/>
      <c r="EY301" s="8"/>
      <c r="EZ301" s="96"/>
      <c r="FA301" s="91"/>
      <c r="FB301" s="97"/>
      <c r="FC301" s="8"/>
      <c r="FD301" s="91"/>
      <c r="FE301" s="98"/>
      <c r="FF301" s="5"/>
    </row>
    <row r="302" spans="37:162">
      <c r="AK302" s="89"/>
      <c r="AL302" s="8"/>
      <c r="AM302" s="8"/>
      <c r="AN302" s="8"/>
      <c r="AO302" s="8"/>
      <c r="AP302" s="8"/>
      <c r="AQ302" s="8"/>
      <c r="AR302" s="8"/>
      <c r="AZ302" s="45"/>
      <c r="BA302" s="89"/>
      <c r="BB302" s="89"/>
      <c r="BC302" s="89"/>
      <c r="BD302" s="89"/>
      <c r="BE302" s="89"/>
      <c r="BF302" s="89"/>
      <c r="BG302" s="89"/>
      <c r="BH302" s="89"/>
      <c r="BI302" s="89"/>
      <c r="BJ302" s="89"/>
      <c r="BK302" s="91"/>
      <c r="BL302" s="66"/>
      <c r="BM302" s="94"/>
      <c r="BN302" s="94"/>
      <c r="BO302" s="92"/>
      <c r="BP302" s="93"/>
      <c r="BQ302" s="23"/>
      <c r="BR302" s="94"/>
      <c r="BS302" s="94"/>
      <c r="BT302" s="94"/>
      <c r="BU302" s="94"/>
      <c r="BV302" s="95"/>
      <c r="BW302" s="91"/>
      <c r="BX302" s="95"/>
      <c r="BY302" s="8"/>
      <c r="BZ302" s="96"/>
      <c r="CA302" s="91"/>
      <c r="CB302" s="97"/>
      <c r="CC302" s="8"/>
      <c r="CD302" s="91"/>
      <c r="CE302" s="98"/>
      <c r="CF302" s="5"/>
      <c r="DK302" s="89"/>
      <c r="DL302" s="8"/>
      <c r="DM302" s="8"/>
      <c r="DN302" s="8"/>
      <c r="DO302" s="8"/>
      <c r="DP302" s="8"/>
      <c r="DQ302" s="8"/>
      <c r="DR302" s="8"/>
      <c r="DZ302" s="45"/>
      <c r="EA302" s="89"/>
      <c r="EB302" s="89"/>
      <c r="EC302" s="89"/>
      <c r="ED302" s="89"/>
      <c r="EE302" s="89"/>
      <c r="EF302" s="89"/>
      <c r="EG302" s="89"/>
      <c r="EH302" s="89"/>
      <c r="EI302" s="89"/>
      <c r="EJ302" s="89"/>
      <c r="EK302" s="91"/>
      <c r="EL302" s="66"/>
      <c r="EM302" s="94"/>
      <c r="EN302" s="94"/>
      <c r="EO302" s="92"/>
      <c r="EP302" s="93"/>
      <c r="EQ302" s="23"/>
      <c r="ER302" s="94"/>
      <c r="ES302" s="94"/>
      <c r="ET302" s="94"/>
      <c r="EU302" s="94"/>
      <c r="EV302" s="95"/>
      <c r="EW302" s="91"/>
      <c r="EX302" s="95"/>
      <c r="EY302" s="8"/>
      <c r="EZ302" s="96"/>
      <c r="FA302" s="91"/>
      <c r="FB302" s="97"/>
      <c r="FC302" s="8"/>
      <c r="FD302" s="91"/>
      <c r="FE302" s="98"/>
      <c r="FF302" s="5"/>
    </row>
    <row r="303" spans="37:162">
      <c r="AK303" s="89"/>
      <c r="AL303" s="8"/>
      <c r="AM303" s="8"/>
      <c r="AN303" s="8"/>
      <c r="AO303" s="8"/>
      <c r="AP303" s="8"/>
      <c r="AQ303" s="8"/>
      <c r="AR303" s="8"/>
      <c r="AZ303" s="45"/>
      <c r="BA303" s="89"/>
      <c r="BB303" s="89"/>
      <c r="BC303" s="89"/>
      <c r="BD303" s="89"/>
      <c r="BE303" s="89"/>
      <c r="BF303" s="89"/>
      <c r="BG303" s="89"/>
      <c r="BH303" s="89"/>
      <c r="BI303" s="89"/>
      <c r="BJ303" s="89"/>
      <c r="BK303" s="91"/>
      <c r="BL303" s="66"/>
      <c r="BM303" s="94"/>
      <c r="BN303" s="94"/>
      <c r="BO303" s="92"/>
      <c r="BP303" s="93"/>
      <c r="BQ303" s="23"/>
      <c r="BR303" s="94"/>
      <c r="BS303" s="94"/>
      <c r="BT303" s="94"/>
      <c r="BU303" s="94"/>
      <c r="BV303" s="95"/>
      <c r="BW303" s="91"/>
      <c r="BX303" s="95"/>
      <c r="BY303" s="8"/>
      <c r="BZ303" s="96"/>
      <c r="CA303" s="91"/>
      <c r="CB303" s="97"/>
      <c r="CC303" s="8"/>
      <c r="CD303" s="91"/>
      <c r="CE303" s="98"/>
      <c r="CF303" s="5"/>
      <c r="DK303" s="89"/>
      <c r="DL303" s="8"/>
      <c r="DM303" s="8"/>
      <c r="DN303" s="8"/>
      <c r="DO303" s="8"/>
      <c r="DP303" s="8"/>
      <c r="DQ303" s="8"/>
      <c r="DR303" s="8"/>
      <c r="DZ303" s="45"/>
      <c r="EA303" s="89"/>
      <c r="EB303" s="89"/>
      <c r="EC303" s="89"/>
      <c r="ED303" s="89"/>
      <c r="EE303" s="89"/>
      <c r="EF303" s="89"/>
      <c r="EG303" s="89"/>
      <c r="EH303" s="89"/>
      <c r="EI303" s="89"/>
      <c r="EJ303" s="89"/>
      <c r="EK303" s="91"/>
      <c r="EL303" s="66"/>
      <c r="EM303" s="94"/>
      <c r="EN303" s="94"/>
      <c r="EO303" s="92"/>
      <c r="EP303" s="93"/>
      <c r="EQ303" s="23"/>
      <c r="ER303" s="94"/>
      <c r="ES303" s="94"/>
      <c r="ET303" s="94"/>
      <c r="EU303" s="94"/>
      <c r="EV303" s="95"/>
      <c r="EW303" s="91"/>
      <c r="EX303" s="95"/>
      <c r="EY303" s="8"/>
      <c r="EZ303" s="96"/>
      <c r="FA303" s="91"/>
      <c r="FB303" s="97"/>
      <c r="FC303" s="8"/>
      <c r="FD303" s="91"/>
      <c r="FE303" s="98"/>
      <c r="FF303" s="5"/>
    </row>
    <row r="304" spans="37:162">
      <c r="AK304" s="89"/>
      <c r="AL304" s="8"/>
      <c r="AM304" s="8"/>
      <c r="AN304" s="8"/>
      <c r="AO304" s="8"/>
      <c r="AP304" s="8"/>
      <c r="AQ304" s="8"/>
      <c r="AR304" s="8"/>
      <c r="AZ304" s="45"/>
      <c r="BA304" s="89"/>
      <c r="BB304" s="89"/>
      <c r="BC304" s="89"/>
      <c r="BD304" s="89"/>
      <c r="BE304" s="89"/>
      <c r="BF304" s="89"/>
      <c r="BG304" s="89"/>
      <c r="BH304" s="89"/>
      <c r="BI304" s="89"/>
      <c r="BJ304" s="89"/>
      <c r="BK304" s="91"/>
      <c r="BL304" s="66"/>
      <c r="BM304" s="94"/>
      <c r="BN304" s="94"/>
      <c r="BO304" s="92"/>
      <c r="BP304" s="93"/>
      <c r="BQ304" s="23"/>
      <c r="BR304" s="94"/>
      <c r="BS304" s="94"/>
      <c r="BT304" s="94"/>
      <c r="BU304" s="94"/>
      <c r="BV304" s="95"/>
      <c r="BW304" s="91"/>
      <c r="BX304" s="95"/>
      <c r="BY304" s="8"/>
      <c r="BZ304" s="96"/>
      <c r="CA304" s="91"/>
      <c r="CB304" s="97"/>
      <c r="CC304" s="8"/>
      <c r="CD304" s="91"/>
      <c r="CE304" s="98"/>
      <c r="CF304" s="5"/>
      <c r="DK304" s="89"/>
      <c r="DL304" s="8"/>
      <c r="DM304" s="8"/>
      <c r="DN304" s="8"/>
      <c r="DO304" s="8"/>
      <c r="DP304" s="8"/>
      <c r="DQ304" s="8"/>
      <c r="DR304" s="8"/>
      <c r="DZ304" s="45"/>
      <c r="EA304" s="89"/>
      <c r="EB304" s="89"/>
      <c r="EC304" s="89"/>
      <c r="ED304" s="89"/>
      <c r="EE304" s="89"/>
      <c r="EF304" s="89"/>
      <c r="EG304" s="89"/>
      <c r="EH304" s="89"/>
      <c r="EI304" s="89"/>
      <c r="EJ304" s="89"/>
      <c r="EK304" s="91"/>
      <c r="EL304" s="66"/>
      <c r="EM304" s="94"/>
      <c r="EN304" s="94"/>
      <c r="EO304" s="92"/>
      <c r="EP304" s="93"/>
      <c r="EQ304" s="23"/>
      <c r="ER304" s="94"/>
      <c r="ES304" s="94"/>
      <c r="ET304" s="94"/>
      <c r="EU304" s="94"/>
      <c r="EV304" s="95"/>
      <c r="EW304" s="91"/>
      <c r="EX304" s="95"/>
      <c r="EY304" s="8"/>
      <c r="EZ304" s="96"/>
      <c r="FA304" s="91"/>
      <c r="FB304" s="97"/>
      <c r="FC304" s="8"/>
      <c r="FD304" s="91"/>
      <c r="FE304" s="98"/>
      <c r="FF304" s="5"/>
    </row>
    <row r="305" spans="37:162">
      <c r="AK305" s="89"/>
      <c r="AL305" s="8"/>
      <c r="AM305" s="8"/>
      <c r="AN305" s="8"/>
      <c r="AO305" s="8"/>
      <c r="AP305" s="8"/>
      <c r="AQ305" s="8"/>
      <c r="AR305" s="8"/>
      <c r="AZ305" s="45"/>
      <c r="BA305" s="89"/>
      <c r="BB305" s="89"/>
      <c r="BC305" s="89"/>
      <c r="BD305" s="89"/>
      <c r="BE305" s="89"/>
      <c r="BF305" s="89"/>
      <c r="BG305" s="89"/>
      <c r="BH305" s="89"/>
      <c r="BI305" s="89"/>
      <c r="BJ305" s="89"/>
      <c r="BK305" s="91"/>
      <c r="BL305" s="66"/>
      <c r="BM305" s="94"/>
      <c r="BN305" s="94"/>
      <c r="BO305" s="92"/>
      <c r="BP305" s="93"/>
      <c r="BQ305" s="23"/>
      <c r="BR305" s="94"/>
      <c r="BS305" s="94"/>
      <c r="BT305" s="94"/>
      <c r="BU305" s="94"/>
      <c r="BV305" s="95"/>
      <c r="BW305" s="91"/>
      <c r="BX305" s="95"/>
      <c r="BY305" s="8"/>
      <c r="BZ305" s="96"/>
      <c r="CA305" s="91"/>
      <c r="CB305" s="97"/>
      <c r="CC305" s="8"/>
      <c r="CD305" s="91"/>
      <c r="CE305" s="98"/>
      <c r="CF305" s="5"/>
      <c r="DK305" s="89"/>
      <c r="DL305" s="8"/>
      <c r="DM305" s="8"/>
      <c r="DN305" s="8"/>
      <c r="DO305" s="8"/>
      <c r="DP305" s="8"/>
      <c r="DQ305" s="8"/>
      <c r="DR305" s="8"/>
      <c r="DZ305" s="45"/>
      <c r="EA305" s="89"/>
      <c r="EB305" s="89"/>
      <c r="EC305" s="89"/>
      <c r="ED305" s="89"/>
      <c r="EE305" s="89"/>
      <c r="EF305" s="89"/>
      <c r="EG305" s="89"/>
      <c r="EH305" s="89"/>
      <c r="EI305" s="89"/>
      <c r="EJ305" s="89"/>
      <c r="EK305" s="91"/>
      <c r="EL305" s="66"/>
      <c r="EM305" s="94"/>
      <c r="EN305" s="94"/>
      <c r="EO305" s="92"/>
      <c r="EP305" s="93"/>
      <c r="EQ305" s="23"/>
      <c r="ER305" s="94"/>
      <c r="ES305" s="94"/>
      <c r="ET305" s="94"/>
      <c r="EU305" s="94"/>
      <c r="EV305" s="95"/>
      <c r="EW305" s="91"/>
      <c r="EX305" s="95"/>
      <c r="EY305" s="8"/>
      <c r="EZ305" s="96"/>
      <c r="FA305" s="91"/>
      <c r="FB305" s="97"/>
      <c r="FC305" s="8"/>
      <c r="FD305" s="91"/>
      <c r="FE305" s="98"/>
      <c r="FF305" s="5"/>
    </row>
    <row r="306" spans="37:162">
      <c r="AK306" s="89"/>
      <c r="AL306" s="8"/>
      <c r="AM306" s="8"/>
      <c r="AN306" s="8"/>
      <c r="AO306" s="8"/>
      <c r="AP306" s="8"/>
      <c r="AQ306" s="8"/>
      <c r="AR306" s="8"/>
      <c r="AZ306" s="45"/>
      <c r="BA306" s="89"/>
      <c r="BB306" s="89"/>
      <c r="BC306" s="89"/>
      <c r="BD306" s="89"/>
      <c r="BE306" s="89"/>
      <c r="BF306" s="89"/>
      <c r="BG306" s="89"/>
      <c r="BH306" s="89"/>
      <c r="BI306" s="89"/>
      <c r="BJ306" s="89"/>
      <c r="BK306" s="91"/>
      <c r="BL306" s="66"/>
      <c r="BM306" s="94"/>
      <c r="BN306" s="94"/>
      <c r="BO306" s="92"/>
      <c r="BP306" s="93"/>
      <c r="BQ306" s="23"/>
      <c r="BR306" s="94"/>
      <c r="BS306" s="94"/>
      <c r="BT306" s="94"/>
      <c r="BU306" s="94"/>
      <c r="BV306" s="95"/>
      <c r="BW306" s="91"/>
      <c r="BX306" s="95"/>
      <c r="BY306" s="8"/>
      <c r="BZ306" s="96"/>
      <c r="CA306" s="91"/>
      <c r="CB306" s="97"/>
      <c r="CC306" s="8"/>
      <c r="CD306" s="91"/>
      <c r="CE306" s="98"/>
      <c r="CF306" s="5"/>
      <c r="DK306" s="89"/>
      <c r="DL306" s="8"/>
      <c r="DM306" s="8"/>
      <c r="DN306" s="8"/>
      <c r="DO306" s="8"/>
      <c r="DP306" s="8"/>
      <c r="DQ306" s="8"/>
      <c r="DR306" s="8"/>
      <c r="DZ306" s="45"/>
      <c r="EA306" s="89"/>
      <c r="EB306" s="89"/>
      <c r="EC306" s="89"/>
      <c r="ED306" s="89"/>
      <c r="EE306" s="89"/>
      <c r="EF306" s="89"/>
      <c r="EG306" s="89"/>
      <c r="EH306" s="89"/>
      <c r="EI306" s="89"/>
      <c r="EJ306" s="89"/>
      <c r="EK306" s="91"/>
      <c r="EL306" s="66"/>
      <c r="EM306" s="94"/>
      <c r="EN306" s="94"/>
      <c r="EO306" s="92"/>
      <c r="EP306" s="93"/>
      <c r="EQ306" s="23"/>
      <c r="ER306" s="94"/>
      <c r="ES306" s="94"/>
      <c r="ET306" s="94"/>
      <c r="EU306" s="94"/>
      <c r="EV306" s="95"/>
      <c r="EW306" s="91"/>
      <c r="EX306" s="95"/>
      <c r="EY306" s="8"/>
      <c r="EZ306" s="96"/>
      <c r="FA306" s="91"/>
      <c r="FB306" s="97"/>
      <c r="FC306" s="8"/>
      <c r="FD306" s="91"/>
      <c r="FE306" s="98"/>
      <c r="FF306" s="5"/>
    </row>
    <row r="307" spans="37:162">
      <c r="AK307" s="89"/>
      <c r="AL307" s="8"/>
      <c r="AM307" s="8"/>
      <c r="AN307" s="8"/>
      <c r="AO307" s="8"/>
      <c r="AP307" s="8"/>
      <c r="AQ307" s="8"/>
      <c r="AR307" s="8"/>
      <c r="AZ307" s="45"/>
      <c r="BA307" s="89"/>
      <c r="BB307" s="89"/>
      <c r="BC307" s="89"/>
      <c r="BD307" s="89"/>
      <c r="BE307" s="89"/>
      <c r="BF307" s="89"/>
      <c r="BG307" s="89"/>
      <c r="BH307" s="89"/>
      <c r="BI307" s="89"/>
      <c r="BJ307" s="89"/>
      <c r="BK307" s="91"/>
      <c r="BL307" s="66"/>
      <c r="BM307" s="94"/>
      <c r="BN307" s="94"/>
      <c r="BO307" s="92"/>
      <c r="BP307" s="93"/>
      <c r="BQ307" s="23"/>
      <c r="BR307" s="94"/>
      <c r="BS307" s="94"/>
      <c r="BT307" s="94"/>
      <c r="BU307" s="94"/>
      <c r="BV307" s="95"/>
      <c r="BW307" s="91"/>
      <c r="BX307" s="95"/>
      <c r="BY307" s="8"/>
      <c r="BZ307" s="96"/>
      <c r="CA307" s="91"/>
      <c r="CB307" s="97"/>
      <c r="CC307" s="8"/>
      <c r="CD307" s="91"/>
      <c r="CE307" s="98"/>
      <c r="CF307" s="5"/>
      <c r="DK307" s="89"/>
      <c r="DL307" s="8"/>
      <c r="DM307" s="8"/>
      <c r="DN307" s="8"/>
      <c r="DO307" s="8"/>
      <c r="DP307" s="8"/>
      <c r="DQ307" s="8"/>
      <c r="DR307" s="8"/>
      <c r="DZ307" s="45"/>
      <c r="EA307" s="89"/>
      <c r="EB307" s="89"/>
      <c r="EC307" s="89"/>
      <c r="ED307" s="89"/>
      <c r="EE307" s="89"/>
      <c r="EF307" s="89"/>
      <c r="EG307" s="89"/>
      <c r="EH307" s="89"/>
      <c r="EI307" s="89"/>
      <c r="EJ307" s="89"/>
      <c r="EK307" s="91"/>
      <c r="EL307" s="66"/>
      <c r="EM307" s="94"/>
      <c r="EN307" s="94"/>
      <c r="EO307" s="92"/>
      <c r="EP307" s="93"/>
      <c r="EQ307" s="23"/>
      <c r="ER307" s="94"/>
      <c r="ES307" s="94"/>
      <c r="ET307" s="94"/>
      <c r="EU307" s="94"/>
      <c r="EV307" s="95"/>
      <c r="EW307" s="91"/>
      <c r="EX307" s="95"/>
      <c r="EY307" s="8"/>
      <c r="EZ307" s="96"/>
      <c r="FA307" s="91"/>
      <c r="FB307" s="97"/>
      <c r="FC307" s="8"/>
      <c r="FD307" s="91"/>
      <c r="FE307" s="98"/>
      <c r="FF307" s="5"/>
    </row>
    <row r="308" spans="37:162">
      <c r="AK308" s="89"/>
      <c r="AL308" s="8"/>
      <c r="AM308" s="8"/>
      <c r="AN308" s="8"/>
      <c r="AO308" s="8"/>
      <c r="AP308" s="8"/>
      <c r="AQ308" s="8"/>
      <c r="AR308" s="8"/>
      <c r="AZ308" s="45"/>
      <c r="BA308" s="89"/>
      <c r="BB308" s="89"/>
      <c r="BC308" s="89"/>
      <c r="BD308" s="89"/>
      <c r="BE308" s="89"/>
      <c r="BF308" s="89"/>
      <c r="BG308" s="89"/>
      <c r="BH308" s="89"/>
      <c r="BI308" s="89"/>
      <c r="BJ308" s="89"/>
      <c r="BK308" s="91"/>
      <c r="BL308" s="66"/>
      <c r="BM308" s="94"/>
      <c r="BN308" s="94"/>
      <c r="BO308" s="92"/>
      <c r="BP308" s="93"/>
      <c r="BQ308" s="23"/>
      <c r="BR308" s="94"/>
      <c r="BS308" s="94"/>
      <c r="BT308" s="94"/>
      <c r="BU308" s="94"/>
      <c r="BV308" s="95"/>
      <c r="BW308" s="91"/>
      <c r="BX308" s="95"/>
      <c r="BY308" s="8"/>
      <c r="BZ308" s="96"/>
      <c r="CA308" s="91"/>
      <c r="CB308" s="97"/>
      <c r="CC308" s="8"/>
      <c r="CD308" s="91"/>
      <c r="CE308" s="98"/>
      <c r="CF308" s="5"/>
      <c r="DK308" s="89"/>
      <c r="DL308" s="8"/>
      <c r="DM308" s="8"/>
      <c r="DN308" s="8"/>
      <c r="DO308" s="8"/>
      <c r="DP308" s="8"/>
      <c r="DQ308" s="8"/>
      <c r="DR308" s="8"/>
      <c r="DZ308" s="45"/>
      <c r="EA308" s="89"/>
      <c r="EB308" s="89"/>
      <c r="EC308" s="89"/>
      <c r="ED308" s="89"/>
      <c r="EE308" s="89"/>
      <c r="EF308" s="89"/>
      <c r="EG308" s="89"/>
      <c r="EH308" s="89"/>
      <c r="EI308" s="89"/>
      <c r="EJ308" s="89"/>
      <c r="EK308" s="91"/>
      <c r="EL308" s="66"/>
      <c r="EM308" s="94"/>
      <c r="EN308" s="94"/>
      <c r="EO308" s="92"/>
      <c r="EP308" s="93"/>
      <c r="EQ308" s="23"/>
      <c r="ER308" s="94"/>
      <c r="ES308" s="94"/>
      <c r="ET308" s="94"/>
      <c r="EU308" s="94"/>
      <c r="EV308" s="95"/>
      <c r="EW308" s="91"/>
      <c r="EX308" s="95"/>
      <c r="EY308" s="8"/>
      <c r="EZ308" s="96"/>
      <c r="FA308" s="91"/>
      <c r="FB308" s="97"/>
      <c r="FC308" s="8"/>
      <c r="FD308" s="91"/>
      <c r="FE308" s="98"/>
      <c r="FF308" s="5"/>
    </row>
    <row r="309" spans="37:162">
      <c r="AK309" s="89"/>
      <c r="AL309" s="8"/>
      <c r="AM309" s="8"/>
      <c r="AN309" s="8"/>
      <c r="AO309" s="8"/>
      <c r="AP309" s="8"/>
      <c r="AQ309" s="8"/>
      <c r="AR309" s="8"/>
      <c r="AZ309" s="45"/>
      <c r="BA309" s="89"/>
      <c r="BB309" s="89"/>
      <c r="BC309" s="89"/>
      <c r="BD309" s="89"/>
      <c r="BE309" s="89"/>
      <c r="BF309" s="89"/>
      <c r="BG309" s="89"/>
      <c r="BH309" s="89"/>
      <c r="BI309" s="89"/>
      <c r="BJ309" s="89"/>
      <c r="BK309" s="91"/>
      <c r="BL309" s="66"/>
      <c r="BM309" s="94"/>
      <c r="BN309" s="94"/>
      <c r="BO309" s="92"/>
      <c r="BP309" s="93"/>
      <c r="BQ309" s="23"/>
      <c r="BR309" s="94"/>
      <c r="BS309" s="94"/>
      <c r="BT309" s="94"/>
      <c r="BU309" s="94"/>
      <c r="BV309" s="95"/>
      <c r="BW309" s="91"/>
      <c r="BX309" s="95"/>
      <c r="BY309" s="8"/>
      <c r="BZ309" s="96"/>
      <c r="CA309" s="91"/>
      <c r="CB309" s="97"/>
      <c r="CC309" s="8"/>
      <c r="CD309" s="91"/>
      <c r="CE309" s="98"/>
      <c r="CF309" s="5"/>
      <c r="DK309" s="89"/>
      <c r="DL309" s="8"/>
      <c r="DM309" s="8"/>
      <c r="DN309" s="8"/>
      <c r="DO309" s="8"/>
      <c r="DP309" s="8"/>
      <c r="DQ309" s="8"/>
      <c r="DR309" s="8"/>
      <c r="DZ309" s="45"/>
      <c r="EA309" s="89"/>
      <c r="EB309" s="89"/>
      <c r="EC309" s="89"/>
      <c r="ED309" s="89"/>
      <c r="EE309" s="89"/>
      <c r="EF309" s="89"/>
      <c r="EG309" s="89"/>
      <c r="EH309" s="89"/>
      <c r="EI309" s="89"/>
      <c r="EJ309" s="89"/>
      <c r="EK309" s="91"/>
      <c r="EL309" s="66"/>
      <c r="EM309" s="94"/>
      <c r="EN309" s="94"/>
      <c r="EO309" s="92"/>
      <c r="EP309" s="93"/>
      <c r="EQ309" s="23"/>
      <c r="ER309" s="94"/>
      <c r="ES309" s="94"/>
      <c r="ET309" s="94"/>
      <c r="EU309" s="94"/>
      <c r="EV309" s="95"/>
      <c r="EW309" s="91"/>
      <c r="EX309" s="95"/>
      <c r="EY309" s="8"/>
      <c r="EZ309" s="96"/>
      <c r="FA309" s="91"/>
      <c r="FB309" s="97"/>
      <c r="FC309" s="8"/>
      <c r="FD309" s="91"/>
      <c r="FE309" s="98"/>
      <c r="FF309" s="5"/>
    </row>
    <row r="310" spans="37:162">
      <c r="AK310" s="89"/>
      <c r="AL310" s="8"/>
      <c r="AM310" s="8"/>
      <c r="AN310" s="8"/>
      <c r="AO310" s="8"/>
      <c r="AP310" s="8"/>
      <c r="AQ310" s="8"/>
      <c r="AR310" s="8"/>
      <c r="AZ310" s="45"/>
      <c r="BA310" s="89"/>
      <c r="BB310" s="89"/>
      <c r="BC310" s="89"/>
      <c r="BD310" s="89"/>
      <c r="BE310" s="89"/>
      <c r="BF310" s="89"/>
      <c r="BG310" s="89"/>
      <c r="BH310" s="89"/>
      <c r="BI310" s="89"/>
      <c r="BJ310" s="89"/>
      <c r="BK310" s="91"/>
      <c r="BL310" s="66"/>
      <c r="BM310" s="94"/>
      <c r="BN310" s="94"/>
      <c r="BO310" s="92"/>
      <c r="BP310" s="93"/>
      <c r="BQ310" s="23"/>
      <c r="BR310" s="94"/>
      <c r="BS310" s="94"/>
      <c r="BT310" s="94"/>
      <c r="BU310" s="94"/>
      <c r="BV310" s="95"/>
      <c r="BW310" s="91"/>
      <c r="BX310" s="95"/>
      <c r="BY310" s="8"/>
      <c r="BZ310" s="96"/>
      <c r="CA310" s="91"/>
      <c r="CB310" s="97"/>
      <c r="CC310" s="8"/>
      <c r="CD310" s="91"/>
      <c r="CE310" s="98"/>
      <c r="CF310" s="5"/>
      <c r="DK310" s="89"/>
      <c r="DL310" s="8"/>
      <c r="DM310" s="8"/>
      <c r="DN310" s="8"/>
      <c r="DO310" s="8"/>
      <c r="DP310" s="8"/>
      <c r="DQ310" s="8"/>
      <c r="DR310" s="8"/>
      <c r="DZ310" s="45"/>
      <c r="EA310" s="89"/>
      <c r="EB310" s="89"/>
      <c r="EC310" s="89"/>
      <c r="ED310" s="89"/>
      <c r="EE310" s="89"/>
      <c r="EF310" s="89"/>
      <c r="EG310" s="89"/>
      <c r="EH310" s="89"/>
      <c r="EI310" s="89"/>
      <c r="EJ310" s="89"/>
      <c r="EK310" s="91"/>
      <c r="EL310" s="66"/>
      <c r="EM310" s="94"/>
      <c r="EN310" s="94"/>
      <c r="EO310" s="92"/>
      <c r="EP310" s="93"/>
      <c r="EQ310" s="23"/>
      <c r="ER310" s="94"/>
      <c r="ES310" s="94"/>
      <c r="ET310" s="94"/>
      <c r="EU310" s="94"/>
      <c r="EV310" s="95"/>
      <c r="EW310" s="91"/>
      <c r="EX310" s="95"/>
      <c r="EY310" s="8"/>
      <c r="EZ310" s="96"/>
      <c r="FA310" s="91"/>
      <c r="FB310" s="97"/>
      <c r="FC310" s="8"/>
      <c r="FD310" s="91"/>
      <c r="FE310" s="98"/>
      <c r="FF310" s="5"/>
    </row>
    <row r="311" spans="37:162">
      <c r="AK311" s="89"/>
      <c r="AL311" s="8"/>
      <c r="AM311" s="8"/>
      <c r="AN311" s="8"/>
      <c r="AO311" s="8"/>
      <c r="AP311" s="8"/>
      <c r="AQ311" s="8"/>
      <c r="AR311" s="8"/>
      <c r="AZ311" s="45"/>
      <c r="BA311" s="89"/>
      <c r="BB311" s="89"/>
      <c r="BC311" s="89"/>
      <c r="BD311" s="89"/>
      <c r="BE311" s="89"/>
      <c r="BF311" s="89"/>
      <c r="BG311" s="89"/>
      <c r="BH311" s="89"/>
      <c r="BI311" s="89"/>
      <c r="BJ311" s="89"/>
      <c r="BK311" s="91"/>
      <c r="BL311" s="66"/>
      <c r="BM311" s="94"/>
      <c r="BN311" s="94"/>
      <c r="BO311" s="92"/>
      <c r="BP311" s="93"/>
      <c r="BQ311" s="23"/>
      <c r="BR311" s="94"/>
      <c r="BS311" s="94"/>
      <c r="BT311" s="94"/>
      <c r="BU311" s="94"/>
      <c r="BV311" s="95"/>
      <c r="BW311" s="91"/>
      <c r="BX311" s="95"/>
      <c r="BY311" s="8"/>
      <c r="BZ311" s="96"/>
      <c r="CA311" s="91"/>
      <c r="CB311" s="97"/>
      <c r="CC311" s="8"/>
      <c r="CD311" s="91"/>
      <c r="CE311" s="98"/>
      <c r="CF311" s="5"/>
      <c r="DK311" s="89"/>
      <c r="DL311" s="8"/>
      <c r="DM311" s="8"/>
      <c r="DN311" s="8"/>
      <c r="DO311" s="8"/>
      <c r="DP311" s="8"/>
      <c r="DQ311" s="8"/>
      <c r="DR311" s="8"/>
      <c r="DZ311" s="45"/>
      <c r="EA311" s="89"/>
      <c r="EB311" s="89"/>
      <c r="EC311" s="89"/>
      <c r="ED311" s="89"/>
      <c r="EE311" s="89"/>
      <c r="EF311" s="89"/>
      <c r="EG311" s="89"/>
      <c r="EH311" s="89"/>
      <c r="EI311" s="89"/>
      <c r="EJ311" s="89"/>
      <c r="EK311" s="91"/>
      <c r="EL311" s="66"/>
      <c r="EM311" s="94"/>
      <c r="EN311" s="94"/>
      <c r="EO311" s="92"/>
      <c r="EP311" s="93"/>
      <c r="EQ311" s="23"/>
      <c r="ER311" s="94"/>
      <c r="ES311" s="94"/>
      <c r="ET311" s="94"/>
      <c r="EU311" s="94"/>
      <c r="EV311" s="95"/>
      <c r="EW311" s="91"/>
      <c r="EX311" s="95"/>
      <c r="EY311" s="8"/>
      <c r="EZ311" s="96"/>
      <c r="FA311" s="91"/>
      <c r="FB311" s="97"/>
      <c r="FC311" s="8"/>
      <c r="FD311" s="91"/>
      <c r="FE311" s="98"/>
      <c r="FF311" s="5"/>
    </row>
    <row r="312" spans="37:162">
      <c r="AK312" s="89"/>
      <c r="AL312" s="8"/>
      <c r="AM312" s="8"/>
      <c r="AN312" s="8"/>
      <c r="AO312" s="8"/>
      <c r="AP312" s="8"/>
      <c r="AQ312" s="8"/>
      <c r="AR312" s="8"/>
      <c r="AZ312" s="45"/>
      <c r="BA312" s="89"/>
      <c r="BB312" s="89"/>
      <c r="BC312" s="89"/>
      <c r="BD312" s="89"/>
      <c r="BE312" s="89"/>
      <c r="BF312" s="89"/>
      <c r="BG312" s="89"/>
      <c r="BH312" s="89"/>
      <c r="BI312" s="89"/>
      <c r="BJ312" s="89"/>
      <c r="BK312" s="91"/>
      <c r="BL312" s="66"/>
      <c r="BM312" s="94"/>
      <c r="BN312" s="94"/>
      <c r="BO312" s="92"/>
      <c r="BP312" s="93"/>
      <c r="BQ312" s="23"/>
      <c r="BR312" s="94"/>
      <c r="BS312" s="94"/>
      <c r="BT312" s="94"/>
      <c r="BU312" s="94"/>
      <c r="BV312" s="95"/>
      <c r="BW312" s="91"/>
      <c r="BX312" s="95"/>
      <c r="BY312" s="8"/>
      <c r="BZ312" s="96"/>
      <c r="CA312" s="91"/>
      <c r="CB312" s="97"/>
      <c r="CC312" s="8"/>
      <c r="CD312" s="91"/>
      <c r="CE312" s="98"/>
      <c r="CF312" s="5"/>
      <c r="DK312" s="89"/>
      <c r="DL312" s="8"/>
      <c r="DM312" s="8"/>
      <c r="DN312" s="8"/>
      <c r="DO312" s="8"/>
      <c r="DP312" s="8"/>
      <c r="DQ312" s="8"/>
      <c r="DR312" s="8"/>
      <c r="DZ312" s="45"/>
      <c r="EA312" s="89"/>
      <c r="EB312" s="89"/>
      <c r="EC312" s="89"/>
      <c r="ED312" s="89"/>
      <c r="EE312" s="89"/>
      <c r="EF312" s="89"/>
      <c r="EG312" s="89"/>
      <c r="EH312" s="89"/>
      <c r="EI312" s="89"/>
      <c r="EJ312" s="89"/>
      <c r="EK312" s="91"/>
      <c r="EL312" s="66"/>
      <c r="EM312" s="94"/>
      <c r="EN312" s="94"/>
      <c r="EO312" s="92"/>
      <c r="EP312" s="93"/>
      <c r="EQ312" s="23"/>
      <c r="ER312" s="94"/>
      <c r="ES312" s="94"/>
      <c r="ET312" s="94"/>
      <c r="EU312" s="94"/>
      <c r="EV312" s="95"/>
      <c r="EW312" s="91"/>
      <c r="EX312" s="95"/>
      <c r="EY312" s="8"/>
      <c r="EZ312" s="96"/>
      <c r="FA312" s="91"/>
      <c r="FB312" s="97"/>
      <c r="FC312" s="8"/>
      <c r="FD312" s="91"/>
      <c r="FE312" s="98"/>
      <c r="FF312" s="5"/>
    </row>
    <row r="313" spans="37:162">
      <c r="AK313" s="89"/>
      <c r="AL313" s="8"/>
      <c r="AM313" s="8"/>
      <c r="AN313" s="8"/>
      <c r="AO313" s="8"/>
      <c r="AP313" s="8"/>
      <c r="AQ313" s="8"/>
      <c r="AR313" s="8"/>
      <c r="AZ313" s="45"/>
      <c r="BA313" s="89"/>
      <c r="BB313" s="89"/>
      <c r="BC313" s="89"/>
      <c r="BD313" s="89"/>
      <c r="BE313" s="89"/>
      <c r="BF313" s="89"/>
      <c r="BG313" s="89"/>
      <c r="BH313" s="89"/>
      <c r="BI313" s="89"/>
      <c r="BJ313" s="89"/>
      <c r="BK313" s="91"/>
      <c r="BL313" s="66"/>
      <c r="BM313" s="94"/>
      <c r="BN313" s="94"/>
      <c r="BO313" s="92"/>
      <c r="BP313" s="93"/>
      <c r="BQ313" s="23"/>
      <c r="BR313" s="94"/>
      <c r="BS313" s="94"/>
      <c r="BT313" s="94"/>
      <c r="BU313" s="94"/>
      <c r="BV313" s="95"/>
      <c r="BW313" s="91"/>
      <c r="BX313" s="95"/>
      <c r="BY313" s="8"/>
      <c r="BZ313" s="96"/>
      <c r="CA313" s="91"/>
      <c r="CB313" s="97"/>
      <c r="CC313" s="8"/>
      <c r="CD313" s="91"/>
      <c r="CE313" s="98"/>
      <c r="CF313" s="5"/>
      <c r="DK313" s="89"/>
      <c r="DL313" s="8"/>
      <c r="DM313" s="8"/>
      <c r="DN313" s="8"/>
      <c r="DO313" s="8"/>
      <c r="DP313" s="8"/>
      <c r="DQ313" s="8"/>
      <c r="DR313" s="8"/>
      <c r="DZ313" s="45"/>
      <c r="EA313" s="89"/>
      <c r="EB313" s="89"/>
      <c r="EC313" s="89"/>
      <c r="ED313" s="89"/>
      <c r="EE313" s="89"/>
      <c r="EF313" s="89"/>
      <c r="EG313" s="89"/>
      <c r="EH313" s="89"/>
      <c r="EI313" s="89"/>
      <c r="EJ313" s="89"/>
      <c r="EK313" s="91"/>
      <c r="EL313" s="66"/>
      <c r="EM313" s="94"/>
      <c r="EN313" s="94"/>
      <c r="EO313" s="92"/>
      <c r="EP313" s="93"/>
      <c r="EQ313" s="23"/>
      <c r="ER313" s="94"/>
      <c r="ES313" s="94"/>
      <c r="ET313" s="94"/>
      <c r="EU313" s="94"/>
      <c r="EV313" s="95"/>
      <c r="EW313" s="91"/>
      <c r="EX313" s="95"/>
      <c r="EY313" s="8"/>
      <c r="EZ313" s="96"/>
      <c r="FA313" s="91"/>
      <c r="FB313" s="97"/>
      <c r="FC313" s="8"/>
      <c r="FD313" s="91"/>
      <c r="FE313" s="98"/>
      <c r="FF313" s="5"/>
    </row>
    <row r="314" spans="37:162">
      <c r="AK314" s="89"/>
      <c r="AL314" s="8"/>
      <c r="AM314" s="8"/>
      <c r="AN314" s="8"/>
      <c r="AO314" s="8"/>
      <c r="AP314" s="8"/>
      <c r="AQ314" s="8"/>
      <c r="AR314" s="8"/>
      <c r="AZ314" s="45"/>
      <c r="BA314" s="89"/>
      <c r="BB314" s="89"/>
      <c r="BC314" s="89"/>
      <c r="BD314" s="89"/>
      <c r="BE314" s="89"/>
      <c r="BF314" s="89"/>
      <c r="BG314" s="89"/>
      <c r="BH314" s="89"/>
      <c r="BI314" s="89"/>
      <c r="BJ314" s="89"/>
      <c r="BK314" s="91"/>
      <c r="BL314" s="66"/>
      <c r="BM314" s="94"/>
      <c r="BN314" s="94"/>
      <c r="BO314" s="92"/>
      <c r="BP314" s="93"/>
      <c r="BQ314" s="23"/>
      <c r="BR314" s="94"/>
      <c r="BS314" s="94"/>
      <c r="BT314" s="94"/>
      <c r="BU314" s="94"/>
      <c r="BV314" s="95"/>
      <c r="BW314" s="91"/>
      <c r="BX314" s="95"/>
      <c r="BY314" s="8"/>
      <c r="BZ314" s="96"/>
      <c r="CA314" s="91"/>
      <c r="CB314" s="97"/>
      <c r="CC314" s="8"/>
      <c r="CD314" s="91"/>
      <c r="CE314" s="98"/>
      <c r="CF314" s="5"/>
      <c r="DK314" s="89"/>
      <c r="DL314" s="8"/>
      <c r="DM314" s="8"/>
      <c r="DN314" s="8"/>
      <c r="DO314" s="8"/>
      <c r="DP314" s="8"/>
      <c r="DQ314" s="8"/>
      <c r="DR314" s="8"/>
      <c r="DZ314" s="45"/>
      <c r="EA314" s="89"/>
      <c r="EB314" s="89"/>
      <c r="EC314" s="89"/>
      <c r="ED314" s="89"/>
      <c r="EE314" s="89"/>
      <c r="EF314" s="89"/>
      <c r="EG314" s="89"/>
      <c r="EH314" s="89"/>
      <c r="EI314" s="89"/>
      <c r="EJ314" s="89"/>
      <c r="EK314" s="91"/>
      <c r="EL314" s="66"/>
      <c r="EM314" s="94"/>
      <c r="EN314" s="94"/>
      <c r="EO314" s="92"/>
      <c r="EP314" s="93"/>
      <c r="EQ314" s="23"/>
      <c r="ER314" s="94"/>
      <c r="ES314" s="94"/>
      <c r="ET314" s="94"/>
      <c r="EU314" s="94"/>
      <c r="EV314" s="95"/>
      <c r="EW314" s="91"/>
      <c r="EX314" s="95"/>
      <c r="EY314" s="8"/>
      <c r="EZ314" s="96"/>
      <c r="FA314" s="91"/>
      <c r="FB314" s="97"/>
      <c r="FC314" s="8"/>
      <c r="FD314" s="91"/>
      <c r="FE314" s="98"/>
      <c r="FF314" s="5"/>
    </row>
    <row r="315" spans="37:162">
      <c r="AK315" s="89"/>
      <c r="AL315" s="8"/>
      <c r="AM315" s="8"/>
      <c r="AN315" s="8"/>
      <c r="AO315" s="8"/>
      <c r="AP315" s="8"/>
      <c r="AQ315" s="8"/>
      <c r="AR315" s="8"/>
      <c r="AZ315" s="45"/>
      <c r="BA315" s="89"/>
      <c r="BB315" s="89"/>
      <c r="BC315" s="89"/>
      <c r="BD315" s="89"/>
      <c r="BE315" s="89"/>
      <c r="BF315" s="89"/>
      <c r="BG315" s="89"/>
      <c r="BH315" s="89"/>
      <c r="BI315" s="89"/>
      <c r="BJ315" s="89"/>
      <c r="BK315" s="91"/>
      <c r="BL315" s="66"/>
      <c r="BM315" s="94"/>
      <c r="BN315" s="94"/>
      <c r="BO315" s="92"/>
      <c r="BP315" s="93"/>
      <c r="BQ315" s="23"/>
      <c r="BR315" s="94"/>
      <c r="BS315" s="94"/>
      <c r="BT315" s="94"/>
      <c r="BU315" s="94"/>
      <c r="BV315" s="95"/>
      <c r="BW315" s="91"/>
      <c r="BX315" s="95"/>
      <c r="BY315" s="8"/>
      <c r="BZ315" s="96"/>
      <c r="CA315" s="91"/>
      <c r="CB315" s="97"/>
      <c r="CC315" s="8"/>
      <c r="CD315" s="91"/>
      <c r="CE315" s="98"/>
      <c r="CF315" s="5"/>
      <c r="DK315" s="89"/>
      <c r="DL315" s="8"/>
      <c r="DM315" s="8"/>
      <c r="DN315" s="8"/>
      <c r="DO315" s="8"/>
      <c r="DP315" s="8"/>
      <c r="DQ315" s="8"/>
      <c r="DR315" s="8"/>
      <c r="DZ315" s="45"/>
      <c r="EA315" s="89"/>
      <c r="EB315" s="89"/>
      <c r="EC315" s="89"/>
      <c r="ED315" s="89"/>
      <c r="EE315" s="89"/>
      <c r="EF315" s="89"/>
      <c r="EG315" s="89"/>
      <c r="EH315" s="89"/>
      <c r="EI315" s="89"/>
      <c r="EJ315" s="89"/>
      <c r="EK315" s="91"/>
      <c r="EL315" s="66"/>
      <c r="EM315" s="94"/>
      <c r="EN315" s="94"/>
      <c r="EO315" s="92"/>
      <c r="EP315" s="93"/>
      <c r="EQ315" s="23"/>
      <c r="ER315" s="94"/>
      <c r="ES315" s="94"/>
      <c r="ET315" s="94"/>
      <c r="EU315" s="94"/>
      <c r="EV315" s="95"/>
      <c r="EW315" s="91"/>
      <c r="EX315" s="95"/>
      <c r="EY315" s="8"/>
      <c r="EZ315" s="96"/>
      <c r="FA315" s="91"/>
      <c r="FB315" s="97"/>
      <c r="FC315" s="8"/>
      <c r="FD315" s="91"/>
      <c r="FE315" s="98"/>
      <c r="FF315" s="5"/>
    </row>
    <row r="316" spans="37:162">
      <c r="AK316" s="89"/>
      <c r="AL316" s="8"/>
      <c r="AM316" s="8"/>
      <c r="AN316" s="8"/>
      <c r="AO316" s="8"/>
      <c r="AP316" s="8"/>
      <c r="AQ316" s="8"/>
      <c r="AR316" s="8"/>
      <c r="AZ316" s="45"/>
      <c r="BA316" s="89"/>
      <c r="BB316" s="89"/>
      <c r="BC316" s="89"/>
      <c r="BD316" s="89"/>
      <c r="BE316" s="89"/>
      <c r="BF316" s="89"/>
      <c r="BG316" s="89"/>
      <c r="BH316" s="89"/>
      <c r="BI316" s="89"/>
      <c r="BJ316" s="89"/>
      <c r="BK316" s="91"/>
      <c r="BL316" s="66"/>
      <c r="BM316" s="94"/>
      <c r="BN316" s="94"/>
      <c r="BO316" s="92"/>
      <c r="BP316" s="93"/>
      <c r="BQ316" s="23"/>
      <c r="BR316" s="94"/>
      <c r="BS316" s="94"/>
      <c r="BT316" s="94"/>
      <c r="BU316" s="94"/>
      <c r="BV316" s="95"/>
      <c r="BW316" s="91"/>
      <c r="BX316" s="95"/>
      <c r="BY316" s="8"/>
      <c r="BZ316" s="96"/>
      <c r="CA316" s="91"/>
      <c r="CB316" s="97"/>
      <c r="CC316" s="8"/>
      <c r="CD316" s="91"/>
      <c r="CE316" s="98"/>
      <c r="CF316" s="5"/>
      <c r="DK316" s="89"/>
      <c r="DL316" s="8"/>
      <c r="DM316" s="8"/>
      <c r="DN316" s="8"/>
      <c r="DO316" s="8"/>
      <c r="DP316" s="8"/>
      <c r="DQ316" s="8"/>
      <c r="DR316" s="8"/>
      <c r="DZ316" s="45"/>
      <c r="EA316" s="89"/>
      <c r="EB316" s="89"/>
      <c r="EC316" s="89"/>
      <c r="ED316" s="89"/>
      <c r="EE316" s="89"/>
      <c r="EF316" s="89"/>
      <c r="EG316" s="89"/>
      <c r="EH316" s="89"/>
      <c r="EI316" s="89"/>
      <c r="EJ316" s="89"/>
      <c r="EK316" s="91"/>
      <c r="EL316" s="66"/>
      <c r="EM316" s="94"/>
      <c r="EN316" s="94"/>
      <c r="EO316" s="92"/>
      <c r="EP316" s="93"/>
      <c r="EQ316" s="23"/>
      <c r="ER316" s="94"/>
      <c r="ES316" s="94"/>
      <c r="ET316" s="94"/>
      <c r="EU316" s="94"/>
      <c r="EV316" s="95"/>
      <c r="EW316" s="91"/>
      <c r="EX316" s="95"/>
      <c r="EY316" s="8"/>
      <c r="EZ316" s="96"/>
      <c r="FA316" s="91"/>
      <c r="FB316" s="97"/>
      <c r="FC316" s="8"/>
      <c r="FD316" s="91"/>
      <c r="FE316" s="98"/>
      <c r="FF316" s="5"/>
    </row>
    <row r="317" spans="37:162">
      <c r="AK317" s="89"/>
      <c r="AL317" s="8"/>
      <c r="AM317" s="8"/>
      <c r="AN317" s="8"/>
      <c r="AO317" s="8"/>
      <c r="AP317" s="8"/>
      <c r="AQ317" s="8"/>
      <c r="AR317" s="8"/>
      <c r="AZ317" s="45"/>
      <c r="BA317" s="89"/>
      <c r="BB317" s="89"/>
      <c r="BC317" s="89"/>
      <c r="BD317" s="89"/>
      <c r="BE317" s="89"/>
      <c r="BF317" s="89"/>
      <c r="BG317" s="89"/>
      <c r="BH317" s="89"/>
      <c r="BI317" s="89"/>
      <c r="BJ317" s="89"/>
      <c r="BK317" s="91"/>
      <c r="BL317" s="66"/>
      <c r="BM317" s="94"/>
      <c r="BN317" s="94"/>
      <c r="BO317" s="92"/>
      <c r="BP317" s="93"/>
      <c r="BQ317" s="23"/>
      <c r="BR317" s="94"/>
      <c r="BS317" s="94"/>
      <c r="BT317" s="94"/>
      <c r="BU317" s="94"/>
      <c r="BV317" s="95"/>
      <c r="BW317" s="91"/>
      <c r="BX317" s="95"/>
      <c r="BY317" s="8"/>
      <c r="BZ317" s="96"/>
      <c r="CA317" s="91"/>
      <c r="CB317" s="97"/>
      <c r="CC317" s="8"/>
      <c r="CD317" s="91"/>
      <c r="CE317" s="98"/>
      <c r="CF317" s="5"/>
      <c r="DK317" s="89"/>
      <c r="DL317" s="8"/>
      <c r="DM317" s="8"/>
      <c r="DN317" s="8"/>
      <c r="DO317" s="8"/>
      <c r="DP317" s="8"/>
      <c r="DQ317" s="8"/>
      <c r="DR317" s="8"/>
      <c r="DZ317" s="45"/>
      <c r="EA317" s="89"/>
      <c r="EB317" s="89"/>
      <c r="EC317" s="89"/>
      <c r="ED317" s="89"/>
      <c r="EE317" s="89"/>
      <c r="EF317" s="89"/>
      <c r="EG317" s="89"/>
      <c r="EH317" s="89"/>
      <c r="EI317" s="89"/>
      <c r="EJ317" s="89"/>
      <c r="EK317" s="91"/>
      <c r="EL317" s="66"/>
      <c r="EM317" s="94"/>
      <c r="EN317" s="94"/>
      <c r="EO317" s="92"/>
      <c r="EP317" s="93"/>
      <c r="EQ317" s="23"/>
      <c r="ER317" s="94"/>
      <c r="ES317" s="94"/>
      <c r="ET317" s="94"/>
      <c r="EU317" s="94"/>
      <c r="EV317" s="95"/>
      <c r="EW317" s="91"/>
      <c r="EX317" s="95"/>
      <c r="EY317" s="8"/>
      <c r="EZ317" s="96"/>
      <c r="FA317" s="91"/>
      <c r="FB317" s="97"/>
      <c r="FC317" s="8"/>
      <c r="FD317" s="91"/>
      <c r="FE317" s="98"/>
      <c r="FF317" s="5"/>
    </row>
    <row r="318" spans="37:162">
      <c r="AK318" s="89"/>
      <c r="AL318" s="8"/>
      <c r="AM318" s="8"/>
      <c r="AN318" s="8"/>
      <c r="AO318" s="8"/>
      <c r="AP318" s="8"/>
      <c r="AQ318" s="8"/>
      <c r="AR318" s="8"/>
      <c r="AZ318" s="45"/>
      <c r="BA318" s="89"/>
      <c r="BB318" s="89"/>
      <c r="BC318" s="89"/>
      <c r="BD318" s="89"/>
      <c r="BE318" s="89"/>
      <c r="BF318" s="89"/>
      <c r="BG318" s="89"/>
      <c r="BH318" s="89"/>
      <c r="BI318" s="89"/>
      <c r="BJ318" s="89"/>
      <c r="BK318" s="91"/>
      <c r="BL318" s="66"/>
      <c r="BM318" s="94"/>
      <c r="BN318" s="94"/>
      <c r="BO318" s="92"/>
      <c r="BP318" s="93"/>
      <c r="BQ318" s="23"/>
      <c r="BR318" s="94"/>
      <c r="BS318" s="94"/>
      <c r="BT318" s="94"/>
      <c r="BU318" s="94"/>
      <c r="BV318" s="95"/>
      <c r="BW318" s="91"/>
      <c r="BX318" s="95"/>
      <c r="BY318" s="8"/>
      <c r="BZ318" s="96"/>
      <c r="CA318" s="91"/>
      <c r="CB318" s="97"/>
      <c r="CC318" s="8"/>
      <c r="CD318" s="91"/>
      <c r="CE318" s="98"/>
      <c r="CF318" s="5"/>
      <c r="DK318" s="89"/>
      <c r="DL318" s="8"/>
      <c r="DM318" s="8"/>
      <c r="DN318" s="8"/>
      <c r="DO318" s="8"/>
      <c r="DP318" s="8"/>
      <c r="DQ318" s="8"/>
      <c r="DR318" s="8"/>
      <c r="DZ318" s="45"/>
      <c r="EA318" s="89"/>
      <c r="EB318" s="89"/>
      <c r="EC318" s="89"/>
      <c r="ED318" s="89"/>
      <c r="EE318" s="89"/>
      <c r="EF318" s="89"/>
      <c r="EG318" s="89"/>
      <c r="EH318" s="89"/>
      <c r="EI318" s="89"/>
      <c r="EJ318" s="89"/>
      <c r="EK318" s="91"/>
      <c r="EL318" s="66"/>
      <c r="EM318" s="94"/>
      <c r="EN318" s="94"/>
      <c r="EO318" s="92"/>
      <c r="EP318" s="93"/>
      <c r="EQ318" s="23"/>
      <c r="ER318" s="94"/>
      <c r="ES318" s="94"/>
      <c r="ET318" s="94"/>
      <c r="EU318" s="94"/>
      <c r="EV318" s="95"/>
      <c r="EW318" s="91"/>
      <c r="EX318" s="95"/>
      <c r="EY318" s="8"/>
      <c r="EZ318" s="96"/>
      <c r="FA318" s="91"/>
      <c r="FB318" s="97"/>
      <c r="FC318" s="8"/>
      <c r="FD318" s="91"/>
      <c r="FE318" s="98"/>
      <c r="FF318" s="5"/>
    </row>
    <row r="319" spans="37:162">
      <c r="AK319" s="89"/>
      <c r="AL319" s="8"/>
      <c r="AM319" s="8"/>
      <c r="AN319" s="8"/>
      <c r="AO319" s="8"/>
      <c r="AP319" s="8"/>
      <c r="AQ319" s="8"/>
      <c r="AR319" s="8"/>
      <c r="AZ319" s="45"/>
      <c r="BA319" s="89"/>
      <c r="BB319" s="89"/>
      <c r="BC319" s="89"/>
      <c r="BD319" s="89"/>
      <c r="BE319" s="89"/>
      <c r="BF319" s="89"/>
      <c r="BG319" s="89"/>
      <c r="BH319" s="89"/>
      <c r="BI319" s="89"/>
      <c r="BJ319" s="89"/>
      <c r="BK319" s="91"/>
      <c r="BL319" s="66"/>
      <c r="BM319" s="94"/>
      <c r="BN319" s="94"/>
      <c r="BO319" s="92"/>
      <c r="BP319" s="93"/>
      <c r="BQ319" s="23"/>
      <c r="BR319" s="94"/>
      <c r="BS319" s="94"/>
      <c r="BT319" s="94"/>
      <c r="BU319" s="94"/>
      <c r="BV319" s="95"/>
      <c r="BW319" s="91"/>
      <c r="BX319" s="95"/>
      <c r="BY319" s="8"/>
      <c r="BZ319" s="96"/>
      <c r="CA319" s="91"/>
      <c r="CB319" s="97"/>
      <c r="CC319" s="8"/>
      <c r="CD319" s="91"/>
      <c r="CE319" s="98"/>
      <c r="CF319" s="5"/>
      <c r="DK319" s="89"/>
      <c r="DL319" s="8"/>
      <c r="DM319" s="8"/>
      <c r="DN319" s="8"/>
      <c r="DO319" s="8"/>
      <c r="DP319" s="8"/>
      <c r="DQ319" s="8"/>
      <c r="DR319" s="8"/>
      <c r="DZ319" s="45"/>
      <c r="EA319" s="89"/>
      <c r="EB319" s="89"/>
      <c r="EC319" s="89"/>
      <c r="ED319" s="89"/>
      <c r="EE319" s="89"/>
      <c r="EF319" s="89"/>
      <c r="EG319" s="89"/>
      <c r="EH319" s="89"/>
      <c r="EI319" s="89"/>
      <c r="EJ319" s="89"/>
      <c r="EK319" s="91"/>
      <c r="EL319" s="66"/>
      <c r="EM319" s="94"/>
      <c r="EN319" s="94"/>
      <c r="EO319" s="92"/>
      <c r="EP319" s="93"/>
      <c r="EQ319" s="23"/>
      <c r="ER319" s="94"/>
      <c r="ES319" s="94"/>
      <c r="ET319" s="94"/>
      <c r="EU319" s="94"/>
      <c r="EV319" s="95"/>
      <c r="EW319" s="91"/>
      <c r="EX319" s="95"/>
      <c r="EY319" s="8"/>
      <c r="EZ319" s="96"/>
      <c r="FA319" s="91"/>
      <c r="FB319" s="97"/>
      <c r="FC319" s="8"/>
      <c r="FD319" s="91"/>
      <c r="FE319" s="98"/>
      <c r="FF319" s="5"/>
    </row>
    <row r="320" spans="37:162">
      <c r="AK320" s="89"/>
      <c r="AL320" s="8"/>
      <c r="AM320" s="8"/>
      <c r="AN320" s="8"/>
      <c r="AO320" s="8"/>
      <c r="AP320" s="8"/>
      <c r="AQ320" s="8"/>
      <c r="AR320" s="8"/>
      <c r="AZ320" s="45"/>
      <c r="BA320" s="89"/>
      <c r="BB320" s="89"/>
      <c r="BC320" s="89"/>
      <c r="BD320" s="89"/>
      <c r="BE320" s="89"/>
      <c r="BF320" s="89"/>
      <c r="BG320" s="89"/>
      <c r="BH320" s="89"/>
      <c r="BI320" s="89"/>
      <c r="BJ320" s="89"/>
      <c r="BK320" s="91"/>
      <c r="BL320" s="66"/>
      <c r="BM320" s="94"/>
      <c r="BN320" s="94"/>
      <c r="BO320" s="92"/>
      <c r="BP320" s="93"/>
      <c r="BQ320" s="23"/>
      <c r="BR320" s="94"/>
      <c r="BS320" s="94"/>
      <c r="BT320" s="94"/>
      <c r="BU320" s="94"/>
      <c r="BV320" s="95"/>
      <c r="BW320" s="91"/>
      <c r="BX320" s="95"/>
      <c r="BY320" s="8"/>
      <c r="BZ320" s="96"/>
      <c r="CA320" s="91"/>
      <c r="CB320" s="97"/>
      <c r="CC320" s="8"/>
      <c r="CD320" s="91"/>
      <c r="CE320" s="98"/>
      <c r="CF320" s="5"/>
      <c r="DK320" s="89"/>
      <c r="DL320" s="8"/>
      <c r="DM320" s="8"/>
      <c r="DN320" s="8"/>
      <c r="DO320" s="8"/>
      <c r="DP320" s="8"/>
      <c r="DQ320" s="8"/>
      <c r="DR320" s="8"/>
      <c r="DZ320" s="45"/>
      <c r="EA320" s="89"/>
      <c r="EB320" s="89"/>
      <c r="EC320" s="89"/>
      <c r="ED320" s="89"/>
      <c r="EE320" s="89"/>
      <c r="EF320" s="89"/>
      <c r="EG320" s="89"/>
      <c r="EH320" s="89"/>
      <c r="EI320" s="89"/>
      <c r="EJ320" s="89"/>
      <c r="EK320" s="91"/>
      <c r="EL320" s="66"/>
      <c r="EM320" s="94"/>
      <c r="EN320" s="94"/>
      <c r="EO320" s="92"/>
      <c r="EP320" s="93"/>
      <c r="EQ320" s="23"/>
      <c r="ER320" s="94"/>
      <c r="ES320" s="94"/>
      <c r="ET320" s="94"/>
      <c r="EU320" s="94"/>
      <c r="EV320" s="95"/>
      <c r="EW320" s="91"/>
      <c r="EX320" s="95"/>
      <c r="EY320" s="8"/>
      <c r="EZ320" s="96"/>
      <c r="FA320" s="91"/>
      <c r="FB320" s="97"/>
      <c r="FC320" s="8"/>
      <c r="FD320" s="91"/>
      <c r="FE320" s="98"/>
      <c r="FF320" s="5"/>
    </row>
    <row r="321" spans="37:162">
      <c r="AK321" s="89"/>
      <c r="AL321" s="8"/>
      <c r="AM321" s="8"/>
      <c r="AN321" s="8"/>
      <c r="AO321" s="8"/>
      <c r="AP321" s="8"/>
      <c r="AQ321" s="8"/>
      <c r="AR321" s="8"/>
      <c r="AZ321" s="45"/>
      <c r="BA321" s="89"/>
      <c r="BB321" s="89"/>
      <c r="BC321" s="89"/>
      <c r="BD321" s="89"/>
      <c r="BE321" s="89"/>
      <c r="BF321" s="89"/>
      <c r="BG321" s="89"/>
      <c r="BH321" s="89"/>
      <c r="BI321" s="89"/>
      <c r="BJ321" s="89"/>
      <c r="BK321" s="91"/>
      <c r="BL321" s="66"/>
      <c r="BM321" s="94"/>
      <c r="BN321" s="94"/>
      <c r="BO321" s="92"/>
      <c r="BP321" s="93"/>
      <c r="BQ321" s="23"/>
      <c r="BR321" s="94"/>
      <c r="BS321" s="94"/>
      <c r="BT321" s="94"/>
      <c r="BU321" s="94"/>
      <c r="BV321" s="95"/>
      <c r="BW321" s="91"/>
      <c r="BX321" s="95"/>
      <c r="BY321" s="8"/>
      <c r="BZ321" s="96"/>
      <c r="CA321" s="91"/>
      <c r="CB321" s="97"/>
      <c r="CC321" s="8"/>
      <c r="CD321" s="91"/>
      <c r="CE321" s="98"/>
      <c r="CF321" s="5"/>
      <c r="DK321" s="89"/>
      <c r="DL321" s="8"/>
      <c r="DM321" s="8"/>
      <c r="DN321" s="8"/>
      <c r="DO321" s="8"/>
      <c r="DP321" s="8"/>
      <c r="DQ321" s="8"/>
      <c r="DR321" s="8"/>
      <c r="DZ321" s="45"/>
      <c r="EA321" s="89"/>
      <c r="EB321" s="89"/>
      <c r="EC321" s="89"/>
      <c r="ED321" s="89"/>
      <c r="EE321" s="89"/>
      <c r="EF321" s="89"/>
      <c r="EG321" s="89"/>
      <c r="EH321" s="89"/>
      <c r="EI321" s="89"/>
      <c r="EJ321" s="89"/>
      <c r="EK321" s="91"/>
      <c r="EL321" s="66"/>
      <c r="EM321" s="94"/>
      <c r="EN321" s="94"/>
      <c r="EO321" s="92"/>
      <c r="EP321" s="93"/>
      <c r="EQ321" s="23"/>
      <c r="ER321" s="94"/>
      <c r="ES321" s="94"/>
      <c r="ET321" s="94"/>
      <c r="EU321" s="94"/>
      <c r="EV321" s="95"/>
      <c r="EW321" s="91"/>
      <c r="EX321" s="95"/>
      <c r="EY321" s="8"/>
      <c r="EZ321" s="96"/>
      <c r="FA321" s="91"/>
      <c r="FB321" s="97"/>
      <c r="FC321" s="8"/>
      <c r="FD321" s="91"/>
      <c r="FE321" s="98"/>
      <c r="FF321" s="5"/>
    </row>
    <row r="322" spans="37:162">
      <c r="AK322" s="89"/>
      <c r="AL322" s="8"/>
      <c r="AM322" s="8"/>
      <c r="AN322" s="8"/>
      <c r="AO322" s="8"/>
      <c r="AP322" s="8"/>
      <c r="AQ322" s="8"/>
      <c r="AR322" s="8"/>
      <c r="AZ322" s="45"/>
      <c r="BA322" s="89"/>
      <c r="BB322" s="89"/>
      <c r="BC322" s="89"/>
      <c r="BD322" s="89"/>
      <c r="BE322" s="89"/>
      <c r="BF322" s="89"/>
      <c r="BG322" s="89"/>
      <c r="BH322" s="89"/>
      <c r="BI322" s="89"/>
      <c r="BJ322" s="89"/>
      <c r="BK322" s="91"/>
      <c r="BL322" s="66"/>
      <c r="BM322" s="94"/>
      <c r="BN322" s="94"/>
      <c r="BO322" s="92"/>
      <c r="BP322" s="93"/>
      <c r="BQ322" s="23"/>
      <c r="BR322" s="94"/>
      <c r="BS322" s="94"/>
      <c r="BT322" s="94"/>
      <c r="BU322" s="94"/>
      <c r="BV322" s="95"/>
      <c r="BW322" s="91"/>
      <c r="BX322" s="95"/>
      <c r="BY322" s="8"/>
      <c r="BZ322" s="96"/>
      <c r="CA322" s="91"/>
      <c r="CB322" s="97"/>
      <c r="CC322" s="8"/>
      <c r="CD322" s="91"/>
      <c r="CE322" s="98"/>
      <c r="CF322" s="5"/>
      <c r="DK322" s="89"/>
      <c r="DL322" s="8"/>
      <c r="DM322" s="8"/>
      <c r="DN322" s="8"/>
      <c r="DO322" s="8"/>
      <c r="DP322" s="8"/>
      <c r="DQ322" s="8"/>
      <c r="DR322" s="8"/>
      <c r="DZ322" s="45"/>
      <c r="EA322" s="89"/>
      <c r="EB322" s="89"/>
      <c r="EC322" s="89"/>
      <c r="ED322" s="89"/>
      <c r="EE322" s="89"/>
      <c r="EF322" s="89"/>
      <c r="EG322" s="89"/>
      <c r="EH322" s="89"/>
      <c r="EI322" s="89"/>
      <c r="EJ322" s="89"/>
      <c r="EK322" s="91"/>
      <c r="EL322" s="66"/>
      <c r="EM322" s="94"/>
      <c r="EN322" s="94"/>
      <c r="EO322" s="92"/>
      <c r="EP322" s="93"/>
      <c r="EQ322" s="23"/>
      <c r="ER322" s="94"/>
      <c r="ES322" s="94"/>
      <c r="ET322" s="94"/>
      <c r="EU322" s="94"/>
      <c r="EV322" s="95"/>
      <c r="EW322" s="91"/>
      <c r="EX322" s="95"/>
      <c r="EY322" s="8"/>
      <c r="EZ322" s="96"/>
      <c r="FA322" s="91"/>
      <c r="FB322" s="97"/>
      <c r="FC322" s="8"/>
      <c r="FD322" s="91"/>
      <c r="FE322" s="98"/>
      <c r="FF322" s="5"/>
    </row>
    <row r="323" spans="37:162">
      <c r="AK323" s="89"/>
      <c r="AL323" s="8"/>
      <c r="AM323" s="8"/>
      <c r="AN323" s="8"/>
      <c r="AO323" s="8"/>
      <c r="AP323" s="8"/>
      <c r="AQ323" s="8"/>
      <c r="AR323" s="8"/>
      <c r="AZ323" s="45"/>
      <c r="BA323" s="89"/>
      <c r="BB323" s="89"/>
      <c r="BC323" s="89"/>
      <c r="BD323" s="89"/>
      <c r="BE323" s="89"/>
      <c r="BF323" s="89"/>
      <c r="BG323" s="89"/>
      <c r="BH323" s="89"/>
      <c r="BI323" s="89"/>
      <c r="BJ323" s="89"/>
      <c r="BK323" s="91"/>
      <c r="BL323" s="66"/>
      <c r="BM323" s="94"/>
      <c r="BN323" s="94"/>
      <c r="BO323" s="92"/>
      <c r="BP323" s="93"/>
      <c r="BQ323" s="23"/>
      <c r="BR323" s="94"/>
      <c r="BS323" s="94"/>
      <c r="BT323" s="94"/>
      <c r="BU323" s="94"/>
      <c r="BV323" s="95"/>
      <c r="BW323" s="91"/>
      <c r="BX323" s="95"/>
      <c r="BY323" s="8"/>
      <c r="BZ323" s="96"/>
      <c r="CA323" s="91"/>
      <c r="CB323" s="97"/>
      <c r="CC323" s="8"/>
      <c r="CD323" s="91"/>
      <c r="CE323" s="98"/>
      <c r="CF323" s="5"/>
      <c r="DK323" s="89"/>
      <c r="DL323" s="8"/>
      <c r="DM323" s="8"/>
      <c r="DN323" s="8"/>
      <c r="DO323" s="8"/>
      <c r="DP323" s="8"/>
      <c r="DQ323" s="8"/>
      <c r="DR323" s="8"/>
      <c r="DZ323" s="45"/>
      <c r="EA323" s="89"/>
      <c r="EB323" s="89"/>
      <c r="EC323" s="89"/>
      <c r="ED323" s="89"/>
      <c r="EE323" s="89"/>
      <c r="EF323" s="89"/>
      <c r="EG323" s="89"/>
      <c r="EH323" s="89"/>
      <c r="EI323" s="89"/>
      <c r="EJ323" s="89"/>
      <c r="EK323" s="91"/>
      <c r="EL323" s="66"/>
      <c r="EM323" s="94"/>
      <c r="EN323" s="94"/>
      <c r="EO323" s="92"/>
      <c r="EP323" s="93"/>
      <c r="EQ323" s="23"/>
      <c r="ER323" s="94"/>
      <c r="ES323" s="94"/>
      <c r="ET323" s="94"/>
      <c r="EU323" s="94"/>
      <c r="EV323" s="95"/>
      <c r="EW323" s="91"/>
      <c r="EX323" s="95"/>
      <c r="EY323" s="8"/>
      <c r="EZ323" s="96"/>
      <c r="FA323" s="91"/>
      <c r="FB323" s="97"/>
      <c r="FC323" s="8"/>
      <c r="FD323" s="91"/>
      <c r="FE323" s="98"/>
      <c r="FF323" s="5"/>
    </row>
    <row r="324" spans="37:162">
      <c r="AK324" s="89"/>
      <c r="AL324" s="8"/>
      <c r="AM324" s="8"/>
      <c r="AN324" s="8"/>
      <c r="AO324" s="8"/>
      <c r="AP324" s="8"/>
      <c r="AQ324" s="8"/>
      <c r="AR324" s="8"/>
      <c r="AZ324" s="45"/>
      <c r="BA324" s="89"/>
      <c r="BB324" s="89"/>
      <c r="BC324" s="89"/>
      <c r="BD324" s="89"/>
      <c r="BE324" s="89"/>
      <c r="BF324" s="89"/>
      <c r="BG324" s="89"/>
      <c r="BH324" s="89"/>
      <c r="BI324" s="89"/>
      <c r="BJ324" s="89"/>
      <c r="BK324" s="91"/>
      <c r="BL324" s="66"/>
      <c r="BM324" s="94"/>
      <c r="BN324" s="94"/>
      <c r="BO324" s="92"/>
      <c r="BP324" s="93"/>
      <c r="BQ324" s="23"/>
      <c r="BR324" s="94"/>
      <c r="BS324" s="94"/>
      <c r="BT324" s="94"/>
      <c r="BU324" s="94"/>
      <c r="BV324" s="95"/>
      <c r="BW324" s="91"/>
      <c r="BX324" s="95"/>
      <c r="BY324" s="8"/>
      <c r="BZ324" s="96"/>
      <c r="CA324" s="91"/>
      <c r="CB324" s="97"/>
      <c r="CC324" s="8"/>
      <c r="CD324" s="91"/>
      <c r="CE324" s="98"/>
      <c r="CF324" s="5"/>
      <c r="DK324" s="89"/>
      <c r="DL324" s="8"/>
      <c r="DM324" s="8"/>
      <c r="DN324" s="8"/>
      <c r="DO324" s="8"/>
      <c r="DP324" s="8"/>
      <c r="DQ324" s="8"/>
      <c r="DR324" s="8"/>
      <c r="DZ324" s="45"/>
      <c r="EA324" s="89"/>
      <c r="EB324" s="89"/>
      <c r="EC324" s="89"/>
      <c r="ED324" s="89"/>
      <c r="EE324" s="89"/>
      <c r="EF324" s="89"/>
      <c r="EG324" s="89"/>
      <c r="EH324" s="89"/>
      <c r="EI324" s="89"/>
      <c r="EJ324" s="89"/>
      <c r="EK324" s="91"/>
      <c r="EL324" s="66"/>
      <c r="EM324" s="94"/>
      <c r="EN324" s="94"/>
      <c r="EO324" s="92"/>
      <c r="EP324" s="93"/>
      <c r="EQ324" s="23"/>
      <c r="ER324" s="94"/>
      <c r="ES324" s="94"/>
      <c r="ET324" s="94"/>
      <c r="EU324" s="94"/>
      <c r="EV324" s="95"/>
      <c r="EW324" s="91"/>
      <c r="EX324" s="95"/>
      <c r="EY324" s="8"/>
      <c r="EZ324" s="96"/>
      <c r="FA324" s="91"/>
      <c r="FB324" s="97"/>
      <c r="FC324" s="8"/>
      <c r="FD324" s="91"/>
      <c r="FE324" s="98"/>
      <c r="FF324" s="5"/>
    </row>
    <row r="325" spans="37:162">
      <c r="AK325" s="89"/>
      <c r="AL325" s="8"/>
      <c r="AM325" s="8"/>
      <c r="AN325" s="8"/>
      <c r="AO325" s="8"/>
      <c r="AP325" s="8"/>
      <c r="AQ325" s="8"/>
      <c r="AR325" s="8"/>
      <c r="AZ325" s="45"/>
      <c r="BA325" s="89"/>
      <c r="BB325" s="89"/>
      <c r="BC325" s="89"/>
      <c r="BD325" s="89"/>
      <c r="BE325" s="89"/>
      <c r="BF325" s="89"/>
      <c r="BG325" s="89"/>
      <c r="BH325" s="89"/>
      <c r="BI325" s="89"/>
      <c r="BJ325" s="89"/>
      <c r="BK325" s="91"/>
      <c r="BL325" s="66"/>
      <c r="BM325" s="94"/>
      <c r="BN325" s="94"/>
      <c r="BO325" s="92"/>
      <c r="BP325" s="93"/>
      <c r="BQ325" s="23"/>
      <c r="BR325" s="94"/>
      <c r="BS325" s="94"/>
      <c r="BT325" s="94"/>
      <c r="BU325" s="94"/>
      <c r="BV325" s="95"/>
      <c r="BW325" s="91"/>
      <c r="BX325" s="95"/>
      <c r="BY325" s="8"/>
      <c r="BZ325" s="96"/>
      <c r="CA325" s="91"/>
      <c r="CB325" s="97"/>
      <c r="CC325" s="8"/>
      <c r="CD325" s="91"/>
      <c r="CE325" s="98"/>
      <c r="CF325" s="5"/>
      <c r="DK325" s="89"/>
      <c r="DL325" s="8"/>
      <c r="DM325" s="8"/>
      <c r="DN325" s="8"/>
      <c r="DO325" s="8"/>
      <c r="DP325" s="8"/>
      <c r="DQ325" s="8"/>
      <c r="DR325" s="8"/>
      <c r="DZ325" s="45"/>
      <c r="EA325" s="89"/>
      <c r="EB325" s="89"/>
      <c r="EC325" s="89"/>
      <c r="ED325" s="89"/>
      <c r="EE325" s="89"/>
      <c r="EF325" s="89"/>
      <c r="EG325" s="89"/>
      <c r="EH325" s="89"/>
      <c r="EI325" s="89"/>
      <c r="EJ325" s="89"/>
      <c r="EK325" s="91"/>
      <c r="EL325" s="66"/>
      <c r="EM325" s="94"/>
      <c r="EN325" s="94"/>
      <c r="EO325" s="92"/>
      <c r="EP325" s="93"/>
      <c r="EQ325" s="23"/>
      <c r="ER325" s="94"/>
      <c r="ES325" s="94"/>
      <c r="ET325" s="94"/>
      <c r="EU325" s="94"/>
      <c r="EV325" s="95"/>
      <c r="EW325" s="91"/>
      <c r="EX325" s="95"/>
      <c r="EY325" s="8"/>
      <c r="EZ325" s="96"/>
      <c r="FA325" s="91"/>
      <c r="FB325" s="97"/>
      <c r="FC325" s="8"/>
      <c r="FD325" s="91"/>
      <c r="FE325" s="98"/>
      <c r="FF325" s="5"/>
    </row>
    <row r="326" spans="37:162">
      <c r="AK326" s="89"/>
      <c r="AL326" s="8"/>
      <c r="AM326" s="8"/>
      <c r="AN326" s="8"/>
      <c r="AO326" s="8"/>
      <c r="AP326" s="8"/>
      <c r="AQ326" s="8"/>
      <c r="AR326" s="8"/>
      <c r="AZ326" s="45"/>
      <c r="BA326" s="89"/>
      <c r="BB326" s="89"/>
      <c r="BC326" s="89"/>
      <c r="BD326" s="89"/>
      <c r="BE326" s="89"/>
      <c r="BF326" s="89"/>
      <c r="BG326" s="89"/>
      <c r="BH326" s="89"/>
      <c r="BI326" s="89"/>
      <c r="BJ326" s="89"/>
      <c r="BK326" s="91"/>
      <c r="BL326" s="66"/>
      <c r="BM326" s="94"/>
      <c r="BN326" s="94"/>
      <c r="BO326" s="92"/>
      <c r="BP326" s="93"/>
      <c r="BQ326" s="23"/>
      <c r="BR326" s="94"/>
      <c r="BS326" s="94"/>
      <c r="BT326" s="94"/>
      <c r="BU326" s="94"/>
      <c r="BV326" s="95"/>
      <c r="BW326" s="91"/>
      <c r="BX326" s="95"/>
      <c r="BY326" s="8"/>
      <c r="BZ326" s="96"/>
      <c r="CA326" s="91"/>
      <c r="CB326" s="97"/>
      <c r="CC326" s="8"/>
      <c r="CD326" s="91"/>
      <c r="CE326" s="98"/>
      <c r="CF326" s="5"/>
      <c r="DK326" s="89"/>
      <c r="DL326" s="8"/>
      <c r="DM326" s="8"/>
      <c r="DN326" s="8"/>
      <c r="DO326" s="8"/>
      <c r="DP326" s="8"/>
      <c r="DQ326" s="8"/>
      <c r="DR326" s="8"/>
      <c r="DZ326" s="45"/>
      <c r="EA326" s="89"/>
      <c r="EB326" s="89"/>
      <c r="EC326" s="89"/>
      <c r="ED326" s="89"/>
      <c r="EE326" s="89"/>
      <c r="EF326" s="89"/>
      <c r="EG326" s="89"/>
      <c r="EH326" s="89"/>
      <c r="EI326" s="89"/>
      <c r="EJ326" s="89"/>
      <c r="EK326" s="91"/>
      <c r="EL326" s="66"/>
      <c r="EM326" s="94"/>
      <c r="EN326" s="94"/>
      <c r="EO326" s="92"/>
      <c r="EP326" s="93"/>
      <c r="EQ326" s="23"/>
      <c r="ER326" s="94"/>
      <c r="ES326" s="94"/>
      <c r="ET326" s="94"/>
      <c r="EU326" s="94"/>
      <c r="EV326" s="95"/>
      <c r="EW326" s="91"/>
      <c r="EX326" s="95"/>
      <c r="EY326" s="8"/>
      <c r="EZ326" s="96"/>
      <c r="FA326" s="91"/>
      <c r="FB326" s="97"/>
      <c r="FC326" s="8"/>
      <c r="FD326" s="91"/>
      <c r="FE326" s="98"/>
      <c r="FF326" s="5"/>
    </row>
    <row r="327" spans="37:162">
      <c r="AK327" s="89"/>
      <c r="AL327" s="8"/>
      <c r="AM327" s="8"/>
      <c r="AN327" s="8"/>
      <c r="AO327" s="8"/>
      <c r="AP327" s="8"/>
      <c r="AQ327" s="8"/>
      <c r="AR327" s="8"/>
      <c r="AZ327" s="45"/>
      <c r="BA327" s="89"/>
      <c r="BB327" s="89"/>
      <c r="BC327" s="89"/>
      <c r="BD327" s="89"/>
      <c r="BE327" s="89"/>
      <c r="BF327" s="89"/>
      <c r="BG327" s="89"/>
      <c r="BH327" s="89"/>
      <c r="BI327" s="89"/>
      <c r="BJ327" s="89"/>
      <c r="BK327" s="91"/>
      <c r="BL327" s="66"/>
      <c r="BM327" s="94"/>
      <c r="BN327" s="94"/>
      <c r="BO327" s="92"/>
      <c r="BP327" s="93"/>
      <c r="BQ327" s="23"/>
      <c r="BR327" s="94"/>
      <c r="BS327" s="94"/>
      <c r="BT327" s="94"/>
      <c r="BU327" s="94"/>
      <c r="BV327" s="95"/>
      <c r="BW327" s="91"/>
      <c r="BX327" s="95"/>
      <c r="BY327" s="8"/>
      <c r="BZ327" s="96"/>
      <c r="CA327" s="91"/>
      <c r="CB327" s="97"/>
      <c r="CC327" s="8"/>
      <c r="CD327" s="91"/>
      <c r="CE327" s="98"/>
      <c r="CF327" s="5"/>
      <c r="DK327" s="89"/>
      <c r="DL327" s="8"/>
      <c r="DM327" s="8"/>
      <c r="DN327" s="8"/>
      <c r="DO327" s="8"/>
      <c r="DP327" s="8"/>
      <c r="DQ327" s="8"/>
      <c r="DR327" s="8"/>
      <c r="DZ327" s="45"/>
      <c r="EA327" s="89"/>
      <c r="EB327" s="89"/>
      <c r="EC327" s="89"/>
      <c r="ED327" s="89"/>
      <c r="EE327" s="89"/>
      <c r="EF327" s="89"/>
      <c r="EG327" s="89"/>
      <c r="EH327" s="89"/>
      <c r="EI327" s="89"/>
      <c r="EJ327" s="89"/>
      <c r="EK327" s="91"/>
      <c r="EL327" s="66"/>
      <c r="EM327" s="94"/>
      <c r="EN327" s="94"/>
      <c r="EO327" s="92"/>
      <c r="EP327" s="93"/>
      <c r="EQ327" s="23"/>
      <c r="ER327" s="94"/>
      <c r="ES327" s="94"/>
      <c r="ET327" s="94"/>
      <c r="EU327" s="94"/>
      <c r="EV327" s="95"/>
      <c r="EW327" s="91"/>
      <c r="EX327" s="95"/>
      <c r="EY327" s="8"/>
      <c r="EZ327" s="96"/>
      <c r="FA327" s="91"/>
      <c r="FB327" s="97"/>
      <c r="FC327" s="8"/>
      <c r="FD327" s="91"/>
      <c r="FE327" s="98"/>
      <c r="FF327" s="5"/>
    </row>
    <row r="328" spans="37:162">
      <c r="AK328" s="89"/>
      <c r="AL328" s="8"/>
      <c r="AM328" s="8"/>
      <c r="AN328" s="8"/>
      <c r="AO328" s="8"/>
      <c r="AP328" s="8"/>
      <c r="AQ328" s="8"/>
      <c r="AR328" s="8"/>
      <c r="AZ328" s="45"/>
      <c r="BA328" s="89"/>
      <c r="BB328" s="89"/>
      <c r="BC328" s="89"/>
      <c r="BD328" s="89"/>
      <c r="BE328" s="89"/>
      <c r="BF328" s="89"/>
      <c r="BG328" s="89"/>
      <c r="BH328" s="89"/>
      <c r="BI328" s="89"/>
      <c r="BJ328" s="89"/>
      <c r="BK328" s="91"/>
      <c r="BL328" s="66"/>
      <c r="BM328" s="94"/>
      <c r="BN328" s="94"/>
      <c r="BO328" s="92"/>
      <c r="BP328" s="93"/>
      <c r="BQ328" s="23"/>
      <c r="BR328" s="94"/>
      <c r="BS328" s="94"/>
      <c r="BT328" s="94"/>
      <c r="BU328" s="94"/>
      <c r="BV328" s="95"/>
      <c r="BW328" s="91"/>
      <c r="BX328" s="95"/>
      <c r="BY328" s="8"/>
      <c r="BZ328" s="96"/>
      <c r="CA328" s="91"/>
      <c r="CB328" s="97"/>
      <c r="CC328" s="8"/>
      <c r="CD328" s="91"/>
      <c r="CE328" s="98"/>
      <c r="CF328" s="5"/>
      <c r="DK328" s="89"/>
      <c r="DL328" s="8"/>
      <c r="DM328" s="8"/>
      <c r="DN328" s="8"/>
      <c r="DO328" s="8"/>
      <c r="DP328" s="8"/>
      <c r="DQ328" s="8"/>
      <c r="DR328" s="8"/>
      <c r="DZ328" s="45"/>
      <c r="EA328" s="89"/>
      <c r="EB328" s="89"/>
      <c r="EC328" s="89"/>
      <c r="ED328" s="89"/>
      <c r="EE328" s="89"/>
      <c r="EF328" s="89"/>
      <c r="EG328" s="89"/>
      <c r="EH328" s="89"/>
      <c r="EI328" s="89"/>
      <c r="EJ328" s="89"/>
      <c r="EK328" s="91"/>
      <c r="EL328" s="66"/>
      <c r="EM328" s="94"/>
      <c r="EN328" s="94"/>
      <c r="EO328" s="92"/>
      <c r="EP328" s="93"/>
      <c r="EQ328" s="23"/>
      <c r="ER328" s="94"/>
      <c r="ES328" s="94"/>
      <c r="ET328" s="94"/>
      <c r="EU328" s="94"/>
      <c r="EV328" s="95"/>
      <c r="EW328" s="91"/>
      <c r="EX328" s="95"/>
      <c r="EY328" s="8"/>
      <c r="EZ328" s="96"/>
      <c r="FA328" s="91"/>
      <c r="FB328" s="97"/>
      <c r="FC328" s="8"/>
      <c r="FD328" s="91"/>
      <c r="FE328" s="98"/>
      <c r="FF328" s="5"/>
    </row>
    <row r="329" spans="37:162">
      <c r="AK329" s="89"/>
      <c r="AL329" s="8"/>
      <c r="AM329" s="8"/>
      <c r="AN329" s="8"/>
      <c r="AO329" s="8"/>
      <c r="AP329" s="8"/>
      <c r="AQ329" s="8"/>
      <c r="AR329" s="8"/>
      <c r="AZ329" s="45"/>
      <c r="BA329" s="89"/>
      <c r="BB329" s="89"/>
      <c r="BC329" s="89"/>
      <c r="BD329" s="89"/>
      <c r="BE329" s="89"/>
      <c r="BF329" s="89"/>
      <c r="BG329" s="89"/>
      <c r="BH329" s="89"/>
      <c r="BI329" s="89"/>
      <c r="BJ329" s="89"/>
      <c r="BK329" s="91"/>
      <c r="BL329" s="66"/>
      <c r="BM329" s="94"/>
      <c r="BN329" s="94"/>
      <c r="BO329" s="92"/>
      <c r="BP329" s="93"/>
      <c r="BQ329" s="23"/>
      <c r="BR329" s="94"/>
      <c r="BS329" s="94"/>
      <c r="BT329" s="94"/>
      <c r="BU329" s="94"/>
      <c r="BV329" s="95"/>
      <c r="BW329" s="91"/>
      <c r="BX329" s="95"/>
      <c r="BY329" s="8"/>
      <c r="BZ329" s="96"/>
      <c r="CA329" s="91"/>
      <c r="CB329" s="97"/>
      <c r="CC329" s="8"/>
      <c r="CD329" s="91"/>
      <c r="CE329" s="98"/>
      <c r="CF329" s="5"/>
      <c r="DK329" s="89"/>
      <c r="DL329" s="8"/>
      <c r="DM329" s="8"/>
      <c r="DN329" s="8"/>
      <c r="DO329" s="8"/>
      <c r="DP329" s="8"/>
      <c r="DQ329" s="8"/>
      <c r="DR329" s="8"/>
      <c r="DZ329" s="45"/>
      <c r="EA329" s="89"/>
      <c r="EB329" s="89"/>
      <c r="EC329" s="89"/>
      <c r="ED329" s="89"/>
      <c r="EE329" s="89"/>
      <c r="EF329" s="89"/>
      <c r="EG329" s="89"/>
      <c r="EH329" s="89"/>
      <c r="EI329" s="89"/>
      <c r="EJ329" s="89"/>
      <c r="EK329" s="91"/>
      <c r="EL329" s="66"/>
      <c r="EM329" s="94"/>
      <c r="EN329" s="94"/>
      <c r="EO329" s="92"/>
      <c r="EP329" s="93"/>
      <c r="EQ329" s="23"/>
      <c r="ER329" s="94"/>
      <c r="ES329" s="94"/>
      <c r="ET329" s="94"/>
      <c r="EU329" s="94"/>
      <c r="EV329" s="95"/>
      <c r="EW329" s="91"/>
      <c r="EX329" s="95"/>
      <c r="EY329" s="8"/>
      <c r="EZ329" s="96"/>
      <c r="FA329" s="91"/>
      <c r="FB329" s="97"/>
      <c r="FC329" s="8"/>
      <c r="FD329" s="91"/>
      <c r="FE329" s="98"/>
      <c r="FF329" s="5"/>
    </row>
    <row r="330" spans="37:162">
      <c r="AK330" s="89"/>
      <c r="AL330" s="8"/>
      <c r="AM330" s="8"/>
      <c r="AN330" s="8"/>
      <c r="AO330" s="8"/>
      <c r="AP330" s="8"/>
      <c r="AQ330" s="8"/>
      <c r="AR330" s="8"/>
      <c r="AZ330" s="45"/>
      <c r="BA330" s="89"/>
      <c r="BB330" s="89"/>
      <c r="BC330" s="89"/>
      <c r="BD330" s="89"/>
      <c r="BE330" s="89"/>
      <c r="BF330" s="89"/>
      <c r="BG330" s="89"/>
      <c r="BH330" s="89"/>
      <c r="BI330" s="89"/>
      <c r="BJ330" s="89"/>
      <c r="BK330" s="91"/>
      <c r="BL330" s="66"/>
      <c r="BM330" s="94"/>
      <c r="BN330" s="94"/>
      <c r="BO330" s="92"/>
      <c r="BP330" s="93"/>
      <c r="BQ330" s="23"/>
      <c r="BR330" s="94"/>
      <c r="BS330" s="94"/>
      <c r="BT330" s="94"/>
      <c r="BU330" s="94"/>
      <c r="BV330" s="95"/>
      <c r="BW330" s="91"/>
      <c r="BX330" s="95"/>
      <c r="BY330" s="8"/>
      <c r="BZ330" s="96"/>
      <c r="CA330" s="91"/>
      <c r="CB330" s="97"/>
      <c r="CC330" s="8"/>
      <c r="CD330" s="91"/>
      <c r="CE330" s="98"/>
      <c r="CF330" s="5"/>
      <c r="DK330" s="89"/>
      <c r="DL330" s="8"/>
      <c r="DM330" s="8"/>
      <c r="DN330" s="8"/>
      <c r="DO330" s="8"/>
      <c r="DP330" s="8"/>
      <c r="DQ330" s="8"/>
      <c r="DR330" s="8"/>
      <c r="DZ330" s="45"/>
      <c r="EA330" s="89"/>
      <c r="EB330" s="89"/>
      <c r="EC330" s="89"/>
      <c r="ED330" s="89"/>
      <c r="EE330" s="89"/>
      <c r="EF330" s="89"/>
      <c r="EG330" s="89"/>
      <c r="EH330" s="89"/>
      <c r="EI330" s="89"/>
      <c r="EJ330" s="89"/>
      <c r="EK330" s="91"/>
      <c r="EL330" s="66"/>
      <c r="EM330" s="94"/>
      <c r="EN330" s="94"/>
      <c r="EO330" s="92"/>
      <c r="EP330" s="93"/>
      <c r="EQ330" s="23"/>
      <c r="ER330" s="94"/>
      <c r="ES330" s="94"/>
      <c r="ET330" s="94"/>
      <c r="EU330" s="94"/>
      <c r="EV330" s="95"/>
      <c r="EW330" s="91"/>
      <c r="EX330" s="95"/>
      <c r="EY330" s="8"/>
      <c r="EZ330" s="96"/>
      <c r="FA330" s="91"/>
      <c r="FB330" s="97"/>
      <c r="FC330" s="8"/>
      <c r="FD330" s="91"/>
      <c r="FE330" s="98"/>
      <c r="FF330" s="5"/>
    </row>
    <row r="331" spans="37:162">
      <c r="AK331" s="89"/>
      <c r="AL331" s="8"/>
      <c r="AM331" s="8"/>
      <c r="AN331" s="8"/>
      <c r="AO331" s="8"/>
      <c r="AP331" s="8"/>
      <c r="AQ331" s="8"/>
      <c r="AR331" s="8"/>
      <c r="AZ331" s="45"/>
      <c r="BA331" s="89"/>
      <c r="BB331" s="89"/>
      <c r="BC331" s="89"/>
      <c r="BD331" s="89"/>
      <c r="BE331" s="89"/>
      <c r="BF331" s="89"/>
      <c r="BG331" s="89"/>
      <c r="BH331" s="89"/>
      <c r="BI331" s="89"/>
      <c r="BJ331" s="89"/>
      <c r="BK331" s="91"/>
      <c r="BL331" s="66"/>
      <c r="BM331" s="94"/>
      <c r="BN331" s="94"/>
      <c r="BO331" s="92"/>
      <c r="BP331" s="93"/>
      <c r="BQ331" s="23"/>
      <c r="BR331" s="94"/>
      <c r="BS331" s="94"/>
      <c r="BT331" s="94"/>
      <c r="BU331" s="94"/>
      <c r="BV331" s="95"/>
      <c r="BW331" s="91"/>
      <c r="BX331" s="95"/>
      <c r="BY331" s="8"/>
      <c r="BZ331" s="96"/>
      <c r="CA331" s="91"/>
      <c r="CB331" s="97"/>
      <c r="CC331" s="8"/>
      <c r="CD331" s="91"/>
      <c r="CE331" s="98"/>
      <c r="CF331" s="5"/>
      <c r="DK331" s="89"/>
      <c r="DL331" s="8"/>
      <c r="DM331" s="8"/>
      <c r="DN331" s="8"/>
      <c r="DO331" s="8"/>
      <c r="DP331" s="8"/>
      <c r="DQ331" s="8"/>
      <c r="DR331" s="8"/>
      <c r="DZ331" s="45"/>
      <c r="EA331" s="89"/>
      <c r="EB331" s="89"/>
      <c r="EC331" s="89"/>
      <c r="ED331" s="89"/>
      <c r="EE331" s="89"/>
      <c r="EF331" s="89"/>
      <c r="EG331" s="89"/>
      <c r="EH331" s="89"/>
      <c r="EI331" s="89"/>
      <c r="EJ331" s="89"/>
      <c r="EK331" s="91"/>
      <c r="EL331" s="66"/>
      <c r="EM331" s="94"/>
      <c r="EN331" s="94"/>
      <c r="EO331" s="92"/>
      <c r="EP331" s="93"/>
      <c r="EQ331" s="23"/>
      <c r="ER331" s="94"/>
      <c r="ES331" s="94"/>
      <c r="ET331" s="94"/>
      <c r="EU331" s="94"/>
      <c r="EV331" s="95"/>
      <c r="EW331" s="91"/>
      <c r="EX331" s="95"/>
      <c r="EY331" s="8"/>
      <c r="EZ331" s="96"/>
      <c r="FA331" s="91"/>
      <c r="FB331" s="97"/>
      <c r="FC331" s="8"/>
      <c r="FD331" s="91"/>
      <c r="FE331" s="98"/>
      <c r="FF331" s="5"/>
    </row>
    <row r="332" spans="37:162">
      <c r="AK332" s="89"/>
      <c r="AL332" s="8"/>
      <c r="AM332" s="8"/>
      <c r="AN332" s="8"/>
      <c r="AO332" s="8"/>
      <c r="AP332" s="8"/>
      <c r="AQ332" s="8"/>
      <c r="AR332" s="8"/>
      <c r="AZ332" s="45"/>
      <c r="BA332" s="89"/>
      <c r="BB332" s="89"/>
      <c r="BC332" s="89"/>
      <c r="BD332" s="89"/>
      <c r="BE332" s="89"/>
      <c r="BF332" s="89"/>
      <c r="BG332" s="89"/>
      <c r="BH332" s="89"/>
      <c r="BI332" s="89"/>
      <c r="BJ332" s="89"/>
      <c r="BK332" s="91"/>
      <c r="BL332" s="66"/>
      <c r="BM332" s="94"/>
      <c r="BN332" s="94"/>
      <c r="BO332" s="92"/>
      <c r="BP332" s="93"/>
      <c r="BQ332" s="23"/>
      <c r="BR332" s="94"/>
      <c r="BS332" s="94"/>
      <c r="BT332" s="94"/>
      <c r="BU332" s="94"/>
      <c r="BV332" s="95"/>
      <c r="BW332" s="91"/>
      <c r="BX332" s="95"/>
      <c r="BY332" s="8"/>
      <c r="BZ332" s="96"/>
      <c r="CA332" s="91"/>
      <c r="CB332" s="97"/>
      <c r="CC332" s="8"/>
      <c r="CD332" s="91"/>
      <c r="CE332" s="98"/>
      <c r="CF332" s="5"/>
      <c r="DK332" s="89"/>
      <c r="DL332" s="8"/>
      <c r="DM332" s="8"/>
      <c r="DN332" s="8"/>
      <c r="DO332" s="8"/>
      <c r="DP332" s="8"/>
      <c r="DQ332" s="8"/>
      <c r="DR332" s="8"/>
      <c r="DZ332" s="45"/>
      <c r="EA332" s="89"/>
      <c r="EB332" s="89"/>
      <c r="EC332" s="89"/>
      <c r="ED332" s="89"/>
      <c r="EE332" s="89"/>
      <c r="EF332" s="89"/>
      <c r="EG332" s="89"/>
      <c r="EH332" s="89"/>
      <c r="EI332" s="89"/>
      <c r="EJ332" s="89"/>
      <c r="EK332" s="91"/>
      <c r="EL332" s="66"/>
      <c r="EM332" s="94"/>
      <c r="EN332" s="94"/>
      <c r="EO332" s="92"/>
      <c r="EP332" s="93"/>
      <c r="EQ332" s="23"/>
      <c r="ER332" s="94"/>
      <c r="ES332" s="94"/>
      <c r="ET332" s="94"/>
      <c r="EU332" s="94"/>
      <c r="EV332" s="95"/>
      <c r="EW332" s="91"/>
      <c r="EX332" s="95"/>
      <c r="EY332" s="8"/>
      <c r="EZ332" s="96"/>
      <c r="FA332" s="91"/>
      <c r="FB332" s="97"/>
      <c r="FC332" s="8"/>
      <c r="FD332" s="91"/>
      <c r="FE332" s="98"/>
      <c r="FF332" s="5"/>
    </row>
    <row r="333" spans="37:162">
      <c r="AK333" s="89"/>
      <c r="AL333" s="8"/>
      <c r="AM333" s="8"/>
      <c r="AN333" s="8"/>
      <c r="AO333" s="8"/>
      <c r="AP333" s="8"/>
      <c r="AQ333" s="8"/>
      <c r="AR333" s="8"/>
      <c r="AZ333" s="45"/>
      <c r="BA333" s="89"/>
      <c r="BB333" s="89"/>
      <c r="BC333" s="89"/>
      <c r="BD333" s="89"/>
      <c r="BE333" s="89"/>
      <c r="BF333" s="89"/>
      <c r="BG333" s="89"/>
      <c r="BH333" s="89"/>
      <c r="BI333" s="89"/>
      <c r="BJ333" s="89"/>
      <c r="BK333" s="91"/>
      <c r="BL333" s="66"/>
      <c r="BM333" s="94"/>
      <c r="BN333" s="94"/>
      <c r="BO333" s="92"/>
      <c r="BP333" s="93"/>
      <c r="BQ333" s="23"/>
      <c r="BR333" s="94"/>
      <c r="BS333" s="94"/>
      <c r="BT333" s="94"/>
      <c r="BU333" s="94"/>
      <c r="BV333" s="95"/>
      <c r="BW333" s="91"/>
      <c r="BX333" s="95"/>
      <c r="BY333" s="8"/>
      <c r="BZ333" s="96"/>
      <c r="CA333" s="91"/>
      <c r="CB333" s="97"/>
      <c r="CC333" s="8"/>
      <c r="CD333" s="91"/>
      <c r="CE333" s="98"/>
      <c r="CF333" s="5"/>
      <c r="DK333" s="89"/>
      <c r="DL333" s="8"/>
      <c r="DM333" s="8"/>
      <c r="DN333" s="8"/>
      <c r="DO333" s="8"/>
      <c r="DP333" s="8"/>
      <c r="DQ333" s="8"/>
      <c r="DR333" s="8"/>
      <c r="DZ333" s="45"/>
      <c r="EA333" s="89"/>
      <c r="EB333" s="89"/>
      <c r="EC333" s="89"/>
      <c r="ED333" s="89"/>
      <c r="EE333" s="89"/>
      <c r="EF333" s="89"/>
      <c r="EG333" s="89"/>
      <c r="EH333" s="89"/>
      <c r="EI333" s="89"/>
      <c r="EJ333" s="89"/>
      <c r="EK333" s="91"/>
      <c r="EL333" s="66"/>
      <c r="EM333" s="94"/>
      <c r="EN333" s="94"/>
      <c r="EO333" s="92"/>
      <c r="EP333" s="93"/>
      <c r="EQ333" s="23"/>
      <c r="ER333" s="94"/>
      <c r="ES333" s="94"/>
      <c r="ET333" s="94"/>
      <c r="EU333" s="94"/>
      <c r="EV333" s="95"/>
      <c r="EW333" s="91"/>
      <c r="EX333" s="95"/>
      <c r="EY333" s="8"/>
      <c r="EZ333" s="96"/>
      <c r="FA333" s="91"/>
      <c r="FB333" s="97"/>
      <c r="FC333" s="8"/>
      <c r="FD333" s="91"/>
      <c r="FE333" s="98"/>
      <c r="FF333" s="5"/>
    </row>
    <row r="334" spans="37:162">
      <c r="AK334" s="89"/>
      <c r="AL334" s="8"/>
      <c r="AM334" s="8"/>
      <c r="AN334" s="8"/>
      <c r="AO334" s="8"/>
      <c r="AP334" s="8"/>
      <c r="AQ334" s="8"/>
      <c r="AR334" s="8"/>
      <c r="AZ334" s="45"/>
      <c r="BA334" s="89"/>
      <c r="BB334" s="89"/>
      <c r="BC334" s="89"/>
      <c r="BD334" s="89"/>
      <c r="BE334" s="89"/>
      <c r="BF334" s="89"/>
      <c r="BG334" s="89"/>
      <c r="BH334" s="89"/>
      <c r="BI334" s="89"/>
      <c r="BJ334" s="89"/>
      <c r="BK334" s="91"/>
      <c r="BL334" s="66"/>
      <c r="BM334" s="94"/>
      <c r="BN334" s="94"/>
      <c r="BO334" s="92"/>
      <c r="BP334" s="93"/>
      <c r="BQ334" s="23"/>
      <c r="BR334" s="94"/>
      <c r="BS334" s="94"/>
      <c r="BT334" s="94"/>
      <c r="BU334" s="94"/>
      <c r="BV334" s="95"/>
      <c r="BW334" s="91"/>
      <c r="BX334" s="95"/>
      <c r="BY334" s="8"/>
      <c r="BZ334" s="96"/>
      <c r="CA334" s="91"/>
      <c r="CB334" s="97"/>
      <c r="CC334" s="8"/>
      <c r="CD334" s="91"/>
      <c r="CE334" s="98"/>
      <c r="CF334" s="5"/>
      <c r="DK334" s="89"/>
      <c r="DL334" s="8"/>
      <c r="DM334" s="8"/>
      <c r="DN334" s="8"/>
      <c r="DO334" s="8"/>
      <c r="DP334" s="8"/>
      <c r="DQ334" s="8"/>
      <c r="DR334" s="8"/>
      <c r="DZ334" s="45"/>
      <c r="EA334" s="89"/>
      <c r="EB334" s="89"/>
      <c r="EC334" s="89"/>
      <c r="ED334" s="89"/>
      <c r="EE334" s="89"/>
      <c r="EF334" s="89"/>
      <c r="EG334" s="89"/>
      <c r="EH334" s="89"/>
      <c r="EI334" s="89"/>
      <c r="EJ334" s="89"/>
      <c r="EK334" s="91"/>
      <c r="EL334" s="66"/>
      <c r="EM334" s="94"/>
      <c r="EN334" s="94"/>
      <c r="EO334" s="92"/>
      <c r="EP334" s="93"/>
      <c r="EQ334" s="23"/>
      <c r="ER334" s="94"/>
      <c r="ES334" s="94"/>
      <c r="ET334" s="94"/>
      <c r="EU334" s="94"/>
      <c r="EV334" s="95"/>
      <c r="EW334" s="91"/>
      <c r="EX334" s="95"/>
      <c r="EY334" s="8"/>
      <c r="EZ334" s="96"/>
      <c r="FA334" s="91"/>
      <c r="FB334" s="97"/>
      <c r="FC334" s="8"/>
      <c r="FD334" s="91"/>
      <c r="FE334" s="98"/>
      <c r="FF334" s="5"/>
    </row>
    <row r="335" spans="37:162">
      <c r="AK335" s="89"/>
      <c r="AL335" s="8"/>
      <c r="AM335" s="8"/>
      <c r="AN335" s="8"/>
      <c r="AO335" s="8"/>
      <c r="AP335" s="8"/>
      <c r="AQ335" s="8"/>
      <c r="AR335" s="8"/>
      <c r="AZ335" s="45"/>
      <c r="BA335" s="89"/>
      <c r="BB335" s="89"/>
      <c r="BC335" s="89"/>
      <c r="BD335" s="89"/>
      <c r="BE335" s="89"/>
      <c r="BF335" s="89"/>
      <c r="BG335" s="89"/>
      <c r="BH335" s="89"/>
      <c r="BI335" s="89"/>
      <c r="BJ335" s="89"/>
      <c r="BK335" s="91"/>
      <c r="BL335" s="66"/>
      <c r="BM335" s="94"/>
      <c r="BN335" s="94"/>
      <c r="BO335" s="92"/>
      <c r="BP335" s="93"/>
      <c r="BQ335" s="23"/>
      <c r="BR335" s="94"/>
      <c r="BS335" s="94"/>
      <c r="BT335" s="94"/>
      <c r="BU335" s="94"/>
      <c r="BV335" s="95"/>
      <c r="BW335" s="91"/>
      <c r="BX335" s="95"/>
      <c r="BY335" s="8"/>
      <c r="BZ335" s="96"/>
      <c r="CA335" s="91"/>
      <c r="CB335" s="97"/>
      <c r="CC335" s="8"/>
      <c r="CD335" s="91"/>
      <c r="CE335" s="98"/>
      <c r="CF335" s="5"/>
      <c r="DK335" s="89"/>
      <c r="DL335" s="8"/>
      <c r="DM335" s="8"/>
      <c r="DN335" s="8"/>
      <c r="DO335" s="8"/>
      <c r="DP335" s="8"/>
      <c r="DQ335" s="8"/>
      <c r="DR335" s="8"/>
      <c r="DZ335" s="45"/>
      <c r="EA335" s="89"/>
      <c r="EB335" s="89"/>
      <c r="EC335" s="89"/>
      <c r="ED335" s="89"/>
      <c r="EE335" s="89"/>
      <c r="EF335" s="89"/>
      <c r="EG335" s="89"/>
      <c r="EH335" s="89"/>
      <c r="EI335" s="89"/>
      <c r="EJ335" s="89"/>
      <c r="EK335" s="91"/>
      <c r="EL335" s="66"/>
      <c r="EM335" s="94"/>
      <c r="EN335" s="94"/>
      <c r="EO335" s="92"/>
      <c r="EP335" s="93"/>
      <c r="EQ335" s="23"/>
      <c r="ER335" s="94"/>
      <c r="ES335" s="94"/>
      <c r="ET335" s="94"/>
      <c r="EU335" s="94"/>
      <c r="EV335" s="95"/>
      <c r="EW335" s="91"/>
      <c r="EX335" s="95"/>
      <c r="EY335" s="8"/>
      <c r="EZ335" s="96"/>
      <c r="FA335" s="91"/>
      <c r="FB335" s="97"/>
      <c r="FC335" s="8"/>
      <c r="FD335" s="91"/>
      <c r="FE335" s="98"/>
      <c r="FF335" s="5"/>
    </row>
    <row r="336" spans="37:162">
      <c r="AK336" s="89"/>
      <c r="AL336" s="8"/>
      <c r="AM336" s="8"/>
      <c r="AN336" s="8"/>
      <c r="AO336" s="8"/>
      <c r="AP336" s="8"/>
      <c r="AQ336" s="8"/>
      <c r="AR336" s="8"/>
      <c r="AZ336" s="45"/>
      <c r="BA336" s="89"/>
      <c r="BB336" s="89"/>
      <c r="BC336" s="89"/>
      <c r="BD336" s="89"/>
      <c r="BE336" s="89"/>
      <c r="BF336" s="89"/>
      <c r="BG336" s="89"/>
      <c r="BH336" s="89"/>
      <c r="BI336" s="89"/>
      <c r="BJ336" s="89"/>
      <c r="BK336" s="91"/>
      <c r="BL336" s="66"/>
      <c r="BM336" s="94"/>
      <c r="BN336" s="94"/>
      <c r="BO336" s="92"/>
      <c r="BP336" s="93"/>
      <c r="BQ336" s="23"/>
      <c r="BR336" s="94"/>
      <c r="BS336" s="94"/>
      <c r="BT336" s="94"/>
      <c r="BU336" s="94"/>
      <c r="BV336" s="95"/>
      <c r="BW336" s="91"/>
      <c r="BX336" s="95"/>
      <c r="BY336" s="8"/>
      <c r="BZ336" s="96"/>
      <c r="CA336" s="91"/>
      <c r="CB336" s="97"/>
      <c r="CC336" s="8"/>
      <c r="CD336" s="91"/>
      <c r="CE336" s="98"/>
      <c r="CF336" s="5"/>
      <c r="DK336" s="89"/>
      <c r="DL336" s="8"/>
      <c r="DM336" s="8"/>
      <c r="DN336" s="8"/>
      <c r="DO336" s="8"/>
      <c r="DP336" s="8"/>
      <c r="DQ336" s="8"/>
      <c r="DR336" s="8"/>
      <c r="DZ336" s="45"/>
      <c r="EA336" s="89"/>
      <c r="EB336" s="89"/>
      <c r="EC336" s="89"/>
      <c r="ED336" s="89"/>
      <c r="EE336" s="89"/>
      <c r="EF336" s="89"/>
      <c r="EG336" s="89"/>
      <c r="EH336" s="89"/>
      <c r="EI336" s="89"/>
      <c r="EJ336" s="89"/>
      <c r="EK336" s="91"/>
      <c r="EL336" s="66"/>
      <c r="EM336" s="94"/>
      <c r="EN336" s="94"/>
      <c r="EO336" s="92"/>
      <c r="EP336" s="93"/>
      <c r="EQ336" s="23"/>
      <c r="ER336" s="94"/>
      <c r="ES336" s="94"/>
      <c r="ET336" s="94"/>
      <c r="EU336" s="94"/>
      <c r="EV336" s="95"/>
      <c r="EW336" s="91"/>
      <c r="EX336" s="95"/>
      <c r="EY336" s="8"/>
      <c r="EZ336" s="96"/>
      <c r="FA336" s="91"/>
      <c r="FB336" s="97"/>
      <c r="FC336" s="8"/>
      <c r="FD336" s="91"/>
      <c r="FE336" s="98"/>
      <c r="FF336" s="5"/>
    </row>
    <row r="337" spans="37:162">
      <c r="AK337" s="89"/>
      <c r="AL337" s="8"/>
      <c r="AM337" s="8"/>
      <c r="AN337" s="8"/>
      <c r="AO337" s="8"/>
      <c r="AP337" s="8"/>
      <c r="AQ337" s="8"/>
      <c r="AR337" s="8"/>
      <c r="AZ337" s="45"/>
      <c r="BA337" s="89"/>
      <c r="BB337" s="89"/>
      <c r="BC337" s="89"/>
      <c r="BD337" s="89"/>
      <c r="BE337" s="89"/>
      <c r="BF337" s="89"/>
      <c r="BG337" s="89"/>
      <c r="BH337" s="89"/>
      <c r="BI337" s="89"/>
      <c r="BJ337" s="89"/>
      <c r="BK337" s="91"/>
      <c r="BL337" s="66"/>
      <c r="BM337" s="94"/>
      <c r="BN337" s="94"/>
      <c r="BO337" s="92"/>
      <c r="BP337" s="93"/>
      <c r="BQ337" s="23"/>
      <c r="BR337" s="94"/>
      <c r="BS337" s="94"/>
      <c r="BT337" s="94"/>
      <c r="BU337" s="94"/>
      <c r="BV337" s="95"/>
      <c r="BW337" s="91"/>
      <c r="BX337" s="95"/>
      <c r="BY337" s="8"/>
      <c r="BZ337" s="96"/>
      <c r="CA337" s="91"/>
      <c r="CB337" s="97"/>
      <c r="CC337" s="8"/>
      <c r="CD337" s="91"/>
      <c r="CE337" s="98"/>
      <c r="CF337" s="5"/>
      <c r="DK337" s="89"/>
      <c r="DL337" s="8"/>
      <c r="DM337" s="8"/>
      <c r="DN337" s="8"/>
      <c r="DO337" s="8"/>
      <c r="DP337" s="8"/>
      <c r="DQ337" s="8"/>
      <c r="DR337" s="8"/>
      <c r="DZ337" s="45"/>
      <c r="EA337" s="89"/>
      <c r="EB337" s="89"/>
      <c r="EC337" s="89"/>
      <c r="ED337" s="89"/>
      <c r="EE337" s="89"/>
      <c r="EF337" s="89"/>
      <c r="EG337" s="89"/>
      <c r="EH337" s="89"/>
      <c r="EI337" s="89"/>
      <c r="EJ337" s="89"/>
      <c r="EK337" s="91"/>
      <c r="EL337" s="66"/>
      <c r="EM337" s="94"/>
      <c r="EN337" s="94"/>
      <c r="EO337" s="92"/>
      <c r="EP337" s="93"/>
      <c r="EQ337" s="23"/>
      <c r="ER337" s="94"/>
      <c r="ES337" s="94"/>
      <c r="ET337" s="94"/>
      <c r="EU337" s="94"/>
      <c r="EV337" s="95"/>
      <c r="EW337" s="91"/>
      <c r="EX337" s="95"/>
      <c r="EY337" s="8"/>
      <c r="EZ337" s="96"/>
      <c r="FA337" s="91"/>
      <c r="FB337" s="97"/>
      <c r="FC337" s="8"/>
      <c r="FD337" s="91"/>
      <c r="FE337" s="98"/>
      <c r="FF337" s="5"/>
    </row>
    <row r="338" spans="37:162">
      <c r="AK338" s="89"/>
      <c r="AL338" s="8"/>
      <c r="AM338" s="8"/>
      <c r="AN338" s="8"/>
      <c r="AO338" s="8"/>
      <c r="AP338" s="8"/>
      <c r="AQ338" s="8"/>
      <c r="AR338" s="8"/>
      <c r="AZ338" s="45"/>
      <c r="BA338" s="89"/>
      <c r="BB338" s="89"/>
      <c r="BC338" s="89"/>
      <c r="BD338" s="89"/>
      <c r="BE338" s="89"/>
      <c r="BF338" s="89"/>
      <c r="BG338" s="89"/>
      <c r="BH338" s="89"/>
      <c r="BI338" s="89"/>
      <c r="BJ338" s="89"/>
      <c r="BK338" s="91"/>
      <c r="BL338" s="66"/>
      <c r="BM338" s="94"/>
      <c r="BN338" s="94"/>
      <c r="BO338" s="92"/>
      <c r="BP338" s="93"/>
      <c r="BQ338" s="23"/>
      <c r="BR338" s="94"/>
      <c r="BS338" s="94"/>
      <c r="BT338" s="94"/>
      <c r="BU338" s="94"/>
      <c r="BV338" s="95"/>
      <c r="BW338" s="91"/>
      <c r="BX338" s="95"/>
      <c r="BY338" s="8"/>
      <c r="BZ338" s="96"/>
      <c r="CA338" s="91"/>
      <c r="CB338" s="97"/>
      <c r="CC338" s="8"/>
      <c r="CD338" s="91"/>
      <c r="CE338" s="98"/>
      <c r="CF338" s="5"/>
      <c r="DK338" s="89"/>
      <c r="DL338" s="8"/>
      <c r="DM338" s="8"/>
      <c r="DN338" s="8"/>
      <c r="DO338" s="8"/>
      <c r="DP338" s="8"/>
      <c r="DQ338" s="8"/>
      <c r="DR338" s="8"/>
      <c r="DZ338" s="45"/>
      <c r="EA338" s="89"/>
      <c r="EB338" s="89"/>
      <c r="EC338" s="89"/>
      <c r="ED338" s="89"/>
      <c r="EE338" s="89"/>
      <c r="EF338" s="89"/>
      <c r="EG338" s="89"/>
      <c r="EH338" s="89"/>
      <c r="EI338" s="89"/>
      <c r="EJ338" s="89"/>
      <c r="EK338" s="91"/>
      <c r="EL338" s="66"/>
      <c r="EM338" s="94"/>
      <c r="EN338" s="94"/>
      <c r="EO338" s="92"/>
      <c r="EP338" s="93"/>
      <c r="EQ338" s="23"/>
      <c r="ER338" s="94"/>
      <c r="ES338" s="94"/>
      <c r="ET338" s="94"/>
      <c r="EU338" s="94"/>
      <c r="EV338" s="95"/>
      <c r="EW338" s="91"/>
      <c r="EX338" s="95"/>
      <c r="EY338" s="8"/>
      <c r="EZ338" s="96"/>
      <c r="FA338" s="91"/>
      <c r="FB338" s="97"/>
      <c r="FC338" s="8"/>
      <c r="FD338" s="91"/>
      <c r="FE338" s="98"/>
      <c r="FF338" s="5"/>
    </row>
    <row r="339" spans="37:162">
      <c r="AK339" s="89"/>
      <c r="AL339" s="8"/>
      <c r="AM339" s="8"/>
      <c r="AN339" s="8"/>
      <c r="AO339" s="8"/>
      <c r="AP339" s="8"/>
      <c r="AQ339" s="8"/>
      <c r="AR339" s="8"/>
      <c r="AZ339" s="45"/>
      <c r="BA339" s="89"/>
      <c r="BB339" s="89"/>
      <c r="BC339" s="89"/>
      <c r="BD339" s="89"/>
      <c r="BE339" s="89"/>
      <c r="BF339" s="89"/>
      <c r="BG339" s="89"/>
      <c r="BH339" s="89"/>
      <c r="BI339" s="89"/>
      <c r="BJ339" s="89"/>
      <c r="BK339" s="91"/>
      <c r="BL339" s="66"/>
      <c r="BM339" s="94"/>
      <c r="BN339" s="94"/>
      <c r="BO339" s="92"/>
      <c r="BP339" s="93"/>
      <c r="BQ339" s="23"/>
      <c r="BR339" s="94"/>
      <c r="BS339" s="94"/>
      <c r="BT339" s="94"/>
      <c r="BU339" s="94"/>
      <c r="BV339" s="95"/>
      <c r="BW339" s="91"/>
      <c r="BX339" s="95"/>
      <c r="BY339" s="8"/>
      <c r="BZ339" s="96"/>
      <c r="CA339" s="91"/>
      <c r="CB339" s="97"/>
      <c r="CC339" s="8"/>
      <c r="CD339" s="91"/>
      <c r="CE339" s="98"/>
      <c r="CF339" s="5"/>
      <c r="DK339" s="89"/>
      <c r="DL339" s="8"/>
      <c r="DM339" s="8"/>
      <c r="DN339" s="8"/>
      <c r="DO339" s="8"/>
      <c r="DP339" s="8"/>
      <c r="DQ339" s="8"/>
      <c r="DR339" s="8"/>
      <c r="DZ339" s="45"/>
      <c r="EA339" s="89"/>
      <c r="EB339" s="89"/>
      <c r="EC339" s="89"/>
      <c r="ED339" s="89"/>
      <c r="EE339" s="89"/>
      <c r="EF339" s="89"/>
      <c r="EG339" s="89"/>
      <c r="EH339" s="89"/>
      <c r="EI339" s="89"/>
      <c r="EJ339" s="89"/>
      <c r="EK339" s="91"/>
      <c r="EL339" s="66"/>
      <c r="EM339" s="94"/>
      <c r="EN339" s="94"/>
      <c r="EO339" s="92"/>
      <c r="EP339" s="93"/>
      <c r="EQ339" s="23"/>
      <c r="ER339" s="94"/>
      <c r="ES339" s="94"/>
      <c r="ET339" s="94"/>
      <c r="EU339" s="94"/>
      <c r="EV339" s="95"/>
      <c r="EW339" s="91"/>
      <c r="EX339" s="95"/>
      <c r="EY339" s="8"/>
      <c r="EZ339" s="96"/>
      <c r="FA339" s="91"/>
      <c r="FB339" s="97"/>
      <c r="FC339" s="8"/>
      <c r="FD339" s="91"/>
      <c r="FE339" s="98"/>
      <c r="FF339" s="5"/>
    </row>
    <row r="340" spans="37:162">
      <c r="AK340" s="89"/>
      <c r="AL340" s="8"/>
      <c r="AM340" s="8"/>
      <c r="AN340" s="8"/>
      <c r="AO340" s="8"/>
      <c r="AP340" s="8"/>
      <c r="AQ340" s="8"/>
      <c r="AR340" s="8"/>
      <c r="AZ340" s="45"/>
      <c r="BA340" s="89"/>
      <c r="BB340" s="89"/>
      <c r="BC340" s="89"/>
      <c r="BD340" s="89"/>
      <c r="BE340" s="89"/>
      <c r="BF340" s="89"/>
      <c r="BG340" s="89"/>
      <c r="BH340" s="89"/>
      <c r="BI340" s="89"/>
      <c r="BJ340" s="89"/>
      <c r="BK340" s="91"/>
      <c r="BL340" s="66"/>
      <c r="BM340" s="94"/>
      <c r="BN340" s="94"/>
      <c r="BO340" s="92"/>
      <c r="BP340" s="93"/>
      <c r="BQ340" s="23"/>
      <c r="BR340" s="94"/>
      <c r="BS340" s="94"/>
      <c r="BT340" s="94"/>
      <c r="BU340" s="94"/>
      <c r="BV340" s="95"/>
      <c r="BW340" s="91"/>
      <c r="BX340" s="95"/>
      <c r="BY340" s="8"/>
      <c r="BZ340" s="96"/>
      <c r="CA340" s="91"/>
      <c r="CB340" s="97"/>
      <c r="CC340" s="8"/>
      <c r="CD340" s="91"/>
      <c r="CE340" s="98"/>
      <c r="CF340" s="5"/>
      <c r="DK340" s="89"/>
      <c r="DL340" s="8"/>
      <c r="DM340" s="8"/>
      <c r="DN340" s="8"/>
      <c r="DO340" s="8"/>
      <c r="DP340" s="8"/>
      <c r="DQ340" s="8"/>
      <c r="DR340" s="8"/>
      <c r="DZ340" s="45"/>
      <c r="EA340" s="89"/>
      <c r="EB340" s="89"/>
      <c r="EC340" s="89"/>
      <c r="ED340" s="89"/>
      <c r="EE340" s="89"/>
      <c r="EF340" s="89"/>
      <c r="EG340" s="89"/>
      <c r="EH340" s="89"/>
      <c r="EI340" s="89"/>
      <c r="EJ340" s="89"/>
      <c r="EK340" s="91"/>
      <c r="EL340" s="66"/>
      <c r="EM340" s="94"/>
      <c r="EN340" s="94"/>
      <c r="EO340" s="92"/>
      <c r="EP340" s="93"/>
      <c r="EQ340" s="23"/>
      <c r="ER340" s="94"/>
      <c r="ES340" s="94"/>
      <c r="ET340" s="94"/>
      <c r="EU340" s="94"/>
      <c r="EV340" s="95"/>
      <c r="EW340" s="91"/>
      <c r="EX340" s="95"/>
      <c r="EY340" s="8"/>
      <c r="EZ340" s="96"/>
      <c r="FA340" s="91"/>
      <c r="FB340" s="97"/>
      <c r="FC340" s="8"/>
      <c r="FD340" s="91"/>
      <c r="FE340" s="98"/>
      <c r="FF340" s="5"/>
    </row>
    <row r="341" spans="37:162">
      <c r="AK341" s="89"/>
      <c r="AL341" s="8"/>
      <c r="AM341" s="8"/>
      <c r="AN341" s="8"/>
      <c r="AO341" s="8"/>
      <c r="AP341" s="8"/>
      <c r="AQ341" s="8"/>
      <c r="AR341" s="8"/>
      <c r="AZ341" s="45"/>
      <c r="BA341" s="89"/>
      <c r="BB341" s="89"/>
      <c r="BC341" s="89"/>
      <c r="BD341" s="89"/>
      <c r="BE341" s="89"/>
      <c r="BF341" s="89"/>
      <c r="BG341" s="89"/>
      <c r="BH341" s="89"/>
      <c r="BI341" s="89"/>
      <c r="BJ341" s="89"/>
      <c r="BK341" s="91"/>
      <c r="BL341" s="66"/>
      <c r="BM341" s="94"/>
      <c r="BN341" s="94"/>
      <c r="BO341" s="92"/>
      <c r="BP341" s="93"/>
      <c r="BQ341" s="23"/>
      <c r="BR341" s="94"/>
      <c r="BS341" s="94"/>
      <c r="BT341" s="94"/>
      <c r="BU341" s="94"/>
      <c r="BV341" s="95"/>
      <c r="BW341" s="91"/>
      <c r="BX341" s="95"/>
      <c r="BY341" s="8"/>
      <c r="BZ341" s="96"/>
      <c r="CA341" s="91"/>
      <c r="CB341" s="97"/>
      <c r="CC341" s="8"/>
      <c r="CD341" s="91"/>
      <c r="CE341" s="98"/>
      <c r="CF341" s="5"/>
      <c r="DK341" s="89"/>
      <c r="DL341" s="8"/>
      <c r="DM341" s="8"/>
      <c r="DN341" s="8"/>
      <c r="DO341" s="8"/>
      <c r="DP341" s="8"/>
      <c r="DQ341" s="8"/>
      <c r="DR341" s="8"/>
      <c r="DZ341" s="45"/>
      <c r="EA341" s="89"/>
      <c r="EB341" s="89"/>
      <c r="EC341" s="89"/>
      <c r="ED341" s="89"/>
      <c r="EE341" s="89"/>
      <c r="EF341" s="89"/>
      <c r="EG341" s="89"/>
      <c r="EH341" s="89"/>
      <c r="EI341" s="89"/>
      <c r="EJ341" s="89"/>
      <c r="EK341" s="91"/>
      <c r="EL341" s="66"/>
      <c r="EM341" s="94"/>
      <c r="EN341" s="94"/>
      <c r="EO341" s="92"/>
      <c r="EP341" s="93"/>
      <c r="EQ341" s="23"/>
      <c r="ER341" s="94"/>
      <c r="ES341" s="94"/>
      <c r="ET341" s="94"/>
      <c r="EU341" s="94"/>
      <c r="EV341" s="95"/>
      <c r="EW341" s="91"/>
      <c r="EX341" s="95"/>
      <c r="EY341" s="8"/>
      <c r="EZ341" s="96"/>
      <c r="FA341" s="91"/>
      <c r="FB341" s="97"/>
      <c r="FC341" s="8"/>
      <c r="FD341" s="91"/>
      <c r="FE341" s="98"/>
      <c r="FF341" s="5"/>
    </row>
    <row r="342" spans="37:162">
      <c r="AK342" s="89"/>
      <c r="AL342" s="8"/>
      <c r="AM342" s="8"/>
      <c r="AN342" s="8"/>
      <c r="AO342" s="8"/>
      <c r="AP342" s="8"/>
      <c r="AQ342" s="8"/>
      <c r="AR342" s="8"/>
      <c r="AZ342" s="45"/>
      <c r="BA342" s="89"/>
      <c r="BB342" s="89"/>
      <c r="BC342" s="89"/>
      <c r="BD342" s="89"/>
      <c r="BE342" s="89"/>
      <c r="BF342" s="89"/>
      <c r="BG342" s="89"/>
      <c r="BH342" s="89"/>
      <c r="BI342" s="89"/>
      <c r="BJ342" s="89"/>
      <c r="BK342" s="91"/>
      <c r="BL342" s="66"/>
      <c r="BM342" s="94"/>
      <c r="BN342" s="94"/>
      <c r="BO342" s="92"/>
      <c r="BP342" s="93"/>
      <c r="BQ342" s="23"/>
      <c r="BR342" s="94"/>
      <c r="BS342" s="94"/>
      <c r="BT342" s="94"/>
      <c r="BU342" s="94"/>
      <c r="BV342" s="95"/>
      <c r="BW342" s="91"/>
      <c r="BX342" s="95"/>
      <c r="BY342" s="8"/>
      <c r="BZ342" s="96"/>
      <c r="CA342" s="91"/>
      <c r="CB342" s="97"/>
      <c r="CC342" s="8"/>
      <c r="CD342" s="91"/>
      <c r="CE342" s="98"/>
      <c r="CF342" s="5"/>
      <c r="DK342" s="89"/>
      <c r="DL342" s="8"/>
      <c r="DM342" s="8"/>
      <c r="DN342" s="8"/>
      <c r="DO342" s="8"/>
      <c r="DP342" s="8"/>
      <c r="DQ342" s="8"/>
      <c r="DR342" s="8"/>
      <c r="DZ342" s="45"/>
      <c r="EA342" s="89"/>
      <c r="EB342" s="89"/>
      <c r="EC342" s="89"/>
      <c r="ED342" s="89"/>
      <c r="EE342" s="89"/>
      <c r="EF342" s="89"/>
      <c r="EG342" s="89"/>
      <c r="EH342" s="89"/>
      <c r="EI342" s="89"/>
      <c r="EJ342" s="89"/>
      <c r="EK342" s="91"/>
      <c r="EL342" s="66"/>
      <c r="EM342" s="94"/>
      <c r="EN342" s="94"/>
      <c r="EO342" s="92"/>
      <c r="EP342" s="93"/>
      <c r="EQ342" s="23"/>
      <c r="ER342" s="94"/>
      <c r="ES342" s="94"/>
      <c r="ET342" s="94"/>
      <c r="EU342" s="94"/>
      <c r="EV342" s="95"/>
      <c r="EW342" s="91"/>
      <c r="EX342" s="95"/>
      <c r="EY342" s="8"/>
      <c r="EZ342" s="96"/>
      <c r="FA342" s="91"/>
      <c r="FB342" s="97"/>
      <c r="FC342" s="8"/>
      <c r="FD342" s="91"/>
      <c r="FE342" s="98"/>
      <c r="FF342" s="5"/>
    </row>
    <row r="343" spans="37:162">
      <c r="AK343" s="89"/>
      <c r="AL343" s="8"/>
      <c r="AM343" s="8"/>
      <c r="AN343" s="8"/>
      <c r="AO343" s="8"/>
      <c r="AP343" s="8"/>
      <c r="AQ343" s="8"/>
      <c r="AR343" s="8"/>
      <c r="AZ343" s="45"/>
      <c r="BA343" s="89"/>
      <c r="BB343" s="89"/>
      <c r="BC343" s="89"/>
      <c r="BD343" s="89"/>
      <c r="BE343" s="89"/>
      <c r="BF343" s="89"/>
      <c r="BG343" s="89"/>
      <c r="BH343" s="89"/>
      <c r="BI343" s="89"/>
      <c r="BJ343" s="89"/>
      <c r="BK343" s="91"/>
      <c r="BL343" s="66"/>
      <c r="BM343" s="94"/>
      <c r="BN343" s="94"/>
      <c r="BO343" s="92"/>
      <c r="BP343" s="93"/>
      <c r="BQ343" s="23"/>
      <c r="BR343" s="94"/>
      <c r="BS343" s="94"/>
      <c r="BT343" s="94"/>
      <c r="BU343" s="94"/>
      <c r="BV343" s="95"/>
      <c r="BW343" s="91"/>
      <c r="BX343" s="95"/>
      <c r="BY343" s="8"/>
      <c r="BZ343" s="96"/>
      <c r="CA343" s="91"/>
      <c r="CB343" s="97"/>
      <c r="CC343" s="8"/>
      <c r="CD343" s="91"/>
      <c r="CE343" s="98"/>
      <c r="CF343" s="5"/>
      <c r="DK343" s="89"/>
      <c r="DL343" s="8"/>
      <c r="DM343" s="8"/>
      <c r="DN343" s="8"/>
      <c r="DO343" s="8"/>
      <c r="DP343" s="8"/>
      <c r="DQ343" s="8"/>
      <c r="DR343" s="8"/>
      <c r="DZ343" s="45"/>
      <c r="EA343" s="89"/>
      <c r="EB343" s="89"/>
      <c r="EC343" s="89"/>
      <c r="ED343" s="89"/>
      <c r="EE343" s="89"/>
      <c r="EF343" s="89"/>
      <c r="EG343" s="89"/>
      <c r="EH343" s="89"/>
      <c r="EI343" s="89"/>
      <c r="EJ343" s="89"/>
      <c r="EK343" s="91"/>
      <c r="EL343" s="66"/>
      <c r="EM343" s="94"/>
      <c r="EN343" s="94"/>
      <c r="EO343" s="92"/>
      <c r="EP343" s="93"/>
      <c r="EQ343" s="23"/>
      <c r="ER343" s="94"/>
      <c r="ES343" s="94"/>
      <c r="ET343" s="94"/>
      <c r="EU343" s="94"/>
      <c r="EV343" s="95"/>
      <c r="EW343" s="91"/>
      <c r="EX343" s="95"/>
      <c r="EY343" s="8"/>
      <c r="EZ343" s="96"/>
      <c r="FA343" s="91"/>
      <c r="FB343" s="97"/>
      <c r="FC343" s="8"/>
      <c r="FD343" s="91"/>
      <c r="FE343" s="98"/>
      <c r="FF343" s="5"/>
    </row>
    <row r="344" spans="37:162">
      <c r="AK344" s="89"/>
      <c r="AL344" s="8"/>
      <c r="AM344" s="8"/>
      <c r="AN344" s="8"/>
      <c r="AO344" s="8"/>
      <c r="AP344" s="8"/>
      <c r="AQ344" s="8"/>
      <c r="AR344" s="8"/>
      <c r="AZ344" s="45"/>
      <c r="BA344" s="89"/>
      <c r="BB344" s="89"/>
      <c r="BC344" s="89"/>
      <c r="BD344" s="89"/>
      <c r="BE344" s="89"/>
      <c r="BF344" s="89"/>
      <c r="BG344" s="89"/>
      <c r="BH344" s="89"/>
      <c r="BI344" s="89"/>
      <c r="BJ344" s="89"/>
      <c r="BK344" s="91"/>
      <c r="BL344" s="66"/>
      <c r="BM344" s="94"/>
      <c r="BN344" s="94"/>
      <c r="BO344" s="92"/>
      <c r="BP344" s="93"/>
      <c r="BQ344" s="23"/>
      <c r="BR344" s="94"/>
      <c r="BS344" s="94"/>
      <c r="BT344" s="94"/>
      <c r="BU344" s="94"/>
      <c r="BV344" s="95"/>
      <c r="BW344" s="91"/>
      <c r="BX344" s="95"/>
      <c r="BY344" s="8"/>
      <c r="BZ344" s="96"/>
      <c r="CA344" s="91"/>
      <c r="CB344" s="97"/>
      <c r="CC344" s="8"/>
      <c r="CD344" s="91"/>
      <c r="CE344" s="98"/>
      <c r="CF344" s="5"/>
      <c r="DK344" s="89"/>
      <c r="DL344" s="8"/>
      <c r="DM344" s="8"/>
      <c r="DN344" s="8"/>
      <c r="DO344" s="8"/>
      <c r="DP344" s="8"/>
      <c r="DQ344" s="8"/>
      <c r="DR344" s="8"/>
      <c r="DZ344" s="45"/>
      <c r="EA344" s="89"/>
      <c r="EB344" s="89"/>
      <c r="EC344" s="89"/>
      <c r="ED344" s="89"/>
      <c r="EE344" s="89"/>
      <c r="EF344" s="89"/>
      <c r="EG344" s="89"/>
      <c r="EH344" s="89"/>
      <c r="EI344" s="89"/>
      <c r="EJ344" s="89"/>
      <c r="EK344" s="91"/>
      <c r="EL344" s="66"/>
      <c r="EM344" s="94"/>
      <c r="EN344" s="94"/>
      <c r="EO344" s="92"/>
      <c r="EP344" s="93"/>
      <c r="EQ344" s="23"/>
      <c r="ER344" s="94"/>
      <c r="ES344" s="94"/>
      <c r="ET344" s="94"/>
      <c r="EU344" s="94"/>
      <c r="EV344" s="95"/>
      <c r="EW344" s="91"/>
      <c r="EX344" s="95"/>
      <c r="EY344" s="8"/>
      <c r="EZ344" s="96"/>
      <c r="FA344" s="91"/>
      <c r="FB344" s="97"/>
      <c r="FC344" s="8"/>
      <c r="FD344" s="91"/>
      <c r="FE344" s="98"/>
      <c r="FF344" s="5"/>
    </row>
    <row r="345" spans="37:162">
      <c r="AK345" s="89"/>
      <c r="AL345" s="8"/>
      <c r="AM345" s="8"/>
      <c r="AN345" s="8"/>
      <c r="AO345" s="8"/>
      <c r="AP345" s="8"/>
      <c r="AQ345" s="8"/>
      <c r="AR345" s="8"/>
      <c r="AZ345" s="45"/>
      <c r="BA345" s="89"/>
      <c r="BB345" s="89"/>
      <c r="BC345" s="89"/>
      <c r="BD345" s="89"/>
      <c r="BE345" s="89"/>
      <c r="BF345" s="89"/>
      <c r="BG345" s="89"/>
      <c r="BH345" s="89"/>
      <c r="BI345" s="89"/>
      <c r="BJ345" s="89"/>
      <c r="BK345" s="91"/>
      <c r="BL345" s="66"/>
      <c r="BM345" s="94"/>
      <c r="BN345" s="94"/>
      <c r="BO345" s="92"/>
      <c r="BP345" s="93"/>
      <c r="BQ345" s="23"/>
      <c r="BR345" s="94"/>
      <c r="BS345" s="94"/>
      <c r="BT345" s="94"/>
      <c r="BU345" s="94"/>
      <c r="BV345" s="95"/>
      <c r="BW345" s="91"/>
      <c r="BX345" s="95"/>
      <c r="BY345" s="8"/>
      <c r="BZ345" s="96"/>
      <c r="CA345" s="91"/>
      <c r="CB345" s="97"/>
      <c r="CC345" s="8"/>
      <c r="CD345" s="91"/>
      <c r="CE345" s="98"/>
      <c r="CF345" s="5"/>
      <c r="DK345" s="89"/>
      <c r="DL345" s="8"/>
      <c r="DM345" s="8"/>
      <c r="DN345" s="8"/>
      <c r="DO345" s="8"/>
      <c r="DP345" s="8"/>
      <c r="DQ345" s="8"/>
      <c r="DR345" s="8"/>
      <c r="DZ345" s="45"/>
      <c r="EA345" s="89"/>
      <c r="EB345" s="89"/>
      <c r="EC345" s="89"/>
      <c r="ED345" s="89"/>
      <c r="EE345" s="89"/>
      <c r="EF345" s="89"/>
      <c r="EG345" s="89"/>
      <c r="EH345" s="89"/>
      <c r="EI345" s="89"/>
      <c r="EJ345" s="89"/>
      <c r="EK345" s="91"/>
      <c r="EL345" s="66"/>
      <c r="EM345" s="94"/>
      <c r="EN345" s="94"/>
      <c r="EO345" s="92"/>
      <c r="EP345" s="93"/>
      <c r="EQ345" s="23"/>
      <c r="ER345" s="94"/>
      <c r="ES345" s="94"/>
      <c r="ET345" s="94"/>
      <c r="EU345" s="94"/>
      <c r="EV345" s="95"/>
      <c r="EW345" s="91"/>
      <c r="EX345" s="95"/>
      <c r="EY345" s="8"/>
      <c r="EZ345" s="96"/>
      <c r="FA345" s="91"/>
      <c r="FB345" s="97"/>
      <c r="FC345" s="8"/>
      <c r="FD345" s="91"/>
      <c r="FE345" s="98"/>
      <c r="FF345" s="5"/>
    </row>
    <row r="346" spans="37:162">
      <c r="AK346" s="89"/>
      <c r="AL346" s="8"/>
      <c r="AM346" s="8"/>
      <c r="AN346" s="8"/>
      <c r="AO346" s="8"/>
      <c r="AP346" s="8"/>
      <c r="AQ346" s="8"/>
      <c r="AR346" s="8"/>
      <c r="AZ346" s="45"/>
      <c r="BA346" s="89"/>
      <c r="BB346" s="89"/>
      <c r="BC346" s="89"/>
      <c r="BD346" s="89"/>
      <c r="BE346" s="89"/>
      <c r="BF346" s="89"/>
      <c r="BG346" s="89"/>
      <c r="BH346" s="89"/>
      <c r="BI346" s="89"/>
      <c r="BJ346" s="89"/>
      <c r="BK346" s="91"/>
      <c r="BL346" s="66"/>
      <c r="BM346" s="94"/>
      <c r="BN346" s="94"/>
      <c r="BO346" s="92"/>
      <c r="BP346" s="93"/>
      <c r="BQ346" s="23"/>
      <c r="BR346" s="94"/>
      <c r="BS346" s="94"/>
      <c r="BT346" s="94"/>
      <c r="BU346" s="94"/>
      <c r="BV346" s="95"/>
      <c r="BW346" s="91"/>
      <c r="BX346" s="95"/>
      <c r="BY346" s="8"/>
      <c r="BZ346" s="96"/>
      <c r="CA346" s="91"/>
      <c r="CB346" s="97"/>
      <c r="CC346" s="8"/>
      <c r="CD346" s="91"/>
      <c r="CE346" s="98"/>
      <c r="CF346" s="5"/>
      <c r="DK346" s="89"/>
      <c r="DL346" s="8"/>
      <c r="DM346" s="8"/>
      <c r="DN346" s="8"/>
      <c r="DO346" s="8"/>
      <c r="DP346" s="8"/>
      <c r="DQ346" s="8"/>
      <c r="DR346" s="8"/>
      <c r="DZ346" s="45"/>
      <c r="EA346" s="89"/>
      <c r="EB346" s="89"/>
      <c r="EC346" s="89"/>
      <c r="ED346" s="89"/>
      <c r="EE346" s="89"/>
      <c r="EF346" s="89"/>
      <c r="EG346" s="89"/>
      <c r="EH346" s="89"/>
      <c r="EI346" s="89"/>
      <c r="EJ346" s="89"/>
      <c r="EK346" s="91"/>
      <c r="EL346" s="66"/>
      <c r="EM346" s="94"/>
      <c r="EN346" s="94"/>
      <c r="EO346" s="92"/>
      <c r="EP346" s="93"/>
      <c r="EQ346" s="23"/>
      <c r="ER346" s="94"/>
      <c r="ES346" s="94"/>
      <c r="ET346" s="94"/>
      <c r="EU346" s="94"/>
      <c r="EV346" s="95"/>
      <c r="EW346" s="91"/>
      <c r="EX346" s="95"/>
      <c r="EY346" s="8"/>
      <c r="EZ346" s="96"/>
      <c r="FA346" s="91"/>
      <c r="FB346" s="97"/>
      <c r="FC346" s="8"/>
      <c r="FD346" s="91"/>
      <c r="FE346" s="98"/>
      <c r="FF346" s="5"/>
    </row>
    <row r="347" spans="37:162">
      <c r="AK347" s="89"/>
      <c r="AL347" s="8"/>
      <c r="AM347" s="8"/>
      <c r="AN347" s="8"/>
      <c r="AO347" s="8"/>
      <c r="AP347" s="8"/>
      <c r="AQ347" s="8"/>
      <c r="AR347" s="8"/>
      <c r="AZ347" s="45"/>
      <c r="BA347" s="89"/>
      <c r="BB347" s="89"/>
      <c r="BC347" s="89"/>
      <c r="BD347" s="89"/>
      <c r="BE347" s="89"/>
      <c r="BF347" s="89"/>
      <c r="BG347" s="89"/>
      <c r="BH347" s="89"/>
      <c r="BI347" s="89"/>
      <c r="BJ347" s="89"/>
      <c r="BK347" s="91"/>
      <c r="BL347" s="66"/>
      <c r="BM347" s="94"/>
      <c r="BN347" s="94"/>
      <c r="BO347" s="92"/>
      <c r="BP347" s="93"/>
      <c r="BQ347" s="23"/>
      <c r="BR347" s="94"/>
      <c r="BS347" s="94"/>
      <c r="BT347" s="94"/>
      <c r="BU347" s="94"/>
      <c r="BV347" s="95"/>
      <c r="BW347" s="91"/>
      <c r="BX347" s="95"/>
      <c r="BY347" s="8"/>
      <c r="BZ347" s="96"/>
      <c r="CA347" s="91"/>
      <c r="CB347" s="97"/>
      <c r="CC347" s="8"/>
      <c r="CD347" s="91"/>
      <c r="CE347" s="98"/>
      <c r="CF347" s="5"/>
      <c r="DK347" s="89"/>
      <c r="DL347" s="8"/>
      <c r="DM347" s="8"/>
      <c r="DN347" s="8"/>
      <c r="DO347" s="8"/>
      <c r="DP347" s="8"/>
      <c r="DQ347" s="8"/>
      <c r="DR347" s="8"/>
      <c r="DZ347" s="45"/>
      <c r="EA347" s="89"/>
      <c r="EB347" s="89"/>
      <c r="EC347" s="89"/>
      <c r="ED347" s="89"/>
      <c r="EE347" s="89"/>
      <c r="EF347" s="89"/>
      <c r="EG347" s="89"/>
      <c r="EH347" s="89"/>
      <c r="EI347" s="89"/>
      <c r="EJ347" s="89"/>
      <c r="EK347" s="91"/>
      <c r="EL347" s="66"/>
      <c r="EM347" s="94"/>
      <c r="EN347" s="94"/>
      <c r="EO347" s="92"/>
      <c r="EP347" s="93"/>
      <c r="EQ347" s="23"/>
      <c r="ER347" s="94"/>
      <c r="ES347" s="94"/>
      <c r="ET347" s="94"/>
      <c r="EU347" s="94"/>
      <c r="EV347" s="95"/>
      <c r="EW347" s="91"/>
      <c r="EX347" s="95"/>
      <c r="EY347" s="8"/>
      <c r="EZ347" s="96"/>
      <c r="FA347" s="91"/>
      <c r="FB347" s="97"/>
      <c r="FC347" s="8"/>
      <c r="FD347" s="91"/>
      <c r="FE347" s="98"/>
      <c r="FF347" s="5"/>
    </row>
    <row r="348" spans="37:162">
      <c r="AK348" s="89"/>
      <c r="AL348" s="8"/>
      <c r="AM348" s="8"/>
      <c r="AN348" s="8"/>
      <c r="AO348" s="8"/>
      <c r="AP348" s="8"/>
      <c r="AQ348" s="8"/>
      <c r="AR348" s="8"/>
      <c r="AZ348" s="45"/>
      <c r="BA348" s="89"/>
      <c r="BB348" s="89"/>
      <c r="BC348" s="89"/>
      <c r="BD348" s="89"/>
      <c r="BE348" s="89"/>
      <c r="BF348" s="89"/>
      <c r="BG348" s="89"/>
      <c r="BH348" s="89"/>
      <c r="BI348" s="89"/>
      <c r="BJ348" s="89"/>
      <c r="BK348" s="91"/>
      <c r="BL348" s="66"/>
      <c r="BM348" s="94"/>
      <c r="BN348" s="94"/>
      <c r="BO348" s="92"/>
      <c r="BP348" s="93"/>
      <c r="BQ348" s="23"/>
      <c r="BR348" s="94"/>
      <c r="BS348" s="94"/>
      <c r="BT348" s="94"/>
      <c r="BU348" s="94"/>
      <c r="BV348" s="95"/>
      <c r="BW348" s="91"/>
      <c r="BX348" s="95"/>
      <c r="BY348" s="8"/>
      <c r="BZ348" s="96"/>
      <c r="CA348" s="91"/>
      <c r="CB348" s="97"/>
      <c r="CC348" s="8"/>
      <c r="CD348" s="91"/>
      <c r="CE348" s="98"/>
      <c r="CF348" s="5"/>
      <c r="DK348" s="89"/>
      <c r="DL348" s="8"/>
      <c r="DM348" s="8"/>
      <c r="DN348" s="8"/>
      <c r="DO348" s="8"/>
      <c r="DP348" s="8"/>
      <c r="DQ348" s="8"/>
      <c r="DR348" s="8"/>
      <c r="DZ348" s="45"/>
      <c r="EA348" s="89"/>
      <c r="EB348" s="89"/>
      <c r="EC348" s="89"/>
      <c r="ED348" s="89"/>
      <c r="EE348" s="89"/>
      <c r="EF348" s="89"/>
      <c r="EG348" s="89"/>
      <c r="EH348" s="89"/>
      <c r="EI348" s="89"/>
      <c r="EJ348" s="89"/>
      <c r="EK348" s="91"/>
      <c r="EL348" s="66"/>
      <c r="EM348" s="94"/>
      <c r="EN348" s="94"/>
      <c r="EO348" s="92"/>
      <c r="EP348" s="93"/>
      <c r="EQ348" s="23"/>
      <c r="ER348" s="94"/>
      <c r="ES348" s="94"/>
      <c r="ET348" s="94"/>
      <c r="EU348" s="94"/>
      <c r="EV348" s="95"/>
      <c r="EW348" s="91"/>
      <c r="EX348" s="95"/>
      <c r="EY348" s="8"/>
      <c r="EZ348" s="96"/>
      <c r="FA348" s="91"/>
      <c r="FB348" s="97"/>
      <c r="FC348" s="8"/>
      <c r="FD348" s="91"/>
      <c r="FE348" s="98"/>
      <c r="FF348" s="5"/>
    </row>
    <row r="349" spans="37:162">
      <c r="AK349" s="89"/>
      <c r="AL349" s="8"/>
      <c r="AM349" s="8"/>
      <c r="AN349" s="8"/>
      <c r="AO349" s="8"/>
      <c r="AP349" s="8"/>
      <c r="AQ349" s="8"/>
      <c r="AR349" s="8"/>
      <c r="AZ349" s="45"/>
      <c r="BA349" s="89"/>
      <c r="BB349" s="89"/>
      <c r="BC349" s="89"/>
      <c r="BD349" s="89"/>
      <c r="BE349" s="89"/>
      <c r="BF349" s="89"/>
      <c r="BG349" s="89"/>
      <c r="BH349" s="89"/>
      <c r="BI349" s="89"/>
      <c r="BJ349" s="89"/>
      <c r="BK349" s="91"/>
      <c r="BL349" s="66"/>
      <c r="BM349" s="94"/>
      <c r="BN349" s="94"/>
      <c r="BO349" s="92"/>
      <c r="BP349" s="93"/>
      <c r="BQ349" s="23"/>
      <c r="BR349" s="94"/>
      <c r="BS349" s="94"/>
      <c r="BT349" s="94"/>
      <c r="BU349" s="94"/>
      <c r="BV349" s="95"/>
      <c r="BW349" s="91"/>
      <c r="BX349" s="95"/>
      <c r="BY349" s="8"/>
      <c r="BZ349" s="96"/>
      <c r="CA349" s="91"/>
      <c r="CB349" s="97"/>
      <c r="CC349" s="8"/>
      <c r="CD349" s="91"/>
      <c r="CE349" s="98"/>
      <c r="CF349" s="5"/>
      <c r="DK349" s="89"/>
      <c r="DL349" s="8"/>
      <c r="DM349" s="8"/>
      <c r="DN349" s="8"/>
      <c r="DO349" s="8"/>
      <c r="DP349" s="8"/>
      <c r="DQ349" s="8"/>
      <c r="DR349" s="8"/>
      <c r="DZ349" s="45"/>
      <c r="EA349" s="89"/>
      <c r="EB349" s="89"/>
      <c r="EC349" s="89"/>
      <c r="ED349" s="89"/>
      <c r="EE349" s="89"/>
      <c r="EF349" s="89"/>
      <c r="EG349" s="89"/>
      <c r="EH349" s="89"/>
      <c r="EI349" s="89"/>
      <c r="EJ349" s="89"/>
      <c r="EK349" s="91"/>
      <c r="EL349" s="66"/>
      <c r="EM349" s="94"/>
      <c r="EN349" s="94"/>
      <c r="EO349" s="92"/>
      <c r="EP349" s="93"/>
      <c r="EQ349" s="23"/>
      <c r="ER349" s="94"/>
      <c r="ES349" s="94"/>
      <c r="ET349" s="94"/>
      <c r="EU349" s="94"/>
      <c r="EV349" s="95"/>
      <c r="EW349" s="91"/>
      <c r="EX349" s="95"/>
      <c r="EY349" s="8"/>
      <c r="EZ349" s="96"/>
      <c r="FA349" s="91"/>
      <c r="FB349" s="97"/>
      <c r="FC349" s="8"/>
      <c r="FD349" s="91"/>
      <c r="FE349" s="98"/>
      <c r="FF349" s="5"/>
    </row>
    <row r="350" spans="37:162">
      <c r="AK350" s="89"/>
      <c r="AL350" s="8"/>
      <c r="AM350" s="8"/>
      <c r="AN350" s="8"/>
      <c r="AO350" s="8"/>
      <c r="AP350" s="8"/>
      <c r="AQ350" s="8"/>
      <c r="AR350" s="8"/>
      <c r="AZ350" s="45"/>
      <c r="BA350" s="89"/>
      <c r="BB350" s="89"/>
      <c r="BC350" s="89"/>
      <c r="BD350" s="89"/>
      <c r="BE350" s="89"/>
      <c r="BF350" s="89"/>
      <c r="BG350" s="89"/>
      <c r="BH350" s="89"/>
      <c r="BI350" s="89"/>
      <c r="BJ350" s="89"/>
      <c r="BK350" s="91"/>
      <c r="BL350" s="66"/>
      <c r="BM350" s="94"/>
      <c r="BN350" s="94"/>
      <c r="BO350" s="92"/>
      <c r="BP350" s="93"/>
      <c r="BQ350" s="23"/>
      <c r="BR350" s="94"/>
      <c r="BS350" s="94"/>
      <c r="BT350" s="94"/>
      <c r="BU350" s="94"/>
      <c r="BV350" s="95"/>
      <c r="BW350" s="91"/>
      <c r="BX350" s="95"/>
      <c r="BY350" s="8"/>
      <c r="BZ350" s="96"/>
      <c r="CA350" s="91"/>
      <c r="CB350" s="97"/>
      <c r="CC350" s="8"/>
      <c r="CD350" s="91"/>
      <c r="CE350" s="98"/>
      <c r="CF350" s="5"/>
      <c r="DK350" s="89"/>
      <c r="DL350" s="8"/>
      <c r="DM350" s="8"/>
      <c r="DN350" s="8"/>
      <c r="DO350" s="8"/>
      <c r="DP350" s="8"/>
      <c r="DQ350" s="8"/>
      <c r="DR350" s="8"/>
      <c r="DZ350" s="45"/>
      <c r="EA350" s="89"/>
      <c r="EB350" s="89"/>
      <c r="EC350" s="89"/>
      <c r="ED350" s="89"/>
      <c r="EE350" s="89"/>
      <c r="EF350" s="89"/>
      <c r="EG350" s="89"/>
      <c r="EH350" s="89"/>
      <c r="EI350" s="89"/>
      <c r="EJ350" s="89"/>
      <c r="EK350" s="91"/>
      <c r="EL350" s="66"/>
      <c r="EM350" s="94"/>
      <c r="EN350" s="94"/>
      <c r="EO350" s="92"/>
      <c r="EP350" s="93"/>
      <c r="EQ350" s="23"/>
      <c r="ER350" s="94"/>
      <c r="ES350" s="94"/>
      <c r="ET350" s="94"/>
      <c r="EU350" s="94"/>
      <c r="EV350" s="95"/>
      <c r="EW350" s="91"/>
      <c r="EX350" s="95"/>
      <c r="EY350" s="8"/>
      <c r="EZ350" s="96"/>
      <c r="FA350" s="91"/>
      <c r="FB350" s="97"/>
      <c r="FC350" s="8"/>
      <c r="FD350" s="91"/>
      <c r="FE350" s="98"/>
      <c r="FF350" s="5"/>
    </row>
    <row r="351" spans="37:162">
      <c r="AK351" s="89"/>
      <c r="AL351" s="8"/>
      <c r="AM351" s="8"/>
      <c r="AN351" s="8"/>
      <c r="AO351" s="8"/>
      <c r="AP351" s="8"/>
      <c r="AQ351" s="8"/>
      <c r="AR351" s="8"/>
      <c r="AZ351" s="45"/>
      <c r="BA351" s="89"/>
      <c r="BB351" s="89"/>
      <c r="BC351" s="89"/>
      <c r="BD351" s="89"/>
      <c r="BE351" s="89"/>
      <c r="BF351" s="89"/>
      <c r="BG351" s="89"/>
      <c r="BH351" s="89"/>
      <c r="BI351" s="89"/>
      <c r="BJ351" s="89"/>
      <c r="BK351" s="91"/>
      <c r="BL351" s="66"/>
      <c r="BM351" s="94"/>
      <c r="BN351" s="94"/>
      <c r="BO351" s="92"/>
      <c r="BP351" s="93"/>
      <c r="BQ351" s="23"/>
      <c r="BR351" s="94"/>
      <c r="BS351" s="94"/>
      <c r="BT351" s="94"/>
      <c r="BU351" s="94"/>
      <c r="BV351" s="95"/>
      <c r="BW351" s="91"/>
      <c r="BX351" s="95"/>
      <c r="BY351" s="8"/>
      <c r="BZ351" s="96"/>
      <c r="CA351" s="91"/>
      <c r="CB351" s="97"/>
      <c r="CC351" s="8"/>
      <c r="CD351" s="91"/>
      <c r="CE351" s="98"/>
      <c r="CF351" s="5"/>
      <c r="DK351" s="89"/>
      <c r="DL351" s="8"/>
      <c r="DM351" s="8"/>
      <c r="DN351" s="8"/>
      <c r="DO351" s="8"/>
      <c r="DP351" s="8"/>
      <c r="DQ351" s="8"/>
      <c r="DR351" s="8"/>
      <c r="DZ351" s="45"/>
      <c r="EA351" s="89"/>
      <c r="EB351" s="89"/>
      <c r="EC351" s="89"/>
      <c r="ED351" s="89"/>
      <c r="EE351" s="89"/>
      <c r="EF351" s="89"/>
      <c r="EG351" s="89"/>
      <c r="EH351" s="89"/>
      <c r="EI351" s="89"/>
      <c r="EJ351" s="89"/>
      <c r="EK351" s="91"/>
      <c r="EL351" s="66"/>
      <c r="EM351" s="94"/>
      <c r="EN351" s="94"/>
      <c r="EO351" s="92"/>
      <c r="EP351" s="93"/>
      <c r="EQ351" s="23"/>
      <c r="ER351" s="94"/>
      <c r="ES351" s="94"/>
      <c r="ET351" s="94"/>
      <c r="EU351" s="94"/>
      <c r="EV351" s="95"/>
      <c r="EW351" s="91"/>
      <c r="EX351" s="95"/>
      <c r="EY351" s="8"/>
      <c r="EZ351" s="96"/>
      <c r="FA351" s="91"/>
      <c r="FB351" s="97"/>
      <c r="FC351" s="8"/>
      <c r="FD351" s="91"/>
      <c r="FE351" s="98"/>
      <c r="FF351" s="5"/>
    </row>
    <row r="352" spans="37:162">
      <c r="AK352" s="89"/>
      <c r="AL352" s="8"/>
      <c r="AM352" s="8"/>
      <c r="AN352" s="8"/>
      <c r="AO352" s="8"/>
      <c r="AP352" s="8"/>
      <c r="AQ352" s="8"/>
      <c r="AR352" s="8"/>
      <c r="AZ352" s="45"/>
      <c r="BA352" s="89"/>
      <c r="BB352" s="89"/>
      <c r="BC352" s="89"/>
      <c r="BD352" s="89"/>
      <c r="BE352" s="89"/>
      <c r="BF352" s="89"/>
      <c r="BG352" s="89"/>
      <c r="BH352" s="89"/>
      <c r="BI352" s="89"/>
      <c r="BJ352" s="89"/>
      <c r="BK352" s="91"/>
      <c r="BL352" s="66"/>
      <c r="BM352" s="94"/>
      <c r="BN352" s="94"/>
      <c r="BO352" s="92"/>
      <c r="BP352" s="93"/>
      <c r="BQ352" s="23"/>
      <c r="BR352" s="94"/>
      <c r="BS352" s="94"/>
      <c r="BT352" s="94"/>
      <c r="BU352" s="94"/>
      <c r="BV352" s="95"/>
      <c r="BW352" s="91"/>
      <c r="BX352" s="95"/>
      <c r="BY352" s="8"/>
      <c r="BZ352" s="96"/>
      <c r="CA352" s="91"/>
      <c r="CB352" s="97"/>
      <c r="CC352" s="8"/>
      <c r="CD352" s="91"/>
      <c r="CE352" s="98"/>
      <c r="CF352" s="5"/>
      <c r="DK352" s="89"/>
      <c r="DL352" s="8"/>
      <c r="DM352" s="8"/>
      <c r="DN352" s="8"/>
      <c r="DO352" s="8"/>
      <c r="DP352" s="8"/>
      <c r="DQ352" s="8"/>
      <c r="DR352" s="8"/>
      <c r="DZ352" s="45"/>
      <c r="EA352" s="89"/>
      <c r="EB352" s="89"/>
      <c r="EC352" s="89"/>
      <c r="ED352" s="89"/>
      <c r="EE352" s="89"/>
      <c r="EF352" s="89"/>
      <c r="EG352" s="89"/>
      <c r="EH352" s="89"/>
      <c r="EI352" s="89"/>
      <c r="EJ352" s="89"/>
      <c r="EK352" s="91"/>
      <c r="EL352" s="66"/>
      <c r="EM352" s="94"/>
      <c r="EN352" s="94"/>
      <c r="EO352" s="92"/>
      <c r="EP352" s="93"/>
      <c r="EQ352" s="23"/>
      <c r="ER352" s="94"/>
      <c r="ES352" s="94"/>
      <c r="ET352" s="94"/>
      <c r="EU352" s="94"/>
      <c r="EV352" s="95"/>
      <c r="EW352" s="91"/>
      <c r="EX352" s="95"/>
      <c r="EY352" s="8"/>
      <c r="EZ352" s="96"/>
      <c r="FA352" s="91"/>
      <c r="FB352" s="97"/>
      <c r="FC352" s="8"/>
      <c r="FD352" s="91"/>
      <c r="FE352" s="98"/>
      <c r="FF352" s="5"/>
    </row>
    <row r="353" spans="37:162">
      <c r="AK353" s="89"/>
      <c r="AL353" s="8"/>
      <c r="AM353" s="8"/>
      <c r="AN353" s="8"/>
      <c r="AO353" s="8"/>
      <c r="AP353" s="8"/>
      <c r="AQ353" s="8"/>
      <c r="AR353" s="8"/>
      <c r="AZ353" s="45"/>
      <c r="BA353" s="89"/>
      <c r="BB353" s="89"/>
      <c r="BC353" s="89"/>
      <c r="BD353" s="89"/>
      <c r="BE353" s="89"/>
      <c r="BF353" s="89"/>
      <c r="BG353" s="89"/>
      <c r="BH353" s="89"/>
      <c r="BI353" s="89"/>
      <c r="BJ353" s="89"/>
      <c r="BK353" s="91"/>
      <c r="BL353" s="66"/>
      <c r="BM353" s="94"/>
      <c r="BN353" s="94"/>
      <c r="BO353" s="92"/>
      <c r="BP353" s="93"/>
      <c r="BQ353" s="23"/>
      <c r="BR353" s="94"/>
      <c r="BS353" s="94"/>
      <c r="BT353" s="94"/>
      <c r="BU353" s="94"/>
      <c r="BV353" s="95"/>
      <c r="BW353" s="91"/>
      <c r="BX353" s="95"/>
      <c r="BY353" s="8"/>
      <c r="BZ353" s="96"/>
      <c r="CA353" s="91"/>
      <c r="CB353" s="97"/>
      <c r="CC353" s="8"/>
      <c r="CD353" s="91"/>
      <c r="CE353" s="98"/>
      <c r="CF353" s="5"/>
      <c r="DK353" s="89"/>
      <c r="DL353" s="8"/>
      <c r="DM353" s="8"/>
      <c r="DN353" s="8"/>
      <c r="DO353" s="8"/>
      <c r="DP353" s="8"/>
      <c r="DQ353" s="8"/>
      <c r="DR353" s="8"/>
      <c r="DZ353" s="45"/>
      <c r="EA353" s="89"/>
      <c r="EB353" s="89"/>
      <c r="EC353" s="89"/>
      <c r="ED353" s="89"/>
      <c r="EE353" s="89"/>
      <c r="EF353" s="89"/>
      <c r="EG353" s="89"/>
      <c r="EH353" s="89"/>
      <c r="EI353" s="89"/>
      <c r="EJ353" s="89"/>
      <c r="EK353" s="91"/>
      <c r="EL353" s="66"/>
      <c r="EM353" s="94"/>
      <c r="EN353" s="94"/>
      <c r="EO353" s="92"/>
      <c r="EP353" s="93"/>
      <c r="EQ353" s="23"/>
      <c r="ER353" s="94"/>
      <c r="ES353" s="94"/>
      <c r="ET353" s="94"/>
      <c r="EU353" s="94"/>
      <c r="EV353" s="95"/>
      <c r="EW353" s="91"/>
      <c r="EX353" s="95"/>
      <c r="EY353" s="8"/>
      <c r="EZ353" s="96"/>
      <c r="FA353" s="91"/>
      <c r="FB353" s="97"/>
      <c r="FC353" s="8"/>
      <c r="FD353" s="91"/>
      <c r="FE353" s="98"/>
      <c r="FF353" s="5"/>
    </row>
    <row r="354" spans="37:162">
      <c r="AK354" s="89"/>
      <c r="AL354" s="8"/>
      <c r="AM354" s="8"/>
      <c r="AN354" s="8"/>
      <c r="AO354" s="8"/>
      <c r="AP354" s="8"/>
      <c r="AQ354" s="8"/>
      <c r="AR354" s="8"/>
      <c r="AZ354" s="45"/>
      <c r="BA354" s="89"/>
      <c r="BB354" s="89"/>
      <c r="BC354" s="89"/>
      <c r="BD354" s="89"/>
      <c r="BE354" s="89"/>
      <c r="BF354" s="89"/>
      <c r="BG354" s="89"/>
      <c r="BH354" s="89"/>
      <c r="BI354" s="89"/>
      <c r="BJ354" s="89"/>
      <c r="BK354" s="91"/>
      <c r="BL354" s="66"/>
      <c r="BM354" s="94"/>
      <c r="BN354" s="94"/>
      <c r="BO354" s="92"/>
      <c r="BP354" s="93"/>
      <c r="BQ354" s="23"/>
      <c r="BR354" s="94"/>
      <c r="BS354" s="94"/>
      <c r="BT354" s="94"/>
      <c r="BU354" s="94"/>
      <c r="BV354" s="95"/>
      <c r="BW354" s="91"/>
      <c r="BX354" s="95"/>
      <c r="BY354" s="8"/>
      <c r="BZ354" s="96"/>
      <c r="CA354" s="91"/>
      <c r="CB354" s="97"/>
      <c r="CC354" s="8"/>
      <c r="CD354" s="91"/>
      <c r="CE354" s="98"/>
      <c r="CF354" s="5"/>
      <c r="DK354" s="89"/>
      <c r="DL354" s="8"/>
      <c r="DM354" s="8"/>
      <c r="DN354" s="8"/>
      <c r="DO354" s="8"/>
      <c r="DP354" s="8"/>
      <c r="DQ354" s="8"/>
      <c r="DR354" s="8"/>
      <c r="DZ354" s="45"/>
      <c r="EA354" s="89"/>
      <c r="EB354" s="89"/>
      <c r="EC354" s="89"/>
      <c r="ED354" s="89"/>
      <c r="EE354" s="89"/>
      <c r="EF354" s="89"/>
      <c r="EG354" s="89"/>
      <c r="EH354" s="89"/>
      <c r="EI354" s="89"/>
      <c r="EJ354" s="89"/>
      <c r="EK354" s="91"/>
      <c r="EL354" s="66"/>
      <c r="EM354" s="94"/>
      <c r="EN354" s="94"/>
      <c r="EO354" s="92"/>
      <c r="EP354" s="93"/>
      <c r="EQ354" s="23"/>
      <c r="ER354" s="94"/>
      <c r="ES354" s="94"/>
      <c r="ET354" s="94"/>
      <c r="EU354" s="94"/>
      <c r="EV354" s="95"/>
      <c r="EW354" s="91"/>
      <c r="EX354" s="95"/>
      <c r="EY354" s="8"/>
      <c r="EZ354" s="96"/>
      <c r="FA354" s="91"/>
      <c r="FB354" s="97"/>
      <c r="FC354" s="8"/>
      <c r="FD354" s="91"/>
      <c r="FE354" s="98"/>
      <c r="FF354" s="5"/>
    </row>
    <row r="355" spans="37:162">
      <c r="AK355" s="89"/>
      <c r="AL355" s="8"/>
      <c r="AM355" s="8"/>
      <c r="AN355" s="8"/>
      <c r="AO355" s="8"/>
      <c r="AP355" s="8"/>
      <c r="AQ355" s="8"/>
      <c r="AR355" s="8"/>
      <c r="AZ355" s="45"/>
      <c r="BA355" s="89"/>
      <c r="BB355" s="89"/>
      <c r="BC355" s="89"/>
      <c r="BD355" s="89"/>
      <c r="BE355" s="89"/>
      <c r="BF355" s="89"/>
      <c r="BG355" s="89"/>
      <c r="BH355" s="89"/>
      <c r="BI355" s="89"/>
      <c r="BJ355" s="89"/>
      <c r="BK355" s="91"/>
      <c r="BL355" s="66"/>
      <c r="BM355" s="94"/>
      <c r="BN355" s="94"/>
      <c r="BO355" s="92"/>
      <c r="BP355" s="93"/>
      <c r="BQ355" s="23"/>
      <c r="BR355" s="94"/>
      <c r="BS355" s="94"/>
      <c r="BT355" s="94"/>
      <c r="BU355" s="94"/>
      <c r="BV355" s="95"/>
      <c r="BW355" s="91"/>
      <c r="BX355" s="95"/>
      <c r="BY355" s="8"/>
      <c r="BZ355" s="96"/>
      <c r="CA355" s="91"/>
      <c r="CB355" s="97"/>
      <c r="CC355" s="8"/>
      <c r="CD355" s="91"/>
      <c r="CE355" s="98"/>
      <c r="CF355" s="5"/>
      <c r="DK355" s="89"/>
      <c r="DL355" s="8"/>
      <c r="DM355" s="8"/>
      <c r="DN355" s="8"/>
      <c r="DO355" s="8"/>
      <c r="DP355" s="8"/>
      <c r="DQ355" s="8"/>
      <c r="DR355" s="8"/>
      <c r="DZ355" s="45"/>
      <c r="EA355" s="89"/>
      <c r="EB355" s="89"/>
      <c r="EC355" s="89"/>
      <c r="ED355" s="89"/>
      <c r="EE355" s="89"/>
      <c r="EF355" s="89"/>
      <c r="EG355" s="89"/>
      <c r="EH355" s="89"/>
      <c r="EI355" s="89"/>
      <c r="EJ355" s="89"/>
      <c r="EK355" s="91"/>
      <c r="EL355" s="66"/>
      <c r="EM355" s="94"/>
      <c r="EN355" s="94"/>
      <c r="EO355" s="92"/>
      <c r="EP355" s="93"/>
      <c r="EQ355" s="23"/>
      <c r="ER355" s="94"/>
      <c r="ES355" s="94"/>
      <c r="ET355" s="94"/>
      <c r="EU355" s="94"/>
      <c r="EV355" s="95"/>
      <c r="EW355" s="91"/>
      <c r="EX355" s="95"/>
      <c r="EY355" s="8"/>
      <c r="EZ355" s="96"/>
      <c r="FA355" s="91"/>
      <c r="FB355" s="97"/>
      <c r="FC355" s="8"/>
      <c r="FD355" s="91"/>
      <c r="FE355" s="98"/>
      <c r="FF355" s="5"/>
    </row>
    <row r="356" spans="37:162">
      <c r="AK356" s="89"/>
      <c r="AL356" s="8"/>
      <c r="AM356" s="8"/>
      <c r="AN356" s="8"/>
      <c r="AO356" s="8"/>
      <c r="AP356" s="8"/>
      <c r="AQ356" s="8"/>
      <c r="AR356" s="8"/>
      <c r="AZ356" s="45"/>
      <c r="BA356" s="89"/>
      <c r="BB356" s="89"/>
      <c r="BC356" s="89"/>
      <c r="BD356" s="89"/>
      <c r="BE356" s="89"/>
      <c r="BF356" s="89"/>
      <c r="BG356" s="89"/>
      <c r="BH356" s="89"/>
      <c r="BI356" s="89"/>
      <c r="BJ356" s="89"/>
      <c r="BK356" s="91"/>
      <c r="BL356" s="66"/>
      <c r="BM356" s="94"/>
      <c r="BN356" s="94"/>
      <c r="BO356" s="92"/>
      <c r="BP356" s="93"/>
      <c r="BQ356" s="23"/>
      <c r="BR356" s="94"/>
      <c r="BS356" s="94"/>
      <c r="BT356" s="94"/>
      <c r="BU356" s="94"/>
      <c r="BV356" s="95"/>
      <c r="BW356" s="91"/>
      <c r="BX356" s="95"/>
      <c r="BY356" s="8"/>
      <c r="BZ356" s="96"/>
      <c r="CA356" s="91"/>
      <c r="CB356" s="97"/>
      <c r="CC356" s="8"/>
      <c r="CD356" s="91"/>
      <c r="CE356" s="98"/>
      <c r="CF356" s="5"/>
      <c r="DK356" s="89"/>
      <c r="DL356" s="8"/>
      <c r="DM356" s="8"/>
      <c r="DN356" s="8"/>
      <c r="DO356" s="8"/>
      <c r="DP356" s="8"/>
      <c r="DQ356" s="8"/>
      <c r="DR356" s="8"/>
      <c r="DZ356" s="45"/>
      <c r="EA356" s="89"/>
      <c r="EB356" s="89"/>
      <c r="EC356" s="89"/>
      <c r="ED356" s="89"/>
      <c r="EE356" s="89"/>
      <c r="EF356" s="89"/>
      <c r="EG356" s="89"/>
      <c r="EH356" s="89"/>
      <c r="EI356" s="89"/>
      <c r="EJ356" s="89"/>
      <c r="EK356" s="91"/>
      <c r="EL356" s="66"/>
      <c r="EM356" s="94"/>
      <c r="EN356" s="94"/>
      <c r="EO356" s="92"/>
      <c r="EP356" s="93"/>
      <c r="EQ356" s="23"/>
      <c r="ER356" s="94"/>
      <c r="ES356" s="94"/>
      <c r="ET356" s="94"/>
      <c r="EU356" s="94"/>
      <c r="EV356" s="95"/>
      <c r="EW356" s="91"/>
      <c r="EX356" s="95"/>
      <c r="EY356" s="8"/>
      <c r="EZ356" s="96"/>
      <c r="FA356" s="91"/>
      <c r="FB356" s="97"/>
      <c r="FC356" s="8"/>
      <c r="FD356" s="91"/>
      <c r="FE356" s="98"/>
      <c r="FF356" s="5"/>
    </row>
    <row r="357" spans="37:162">
      <c r="AK357" s="89"/>
      <c r="AL357" s="8"/>
      <c r="AM357" s="8"/>
      <c r="AN357" s="8"/>
      <c r="AO357" s="8"/>
      <c r="AP357" s="8"/>
      <c r="AQ357" s="8"/>
      <c r="AR357" s="8"/>
      <c r="AZ357" s="45"/>
      <c r="BA357" s="89"/>
      <c r="BB357" s="89"/>
      <c r="BC357" s="89"/>
      <c r="BD357" s="89"/>
      <c r="BE357" s="89"/>
      <c r="BF357" s="89"/>
      <c r="BG357" s="89"/>
      <c r="BH357" s="89"/>
      <c r="BI357" s="89"/>
      <c r="BJ357" s="89"/>
      <c r="BK357" s="91"/>
      <c r="BL357" s="66"/>
      <c r="BM357" s="94"/>
      <c r="BN357" s="94"/>
      <c r="BO357" s="92"/>
      <c r="BP357" s="93"/>
      <c r="BQ357" s="23"/>
      <c r="BR357" s="94"/>
      <c r="BS357" s="94"/>
      <c r="BT357" s="94"/>
      <c r="BU357" s="94"/>
      <c r="BV357" s="95"/>
      <c r="BW357" s="91"/>
      <c r="BX357" s="95"/>
      <c r="BY357" s="8"/>
      <c r="BZ357" s="96"/>
      <c r="CA357" s="91"/>
      <c r="CB357" s="97"/>
      <c r="CC357" s="8"/>
      <c r="CD357" s="91"/>
      <c r="CE357" s="98"/>
      <c r="CF357" s="5"/>
      <c r="DK357" s="89"/>
      <c r="DL357" s="8"/>
      <c r="DM357" s="8"/>
      <c r="DN357" s="8"/>
      <c r="DO357" s="8"/>
      <c r="DP357" s="8"/>
      <c r="DQ357" s="8"/>
      <c r="DR357" s="8"/>
      <c r="DZ357" s="45"/>
      <c r="EA357" s="89"/>
      <c r="EB357" s="89"/>
      <c r="EC357" s="89"/>
      <c r="ED357" s="89"/>
      <c r="EE357" s="89"/>
      <c r="EF357" s="89"/>
      <c r="EG357" s="89"/>
      <c r="EH357" s="89"/>
      <c r="EI357" s="89"/>
      <c r="EJ357" s="89"/>
      <c r="EK357" s="91"/>
      <c r="EL357" s="66"/>
      <c r="EM357" s="94"/>
      <c r="EN357" s="94"/>
      <c r="EO357" s="92"/>
      <c r="EP357" s="93"/>
      <c r="EQ357" s="23"/>
      <c r="ER357" s="94"/>
      <c r="ES357" s="94"/>
      <c r="ET357" s="94"/>
      <c r="EU357" s="94"/>
      <c r="EV357" s="95"/>
      <c r="EW357" s="91"/>
      <c r="EX357" s="95"/>
      <c r="EY357" s="8"/>
      <c r="EZ357" s="96"/>
      <c r="FA357" s="91"/>
      <c r="FB357" s="97"/>
      <c r="FC357" s="8"/>
      <c r="FD357" s="91"/>
      <c r="FE357" s="98"/>
      <c r="FF357" s="5"/>
    </row>
    <row r="358" spans="37:162">
      <c r="AK358" s="89"/>
      <c r="AL358" s="8"/>
      <c r="AM358" s="8"/>
      <c r="AN358" s="8"/>
      <c r="AO358" s="8"/>
      <c r="AP358" s="8"/>
      <c r="AQ358" s="8"/>
      <c r="AR358" s="8"/>
      <c r="AZ358" s="45"/>
      <c r="BA358" s="89"/>
      <c r="BB358" s="89"/>
      <c r="BC358" s="89"/>
      <c r="BD358" s="89"/>
      <c r="BE358" s="89"/>
      <c r="BF358" s="89"/>
      <c r="BG358" s="89"/>
      <c r="BH358" s="89"/>
      <c r="BI358" s="89"/>
      <c r="BJ358" s="89"/>
      <c r="BK358" s="91"/>
      <c r="BL358" s="66"/>
      <c r="BM358" s="94"/>
      <c r="BN358" s="94"/>
      <c r="BO358" s="92"/>
      <c r="BP358" s="93"/>
      <c r="BQ358" s="23"/>
      <c r="BR358" s="94"/>
      <c r="BS358" s="94"/>
      <c r="BT358" s="94"/>
      <c r="BU358" s="94"/>
      <c r="BV358" s="95"/>
      <c r="BW358" s="91"/>
      <c r="BX358" s="95"/>
      <c r="BY358" s="8"/>
      <c r="BZ358" s="96"/>
      <c r="CA358" s="91"/>
      <c r="CB358" s="97"/>
      <c r="CC358" s="8"/>
      <c r="CD358" s="91"/>
      <c r="CE358" s="98"/>
      <c r="CF358" s="5"/>
      <c r="DK358" s="89"/>
      <c r="DL358" s="8"/>
      <c r="DM358" s="8"/>
      <c r="DN358" s="8"/>
      <c r="DO358" s="8"/>
      <c r="DP358" s="8"/>
      <c r="DQ358" s="8"/>
      <c r="DR358" s="8"/>
      <c r="DZ358" s="45"/>
      <c r="EA358" s="89"/>
      <c r="EB358" s="89"/>
      <c r="EC358" s="89"/>
      <c r="ED358" s="89"/>
      <c r="EE358" s="89"/>
      <c r="EF358" s="89"/>
      <c r="EG358" s="89"/>
      <c r="EH358" s="89"/>
      <c r="EI358" s="89"/>
      <c r="EJ358" s="89"/>
      <c r="EK358" s="91"/>
      <c r="EL358" s="66"/>
      <c r="EM358" s="94"/>
      <c r="EN358" s="94"/>
      <c r="EO358" s="92"/>
      <c r="EP358" s="93"/>
      <c r="EQ358" s="23"/>
      <c r="ER358" s="94"/>
      <c r="ES358" s="94"/>
      <c r="ET358" s="94"/>
      <c r="EU358" s="94"/>
      <c r="EV358" s="95"/>
      <c r="EW358" s="91"/>
      <c r="EX358" s="95"/>
      <c r="EY358" s="8"/>
      <c r="EZ358" s="96"/>
      <c r="FA358" s="91"/>
      <c r="FB358" s="97"/>
      <c r="FC358" s="8"/>
      <c r="FD358" s="91"/>
      <c r="FE358" s="98"/>
      <c r="FF358" s="5"/>
    </row>
    <row r="359" spans="37:162">
      <c r="AK359" s="89"/>
      <c r="AL359" s="8"/>
      <c r="AM359" s="8"/>
      <c r="AN359" s="8"/>
      <c r="AO359" s="8"/>
      <c r="AP359" s="8"/>
      <c r="AQ359" s="8"/>
      <c r="AR359" s="8"/>
      <c r="AZ359" s="45"/>
      <c r="BA359" s="89"/>
      <c r="BB359" s="89"/>
      <c r="BC359" s="89"/>
      <c r="BD359" s="89"/>
      <c r="BE359" s="89"/>
      <c r="BF359" s="89"/>
      <c r="BG359" s="89"/>
      <c r="BH359" s="89"/>
      <c r="BI359" s="89"/>
      <c r="BJ359" s="89"/>
      <c r="BK359" s="91"/>
      <c r="BL359" s="66"/>
      <c r="BM359" s="94"/>
      <c r="BN359" s="94"/>
      <c r="BO359" s="92"/>
      <c r="BP359" s="93"/>
      <c r="BQ359" s="23"/>
      <c r="BR359" s="94"/>
      <c r="BS359" s="94"/>
      <c r="BT359" s="94"/>
      <c r="BU359" s="94"/>
      <c r="BV359" s="95"/>
      <c r="BW359" s="91"/>
      <c r="BX359" s="95"/>
      <c r="BY359" s="8"/>
      <c r="BZ359" s="96"/>
      <c r="CA359" s="91"/>
      <c r="CB359" s="97"/>
      <c r="CC359" s="8"/>
      <c r="CD359" s="91"/>
      <c r="CE359" s="98"/>
      <c r="CF359" s="5"/>
      <c r="DK359" s="89"/>
      <c r="DL359" s="8"/>
      <c r="DM359" s="8"/>
      <c r="DN359" s="8"/>
      <c r="DO359" s="8"/>
      <c r="DP359" s="8"/>
      <c r="DQ359" s="8"/>
      <c r="DR359" s="8"/>
      <c r="DZ359" s="45"/>
      <c r="EA359" s="89"/>
      <c r="EB359" s="89"/>
      <c r="EC359" s="89"/>
      <c r="ED359" s="89"/>
      <c r="EE359" s="89"/>
      <c r="EF359" s="89"/>
      <c r="EG359" s="89"/>
      <c r="EH359" s="89"/>
      <c r="EI359" s="89"/>
      <c r="EJ359" s="89"/>
      <c r="EK359" s="91"/>
      <c r="EL359" s="66"/>
      <c r="EM359" s="94"/>
      <c r="EN359" s="94"/>
      <c r="EO359" s="92"/>
      <c r="EP359" s="93"/>
      <c r="EQ359" s="23"/>
      <c r="ER359" s="94"/>
      <c r="ES359" s="94"/>
      <c r="ET359" s="94"/>
      <c r="EU359" s="94"/>
      <c r="EV359" s="95"/>
      <c r="EW359" s="91"/>
      <c r="EX359" s="95"/>
      <c r="EY359" s="8"/>
      <c r="EZ359" s="96"/>
      <c r="FA359" s="91"/>
      <c r="FB359" s="97"/>
      <c r="FC359" s="8"/>
      <c r="FD359" s="91"/>
      <c r="FE359" s="98"/>
      <c r="FF359" s="5"/>
    </row>
    <row r="360" spans="37:162">
      <c r="AK360" s="89"/>
      <c r="AL360" s="8"/>
      <c r="AM360" s="8"/>
      <c r="AN360" s="8"/>
      <c r="AO360" s="8"/>
      <c r="AP360" s="8"/>
      <c r="AQ360" s="8"/>
      <c r="AR360" s="8"/>
      <c r="AZ360" s="45"/>
      <c r="BA360" s="89"/>
      <c r="BB360" s="89"/>
      <c r="BC360" s="89"/>
      <c r="BD360" s="89"/>
      <c r="BE360" s="89"/>
      <c r="BF360" s="89"/>
      <c r="BG360" s="89"/>
      <c r="BH360" s="89"/>
      <c r="BI360" s="89"/>
      <c r="BJ360" s="89"/>
      <c r="BK360" s="91"/>
      <c r="BL360" s="66"/>
      <c r="BM360" s="94"/>
      <c r="BN360" s="94"/>
      <c r="BO360" s="92"/>
      <c r="BP360" s="93"/>
      <c r="BQ360" s="23"/>
      <c r="BR360" s="94"/>
      <c r="BS360" s="94"/>
      <c r="BT360" s="94"/>
      <c r="BU360" s="94"/>
      <c r="BV360" s="95"/>
      <c r="BW360" s="91"/>
      <c r="BX360" s="95"/>
      <c r="BY360" s="8"/>
      <c r="BZ360" s="96"/>
      <c r="CA360" s="91"/>
      <c r="CB360" s="97"/>
      <c r="CC360" s="8"/>
      <c r="CD360" s="91"/>
      <c r="CE360" s="98"/>
      <c r="CF360" s="5"/>
      <c r="DK360" s="89"/>
      <c r="DL360" s="8"/>
      <c r="DM360" s="8"/>
      <c r="DN360" s="8"/>
      <c r="DO360" s="8"/>
      <c r="DP360" s="8"/>
      <c r="DQ360" s="8"/>
      <c r="DR360" s="8"/>
      <c r="DZ360" s="45"/>
      <c r="EA360" s="89"/>
      <c r="EB360" s="89"/>
      <c r="EC360" s="89"/>
      <c r="ED360" s="89"/>
      <c r="EE360" s="89"/>
      <c r="EF360" s="89"/>
      <c r="EG360" s="89"/>
      <c r="EH360" s="89"/>
      <c r="EI360" s="89"/>
      <c r="EJ360" s="89"/>
      <c r="EK360" s="91"/>
      <c r="EL360" s="66"/>
      <c r="EM360" s="94"/>
      <c r="EN360" s="94"/>
      <c r="EO360" s="92"/>
      <c r="EP360" s="93"/>
      <c r="EQ360" s="23"/>
      <c r="ER360" s="94"/>
      <c r="ES360" s="94"/>
      <c r="ET360" s="94"/>
      <c r="EU360" s="94"/>
      <c r="EV360" s="95"/>
      <c r="EW360" s="91"/>
      <c r="EX360" s="95"/>
      <c r="EY360" s="8"/>
      <c r="EZ360" s="96"/>
      <c r="FA360" s="91"/>
      <c r="FB360" s="97"/>
      <c r="FC360" s="8"/>
      <c r="FD360" s="91"/>
      <c r="FE360" s="98"/>
      <c r="FF360" s="5"/>
    </row>
    <row r="361" spans="37:162">
      <c r="AK361" s="89"/>
      <c r="AL361" s="8"/>
      <c r="AM361" s="8"/>
      <c r="AN361" s="8"/>
      <c r="AO361" s="8"/>
      <c r="AP361" s="8"/>
      <c r="AQ361" s="8"/>
      <c r="AR361" s="8"/>
      <c r="AZ361" s="45"/>
      <c r="BA361" s="89"/>
      <c r="BB361" s="89"/>
      <c r="BC361" s="89"/>
      <c r="BD361" s="89"/>
      <c r="BE361" s="89"/>
      <c r="BF361" s="89"/>
      <c r="BG361" s="89"/>
      <c r="BH361" s="89"/>
      <c r="BI361" s="89"/>
      <c r="BJ361" s="89"/>
      <c r="BK361" s="91"/>
      <c r="BL361" s="66"/>
      <c r="BM361" s="94"/>
      <c r="BN361" s="94"/>
      <c r="BO361" s="92"/>
      <c r="BP361" s="93"/>
      <c r="BQ361" s="23"/>
      <c r="BR361" s="94"/>
      <c r="BS361" s="94"/>
      <c r="BT361" s="94"/>
      <c r="BU361" s="94"/>
      <c r="BV361" s="95"/>
      <c r="BW361" s="91"/>
      <c r="BX361" s="95"/>
      <c r="BY361" s="8"/>
      <c r="BZ361" s="96"/>
      <c r="CA361" s="91"/>
      <c r="CB361" s="97"/>
      <c r="CC361" s="8"/>
      <c r="CD361" s="91"/>
      <c r="CE361" s="98"/>
      <c r="CF361" s="5"/>
      <c r="DK361" s="89"/>
      <c r="DL361" s="8"/>
      <c r="DM361" s="8"/>
      <c r="DN361" s="8"/>
      <c r="DO361" s="8"/>
      <c r="DP361" s="8"/>
      <c r="DQ361" s="8"/>
      <c r="DR361" s="8"/>
      <c r="DZ361" s="45"/>
      <c r="EA361" s="89"/>
      <c r="EB361" s="89"/>
      <c r="EC361" s="89"/>
      <c r="ED361" s="89"/>
      <c r="EE361" s="89"/>
      <c r="EF361" s="89"/>
      <c r="EG361" s="89"/>
      <c r="EH361" s="89"/>
      <c r="EI361" s="89"/>
      <c r="EJ361" s="89"/>
      <c r="EK361" s="91"/>
      <c r="EL361" s="66"/>
      <c r="EM361" s="94"/>
      <c r="EN361" s="94"/>
      <c r="EO361" s="92"/>
      <c r="EP361" s="93"/>
      <c r="EQ361" s="23"/>
      <c r="ER361" s="94"/>
      <c r="ES361" s="94"/>
      <c r="ET361" s="94"/>
      <c r="EU361" s="94"/>
      <c r="EV361" s="95"/>
      <c r="EW361" s="91"/>
      <c r="EX361" s="95"/>
      <c r="EY361" s="8"/>
      <c r="EZ361" s="96"/>
      <c r="FA361" s="91"/>
      <c r="FB361" s="97"/>
      <c r="FC361" s="8"/>
      <c r="FD361" s="91"/>
      <c r="FE361" s="98"/>
      <c r="FF361" s="5"/>
    </row>
    <row r="362" spans="37:162">
      <c r="AK362" s="89"/>
      <c r="AL362" s="8"/>
      <c r="AM362" s="8"/>
      <c r="AN362" s="8"/>
      <c r="AO362" s="8"/>
      <c r="AP362" s="8"/>
      <c r="AQ362" s="8"/>
      <c r="AR362" s="8"/>
      <c r="AZ362" s="45"/>
      <c r="BA362" s="89"/>
      <c r="BB362" s="89"/>
      <c r="BC362" s="89"/>
      <c r="BD362" s="89"/>
      <c r="BE362" s="89"/>
      <c r="BF362" s="89"/>
      <c r="BG362" s="89"/>
      <c r="BH362" s="89"/>
      <c r="BI362" s="89"/>
      <c r="BJ362" s="89"/>
      <c r="BK362" s="91"/>
      <c r="BL362" s="66"/>
      <c r="BM362" s="94"/>
      <c r="BN362" s="94"/>
      <c r="BO362" s="92"/>
      <c r="BP362" s="93"/>
      <c r="BQ362" s="23"/>
      <c r="BR362" s="94"/>
      <c r="BS362" s="94"/>
      <c r="BT362" s="94"/>
      <c r="BU362" s="94"/>
      <c r="BV362" s="95"/>
      <c r="BW362" s="91"/>
      <c r="BX362" s="95"/>
      <c r="BY362" s="8"/>
      <c r="BZ362" s="96"/>
      <c r="CA362" s="91"/>
      <c r="CB362" s="97"/>
      <c r="CC362" s="8"/>
      <c r="CD362" s="91"/>
      <c r="CE362" s="98"/>
      <c r="CF362" s="5"/>
      <c r="DK362" s="89"/>
      <c r="DL362" s="8"/>
      <c r="DM362" s="8"/>
      <c r="DN362" s="8"/>
      <c r="DO362" s="8"/>
      <c r="DP362" s="8"/>
      <c r="DQ362" s="8"/>
      <c r="DR362" s="8"/>
      <c r="DZ362" s="45"/>
      <c r="EA362" s="89"/>
      <c r="EB362" s="89"/>
      <c r="EC362" s="89"/>
      <c r="ED362" s="89"/>
      <c r="EE362" s="89"/>
      <c r="EF362" s="89"/>
      <c r="EG362" s="89"/>
      <c r="EH362" s="89"/>
      <c r="EI362" s="89"/>
      <c r="EJ362" s="89"/>
      <c r="EK362" s="91"/>
      <c r="EL362" s="66"/>
      <c r="EM362" s="94"/>
      <c r="EN362" s="94"/>
      <c r="EO362" s="92"/>
      <c r="EP362" s="93"/>
      <c r="EQ362" s="23"/>
      <c r="ER362" s="94"/>
      <c r="ES362" s="94"/>
      <c r="ET362" s="94"/>
      <c r="EU362" s="94"/>
      <c r="EV362" s="95"/>
      <c r="EW362" s="91"/>
      <c r="EX362" s="95"/>
      <c r="EY362" s="8"/>
      <c r="EZ362" s="96"/>
      <c r="FA362" s="91"/>
      <c r="FB362" s="97"/>
      <c r="FC362" s="8"/>
      <c r="FD362" s="91"/>
      <c r="FE362" s="98"/>
      <c r="FF362" s="5"/>
    </row>
    <row r="363" spans="37:162">
      <c r="AK363" s="89"/>
      <c r="AL363" s="8"/>
      <c r="AM363" s="8"/>
      <c r="AN363" s="8"/>
      <c r="AO363" s="8"/>
      <c r="AP363" s="8"/>
      <c r="AQ363" s="8"/>
      <c r="AR363" s="8"/>
      <c r="AZ363" s="45"/>
      <c r="BA363" s="89"/>
      <c r="BB363" s="89"/>
      <c r="BC363" s="89"/>
      <c r="BD363" s="89"/>
      <c r="BE363" s="89"/>
      <c r="BF363" s="89"/>
      <c r="BG363" s="89"/>
      <c r="BH363" s="89"/>
      <c r="BI363" s="89"/>
      <c r="BJ363" s="89"/>
      <c r="BK363" s="91"/>
      <c r="BL363" s="66"/>
      <c r="BM363" s="94"/>
      <c r="BN363" s="94"/>
      <c r="BO363" s="92"/>
      <c r="BP363" s="93"/>
      <c r="BQ363" s="23"/>
      <c r="BR363" s="94"/>
      <c r="BS363" s="94"/>
      <c r="BT363" s="94"/>
      <c r="BU363" s="94"/>
      <c r="BV363" s="95"/>
      <c r="BW363" s="91"/>
      <c r="BX363" s="95"/>
      <c r="BY363" s="8"/>
      <c r="BZ363" s="96"/>
      <c r="CA363" s="91"/>
      <c r="CB363" s="97"/>
      <c r="CC363" s="8"/>
      <c r="CD363" s="91"/>
      <c r="CE363" s="98"/>
      <c r="CF363" s="5"/>
      <c r="DK363" s="89"/>
      <c r="DL363" s="8"/>
      <c r="DM363" s="8"/>
      <c r="DN363" s="8"/>
      <c r="DO363" s="8"/>
      <c r="DP363" s="8"/>
      <c r="DQ363" s="8"/>
      <c r="DR363" s="8"/>
      <c r="DZ363" s="45"/>
      <c r="EA363" s="89"/>
      <c r="EB363" s="89"/>
      <c r="EC363" s="89"/>
      <c r="ED363" s="89"/>
      <c r="EE363" s="89"/>
      <c r="EF363" s="89"/>
      <c r="EG363" s="89"/>
      <c r="EH363" s="89"/>
      <c r="EI363" s="89"/>
      <c r="EJ363" s="89"/>
      <c r="EK363" s="91"/>
      <c r="EL363" s="66"/>
      <c r="EM363" s="94"/>
      <c r="EN363" s="94"/>
      <c r="EO363" s="92"/>
      <c r="EP363" s="93"/>
      <c r="EQ363" s="23"/>
      <c r="ER363" s="94"/>
      <c r="ES363" s="94"/>
      <c r="ET363" s="94"/>
      <c r="EU363" s="94"/>
      <c r="EV363" s="95"/>
      <c r="EW363" s="91"/>
      <c r="EX363" s="95"/>
      <c r="EY363" s="8"/>
      <c r="EZ363" s="96"/>
      <c r="FA363" s="91"/>
      <c r="FB363" s="97"/>
      <c r="FC363" s="8"/>
      <c r="FD363" s="91"/>
      <c r="FE363" s="98"/>
      <c r="FF363" s="5"/>
    </row>
    <row r="364" spans="37:162">
      <c r="AK364" s="89"/>
      <c r="AL364" s="8"/>
      <c r="AM364" s="8"/>
      <c r="AN364" s="8"/>
      <c r="AO364" s="8"/>
      <c r="AP364" s="8"/>
      <c r="AQ364" s="8"/>
      <c r="AR364" s="8"/>
      <c r="AZ364" s="45"/>
      <c r="BA364" s="89"/>
      <c r="BB364" s="89"/>
      <c r="BC364" s="89"/>
      <c r="BD364" s="89"/>
      <c r="BE364" s="89"/>
      <c r="BF364" s="89"/>
      <c r="BG364" s="89"/>
      <c r="BH364" s="89"/>
      <c r="BI364" s="89"/>
      <c r="BJ364" s="89"/>
      <c r="BK364" s="91"/>
      <c r="BL364" s="66"/>
      <c r="BM364" s="94"/>
      <c r="BN364" s="94"/>
      <c r="BO364" s="92"/>
      <c r="BP364" s="93"/>
      <c r="BQ364" s="23"/>
      <c r="BR364" s="94"/>
      <c r="BS364" s="94"/>
      <c r="BT364" s="94"/>
      <c r="BU364" s="94"/>
      <c r="BV364" s="95"/>
      <c r="BW364" s="91"/>
      <c r="BX364" s="95"/>
      <c r="BY364" s="8"/>
      <c r="BZ364" s="96"/>
      <c r="CA364" s="91"/>
      <c r="CB364" s="97"/>
      <c r="CC364" s="8"/>
      <c r="CD364" s="91"/>
      <c r="CE364" s="98"/>
      <c r="CF364" s="5"/>
      <c r="DK364" s="89"/>
      <c r="DL364" s="8"/>
      <c r="DM364" s="8"/>
      <c r="DN364" s="8"/>
      <c r="DO364" s="8"/>
      <c r="DP364" s="8"/>
      <c r="DQ364" s="8"/>
      <c r="DR364" s="8"/>
      <c r="DZ364" s="45"/>
      <c r="EA364" s="89"/>
      <c r="EB364" s="89"/>
      <c r="EC364" s="89"/>
      <c r="ED364" s="89"/>
      <c r="EE364" s="89"/>
      <c r="EF364" s="89"/>
      <c r="EG364" s="89"/>
      <c r="EH364" s="89"/>
      <c r="EI364" s="89"/>
      <c r="EJ364" s="89"/>
      <c r="EK364" s="91"/>
      <c r="EL364" s="66"/>
      <c r="EM364" s="94"/>
      <c r="EN364" s="94"/>
      <c r="EO364" s="92"/>
      <c r="EP364" s="93"/>
      <c r="EQ364" s="23"/>
      <c r="ER364" s="94"/>
      <c r="ES364" s="94"/>
      <c r="ET364" s="94"/>
      <c r="EU364" s="94"/>
      <c r="EV364" s="95"/>
      <c r="EW364" s="91"/>
      <c r="EX364" s="95"/>
      <c r="EY364" s="8"/>
      <c r="EZ364" s="96"/>
      <c r="FA364" s="91"/>
      <c r="FB364" s="97"/>
      <c r="FC364" s="8"/>
      <c r="FD364" s="91"/>
      <c r="FE364" s="98"/>
      <c r="FF364" s="5"/>
    </row>
    <row r="365" spans="37:162">
      <c r="AK365" s="89"/>
      <c r="AL365" s="8"/>
      <c r="AM365" s="8"/>
      <c r="AN365" s="8"/>
      <c r="AO365" s="8"/>
      <c r="AP365" s="8"/>
      <c r="AQ365" s="8"/>
      <c r="AR365" s="8"/>
      <c r="AZ365" s="45"/>
      <c r="BA365" s="89"/>
      <c r="BB365" s="89"/>
      <c r="BC365" s="89"/>
      <c r="BD365" s="89"/>
      <c r="BE365" s="89"/>
      <c r="BF365" s="89"/>
      <c r="BG365" s="89"/>
      <c r="BH365" s="89"/>
      <c r="BI365" s="89"/>
      <c r="BJ365" s="89"/>
      <c r="BK365" s="91"/>
      <c r="BL365" s="66"/>
      <c r="BM365" s="94"/>
      <c r="BN365" s="94"/>
      <c r="BO365" s="92"/>
      <c r="BP365" s="93"/>
      <c r="BQ365" s="23"/>
      <c r="BR365" s="94"/>
      <c r="BS365" s="94"/>
      <c r="BT365" s="94"/>
      <c r="BU365" s="94"/>
      <c r="BV365" s="95"/>
      <c r="BW365" s="91"/>
      <c r="BX365" s="95"/>
      <c r="BY365" s="8"/>
      <c r="BZ365" s="96"/>
      <c r="CA365" s="91"/>
      <c r="CB365" s="97"/>
      <c r="CC365" s="8"/>
      <c r="CD365" s="91"/>
      <c r="CE365" s="98"/>
      <c r="CF365" s="5"/>
      <c r="DK365" s="89"/>
      <c r="DL365" s="8"/>
      <c r="DM365" s="8"/>
      <c r="DN365" s="8"/>
      <c r="DO365" s="8"/>
      <c r="DP365" s="8"/>
      <c r="DQ365" s="8"/>
      <c r="DR365" s="8"/>
      <c r="DZ365" s="45"/>
      <c r="EA365" s="89"/>
      <c r="EB365" s="89"/>
      <c r="EC365" s="89"/>
      <c r="ED365" s="89"/>
      <c r="EE365" s="89"/>
      <c r="EF365" s="89"/>
      <c r="EG365" s="89"/>
      <c r="EH365" s="89"/>
      <c r="EI365" s="89"/>
      <c r="EJ365" s="89"/>
      <c r="EK365" s="91"/>
      <c r="EL365" s="66"/>
      <c r="EM365" s="94"/>
      <c r="EN365" s="94"/>
      <c r="EO365" s="92"/>
      <c r="EP365" s="93"/>
      <c r="EQ365" s="23"/>
      <c r="ER365" s="94"/>
      <c r="ES365" s="94"/>
      <c r="ET365" s="94"/>
      <c r="EU365" s="94"/>
      <c r="EV365" s="95"/>
      <c r="EW365" s="91"/>
      <c r="EX365" s="95"/>
      <c r="EY365" s="8"/>
      <c r="EZ365" s="96"/>
      <c r="FA365" s="91"/>
      <c r="FB365" s="97"/>
      <c r="FC365" s="8"/>
      <c r="FD365" s="91"/>
      <c r="FE365" s="98"/>
      <c r="FF365" s="5"/>
    </row>
    <row r="366" spans="37:162">
      <c r="AK366" s="89"/>
      <c r="AL366" s="8"/>
      <c r="AM366" s="8"/>
      <c r="AN366" s="8"/>
      <c r="AO366" s="8"/>
      <c r="AP366" s="8"/>
      <c r="AQ366" s="8"/>
      <c r="AR366" s="8"/>
      <c r="AZ366" s="45"/>
      <c r="BA366" s="89"/>
      <c r="BB366" s="89"/>
      <c r="BC366" s="89"/>
      <c r="BD366" s="89"/>
      <c r="BE366" s="89"/>
      <c r="BF366" s="89"/>
      <c r="BG366" s="89"/>
      <c r="BH366" s="89"/>
      <c r="BI366" s="89"/>
      <c r="BJ366" s="89"/>
      <c r="BK366" s="91"/>
      <c r="BL366" s="66"/>
      <c r="BM366" s="94"/>
      <c r="BN366" s="94"/>
      <c r="BO366" s="92"/>
      <c r="BP366" s="93"/>
      <c r="BQ366" s="23"/>
      <c r="BR366" s="94"/>
      <c r="BS366" s="94"/>
      <c r="BT366" s="94"/>
      <c r="BU366" s="94"/>
      <c r="BV366" s="95"/>
      <c r="BW366" s="91"/>
      <c r="BX366" s="95"/>
      <c r="BY366" s="8"/>
      <c r="BZ366" s="96"/>
      <c r="CA366" s="91"/>
      <c r="CB366" s="97"/>
      <c r="CC366" s="8"/>
      <c r="CD366" s="91"/>
      <c r="CE366" s="98"/>
      <c r="CF366" s="5"/>
      <c r="DK366" s="89"/>
      <c r="DL366" s="8"/>
      <c r="DM366" s="8"/>
      <c r="DN366" s="8"/>
      <c r="DO366" s="8"/>
      <c r="DP366" s="8"/>
      <c r="DQ366" s="8"/>
      <c r="DR366" s="8"/>
      <c r="DZ366" s="45"/>
      <c r="EA366" s="89"/>
      <c r="EB366" s="89"/>
      <c r="EC366" s="89"/>
      <c r="ED366" s="89"/>
      <c r="EE366" s="89"/>
      <c r="EF366" s="89"/>
      <c r="EG366" s="89"/>
      <c r="EH366" s="89"/>
      <c r="EI366" s="89"/>
      <c r="EJ366" s="89"/>
      <c r="EK366" s="91"/>
      <c r="EL366" s="66"/>
      <c r="EM366" s="94"/>
      <c r="EN366" s="94"/>
      <c r="EO366" s="92"/>
      <c r="EP366" s="93"/>
      <c r="EQ366" s="23"/>
      <c r="ER366" s="94"/>
      <c r="ES366" s="94"/>
      <c r="ET366" s="94"/>
      <c r="EU366" s="94"/>
      <c r="EV366" s="95"/>
      <c r="EW366" s="91"/>
      <c r="EX366" s="95"/>
      <c r="EY366" s="8"/>
      <c r="EZ366" s="96"/>
      <c r="FA366" s="91"/>
      <c r="FB366" s="97"/>
      <c r="FC366" s="8"/>
      <c r="FD366" s="91"/>
      <c r="FE366" s="98"/>
      <c r="FF366" s="5"/>
    </row>
    <row r="367" spans="37:162">
      <c r="AK367" s="89"/>
      <c r="AL367" s="8"/>
      <c r="AM367" s="8"/>
      <c r="AN367" s="8"/>
      <c r="AO367" s="8"/>
      <c r="AP367" s="8"/>
      <c r="AQ367" s="8"/>
      <c r="AR367" s="8"/>
      <c r="AZ367" s="45"/>
      <c r="BA367" s="89"/>
      <c r="BB367" s="89"/>
      <c r="BC367" s="89"/>
      <c r="BD367" s="89"/>
      <c r="BE367" s="89"/>
      <c r="BF367" s="89"/>
      <c r="BG367" s="89"/>
      <c r="BH367" s="89"/>
      <c r="BI367" s="89"/>
      <c r="BJ367" s="89"/>
      <c r="BK367" s="91"/>
      <c r="BL367" s="66"/>
      <c r="BM367" s="94"/>
      <c r="BN367" s="94"/>
      <c r="BO367" s="92"/>
      <c r="BP367" s="93"/>
      <c r="BQ367" s="23"/>
      <c r="BR367" s="94"/>
      <c r="BS367" s="94"/>
      <c r="BT367" s="94"/>
      <c r="BU367" s="94"/>
      <c r="BV367" s="95"/>
      <c r="BW367" s="91"/>
      <c r="BX367" s="95"/>
      <c r="BY367" s="8"/>
      <c r="BZ367" s="96"/>
      <c r="CA367" s="91"/>
      <c r="CB367" s="97"/>
      <c r="CC367" s="8"/>
      <c r="CD367" s="91"/>
      <c r="CE367" s="98"/>
      <c r="CF367" s="5"/>
      <c r="DK367" s="89"/>
      <c r="DL367" s="8"/>
      <c r="DM367" s="8"/>
      <c r="DN367" s="8"/>
      <c r="DO367" s="8"/>
      <c r="DP367" s="8"/>
      <c r="DQ367" s="8"/>
      <c r="DR367" s="8"/>
      <c r="DZ367" s="45"/>
      <c r="EA367" s="89"/>
      <c r="EB367" s="89"/>
      <c r="EC367" s="89"/>
      <c r="ED367" s="89"/>
      <c r="EE367" s="89"/>
      <c r="EF367" s="89"/>
      <c r="EG367" s="89"/>
      <c r="EH367" s="89"/>
      <c r="EI367" s="89"/>
      <c r="EJ367" s="89"/>
      <c r="EK367" s="91"/>
      <c r="EL367" s="66"/>
      <c r="EM367" s="94"/>
      <c r="EN367" s="94"/>
      <c r="EO367" s="92"/>
      <c r="EP367" s="93"/>
      <c r="EQ367" s="23"/>
      <c r="ER367" s="94"/>
      <c r="ES367" s="94"/>
      <c r="ET367" s="94"/>
      <c r="EU367" s="94"/>
      <c r="EV367" s="95"/>
      <c r="EW367" s="91"/>
      <c r="EX367" s="95"/>
      <c r="EY367" s="8"/>
      <c r="EZ367" s="96"/>
      <c r="FA367" s="91"/>
      <c r="FB367" s="97"/>
      <c r="FC367" s="8"/>
      <c r="FD367" s="91"/>
      <c r="FE367" s="98"/>
      <c r="FF367" s="5"/>
    </row>
    <row r="368" spans="37:162">
      <c r="AK368" s="89"/>
      <c r="AL368" s="8"/>
      <c r="AM368" s="8"/>
      <c r="AN368" s="8"/>
      <c r="AO368" s="8"/>
      <c r="AP368" s="8"/>
      <c r="AQ368" s="8"/>
      <c r="AR368" s="8"/>
      <c r="AZ368" s="45"/>
      <c r="BA368" s="89"/>
      <c r="BB368" s="89"/>
      <c r="BC368" s="89"/>
      <c r="BD368" s="89"/>
      <c r="BE368" s="89"/>
      <c r="BF368" s="89"/>
      <c r="BG368" s="89"/>
      <c r="BH368" s="89"/>
      <c r="BI368" s="89"/>
      <c r="BJ368" s="89"/>
      <c r="BK368" s="91"/>
      <c r="BL368" s="66"/>
      <c r="BM368" s="94"/>
      <c r="BN368" s="94"/>
      <c r="BO368" s="92"/>
      <c r="BP368" s="93"/>
      <c r="BQ368" s="23"/>
      <c r="BR368" s="94"/>
      <c r="BS368" s="94"/>
      <c r="BT368" s="94"/>
      <c r="BU368" s="94"/>
      <c r="BV368" s="95"/>
      <c r="BW368" s="91"/>
      <c r="BX368" s="95"/>
      <c r="BY368" s="8"/>
      <c r="BZ368" s="96"/>
      <c r="CA368" s="91"/>
      <c r="CB368" s="97"/>
      <c r="CC368" s="8"/>
      <c r="CD368" s="91"/>
      <c r="CE368" s="98"/>
      <c r="CF368" s="5"/>
      <c r="DK368" s="89"/>
      <c r="DL368" s="8"/>
      <c r="DM368" s="8"/>
      <c r="DN368" s="8"/>
      <c r="DO368" s="8"/>
      <c r="DP368" s="8"/>
      <c r="DQ368" s="8"/>
      <c r="DR368" s="8"/>
      <c r="DZ368" s="45"/>
      <c r="EA368" s="89"/>
      <c r="EB368" s="89"/>
      <c r="EC368" s="89"/>
      <c r="ED368" s="89"/>
      <c r="EE368" s="89"/>
      <c r="EF368" s="89"/>
      <c r="EG368" s="89"/>
      <c r="EH368" s="89"/>
      <c r="EI368" s="89"/>
      <c r="EJ368" s="89"/>
      <c r="EK368" s="91"/>
      <c r="EL368" s="66"/>
      <c r="EM368" s="94"/>
      <c r="EN368" s="94"/>
      <c r="EO368" s="92"/>
      <c r="EP368" s="93"/>
      <c r="EQ368" s="23"/>
      <c r="ER368" s="94"/>
      <c r="ES368" s="94"/>
      <c r="ET368" s="94"/>
      <c r="EU368" s="94"/>
      <c r="EV368" s="95"/>
      <c r="EW368" s="91"/>
      <c r="EX368" s="95"/>
      <c r="EY368" s="8"/>
      <c r="EZ368" s="96"/>
      <c r="FA368" s="91"/>
      <c r="FB368" s="97"/>
      <c r="FC368" s="8"/>
      <c r="FD368" s="91"/>
      <c r="FE368" s="98"/>
      <c r="FF368" s="5"/>
    </row>
    <row r="369" spans="37:162">
      <c r="AK369" s="89"/>
      <c r="AL369" s="8"/>
      <c r="AM369" s="8"/>
      <c r="AN369" s="8"/>
      <c r="AO369" s="8"/>
      <c r="AP369" s="8"/>
      <c r="AQ369" s="8"/>
      <c r="AR369" s="8"/>
      <c r="AZ369" s="45"/>
      <c r="BA369" s="89"/>
      <c r="BB369" s="89"/>
      <c r="BC369" s="89"/>
      <c r="BD369" s="89"/>
      <c r="BE369" s="89"/>
      <c r="BF369" s="89"/>
      <c r="BG369" s="89"/>
      <c r="BH369" s="89"/>
      <c r="BI369" s="89"/>
      <c r="BJ369" s="89"/>
      <c r="BK369" s="91"/>
      <c r="BL369" s="66"/>
      <c r="BM369" s="94"/>
      <c r="BN369" s="94"/>
      <c r="BO369" s="92"/>
      <c r="BP369" s="93"/>
      <c r="BQ369" s="23"/>
      <c r="BR369" s="94"/>
      <c r="BS369" s="94"/>
      <c r="BT369" s="94"/>
      <c r="BU369" s="94"/>
      <c r="BV369" s="95"/>
      <c r="BW369" s="91"/>
      <c r="BX369" s="95"/>
      <c r="BY369" s="8"/>
      <c r="BZ369" s="96"/>
      <c r="CA369" s="91"/>
      <c r="CB369" s="97"/>
      <c r="CC369" s="8"/>
      <c r="CD369" s="91"/>
      <c r="CE369" s="98"/>
      <c r="CF369" s="5"/>
      <c r="DK369" s="89"/>
      <c r="DL369" s="8"/>
      <c r="DM369" s="8"/>
      <c r="DN369" s="8"/>
      <c r="DO369" s="8"/>
      <c r="DP369" s="8"/>
      <c r="DQ369" s="8"/>
      <c r="DR369" s="8"/>
      <c r="DZ369" s="45"/>
      <c r="EA369" s="89"/>
      <c r="EB369" s="89"/>
      <c r="EC369" s="89"/>
      <c r="ED369" s="89"/>
      <c r="EE369" s="89"/>
      <c r="EF369" s="89"/>
      <c r="EG369" s="89"/>
      <c r="EH369" s="89"/>
      <c r="EI369" s="89"/>
      <c r="EJ369" s="89"/>
      <c r="EK369" s="91"/>
      <c r="EL369" s="66"/>
      <c r="EM369" s="94"/>
      <c r="EN369" s="94"/>
      <c r="EO369" s="92"/>
      <c r="EP369" s="93"/>
      <c r="EQ369" s="23"/>
      <c r="ER369" s="94"/>
      <c r="ES369" s="94"/>
      <c r="ET369" s="94"/>
      <c r="EU369" s="94"/>
      <c r="EV369" s="95"/>
      <c r="EW369" s="91"/>
      <c r="EX369" s="95"/>
      <c r="EY369" s="8"/>
      <c r="EZ369" s="96"/>
      <c r="FA369" s="91"/>
      <c r="FB369" s="97"/>
      <c r="FC369" s="8"/>
      <c r="FD369" s="91"/>
      <c r="FE369" s="98"/>
      <c r="FF369" s="5"/>
    </row>
    <row r="370" spans="37:162">
      <c r="AK370" s="89"/>
      <c r="AL370" s="8"/>
      <c r="AM370" s="8"/>
      <c r="AN370" s="8"/>
      <c r="AO370" s="8"/>
      <c r="AP370" s="8"/>
      <c r="AQ370" s="8"/>
      <c r="AR370" s="8"/>
      <c r="AZ370" s="45"/>
      <c r="BA370" s="89"/>
      <c r="BB370" s="89"/>
      <c r="BC370" s="89"/>
      <c r="BD370" s="89"/>
      <c r="BE370" s="89"/>
      <c r="BF370" s="89"/>
      <c r="BG370" s="89"/>
      <c r="BH370" s="89"/>
      <c r="BI370" s="89"/>
      <c r="BJ370" s="89"/>
      <c r="BK370" s="91"/>
      <c r="BL370" s="66"/>
      <c r="BM370" s="94"/>
      <c r="BN370" s="94"/>
      <c r="BO370" s="92"/>
      <c r="BP370" s="93"/>
      <c r="BQ370" s="23"/>
      <c r="BR370" s="94"/>
      <c r="BS370" s="94"/>
      <c r="BT370" s="94"/>
      <c r="BU370" s="94"/>
      <c r="BV370" s="95"/>
      <c r="BW370" s="91"/>
      <c r="BX370" s="95"/>
      <c r="BY370" s="8"/>
      <c r="BZ370" s="96"/>
      <c r="CA370" s="91"/>
      <c r="CB370" s="97"/>
      <c r="CC370" s="8"/>
      <c r="CD370" s="91"/>
      <c r="CE370" s="98"/>
      <c r="CF370" s="5"/>
      <c r="DK370" s="89"/>
      <c r="DL370" s="8"/>
      <c r="DM370" s="8"/>
      <c r="DN370" s="8"/>
      <c r="DO370" s="8"/>
      <c r="DP370" s="8"/>
      <c r="DQ370" s="8"/>
      <c r="DR370" s="8"/>
      <c r="DZ370" s="45"/>
      <c r="EA370" s="89"/>
      <c r="EB370" s="89"/>
      <c r="EC370" s="89"/>
      <c r="ED370" s="89"/>
      <c r="EE370" s="89"/>
      <c r="EF370" s="89"/>
      <c r="EG370" s="89"/>
      <c r="EH370" s="89"/>
      <c r="EI370" s="89"/>
      <c r="EJ370" s="89"/>
      <c r="EK370" s="91"/>
      <c r="EL370" s="66"/>
      <c r="EM370" s="94"/>
      <c r="EN370" s="94"/>
      <c r="EO370" s="92"/>
      <c r="EP370" s="93"/>
      <c r="EQ370" s="23"/>
      <c r="ER370" s="94"/>
      <c r="ES370" s="94"/>
      <c r="ET370" s="94"/>
      <c r="EU370" s="94"/>
      <c r="EV370" s="95"/>
      <c r="EW370" s="91"/>
      <c r="EX370" s="95"/>
      <c r="EY370" s="8"/>
      <c r="EZ370" s="96"/>
      <c r="FA370" s="91"/>
      <c r="FB370" s="97"/>
      <c r="FC370" s="8"/>
      <c r="FD370" s="91"/>
      <c r="FE370" s="98"/>
      <c r="FF370" s="5"/>
    </row>
    <row r="371" spans="37:162">
      <c r="AK371" s="89"/>
      <c r="AL371" s="8"/>
      <c r="AM371" s="8"/>
      <c r="AN371" s="8"/>
      <c r="AO371" s="8"/>
      <c r="AP371" s="8"/>
      <c r="AQ371" s="8"/>
      <c r="AR371" s="8"/>
      <c r="AZ371" s="45"/>
      <c r="BA371" s="89"/>
      <c r="BB371" s="89"/>
      <c r="BC371" s="89"/>
      <c r="BD371" s="89"/>
      <c r="BE371" s="89"/>
      <c r="BF371" s="89"/>
      <c r="BG371" s="89"/>
      <c r="BH371" s="89"/>
      <c r="BI371" s="89"/>
      <c r="BJ371" s="89"/>
      <c r="BK371" s="91"/>
      <c r="BL371" s="66"/>
      <c r="BM371" s="94"/>
      <c r="BN371" s="94"/>
      <c r="BO371" s="92"/>
      <c r="BP371" s="93"/>
      <c r="BQ371" s="23"/>
      <c r="BR371" s="94"/>
      <c r="BS371" s="94"/>
      <c r="BT371" s="94"/>
      <c r="BU371" s="94"/>
      <c r="BV371" s="95"/>
      <c r="BW371" s="91"/>
      <c r="BX371" s="95"/>
      <c r="BY371" s="8"/>
      <c r="BZ371" s="96"/>
      <c r="CA371" s="91"/>
      <c r="CB371" s="97"/>
      <c r="CC371" s="8"/>
      <c r="CD371" s="91"/>
      <c r="CE371" s="98"/>
      <c r="CF371" s="5"/>
      <c r="DK371" s="89"/>
      <c r="DL371" s="8"/>
      <c r="DM371" s="8"/>
      <c r="DN371" s="8"/>
      <c r="DO371" s="8"/>
      <c r="DP371" s="8"/>
      <c r="DQ371" s="8"/>
      <c r="DR371" s="8"/>
      <c r="DZ371" s="45"/>
      <c r="EA371" s="89"/>
      <c r="EB371" s="89"/>
      <c r="EC371" s="89"/>
      <c r="ED371" s="89"/>
      <c r="EE371" s="89"/>
      <c r="EF371" s="89"/>
      <c r="EG371" s="89"/>
      <c r="EH371" s="89"/>
      <c r="EI371" s="89"/>
      <c r="EJ371" s="89"/>
      <c r="EK371" s="91"/>
      <c r="EL371" s="66"/>
      <c r="EM371" s="94"/>
      <c r="EN371" s="94"/>
      <c r="EO371" s="92"/>
      <c r="EP371" s="93"/>
      <c r="EQ371" s="23"/>
      <c r="ER371" s="94"/>
      <c r="ES371" s="94"/>
      <c r="ET371" s="94"/>
      <c r="EU371" s="94"/>
      <c r="EV371" s="95"/>
      <c r="EW371" s="91"/>
      <c r="EX371" s="95"/>
      <c r="EY371" s="8"/>
      <c r="EZ371" s="96"/>
      <c r="FA371" s="91"/>
      <c r="FB371" s="97"/>
      <c r="FC371" s="8"/>
      <c r="FD371" s="91"/>
      <c r="FE371" s="98"/>
      <c r="FF371" s="5"/>
    </row>
    <row r="372" spans="37:162">
      <c r="AK372" s="89"/>
      <c r="AL372" s="8"/>
      <c r="AM372" s="8"/>
      <c r="AN372" s="8"/>
      <c r="AO372" s="8"/>
      <c r="AP372" s="8"/>
      <c r="AQ372" s="8"/>
      <c r="AR372" s="8"/>
      <c r="AZ372" s="45"/>
      <c r="BA372" s="89"/>
      <c r="BB372" s="89"/>
      <c r="BC372" s="89"/>
      <c r="BD372" s="89"/>
      <c r="BE372" s="89"/>
      <c r="BF372" s="89"/>
      <c r="BG372" s="89"/>
      <c r="BH372" s="89"/>
      <c r="BI372" s="89"/>
      <c r="BJ372" s="89"/>
      <c r="BK372" s="91"/>
      <c r="BL372" s="66"/>
      <c r="BM372" s="94"/>
      <c r="BN372" s="94"/>
      <c r="BO372" s="92"/>
      <c r="BP372" s="93"/>
      <c r="BQ372" s="23"/>
      <c r="BR372" s="94"/>
      <c r="BS372" s="94"/>
      <c r="BT372" s="94"/>
      <c r="BU372" s="94"/>
      <c r="BV372" s="95"/>
      <c r="BW372" s="91"/>
      <c r="BX372" s="95"/>
      <c r="BY372" s="8"/>
      <c r="BZ372" s="96"/>
      <c r="CA372" s="91"/>
      <c r="CB372" s="97"/>
      <c r="CC372" s="8"/>
      <c r="CD372" s="91"/>
      <c r="CE372" s="98"/>
      <c r="CF372" s="5"/>
      <c r="DK372" s="89"/>
      <c r="DL372" s="8"/>
      <c r="DM372" s="8"/>
      <c r="DN372" s="8"/>
      <c r="DO372" s="8"/>
      <c r="DP372" s="8"/>
      <c r="DQ372" s="8"/>
      <c r="DR372" s="8"/>
      <c r="DZ372" s="45"/>
      <c r="EA372" s="89"/>
      <c r="EB372" s="89"/>
      <c r="EC372" s="89"/>
      <c r="ED372" s="89"/>
      <c r="EE372" s="89"/>
      <c r="EF372" s="89"/>
      <c r="EG372" s="89"/>
      <c r="EH372" s="89"/>
      <c r="EI372" s="89"/>
      <c r="EJ372" s="89"/>
      <c r="EK372" s="91"/>
      <c r="EL372" s="66"/>
      <c r="EM372" s="94"/>
      <c r="EN372" s="94"/>
      <c r="EO372" s="92"/>
      <c r="EP372" s="93"/>
      <c r="EQ372" s="23"/>
      <c r="ER372" s="94"/>
      <c r="ES372" s="94"/>
      <c r="ET372" s="94"/>
      <c r="EU372" s="94"/>
      <c r="EV372" s="95"/>
      <c r="EW372" s="91"/>
      <c r="EX372" s="95"/>
      <c r="EY372" s="8"/>
      <c r="EZ372" s="96"/>
      <c r="FA372" s="91"/>
      <c r="FB372" s="97"/>
      <c r="FC372" s="8"/>
      <c r="FD372" s="91"/>
      <c r="FE372" s="98"/>
      <c r="FF372" s="5"/>
    </row>
    <row r="373" spans="37:162">
      <c r="AK373" s="89"/>
      <c r="AL373" s="8"/>
      <c r="AM373" s="8"/>
      <c r="AN373" s="8"/>
      <c r="AO373" s="8"/>
      <c r="AP373" s="8"/>
      <c r="AQ373" s="8"/>
      <c r="AR373" s="8"/>
      <c r="AZ373" s="45"/>
      <c r="BA373" s="89"/>
      <c r="BB373" s="89"/>
      <c r="BC373" s="89"/>
      <c r="BD373" s="89"/>
      <c r="BE373" s="89"/>
      <c r="BF373" s="89"/>
      <c r="BG373" s="89"/>
      <c r="BH373" s="89"/>
      <c r="BI373" s="89"/>
      <c r="BJ373" s="89"/>
      <c r="BK373" s="91"/>
      <c r="BL373" s="66"/>
      <c r="BM373" s="94"/>
      <c r="BN373" s="94"/>
      <c r="BO373" s="92"/>
      <c r="BP373" s="93"/>
      <c r="BQ373" s="23"/>
      <c r="BR373" s="94"/>
      <c r="BS373" s="94"/>
      <c r="BT373" s="94"/>
      <c r="BU373" s="94"/>
      <c r="BV373" s="95"/>
      <c r="BW373" s="91"/>
      <c r="BX373" s="95"/>
      <c r="BY373" s="8"/>
      <c r="BZ373" s="96"/>
      <c r="CA373" s="91"/>
      <c r="CB373" s="97"/>
      <c r="CC373" s="8"/>
      <c r="CD373" s="91"/>
      <c r="CE373" s="98"/>
      <c r="CF373" s="5"/>
      <c r="DK373" s="89"/>
      <c r="DL373" s="8"/>
      <c r="DM373" s="8"/>
      <c r="DN373" s="8"/>
      <c r="DO373" s="8"/>
      <c r="DP373" s="8"/>
      <c r="DQ373" s="8"/>
      <c r="DR373" s="8"/>
      <c r="DZ373" s="45"/>
      <c r="EA373" s="89"/>
      <c r="EB373" s="89"/>
      <c r="EC373" s="89"/>
      <c r="ED373" s="89"/>
      <c r="EE373" s="89"/>
      <c r="EF373" s="89"/>
      <c r="EG373" s="89"/>
      <c r="EH373" s="89"/>
      <c r="EI373" s="89"/>
      <c r="EJ373" s="89"/>
      <c r="EK373" s="91"/>
      <c r="EL373" s="66"/>
      <c r="EM373" s="94"/>
      <c r="EN373" s="94"/>
      <c r="EO373" s="92"/>
      <c r="EP373" s="93"/>
      <c r="EQ373" s="23"/>
      <c r="ER373" s="94"/>
      <c r="ES373" s="94"/>
      <c r="ET373" s="94"/>
      <c r="EU373" s="94"/>
      <c r="EV373" s="95"/>
      <c r="EW373" s="91"/>
      <c r="EX373" s="95"/>
      <c r="EY373" s="8"/>
      <c r="EZ373" s="96"/>
      <c r="FA373" s="91"/>
      <c r="FB373" s="97"/>
      <c r="FC373" s="8"/>
      <c r="FD373" s="91"/>
      <c r="FE373" s="98"/>
      <c r="FF373" s="5"/>
    </row>
    <row r="374" spans="37:162">
      <c r="AK374" s="89"/>
      <c r="AL374" s="8"/>
      <c r="AM374" s="8"/>
      <c r="AN374" s="8"/>
      <c r="AO374" s="8"/>
      <c r="AP374" s="8"/>
      <c r="AQ374" s="8"/>
      <c r="AR374" s="8"/>
      <c r="AZ374" s="45"/>
      <c r="BA374" s="89"/>
      <c r="BB374" s="89"/>
      <c r="BC374" s="89"/>
      <c r="BD374" s="89"/>
      <c r="BE374" s="89"/>
      <c r="BF374" s="89"/>
      <c r="BG374" s="89"/>
      <c r="BH374" s="89"/>
      <c r="BI374" s="89"/>
      <c r="BJ374" s="89"/>
      <c r="BK374" s="91"/>
      <c r="BL374" s="66"/>
      <c r="BM374" s="94"/>
      <c r="BN374" s="94"/>
      <c r="BO374" s="92"/>
      <c r="BP374" s="93"/>
      <c r="BQ374" s="23"/>
      <c r="BR374" s="94"/>
      <c r="BS374" s="94"/>
      <c r="BT374" s="94"/>
      <c r="BU374" s="94"/>
      <c r="BV374" s="95"/>
      <c r="BW374" s="91"/>
      <c r="BX374" s="95"/>
      <c r="BY374" s="8"/>
      <c r="BZ374" s="96"/>
      <c r="CA374" s="91"/>
      <c r="CB374" s="97"/>
      <c r="CC374" s="8"/>
      <c r="CD374" s="91"/>
      <c r="CE374" s="98"/>
      <c r="CF374" s="5"/>
      <c r="DK374" s="89"/>
      <c r="DL374" s="8"/>
      <c r="DM374" s="8"/>
      <c r="DN374" s="8"/>
      <c r="DO374" s="8"/>
      <c r="DP374" s="8"/>
      <c r="DQ374" s="8"/>
      <c r="DR374" s="8"/>
      <c r="DZ374" s="45"/>
      <c r="EA374" s="89"/>
      <c r="EB374" s="89"/>
      <c r="EC374" s="89"/>
      <c r="ED374" s="89"/>
      <c r="EE374" s="89"/>
      <c r="EF374" s="89"/>
      <c r="EG374" s="89"/>
      <c r="EH374" s="89"/>
      <c r="EI374" s="89"/>
      <c r="EJ374" s="89"/>
      <c r="EK374" s="91"/>
      <c r="EL374" s="66"/>
      <c r="EM374" s="94"/>
      <c r="EN374" s="94"/>
      <c r="EO374" s="92"/>
      <c r="EP374" s="93"/>
      <c r="EQ374" s="23"/>
      <c r="ER374" s="94"/>
      <c r="ES374" s="94"/>
      <c r="ET374" s="94"/>
      <c r="EU374" s="94"/>
      <c r="EV374" s="95"/>
      <c r="EW374" s="91"/>
      <c r="EX374" s="95"/>
      <c r="EY374" s="8"/>
      <c r="EZ374" s="96"/>
      <c r="FA374" s="91"/>
      <c r="FB374" s="97"/>
      <c r="FC374" s="8"/>
      <c r="FD374" s="91"/>
      <c r="FE374" s="98"/>
      <c r="FF374" s="5"/>
    </row>
    <row r="375" spans="37:162">
      <c r="AK375" s="89"/>
      <c r="AL375" s="8"/>
      <c r="AM375" s="8"/>
      <c r="AN375" s="8"/>
      <c r="AO375" s="8"/>
      <c r="AP375" s="8"/>
      <c r="AQ375" s="8"/>
      <c r="AR375" s="8"/>
      <c r="AZ375" s="45"/>
      <c r="BA375" s="89"/>
      <c r="BB375" s="89"/>
      <c r="BC375" s="89"/>
      <c r="BD375" s="89"/>
      <c r="BE375" s="89"/>
      <c r="BF375" s="89"/>
      <c r="BG375" s="89"/>
      <c r="BH375" s="89"/>
      <c r="BI375" s="89"/>
      <c r="BJ375" s="89"/>
      <c r="BK375" s="91"/>
      <c r="BL375" s="66"/>
      <c r="BM375" s="94"/>
      <c r="BN375" s="94"/>
      <c r="BO375" s="92"/>
      <c r="BP375" s="93"/>
      <c r="BQ375" s="23"/>
      <c r="BR375" s="94"/>
      <c r="BS375" s="94"/>
      <c r="BT375" s="94"/>
      <c r="BU375" s="94"/>
      <c r="BV375" s="95"/>
      <c r="BW375" s="91"/>
      <c r="BX375" s="95"/>
      <c r="BY375" s="8"/>
      <c r="BZ375" s="96"/>
      <c r="CA375" s="91"/>
      <c r="CB375" s="97"/>
      <c r="CC375" s="8"/>
      <c r="CD375" s="91"/>
      <c r="CE375" s="98"/>
      <c r="CF375" s="5"/>
      <c r="DK375" s="89"/>
      <c r="DL375" s="8"/>
      <c r="DM375" s="8"/>
      <c r="DN375" s="8"/>
      <c r="DO375" s="8"/>
      <c r="DP375" s="8"/>
      <c r="DQ375" s="8"/>
      <c r="DR375" s="8"/>
      <c r="DZ375" s="45"/>
      <c r="EA375" s="89"/>
      <c r="EB375" s="89"/>
      <c r="EC375" s="89"/>
      <c r="ED375" s="89"/>
      <c r="EE375" s="89"/>
      <c r="EF375" s="89"/>
      <c r="EG375" s="89"/>
      <c r="EH375" s="89"/>
      <c r="EI375" s="89"/>
      <c r="EJ375" s="89"/>
      <c r="EK375" s="91"/>
      <c r="EL375" s="66"/>
      <c r="EM375" s="94"/>
      <c r="EN375" s="94"/>
      <c r="EO375" s="92"/>
      <c r="EP375" s="93"/>
      <c r="EQ375" s="23"/>
      <c r="ER375" s="94"/>
      <c r="ES375" s="94"/>
      <c r="ET375" s="94"/>
      <c r="EU375" s="94"/>
      <c r="EV375" s="95"/>
      <c r="EW375" s="91"/>
      <c r="EX375" s="95"/>
      <c r="EY375" s="8"/>
      <c r="EZ375" s="96"/>
      <c r="FA375" s="91"/>
      <c r="FB375" s="97"/>
      <c r="FC375" s="8"/>
      <c r="FD375" s="91"/>
      <c r="FE375" s="98"/>
      <c r="FF375" s="5"/>
    </row>
    <row r="376" spans="37:162">
      <c r="AK376" s="89"/>
      <c r="AL376" s="8"/>
      <c r="AM376" s="8"/>
      <c r="AN376" s="8"/>
      <c r="AO376" s="8"/>
      <c r="AP376" s="8"/>
      <c r="AQ376" s="8"/>
      <c r="AR376" s="8"/>
      <c r="AZ376" s="45"/>
      <c r="BA376" s="89"/>
      <c r="BB376" s="89"/>
      <c r="BC376" s="89"/>
      <c r="BD376" s="89"/>
      <c r="BE376" s="89"/>
      <c r="BF376" s="89"/>
      <c r="BG376" s="89"/>
      <c r="BH376" s="89"/>
      <c r="BI376" s="89"/>
      <c r="BJ376" s="89"/>
      <c r="BK376" s="91"/>
      <c r="BL376" s="66"/>
      <c r="BM376" s="94"/>
      <c r="BN376" s="94"/>
      <c r="BO376" s="92"/>
      <c r="BP376" s="93"/>
      <c r="BQ376" s="23"/>
      <c r="BR376" s="94"/>
      <c r="BS376" s="94"/>
      <c r="BT376" s="94"/>
      <c r="BU376" s="94"/>
      <c r="BV376" s="95"/>
      <c r="BW376" s="91"/>
      <c r="BX376" s="95"/>
      <c r="BY376" s="8"/>
      <c r="BZ376" s="96"/>
      <c r="CA376" s="91"/>
      <c r="CB376" s="97"/>
      <c r="CC376" s="8"/>
      <c r="CD376" s="91"/>
      <c r="CE376" s="98"/>
      <c r="CF376" s="5"/>
      <c r="DK376" s="89"/>
      <c r="DL376" s="8"/>
      <c r="DM376" s="8"/>
      <c r="DN376" s="8"/>
      <c r="DO376" s="8"/>
      <c r="DP376" s="8"/>
      <c r="DQ376" s="8"/>
      <c r="DR376" s="8"/>
      <c r="DZ376" s="45"/>
      <c r="EA376" s="89"/>
      <c r="EB376" s="89"/>
      <c r="EC376" s="89"/>
      <c r="ED376" s="89"/>
      <c r="EE376" s="89"/>
      <c r="EF376" s="89"/>
      <c r="EG376" s="89"/>
      <c r="EH376" s="89"/>
      <c r="EI376" s="89"/>
      <c r="EJ376" s="89"/>
      <c r="EK376" s="91"/>
      <c r="EL376" s="66"/>
      <c r="EM376" s="94"/>
      <c r="EN376" s="94"/>
      <c r="EO376" s="92"/>
      <c r="EP376" s="93"/>
      <c r="EQ376" s="23"/>
      <c r="ER376" s="94"/>
      <c r="ES376" s="94"/>
      <c r="ET376" s="94"/>
      <c r="EU376" s="94"/>
      <c r="EV376" s="95"/>
      <c r="EW376" s="91"/>
      <c r="EX376" s="95"/>
      <c r="EY376" s="8"/>
      <c r="EZ376" s="96"/>
      <c r="FA376" s="91"/>
      <c r="FB376" s="97"/>
      <c r="FC376" s="8"/>
      <c r="FD376" s="91"/>
      <c r="FE376" s="98"/>
      <c r="FF376" s="5"/>
    </row>
    <row r="377" spans="37:162">
      <c r="AK377" s="89"/>
      <c r="AL377" s="8"/>
      <c r="AM377" s="8"/>
      <c r="AN377" s="8"/>
      <c r="AO377" s="8"/>
      <c r="AP377" s="8"/>
      <c r="AQ377" s="8"/>
      <c r="AR377" s="8"/>
      <c r="AZ377" s="45"/>
      <c r="BA377" s="89"/>
      <c r="BB377" s="89"/>
      <c r="BC377" s="89"/>
      <c r="BD377" s="89"/>
      <c r="BE377" s="89"/>
      <c r="BF377" s="89"/>
      <c r="BG377" s="89"/>
      <c r="BH377" s="89"/>
      <c r="BI377" s="89"/>
      <c r="BJ377" s="89"/>
      <c r="BK377" s="91"/>
      <c r="BL377" s="66"/>
      <c r="BM377" s="94"/>
      <c r="BN377" s="94"/>
      <c r="BO377" s="92"/>
      <c r="BP377" s="93"/>
      <c r="BQ377" s="23"/>
      <c r="BR377" s="94"/>
      <c r="BS377" s="94"/>
      <c r="BT377" s="94"/>
      <c r="BU377" s="94"/>
      <c r="BV377" s="95"/>
      <c r="BW377" s="91"/>
      <c r="BX377" s="95"/>
      <c r="BY377" s="8"/>
      <c r="BZ377" s="96"/>
      <c r="CA377" s="91"/>
      <c r="CB377" s="97"/>
      <c r="CC377" s="8"/>
      <c r="CD377" s="91"/>
      <c r="CE377" s="98"/>
      <c r="CF377" s="5"/>
      <c r="DK377" s="89"/>
      <c r="DL377" s="8"/>
      <c r="DM377" s="8"/>
      <c r="DN377" s="8"/>
      <c r="DO377" s="8"/>
      <c r="DP377" s="8"/>
      <c r="DQ377" s="8"/>
      <c r="DR377" s="8"/>
      <c r="DZ377" s="45"/>
      <c r="EA377" s="89"/>
      <c r="EB377" s="89"/>
      <c r="EC377" s="89"/>
      <c r="ED377" s="89"/>
      <c r="EE377" s="89"/>
      <c r="EF377" s="89"/>
      <c r="EG377" s="89"/>
      <c r="EH377" s="89"/>
      <c r="EI377" s="89"/>
      <c r="EJ377" s="89"/>
      <c r="EK377" s="91"/>
      <c r="EL377" s="66"/>
      <c r="EM377" s="94"/>
      <c r="EN377" s="94"/>
      <c r="EO377" s="92"/>
      <c r="EP377" s="93"/>
      <c r="EQ377" s="23"/>
      <c r="ER377" s="94"/>
      <c r="ES377" s="94"/>
      <c r="ET377" s="94"/>
      <c r="EU377" s="94"/>
      <c r="EV377" s="95"/>
      <c r="EW377" s="91"/>
      <c r="EX377" s="95"/>
      <c r="EY377" s="8"/>
      <c r="EZ377" s="96"/>
      <c r="FA377" s="91"/>
      <c r="FB377" s="97"/>
      <c r="FC377" s="8"/>
      <c r="FD377" s="91"/>
      <c r="FE377" s="98"/>
      <c r="FF377" s="5"/>
    </row>
    <row r="378" spans="37:162">
      <c r="AK378" s="89"/>
      <c r="AL378" s="8"/>
      <c r="AM378" s="8"/>
      <c r="AN378" s="8"/>
      <c r="AO378" s="8"/>
      <c r="AP378" s="8"/>
      <c r="AQ378" s="8"/>
      <c r="AR378" s="8"/>
      <c r="AZ378" s="45"/>
      <c r="BA378" s="89"/>
      <c r="BB378" s="89"/>
      <c r="BC378" s="89"/>
      <c r="BD378" s="89"/>
      <c r="BE378" s="89"/>
      <c r="BF378" s="89"/>
      <c r="BG378" s="89"/>
      <c r="BH378" s="89"/>
      <c r="BI378" s="89"/>
      <c r="BJ378" s="89"/>
      <c r="BK378" s="91"/>
      <c r="BL378" s="66"/>
      <c r="BM378" s="94"/>
      <c r="BN378" s="94"/>
      <c r="BO378" s="92"/>
      <c r="BP378" s="93"/>
      <c r="BQ378" s="23"/>
      <c r="BR378" s="94"/>
      <c r="BS378" s="94"/>
      <c r="BT378" s="94"/>
      <c r="BU378" s="94"/>
      <c r="BV378" s="95"/>
      <c r="BW378" s="91"/>
      <c r="BX378" s="95"/>
      <c r="BY378" s="8"/>
      <c r="BZ378" s="96"/>
      <c r="CA378" s="91"/>
      <c r="CB378" s="97"/>
      <c r="CC378" s="8"/>
      <c r="CD378" s="91"/>
      <c r="CE378" s="98"/>
      <c r="CF378" s="5"/>
      <c r="DK378" s="89"/>
      <c r="DL378" s="8"/>
      <c r="DM378" s="8"/>
      <c r="DN378" s="8"/>
      <c r="DO378" s="8"/>
      <c r="DP378" s="8"/>
      <c r="DQ378" s="8"/>
      <c r="DR378" s="8"/>
      <c r="DZ378" s="45"/>
      <c r="EA378" s="89"/>
      <c r="EB378" s="89"/>
      <c r="EC378" s="89"/>
      <c r="ED378" s="89"/>
      <c r="EE378" s="89"/>
      <c r="EF378" s="89"/>
      <c r="EG378" s="89"/>
      <c r="EH378" s="89"/>
      <c r="EI378" s="89"/>
      <c r="EJ378" s="89"/>
      <c r="EK378" s="91"/>
      <c r="EL378" s="66"/>
      <c r="EM378" s="94"/>
      <c r="EN378" s="94"/>
      <c r="EO378" s="92"/>
      <c r="EP378" s="93"/>
      <c r="EQ378" s="23"/>
      <c r="ER378" s="94"/>
      <c r="ES378" s="94"/>
      <c r="ET378" s="94"/>
      <c r="EU378" s="94"/>
      <c r="EV378" s="95"/>
      <c r="EW378" s="91"/>
      <c r="EX378" s="95"/>
      <c r="EY378" s="8"/>
      <c r="EZ378" s="96"/>
      <c r="FA378" s="91"/>
      <c r="FB378" s="97"/>
      <c r="FC378" s="8"/>
      <c r="FD378" s="91"/>
      <c r="FE378" s="98"/>
      <c r="FF378" s="5"/>
    </row>
    <row r="379" spans="37:162">
      <c r="AK379" s="89"/>
      <c r="AL379" s="8"/>
      <c r="AM379" s="8"/>
      <c r="AN379" s="8"/>
      <c r="AO379" s="8"/>
      <c r="AP379" s="8"/>
      <c r="AQ379" s="8"/>
      <c r="AR379" s="8"/>
      <c r="AZ379" s="45"/>
      <c r="BA379" s="89"/>
      <c r="BB379" s="89"/>
      <c r="BC379" s="89"/>
      <c r="BD379" s="89"/>
      <c r="BE379" s="89"/>
      <c r="BF379" s="89"/>
      <c r="BG379" s="89"/>
      <c r="BH379" s="89"/>
      <c r="BI379" s="89"/>
      <c r="BJ379" s="89"/>
      <c r="BK379" s="91"/>
      <c r="BL379" s="66"/>
      <c r="BM379" s="94"/>
      <c r="BN379" s="94"/>
      <c r="BO379" s="92"/>
      <c r="BP379" s="93"/>
      <c r="BQ379" s="23"/>
      <c r="BR379" s="94"/>
      <c r="BS379" s="94"/>
      <c r="BT379" s="94"/>
      <c r="BU379" s="94"/>
      <c r="BV379" s="95"/>
      <c r="BW379" s="91"/>
      <c r="BX379" s="95"/>
      <c r="BY379" s="8"/>
      <c r="BZ379" s="96"/>
      <c r="CA379" s="91"/>
      <c r="CB379" s="97"/>
      <c r="CC379" s="8"/>
      <c r="CD379" s="91"/>
      <c r="CE379" s="98"/>
      <c r="CF379" s="5"/>
      <c r="DK379" s="89"/>
      <c r="DL379" s="8"/>
      <c r="DM379" s="8"/>
      <c r="DN379" s="8"/>
      <c r="DO379" s="8"/>
      <c r="DP379" s="8"/>
      <c r="DQ379" s="8"/>
      <c r="DR379" s="8"/>
      <c r="DZ379" s="45"/>
      <c r="EA379" s="89"/>
      <c r="EB379" s="89"/>
      <c r="EC379" s="89"/>
      <c r="ED379" s="89"/>
      <c r="EE379" s="89"/>
      <c r="EF379" s="89"/>
      <c r="EG379" s="89"/>
      <c r="EH379" s="89"/>
      <c r="EI379" s="89"/>
      <c r="EJ379" s="89"/>
      <c r="EK379" s="91"/>
      <c r="EL379" s="66"/>
      <c r="EM379" s="94"/>
      <c r="EN379" s="94"/>
      <c r="EO379" s="92"/>
      <c r="EP379" s="93"/>
      <c r="EQ379" s="23"/>
      <c r="ER379" s="94"/>
      <c r="ES379" s="94"/>
      <c r="ET379" s="94"/>
      <c r="EU379" s="94"/>
      <c r="EV379" s="95"/>
      <c r="EW379" s="91"/>
      <c r="EX379" s="95"/>
      <c r="EY379" s="8"/>
      <c r="EZ379" s="96"/>
      <c r="FA379" s="91"/>
      <c r="FB379" s="97"/>
      <c r="FC379" s="8"/>
      <c r="FD379" s="91"/>
      <c r="FE379" s="98"/>
      <c r="FF379" s="5"/>
    </row>
    <row r="380" spans="37:162">
      <c r="AK380" s="89"/>
      <c r="AL380" s="8"/>
      <c r="AM380" s="8"/>
      <c r="AN380" s="8"/>
      <c r="AO380" s="8"/>
      <c r="AP380" s="8"/>
      <c r="AQ380" s="8"/>
      <c r="AR380" s="8"/>
      <c r="AZ380" s="45"/>
      <c r="BA380" s="89"/>
      <c r="BB380" s="89"/>
      <c r="BC380" s="89"/>
      <c r="BD380" s="89"/>
      <c r="BE380" s="89"/>
      <c r="BF380" s="89"/>
      <c r="BG380" s="89"/>
      <c r="BH380" s="89"/>
      <c r="BI380" s="89"/>
      <c r="BJ380" s="89"/>
      <c r="BK380" s="91"/>
      <c r="BL380" s="66"/>
      <c r="BM380" s="94"/>
      <c r="BN380" s="94"/>
      <c r="BO380" s="92"/>
      <c r="BP380" s="93"/>
      <c r="BQ380" s="23"/>
      <c r="BR380" s="94"/>
      <c r="BS380" s="94"/>
      <c r="BT380" s="94"/>
      <c r="BU380" s="94"/>
      <c r="BV380" s="95"/>
      <c r="BW380" s="91"/>
      <c r="BX380" s="95"/>
      <c r="BY380" s="8"/>
      <c r="BZ380" s="96"/>
      <c r="CA380" s="91"/>
      <c r="CB380" s="97"/>
      <c r="CC380" s="8"/>
      <c r="CD380" s="91"/>
      <c r="CE380" s="98"/>
      <c r="CF380" s="5"/>
      <c r="DK380" s="89"/>
      <c r="DL380" s="8"/>
      <c r="DM380" s="8"/>
      <c r="DN380" s="8"/>
      <c r="DO380" s="8"/>
      <c r="DP380" s="8"/>
      <c r="DQ380" s="8"/>
      <c r="DR380" s="8"/>
      <c r="DZ380" s="45"/>
      <c r="EA380" s="89"/>
      <c r="EB380" s="89"/>
      <c r="EC380" s="89"/>
      <c r="ED380" s="89"/>
      <c r="EE380" s="89"/>
      <c r="EF380" s="89"/>
      <c r="EG380" s="89"/>
      <c r="EH380" s="89"/>
      <c r="EI380" s="89"/>
      <c r="EJ380" s="89"/>
      <c r="EK380" s="91"/>
      <c r="EL380" s="66"/>
      <c r="EM380" s="94"/>
      <c r="EN380" s="94"/>
      <c r="EO380" s="92"/>
      <c r="EP380" s="93"/>
      <c r="EQ380" s="23"/>
      <c r="ER380" s="94"/>
      <c r="ES380" s="94"/>
      <c r="ET380" s="94"/>
      <c r="EU380" s="94"/>
      <c r="EV380" s="95"/>
      <c r="EW380" s="91"/>
      <c r="EX380" s="95"/>
      <c r="EY380" s="8"/>
      <c r="EZ380" s="96"/>
      <c r="FA380" s="91"/>
      <c r="FB380" s="97"/>
      <c r="FC380" s="8"/>
      <c r="FD380" s="91"/>
      <c r="FE380" s="98"/>
      <c r="FF380" s="5"/>
    </row>
    <row r="381" spans="37:162">
      <c r="AK381" s="89"/>
      <c r="AL381" s="8"/>
      <c r="AM381" s="8"/>
      <c r="AN381" s="8"/>
      <c r="AO381" s="8"/>
      <c r="AP381" s="8"/>
      <c r="AQ381" s="8"/>
      <c r="AR381" s="8"/>
      <c r="AZ381" s="45"/>
      <c r="BA381" s="89"/>
      <c r="BB381" s="89"/>
      <c r="BC381" s="89"/>
      <c r="BD381" s="89"/>
      <c r="BE381" s="89"/>
      <c r="BF381" s="89"/>
      <c r="BG381" s="89"/>
      <c r="BH381" s="89"/>
      <c r="BI381" s="89"/>
      <c r="BJ381" s="89"/>
      <c r="BK381" s="91"/>
      <c r="BL381" s="66"/>
      <c r="BM381" s="94"/>
      <c r="BN381" s="94"/>
      <c r="BO381" s="92"/>
      <c r="BP381" s="93"/>
      <c r="BQ381" s="23"/>
      <c r="BR381" s="94"/>
      <c r="BS381" s="94"/>
      <c r="BT381" s="94"/>
      <c r="BU381" s="94"/>
      <c r="BV381" s="95"/>
      <c r="BW381" s="91"/>
      <c r="BX381" s="95"/>
      <c r="BY381" s="8"/>
      <c r="BZ381" s="96"/>
      <c r="CA381" s="91"/>
      <c r="CB381" s="97"/>
      <c r="CC381" s="8"/>
      <c r="CD381" s="91"/>
      <c r="CE381" s="98"/>
      <c r="CF381" s="5"/>
      <c r="DK381" s="89"/>
      <c r="DL381" s="8"/>
      <c r="DM381" s="8"/>
      <c r="DN381" s="8"/>
      <c r="DO381" s="8"/>
      <c r="DP381" s="8"/>
      <c r="DQ381" s="8"/>
      <c r="DR381" s="8"/>
      <c r="DZ381" s="45"/>
      <c r="EA381" s="89"/>
      <c r="EB381" s="89"/>
      <c r="EC381" s="89"/>
      <c r="ED381" s="89"/>
      <c r="EE381" s="89"/>
      <c r="EF381" s="89"/>
      <c r="EG381" s="89"/>
      <c r="EH381" s="89"/>
      <c r="EI381" s="89"/>
      <c r="EJ381" s="89"/>
      <c r="EK381" s="91"/>
      <c r="EL381" s="66"/>
      <c r="EM381" s="94"/>
      <c r="EN381" s="94"/>
      <c r="EO381" s="92"/>
      <c r="EP381" s="93"/>
      <c r="EQ381" s="23"/>
      <c r="ER381" s="94"/>
      <c r="ES381" s="94"/>
      <c r="ET381" s="94"/>
      <c r="EU381" s="94"/>
      <c r="EV381" s="95"/>
      <c r="EW381" s="91"/>
      <c r="EX381" s="95"/>
      <c r="EY381" s="8"/>
      <c r="EZ381" s="96"/>
      <c r="FA381" s="91"/>
      <c r="FB381" s="97"/>
      <c r="FC381" s="8"/>
      <c r="FD381" s="91"/>
      <c r="FE381" s="98"/>
      <c r="FF381" s="5"/>
    </row>
    <row r="382" spans="37:162">
      <c r="AK382" s="89"/>
      <c r="AL382" s="8"/>
      <c r="AM382" s="8"/>
      <c r="AN382" s="8"/>
      <c r="AO382" s="8"/>
      <c r="AP382" s="8"/>
      <c r="AQ382" s="8"/>
      <c r="AR382" s="8"/>
      <c r="AZ382" s="45"/>
      <c r="BA382" s="89"/>
      <c r="BB382" s="89"/>
      <c r="BC382" s="89"/>
      <c r="BD382" s="89"/>
      <c r="BE382" s="89"/>
      <c r="BF382" s="89"/>
      <c r="BG382" s="89"/>
      <c r="BH382" s="89"/>
      <c r="BI382" s="89"/>
      <c r="BJ382" s="89"/>
      <c r="BK382" s="91"/>
      <c r="BL382" s="66"/>
      <c r="BM382" s="94"/>
      <c r="BN382" s="94"/>
      <c r="BO382" s="92"/>
      <c r="BP382" s="93"/>
      <c r="BQ382" s="23"/>
      <c r="BR382" s="94"/>
      <c r="BS382" s="94"/>
      <c r="BT382" s="94"/>
      <c r="BU382" s="94"/>
      <c r="BV382" s="95"/>
      <c r="BW382" s="91"/>
      <c r="BX382" s="95"/>
      <c r="BY382" s="8"/>
      <c r="BZ382" s="96"/>
      <c r="CA382" s="91"/>
      <c r="CB382" s="97"/>
      <c r="CC382" s="8"/>
      <c r="CD382" s="91"/>
      <c r="CE382" s="98"/>
      <c r="CF382" s="5"/>
      <c r="DK382" s="89"/>
      <c r="DL382" s="8"/>
      <c r="DM382" s="8"/>
      <c r="DN382" s="8"/>
      <c r="DO382" s="8"/>
      <c r="DP382" s="8"/>
      <c r="DQ382" s="8"/>
      <c r="DR382" s="8"/>
      <c r="DZ382" s="45"/>
      <c r="EA382" s="89"/>
      <c r="EB382" s="89"/>
      <c r="EC382" s="89"/>
      <c r="ED382" s="89"/>
      <c r="EE382" s="89"/>
      <c r="EF382" s="89"/>
      <c r="EG382" s="89"/>
      <c r="EH382" s="89"/>
      <c r="EI382" s="89"/>
      <c r="EJ382" s="89"/>
      <c r="EK382" s="91"/>
      <c r="EL382" s="66"/>
      <c r="EM382" s="94"/>
      <c r="EN382" s="94"/>
      <c r="EO382" s="92"/>
      <c r="EP382" s="93"/>
      <c r="EQ382" s="23"/>
      <c r="ER382" s="94"/>
      <c r="ES382" s="94"/>
      <c r="ET382" s="94"/>
      <c r="EU382" s="94"/>
      <c r="EV382" s="95"/>
      <c r="EW382" s="91"/>
      <c r="EX382" s="95"/>
      <c r="EY382" s="8"/>
      <c r="EZ382" s="96"/>
      <c r="FA382" s="91"/>
      <c r="FB382" s="97"/>
      <c r="FC382" s="8"/>
      <c r="FD382" s="91"/>
      <c r="FE382" s="98"/>
      <c r="FF382" s="5"/>
    </row>
    <row r="383" spans="37:162">
      <c r="AK383" s="89"/>
      <c r="AL383" s="8"/>
      <c r="AM383" s="8"/>
      <c r="AN383" s="8"/>
      <c r="AO383" s="8"/>
      <c r="AP383" s="8"/>
      <c r="AQ383" s="8"/>
      <c r="AR383" s="8"/>
      <c r="AZ383" s="45"/>
      <c r="BA383" s="89"/>
      <c r="BB383" s="89"/>
      <c r="BC383" s="89"/>
      <c r="BD383" s="89"/>
      <c r="BE383" s="89"/>
      <c r="BF383" s="89"/>
      <c r="BG383" s="89"/>
      <c r="BH383" s="89"/>
      <c r="BI383" s="89"/>
      <c r="BJ383" s="89"/>
      <c r="BK383" s="91"/>
      <c r="BL383" s="66"/>
      <c r="BM383" s="94"/>
      <c r="BN383" s="94"/>
      <c r="BO383" s="92"/>
      <c r="BP383" s="93"/>
      <c r="BQ383" s="23"/>
      <c r="BR383" s="94"/>
      <c r="BS383" s="94"/>
      <c r="BT383" s="94"/>
      <c r="BU383" s="94"/>
      <c r="BV383" s="95"/>
      <c r="BW383" s="91"/>
      <c r="BX383" s="95"/>
      <c r="BY383" s="8"/>
      <c r="BZ383" s="96"/>
      <c r="CA383" s="91"/>
      <c r="CB383" s="97"/>
      <c r="CC383" s="8"/>
      <c r="CD383" s="91"/>
      <c r="CE383" s="98"/>
      <c r="CF383" s="5"/>
      <c r="DK383" s="89"/>
      <c r="DL383" s="8"/>
      <c r="DM383" s="8"/>
      <c r="DN383" s="8"/>
      <c r="DO383" s="8"/>
      <c r="DP383" s="8"/>
      <c r="DQ383" s="8"/>
      <c r="DR383" s="8"/>
      <c r="DZ383" s="45"/>
      <c r="EA383" s="89"/>
      <c r="EB383" s="89"/>
      <c r="EC383" s="89"/>
      <c r="ED383" s="89"/>
      <c r="EE383" s="89"/>
      <c r="EF383" s="89"/>
      <c r="EG383" s="89"/>
      <c r="EH383" s="89"/>
      <c r="EI383" s="89"/>
      <c r="EJ383" s="89"/>
      <c r="EK383" s="91"/>
      <c r="EL383" s="66"/>
      <c r="EM383" s="94"/>
      <c r="EN383" s="94"/>
      <c r="EO383" s="92"/>
      <c r="EP383" s="93"/>
      <c r="EQ383" s="23"/>
      <c r="ER383" s="94"/>
      <c r="ES383" s="94"/>
      <c r="ET383" s="94"/>
      <c r="EU383" s="94"/>
      <c r="EV383" s="95"/>
      <c r="EW383" s="91"/>
      <c r="EX383" s="95"/>
      <c r="EY383" s="8"/>
      <c r="EZ383" s="96"/>
      <c r="FA383" s="91"/>
      <c r="FB383" s="97"/>
      <c r="FC383" s="8"/>
      <c r="FD383" s="91"/>
      <c r="FE383" s="98"/>
      <c r="FF383" s="5"/>
    </row>
    <row r="384" spans="37:162">
      <c r="AK384" s="89"/>
      <c r="AL384" s="8"/>
      <c r="AM384" s="8"/>
      <c r="AN384" s="8"/>
      <c r="AO384" s="8"/>
      <c r="AP384" s="8"/>
      <c r="AQ384" s="8"/>
      <c r="AR384" s="8"/>
      <c r="AZ384" s="45"/>
      <c r="BA384" s="89"/>
      <c r="BB384" s="89"/>
      <c r="BC384" s="89"/>
      <c r="BD384" s="89"/>
      <c r="BE384" s="89"/>
      <c r="BF384" s="89"/>
      <c r="BG384" s="89"/>
      <c r="BH384" s="89"/>
      <c r="BI384" s="89"/>
      <c r="BJ384" s="89"/>
      <c r="BK384" s="91"/>
      <c r="BL384" s="66"/>
      <c r="BM384" s="94"/>
      <c r="BN384" s="94"/>
      <c r="BO384" s="92"/>
      <c r="BP384" s="93"/>
      <c r="BQ384" s="23"/>
      <c r="BR384" s="94"/>
      <c r="BS384" s="94"/>
      <c r="BT384" s="94"/>
      <c r="BU384" s="94"/>
      <c r="BV384" s="95"/>
      <c r="BW384" s="91"/>
      <c r="BX384" s="95"/>
      <c r="BY384" s="8"/>
      <c r="BZ384" s="96"/>
      <c r="CA384" s="91"/>
      <c r="CB384" s="97"/>
      <c r="CC384" s="8"/>
      <c r="CD384" s="91"/>
      <c r="CE384" s="98"/>
      <c r="CF384" s="5"/>
      <c r="DK384" s="89"/>
      <c r="DL384" s="8"/>
      <c r="DM384" s="8"/>
      <c r="DN384" s="8"/>
      <c r="DO384" s="8"/>
      <c r="DP384" s="8"/>
      <c r="DQ384" s="8"/>
      <c r="DR384" s="8"/>
      <c r="DZ384" s="45"/>
      <c r="EA384" s="89"/>
      <c r="EB384" s="89"/>
      <c r="EC384" s="89"/>
      <c r="ED384" s="89"/>
      <c r="EE384" s="89"/>
      <c r="EF384" s="89"/>
      <c r="EG384" s="89"/>
      <c r="EH384" s="89"/>
      <c r="EI384" s="89"/>
      <c r="EJ384" s="89"/>
      <c r="EK384" s="91"/>
      <c r="EL384" s="66"/>
      <c r="EM384" s="94"/>
      <c r="EN384" s="94"/>
      <c r="EO384" s="92"/>
      <c r="EP384" s="93"/>
      <c r="EQ384" s="23"/>
      <c r="ER384" s="94"/>
      <c r="ES384" s="94"/>
      <c r="ET384" s="94"/>
      <c r="EU384" s="94"/>
      <c r="EV384" s="95"/>
      <c r="EW384" s="91"/>
      <c r="EX384" s="95"/>
      <c r="EY384" s="8"/>
      <c r="EZ384" s="96"/>
      <c r="FA384" s="91"/>
      <c r="FB384" s="97"/>
      <c r="FC384" s="8"/>
      <c r="FD384" s="91"/>
      <c r="FE384" s="98"/>
      <c r="FF384" s="5"/>
    </row>
    <row r="385" spans="37:162">
      <c r="AK385" s="89"/>
      <c r="AL385" s="8"/>
      <c r="AM385" s="8"/>
      <c r="AN385" s="8"/>
      <c r="AO385" s="8"/>
      <c r="AP385" s="8"/>
      <c r="AQ385" s="8"/>
      <c r="AR385" s="8"/>
      <c r="AZ385" s="45"/>
      <c r="BA385" s="89"/>
      <c r="BB385" s="89"/>
      <c r="BC385" s="89"/>
      <c r="BD385" s="89"/>
      <c r="BE385" s="89"/>
      <c r="BF385" s="89"/>
      <c r="BG385" s="89"/>
      <c r="BH385" s="89"/>
      <c r="BI385" s="89"/>
      <c r="BJ385" s="89"/>
      <c r="BK385" s="91"/>
      <c r="BL385" s="66"/>
      <c r="BM385" s="94"/>
      <c r="BN385" s="94"/>
      <c r="BO385" s="92"/>
      <c r="BP385" s="93"/>
      <c r="BQ385" s="23"/>
      <c r="BR385" s="94"/>
      <c r="BS385" s="94"/>
      <c r="BT385" s="94"/>
      <c r="BU385" s="94"/>
      <c r="BV385" s="95"/>
      <c r="BW385" s="91"/>
      <c r="BX385" s="95"/>
      <c r="BY385" s="8"/>
      <c r="BZ385" s="96"/>
      <c r="CA385" s="91"/>
      <c r="CB385" s="97"/>
      <c r="CC385" s="8"/>
      <c r="CD385" s="91"/>
      <c r="CE385" s="98"/>
      <c r="CF385" s="5"/>
      <c r="DK385" s="89"/>
      <c r="DL385" s="8"/>
      <c r="DM385" s="8"/>
      <c r="DN385" s="8"/>
      <c r="DO385" s="8"/>
      <c r="DP385" s="8"/>
      <c r="DQ385" s="8"/>
      <c r="DR385" s="8"/>
      <c r="DZ385" s="45"/>
      <c r="EA385" s="89"/>
      <c r="EB385" s="89"/>
      <c r="EC385" s="89"/>
      <c r="ED385" s="89"/>
      <c r="EE385" s="89"/>
      <c r="EF385" s="89"/>
      <c r="EG385" s="89"/>
      <c r="EH385" s="89"/>
      <c r="EI385" s="89"/>
      <c r="EJ385" s="89"/>
      <c r="EK385" s="91"/>
      <c r="EL385" s="66"/>
      <c r="EM385" s="94"/>
      <c r="EN385" s="94"/>
      <c r="EO385" s="92"/>
      <c r="EP385" s="93"/>
      <c r="EQ385" s="23"/>
      <c r="ER385" s="94"/>
      <c r="ES385" s="94"/>
      <c r="ET385" s="94"/>
      <c r="EU385" s="94"/>
      <c r="EV385" s="95"/>
      <c r="EW385" s="91"/>
      <c r="EX385" s="95"/>
      <c r="EY385" s="8"/>
      <c r="EZ385" s="96"/>
      <c r="FA385" s="91"/>
      <c r="FB385" s="97"/>
      <c r="FC385" s="8"/>
      <c r="FD385" s="91"/>
      <c r="FE385" s="98"/>
      <c r="FF385" s="5"/>
    </row>
    <row r="386" spans="37:162">
      <c r="AK386" s="89"/>
      <c r="AL386" s="8"/>
      <c r="AM386" s="8"/>
      <c r="AN386" s="8"/>
      <c r="AO386" s="8"/>
      <c r="AP386" s="8"/>
      <c r="AQ386" s="8"/>
      <c r="AR386" s="8"/>
      <c r="AZ386" s="45"/>
      <c r="BA386" s="89"/>
      <c r="BB386" s="89"/>
      <c r="BC386" s="89"/>
      <c r="BD386" s="89"/>
      <c r="BE386" s="89"/>
      <c r="BF386" s="89"/>
      <c r="BG386" s="89"/>
      <c r="BH386" s="89"/>
      <c r="BI386" s="89"/>
      <c r="BJ386" s="89"/>
      <c r="BK386" s="91"/>
      <c r="BL386" s="66"/>
      <c r="BM386" s="94"/>
      <c r="BN386" s="94"/>
      <c r="BO386" s="92"/>
      <c r="BP386" s="93"/>
      <c r="BQ386" s="23"/>
      <c r="BR386" s="94"/>
      <c r="BS386" s="94"/>
      <c r="BT386" s="94"/>
      <c r="BU386" s="94"/>
      <c r="BV386" s="95"/>
      <c r="BW386" s="91"/>
      <c r="BX386" s="95"/>
      <c r="BY386" s="8"/>
      <c r="BZ386" s="96"/>
      <c r="CA386" s="91"/>
      <c r="CB386" s="97"/>
      <c r="CC386" s="8"/>
      <c r="CD386" s="91"/>
      <c r="CE386" s="98"/>
      <c r="CF386" s="5"/>
      <c r="DK386" s="89"/>
      <c r="DL386" s="8"/>
      <c r="DM386" s="8"/>
      <c r="DN386" s="8"/>
      <c r="DO386" s="8"/>
      <c r="DP386" s="8"/>
      <c r="DQ386" s="8"/>
      <c r="DR386" s="8"/>
      <c r="DZ386" s="45"/>
      <c r="EA386" s="89"/>
      <c r="EB386" s="89"/>
      <c r="EC386" s="89"/>
      <c r="ED386" s="89"/>
      <c r="EE386" s="89"/>
      <c r="EF386" s="89"/>
      <c r="EG386" s="89"/>
      <c r="EH386" s="89"/>
      <c r="EI386" s="89"/>
      <c r="EJ386" s="89"/>
      <c r="EK386" s="91"/>
      <c r="EL386" s="66"/>
      <c r="EM386" s="94"/>
      <c r="EN386" s="94"/>
      <c r="EO386" s="92"/>
      <c r="EP386" s="93"/>
      <c r="EQ386" s="23"/>
      <c r="ER386" s="94"/>
      <c r="ES386" s="94"/>
      <c r="ET386" s="94"/>
      <c r="EU386" s="94"/>
      <c r="EV386" s="95"/>
      <c r="EW386" s="91"/>
      <c r="EX386" s="95"/>
      <c r="EY386" s="8"/>
      <c r="EZ386" s="96"/>
      <c r="FA386" s="91"/>
      <c r="FB386" s="97"/>
      <c r="FC386" s="8"/>
      <c r="FD386" s="91"/>
      <c r="FE386" s="98"/>
      <c r="FF386" s="5"/>
    </row>
    <row r="387" spans="37:162">
      <c r="AK387" s="89"/>
      <c r="AL387" s="8"/>
      <c r="AM387" s="8"/>
      <c r="AN387" s="8"/>
      <c r="AO387" s="8"/>
      <c r="AP387" s="8"/>
      <c r="AQ387" s="8"/>
      <c r="AR387" s="8"/>
      <c r="AZ387" s="45"/>
      <c r="BA387" s="89"/>
      <c r="BB387" s="89"/>
      <c r="BC387" s="89"/>
      <c r="BD387" s="89"/>
      <c r="BE387" s="89"/>
      <c r="BF387" s="89"/>
      <c r="BG387" s="89"/>
      <c r="BH387" s="89"/>
      <c r="BI387" s="89"/>
      <c r="BJ387" s="89"/>
      <c r="BK387" s="91"/>
      <c r="BL387" s="66"/>
      <c r="BM387" s="94"/>
      <c r="BN387" s="94"/>
      <c r="BO387" s="92"/>
      <c r="BP387" s="93"/>
      <c r="BQ387" s="23"/>
      <c r="BR387" s="94"/>
      <c r="BS387" s="94"/>
      <c r="BT387" s="94"/>
      <c r="BU387" s="94"/>
      <c r="BV387" s="95"/>
      <c r="BW387" s="91"/>
      <c r="BX387" s="95"/>
      <c r="BY387" s="8"/>
      <c r="BZ387" s="96"/>
      <c r="CA387" s="91"/>
      <c r="CB387" s="97"/>
      <c r="CC387" s="8"/>
      <c r="CD387" s="91"/>
      <c r="CE387" s="98"/>
      <c r="CF387" s="5"/>
      <c r="DK387" s="89"/>
      <c r="DL387" s="8"/>
      <c r="DM387" s="8"/>
      <c r="DN387" s="8"/>
      <c r="DO387" s="8"/>
      <c r="DP387" s="8"/>
      <c r="DQ387" s="8"/>
      <c r="DR387" s="8"/>
      <c r="DZ387" s="45"/>
      <c r="EA387" s="89"/>
      <c r="EB387" s="89"/>
      <c r="EC387" s="89"/>
      <c r="ED387" s="89"/>
      <c r="EE387" s="89"/>
      <c r="EF387" s="89"/>
      <c r="EG387" s="89"/>
      <c r="EH387" s="89"/>
      <c r="EI387" s="89"/>
      <c r="EJ387" s="89"/>
      <c r="EK387" s="91"/>
      <c r="EL387" s="66"/>
      <c r="EM387" s="94"/>
      <c r="EN387" s="94"/>
      <c r="EO387" s="92"/>
      <c r="EP387" s="93"/>
      <c r="EQ387" s="23"/>
      <c r="ER387" s="94"/>
      <c r="ES387" s="94"/>
      <c r="ET387" s="94"/>
      <c r="EU387" s="94"/>
      <c r="EV387" s="95"/>
      <c r="EW387" s="91"/>
      <c r="EX387" s="95"/>
      <c r="EY387" s="8"/>
      <c r="EZ387" s="96"/>
      <c r="FA387" s="91"/>
      <c r="FB387" s="97"/>
      <c r="FC387" s="8"/>
      <c r="FD387" s="91"/>
      <c r="FE387" s="98"/>
      <c r="FF387" s="5"/>
    </row>
    <row r="388" spans="37:162">
      <c r="AK388" s="89"/>
      <c r="AL388" s="8"/>
      <c r="AM388" s="8"/>
      <c r="AN388" s="8"/>
      <c r="AO388" s="8"/>
      <c r="AP388" s="8"/>
      <c r="AQ388" s="8"/>
      <c r="AR388" s="8"/>
      <c r="AZ388" s="45"/>
      <c r="BA388" s="89"/>
      <c r="BB388" s="89"/>
      <c r="BC388" s="89"/>
      <c r="BD388" s="89"/>
      <c r="BE388" s="89"/>
      <c r="BF388" s="89"/>
      <c r="BG388" s="89"/>
      <c r="BH388" s="89"/>
      <c r="BI388" s="89"/>
      <c r="BJ388" s="89"/>
      <c r="BK388" s="91"/>
      <c r="BL388" s="66"/>
      <c r="BM388" s="94"/>
      <c r="BN388" s="94"/>
      <c r="BO388" s="92"/>
      <c r="BP388" s="93"/>
      <c r="BQ388" s="23"/>
      <c r="BR388" s="94"/>
      <c r="BS388" s="94"/>
      <c r="BT388" s="94"/>
      <c r="BU388" s="94"/>
      <c r="BV388" s="95"/>
      <c r="BW388" s="91"/>
      <c r="BX388" s="95"/>
      <c r="BY388" s="8"/>
      <c r="BZ388" s="96"/>
      <c r="CA388" s="91"/>
      <c r="CB388" s="97"/>
      <c r="CC388" s="8"/>
      <c r="CD388" s="91"/>
      <c r="CE388" s="98"/>
      <c r="CF388" s="5"/>
      <c r="DK388" s="89"/>
      <c r="DL388" s="8"/>
      <c r="DM388" s="8"/>
      <c r="DN388" s="8"/>
      <c r="DO388" s="8"/>
      <c r="DP388" s="8"/>
      <c r="DQ388" s="8"/>
      <c r="DR388" s="8"/>
      <c r="DZ388" s="45"/>
      <c r="EA388" s="89"/>
      <c r="EB388" s="89"/>
      <c r="EC388" s="89"/>
      <c r="ED388" s="89"/>
      <c r="EE388" s="89"/>
      <c r="EF388" s="89"/>
      <c r="EG388" s="89"/>
      <c r="EH388" s="89"/>
      <c r="EI388" s="89"/>
      <c r="EJ388" s="89"/>
      <c r="EK388" s="91"/>
      <c r="EL388" s="66"/>
      <c r="EM388" s="94"/>
      <c r="EN388" s="94"/>
      <c r="EO388" s="92"/>
      <c r="EP388" s="93"/>
      <c r="EQ388" s="23"/>
      <c r="ER388" s="94"/>
      <c r="ES388" s="94"/>
      <c r="ET388" s="94"/>
      <c r="EU388" s="94"/>
      <c r="EV388" s="95"/>
      <c r="EW388" s="91"/>
      <c r="EX388" s="95"/>
      <c r="EY388" s="8"/>
      <c r="EZ388" s="96"/>
      <c r="FA388" s="91"/>
      <c r="FB388" s="97"/>
      <c r="FC388" s="8"/>
      <c r="FD388" s="91"/>
      <c r="FE388" s="98"/>
      <c r="FF388" s="5"/>
    </row>
    <row r="389" spans="37:162">
      <c r="AK389" s="89"/>
      <c r="AL389" s="8"/>
      <c r="AM389" s="8"/>
      <c r="AN389" s="8"/>
      <c r="AO389" s="8"/>
      <c r="AP389" s="8"/>
      <c r="AQ389" s="8"/>
      <c r="AR389" s="8"/>
      <c r="AZ389" s="45"/>
      <c r="BA389" s="89"/>
      <c r="BB389" s="89"/>
      <c r="BC389" s="89"/>
      <c r="BD389" s="89"/>
      <c r="BE389" s="89"/>
      <c r="BF389" s="89"/>
      <c r="BG389" s="89"/>
      <c r="BH389" s="89"/>
      <c r="BI389" s="89"/>
      <c r="BJ389" s="89"/>
      <c r="BK389" s="91"/>
      <c r="BL389" s="66"/>
      <c r="BM389" s="94"/>
      <c r="BN389" s="94"/>
      <c r="BO389" s="92"/>
      <c r="BP389" s="93"/>
      <c r="BQ389" s="23"/>
      <c r="BR389" s="94"/>
      <c r="BS389" s="94"/>
      <c r="BT389" s="94"/>
      <c r="BU389" s="94"/>
      <c r="BV389" s="95"/>
      <c r="BW389" s="91"/>
      <c r="BX389" s="95"/>
      <c r="BY389" s="8"/>
      <c r="BZ389" s="96"/>
      <c r="CA389" s="91"/>
      <c r="CB389" s="97"/>
      <c r="CC389" s="8"/>
      <c r="CD389" s="91"/>
      <c r="CE389" s="98"/>
      <c r="CF389" s="5"/>
      <c r="DK389" s="89"/>
      <c r="DL389" s="8"/>
      <c r="DM389" s="8"/>
      <c r="DN389" s="8"/>
      <c r="DO389" s="8"/>
      <c r="DP389" s="8"/>
      <c r="DQ389" s="8"/>
      <c r="DR389" s="8"/>
      <c r="DZ389" s="45"/>
      <c r="EA389" s="89"/>
      <c r="EB389" s="89"/>
      <c r="EC389" s="89"/>
      <c r="ED389" s="89"/>
      <c r="EE389" s="89"/>
      <c r="EF389" s="89"/>
      <c r="EG389" s="89"/>
      <c r="EH389" s="89"/>
      <c r="EI389" s="89"/>
      <c r="EJ389" s="89"/>
      <c r="EK389" s="91"/>
      <c r="EL389" s="66"/>
      <c r="EM389" s="94"/>
      <c r="EN389" s="94"/>
      <c r="EO389" s="92"/>
      <c r="EP389" s="93"/>
      <c r="EQ389" s="23"/>
      <c r="ER389" s="94"/>
      <c r="ES389" s="94"/>
      <c r="ET389" s="94"/>
      <c r="EU389" s="94"/>
      <c r="EV389" s="95"/>
      <c r="EW389" s="91"/>
      <c r="EX389" s="95"/>
      <c r="EY389" s="8"/>
      <c r="EZ389" s="96"/>
      <c r="FA389" s="91"/>
      <c r="FB389" s="97"/>
      <c r="FC389" s="8"/>
      <c r="FD389" s="91"/>
      <c r="FE389" s="98"/>
      <c r="FF389" s="5"/>
    </row>
    <row r="390" spans="37:162">
      <c r="AK390" s="89"/>
      <c r="AL390" s="8"/>
      <c r="AM390" s="8"/>
      <c r="AN390" s="8"/>
      <c r="AO390" s="8"/>
      <c r="AP390" s="8"/>
      <c r="AQ390" s="8"/>
      <c r="AR390" s="8"/>
      <c r="AZ390" s="45"/>
      <c r="BA390" s="89"/>
      <c r="BB390" s="89"/>
      <c r="BC390" s="89"/>
      <c r="BD390" s="89"/>
      <c r="BE390" s="89"/>
      <c r="BF390" s="89"/>
      <c r="BG390" s="89"/>
      <c r="BH390" s="89"/>
      <c r="BI390" s="89"/>
      <c r="BJ390" s="89"/>
      <c r="BK390" s="91"/>
      <c r="BL390" s="66"/>
      <c r="BM390" s="94"/>
      <c r="BN390" s="94"/>
      <c r="BO390" s="92"/>
      <c r="BP390" s="93"/>
      <c r="BQ390" s="23"/>
      <c r="BR390" s="94"/>
      <c r="BS390" s="94"/>
      <c r="BT390" s="94"/>
      <c r="BU390" s="94"/>
      <c r="BV390" s="95"/>
      <c r="BW390" s="91"/>
      <c r="BX390" s="95"/>
      <c r="BY390" s="8"/>
      <c r="BZ390" s="96"/>
      <c r="CA390" s="91"/>
      <c r="CB390" s="97"/>
      <c r="CC390" s="8"/>
      <c r="CD390" s="91"/>
      <c r="CE390" s="98"/>
      <c r="CF390" s="5"/>
      <c r="DK390" s="89"/>
      <c r="DL390" s="8"/>
      <c r="DM390" s="8"/>
      <c r="DN390" s="8"/>
      <c r="DO390" s="8"/>
      <c r="DP390" s="8"/>
      <c r="DQ390" s="8"/>
      <c r="DR390" s="8"/>
      <c r="DZ390" s="45"/>
      <c r="EA390" s="89"/>
      <c r="EB390" s="89"/>
      <c r="EC390" s="89"/>
      <c r="ED390" s="89"/>
      <c r="EE390" s="89"/>
      <c r="EF390" s="89"/>
      <c r="EG390" s="89"/>
      <c r="EH390" s="89"/>
      <c r="EI390" s="89"/>
      <c r="EJ390" s="89"/>
      <c r="EK390" s="91"/>
      <c r="EL390" s="66"/>
      <c r="EM390" s="94"/>
      <c r="EN390" s="94"/>
      <c r="EO390" s="92"/>
      <c r="EP390" s="93"/>
      <c r="EQ390" s="23"/>
      <c r="ER390" s="94"/>
      <c r="ES390" s="94"/>
      <c r="ET390" s="94"/>
      <c r="EU390" s="94"/>
      <c r="EV390" s="95"/>
      <c r="EW390" s="91"/>
      <c r="EX390" s="95"/>
      <c r="EY390" s="8"/>
      <c r="EZ390" s="96"/>
      <c r="FA390" s="91"/>
      <c r="FB390" s="97"/>
      <c r="FC390" s="8"/>
      <c r="FD390" s="91"/>
      <c r="FE390" s="98"/>
      <c r="FF390" s="5"/>
    </row>
    <row r="391" spans="37:162">
      <c r="AK391" s="89"/>
      <c r="AL391" s="8"/>
      <c r="AM391" s="8"/>
      <c r="AN391" s="8"/>
      <c r="AO391" s="8"/>
      <c r="AP391" s="8"/>
      <c r="AQ391" s="8"/>
      <c r="AR391" s="8"/>
      <c r="AZ391" s="45"/>
      <c r="BA391" s="89"/>
      <c r="BB391" s="89"/>
      <c r="BC391" s="89"/>
      <c r="BD391" s="89"/>
      <c r="BE391" s="89"/>
      <c r="BF391" s="89"/>
      <c r="BG391" s="89"/>
      <c r="BH391" s="89"/>
      <c r="BI391" s="89"/>
      <c r="BJ391" s="89"/>
      <c r="BK391" s="91"/>
      <c r="BL391" s="66"/>
      <c r="BM391" s="94"/>
      <c r="BN391" s="94"/>
      <c r="BO391" s="92"/>
      <c r="BP391" s="93"/>
      <c r="BQ391" s="23"/>
      <c r="BR391" s="94"/>
      <c r="BS391" s="94"/>
      <c r="BT391" s="94"/>
      <c r="BU391" s="94"/>
      <c r="BV391" s="95"/>
      <c r="BW391" s="91"/>
      <c r="BX391" s="95"/>
      <c r="BY391" s="8"/>
      <c r="BZ391" s="96"/>
      <c r="CA391" s="91"/>
      <c r="CB391" s="97"/>
      <c r="CC391" s="8"/>
      <c r="CD391" s="91"/>
      <c r="CE391" s="98"/>
      <c r="CF391" s="5"/>
      <c r="DK391" s="89"/>
      <c r="DL391" s="8"/>
      <c r="DM391" s="8"/>
      <c r="DN391" s="8"/>
      <c r="DO391" s="8"/>
      <c r="DP391" s="8"/>
      <c r="DQ391" s="8"/>
      <c r="DR391" s="8"/>
      <c r="DZ391" s="45"/>
      <c r="EA391" s="89"/>
      <c r="EB391" s="89"/>
      <c r="EC391" s="89"/>
      <c r="ED391" s="89"/>
      <c r="EE391" s="89"/>
      <c r="EF391" s="89"/>
      <c r="EG391" s="89"/>
      <c r="EH391" s="89"/>
      <c r="EI391" s="89"/>
      <c r="EJ391" s="89"/>
      <c r="EK391" s="91"/>
      <c r="EL391" s="66"/>
      <c r="EM391" s="94"/>
      <c r="EN391" s="94"/>
      <c r="EO391" s="92"/>
      <c r="EP391" s="93"/>
      <c r="EQ391" s="23"/>
      <c r="ER391" s="94"/>
      <c r="ES391" s="94"/>
      <c r="ET391" s="94"/>
      <c r="EU391" s="94"/>
      <c r="EV391" s="95"/>
      <c r="EW391" s="91"/>
      <c r="EX391" s="95"/>
      <c r="EY391" s="8"/>
      <c r="EZ391" s="96"/>
      <c r="FA391" s="91"/>
      <c r="FB391" s="97"/>
      <c r="FC391" s="8"/>
      <c r="FD391" s="91"/>
      <c r="FE391" s="98"/>
      <c r="FF391" s="5"/>
    </row>
    <row r="392" spans="37:162">
      <c r="AK392" s="89"/>
      <c r="AL392" s="8"/>
      <c r="AM392" s="8"/>
      <c r="AN392" s="8"/>
      <c r="AO392" s="8"/>
      <c r="AP392" s="8"/>
      <c r="AQ392" s="8"/>
      <c r="AR392" s="8"/>
      <c r="AZ392" s="45"/>
      <c r="BA392" s="89"/>
      <c r="BB392" s="89"/>
      <c r="BC392" s="89"/>
      <c r="BD392" s="89"/>
      <c r="BE392" s="89"/>
      <c r="BF392" s="89"/>
      <c r="BG392" s="89"/>
      <c r="BH392" s="89"/>
      <c r="BI392" s="89"/>
      <c r="BJ392" s="89"/>
      <c r="BK392" s="91"/>
      <c r="BL392" s="66"/>
      <c r="BM392" s="94"/>
      <c r="BN392" s="94"/>
      <c r="BO392" s="92"/>
      <c r="BP392" s="93"/>
      <c r="BQ392" s="23"/>
      <c r="BR392" s="94"/>
      <c r="BS392" s="94"/>
      <c r="BT392" s="94"/>
      <c r="BU392" s="94"/>
      <c r="BV392" s="95"/>
      <c r="BW392" s="91"/>
      <c r="BX392" s="95"/>
      <c r="BY392" s="8"/>
      <c r="BZ392" s="96"/>
      <c r="CA392" s="91"/>
      <c r="CB392" s="97"/>
      <c r="CC392" s="8"/>
      <c r="CD392" s="91"/>
      <c r="CE392" s="98"/>
      <c r="CF392" s="5"/>
      <c r="DK392" s="89"/>
      <c r="DL392" s="8"/>
      <c r="DM392" s="8"/>
      <c r="DN392" s="8"/>
      <c r="DO392" s="8"/>
      <c r="DP392" s="8"/>
      <c r="DQ392" s="8"/>
      <c r="DR392" s="8"/>
      <c r="DZ392" s="45"/>
      <c r="EA392" s="89"/>
      <c r="EB392" s="89"/>
      <c r="EC392" s="89"/>
      <c r="ED392" s="89"/>
      <c r="EE392" s="89"/>
      <c r="EF392" s="89"/>
      <c r="EG392" s="89"/>
      <c r="EH392" s="89"/>
      <c r="EI392" s="89"/>
      <c r="EJ392" s="89"/>
      <c r="EK392" s="91"/>
      <c r="EL392" s="66"/>
      <c r="EM392" s="94"/>
      <c r="EN392" s="94"/>
      <c r="EO392" s="92"/>
      <c r="EP392" s="93"/>
      <c r="EQ392" s="23"/>
      <c r="ER392" s="94"/>
      <c r="ES392" s="94"/>
      <c r="ET392" s="94"/>
      <c r="EU392" s="94"/>
      <c r="EV392" s="95"/>
      <c r="EW392" s="91"/>
      <c r="EX392" s="95"/>
      <c r="EY392" s="8"/>
      <c r="EZ392" s="96"/>
      <c r="FA392" s="91"/>
      <c r="FB392" s="97"/>
      <c r="FC392" s="8"/>
      <c r="FD392" s="91"/>
      <c r="FE392" s="98"/>
      <c r="FF392" s="5"/>
    </row>
    <row r="393" spans="37:162">
      <c r="AK393" s="89"/>
      <c r="AL393" s="8"/>
      <c r="AM393" s="8"/>
      <c r="AN393" s="8"/>
      <c r="AO393" s="8"/>
      <c r="AP393" s="8"/>
      <c r="AQ393" s="8"/>
      <c r="AR393" s="8"/>
      <c r="AZ393" s="45"/>
      <c r="BA393" s="89"/>
      <c r="BB393" s="89"/>
      <c r="BC393" s="89"/>
      <c r="BD393" s="89"/>
      <c r="BE393" s="89"/>
      <c r="BF393" s="89"/>
      <c r="BG393" s="89"/>
      <c r="BH393" s="89"/>
      <c r="BI393" s="89"/>
      <c r="BJ393" s="89"/>
      <c r="BK393" s="91"/>
      <c r="BL393" s="66"/>
      <c r="BM393" s="94"/>
      <c r="BN393" s="94"/>
      <c r="BO393" s="92"/>
      <c r="BP393" s="93"/>
      <c r="BQ393" s="23"/>
      <c r="BR393" s="94"/>
      <c r="BS393" s="94"/>
      <c r="BT393" s="94"/>
      <c r="BU393" s="94"/>
      <c r="BV393" s="95"/>
      <c r="BW393" s="91"/>
      <c r="BX393" s="95"/>
      <c r="BY393" s="8"/>
      <c r="BZ393" s="96"/>
      <c r="CA393" s="91"/>
      <c r="CB393" s="97"/>
      <c r="CC393" s="8"/>
      <c r="CD393" s="91"/>
      <c r="CE393" s="98"/>
      <c r="CF393" s="5"/>
      <c r="DK393" s="89"/>
      <c r="DL393" s="8"/>
      <c r="DM393" s="8"/>
      <c r="DN393" s="8"/>
      <c r="DO393" s="8"/>
      <c r="DP393" s="8"/>
      <c r="DQ393" s="8"/>
      <c r="DR393" s="8"/>
      <c r="DZ393" s="45"/>
      <c r="EA393" s="89"/>
      <c r="EB393" s="89"/>
      <c r="EC393" s="89"/>
      <c r="ED393" s="89"/>
      <c r="EE393" s="89"/>
      <c r="EF393" s="89"/>
      <c r="EG393" s="89"/>
      <c r="EH393" s="89"/>
      <c r="EI393" s="89"/>
      <c r="EJ393" s="89"/>
      <c r="EK393" s="91"/>
      <c r="EL393" s="66"/>
      <c r="EM393" s="94"/>
      <c r="EN393" s="94"/>
      <c r="EO393" s="92"/>
      <c r="EP393" s="93"/>
      <c r="EQ393" s="23"/>
      <c r="ER393" s="94"/>
      <c r="ES393" s="94"/>
      <c r="ET393" s="94"/>
      <c r="EU393" s="94"/>
      <c r="EV393" s="95"/>
      <c r="EW393" s="91"/>
      <c r="EX393" s="95"/>
      <c r="EY393" s="8"/>
      <c r="EZ393" s="96"/>
      <c r="FA393" s="91"/>
      <c r="FB393" s="97"/>
      <c r="FC393" s="8"/>
      <c r="FD393" s="91"/>
      <c r="FE393" s="98"/>
      <c r="FF393" s="5"/>
    </row>
    <row r="394" spans="37:162">
      <c r="AK394" s="89"/>
      <c r="AL394" s="8"/>
      <c r="AM394" s="8"/>
      <c r="AN394" s="8"/>
      <c r="AO394" s="8"/>
      <c r="AP394" s="8"/>
      <c r="AQ394" s="8"/>
      <c r="AR394" s="8"/>
      <c r="AZ394" s="45"/>
      <c r="BA394" s="89"/>
      <c r="BB394" s="89"/>
      <c r="BC394" s="89"/>
      <c r="BD394" s="89"/>
      <c r="BE394" s="89"/>
      <c r="BF394" s="89"/>
      <c r="BG394" s="89"/>
      <c r="BH394" s="89"/>
      <c r="BI394" s="89"/>
      <c r="BJ394" s="89"/>
      <c r="BK394" s="91"/>
      <c r="BL394" s="66"/>
      <c r="BM394" s="94"/>
      <c r="BN394" s="94"/>
      <c r="BO394" s="92"/>
      <c r="BP394" s="93"/>
      <c r="BQ394" s="23"/>
      <c r="BR394" s="94"/>
      <c r="BS394" s="94"/>
      <c r="BT394" s="94"/>
      <c r="BU394" s="94"/>
      <c r="BV394" s="95"/>
      <c r="BW394" s="91"/>
      <c r="BX394" s="95"/>
      <c r="BY394" s="8"/>
      <c r="BZ394" s="96"/>
      <c r="CA394" s="91"/>
      <c r="CB394" s="97"/>
      <c r="CC394" s="8"/>
      <c r="CD394" s="91"/>
      <c r="CE394" s="98"/>
      <c r="CF394" s="5"/>
      <c r="DK394" s="89"/>
      <c r="DL394" s="8"/>
      <c r="DM394" s="8"/>
      <c r="DN394" s="8"/>
      <c r="DO394" s="8"/>
      <c r="DP394" s="8"/>
      <c r="DQ394" s="8"/>
      <c r="DR394" s="8"/>
      <c r="DZ394" s="45"/>
      <c r="EA394" s="89"/>
      <c r="EB394" s="89"/>
      <c r="EC394" s="89"/>
      <c r="ED394" s="89"/>
      <c r="EE394" s="89"/>
      <c r="EF394" s="89"/>
      <c r="EG394" s="89"/>
      <c r="EH394" s="89"/>
      <c r="EI394" s="89"/>
      <c r="EJ394" s="89"/>
      <c r="EK394" s="91"/>
      <c r="EL394" s="66"/>
      <c r="EM394" s="94"/>
      <c r="EN394" s="94"/>
      <c r="EO394" s="92"/>
      <c r="EP394" s="93"/>
      <c r="EQ394" s="23"/>
      <c r="ER394" s="94"/>
      <c r="ES394" s="94"/>
      <c r="ET394" s="94"/>
      <c r="EU394" s="94"/>
      <c r="EV394" s="95"/>
      <c r="EW394" s="91"/>
      <c r="EX394" s="95"/>
      <c r="EY394" s="8"/>
      <c r="EZ394" s="96"/>
      <c r="FA394" s="91"/>
      <c r="FB394" s="97"/>
      <c r="FC394" s="8"/>
      <c r="FD394" s="91"/>
      <c r="FE394" s="98"/>
      <c r="FF394" s="5"/>
    </row>
    <row r="395" spans="37:162">
      <c r="AK395" s="89"/>
      <c r="AL395" s="8"/>
      <c r="AM395" s="8"/>
      <c r="AN395" s="8"/>
      <c r="AO395" s="8"/>
      <c r="AP395" s="8"/>
      <c r="AQ395" s="8"/>
      <c r="AR395" s="8"/>
      <c r="AZ395" s="45"/>
      <c r="BA395" s="89"/>
      <c r="BB395" s="89"/>
      <c r="BC395" s="89"/>
      <c r="BD395" s="89"/>
      <c r="BE395" s="89"/>
      <c r="BF395" s="89"/>
      <c r="BG395" s="89"/>
      <c r="BH395" s="89"/>
      <c r="BI395" s="89"/>
      <c r="BJ395" s="89"/>
      <c r="BK395" s="91"/>
      <c r="BL395" s="66"/>
      <c r="BM395" s="94"/>
      <c r="BN395" s="94"/>
      <c r="BO395" s="92"/>
      <c r="BP395" s="93"/>
      <c r="BQ395" s="23"/>
      <c r="BR395" s="94"/>
      <c r="BS395" s="94"/>
      <c r="BT395" s="94"/>
      <c r="BU395" s="94"/>
      <c r="BV395" s="95"/>
      <c r="BW395" s="91"/>
      <c r="BX395" s="95"/>
      <c r="BY395" s="8"/>
      <c r="BZ395" s="96"/>
      <c r="CA395" s="91"/>
      <c r="CB395" s="97"/>
      <c r="CC395" s="8"/>
      <c r="CD395" s="91"/>
      <c r="CE395" s="98"/>
      <c r="CF395" s="5"/>
      <c r="DK395" s="89"/>
      <c r="DL395" s="8"/>
      <c r="DM395" s="8"/>
      <c r="DN395" s="8"/>
      <c r="DO395" s="8"/>
      <c r="DP395" s="8"/>
      <c r="DQ395" s="8"/>
      <c r="DR395" s="8"/>
      <c r="DZ395" s="45"/>
      <c r="EA395" s="89"/>
      <c r="EB395" s="89"/>
      <c r="EC395" s="89"/>
      <c r="ED395" s="89"/>
      <c r="EE395" s="89"/>
      <c r="EF395" s="89"/>
      <c r="EG395" s="89"/>
      <c r="EH395" s="89"/>
      <c r="EI395" s="89"/>
      <c r="EJ395" s="89"/>
      <c r="EK395" s="91"/>
      <c r="EL395" s="66"/>
      <c r="EM395" s="94"/>
      <c r="EN395" s="94"/>
      <c r="EO395" s="92"/>
      <c r="EP395" s="93"/>
      <c r="EQ395" s="23"/>
      <c r="ER395" s="94"/>
      <c r="ES395" s="94"/>
      <c r="ET395" s="94"/>
      <c r="EU395" s="94"/>
      <c r="EV395" s="95"/>
      <c r="EW395" s="91"/>
      <c r="EX395" s="95"/>
      <c r="EY395" s="8"/>
      <c r="EZ395" s="96"/>
      <c r="FA395" s="91"/>
      <c r="FB395" s="97"/>
      <c r="FC395" s="8"/>
      <c r="FD395" s="91"/>
      <c r="FE395" s="98"/>
      <c r="FF395" s="5"/>
    </row>
    <row r="396" spans="37:162">
      <c r="AK396" s="89"/>
      <c r="AL396" s="8"/>
      <c r="AM396" s="8"/>
      <c r="AN396" s="8"/>
      <c r="AO396" s="8"/>
      <c r="AP396" s="8"/>
      <c r="AQ396" s="8"/>
      <c r="AR396" s="8"/>
      <c r="AZ396" s="45"/>
      <c r="BA396" s="89"/>
      <c r="BB396" s="89"/>
      <c r="BC396" s="89"/>
      <c r="BD396" s="89"/>
      <c r="BE396" s="89"/>
      <c r="BF396" s="89"/>
      <c r="BG396" s="89"/>
      <c r="BH396" s="89"/>
      <c r="BI396" s="89"/>
      <c r="BJ396" s="89"/>
      <c r="BK396" s="91"/>
      <c r="BL396" s="66"/>
      <c r="BM396" s="94"/>
      <c r="BN396" s="94"/>
      <c r="BO396" s="92"/>
      <c r="BP396" s="93"/>
      <c r="BQ396" s="23"/>
      <c r="BR396" s="94"/>
      <c r="BS396" s="94"/>
      <c r="BT396" s="94"/>
      <c r="BU396" s="94"/>
      <c r="BV396" s="95"/>
      <c r="BW396" s="91"/>
      <c r="BX396" s="95"/>
      <c r="BY396" s="8"/>
      <c r="BZ396" s="96"/>
      <c r="CA396" s="91"/>
      <c r="CB396" s="97"/>
      <c r="CC396" s="8"/>
      <c r="CD396" s="91"/>
      <c r="CE396" s="98"/>
      <c r="CF396" s="5"/>
      <c r="DK396" s="89"/>
      <c r="DL396" s="8"/>
      <c r="DM396" s="8"/>
      <c r="DN396" s="8"/>
      <c r="DO396" s="8"/>
      <c r="DP396" s="8"/>
      <c r="DQ396" s="8"/>
      <c r="DR396" s="8"/>
      <c r="DZ396" s="45"/>
      <c r="EA396" s="89"/>
      <c r="EB396" s="89"/>
      <c r="EC396" s="89"/>
      <c r="ED396" s="89"/>
      <c r="EE396" s="89"/>
      <c r="EF396" s="89"/>
      <c r="EG396" s="89"/>
      <c r="EH396" s="89"/>
      <c r="EI396" s="89"/>
      <c r="EJ396" s="89"/>
      <c r="EK396" s="91"/>
      <c r="EL396" s="66"/>
      <c r="EM396" s="94"/>
      <c r="EN396" s="94"/>
      <c r="EO396" s="92"/>
      <c r="EP396" s="93"/>
      <c r="EQ396" s="23"/>
      <c r="ER396" s="94"/>
      <c r="ES396" s="94"/>
      <c r="ET396" s="94"/>
      <c r="EU396" s="94"/>
      <c r="EV396" s="95"/>
      <c r="EW396" s="91"/>
      <c r="EX396" s="95"/>
      <c r="EY396" s="8"/>
      <c r="EZ396" s="96"/>
      <c r="FA396" s="91"/>
      <c r="FB396" s="97"/>
      <c r="FC396" s="8"/>
      <c r="FD396" s="91"/>
      <c r="FE396" s="98"/>
      <c r="FF396" s="5"/>
    </row>
    <row r="397" spans="37:162">
      <c r="AK397" s="89"/>
      <c r="AL397" s="8"/>
      <c r="AM397" s="8"/>
      <c r="AN397" s="8"/>
      <c r="AO397" s="8"/>
      <c r="AP397" s="8"/>
      <c r="AQ397" s="8"/>
      <c r="AR397" s="8"/>
      <c r="AZ397" s="45"/>
      <c r="BA397" s="89"/>
      <c r="BB397" s="89"/>
      <c r="BC397" s="89"/>
      <c r="BD397" s="89"/>
      <c r="BE397" s="89"/>
      <c r="BF397" s="89"/>
      <c r="BG397" s="89"/>
      <c r="BH397" s="89"/>
      <c r="BI397" s="89"/>
      <c r="BJ397" s="89"/>
      <c r="BK397" s="91"/>
      <c r="BL397" s="66"/>
      <c r="BM397" s="94"/>
      <c r="BN397" s="94"/>
      <c r="BO397" s="92"/>
      <c r="BP397" s="93"/>
      <c r="BQ397" s="23"/>
      <c r="BR397" s="94"/>
      <c r="BS397" s="94"/>
      <c r="BT397" s="94"/>
      <c r="BU397" s="94"/>
      <c r="BV397" s="95"/>
      <c r="BW397" s="91"/>
      <c r="BX397" s="95"/>
      <c r="BY397" s="8"/>
      <c r="BZ397" s="96"/>
      <c r="CA397" s="91"/>
      <c r="CB397" s="97"/>
      <c r="CC397" s="8"/>
      <c r="CD397" s="91"/>
      <c r="CE397" s="98"/>
      <c r="CF397" s="5"/>
      <c r="DK397" s="89"/>
      <c r="DL397" s="8"/>
      <c r="DM397" s="8"/>
      <c r="DN397" s="8"/>
      <c r="DO397" s="8"/>
      <c r="DP397" s="8"/>
      <c r="DQ397" s="8"/>
      <c r="DR397" s="8"/>
      <c r="DZ397" s="45"/>
      <c r="EA397" s="89"/>
      <c r="EB397" s="89"/>
      <c r="EC397" s="89"/>
      <c r="ED397" s="89"/>
      <c r="EE397" s="89"/>
      <c r="EF397" s="89"/>
      <c r="EG397" s="89"/>
      <c r="EH397" s="89"/>
      <c r="EI397" s="89"/>
      <c r="EJ397" s="89"/>
      <c r="EK397" s="91"/>
      <c r="EL397" s="66"/>
      <c r="EM397" s="94"/>
      <c r="EN397" s="94"/>
      <c r="EO397" s="92"/>
      <c r="EP397" s="93"/>
      <c r="EQ397" s="23"/>
      <c r="ER397" s="94"/>
      <c r="ES397" s="94"/>
      <c r="ET397" s="94"/>
      <c r="EU397" s="94"/>
      <c r="EV397" s="95"/>
      <c r="EW397" s="91"/>
      <c r="EX397" s="95"/>
      <c r="EY397" s="8"/>
      <c r="EZ397" s="96"/>
      <c r="FA397" s="91"/>
      <c r="FB397" s="97"/>
      <c r="FC397" s="8"/>
      <c r="FD397" s="91"/>
      <c r="FE397" s="98"/>
      <c r="FF397" s="5"/>
    </row>
    <row r="398" spans="37:162">
      <c r="AK398" s="89"/>
      <c r="AL398" s="8"/>
      <c r="AM398" s="8"/>
      <c r="AN398" s="8"/>
      <c r="AO398" s="8"/>
      <c r="AP398" s="8"/>
      <c r="AQ398" s="8"/>
      <c r="AR398" s="8"/>
      <c r="AZ398" s="45"/>
      <c r="BA398" s="89"/>
      <c r="BB398" s="89"/>
      <c r="BC398" s="89"/>
      <c r="BD398" s="89"/>
      <c r="BE398" s="89"/>
      <c r="BF398" s="89"/>
      <c r="BG398" s="89"/>
      <c r="BH398" s="89"/>
      <c r="BI398" s="89"/>
      <c r="BJ398" s="89"/>
      <c r="BK398" s="91"/>
      <c r="BL398" s="66"/>
      <c r="BM398" s="94"/>
      <c r="BN398" s="94"/>
      <c r="BO398" s="92"/>
      <c r="BP398" s="93"/>
      <c r="BQ398" s="23"/>
      <c r="BR398" s="94"/>
      <c r="BS398" s="94"/>
      <c r="BT398" s="94"/>
      <c r="BU398" s="94"/>
      <c r="BV398" s="95"/>
      <c r="BW398" s="91"/>
      <c r="BX398" s="95"/>
      <c r="BY398" s="8"/>
      <c r="BZ398" s="96"/>
      <c r="CA398" s="91"/>
      <c r="CB398" s="97"/>
      <c r="CC398" s="8"/>
      <c r="CD398" s="91"/>
      <c r="CE398" s="98"/>
      <c r="CF398" s="5"/>
      <c r="DK398" s="89"/>
      <c r="DL398" s="8"/>
      <c r="DM398" s="8"/>
      <c r="DN398" s="8"/>
      <c r="DO398" s="8"/>
      <c r="DP398" s="8"/>
      <c r="DQ398" s="8"/>
      <c r="DR398" s="8"/>
      <c r="DZ398" s="45"/>
      <c r="EA398" s="89"/>
      <c r="EB398" s="89"/>
      <c r="EC398" s="89"/>
      <c r="ED398" s="89"/>
      <c r="EE398" s="89"/>
      <c r="EF398" s="89"/>
      <c r="EG398" s="89"/>
      <c r="EH398" s="89"/>
      <c r="EI398" s="89"/>
      <c r="EJ398" s="89"/>
      <c r="EK398" s="91"/>
      <c r="EL398" s="66"/>
      <c r="EM398" s="94"/>
      <c r="EN398" s="94"/>
      <c r="EO398" s="92"/>
      <c r="EP398" s="93"/>
      <c r="EQ398" s="23"/>
      <c r="ER398" s="94"/>
      <c r="ES398" s="94"/>
      <c r="ET398" s="94"/>
      <c r="EU398" s="94"/>
      <c r="EV398" s="95"/>
      <c r="EW398" s="91"/>
      <c r="EX398" s="95"/>
      <c r="EY398" s="8"/>
      <c r="EZ398" s="96"/>
      <c r="FA398" s="91"/>
      <c r="FB398" s="97"/>
      <c r="FC398" s="8"/>
      <c r="FD398" s="91"/>
      <c r="FE398" s="98"/>
      <c r="FF398" s="5"/>
    </row>
    <row r="399" spans="37:162">
      <c r="AK399" s="89"/>
      <c r="AL399" s="8"/>
      <c r="AM399" s="8"/>
      <c r="AN399" s="8"/>
      <c r="AO399" s="8"/>
      <c r="AP399" s="8"/>
      <c r="AQ399" s="8"/>
      <c r="AR399" s="8"/>
      <c r="AZ399" s="45"/>
      <c r="BA399" s="89"/>
      <c r="BB399" s="89"/>
      <c r="BC399" s="89"/>
      <c r="BD399" s="89"/>
      <c r="BE399" s="89"/>
      <c r="BF399" s="89"/>
      <c r="BG399" s="89"/>
      <c r="BH399" s="89"/>
      <c r="BI399" s="89"/>
      <c r="BJ399" s="89"/>
      <c r="BK399" s="91"/>
      <c r="BL399" s="66"/>
      <c r="BM399" s="94"/>
      <c r="BN399" s="94"/>
      <c r="BO399" s="92"/>
      <c r="BP399" s="93"/>
      <c r="BQ399" s="23"/>
      <c r="BR399" s="94"/>
      <c r="BS399" s="94"/>
      <c r="BT399" s="94"/>
      <c r="BU399" s="94"/>
      <c r="BV399" s="95"/>
      <c r="BW399" s="91"/>
      <c r="BX399" s="95"/>
      <c r="BY399" s="8"/>
      <c r="BZ399" s="96"/>
      <c r="CA399" s="91"/>
      <c r="CB399" s="97"/>
      <c r="CC399" s="8"/>
      <c r="CD399" s="91"/>
      <c r="CE399" s="98"/>
      <c r="CF399" s="5"/>
      <c r="DK399" s="89"/>
      <c r="DL399" s="8"/>
      <c r="DM399" s="8"/>
      <c r="DN399" s="8"/>
      <c r="DO399" s="8"/>
      <c r="DP399" s="8"/>
      <c r="DQ399" s="8"/>
      <c r="DR399" s="8"/>
      <c r="DZ399" s="45"/>
      <c r="EA399" s="89"/>
      <c r="EB399" s="89"/>
      <c r="EC399" s="89"/>
      <c r="ED399" s="89"/>
      <c r="EE399" s="89"/>
      <c r="EF399" s="89"/>
      <c r="EG399" s="89"/>
      <c r="EH399" s="89"/>
      <c r="EI399" s="89"/>
      <c r="EJ399" s="89"/>
      <c r="EK399" s="91"/>
      <c r="EL399" s="66"/>
      <c r="EM399" s="94"/>
      <c r="EN399" s="94"/>
      <c r="EO399" s="92"/>
      <c r="EP399" s="93"/>
      <c r="EQ399" s="23"/>
      <c r="ER399" s="94"/>
      <c r="ES399" s="94"/>
      <c r="ET399" s="94"/>
      <c r="EU399" s="94"/>
      <c r="EV399" s="95"/>
      <c r="EW399" s="91"/>
      <c r="EX399" s="95"/>
      <c r="EY399" s="8"/>
      <c r="EZ399" s="96"/>
      <c r="FA399" s="91"/>
      <c r="FB399" s="97"/>
      <c r="FC399" s="8"/>
      <c r="FD399" s="91"/>
      <c r="FE399" s="98"/>
      <c r="FF399" s="5"/>
    </row>
    <row r="400" spans="37:162">
      <c r="AK400" s="89"/>
      <c r="AL400" s="8"/>
      <c r="AM400" s="8"/>
      <c r="AN400" s="8"/>
      <c r="AO400" s="8"/>
      <c r="AP400" s="8"/>
      <c r="AQ400" s="8"/>
      <c r="AR400" s="8"/>
      <c r="AZ400" s="45"/>
      <c r="BA400" s="89"/>
      <c r="BB400" s="89"/>
      <c r="BC400" s="89"/>
      <c r="BD400" s="89"/>
      <c r="BE400" s="89"/>
      <c r="BF400" s="89"/>
      <c r="BG400" s="89"/>
      <c r="BH400" s="89"/>
      <c r="BI400" s="89"/>
      <c r="BJ400" s="89"/>
      <c r="BK400" s="91"/>
      <c r="BL400" s="66"/>
      <c r="BM400" s="94"/>
      <c r="BN400" s="94"/>
      <c r="BO400" s="92"/>
      <c r="BP400" s="93"/>
      <c r="BQ400" s="23"/>
      <c r="BR400" s="94"/>
      <c r="BS400" s="94"/>
      <c r="BT400" s="94"/>
      <c r="BU400" s="94"/>
      <c r="BV400" s="95"/>
      <c r="BW400" s="91"/>
      <c r="BX400" s="95"/>
      <c r="BY400" s="8"/>
      <c r="BZ400" s="96"/>
      <c r="CA400" s="91"/>
      <c r="CB400" s="97"/>
      <c r="CC400" s="8"/>
      <c r="CD400" s="91"/>
      <c r="CE400" s="98"/>
      <c r="CF400" s="5"/>
      <c r="DK400" s="89"/>
      <c r="DL400" s="8"/>
      <c r="DM400" s="8"/>
      <c r="DN400" s="8"/>
      <c r="DO400" s="8"/>
      <c r="DP400" s="8"/>
      <c r="DQ400" s="8"/>
      <c r="DR400" s="8"/>
      <c r="DZ400" s="45"/>
      <c r="EA400" s="89"/>
      <c r="EB400" s="89"/>
      <c r="EC400" s="89"/>
      <c r="ED400" s="89"/>
      <c r="EE400" s="89"/>
      <c r="EF400" s="89"/>
      <c r="EG400" s="89"/>
      <c r="EH400" s="89"/>
      <c r="EI400" s="89"/>
      <c r="EJ400" s="89"/>
      <c r="EK400" s="91"/>
      <c r="EL400" s="66"/>
      <c r="EM400" s="94"/>
      <c r="EN400" s="94"/>
      <c r="EO400" s="92"/>
      <c r="EP400" s="93"/>
      <c r="EQ400" s="23"/>
      <c r="ER400" s="94"/>
      <c r="ES400" s="94"/>
      <c r="ET400" s="94"/>
      <c r="EU400" s="94"/>
      <c r="EV400" s="95"/>
      <c r="EW400" s="91"/>
      <c r="EX400" s="95"/>
      <c r="EY400" s="8"/>
      <c r="EZ400" s="96"/>
      <c r="FA400" s="91"/>
      <c r="FB400" s="97"/>
      <c r="FC400" s="8"/>
      <c r="FD400" s="91"/>
      <c r="FE400" s="98"/>
      <c r="FF400" s="5"/>
    </row>
    <row r="401" spans="37:162">
      <c r="AK401" s="89"/>
      <c r="AL401" s="8"/>
      <c r="AM401" s="8"/>
      <c r="AN401" s="8"/>
      <c r="AO401" s="8"/>
      <c r="AP401" s="8"/>
      <c r="AQ401" s="8"/>
      <c r="AR401" s="8"/>
      <c r="AZ401" s="45"/>
      <c r="BA401" s="89"/>
      <c r="BB401" s="89"/>
      <c r="BC401" s="89"/>
      <c r="BD401" s="89"/>
      <c r="BE401" s="89"/>
      <c r="BF401" s="89"/>
      <c r="BG401" s="89"/>
      <c r="BH401" s="89"/>
      <c r="BI401" s="89"/>
      <c r="BJ401" s="89"/>
      <c r="BK401" s="91"/>
      <c r="BL401" s="66"/>
      <c r="BM401" s="94"/>
      <c r="BN401" s="94"/>
      <c r="BO401" s="92"/>
      <c r="BP401" s="93"/>
      <c r="BQ401" s="23"/>
      <c r="BR401" s="94"/>
      <c r="BS401" s="94"/>
      <c r="BT401" s="94"/>
      <c r="BU401" s="94"/>
      <c r="BV401" s="95"/>
      <c r="BW401" s="91"/>
      <c r="BX401" s="95"/>
      <c r="BY401" s="8"/>
      <c r="BZ401" s="96"/>
      <c r="CA401" s="91"/>
      <c r="CB401" s="97"/>
      <c r="CC401" s="8"/>
      <c r="CD401" s="91"/>
      <c r="CE401" s="98"/>
      <c r="CF401" s="5"/>
      <c r="DK401" s="89"/>
      <c r="DL401" s="8"/>
      <c r="DM401" s="8"/>
      <c r="DN401" s="8"/>
      <c r="DO401" s="8"/>
      <c r="DP401" s="8"/>
      <c r="DQ401" s="8"/>
      <c r="DR401" s="8"/>
      <c r="DZ401" s="45"/>
      <c r="EA401" s="89"/>
      <c r="EB401" s="89"/>
      <c r="EC401" s="89"/>
      <c r="ED401" s="89"/>
      <c r="EE401" s="89"/>
      <c r="EF401" s="89"/>
      <c r="EG401" s="89"/>
      <c r="EH401" s="89"/>
      <c r="EI401" s="89"/>
      <c r="EJ401" s="89"/>
      <c r="EK401" s="91"/>
      <c r="EL401" s="66"/>
      <c r="EM401" s="94"/>
      <c r="EN401" s="94"/>
      <c r="EO401" s="92"/>
      <c r="EP401" s="93"/>
      <c r="EQ401" s="23"/>
      <c r="ER401" s="94"/>
      <c r="ES401" s="94"/>
      <c r="ET401" s="94"/>
      <c r="EU401" s="94"/>
      <c r="EV401" s="95"/>
      <c r="EW401" s="91"/>
      <c r="EX401" s="95"/>
      <c r="EY401" s="8"/>
      <c r="EZ401" s="96"/>
      <c r="FA401" s="91"/>
      <c r="FB401" s="97"/>
      <c r="FC401" s="8"/>
      <c r="FD401" s="91"/>
      <c r="FE401" s="98"/>
      <c r="FF401" s="5"/>
    </row>
    <row r="402" spans="37:162">
      <c r="AK402" s="89"/>
      <c r="AL402" s="8"/>
      <c r="AM402" s="8"/>
      <c r="AN402" s="8"/>
      <c r="AO402" s="8"/>
      <c r="AP402" s="8"/>
      <c r="AQ402" s="8"/>
      <c r="AR402" s="8"/>
      <c r="AZ402" s="45"/>
      <c r="BA402" s="89"/>
      <c r="BB402" s="89"/>
      <c r="BC402" s="89"/>
      <c r="BD402" s="89"/>
      <c r="BE402" s="89"/>
      <c r="BF402" s="89"/>
      <c r="BG402" s="89"/>
      <c r="BH402" s="89"/>
      <c r="BI402" s="89"/>
      <c r="BJ402" s="89"/>
      <c r="BK402" s="91"/>
      <c r="BL402" s="66"/>
      <c r="BM402" s="94"/>
      <c r="BN402" s="94"/>
      <c r="BO402" s="92"/>
      <c r="BP402" s="93"/>
      <c r="BQ402" s="23"/>
      <c r="BR402" s="94"/>
      <c r="BS402" s="94"/>
      <c r="BT402" s="94"/>
      <c r="BU402" s="94"/>
      <c r="BV402" s="95"/>
      <c r="BW402" s="91"/>
      <c r="BX402" s="95"/>
      <c r="BY402" s="8"/>
      <c r="BZ402" s="96"/>
      <c r="CA402" s="91"/>
      <c r="CB402" s="97"/>
      <c r="CC402" s="8"/>
      <c r="CD402" s="91"/>
      <c r="CE402" s="98"/>
      <c r="CF402" s="5"/>
      <c r="DK402" s="89"/>
      <c r="DL402" s="8"/>
      <c r="DM402" s="8"/>
      <c r="DN402" s="8"/>
      <c r="DO402" s="8"/>
      <c r="DP402" s="8"/>
      <c r="DQ402" s="8"/>
      <c r="DR402" s="8"/>
      <c r="DZ402" s="45"/>
      <c r="EA402" s="89"/>
      <c r="EB402" s="89"/>
      <c r="EC402" s="89"/>
      <c r="ED402" s="89"/>
      <c r="EE402" s="89"/>
      <c r="EF402" s="89"/>
      <c r="EG402" s="89"/>
      <c r="EH402" s="89"/>
      <c r="EI402" s="89"/>
      <c r="EJ402" s="89"/>
      <c r="EK402" s="91"/>
      <c r="EL402" s="66"/>
      <c r="EM402" s="94"/>
      <c r="EN402" s="94"/>
      <c r="EO402" s="92"/>
      <c r="EP402" s="93"/>
      <c r="EQ402" s="23"/>
      <c r="ER402" s="94"/>
      <c r="ES402" s="94"/>
      <c r="ET402" s="94"/>
      <c r="EU402" s="94"/>
      <c r="EV402" s="95"/>
      <c r="EW402" s="91"/>
      <c r="EX402" s="95"/>
      <c r="EY402" s="8"/>
      <c r="EZ402" s="96"/>
      <c r="FA402" s="91"/>
      <c r="FB402" s="97"/>
      <c r="FC402" s="8"/>
      <c r="FD402" s="91"/>
      <c r="FE402" s="98"/>
      <c r="FF402" s="5"/>
    </row>
    <row r="403" spans="37:162">
      <c r="AK403" s="89"/>
      <c r="AL403" s="8"/>
      <c r="AM403" s="8"/>
      <c r="AN403" s="8"/>
      <c r="AO403" s="8"/>
      <c r="AP403" s="8"/>
      <c r="AQ403" s="8"/>
      <c r="AR403" s="8"/>
      <c r="AZ403" s="45"/>
      <c r="BA403" s="89"/>
      <c r="BB403" s="89"/>
      <c r="BC403" s="89"/>
      <c r="BD403" s="89"/>
      <c r="BE403" s="89"/>
      <c r="BF403" s="89"/>
      <c r="BG403" s="89"/>
      <c r="BH403" s="89"/>
      <c r="BI403" s="89"/>
      <c r="BJ403" s="89"/>
      <c r="BK403" s="91"/>
      <c r="BL403" s="66"/>
      <c r="BM403" s="94"/>
      <c r="BN403" s="94"/>
      <c r="BO403" s="92"/>
      <c r="BP403" s="93"/>
      <c r="BQ403" s="23"/>
      <c r="BR403" s="94"/>
      <c r="BS403" s="94"/>
      <c r="BT403" s="94"/>
      <c r="BU403" s="94"/>
      <c r="BV403" s="95"/>
      <c r="BW403" s="91"/>
      <c r="BX403" s="95"/>
      <c r="BY403" s="8"/>
      <c r="BZ403" s="96"/>
      <c r="CA403" s="91"/>
      <c r="CB403" s="97"/>
      <c r="CC403" s="8"/>
      <c r="CD403" s="91"/>
      <c r="CE403" s="98"/>
      <c r="CF403" s="5"/>
      <c r="DK403" s="89"/>
      <c r="DL403" s="8"/>
      <c r="DM403" s="8"/>
      <c r="DN403" s="8"/>
      <c r="DO403" s="8"/>
      <c r="DP403" s="8"/>
      <c r="DQ403" s="8"/>
      <c r="DR403" s="8"/>
      <c r="DZ403" s="45"/>
      <c r="EA403" s="89"/>
      <c r="EB403" s="89"/>
      <c r="EC403" s="89"/>
      <c r="ED403" s="89"/>
      <c r="EE403" s="89"/>
      <c r="EF403" s="89"/>
      <c r="EG403" s="89"/>
      <c r="EH403" s="89"/>
      <c r="EI403" s="89"/>
      <c r="EJ403" s="89"/>
      <c r="EK403" s="91"/>
      <c r="EL403" s="66"/>
      <c r="EM403" s="94"/>
      <c r="EN403" s="94"/>
      <c r="EO403" s="92"/>
      <c r="EP403" s="93"/>
      <c r="EQ403" s="23"/>
      <c r="ER403" s="94"/>
      <c r="ES403" s="94"/>
      <c r="ET403" s="94"/>
      <c r="EU403" s="94"/>
      <c r="EV403" s="95"/>
      <c r="EW403" s="91"/>
      <c r="EX403" s="95"/>
      <c r="EY403" s="8"/>
      <c r="EZ403" s="96"/>
      <c r="FA403" s="91"/>
      <c r="FB403" s="97"/>
      <c r="FC403" s="8"/>
      <c r="FD403" s="91"/>
      <c r="FE403" s="98"/>
      <c r="FF403" s="5"/>
    </row>
    <row r="404" spans="37:162">
      <c r="AK404" s="89"/>
      <c r="AL404" s="8"/>
      <c r="AM404" s="8"/>
      <c r="AN404" s="8"/>
      <c r="AO404" s="8"/>
      <c r="AP404" s="8"/>
      <c r="AQ404" s="8"/>
      <c r="AR404" s="8"/>
      <c r="AZ404" s="45"/>
      <c r="BA404" s="89"/>
      <c r="BB404" s="89"/>
      <c r="BC404" s="89"/>
      <c r="BD404" s="89"/>
      <c r="BE404" s="89"/>
      <c r="BF404" s="89"/>
      <c r="BG404" s="89"/>
      <c r="BH404" s="89"/>
      <c r="BI404" s="89"/>
      <c r="BJ404" s="89"/>
      <c r="BK404" s="91"/>
      <c r="BL404" s="66"/>
      <c r="BM404" s="94"/>
      <c r="BN404" s="94"/>
      <c r="BO404" s="92"/>
      <c r="BP404" s="93"/>
      <c r="BQ404" s="23"/>
      <c r="BR404" s="94"/>
      <c r="BS404" s="94"/>
      <c r="BT404" s="94"/>
      <c r="BU404" s="94"/>
      <c r="BV404" s="95"/>
      <c r="BW404" s="91"/>
      <c r="BX404" s="95"/>
      <c r="BY404" s="8"/>
      <c r="BZ404" s="96"/>
      <c r="CA404" s="91"/>
      <c r="CB404" s="97"/>
      <c r="CC404" s="8"/>
      <c r="CD404" s="91"/>
      <c r="CE404" s="98"/>
      <c r="CF404" s="5"/>
      <c r="DK404" s="89"/>
      <c r="DL404" s="8"/>
      <c r="DM404" s="8"/>
      <c r="DN404" s="8"/>
      <c r="DO404" s="8"/>
      <c r="DP404" s="8"/>
      <c r="DQ404" s="8"/>
      <c r="DR404" s="8"/>
      <c r="DZ404" s="45"/>
      <c r="EA404" s="89"/>
      <c r="EB404" s="89"/>
      <c r="EC404" s="89"/>
      <c r="ED404" s="89"/>
      <c r="EE404" s="89"/>
      <c r="EF404" s="89"/>
      <c r="EG404" s="89"/>
      <c r="EH404" s="89"/>
      <c r="EI404" s="89"/>
      <c r="EJ404" s="89"/>
      <c r="EK404" s="91"/>
      <c r="EL404" s="66"/>
      <c r="EM404" s="94"/>
      <c r="EN404" s="94"/>
      <c r="EO404" s="92"/>
      <c r="EP404" s="93"/>
      <c r="EQ404" s="23"/>
      <c r="ER404" s="94"/>
      <c r="ES404" s="94"/>
      <c r="ET404" s="94"/>
      <c r="EU404" s="94"/>
      <c r="EV404" s="95"/>
      <c r="EW404" s="91"/>
      <c r="EX404" s="95"/>
      <c r="EY404" s="8"/>
      <c r="EZ404" s="96"/>
      <c r="FA404" s="91"/>
      <c r="FB404" s="97"/>
      <c r="FC404" s="8"/>
      <c r="FD404" s="91"/>
      <c r="FE404" s="98"/>
      <c r="FF404" s="5"/>
    </row>
    <row r="405" spans="37:162">
      <c r="AK405" s="89"/>
      <c r="AL405" s="8"/>
      <c r="AM405" s="8"/>
      <c r="AN405" s="8"/>
      <c r="AO405" s="8"/>
      <c r="AP405" s="8"/>
      <c r="AQ405" s="8"/>
      <c r="AR405" s="8"/>
      <c r="AZ405" s="45"/>
      <c r="BA405" s="89"/>
      <c r="BB405" s="89"/>
      <c r="BC405" s="89"/>
      <c r="BD405" s="89"/>
      <c r="BE405" s="89"/>
      <c r="BF405" s="89"/>
      <c r="BG405" s="89"/>
      <c r="BH405" s="89"/>
      <c r="BI405" s="89"/>
      <c r="BJ405" s="89"/>
      <c r="BK405" s="91"/>
      <c r="BL405" s="66"/>
      <c r="BM405" s="94"/>
      <c r="BN405" s="94"/>
      <c r="BO405" s="92"/>
      <c r="BP405" s="93"/>
      <c r="BQ405" s="23"/>
      <c r="BR405" s="94"/>
      <c r="BS405" s="94"/>
      <c r="BT405" s="94"/>
      <c r="BU405" s="94"/>
      <c r="BV405" s="95"/>
      <c r="BW405" s="91"/>
      <c r="BX405" s="95"/>
      <c r="BY405" s="8"/>
      <c r="BZ405" s="96"/>
      <c r="CA405" s="91"/>
      <c r="CB405" s="97"/>
      <c r="CC405" s="8"/>
      <c r="CD405" s="91"/>
      <c r="CE405" s="98"/>
      <c r="CF405" s="5"/>
      <c r="DK405" s="89"/>
      <c r="DL405" s="8"/>
      <c r="DM405" s="8"/>
      <c r="DN405" s="8"/>
      <c r="DO405" s="8"/>
      <c r="DP405" s="8"/>
      <c r="DQ405" s="8"/>
      <c r="DR405" s="8"/>
      <c r="DZ405" s="45"/>
      <c r="EA405" s="89"/>
      <c r="EB405" s="89"/>
      <c r="EC405" s="89"/>
      <c r="ED405" s="89"/>
      <c r="EE405" s="89"/>
      <c r="EF405" s="89"/>
      <c r="EG405" s="89"/>
      <c r="EH405" s="89"/>
      <c r="EI405" s="89"/>
      <c r="EJ405" s="89"/>
      <c r="EK405" s="91"/>
      <c r="EL405" s="66"/>
      <c r="EM405" s="94"/>
      <c r="EN405" s="94"/>
      <c r="EO405" s="92"/>
      <c r="EP405" s="93"/>
      <c r="EQ405" s="23"/>
      <c r="ER405" s="94"/>
      <c r="ES405" s="94"/>
      <c r="ET405" s="94"/>
      <c r="EU405" s="94"/>
      <c r="EV405" s="95"/>
      <c r="EW405" s="91"/>
      <c r="EX405" s="95"/>
      <c r="EY405" s="8"/>
      <c r="EZ405" s="96"/>
      <c r="FA405" s="91"/>
      <c r="FB405" s="97"/>
      <c r="FC405" s="8"/>
      <c r="FD405" s="91"/>
      <c r="FE405" s="98"/>
      <c r="FF405" s="5"/>
    </row>
    <row r="406" spans="37:162">
      <c r="AK406" s="89"/>
      <c r="AL406" s="8"/>
      <c r="AM406" s="8"/>
      <c r="AN406" s="8"/>
      <c r="AO406" s="8"/>
      <c r="AP406" s="8"/>
      <c r="AQ406" s="8"/>
      <c r="AR406" s="8"/>
      <c r="AZ406" s="45"/>
      <c r="BA406" s="89"/>
      <c r="BB406" s="89"/>
      <c r="BC406" s="89"/>
      <c r="BD406" s="89"/>
      <c r="BE406" s="89"/>
      <c r="BF406" s="89"/>
      <c r="BG406" s="89"/>
      <c r="BH406" s="89"/>
      <c r="BI406" s="89"/>
      <c r="BJ406" s="89"/>
      <c r="BK406" s="91"/>
      <c r="BL406" s="66"/>
      <c r="BM406" s="94"/>
      <c r="BN406" s="94"/>
      <c r="BO406" s="92"/>
      <c r="BP406" s="93"/>
      <c r="BQ406" s="23"/>
      <c r="BR406" s="94"/>
      <c r="BS406" s="94"/>
      <c r="BT406" s="94"/>
      <c r="BU406" s="94"/>
      <c r="BV406" s="95"/>
      <c r="BW406" s="91"/>
      <c r="BX406" s="95"/>
      <c r="BY406" s="8"/>
      <c r="BZ406" s="96"/>
      <c r="CA406" s="91"/>
      <c r="CB406" s="97"/>
      <c r="CC406" s="8"/>
      <c r="CD406" s="91"/>
      <c r="CE406" s="98"/>
      <c r="CF406" s="5"/>
      <c r="DK406" s="89"/>
      <c r="DL406" s="8"/>
      <c r="DM406" s="8"/>
      <c r="DN406" s="8"/>
      <c r="DO406" s="8"/>
      <c r="DP406" s="8"/>
      <c r="DQ406" s="8"/>
      <c r="DR406" s="8"/>
      <c r="DZ406" s="45"/>
      <c r="EA406" s="89"/>
      <c r="EB406" s="89"/>
      <c r="EC406" s="89"/>
      <c r="ED406" s="89"/>
      <c r="EE406" s="89"/>
      <c r="EF406" s="89"/>
      <c r="EG406" s="89"/>
      <c r="EH406" s="89"/>
      <c r="EI406" s="89"/>
      <c r="EJ406" s="89"/>
      <c r="EK406" s="91"/>
      <c r="EL406" s="66"/>
      <c r="EM406" s="94"/>
      <c r="EN406" s="94"/>
      <c r="EO406" s="92"/>
      <c r="EP406" s="93"/>
      <c r="EQ406" s="23"/>
      <c r="ER406" s="94"/>
      <c r="ES406" s="94"/>
      <c r="ET406" s="94"/>
      <c r="EU406" s="94"/>
      <c r="EV406" s="95"/>
      <c r="EW406" s="91"/>
      <c r="EX406" s="95"/>
      <c r="EY406" s="8"/>
      <c r="EZ406" s="96"/>
      <c r="FA406" s="91"/>
      <c r="FB406" s="97"/>
      <c r="FC406" s="8"/>
      <c r="FD406" s="91"/>
      <c r="FE406" s="98"/>
      <c r="FF406" s="5"/>
    </row>
    <row r="407" spans="37:162">
      <c r="AK407" s="89"/>
      <c r="AL407" s="8"/>
      <c r="AM407" s="8"/>
      <c r="AN407" s="8"/>
      <c r="AO407" s="8"/>
      <c r="AP407" s="8"/>
      <c r="AQ407" s="8"/>
      <c r="AR407" s="8"/>
      <c r="AZ407" s="45"/>
      <c r="BA407" s="89"/>
      <c r="BB407" s="89"/>
      <c r="BC407" s="89"/>
      <c r="BD407" s="89"/>
      <c r="BE407" s="89"/>
      <c r="BF407" s="89"/>
      <c r="BG407" s="89"/>
      <c r="BH407" s="89"/>
      <c r="BI407" s="89"/>
      <c r="BJ407" s="89"/>
      <c r="BK407" s="91"/>
      <c r="BL407" s="66"/>
      <c r="BM407" s="94"/>
      <c r="BN407" s="94"/>
      <c r="BO407" s="92"/>
      <c r="BP407" s="93"/>
      <c r="BQ407" s="23"/>
      <c r="BR407" s="94"/>
      <c r="BS407" s="94"/>
      <c r="BT407" s="94"/>
      <c r="BU407" s="94"/>
      <c r="BV407" s="95"/>
      <c r="BW407" s="91"/>
      <c r="BX407" s="95"/>
      <c r="BY407" s="8"/>
      <c r="BZ407" s="96"/>
      <c r="CA407" s="91"/>
      <c r="CB407" s="97"/>
      <c r="CC407" s="8"/>
      <c r="CD407" s="91"/>
      <c r="CE407" s="98"/>
      <c r="CF407" s="5"/>
      <c r="DK407" s="89"/>
      <c r="DL407" s="8"/>
      <c r="DM407" s="8"/>
      <c r="DN407" s="8"/>
      <c r="DO407" s="8"/>
      <c r="DP407" s="8"/>
      <c r="DQ407" s="8"/>
      <c r="DR407" s="8"/>
      <c r="DZ407" s="45"/>
      <c r="EA407" s="89"/>
      <c r="EB407" s="89"/>
      <c r="EC407" s="89"/>
      <c r="ED407" s="89"/>
      <c r="EE407" s="89"/>
      <c r="EF407" s="89"/>
      <c r="EG407" s="89"/>
      <c r="EH407" s="89"/>
      <c r="EI407" s="89"/>
      <c r="EJ407" s="89"/>
      <c r="EK407" s="91"/>
      <c r="EL407" s="66"/>
      <c r="EM407" s="94"/>
      <c r="EN407" s="94"/>
      <c r="EO407" s="92"/>
      <c r="EP407" s="93"/>
      <c r="EQ407" s="23"/>
      <c r="ER407" s="94"/>
      <c r="ES407" s="94"/>
      <c r="ET407" s="94"/>
      <c r="EU407" s="94"/>
      <c r="EV407" s="95"/>
      <c r="EW407" s="91"/>
      <c r="EX407" s="95"/>
      <c r="EY407" s="8"/>
      <c r="EZ407" s="96"/>
      <c r="FA407" s="91"/>
      <c r="FB407" s="97"/>
      <c r="FC407" s="8"/>
      <c r="FD407" s="91"/>
      <c r="FE407" s="98"/>
      <c r="FF407" s="5"/>
    </row>
    <row r="408" spans="37:162">
      <c r="AK408" s="89"/>
      <c r="AL408" s="8"/>
      <c r="AM408" s="8"/>
      <c r="AN408" s="8"/>
      <c r="AO408" s="8"/>
      <c r="AP408" s="8"/>
      <c r="AQ408" s="8"/>
      <c r="AR408" s="8"/>
      <c r="AZ408" s="45"/>
      <c r="BA408" s="89"/>
      <c r="BB408" s="89"/>
      <c r="BC408" s="89"/>
      <c r="BD408" s="89"/>
      <c r="BE408" s="89"/>
      <c r="BF408" s="89"/>
      <c r="BG408" s="89"/>
      <c r="BH408" s="89"/>
      <c r="BI408" s="89"/>
      <c r="BJ408" s="89"/>
      <c r="BK408" s="91"/>
      <c r="BL408" s="66"/>
      <c r="BM408" s="94"/>
      <c r="BN408" s="94"/>
      <c r="BO408" s="92"/>
      <c r="BP408" s="93"/>
      <c r="BQ408" s="23"/>
      <c r="BR408" s="94"/>
      <c r="BS408" s="94"/>
      <c r="BT408" s="94"/>
      <c r="BU408" s="94"/>
      <c r="BV408" s="95"/>
      <c r="BW408" s="91"/>
      <c r="BX408" s="95"/>
      <c r="BY408" s="8"/>
      <c r="BZ408" s="96"/>
      <c r="CA408" s="91"/>
      <c r="CB408" s="97"/>
      <c r="CC408" s="8"/>
      <c r="CD408" s="91"/>
      <c r="CE408" s="98"/>
      <c r="CF408" s="5"/>
      <c r="DK408" s="89"/>
      <c r="DL408" s="8"/>
      <c r="DM408" s="8"/>
      <c r="DN408" s="8"/>
      <c r="DO408" s="8"/>
      <c r="DP408" s="8"/>
      <c r="DQ408" s="8"/>
      <c r="DR408" s="8"/>
      <c r="DZ408" s="45"/>
      <c r="EA408" s="89"/>
      <c r="EB408" s="89"/>
      <c r="EC408" s="89"/>
      <c r="ED408" s="89"/>
      <c r="EE408" s="89"/>
      <c r="EF408" s="89"/>
      <c r="EG408" s="89"/>
      <c r="EH408" s="89"/>
      <c r="EI408" s="89"/>
      <c r="EJ408" s="89"/>
      <c r="EK408" s="91"/>
      <c r="EL408" s="66"/>
      <c r="EM408" s="94"/>
      <c r="EN408" s="94"/>
      <c r="EO408" s="92"/>
      <c r="EP408" s="93"/>
      <c r="EQ408" s="23"/>
      <c r="ER408" s="94"/>
      <c r="ES408" s="94"/>
      <c r="ET408" s="94"/>
      <c r="EU408" s="94"/>
      <c r="EV408" s="95"/>
      <c r="EW408" s="91"/>
      <c r="EX408" s="95"/>
      <c r="EY408" s="8"/>
      <c r="EZ408" s="96"/>
      <c r="FA408" s="91"/>
      <c r="FB408" s="97"/>
      <c r="FC408" s="8"/>
      <c r="FD408" s="91"/>
      <c r="FE408" s="98"/>
      <c r="FF408" s="5"/>
    </row>
    <row r="409" spans="37:162">
      <c r="AK409" s="89"/>
      <c r="AL409" s="8"/>
      <c r="AM409" s="8"/>
      <c r="AN409" s="8"/>
      <c r="AO409" s="8"/>
      <c r="AP409" s="8"/>
      <c r="AQ409" s="8"/>
      <c r="AR409" s="8"/>
      <c r="AZ409" s="45"/>
      <c r="BA409" s="89"/>
      <c r="BB409" s="89"/>
      <c r="BC409" s="89"/>
      <c r="BD409" s="89"/>
      <c r="BE409" s="89"/>
      <c r="BF409" s="89"/>
      <c r="BG409" s="89"/>
      <c r="BH409" s="89"/>
      <c r="BI409" s="89"/>
      <c r="BJ409" s="89"/>
      <c r="BK409" s="91"/>
      <c r="BL409" s="66"/>
      <c r="BM409" s="94"/>
      <c r="BN409" s="94"/>
      <c r="BO409" s="92"/>
      <c r="BP409" s="93"/>
      <c r="BQ409" s="23"/>
      <c r="BR409" s="94"/>
      <c r="BS409" s="94"/>
      <c r="BT409" s="94"/>
      <c r="BU409" s="94"/>
      <c r="BV409" s="95"/>
      <c r="BW409" s="91"/>
      <c r="BX409" s="95"/>
      <c r="BY409" s="8"/>
      <c r="BZ409" s="96"/>
      <c r="CA409" s="91"/>
      <c r="CB409" s="97"/>
      <c r="CC409" s="8"/>
      <c r="CD409" s="91"/>
      <c r="CE409" s="98"/>
      <c r="CF409" s="5"/>
      <c r="DK409" s="89"/>
      <c r="DL409" s="8"/>
      <c r="DM409" s="8"/>
      <c r="DN409" s="8"/>
      <c r="DO409" s="8"/>
      <c r="DP409" s="8"/>
      <c r="DQ409" s="8"/>
      <c r="DR409" s="8"/>
      <c r="DZ409" s="45"/>
      <c r="EA409" s="89"/>
      <c r="EB409" s="89"/>
      <c r="EC409" s="89"/>
      <c r="ED409" s="89"/>
      <c r="EE409" s="89"/>
      <c r="EF409" s="89"/>
      <c r="EG409" s="89"/>
      <c r="EH409" s="89"/>
      <c r="EI409" s="89"/>
      <c r="EJ409" s="89"/>
      <c r="EK409" s="91"/>
      <c r="EL409" s="66"/>
      <c r="EM409" s="94"/>
      <c r="EN409" s="94"/>
      <c r="EO409" s="92"/>
      <c r="EP409" s="93"/>
      <c r="EQ409" s="23"/>
      <c r="ER409" s="94"/>
      <c r="ES409" s="94"/>
      <c r="ET409" s="94"/>
      <c r="EU409" s="94"/>
      <c r="EV409" s="95"/>
      <c r="EW409" s="91"/>
      <c r="EX409" s="95"/>
      <c r="EY409" s="8"/>
      <c r="EZ409" s="96"/>
      <c r="FA409" s="91"/>
      <c r="FB409" s="97"/>
      <c r="FC409" s="8"/>
      <c r="FD409" s="91"/>
      <c r="FE409" s="98"/>
      <c r="FF409" s="5"/>
    </row>
    <row r="410" spans="37:162">
      <c r="AK410" s="89"/>
      <c r="AL410" s="8"/>
      <c r="AM410" s="8"/>
      <c r="AN410" s="8"/>
      <c r="AO410" s="8"/>
      <c r="AP410" s="8"/>
      <c r="AQ410" s="8"/>
      <c r="AR410" s="8"/>
      <c r="AZ410" s="45"/>
      <c r="BA410" s="89"/>
      <c r="BB410" s="89"/>
      <c r="BC410" s="89"/>
      <c r="BD410" s="89"/>
      <c r="BE410" s="89"/>
      <c r="BF410" s="89"/>
      <c r="BG410" s="89"/>
      <c r="BH410" s="89"/>
      <c r="BI410" s="89"/>
      <c r="BJ410" s="89"/>
      <c r="BK410" s="91"/>
      <c r="BL410" s="66"/>
      <c r="BM410" s="94"/>
      <c r="BN410" s="94"/>
      <c r="BO410" s="92"/>
      <c r="BP410" s="93"/>
      <c r="BQ410" s="23"/>
      <c r="BR410" s="94"/>
      <c r="BS410" s="94"/>
      <c r="BT410" s="94"/>
      <c r="BU410" s="94"/>
      <c r="BV410" s="95"/>
      <c r="BW410" s="91"/>
      <c r="BX410" s="95"/>
      <c r="BY410" s="8"/>
      <c r="BZ410" s="96"/>
      <c r="CA410" s="91"/>
      <c r="CB410" s="97"/>
      <c r="CC410" s="8"/>
      <c r="CD410" s="91"/>
      <c r="CE410" s="98"/>
      <c r="CF410" s="5"/>
      <c r="DK410" s="89"/>
      <c r="DL410" s="8"/>
      <c r="DM410" s="8"/>
      <c r="DN410" s="8"/>
      <c r="DO410" s="8"/>
      <c r="DP410" s="8"/>
      <c r="DQ410" s="8"/>
      <c r="DR410" s="8"/>
      <c r="DZ410" s="45"/>
      <c r="EA410" s="89"/>
      <c r="EB410" s="89"/>
      <c r="EC410" s="89"/>
      <c r="ED410" s="89"/>
      <c r="EE410" s="89"/>
      <c r="EF410" s="89"/>
      <c r="EG410" s="89"/>
      <c r="EH410" s="89"/>
      <c r="EI410" s="89"/>
      <c r="EJ410" s="89"/>
      <c r="EK410" s="91"/>
      <c r="EL410" s="66"/>
      <c r="EM410" s="94"/>
      <c r="EN410" s="94"/>
      <c r="EO410" s="92"/>
      <c r="EP410" s="93"/>
      <c r="EQ410" s="23"/>
      <c r="ER410" s="94"/>
      <c r="ES410" s="94"/>
      <c r="ET410" s="94"/>
      <c r="EU410" s="94"/>
      <c r="EV410" s="95"/>
      <c r="EW410" s="91"/>
      <c r="EX410" s="95"/>
      <c r="EY410" s="8"/>
      <c r="EZ410" s="96"/>
      <c r="FA410" s="91"/>
      <c r="FB410" s="97"/>
      <c r="FC410" s="8"/>
      <c r="FD410" s="91"/>
      <c r="FE410" s="98"/>
      <c r="FF410" s="5"/>
    </row>
    <row r="411" spans="37:162">
      <c r="AK411" s="89"/>
      <c r="AL411" s="8"/>
      <c r="AM411" s="8"/>
      <c r="AN411" s="8"/>
      <c r="AO411" s="8"/>
      <c r="AP411" s="8"/>
      <c r="AQ411" s="8"/>
      <c r="AR411" s="8"/>
      <c r="AZ411" s="45"/>
      <c r="BA411" s="89"/>
      <c r="BB411" s="89"/>
      <c r="BC411" s="89"/>
      <c r="BD411" s="89"/>
      <c r="BE411" s="89"/>
      <c r="BF411" s="89"/>
      <c r="BG411" s="89"/>
      <c r="BH411" s="89"/>
      <c r="BI411" s="89"/>
      <c r="BJ411" s="89"/>
      <c r="BK411" s="91"/>
      <c r="BL411" s="66"/>
      <c r="BM411" s="94"/>
      <c r="BN411" s="94"/>
      <c r="BO411" s="92"/>
      <c r="BP411" s="93"/>
      <c r="BQ411" s="23"/>
      <c r="BR411" s="94"/>
      <c r="BS411" s="94"/>
      <c r="BT411" s="94"/>
      <c r="BU411" s="94"/>
      <c r="BV411" s="95"/>
      <c r="BW411" s="91"/>
      <c r="BX411" s="95"/>
      <c r="BY411" s="8"/>
      <c r="BZ411" s="96"/>
      <c r="CA411" s="91"/>
      <c r="CB411" s="97"/>
      <c r="CC411" s="8"/>
      <c r="CD411" s="91"/>
      <c r="CE411" s="98"/>
      <c r="CF411" s="5"/>
      <c r="DK411" s="89"/>
      <c r="DL411" s="8"/>
      <c r="DM411" s="8"/>
      <c r="DN411" s="8"/>
      <c r="DO411" s="8"/>
      <c r="DP411" s="8"/>
      <c r="DQ411" s="8"/>
      <c r="DR411" s="8"/>
      <c r="DZ411" s="45"/>
      <c r="EA411" s="89"/>
      <c r="EB411" s="89"/>
      <c r="EC411" s="89"/>
      <c r="ED411" s="89"/>
      <c r="EE411" s="89"/>
      <c r="EF411" s="89"/>
      <c r="EG411" s="89"/>
      <c r="EH411" s="89"/>
      <c r="EI411" s="89"/>
      <c r="EJ411" s="89"/>
      <c r="EK411" s="91"/>
      <c r="EL411" s="66"/>
      <c r="EM411" s="94"/>
      <c r="EN411" s="94"/>
      <c r="EO411" s="92"/>
      <c r="EP411" s="93"/>
      <c r="EQ411" s="23"/>
      <c r="ER411" s="94"/>
      <c r="ES411" s="94"/>
      <c r="ET411" s="94"/>
      <c r="EU411" s="94"/>
      <c r="EV411" s="95"/>
      <c r="EW411" s="91"/>
      <c r="EX411" s="95"/>
      <c r="EY411" s="8"/>
      <c r="EZ411" s="96"/>
      <c r="FA411" s="91"/>
      <c r="FB411" s="97"/>
      <c r="FC411" s="8"/>
      <c r="FD411" s="91"/>
      <c r="FE411" s="98"/>
      <c r="FF411" s="5"/>
    </row>
    <row r="412" spans="37:162">
      <c r="AK412" s="89"/>
      <c r="AL412" s="8"/>
      <c r="AM412" s="8"/>
      <c r="AN412" s="8"/>
      <c r="AO412" s="8"/>
      <c r="AP412" s="8"/>
      <c r="AQ412" s="8"/>
      <c r="AR412" s="8"/>
      <c r="AZ412" s="45"/>
      <c r="BA412" s="89"/>
      <c r="BB412" s="89"/>
      <c r="BC412" s="89"/>
      <c r="BD412" s="89"/>
      <c r="BE412" s="89"/>
      <c r="BF412" s="89"/>
      <c r="BG412" s="89"/>
      <c r="BH412" s="89"/>
      <c r="BI412" s="89"/>
      <c r="BJ412" s="89"/>
      <c r="BK412" s="91"/>
      <c r="BL412" s="66"/>
      <c r="BM412" s="94"/>
      <c r="BN412" s="94"/>
      <c r="BO412" s="92"/>
      <c r="BP412" s="93"/>
      <c r="BQ412" s="23"/>
      <c r="BR412" s="94"/>
      <c r="BS412" s="94"/>
      <c r="BT412" s="94"/>
      <c r="BU412" s="94"/>
      <c r="BV412" s="95"/>
      <c r="BW412" s="91"/>
      <c r="BX412" s="95"/>
      <c r="BY412" s="8"/>
      <c r="BZ412" s="96"/>
      <c r="CA412" s="91"/>
      <c r="CB412" s="97"/>
      <c r="CC412" s="8"/>
      <c r="CD412" s="91"/>
      <c r="CE412" s="98"/>
      <c r="CF412" s="5"/>
      <c r="DK412" s="89"/>
      <c r="DL412" s="8"/>
      <c r="DM412" s="8"/>
      <c r="DN412" s="8"/>
      <c r="DO412" s="8"/>
      <c r="DP412" s="8"/>
      <c r="DQ412" s="8"/>
      <c r="DR412" s="8"/>
      <c r="DZ412" s="45"/>
      <c r="EA412" s="89"/>
      <c r="EB412" s="89"/>
      <c r="EC412" s="89"/>
      <c r="ED412" s="89"/>
      <c r="EE412" s="89"/>
      <c r="EF412" s="89"/>
      <c r="EG412" s="89"/>
      <c r="EH412" s="89"/>
      <c r="EI412" s="89"/>
      <c r="EJ412" s="89"/>
      <c r="EK412" s="91"/>
      <c r="EL412" s="66"/>
      <c r="EM412" s="94"/>
      <c r="EN412" s="94"/>
      <c r="EO412" s="92"/>
      <c r="EP412" s="93"/>
      <c r="EQ412" s="23"/>
      <c r="ER412" s="94"/>
      <c r="ES412" s="94"/>
      <c r="ET412" s="94"/>
      <c r="EU412" s="94"/>
      <c r="EV412" s="95"/>
      <c r="EW412" s="91"/>
      <c r="EX412" s="95"/>
      <c r="EY412" s="8"/>
      <c r="EZ412" s="96"/>
      <c r="FA412" s="91"/>
      <c r="FB412" s="97"/>
      <c r="FC412" s="8"/>
      <c r="FD412" s="91"/>
      <c r="FE412" s="98"/>
      <c r="FF412" s="5"/>
    </row>
    <row r="413" spans="37:162">
      <c r="AK413" s="89"/>
      <c r="AL413" s="8"/>
      <c r="AM413" s="8"/>
      <c r="AN413" s="8"/>
      <c r="AO413" s="8"/>
      <c r="AP413" s="8"/>
      <c r="AQ413" s="8"/>
      <c r="AR413" s="8"/>
      <c r="AZ413" s="45"/>
      <c r="BA413" s="89"/>
      <c r="BB413" s="89"/>
      <c r="BC413" s="89"/>
      <c r="BD413" s="89"/>
      <c r="BE413" s="89"/>
      <c r="BF413" s="89"/>
      <c r="BG413" s="89"/>
      <c r="BH413" s="89"/>
      <c r="BI413" s="89"/>
      <c r="BJ413" s="89"/>
      <c r="BK413" s="91"/>
      <c r="BL413" s="66"/>
      <c r="BM413" s="94"/>
      <c r="BN413" s="94"/>
      <c r="BO413" s="92"/>
      <c r="BP413" s="93"/>
      <c r="BQ413" s="23"/>
      <c r="BR413" s="94"/>
      <c r="BS413" s="94"/>
      <c r="BT413" s="94"/>
      <c r="BU413" s="94"/>
      <c r="BV413" s="95"/>
      <c r="BW413" s="91"/>
      <c r="BX413" s="95"/>
      <c r="BY413" s="8"/>
      <c r="BZ413" s="96"/>
      <c r="CA413" s="91"/>
      <c r="CB413" s="97"/>
      <c r="CC413" s="8"/>
      <c r="CD413" s="91"/>
      <c r="CE413" s="98"/>
      <c r="CF413" s="5"/>
      <c r="DK413" s="89"/>
      <c r="DL413" s="8"/>
      <c r="DM413" s="8"/>
      <c r="DN413" s="8"/>
      <c r="DO413" s="8"/>
      <c r="DP413" s="8"/>
      <c r="DQ413" s="8"/>
      <c r="DR413" s="8"/>
      <c r="DZ413" s="45"/>
      <c r="EA413" s="89"/>
      <c r="EB413" s="89"/>
      <c r="EC413" s="89"/>
      <c r="ED413" s="89"/>
      <c r="EE413" s="89"/>
      <c r="EF413" s="89"/>
      <c r="EG413" s="89"/>
      <c r="EH413" s="89"/>
      <c r="EI413" s="89"/>
      <c r="EJ413" s="89"/>
      <c r="EK413" s="91"/>
      <c r="EL413" s="66"/>
      <c r="EM413" s="94"/>
      <c r="EN413" s="94"/>
      <c r="EO413" s="92"/>
      <c r="EP413" s="93"/>
      <c r="EQ413" s="23"/>
      <c r="ER413" s="94"/>
      <c r="ES413" s="94"/>
      <c r="ET413" s="94"/>
      <c r="EU413" s="94"/>
      <c r="EV413" s="95"/>
      <c r="EW413" s="91"/>
      <c r="EX413" s="95"/>
      <c r="EY413" s="8"/>
      <c r="EZ413" s="96"/>
      <c r="FA413" s="91"/>
      <c r="FB413" s="97"/>
      <c r="FC413" s="8"/>
      <c r="FD413" s="91"/>
      <c r="FE413" s="98"/>
      <c r="FF413" s="5"/>
    </row>
    <row r="414" spans="37:162">
      <c r="AK414" s="89"/>
      <c r="AL414" s="8"/>
      <c r="AM414" s="8"/>
      <c r="AN414" s="8"/>
      <c r="AO414" s="8"/>
      <c r="AP414" s="8"/>
      <c r="AQ414" s="8"/>
      <c r="AR414" s="8"/>
      <c r="AZ414" s="45"/>
      <c r="BA414" s="89"/>
      <c r="BB414" s="89"/>
      <c r="BC414" s="89"/>
      <c r="BD414" s="89"/>
      <c r="BE414" s="89"/>
      <c r="BF414" s="89"/>
      <c r="BG414" s="89"/>
      <c r="BH414" s="89"/>
      <c r="BI414" s="89"/>
      <c r="BJ414" s="89"/>
      <c r="BK414" s="91"/>
      <c r="BL414" s="66"/>
      <c r="BM414" s="94"/>
      <c r="BN414" s="94"/>
      <c r="BO414" s="92"/>
      <c r="BP414" s="93"/>
      <c r="BQ414" s="23"/>
      <c r="BR414" s="94"/>
      <c r="BS414" s="94"/>
      <c r="BT414" s="94"/>
      <c r="BU414" s="94"/>
      <c r="BV414" s="95"/>
      <c r="BW414" s="91"/>
      <c r="BX414" s="95"/>
      <c r="BY414" s="8"/>
      <c r="BZ414" s="96"/>
      <c r="CA414" s="91"/>
      <c r="CB414" s="97"/>
      <c r="CC414" s="8"/>
      <c r="CD414" s="91"/>
      <c r="CE414" s="98"/>
      <c r="CF414" s="5"/>
      <c r="DK414" s="89"/>
      <c r="DL414" s="8"/>
      <c r="DM414" s="8"/>
      <c r="DN414" s="8"/>
      <c r="DO414" s="8"/>
      <c r="DP414" s="8"/>
      <c r="DQ414" s="8"/>
      <c r="DR414" s="8"/>
      <c r="DZ414" s="45"/>
      <c r="EA414" s="89"/>
      <c r="EB414" s="89"/>
      <c r="EC414" s="89"/>
      <c r="ED414" s="89"/>
      <c r="EE414" s="89"/>
      <c r="EF414" s="89"/>
      <c r="EG414" s="89"/>
      <c r="EH414" s="89"/>
      <c r="EI414" s="89"/>
      <c r="EJ414" s="89"/>
      <c r="EK414" s="91"/>
      <c r="EL414" s="66"/>
      <c r="EM414" s="94"/>
      <c r="EN414" s="94"/>
      <c r="EO414" s="92"/>
      <c r="EP414" s="93"/>
      <c r="EQ414" s="23"/>
      <c r="ER414" s="94"/>
      <c r="ES414" s="94"/>
      <c r="ET414" s="94"/>
      <c r="EU414" s="94"/>
      <c r="EV414" s="95"/>
      <c r="EW414" s="91"/>
      <c r="EX414" s="95"/>
      <c r="EY414" s="8"/>
      <c r="EZ414" s="96"/>
      <c r="FA414" s="91"/>
      <c r="FB414" s="97"/>
      <c r="FC414" s="8"/>
      <c r="FD414" s="91"/>
      <c r="FE414" s="98"/>
      <c r="FF414" s="5"/>
    </row>
    <row r="415" spans="37:162">
      <c r="AK415" s="89"/>
      <c r="AL415" s="8"/>
      <c r="AM415" s="8"/>
      <c r="AN415" s="8"/>
      <c r="AO415" s="8"/>
      <c r="AP415" s="8"/>
      <c r="AQ415" s="8"/>
      <c r="AR415" s="8"/>
      <c r="AZ415" s="45"/>
      <c r="BA415" s="89"/>
      <c r="BB415" s="89"/>
      <c r="BC415" s="89"/>
      <c r="BD415" s="89"/>
      <c r="BE415" s="89"/>
      <c r="BF415" s="89"/>
      <c r="BG415" s="89"/>
      <c r="BH415" s="89"/>
      <c r="BI415" s="89"/>
      <c r="BJ415" s="89"/>
      <c r="BK415" s="91"/>
      <c r="BL415" s="66"/>
      <c r="BM415" s="94"/>
      <c r="BN415" s="94"/>
      <c r="BO415" s="92"/>
      <c r="BP415" s="93"/>
      <c r="BQ415" s="23"/>
      <c r="BR415" s="94"/>
      <c r="BS415" s="94"/>
      <c r="BT415" s="94"/>
      <c r="BU415" s="94"/>
      <c r="BV415" s="95"/>
      <c r="BW415" s="91"/>
      <c r="BX415" s="95"/>
      <c r="BY415" s="8"/>
      <c r="BZ415" s="96"/>
      <c r="CA415" s="91"/>
      <c r="CB415" s="97"/>
      <c r="CC415" s="8"/>
      <c r="CD415" s="91"/>
      <c r="CE415" s="98"/>
      <c r="CF415" s="5"/>
      <c r="DK415" s="89"/>
      <c r="DL415" s="8"/>
      <c r="DM415" s="8"/>
      <c r="DN415" s="8"/>
      <c r="DO415" s="8"/>
      <c r="DP415" s="8"/>
      <c r="DQ415" s="8"/>
      <c r="DR415" s="8"/>
      <c r="DZ415" s="45"/>
      <c r="EA415" s="89"/>
      <c r="EB415" s="89"/>
      <c r="EC415" s="89"/>
      <c r="ED415" s="89"/>
      <c r="EE415" s="89"/>
      <c r="EF415" s="89"/>
      <c r="EG415" s="89"/>
      <c r="EH415" s="89"/>
      <c r="EI415" s="89"/>
      <c r="EJ415" s="89"/>
      <c r="EK415" s="91"/>
      <c r="EL415" s="66"/>
      <c r="EM415" s="94"/>
      <c r="EN415" s="94"/>
      <c r="EO415" s="92"/>
      <c r="EP415" s="93"/>
      <c r="EQ415" s="23"/>
      <c r="ER415" s="94"/>
      <c r="ES415" s="94"/>
      <c r="ET415" s="94"/>
      <c r="EU415" s="94"/>
      <c r="EV415" s="95"/>
      <c r="EW415" s="91"/>
      <c r="EX415" s="95"/>
      <c r="EY415" s="8"/>
      <c r="EZ415" s="96"/>
      <c r="FA415" s="91"/>
      <c r="FB415" s="97"/>
      <c r="FC415" s="8"/>
      <c r="FD415" s="91"/>
      <c r="FE415" s="98"/>
      <c r="FF415" s="5"/>
    </row>
    <row r="416" spans="37:162">
      <c r="AK416" s="89"/>
      <c r="AL416" s="8"/>
      <c r="AM416" s="8"/>
      <c r="AN416" s="8"/>
      <c r="AO416" s="8"/>
      <c r="AP416" s="8"/>
      <c r="AQ416" s="8"/>
      <c r="AR416" s="8"/>
      <c r="AZ416" s="45"/>
      <c r="BA416" s="89"/>
      <c r="BB416" s="89"/>
      <c r="BC416" s="89"/>
      <c r="BD416" s="89"/>
      <c r="BE416" s="89"/>
      <c r="BF416" s="89"/>
      <c r="BG416" s="89"/>
      <c r="BH416" s="89"/>
      <c r="BI416" s="89"/>
      <c r="BJ416" s="89"/>
      <c r="BK416" s="91"/>
      <c r="BL416" s="66"/>
      <c r="BM416" s="94"/>
      <c r="BN416" s="94"/>
      <c r="BO416" s="92"/>
      <c r="BP416" s="93"/>
      <c r="BQ416" s="23"/>
      <c r="BR416" s="94"/>
      <c r="BS416" s="94"/>
      <c r="BT416" s="94"/>
      <c r="BU416" s="94"/>
      <c r="BV416" s="95"/>
      <c r="BW416" s="91"/>
      <c r="BX416" s="95"/>
      <c r="BY416" s="8"/>
      <c r="BZ416" s="96"/>
      <c r="CA416" s="91"/>
      <c r="CB416" s="97"/>
      <c r="CC416" s="8"/>
      <c r="CD416" s="91"/>
      <c r="CE416" s="98"/>
      <c r="CF416" s="5"/>
      <c r="DK416" s="89"/>
      <c r="DL416" s="8"/>
      <c r="DM416" s="8"/>
      <c r="DN416" s="8"/>
      <c r="DO416" s="8"/>
      <c r="DP416" s="8"/>
      <c r="DQ416" s="8"/>
      <c r="DR416" s="8"/>
      <c r="DZ416" s="45"/>
      <c r="EA416" s="89"/>
      <c r="EB416" s="89"/>
      <c r="EC416" s="89"/>
      <c r="ED416" s="89"/>
      <c r="EE416" s="89"/>
      <c r="EF416" s="89"/>
      <c r="EG416" s="89"/>
      <c r="EH416" s="89"/>
      <c r="EI416" s="89"/>
      <c r="EJ416" s="89"/>
      <c r="EK416" s="91"/>
      <c r="EL416" s="66"/>
      <c r="EM416" s="94"/>
      <c r="EN416" s="94"/>
      <c r="EO416" s="92"/>
      <c r="EP416" s="93"/>
      <c r="EQ416" s="23"/>
      <c r="ER416" s="94"/>
      <c r="ES416" s="94"/>
      <c r="ET416" s="94"/>
      <c r="EU416" s="94"/>
      <c r="EV416" s="95"/>
      <c r="EW416" s="91"/>
      <c r="EX416" s="95"/>
      <c r="EY416" s="8"/>
      <c r="EZ416" s="96"/>
      <c r="FA416" s="91"/>
      <c r="FB416" s="97"/>
      <c r="FC416" s="8"/>
      <c r="FD416" s="91"/>
      <c r="FE416" s="98"/>
      <c r="FF416" s="5"/>
    </row>
    <row r="417" spans="37:162">
      <c r="AK417" s="89"/>
      <c r="AL417" s="8"/>
      <c r="AM417" s="8"/>
      <c r="AN417" s="8"/>
      <c r="AO417" s="8"/>
      <c r="AP417" s="8"/>
      <c r="AQ417" s="8"/>
      <c r="AR417" s="8"/>
      <c r="AZ417" s="45"/>
      <c r="BA417" s="89"/>
      <c r="BB417" s="89"/>
      <c r="BC417" s="89"/>
      <c r="BD417" s="89"/>
      <c r="BE417" s="89"/>
      <c r="BF417" s="89"/>
      <c r="BG417" s="89"/>
      <c r="BH417" s="89"/>
      <c r="BI417" s="89"/>
      <c r="BJ417" s="89"/>
      <c r="BK417" s="91"/>
      <c r="BL417" s="66"/>
      <c r="BM417" s="94"/>
      <c r="BN417" s="94"/>
      <c r="BO417" s="92"/>
      <c r="BP417" s="93"/>
      <c r="BQ417" s="23"/>
      <c r="BR417" s="94"/>
      <c r="BS417" s="94"/>
      <c r="BT417" s="94"/>
      <c r="BU417" s="94"/>
      <c r="BV417" s="95"/>
      <c r="BW417" s="91"/>
      <c r="BX417" s="95"/>
      <c r="BY417" s="8"/>
      <c r="BZ417" s="96"/>
      <c r="CA417" s="91"/>
      <c r="CB417" s="97"/>
      <c r="CC417" s="8"/>
      <c r="CD417" s="91"/>
      <c r="CE417" s="98"/>
      <c r="CF417" s="5"/>
      <c r="DK417" s="89"/>
      <c r="DL417" s="8"/>
      <c r="DM417" s="8"/>
      <c r="DN417" s="8"/>
      <c r="DO417" s="8"/>
      <c r="DP417" s="8"/>
      <c r="DQ417" s="8"/>
      <c r="DR417" s="8"/>
      <c r="DZ417" s="45"/>
      <c r="EA417" s="89"/>
      <c r="EB417" s="89"/>
      <c r="EC417" s="89"/>
      <c r="ED417" s="89"/>
      <c r="EE417" s="89"/>
      <c r="EF417" s="89"/>
      <c r="EG417" s="89"/>
      <c r="EH417" s="89"/>
      <c r="EI417" s="89"/>
      <c r="EJ417" s="89"/>
      <c r="EK417" s="91"/>
      <c r="EL417" s="66"/>
      <c r="EM417" s="94"/>
      <c r="EN417" s="94"/>
      <c r="EO417" s="92"/>
      <c r="EP417" s="93"/>
      <c r="EQ417" s="23"/>
      <c r="ER417" s="94"/>
      <c r="ES417" s="94"/>
      <c r="ET417" s="94"/>
      <c r="EU417" s="94"/>
      <c r="EV417" s="95"/>
      <c r="EW417" s="91"/>
      <c r="EX417" s="95"/>
      <c r="EY417" s="8"/>
      <c r="EZ417" s="96"/>
      <c r="FA417" s="91"/>
      <c r="FB417" s="97"/>
      <c r="FC417" s="8"/>
      <c r="FD417" s="91"/>
      <c r="FE417" s="98"/>
      <c r="FF417" s="5"/>
    </row>
    <row r="418" spans="37:162">
      <c r="AK418" s="89"/>
      <c r="AL418" s="8"/>
      <c r="AM418" s="8"/>
      <c r="AN418" s="8"/>
      <c r="AO418" s="8"/>
      <c r="AP418" s="8"/>
      <c r="AQ418" s="8"/>
      <c r="AR418" s="8"/>
      <c r="AZ418" s="45"/>
      <c r="BA418" s="89"/>
      <c r="BB418" s="89"/>
      <c r="BC418" s="89"/>
      <c r="BD418" s="89"/>
      <c r="BE418" s="89"/>
      <c r="BF418" s="89"/>
      <c r="BG418" s="89"/>
      <c r="BH418" s="89"/>
      <c r="BI418" s="89"/>
      <c r="BJ418" s="89"/>
      <c r="BK418" s="91"/>
      <c r="BL418" s="66"/>
      <c r="BM418" s="94"/>
      <c r="BN418" s="94"/>
      <c r="BO418" s="92"/>
      <c r="BP418" s="93"/>
      <c r="BQ418" s="23"/>
      <c r="BR418" s="94"/>
      <c r="BS418" s="94"/>
      <c r="BT418" s="94"/>
      <c r="BU418" s="94"/>
      <c r="BV418" s="95"/>
      <c r="BW418" s="91"/>
      <c r="BX418" s="95"/>
      <c r="BY418" s="8"/>
      <c r="BZ418" s="96"/>
      <c r="CA418" s="91"/>
      <c r="CB418" s="97"/>
      <c r="CC418" s="8"/>
      <c r="CD418" s="91"/>
      <c r="CE418" s="98"/>
      <c r="CF418" s="5"/>
      <c r="DK418" s="89"/>
      <c r="DL418" s="8"/>
      <c r="DM418" s="8"/>
      <c r="DN418" s="8"/>
      <c r="DO418" s="8"/>
      <c r="DP418" s="8"/>
      <c r="DQ418" s="8"/>
      <c r="DR418" s="8"/>
      <c r="DZ418" s="45"/>
      <c r="EA418" s="89"/>
      <c r="EB418" s="89"/>
      <c r="EC418" s="89"/>
      <c r="ED418" s="89"/>
      <c r="EE418" s="89"/>
      <c r="EF418" s="89"/>
      <c r="EG418" s="89"/>
      <c r="EH418" s="89"/>
      <c r="EI418" s="89"/>
      <c r="EJ418" s="89"/>
      <c r="EK418" s="91"/>
      <c r="EL418" s="66"/>
      <c r="EM418" s="94"/>
      <c r="EN418" s="94"/>
      <c r="EO418" s="92"/>
      <c r="EP418" s="93"/>
      <c r="EQ418" s="23"/>
      <c r="ER418" s="94"/>
      <c r="ES418" s="94"/>
      <c r="ET418" s="94"/>
      <c r="EU418" s="94"/>
      <c r="EV418" s="95"/>
      <c r="EW418" s="91"/>
      <c r="EX418" s="95"/>
      <c r="EY418" s="8"/>
      <c r="EZ418" s="96"/>
      <c r="FA418" s="91"/>
      <c r="FB418" s="97"/>
      <c r="FC418" s="8"/>
      <c r="FD418" s="91"/>
      <c r="FE418" s="98"/>
      <c r="FF418" s="5"/>
    </row>
    <row r="419" spans="37:162">
      <c r="AK419" s="89"/>
      <c r="AL419" s="8"/>
      <c r="AM419" s="8"/>
      <c r="AN419" s="8"/>
      <c r="AO419" s="8"/>
      <c r="AP419" s="8"/>
      <c r="AQ419" s="8"/>
      <c r="AR419" s="8"/>
      <c r="AZ419" s="45"/>
      <c r="BA419" s="89"/>
      <c r="BB419" s="89"/>
      <c r="BC419" s="89"/>
      <c r="BD419" s="89"/>
      <c r="BE419" s="89"/>
      <c r="BF419" s="89"/>
      <c r="BG419" s="89"/>
      <c r="BH419" s="89"/>
      <c r="BI419" s="89"/>
      <c r="BJ419" s="89"/>
      <c r="BK419" s="91"/>
      <c r="BL419" s="66"/>
      <c r="BM419" s="94"/>
      <c r="BN419" s="94"/>
      <c r="BO419" s="92"/>
      <c r="BP419" s="93"/>
      <c r="BQ419" s="23"/>
      <c r="BR419" s="94"/>
      <c r="BS419" s="94"/>
      <c r="BT419" s="94"/>
      <c r="BU419" s="94"/>
      <c r="BV419" s="95"/>
      <c r="BW419" s="91"/>
      <c r="BX419" s="95"/>
      <c r="BY419" s="8"/>
      <c r="BZ419" s="96"/>
      <c r="CA419" s="91"/>
      <c r="CB419" s="97"/>
      <c r="CC419" s="8"/>
      <c r="CD419" s="91"/>
      <c r="CE419" s="98"/>
      <c r="CF419" s="5"/>
      <c r="DK419" s="89"/>
      <c r="DL419" s="8"/>
      <c r="DM419" s="8"/>
      <c r="DN419" s="8"/>
      <c r="DO419" s="8"/>
      <c r="DP419" s="8"/>
      <c r="DQ419" s="8"/>
      <c r="DR419" s="8"/>
      <c r="DZ419" s="45"/>
      <c r="EA419" s="89"/>
      <c r="EB419" s="89"/>
      <c r="EC419" s="89"/>
      <c r="ED419" s="89"/>
      <c r="EE419" s="89"/>
      <c r="EF419" s="89"/>
      <c r="EG419" s="89"/>
      <c r="EH419" s="89"/>
      <c r="EI419" s="89"/>
      <c r="EJ419" s="89"/>
      <c r="EK419" s="91"/>
      <c r="EL419" s="66"/>
      <c r="EM419" s="94"/>
      <c r="EN419" s="94"/>
      <c r="EO419" s="92"/>
      <c r="EP419" s="93"/>
      <c r="EQ419" s="23"/>
      <c r="ER419" s="94"/>
      <c r="ES419" s="94"/>
      <c r="ET419" s="94"/>
      <c r="EU419" s="94"/>
      <c r="EV419" s="95"/>
      <c r="EW419" s="91"/>
      <c r="EX419" s="95"/>
      <c r="EY419" s="8"/>
      <c r="EZ419" s="96"/>
      <c r="FA419" s="91"/>
      <c r="FB419" s="97"/>
      <c r="FC419" s="8"/>
      <c r="FD419" s="91"/>
      <c r="FE419" s="98"/>
      <c r="FF419" s="5"/>
    </row>
    <row r="420" spans="37:162">
      <c r="AK420" s="89"/>
      <c r="AL420" s="8"/>
      <c r="AM420" s="8"/>
      <c r="AN420" s="8"/>
      <c r="AO420" s="8"/>
      <c r="AP420" s="8"/>
      <c r="AQ420" s="8"/>
      <c r="AR420" s="8"/>
      <c r="AZ420" s="45"/>
      <c r="BA420" s="89"/>
      <c r="BB420" s="89"/>
      <c r="BC420" s="89"/>
      <c r="BD420" s="89"/>
      <c r="BE420" s="89"/>
      <c r="BF420" s="89"/>
      <c r="BG420" s="89"/>
      <c r="BH420" s="89"/>
      <c r="BI420" s="89"/>
      <c r="BJ420" s="89"/>
      <c r="BK420" s="91"/>
      <c r="BL420" s="66"/>
      <c r="BM420" s="94"/>
      <c r="BN420" s="94"/>
      <c r="BO420" s="92"/>
      <c r="BP420" s="93"/>
      <c r="BQ420" s="23"/>
      <c r="BR420" s="94"/>
      <c r="BS420" s="94"/>
      <c r="BT420" s="94"/>
      <c r="BU420" s="94"/>
      <c r="BV420" s="95"/>
      <c r="BW420" s="91"/>
      <c r="BX420" s="95"/>
      <c r="BY420" s="8"/>
      <c r="BZ420" s="96"/>
      <c r="CA420" s="91"/>
      <c r="CB420" s="97"/>
      <c r="CC420" s="8"/>
      <c r="CD420" s="91"/>
      <c r="CE420" s="98"/>
      <c r="CF420" s="5"/>
      <c r="DK420" s="89"/>
      <c r="DL420" s="8"/>
      <c r="DM420" s="8"/>
      <c r="DN420" s="8"/>
      <c r="DO420" s="8"/>
      <c r="DP420" s="8"/>
      <c r="DQ420" s="8"/>
      <c r="DR420" s="8"/>
      <c r="DZ420" s="45"/>
      <c r="EA420" s="89"/>
      <c r="EB420" s="89"/>
      <c r="EC420" s="89"/>
      <c r="ED420" s="89"/>
      <c r="EE420" s="89"/>
      <c r="EF420" s="89"/>
      <c r="EG420" s="89"/>
      <c r="EH420" s="89"/>
      <c r="EI420" s="89"/>
      <c r="EJ420" s="89"/>
      <c r="EK420" s="91"/>
      <c r="EL420" s="66"/>
      <c r="EM420" s="94"/>
      <c r="EN420" s="94"/>
      <c r="EO420" s="92"/>
      <c r="EP420" s="93"/>
      <c r="EQ420" s="23"/>
      <c r="ER420" s="94"/>
      <c r="ES420" s="94"/>
      <c r="ET420" s="94"/>
      <c r="EU420" s="94"/>
      <c r="EV420" s="95"/>
      <c r="EW420" s="91"/>
      <c r="EX420" s="95"/>
      <c r="EY420" s="8"/>
      <c r="EZ420" s="96"/>
      <c r="FA420" s="91"/>
      <c r="FB420" s="97"/>
      <c r="FC420" s="8"/>
      <c r="FD420" s="91"/>
      <c r="FE420" s="98"/>
      <c r="FF420" s="5"/>
    </row>
    <row r="421" spans="37:162">
      <c r="AK421" s="89"/>
      <c r="AL421" s="8"/>
      <c r="AM421" s="8"/>
      <c r="AN421" s="8"/>
      <c r="AO421" s="8"/>
      <c r="AP421" s="8"/>
      <c r="AQ421" s="8"/>
      <c r="AR421" s="8"/>
      <c r="AZ421" s="45"/>
      <c r="BA421" s="89"/>
      <c r="BB421" s="89"/>
      <c r="BC421" s="89"/>
      <c r="BD421" s="89"/>
      <c r="BE421" s="89"/>
      <c r="BF421" s="89"/>
      <c r="BG421" s="89"/>
      <c r="BH421" s="89"/>
      <c r="BI421" s="89"/>
      <c r="BJ421" s="89"/>
      <c r="BK421" s="91"/>
      <c r="BL421" s="66"/>
      <c r="BM421" s="94"/>
      <c r="BN421" s="94"/>
      <c r="BO421" s="92"/>
      <c r="BP421" s="93"/>
      <c r="BQ421" s="23"/>
      <c r="BR421" s="94"/>
      <c r="BS421" s="94"/>
      <c r="BT421" s="94"/>
      <c r="BU421" s="94"/>
      <c r="BV421" s="95"/>
      <c r="BW421" s="91"/>
      <c r="BX421" s="95"/>
      <c r="BY421" s="8"/>
      <c r="BZ421" s="96"/>
      <c r="CA421" s="91"/>
      <c r="CB421" s="97"/>
      <c r="CC421" s="8"/>
      <c r="CD421" s="91"/>
      <c r="CE421" s="98"/>
      <c r="CF421" s="5"/>
      <c r="DK421" s="89"/>
      <c r="DL421" s="8"/>
      <c r="DM421" s="8"/>
      <c r="DN421" s="8"/>
      <c r="DO421" s="8"/>
      <c r="DP421" s="8"/>
      <c r="DQ421" s="8"/>
      <c r="DR421" s="8"/>
      <c r="DZ421" s="45"/>
      <c r="EA421" s="89"/>
      <c r="EB421" s="89"/>
      <c r="EC421" s="89"/>
      <c r="ED421" s="89"/>
      <c r="EE421" s="89"/>
      <c r="EF421" s="89"/>
      <c r="EG421" s="89"/>
      <c r="EH421" s="89"/>
      <c r="EI421" s="89"/>
      <c r="EJ421" s="89"/>
      <c r="EK421" s="91"/>
      <c r="EL421" s="66"/>
      <c r="EM421" s="94"/>
      <c r="EN421" s="94"/>
      <c r="EO421" s="92"/>
      <c r="EP421" s="93"/>
      <c r="EQ421" s="23"/>
      <c r="ER421" s="94"/>
      <c r="ES421" s="94"/>
      <c r="ET421" s="94"/>
      <c r="EU421" s="94"/>
      <c r="EV421" s="95"/>
      <c r="EW421" s="91"/>
      <c r="EX421" s="95"/>
      <c r="EY421" s="8"/>
      <c r="EZ421" s="96"/>
      <c r="FA421" s="91"/>
      <c r="FB421" s="97"/>
      <c r="FC421" s="8"/>
      <c r="FD421" s="91"/>
      <c r="FE421" s="98"/>
      <c r="FF421" s="5"/>
    </row>
    <row r="422" spans="37:162">
      <c r="AK422" s="89"/>
      <c r="AL422" s="8"/>
      <c r="AM422" s="8"/>
      <c r="AN422" s="8"/>
      <c r="AO422" s="8"/>
      <c r="AP422" s="8"/>
      <c r="AQ422" s="8"/>
      <c r="AR422" s="8"/>
      <c r="AZ422" s="45"/>
      <c r="BA422" s="89"/>
      <c r="BB422" s="89"/>
      <c r="BC422" s="89"/>
      <c r="BD422" s="89"/>
      <c r="BE422" s="89"/>
      <c r="BF422" s="89"/>
      <c r="BG422" s="89"/>
      <c r="BH422" s="89"/>
      <c r="BI422" s="89"/>
      <c r="BJ422" s="89"/>
      <c r="BK422" s="91"/>
      <c r="BL422" s="66"/>
      <c r="BM422" s="94"/>
      <c r="BN422" s="94"/>
      <c r="BO422" s="92"/>
      <c r="BP422" s="93"/>
      <c r="BQ422" s="23"/>
      <c r="BR422" s="94"/>
      <c r="BS422" s="94"/>
      <c r="BT422" s="94"/>
      <c r="BU422" s="94"/>
      <c r="BV422" s="95"/>
      <c r="BW422" s="91"/>
      <c r="BX422" s="95"/>
      <c r="BY422" s="8"/>
      <c r="BZ422" s="96"/>
      <c r="CA422" s="91"/>
      <c r="CB422" s="97"/>
      <c r="CC422" s="8"/>
      <c r="CD422" s="91"/>
      <c r="CE422" s="98"/>
      <c r="CF422" s="5"/>
      <c r="DK422" s="89"/>
      <c r="DL422" s="8"/>
      <c r="DM422" s="8"/>
      <c r="DN422" s="8"/>
      <c r="DO422" s="8"/>
      <c r="DP422" s="8"/>
      <c r="DQ422" s="8"/>
      <c r="DR422" s="8"/>
      <c r="DZ422" s="45"/>
      <c r="EA422" s="89"/>
      <c r="EB422" s="89"/>
      <c r="EC422" s="89"/>
      <c r="ED422" s="89"/>
      <c r="EE422" s="89"/>
      <c r="EF422" s="89"/>
      <c r="EG422" s="89"/>
      <c r="EH422" s="89"/>
      <c r="EI422" s="89"/>
      <c r="EJ422" s="89"/>
      <c r="EK422" s="91"/>
      <c r="EL422" s="66"/>
      <c r="EM422" s="94"/>
      <c r="EN422" s="94"/>
      <c r="EO422" s="92"/>
      <c r="EP422" s="93"/>
      <c r="EQ422" s="23"/>
      <c r="ER422" s="94"/>
      <c r="ES422" s="94"/>
      <c r="ET422" s="94"/>
      <c r="EU422" s="94"/>
      <c r="EV422" s="95"/>
      <c r="EW422" s="91"/>
      <c r="EX422" s="95"/>
      <c r="EY422" s="8"/>
      <c r="EZ422" s="96"/>
      <c r="FA422" s="91"/>
      <c r="FB422" s="97"/>
      <c r="FC422" s="8"/>
      <c r="FD422" s="91"/>
      <c r="FE422" s="98"/>
      <c r="FF422" s="5"/>
    </row>
    <row r="423" spans="37:162">
      <c r="AK423" s="89"/>
      <c r="AL423" s="8"/>
      <c r="AM423" s="8"/>
      <c r="AN423" s="8"/>
      <c r="AO423" s="8"/>
      <c r="AP423" s="8"/>
      <c r="AQ423" s="8"/>
      <c r="AR423" s="8"/>
      <c r="AZ423" s="45"/>
      <c r="BA423" s="89"/>
      <c r="BB423" s="89"/>
      <c r="BC423" s="89"/>
      <c r="BD423" s="89"/>
      <c r="BE423" s="89"/>
      <c r="BF423" s="89"/>
      <c r="BG423" s="89"/>
      <c r="BH423" s="89"/>
      <c r="BI423" s="89"/>
      <c r="BJ423" s="89"/>
      <c r="BK423" s="91"/>
      <c r="BL423" s="66"/>
      <c r="BM423" s="94"/>
      <c r="BN423" s="94"/>
      <c r="BO423" s="92"/>
      <c r="BP423" s="93"/>
      <c r="BQ423" s="23"/>
      <c r="BR423" s="94"/>
      <c r="BS423" s="94"/>
      <c r="BT423" s="94"/>
      <c r="BU423" s="94"/>
      <c r="BV423" s="95"/>
      <c r="BW423" s="91"/>
      <c r="BX423" s="95"/>
      <c r="BY423" s="8"/>
      <c r="BZ423" s="96"/>
      <c r="CA423" s="91"/>
      <c r="CB423" s="97"/>
      <c r="CC423" s="8"/>
      <c r="CD423" s="91"/>
      <c r="CE423" s="98"/>
      <c r="CF423" s="5"/>
      <c r="DK423" s="89"/>
      <c r="DL423" s="8"/>
      <c r="DM423" s="8"/>
      <c r="DN423" s="8"/>
      <c r="DO423" s="8"/>
      <c r="DP423" s="8"/>
      <c r="DQ423" s="8"/>
      <c r="DR423" s="8"/>
      <c r="DZ423" s="45"/>
      <c r="EA423" s="89"/>
      <c r="EB423" s="89"/>
      <c r="EC423" s="89"/>
      <c r="ED423" s="89"/>
      <c r="EE423" s="89"/>
      <c r="EF423" s="89"/>
      <c r="EG423" s="89"/>
      <c r="EH423" s="89"/>
      <c r="EI423" s="89"/>
      <c r="EJ423" s="89"/>
      <c r="EK423" s="91"/>
      <c r="EL423" s="66"/>
      <c r="EM423" s="94"/>
      <c r="EN423" s="94"/>
      <c r="EO423" s="92"/>
      <c r="EP423" s="93"/>
      <c r="EQ423" s="23"/>
      <c r="ER423" s="94"/>
      <c r="ES423" s="94"/>
      <c r="ET423" s="94"/>
      <c r="EU423" s="94"/>
      <c r="EV423" s="95"/>
      <c r="EW423" s="91"/>
      <c r="EX423" s="95"/>
      <c r="EY423" s="8"/>
      <c r="EZ423" s="96"/>
      <c r="FA423" s="91"/>
      <c r="FB423" s="97"/>
      <c r="FC423" s="8"/>
      <c r="FD423" s="91"/>
      <c r="FE423" s="98"/>
      <c r="FF423" s="5"/>
    </row>
    <row r="424" spans="37:162">
      <c r="AK424" s="89"/>
      <c r="AL424" s="8"/>
      <c r="AM424" s="8"/>
      <c r="AN424" s="8"/>
      <c r="AO424" s="8"/>
      <c r="AP424" s="8"/>
      <c r="AQ424" s="8"/>
      <c r="AR424" s="8"/>
      <c r="AZ424" s="45"/>
      <c r="BA424" s="89"/>
      <c r="BB424" s="89"/>
      <c r="BC424" s="89"/>
      <c r="BD424" s="89"/>
      <c r="BE424" s="89"/>
      <c r="BF424" s="89"/>
      <c r="BG424" s="89"/>
      <c r="BH424" s="89"/>
      <c r="BI424" s="89"/>
      <c r="BJ424" s="89"/>
      <c r="BK424" s="91"/>
      <c r="BL424" s="66"/>
      <c r="BM424" s="94"/>
      <c r="BN424" s="94"/>
      <c r="BO424" s="92"/>
      <c r="BP424" s="93"/>
      <c r="BQ424" s="23"/>
      <c r="BR424" s="94"/>
      <c r="BS424" s="94"/>
      <c r="BT424" s="94"/>
      <c r="BU424" s="94"/>
      <c r="BV424" s="95"/>
      <c r="BW424" s="91"/>
      <c r="BX424" s="95"/>
      <c r="BY424" s="8"/>
      <c r="BZ424" s="96"/>
      <c r="CA424" s="91"/>
      <c r="CB424" s="97"/>
      <c r="CC424" s="8"/>
      <c r="CD424" s="91"/>
      <c r="CE424" s="98"/>
      <c r="CF424" s="5"/>
      <c r="DK424" s="89"/>
      <c r="DL424" s="8"/>
      <c r="DM424" s="8"/>
      <c r="DN424" s="8"/>
      <c r="DO424" s="8"/>
      <c r="DP424" s="8"/>
      <c r="DQ424" s="8"/>
      <c r="DR424" s="8"/>
      <c r="DZ424" s="45"/>
      <c r="EA424" s="89"/>
      <c r="EB424" s="89"/>
      <c r="EC424" s="89"/>
      <c r="ED424" s="89"/>
      <c r="EE424" s="89"/>
      <c r="EF424" s="89"/>
      <c r="EG424" s="89"/>
      <c r="EH424" s="89"/>
      <c r="EI424" s="89"/>
      <c r="EJ424" s="89"/>
      <c r="EK424" s="91"/>
      <c r="EL424" s="66"/>
      <c r="EM424" s="94"/>
      <c r="EN424" s="94"/>
      <c r="EO424" s="92"/>
      <c r="EP424" s="93"/>
      <c r="EQ424" s="23"/>
      <c r="ER424" s="94"/>
      <c r="ES424" s="94"/>
      <c r="ET424" s="94"/>
      <c r="EU424" s="94"/>
      <c r="EV424" s="95"/>
      <c r="EW424" s="91"/>
      <c r="EX424" s="95"/>
      <c r="EY424" s="8"/>
      <c r="EZ424" s="96"/>
      <c r="FA424" s="91"/>
      <c r="FB424" s="97"/>
      <c r="FC424" s="8"/>
      <c r="FD424" s="91"/>
      <c r="FE424" s="98"/>
      <c r="FF424" s="5"/>
    </row>
    <row r="425" spans="37:162">
      <c r="AK425" s="89"/>
      <c r="AL425" s="8"/>
      <c r="AM425" s="8"/>
      <c r="AN425" s="8"/>
      <c r="AO425" s="8"/>
      <c r="AP425" s="8"/>
      <c r="AQ425" s="8"/>
      <c r="AR425" s="8"/>
      <c r="AZ425" s="45"/>
      <c r="BA425" s="89"/>
      <c r="BB425" s="89"/>
      <c r="BC425" s="89"/>
      <c r="BD425" s="89"/>
      <c r="BE425" s="89"/>
      <c r="BF425" s="89"/>
      <c r="BG425" s="89"/>
      <c r="BH425" s="89"/>
      <c r="BI425" s="89"/>
      <c r="BJ425" s="89"/>
      <c r="BK425" s="91"/>
      <c r="BL425" s="66"/>
      <c r="BM425" s="94"/>
      <c r="BN425" s="94"/>
      <c r="BO425" s="92"/>
      <c r="BP425" s="93"/>
      <c r="BQ425" s="23"/>
      <c r="BR425" s="94"/>
      <c r="BS425" s="94"/>
      <c r="BT425" s="94"/>
      <c r="BU425" s="94"/>
      <c r="BV425" s="95"/>
      <c r="BW425" s="91"/>
      <c r="BX425" s="95"/>
      <c r="BY425" s="8"/>
      <c r="BZ425" s="96"/>
      <c r="CA425" s="91"/>
      <c r="CB425" s="97"/>
      <c r="CC425" s="8"/>
      <c r="CD425" s="91"/>
      <c r="CE425" s="98"/>
      <c r="CF425" s="5"/>
      <c r="DK425" s="89"/>
      <c r="DL425" s="8"/>
      <c r="DM425" s="8"/>
      <c r="DN425" s="8"/>
      <c r="DO425" s="8"/>
      <c r="DP425" s="8"/>
      <c r="DQ425" s="8"/>
      <c r="DR425" s="8"/>
      <c r="DZ425" s="45"/>
      <c r="EA425" s="89"/>
      <c r="EB425" s="89"/>
      <c r="EC425" s="89"/>
      <c r="ED425" s="89"/>
      <c r="EE425" s="89"/>
      <c r="EF425" s="89"/>
      <c r="EG425" s="89"/>
      <c r="EH425" s="89"/>
      <c r="EI425" s="89"/>
      <c r="EJ425" s="89"/>
      <c r="EK425" s="91"/>
      <c r="EL425" s="66"/>
      <c r="EM425" s="94"/>
      <c r="EN425" s="94"/>
      <c r="EO425" s="92"/>
      <c r="EP425" s="93"/>
      <c r="EQ425" s="23"/>
      <c r="ER425" s="94"/>
      <c r="ES425" s="94"/>
      <c r="ET425" s="94"/>
      <c r="EU425" s="94"/>
      <c r="EV425" s="95"/>
      <c r="EW425" s="91"/>
      <c r="EX425" s="95"/>
      <c r="EY425" s="8"/>
      <c r="EZ425" s="96"/>
      <c r="FA425" s="91"/>
      <c r="FB425" s="97"/>
      <c r="FC425" s="8"/>
      <c r="FD425" s="91"/>
      <c r="FE425" s="98"/>
      <c r="FF425" s="5"/>
    </row>
    <row r="426" spans="37:162">
      <c r="AK426" s="89"/>
      <c r="AL426" s="8"/>
      <c r="AM426" s="8"/>
      <c r="AN426" s="8"/>
      <c r="AO426" s="8"/>
      <c r="AP426" s="8"/>
      <c r="AQ426" s="8"/>
      <c r="AR426" s="8"/>
      <c r="AZ426" s="45"/>
      <c r="BA426" s="89"/>
      <c r="BB426" s="89"/>
      <c r="BC426" s="89"/>
      <c r="BD426" s="89"/>
      <c r="BE426" s="89"/>
      <c r="BF426" s="89"/>
      <c r="BG426" s="89"/>
      <c r="BH426" s="89"/>
      <c r="BI426" s="89"/>
      <c r="BJ426" s="89"/>
      <c r="BK426" s="91"/>
      <c r="BL426" s="66"/>
      <c r="BM426" s="94"/>
      <c r="BN426" s="94"/>
      <c r="BO426" s="92"/>
      <c r="BP426" s="93"/>
      <c r="BQ426" s="23"/>
      <c r="BR426" s="94"/>
      <c r="BS426" s="94"/>
      <c r="BT426" s="94"/>
      <c r="BU426" s="94"/>
      <c r="BV426" s="95"/>
      <c r="BW426" s="91"/>
      <c r="BX426" s="95"/>
      <c r="BY426" s="8"/>
      <c r="BZ426" s="96"/>
      <c r="CA426" s="91"/>
      <c r="CB426" s="97"/>
      <c r="CC426" s="8"/>
      <c r="CD426" s="91"/>
      <c r="CE426" s="98"/>
      <c r="CF426" s="5"/>
      <c r="DK426" s="89"/>
      <c r="DL426" s="8"/>
      <c r="DM426" s="8"/>
      <c r="DN426" s="8"/>
      <c r="DO426" s="8"/>
      <c r="DP426" s="8"/>
      <c r="DQ426" s="8"/>
      <c r="DR426" s="8"/>
      <c r="DZ426" s="45"/>
      <c r="EA426" s="89"/>
      <c r="EB426" s="89"/>
      <c r="EC426" s="89"/>
      <c r="ED426" s="89"/>
      <c r="EE426" s="89"/>
      <c r="EF426" s="89"/>
      <c r="EG426" s="89"/>
      <c r="EH426" s="89"/>
      <c r="EI426" s="89"/>
      <c r="EJ426" s="89"/>
      <c r="EK426" s="91"/>
      <c r="EL426" s="66"/>
      <c r="EM426" s="94"/>
      <c r="EN426" s="94"/>
      <c r="EO426" s="92"/>
      <c r="EP426" s="93"/>
      <c r="EQ426" s="23"/>
      <c r="ER426" s="94"/>
      <c r="ES426" s="94"/>
      <c r="ET426" s="94"/>
      <c r="EU426" s="94"/>
      <c r="EV426" s="95"/>
      <c r="EW426" s="91"/>
      <c r="EX426" s="95"/>
      <c r="EY426" s="8"/>
      <c r="EZ426" s="96"/>
      <c r="FA426" s="91"/>
      <c r="FB426" s="97"/>
      <c r="FC426" s="8"/>
      <c r="FD426" s="91"/>
      <c r="FE426" s="98"/>
      <c r="FF426" s="5"/>
    </row>
    <row r="427" spans="37:162">
      <c r="AK427" s="89"/>
      <c r="AL427" s="8"/>
      <c r="AM427" s="8"/>
      <c r="AN427" s="8"/>
      <c r="AO427" s="8"/>
      <c r="AP427" s="8"/>
      <c r="AQ427" s="8"/>
      <c r="AR427" s="8"/>
      <c r="AZ427" s="45"/>
      <c r="BA427" s="89"/>
      <c r="BB427" s="89"/>
      <c r="BC427" s="89"/>
      <c r="BD427" s="89"/>
      <c r="BE427" s="89"/>
      <c r="BF427" s="89"/>
      <c r="BG427" s="89"/>
      <c r="BH427" s="89"/>
      <c r="BI427" s="89"/>
      <c r="BJ427" s="89"/>
      <c r="BK427" s="91"/>
      <c r="BL427" s="66"/>
      <c r="BM427" s="94"/>
      <c r="BN427" s="94"/>
      <c r="BO427" s="92"/>
      <c r="BP427" s="93"/>
      <c r="BQ427" s="23"/>
      <c r="BR427" s="94"/>
      <c r="BS427" s="94"/>
      <c r="BT427" s="94"/>
      <c r="BU427" s="94"/>
      <c r="BV427" s="95"/>
      <c r="BW427" s="91"/>
      <c r="BX427" s="95"/>
      <c r="BY427" s="8"/>
      <c r="BZ427" s="96"/>
      <c r="CA427" s="91"/>
      <c r="CB427" s="97"/>
      <c r="CC427" s="8"/>
      <c r="CD427" s="91"/>
      <c r="CE427" s="98"/>
      <c r="CF427" s="5"/>
      <c r="DK427" s="89"/>
      <c r="DL427" s="8"/>
      <c r="DM427" s="8"/>
      <c r="DN427" s="8"/>
      <c r="DO427" s="8"/>
      <c r="DP427" s="8"/>
      <c r="DQ427" s="8"/>
      <c r="DR427" s="8"/>
      <c r="DZ427" s="45"/>
      <c r="EA427" s="89"/>
      <c r="EB427" s="89"/>
      <c r="EC427" s="89"/>
      <c r="ED427" s="89"/>
      <c r="EE427" s="89"/>
      <c r="EF427" s="89"/>
      <c r="EG427" s="89"/>
      <c r="EH427" s="89"/>
      <c r="EI427" s="89"/>
      <c r="EJ427" s="89"/>
      <c r="EK427" s="91"/>
      <c r="EL427" s="66"/>
      <c r="EM427" s="94"/>
      <c r="EN427" s="94"/>
      <c r="EO427" s="92"/>
      <c r="EP427" s="93"/>
      <c r="EQ427" s="23"/>
      <c r="ER427" s="94"/>
      <c r="ES427" s="94"/>
      <c r="ET427" s="94"/>
      <c r="EU427" s="94"/>
      <c r="EV427" s="95"/>
      <c r="EW427" s="91"/>
      <c r="EX427" s="95"/>
      <c r="EY427" s="8"/>
      <c r="EZ427" s="96"/>
      <c r="FA427" s="91"/>
      <c r="FB427" s="97"/>
      <c r="FC427" s="8"/>
      <c r="FD427" s="91"/>
      <c r="FE427" s="98"/>
      <c r="FF427" s="5"/>
    </row>
    <row r="428" spans="37:162">
      <c r="AK428" s="89"/>
      <c r="AL428" s="8"/>
      <c r="AM428" s="8"/>
      <c r="AN428" s="8"/>
      <c r="AO428" s="8"/>
      <c r="AP428" s="8"/>
      <c r="AQ428" s="8"/>
      <c r="AR428" s="8"/>
      <c r="AZ428" s="45"/>
      <c r="BA428" s="89"/>
      <c r="BB428" s="89"/>
      <c r="BC428" s="89"/>
      <c r="BD428" s="89"/>
      <c r="BE428" s="89"/>
      <c r="BF428" s="89"/>
      <c r="BG428" s="89"/>
      <c r="BH428" s="89"/>
      <c r="BI428" s="89"/>
      <c r="BJ428" s="89"/>
      <c r="BK428" s="91"/>
      <c r="BL428" s="66"/>
      <c r="BM428" s="94"/>
      <c r="BN428" s="94"/>
      <c r="BO428" s="92"/>
      <c r="BP428" s="93"/>
      <c r="BQ428" s="23"/>
      <c r="BR428" s="94"/>
      <c r="BS428" s="94"/>
      <c r="BT428" s="94"/>
      <c r="BU428" s="94"/>
      <c r="BV428" s="95"/>
      <c r="BW428" s="91"/>
      <c r="BX428" s="95"/>
      <c r="BY428" s="8"/>
      <c r="BZ428" s="96"/>
      <c r="CA428" s="91"/>
      <c r="CB428" s="97"/>
      <c r="CC428" s="8"/>
      <c r="CD428" s="91"/>
      <c r="CE428" s="98"/>
      <c r="CF428" s="5"/>
      <c r="DK428" s="89"/>
      <c r="DL428" s="8"/>
      <c r="DM428" s="8"/>
      <c r="DN428" s="8"/>
      <c r="DO428" s="8"/>
      <c r="DP428" s="8"/>
      <c r="DQ428" s="8"/>
      <c r="DR428" s="8"/>
      <c r="DZ428" s="45"/>
      <c r="EA428" s="89"/>
      <c r="EB428" s="89"/>
      <c r="EC428" s="89"/>
      <c r="ED428" s="89"/>
      <c r="EE428" s="89"/>
      <c r="EF428" s="89"/>
      <c r="EG428" s="89"/>
      <c r="EH428" s="89"/>
      <c r="EI428" s="89"/>
      <c r="EJ428" s="89"/>
      <c r="EK428" s="91"/>
      <c r="EL428" s="66"/>
      <c r="EM428" s="94"/>
      <c r="EN428" s="94"/>
      <c r="EO428" s="92"/>
      <c r="EP428" s="93"/>
      <c r="EQ428" s="23"/>
      <c r="ER428" s="94"/>
      <c r="ES428" s="94"/>
      <c r="ET428" s="94"/>
      <c r="EU428" s="94"/>
      <c r="EV428" s="95"/>
      <c r="EW428" s="91"/>
      <c r="EX428" s="95"/>
      <c r="EY428" s="8"/>
      <c r="EZ428" s="96"/>
      <c r="FA428" s="91"/>
      <c r="FB428" s="97"/>
      <c r="FC428" s="8"/>
      <c r="FD428" s="91"/>
      <c r="FE428" s="98"/>
      <c r="FF428" s="5"/>
    </row>
    <row r="429" spans="37:162">
      <c r="AK429" s="89"/>
      <c r="AL429" s="8"/>
      <c r="AM429" s="8"/>
      <c r="AN429" s="8"/>
      <c r="AO429" s="8"/>
      <c r="AP429" s="8"/>
      <c r="AQ429" s="8"/>
      <c r="AR429" s="8"/>
      <c r="AZ429" s="45"/>
      <c r="BA429" s="89"/>
      <c r="BB429" s="89"/>
      <c r="BC429" s="89"/>
      <c r="BD429" s="89"/>
      <c r="BE429" s="89"/>
      <c r="BF429" s="89"/>
      <c r="BG429" s="89"/>
      <c r="BH429" s="89"/>
      <c r="BI429" s="89"/>
      <c r="BJ429" s="89"/>
      <c r="BK429" s="91"/>
      <c r="BL429" s="66"/>
      <c r="BM429" s="94"/>
      <c r="BN429" s="94"/>
      <c r="BO429" s="92"/>
      <c r="BP429" s="93"/>
      <c r="BQ429" s="23"/>
      <c r="BR429" s="94"/>
      <c r="BS429" s="94"/>
      <c r="BT429" s="94"/>
      <c r="BU429" s="94"/>
      <c r="BV429" s="95"/>
      <c r="BW429" s="91"/>
      <c r="BX429" s="95"/>
      <c r="BY429" s="8"/>
      <c r="BZ429" s="96"/>
      <c r="CA429" s="91"/>
      <c r="CB429" s="97"/>
      <c r="CC429" s="8"/>
      <c r="CD429" s="91"/>
      <c r="CE429" s="98"/>
      <c r="CF429" s="5"/>
      <c r="DK429" s="89"/>
      <c r="DL429" s="8"/>
      <c r="DM429" s="8"/>
      <c r="DN429" s="8"/>
      <c r="DO429" s="8"/>
      <c r="DP429" s="8"/>
      <c r="DQ429" s="8"/>
      <c r="DR429" s="8"/>
      <c r="DZ429" s="45"/>
      <c r="EA429" s="89"/>
      <c r="EB429" s="89"/>
      <c r="EC429" s="89"/>
      <c r="ED429" s="89"/>
      <c r="EE429" s="89"/>
      <c r="EF429" s="89"/>
      <c r="EG429" s="89"/>
      <c r="EH429" s="89"/>
      <c r="EI429" s="89"/>
      <c r="EJ429" s="89"/>
      <c r="EK429" s="91"/>
      <c r="EL429" s="66"/>
      <c r="EM429" s="94"/>
      <c r="EN429" s="94"/>
      <c r="EO429" s="92"/>
      <c r="EP429" s="93"/>
      <c r="EQ429" s="23"/>
      <c r="ER429" s="94"/>
      <c r="ES429" s="94"/>
      <c r="ET429" s="94"/>
      <c r="EU429" s="94"/>
      <c r="EV429" s="95"/>
      <c r="EW429" s="91"/>
      <c r="EX429" s="95"/>
      <c r="EY429" s="8"/>
      <c r="EZ429" s="96"/>
      <c r="FA429" s="91"/>
      <c r="FB429" s="97"/>
      <c r="FC429" s="8"/>
      <c r="FD429" s="91"/>
      <c r="FE429" s="98"/>
      <c r="FF429" s="5"/>
    </row>
    <row r="430" spans="37:162">
      <c r="AK430" s="89"/>
      <c r="AL430" s="8"/>
      <c r="AM430" s="8"/>
      <c r="AN430" s="8"/>
      <c r="AO430" s="8"/>
      <c r="AP430" s="8"/>
      <c r="AQ430" s="8"/>
      <c r="AR430" s="8"/>
      <c r="AZ430" s="45"/>
      <c r="BA430" s="89"/>
      <c r="BB430" s="89"/>
      <c r="BC430" s="89"/>
      <c r="BD430" s="89"/>
      <c r="BE430" s="89"/>
      <c r="BF430" s="89"/>
      <c r="BG430" s="89"/>
      <c r="BH430" s="89"/>
      <c r="BI430" s="89"/>
      <c r="BJ430" s="89"/>
      <c r="BK430" s="91"/>
      <c r="BL430" s="66"/>
      <c r="BM430" s="94"/>
      <c r="BN430" s="94"/>
      <c r="BO430" s="92"/>
      <c r="BP430" s="93"/>
      <c r="BQ430" s="23"/>
      <c r="BR430" s="94"/>
      <c r="BS430" s="94"/>
      <c r="BT430" s="94"/>
      <c r="BU430" s="94"/>
      <c r="BV430" s="95"/>
      <c r="BW430" s="91"/>
      <c r="BX430" s="95"/>
      <c r="BY430" s="8"/>
      <c r="BZ430" s="96"/>
      <c r="CA430" s="91"/>
      <c r="CB430" s="97"/>
      <c r="CC430" s="8"/>
      <c r="CD430" s="91"/>
      <c r="CE430" s="98"/>
      <c r="CF430" s="5"/>
      <c r="DK430" s="89"/>
      <c r="DL430" s="8"/>
      <c r="DM430" s="8"/>
      <c r="DN430" s="8"/>
      <c r="DO430" s="8"/>
      <c r="DP430" s="8"/>
      <c r="DQ430" s="8"/>
      <c r="DR430" s="8"/>
      <c r="DZ430" s="45"/>
      <c r="EA430" s="89"/>
      <c r="EB430" s="89"/>
      <c r="EC430" s="89"/>
      <c r="ED430" s="89"/>
      <c r="EE430" s="89"/>
      <c r="EF430" s="89"/>
      <c r="EG430" s="89"/>
      <c r="EH430" s="89"/>
      <c r="EI430" s="89"/>
      <c r="EJ430" s="89"/>
      <c r="EK430" s="91"/>
      <c r="EL430" s="66"/>
      <c r="EM430" s="94"/>
      <c r="EN430" s="94"/>
      <c r="EO430" s="92"/>
      <c r="EP430" s="93"/>
      <c r="EQ430" s="23"/>
      <c r="ER430" s="94"/>
      <c r="ES430" s="94"/>
      <c r="ET430" s="94"/>
      <c r="EU430" s="94"/>
      <c r="EV430" s="95"/>
      <c r="EW430" s="91"/>
      <c r="EX430" s="95"/>
      <c r="EY430" s="8"/>
      <c r="EZ430" s="96"/>
      <c r="FA430" s="91"/>
      <c r="FB430" s="97"/>
      <c r="FC430" s="8"/>
      <c r="FD430" s="91"/>
      <c r="FE430" s="98"/>
      <c r="FF430" s="5"/>
    </row>
    <row r="431" spans="37:162">
      <c r="AK431" s="89"/>
      <c r="AL431" s="8"/>
      <c r="AM431" s="8"/>
      <c r="AN431" s="8"/>
      <c r="AO431" s="8"/>
      <c r="AP431" s="8"/>
      <c r="AQ431" s="8"/>
      <c r="AR431" s="8"/>
      <c r="AZ431" s="45"/>
      <c r="BA431" s="89"/>
      <c r="BB431" s="89"/>
      <c r="BC431" s="89"/>
      <c r="BD431" s="89"/>
      <c r="BE431" s="89"/>
      <c r="BF431" s="89"/>
      <c r="BG431" s="89"/>
      <c r="BH431" s="89"/>
      <c r="BI431" s="89"/>
      <c r="BJ431" s="89"/>
      <c r="BK431" s="91"/>
      <c r="BL431" s="66"/>
      <c r="BM431" s="94"/>
      <c r="BN431" s="94"/>
      <c r="BO431" s="92"/>
      <c r="BP431" s="93"/>
      <c r="BQ431" s="23"/>
      <c r="BR431" s="94"/>
      <c r="BS431" s="94"/>
      <c r="BT431" s="94"/>
      <c r="BU431" s="94"/>
      <c r="BV431" s="95"/>
      <c r="BW431" s="91"/>
      <c r="BX431" s="95"/>
      <c r="BY431" s="8"/>
      <c r="BZ431" s="96"/>
      <c r="CA431" s="91"/>
      <c r="CB431" s="97"/>
      <c r="CC431" s="8"/>
      <c r="CD431" s="91"/>
      <c r="CE431" s="98"/>
      <c r="CF431" s="5"/>
      <c r="DK431" s="89"/>
      <c r="DL431" s="8"/>
      <c r="DM431" s="8"/>
      <c r="DN431" s="8"/>
      <c r="DO431" s="8"/>
      <c r="DP431" s="8"/>
      <c r="DQ431" s="8"/>
      <c r="DR431" s="8"/>
      <c r="DZ431" s="45"/>
      <c r="EA431" s="89"/>
      <c r="EB431" s="89"/>
      <c r="EC431" s="89"/>
      <c r="ED431" s="89"/>
      <c r="EE431" s="89"/>
      <c r="EF431" s="89"/>
      <c r="EG431" s="89"/>
      <c r="EH431" s="89"/>
      <c r="EI431" s="89"/>
      <c r="EJ431" s="89"/>
      <c r="EK431" s="91"/>
      <c r="EL431" s="66"/>
      <c r="EM431" s="94"/>
      <c r="EN431" s="94"/>
      <c r="EO431" s="92"/>
      <c r="EP431" s="93"/>
      <c r="EQ431" s="23"/>
      <c r="ER431" s="94"/>
      <c r="ES431" s="94"/>
      <c r="ET431" s="94"/>
      <c r="EU431" s="94"/>
      <c r="EV431" s="95"/>
      <c r="EW431" s="91"/>
      <c r="EX431" s="95"/>
      <c r="EY431" s="8"/>
      <c r="EZ431" s="96"/>
      <c r="FA431" s="91"/>
      <c r="FB431" s="97"/>
      <c r="FC431" s="8"/>
      <c r="FD431" s="91"/>
      <c r="FE431" s="98"/>
      <c r="FF431" s="5"/>
    </row>
    <row r="432" spans="37:162">
      <c r="AK432" s="89"/>
      <c r="AL432" s="8"/>
      <c r="AM432" s="8"/>
      <c r="AN432" s="8"/>
      <c r="AO432" s="8"/>
      <c r="AP432" s="8"/>
      <c r="AQ432" s="8"/>
      <c r="AR432" s="8"/>
      <c r="AZ432" s="45"/>
      <c r="BA432" s="89"/>
      <c r="BB432" s="89"/>
      <c r="BC432" s="89"/>
      <c r="BD432" s="89"/>
      <c r="BE432" s="89"/>
      <c r="BF432" s="89"/>
      <c r="BG432" s="89"/>
      <c r="BH432" s="89"/>
      <c r="BI432" s="89"/>
      <c r="BJ432" s="89"/>
      <c r="BK432" s="91"/>
      <c r="BL432" s="66"/>
      <c r="BM432" s="94"/>
      <c r="BN432" s="94"/>
      <c r="BO432" s="92"/>
      <c r="BP432" s="93"/>
      <c r="BQ432" s="23"/>
      <c r="BR432" s="94"/>
      <c r="BS432" s="94"/>
      <c r="BT432" s="94"/>
      <c r="BU432" s="94"/>
      <c r="BV432" s="95"/>
      <c r="BW432" s="91"/>
      <c r="BX432" s="95"/>
      <c r="BY432" s="8"/>
      <c r="BZ432" s="96"/>
      <c r="CA432" s="91"/>
      <c r="CB432" s="97"/>
      <c r="CC432" s="8"/>
      <c r="CD432" s="91"/>
      <c r="CE432" s="98"/>
      <c r="CF432" s="5"/>
      <c r="DK432" s="89"/>
      <c r="DL432" s="8"/>
      <c r="DM432" s="8"/>
      <c r="DN432" s="8"/>
      <c r="DO432" s="8"/>
      <c r="DP432" s="8"/>
      <c r="DQ432" s="8"/>
      <c r="DR432" s="8"/>
      <c r="DZ432" s="45"/>
      <c r="EA432" s="89"/>
      <c r="EB432" s="89"/>
      <c r="EC432" s="89"/>
      <c r="ED432" s="89"/>
      <c r="EE432" s="89"/>
      <c r="EF432" s="89"/>
      <c r="EG432" s="89"/>
      <c r="EH432" s="89"/>
      <c r="EI432" s="89"/>
      <c r="EJ432" s="89"/>
      <c r="EK432" s="91"/>
      <c r="EL432" s="66"/>
      <c r="EM432" s="94"/>
      <c r="EN432" s="94"/>
      <c r="EO432" s="92"/>
      <c r="EP432" s="93"/>
      <c r="EQ432" s="23"/>
      <c r="ER432" s="94"/>
      <c r="ES432" s="94"/>
      <c r="ET432" s="94"/>
      <c r="EU432" s="94"/>
      <c r="EV432" s="95"/>
      <c r="EW432" s="91"/>
      <c r="EX432" s="95"/>
      <c r="EY432" s="8"/>
      <c r="EZ432" s="96"/>
      <c r="FA432" s="91"/>
      <c r="FB432" s="97"/>
      <c r="FC432" s="8"/>
      <c r="FD432" s="91"/>
      <c r="FE432" s="98"/>
      <c r="FF432" s="5"/>
    </row>
    <row r="433" spans="37:162">
      <c r="AK433" s="89"/>
      <c r="AL433" s="8"/>
      <c r="AM433" s="8"/>
      <c r="AN433" s="8"/>
      <c r="AO433" s="8"/>
      <c r="AP433" s="8"/>
      <c r="AQ433" s="8"/>
      <c r="AR433" s="8"/>
      <c r="AZ433" s="45"/>
      <c r="BA433" s="89"/>
      <c r="BB433" s="89"/>
      <c r="BC433" s="89"/>
      <c r="BD433" s="89"/>
      <c r="BE433" s="89"/>
      <c r="BF433" s="89"/>
      <c r="BG433" s="89"/>
      <c r="BH433" s="89"/>
      <c r="BI433" s="89"/>
      <c r="BJ433" s="89"/>
      <c r="BK433" s="91"/>
      <c r="BL433" s="66"/>
      <c r="BM433" s="94"/>
      <c r="BN433" s="94"/>
      <c r="BO433" s="92"/>
      <c r="BP433" s="93"/>
      <c r="BQ433" s="23"/>
      <c r="BR433" s="94"/>
      <c r="BS433" s="94"/>
      <c r="BT433" s="94"/>
      <c r="BU433" s="94"/>
      <c r="BV433" s="95"/>
      <c r="BW433" s="91"/>
      <c r="BX433" s="95"/>
      <c r="BY433" s="8"/>
      <c r="BZ433" s="96"/>
      <c r="CA433" s="91"/>
      <c r="CB433" s="97"/>
      <c r="CC433" s="8"/>
      <c r="CD433" s="91"/>
      <c r="CE433" s="98"/>
      <c r="CF433" s="5"/>
      <c r="DK433" s="89"/>
      <c r="DL433" s="8"/>
      <c r="DM433" s="8"/>
      <c r="DN433" s="8"/>
      <c r="DO433" s="8"/>
      <c r="DP433" s="8"/>
      <c r="DQ433" s="8"/>
      <c r="DR433" s="8"/>
      <c r="DZ433" s="45"/>
      <c r="EA433" s="89"/>
      <c r="EB433" s="89"/>
      <c r="EC433" s="89"/>
      <c r="ED433" s="89"/>
      <c r="EE433" s="89"/>
      <c r="EF433" s="89"/>
      <c r="EG433" s="89"/>
      <c r="EH433" s="89"/>
      <c r="EI433" s="89"/>
      <c r="EJ433" s="89"/>
      <c r="EK433" s="91"/>
      <c r="EL433" s="66"/>
      <c r="EM433" s="94"/>
      <c r="EN433" s="94"/>
      <c r="EO433" s="92"/>
      <c r="EP433" s="93"/>
      <c r="EQ433" s="23"/>
      <c r="ER433" s="94"/>
      <c r="ES433" s="94"/>
      <c r="ET433" s="94"/>
      <c r="EU433" s="94"/>
      <c r="EV433" s="95"/>
      <c r="EW433" s="91"/>
      <c r="EX433" s="95"/>
      <c r="EY433" s="8"/>
      <c r="EZ433" s="96"/>
      <c r="FA433" s="91"/>
      <c r="FB433" s="97"/>
      <c r="FC433" s="8"/>
      <c r="FD433" s="91"/>
      <c r="FE433" s="98"/>
      <c r="FF433" s="5"/>
    </row>
    <row r="434" spans="37:162">
      <c r="AK434" s="89"/>
      <c r="AL434" s="8"/>
      <c r="AM434" s="8"/>
      <c r="AN434" s="8"/>
      <c r="AO434" s="8"/>
      <c r="AP434" s="8"/>
      <c r="AQ434" s="8"/>
      <c r="AR434" s="8"/>
      <c r="AZ434" s="45"/>
      <c r="BA434" s="89"/>
      <c r="BB434" s="89"/>
      <c r="BC434" s="89"/>
      <c r="BD434" s="89"/>
      <c r="BE434" s="89"/>
      <c r="BF434" s="89"/>
      <c r="BG434" s="89"/>
      <c r="BH434" s="89"/>
      <c r="BI434" s="89"/>
      <c r="BJ434" s="89"/>
      <c r="BK434" s="91"/>
      <c r="BL434" s="66"/>
      <c r="BM434" s="94"/>
      <c r="BN434" s="94"/>
      <c r="BO434" s="92"/>
      <c r="BP434" s="93"/>
      <c r="BQ434" s="23"/>
      <c r="BR434" s="94"/>
      <c r="BS434" s="94"/>
      <c r="BT434" s="94"/>
      <c r="BU434" s="94"/>
      <c r="BV434" s="95"/>
      <c r="BW434" s="91"/>
      <c r="BX434" s="95"/>
      <c r="BY434" s="8"/>
      <c r="BZ434" s="96"/>
      <c r="CA434" s="91"/>
      <c r="CB434" s="97"/>
      <c r="CC434" s="8"/>
      <c r="CD434" s="91"/>
      <c r="CE434" s="98"/>
      <c r="CF434" s="5"/>
      <c r="DK434" s="89"/>
      <c r="DL434" s="8"/>
      <c r="DM434" s="8"/>
      <c r="DN434" s="8"/>
      <c r="DO434" s="8"/>
      <c r="DP434" s="8"/>
      <c r="DQ434" s="8"/>
      <c r="DR434" s="8"/>
      <c r="DZ434" s="45"/>
      <c r="EA434" s="89"/>
      <c r="EB434" s="89"/>
      <c r="EC434" s="89"/>
      <c r="ED434" s="89"/>
      <c r="EE434" s="89"/>
      <c r="EF434" s="89"/>
      <c r="EG434" s="89"/>
      <c r="EH434" s="89"/>
      <c r="EI434" s="89"/>
      <c r="EJ434" s="89"/>
      <c r="EK434" s="91"/>
      <c r="EL434" s="66"/>
      <c r="EM434" s="94"/>
      <c r="EN434" s="94"/>
      <c r="EO434" s="92"/>
      <c r="EP434" s="93"/>
      <c r="EQ434" s="23"/>
      <c r="ER434" s="94"/>
      <c r="ES434" s="94"/>
      <c r="ET434" s="94"/>
      <c r="EU434" s="94"/>
      <c r="EV434" s="95"/>
      <c r="EW434" s="91"/>
      <c r="EX434" s="95"/>
      <c r="EY434" s="8"/>
      <c r="EZ434" s="96"/>
      <c r="FA434" s="91"/>
      <c r="FB434" s="97"/>
      <c r="FC434" s="8"/>
      <c r="FD434" s="91"/>
      <c r="FE434" s="98"/>
      <c r="FF434" s="5"/>
    </row>
    <row r="435" spans="37:162">
      <c r="AK435" s="89"/>
      <c r="AL435" s="8"/>
      <c r="AM435" s="8"/>
      <c r="AN435" s="8"/>
      <c r="AO435" s="8"/>
      <c r="AP435" s="8"/>
      <c r="AQ435" s="8"/>
      <c r="AR435" s="8"/>
      <c r="AZ435" s="45"/>
      <c r="BA435" s="89"/>
      <c r="BB435" s="89"/>
      <c r="BC435" s="89"/>
      <c r="BD435" s="89"/>
      <c r="BE435" s="89"/>
      <c r="BF435" s="89"/>
      <c r="BG435" s="89"/>
      <c r="BH435" s="89"/>
      <c r="BI435" s="89"/>
      <c r="BJ435" s="89"/>
      <c r="BK435" s="91"/>
      <c r="BL435" s="66"/>
      <c r="BM435" s="94"/>
      <c r="BN435" s="94"/>
      <c r="BO435" s="92"/>
      <c r="BP435" s="93"/>
      <c r="BQ435" s="23"/>
      <c r="BR435" s="94"/>
      <c r="BS435" s="94"/>
      <c r="BT435" s="94"/>
      <c r="BU435" s="94"/>
      <c r="BV435" s="95"/>
      <c r="BW435" s="91"/>
      <c r="BX435" s="95"/>
      <c r="BY435" s="8"/>
      <c r="BZ435" s="96"/>
      <c r="CA435" s="91"/>
      <c r="CB435" s="97"/>
      <c r="CC435" s="8"/>
      <c r="CD435" s="91"/>
      <c r="CE435" s="98"/>
      <c r="CF435" s="5"/>
      <c r="DK435" s="89"/>
      <c r="DL435" s="8"/>
      <c r="DM435" s="8"/>
      <c r="DN435" s="8"/>
      <c r="DO435" s="8"/>
      <c r="DP435" s="8"/>
      <c r="DQ435" s="8"/>
      <c r="DR435" s="8"/>
      <c r="DZ435" s="45"/>
      <c r="EA435" s="89"/>
      <c r="EB435" s="89"/>
      <c r="EC435" s="89"/>
      <c r="ED435" s="89"/>
      <c r="EE435" s="89"/>
      <c r="EF435" s="89"/>
      <c r="EG435" s="89"/>
      <c r="EH435" s="89"/>
      <c r="EI435" s="89"/>
      <c r="EJ435" s="89"/>
      <c r="EK435" s="91"/>
      <c r="EL435" s="66"/>
      <c r="EM435" s="94"/>
      <c r="EN435" s="94"/>
      <c r="EO435" s="92"/>
      <c r="EP435" s="93"/>
      <c r="EQ435" s="23"/>
      <c r="ER435" s="94"/>
      <c r="ES435" s="94"/>
      <c r="ET435" s="94"/>
      <c r="EU435" s="94"/>
      <c r="EV435" s="95"/>
      <c r="EW435" s="91"/>
      <c r="EX435" s="95"/>
      <c r="EY435" s="8"/>
      <c r="EZ435" s="96"/>
      <c r="FA435" s="91"/>
      <c r="FB435" s="97"/>
      <c r="FC435" s="8"/>
      <c r="FD435" s="91"/>
      <c r="FE435" s="98"/>
      <c r="FF435" s="5"/>
    </row>
    <row r="436" spans="37:162">
      <c r="AK436" s="89"/>
      <c r="AL436" s="8"/>
      <c r="AM436" s="8"/>
      <c r="AN436" s="8"/>
      <c r="AO436" s="8"/>
      <c r="AP436" s="8"/>
      <c r="AQ436" s="8"/>
      <c r="AR436" s="8"/>
      <c r="AZ436" s="45"/>
      <c r="BA436" s="89"/>
      <c r="BB436" s="89"/>
      <c r="BC436" s="89"/>
      <c r="BD436" s="89"/>
      <c r="BE436" s="89"/>
      <c r="BF436" s="89"/>
      <c r="BG436" s="89"/>
      <c r="BH436" s="89"/>
      <c r="BI436" s="89"/>
      <c r="BJ436" s="89"/>
      <c r="BK436" s="91"/>
      <c r="BL436" s="66"/>
      <c r="BM436" s="94"/>
      <c r="BN436" s="94"/>
      <c r="BO436" s="92"/>
      <c r="BP436" s="93"/>
      <c r="BQ436" s="23"/>
      <c r="BR436" s="94"/>
      <c r="BS436" s="94"/>
      <c r="BT436" s="94"/>
      <c r="BU436" s="94"/>
      <c r="BV436" s="95"/>
      <c r="BW436" s="91"/>
      <c r="BX436" s="95"/>
      <c r="BY436" s="8"/>
      <c r="BZ436" s="96"/>
      <c r="CA436" s="91"/>
      <c r="CB436" s="97"/>
      <c r="CC436" s="8"/>
      <c r="CD436" s="91"/>
      <c r="CE436" s="98"/>
      <c r="CF436" s="5"/>
      <c r="DK436" s="89"/>
      <c r="DL436" s="8"/>
      <c r="DM436" s="8"/>
      <c r="DN436" s="8"/>
      <c r="DO436" s="8"/>
      <c r="DP436" s="8"/>
      <c r="DQ436" s="8"/>
      <c r="DR436" s="8"/>
      <c r="DZ436" s="45"/>
      <c r="EA436" s="89"/>
      <c r="EB436" s="89"/>
      <c r="EC436" s="89"/>
      <c r="ED436" s="89"/>
      <c r="EE436" s="89"/>
      <c r="EF436" s="89"/>
      <c r="EG436" s="89"/>
      <c r="EH436" s="89"/>
      <c r="EI436" s="89"/>
      <c r="EJ436" s="89"/>
      <c r="EK436" s="91"/>
      <c r="EL436" s="66"/>
      <c r="EM436" s="94"/>
      <c r="EN436" s="94"/>
      <c r="EO436" s="92"/>
      <c r="EP436" s="93"/>
      <c r="EQ436" s="23"/>
      <c r="ER436" s="94"/>
      <c r="ES436" s="94"/>
      <c r="ET436" s="94"/>
      <c r="EU436" s="94"/>
      <c r="EV436" s="95"/>
      <c r="EW436" s="91"/>
      <c r="EX436" s="95"/>
      <c r="EY436" s="8"/>
      <c r="EZ436" s="96"/>
      <c r="FA436" s="91"/>
      <c r="FB436" s="97"/>
      <c r="FC436" s="8"/>
      <c r="FD436" s="91"/>
      <c r="FE436" s="98"/>
      <c r="FF436" s="5"/>
    </row>
    <row r="437" spans="37:162">
      <c r="AK437" s="89"/>
      <c r="AL437" s="8"/>
      <c r="AM437" s="8"/>
      <c r="AN437" s="8"/>
      <c r="AO437" s="8"/>
      <c r="AP437" s="8"/>
      <c r="AQ437" s="8"/>
      <c r="AR437" s="8"/>
      <c r="AZ437" s="45"/>
      <c r="BA437" s="89"/>
      <c r="BB437" s="89"/>
      <c r="BC437" s="89"/>
      <c r="BD437" s="89"/>
      <c r="BE437" s="89"/>
      <c r="BF437" s="89"/>
      <c r="BG437" s="89"/>
      <c r="BH437" s="89"/>
      <c r="BI437" s="89"/>
      <c r="BJ437" s="89"/>
      <c r="BK437" s="91"/>
      <c r="BL437" s="66"/>
      <c r="BM437" s="94"/>
      <c r="BN437" s="94"/>
      <c r="BO437" s="92"/>
      <c r="BP437" s="93"/>
      <c r="BQ437" s="23"/>
      <c r="BR437" s="94"/>
      <c r="BS437" s="94"/>
      <c r="BT437" s="94"/>
      <c r="BU437" s="94"/>
      <c r="BV437" s="95"/>
      <c r="BW437" s="91"/>
      <c r="BX437" s="95"/>
      <c r="BY437" s="8"/>
      <c r="BZ437" s="96"/>
      <c r="CA437" s="91"/>
      <c r="CB437" s="97"/>
      <c r="CC437" s="8"/>
      <c r="CD437" s="91"/>
      <c r="CE437" s="98"/>
      <c r="CF437" s="5"/>
      <c r="DK437" s="89"/>
      <c r="DL437" s="8"/>
      <c r="DM437" s="8"/>
      <c r="DN437" s="8"/>
      <c r="DO437" s="8"/>
      <c r="DP437" s="8"/>
      <c r="DQ437" s="8"/>
      <c r="DR437" s="8"/>
      <c r="DZ437" s="45"/>
      <c r="EA437" s="89"/>
      <c r="EB437" s="89"/>
      <c r="EC437" s="89"/>
      <c r="ED437" s="89"/>
      <c r="EE437" s="89"/>
      <c r="EF437" s="89"/>
      <c r="EG437" s="89"/>
      <c r="EH437" s="89"/>
      <c r="EI437" s="89"/>
      <c r="EJ437" s="89"/>
      <c r="EK437" s="91"/>
      <c r="EL437" s="66"/>
      <c r="EM437" s="94"/>
      <c r="EN437" s="94"/>
      <c r="EO437" s="92"/>
      <c r="EP437" s="93"/>
      <c r="EQ437" s="23"/>
      <c r="ER437" s="94"/>
      <c r="ES437" s="94"/>
      <c r="ET437" s="94"/>
      <c r="EU437" s="94"/>
      <c r="EV437" s="95"/>
      <c r="EW437" s="91"/>
      <c r="EX437" s="95"/>
      <c r="EY437" s="8"/>
      <c r="EZ437" s="96"/>
      <c r="FA437" s="91"/>
      <c r="FB437" s="97"/>
      <c r="FC437" s="8"/>
      <c r="FD437" s="91"/>
      <c r="FE437" s="98"/>
      <c r="FF437" s="5"/>
    </row>
    <row r="438" spans="37:162">
      <c r="AK438" s="89"/>
      <c r="AL438" s="8"/>
      <c r="AM438" s="8"/>
      <c r="AN438" s="8"/>
      <c r="AO438" s="8"/>
      <c r="AP438" s="8"/>
      <c r="AQ438" s="8"/>
      <c r="AR438" s="8"/>
      <c r="AZ438" s="45"/>
      <c r="BA438" s="89"/>
      <c r="BB438" s="89"/>
      <c r="BC438" s="89"/>
      <c r="BD438" s="89"/>
      <c r="BE438" s="89"/>
      <c r="BF438" s="89"/>
      <c r="BG438" s="89"/>
      <c r="BH438" s="89"/>
      <c r="BI438" s="89"/>
      <c r="BJ438" s="89"/>
      <c r="BK438" s="91"/>
      <c r="BL438" s="66"/>
      <c r="BM438" s="94"/>
      <c r="BN438" s="94"/>
      <c r="BO438" s="92"/>
      <c r="BP438" s="93"/>
      <c r="BQ438" s="23"/>
      <c r="BR438" s="94"/>
      <c r="BS438" s="94"/>
      <c r="BT438" s="94"/>
      <c r="BU438" s="94"/>
      <c r="BV438" s="95"/>
      <c r="BW438" s="91"/>
      <c r="BX438" s="95"/>
      <c r="BY438" s="8"/>
      <c r="BZ438" s="96"/>
      <c r="CA438" s="91"/>
      <c r="CB438" s="97"/>
      <c r="CC438" s="8"/>
      <c r="CD438" s="91"/>
      <c r="CE438" s="98"/>
      <c r="CF438" s="5"/>
      <c r="DK438" s="89"/>
      <c r="DL438" s="8"/>
      <c r="DM438" s="8"/>
      <c r="DN438" s="8"/>
      <c r="DO438" s="8"/>
      <c r="DP438" s="8"/>
      <c r="DQ438" s="8"/>
      <c r="DR438" s="8"/>
      <c r="DZ438" s="45"/>
      <c r="EA438" s="89"/>
      <c r="EB438" s="89"/>
      <c r="EC438" s="89"/>
      <c r="ED438" s="89"/>
      <c r="EE438" s="89"/>
      <c r="EF438" s="89"/>
      <c r="EG438" s="89"/>
      <c r="EH438" s="89"/>
      <c r="EI438" s="89"/>
      <c r="EJ438" s="89"/>
      <c r="EK438" s="91"/>
      <c r="EL438" s="66"/>
      <c r="EM438" s="94"/>
      <c r="EN438" s="94"/>
      <c r="EO438" s="92"/>
      <c r="EP438" s="93"/>
      <c r="EQ438" s="23"/>
      <c r="ER438" s="94"/>
      <c r="ES438" s="94"/>
      <c r="ET438" s="94"/>
      <c r="EU438" s="94"/>
      <c r="EV438" s="95"/>
      <c r="EW438" s="91"/>
      <c r="EX438" s="95"/>
      <c r="EY438" s="8"/>
      <c r="EZ438" s="96"/>
      <c r="FA438" s="91"/>
      <c r="FB438" s="97"/>
      <c r="FC438" s="8"/>
      <c r="FD438" s="91"/>
      <c r="FE438" s="98"/>
      <c r="FF438" s="5"/>
    </row>
    <row r="439" spans="37:162">
      <c r="AK439" s="89"/>
      <c r="AL439" s="8"/>
      <c r="AM439" s="8"/>
      <c r="AN439" s="8"/>
      <c r="AO439" s="8"/>
      <c r="AP439" s="8"/>
      <c r="AQ439" s="8"/>
      <c r="AR439" s="8"/>
      <c r="AZ439" s="45"/>
      <c r="BA439" s="89"/>
      <c r="BB439" s="89"/>
      <c r="BC439" s="89"/>
      <c r="BD439" s="89"/>
      <c r="BE439" s="89"/>
      <c r="BF439" s="89"/>
      <c r="BG439" s="89"/>
      <c r="BH439" s="89"/>
      <c r="BI439" s="89"/>
      <c r="BJ439" s="89"/>
      <c r="BK439" s="91"/>
      <c r="BL439" s="66"/>
      <c r="BM439" s="94"/>
      <c r="BN439" s="94"/>
      <c r="BO439" s="92"/>
      <c r="BP439" s="93"/>
      <c r="BQ439" s="23"/>
      <c r="BR439" s="94"/>
      <c r="BS439" s="94"/>
      <c r="BT439" s="94"/>
      <c r="BU439" s="94"/>
      <c r="BV439" s="95"/>
      <c r="BW439" s="91"/>
      <c r="BX439" s="95"/>
      <c r="BY439" s="8"/>
      <c r="BZ439" s="96"/>
      <c r="CA439" s="91"/>
      <c r="CB439" s="97"/>
      <c r="CC439" s="8"/>
      <c r="CD439" s="91"/>
      <c r="CE439" s="98"/>
      <c r="CF439" s="5"/>
      <c r="DK439" s="89"/>
      <c r="DL439" s="8"/>
      <c r="DM439" s="8"/>
      <c r="DN439" s="8"/>
      <c r="DO439" s="8"/>
      <c r="DP439" s="8"/>
      <c r="DQ439" s="8"/>
      <c r="DR439" s="8"/>
      <c r="DZ439" s="45"/>
      <c r="EA439" s="89"/>
      <c r="EB439" s="89"/>
      <c r="EC439" s="89"/>
      <c r="ED439" s="89"/>
      <c r="EE439" s="89"/>
      <c r="EF439" s="89"/>
      <c r="EG439" s="89"/>
      <c r="EH439" s="89"/>
      <c r="EI439" s="89"/>
      <c r="EJ439" s="89"/>
      <c r="EK439" s="91"/>
      <c r="EL439" s="66"/>
      <c r="EM439" s="94"/>
      <c r="EN439" s="94"/>
      <c r="EO439" s="92"/>
      <c r="EP439" s="93"/>
      <c r="EQ439" s="23"/>
      <c r="ER439" s="94"/>
      <c r="ES439" s="94"/>
      <c r="ET439" s="94"/>
      <c r="EU439" s="94"/>
      <c r="EV439" s="95"/>
      <c r="EW439" s="91"/>
      <c r="EX439" s="95"/>
      <c r="EY439" s="8"/>
      <c r="EZ439" s="96"/>
      <c r="FA439" s="91"/>
      <c r="FB439" s="97"/>
      <c r="FC439" s="8"/>
      <c r="FD439" s="91"/>
      <c r="FE439" s="98"/>
      <c r="FF439" s="5"/>
    </row>
    <row r="440" spans="37:162">
      <c r="AK440" s="89"/>
      <c r="AL440" s="8"/>
      <c r="AM440" s="8"/>
      <c r="AN440" s="8"/>
      <c r="AO440" s="8"/>
      <c r="AP440" s="8"/>
      <c r="AQ440" s="8"/>
      <c r="AR440" s="8"/>
      <c r="AZ440" s="45"/>
      <c r="BA440" s="89"/>
      <c r="BB440" s="89"/>
      <c r="BC440" s="89"/>
      <c r="BD440" s="89"/>
      <c r="BE440" s="89"/>
      <c r="BF440" s="89"/>
      <c r="BG440" s="89"/>
      <c r="BH440" s="89"/>
      <c r="BI440" s="89"/>
      <c r="BJ440" s="89"/>
      <c r="BK440" s="91"/>
      <c r="BL440" s="66"/>
      <c r="BM440" s="94"/>
      <c r="BN440" s="94"/>
      <c r="BO440" s="92"/>
      <c r="BP440" s="93"/>
      <c r="BQ440" s="23"/>
      <c r="BR440" s="94"/>
      <c r="BS440" s="94"/>
      <c r="BT440" s="94"/>
      <c r="BU440" s="94"/>
      <c r="BV440" s="95"/>
      <c r="BW440" s="91"/>
      <c r="BX440" s="95"/>
      <c r="BY440" s="8"/>
      <c r="BZ440" s="96"/>
      <c r="CA440" s="91"/>
      <c r="CB440" s="97"/>
      <c r="CC440" s="8"/>
      <c r="CD440" s="91"/>
      <c r="CE440" s="98"/>
      <c r="CF440" s="5"/>
      <c r="DK440" s="89"/>
      <c r="DL440" s="8"/>
      <c r="DM440" s="8"/>
      <c r="DN440" s="8"/>
      <c r="DO440" s="8"/>
      <c r="DP440" s="8"/>
      <c r="DQ440" s="8"/>
      <c r="DR440" s="8"/>
      <c r="DZ440" s="45"/>
      <c r="EA440" s="89"/>
      <c r="EB440" s="89"/>
      <c r="EC440" s="89"/>
      <c r="ED440" s="89"/>
      <c r="EE440" s="89"/>
      <c r="EF440" s="89"/>
      <c r="EG440" s="89"/>
      <c r="EH440" s="89"/>
      <c r="EI440" s="89"/>
      <c r="EJ440" s="89"/>
      <c r="EK440" s="91"/>
      <c r="EL440" s="66"/>
      <c r="EM440" s="94"/>
      <c r="EN440" s="94"/>
      <c r="EO440" s="92"/>
      <c r="EP440" s="93"/>
      <c r="EQ440" s="23"/>
      <c r="ER440" s="94"/>
      <c r="ES440" s="94"/>
      <c r="ET440" s="94"/>
      <c r="EU440" s="94"/>
      <c r="EV440" s="95"/>
      <c r="EW440" s="91"/>
      <c r="EX440" s="95"/>
      <c r="EY440" s="8"/>
      <c r="EZ440" s="96"/>
      <c r="FA440" s="91"/>
      <c r="FB440" s="97"/>
      <c r="FC440" s="8"/>
      <c r="FD440" s="91"/>
      <c r="FE440" s="98"/>
      <c r="FF440" s="5"/>
    </row>
    <row r="441" spans="37:162">
      <c r="AK441" s="89"/>
      <c r="AL441" s="8"/>
      <c r="AM441" s="8"/>
      <c r="AN441" s="8"/>
      <c r="AO441" s="8"/>
      <c r="AP441" s="8"/>
      <c r="AQ441" s="8"/>
      <c r="AR441" s="8"/>
      <c r="AZ441" s="45"/>
      <c r="BA441" s="89"/>
      <c r="BB441" s="89"/>
      <c r="BC441" s="89"/>
      <c r="BD441" s="89"/>
      <c r="BE441" s="89"/>
      <c r="BF441" s="89"/>
      <c r="BG441" s="89"/>
      <c r="BH441" s="89"/>
      <c r="BI441" s="89"/>
      <c r="BJ441" s="89"/>
      <c r="BK441" s="91"/>
      <c r="BL441" s="66"/>
      <c r="BM441" s="94"/>
      <c r="BN441" s="94"/>
      <c r="BO441" s="92"/>
      <c r="BP441" s="93"/>
      <c r="BQ441" s="23"/>
      <c r="BR441" s="94"/>
      <c r="BS441" s="94"/>
      <c r="BT441" s="94"/>
      <c r="BU441" s="94"/>
      <c r="BV441" s="95"/>
      <c r="BW441" s="91"/>
      <c r="BX441" s="95"/>
      <c r="BY441" s="8"/>
      <c r="BZ441" s="96"/>
      <c r="CA441" s="91"/>
      <c r="CB441" s="97"/>
      <c r="CC441" s="8"/>
      <c r="CD441" s="91"/>
      <c r="CE441" s="98"/>
      <c r="CF441" s="5"/>
      <c r="DK441" s="89"/>
      <c r="DL441" s="8"/>
      <c r="DM441" s="8"/>
      <c r="DN441" s="8"/>
      <c r="DO441" s="8"/>
      <c r="DP441" s="8"/>
      <c r="DQ441" s="8"/>
      <c r="DR441" s="8"/>
      <c r="DZ441" s="45"/>
      <c r="EA441" s="89"/>
      <c r="EB441" s="89"/>
      <c r="EC441" s="89"/>
      <c r="ED441" s="89"/>
      <c r="EE441" s="89"/>
      <c r="EF441" s="89"/>
      <c r="EG441" s="89"/>
      <c r="EH441" s="89"/>
      <c r="EI441" s="89"/>
      <c r="EJ441" s="89"/>
      <c r="EK441" s="91"/>
      <c r="EL441" s="66"/>
      <c r="EM441" s="94"/>
      <c r="EN441" s="94"/>
      <c r="EO441" s="92"/>
      <c r="EP441" s="93"/>
      <c r="EQ441" s="23"/>
      <c r="ER441" s="94"/>
      <c r="ES441" s="94"/>
      <c r="ET441" s="94"/>
      <c r="EU441" s="94"/>
      <c r="EV441" s="95"/>
      <c r="EW441" s="91"/>
      <c r="EX441" s="95"/>
      <c r="EY441" s="8"/>
      <c r="EZ441" s="96"/>
      <c r="FA441" s="91"/>
      <c r="FB441" s="97"/>
      <c r="FC441" s="8"/>
      <c r="FD441" s="91"/>
      <c r="FE441" s="98"/>
      <c r="FF441" s="5"/>
    </row>
    <row r="442" spans="37:162">
      <c r="AK442" s="89"/>
      <c r="AL442" s="8"/>
      <c r="AM442" s="8"/>
      <c r="AN442" s="8"/>
      <c r="AO442" s="8"/>
      <c r="AP442" s="8"/>
      <c r="AQ442" s="8"/>
      <c r="AR442" s="8"/>
      <c r="AZ442" s="45"/>
      <c r="BA442" s="89"/>
      <c r="BB442" s="89"/>
      <c r="BC442" s="89"/>
      <c r="BD442" s="89"/>
      <c r="BE442" s="89"/>
      <c r="BF442" s="89"/>
      <c r="BG442" s="89"/>
      <c r="BH442" s="89"/>
      <c r="BI442" s="89"/>
      <c r="BJ442" s="89"/>
      <c r="BK442" s="91"/>
      <c r="BL442" s="66"/>
      <c r="BM442" s="94"/>
      <c r="BN442" s="94"/>
      <c r="BO442" s="92"/>
      <c r="BP442" s="93"/>
      <c r="BQ442" s="23"/>
      <c r="BR442" s="94"/>
      <c r="BS442" s="94"/>
      <c r="BT442" s="94"/>
      <c r="BU442" s="94"/>
      <c r="BV442" s="95"/>
      <c r="BW442" s="91"/>
      <c r="BX442" s="95"/>
      <c r="BY442" s="8"/>
      <c r="BZ442" s="96"/>
      <c r="CA442" s="91"/>
      <c r="CB442" s="97"/>
      <c r="CC442" s="8"/>
      <c r="CD442" s="91"/>
      <c r="CE442" s="98"/>
      <c r="CF442" s="5"/>
      <c r="DK442" s="89"/>
      <c r="DL442" s="8"/>
      <c r="DM442" s="8"/>
      <c r="DN442" s="8"/>
      <c r="DO442" s="8"/>
      <c r="DP442" s="8"/>
      <c r="DQ442" s="8"/>
      <c r="DR442" s="8"/>
      <c r="DZ442" s="45"/>
      <c r="EA442" s="89"/>
      <c r="EB442" s="89"/>
      <c r="EC442" s="89"/>
      <c r="ED442" s="89"/>
      <c r="EE442" s="89"/>
      <c r="EF442" s="89"/>
      <c r="EG442" s="89"/>
      <c r="EH442" s="89"/>
      <c r="EI442" s="89"/>
      <c r="EJ442" s="89"/>
      <c r="EK442" s="91"/>
      <c r="EL442" s="66"/>
      <c r="EM442" s="94"/>
      <c r="EN442" s="94"/>
      <c r="EO442" s="92"/>
      <c r="EP442" s="93"/>
      <c r="EQ442" s="23"/>
      <c r="ER442" s="94"/>
      <c r="ES442" s="94"/>
      <c r="ET442" s="94"/>
      <c r="EU442" s="94"/>
      <c r="EV442" s="95"/>
      <c r="EW442" s="91"/>
      <c r="EX442" s="95"/>
      <c r="EY442" s="8"/>
      <c r="EZ442" s="96"/>
      <c r="FA442" s="91"/>
      <c r="FB442" s="97"/>
      <c r="FC442" s="8"/>
      <c r="FD442" s="91"/>
      <c r="FE442" s="98"/>
      <c r="FF442" s="5"/>
    </row>
    <row r="443" spans="37:162">
      <c r="AK443" s="89"/>
      <c r="AL443" s="8"/>
      <c r="AM443" s="8"/>
      <c r="AN443" s="8"/>
      <c r="AO443" s="8"/>
      <c r="AP443" s="8"/>
      <c r="AQ443" s="8"/>
      <c r="AR443" s="8"/>
      <c r="AZ443" s="45"/>
      <c r="BA443" s="89"/>
      <c r="BB443" s="89"/>
      <c r="BC443" s="89"/>
      <c r="BD443" s="89"/>
      <c r="BE443" s="89"/>
      <c r="BF443" s="89"/>
      <c r="BG443" s="89"/>
      <c r="BH443" s="89"/>
      <c r="BI443" s="89"/>
      <c r="BJ443" s="89"/>
      <c r="BK443" s="91"/>
      <c r="BL443" s="66"/>
      <c r="BM443" s="94"/>
      <c r="BN443" s="94"/>
      <c r="BO443" s="92"/>
      <c r="BP443" s="93"/>
      <c r="BQ443" s="23"/>
      <c r="BR443" s="94"/>
      <c r="BS443" s="94"/>
      <c r="BT443" s="94"/>
      <c r="BU443" s="94"/>
      <c r="BV443" s="95"/>
      <c r="BW443" s="91"/>
      <c r="BX443" s="95"/>
      <c r="BY443" s="8"/>
      <c r="BZ443" s="96"/>
      <c r="CA443" s="91"/>
      <c r="CB443" s="97"/>
      <c r="CC443" s="8"/>
      <c r="CD443" s="91"/>
      <c r="CE443" s="98"/>
      <c r="CF443" s="5"/>
      <c r="DK443" s="89"/>
      <c r="DL443" s="8"/>
      <c r="DM443" s="8"/>
      <c r="DN443" s="8"/>
      <c r="DO443" s="8"/>
      <c r="DP443" s="8"/>
      <c r="DQ443" s="8"/>
      <c r="DR443" s="8"/>
      <c r="DZ443" s="45"/>
      <c r="EA443" s="89"/>
      <c r="EB443" s="89"/>
      <c r="EC443" s="89"/>
      <c r="ED443" s="89"/>
      <c r="EE443" s="89"/>
      <c r="EF443" s="89"/>
      <c r="EG443" s="89"/>
      <c r="EH443" s="89"/>
      <c r="EI443" s="89"/>
      <c r="EJ443" s="89"/>
      <c r="EK443" s="91"/>
      <c r="EL443" s="66"/>
      <c r="EM443" s="94"/>
      <c r="EN443" s="94"/>
      <c r="EO443" s="92"/>
      <c r="EP443" s="93"/>
      <c r="EQ443" s="23"/>
      <c r="ER443" s="94"/>
      <c r="ES443" s="94"/>
      <c r="ET443" s="94"/>
      <c r="EU443" s="94"/>
      <c r="EV443" s="95"/>
      <c r="EW443" s="91"/>
      <c r="EX443" s="95"/>
      <c r="EY443" s="8"/>
      <c r="EZ443" s="96"/>
      <c r="FA443" s="91"/>
      <c r="FB443" s="97"/>
      <c r="FC443" s="8"/>
      <c r="FD443" s="91"/>
      <c r="FE443" s="98"/>
      <c r="FF443" s="5"/>
    </row>
    <row r="444" spans="37:162">
      <c r="AK444" s="89"/>
      <c r="AL444" s="8"/>
      <c r="AM444" s="8"/>
      <c r="AN444" s="8"/>
      <c r="AO444" s="8"/>
      <c r="AP444" s="8"/>
      <c r="AQ444" s="8"/>
      <c r="AR444" s="8"/>
      <c r="AZ444" s="45"/>
      <c r="BA444" s="89"/>
      <c r="BB444" s="89"/>
      <c r="BC444" s="89"/>
      <c r="BD444" s="89"/>
      <c r="BE444" s="89"/>
      <c r="BF444" s="89"/>
      <c r="BG444" s="89"/>
      <c r="BH444" s="89"/>
      <c r="BI444" s="89"/>
      <c r="BJ444" s="89"/>
      <c r="BK444" s="91"/>
      <c r="BL444" s="66"/>
      <c r="BM444" s="94"/>
      <c r="BN444" s="94"/>
      <c r="BO444" s="92"/>
      <c r="BP444" s="93"/>
      <c r="BQ444" s="23"/>
      <c r="BR444" s="94"/>
      <c r="BS444" s="94"/>
      <c r="BT444" s="94"/>
      <c r="BU444" s="94"/>
      <c r="BV444" s="95"/>
      <c r="BW444" s="91"/>
      <c r="BX444" s="95"/>
      <c r="BY444" s="8"/>
      <c r="BZ444" s="96"/>
      <c r="CA444" s="91"/>
      <c r="CB444" s="97"/>
      <c r="CC444" s="8"/>
      <c r="CD444" s="91"/>
      <c r="CE444" s="98"/>
      <c r="CF444" s="5"/>
      <c r="DK444" s="89"/>
      <c r="DL444" s="8"/>
      <c r="DM444" s="8"/>
      <c r="DN444" s="8"/>
      <c r="DO444" s="8"/>
      <c r="DP444" s="8"/>
      <c r="DQ444" s="8"/>
      <c r="DR444" s="8"/>
      <c r="DZ444" s="45"/>
      <c r="EA444" s="89"/>
      <c r="EB444" s="89"/>
      <c r="EC444" s="89"/>
      <c r="ED444" s="89"/>
      <c r="EE444" s="89"/>
      <c r="EF444" s="89"/>
      <c r="EG444" s="89"/>
      <c r="EH444" s="89"/>
      <c r="EI444" s="89"/>
      <c r="EJ444" s="89"/>
      <c r="EK444" s="91"/>
      <c r="EL444" s="66"/>
      <c r="EM444" s="94"/>
      <c r="EN444" s="94"/>
      <c r="EO444" s="92"/>
      <c r="EP444" s="93"/>
      <c r="EQ444" s="23"/>
      <c r="ER444" s="94"/>
      <c r="ES444" s="94"/>
      <c r="ET444" s="94"/>
      <c r="EU444" s="94"/>
      <c r="EV444" s="95"/>
      <c r="EW444" s="91"/>
      <c r="EX444" s="95"/>
      <c r="EY444" s="8"/>
      <c r="EZ444" s="96"/>
      <c r="FA444" s="91"/>
      <c r="FB444" s="97"/>
      <c r="FC444" s="8"/>
      <c r="FD444" s="91"/>
      <c r="FE444" s="98"/>
      <c r="FF444" s="5"/>
    </row>
    <row r="445" spans="37:162">
      <c r="AK445" s="89"/>
      <c r="AL445" s="8"/>
      <c r="AM445" s="8"/>
      <c r="AN445" s="8"/>
      <c r="AO445" s="8"/>
      <c r="AP445" s="8"/>
      <c r="AQ445" s="8"/>
      <c r="AR445" s="8"/>
      <c r="AZ445" s="45"/>
      <c r="BA445" s="89"/>
      <c r="BB445" s="89"/>
      <c r="BC445" s="89"/>
      <c r="BD445" s="89"/>
      <c r="BE445" s="89"/>
      <c r="BF445" s="89"/>
      <c r="BG445" s="89"/>
      <c r="BH445" s="89"/>
      <c r="BI445" s="89"/>
      <c r="BJ445" s="89"/>
      <c r="BK445" s="91"/>
      <c r="BL445" s="66"/>
      <c r="BM445" s="94"/>
      <c r="BN445" s="94"/>
      <c r="BO445" s="92"/>
      <c r="BP445" s="93"/>
      <c r="BQ445" s="23"/>
      <c r="BR445" s="94"/>
      <c r="BS445" s="94"/>
      <c r="BT445" s="94"/>
      <c r="BU445" s="94"/>
      <c r="BV445" s="95"/>
      <c r="BW445" s="91"/>
      <c r="BX445" s="95"/>
      <c r="BY445" s="8"/>
      <c r="BZ445" s="96"/>
      <c r="CA445" s="91"/>
      <c r="CB445" s="97"/>
      <c r="CC445" s="8"/>
      <c r="CD445" s="91"/>
      <c r="CE445" s="98"/>
      <c r="CF445" s="5"/>
      <c r="DK445" s="89"/>
      <c r="DL445" s="8"/>
      <c r="DM445" s="8"/>
      <c r="DN445" s="8"/>
      <c r="DO445" s="8"/>
      <c r="DP445" s="8"/>
      <c r="DQ445" s="8"/>
      <c r="DR445" s="8"/>
      <c r="DZ445" s="45"/>
      <c r="EA445" s="89"/>
      <c r="EB445" s="89"/>
      <c r="EC445" s="89"/>
      <c r="ED445" s="89"/>
      <c r="EE445" s="89"/>
      <c r="EF445" s="89"/>
      <c r="EG445" s="89"/>
      <c r="EH445" s="89"/>
      <c r="EI445" s="89"/>
      <c r="EJ445" s="89"/>
      <c r="EK445" s="91"/>
      <c r="EL445" s="66"/>
      <c r="EM445" s="94"/>
      <c r="EN445" s="94"/>
      <c r="EO445" s="92"/>
      <c r="EP445" s="93"/>
      <c r="EQ445" s="23"/>
      <c r="ER445" s="94"/>
      <c r="ES445" s="94"/>
      <c r="ET445" s="94"/>
      <c r="EU445" s="94"/>
      <c r="EV445" s="95"/>
      <c r="EW445" s="91"/>
      <c r="EX445" s="95"/>
      <c r="EY445" s="8"/>
      <c r="EZ445" s="96"/>
      <c r="FA445" s="91"/>
      <c r="FB445" s="97"/>
      <c r="FC445" s="8"/>
      <c r="FD445" s="91"/>
      <c r="FE445" s="98"/>
      <c r="FF445" s="5"/>
    </row>
    <row r="446" spans="37:162">
      <c r="AK446" s="89"/>
      <c r="AL446" s="8"/>
      <c r="AM446" s="8"/>
      <c r="AN446" s="8"/>
      <c r="AO446" s="8"/>
      <c r="AP446" s="8"/>
      <c r="AQ446" s="8"/>
      <c r="AR446" s="8"/>
      <c r="AZ446" s="45"/>
      <c r="BA446" s="89"/>
      <c r="BB446" s="89"/>
      <c r="BC446" s="89"/>
      <c r="BD446" s="89"/>
      <c r="BE446" s="89"/>
      <c r="BF446" s="89"/>
      <c r="BG446" s="89"/>
      <c r="BH446" s="89"/>
      <c r="BI446" s="89"/>
      <c r="BJ446" s="89"/>
      <c r="BK446" s="91"/>
      <c r="BL446" s="66"/>
      <c r="BM446" s="94"/>
      <c r="BN446" s="94"/>
      <c r="BO446" s="92"/>
      <c r="BP446" s="93"/>
      <c r="BQ446" s="23"/>
      <c r="BR446" s="94"/>
      <c r="BS446" s="94"/>
      <c r="BT446" s="94"/>
      <c r="BU446" s="94"/>
      <c r="BV446" s="95"/>
      <c r="BW446" s="91"/>
      <c r="BX446" s="95"/>
      <c r="BY446" s="8"/>
      <c r="BZ446" s="96"/>
      <c r="CA446" s="91"/>
      <c r="CB446" s="97"/>
      <c r="CC446" s="8"/>
      <c r="CD446" s="91"/>
      <c r="CE446" s="98"/>
      <c r="CF446" s="5"/>
      <c r="DK446" s="89"/>
      <c r="DL446" s="8"/>
      <c r="DM446" s="8"/>
      <c r="DN446" s="8"/>
      <c r="DO446" s="8"/>
      <c r="DP446" s="8"/>
      <c r="DQ446" s="8"/>
      <c r="DR446" s="8"/>
      <c r="DZ446" s="45"/>
      <c r="EA446" s="89"/>
      <c r="EB446" s="89"/>
      <c r="EC446" s="89"/>
      <c r="ED446" s="89"/>
      <c r="EE446" s="89"/>
      <c r="EF446" s="89"/>
      <c r="EG446" s="89"/>
      <c r="EH446" s="89"/>
      <c r="EI446" s="89"/>
      <c r="EJ446" s="89"/>
      <c r="EK446" s="91"/>
      <c r="EL446" s="66"/>
      <c r="EM446" s="94"/>
      <c r="EN446" s="94"/>
      <c r="EO446" s="92"/>
      <c r="EP446" s="93"/>
      <c r="EQ446" s="23"/>
      <c r="ER446" s="94"/>
      <c r="ES446" s="94"/>
      <c r="ET446" s="94"/>
      <c r="EU446" s="94"/>
      <c r="EV446" s="95"/>
      <c r="EW446" s="91"/>
      <c r="EX446" s="95"/>
      <c r="EY446" s="8"/>
      <c r="EZ446" s="96"/>
      <c r="FA446" s="91"/>
      <c r="FB446" s="97"/>
      <c r="FC446" s="8"/>
      <c r="FD446" s="91"/>
      <c r="FE446" s="98"/>
      <c r="FF446" s="5"/>
    </row>
    <row r="447" spans="37:162">
      <c r="AK447" s="89"/>
      <c r="AL447" s="8"/>
      <c r="AM447" s="8"/>
      <c r="AN447" s="8"/>
      <c r="AO447" s="8"/>
      <c r="AP447" s="8"/>
      <c r="AQ447" s="8"/>
      <c r="AR447" s="8"/>
      <c r="AZ447" s="45"/>
      <c r="BA447" s="89"/>
      <c r="BB447" s="89"/>
      <c r="BC447" s="89"/>
      <c r="BD447" s="89"/>
      <c r="BE447" s="89"/>
      <c r="BF447" s="89"/>
      <c r="BG447" s="89"/>
      <c r="BH447" s="89"/>
      <c r="BI447" s="89"/>
      <c r="BJ447" s="89"/>
      <c r="BK447" s="91"/>
      <c r="BL447" s="66"/>
      <c r="BM447" s="94"/>
      <c r="BN447" s="94"/>
      <c r="BO447" s="92"/>
      <c r="BP447" s="93"/>
      <c r="BQ447" s="23"/>
      <c r="BR447" s="94"/>
      <c r="BS447" s="94"/>
      <c r="BT447" s="94"/>
      <c r="BU447" s="94"/>
      <c r="BV447" s="95"/>
      <c r="BW447" s="91"/>
      <c r="BX447" s="95"/>
      <c r="BY447" s="8"/>
      <c r="BZ447" s="96"/>
      <c r="CA447" s="91"/>
      <c r="CB447" s="97"/>
      <c r="CC447" s="8"/>
      <c r="CD447" s="91"/>
      <c r="CE447" s="98"/>
      <c r="CF447" s="5"/>
      <c r="DK447" s="89"/>
      <c r="DL447" s="8"/>
      <c r="DM447" s="8"/>
      <c r="DN447" s="8"/>
      <c r="DO447" s="8"/>
      <c r="DP447" s="8"/>
      <c r="DQ447" s="8"/>
      <c r="DR447" s="8"/>
      <c r="DZ447" s="45"/>
      <c r="EA447" s="89"/>
      <c r="EB447" s="89"/>
      <c r="EC447" s="89"/>
      <c r="ED447" s="89"/>
      <c r="EE447" s="89"/>
      <c r="EF447" s="89"/>
      <c r="EG447" s="89"/>
      <c r="EH447" s="89"/>
      <c r="EI447" s="89"/>
      <c r="EJ447" s="89"/>
      <c r="EK447" s="91"/>
      <c r="EL447" s="66"/>
      <c r="EM447" s="94"/>
      <c r="EN447" s="94"/>
      <c r="EO447" s="92"/>
      <c r="EP447" s="93"/>
      <c r="EQ447" s="23"/>
      <c r="ER447" s="94"/>
      <c r="ES447" s="94"/>
      <c r="ET447" s="94"/>
      <c r="EU447" s="94"/>
      <c r="EV447" s="95"/>
      <c r="EW447" s="91"/>
      <c r="EX447" s="95"/>
      <c r="EY447" s="8"/>
      <c r="EZ447" s="96"/>
      <c r="FA447" s="91"/>
      <c r="FB447" s="97"/>
      <c r="FC447" s="8"/>
      <c r="FD447" s="91"/>
      <c r="FE447" s="98"/>
      <c r="FF447" s="5"/>
    </row>
    <row r="448" spans="37:162">
      <c r="AK448" s="89"/>
      <c r="AL448" s="8"/>
      <c r="AM448" s="8"/>
      <c r="AN448" s="8"/>
      <c r="AO448" s="8"/>
      <c r="AP448" s="8"/>
      <c r="AQ448" s="8"/>
      <c r="AR448" s="8"/>
      <c r="AZ448" s="45"/>
      <c r="BA448" s="89"/>
      <c r="BB448" s="89"/>
      <c r="BC448" s="89"/>
      <c r="BD448" s="89"/>
      <c r="BE448" s="89"/>
      <c r="BF448" s="89"/>
      <c r="BG448" s="89"/>
      <c r="BH448" s="89"/>
      <c r="BI448" s="89"/>
      <c r="BJ448" s="89"/>
      <c r="BK448" s="91"/>
      <c r="BL448" s="66"/>
      <c r="BM448" s="94"/>
      <c r="BN448" s="94"/>
      <c r="BO448" s="92"/>
      <c r="BP448" s="93"/>
      <c r="BQ448" s="23"/>
      <c r="BR448" s="94"/>
      <c r="BS448" s="94"/>
      <c r="BT448" s="94"/>
      <c r="BU448" s="94"/>
      <c r="BV448" s="95"/>
      <c r="BW448" s="91"/>
      <c r="BX448" s="95"/>
      <c r="BY448" s="8"/>
      <c r="BZ448" s="96"/>
      <c r="CA448" s="91"/>
      <c r="CB448" s="97"/>
      <c r="CC448" s="8"/>
      <c r="CD448" s="91"/>
      <c r="CE448" s="98"/>
      <c r="CF448" s="5"/>
      <c r="DK448" s="89"/>
      <c r="DL448" s="8"/>
      <c r="DM448" s="8"/>
      <c r="DN448" s="8"/>
      <c r="DO448" s="8"/>
      <c r="DP448" s="8"/>
      <c r="DQ448" s="8"/>
      <c r="DR448" s="8"/>
      <c r="DZ448" s="45"/>
      <c r="EA448" s="89"/>
      <c r="EB448" s="89"/>
      <c r="EC448" s="89"/>
      <c r="ED448" s="89"/>
      <c r="EE448" s="89"/>
      <c r="EF448" s="89"/>
      <c r="EG448" s="89"/>
      <c r="EH448" s="89"/>
      <c r="EI448" s="89"/>
      <c r="EJ448" s="89"/>
      <c r="EK448" s="91"/>
      <c r="EL448" s="66"/>
      <c r="EM448" s="94"/>
      <c r="EN448" s="94"/>
      <c r="EO448" s="92"/>
      <c r="EP448" s="93"/>
      <c r="EQ448" s="23"/>
      <c r="ER448" s="94"/>
      <c r="ES448" s="94"/>
      <c r="ET448" s="94"/>
      <c r="EU448" s="94"/>
      <c r="EV448" s="95"/>
      <c r="EW448" s="91"/>
      <c r="EX448" s="95"/>
      <c r="EY448" s="8"/>
      <c r="EZ448" s="96"/>
      <c r="FA448" s="91"/>
      <c r="FB448" s="97"/>
      <c r="FC448" s="8"/>
      <c r="FD448" s="91"/>
      <c r="FE448" s="98"/>
      <c r="FF448" s="5"/>
    </row>
    <row r="449" spans="37:162">
      <c r="AK449" s="89"/>
      <c r="AL449" s="8"/>
      <c r="AM449" s="8"/>
      <c r="AN449" s="8"/>
      <c r="AO449" s="8"/>
      <c r="AP449" s="8"/>
      <c r="AQ449" s="8"/>
      <c r="AR449" s="8"/>
      <c r="AZ449" s="45"/>
      <c r="BA449" s="89"/>
      <c r="BB449" s="89"/>
      <c r="BC449" s="89"/>
      <c r="BD449" s="89"/>
      <c r="BE449" s="89"/>
      <c r="BF449" s="89"/>
      <c r="BG449" s="89"/>
      <c r="BH449" s="89"/>
      <c r="BI449" s="89"/>
      <c r="BJ449" s="89"/>
      <c r="BK449" s="91"/>
      <c r="BL449" s="66"/>
      <c r="BM449" s="94"/>
      <c r="BN449" s="94"/>
      <c r="BO449" s="92"/>
      <c r="BP449" s="93"/>
      <c r="BQ449" s="23"/>
      <c r="BR449" s="94"/>
      <c r="BS449" s="94"/>
      <c r="BT449" s="94"/>
      <c r="BU449" s="94"/>
      <c r="BV449" s="95"/>
      <c r="BW449" s="91"/>
      <c r="BX449" s="95"/>
      <c r="BY449" s="8"/>
      <c r="BZ449" s="96"/>
      <c r="CA449" s="91"/>
      <c r="CB449" s="97"/>
      <c r="CC449" s="8"/>
      <c r="CD449" s="91"/>
      <c r="CE449" s="98"/>
      <c r="CF449" s="5"/>
      <c r="DK449" s="89"/>
      <c r="DL449" s="8"/>
      <c r="DM449" s="8"/>
      <c r="DN449" s="8"/>
      <c r="DO449" s="8"/>
      <c r="DP449" s="8"/>
      <c r="DQ449" s="8"/>
      <c r="DR449" s="8"/>
      <c r="DZ449" s="45"/>
      <c r="EA449" s="89"/>
      <c r="EB449" s="89"/>
      <c r="EC449" s="89"/>
      <c r="ED449" s="89"/>
      <c r="EE449" s="89"/>
      <c r="EF449" s="89"/>
      <c r="EG449" s="89"/>
      <c r="EH449" s="89"/>
      <c r="EI449" s="89"/>
      <c r="EJ449" s="89"/>
      <c r="EK449" s="91"/>
      <c r="EL449" s="66"/>
      <c r="EM449" s="94"/>
      <c r="EN449" s="94"/>
      <c r="EO449" s="92"/>
      <c r="EP449" s="93"/>
      <c r="EQ449" s="23"/>
      <c r="ER449" s="94"/>
      <c r="ES449" s="94"/>
      <c r="ET449" s="94"/>
      <c r="EU449" s="94"/>
      <c r="EV449" s="95"/>
      <c r="EW449" s="91"/>
      <c r="EX449" s="95"/>
      <c r="EY449" s="8"/>
      <c r="EZ449" s="96"/>
      <c r="FA449" s="91"/>
      <c r="FB449" s="97"/>
      <c r="FC449" s="8"/>
      <c r="FD449" s="91"/>
      <c r="FE449" s="98"/>
      <c r="FF449" s="5"/>
    </row>
    <row r="450" spans="37:162">
      <c r="AK450" s="89"/>
      <c r="AL450" s="8"/>
      <c r="AM450" s="8"/>
      <c r="AN450" s="8"/>
      <c r="AO450" s="8"/>
      <c r="AP450" s="8"/>
      <c r="AQ450" s="8"/>
      <c r="AR450" s="8"/>
      <c r="AZ450" s="45"/>
      <c r="BA450" s="89"/>
      <c r="BB450" s="89"/>
      <c r="BC450" s="89"/>
      <c r="BD450" s="89"/>
      <c r="BE450" s="89"/>
      <c r="BF450" s="89"/>
      <c r="BG450" s="89"/>
      <c r="BH450" s="89"/>
      <c r="BI450" s="89"/>
      <c r="BJ450" s="89"/>
      <c r="BK450" s="91"/>
      <c r="BL450" s="66"/>
      <c r="BM450" s="94"/>
      <c r="BN450" s="94"/>
      <c r="BO450" s="92"/>
      <c r="BP450" s="93"/>
      <c r="BQ450" s="23"/>
      <c r="BR450" s="94"/>
      <c r="BS450" s="94"/>
      <c r="BT450" s="94"/>
      <c r="BU450" s="94"/>
      <c r="BV450" s="95"/>
      <c r="BW450" s="91"/>
      <c r="BX450" s="95"/>
      <c r="BY450" s="8"/>
      <c r="BZ450" s="96"/>
      <c r="CA450" s="91"/>
      <c r="CB450" s="97"/>
      <c r="CC450" s="8"/>
      <c r="CD450" s="91"/>
      <c r="CE450" s="98"/>
      <c r="CF450" s="5"/>
      <c r="DK450" s="89"/>
      <c r="DL450" s="8"/>
      <c r="DM450" s="8"/>
      <c r="DN450" s="8"/>
      <c r="DO450" s="8"/>
      <c r="DP450" s="8"/>
      <c r="DQ450" s="8"/>
      <c r="DR450" s="8"/>
      <c r="DZ450" s="45"/>
      <c r="EA450" s="89"/>
      <c r="EB450" s="89"/>
      <c r="EC450" s="89"/>
      <c r="ED450" s="89"/>
      <c r="EE450" s="89"/>
      <c r="EF450" s="89"/>
      <c r="EG450" s="89"/>
      <c r="EH450" s="89"/>
      <c r="EI450" s="89"/>
      <c r="EJ450" s="89"/>
      <c r="EK450" s="91"/>
      <c r="EL450" s="66"/>
      <c r="EM450" s="94"/>
      <c r="EN450" s="94"/>
      <c r="EO450" s="92"/>
      <c r="EP450" s="93"/>
      <c r="EQ450" s="23"/>
      <c r="ER450" s="94"/>
      <c r="ES450" s="94"/>
      <c r="ET450" s="94"/>
      <c r="EU450" s="94"/>
      <c r="EV450" s="95"/>
      <c r="EW450" s="91"/>
      <c r="EX450" s="95"/>
      <c r="EY450" s="8"/>
      <c r="EZ450" s="96"/>
      <c r="FA450" s="91"/>
      <c r="FB450" s="97"/>
      <c r="FC450" s="8"/>
      <c r="FD450" s="91"/>
      <c r="FE450" s="98"/>
      <c r="FF450" s="5"/>
    </row>
    <row r="451" spans="37:162">
      <c r="AK451" s="89"/>
      <c r="AL451" s="8"/>
      <c r="AM451" s="8"/>
      <c r="AN451" s="8"/>
      <c r="AO451" s="8"/>
      <c r="AP451" s="8"/>
      <c r="AQ451" s="8"/>
      <c r="AR451" s="8"/>
      <c r="AZ451" s="45"/>
      <c r="BA451" s="89"/>
      <c r="BB451" s="89"/>
      <c r="BC451" s="89"/>
      <c r="BD451" s="89"/>
      <c r="BE451" s="89"/>
      <c r="BF451" s="89"/>
      <c r="BG451" s="89"/>
      <c r="BH451" s="89"/>
      <c r="BI451" s="89"/>
      <c r="BJ451" s="89"/>
      <c r="BK451" s="91"/>
      <c r="BL451" s="66"/>
      <c r="BM451" s="94"/>
      <c r="BN451" s="94"/>
      <c r="BO451" s="92"/>
      <c r="BP451" s="93"/>
      <c r="BQ451" s="23"/>
      <c r="BR451" s="94"/>
      <c r="BS451" s="94"/>
      <c r="BT451" s="94"/>
      <c r="BU451" s="94"/>
      <c r="BV451" s="95"/>
      <c r="BW451" s="91"/>
      <c r="BX451" s="95"/>
      <c r="BY451" s="8"/>
      <c r="BZ451" s="96"/>
      <c r="CA451" s="91"/>
      <c r="CB451" s="97"/>
      <c r="CC451" s="8"/>
      <c r="CD451" s="91"/>
      <c r="CE451" s="98"/>
      <c r="CF451" s="5"/>
      <c r="DK451" s="89"/>
      <c r="DL451" s="8"/>
      <c r="DM451" s="8"/>
      <c r="DN451" s="8"/>
      <c r="DO451" s="8"/>
      <c r="DP451" s="8"/>
      <c r="DQ451" s="8"/>
      <c r="DR451" s="8"/>
      <c r="DZ451" s="45"/>
      <c r="EA451" s="89"/>
      <c r="EB451" s="89"/>
      <c r="EC451" s="89"/>
      <c r="ED451" s="89"/>
      <c r="EE451" s="89"/>
      <c r="EF451" s="89"/>
      <c r="EG451" s="89"/>
      <c r="EH451" s="89"/>
      <c r="EI451" s="89"/>
      <c r="EJ451" s="89"/>
      <c r="EK451" s="91"/>
      <c r="EL451" s="66"/>
      <c r="EM451" s="94"/>
      <c r="EN451" s="94"/>
      <c r="EO451" s="92"/>
      <c r="EP451" s="93"/>
      <c r="EQ451" s="23"/>
      <c r="ER451" s="94"/>
      <c r="ES451" s="94"/>
      <c r="ET451" s="94"/>
      <c r="EU451" s="94"/>
      <c r="EV451" s="95"/>
      <c r="EW451" s="91"/>
      <c r="EX451" s="95"/>
      <c r="EY451" s="8"/>
      <c r="EZ451" s="96"/>
      <c r="FA451" s="91"/>
      <c r="FB451" s="97"/>
      <c r="FC451" s="8"/>
      <c r="FD451" s="91"/>
      <c r="FE451" s="98"/>
      <c r="FF451" s="5"/>
    </row>
    <row r="452" spans="37:162">
      <c r="AK452" s="89"/>
      <c r="AL452" s="8"/>
      <c r="AM452" s="8"/>
      <c r="AN452" s="8"/>
      <c r="AO452" s="8"/>
      <c r="AP452" s="8"/>
      <c r="AQ452" s="8"/>
      <c r="AR452" s="8"/>
      <c r="AZ452" s="45"/>
      <c r="BA452" s="89"/>
      <c r="BB452" s="89"/>
      <c r="BC452" s="89"/>
      <c r="BD452" s="89"/>
      <c r="BE452" s="89"/>
      <c r="BF452" s="89"/>
      <c r="BG452" s="89"/>
      <c r="BH452" s="89"/>
      <c r="BI452" s="89"/>
      <c r="BJ452" s="89"/>
      <c r="BK452" s="91"/>
      <c r="BL452" s="66"/>
      <c r="BM452" s="94"/>
      <c r="BN452" s="94"/>
      <c r="BO452" s="92"/>
      <c r="BP452" s="93"/>
      <c r="BQ452" s="23"/>
      <c r="BR452" s="94"/>
      <c r="BS452" s="94"/>
      <c r="BT452" s="94"/>
      <c r="BU452" s="94"/>
      <c r="BV452" s="95"/>
      <c r="BW452" s="91"/>
      <c r="BX452" s="95"/>
      <c r="BY452" s="8"/>
      <c r="BZ452" s="96"/>
      <c r="CA452" s="91"/>
      <c r="CB452" s="97"/>
      <c r="CC452" s="8"/>
      <c r="CD452" s="91"/>
      <c r="CE452" s="98"/>
      <c r="CF452" s="5"/>
      <c r="DK452" s="89"/>
      <c r="DL452" s="8"/>
      <c r="DM452" s="8"/>
      <c r="DN452" s="8"/>
      <c r="DO452" s="8"/>
      <c r="DP452" s="8"/>
      <c r="DQ452" s="8"/>
      <c r="DR452" s="8"/>
      <c r="DZ452" s="45"/>
      <c r="EA452" s="89"/>
      <c r="EB452" s="89"/>
      <c r="EC452" s="89"/>
      <c r="ED452" s="89"/>
      <c r="EE452" s="89"/>
      <c r="EF452" s="89"/>
      <c r="EG452" s="89"/>
      <c r="EH452" s="89"/>
      <c r="EI452" s="89"/>
      <c r="EJ452" s="89"/>
      <c r="EK452" s="91"/>
      <c r="EL452" s="66"/>
      <c r="EM452" s="94"/>
      <c r="EN452" s="94"/>
      <c r="EO452" s="92"/>
      <c r="EP452" s="93"/>
      <c r="EQ452" s="23"/>
      <c r="ER452" s="94"/>
      <c r="ES452" s="94"/>
      <c r="ET452" s="94"/>
      <c r="EU452" s="94"/>
      <c r="EV452" s="95"/>
      <c r="EW452" s="91"/>
      <c r="EX452" s="95"/>
      <c r="EY452" s="8"/>
      <c r="EZ452" s="96"/>
      <c r="FA452" s="91"/>
      <c r="FB452" s="97"/>
      <c r="FC452" s="8"/>
      <c r="FD452" s="91"/>
      <c r="FE452" s="98"/>
      <c r="FF452" s="5"/>
    </row>
    <row r="453" spans="37:162">
      <c r="AK453" s="89"/>
      <c r="AL453" s="8"/>
      <c r="AM453" s="8"/>
      <c r="AN453" s="8"/>
      <c r="AO453" s="8"/>
      <c r="AP453" s="8"/>
      <c r="AQ453" s="8"/>
      <c r="AR453" s="8"/>
      <c r="AZ453" s="45"/>
      <c r="BA453" s="89"/>
      <c r="BB453" s="89"/>
      <c r="BC453" s="89"/>
      <c r="BD453" s="89"/>
      <c r="BE453" s="89"/>
      <c r="BF453" s="89"/>
      <c r="BG453" s="89"/>
      <c r="BH453" s="89"/>
      <c r="BI453" s="89"/>
      <c r="BJ453" s="89"/>
      <c r="BK453" s="91"/>
      <c r="BL453" s="66"/>
      <c r="BM453" s="94"/>
      <c r="BN453" s="94"/>
      <c r="BO453" s="92"/>
      <c r="BP453" s="93"/>
      <c r="BQ453" s="23"/>
      <c r="BR453" s="94"/>
      <c r="BS453" s="94"/>
      <c r="BT453" s="94"/>
      <c r="BU453" s="94"/>
      <c r="BV453" s="95"/>
      <c r="BW453" s="91"/>
      <c r="BX453" s="95"/>
      <c r="BY453" s="8"/>
      <c r="BZ453" s="96"/>
      <c r="CA453" s="91"/>
      <c r="CB453" s="97"/>
      <c r="CC453" s="8"/>
      <c r="CD453" s="91"/>
      <c r="CE453" s="98"/>
      <c r="CF453" s="5"/>
      <c r="DK453" s="89"/>
      <c r="DL453" s="8"/>
      <c r="DM453" s="8"/>
      <c r="DN453" s="8"/>
      <c r="DO453" s="8"/>
      <c r="DP453" s="8"/>
      <c r="DQ453" s="8"/>
      <c r="DR453" s="8"/>
      <c r="DZ453" s="45"/>
      <c r="EA453" s="89"/>
      <c r="EB453" s="89"/>
      <c r="EC453" s="89"/>
      <c r="ED453" s="89"/>
      <c r="EE453" s="89"/>
      <c r="EF453" s="89"/>
      <c r="EG453" s="89"/>
      <c r="EH453" s="89"/>
      <c r="EI453" s="89"/>
      <c r="EJ453" s="89"/>
      <c r="EK453" s="91"/>
      <c r="EL453" s="66"/>
      <c r="EM453" s="94"/>
      <c r="EN453" s="94"/>
      <c r="EO453" s="92"/>
      <c r="EP453" s="93"/>
      <c r="EQ453" s="23"/>
      <c r="ER453" s="94"/>
      <c r="ES453" s="94"/>
      <c r="ET453" s="94"/>
      <c r="EU453" s="94"/>
      <c r="EV453" s="95"/>
      <c r="EW453" s="91"/>
      <c r="EX453" s="95"/>
      <c r="EY453" s="8"/>
      <c r="EZ453" s="96"/>
      <c r="FA453" s="91"/>
      <c r="FB453" s="97"/>
      <c r="FC453" s="8"/>
      <c r="FD453" s="91"/>
      <c r="FE453" s="98"/>
      <c r="FF453" s="5"/>
    </row>
    <row r="454" spans="37:162">
      <c r="AK454" s="89"/>
      <c r="AL454" s="8"/>
      <c r="AM454" s="8"/>
      <c r="AN454" s="8"/>
      <c r="AO454" s="8"/>
      <c r="AP454" s="8"/>
      <c r="AQ454" s="8"/>
      <c r="AR454" s="8"/>
      <c r="AZ454" s="45"/>
      <c r="BA454" s="89"/>
      <c r="BB454" s="89"/>
      <c r="BC454" s="89"/>
      <c r="BD454" s="89"/>
      <c r="BE454" s="89"/>
      <c r="BF454" s="89"/>
      <c r="BG454" s="89"/>
      <c r="BH454" s="89"/>
      <c r="BI454" s="89"/>
      <c r="BJ454" s="89"/>
      <c r="BK454" s="91"/>
      <c r="BL454" s="66"/>
      <c r="BM454" s="94"/>
      <c r="BN454" s="94"/>
      <c r="BO454" s="92"/>
      <c r="BP454" s="93"/>
      <c r="BQ454" s="23"/>
      <c r="BR454" s="94"/>
      <c r="BS454" s="94"/>
      <c r="BT454" s="94"/>
      <c r="BU454" s="94"/>
      <c r="BV454" s="95"/>
      <c r="BW454" s="91"/>
      <c r="BX454" s="95"/>
      <c r="BY454" s="8"/>
      <c r="BZ454" s="96"/>
      <c r="CA454" s="91"/>
      <c r="CB454" s="97"/>
      <c r="CC454" s="8"/>
      <c r="CD454" s="91"/>
      <c r="CE454" s="98"/>
      <c r="CF454" s="5"/>
      <c r="DK454" s="89"/>
      <c r="DL454" s="8"/>
      <c r="DM454" s="8"/>
      <c r="DN454" s="8"/>
      <c r="DO454" s="8"/>
      <c r="DP454" s="8"/>
      <c r="DQ454" s="8"/>
      <c r="DR454" s="8"/>
      <c r="DZ454" s="45"/>
      <c r="EA454" s="89"/>
      <c r="EB454" s="89"/>
      <c r="EC454" s="89"/>
      <c r="ED454" s="89"/>
      <c r="EE454" s="89"/>
      <c r="EF454" s="89"/>
      <c r="EG454" s="89"/>
      <c r="EH454" s="89"/>
      <c r="EI454" s="89"/>
      <c r="EJ454" s="89"/>
      <c r="EK454" s="91"/>
      <c r="EL454" s="66"/>
      <c r="EM454" s="94"/>
      <c r="EN454" s="94"/>
      <c r="EO454" s="92"/>
      <c r="EP454" s="93"/>
      <c r="EQ454" s="23"/>
      <c r="ER454" s="94"/>
      <c r="ES454" s="94"/>
      <c r="ET454" s="94"/>
      <c r="EU454" s="94"/>
      <c r="EV454" s="95"/>
      <c r="EW454" s="91"/>
      <c r="EX454" s="95"/>
      <c r="EY454" s="8"/>
      <c r="EZ454" s="96"/>
      <c r="FA454" s="91"/>
      <c r="FB454" s="97"/>
      <c r="FC454" s="8"/>
      <c r="FD454" s="91"/>
      <c r="FE454" s="98"/>
      <c r="FF454" s="5"/>
    </row>
    <row r="455" spans="37:162">
      <c r="AK455" s="89"/>
      <c r="AL455" s="8"/>
      <c r="AM455" s="8"/>
      <c r="AN455" s="8"/>
      <c r="AO455" s="8"/>
      <c r="AP455" s="8"/>
      <c r="AQ455" s="8"/>
      <c r="AR455" s="8"/>
      <c r="AZ455" s="45"/>
      <c r="BA455" s="89"/>
      <c r="BB455" s="89"/>
      <c r="BC455" s="89"/>
      <c r="BD455" s="89"/>
      <c r="BE455" s="89"/>
      <c r="BF455" s="89"/>
      <c r="BG455" s="89"/>
      <c r="BH455" s="89"/>
      <c r="BI455" s="89"/>
      <c r="BJ455" s="89"/>
      <c r="BK455" s="91"/>
      <c r="BL455" s="66"/>
      <c r="BM455" s="94"/>
      <c r="BN455" s="94"/>
      <c r="BO455" s="92"/>
      <c r="BP455" s="93"/>
      <c r="BQ455" s="23"/>
      <c r="BR455" s="94"/>
      <c r="BS455" s="94"/>
      <c r="BT455" s="94"/>
      <c r="BU455" s="94"/>
      <c r="BV455" s="95"/>
      <c r="BW455" s="91"/>
      <c r="BX455" s="95"/>
      <c r="BY455" s="8"/>
      <c r="BZ455" s="96"/>
      <c r="CA455" s="91"/>
      <c r="CB455" s="97"/>
      <c r="CC455" s="8"/>
      <c r="CD455" s="91"/>
      <c r="CE455" s="98"/>
      <c r="CF455" s="5"/>
      <c r="DK455" s="89"/>
      <c r="DL455" s="8"/>
      <c r="DM455" s="8"/>
      <c r="DN455" s="8"/>
      <c r="DO455" s="8"/>
      <c r="DP455" s="8"/>
      <c r="DQ455" s="8"/>
      <c r="DR455" s="8"/>
      <c r="DZ455" s="45"/>
      <c r="EA455" s="89"/>
      <c r="EB455" s="89"/>
      <c r="EC455" s="89"/>
      <c r="ED455" s="89"/>
      <c r="EE455" s="89"/>
      <c r="EF455" s="89"/>
      <c r="EG455" s="89"/>
      <c r="EH455" s="89"/>
      <c r="EI455" s="89"/>
      <c r="EJ455" s="89"/>
      <c r="EK455" s="91"/>
      <c r="EL455" s="66"/>
      <c r="EM455" s="94"/>
      <c r="EN455" s="94"/>
      <c r="EO455" s="92"/>
      <c r="EP455" s="93"/>
      <c r="EQ455" s="23"/>
      <c r="ER455" s="94"/>
      <c r="ES455" s="94"/>
      <c r="ET455" s="94"/>
      <c r="EU455" s="94"/>
      <c r="EV455" s="95"/>
      <c r="EW455" s="91"/>
      <c r="EX455" s="95"/>
      <c r="EY455" s="8"/>
      <c r="EZ455" s="96"/>
      <c r="FA455" s="91"/>
      <c r="FB455" s="97"/>
      <c r="FC455" s="8"/>
      <c r="FD455" s="91"/>
      <c r="FE455" s="98"/>
      <c r="FF455" s="5"/>
    </row>
    <row r="456" spans="37:162">
      <c r="AK456" s="89"/>
      <c r="AL456" s="8"/>
      <c r="AM456" s="8"/>
      <c r="AN456" s="8"/>
      <c r="AO456" s="8"/>
      <c r="AP456" s="8"/>
      <c r="AQ456" s="8"/>
      <c r="AR456" s="8"/>
      <c r="AZ456" s="45"/>
      <c r="BA456" s="89"/>
      <c r="BB456" s="89"/>
      <c r="BC456" s="89"/>
      <c r="BD456" s="89"/>
      <c r="BE456" s="89"/>
      <c r="BF456" s="89"/>
      <c r="BG456" s="89"/>
      <c r="BH456" s="89"/>
      <c r="BI456" s="89"/>
      <c r="BJ456" s="89"/>
      <c r="BK456" s="91"/>
      <c r="BL456" s="66"/>
      <c r="BM456" s="94"/>
      <c r="BN456" s="94"/>
      <c r="BO456" s="92"/>
      <c r="BP456" s="93"/>
      <c r="BQ456" s="23"/>
      <c r="BR456" s="94"/>
      <c r="BS456" s="94"/>
      <c r="BT456" s="94"/>
      <c r="BU456" s="94"/>
      <c r="BV456" s="95"/>
      <c r="BW456" s="91"/>
      <c r="BX456" s="95"/>
      <c r="BY456" s="8"/>
      <c r="BZ456" s="96"/>
      <c r="CA456" s="91"/>
      <c r="CB456" s="97"/>
      <c r="CC456" s="8"/>
      <c r="CD456" s="91"/>
      <c r="CE456" s="98"/>
      <c r="CF456" s="5"/>
      <c r="DK456" s="89"/>
      <c r="DL456" s="8"/>
      <c r="DM456" s="8"/>
      <c r="DN456" s="8"/>
      <c r="DO456" s="8"/>
      <c r="DP456" s="8"/>
      <c r="DQ456" s="8"/>
      <c r="DR456" s="8"/>
      <c r="DZ456" s="45"/>
      <c r="EA456" s="89"/>
      <c r="EB456" s="89"/>
      <c r="EC456" s="89"/>
      <c r="ED456" s="89"/>
      <c r="EE456" s="89"/>
      <c r="EF456" s="89"/>
      <c r="EG456" s="89"/>
      <c r="EH456" s="89"/>
      <c r="EI456" s="89"/>
      <c r="EJ456" s="89"/>
      <c r="EK456" s="91"/>
      <c r="EL456" s="66"/>
      <c r="EM456" s="94"/>
      <c r="EN456" s="94"/>
      <c r="EO456" s="92"/>
      <c r="EP456" s="93"/>
      <c r="EQ456" s="23"/>
      <c r="ER456" s="94"/>
      <c r="ES456" s="94"/>
      <c r="ET456" s="94"/>
      <c r="EU456" s="94"/>
      <c r="EV456" s="95"/>
      <c r="EW456" s="91"/>
      <c r="EX456" s="95"/>
      <c r="EY456" s="8"/>
      <c r="EZ456" s="96"/>
      <c r="FA456" s="91"/>
      <c r="FB456" s="97"/>
      <c r="FC456" s="8"/>
      <c r="FD456" s="91"/>
      <c r="FE456" s="98"/>
      <c r="FF456" s="5"/>
    </row>
    <row r="457" spans="37:162">
      <c r="AK457" s="89"/>
      <c r="AL457" s="8"/>
      <c r="AM457" s="8"/>
      <c r="AN457" s="8"/>
      <c r="AO457" s="8"/>
      <c r="AP457" s="8"/>
      <c r="AQ457" s="8"/>
      <c r="AR457" s="8"/>
      <c r="AZ457" s="45"/>
      <c r="BA457" s="89"/>
      <c r="BB457" s="89"/>
      <c r="BC457" s="89"/>
      <c r="BD457" s="89"/>
      <c r="BE457" s="89"/>
      <c r="BF457" s="89"/>
      <c r="BG457" s="89"/>
      <c r="BH457" s="89"/>
      <c r="BI457" s="89"/>
      <c r="BJ457" s="89"/>
      <c r="BK457" s="91"/>
      <c r="BL457" s="66"/>
      <c r="BM457" s="94"/>
      <c r="BN457" s="94"/>
      <c r="BO457" s="92"/>
      <c r="BP457" s="93"/>
      <c r="BQ457" s="23"/>
      <c r="BR457" s="94"/>
      <c r="BS457" s="94"/>
      <c r="BT457" s="94"/>
      <c r="BU457" s="94"/>
      <c r="BV457" s="95"/>
      <c r="BW457" s="91"/>
      <c r="BX457" s="95"/>
      <c r="BY457" s="8"/>
      <c r="BZ457" s="96"/>
      <c r="CA457" s="91"/>
      <c r="CB457" s="97"/>
      <c r="CC457" s="8"/>
      <c r="CD457" s="91"/>
      <c r="CE457" s="98"/>
      <c r="CF457" s="5"/>
      <c r="DK457" s="89"/>
      <c r="DL457" s="8"/>
      <c r="DM457" s="8"/>
      <c r="DN457" s="8"/>
      <c r="DO457" s="8"/>
      <c r="DP457" s="8"/>
      <c r="DQ457" s="8"/>
      <c r="DR457" s="8"/>
      <c r="DZ457" s="45"/>
      <c r="EA457" s="89"/>
      <c r="EB457" s="89"/>
      <c r="EC457" s="89"/>
      <c r="ED457" s="89"/>
      <c r="EE457" s="89"/>
      <c r="EF457" s="89"/>
      <c r="EG457" s="89"/>
      <c r="EH457" s="89"/>
      <c r="EI457" s="89"/>
      <c r="EJ457" s="89"/>
      <c r="EK457" s="91"/>
      <c r="EL457" s="66"/>
      <c r="EM457" s="94"/>
      <c r="EN457" s="94"/>
      <c r="EO457" s="92"/>
      <c r="EP457" s="93"/>
      <c r="EQ457" s="23"/>
      <c r="ER457" s="94"/>
      <c r="ES457" s="94"/>
      <c r="ET457" s="94"/>
      <c r="EU457" s="94"/>
      <c r="EV457" s="95"/>
      <c r="EW457" s="91"/>
      <c r="EX457" s="95"/>
      <c r="EY457" s="8"/>
      <c r="EZ457" s="96"/>
      <c r="FA457" s="91"/>
      <c r="FB457" s="97"/>
      <c r="FC457" s="8"/>
      <c r="FD457" s="91"/>
      <c r="FE457" s="98"/>
      <c r="FF457" s="5"/>
    </row>
    <row r="458" spans="37:162">
      <c r="AK458" s="89"/>
      <c r="AL458" s="8"/>
      <c r="AM458" s="8"/>
      <c r="AN458" s="8"/>
      <c r="AO458" s="8"/>
      <c r="AP458" s="8"/>
      <c r="AQ458" s="8"/>
      <c r="AR458" s="8"/>
      <c r="AZ458" s="45"/>
      <c r="BA458" s="89"/>
      <c r="BB458" s="89"/>
      <c r="BC458" s="89"/>
      <c r="BD458" s="89"/>
      <c r="BE458" s="89"/>
      <c r="BF458" s="89"/>
      <c r="BG458" s="89"/>
      <c r="BH458" s="89"/>
      <c r="BI458" s="89"/>
      <c r="BJ458" s="89"/>
      <c r="BK458" s="91"/>
      <c r="BL458" s="66"/>
      <c r="BM458" s="94"/>
      <c r="BN458" s="94"/>
      <c r="BO458" s="92"/>
      <c r="BP458" s="93"/>
      <c r="BQ458" s="23"/>
      <c r="BR458" s="94"/>
      <c r="BS458" s="94"/>
      <c r="BT458" s="94"/>
      <c r="BU458" s="94"/>
      <c r="BV458" s="95"/>
      <c r="BW458" s="91"/>
      <c r="BX458" s="95"/>
      <c r="BY458" s="8"/>
      <c r="BZ458" s="96"/>
      <c r="CA458" s="91"/>
      <c r="CB458" s="97"/>
      <c r="CC458" s="8"/>
      <c r="CD458" s="91"/>
      <c r="CE458" s="98"/>
      <c r="CF458" s="5"/>
      <c r="DK458" s="89"/>
      <c r="DL458" s="8"/>
      <c r="DM458" s="8"/>
      <c r="DN458" s="8"/>
      <c r="DO458" s="8"/>
      <c r="DP458" s="8"/>
      <c r="DQ458" s="8"/>
      <c r="DR458" s="8"/>
      <c r="DZ458" s="45"/>
      <c r="EA458" s="89"/>
      <c r="EB458" s="89"/>
      <c r="EC458" s="89"/>
      <c r="ED458" s="89"/>
      <c r="EE458" s="89"/>
      <c r="EF458" s="89"/>
      <c r="EG458" s="89"/>
      <c r="EH458" s="89"/>
      <c r="EI458" s="89"/>
      <c r="EJ458" s="89"/>
      <c r="EK458" s="91"/>
      <c r="EL458" s="66"/>
      <c r="EM458" s="94"/>
      <c r="EN458" s="94"/>
      <c r="EO458" s="92"/>
      <c r="EP458" s="93"/>
      <c r="EQ458" s="23"/>
      <c r="ER458" s="94"/>
      <c r="ES458" s="94"/>
      <c r="ET458" s="94"/>
      <c r="EU458" s="94"/>
      <c r="EV458" s="95"/>
      <c r="EW458" s="91"/>
      <c r="EX458" s="95"/>
      <c r="EY458" s="8"/>
      <c r="EZ458" s="96"/>
      <c r="FA458" s="91"/>
      <c r="FB458" s="97"/>
      <c r="FC458" s="8"/>
      <c r="FD458" s="91"/>
      <c r="FE458" s="98"/>
      <c r="FF458" s="5"/>
    </row>
    <row r="459" spans="37:162">
      <c r="AK459" s="89"/>
      <c r="AL459" s="8"/>
      <c r="AM459" s="8"/>
      <c r="AN459" s="8"/>
      <c r="AO459" s="8"/>
      <c r="AP459" s="8"/>
      <c r="AQ459" s="8"/>
      <c r="AR459" s="8"/>
      <c r="AZ459" s="45"/>
      <c r="BA459" s="89"/>
      <c r="BB459" s="89"/>
      <c r="BC459" s="89"/>
      <c r="BD459" s="89"/>
      <c r="BE459" s="89"/>
      <c r="BF459" s="89"/>
      <c r="BG459" s="89"/>
      <c r="BH459" s="89"/>
      <c r="BI459" s="89"/>
      <c r="BJ459" s="89"/>
      <c r="BK459" s="91"/>
      <c r="BL459" s="66"/>
      <c r="BM459" s="94"/>
      <c r="BN459" s="94"/>
      <c r="BO459" s="92"/>
      <c r="BP459" s="93"/>
      <c r="BQ459" s="23"/>
      <c r="BR459" s="94"/>
      <c r="BS459" s="94"/>
      <c r="BT459" s="94"/>
      <c r="BU459" s="94"/>
      <c r="BV459" s="95"/>
      <c r="BW459" s="91"/>
      <c r="BX459" s="95"/>
      <c r="BY459" s="8"/>
      <c r="BZ459" s="96"/>
      <c r="CA459" s="91"/>
      <c r="CB459" s="97"/>
      <c r="CC459" s="8"/>
      <c r="CD459" s="91"/>
      <c r="CE459" s="98"/>
      <c r="CF459" s="5"/>
      <c r="DK459" s="89"/>
      <c r="DL459" s="8"/>
      <c r="DM459" s="8"/>
      <c r="DN459" s="8"/>
      <c r="DO459" s="8"/>
      <c r="DP459" s="8"/>
      <c r="DQ459" s="8"/>
      <c r="DR459" s="8"/>
      <c r="DZ459" s="45"/>
      <c r="EA459" s="89"/>
      <c r="EB459" s="89"/>
      <c r="EC459" s="89"/>
      <c r="ED459" s="89"/>
      <c r="EE459" s="89"/>
      <c r="EF459" s="89"/>
      <c r="EG459" s="89"/>
      <c r="EH459" s="89"/>
      <c r="EI459" s="89"/>
      <c r="EJ459" s="89"/>
      <c r="EK459" s="91"/>
      <c r="EL459" s="66"/>
      <c r="EM459" s="94"/>
      <c r="EN459" s="94"/>
      <c r="EO459" s="92"/>
      <c r="EP459" s="93"/>
      <c r="EQ459" s="23"/>
      <c r="ER459" s="94"/>
      <c r="ES459" s="94"/>
      <c r="ET459" s="94"/>
      <c r="EU459" s="94"/>
      <c r="EV459" s="95"/>
      <c r="EW459" s="91"/>
      <c r="EX459" s="95"/>
      <c r="EY459" s="8"/>
      <c r="EZ459" s="96"/>
      <c r="FA459" s="91"/>
      <c r="FB459" s="97"/>
      <c r="FC459" s="8"/>
      <c r="FD459" s="91"/>
      <c r="FE459" s="98"/>
      <c r="FF459" s="5"/>
    </row>
    <row r="460" spans="37:162">
      <c r="AK460" s="89"/>
      <c r="AL460" s="8"/>
      <c r="AM460" s="8"/>
      <c r="AN460" s="8"/>
      <c r="AO460" s="8"/>
      <c r="AP460" s="8"/>
      <c r="AQ460" s="8"/>
      <c r="AR460" s="8"/>
      <c r="AZ460" s="45"/>
      <c r="BA460" s="89"/>
      <c r="BB460" s="89"/>
      <c r="BC460" s="89"/>
      <c r="BD460" s="89"/>
      <c r="BE460" s="89"/>
      <c r="BF460" s="89"/>
      <c r="BG460" s="89"/>
      <c r="BH460" s="89"/>
      <c r="BI460" s="89"/>
      <c r="BJ460" s="89"/>
      <c r="BK460" s="91"/>
      <c r="BL460" s="66"/>
      <c r="BM460" s="94"/>
      <c r="BN460" s="94"/>
      <c r="BO460" s="92"/>
      <c r="BP460" s="93"/>
      <c r="BQ460" s="23"/>
      <c r="BR460" s="94"/>
      <c r="BS460" s="94"/>
      <c r="BT460" s="94"/>
      <c r="BU460" s="94"/>
      <c r="BV460" s="95"/>
      <c r="BW460" s="91"/>
      <c r="BX460" s="95"/>
      <c r="BY460" s="8"/>
      <c r="BZ460" s="96"/>
      <c r="CA460" s="91"/>
      <c r="CB460" s="97"/>
      <c r="CC460" s="8"/>
      <c r="CD460" s="91"/>
      <c r="CE460" s="98"/>
      <c r="CF460" s="5"/>
      <c r="DK460" s="89"/>
      <c r="DL460" s="8"/>
      <c r="DM460" s="8"/>
      <c r="DN460" s="8"/>
      <c r="DO460" s="8"/>
      <c r="DP460" s="8"/>
      <c r="DQ460" s="8"/>
      <c r="DR460" s="8"/>
      <c r="DZ460" s="45"/>
      <c r="EA460" s="89"/>
      <c r="EB460" s="89"/>
      <c r="EC460" s="89"/>
      <c r="ED460" s="89"/>
      <c r="EE460" s="89"/>
      <c r="EF460" s="89"/>
      <c r="EG460" s="89"/>
      <c r="EH460" s="89"/>
      <c r="EI460" s="89"/>
      <c r="EJ460" s="89"/>
      <c r="EK460" s="91"/>
      <c r="EL460" s="66"/>
      <c r="EM460" s="94"/>
      <c r="EN460" s="94"/>
      <c r="EO460" s="92"/>
      <c r="EP460" s="93"/>
      <c r="EQ460" s="23"/>
      <c r="ER460" s="94"/>
      <c r="ES460" s="94"/>
      <c r="ET460" s="94"/>
      <c r="EU460" s="94"/>
      <c r="EV460" s="95"/>
      <c r="EW460" s="91"/>
      <c r="EX460" s="95"/>
      <c r="EY460" s="8"/>
      <c r="EZ460" s="96"/>
      <c r="FA460" s="91"/>
      <c r="FB460" s="97"/>
      <c r="FC460" s="8"/>
      <c r="FD460" s="91"/>
      <c r="FE460" s="98"/>
      <c r="FF460" s="5"/>
    </row>
    <row r="461" spans="37:162">
      <c r="AK461" s="89"/>
      <c r="AL461" s="8"/>
      <c r="AM461" s="8"/>
      <c r="AN461" s="8"/>
      <c r="AO461" s="8"/>
      <c r="AP461" s="8"/>
      <c r="AQ461" s="8"/>
      <c r="AR461" s="8"/>
      <c r="AZ461" s="45"/>
      <c r="BA461" s="89"/>
      <c r="BB461" s="89"/>
      <c r="BC461" s="89"/>
      <c r="BD461" s="89"/>
      <c r="BE461" s="89"/>
      <c r="BF461" s="89"/>
      <c r="BG461" s="89"/>
      <c r="BH461" s="89"/>
      <c r="BI461" s="89"/>
      <c r="BJ461" s="89"/>
      <c r="BK461" s="91"/>
      <c r="BL461" s="66"/>
      <c r="BM461" s="94"/>
      <c r="BN461" s="94"/>
      <c r="BO461" s="92"/>
      <c r="BP461" s="93"/>
      <c r="BQ461" s="23"/>
      <c r="BR461" s="94"/>
      <c r="BS461" s="94"/>
      <c r="BT461" s="94"/>
      <c r="BU461" s="94"/>
      <c r="BV461" s="95"/>
      <c r="BW461" s="91"/>
      <c r="BX461" s="95"/>
      <c r="BY461" s="8"/>
      <c r="BZ461" s="96"/>
      <c r="CA461" s="91"/>
      <c r="CB461" s="97"/>
      <c r="CC461" s="8"/>
      <c r="CD461" s="91"/>
      <c r="CE461" s="98"/>
      <c r="CF461" s="5"/>
      <c r="DK461" s="89"/>
      <c r="DL461" s="8"/>
      <c r="DM461" s="8"/>
      <c r="DN461" s="8"/>
      <c r="DO461" s="8"/>
      <c r="DP461" s="8"/>
      <c r="DQ461" s="8"/>
      <c r="DR461" s="8"/>
      <c r="DZ461" s="45"/>
      <c r="EA461" s="89"/>
      <c r="EB461" s="89"/>
      <c r="EC461" s="89"/>
      <c r="ED461" s="89"/>
      <c r="EE461" s="89"/>
      <c r="EF461" s="89"/>
      <c r="EG461" s="89"/>
      <c r="EH461" s="89"/>
      <c r="EI461" s="89"/>
      <c r="EJ461" s="89"/>
      <c r="EK461" s="91"/>
      <c r="EL461" s="66"/>
      <c r="EM461" s="94"/>
      <c r="EN461" s="94"/>
      <c r="EO461" s="92"/>
      <c r="EP461" s="93"/>
      <c r="EQ461" s="23"/>
      <c r="ER461" s="94"/>
      <c r="ES461" s="94"/>
      <c r="ET461" s="94"/>
      <c r="EU461" s="94"/>
      <c r="EV461" s="95"/>
      <c r="EW461" s="91"/>
      <c r="EX461" s="95"/>
      <c r="EY461" s="8"/>
      <c r="EZ461" s="96"/>
      <c r="FA461" s="91"/>
      <c r="FB461" s="97"/>
      <c r="FC461" s="8"/>
      <c r="FD461" s="91"/>
      <c r="FE461" s="98"/>
      <c r="FF461" s="5"/>
    </row>
    <row r="462" spans="37:162">
      <c r="AK462" s="89"/>
      <c r="AL462" s="8"/>
      <c r="AM462" s="8"/>
      <c r="AN462" s="8"/>
      <c r="AO462" s="8"/>
      <c r="AP462" s="8"/>
      <c r="AQ462" s="8"/>
      <c r="AR462" s="8"/>
      <c r="AZ462" s="45"/>
      <c r="BA462" s="89"/>
      <c r="BB462" s="89"/>
      <c r="BC462" s="89"/>
      <c r="BD462" s="89"/>
      <c r="BE462" s="89"/>
      <c r="BF462" s="89"/>
      <c r="BG462" s="89"/>
      <c r="BH462" s="89"/>
      <c r="BI462" s="89"/>
      <c r="BJ462" s="89"/>
      <c r="BK462" s="91"/>
      <c r="BL462" s="66"/>
      <c r="BM462" s="94"/>
      <c r="BN462" s="94"/>
      <c r="BO462" s="92"/>
      <c r="BP462" s="93"/>
      <c r="BQ462" s="23"/>
      <c r="BR462" s="94"/>
      <c r="BS462" s="94"/>
      <c r="BT462" s="94"/>
      <c r="BU462" s="94"/>
      <c r="BV462" s="95"/>
      <c r="BW462" s="91"/>
      <c r="BX462" s="95"/>
      <c r="BY462" s="8"/>
      <c r="BZ462" s="96"/>
      <c r="CA462" s="91"/>
      <c r="CB462" s="97"/>
      <c r="CC462" s="8"/>
      <c r="CD462" s="91"/>
      <c r="CE462" s="98"/>
      <c r="CF462" s="5"/>
      <c r="DK462" s="89"/>
      <c r="DL462" s="8"/>
      <c r="DM462" s="8"/>
      <c r="DN462" s="8"/>
      <c r="DO462" s="8"/>
      <c r="DP462" s="8"/>
      <c r="DQ462" s="8"/>
      <c r="DR462" s="8"/>
      <c r="DZ462" s="45"/>
      <c r="EA462" s="89"/>
      <c r="EB462" s="89"/>
      <c r="EC462" s="89"/>
      <c r="ED462" s="89"/>
      <c r="EE462" s="89"/>
      <c r="EF462" s="89"/>
      <c r="EG462" s="89"/>
      <c r="EH462" s="89"/>
      <c r="EI462" s="89"/>
      <c r="EJ462" s="89"/>
      <c r="EK462" s="91"/>
      <c r="EL462" s="66"/>
      <c r="EM462" s="94"/>
      <c r="EN462" s="94"/>
      <c r="EO462" s="92"/>
      <c r="EP462" s="93"/>
      <c r="EQ462" s="23"/>
      <c r="ER462" s="94"/>
      <c r="ES462" s="94"/>
      <c r="ET462" s="94"/>
      <c r="EU462" s="94"/>
      <c r="EV462" s="95"/>
      <c r="EW462" s="91"/>
      <c r="EX462" s="95"/>
      <c r="EY462" s="8"/>
      <c r="EZ462" s="96"/>
      <c r="FA462" s="91"/>
      <c r="FB462" s="97"/>
      <c r="FC462" s="8"/>
      <c r="FD462" s="91"/>
      <c r="FE462" s="98"/>
      <c r="FF462" s="5"/>
    </row>
    <row r="463" spans="37:162">
      <c r="AK463" s="89"/>
      <c r="AL463" s="8"/>
      <c r="AM463" s="8"/>
      <c r="AN463" s="8"/>
      <c r="AO463" s="8"/>
      <c r="AP463" s="8"/>
      <c r="AQ463" s="8"/>
      <c r="AR463" s="8"/>
      <c r="AZ463" s="45"/>
      <c r="BA463" s="89"/>
      <c r="BB463" s="89"/>
      <c r="BC463" s="89"/>
      <c r="BD463" s="89"/>
      <c r="BE463" s="89"/>
      <c r="BF463" s="89"/>
      <c r="BG463" s="89"/>
      <c r="BH463" s="89"/>
      <c r="BI463" s="89"/>
      <c r="BJ463" s="89"/>
      <c r="BK463" s="91"/>
      <c r="BL463" s="66"/>
      <c r="BM463" s="94"/>
      <c r="BN463" s="94"/>
      <c r="BO463" s="92"/>
      <c r="BP463" s="93"/>
      <c r="BQ463" s="23"/>
      <c r="BR463" s="94"/>
      <c r="BS463" s="94"/>
      <c r="BT463" s="94"/>
      <c r="BU463" s="94"/>
      <c r="BV463" s="95"/>
      <c r="BW463" s="91"/>
      <c r="BX463" s="95"/>
      <c r="BY463" s="8"/>
      <c r="BZ463" s="96"/>
      <c r="CA463" s="91"/>
      <c r="CB463" s="97"/>
      <c r="CC463" s="8"/>
      <c r="CD463" s="91"/>
      <c r="CE463" s="98"/>
      <c r="CF463" s="5"/>
      <c r="DK463" s="89"/>
      <c r="DL463" s="8"/>
      <c r="DM463" s="8"/>
      <c r="DN463" s="8"/>
      <c r="DO463" s="8"/>
      <c r="DP463" s="8"/>
      <c r="DQ463" s="8"/>
      <c r="DR463" s="8"/>
      <c r="DZ463" s="45"/>
      <c r="EA463" s="89"/>
      <c r="EB463" s="89"/>
      <c r="EC463" s="89"/>
      <c r="ED463" s="89"/>
      <c r="EE463" s="89"/>
      <c r="EF463" s="89"/>
      <c r="EG463" s="89"/>
      <c r="EH463" s="89"/>
      <c r="EI463" s="89"/>
      <c r="EJ463" s="89"/>
      <c r="EK463" s="91"/>
      <c r="EL463" s="66"/>
      <c r="EM463" s="94"/>
      <c r="EN463" s="94"/>
      <c r="EO463" s="92"/>
      <c r="EP463" s="93"/>
      <c r="EQ463" s="23"/>
      <c r="ER463" s="94"/>
      <c r="ES463" s="94"/>
      <c r="ET463" s="94"/>
      <c r="EU463" s="94"/>
      <c r="EV463" s="95"/>
      <c r="EW463" s="91"/>
      <c r="EX463" s="95"/>
      <c r="EY463" s="8"/>
      <c r="EZ463" s="96"/>
      <c r="FA463" s="91"/>
      <c r="FB463" s="97"/>
      <c r="FC463" s="8"/>
      <c r="FD463" s="91"/>
      <c r="FE463" s="98"/>
      <c r="FF463" s="5"/>
    </row>
    <row r="464" spans="37:162">
      <c r="AK464" s="89"/>
      <c r="AL464" s="8"/>
      <c r="AM464" s="8"/>
      <c r="AN464" s="8"/>
      <c r="AO464" s="8"/>
      <c r="AP464" s="8"/>
      <c r="AQ464" s="8"/>
      <c r="AR464" s="8"/>
      <c r="AZ464" s="45"/>
      <c r="BA464" s="89"/>
      <c r="BB464" s="89"/>
      <c r="BC464" s="89"/>
      <c r="BD464" s="89"/>
      <c r="BE464" s="89"/>
      <c r="BF464" s="89"/>
      <c r="BG464" s="89"/>
      <c r="BH464" s="89"/>
      <c r="BI464" s="89"/>
      <c r="BJ464" s="89"/>
      <c r="BK464" s="91"/>
      <c r="BL464" s="66"/>
      <c r="BM464" s="94"/>
      <c r="BN464" s="94"/>
      <c r="BO464" s="92"/>
      <c r="BP464" s="93"/>
      <c r="BQ464" s="23"/>
      <c r="BR464" s="94"/>
      <c r="BS464" s="94"/>
      <c r="BT464" s="94"/>
      <c r="BU464" s="94"/>
      <c r="BV464" s="95"/>
      <c r="BW464" s="91"/>
      <c r="BX464" s="95"/>
      <c r="BY464" s="8"/>
      <c r="BZ464" s="96"/>
      <c r="CA464" s="91"/>
      <c r="CB464" s="97"/>
      <c r="CC464" s="8"/>
      <c r="CD464" s="91"/>
      <c r="CE464" s="98"/>
      <c r="CF464" s="5"/>
      <c r="DK464" s="89"/>
      <c r="DL464" s="8"/>
      <c r="DM464" s="8"/>
      <c r="DN464" s="8"/>
      <c r="DO464" s="8"/>
      <c r="DP464" s="8"/>
      <c r="DQ464" s="8"/>
      <c r="DR464" s="8"/>
      <c r="DZ464" s="45"/>
      <c r="EA464" s="89"/>
      <c r="EB464" s="89"/>
      <c r="EC464" s="89"/>
      <c r="ED464" s="89"/>
      <c r="EE464" s="89"/>
      <c r="EF464" s="89"/>
      <c r="EG464" s="89"/>
      <c r="EH464" s="89"/>
      <c r="EI464" s="89"/>
      <c r="EJ464" s="89"/>
      <c r="EK464" s="91"/>
      <c r="EL464" s="66"/>
      <c r="EM464" s="94"/>
      <c r="EN464" s="94"/>
      <c r="EO464" s="92"/>
      <c r="EP464" s="93"/>
      <c r="EQ464" s="23"/>
      <c r="ER464" s="94"/>
      <c r="ES464" s="94"/>
      <c r="ET464" s="94"/>
      <c r="EU464" s="94"/>
      <c r="EV464" s="95"/>
      <c r="EW464" s="91"/>
      <c r="EX464" s="95"/>
      <c r="EY464" s="8"/>
      <c r="EZ464" s="96"/>
      <c r="FA464" s="91"/>
      <c r="FB464" s="97"/>
      <c r="FC464" s="8"/>
      <c r="FD464" s="91"/>
      <c r="FE464" s="98"/>
      <c r="FF464" s="5"/>
    </row>
    <row r="465" spans="37:162">
      <c r="AK465" s="89"/>
      <c r="AL465" s="8"/>
      <c r="AM465" s="8"/>
      <c r="AN465" s="8"/>
      <c r="AO465" s="8"/>
      <c r="AP465" s="8"/>
      <c r="AQ465" s="8"/>
      <c r="AR465" s="8"/>
      <c r="AZ465" s="45"/>
      <c r="BA465" s="89"/>
      <c r="BB465" s="89"/>
      <c r="BC465" s="89"/>
      <c r="BD465" s="89"/>
      <c r="BE465" s="89"/>
      <c r="BF465" s="89"/>
      <c r="BG465" s="89"/>
      <c r="BH465" s="89"/>
      <c r="BI465" s="89"/>
      <c r="BJ465" s="89"/>
      <c r="BK465" s="91"/>
      <c r="BL465" s="66"/>
      <c r="BM465" s="94"/>
      <c r="BN465" s="94"/>
      <c r="BO465" s="92"/>
      <c r="BP465" s="93"/>
      <c r="BQ465" s="23"/>
      <c r="BR465" s="94"/>
      <c r="BS465" s="94"/>
      <c r="BT465" s="94"/>
      <c r="BU465" s="94"/>
      <c r="BV465" s="95"/>
      <c r="BW465" s="91"/>
      <c r="BX465" s="95"/>
      <c r="BY465" s="8"/>
      <c r="BZ465" s="96"/>
      <c r="CA465" s="91"/>
      <c r="CB465" s="97"/>
      <c r="CC465" s="8"/>
      <c r="CD465" s="91"/>
      <c r="CE465" s="98"/>
      <c r="CF465" s="5"/>
      <c r="DK465" s="89"/>
      <c r="DL465" s="8"/>
      <c r="DM465" s="8"/>
      <c r="DN465" s="8"/>
      <c r="DO465" s="8"/>
      <c r="DP465" s="8"/>
      <c r="DQ465" s="8"/>
      <c r="DR465" s="8"/>
      <c r="DZ465" s="45"/>
      <c r="EA465" s="89"/>
      <c r="EB465" s="89"/>
      <c r="EC465" s="89"/>
      <c r="ED465" s="89"/>
      <c r="EE465" s="89"/>
      <c r="EF465" s="89"/>
      <c r="EG465" s="89"/>
      <c r="EH465" s="89"/>
      <c r="EI465" s="89"/>
      <c r="EJ465" s="89"/>
      <c r="EK465" s="91"/>
      <c r="EL465" s="66"/>
      <c r="EM465" s="94"/>
      <c r="EN465" s="94"/>
      <c r="EO465" s="92"/>
      <c r="EP465" s="93"/>
      <c r="EQ465" s="23"/>
      <c r="ER465" s="94"/>
      <c r="ES465" s="94"/>
      <c r="ET465" s="94"/>
      <c r="EU465" s="94"/>
      <c r="EV465" s="95"/>
      <c r="EW465" s="91"/>
      <c r="EX465" s="95"/>
      <c r="EY465" s="8"/>
      <c r="EZ465" s="96"/>
      <c r="FA465" s="91"/>
      <c r="FB465" s="97"/>
      <c r="FC465" s="8"/>
      <c r="FD465" s="91"/>
      <c r="FE465" s="98"/>
      <c r="FF465" s="5"/>
    </row>
    <row r="466" spans="37:162">
      <c r="AK466" s="89"/>
      <c r="AL466" s="8"/>
      <c r="AM466" s="8"/>
      <c r="AN466" s="8"/>
      <c r="AO466" s="8"/>
      <c r="AP466" s="8"/>
      <c r="AQ466" s="8"/>
      <c r="AR466" s="8"/>
      <c r="AZ466" s="45"/>
      <c r="BA466" s="89"/>
      <c r="BB466" s="89"/>
      <c r="BC466" s="89"/>
      <c r="BD466" s="89"/>
      <c r="BE466" s="89"/>
      <c r="BF466" s="89"/>
      <c r="BG466" s="89"/>
      <c r="BH466" s="89"/>
      <c r="BI466" s="89"/>
      <c r="BJ466" s="89"/>
      <c r="BK466" s="91"/>
      <c r="BL466" s="66"/>
      <c r="BM466" s="94"/>
      <c r="BN466" s="94"/>
      <c r="BO466" s="92"/>
      <c r="BP466" s="93"/>
      <c r="BQ466" s="23"/>
      <c r="BR466" s="94"/>
      <c r="BS466" s="94"/>
      <c r="BT466" s="94"/>
      <c r="BU466" s="94"/>
      <c r="BV466" s="95"/>
      <c r="BW466" s="91"/>
      <c r="BX466" s="95"/>
      <c r="BY466" s="8"/>
      <c r="BZ466" s="96"/>
      <c r="CA466" s="91"/>
      <c r="CB466" s="97"/>
      <c r="CC466" s="8"/>
      <c r="CD466" s="91"/>
      <c r="CE466" s="98"/>
      <c r="CF466" s="5"/>
      <c r="DK466" s="89"/>
      <c r="DL466" s="8"/>
      <c r="DM466" s="8"/>
      <c r="DN466" s="8"/>
      <c r="DO466" s="8"/>
      <c r="DP466" s="8"/>
      <c r="DQ466" s="8"/>
      <c r="DR466" s="8"/>
      <c r="DZ466" s="45"/>
      <c r="EA466" s="89"/>
      <c r="EB466" s="89"/>
      <c r="EC466" s="89"/>
      <c r="ED466" s="89"/>
      <c r="EE466" s="89"/>
      <c r="EF466" s="89"/>
      <c r="EG466" s="89"/>
      <c r="EH466" s="89"/>
      <c r="EI466" s="89"/>
      <c r="EJ466" s="89"/>
      <c r="EK466" s="91"/>
      <c r="EL466" s="66"/>
      <c r="EM466" s="94"/>
      <c r="EN466" s="94"/>
      <c r="EO466" s="92"/>
      <c r="EP466" s="93"/>
      <c r="EQ466" s="23"/>
      <c r="ER466" s="94"/>
      <c r="ES466" s="94"/>
      <c r="ET466" s="94"/>
      <c r="EU466" s="94"/>
      <c r="EV466" s="95"/>
      <c r="EW466" s="91"/>
      <c r="EX466" s="95"/>
      <c r="EY466" s="8"/>
      <c r="EZ466" s="96"/>
      <c r="FA466" s="91"/>
      <c r="FB466" s="97"/>
      <c r="FC466" s="8"/>
      <c r="FD466" s="91"/>
      <c r="FE466" s="98"/>
      <c r="FF466" s="5"/>
    </row>
    <row r="467" spans="37:162">
      <c r="AK467" s="89"/>
      <c r="AL467" s="8"/>
      <c r="AM467" s="8"/>
      <c r="AN467" s="8"/>
      <c r="AO467" s="8"/>
      <c r="AP467" s="8"/>
      <c r="AQ467" s="8"/>
      <c r="AR467" s="8"/>
      <c r="AZ467" s="45"/>
      <c r="BA467" s="89"/>
      <c r="BB467" s="89"/>
      <c r="BC467" s="89"/>
      <c r="BD467" s="89"/>
      <c r="BE467" s="89"/>
      <c r="BF467" s="89"/>
      <c r="BG467" s="89"/>
      <c r="BH467" s="89"/>
      <c r="BI467" s="89"/>
      <c r="BJ467" s="89"/>
      <c r="BK467" s="91"/>
      <c r="BL467" s="66"/>
      <c r="BM467" s="94"/>
      <c r="BN467" s="94"/>
      <c r="BO467" s="92"/>
      <c r="BP467" s="93"/>
      <c r="BQ467" s="23"/>
      <c r="BR467" s="94"/>
      <c r="BS467" s="94"/>
      <c r="BT467" s="94"/>
      <c r="BU467" s="94"/>
      <c r="BV467" s="95"/>
      <c r="BW467" s="91"/>
      <c r="BX467" s="95"/>
      <c r="BY467" s="8"/>
      <c r="BZ467" s="96"/>
      <c r="CA467" s="91"/>
      <c r="CB467" s="97"/>
      <c r="CC467" s="8"/>
      <c r="CD467" s="91"/>
      <c r="CE467" s="98"/>
      <c r="CF467" s="5"/>
      <c r="DK467" s="89"/>
      <c r="DL467" s="8"/>
      <c r="DM467" s="8"/>
      <c r="DN467" s="8"/>
      <c r="DO467" s="8"/>
      <c r="DP467" s="8"/>
      <c r="DQ467" s="8"/>
      <c r="DR467" s="8"/>
      <c r="DZ467" s="45"/>
      <c r="EA467" s="89"/>
      <c r="EB467" s="89"/>
      <c r="EC467" s="89"/>
      <c r="ED467" s="89"/>
      <c r="EE467" s="89"/>
      <c r="EF467" s="89"/>
      <c r="EG467" s="89"/>
      <c r="EH467" s="89"/>
      <c r="EI467" s="89"/>
      <c r="EJ467" s="89"/>
      <c r="EK467" s="91"/>
      <c r="EL467" s="66"/>
      <c r="EM467" s="94"/>
      <c r="EN467" s="94"/>
      <c r="EO467" s="92"/>
      <c r="EP467" s="93"/>
      <c r="EQ467" s="23"/>
      <c r="ER467" s="94"/>
      <c r="ES467" s="94"/>
      <c r="ET467" s="94"/>
      <c r="EU467" s="94"/>
      <c r="EV467" s="95"/>
      <c r="EW467" s="91"/>
      <c r="EX467" s="95"/>
      <c r="EY467" s="8"/>
      <c r="EZ467" s="96"/>
      <c r="FA467" s="91"/>
      <c r="FB467" s="97"/>
      <c r="FC467" s="8"/>
      <c r="FD467" s="91"/>
      <c r="FE467" s="98"/>
      <c r="FF467" s="5"/>
    </row>
    <row r="468" spans="37:162">
      <c r="AK468" s="89"/>
      <c r="AL468" s="8"/>
      <c r="AM468" s="8"/>
      <c r="AN468" s="8"/>
      <c r="AO468" s="8"/>
      <c r="AP468" s="8"/>
      <c r="AQ468" s="8"/>
      <c r="AR468" s="8"/>
      <c r="AZ468" s="45"/>
      <c r="BA468" s="89"/>
      <c r="BB468" s="89"/>
      <c r="BC468" s="89"/>
      <c r="BD468" s="89"/>
      <c r="BE468" s="89"/>
      <c r="BF468" s="89"/>
      <c r="BG468" s="89"/>
      <c r="BH468" s="89"/>
      <c r="BI468" s="89"/>
      <c r="BJ468" s="89"/>
      <c r="BK468" s="91"/>
      <c r="BL468" s="66"/>
      <c r="BM468" s="94"/>
      <c r="BN468" s="94"/>
      <c r="BO468" s="92"/>
      <c r="BP468" s="93"/>
      <c r="BQ468" s="23"/>
      <c r="BR468" s="94"/>
      <c r="BS468" s="94"/>
      <c r="BT468" s="94"/>
      <c r="BU468" s="94"/>
      <c r="BV468" s="95"/>
      <c r="BW468" s="91"/>
      <c r="BX468" s="95"/>
      <c r="BY468" s="8"/>
      <c r="BZ468" s="96"/>
      <c r="CA468" s="91"/>
      <c r="CB468" s="97"/>
      <c r="CC468" s="8"/>
      <c r="CD468" s="91"/>
      <c r="CE468" s="98"/>
      <c r="CF468" s="5"/>
      <c r="DK468" s="89"/>
      <c r="DL468" s="8"/>
      <c r="DM468" s="8"/>
      <c r="DN468" s="8"/>
      <c r="DO468" s="8"/>
      <c r="DP468" s="8"/>
      <c r="DQ468" s="8"/>
      <c r="DR468" s="8"/>
      <c r="DZ468" s="45"/>
      <c r="EA468" s="89"/>
      <c r="EB468" s="89"/>
      <c r="EC468" s="89"/>
      <c r="ED468" s="89"/>
      <c r="EE468" s="89"/>
      <c r="EF468" s="89"/>
      <c r="EG468" s="89"/>
      <c r="EH468" s="89"/>
      <c r="EI468" s="89"/>
      <c r="EJ468" s="89"/>
      <c r="EK468" s="91"/>
      <c r="EL468" s="66"/>
      <c r="EM468" s="94"/>
      <c r="EN468" s="94"/>
      <c r="EO468" s="92"/>
      <c r="EP468" s="93"/>
      <c r="EQ468" s="23"/>
      <c r="ER468" s="94"/>
      <c r="ES468" s="94"/>
      <c r="ET468" s="94"/>
      <c r="EU468" s="94"/>
      <c r="EV468" s="95"/>
      <c r="EW468" s="91"/>
      <c r="EX468" s="95"/>
      <c r="EY468" s="8"/>
      <c r="EZ468" s="96"/>
      <c r="FA468" s="91"/>
      <c r="FB468" s="97"/>
      <c r="FC468" s="8"/>
      <c r="FD468" s="91"/>
      <c r="FE468" s="98"/>
      <c r="FF468" s="5"/>
    </row>
    <row r="469" spans="37:162">
      <c r="AK469" s="89"/>
      <c r="AL469" s="8"/>
      <c r="AM469" s="8"/>
      <c r="AN469" s="8"/>
      <c r="AO469" s="8"/>
      <c r="AP469" s="8"/>
      <c r="AQ469" s="8"/>
      <c r="AR469" s="8"/>
      <c r="AZ469" s="45"/>
      <c r="BA469" s="89"/>
      <c r="BB469" s="89"/>
      <c r="BC469" s="89"/>
      <c r="BD469" s="89"/>
      <c r="BE469" s="89"/>
      <c r="BF469" s="89"/>
      <c r="BG469" s="89"/>
      <c r="BH469" s="89"/>
      <c r="BI469" s="89"/>
      <c r="BJ469" s="89"/>
      <c r="BK469" s="91"/>
      <c r="BL469" s="66"/>
      <c r="BM469" s="94"/>
      <c r="BN469" s="94"/>
      <c r="BO469" s="92"/>
      <c r="BP469" s="93"/>
      <c r="BQ469" s="23"/>
      <c r="BR469" s="94"/>
      <c r="BS469" s="94"/>
      <c r="BT469" s="94"/>
      <c r="BU469" s="94"/>
      <c r="BV469" s="95"/>
      <c r="BW469" s="91"/>
      <c r="BX469" s="95"/>
      <c r="BY469" s="8"/>
      <c r="BZ469" s="96"/>
      <c r="CA469" s="91"/>
      <c r="CB469" s="97"/>
      <c r="CC469" s="8"/>
      <c r="CD469" s="91"/>
      <c r="CE469" s="98"/>
      <c r="CF469" s="5"/>
      <c r="DK469" s="89"/>
      <c r="DL469" s="8"/>
      <c r="DM469" s="8"/>
      <c r="DN469" s="8"/>
      <c r="DO469" s="8"/>
      <c r="DP469" s="8"/>
      <c r="DQ469" s="8"/>
      <c r="DR469" s="8"/>
      <c r="DZ469" s="45"/>
      <c r="EA469" s="89"/>
      <c r="EB469" s="89"/>
      <c r="EC469" s="89"/>
      <c r="ED469" s="89"/>
      <c r="EE469" s="89"/>
      <c r="EF469" s="89"/>
      <c r="EG469" s="89"/>
      <c r="EH469" s="89"/>
      <c r="EI469" s="89"/>
      <c r="EJ469" s="89"/>
      <c r="EK469" s="91"/>
      <c r="EL469" s="66"/>
      <c r="EM469" s="94"/>
      <c r="EN469" s="94"/>
      <c r="EO469" s="92"/>
      <c r="EP469" s="93"/>
      <c r="EQ469" s="23"/>
      <c r="ER469" s="94"/>
      <c r="ES469" s="94"/>
      <c r="ET469" s="94"/>
      <c r="EU469" s="94"/>
      <c r="EV469" s="95"/>
      <c r="EW469" s="91"/>
      <c r="EX469" s="95"/>
      <c r="EY469" s="8"/>
      <c r="EZ469" s="96"/>
      <c r="FA469" s="91"/>
      <c r="FB469" s="97"/>
      <c r="FC469" s="8"/>
      <c r="FD469" s="91"/>
      <c r="FE469" s="98"/>
      <c r="FF469" s="5"/>
    </row>
    <row r="470" spans="37:162">
      <c r="AK470" s="89"/>
      <c r="AL470" s="8"/>
      <c r="AM470" s="8"/>
      <c r="AN470" s="8"/>
      <c r="AO470" s="8"/>
      <c r="AP470" s="8"/>
      <c r="AQ470" s="8"/>
      <c r="AR470" s="8"/>
      <c r="AZ470" s="45"/>
      <c r="BA470" s="89"/>
      <c r="BB470" s="89"/>
      <c r="BC470" s="89"/>
      <c r="BD470" s="89"/>
      <c r="BE470" s="89"/>
      <c r="BF470" s="89"/>
      <c r="BG470" s="89"/>
      <c r="BH470" s="89"/>
      <c r="BI470" s="89"/>
      <c r="BJ470" s="89"/>
      <c r="BK470" s="91"/>
      <c r="BL470" s="66"/>
      <c r="BM470" s="94"/>
      <c r="BN470" s="94"/>
      <c r="BO470" s="92"/>
      <c r="BP470" s="93"/>
      <c r="BQ470" s="23"/>
      <c r="BR470" s="94"/>
      <c r="BS470" s="94"/>
      <c r="BT470" s="94"/>
      <c r="BU470" s="94"/>
      <c r="BV470" s="95"/>
      <c r="BW470" s="91"/>
      <c r="BX470" s="95"/>
      <c r="BY470" s="8"/>
      <c r="BZ470" s="96"/>
      <c r="CA470" s="91"/>
      <c r="CB470" s="97"/>
      <c r="CC470" s="8"/>
      <c r="CD470" s="91"/>
      <c r="CE470" s="98"/>
      <c r="CF470" s="5"/>
      <c r="DK470" s="89"/>
      <c r="DL470" s="8"/>
      <c r="DM470" s="8"/>
      <c r="DN470" s="8"/>
      <c r="DO470" s="8"/>
      <c r="DP470" s="8"/>
      <c r="DQ470" s="8"/>
      <c r="DR470" s="8"/>
      <c r="DZ470" s="45"/>
      <c r="EA470" s="89"/>
      <c r="EB470" s="89"/>
      <c r="EC470" s="89"/>
      <c r="ED470" s="89"/>
      <c r="EE470" s="89"/>
      <c r="EF470" s="89"/>
      <c r="EG470" s="89"/>
      <c r="EH470" s="89"/>
      <c r="EI470" s="89"/>
      <c r="EJ470" s="89"/>
      <c r="EK470" s="91"/>
      <c r="EL470" s="66"/>
      <c r="EM470" s="94"/>
      <c r="EN470" s="94"/>
      <c r="EO470" s="92"/>
      <c r="EP470" s="93"/>
      <c r="EQ470" s="23"/>
      <c r="ER470" s="94"/>
      <c r="ES470" s="94"/>
      <c r="ET470" s="94"/>
      <c r="EU470" s="94"/>
      <c r="EV470" s="95"/>
      <c r="EW470" s="91"/>
      <c r="EX470" s="95"/>
      <c r="EY470" s="8"/>
      <c r="EZ470" s="96"/>
      <c r="FA470" s="91"/>
      <c r="FB470" s="97"/>
      <c r="FC470" s="8"/>
      <c r="FD470" s="91"/>
      <c r="FE470" s="98"/>
      <c r="FF470" s="5"/>
    </row>
    <row r="471" spans="37:162">
      <c r="AK471" s="89"/>
      <c r="AL471" s="8"/>
      <c r="AM471" s="8"/>
      <c r="AN471" s="8"/>
      <c r="AO471" s="8"/>
      <c r="AP471" s="8"/>
      <c r="AQ471" s="8"/>
      <c r="AR471" s="8"/>
      <c r="AZ471" s="45"/>
      <c r="BA471" s="89"/>
      <c r="BB471" s="89"/>
      <c r="BC471" s="89"/>
      <c r="BD471" s="89"/>
      <c r="BE471" s="89"/>
      <c r="BF471" s="89"/>
      <c r="BG471" s="89"/>
      <c r="BH471" s="89"/>
      <c r="BI471" s="89"/>
      <c r="BJ471" s="89"/>
      <c r="BK471" s="91"/>
      <c r="BL471" s="66"/>
      <c r="BM471" s="94"/>
      <c r="BN471" s="94"/>
      <c r="BO471" s="92"/>
      <c r="BP471" s="93"/>
      <c r="BQ471" s="23"/>
      <c r="BR471" s="94"/>
      <c r="BS471" s="94"/>
      <c r="BT471" s="94"/>
      <c r="BU471" s="94"/>
      <c r="BV471" s="95"/>
      <c r="BW471" s="91"/>
      <c r="BX471" s="95"/>
      <c r="BY471" s="8"/>
      <c r="BZ471" s="96"/>
      <c r="CA471" s="91"/>
      <c r="CB471" s="97"/>
      <c r="CC471" s="8"/>
      <c r="CD471" s="91"/>
      <c r="CE471" s="98"/>
      <c r="CF471" s="5"/>
      <c r="DK471" s="89"/>
      <c r="DL471" s="8"/>
      <c r="DM471" s="8"/>
      <c r="DN471" s="8"/>
      <c r="DO471" s="8"/>
      <c r="DP471" s="8"/>
      <c r="DQ471" s="8"/>
      <c r="DR471" s="8"/>
      <c r="DZ471" s="45"/>
      <c r="EA471" s="89"/>
      <c r="EB471" s="89"/>
      <c r="EC471" s="89"/>
      <c r="ED471" s="89"/>
      <c r="EE471" s="89"/>
      <c r="EF471" s="89"/>
      <c r="EG471" s="89"/>
      <c r="EH471" s="89"/>
      <c r="EI471" s="89"/>
      <c r="EJ471" s="89"/>
      <c r="EK471" s="91"/>
      <c r="EL471" s="66"/>
      <c r="EM471" s="94"/>
      <c r="EN471" s="94"/>
      <c r="EO471" s="92"/>
      <c r="EP471" s="93"/>
      <c r="EQ471" s="23"/>
      <c r="ER471" s="94"/>
      <c r="ES471" s="94"/>
      <c r="ET471" s="94"/>
      <c r="EU471" s="94"/>
      <c r="EV471" s="95"/>
      <c r="EW471" s="91"/>
      <c r="EX471" s="95"/>
      <c r="EY471" s="8"/>
      <c r="EZ471" s="96"/>
      <c r="FA471" s="91"/>
      <c r="FB471" s="97"/>
      <c r="FC471" s="8"/>
      <c r="FD471" s="91"/>
      <c r="FE471" s="98"/>
      <c r="FF471" s="5"/>
    </row>
    <row r="472" spans="37:162">
      <c r="AK472" s="89"/>
      <c r="AL472" s="8"/>
      <c r="AM472" s="8"/>
      <c r="AN472" s="8"/>
      <c r="AO472" s="8"/>
      <c r="AP472" s="8"/>
      <c r="AQ472" s="8"/>
      <c r="AR472" s="8"/>
      <c r="AZ472" s="45"/>
      <c r="BA472" s="89"/>
      <c r="BB472" s="89"/>
      <c r="BC472" s="89"/>
      <c r="BD472" s="89"/>
      <c r="BE472" s="89"/>
      <c r="BF472" s="89"/>
      <c r="BG472" s="89"/>
      <c r="BH472" s="89"/>
      <c r="BI472" s="89"/>
      <c r="BJ472" s="89"/>
      <c r="BK472" s="91"/>
      <c r="BL472" s="66"/>
      <c r="BM472" s="94"/>
      <c r="BN472" s="94"/>
      <c r="BO472" s="92"/>
      <c r="BP472" s="93"/>
      <c r="BQ472" s="23"/>
      <c r="BR472" s="94"/>
      <c r="BS472" s="94"/>
      <c r="BT472" s="94"/>
      <c r="BU472" s="94"/>
      <c r="BV472" s="95"/>
      <c r="BW472" s="91"/>
      <c r="BX472" s="95"/>
      <c r="BY472" s="8"/>
      <c r="BZ472" s="96"/>
      <c r="CA472" s="91"/>
      <c r="CB472" s="97"/>
      <c r="CC472" s="8"/>
      <c r="CD472" s="91"/>
      <c r="CE472" s="98"/>
      <c r="CF472" s="5"/>
      <c r="DK472" s="89"/>
      <c r="DL472" s="8"/>
      <c r="DM472" s="8"/>
      <c r="DN472" s="8"/>
      <c r="DO472" s="8"/>
      <c r="DP472" s="8"/>
      <c r="DQ472" s="8"/>
      <c r="DR472" s="8"/>
      <c r="DZ472" s="45"/>
      <c r="EA472" s="89"/>
      <c r="EB472" s="89"/>
      <c r="EC472" s="89"/>
      <c r="ED472" s="89"/>
      <c r="EE472" s="89"/>
      <c r="EF472" s="89"/>
      <c r="EG472" s="89"/>
      <c r="EH472" s="89"/>
      <c r="EI472" s="89"/>
      <c r="EJ472" s="89"/>
      <c r="EK472" s="91"/>
      <c r="EL472" s="66"/>
      <c r="EM472" s="94"/>
      <c r="EN472" s="94"/>
      <c r="EO472" s="92"/>
      <c r="EP472" s="93"/>
      <c r="EQ472" s="23"/>
      <c r="ER472" s="94"/>
      <c r="ES472" s="94"/>
      <c r="ET472" s="94"/>
      <c r="EU472" s="94"/>
      <c r="EV472" s="95"/>
      <c r="EW472" s="91"/>
      <c r="EX472" s="95"/>
      <c r="EY472" s="8"/>
      <c r="EZ472" s="96"/>
      <c r="FA472" s="91"/>
      <c r="FB472" s="97"/>
      <c r="FC472" s="8"/>
      <c r="FD472" s="91"/>
      <c r="FE472" s="98"/>
      <c r="FF472" s="5"/>
    </row>
    <row r="473" spans="37:162">
      <c r="AK473" s="89"/>
      <c r="AL473" s="8"/>
      <c r="AM473" s="8"/>
      <c r="AN473" s="8"/>
      <c r="AO473" s="8"/>
      <c r="AP473" s="8"/>
      <c r="AQ473" s="8"/>
      <c r="AR473" s="8"/>
      <c r="AZ473" s="45"/>
      <c r="BA473" s="89"/>
      <c r="BB473" s="89"/>
      <c r="BC473" s="89"/>
      <c r="BD473" s="89"/>
      <c r="BE473" s="89"/>
      <c r="BF473" s="89"/>
      <c r="BG473" s="89"/>
      <c r="BH473" s="89"/>
      <c r="BI473" s="89"/>
      <c r="BJ473" s="89"/>
      <c r="BK473" s="91"/>
      <c r="BL473" s="66"/>
      <c r="BM473" s="94"/>
      <c r="BN473" s="94"/>
      <c r="BO473" s="92"/>
      <c r="BP473" s="93"/>
      <c r="BQ473" s="23"/>
      <c r="BR473" s="94"/>
      <c r="BS473" s="94"/>
      <c r="BT473" s="94"/>
      <c r="BU473" s="94"/>
      <c r="BV473" s="95"/>
      <c r="BW473" s="91"/>
      <c r="BX473" s="95"/>
      <c r="BY473" s="8"/>
      <c r="BZ473" s="96"/>
      <c r="CA473" s="91"/>
      <c r="CB473" s="97"/>
      <c r="CC473" s="8"/>
      <c r="CD473" s="91"/>
      <c r="CE473" s="98"/>
      <c r="CF473" s="5"/>
      <c r="DK473" s="89"/>
      <c r="DL473" s="8"/>
      <c r="DM473" s="8"/>
      <c r="DN473" s="8"/>
      <c r="DO473" s="8"/>
      <c r="DP473" s="8"/>
      <c r="DQ473" s="8"/>
      <c r="DR473" s="8"/>
      <c r="DZ473" s="45"/>
      <c r="EA473" s="89"/>
      <c r="EB473" s="89"/>
      <c r="EC473" s="89"/>
      <c r="ED473" s="89"/>
      <c r="EE473" s="89"/>
      <c r="EF473" s="89"/>
      <c r="EG473" s="89"/>
      <c r="EH473" s="89"/>
      <c r="EI473" s="89"/>
      <c r="EJ473" s="89"/>
      <c r="EK473" s="91"/>
      <c r="EL473" s="66"/>
      <c r="EM473" s="94"/>
      <c r="EN473" s="94"/>
      <c r="EO473" s="92"/>
      <c r="EP473" s="93"/>
      <c r="EQ473" s="23"/>
      <c r="ER473" s="94"/>
      <c r="ES473" s="94"/>
      <c r="ET473" s="94"/>
      <c r="EU473" s="94"/>
      <c r="EV473" s="95"/>
      <c r="EW473" s="91"/>
      <c r="EX473" s="95"/>
      <c r="EY473" s="8"/>
      <c r="EZ473" s="96"/>
      <c r="FA473" s="91"/>
      <c r="FB473" s="97"/>
      <c r="FC473" s="8"/>
      <c r="FD473" s="91"/>
      <c r="FE473" s="98"/>
      <c r="FF473" s="5"/>
    </row>
    <row r="474" spans="37:162">
      <c r="AK474" s="89"/>
      <c r="AL474" s="8"/>
      <c r="AM474" s="8"/>
      <c r="AN474" s="8"/>
      <c r="AO474" s="8"/>
      <c r="AP474" s="8"/>
      <c r="AQ474" s="8"/>
      <c r="AR474" s="8"/>
      <c r="AZ474" s="45"/>
      <c r="BA474" s="89"/>
      <c r="BB474" s="89"/>
      <c r="BC474" s="89"/>
      <c r="BD474" s="89"/>
      <c r="BE474" s="89"/>
      <c r="BF474" s="89"/>
      <c r="BG474" s="89"/>
      <c r="BH474" s="89"/>
      <c r="BI474" s="89"/>
      <c r="BJ474" s="89"/>
      <c r="BK474" s="91"/>
      <c r="BL474" s="66"/>
      <c r="BM474" s="94"/>
      <c r="BN474" s="94"/>
      <c r="BO474" s="92"/>
      <c r="BP474" s="93"/>
      <c r="BQ474" s="23"/>
      <c r="BR474" s="94"/>
      <c r="BS474" s="94"/>
      <c r="BT474" s="94"/>
      <c r="BU474" s="94"/>
      <c r="BV474" s="95"/>
      <c r="BW474" s="91"/>
      <c r="BX474" s="95"/>
      <c r="BY474" s="8"/>
      <c r="BZ474" s="96"/>
      <c r="CA474" s="91"/>
      <c r="CB474" s="97"/>
      <c r="CC474" s="8"/>
      <c r="CD474" s="91"/>
      <c r="CE474" s="98"/>
      <c r="CF474" s="5"/>
      <c r="DK474" s="89"/>
      <c r="DL474" s="8"/>
      <c r="DM474" s="8"/>
      <c r="DN474" s="8"/>
      <c r="DO474" s="8"/>
      <c r="DP474" s="8"/>
      <c r="DQ474" s="8"/>
      <c r="DR474" s="8"/>
      <c r="DZ474" s="45"/>
      <c r="EA474" s="89"/>
      <c r="EB474" s="89"/>
      <c r="EC474" s="89"/>
      <c r="ED474" s="89"/>
      <c r="EE474" s="89"/>
      <c r="EF474" s="89"/>
      <c r="EG474" s="89"/>
      <c r="EH474" s="89"/>
      <c r="EI474" s="89"/>
      <c r="EJ474" s="89"/>
      <c r="EK474" s="91"/>
      <c r="EL474" s="66"/>
      <c r="EM474" s="94"/>
      <c r="EN474" s="94"/>
      <c r="EO474" s="92"/>
      <c r="EP474" s="93"/>
      <c r="EQ474" s="23"/>
      <c r="ER474" s="94"/>
      <c r="ES474" s="94"/>
      <c r="ET474" s="94"/>
      <c r="EU474" s="94"/>
      <c r="EV474" s="95"/>
      <c r="EW474" s="91"/>
      <c r="EX474" s="95"/>
      <c r="EY474" s="8"/>
      <c r="EZ474" s="96"/>
      <c r="FA474" s="91"/>
      <c r="FB474" s="97"/>
      <c r="FC474" s="8"/>
      <c r="FD474" s="91"/>
      <c r="FE474" s="98"/>
      <c r="FF474" s="5"/>
    </row>
    <row r="475" spans="37:162">
      <c r="AK475" s="89"/>
      <c r="AL475" s="8"/>
      <c r="AM475" s="8"/>
      <c r="AN475" s="8"/>
      <c r="AO475" s="8"/>
      <c r="AP475" s="8"/>
      <c r="AQ475" s="8"/>
      <c r="AR475" s="8"/>
      <c r="AZ475" s="45"/>
      <c r="BA475" s="89"/>
      <c r="BB475" s="89"/>
      <c r="BC475" s="89"/>
      <c r="BD475" s="89"/>
      <c r="BE475" s="89"/>
      <c r="BF475" s="89"/>
      <c r="BG475" s="89"/>
      <c r="BH475" s="89"/>
      <c r="BI475" s="89"/>
      <c r="BJ475" s="89"/>
      <c r="BK475" s="91"/>
      <c r="BL475" s="66"/>
      <c r="BM475" s="94"/>
      <c r="BN475" s="94"/>
      <c r="BO475" s="92"/>
      <c r="BP475" s="93"/>
      <c r="BQ475" s="23"/>
      <c r="BR475" s="94"/>
      <c r="BS475" s="94"/>
      <c r="BT475" s="94"/>
      <c r="BU475" s="94"/>
      <c r="BV475" s="95"/>
      <c r="BW475" s="91"/>
      <c r="BX475" s="95"/>
      <c r="BY475" s="8"/>
      <c r="BZ475" s="96"/>
      <c r="CA475" s="91"/>
      <c r="CB475" s="97"/>
      <c r="CC475" s="8"/>
      <c r="CD475" s="91"/>
      <c r="CE475" s="98"/>
      <c r="CF475" s="5"/>
      <c r="DK475" s="89"/>
      <c r="DL475" s="8"/>
      <c r="DM475" s="8"/>
      <c r="DN475" s="8"/>
      <c r="DO475" s="8"/>
      <c r="DP475" s="8"/>
      <c r="DQ475" s="8"/>
      <c r="DR475" s="8"/>
      <c r="DZ475" s="45"/>
      <c r="EA475" s="89"/>
      <c r="EB475" s="89"/>
      <c r="EC475" s="89"/>
      <c r="ED475" s="89"/>
      <c r="EE475" s="89"/>
      <c r="EF475" s="89"/>
      <c r="EG475" s="89"/>
      <c r="EH475" s="89"/>
      <c r="EI475" s="89"/>
      <c r="EJ475" s="89"/>
      <c r="EK475" s="91"/>
      <c r="EL475" s="66"/>
      <c r="EM475" s="94"/>
      <c r="EN475" s="94"/>
      <c r="EO475" s="92"/>
      <c r="EP475" s="93"/>
      <c r="EQ475" s="23"/>
      <c r="ER475" s="94"/>
      <c r="ES475" s="94"/>
      <c r="ET475" s="94"/>
      <c r="EU475" s="94"/>
      <c r="EV475" s="95"/>
      <c r="EW475" s="91"/>
      <c r="EX475" s="95"/>
      <c r="EY475" s="8"/>
      <c r="EZ475" s="96"/>
      <c r="FA475" s="91"/>
      <c r="FB475" s="97"/>
      <c r="FC475" s="8"/>
      <c r="FD475" s="91"/>
      <c r="FE475" s="98"/>
      <c r="FF475" s="5"/>
    </row>
    <row r="476" spans="37:162">
      <c r="AK476" s="89"/>
      <c r="AL476" s="8"/>
      <c r="AM476" s="8"/>
      <c r="AN476" s="8"/>
      <c r="AO476" s="8"/>
      <c r="AP476" s="8"/>
      <c r="AQ476" s="8"/>
      <c r="AR476" s="8"/>
      <c r="AZ476" s="45"/>
      <c r="BA476" s="89"/>
      <c r="BB476" s="89"/>
      <c r="BC476" s="89"/>
      <c r="BD476" s="89"/>
      <c r="BE476" s="89"/>
      <c r="BF476" s="89"/>
      <c r="BG476" s="89"/>
      <c r="BH476" s="89"/>
      <c r="BI476" s="89"/>
      <c r="BJ476" s="89"/>
      <c r="BK476" s="91"/>
      <c r="BL476" s="66"/>
      <c r="BM476" s="94"/>
      <c r="BN476" s="94"/>
      <c r="BO476" s="92"/>
      <c r="BP476" s="93"/>
      <c r="BQ476" s="23"/>
      <c r="BR476" s="94"/>
      <c r="BS476" s="94"/>
      <c r="BT476" s="94"/>
      <c r="BU476" s="94"/>
      <c r="BV476" s="95"/>
      <c r="BW476" s="91"/>
      <c r="BX476" s="95"/>
      <c r="BY476" s="8"/>
      <c r="BZ476" s="96"/>
      <c r="CA476" s="91"/>
      <c r="CB476" s="97"/>
      <c r="CC476" s="8"/>
      <c r="CD476" s="91"/>
      <c r="CE476" s="98"/>
      <c r="CF476" s="5"/>
      <c r="DK476" s="89"/>
      <c r="DL476" s="8"/>
      <c r="DM476" s="8"/>
      <c r="DN476" s="8"/>
      <c r="DO476" s="8"/>
      <c r="DP476" s="8"/>
      <c r="DQ476" s="8"/>
      <c r="DR476" s="8"/>
      <c r="DZ476" s="45"/>
      <c r="EA476" s="89"/>
      <c r="EB476" s="89"/>
      <c r="EC476" s="89"/>
      <c r="ED476" s="89"/>
      <c r="EE476" s="89"/>
      <c r="EF476" s="89"/>
      <c r="EG476" s="89"/>
      <c r="EH476" s="89"/>
      <c r="EI476" s="89"/>
      <c r="EJ476" s="89"/>
      <c r="EK476" s="91"/>
      <c r="EL476" s="66"/>
      <c r="EM476" s="94"/>
      <c r="EN476" s="94"/>
      <c r="EO476" s="92"/>
      <c r="EP476" s="93"/>
      <c r="EQ476" s="23"/>
      <c r="ER476" s="94"/>
      <c r="ES476" s="94"/>
      <c r="ET476" s="94"/>
      <c r="EU476" s="94"/>
      <c r="EV476" s="95"/>
      <c r="EW476" s="91"/>
      <c r="EX476" s="95"/>
      <c r="EY476" s="8"/>
      <c r="EZ476" s="96"/>
      <c r="FA476" s="91"/>
      <c r="FB476" s="97"/>
      <c r="FC476" s="8"/>
      <c r="FD476" s="91"/>
      <c r="FE476" s="98"/>
      <c r="FF476" s="5"/>
    </row>
    <row r="477" spans="37:162">
      <c r="AK477" s="89"/>
      <c r="AL477" s="8"/>
      <c r="AM477" s="8"/>
      <c r="AN477" s="8"/>
      <c r="AO477" s="8"/>
      <c r="AP477" s="8"/>
      <c r="AQ477" s="8"/>
      <c r="AR477" s="8"/>
      <c r="AZ477" s="45"/>
      <c r="BA477" s="89"/>
      <c r="BB477" s="89"/>
      <c r="BC477" s="89"/>
      <c r="BD477" s="89"/>
      <c r="BE477" s="89"/>
      <c r="BF477" s="89"/>
      <c r="BG477" s="89"/>
      <c r="BH477" s="89"/>
      <c r="BI477" s="89"/>
      <c r="BJ477" s="89"/>
      <c r="BK477" s="91"/>
      <c r="BL477" s="66"/>
      <c r="BM477" s="94"/>
      <c r="BN477" s="94"/>
      <c r="BO477" s="92"/>
      <c r="BP477" s="93"/>
      <c r="BQ477" s="23"/>
      <c r="BR477" s="94"/>
      <c r="BS477" s="94"/>
      <c r="BT477" s="94"/>
      <c r="BU477" s="94"/>
      <c r="BV477" s="95"/>
      <c r="BW477" s="91"/>
      <c r="BX477" s="95"/>
      <c r="BY477" s="8"/>
      <c r="BZ477" s="96"/>
      <c r="CA477" s="91"/>
      <c r="CB477" s="97"/>
      <c r="CC477" s="8"/>
      <c r="CD477" s="91"/>
      <c r="CE477" s="98"/>
      <c r="CF477" s="5"/>
      <c r="DK477" s="89"/>
      <c r="DL477" s="8"/>
      <c r="DM477" s="8"/>
      <c r="DN477" s="8"/>
      <c r="DO477" s="8"/>
      <c r="DP477" s="8"/>
      <c r="DQ477" s="8"/>
      <c r="DR477" s="8"/>
      <c r="DZ477" s="45"/>
      <c r="EA477" s="89"/>
      <c r="EB477" s="89"/>
      <c r="EC477" s="89"/>
      <c r="ED477" s="89"/>
      <c r="EE477" s="89"/>
      <c r="EF477" s="89"/>
      <c r="EG477" s="89"/>
      <c r="EH477" s="89"/>
      <c r="EI477" s="89"/>
      <c r="EJ477" s="89"/>
      <c r="EK477" s="91"/>
      <c r="EL477" s="66"/>
      <c r="EM477" s="94"/>
      <c r="EN477" s="94"/>
      <c r="EO477" s="92"/>
      <c r="EP477" s="93"/>
      <c r="EQ477" s="23"/>
      <c r="ER477" s="94"/>
      <c r="ES477" s="94"/>
      <c r="ET477" s="94"/>
      <c r="EU477" s="94"/>
      <c r="EV477" s="95"/>
      <c r="EW477" s="91"/>
      <c r="EX477" s="95"/>
      <c r="EY477" s="8"/>
      <c r="EZ477" s="96"/>
      <c r="FA477" s="91"/>
      <c r="FB477" s="97"/>
      <c r="FC477" s="8"/>
      <c r="FD477" s="91"/>
      <c r="FE477" s="98"/>
      <c r="FF477" s="5"/>
    </row>
    <row r="478" spans="37:162">
      <c r="AK478" s="89"/>
      <c r="AL478" s="8"/>
      <c r="AM478" s="8"/>
      <c r="AN478" s="8"/>
      <c r="AO478" s="8"/>
      <c r="AP478" s="8"/>
      <c r="AQ478" s="8"/>
      <c r="AR478" s="8"/>
      <c r="AZ478" s="45"/>
      <c r="BA478" s="89"/>
      <c r="BB478" s="89"/>
      <c r="BC478" s="89"/>
      <c r="BD478" s="89"/>
      <c r="BE478" s="89"/>
      <c r="BF478" s="89"/>
      <c r="BG478" s="89"/>
      <c r="BH478" s="89"/>
      <c r="BI478" s="89"/>
      <c r="BJ478" s="89"/>
      <c r="BK478" s="91"/>
      <c r="BL478" s="66"/>
      <c r="BM478" s="94"/>
      <c r="BN478" s="94"/>
      <c r="BO478" s="92"/>
      <c r="BP478" s="93"/>
      <c r="BQ478" s="23"/>
      <c r="BR478" s="94"/>
      <c r="BS478" s="94"/>
      <c r="BT478" s="94"/>
      <c r="BU478" s="94"/>
      <c r="BV478" s="95"/>
      <c r="BW478" s="91"/>
      <c r="BX478" s="95"/>
      <c r="BY478" s="8"/>
      <c r="BZ478" s="96"/>
      <c r="CA478" s="91"/>
      <c r="CB478" s="97"/>
      <c r="CC478" s="8"/>
      <c r="CD478" s="91"/>
      <c r="CE478" s="98"/>
      <c r="CF478" s="5"/>
      <c r="DK478" s="89"/>
      <c r="DL478" s="8"/>
      <c r="DM478" s="8"/>
      <c r="DN478" s="8"/>
      <c r="DO478" s="8"/>
      <c r="DP478" s="8"/>
      <c r="DQ478" s="8"/>
      <c r="DR478" s="8"/>
      <c r="DZ478" s="45"/>
      <c r="EA478" s="89"/>
      <c r="EB478" s="89"/>
      <c r="EC478" s="89"/>
      <c r="ED478" s="89"/>
      <c r="EE478" s="89"/>
      <c r="EF478" s="89"/>
      <c r="EG478" s="89"/>
      <c r="EH478" s="89"/>
      <c r="EI478" s="89"/>
      <c r="EJ478" s="89"/>
      <c r="EK478" s="91"/>
      <c r="EL478" s="66"/>
      <c r="EM478" s="94"/>
      <c r="EN478" s="94"/>
      <c r="EO478" s="92"/>
      <c r="EP478" s="93"/>
      <c r="EQ478" s="23"/>
      <c r="ER478" s="94"/>
      <c r="ES478" s="94"/>
      <c r="ET478" s="94"/>
      <c r="EU478" s="94"/>
      <c r="EV478" s="95"/>
      <c r="EW478" s="91"/>
      <c r="EX478" s="95"/>
      <c r="EY478" s="8"/>
      <c r="EZ478" s="96"/>
      <c r="FA478" s="91"/>
      <c r="FB478" s="97"/>
      <c r="FC478" s="8"/>
      <c r="FD478" s="91"/>
      <c r="FE478" s="98"/>
      <c r="FF478" s="5"/>
    </row>
    <row r="479" spans="37:162">
      <c r="AK479" s="89"/>
      <c r="AL479" s="8"/>
      <c r="AM479" s="8"/>
      <c r="AN479" s="8"/>
      <c r="AO479" s="8"/>
      <c r="AP479" s="8"/>
      <c r="AQ479" s="8"/>
      <c r="AR479" s="8"/>
      <c r="AZ479" s="45"/>
      <c r="BA479" s="89"/>
      <c r="BB479" s="89"/>
      <c r="BC479" s="89"/>
      <c r="BD479" s="89"/>
      <c r="BE479" s="89"/>
      <c r="BF479" s="89"/>
      <c r="BG479" s="89"/>
      <c r="BH479" s="89"/>
      <c r="BI479" s="89"/>
      <c r="BJ479" s="89"/>
      <c r="BK479" s="91"/>
      <c r="BL479" s="66"/>
      <c r="BM479" s="94"/>
      <c r="BN479" s="94"/>
      <c r="BO479" s="92"/>
      <c r="BP479" s="93"/>
      <c r="BQ479" s="23"/>
      <c r="BR479" s="94"/>
      <c r="BS479" s="94"/>
      <c r="BT479" s="94"/>
      <c r="BU479" s="94"/>
      <c r="BV479" s="95"/>
      <c r="BW479" s="91"/>
      <c r="BX479" s="95"/>
      <c r="BY479" s="8"/>
      <c r="BZ479" s="96"/>
      <c r="CA479" s="91"/>
      <c r="CB479" s="97"/>
      <c r="CC479" s="8"/>
      <c r="CD479" s="91"/>
      <c r="CE479" s="98"/>
      <c r="CF479" s="5"/>
      <c r="DK479" s="89"/>
      <c r="DL479" s="8"/>
      <c r="DM479" s="8"/>
      <c r="DN479" s="8"/>
      <c r="DO479" s="8"/>
      <c r="DP479" s="8"/>
      <c r="DQ479" s="8"/>
      <c r="DR479" s="8"/>
      <c r="DZ479" s="45"/>
      <c r="EA479" s="89"/>
      <c r="EB479" s="89"/>
      <c r="EC479" s="89"/>
      <c r="ED479" s="89"/>
      <c r="EE479" s="89"/>
      <c r="EF479" s="89"/>
      <c r="EG479" s="89"/>
      <c r="EH479" s="89"/>
      <c r="EI479" s="89"/>
      <c r="EJ479" s="89"/>
      <c r="EK479" s="91"/>
      <c r="EL479" s="66"/>
      <c r="EM479" s="94"/>
      <c r="EN479" s="94"/>
      <c r="EO479" s="92"/>
      <c r="EP479" s="93"/>
      <c r="EQ479" s="23"/>
      <c r="ER479" s="94"/>
      <c r="ES479" s="94"/>
      <c r="ET479" s="94"/>
      <c r="EU479" s="94"/>
      <c r="EV479" s="95"/>
      <c r="EW479" s="91"/>
      <c r="EX479" s="95"/>
      <c r="EY479" s="8"/>
      <c r="EZ479" s="96"/>
      <c r="FA479" s="91"/>
      <c r="FB479" s="97"/>
      <c r="FC479" s="8"/>
      <c r="FD479" s="91"/>
      <c r="FE479" s="98"/>
      <c r="FF479" s="5"/>
    </row>
    <row r="480" spans="37:162">
      <c r="AK480" s="89"/>
      <c r="AL480" s="8"/>
      <c r="AM480" s="8"/>
      <c r="AN480" s="8"/>
      <c r="AO480" s="8"/>
      <c r="AP480" s="8"/>
      <c r="AQ480" s="8"/>
      <c r="AR480" s="8"/>
      <c r="AZ480" s="45"/>
      <c r="BA480" s="89"/>
      <c r="BB480" s="89"/>
      <c r="BC480" s="89"/>
      <c r="BD480" s="89"/>
      <c r="BE480" s="89"/>
      <c r="BF480" s="89"/>
      <c r="BG480" s="89"/>
      <c r="BH480" s="89"/>
      <c r="BI480" s="89"/>
      <c r="BJ480" s="89"/>
      <c r="BK480" s="91"/>
      <c r="BL480" s="66"/>
      <c r="BM480" s="94"/>
      <c r="BN480" s="94"/>
      <c r="BO480" s="92"/>
      <c r="BP480" s="93"/>
      <c r="BQ480" s="23"/>
      <c r="BR480" s="94"/>
      <c r="BS480" s="94"/>
      <c r="BT480" s="94"/>
      <c r="BU480" s="94"/>
      <c r="BV480" s="95"/>
      <c r="BW480" s="91"/>
      <c r="BX480" s="95"/>
      <c r="BY480" s="8"/>
      <c r="BZ480" s="96"/>
      <c r="CA480" s="91"/>
      <c r="CB480" s="97"/>
      <c r="CC480" s="8"/>
      <c r="CD480" s="91"/>
      <c r="CE480" s="98"/>
      <c r="CF480" s="5"/>
      <c r="DK480" s="89"/>
      <c r="DL480" s="8"/>
      <c r="DM480" s="8"/>
      <c r="DN480" s="8"/>
      <c r="DO480" s="8"/>
      <c r="DP480" s="8"/>
      <c r="DQ480" s="8"/>
      <c r="DR480" s="8"/>
      <c r="DZ480" s="45"/>
      <c r="EA480" s="89"/>
      <c r="EB480" s="89"/>
      <c r="EC480" s="89"/>
      <c r="ED480" s="89"/>
      <c r="EE480" s="89"/>
      <c r="EF480" s="89"/>
      <c r="EG480" s="89"/>
      <c r="EH480" s="89"/>
      <c r="EI480" s="89"/>
      <c r="EJ480" s="89"/>
      <c r="EK480" s="91"/>
      <c r="EL480" s="66"/>
      <c r="EM480" s="94"/>
      <c r="EN480" s="94"/>
      <c r="EO480" s="92"/>
      <c r="EP480" s="93"/>
      <c r="EQ480" s="23"/>
      <c r="ER480" s="94"/>
      <c r="ES480" s="94"/>
      <c r="ET480" s="94"/>
      <c r="EU480" s="94"/>
      <c r="EV480" s="95"/>
      <c r="EW480" s="91"/>
      <c r="EX480" s="95"/>
      <c r="EY480" s="8"/>
      <c r="EZ480" s="96"/>
      <c r="FA480" s="91"/>
      <c r="FB480" s="97"/>
      <c r="FC480" s="8"/>
      <c r="FD480" s="91"/>
      <c r="FE480" s="98"/>
      <c r="FF480" s="5"/>
    </row>
    <row r="481" spans="37:162">
      <c r="AK481" s="89"/>
      <c r="AL481" s="8"/>
      <c r="AM481" s="8"/>
      <c r="AN481" s="8"/>
      <c r="AO481" s="8"/>
      <c r="AP481" s="8"/>
      <c r="AQ481" s="8"/>
      <c r="AR481" s="8"/>
      <c r="AZ481" s="45"/>
      <c r="BA481" s="89"/>
      <c r="BB481" s="89"/>
      <c r="BC481" s="89"/>
      <c r="BD481" s="89"/>
      <c r="BE481" s="89"/>
      <c r="BF481" s="89"/>
      <c r="BG481" s="89"/>
      <c r="BH481" s="89"/>
      <c r="BI481" s="89"/>
      <c r="BJ481" s="89"/>
      <c r="BK481" s="91"/>
      <c r="BL481" s="66"/>
      <c r="BM481" s="94"/>
      <c r="BN481" s="94"/>
      <c r="BO481" s="92"/>
      <c r="BP481" s="93"/>
      <c r="BQ481" s="23"/>
      <c r="BR481" s="94"/>
      <c r="BS481" s="94"/>
      <c r="BT481" s="94"/>
      <c r="BU481" s="94"/>
      <c r="BV481" s="95"/>
      <c r="BW481" s="91"/>
      <c r="BX481" s="95"/>
      <c r="BY481" s="8"/>
      <c r="BZ481" s="96"/>
      <c r="CA481" s="91"/>
      <c r="CB481" s="97"/>
      <c r="CC481" s="8"/>
      <c r="CD481" s="91"/>
      <c r="CE481" s="98"/>
      <c r="CF481" s="5"/>
      <c r="DK481" s="89"/>
      <c r="DL481" s="8"/>
      <c r="DM481" s="8"/>
      <c r="DN481" s="8"/>
      <c r="DO481" s="8"/>
      <c r="DP481" s="8"/>
      <c r="DQ481" s="8"/>
      <c r="DR481" s="8"/>
      <c r="DZ481" s="45"/>
      <c r="EA481" s="89"/>
      <c r="EB481" s="89"/>
      <c r="EC481" s="89"/>
      <c r="ED481" s="89"/>
      <c r="EE481" s="89"/>
      <c r="EF481" s="89"/>
      <c r="EG481" s="89"/>
      <c r="EH481" s="89"/>
      <c r="EI481" s="89"/>
      <c r="EJ481" s="89"/>
      <c r="EK481" s="91"/>
      <c r="EL481" s="66"/>
      <c r="EM481" s="94"/>
      <c r="EN481" s="94"/>
      <c r="EO481" s="92"/>
      <c r="EP481" s="93"/>
      <c r="EQ481" s="23"/>
      <c r="ER481" s="94"/>
      <c r="ES481" s="94"/>
      <c r="ET481" s="94"/>
      <c r="EU481" s="94"/>
      <c r="EV481" s="95"/>
      <c r="EW481" s="91"/>
      <c r="EX481" s="95"/>
      <c r="EY481" s="8"/>
      <c r="EZ481" s="96"/>
      <c r="FA481" s="91"/>
      <c r="FB481" s="97"/>
      <c r="FC481" s="8"/>
      <c r="FD481" s="91"/>
      <c r="FE481" s="98"/>
      <c r="FF481" s="5"/>
    </row>
    <row r="482" spans="37:162">
      <c r="AK482" s="89"/>
      <c r="AL482" s="8"/>
      <c r="AM482" s="8"/>
      <c r="AN482" s="8"/>
      <c r="AO482" s="8"/>
      <c r="AP482" s="8"/>
      <c r="AQ482" s="8"/>
      <c r="AR482" s="8"/>
      <c r="AZ482" s="45"/>
      <c r="BA482" s="89"/>
      <c r="BB482" s="89"/>
      <c r="BC482" s="89"/>
      <c r="BD482" s="89"/>
      <c r="BE482" s="89"/>
      <c r="BF482" s="89"/>
      <c r="BG482" s="89"/>
      <c r="BH482" s="89"/>
      <c r="BI482" s="89"/>
      <c r="BJ482" s="89"/>
      <c r="BK482" s="91"/>
      <c r="BL482" s="66"/>
      <c r="BM482" s="94"/>
      <c r="BN482" s="94"/>
      <c r="BO482" s="92"/>
      <c r="BP482" s="93"/>
      <c r="BQ482" s="23"/>
      <c r="BR482" s="94"/>
      <c r="BS482" s="94"/>
      <c r="BT482" s="94"/>
      <c r="BU482" s="94"/>
      <c r="BV482" s="95"/>
      <c r="BW482" s="91"/>
      <c r="BX482" s="95"/>
      <c r="BY482" s="8"/>
      <c r="BZ482" s="96"/>
      <c r="CA482" s="91"/>
      <c r="CB482" s="97"/>
      <c r="CC482" s="8"/>
      <c r="CD482" s="91"/>
      <c r="CE482" s="98"/>
      <c r="CF482" s="5"/>
      <c r="DK482" s="89"/>
      <c r="DL482" s="8"/>
      <c r="DM482" s="8"/>
      <c r="DN482" s="8"/>
      <c r="DO482" s="8"/>
      <c r="DP482" s="8"/>
      <c r="DQ482" s="8"/>
      <c r="DR482" s="8"/>
      <c r="DZ482" s="45"/>
      <c r="EA482" s="89"/>
      <c r="EB482" s="89"/>
      <c r="EC482" s="89"/>
      <c r="ED482" s="89"/>
      <c r="EE482" s="89"/>
      <c r="EF482" s="89"/>
      <c r="EG482" s="89"/>
      <c r="EH482" s="89"/>
      <c r="EI482" s="89"/>
      <c r="EJ482" s="89"/>
      <c r="EK482" s="91"/>
      <c r="EL482" s="66"/>
      <c r="EM482" s="94"/>
      <c r="EN482" s="94"/>
      <c r="EO482" s="92"/>
      <c r="EP482" s="93"/>
      <c r="EQ482" s="23"/>
      <c r="ER482" s="94"/>
      <c r="ES482" s="94"/>
      <c r="ET482" s="94"/>
      <c r="EU482" s="94"/>
      <c r="EV482" s="95"/>
      <c r="EW482" s="91"/>
      <c r="EX482" s="95"/>
      <c r="EY482" s="8"/>
      <c r="EZ482" s="96"/>
      <c r="FA482" s="91"/>
      <c r="FB482" s="97"/>
      <c r="FC482" s="8"/>
      <c r="FD482" s="91"/>
      <c r="FE482" s="98"/>
      <c r="FF482" s="5"/>
    </row>
    <row r="483" spans="37:162">
      <c r="AK483" s="89"/>
      <c r="AL483" s="8"/>
      <c r="AM483" s="8"/>
      <c r="AN483" s="8"/>
      <c r="AO483" s="8"/>
      <c r="AP483" s="8"/>
      <c r="AQ483" s="8"/>
      <c r="AR483" s="8"/>
      <c r="AZ483" s="45"/>
      <c r="BA483" s="89"/>
      <c r="BB483" s="89"/>
      <c r="BC483" s="89"/>
      <c r="BD483" s="89"/>
      <c r="BE483" s="89"/>
      <c r="BF483" s="89"/>
      <c r="BG483" s="89"/>
      <c r="BH483" s="89"/>
      <c r="BI483" s="89"/>
      <c r="BJ483" s="89"/>
      <c r="BK483" s="91"/>
      <c r="BL483" s="66"/>
      <c r="BM483" s="94"/>
      <c r="BN483" s="94"/>
      <c r="BO483" s="92"/>
      <c r="BP483" s="93"/>
      <c r="BQ483" s="23"/>
      <c r="BR483" s="94"/>
      <c r="BS483" s="94"/>
      <c r="BT483" s="94"/>
      <c r="BU483" s="94"/>
      <c r="BV483" s="95"/>
      <c r="BW483" s="91"/>
      <c r="BX483" s="95"/>
      <c r="BY483" s="8"/>
      <c r="BZ483" s="96"/>
      <c r="CA483" s="91"/>
      <c r="CB483" s="97"/>
      <c r="CC483" s="8"/>
      <c r="CD483" s="91"/>
      <c r="CE483" s="98"/>
      <c r="CF483" s="5"/>
      <c r="DK483" s="89"/>
      <c r="DL483" s="8"/>
      <c r="DM483" s="8"/>
      <c r="DN483" s="8"/>
      <c r="DO483" s="8"/>
      <c r="DP483" s="8"/>
      <c r="DQ483" s="8"/>
      <c r="DR483" s="8"/>
      <c r="DZ483" s="45"/>
      <c r="EA483" s="89"/>
      <c r="EB483" s="89"/>
      <c r="EC483" s="89"/>
      <c r="ED483" s="89"/>
      <c r="EE483" s="89"/>
      <c r="EF483" s="89"/>
      <c r="EG483" s="89"/>
      <c r="EH483" s="89"/>
      <c r="EI483" s="89"/>
      <c r="EJ483" s="89"/>
      <c r="EK483" s="91"/>
      <c r="EL483" s="66"/>
      <c r="EM483" s="94"/>
      <c r="EN483" s="94"/>
      <c r="EO483" s="92"/>
      <c r="EP483" s="93"/>
      <c r="EQ483" s="23"/>
      <c r="ER483" s="94"/>
      <c r="ES483" s="94"/>
      <c r="ET483" s="94"/>
      <c r="EU483" s="94"/>
      <c r="EV483" s="95"/>
      <c r="EW483" s="91"/>
      <c r="EX483" s="95"/>
      <c r="EY483" s="8"/>
      <c r="EZ483" s="96"/>
      <c r="FA483" s="91"/>
      <c r="FB483" s="97"/>
      <c r="FC483" s="8"/>
      <c r="FD483" s="91"/>
      <c r="FE483" s="98"/>
      <c r="FF483" s="5"/>
    </row>
    <row r="484" spans="37:162">
      <c r="AK484" s="89"/>
      <c r="AL484" s="8"/>
      <c r="AM484" s="8"/>
      <c r="AN484" s="8"/>
      <c r="AO484" s="8"/>
      <c r="AP484" s="8"/>
      <c r="AQ484" s="8"/>
      <c r="AR484" s="8"/>
      <c r="AZ484" s="45"/>
      <c r="BA484" s="89"/>
      <c r="BB484" s="89"/>
      <c r="BC484" s="89"/>
      <c r="BD484" s="89"/>
      <c r="BE484" s="89"/>
      <c r="BF484" s="89"/>
      <c r="BG484" s="89"/>
      <c r="BH484" s="89"/>
      <c r="BI484" s="89"/>
      <c r="BJ484" s="89"/>
      <c r="BK484" s="91"/>
      <c r="BL484" s="66"/>
      <c r="BM484" s="94"/>
      <c r="BN484" s="94"/>
      <c r="BO484" s="92"/>
      <c r="BP484" s="93"/>
      <c r="BQ484" s="23"/>
      <c r="BR484" s="94"/>
      <c r="BS484" s="94"/>
      <c r="BT484" s="94"/>
      <c r="BU484" s="94"/>
      <c r="BV484" s="95"/>
      <c r="BW484" s="91"/>
      <c r="BX484" s="95"/>
      <c r="BY484" s="8"/>
      <c r="BZ484" s="96"/>
      <c r="CA484" s="91"/>
      <c r="CB484" s="97"/>
      <c r="CC484" s="8"/>
      <c r="CD484" s="91"/>
      <c r="CE484" s="98"/>
      <c r="CF484" s="5"/>
      <c r="DK484" s="89"/>
      <c r="DL484" s="8"/>
      <c r="DM484" s="8"/>
      <c r="DN484" s="8"/>
      <c r="DO484" s="8"/>
      <c r="DP484" s="8"/>
      <c r="DQ484" s="8"/>
      <c r="DR484" s="8"/>
      <c r="DZ484" s="45"/>
      <c r="EA484" s="89"/>
      <c r="EB484" s="89"/>
      <c r="EC484" s="89"/>
      <c r="ED484" s="89"/>
      <c r="EE484" s="89"/>
      <c r="EF484" s="89"/>
      <c r="EG484" s="89"/>
      <c r="EH484" s="89"/>
      <c r="EI484" s="89"/>
      <c r="EJ484" s="89"/>
      <c r="EK484" s="91"/>
      <c r="EL484" s="66"/>
      <c r="EM484" s="94"/>
      <c r="EN484" s="94"/>
      <c r="EO484" s="92"/>
      <c r="EP484" s="93"/>
      <c r="EQ484" s="23"/>
      <c r="ER484" s="94"/>
      <c r="ES484" s="94"/>
      <c r="ET484" s="94"/>
      <c r="EU484" s="94"/>
      <c r="EV484" s="95"/>
      <c r="EW484" s="91"/>
      <c r="EX484" s="95"/>
      <c r="EY484" s="8"/>
      <c r="EZ484" s="96"/>
      <c r="FA484" s="91"/>
      <c r="FB484" s="97"/>
      <c r="FC484" s="8"/>
      <c r="FD484" s="91"/>
      <c r="FE484" s="98"/>
      <c r="FF484" s="5"/>
    </row>
    <row r="485" spans="37:162">
      <c r="AK485" s="89"/>
      <c r="AL485" s="8"/>
      <c r="AM485" s="8"/>
      <c r="AN485" s="8"/>
      <c r="AO485" s="8"/>
      <c r="AP485" s="8"/>
      <c r="AQ485" s="8"/>
      <c r="AR485" s="8"/>
      <c r="AZ485" s="45"/>
      <c r="BA485" s="89"/>
      <c r="BB485" s="89"/>
      <c r="BC485" s="89"/>
      <c r="BD485" s="89"/>
      <c r="BE485" s="89"/>
      <c r="BF485" s="89"/>
      <c r="BG485" s="89"/>
      <c r="BH485" s="89"/>
      <c r="BI485" s="89"/>
      <c r="BJ485" s="89"/>
      <c r="BK485" s="91"/>
      <c r="BL485" s="66"/>
      <c r="BM485" s="94"/>
      <c r="BN485" s="94"/>
      <c r="BO485" s="92"/>
      <c r="BP485" s="93"/>
      <c r="BQ485" s="23"/>
      <c r="BR485" s="94"/>
      <c r="BS485" s="94"/>
      <c r="BT485" s="94"/>
      <c r="BU485" s="94"/>
      <c r="BV485" s="95"/>
      <c r="BW485" s="91"/>
      <c r="BX485" s="95"/>
      <c r="BY485" s="8"/>
      <c r="BZ485" s="96"/>
      <c r="CA485" s="91"/>
      <c r="CB485" s="97"/>
      <c r="CC485" s="8"/>
      <c r="CD485" s="91"/>
      <c r="CE485" s="98"/>
      <c r="CF485" s="5"/>
      <c r="DK485" s="89"/>
      <c r="DL485" s="8"/>
      <c r="DM485" s="8"/>
      <c r="DN485" s="8"/>
      <c r="DO485" s="8"/>
      <c r="DP485" s="8"/>
      <c r="DQ485" s="8"/>
      <c r="DR485" s="8"/>
      <c r="DZ485" s="45"/>
      <c r="EA485" s="89"/>
      <c r="EB485" s="89"/>
      <c r="EC485" s="89"/>
      <c r="ED485" s="89"/>
      <c r="EE485" s="89"/>
      <c r="EF485" s="89"/>
      <c r="EG485" s="89"/>
      <c r="EH485" s="89"/>
      <c r="EI485" s="89"/>
      <c r="EJ485" s="89"/>
      <c r="EK485" s="91"/>
      <c r="EL485" s="66"/>
      <c r="EM485" s="94"/>
      <c r="EN485" s="94"/>
      <c r="EO485" s="92"/>
      <c r="EP485" s="93"/>
      <c r="EQ485" s="23"/>
      <c r="ER485" s="94"/>
      <c r="ES485" s="94"/>
      <c r="ET485" s="94"/>
      <c r="EU485" s="94"/>
      <c r="EV485" s="95"/>
      <c r="EW485" s="91"/>
      <c r="EX485" s="95"/>
      <c r="EY485" s="8"/>
      <c r="EZ485" s="96"/>
      <c r="FA485" s="91"/>
      <c r="FB485" s="97"/>
      <c r="FC485" s="8"/>
      <c r="FD485" s="91"/>
      <c r="FE485" s="98"/>
      <c r="FF485" s="5"/>
    </row>
    <row r="486" spans="37:162">
      <c r="AK486" s="89"/>
      <c r="AL486" s="8"/>
      <c r="AM486" s="8"/>
      <c r="AN486" s="8"/>
      <c r="AO486" s="8"/>
      <c r="AP486" s="8"/>
      <c r="AQ486" s="8"/>
      <c r="AR486" s="8"/>
      <c r="AZ486" s="45"/>
      <c r="BA486" s="89"/>
      <c r="BB486" s="89"/>
      <c r="BC486" s="89"/>
      <c r="BD486" s="89"/>
      <c r="BE486" s="89"/>
      <c r="BF486" s="89"/>
      <c r="BG486" s="89"/>
      <c r="BH486" s="89"/>
      <c r="BI486" s="89"/>
      <c r="BJ486" s="89"/>
      <c r="BK486" s="91"/>
      <c r="BL486" s="66"/>
      <c r="BM486" s="94"/>
      <c r="BN486" s="94"/>
      <c r="BO486" s="92"/>
      <c r="BP486" s="93"/>
      <c r="BQ486" s="23"/>
      <c r="BR486" s="94"/>
      <c r="BS486" s="94"/>
      <c r="BT486" s="94"/>
      <c r="BU486" s="94"/>
      <c r="BV486" s="95"/>
      <c r="BW486" s="91"/>
      <c r="BX486" s="95"/>
      <c r="BY486" s="8"/>
      <c r="BZ486" s="96"/>
      <c r="CA486" s="91"/>
      <c r="CB486" s="97"/>
      <c r="CC486" s="8"/>
      <c r="CD486" s="91"/>
      <c r="CE486" s="98"/>
      <c r="CF486" s="5"/>
      <c r="DK486" s="89"/>
      <c r="DL486" s="8"/>
      <c r="DM486" s="8"/>
      <c r="DN486" s="8"/>
      <c r="DO486" s="8"/>
      <c r="DP486" s="8"/>
      <c r="DQ486" s="8"/>
      <c r="DR486" s="8"/>
      <c r="DZ486" s="45"/>
      <c r="EA486" s="89"/>
      <c r="EB486" s="89"/>
      <c r="EC486" s="89"/>
      <c r="ED486" s="89"/>
      <c r="EE486" s="89"/>
      <c r="EF486" s="89"/>
      <c r="EG486" s="89"/>
      <c r="EH486" s="89"/>
      <c r="EI486" s="89"/>
      <c r="EJ486" s="89"/>
      <c r="EK486" s="91"/>
      <c r="EL486" s="66"/>
      <c r="EM486" s="94"/>
      <c r="EN486" s="94"/>
      <c r="EO486" s="92"/>
      <c r="EP486" s="93"/>
      <c r="EQ486" s="23"/>
      <c r="ER486" s="94"/>
      <c r="ES486" s="94"/>
      <c r="ET486" s="94"/>
      <c r="EU486" s="94"/>
      <c r="EV486" s="95"/>
      <c r="EW486" s="91"/>
      <c r="EX486" s="95"/>
      <c r="EY486" s="8"/>
      <c r="EZ486" s="96"/>
      <c r="FA486" s="91"/>
      <c r="FB486" s="97"/>
      <c r="FC486" s="8"/>
      <c r="FD486" s="91"/>
      <c r="FE486" s="98"/>
      <c r="FF486" s="5"/>
    </row>
    <row r="487" spans="37:162">
      <c r="AK487" s="89"/>
      <c r="AL487" s="8"/>
      <c r="AM487" s="8"/>
      <c r="AN487" s="8"/>
      <c r="AO487" s="8"/>
      <c r="AP487" s="8"/>
      <c r="AQ487" s="8"/>
      <c r="AR487" s="8"/>
      <c r="AZ487" s="45"/>
      <c r="BA487" s="89"/>
      <c r="BB487" s="89"/>
      <c r="BC487" s="89"/>
      <c r="BD487" s="89"/>
      <c r="BE487" s="89"/>
      <c r="BF487" s="89"/>
      <c r="BG487" s="89"/>
      <c r="BH487" s="89"/>
      <c r="BI487" s="89"/>
      <c r="BJ487" s="89"/>
      <c r="BK487" s="91"/>
      <c r="BL487" s="66"/>
      <c r="BM487" s="94"/>
      <c r="BN487" s="94"/>
      <c r="BO487" s="92"/>
      <c r="BP487" s="93"/>
      <c r="BQ487" s="23"/>
      <c r="BR487" s="94"/>
      <c r="BS487" s="94"/>
      <c r="BT487" s="94"/>
      <c r="BU487" s="94"/>
      <c r="BV487" s="95"/>
      <c r="BW487" s="91"/>
      <c r="BX487" s="95"/>
      <c r="BY487" s="8"/>
      <c r="BZ487" s="96"/>
      <c r="CA487" s="91"/>
      <c r="CB487" s="97"/>
      <c r="CC487" s="8"/>
      <c r="CD487" s="91"/>
      <c r="CE487" s="98"/>
      <c r="CF487" s="5"/>
      <c r="DK487" s="89"/>
      <c r="DL487" s="8"/>
      <c r="DM487" s="8"/>
      <c r="DN487" s="8"/>
      <c r="DO487" s="8"/>
      <c r="DP487" s="8"/>
      <c r="DQ487" s="8"/>
      <c r="DR487" s="8"/>
      <c r="DZ487" s="45"/>
      <c r="EA487" s="89"/>
      <c r="EB487" s="89"/>
      <c r="EC487" s="89"/>
      <c r="ED487" s="89"/>
      <c r="EE487" s="89"/>
      <c r="EF487" s="89"/>
      <c r="EG487" s="89"/>
      <c r="EH487" s="89"/>
      <c r="EI487" s="89"/>
      <c r="EJ487" s="89"/>
      <c r="EK487" s="91"/>
      <c r="EL487" s="66"/>
      <c r="EM487" s="94"/>
      <c r="EN487" s="94"/>
      <c r="EO487" s="92"/>
      <c r="EP487" s="93"/>
      <c r="EQ487" s="23"/>
      <c r="ER487" s="94"/>
      <c r="ES487" s="94"/>
      <c r="ET487" s="94"/>
      <c r="EU487" s="94"/>
      <c r="EV487" s="95"/>
      <c r="EW487" s="91"/>
      <c r="EX487" s="95"/>
      <c r="EY487" s="8"/>
      <c r="EZ487" s="96"/>
      <c r="FA487" s="91"/>
      <c r="FB487" s="97"/>
      <c r="FC487" s="8"/>
      <c r="FD487" s="91"/>
      <c r="FE487" s="98"/>
      <c r="FF487" s="5"/>
    </row>
    <row r="488" spans="37:162">
      <c r="AK488" s="89"/>
      <c r="AL488" s="8"/>
      <c r="AM488" s="8"/>
      <c r="AN488" s="8"/>
      <c r="AO488" s="8"/>
      <c r="AP488" s="8"/>
      <c r="AQ488" s="8"/>
      <c r="AR488" s="8"/>
      <c r="AZ488" s="45"/>
      <c r="BA488" s="89"/>
      <c r="BB488" s="89"/>
      <c r="BC488" s="89"/>
      <c r="BD488" s="89"/>
      <c r="BE488" s="89"/>
      <c r="BF488" s="89"/>
      <c r="BG488" s="89"/>
      <c r="BH488" s="89"/>
      <c r="BI488" s="89"/>
      <c r="BJ488" s="89"/>
      <c r="BK488" s="91"/>
      <c r="BL488" s="66"/>
      <c r="BM488" s="94"/>
      <c r="BN488" s="94"/>
      <c r="BO488" s="92"/>
      <c r="BP488" s="93"/>
      <c r="BQ488" s="23"/>
      <c r="BR488" s="94"/>
      <c r="BS488" s="94"/>
      <c r="BT488" s="94"/>
      <c r="BU488" s="94"/>
      <c r="BV488" s="95"/>
      <c r="BW488" s="91"/>
      <c r="BX488" s="95"/>
      <c r="BY488" s="8"/>
      <c r="BZ488" s="96"/>
      <c r="CA488" s="91"/>
      <c r="CB488" s="97"/>
      <c r="CC488" s="8"/>
      <c r="CD488" s="91"/>
      <c r="CE488" s="98"/>
      <c r="CF488" s="5"/>
      <c r="DK488" s="89"/>
      <c r="DL488" s="8"/>
      <c r="DM488" s="8"/>
      <c r="DN488" s="8"/>
      <c r="DO488" s="8"/>
      <c r="DP488" s="8"/>
      <c r="DQ488" s="8"/>
      <c r="DR488" s="8"/>
      <c r="DZ488" s="45"/>
      <c r="EA488" s="89"/>
      <c r="EB488" s="89"/>
      <c r="EC488" s="89"/>
      <c r="ED488" s="89"/>
      <c r="EE488" s="89"/>
      <c r="EF488" s="89"/>
      <c r="EG488" s="89"/>
      <c r="EH488" s="89"/>
      <c r="EI488" s="89"/>
      <c r="EJ488" s="89"/>
      <c r="EK488" s="91"/>
      <c r="EL488" s="66"/>
      <c r="EM488" s="94"/>
      <c r="EN488" s="94"/>
      <c r="EO488" s="92"/>
      <c r="EP488" s="93"/>
      <c r="EQ488" s="23"/>
      <c r="ER488" s="94"/>
      <c r="ES488" s="94"/>
      <c r="ET488" s="94"/>
      <c r="EU488" s="94"/>
      <c r="EV488" s="95"/>
      <c r="EW488" s="91"/>
      <c r="EX488" s="95"/>
      <c r="EY488" s="8"/>
      <c r="EZ488" s="96"/>
      <c r="FA488" s="91"/>
      <c r="FB488" s="97"/>
      <c r="FC488" s="8"/>
      <c r="FD488" s="91"/>
      <c r="FE488" s="98"/>
      <c r="FF488" s="5"/>
    </row>
    <row r="489" spans="37:162">
      <c r="AK489" s="89"/>
      <c r="AL489" s="8"/>
      <c r="AM489" s="8"/>
      <c r="AN489" s="8"/>
      <c r="AO489" s="8"/>
      <c r="AP489" s="8"/>
      <c r="AQ489" s="8"/>
      <c r="AR489" s="8"/>
      <c r="AZ489" s="45"/>
      <c r="BA489" s="89"/>
      <c r="BB489" s="89"/>
      <c r="BC489" s="89"/>
      <c r="BD489" s="89"/>
      <c r="BE489" s="89"/>
      <c r="BF489" s="89"/>
      <c r="BG489" s="89"/>
      <c r="BH489" s="89"/>
      <c r="BI489" s="89"/>
      <c r="BJ489" s="89"/>
      <c r="BK489" s="91"/>
      <c r="BL489" s="66"/>
      <c r="BM489" s="94"/>
      <c r="BN489" s="94"/>
      <c r="BO489" s="92"/>
      <c r="BP489" s="93"/>
      <c r="BQ489" s="23"/>
      <c r="BR489" s="94"/>
      <c r="BS489" s="94"/>
      <c r="BT489" s="94"/>
      <c r="BU489" s="94"/>
      <c r="BV489" s="95"/>
      <c r="BW489" s="91"/>
      <c r="BX489" s="95"/>
      <c r="BY489" s="8"/>
      <c r="BZ489" s="96"/>
      <c r="CA489" s="91"/>
      <c r="CB489" s="97"/>
      <c r="CC489" s="8"/>
      <c r="CD489" s="91"/>
      <c r="CE489" s="98"/>
      <c r="CF489" s="5"/>
      <c r="DK489" s="89"/>
      <c r="DL489" s="8"/>
      <c r="DM489" s="8"/>
      <c r="DN489" s="8"/>
      <c r="DO489" s="8"/>
      <c r="DP489" s="8"/>
      <c r="DQ489" s="8"/>
      <c r="DR489" s="8"/>
      <c r="DZ489" s="45"/>
      <c r="EA489" s="89"/>
      <c r="EB489" s="89"/>
      <c r="EC489" s="89"/>
      <c r="ED489" s="89"/>
      <c r="EE489" s="89"/>
      <c r="EF489" s="89"/>
      <c r="EG489" s="89"/>
      <c r="EH489" s="89"/>
      <c r="EI489" s="89"/>
      <c r="EJ489" s="89"/>
      <c r="EK489" s="91"/>
      <c r="EL489" s="66"/>
      <c r="EM489" s="94"/>
      <c r="EN489" s="94"/>
      <c r="EO489" s="92"/>
      <c r="EP489" s="93"/>
      <c r="EQ489" s="23"/>
      <c r="ER489" s="94"/>
      <c r="ES489" s="94"/>
      <c r="ET489" s="94"/>
      <c r="EU489" s="94"/>
      <c r="EV489" s="95"/>
      <c r="EW489" s="91"/>
      <c r="EX489" s="95"/>
      <c r="EY489" s="8"/>
      <c r="EZ489" s="96"/>
      <c r="FA489" s="91"/>
      <c r="FB489" s="97"/>
      <c r="FC489" s="8"/>
      <c r="FD489" s="91"/>
      <c r="FE489" s="98"/>
      <c r="FF489" s="5"/>
    </row>
    <row r="490" spans="37:162">
      <c r="AK490" s="89"/>
      <c r="AL490" s="8"/>
      <c r="AM490" s="8"/>
      <c r="AN490" s="8"/>
      <c r="AO490" s="8"/>
      <c r="AP490" s="8"/>
      <c r="AQ490" s="8"/>
      <c r="AR490" s="8"/>
      <c r="AZ490" s="45"/>
      <c r="BA490" s="89"/>
      <c r="BB490" s="89"/>
      <c r="BC490" s="89"/>
      <c r="BD490" s="89"/>
      <c r="BE490" s="89"/>
      <c r="BF490" s="89"/>
      <c r="BG490" s="89"/>
      <c r="BH490" s="89"/>
      <c r="BI490" s="89"/>
      <c r="BJ490" s="89"/>
      <c r="BK490" s="91"/>
      <c r="BL490" s="66"/>
      <c r="BM490" s="94"/>
      <c r="BN490" s="94"/>
      <c r="BO490" s="92"/>
      <c r="BP490" s="93"/>
      <c r="BQ490" s="23"/>
      <c r="BR490" s="94"/>
      <c r="BS490" s="94"/>
      <c r="BT490" s="94"/>
      <c r="BU490" s="94"/>
      <c r="BV490" s="95"/>
      <c r="BW490" s="91"/>
      <c r="BX490" s="95"/>
      <c r="BY490" s="8"/>
      <c r="BZ490" s="96"/>
      <c r="CA490" s="91"/>
      <c r="CB490" s="97"/>
      <c r="CC490" s="8"/>
      <c r="CD490" s="91"/>
      <c r="CE490" s="98"/>
      <c r="CF490" s="5"/>
      <c r="DK490" s="89"/>
      <c r="DL490" s="8"/>
      <c r="DM490" s="8"/>
      <c r="DN490" s="8"/>
      <c r="DO490" s="8"/>
      <c r="DP490" s="8"/>
      <c r="DQ490" s="8"/>
      <c r="DR490" s="8"/>
      <c r="DZ490" s="45"/>
      <c r="EA490" s="89"/>
      <c r="EB490" s="89"/>
      <c r="EC490" s="89"/>
      <c r="ED490" s="89"/>
      <c r="EE490" s="89"/>
      <c r="EF490" s="89"/>
      <c r="EG490" s="89"/>
      <c r="EH490" s="89"/>
      <c r="EI490" s="89"/>
      <c r="EJ490" s="89"/>
      <c r="EK490" s="91"/>
      <c r="EL490" s="66"/>
      <c r="EM490" s="94"/>
      <c r="EN490" s="94"/>
      <c r="EO490" s="92"/>
      <c r="EP490" s="93"/>
      <c r="EQ490" s="23"/>
      <c r="ER490" s="94"/>
      <c r="ES490" s="94"/>
      <c r="ET490" s="94"/>
      <c r="EU490" s="94"/>
      <c r="EV490" s="95"/>
      <c r="EW490" s="91"/>
      <c r="EX490" s="95"/>
      <c r="EY490" s="8"/>
      <c r="EZ490" s="96"/>
      <c r="FA490" s="91"/>
      <c r="FB490" s="97"/>
      <c r="FC490" s="8"/>
      <c r="FD490" s="91"/>
      <c r="FE490" s="98"/>
      <c r="FF490" s="5"/>
    </row>
    <row r="491" spans="37:162">
      <c r="AK491" s="89"/>
      <c r="AL491" s="8"/>
      <c r="AM491" s="8"/>
      <c r="AN491" s="8"/>
      <c r="AO491" s="8"/>
      <c r="AP491" s="8"/>
      <c r="AQ491" s="8"/>
      <c r="AR491" s="8"/>
      <c r="AZ491" s="45"/>
      <c r="BA491" s="89"/>
      <c r="BB491" s="89"/>
      <c r="BC491" s="89"/>
      <c r="BD491" s="89"/>
      <c r="BE491" s="89"/>
      <c r="BF491" s="89"/>
      <c r="BG491" s="89"/>
      <c r="BH491" s="89"/>
      <c r="BI491" s="89"/>
      <c r="BJ491" s="89"/>
      <c r="BK491" s="91"/>
      <c r="BL491" s="66"/>
      <c r="BM491" s="94"/>
      <c r="BN491" s="94"/>
      <c r="BO491" s="92"/>
      <c r="BP491" s="93"/>
      <c r="BQ491" s="23"/>
      <c r="BR491" s="94"/>
      <c r="BS491" s="94"/>
      <c r="BT491" s="94"/>
      <c r="BU491" s="94"/>
      <c r="BV491" s="95"/>
      <c r="BW491" s="91"/>
      <c r="BX491" s="95"/>
      <c r="BY491" s="8"/>
      <c r="BZ491" s="96"/>
      <c r="CA491" s="91"/>
      <c r="CB491" s="97"/>
      <c r="CC491" s="8"/>
      <c r="CD491" s="91"/>
      <c r="CE491" s="98"/>
      <c r="CF491" s="5"/>
      <c r="DK491" s="89"/>
      <c r="DL491" s="8"/>
      <c r="DM491" s="8"/>
      <c r="DN491" s="8"/>
      <c r="DO491" s="8"/>
      <c r="DP491" s="8"/>
      <c r="DQ491" s="8"/>
      <c r="DR491" s="8"/>
      <c r="DZ491" s="45"/>
      <c r="EA491" s="89"/>
      <c r="EB491" s="89"/>
      <c r="EC491" s="89"/>
      <c r="ED491" s="89"/>
      <c r="EE491" s="89"/>
      <c r="EF491" s="89"/>
      <c r="EG491" s="89"/>
      <c r="EH491" s="89"/>
      <c r="EI491" s="89"/>
      <c r="EJ491" s="89"/>
      <c r="EK491" s="91"/>
      <c r="EL491" s="66"/>
      <c r="EM491" s="94"/>
      <c r="EN491" s="94"/>
      <c r="EO491" s="92"/>
      <c r="EP491" s="93"/>
      <c r="EQ491" s="23"/>
      <c r="ER491" s="94"/>
      <c r="ES491" s="94"/>
      <c r="ET491" s="94"/>
      <c r="EU491" s="94"/>
      <c r="EV491" s="95"/>
      <c r="EW491" s="91"/>
      <c r="EX491" s="95"/>
      <c r="EY491" s="8"/>
      <c r="EZ491" s="96"/>
      <c r="FA491" s="91"/>
      <c r="FB491" s="97"/>
      <c r="FC491" s="8"/>
      <c r="FD491" s="91"/>
      <c r="FE491" s="98"/>
      <c r="FF491" s="5"/>
    </row>
    <row r="492" spans="37:162">
      <c r="AK492" s="89"/>
      <c r="AL492" s="8"/>
      <c r="AM492" s="8"/>
      <c r="AN492" s="8"/>
      <c r="AO492" s="8"/>
      <c r="AP492" s="8"/>
      <c r="AQ492" s="8"/>
      <c r="AR492" s="8"/>
      <c r="AZ492" s="45"/>
      <c r="BA492" s="89"/>
      <c r="BB492" s="89"/>
      <c r="BC492" s="89"/>
      <c r="BD492" s="89"/>
      <c r="BE492" s="89"/>
      <c r="BF492" s="89"/>
      <c r="BG492" s="89"/>
      <c r="BH492" s="89"/>
      <c r="BI492" s="89"/>
      <c r="BJ492" s="89"/>
      <c r="BK492" s="91"/>
      <c r="BL492" s="66"/>
      <c r="BM492" s="94"/>
      <c r="BN492" s="94"/>
      <c r="BO492" s="92"/>
      <c r="BP492" s="93"/>
      <c r="BQ492" s="23"/>
      <c r="BR492" s="94"/>
      <c r="BS492" s="94"/>
      <c r="BT492" s="94"/>
      <c r="BU492" s="94"/>
      <c r="BV492" s="95"/>
      <c r="BW492" s="91"/>
      <c r="BX492" s="95"/>
      <c r="BY492" s="8"/>
      <c r="BZ492" s="96"/>
      <c r="CA492" s="91"/>
      <c r="CB492" s="97"/>
      <c r="CC492" s="8"/>
      <c r="CD492" s="91"/>
      <c r="CE492" s="98"/>
      <c r="CF492" s="5"/>
      <c r="DK492" s="89"/>
      <c r="DL492" s="8"/>
      <c r="DM492" s="8"/>
      <c r="DN492" s="8"/>
      <c r="DO492" s="8"/>
      <c r="DP492" s="8"/>
      <c r="DQ492" s="8"/>
      <c r="DR492" s="8"/>
      <c r="DZ492" s="45"/>
      <c r="EA492" s="89"/>
      <c r="EB492" s="89"/>
      <c r="EC492" s="89"/>
      <c r="ED492" s="89"/>
      <c r="EE492" s="89"/>
      <c r="EF492" s="89"/>
      <c r="EG492" s="89"/>
      <c r="EH492" s="89"/>
      <c r="EI492" s="89"/>
      <c r="EJ492" s="89"/>
      <c r="EK492" s="91"/>
      <c r="EL492" s="66"/>
      <c r="EM492" s="94"/>
      <c r="EN492" s="94"/>
      <c r="EO492" s="92"/>
      <c r="EP492" s="93"/>
      <c r="EQ492" s="23"/>
      <c r="ER492" s="94"/>
      <c r="ES492" s="94"/>
      <c r="ET492" s="94"/>
      <c r="EU492" s="94"/>
      <c r="EV492" s="95"/>
      <c r="EW492" s="91"/>
      <c r="EX492" s="95"/>
      <c r="EY492" s="8"/>
      <c r="EZ492" s="96"/>
      <c r="FA492" s="91"/>
      <c r="FB492" s="97"/>
      <c r="FC492" s="8"/>
      <c r="FD492" s="91"/>
      <c r="FE492" s="98"/>
      <c r="FF492" s="5"/>
    </row>
    <row r="493" spans="37:162">
      <c r="AK493" s="89"/>
      <c r="AL493" s="8"/>
      <c r="AM493" s="8"/>
      <c r="AN493" s="8"/>
      <c r="AO493" s="8"/>
      <c r="AP493" s="8"/>
      <c r="AQ493" s="8"/>
      <c r="AR493" s="8"/>
      <c r="AZ493" s="45"/>
      <c r="BA493" s="89"/>
      <c r="BB493" s="89"/>
      <c r="BC493" s="89"/>
      <c r="BD493" s="89"/>
      <c r="BE493" s="89"/>
      <c r="BF493" s="89"/>
      <c r="BG493" s="89"/>
      <c r="BH493" s="89"/>
      <c r="BI493" s="89"/>
      <c r="BJ493" s="89"/>
      <c r="BK493" s="91"/>
      <c r="BL493" s="66"/>
      <c r="BM493" s="94"/>
      <c r="BN493" s="94"/>
      <c r="BO493" s="92"/>
      <c r="BP493" s="93"/>
      <c r="BQ493" s="23"/>
      <c r="BR493" s="94"/>
      <c r="BS493" s="94"/>
      <c r="BT493" s="94"/>
      <c r="BU493" s="94"/>
      <c r="BV493" s="95"/>
      <c r="BW493" s="91"/>
      <c r="BX493" s="95"/>
      <c r="BY493" s="8"/>
      <c r="BZ493" s="96"/>
      <c r="CA493" s="91"/>
      <c r="CB493" s="97"/>
      <c r="CC493" s="8"/>
      <c r="CD493" s="91"/>
      <c r="CE493" s="98"/>
      <c r="CF493" s="5"/>
      <c r="DK493" s="89"/>
      <c r="DL493" s="8"/>
      <c r="DM493" s="8"/>
      <c r="DN493" s="8"/>
      <c r="DO493" s="8"/>
      <c r="DP493" s="8"/>
      <c r="DQ493" s="8"/>
      <c r="DR493" s="8"/>
      <c r="DZ493" s="45"/>
      <c r="EA493" s="89"/>
      <c r="EB493" s="89"/>
      <c r="EC493" s="89"/>
      <c r="ED493" s="89"/>
      <c r="EE493" s="89"/>
      <c r="EF493" s="89"/>
      <c r="EG493" s="89"/>
      <c r="EH493" s="89"/>
      <c r="EI493" s="89"/>
      <c r="EJ493" s="89"/>
      <c r="EK493" s="91"/>
      <c r="EL493" s="66"/>
      <c r="EM493" s="94"/>
      <c r="EN493" s="94"/>
      <c r="EO493" s="92"/>
      <c r="EP493" s="93"/>
      <c r="EQ493" s="23"/>
      <c r="ER493" s="94"/>
      <c r="ES493" s="94"/>
      <c r="ET493" s="94"/>
      <c r="EU493" s="94"/>
      <c r="EV493" s="95"/>
      <c r="EW493" s="91"/>
      <c r="EX493" s="95"/>
      <c r="EY493" s="8"/>
      <c r="EZ493" s="96"/>
      <c r="FA493" s="91"/>
      <c r="FB493" s="97"/>
      <c r="FC493" s="8"/>
      <c r="FD493" s="91"/>
      <c r="FE493" s="98"/>
      <c r="FF493" s="5"/>
    </row>
    <row r="494" spans="37:162">
      <c r="AK494" s="89"/>
      <c r="AL494" s="8"/>
      <c r="AM494" s="8"/>
      <c r="AN494" s="8"/>
      <c r="AO494" s="8"/>
      <c r="AP494" s="8"/>
      <c r="AQ494" s="8"/>
      <c r="AR494" s="8"/>
      <c r="AZ494" s="45"/>
      <c r="BA494" s="89"/>
      <c r="BB494" s="89"/>
      <c r="BC494" s="89"/>
      <c r="BD494" s="89"/>
      <c r="BE494" s="89"/>
      <c r="BF494" s="89"/>
      <c r="BG494" s="89"/>
      <c r="BH494" s="89"/>
      <c r="BI494" s="89"/>
      <c r="BJ494" s="89"/>
      <c r="BK494" s="91"/>
      <c r="BL494" s="66"/>
      <c r="BM494" s="94"/>
      <c r="BN494" s="94"/>
      <c r="BO494" s="92"/>
      <c r="BP494" s="93"/>
      <c r="BQ494" s="23"/>
      <c r="BR494" s="94"/>
      <c r="BS494" s="94"/>
      <c r="BT494" s="94"/>
      <c r="BU494" s="94"/>
      <c r="BV494" s="95"/>
      <c r="BW494" s="91"/>
      <c r="BX494" s="95"/>
      <c r="BY494" s="8"/>
      <c r="BZ494" s="96"/>
      <c r="CA494" s="91"/>
      <c r="CB494" s="97"/>
      <c r="CC494" s="8"/>
      <c r="CD494" s="91"/>
      <c r="CE494" s="98"/>
      <c r="CF494" s="5"/>
      <c r="DK494" s="89"/>
      <c r="DL494" s="8"/>
      <c r="DM494" s="8"/>
      <c r="DN494" s="8"/>
      <c r="DO494" s="8"/>
      <c r="DP494" s="8"/>
      <c r="DQ494" s="8"/>
      <c r="DR494" s="8"/>
      <c r="DZ494" s="45"/>
      <c r="EA494" s="89"/>
      <c r="EB494" s="89"/>
      <c r="EC494" s="89"/>
      <c r="ED494" s="89"/>
      <c r="EE494" s="89"/>
      <c r="EF494" s="89"/>
      <c r="EG494" s="89"/>
      <c r="EH494" s="89"/>
      <c r="EI494" s="89"/>
      <c r="EJ494" s="89"/>
      <c r="EK494" s="91"/>
      <c r="EL494" s="66"/>
      <c r="EM494" s="94"/>
      <c r="EN494" s="94"/>
      <c r="EO494" s="92"/>
      <c r="EP494" s="93"/>
      <c r="EQ494" s="23"/>
      <c r="ER494" s="94"/>
      <c r="ES494" s="94"/>
      <c r="ET494" s="94"/>
      <c r="EU494" s="94"/>
      <c r="EV494" s="95"/>
      <c r="EW494" s="91"/>
      <c r="EX494" s="95"/>
      <c r="EY494" s="8"/>
      <c r="EZ494" s="96"/>
      <c r="FA494" s="91"/>
      <c r="FB494" s="97"/>
      <c r="FC494" s="8"/>
      <c r="FD494" s="91"/>
      <c r="FE494" s="98"/>
      <c r="FF494" s="5"/>
    </row>
    <row r="495" spans="37:162">
      <c r="AK495" s="89"/>
      <c r="AL495" s="8"/>
      <c r="AM495" s="8"/>
      <c r="AN495" s="8"/>
      <c r="AO495" s="8"/>
      <c r="AP495" s="8"/>
      <c r="AQ495" s="8"/>
      <c r="AR495" s="8"/>
      <c r="AZ495" s="45"/>
      <c r="BA495" s="89"/>
      <c r="BB495" s="89"/>
      <c r="BC495" s="89"/>
      <c r="BD495" s="89"/>
      <c r="BE495" s="89"/>
      <c r="BF495" s="89"/>
      <c r="BG495" s="89"/>
      <c r="BH495" s="89"/>
      <c r="BI495" s="89"/>
      <c r="BJ495" s="89"/>
      <c r="BK495" s="91"/>
      <c r="BL495" s="66"/>
      <c r="BM495" s="94"/>
      <c r="BN495" s="94"/>
      <c r="BO495" s="92"/>
      <c r="BP495" s="93"/>
      <c r="BQ495" s="23"/>
      <c r="BR495" s="94"/>
      <c r="BS495" s="94"/>
      <c r="BT495" s="94"/>
      <c r="BU495" s="94"/>
      <c r="BV495" s="95"/>
      <c r="BW495" s="91"/>
      <c r="BX495" s="95"/>
      <c r="BY495" s="8"/>
      <c r="BZ495" s="96"/>
      <c r="CA495" s="91"/>
      <c r="CB495" s="97"/>
      <c r="CC495" s="8"/>
      <c r="CD495" s="91"/>
      <c r="CE495" s="98"/>
      <c r="CF495" s="5"/>
      <c r="DK495" s="89"/>
      <c r="DL495" s="8"/>
      <c r="DM495" s="8"/>
      <c r="DN495" s="8"/>
      <c r="DO495" s="8"/>
      <c r="DP495" s="8"/>
      <c r="DQ495" s="8"/>
      <c r="DR495" s="8"/>
      <c r="DZ495" s="45"/>
      <c r="EA495" s="89"/>
      <c r="EB495" s="89"/>
      <c r="EC495" s="89"/>
      <c r="ED495" s="89"/>
      <c r="EE495" s="89"/>
      <c r="EF495" s="89"/>
      <c r="EG495" s="89"/>
      <c r="EH495" s="89"/>
      <c r="EI495" s="89"/>
      <c r="EJ495" s="89"/>
      <c r="EK495" s="91"/>
      <c r="EL495" s="66"/>
      <c r="EM495" s="94"/>
      <c r="EN495" s="94"/>
      <c r="EO495" s="92"/>
      <c r="EP495" s="93"/>
      <c r="EQ495" s="23"/>
      <c r="ER495" s="94"/>
      <c r="ES495" s="94"/>
      <c r="ET495" s="94"/>
      <c r="EU495" s="94"/>
      <c r="EV495" s="95"/>
      <c r="EW495" s="91"/>
      <c r="EX495" s="95"/>
      <c r="EY495" s="8"/>
      <c r="EZ495" s="96"/>
      <c r="FA495" s="91"/>
      <c r="FB495" s="97"/>
      <c r="FC495" s="8"/>
      <c r="FD495" s="91"/>
      <c r="FE495" s="98"/>
      <c r="FF495" s="5"/>
    </row>
    <row r="496" spans="37:162">
      <c r="AK496" s="89"/>
      <c r="AL496" s="8"/>
      <c r="AM496" s="8"/>
      <c r="AN496" s="8"/>
      <c r="AO496" s="8"/>
      <c r="AP496" s="8"/>
      <c r="AQ496" s="8"/>
      <c r="AR496" s="8"/>
      <c r="AZ496" s="45"/>
      <c r="BA496" s="89"/>
      <c r="BB496" s="89"/>
      <c r="BC496" s="89"/>
      <c r="BD496" s="89"/>
      <c r="BE496" s="89"/>
      <c r="BF496" s="89"/>
      <c r="BG496" s="89"/>
      <c r="BH496" s="89"/>
      <c r="BI496" s="89"/>
      <c r="BJ496" s="89"/>
      <c r="BK496" s="91"/>
      <c r="BL496" s="66"/>
      <c r="BM496" s="94"/>
      <c r="BN496" s="94"/>
      <c r="BO496" s="92"/>
      <c r="BP496" s="93"/>
      <c r="BQ496" s="23"/>
      <c r="BR496" s="94"/>
      <c r="BS496" s="94"/>
      <c r="BT496" s="94"/>
      <c r="BU496" s="94"/>
      <c r="BV496" s="95"/>
      <c r="BW496" s="91"/>
      <c r="BX496" s="95"/>
      <c r="BY496" s="8"/>
      <c r="BZ496" s="96"/>
      <c r="CA496" s="91"/>
      <c r="CB496" s="97"/>
      <c r="CC496" s="8"/>
      <c r="CD496" s="91"/>
      <c r="CE496" s="98"/>
      <c r="CF496" s="5"/>
      <c r="DK496" s="89"/>
      <c r="DL496" s="8"/>
      <c r="DM496" s="8"/>
      <c r="DN496" s="8"/>
      <c r="DO496" s="8"/>
      <c r="DP496" s="8"/>
      <c r="DQ496" s="8"/>
      <c r="DR496" s="8"/>
      <c r="DZ496" s="45"/>
      <c r="EA496" s="89"/>
      <c r="EB496" s="89"/>
      <c r="EC496" s="89"/>
      <c r="ED496" s="89"/>
      <c r="EE496" s="89"/>
      <c r="EF496" s="89"/>
      <c r="EG496" s="89"/>
      <c r="EH496" s="89"/>
      <c r="EI496" s="89"/>
      <c r="EJ496" s="89"/>
      <c r="EK496" s="91"/>
      <c r="EL496" s="66"/>
      <c r="EM496" s="94"/>
      <c r="EN496" s="94"/>
      <c r="EO496" s="92"/>
      <c r="EP496" s="93"/>
      <c r="EQ496" s="23"/>
      <c r="ER496" s="94"/>
      <c r="ES496" s="94"/>
      <c r="ET496" s="94"/>
      <c r="EU496" s="94"/>
      <c r="EV496" s="95"/>
      <c r="EW496" s="91"/>
      <c r="EX496" s="95"/>
      <c r="EY496" s="8"/>
      <c r="EZ496" s="96"/>
      <c r="FA496" s="91"/>
      <c r="FB496" s="97"/>
      <c r="FC496" s="8"/>
      <c r="FD496" s="91"/>
      <c r="FE496" s="98"/>
      <c r="FF496" s="5"/>
    </row>
    <row r="497" spans="37:162">
      <c r="AK497" s="89"/>
      <c r="AL497" s="8"/>
      <c r="AM497" s="8"/>
      <c r="AN497" s="8"/>
      <c r="AO497" s="8"/>
      <c r="AP497" s="8"/>
      <c r="AQ497" s="8"/>
      <c r="AR497" s="8"/>
      <c r="AZ497" s="45"/>
      <c r="BA497" s="89"/>
      <c r="BB497" s="89"/>
      <c r="BC497" s="89"/>
      <c r="BD497" s="89"/>
      <c r="BE497" s="89"/>
      <c r="BF497" s="89"/>
      <c r="BG497" s="89"/>
      <c r="BH497" s="89"/>
      <c r="BI497" s="89"/>
      <c r="BJ497" s="89"/>
      <c r="BK497" s="91"/>
      <c r="BL497" s="66"/>
      <c r="BM497" s="94"/>
      <c r="BN497" s="94"/>
      <c r="BO497" s="92"/>
      <c r="BP497" s="93"/>
      <c r="BQ497" s="23"/>
      <c r="BR497" s="94"/>
      <c r="BS497" s="94"/>
      <c r="BT497" s="94"/>
      <c r="BU497" s="94"/>
      <c r="BV497" s="95"/>
      <c r="BW497" s="91"/>
      <c r="BX497" s="95"/>
      <c r="BY497" s="8"/>
      <c r="BZ497" s="96"/>
      <c r="CA497" s="91"/>
      <c r="CB497" s="97"/>
      <c r="CC497" s="8"/>
      <c r="CD497" s="91"/>
      <c r="CE497" s="98"/>
      <c r="CF497" s="5"/>
      <c r="DK497" s="89"/>
      <c r="DL497" s="8"/>
      <c r="DM497" s="8"/>
      <c r="DN497" s="8"/>
      <c r="DO497" s="8"/>
      <c r="DP497" s="8"/>
      <c r="DQ497" s="8"/>
      <c r="DR497" s="8"/>
      <c r="DZ497" s="45"/>
      <c r="EA497" s="89"/>
      <c r="EB497" s="89"/>
      <c r="EC497" s="89"/>
      <c r="ED497" s="89"/>
      <c r="EE497" s="89"/>
      <c r="EF497" s="89"/>
      <c r="EG497" s="89"/>
      <c r="EH497" s="89"/>
      <c r="EI497" s="89"/>
      <c r="EJ497" s="89"/>
      <c r="EK497" s="91"/>
      <c r="EL497" s="66"/>
      <c r="EM497" s="94"/>
      <c r="EN497" s="94"/>
      <c r="EO497" s="92"/>
      <c r="EP497" s="93"/>
      <c r="EQ497" s="23"/>
      <c r="ER497" s="94"/>
      <c r="ES497" s="94"/>
      <c r="ET497" s="94"/>
      <c r="EU497" s="94"/>
      <c r="EV497" s="95"/>
      <c r="EW497" s="91"/>
      <c r="EX497" s="95"/>
      <c r="EY497" s="8"/>
      <c r="EZ497" s="96"/>
      <c r="FA497" s="91"/>
      <c r="FB497" s="97"/>
      <c r="FC497" s="8"/>
      <c r="FD497" s="91"/>
      <c r="FE497" s="98"/>
      <c r="FF497" s="5"/>
    </row>
    <row r="498" spans="37:162">
      <c r="AK498" s="89"/>
      <c r="AL498" s="8"/>
      <c r="AM498" s="8"/>
      <c r="AN498" s="8"/>
      <c r="AO498" s="8"/>
      <c r="AP498" s="8"/>
      <c r="AQ498" s="8"/>
      <c r="AR498" s="8"/>
      <c r="AZ498" s="45"/>
      <c r="BA498" s="89"/>
      <c r="BB498" s="89"/>
      <c r="BC498" s="89"/>
      <c r="BD498" s="89"/>
      <c r="BE498" s="89"/>
      <c r="BF498" s="89"/>
      <c r="BG498" s="89"/>
      <c r="BH498" s="89"/>
      <c r="BI498" s="89"/>
      <c r="BJ498" s="89"/>
      <c r="BK498" s="91"/>
      <c r="BL498" s="66"/>
      <c r="BM498" s="94"/>
      <c r="BN498" s="94"/>
      <c r="BO498" s="92"/>
      <c r="BP498" s="93"/>
      <c r="BQ498" s="23"/>
      <c r="BR498" s="94"/>
      <c r="BS498" s="94"/>
      <c r="BT498" s="94"/>
      <c r="BU498" s="94"/>
      <c r="BV498" s="95"/>
      <c r="BW498" s="91"/>
      <c r="BX498" s="95"/>
      <c r="BY498" s="8"/>
      <c r="BZ498" s="96"/>
      <c r="CA498" s="91"/>
      <c r="CB498" s="97"/>
      <c r="CC498" s="8"/>
      <c r="CD498" s="91"/>
      <c r="CE498" s="98"/>
      <c r="CF498" s="5"/>
      <c r="DK498" s="89"/>
      <c r="DL498" s="8"/>
      <c r="DM498" s="8"/>
      <c r="DN498" s="8"/>
      <c r="DO498" s="8"/>
      <c r="DP498" s="8"/>
      <c r="DQ498" s="8"/>
      <c r="DR498" s="8"/>
      <c r="DZ498" s="45"/>
      <c r="EA498" s="89"/>
      <c r="EB498" s="89"/>
      <c r="EC498" s="89"/>
      <c r="ED498" s="89"/>
      <c r="EE498" s="89"/>
      <c r="EF498" s="89"/>
      <c r="EG498" s="89"/>
      <c r="EH498" s="89"/>
      <c r="EI498" s="89"/>
      <c r="EJ498" s="89"/>
      <c r="EK498" s="91"/>
      <c r="EL498" s="66"/>
      <c r="EM498" s="94"/>
      <c r="EN498" s="94"/>
      <c r="EO498" s="92"/>
      <c r="EP498" s="93"/>
      <c r="EQ498" s="23"/>
      <c r="ER498" s="94"/>
      <c r="ES498" s="94"/>
      <c r="ET498" s="94"/>
      <c r="EU498" s="94"/>
      <c r="EV498" s="95"/>
      <c r="EW498" s="91"/>
      <c r="EX498" s="95"/>
      <c r="EY498" s="8"/>
      <c r="EZ498" s="96"/>
      <c r="FA498" s="91"/>
      <c r="FB498" s="97"/>
      <c r="FC498" s="8"/>
      <c r="FD498" s="91"/>
      <c r="FE498" s="98"/>
      <c r="FF498" s="5"/>
    </row>
    <row r="499" spans="37:162">
      <c r="AK499" s="89"/>
      <c r="AL499" s="8"/>
      <c r="AM499" s="8"/>
      <c r="AN499" s="8"/>
      <c r="AO499" s="8"/>
      <c r="AP499" s="8"/>
      <c r="AQ499" s="8"/>
      <c r="AR499" s="8"/>
      <c r="AZ499" s="45"/>
      <c r="BA499" s="89"/>
      <c r="BB499" s="89"/>
      <c r="BC499" s="89"/>
      <c r="BD499" s="89"/>
      <c r="BE499" s="89"/>
      <c r="BF499" s="89"/>
      <c r="BG499" s="89"/>
      <c r="BH499" s="89"/>
      <c r="BI499" s="89"/>
      <c r="BJ499" s="89"/>
      <c r="BK499" s="91"/>
      <c r="BL499" s="66"/>
      <c r="BM499" s="94"/>
      <c r="BN499" s="94"/>
      <c r="BO499" s="92"/>
      <c r="BP499" s="93"/>
      <c r="BQ499" s="23"/>
      <c r="BR499" s="94"/>
      <c r="BS499" s="94"/>
      <c r="BT499" s="94"/>
      <c r="BU499" s="94"/>
      <c r="BV499" s="95"/>
      <c r="BW499" s="91"/>
      <c r="BX499" s="95"/>
      <c r="BY499" s="8"/>
      <c r="BZ499" s="96"/>
      <c r="CA499" s="91"/>
      <c r="CB499" s="97"/>
      <c r="CC499" s="8"/>
      <c r="CD499" s="91"/>
      <c r="CE499" s="98"/>
      <c r="CF499" s="5"/>
      <c r="DK499" s="89"/>
      <c r="DL499" s="8"/>
      <c r="DM499" s="8"/>
      <c r="DN499" s="8"/>
      <c r="DO499" s="8"/>
      <c r="DP499" s="8"/>
      <c r="DQ499" s="8"/>
      <c r="DR499" s="8"/>
      <c r="DZ499" s="45"/>
      <c r="EA499" s="89"/>
      <c r="EB499" s="89"/>
      <c r="EC499" s="89"/>
      <c r="ED499" s="89"/>
      <c r="EE499" s="89"/>
      <c r="EF499" s="89"/>
      <c r="EG499" s="89"/>
      <c r="EH499" s="89"/>
      <c r="EI499" s="89"/>
      <c r="EJ499" s="89"/>
      <c r="EK499" s="91"/>
      <c r="EL499" s="66"/>
      <c r="EM499" s="94"/>
      <c r="EN499" s="94"/>
      <c r="EO499" s="92"/>
      <c r="EP499" s="93"/>
      <c r="EQ499" s="23"/>
      <c r="ER499" s="94"/>
      <c r="ES499" s="94"/>
      <c r="ET499" s="94"/>
      <c r="EU499" s="94"/>
      <c r="EV499" s="95"/>
      <c r="EW499" s="91"/>
      <c r="EX499" s="95"/>
      <c r="EY499" s="8"/>
      <c r="EZ499" s="96"/>
      <c r="FA499" s="91"/>
      <c r="FB499" s="97"/>
      <c r="FC499" s="8"/>
      <c r="FD499" s="91"/>
      <c r="FE499" s="98"/>
      <c r="FF499" s="5"/>
    </row>
    <row r="500" spans="37:162">
      <c r="AK500" s="89"/>
      <c r="AL500" s="8"/>
      <c r="AM500" s="8"/>
      <c r="AN500" s="8"/>
      <c r="AO500" s="8"/>
      <c r="AP500" s="8"/>
      <c r="AQ500" s="8"/>
      <c r="AR500" s="8"/>
      <c r="AZ500" s="45"/>
      <c r="BA500" s="89"/>
      <c r="BB500" s="89"/>
      <c r="BC500" s="89"/>
      <c r="BD500" s="89"/>
      <c r="BE500" s="89"/>
      <c r="BF500" s="89"/>
      <c r="BG500" s="89"/>
      <c r="BH500" s="89"/>
      <c r="BI500" s="89"/>
      <c r="BJ500" s="89"/>
      <c r="BK500" s="91"/>
      <c r="BL500" s="66"/>
      <c r="BM500" s="94"/>
      <c r="BN500" s="94"/>
      <c r="BO500" s="92"/>
      <c r="BP500" s="93"/>
      <c r="BQ500" s="23"/>
      <c r="BR500" s="94"/>
      <c r="BS500" s="94"/>
      <c r="BT500" s="94"/>
      <c r="BU500" s="94"/>
      <c r="BV500" s="95"/>
      <c r="BW500" s="91"/>
      <c r="BX500" s="95"/>
      <c r="BY500" s="8"/>
      <c r="BZ500" s="96"/>
      <c r="CA500" s="91"/>
      <c r="CB500" s="97"/>
      <c r="CC500" s="8"/>
      <c r="CD500" s="91"/>
      <c r="CE500" s="98"/>
      <c r="CF500" s="5"/>
      <c r="DK500" s="89"/>
      <c r="DL500" s="8"/>
      <c r="DM500" s="8"/>
      <c r="DN500" s="8"/>
      <c r="DO500" s="8"/>
      <c r="DP500" s="8"/>
      <c r="DQ500" s="8"/>
      <c r="DR500" s="8"/>
      <c r="DZ500" s="45"/>
      <c r="EA500" s="89"/>
      <c r="EB500" s="89"/>
      <c r="EC500" s="89"/>
      <c r="ED500" s="89"/>
      <c r="EE500" s="89"/>
      <c r="EF500" s="89"/>
      <c r="EG500" s="89"/>
      <c r="EH500" s="89"/>
      <c r="EI500" s="89"/>
      <c r="EJ500" s="89"/>
      <c r="EK500" s="91"/>
      <c r="EL500" s="66"/>
      <c r="EM500" s="94"/>
      <c r="EN500" s="94"/>
      <c r="EO500" s="92"/>
      <c r="EP500" s="93"/>
      <c r="EQ500" s="23"/>
      <c r="ER500" s="94"/>
      <c r="ES500" s="94"/>
      <c r="ET500" s="94"/>
      <c r="EU500" s="94"/>
      <c r="EV500" s="95"/>
      <c r="EW500" s="91"/>
      <c r="EX500" s="95"/>
      <c r="EY500" s="8"/>
      <c r="EZ500" s="96"/>
      <c r="FA500" s="91"/>
      <c r="FB500" s="97"/>
      <c r="FC500" s="8"/>
      <c r="FD500" s="91"/>
      <c r="FE500" s="98"/>
      <c r="FF500" s="5"/>
    </row>
    <row r="501" spans="37:162">
      <c r="AK501" s="89"/>
      <c r="AL501" s="8"/>
      <c r="AM501" s="8"/>
      <c r="AN501" s="8"/>
      <c r="AO501" s="8"/>
      <c r="AP501" s="8"/>
      <c r="AQ501" s="8"/>
      <c r="AR501" s="8"/>
      <c r="AZ501" s="45"/>
      <c r="BA501" s="89"/>
      <c r="BB501" s="89"/>
      <c r="BC501" s="89"/>
      <c r="BD501" s="89"/>
      <c r="BE501" s="89"/>
      <c r="BF501" s="89"/>
      <c r="BG501" s="89"/>
      <c r="BH501" s="89"/>
      <c r="BI501" s="89"/>
      <c r="BJ501" s="89"/>
      <c r="BK501" s="91"/>
      <c r="BL501" s="66"/>
      <c r="BM501" s="94"/>
      <c r="BN501" s="94"/>
      <c r="BO501" s="92"/>
      <c r="BP501" s="93"/>
      <c r="BQ501" s="23"/>
      <c r="BR501" s="94"/>
      <c r="BS501" s="94"/>
      <c r="BT501" s="94"/>
      <c r="BU501" s="94"/>
      <c r="BV501" s="95"/>
      <c r="BW501" s="91"/>
      <c r="BX501" s="95"/>
      <c r="BY501" s="8"/>
      <c r="BZ501" s="96"/>
      <c r="CA501" s="91"/>
      <c r="CB501" s="97"/>
      <c r="CC501" s="8"/>
      <c r="CD501" s="91"/>
      <c r="CE501" s="98"/>
      <c r="CF501" s="5"/>
      <c r="DK501" s="89"/>
      <c r="DL501" s="8"/>
      <c r="DM501" s="8"/>
      <c r="DN501" s="8"/>
      <c r="DO501" s="8"/>
      <c r="DP501" s="8"/>
      <c r="DQ501" s="8"/>
      <c r="DR501" s="8"/>
      <c r="DZ501" s="45"/>
      <c r="EA501" s="89"/>
      <c r="EB501" s="89"/>
      <c r="EC501" s="89"/>
      <c r="ED501" s="89"/>
      <c r="EE501" s="89"/>
      <c r="EF501" s="89"/>
      <c r="EG501" s="89"/>
      <c r="EH501" s="89"/>
      <c r="EI501" s="89"/>
      <c r="EJ501" s="89"/>
      <c r="EK501" s="91"/>
      <c r="EL501" s="66"/>
      <c r="EM501" s="94"/>
      <c r="EN501" s="94"/>
      <c r="EO501" s="92"/>
      <c r="EP501" s="93"/>
      <c r="EQ501" s="23"/>
      <c r="ER501" s="94"/>
      <c r="ES501" s="94"/>
      <c r="ET501" s="94"/>
      <c r="EU501" s="94"/>
      <c r="EV501" s="95"/>
      <c r="EW501" s="91"/>
      <c r="EX501" s="95"/>
      <c r="EY501" s="8"/>
      <c r="EZ501" s="96"/>
      <c r="FA501" s="91"/>
      <c r="FB501" s="97"/>
      <c r="FC501" s="8"/>
      <c r="FD501" s="91"/>
      <c r="FE501" s="98"/>
      <c r="FF501" s="5"/>
    </row>
    <row r="502" spans="37:162">
      <c r="AK502" s="89"/>
      <c r="AL502" s="8"/>
      <c r="AM502" s="8"/>
      <c r="AN502" s="8"/>
      <c r="AO502" s="8"/>
      <c r="AP502" s="8"/>
      <c r="AQ502" s="8"/>
      <c r="AR502" s="8"/>
      <c r="AZ502" s="45"/>
      <c r="BA502" s="89"/>
      <c r="BB502" s="89"/>
      <c r="BC502" s="89"/>
      <c r="BD502" s="89"/>
      <c r="BE502" s="89"/>
      <c r="BF502" s="89"/>
      <c r="BG502" s="89"/>
      <c r="BH502" s="89"/>
      <c r="BI502" s="89"/>
      <c r="BJ502" s="89"/>
      <c r="BK502" s="91"/>
      <c r="BL502" s="66"/>
      <c r="BM502" s="94"/>
      <c r="BN502" s="94"/>
      <c r="BO502" s="92"/>
      <c r="BP502" s="93"/>
      <c r="BQ502" s="23"/>
      <c r="BR502" s="94"/>
      <c r="BS502" s="94"/>
      <c r="BT502" s="94"/>
      <c r="BU502" s="94"/>
      <c r="BV502" s="95"/>
      <c r="BW502" s="91"/>
      <c r="BX502" s="95"/>
      <c r="BY502" s="8"/>
      <c r="BZ502" s="96"/>
      <c r="CA502" s="91"/>
      <c r="CB502" s="97"/>
      <c r="CC502" s="8"/>
      <c r="CD502" s="91"/>
      <c r="CE502" s="98"/>
      <c r="CF502" s="5"/>
      <c r="DK502" s="89"/>
      <c r="DL502" s="8"/>
      <c r="DM502" s="8"/>
      <c r="DN502" s="8"/>
      <c r="DO502" s="8"/>
      <c r="DP502" s="8"/>
      <c r="DQ502" s="8"/>
      <c r="DR502" s="8"/>
      <c r="DZ502" s="45"/>
      <c r="EA502" s="89"/>
      <c r="EB502" s="89"/>
      <c r="EC502" s="89"/>
      <c r="ED502" s="89"/>
      <c r="EE502" s="89"/>
      <c r="EF502" s="89"/>
      <c r="EG502" s="89"/>
      <c r="EH502" s="89"/>
      <c r="EI502" s="89"/>
      <c r="EJ502" s="89"/>
      <c r="EK502" s="91"/>
      <c r="EL502" s="66"/>
      <c r="EM502" s="94"/>
      <c r="EN502" s="94"/>
      <c r="EO502" s="92"/>
      <c r="EP502" s="93"/>
      <c r="EQ502" s="23"/>
      <c r="ER502" s="94"/>
      <c r="ES502" s="94"/>
      <c r="ET502" s="94"/>
      <c r="EU502" s="94"/>
      <c r="EV502" s="95"/>
      <c r="EW502" s="91"/>
      <c r="EX502" s="95"/>
      <c r="EY502" s="8"/>
      <c r="EZ502" s="96"/>
      <c r="FA502" s="91"/>
      <c r="FB502" s="97"/>
      <c r="FC502" s="8"/>
      <c r="FD502" s="91"/>
      <c r="FE502" s="98"/>
      <c r="FF502" s="5"/>
    </row>
    <row r="503" spans="37:162">
      <c r="AK503" s="89"/>
      <c r="AL503" s="8"/>
      <c r="AM503" s="8"/>
      <c r="AN503" s="8"/>
      <c r="AO503" s="8"/>
      <c r="AP503" s="8"/>
      <c r="AQ503" s="8"/>
      <c r="AR503" s="8"/>
      <c r="AZ503" s="45"/>
      <c r="BA503" s="89"/>
      <c r="BB503" s="89"/>
      <c r="BC503" s="89"/>
      <c r="BD503" s="89"/>
      <c r="BE503" s="89"/>
      <c r="BF503" s="89"/>
      <c r="BG503" s="89"/>
      <c r="BH503" s="89"/>
      <c r="BI503" s="89"/>
      <c r="BJ503" s="89"/>
      <c r="BK503" s="91"/>
      <c r="BL503" s="66"/>
      <c r="BM503" s="94"/>
      <c r="BN503" s="94"/>
      <c r="BO503" s="92"/>
      <c r="BP503" s="93"/>
      <c r="BQ503" s="23"/>
      <c r="BR503" s="94"/>
      <c r="BS503" s="94"/>
      <c r="BT503" s="94"/>
      <c r="BU503" s="94"/>
      <c r="BV503" s="95"/>
      <c r="BW503" s="91"/>
      <c r="BX503" s="95"/>
      <c r="BY503" s="8"/>
      <c r="BZ503" s="96"/>
      <c r="CA503" s="91"/>
      <c r="CB503" s="97"/>
      <c r="CC503" s="8"/>
      <c r="CD503" s="91"/>
      <c r="CE503" s="98"/>
      <c r="CF503" s="5"/>
      <c r="DK503" s="89"/>
      <c r="DL503" s="8"/>
      <c r="DM503" s="8"/>
      <c r="DN503" s="8"/>
      <c r="DO503" s="8"/>
      <c r="DP503" s="8"/>
      <c r="DQ503" s="8"/>
      <c r="DR503" s="8"/>
      <c r="DZ503" s="45"/>
      <c r="EA503" s="89"/>
      <c r="EB503" s="89"/>
      <c r="EC503" s="89"/>
      <c r="ED503" s="89"/>
      <c r="EE503" s="89"/>
      <c r="EF503" s="89"/>
      <c r="EG503" s="89"/>
      <c r="EH503" s="89"/>
      <c r="EI503" s="89"/>
      <c r="EJ503" s="89"/>
      <c r="EK503" s="91"/>
      <c r="EL503" s="66"/>
      <c r="EM503" s="94"/>
      <c r="EN503" s="94"/>
      <c r="EO503" s="92"/>
      <c r="EP503" s="93"/>
      <c r="EQ503" s="23"/>
      <c r="ER503" s="94"/>
      <c r="ES503" s="94"/>
      <c r="ET503" s="94"/>
      <c r="EU503" s="94"/>
      <c r="EV503" s="95"/>
      <c r="EW503" s="91"/>
      <c r="EX503" s="95"/>
      <c r="EY503" s="8"/>
      <c r="EZ503" s="96"/>
      <c r="FA503" s="91"/>
      <c r="FB503" s="97"/>
      <c r="FC503" s="8"/>
      <c r="FD503" s="91"/>
      <c r="FE503" s="98"/>
      <c r="FF503" s="5"/>
    </row>
    <row r="504" spans="37:162">
      <c r="AK504" s="89"/>
      <c r="AL504" s="8"/>
      <c r="AM504" s="8"/>
      <c r="AN504" s="8"/>
      <c r="AO504" s="8"/>
      <c r="AP504" s="8"/>
      <c r="AQ504" s="8"/>
      <c r="AR504" s="8"/>
      <c r="AZ504" s="45"/>
      <c r="BA504" s="89"/>
      <c r="BB504" s="89"/>
      <c r="BC504" s="89"/>
      <c r="BD504" s="89"/>
      <c r="BE504" s="89"/>
      <c r="BF504" s="89"/>
      <c r="BG504" s="89"/>
      <c r="BH504" s="89"/>
      <c r="BI504" s="89"/>
      <c r="BJ504" s="89"/>
      <c r="BK504" s="91"/>
      <c r="BL504" s="66"/>
      <c r="BM504" s="94"/>
      <c r="BN504" s="94"/>
      <c r="BO504" s="92"/>
      <c r="BP504" s="93"/>
      <c r="BQ504" s="23"/>
      <c r="BR504" s="94"/>
      <c r="BS504" s="94"/>
      <c r="BT504" s="94"/>
      <c r="BU504" s="94"/>
      <c r="BV504" s="95"/>
      <c r="BW504" s="91"/>
      <c r="BX504" s="95"/>
      <c r="BY504" s="8"/>
      <c r="BZ504" s="96"/>
      <c r="CA504" s="91"/>
      <c r="CB504" s="97"/>
      <c r="CC504" s="8"/>
      <c r="CD504" s="91"/>
      <c r="CE504" s="98"/>
      <c r="CF504" s="5"/>
      <c r="DK504" s="89"/>
      <c r="DL504" s="8"/>
      <c r="DM504" s="8"/>
      <c r="DN504" s="8"/>
      <c r="DO504" s="8"/>
      <c r="DP504" s="8"/>
      <c r="DQ504" s="8"/>
      <c r="DR504" s="8"/>
      <c r="DZ504" s="45"/>
      <c r="EA504" s="89"/>
      <c r="EB504" s="89"/>
      <c r="EC504" s="89"/>
      <c r="ED504" s="89"/>
      <c r="EE504" s="89"/>
      <c r="EF504" s="89"/>
      <c r="EG504" s="89"/>
      <c r="EH504" s="89"/>
      <c r="EI504" s="89"/>
      <c r="EJ504" s="89"/>
      <c r="EK504" s="91"/>
      <c r="EL504" s="66"/>
      <c r="EM504" s="94"/>
      <c r="EN504" s="94"/>
      <c r="EO504" s="92"/>
      <c r="EP504" s="93"/>
      <c r="EQ504" s="23"/>
      <c r="ER504" s="94"/>
      <c r="ES504" s="94"/>
      <c r="ET504" s="94"/>
      <c r="EU504" s="94"/>
      <c r="EV504" s="95"/>
      <c r="EW504" s="91"/>
      <c r="EX504" s="95"/>
      <c r="EY504" s="8"/>
      <c r="EZ504" s="96"/>
      <c r="FA504" s="91"/>
      <c r="FB504" s="97"/>
      <c r="FC504" s="8"/>
      <c r="FD504" s="91"/>
      <c r="FE504" s="98"/>
      <c r="FF504" s="5"/>
    </row>
    <row r="505" spans="37:162">
      <c r="AK505" s="89"/>
      <c r="AL505" s="8"/>
      <c r="AM505" s="8"/>
      <c r="AN505" s="8"/>
      <c r="AO505" s="8"/>
      <c r="AP505" s="8"/>
      <c r="AQ505" s="8"/>
      <c r="AR505" s="8"/>
      <c r="AZ505" s="45"/>
      <c r="BA505" s="89"/>
      <c r="BB505" s="89"/>
      <c r="BC505" s="89"/>
      <c r="BD505" s="89"/>
      <c r="BE505" s="89"/>
      <c r="BF505" s="89"/>
      <c r="BG505" s="89"/>
      <c r="BH505" s="89"/>
      <c r="BI505" s="89"/>
      <c r="BJ505" s="89"/>
      <c r="BK505" s="91"/>
      <c r="BL505" s="66"/>
      <c r="BM505" s="94"/>
      <c r="BN505" s="94"/>
      <c r="BO505" s="92"/>
      <c r="BP505" s="93"/>
      <c r="BQ505" s="23"/>
      <c r="BR505" s="94"/>
      <c r="BS505" s="94"/>
      <c r="BT505" s="94"/>
      <c r="BU505" s="94"/>
      <c r="BV505" s="95"/>
      <c r="BW505" s="91"/>
      <c r="BX505" s="95"/>
      <c r="BY505" s="8"/>
      <c r="BZ505" s="96"/>
      <c r="CA505" s="91"/>
      <c r="CB505" s="97"/>
      <c r="CC505" s="8"/>
      <c r="CD505" s="91"/>
      <c r="CE505" s="98"/>
      <c r="CF505" s="5"/>
      <c r="DK505" s="89"/>
      <c r="DL505" s="8"/>
      <c r="DM505" s="8"/>
      <c r="DN505" s="8"/>
      <c r="DO505" s="8"/>
      <c r="DP505" s="8"/>
      <c r="DQ505" s="8"/>
      <c r="DR505" s="8"/>
      <c r="DZ505" s="45"/>
      <c r="EA505" s="89"/>
      <c r="EB505" s="89"/>
      <c r="EC505" s="89"/>
      <c r="ED505" s="89"/>
      <c r="EE505" s="89"/>
      <c r="EF505" s="89"/>
      <c r="EG505" s="89"/>
      <c r="EH505" s="89"/>
      <c r="EI505" s="89"/>
      <c r="EJ505" s="89"/>
      <c r="EK505" s="91"/>
      <c r="EL505" s="66"/>
      <c r="EM505" s="94"/>
      <c r="EN505" s="94"/>
      <c r="EO505" s="92"/>
      <c r="EP505" s="93"/>
      <c r="EQ505" s="23"/>
      <c r="ER505" s="94"/>
      <c r="ES505" s="94"/>
      <c r="ET505" s="94"/>
      <c r="EU505" s="94"/>
      <c r="EV505" s="95"/>
      <c r="EW505" s="91"/>
      <c r="EX505" s="95"/>
      <c r="EY505" s="8"/>
      <c r="EZ505" s="96"/>
      <c r="FA505" s="91"/>
      <c r="FB505" s="97"/>
      <c r="FC505" s="8"/>
      <c r="FD505" s="91"/>
      <c r="FE505" s="98"/>
      <c r="FF505" s="5"/>
    </row>
    <row r="506" spans="37:162">
      <c r="AK506" s="89"/>
      <c r="AL506" s="8"/>
      <c r="AM506" s="8"/>
      <c r="AN506" s="8"/>
      <c r="AO506" s="8"/>
      <c r="AP506" s="8"/>
      <c r="AQ506" s="8"/>
      <c r="AR506" s="8"/>
      <c r="AZ506" s="45"/>
      <c r="BA506" s="89"/>
      <c r="BB506" s="89"/>
      <c r="BC506" s="89"/>
      <c r="BD506" s="89"/>
      <c r="BE506" s="89"/>
      <c r="BF506" s="89"/>
      <c r="BG506" s="89"/>
      <c r="BH506" s="89"/>
      <c r="BI506" s="89"/>
      <c r="BJ506" s="89"/>
      <c r="BK506" s="91"/>
      <c r="BL506" s="66"/>
      <c r="BM506" s="94"/>
      <c r="BN506" s="94"/>
      <c r="BO506" s="92"/>
      <c r="BP506" s="93"/>
      <c r="BQ506" s="23"/>
      <c r="BR506" s="94"/>
      <c r="BS506" s="94"/>
      <c r="BT506" s="94"/>
      <c r="BU506" s="94"/>
      <c r="BV506" s="95"/>
      <c r="BW506" s="91"/>
      <c r="BX506" s="95"/>
      <c r="BY506" s="8"/>
      <c r="BZ506" s="96"/>
      <c r="CA506" s="91"/>
      <c r="CB506" s="97"/>
      <c r="CC506" s="8"/>
      <c r="CD506" s="91"/>
      <c r="CE506" s="98"/>
      <c r="CF506" s="5"/>
      <c r="DK506" s="89"/>
      <c r="DL506" s="8"/>
      <c r="DM506" s="8"/>
      <c r="DN506" s="8"/>
      <c r="DO506" s="8"/>
      <c r="DP506" s="8"/>
      <c r="DQ506" s="8"/>
      <c r="DR506" s="8"/>
      <c r="DZ506" s="45"/>
      <c r="EA506" s="89"/>
      <c r="EB506" s="89"/>
      <c r="EC506" s="89"/>
      <c r="ED506" s="89"/>
      <c r="EE506" s="89"/>
      <c r="EF506" s="89"/>
      <c r="EG506" s="89"/>
      <c r="EH506" s="89"/>
      <c r="EI506" s="89"/>
      <c r="EJ506" s="89"/>
      <c r="EK506" s="91"/>
      <c r="EL506" s="66"/>
      <c r="EM506" s="94"/>
      <c r="EN506" s="94"/>
      <c r="EO506" s="92"/>
      <c r="EP506" s="93"/>
      <c r="EQ506" s="23"/>
      <c r="ER506" s="94"/>
      <c r="ES506" s="94"/>
      <c r="ET506" s="94"/>
      <c r="EU506" s="94"/>
      <c r="EV506" s="95"/>
      <c r="EW506" s="91"/>
      <c r="EX506" s="95"/>
      <c r="EY506" s="8"/>
      <c r="EZ506" s="96"/>
      <c r="FA506" s="91"/>
      <c r="FB506" s="97"/>
      <c r="FC506" s="8"/>
      <c r="FD506" s="91"/>
      <c r="FE506" s="98"/>
      <c r="FF506" s="5"/>
    </row>
    <row r="507" spans="37:162">
      <c r="AK507" s="89"/>
      <c r="AL507" s="8"/>
      <c r="AM507" s="8"/>
      <c r="AN507" s="8"/>
      <c r="AO507" s="8"/>
      <c r="AP507" s="8"/>
      <c r="AQ507" s="8"/>
      <c r="AR507" s="8"/>
      <c r="AZ507" s="45"/>
      <c r="BA507" s="89"/>
      <c r="BB507" s="89"/>
      <c r="BC507" s="89"/>
      <c r="BD507" s="89"/>
      <c r="BE507" s="89"/>
      <c r="BF507" s="89"/>
      <c r="BG507" s="89"/>
      <c r="BH507" s="89"/>
      <c r="BI507" s="89"/>
      <c r="BJ507" s="89"/>
      <c r="BK507" s="91"/>
      <c r="BL507" s="66"/>
      <c r="BM507" s="94"/>
      <c r="BN507" s="94"/>
      <c r="BO507" s="92"/>
      <c r="BP507" s="93"/>
      <c r="BQ507" s="23"/>
      <c r="BR507" s="94"/>
      <c r="BS507" s="94"/>
      <c r="BT507" s="94"/>
      <c r="BU507" s="94"/>
      <c r="BV507" s="95"/>
      <c r="BW507" s="91"/>
      <c r="BX507" s="95"/>
      <c r="BY507" s="8"/>
      <c r="BZ507" s="96"/>
      <c r="CA507" s="91"/>
      <c r="CB507" s="97"/>
      <c r="CC507" s="8"/>
      <c r="CD507" s="91"/>
      <c r="CE507" s="98"/>
      <c r="CF507" s="5"/>
      <c r="DK507" s="89"/>
      <c r="DL507" s="8"/>
      <c r="DM507" s="8"/>
      <c r="DN507" s="8"/>
      <c r="DO507" s="8"/>
      <c r="DP507" s="8"/>
      <c r="DQ507" s="8"/>
      <c r="DR507" s="8"/>
      <c r="DZ507" s="45"/>
      <c r="EA507" s="89"/>
      <c r="EB507" s="89"/>
      <c r="EC507" s="89"/>
      <c r="ED507" s="89"/>
      <c r="EE507" s="89"/>
      <c r="EF507" s="89"/>
      <c r="EG507" s="89"/>
      <c r="EH507" s="89"/>
      <c r="EI507" s="89"/>
      <c r="EJ507" s="89"/>
      <c r="EK507" s="91"/>
      <c r="EL507" s="66"/>
      <c r="EM507" s="94"/>
      <c r="EN507" s="94"/>
      <c r="EO507" s="92"/>
      <c r="EP507" s="93"/>
      <c r="EQ507" s="23"/>
      <c r="ER507" s="94"/>
      <c r="ES507" s="94"/>
      <c r="ET507" s="94"/>
      <c r="EU507" s="94"/>
      <c r="EV507" s="95"/>
      <c r="EW507" s="91"/>
      <c r="EX507" s="95"/>
      <c r="EY507" s="8"/>
      <c r="EZ507" s="96"/>
      <c r="FA507" s="91"/>
      <c r="FB507" s="97"/>
      <c r="FC507" s="8"/>
      <c r="FD507" s="91"/>
      <c r="FE507" s="98"/>
      <c r="FF507" s="5"/>
    </row>
    <row r="508" spans="37:162">
      <c r="AK508" s="89"/>
      <c r="AL508" s="8"/>
      <c r="AM508" s="8"/>
      <c r="AN508" s="8"/>
      <c r="AO508" s="8"/>
      <c r="AP508" s="8"/>
      <c r="AQ508" s="8"/>
      <c r="AR508" s="8"/>
      <c r="AZ508" s="45"/>
      <c r="BA508" s="89"/>
      <c r="BB508" s="89"/>
      <c r="BC508" s="89"/>
      <c r="BD508" s="89"/>
      <c r="BE508" s="89"/>
      <c r="BF508" s="89"/>
      <c r="BG508" s="89"/>
      <c r="BH508" s="89"/>
      <c r="BI508" s="89"/>
      <c r="BJ508" s="89"/>
      <c r="BK508" s="91"/>
      <c r="BL508" s="66"/>
      <c r="BM508" s="94"/>
      <c r="BN508" s="94"/>
      <c r="BO508" s="92"/>
      <c r="BP508" s="93"/>
      <c r="BQ508" s="23"/>
      <c r="BR508" s="94"/>
      <c r="BS508" s="94"/>
      <c r="BT508" s="94"/>
      <c r="BU508" s="94"/>
      <c r="BV508" s="95"/>
      <c r="BW508" s="91"/>
      <c r="BX508" s="95"/>
      <c r="BY508" s="8"/>
      <c r="BZ508" s="96"/>
      <c r="CA508" s="91"/>
      <c r="CB508" s="97"/>
      <c r="CC508" s="8"/>
      <c r="CD508" s="91"/>
      <c r="CE508" s="98"/>
      <c r="CF508" s="5"/>
      <c r="DK508" s="89"/>
      <c r="DL508" s="8"/>
      <c r="DM508" s="8"/>
      <c r="DN508" s="8"/>
      <c r="DO508" s="8"/>
      <c r="DP508" s="8"/>
      <c r="DQ508" s="8"/>
      <c r="DR508" s="8"/>
      <c r="DZ508" s="45"/>
      <c r="EA508" s="89"/>
      <c r="EB508" s="89"/>
      <c r="EC508" s="89"/>
      <c r="ED508" s="89"/>
      <c r="EE508" s="89"/>
      <c r="EF508" s="89"/>
      <c r="EG508" s="89"/>
      <c r="EH508" s="89"/>
      <c r="EI508" s="89"/>
      <c r="EJ508" s="89"/>
      <c r="EK508" s="91"/>
      <c r="EL508" s="66"/>
      <c r="EM508" s="94"/>
      <c r="EN508" s="94"/>
      <c r="EO508" s="92"/>
      <c r="EP508" s="93"/>
      <c r="EQ508" s="23"/>
      <c r="ER508" s="94"/>
      <c r="ES508" s="94"/>
      <c r="ET508" s="94"/>
      <c r="EU508" s="94"/>
      <c r="EV508" s="95"/>
      <c r="EW508" s="91"/>
      <c r="EX508" s="95"/>
      <c r="EY508" s="8"/>
      <c r="EZ508" s="96"/>
      <c r="FA508" s="91"/>
      <c r="FB508" s="97"/>
      <c r="FC508" s="8"/>
      <c r="FD508" s="91"/>
      <c r="FE508" s="98"/>
      <c r="FF508" s="5"/>
    </row>
    <row r="509" spans="37:162">
      <c r="AK509" s="89"/>
      <c r="AL509" s="8"/>
      <c r="AM509" s="8"/>
      <c r="AN509" s="8"/>
      <c r="AO509" s="8"/>
      <c r="AP509" s="8"/>
      <c r="AQ509" s="8"/>
      <c r="AR509" s="8"/>
      <c r="AZ509" s="45"/>
      <c r="BA509" s="89"/>
      <c r="BB509" s="89"/>
      <c r="BC509" s="89"/>
      <c r="BD509" s="89"/>
      <c r="BE509" s="89"/>
      <c r="BF509" s="89"/>
      <c r="BG509" s="89"/>
      <c r="BH509" s="89"/>
      <c r="BI509" s="89"/>
      <c r="BJ509" s="89"/>
      <c r="BK509" s="91"/>
      <c r="BL509" s="66"/>
      <c r="BM509" s="94"/>
      <c r="BN509" s="94"/>
      <c r="BO509" s="92"/>
      <c r="BP509" s="93"/>
      <c r="BQ509" s="23"/>
      <c r="BR509" s="94"/>
      <c r="BS509" s="94"/>
      <c r="BT509" s="94"/>
      <c r="BU509" s="94"/>
      <c r="BV509" s="95"/>
      <c r="BW509" s="91"/>
      <c r="BX509" s="95"/>
      <c r="BY509" s="8"/>
      <c r="BZ509" s="96"/>
      <c r="CA509" s="91"/>
      <c r="CB509" s="97"/>
      <c r="CC509" s="8"/>
      <c r="CD509" s="91"/>
      <c r="CE509" s="98"/>
      <c r="CF509" s="5"/>
      <c r="DK509" s="89"/>
      <c r="DL509" s="8"/>
      <c r="DM509" s="8"/>
      <c r="DN509" s="8"/>
      <c r="DO509" s="8"/>
      <c r="DP509" s="8"/>
      <c r="DQ509" s="8"/>
      <c r="DR509" s="8"/>
      <c r="DZ509" s="45"/>
      <c r="EA509" s="89"/>
      <c r="EB509" s="89"/>
      <c r="EC509" s="89"/>
      <c r="ED509" s="89"/>
      <c r="EE509" s="89"/>
      <c r="EF509" s="89"/>
      <c r="EG509" s="89"/>
      <c r="EH509" s="89"/>
      <c r="EI509" s="89"/>
      <c r="EJ509" s="89"/>
      <c r="EK509" s="91"/>
      <c r="EL509" s="66"/>
      <c r="EM509" s="94"/>
      <c r="EN509" s="94"/>
      <c r="EO509" s="92"/>
      <c r="EP509" s="93"/>
      <c r="EQ509" s="23"/>
      <c r="ER509" s="94"/>
      <c r="ES509" s="94"/>
      <c r="ET509" s="94"/>
      <c r="EU509" s="94"/>
      <c r="EV509" s="95"/>
      <c r="EW509" s="91"/>
      <c r="EX509" s="95"/>
      <c r="EY509" s="8"/>
      <c r="EZ509" s="96"/>
      <c r="FA509" s="91"/>
      <c r="FB509" s="97"/>
      <c r="FC509" s="8"/>
      <c r="FD509" s="91"/>
      <c r="FE509" s="98"/>
      <c r="FF509" s="5"/>
    </row>
    <row r="510" spans="37:162">
      <c r="AK510" s="89"/>
      <c r="AL510" s="8"/>
      <c r="AM510" s="8"/>
      <c r="AN510" s="8"/>
      <c r="AO510" s="8"/>
      <c r="AP510" s="8"/>
      <c r="AQ510" s="8"/>
      <c r="AR510" s="8"/>
      <c r="AZ510" s="45"/>
      <c r="BA510" s="89"/>
      <c r="BB510" s="89"/>
      <c r="BC510" s="89"/>
      <c r="BD510" s="89"/>
      <c r="BE510" s="89"/>
      <c r="BF510" s="89"/>
      <c r="BG510" s="89"/>
      <c r="BH510" s="89"/>
      <c r="BI510" s="89"/>
      <c r="BJ510" s="89"/>
      <c r="BK510" s="91"/>
      <c r="BL510" s="66"/>
      <c r="BM510" s="94"/>
      <c r="BN510" s="94"/>
      <c r="BO510" s="92"/>
      <c r="BP510" s="93"/>
      <c r="BQ510" s="23"/>
      <c r="BR510" s="94"/>
      <c r="BS510" s="94"/>
      <c r="BT510" s="94"/>
      <c r="BU510" s="94"/>
      <c r="BV510" s="95"/>
      <c r="BW510" s="91"/>
      <c r="BX510" s="95"/>
      <c r="BY510" s="8"/>
      <c r="BZ510" s="96"/>
      <c r="CA510" s="91"/>
      <c r="CB510" s="97"/>
      <c r="CC510" s="8"/>
      <c r="CD510" s="91"/>
      <c r="CE510" s="98"/>
      <c r="CF510" s="5"/>
      <c r="DK510" s="89"/>
      <c r="DL510" s="8"/>
      <c r="DM510" s="8"/>
      <c r="DN510" s="8"/>
      <c r="DO510" s="8"/>
      <c r="DP510" s="8"/>
      <c r="DQ510" s="8"/>
      <c r="DR510" s="8"/>
      <c r="DZ510" s="45"/>
      <c r="EA510" s="89"/>
      <c r="EB510" s="89"/>
      <c r="EC510" s="89"/>
      <c r="ED510" s="89"/>
      <c r="EE510" s="89"/>
      <c r="EF510" s="89"/>
      <c r="EG510" s="89"/>
      <c r="EH510" s="89"/>
      <c r="EI510" s="89"/>
      <c r="EJ510" s="89"/>
      <c r="EK510" s="91"/>
      <c r="EL510" s="66"/>
      <c r="EM510" s="94"/>
      <c r="EN510" s="94"/>
      <c r="EO510" s="92"/>
      <c r="EP510" s="93"/>
      <c r="EQ510" s="23"/>
      <c r="ER510" s="94"/>
      <c r="ES510" s="94"/>
      <c r="ET510" s="94"/>
      <c r="EU510" s="94"/>
      <c r="EV510" s="95"/>
      <c r="EW510" s="91"/>
      <c r="EX510" s="95"/>
      <c r="EY510" s="8"/>
      <c r="EZ510" s="96"/>
      <c r="FA510" s="91"/>
      <c r="FB510" s="97"/>
      <c r="FC510" s="8"/>
      <c r="FD510" s="91"/>
      <c r="FE510" s="98"/>
      <c r="FF510" s="5"/>
    </row>
    <row r="511" spans="37:162">
      <c r="AK511" s="89"/>
      <c r="AL511" s="8"/>
      <c r="AM511" s="8"/>
      <c r="AN511" s="8"/>
      <c r="AO511" s="8"/>
      <c r="AP511" s="8"/>
      <c r="AQ511" s="8"/>
      <c r="AR511" s="8"/>
      <c r="AZ511" s="45"/>
      <c r="BA511" s="89"/>
      <c r="BB511" s="89"/>
      <c r="BC511" s="89"/>
      <c r="BD511" s="89"/>
      <c r="BE511" s="89"/>
      <c r="BF511" s="89"/>
      <c r="BG511" s="89"/>
      <c r="BH511" s="89"/>
      <c r="BI511" s="89"/>
      <c r="BJ511" s="89"/>
      <c r="BK511" s="91"/>
      <c r="BL511" s="66"/>
      <c r="BM511" s="94"/>
      <c r="BN511" s="94"/>
      <c r="BO511" s="92"/>
      <c r="BP511" s="93"/>
      <c r="BQ511" s="23"/>
      <c r="BR511" s="94"/>
      <c r="BS511" s="94"/>
      <c r="BT511" s="94"/>
      <c r="BU511" s="94"/>
      <c r="BV511" s="95"/>
      <c r="BW511" s="91"/>
      <c r="BX511" s="95"/>
      <c r="BY511" s="8"/>
      <c r="BZ511" s="96"/>
      <c r="CA511" s="91"/>
      <c r="CB511" s="97"/>
      <c r="CC511" s="8"/>
      <c r="CD511" s="91"/>
      <c r="CE511" s="98"/>
      <c r="CF511" s="5"/>
      <c r="DK511" s="89"/>
      <c r="DL511" s="8"/>
      <c r="DM511" s="8"/>
      <c r="DN511" s="8"/>
      <c r="DO511" s="8"/>
      <c r="DP511" s="8"/>
      <c r="DQ511" s="8"/>
      <c r="DR511" s="8"/>
      <c r="DZ511" s="45"/>
      <c r="EA511" s="89"/>
      <c r="EB511" s="89"/>
      <c r="EC511" s="89"/>
      <c r="ED511" s="89"/>
      <c r="EE511" s="89"/>
      <c r="EF511" s="89"/>
      <c r="EG511" s="89"/>
      <c r="EH511" s="89"/>
      <c r="EI511" s="89"/>
      <c r="EJ511" s="89"/>
      <c r="EK511" s="91"/>
      <c r="EL511" s="66"/>
      <c r="EM511" s="94"/>
      <c r="EN511" s="94"/>
      <c r="EO511" s="92"/>
      <c r="EP511" s="93"/>
      <c r="EQ511" s="23"/>
      <c r="ER511" s="94"/>
      <c r="ES511" s="94"/>
      <c r="ET511" s="94"/>
      <c r="EU511" s="94"/>
      <c r="EV511" s="95"/>
      <c r="EW511" s="91"/>
      <c r="EX511" s="95"/>
      <c r="EY511" s="8"/>
      <c r="EZ511" s="96"/>
      <c r="FA511" s="91"/>
      <c r="FB511" s="97"/>
      <c r="FC511" s="8"/>
      <c r="FD511" s="91"/>
      <c r="FE511" s="98"/>
      <c r="FF511" s="5"/>
    </row>
    <row r="512" spans="37:162">
      <c r="AK512" s="89"/>
      <c r="AL512" s="8"/>
      <c r="AM512" s="8"/>
      <c r="AN512" s="8"/>
      <c r="AO512" s="8"/>
      <c r="AP512" s="8"/>
      <c r="AQ512" s="8"/>
      <c r="AR512" s="8"/>
      <c r="AZ512" s="45"/>
      <c r="BA512" s="89"/>
      <c r="BB512" s="89"/>
      <c r="BC512" s="89"/>
      <c r="BD512" s="89"/>
      <c r="BE512" s="89"/>
      <c r="BF512" s="89"/>
      <c r="BG512" s="89"/>
      <c r="BH512" s="89"/>
      <c r="BI512" s="89"/>
      <c r="BJ512" s="89"/>
      <c r="BK512" s="91"/>
      <c r="BL512" s="66"/>
      <c r="BM512" s="94"/>
      <c r="BN512" s="94"/>
      <c r="BO512" s="92"/>
      <c r="BP512" s="93"/>
      <c r="BQ512" s="23"/>
      <c r="BR512" s="94"/>
      <c r="BS512" s="94"/>
      <c r="BT512" s="94"/>
      <c r="BU512" s="94"/>
      <c r="BV512" s="95"/>
      <c r="BW512" s="91"/>
      <c r="BX512" s="95"/>
      <c r="BY512" s="8"/>
      <c r="BZ512" s="96"/>
      <c r="CA512" s="91"/>
      <c r="CB512" s="97"/>
      <c r="CC512" s="8"/>
      <c r="CD512" s="91"/>
      <c r="CE512" s="98"/>
      <c r="CF512" s="5"/>
      <c r="DK512" s="89"/>
      <c r="DL512" s="8"/>
      <c r="DM512" s="8"/>
      <c r="DN512" s="8"/>
      <c r="DO512" s="8"/>
      <c r="DP512" s="8"/>
      <c r="DQ512" s="8"/>
      <c r="DR512" s="8"/>
      <c r="DZ512" s="45"/>
      <c r="EA512" s="89"/>
      <c r="EB512" s="89"/>
      <c r="EC512" s="89"/>
      <c r="ED512" s="89"/>
      <c r="EE512" s="89"/>
      <c r="EF512" s="89"/>
      <c r="EG512" s="89"/>
      <c r="EH512" s="89"/>
      <c r="EI512" s="89"/>
      <c r="EJ512" s="89"/>
      <c r="EK512" s="91"/>
      <c r="EL512" s="66"/>
      <c r="EM512" s="94"/>
      <c r="EN512" s="94"/>
      <c r="EO512" s="92"/>
      <c r="EP512" s="93"/>
      <c r="EQ512" s="23"/>
      <c r="ER512" s="94"/>
      <c r="ES512" s="94"/>
      <c r="ET512" s="94"/>
      <c r="EU512" s="94"/>
      <c r="EV512" s="95"/>
      <c r="EW512" s="91"/>
      <c r="EX512" s="95"/>
      <c r="EY512" s="8"/>
      <c r="EZ512" s="96"/>
      <c r="FA512" s="91"/>
      <c r="FB512" s="97"/>
      <c r="FC512" s="8"/>
      <c r="FD512" s="91"/>
      <c r="FE512" s="98"/>
      <c r="FF512" s="5"/>
    </row>
    <row r="513" spans="37:162">
      <c r="AK513" s="89"/>
      <c r="AL513" s="8"/>
      <c r="AM513" s="8"/>
      <c r="AN513" s="8"/>
      <c r="AO513" s="8"/>
      <c r="AP513" s="8"/>
      <c r="AQ513" s="8"/>
      <c r="AR513" s="8"/>
      <c r="AZ513" s="45"/>
      <c r="BA513" s="89"/>
      <c r="BB513" s="89"/>
      <c r="BC513" s="89"/>
      <c r="BD513" s="89"/>
      <c r="BE513" s="89"/>
      <c r="BF513" s="89"/>
      <c r="BG513" s="89"/>
      <c r="BH513" s="89"/>
      <c r="BI513" s="89"/>
      <c r="BJ513" s="89"/>
      <c r="BK513" s="91"/>
      <c r="BL513" s="66"/>
      <c r="BM513" s="94"/>
      <c r="BN513" s="94"/>
      <c r="BO513" s="92"/>
      <c r="BP513" s="93"/>
      <c r="BQ513" s="23"/>
      <c r="BR513" s="94"/>
      <c r="BS513" s="94"/>
      <c r="BT513" s="94"/>
      <c r="BU513" s="94"/>
      <c r="BV513" s="95"/>
      <c r="BW513" s="91"/>
      <c r="BX513" s="95"/>
      <c r="BY513" s="8"/>
      <c r="BZ513" s="96"/>
      <c r="CA513" s="91"/>
      <c r="CB513" s="97"/>
      <c r="CC513" s="8"/>
      <c r="CD513" s="91"/>
      <c r="CE513" s="98"/>
      <c r="CF513" s="5"/>
      <c r="DK513" s="89"/>
      <c r="DL513" s="8"/>
      <c r="DM513" s="8"/>
      <c r="DN513" s="8"/>
      <c r="DO513" s="8"/>
      <c r="DP513" s="8"/>
      <c r="DQ513" s="8"/>
      <c r="DR513" s="8"/>
      <c r="DZ513" s="45"/>
      <c r="EA513" s="89"/>
      <c r="EB513" s="89"/>
      <c r="EC513" s="89"/>
      <c r="ED513" s="89"/>
      <c r="EE513" s="89"/>
      <c r="EF513" s="89"/>
      <c r="EG513" s="89"/>
      <c r="EH513" s="89"/>
      <c r="EI513" s="89"/>
      <c r="EJ513" s="89"/>
      <c r="EK513" s="91"/>
      <c r="EL513" s="66"/>
      <c r="EM513" s="94"/>
      <c r="EN513" s="94"/>
      <c r="EO513" s="92"/>
      <c r="EP513" s="93"/>
      <c r="EQ513" s="23"/>
      <c r="ER513" s="94"/>
      <c r="ES513" s="94"/>
      <c r="ET513" s="94"/>
      <c r="EU513" s="94"/>
      <c r="EV513" s="95"/>
      <c r="EW513" s="91"/>
      <c r="EX513" s="95"/>
      <c r="EY513" s="8"/>
      <c r="EZ513" s="96"/>
      <c r="FA513" s="91"/>
      <c r="FB513" s="97"/>
      <c r="FC513" s="8"/>
      <c r="FD513" s="91"/>
      <c r="FE513" s="98"/>
      <c r="FF513" s="5"/>
    </row>
    <row r="514" spans="37:162">
      <c r="AK514" s="89"/>
      <c r="AL514" s="8"/>
      <c r="AM514" s="8"/>
      <c r="AN514" s="8"/>
      <c r="AO514" s="8"/>
      <c r="AP514" s="8"/>
      <c r="AQ514" s="8"/>
      <c r="AR514" s="8"/>
      <c r="AZ514" s="45"/>
      <c r="BA514" s="89"/>
      <c r="BB514" s="89"/>
      <c r="BC514" s="89"/>
      <c r="BD514" s="89"/>
      <c r="BE514" s="89"/>
      <c r="BF514" s="89"/>
      <c r="BG514" s="89"/>
      <c r="BH514" s="89"/>
      <c r="BI514" s="89"/>
      <c r="BJ514" s="89"/>
      <c r="BK514" s="91"/>
      <c r="BL514" s="66"/>
      <c r="BM514" s="94"/>
      <c r="BN514" s="94"/>
      <c r="BO514" s="92"/>
      <c r="BP514" s="93"/>
      <c r="BQ514" s="23"/>
      <c r="BR514" s="94"/>
      <c r="BS514" s="94"/>
      <c r="BT514" s="94"/>
      <c r="BU514" s="94"/>
      <c r="BV514" s="95"/>
      <c r="BW514" s="91"/>
      <c r="BX514" s="95"/>
      <c r="BY514" s="8"/>
      <c r="BZ514" s="96"/>
      <c r="CA514" s="91"/>
      <c r="CB514" s="97"/>
      <c r="CC514" s="8"/>
      <c r="CD514" s="91"/>
      <c r="CE514" s="98"/>
      <c r="CF514" s="5"/>
      <c r="DK514" s="89"/>
      <c r="DL514" s="8"/>
      <c r="DM514" s="8"/>
      <c r="DN514" s="8"/>
      <c r="DO514" s="8"/>
      <c r="DP514" s="8"/>
      <c r="DQ514" s="8"/>
      <c r="DR514" s="8"/>
      <c r="DZ514" s="45"/>
      <c r="EA514" s="89"/>
      <c r="EB514" s="89"/>
      <c r="EC514" s="89"/>
      <c r="ED514" s="89"/>
      <c r="EE514" s="89"/>
      <c r="EF514" s="89"/>
      <c r="EG514" s="89"/>
      <c r="EH514" s="89"/>
      <c r="EI514" s="89"/>
      <c r="EJ514" s="89"/>
      <c r="EK514" s="91"/>
      <c r="EL514" s="66"/>
      <c r="EM514" s="94"/>
      <c r="EN514" s="94"/>
      <c r="EO514" s="92"/>
      <c r="EP514" s="93"/>
      <c r="EQ514" s="23"/>
      <c r="ER514" s="94"/>
      <c r="ES514" s="94"/>
      <c r="ET514" s="94"/>
      <c r="EU514" s="94"/>
      <c r="EV514" s="95"/>
      <c r="EW514" s="91"/>
      <c r="EX514" s="95"/>
      <c r="EY514" s="8"/>
      <c r="EZ514" s="96"/>
      <c r="FA514" s="91"/>
      <c r="FB514" s="97"/>
      <c r="FC514" s="8"/>
      <c r="FD514" s="91"/>
      <c r="FE514" s="98"/>
      <c r="FF514" s="5"/>
    </row>
    <row r="515" spans="37:162">
      <c r="AK515" s="89"/>
      <c r="AL515" s="8"/>
      <c r="AM515" s="8"/>
      <c r="AN515" s="8"/>
      <c r="AO515" s="8"/>
      <c r="AP515" s="8"/>
      <c r="AQ515" s="8"/>
      <c r="AR515" s="8"/>
      <c r="AZ515" s="45"/>
      <c r="BA515" s="89"/>
      <c r="BB515" s="89"/>
      <c r="BC515" s="89"/>
      <c r="BD515" s="89"/>
      <c r="BE515" s="89"/>
      <c r="BF515" s="89"/>
      <c r="BG515" s="89"/>
      <c r="BH515" s="89"/>
      <c r="BI515" s="89"/>
      <c r="BJ515" s="89"/>
      <c r="BK515" s="91"/>
      <c r="BL515" s="66"/>
      <c r="BM515" s="94"/>
      <c r="BN515" s="94"/>
      <c r="BO515" s="92"/>
      <c r="BP515" s="93"/>
      <c r="BQ515" s="23"/>
      <c r="BR515" s="94"/>
      <c r="BS515" s="94"/>
      <c r="BT515" s="94"/>
      <c r="BU515" s="94"/>
      <c r="BV515" s="95"/>
      <c r="BW515" s="91"/>
      <c r="BX515" s="95"/>
      <c r="BY515" s="8"/>
      <c r="BZ515" s="96"/>
      <c r="CA515" s="91"/>
      <c r="CB515" s="97"/>
      <c r="CC515" s="8"/>
      <c r="CD515" s="91"/>
      <c r="CE515" s="98"/>
      <c r="CF515" s="5"/>
      <c r="DK515" s="89"/>
      <c r="DL515" s="8"/>
      <c r="DM515" s="8"/>
      <c r="DN515" s="8"/>
      <c r="DO515" s="8"/>
      <c r="DP515" s="8"/>
      <c r="DQ515" s="8"/>
      <c r="DR515" s="8"/>
      <c r="DZ515" s="45"/>
      <c r="EA515" s="89"/>
      <c r="EB515" s="89"/>
      <c r="EC515" s="89"/>
      <c r="ED515" s="89"/>
      <c r="EE515" s="89"/>
      <c r="EF515" s="89"/>
      <c r="EG515" s="89"/>
      <c r="EH515" s="89"/>
      <c r="EI515" s="89"/>
      <c r="EJ515" s="89"/>
      <c r="EK515" s="91"/>
      <c r="EL515" s="66"/>
      <c r="EM515" s="94"/>
      <c r="EN515" s="94"/>
      <c r="EO515" s="92"/>
      <c r="EP515" s="93"/>
      <c r="EQ515" s="23"/>
      <c r="ER515" s="94"/>
      <c r="ES515" s="94"/>
      <c r="ET515" s="94"/>
      <c r="EU515" s="94"/>
      <c r="EV515" s="95"/>
      <c r="EW515" s="91"/>
      <c r="EX515" s="95"/>
      <c r="EY515" s="8"/>
      <c r="EZ515" s="96"/>
      <c r="FA515" s="91"/>
      <c r="FB515" s="97"/>
      <c r="FC515" s="8"/>
      <c r="FD515" s="91"/>
      <c r="FE515" s="98"/>
      <c r="FF515" s="5"/>
    </row>
    <row r="516" spans="37:162">
      <c r="AK516" s="89"/>
      <c r="AL516" s="8"/>
      <c r="AM516" s="8"/>
      <c r="AN516" s="8"/>
      <c r="AO516" s="8"/>
      <c r="AP516" s="8"/>
      <c r="AQ516" s="8"/>
      <c r="AR516" s="8"/>
      <c r="AZ516" s="45"/>
      <c r="BA516" s="89"/>
      <c r="BB516" s="89"/>
      <c r="BC516" s="89"/>
      <c r="BD516" s="89"/>
      <c r="BE516" s="89"/>
      <c r="BF516" s="89"/>
      <c r="BG516" s="89"/>
      <c r="BH516" s="89"/>
      <c r="BI516" s="89"/>
      <c r="BJ516" s="89"/>
      <c r="BK516" s="91"/>
      <c r="BL516" s="66"/>
      <c r="BM516" s="94"/>
      <c r="BN516" s="94"/>
      <c r="BO516" s="92"/>
      <c r="BP516" s="93"/>
      <c r="BQ516" s="23"/>
      <c r="BR516" s="94"/>
      <c r="BS516" s="94"/>
      <c r="BT516" s="94"/>
      <c r="BU516" s="94"/>
      <c r="BV516" s="95"/>
      <c r="BW516" s="91"/>
      <c r="BX516" s="95"/>
      <c r="BY516" s="8"/>
      <c r="BZ516" s="96"/>
      <c r="CA516" s="91"/>
      <c r="CB516" s="97"/>
      <c r="CC516" s="8"/>
      <c r="CD516" s="91"/>
      <c r="CE516" s="98"/>
      <c r="CF516" s="5"/>
      <c r="DK516" s="89"/>
      <c r="DL516" s="8"/>
      <c r="DM516" s="8"/>
      <c r="DN516" s="8"/>
      <c r="DO516" s="8"/>
      <c r="DP516" s="8"/>
      <c r="DQ516" s="8"/>
      <c r="DR516" s="8"/>
      <c r="DZ516" s="45"/>
      <c r="EA516" s="89"/>
      <c r="EB516" s="89"/>
      <c r="EC516" s="89"/>
      <c r="ED516" s="89"/>
      <c r="EE516" s="89"/>
      <c r="EF516" s="89"/>
      <c r="EG516" s="89"/>
      <c r="EH516" s="89"/>
      <c r="EI516" s="89"/>
      <c r="EJ516" s="89"/>
      <c r="EK516" s="91"/>
      <c r="EL516" s="66"/>
      <c r="EM516" s="94"/>
      <c r="EN516" s="94"/>
      <c r="EO516" s="92"/>
      <c r="EP516" s="93"/>
      <c r="EQ516" s="23"/>
      <c r="ER516" s="94"/>
      <c r="ES516" s="94"/>
      <c r="ET516" s="94"/>
      <c r="EU516" s="94"/>
      <c r="EV516" s="95"/>
      <c r="EW516" s="91"/>
      <c r="EX516" s="95"/>
      <c r="EY516" s="8"/>
      <c r="EZ516" s="96"/>
      <c r="FA516" s="91"/>
      <c r="FB516" s="97"/>
      <c r="FC516" s="8"/>
      <c r="FD516" s="91"/>
      <c r="FE516" s="98"/>
      <c r="FF516" s="5"/>
    </row>
    <row r="517" spans="37:162">
      <c r="AK517" s="89"/>
      <c r="AL517" s="8"/>
      <c r="AM517" s="8"/>
      <c r="AN517" s="8"/>
      <c r="AO517" s="8"/>
      <c r="AP517" s="8"/>
      <c r="AQ517" s="8"/>
      <c r="AR517" s="8"/>
      <c r="AZ517" s="45"/>
      <c r="BA517" s="89"/>
      <c r="BB517" s="89"/>
      <c r="BC517" s="89"/>
      <c r="BD517" s="89"/>
      <c r="BE517" s="89"/>
      <c r="BF517" s="89"/>
      <c r="BG517" s="89"/>
      <c r="BH517" s="89"/>
      <c r="BI517" s="89"/>
      <c r="BJ517" s="89"/>
      <c r="BK517" s="91"/>
      <c r="BL517" s="66"/>
      <c r="BM517" s="94"/>
      <c r="BN517" s="94"/>
      <c r="BO517" s="92"/>
      <c r="BP517" s="93"/>
      <c r="BQ517" s="23"/>
      <c r="BR517" s="94"/>
      <c r="BS517" s="94"/>
      <c r="BT517" s="94"/>
      <c r="BU517" s="94"/>
      <c r="BV517" s="95"/>
      <c r="BW517" s="91"/>
      <c r="BX517" s="95"/>
      <c r="BY517" s="8"/>
      <c r="BZ517" s="96"/>
      <c r="CA517" s="91"/>
      <c r="CB517" s="97"/>
      <c r="CC517" s="8"/>
      <c r="CD517" s="91"/>
      <c r="CE517" s="98"/>
      <c r="CF517" s="5"/>
      <c r="DK517" s="89"/>
      <c r="DL517" s="8"/>
      <c r="DM517" s="8"/>
      <c r="DN517" s="8"/>
      <c r="DO517" s="8"/>
      <c r="DP517" s="8"/>
      <c r="DQ517" s="8"/>
      <c r="DR517" s="8"/>
      <c r="DZ517" s="45"/>
      <c r="EA517" s="89"/>
      <c r="EB517" s="89"/>
      <c r="EC517" s="89"/>
      <c r="ED517" s="89"/>
      <c r="EE517" s="89"/>
      <c r="EF517" s="89"/>
      <c r="EG517" s="89"/>
      <c r="EH517" s="89"/>
      <c r="EI517" s="89"/>
      <c r="EJ517" s="89"/>
      <c r="EK517" s="91"/>
      <c r="EL517" s="66"/>
      <c r="EM517" s="94"/>
      <c r="EN517" s="94"/>
      <c r="EO517" s="92"/>
      <c r="EP517" s="93"/>
      <c r="EQ517" s="23"/>
      <c r="ER517" s="94"/>
      <c r="ES517" s="94"/>
      <c r="ET517" s="94"/>
      <c r="EU517" s="94"/>
      <c r="EV517" s="95"/>
      <c r="EW517" s="91"/>
      <c r="EX517" s="95"/>
      <c r="EY517" s="8"/>
      <c r="EZ517" s="96"/>
      <c r="FA517" s="91"/>
      <c r="FB517" s="97"/>
      <c r="FC517" s="8"/>
      <c r="FD517" s="91"/>
      <c r="FE517" s="98"/>
      <c r="FF517" s="5"/>
    </row>
    <row r="518" spans="37:162">
      <c r="AK518" s="89"/>
      <c r="AL518" s="8"/>
      <c r="AM518" s="8"/>
      <c r="AN518" s="8"/>
      <c r="AO518" s="8"/>
      <c r="AP518" s="8"/>
      <c r="AQ518" s="8"/>
      <c r="AR518" s="8"/>
      <c r="AZ518" s="45"/>
      <c r="BA518" s="89"/>
      <c r="BB518" s="89"/>
      <c r="BC518" s="89"/>
      <c r="BD518" s="89"/>
      <c r="BE518" s="89"/>
      <c r="BF518" s="89"/>
      <c r="BG518" s="89"/>
      <c r="BH518" s="89"/>
      <c r="BI518" s="89"/>
      <c r="BJ518" s="89"/>
      <c r="BK518" s="91"/>
      <c r="BL518" s="66"/>
      <c r="BM518" s="94"/>
      <c r="BN518" s="94"/>
      <c r="BO518" s="92"/>
      <c r="BP518" s="93"/>
      <c r="BQ518" s="23"/>
      <c r="BR518" s="94"/>
      <c r="BS518" s="94"/>
      <c r="BT518" s="94"/>
      <c r="BU518" s="94"/>
      <c r="BV518" s="95"/>
      <c r="BW518" s="91"/>
      <c r="BX518" s="95"/>
      <c r="BY518" s="8"/>
      <c r="BZ518" s="96"/>
      <c r="CA518" s="91"/>
      <c r="CB518" s="97"/>
      <c r="CC518" s="8"/>
      <c r="CD518" s="91"/>
      <c r="CE518" s="98"/>
      <c r="CF518" s="5"/>
      <c r="DK518" s="89"/>
      <c r="DL518" s="8"/>
      <c r="DM518" s="8"/>
      <c r="DN518" s="8"/>
      <c r="DO518" s="8"/>
      <c r="DP518" s="8"/>
      <c r="DQ518" s="8"/>
      <c r="DR518" s="8"/>
      <c r="DZ518" s="45"/>
      <c r="EA518" s="89"/>
      <c r="EB518" s="89"/>
      <c r="EC518" s="89"/>
      <c r="ED518" s="89"/>
      <c r="EE518" s="89"/>
      <c r="EF518" s="89"/>
      <c r="EG518" s="89"/>
      <c r="EH518" s="89"/>
      <c r="EI518" s="89"/>
      <c r="EJ518" s="89"/>
      <c r="EK518" s="91"/>
      <c r="EL518" s="66"/>
      <c r="EM518" s="94"/>
      <c r="EN518" s="94"/>
      <c r="EO518" s="92"/>
      <c r="EP518" s="93"/>
      <c r="EQ518" s="23"/>
      <c r="ER518" s="94"/>
      <c r="ES518" s="94"/>
      <c r="ET518" s="94"/>
      <c r="EU518" s="94"/>
      <c r="EV518" s="95"/>
      <c r="EW518" s="91"/>
      <c r="EX518" s="95"/>
      <c r="EY518" s="8"/>
      <c r="EZ518" s="96"/>
      <c r="FA518" s="91"/>
      <c r="FB518" s="97"/>
      <c r="FC518" s="8"/>
      <c r="FD518" s="91"/>
      <c r="FE518" s="98"/>
      <c r="FF518" s="5"/>
    </row>
    <row r="519" spans="37:162">
      <c r="AK519" s="89"/>
      <c r="AL519" s="8"/>
      <c r="AM519" s="8"/>
      <c r="AN519" s="8"/>
      <c r="AO519" s="8"/>
      <c r="AP519" s="8"/>
      <c r="AQ519" s="8"/>
      <c r="AR519" s="8"/>
      <c r="AZ519" s="45"/>
      <c r="BA519" s="89"/>
      <c r="BB519" s="89"/>
      <c r="BC519" s="89"/>
      <c r="BD519" s="89"/>
      <c r="BE519" s="89"/>
      <c r="BF519" s="89"/>
      <c r="BG519" s="89"/>
      <c r="BH519" s="89"/>
      <c r="BI519" s="89"/>
      <c r="BJ519" s="89"/>
      <c r="BK519" s="91"/>
      <c r="BL519" s="66"/>
      <c r="BM519" s="94"/>
      <c r="BN519" s="94"/>
      <c r="BO519" s="92"/>
      <c r="BP519" s="93"/>
      <c r="BQ519" s="23"/>
      <c r="BR519" s="94"/>
      <c r="BS519" s="94"/>
      <c r="BT519" s="94"/>
      <c r="BU519" s="94"/>
      <c r="BV519" s="95"/>
      <c r="BW519" s="91"/>
      <c r="BX519" s="95"/>
      <c r="BY519" s="8"/>
      <c r="BZ519" s="96"/>
      <c r="CA519" s="91"/>
      <c r="CB519" s="97"/>
      <c r="CC519" s="8"/>
      <c r="CD519" s="91"/>
      <c r="CE519" s="98"/>
      <c r="CF519" s="5"/>
      <c r="DK519" s="89"/>
      <c r="DL519" s="8"/>
      <c r="DM519" s="8"/>
      <c r="DN519" s="8"/>
      <c r="DO519" s="8"/>
      <c r="DP519" s="8"/>
      <c r="DQ519" s="8"/>
      <c r="DR519" s="8"/>
      <c r="DZ519" s="45"/>
      <c r="EA519" s="89"/>
      <c r="EB519" s="89"/>
      <c r="EC519" s="89"/>
      <c r="ED519" s="89"/>
      <c r="EE519" s="89"/>
      <c r="EF519" s="89"/>
      <c r="EG519" s="89"/>
      <c r="EH519" s="89"/>
      <c r="EI519" s="89"/>
      <c r="EJ519" s="89"/>
      <c r="EK519" s="91"/>
      <c r="EL519" s="66"/>
      <c r="EM519" s="94"/>
      <c r="EN519" s="94"/>
      <c r="EO519" s="92"/>
      <c r="EP519" s="93"/>
      <c r="EQ519" s="23"/>
      <c r="ER519" s="94"/>
      <c r="ES519" s="94"/>
      <c r="ET519" s="94"/>
      <c r="EU519" s="94"/>
      <c r="EV519" s="95"/>
      <c r="EW519" s="91"/>
      <c r="EX519" s="95"/>
      <c r="EY519" s="8"/>
      <c r="EZ519" s="96"/>
      <c r="FA519" s="91"/>
      <c r="FB519" s="97"/>
      <c r="FC519" s="8"/>
      <c r="FD519" s="91"/>
      <c r="FE519" s="98"/>
      <c r="FF519" s="5"/>
    </row>
    <row r="520" spans="37:162">
      <c r="AK520" s="89"/>
      <c r="AL520" s="8"/>
      <c r="AM520" s="8"/>
      <c r="AN520" s="8"/>
      <c r="AO520" s="8"/>
      <c r="AP520" s="8"/>
      <c r="AQ520" s="8"/>
      <c r="AR520" s="8"/>
      <c r="AZ520" s="45"/>
      <c r="BA520" s="89"/>
      <c r="BB520" s="89"/>
      <c r="BC520" s="89"/>
      <c r="BD520" s="89"/>
      <c r="BE520" s="89"/>
      <c r="BF520" s="89"/>
      <c r="BG520" s="89"/>
      <c r="BH520" s="89"/>
      <c r="BI520" s="89"/>
      <c r="BJ520" s="89"/>
      <c r="BK520" s="91"/>
      <c r="BL520" s="66"/>
      <c r="BM520" s="94"/>
      <c r="BN520" s="94"/>
      <c r="BO520" s="92"/>
      <c r="BP520" s="93"/>
      <c r="BQ520" s="23"/>
      <c r="BR520" s="94"/>
      <c r="BS520" s="94"/>
      <c r="BT520" s="94"/>
      <c r="BU520" s="94"/>
      <c r="BV520" s="95"/>
      <c r="BW520" s="91"/>
      <c r="BX520" s="95"/>
      <c r="BY520" s="8"/>
      <c r="BZ520" s="96"/>
      <c r="CA520" s="91"/>
      <c r="CB520" s="97"/>
      <c r="CC520" s="8"/>
      <c r="CD520" s="91"/>
      <c r="CE520" s="98"/>
      <c r="CF520" s="5"/>
      <c r="DK520" s="89"/>
      <c r="DL520" s="8"/>
      <c r="DM520" s="8"/>
      <c r="DN520" s="8"/>
      <c r="DO520" s="8"/>
      <c r="DP520" s="8"/>
      <c r="DQ520" s="8"/>
      <c r="DR520" s="8"/>
      <c r="DZ520" s="45"/>
      <c r="EA520" s="89"/>
      <c r="EB520" s="89"/>
      <c r="EC520" s="89"/>
      <c r="ED520" s="89"/>
      <c r="EE520" s="89"/>
      <c r="EF520" s="89"/>
      <c r="EG520" s="89"/>
      <c r="EH520" s="89"/>
      <c r="EI520" s="89"/>
      <c r="EJ520" s="89"/>
      <c r="EK520" s="91"/>
      <c r="EL520" s="66"/>
      <c r="EM520" s="94"/>
      <c r="EN520" s="94"/>
      <c r="EO520" s="92"/>
      <c r="EP520" s="93"/>
      <c r="EQ520" s="23"/>
      <c r="ER520" s="94"/>
      <c r="ES520" s="94"/>
      <c r="ET520" s="94"/>
      <c r="EU520" s="94"/>
      <c r="EV520" s="95"/>
      <c r="EW520" s="91"/>
      <c r="EX520" s="95"/>
      <c r="EY520" s="8"/>
      <c r="EZ520" s="96"/>
      <c r="FA520" s="91"/>
      <c r="FB520" s="97"/>
      <c r="FC520" s="8"/>
      <c r="FD520" s="91"/>
      <c r="FE520" s="98"/>
      <c r="FF520" s="5"/>
    </row>
    <row r="521" spans="37:162">
      <c r="AK521" s="89"/>
      <c r="AL521" s="8"/>
      <c r="AM521" s="8"/>
      <c r="AN521" s="8"/>
      <c r="AO521" s="8"/>
      <c r="AP521" s="8"/>
      <c r="AQ521" s="8"/>
      <c r="AR521" s="8"/>
      <c r="AZ521" s="45"/>
      <c r="BA521" s="89"/>
      <c r="BB521" s="89"/>
      <c r="BC521" s="89"/>
      <c r="BD521" s="89"/>
      <c r="BE521" s="89"/>
      <c r="BF521" s="89"/>
      <c r="BG521" s="89"/>
      <c r="BH521" s="89"/>
      <c r="BI521" s="89"/>
      <c r="BJ521" s="89"/>
      <c r="BK521" s="91"/>
      <c r="BL521" s="66"/>
      <c r="BM521" s="94"/>
      <c r="BN521" s="94"/>
      <c r="BO521" s="92"/>
      <c r="BP521" s="93"/>
      <c r="BQ521" s="23"/>
      <c r="BR521" s="94"/>
      <c r="BS521" s="94"/>
      <c r="BT521" s="94"/>
      <c r="BU521" s="94"/>
      <c r="BV521" s="95"/>
      <c r="BW521" s="91"/>
      <c r="BX521" s="95"/>
      <c r="BY521" s="8"/>
      <c r="BZ521" s="96"/>
      <c r="CA521" s="91"/>
      <c r="CB521" s="97"/>
      <c r="CC521" s="8"/>
      <c r="CD521" s="91"/>
      <c r="CE521" s="98"/>
      <c r="CF521" s="5"/>
      <c r="DK521" s="89"/>
      <c r="DL521" s="8"/>
      <c r="DM521" s="8"/>
      <c r="DN521" s="8"/>
      <c r="DO521" s="8"/>
      <c r="DP521" s="8"/>
      <c r="DQ521" s="8"/>
      <c r="DR521" s="8"/>
      <c r="DZ521" s="45"/>
      <c r="EA521" s="89"/>
      <c r="EB521" s="89"/>
      <c r="EC521" s="89"/>
      <c r="ED521" s="89"/>
      <c r="EE521" s="89"/>
      <c r="EF521" s="89"/>
      <c r="EG521" s="89"/>
      <c r="EH521" s="89"/>
      <c r="EI521" s="89"/>
      <c r="EJ521" s="89"/>
      <c r="EK521" s="91"/>
      <c r="EL521" s="66"/>
      <c r="EM521" s="94"/>
      <c r="EN521" s="94"/>
      <c r="EO521" s="92"/>
      <c r="EP521" s="93"/>
      <c r="EQ521" s="23"/>
      <c r="ER521" s="94"/>
      <c r="ES521" s="94"/>
      <c r="ET521" s="94"/>
      <c r="EU521" s="94"/>
      <c r="EV521" s="95"/>
      <c r="EW521" s="91"/>
      <c r="EX521" s="95"/>
      <c r="EY521" s="8"/>
      <c r="EZ521" s="96"/>
      <c r="FA521" s="91"/>
      <c r="FB521" s="97"/>
      <c r="FC521" s="8"/>
      <c r="FD521" s="91"/>
      <c r="FE521" s="98"/>
      <c r="FF521" s="5"/>
    </row>
    <row r="522" spans="37:162">
      <c r="AK522" s="89"/>
      <c r="AL522" s="8"/>
      <c r="AM522" s="8"/>
      <c r="AN522" s="8"/>
      <c r="AO522" s="8"/>
      <c r="AP522" s="8"/>
      <c r="AQ522" s="8"/>
      <c r="AR522" s="8"/>
      <c r="AZ522" s="45"/>
      <c r="BA522" s="89"/>
      <c r="BB522" s="89"/>
      <c r="BC522" s="89"/>
      <c r="BD522" s="89"/>
      <c r="BE522" s="89"/>
      <c r="BF522" s="89"/>
      <c r="BG522" s="89"/>
      <c r="BH522" s="89"/>
      <c r="BI522" s="89"/>
      <c r="BJ522" s="89"/>
      <c r="BK522" s="91"/>
      <c r="BL522" s="66"/>
      <c r="BM522" s="94"/>
      <c r="BN522" s="94"/>
      <c r="BO522" s="92"/>
      <c r="BP522" s="93"/>
      <c r="BQ522" s="23"/>
      <c r="BR522" s="94"/>
      <c r="BS522" s="94"/>
      <c r="BT522" s="94"/>
      <c r="BU522" s="94"/>
      <c r="BV522" s="95"/>
      <c r="BW522" s="91"/>
      <c r="BX522" s="95"/>
      <c r="BY522" s="8"/>
      <c r="BZ522" s="96"/>
      <c r="CA522" s="91"/>
      <c r="CB522" s="97"/>
      <c r="CC522" s="8"/>
      <c r="CD522" s="91"/>
      <c r="CE522" s="98"/>
      <c r="CF522" s="5"/>
      <c r="DK522" s="89"/>
      <c r="DL522" s="8"/>
      <c r="DM522" s="8"/>
      <c r="DN522" s="8"/>
      <c r="DO522" s="8"/>
      <c r="DP522" s="8"/>
      <c r="DQ522" s="8"/>
      <c r="DR522" s="8"/>
      <c r="DZ522" s="45"/>
      <c r="EA522" s="89"/>
      <c r="EB522" s="89"/>
      <c r="EC522" s="89"/>
      <c r="ED522" s="89"/>
      <c r="EE522" s="89"/>
      <c r="EF522" s="89"/>
      <c r="EG522" s="89"/>
      <c r="EH522" s="89"/>
      <c r="EI522" s="89"/>
      <c r="EJ522" s="89"/>
      <c r="EK522" s="91"/>
      <c r="EL522" s="66"/>
      <c r="EM522" s="94"/>
      <c r="EN522" s="94"/>
      <c r="EO522" s="92"/>
      <c r="EP522" s="93"/>
      <c r="EQ522" s="23"/>
      <c r="ER522" s="94"/>
      <c r="ES522" s="94"/>
      <c r="ET522" s="94"/>
      <c r="EU522" s="94"/>
      <c r="EV522" s="95"/>
      <c r="EW522" s="91"/>
      <c r="EX522" s="95"/>
      <c r="EY522" s="8"/>
      <c r="EZ522" s="96"/>
      <c r="FA522" s="91"/>
      <c r="FB522" s="97"/>
      <c r="FC522" s="8"/>
      <c r="FD522" s="91"/>
      <c r="FE522" s="98"/>
      <c r="FF522" s="5"/>
    </row>
    <row r="523" spans="37:162">
      <c r="AK523" s="89"/>
      <c r="AL523" s="8"/>
      <c r="AM523" s="8"/>
      <c r="AN523" s="8"/>
      <c r="AO523" s="8"/>
      <c r="AP523" s="8"/>
      <c r="AQ523" s="8"/>
      <c r="AR523" s="8"/>
      <c r="AZ523" s="45"/>
      <c r="BA523" s="89"/>
      <c r="BB523" s="89"/>
      <c r="BC523" s="89"/>
      <c r="BD523" s="89"/>
      <c r="BE523" s="89"/>
      <c r="BF523" s="89"/>
      <c r="BG523" s="89"/>
      <c r="BH523" s="89"/>
      <c r="BI523" s="89"/>
      <c r="BJ523" s="89"/>
      <c r="BK523" s="91"/>
      <c r="BL523" s="66"/>
      <c r="BM523" s="94"/>
      <c r="BN523" s="94"/>
      <c r="BO523" s="92"/>
      <c r="BP523" s="93"/>
      <c r="BQ523" s="23"/>
      <c r="BR523" s="94"/>
      <c r="BS523" s="94"/>
      <c r="BT523" s="94"/>
      <c r="BU523" s="94"/>
      <c r="BV523" s="95"/>
      <c r="BW523" s="91"/>
      <c r="BX523" s="95"/>
      <c r="BY523" s="8"/>
      <c r="BZ523" s="96"/>
      <c r="CA523" s="91"/>
      <c r="CB523" s="97"/>
      <c r="CC523" s="8"/>
      <c r="CD523" s="91"/>
      <c r="CE523" s="98"/>
      <c r="CF523" s="5"/>
      <c r="DK523" s="89"/>
      <c r="DL523" s="8"/>
      <c r="DM523" s="8"/>
      <c r="DN523" s="8"/>
      <c r="DO523" s="8"/>
      <c r="DP523" s="8"/>
      <c r="DQ523" s="8"/>
      <c r="DR523" s="8"/>
      <c r="DZ523" s="45"/>
      <c r="EA523" s="89"/>
      <c r="EB523" s="89"/>
      <c r="EC523" s="89"/>
      <c r="ED523" s="89"/>
      <c r="EE523" s="89"/>
      <c r="EF523" s="89"/>
      <c r="EG523" s="89"/>
      <c r="EH523" s="89"/>
      <c r="EI523" s="89"/>
      <c r="EJ523" s="89"/>
      <c r="EK523" s="91"/>
      <c r="EL523" s="66"/>
      <c r="EM523" s="94"/>
      <c r="EN523" s="94"/>
      <c r="EO523" s="92"/>
      <c r="EP523" s="93"/>
      <c r="EQ523" s="23"/>
      <c r="ER523" s="94"/>
      <c r="ES523" s="94"/>
      <c r="ET523" s="94"/>
      <c r="EU523" s="94"/>
      <c r="EV523" s="95"/>
      <c r="EW523" s="91"/>
      <c r="EX523" s="95"/>
      <c r="EY523" s="8"/>
      <c r="EZ523" s="96"/>
      <c r="FA523" s="91"/>
      <c r="FB523" s="97"/>
      <c r="FC523" s="8"/>
      <c r="FD523" s="91"/>
      <c r="FE523" s="98"/>
      <c r="FF523" s="5"/>
    </row>
    <row r="524" spans="37:162">
      <c r="AK524" s="89"/>
      <c r="AL524" s="8"/>
      <c r="AM524" s="8"/>
      <c r="AN524" s="8"/>
      <c r="AO524" s="8"/>
      <c r="AP524" s="8"/>
      <c r="AQ524" s="8"/>
      <c r="AR524" s="8"/>
      <c r="AZ524" s="45"/>
      <c r="BA524" s="89"/>
      <c r="BB524" s="89"/>
      <c r="BC524" s="89"/>
      <c r="BD524" s="89"/>
      <c r="BE524" s="89"/>
      <c r="BF524" s="89"/>
      <c r="BG524" s="89"/>
      <c r="BH524" s="89"/>
      <c r="BI524" s="89"/>
      <c r="BJ524" s="89"/>
      <c r="BK524" s="91"/>
      <c r="BL524" s="66"/>
      <c r="BM524" s="94"/>
      <c r="BN524" s="94"/>
      <c r="BO524" s="92"/>
      <c r="BP524" s="93"/>
      <c r="BQ524" s="23"/>
      <c r="BR524" s="94"/>
      <c r="BS524" s="94"/>
      <c r="BT524" s="94"/>
      <c r="BU524" s="94"/>
      <c r="BV524" s="95"/>
      <c r="BW524" s="91"/>
      <c r="BX524" s="95"/>
      <c r="BY524" s="8"/>
      <c r="BZ524" s="96"/>
      <c r="CA524" s="91"/>
      <c r="CB524" s="97"/>
      <c r="CC524" s="8"/>
      <c r="CD524" s="91"/>
      <c r="CE524" s="98"/>
      <c r="CF524" s="5"/>
      <c r="DK524" s="89"/>
      <c r="DL524" s="8"/>
      <c r="DM524" s="8"/>
      <c r="DN524" s="8"/>
      <c r="DO524" s="8"/>
      <c r="DP524" s="8"/>
      <c r="DQ524" s="8"/>
      <c r="DR524" s="8"/>
      <c r="DZ524" s="45"/>
      <c r="EA524" s="89"/>
      <c r="EB524" s="89"/>
      <c r="EC524" s="89"/>
      <c r="ED524" s="89"/>
      <c r="EE524" s="89"/>
      <c r="EF524" s="89"/>
      <c r="EG524" s="89"/>
      <c r="EH524" s="89"/>
      <c r="EI524" s="89"/>
      <c r="EJ524" s="89"/>
      <c r="EK524" s="91"/>
      <c r="EL524" s="66"/>
      <c r="EM524" s="94"/>
      <c r="EN524" s="94"/>
      <c r="EO524" s="92"/>
      <c r="EP524" s="93"/>
      <c r="EQ524" s="23"/>
      <c r="ER524" s="94"/>
      <c r="ES524" s="94"/>
      <c r="ET524" s="94"/>
      <c r="EU524" s="94"/>
      <c r="EV524" s="95"/>
      <c r="EW524" s="91"/>
      <c r="EX524" s="95"/>
      <c r="EY524" s="8"/>
      <c r="EZ524" s="96"/>
      <c r="FA524" s="91"/>
      <c r="FB524" s="97"/>
      <c r="FC524" s="8"/>
      <c r="FD524" s="91"/>
      <c r="FE524" s="98"/>
      <c r="FF524" s="5"/>
    </row>
    <row r="525" spans="37:162">
      <c r="AK525" s="89"/>
      <c r="AL525" s="8"/>
      <c r="AM525" s="8"/>
      <c r="AN525" s="8"/>
      <c r="AO525" s="8"/>
      <c r="AP525" s="8"/>
      <c r="AQ525" s="8"/>
      <c r="AR525" s="8"/>
      <c r="AZ525" s="45"/>
      <c r="BA525" s="89"/>
      <c r="BB525" s="89"/>
      <c r="BC525" s="89"/>
      <c r="BD525" s="89"/>
      <c r="BE525" s="89"/>
      <c r="BF525" s="89"/>
      <c r="BG525" s="89"/>
      <c r="BH525" s="89"/>
      <c r="BI525" s="89"/>
      <c r="BJ525" s="89"/>
      <c r="BK525" s="91"/>
      <c r="BL525" s="66"/>
      <c r="BM525" s="94"/>
      <c r="BN525" s="94"/>
      <c r="BO525" s="92"/>
      <c r="BP525" s="93"/>
      <c r="BQ525" s="23"/>
      <c r="BR525" s="94"/>
      <c r="BS525" s="94"/>
      <c r="BT525" s="94"/>
      <c r="BU525" s="94"/>
      <c r="BV525" s="95"/>
      <c r="BW525" s="91"/>
      <c r="BX525" s="95"/>
      <c r="BY525" s="8"/>
      <c r="BZ525" s="96"/>
      <c r="CA525" s="91"/>
      <c r="CB525" s="97"/>
      <c r="CC525" s="8"/>
      <c r="CD525" s="91"/>
      <c r="CE525" s="98"/>
      <c r="CF525" s="5"/>
      <c r="DK525" s="89"/>
      <c r="DL525" s="8"/>
      <c r="DM525" s="8"/>
      <c r="DN525" s="8"/>
      <c r="DO525" s="8"/>
      <c r="DP525" s="8"/>
      <c r="DQ525" s="8"/>
      <c r="DR525" s="8"/>
      <c r="DZ525" s="45"/>
      <c r="EA525" s="89"/>
      <c r="EB525" s="89"/>
      <c r="EC525" s="89"/>
      <c r="ED525" s="89"/>
      <c r="EE525" s="89"/>
      <c r="EF525" s="89"/>
      <c r="EG525" s="89"/>
      <c r="EH525" s="89"/>
      <c r="EI525" s="89"/>
      <c r="EJ525" s="89"/>
      <c r="EK525" s="91"/>
      <c r="EL525" s="66"/>
      <c r="EM525" s="94"/>
      <c r="EN525" s="94"/>
      <c r="EO525" s="92"/>
      <c r="EP525" s="93"/>
      <c r="EQ525" s="23"/>
      <c r="ER525" s="94"/>
      <c r="ES525" s="94"/>
      <c r="ET525" s="94"/>
      <c r="EU525" s="94"/>
      <c r="EV525" s="95"/>
      <c r="EW525" s="91"/>
      <c r="EX525" s="95"/>
      <c r="EY525" s="8"/>
      <c r="EZ525" s="96"/>
      <c r="FA525" s="91"/>
      <c r="FB525" s="97"/>
      <c r="FC525" s="8"/>
      <c r="FD525" s="91"/>
      <c r="FE525" s="98"/>
      <c r="FF525" s="5"/>
    </row>
    <row r="526" spans="37:162">
      <c r="AK526" s="89"/>
      <c r="AL526" s="8"/>
      <c r="AM526" s="8"/>
      <c r="AN526" s="8"/>
      <c r="AO526" s="8"/>
      <c r="AP526" s="8"/>
      <c r="AQ526" s="8"/>
      <c r="AR526" s="8"/>
      <c r="AZ526" s="45"/>
      <c r="BA526" s="89"/>
      <c r="BB526" s="89"/>
      <c r="BC526" s="89"/>
      <c r="BD526" s="89"/>
      <c r="BE526" s="89"/>
      <c r="BF526" s="89"/>
      <c r="BG526" s="89"/>
      <c r="BH526" s="89"/>
      <c r="BI526" s="89"/>
      <c r="BJ526" s="89"/>
      <c r="BK526" s="91"/>
      <c r="BL526" s="66"/>
      <c r="BM526" s="94"/>
      <c r="BN526" s="94"/>
      <c r="BO526" s="92"/>
      <c r="BP526" s="93"/>
      <c r="BQ526" s="23"/>
      <c r="BR526" s="94"/>
      <c r="BS526" s="94"/>
      <c r="BT526" s="94"/>
      <c r="BU526" s="94"/>
      <c r="BV526" s="95"/>
      <c r="BW526" s="91"/>
      <c r="BX526" s="95"/>
      <c r="BY526" s="8"/>
      <c r="BZ526" s="96"/>
      <c r="CA526" s="91"/>
      <c r="CB526" s="97"/>
      <c r="CC526" s="8"/>
      <c r="CD526" s="91"/>
      <c r="CE526" s="98"/>
      <c r="CF526" s="5"/>
      <c r="DK526" s="89"/>
      <c r="DL526" s="8"/>
      <c r="DM526" s="8"/>
      <c r="DN526" s="8"/>
      <c r="DO526" s="8"/>
      <c r="DP526" s="8"/>
      <c r="DQ526" s="8"/>
      <c r="DR526" s="8"/>
      <c r="DZ526" s="45"/>
      <c r="EA526" s="89"/>
      <c r="EB526" s="89"/>
      <c r="EC526" s="89"/>
      <c r="ED526" s="89"/>
      <c r="EE526" s="89"/>
      <c r="EF526" s="89"/>
      <c r="EG526" s="89"/>
      <c r="EH526" s="89"/>
      <c r="EI526" s="89"/>
      <c r="EJ526" s="89"/>
      <c r="EK526" s="91"/>
      <c r="EL526" s="66"/>
      <c r="EM526" s="94"/>
      <c r="EN526" s="94"/>
      <c r="EO526" s="92"/>
      <c r="EP526" s="93"/>
      <c r="EQ526" s="23"/>
      <c r="ER526" s="94"/>
      <c r="ES526" s="94"/>
      <c r="ET526" s="94"/>
      <c r="EU526" s="94"/>
      <c r="EV526" s="95"/>
      <c r="EW526" s="91"/>
      <c r="EX526" s="95"/>
      <c r="EY526" s="8"/>
      <c r="EZ526" s="96"/>
      <c r="FA526" s="91"/>
      <c r="FB526" s="97"/>
      <c r="FC526" s="8"/>
      <c r="FD526" s="91"/>
      <c r="FE526" s="98"/>
      <c r="FF526" s="5"/>
    </row>
    <row r="527" spans="37:162">
      <c r="AK527" s="89"/>
      <c r="AL527" s="8"/>
      <c r="AM527" s="8"/>
      <c r="AN527" s="8"/>
      <c r="AO527" s="8"/>
      <c r="AP527" s="8"/>
      <c r="AQ527" s="8"/>
      <c r="AR527" s="8"/>
      <c r="AZ527" s="45"/>
      <c r="BA527" s="89"/>
      <c r="BB527" s="89"/>
      <c r="BC527" s="89"/>
      <c r="BD527" s="89"/>
      <c r="BE527" s="89"/>
      <c r="BF527" s="89"/>
      <c r="BG527" s="89"/>
      <c r="BH527" s="89"/>
      <c r="BI527" s="89"/>
      <c r="BJ527" s="89"/>
      <c r="BK527" s="91"/>
      <c r="BL527" s="66"/>
      <c r="BM527" s="94"/>
      <c r="BN527" s="94"/>
      <c r="BO527" s="92"/>
      <c r="BP527" s="93"/>
      <c r="BQ527" s="23"/>
      <c r="BR527" s="94"/>
      <c r="BS527" s="94"/>
      <c r="BT527" s="94"/>
      <c r="BU527" s="94"/>
      <c r="BV527" s="95"/>
      <c r="BW527" s="91"/>
      <c r="BX527" s="95"/>
      <c r="BY527" s="8"/>
      <c r="BZ527" s="96"/>
      <c r="CA527" s="91"/>
      <c r="CB527" s="97"/>
      <c r="CC527" s="8"/>
      <c r="CD527" s="91"/>
      <c r="CE527" s="98"/>
      <c r="CF527" s="5"/>
      <c r="DK527" s="89"/>
      <c r="DL527" s="8"/>
      <c r="DM527" s="8"/>
      <c r="DN527" s="8"/>
      <c r="DO527" s="8"/>
      <c r="DP527" s="8"/>
      <c r="DQ527" s="8"/>
      <c r="DR527" s="8"/>
      <c r="DZ527" s="45"/>
      <c r="EA527" s="89"/>
      <c r="EB527" s="89"/>
      <c r="EC527" s="89"/>
      <c r="ED527" s="89"/>
      <c r="EE527" s="89"/>
      <c r="EF527" s="89"/>
      <c r="EG527" s="89"/>
      <c r="EH527" s="89"/>
      <c r="EI527" s="89"/>
      <c r="EJ527" s="89"/>
      <c r="EK527" s="91"/>
      <c r="EL527" s="66"/>
      <c r="EM527" s="94"/>
      <c r="EN527" s="94"/>
      <c r="EO527" s="92"/>
      <c r="EP527" s="93"/>
      <c r="EQ527" s="23"/>
      <c r="ER527" s="94"/>
      <c r="ES527" s="94"/>
      <c r="ET527" s="94"/>
      <c r="EU527" s="94"/>
      <c r="EV527" s="95"/>
      <c r="EW527" s="91"/>
      <c r="EX527" s="95"/>
      <c r="EY527" s="8"/>
      <c r="EZ527" s="96"/>
      <c r="FA527" s="91"/>
      <c r="FB527" s="97"/>
      <c r="FC527" s="8"/>
      <c r="FD527" s="91"/>
      <c r="FE527" s="98"/>
      <c r="FF527" s="5"/>
    </row>
    <row r="528" spans="37:162">
      <c r="AK528" s="89"/>
      <c r="AL528" s="8"/>
      <c r="AM528" s="8"/>
      <c r="AN528" s="8"/>
      <c r="AO528" s="8"/>
      <c r="AP528" s="8"/>
      <c r="AQ528" s="8"/>
      <c r="AR528" s="8"/>
      <c r="AZ528" s="45"/>
      <c r="BA528" s="89"/>
      <c r="BB528" s="89"/>
      <c r="BC528" s="89"/>
      <c r="BD528" s="89"/>
      <c r="BE528" s="89"/>
      <c r="BF528" s="89"/>
      <c r="BG528" s="89"/>
      <c r="BH528" s="89"/>
      <c r="BI528" s="89"/>
      <c r="BJ528" s="89"/>
      <c r="BK528" s="91"/>
      <c r="BL528" s="66"/>
      <c r="BM528" s="94"/>
      <c r="BN528" s="94"/>
      <c r="BO528" s="92"/>
      <c r="BP528" s="93"/>
      <c r="BQ528" s="23"/>
      <c r="BR528" s="94"/>
      <c r="BS528" s="94"/>
      <c r="BT528" s="94"/>
      <c r="BU528" s="94"/>
      <c r="BV528" s="95"/>
      <c r="BW528" s="91"/>
      <c r="BX528" s="95"/>
      <c r="BY528" s="8"/>
      <c r="BZ528" s="96"/>
      <c r="CA528" s="91"/>
      <c r="CB528" s="97"/>
      <c r="CC528" s="8"/>
      <c r="CD528" s="91"/>
      <c r="CE528" s="98"/>
      <c r="CF528" s="5"/>
      <c r="DK528" s="89"/>
      <c r="DL528" s="8"/>
      <c r="DM528" s="8"/>
      <c r="DN528" s="8"/>
      <c r="DO528" s="8"/>
      <c r="DP528" s="8"/>
      <c r="DQ528" s="8"/>
      <c r="DR528" s="8"/>
      <c r="DZ528" s="45"/>
      <c r="EA528" s="89"/>
      <c r="EB528" s="89"/>
      <c r="EC528" s="89"/>
      <c r="ED528" s="89"/>
      <c r="EE528" s="89"/>
      <c r="EF528" s="89"/>
      <c r="EG528" s="89"/>
      <c r="EH528" s="89"/>
      <c r="EI528" s="89"/>
      <c r="EJ528" s="89"/>
      <c r="EK528" s="91"/>
      <c r="EL528" s="66"/>
      <c r="EM528" s="94"/>
      <c r="EN528" s="94"/>
      <c r="EO528" s="92"/>
      <c r="EP528" s="93"/>
      <c r="EQ528" s="23"/>
      <c r="ER528" s="94"/>
      <c r="ES528" s="94"/>
      <c r="ET528" s="94"/>
      <c r="EU528" s="94"/>
      <c r="EV528" s="95"/>
      <c r="EW528" s="91"/>
      <c r="EX528" s="95"/>
      <c r="EY528" s="8"/>
      <c r="EZ528" s="96"/>
      <c r="FA528" s="91"/>
      <c r="FB528" s="97"/>
      <c r="FC528" s="8"/>
      <c r="FD528" s="91"/>
      <c r="FE528" s="98"/>
      <c r="FF528" s="5"/>
    </row>
    <row r="529" spans="37:162">
      <c r="AK529" s="89"/>
      <c r="AL529" s="8"/>
      <c r="AM529" s="8"/>
      <c r="AN529" s="8"/>
      <c r="AO529" s="8"/>
      <c r="AP529" s="8"/>
      <c r="AQ529" s="8"/>
      <c r="AR529" s="8"/>
      <c r="AZ529" s="45"/>
      <c r="BA529" s="89"/>
      <c r="BB529" s="89"/>
      <c r="BC529" s="89"/>
      <c r="BD529" s="89"/>
      <c r="BE529" s="89"/>
      <c r="BF529" s="89"/>
      <c r="BG529" s="89"/>
      <c r="BH529" s="89"/>
      <c r="BI529" s="89"/>
      <c r="BJ529" s="89"/>
      <c r="BK529" s="91"/>
      <c r="BL529" s="66"/>
      <c r="BM529" s="94"/>
      <c r="BN529" s="94"/>
      <c r="BO529" s="92"/>
      <c r="BP529" s="93"/>
      <c r="BQ529" s="23"/>
      <c r="BR529" s="94"/>
      <c r="BS529" s="94"/>
      <c r="BT529" s="94"/>
      <c r="BU529" s="94"/>
      <c r="BV529" s="95"/>
      <c r="BW529" s="91"/>
      <c r="BX529" s="95"/>
      <c r="BY529" s="8"/>
      <c r="BZ529" s="96"/>
      <c r="CA529" s="91"/>
      <c r="CB529" s="97"/>
      <c r="CC529" s="8"/>
      <c r="CD529" s="91"/>
      <c r="CE529" s="98"/>
      <c r="CF529" s="5"/>
      <c r="DK529" s="89"/>
      <c r="DL529" s="8"/>
      <c r="DM529" s="8"/>
      <c r="DN529" s="8"/>
      <c r="DO529" s="8"/>
      <c r="DP529" s="8"/>
      <c r="DQ529" s="8"/>
      <c r="DR529" s="8"/>
      <c r="DZ529" s="45"/>
      <c r="EA529" s="89"/>
      <c r="EB529" s="89"/>
      <c r="EC529" s="89"/>
      <c r="ED529" s="89"/>
      <c r="EE529" s="89"/>
      <c r="EF529" s="89"/>
      <c r="EG529" s="89"/>
      <c r="EH529" s="89"/>
      <c r="EI529" s="89"/>
      <c r="EJ529" s="89"/>
      <c r="EK529" s="91"/>
      <c r="EL529" s="66"/>
      <c r="EM529" s="94"/>
      <c r="EN529" s="94"/>
      <c r="EO529" s="92"/>
      <c r="EP529" s="93"/>
      <c r="EQ529" s="23"/>
      <c r="ER529" s="94"/>
      <c r="ES529" s="94"/>
      <c r="ET529" s="94"/>
      <c r="EU529" s="94"/>
      <c r="EV529" s="95"/>
      <c r="EW529" s="91"/>
      <c r="EX529" s="95"/>
      <c r="EY529" s="8"/>
      <c r="EZ529" s="96"/>
      <c r="FA529" s="91"/>
      <c r="FB529" s="97"/>
      <c r="FC529" s="8"/>
      <c r="FD529" s="91"/>
      <c r="FE529" s="98"/>
      <c r="FF529" s="5"/>
    </row>
    <row r="530" spans="37:162">
      <c r="AK530" s="89"/>
      <c r="AL530" s="8"/>
      <c r="AM530" s="8"/>
      <c r="AN530" s="8"/>
      <c r="AO530" s="8"/>
      <c r="AP530" s="8"/>
      <c r="AQ530" s="8"/>
      <c r="AR530" s="8"/>
      <c r="AZ530" s="45"/>
      <c r="BA530" s="89"/>
      <c r="BB530" s="89"/>
      <c r="BC530" s="89"/>
      <c r="BD530" s="89"/>
      <c r="BE530" s="89"/>
      <c r="BF530" s="89"/>
      <c r="BG530" s="89"/>
      <c r="BH530" s="89"/>
      <c r="BI530" s="89"/>
      <c r="BJ530" s="89"/>
      <c r="BK530" s="91"/>
      <c r="BL530" s="66"/>
      <c r="BM530" s="94"/>
      <c r="BN530" s="94"/>
      <c r="BO530" s="92"/>
      <c r="BP530" s="93"/>
      <c r="BQ530" s="23"/>
      <c r="BR530" s="94"/>
      <c r="BS530" s="94"/>
      <c r="BT530" s="94"/>
      <c r="BU530" s="94"/>
      <c r="BV530" s="95"/>
      <c r="BW530" s="91"/>
      <c r="BX530" s="95"/>
      <c r="BY530" s="8"/>
      <c r="BZ530" s="96"/>
      <c r="CA530" s="91"/>
      <c r="CB530" s="97"/>
      <c r="CC530" s="8"/>
      <c r="CD530" s="91"/>
      <c r="CE530" s="98"/>
      <c r="CF530" s="5"/>
      <c r="DK530" s="89"/>
      <c r="DL530" s="8"/>
      <c r="DM530" s="8"/>
      <c r="DN530" s="8"/>
      <c r="DO530" s="8"/>
      <c r="DP530" s="8"/>
      <c r="DQ530" s="8"/>
      <c r="DR530" s="8"/>
      <c r="DZ530" s="45"/>
      <c r="EA530" s="89"/>
      <c r="EB530" s="89"/>
      <c r="EC530" s="89"/>
      <c r="ED530" s="89"/>
      <c r="EE530" s="89"/>
      <c r="EF530" s="89"/>
      <c r="EG530" s="89"/>
      <c r="EH530" s="89"/>
      <c r="EI530" s="89"/>
      <c r="EJ530" s="89"/>
      <c r="EK530" s="91"/>
      <c r="EL530" s="66"/>
      <c r="EM530" s="94"/>
      <c r="EN530" s="94"/>
      <c r="EO530" s="92"/>
      <c r="EP530" s="93"/>
      <c r="EQ530" s="23"/>
      <c r="ER530" s="94"/>
      <c r="ES530" s="94"/>
      <c r="ET530" s="94"/>
      <c r="EU530" s="94"/>
      <c r="EV530" s="95"/>
      <c r="EW530" s="91"/>
      <c r="EX530" s="95"/>
      <c r="EY530" s="8"/>
      <c r="EZ530" s="96"/>
      <c r="FA530" s="91"/>
      <c r="FB530" s="97"/>
      <c r="FC530" s="8"/>
      <c r="FD530" s="91"/>
      <c r="FE530" s="98"/>
      <c r="FF530" s="5"/>
    </row>
    <row r="531" spans="37:162">
      <c r="AK531" s="89"/>
      <c r="AL531" s="8"/>
      <c r="AM531" s="8"/>
      <c r="AN531" s="8"/>
      <c r="AO531" s="8"/>
      <c r="AP531" s="8"/>
      <c r="AQ531" s="8"/>
      <c r="AR531" s="8"/>
      <c r="AZ531" s="45"/>
      <c r="BA531" s="89"/>
      <c r="BB531" s="89"/>
      <c r="BC531" s="89"/>
      <c r="BD531" s="89"/>
      <c r="BE531" s="89"/>
      <c r="BF531" s="89"/>
      <c r="BG531" s="89"/>
      <c r="BH531" s="89"/>
      <c r="BI531" s="89"/>
      <c r="BJ531" s="89"/>
      <c r="BK531" s="91"/>
      <c r="BL531" s="66"/>
      <c r="BM531" s="94"/>
      <c r="BN531" s="94"/>
      <c r="BO531" s="92"/>
      <c r="BP531" s="93"/>
      <c r="BQ531" s="23"/>
      <c r="BR531" s="94"/>
      <c r="BS531" s="94"/>
      <c r="BT531" s="94"/>
      <c r="BU531" s="94"/>
      <c r="BV531" s="95"/>
      <c r="BW531" s="91"/>
      <c r="BX531" s="95"/>
      <c r="BY531" s="8"/>
      <c r="BZ531" s="96"/>
      <c r="CA531" s="91"/>
      <c r="CB531" s="97"/>
      <c r="CC531" s="8"/>
      <c r="CD531" s="91"/>
      <c r="CE531" s="98"/>
      <c r="CF531" s="5"/>
      <c r="DK531" s="89"/>
      <c r="DL531" s="8"/>
      <c r="DM531" s="8"/>
      <c r="DN531" s="8"/>
      <c r="DO531" s="8"/>
      <c r="DP531" s="8"/>
      <c r="DQ531" s="8"/>
      <c r="DR531" s="8"/>
      <c r="DZ531" s="45"/>
      <c r="EA531" s="89"/>
      <c r="EB531" s="89"/>
      <c r="EC531" s="89"/>
      <c r="ED531" s="89"/>
      <c r="EE531" s="89"/>
      <c r="EF531" s="89"/>
      <c r="EG531" s="89"/>
      <c r="EH531" s="89"/>
      <c r="EI531" s="89"/>
      <c r="EJ531" s="89"/>
      <c r="EK531" s="91"/>
      <c r="EL531" s="66"/>
      <c r="EM531" s="94"/>
      <c r="EN531" s="94"/>
      <c r="EO531" s="92"/>
      <c r="EP531" s="93"/>
      <c r="EQ531" s="23"/>
      <c r="ER531" s="94"/>
      <c r="ES531" s="94"/>
      <c r="ET531" s="94"/>
      <c r="EU531" s="94"/>
      <c r="EV531" s="95"/>
      <c r="EW531" s="91"/>
      <c r="EX531" s="95"/>
      <c r="EY531" s="8"/>
      <c r="EZ531" s="96"/>
      <c r="FA531" s="91"/>
      <c r="FB531" s="97"/>
      <c r="FC531" s="8"/>
      <c r="FD531" s="91"/>
      <c r="FE531" s="98"/>
      <c r="FF531" s="5"/>
    </row>
    <row r="532" spans="37:162">
      <c r="AK532" s="89"/>
      <c r="AL532" s="8"/>
      <c r="AM532" s="8"/>
      <c r="AN532" s="8"/>
      <c r="AO532" s="8"/>
      <c r="AP532" s="8"/>
      <c r="AQ532" s="8"/>
      <c r="AR532" s="8"/>
      <c r="AZ532" s="45"/>
      <c r="BA532" s="89"/>
      <c r="BB532" s="89"/>
      <c r="BC532" s="89"/>
      <c r="BD532" s="89"/>
      <c r="BE532" s="89"/>
      <c r="BF532" s="89"/>
      <c r="BG532" s="89"/>
      <c r="BH532" s="89"/>
      <c r="BI532" s="89"/>
      <c r="BJ532" s="89"/>
      <c r="BK532" s="91"/>
      <c r="BL532" s="66"/>
      <c r="BM532" s="94"/>
      <c r="BN532" s="94"/>
      <c r="BO532" s="92"/>
      <c r="BP532" s="93"/>
      <c r="BQ532" s="23"/>
      <c r="BR532" s="94"/>
      <c r="BS532" s="94"/>
      <c r="BT532" s="94"/>
      <c r="BU532" s="94"/>
      <c r="BV532" s="95"/>
      <c r="BW532" s="91"/>
      <c r="BX532" s="95"/>
      <c r="BY532" s="8"/>
      <c r="BZ532" s="96"/>
      <c r="CA532" s="91"/>
      <c r="CB532" s="97"/>
      <c r="CC532" s="8"/>
      <c r="CD532" s="91"/>
      <c r="CE532" s="98"/>
      <c r="CF532" s="5"/>
      <c r="DK532" s="89"/>
      <c r="DL532" s="8"/>
      <c r="DM532" s="8"/>
      <c r="DN532" s="8"/>
      <c r="DO532" s="8"/>
      <c r="DP532" s="8"/>
      <c r="DQ532" s="8"/>
      <c r="DR532" s="8"/>
      <c r="DZ532" s="45"/>
      <c r="EA532" s="89"/>
      <c r="EB532" s="89"/>
      <c r="EC532" s="89"/>
      <c r="ED532" s="89"/>
      <c r="EE532" s="89"/>
      <c r="EF532" s="89"/>
      <c r="EG532" s="89"/>
      <c r="EH532" s="89"/>
      <c r="EI532" s="89"/>
      <c r="EJ532" s="89"/>
      <c r="EK532" s="91"/>
      <c r="EL532" s="66"/>
      <c r="EM532" s="94"/>
      <c r="EN532" s="94"/>
      <c r="EO532" s="92"/>
      <c r="EP532" s="93"/>
      <c r="EQ532" s="23"/>
      <c r="ER532" s="94"/>
      <c r="ES532" s="94"/>
      <c r="ET532" s="94"/>
      <c r="EU532" s="94"/>
      <c r="EV532" s="95"/>
      <c r="EW532" s="91"/>
      <c r="EX532" s="95"/>
      <c r="EY532" s="8"/>
      <c r="EZ532" s="96"/>
      <c r="FA532" s="91"/>
      <c r="FB532" s="97"/>
      <c r="FC532" s="8"/>
      <c r="FD532" s="91"/>
      <c r="FE532" s="98"/>
      <c r="FF532" s="5"/>
    </row>
    <row r="533" spans="37:162">
      <c r="AK533" s="89"/>
      <c r="AL533" s="8"/>
      <c r="AM533" s="8"/>
      <c r="AN533" s="8"/>
      <c r="AO533" s="8"/>
      <c r="AP533" s="8"/>
      <c r="AQ533" s="8"/>
      <c r="AR533" s="8"/>
      <c r="AZ533" s="45"/>
      <c r="BA533" s="89"/>
      <c r="BB533" s="89"/>
      <c r="BC533" s="89"/>
      <c r="BD533" s="89"/>
      <c r="BE533" s="89"/>
      <c r="BF533" s="89"/>
      <c r="BG533" s="89"/>
      <c r="BH533" s="89"/>
      <c r="BI533" s="89"/>
      <c r="BJ533" s="89"/>
      <c r="BK533" s="91"/>
      <c r="BL533" s="66"/>
      <c r="BM533" s="94"/>
      <c r="BN533" s="94"/>
      <c r="BO533" s="92"/>
      <c r="BP533" s="93"/>
      <c r="BQ533" s="23"/>
      <c r="BR533" s="94"/>
      <c r="BS533" s="94"/>
      <c r="BT533" s="94"/>
      <c r="BU533" s="94"/>
      <c r="BV533" s="95"/>
      <c r="BW533" s="91"/>
      <c r="BX533" s="95"/>
      <c r="BY533" s="8"/>
      <c r="BZ533" s="96"/>
      <c r="CA533" s="91"/>
      <c r="CB533" s="97"/>
      <c r="CC533" s="8"/>
      <c r="CD533" s="91"/>
      <c r="CE533" s="98"/>
      <c r="CF533" s="5"/>
      <c r="DK533" s="89"/>
      <c r="DL533" s="8"/>
      <c r="DM533" s="8"/>
      <c r="DN533" s="8"/>
      <c r="DO533" s="8"/>
      <c r="DP533" s="8"/>
      <c r="DQ533" s="8"/>
      <c r="DR533" s="8"/>
      <c r="DZ533" s="45"/>
      <c r="EA533" s="89"/>
      <c r="EB533" s="89"/>
      <c r="EC533" s="89"/>
      <c r="ED533" s="89"/>
      <c r="EE533" s="89"/>
      <c r="EF533" s="89"/>
      <c r="EG533" s="89"/>
      <c r="EH533" s="89"/>
      <c r="EI533" s="89"/>
      <c r="EJ533" s="89"/>
      <c r="EK533" s="91"/>
      <c r="EL533" s="66"/>
      <c r="EM533" s="94"/>
      <c r="EN533" s="94"/>
      <c r="EO533" s="92"/>
      <c r="EP533" s="93"/>
      <c r="EQ533" s="23"/>
      <c r="ER533" s="94"/>
      <c r="ES533" s="94"/>
      <c r="ET533" s="94"/>
      <c r="EU533" s="94"/>
      <c r="EV533" s="95"/>
      <c r="EW533" s="91"/>
      <c r="EX533" s="95"/>
      <c r="EY533" s="8"/>
      <c r="EZ533" s="96"/>
      <c r="FA533" s="91"/>
      <c r="FB533" s="97"/>
      <c r="FC533" s="8"/>
      <c r="FD533" s="91"/>
      <c r="FE533" s="98"/>
      <c r="FF533" s="5"/>
    </row>
    <row r="534" spans="37:162">
      <c r="AK534" s="89"/>
      <c r="AL534" s="8"/>
      <c r="AM534" s="8"/>
      <c r="AN534" s="8"/>
      <c r="AO534" s="8"/>
      <c r="AP534" s="8"/>
      <c r="AQ534" s="8"/>
      <c r="AR534" s="8"/>
      <c r="AZ534" s="45"/>
      <c r="BA534" s="89"/>
      <c r="BB534" s="89"/>
      <c r="BC534" s="89"/>
      <c r="BD534" s="89"/>
      <c r="BE534" s="89"/>
      <c r="BF534" s="89"/>
      <c r="BG534" s="89"/>
      <c r="BH534" s="89"/>
      <c r="BI534" s="89"/>
      <c r="BJ534" s="89"/>
      <c r="BK534" s="91"/>
      <c r="BL534" s="66"/>
      <c r="BM534" s="94"/>
      <c r="BN534" s="94"/>
      <c r="BO534" s="92"/>
      <c r="BP534" s="93"/>
      <c r="BQ534" s="23"/>
      <c r="BR534" s="94"/>
      <c r="BS534" s="94"/>
      <c r="BT534" s="94"/>
      <c r="BU534" s="94"/>
      <c r="BV534" s="95"/>
      <c r="BW534" s="91"/>
      <c r="BX534" s="95"/>
      <c r="BY534" s="8"/>
      <c r="BZ534" s="96"/>
      <c r="CA534" s="91"/>
      <c r="CB534" s="97"/>
      <c r="CC534" s="8"/>
      <c r="CD534" s="91"/>
      <c r="CE534" s="98"/>
      <c r="CF534" s="5"/>
      <c r="DK534" s="89"/>
      <c r="DL534" s="8"/>
      <c r="DM534" s="8"/>
      <c r="DN534" s="8"/>
      <c r="DO534" s="8"/>
      <c r="DP534" s="8"/>
      <c r="DQ534" s="8"/>
      <c r="DR534" s="8"/>
      <c r="DZ534" s="45"/>
      <c r="EA534" s="89"/>
      <c r="EB534" s="89"/>
      <c r="EC534" s="89"/>
      <c r="ED534" s="89"/>
      <c r="EE534" s="89"/>
      <c r="EF534" s="89"/>
      <c r="EG534" s="89"/>
      <c r="EH534" s="89"/>
      <c r="EI534" s="89"/>
      <c r="EJ534" s="89"/>
      <c r="EK534" s="91"/>
      <c r="EL534" s="66"/>
      <c r="EM534" s="94"/>
      <c r="EN534" s="94"/>
      <c r="EO534" s="92"/>
      <c r="EP534" s="93"/>
      <c r="EQ534" s="23"/>
      <c r="ER534" s="94"/>
      <c r="ES534" s="94"/>
      <c r="ET534" s="94"/>
      <c r="EU534" s="94"/>
      <c r="EV534" s="95"/>
      <c r="EW534" s="91"/>
      <c r="EX534" s="95"/>
      <c r="EY534" s="8"/>
      <c r="EZ534" s="96"/>
      <c r="FA534" s="91"/>
      <c r="FB534" s="97"/>
      <c r="FC534" s="8"/>
      <c r="FD534" s="91"/>
      <c r="FE534" s="98"/>
      <c r="FF534" s="5"/>
    </row>
    <row r="535" spans="37:162">
      <c r="AK535" s="89"/>
      <c r="AL535" s="8"/>
      <c r="AM535" s="8"/>
      <c r="AN535" s="8"/>
      <c r="AO535" s="8"/>
      <c r="AP535" s="8"/>
      <c r="AQ535" s="8"/>
      <c r="AR535" s="8"/>
      <c r="AZ535" s="45"/>
      <c r="BA535" s="89"/>
      <c r="BB535" s="89"/>
      <c r="BC535" s="89"/>
      <c r="BD535" s="89"/>
      <c r="BE535" s="89"/>
      <c r="BF535" s="89"/>
      <c r="BG535" s="89"/>
      <c r="BH535" s="89"/>
      <c r="BI535" s="89"/>
      <c r="BJ535" s="89"/>
      <c r="BK535" s="91"/>
      <c r="BL535" s="66"/>
      <c r="BM535" s="94"/>
      <c r="BN535" s="94"/>
      <c r="BO535" s="92"/>
      <c r="BP535" s="93"/>
      <c r="BQ535" s="23"/>
      <c r="BR535" s="94"/>
      <c r="BS535" s="94"/>
      <c r="BT535" s="94"/>
      <c r="BU535" s="94"/>
      <c r="BV535" s="95"/>
      <c r="BW535" s="91"/>
      <c r="BX535" s="95"/>
      <c r="BY535" s="8"/>
      <c r="BZ535" s="96"/>
      <c r="CA535" s="91"/>
      <c r="CB535" s="97"/>
      <c r="CC535" s="8"/>
      <c r="CD535" s="91"/>
      <c r="CE535" s="98"/>
      <c r="CF535" s="5"/>
      <c r="DK535" s="89"/>
      <c r="DL535" s="8"/>
      <c r="DM535" s="8"/>
      <c r="DN535" s="8"/>
      <c r="DO535" s="8"/>
      <c r="DP535" s="8"/>
      <c r="DQ535" s="8"/>
      <c r="DR535" s="8"/>
      <c r="DZ535" s="45"/>
      <c r="EA535" s="89"/>
      <c r="EB535" s="89"/>
      <c r="EC535" s="89"/>
      <c r="ED535" s="89"/>
      <c r="EE535" s="89"/>
      <c r="EF535" s="89"/>
      <c r="EG535" s="89"/>
      <c r="EH535" s="89"/>
      <c r="EI535" s="89"/>
      <c r="EJ535" s="89"/>
      <c r="EK535" s="91"/>
      <c r="EL535" s="66"/>
      <c r="EM535" s="94"/>
      <c r="EN535" s="94"/>
      <c r="EO535" s="92"/>
      <c r="EP535" s="93"/>
      <c r="EQ535" s="23"/>
      <c r="ER535" s="94"/>
      <c r="ES535" s="94"/>
      <c r="ET535" s="94"/>
      <c r="EU535" s="94"/>
      <c r="EV535" s="95"/>
      <c r="EW535" s="91"/>
      <c r="EX535" s="95"/>
      <c r="EY535" s="8"/>
      <c r="EZ535" s="96"/>
      <c r="FA535" s="91"/>
      <c r="FB535" s="97"/>
      <c r="FC535" s="8"/>
      <c r="FD535" s="91"/>
      <c r="FE535" s="98"/>
      <c r="FF535" s="5"/>
    </row>
    <row r="536" spans="37:162">
      <c r="AK536" s="89"/>
      <c r="AL536" s="8"/>
      <c r="AM536" s="8"/>
      <c r="AN536" s="8"/>
      <c r="AO536" s="8"/>
      <c r="AP536" s="8"/>
      <c r="AQ536" s="8"/>
      <c r="AR536" s="8"/>
      <c r="AZ536" s="45"/>
      <c r="BA536" s="89"/>
      <c r="BB536" s="89"/>
      <c r="BC536" s="89"/>
      <c r="BD536" s="89"/>
      <c r="BE536" s="89"/>
      <c r="BF536" s="89"/>
      <c r="BG536" s="89"/>
      <c r="BH536" s="89"/>
      <c r="BI536" s="89"/>
      <c r="BJ536" s="89"/>
      <c r="BK536" s="91"/>
      <c r="BL536" s="66"/>
      <c r="BM536" s="94"/>
      <c r="BN536" s="94"/>
      <c r="BO536" s="92"/>
      <c r="BP536" s="93"/>
      <c r="BQ536" s="23"/>
      <c r="BR536" s="94"/>
      <c r="BS536" s="94"/>
      <c r="BT536" s="94"/>
      <c r="BU536" s="94"/>
      <c r="BV536" s="95"/>
      <c r="BW536" s="91"/>
      <c r="BX536" s="95"/>
      <c r="BY536" s="8"/>
      <c r="BZ536" s="96"/>
      <c r="CA536" s="91"/>
      <c r="CB536" s="97"/>
      <c r="CC536" s="8"/>
      <c r="CD536" s="91"/>
      <c r="CE536" s="98"/>
      <c r="CF536" s="5"/>
      <c r="DK536" s="89"/>
      <c r="DL536" s="8"/>
      <c r="DM536" s="8"/>
      <c r="DN536" s="8"/>
      <c r="DO536" s="8"/>
      <c r="DP536" s="8"/>
      <c r="DQ536" s="8"/>
      <c r="DR536" s="8"/>
      <c r="DZ536" s="45"/>
      <c r="EA536" s="89"/>
      <c r="EB536" s="89"/>
      <c r="EC536" s="89"/>
      <c r="ED536" s="89"/>
      <c r="EE536" s="89"/>
      <c r="EF536" s="89"/>
      <c r="EG536" s="89"/>
      <c r="EH536" s="89"/>
      <c r="EI536" s="89"/>
      <c r="EJ536" s="89"/>
      <c r="EK536" s="91"/>
      <c r="EL536" s="66"/>
      <c r="EM536" s="94"/>
      <c r="EN536" s="94"/>
      <c r="EO536" s="92"/>
      <c r="EP536" s="93"/>
      <c r="EQ536" s="23"/>
      <c r="ER536" s="94"/>
      <c r="ES536" s="94"/>
      <c r="ET536" s="94"/>
      <c r="EU536" s="94"/>
      <c r="EV536" s="95"/>
      <c r="EW536" s="91"/>
      <c r="EX536" s="95"/>
      <c r="EY536" s="8"/>
      <c r="EZ536" s="96"/>
      <c r="FA536" s="91"/>
      <c r="FB536" s="97"/>
      <c r="FC536" s="8"/>
      <c r="FD536" s="91"/>
      <c r="FE536" s="98"/>
      <c r="FF536" s="5"/>
    </row>
    <row r="537" spans="37:162">
      <c r="AK537" s="89"/>
      <c r="AL537" s="8"/>
      <c r="AM537" s="8"/>
      <c r="AN537" s="8"/>
      <c r="AO537" s="8"/>
      <c r="AP537" s="8"/>
      <c r="AQ537" s="8"/>
      <c r="AR537" s="8"/>
      <c r="AZ537" s="45"/>
      <c r="BA537" s="89"/>
      <c r="BB537" s="89"/>
      <c r="BC537" s="89"/>
      <c r="BD537" s="89"/>
      <c r="BE537" s="89"/>
      <c r="BF537" s="89"/>
      <c r="BG537" s="89"/>
      <c r="BH537" s="89"/>
      <c r="BI537" s="89"/>
      <c r="BJ537" s="89"/>
      <c r="BK537" s="91"/>
      <c r="BL537" s="66"/>
      <c r="BM537" s="94"/>
      <c r="BN537" s="94"/>
      <c r="BO537" s="92"/>
      <c r="BP537" s="93"/>
      <c r="BQ537" s="23"/>
      <c r="BR537" s="94"/>
      <c r="BS537" s="94"/>
      <c r="BT537" s="94"/>
      <c r="BU537" s="94"/>
      <c r="BV537" s="95"/>
      <c r="BW537" s="91"/>
      <c r="BX537" s="95"/>
      <c r="BY537" s="8"/>
      <c r="BZ537" s="96"/>
      <c r="CA537" s="91"/>
      <c r="CB537" s="97"/>
      <c r="CC537" s="8"/>
      <c r="CD537" s="91"/>
      <c r="CE537" s="98"/>
      <c r="CF537" s="5"/>
      <c r="DK537" s="89"/>
      <c r="DL537" s="8"/>
      <c r="DM537" s="8"/>
      <c r="DN537" s="8"/>
      <c r="DO537" s="8"/>
      <c r="DP537" s="8"/>
      <c r="DQ537" s="8"/>
      <c r="DR537" s="8"/>
      <c r="DZ537" s="45"/>
      <c r="EA537" s="89"/>
      <c r="EB537" s="89"/>
      <c r="EC537" s="89"/>
      <c r="ED537" s="89"/>
      <c r="EE537" s="89"/>
      <c r="EF537" s="89"/>
      <c r="EG537" s="89"/>
      <c r="EH537" s="89"/>
      <c r="EI537" s="89"/>
      <c r="EJ537" s="89"/>
      <c r="EK537" s="91"/>
      <c r="EL537" s="66"/>
      <c r="EM537" s="94"/>
      <c r="EN537" s="94"/>
      <c r="EO537" s="92"/>
      <c r="EP537" s="93"/>
      <c r="EQ537" s="23"/>
      <c r="ER537" s="94"/>
      <c r="ES537" s="94"/>
      <c r="ET537" s="94"/>
      <c r="EU537" s="94"/>
      <c r="EV537" s="95"/>
      <c r="EW537" s="91"/>
      <c r="EX537" s="95"/>
      <c r="EY537" s="8"/>
      <c r="EZ537" s="96"/>
      <c r="FA537" s="91"/>
      <c r="FB537" s="97"/>
      <c r="FC537" s="8"/>
      <c r="FD537" s="91"/>
      <c r="FE537" s="98"/>
      <c r="FF537" s="5"/>
    </row>
    <row r="538" spans="37:162">
      <c r="AK538" s="89"/>
      <c r="AL538" s="8"/>
      <c r="AM538" s="8"/>
      <c r="AN538" s="8"/>
      <c r="AO538" s="8"/>
      <c r="AP538" s="8"/>
      <c r="AQ538" s="8"/>
      <c r="AR538" s="8"/>
      <c r="AZ538" s="45"/>
      <c r="BA538" s="89"/>
      <c r="BB538" s="89"/>
      <c r="BC538" s="89"/>
      <c r="BD538" s="89"/>
      <c r="BE538" s="89"/>
      <c r="BF538" s="89"/>
      <c r="BG538" s="89"/>
      <c r="BH538" s="89"/>
      <c r="BI538" s="89"/>
      <c r="BJ538" s="89"/>
      <c r="BK538" s="91"/>
      <c r="BL538" s="66"/>
      <c r="BM538" s="94"/>
      <c r="BN538" s="94"/>
      <c r="BO538" s="92"/>
      <c r="BP538" s="93"/>
      <c r="BQ538" s="23"/>
      <c r="BR538" s="94"/>
      <c r="BS538" s="94"/>
      <c r="BT538" s="94"/>
      <c r="BU538" s="94"/>
      <c r="BV538" s="95"/>
      <c r="BW538" s="91"/>
      <c r="BX538" s="95"/>
      <c r="BY538" s="8"/>
      <c r="BZ538" s="96"/>
      <c r="CA538" s="91"/>
      <c r="CB538" s="97"/>
      <c r="CC538" s="8"/>
      <c r="CD538" s="91"/>
      <c r="CE538" s="98"/>
      <c r="CF538" s="5"/>
      <c r="DK538" s="89"/>
      <c r="DL538" s="8"/>
      <c r="DM538" s="8"/>
      <c r="DN538" s="8"/>
      <c r="DO538" s="8"/>
      <c r="DP538" s="8"/>
      <c r="DQ538" s="8"/>
      <c r="DR538" s="8"/>
      <c r="DZ538" s="45"/>
      <c r="EA538" s="89"/>
      <c r="EB538" s="89"/>
      <c r="EC538" s="89"/>
      <c r="ED538" s="89"/>
      <c r="EE538" s="89"/>
      <c r="EF538" s="89"/>
      <c r="EG538" s="89"/>
      <c r="EH538" s="89"/>
      <c r="EI538" s="89"/>
      <c r="EJ538" s="89"/>
      <c r="EK538" s="91"/>
      <c r="EL538" s="66"/>
      <c r="EM538" s="94"/>
      <c r="EN538" s="94"/>
      <c r="EO538" s="92"/>
      <c r="EP538" s="93"/>
      <c r="EQ538" s="23"/>
      <c r="ER538" s="94"/>
      <c r="ES538" s="94"/>
      <c r="ET538" s="94"/>
      <c r="EU538" s="94"/>
      <c r="EV538" s="95"/>
      <c r="EW538" s="91"/>
      <c r="EX538" s="95"/>
      <c r="EY538" s="8"/>
      <c r="EZ538" s="96"/>
      <c r="FA538" s="91"/>
      <c r="FB538" s="97"/>
      <c r="FC538" s="8"/>
      <c r="FD538" s="91"/>
      <c r="FE538" s="98"/>
      <c r="FF538" s="5"/>
    </row>
    <row r="539" spans="37:162">
      <c r="AK539" s="89"/>
      <c r="AL539" s="8"/>
      <c r="AM539" s="8"/>
      <c r="AN539" s="8"/>
      <c r="AO539" s="8"/>
      <c r="AP539" s="8"/>
      <c r="AQ539" s="8"/>
      <c r="AR539" s="8"/>
      <c r="AZ539" s="45"/>
      <c r="BA539" s="89"/>
      <c r="BB539" s="89"/>
      <c r="BC539" s="89"/>
      <c r="BD539" s="89"/>
      <c r="BE539" s="89"/>
      <c r="BF539" s="89"/>
      <c r="BG539" s="89"/>
      <c r="BH539" s="89"/>
      <c r="BI539" s="89"/>
      <c r="BJ539" s="89"/>
      <c r="BK539" s="91"/>
      <c r="BL539" s="66"/>
      <c r="BM539" s="94"/>
      <c r="BN539" s="94"/>
      <c r="BO539" s="92"/>
      <c r="BP539" s="93"/>
      <c r="BQ539" s="23"/>
      <c r="BR539" s="94"/>
      <c r="BS539" s="94"/>
      <c r="BT539" s="94"/>
      <c r="BU539" s="94"/>
      <c r="BV539" s="95"/>
      <c r="BW539" s="91"/>
      <c r="BX539" s="95"/>
      <c r="BY539" s="8"/>
      <c r="BZ539" s="96"/>
      <c r="CA539" s="91"/>
      <c r="CB539" s="97"/>
      <c r="CC539" s="8"/>
      <c r="CD539" s="91"/>
      <c r="CE539" s="98"/>
      <c r="CF539" s="5"/>
      <c r="DK539" s="89"/>
      <c r="DL539" s="8"/>
      <c r="DM539" s="8"/>
      <c r="DN539" s="8"/>
      <c r="DO539" s="8"/>
      <c r="DP539" s="8"/>
      <c r="DQ539" s="8"/>
      <c r="DR539" s="8"/>
      <c r="DZ539" s="45"/>
      <c r="EA539" s="89"/>
      <c r="EB539" s="89"/>
      <c r="EC539" s="89"/>
      <c r="ED539" s="89"/>
      <c r="EE539" s="89"/>
      <c r="EF539" s="89"/>
      <c r="EG539" s="89"/>
      <c r="EH539" s="89"/>
      <c r="EI539" s="89"/>
      <c r="EJ539" s="89"/>
      <c r="EK539" s="91"/>
      <c r="EL539" s="66"/>
      <c r="EM539" s="94"/>
      <c r="EN539" s="94"/>
      <c r="EO539" s="92"/>
      <c r="EP539" s="93"/>
      <c r="EQ539" s="23"/>
      <c r="ER539" s="94"/>
      <c r="ES539" s="94"/>
      <c r="ET539" s="94"/>
      <c r="EU539" s="94"/>
      <c r="EV539" s="95"/>
      <c r="EW539" s="91"/>
      <c r="EX539" s="95"/>
      <c r="EY539" s="8"/>
      <c r="EZ539" s="96"/>
      <c r="FA539" s="91"/>
      <c r="FB539" s="97"/>
      <c r="FC539" s="8"/>
      <c r="FD539" s="91"/>
      <c r="FE539" s="98"/>
      <c r="FF539" s="5"/>
    </row>
    <row r="540" spans="37:162">
      <c r="AK540" s="89"/>
      <c r="AL540" s="8"/>
      <c r="AM540" s="8"/>
      <c r="AN540" s="8"/>
      <c r="AO540" s="8"/>
      <c r="AP540" s="8"/>
      <c r="AQ540" s="8"/>
      <c r="AR540" s="8"/>
      <c r="AZ540" s="45"/>
      <c r="BA540" s="89"/>
      <c r="BB540" s="89"/>
      <c r="BC540" s="89"/>
      <c r="BD540" s="89"/>
      <c r="BE540" s="89"/>
      <c r="BF540" s="89"/>
      <c r="BG540" s="89"/>
      <c r="BH540" s="89"/>
      <c r="BI540" s="89"/>
      <c r="BJ540" s="89"/>
      <c r="BK540" s="91"/>
      <c r="BL540" s="66"/>
      <c r="BM540" s="94"/>
      <c r="BN540" s="94"/>
      <c r="BO540" s="92"/>
      <c r="BP540" s="93"/>
      <c r="BQ540" s="23"/>
      <c r="BR540" s="94"/>
      <c r="BS540" s="94"/>
      <c r="BT540" s="94"/>
      <c r="BU540" s="94"/>
      <c r="BV540" s="95"/>
      <c r="BW540" s="91"/>
      <c r="BX540" s="95"/>
      <c r="BY540" s="8"/>
      <c r="BZ540" s="96"/>
      <c r="CA540" s="91"/>
      <c r="CB540" s="97"/>
      <c r="CC540" s="8"/>
      <c r="CD540" s="91"/>
      <c r="CE540" s="98"/>
      <c r="CF540" s="5"/>
      <c r="DK540" s="89"/>
      <c r="DL540" s="8"/>
      <c r="DM540" s="8"/>
      <c r="DN540" s="8"/>
      <c r="DO540" s="8"/>
      <c r="DP540" s="8"/>
      <c r="DQ540" s="8"/>
      <c r="DR540" s="8"/>
      <c r="DZ540" s="45"/>
      <c r="EA540" s="89"/>
      <c r="EB540" s="89"/>
      <c r="EC540" s="89"/>
      <c r="ED540" s="89"/>
      <c r="EE540" s="89"/>
      <c r="EF540" s="89"/>
      <c r="EG540" s="89"/>
      <c r="EH540" s="89"/>
      <c r="EI540" s="89"/>
      <c r="EJ540" s="89"/>
      <c r="EK540" s="91"/>
      <c r="EL540" s="66"/>
      <c r="EM540" s="94"/>
      <c r="EN540" s="94"/>
      <c r="EO540" s="92"/>
      <c r="EP540" s="93"/>
      <c r="EQ540" s="23"/>
      <c r="ER540" s="94"/>
      <c r="ES540" s="94"/>
      <c r="ET540" s="94"/>
      <c r="EU540" s="94"/>
      <c r="EV540" s="95"/>
      <c r="EW540" s="91"/>
      <c r="EX540" s="95"/>
      <c r="EY540" s="8"/>
      <c r="EZ540" s="96"/>
      <c r="FA540" s="91"/>
      <c r="FB540" s="97"/>
      <c r="FC540" s="8"/>
      <c r="FD540" s="91"/>
      <c r="FE540" s="98"/>
      <c r="FF540" s="5"/>
    </row>
    <row r="541" spans="37:162">
      <c r="AK541" s="89"/>
      <c r="AL541" s="8"/>
      <c r="AM541" s="8"/>
      <c r="AN541" s="8"/>
      <c r="AO541" s="8"/>
      <c r="AP541" s="8"/>
      <c r="AQ541" s="8"/>
      <c r="AR541" s="8"/>
      <c r="AZ541" s="45"/>
      <c r="BA541" s="89"/>
      <c r="BB541" s="89"/>
      <c r="BC541" s="89"/>
      <c r="BD541" s="89"/>
      <c r="BE541" s="89"/>
      <c r="BF541" s="89"/>
      <c r="BG541" s="89"/>
      <c r="BH541" s="89"/>
      <c r="BI541" s="89"/>
      <c r="BJ541" s="89"/>
      <c r="BK541" s="91"/>
      <c r="BL541" s="66"/>
      <c r="BM541" s="94"/>
      <c r="BN541" s="94"/>
      <c r="BO541" s="92"/>
      <c r="BP541" s="93"/>
      <c r="BQ541" s="23"/>
      <c r="BR541" s="94"/>
      <c r="BS541" s="94"/>
      <c r="BT541" s="94"/>
      <c r="BU541" s="94"/>
      <c r="BV541" s="95"/>
      <c r="BW541" s="91"/>
      <c r="BX541" s="95"/>
      <c r="BY541" s="8"/>
      <c r="BZ541" s="96"/>
      <c r="CA541" s="91"/>
      <c r="CB541" s="97"/>
      <c r="CC541" s="8"/>
      <c r="CD541" s="91"/>
      <c r="CE541" s="98"/>
      <c r="CF541" s="5"/>
      <c r="DK541" s="89"/>
      <c r="DL541" s="8"/>
      <c r="DM541" s="8"/>
      <c r="DN541" s="8"/>
      <c r="DO541" s="8"/>
      <c r="DP541" s="8"/>
      <c r="DQ541" s="8"/>
      <c r="DR541" s="8"/>
      <c r="DZ541" s="45"/>
      <c r="EA541" s="89"/>
      <c r="EB541" s="89"/>
      <c r="EC541" s="89"/>
      <c r="ED541" s="89"/>
      <c r="EE541" s="89"/>
      <c r="EF541" s="89"/>
      <c r="EG541" s="89"/>
      <c r="EH541" s="89"/>
      <c r="EI541" s="89"/>
      <c r="EJ541" s="89"/>
      <c r="EK541" s="91"/>
      <c r="EL541" s="66"/>
      <c r="EM541" s="94"/>
      <c r="EN541" s="94"/>
      <c r="EO541" s="92"/>
      <c r="EP541" s="93"/>
      <c r="EQ541" s="23"/>
      <c r="ER541" s="94"/>
      <c r="ES541" s="94"/>
      <c r="ET541" s="94"/>
      <c r="EU541" s="94"/>
      <c r="EV541" s="95"/>
      <c r="EW541" s="91"/>
      <c r="EX541" s="95"/>
      <c r="EY541" s="8"/>
      <c r="EZ541" s="96"/>
      <c r="FA541" s="91"/>
      <c r="FB541" s="97"/>
      <c r="FC541" s="8"/>
      <c r="FD541" s="91"/>
      <c r="FE541" s="98"/>
      <c r="FF541" s="5"/>
    </row>
    <row r="542" spans="37:162">
      <c r="AK542" s="89"/>
      <c r="AL542" s="8"/>
      <c r="AM542" s="8"/>
      <c r="AN542" s="8"/>
      <c r="AO542" s="8"/>
      <c r="AP542" s="8"/>
      <c r="AQ542" s="8"/>
      <c r="AR542" s="8"/>
      <c r="AZ542" s="45"/>
      <c r="BA542" s="89"/>
      <c r="BB542" s="89"/>
      <c r="BC542" s="89"/>
      <c r="BD542" s="89"/>
      <c r="BE542" s="89"/>
      <c r="BF542" s="89"/>
      <c r="BG542" s="89"/>
      <c r="BH542" s="89"/>
      <c r="BI542" s="89"/>
      <c r="BJ542" s="89"/>
      <c r="BK542" s="91"/>
      <c r="BL542" s="66"/>
      <c r="BM542" s="94"/>
      <c r="BN542" s="94"/>
      <c r="BO542" s="92"/>
      <c r="BP542" s="93"/>
      <c r="BQ542" s="23"/>
      <c r="BR542" s="94"/>
      <c r="BS542" s="94"/>
      <c r="BT542" s="94"/>
      <c r="BU542" s="94"/>
      <c r="BV542" s="95"/>
      <c r="BW542" s="91"/>
      <c r="BX542" s="95"/>
      <c r="BY542" s="8"/>
      <c r="BZ542" s="96"/>
      <c r="CA542" s="91"/>
      <c r="CB542" s="97"/>
      <c r="CC542" s="8"/>
      <c r="CD542" s="91"/>
      <c r="CE542" s="98"/>
      <c r="CF542" s="5"/>
      <c r="DK542" s="89"/>
      <c r="DL542" s="8"/>
      <c r="DM542" s="8"/>
      <c r="DN542" s="8"/>
      <c r="DO542" s="8"/>
      <c r="DP542" s="8"/>
      <c r="DQ542" s="8"/>
      <c r="DR542" s="8"/>
      <c r="DZ542" s="45"/>
      <c r="EA542" s="89"/>
      <c r="EB542" s="89"/>
      <c r="EC542" s="89"/>
      <c r="ED542" s="89"/>
      <c r="EE542" s="89"/>
      <c r="EF542" s="89"/>
      <c r="EG542" s="89"/>
      <c r="EH542" s="89"/>
      <c r="EI542" s="89"/>
      <c r="EJ542" s="89"/>
      <c r="EK542" s="91"/>
      <c r="EL542" s="66"/>
      <c r="EM542" s="94"/>
      <c r="EN542" s="94"/>
      <c r="EO542" s="92"/>
      <c r="EP542" s="93"/>
      <c r="EQ542" s="23"/>
      <c r="ER542" s="94"/>
      <c r="ES542" s="94"/>
      <c r="ET542" s="94"/>
      <c r="EU542" s="94"/>
      <c r="EV542" s="95"/>
      <c r="EW542" s="91"/>
      <c r="EX542" s="95"/>
      <c r="EY542" s="8"/>
      <c r="EZ542" s="96"/>
      <c r="FA542" s="91"/>
      <c r="FB542" s="97"/>
      <c r="FC542" s="8"/>
      <c r="FD542" s="91"/>
      <c r="FE542" s="98"/>
      <c r="FF542" s="5"/>
    </row>
    <row r="543" spans="37:162">
      <c r="AK543" s="89"/>
      <c r="AL543" s="8"/>
      <c r="AM543" s="8"/>
      <c r="AN543" s="8"/>
      <c r="AO543" s="8"/>
      <c r="AP543" s="8"/>
      <c r="AQ543" s="8"/>
      <c r="AR543" s="8"/>
      <c r="AZ543" s="45"/>
      <c r="BA543" s="89"/>
      <c r="BB543" s="89"/>
      <c r="BC543" s="89"/>
      <c r="BD543" s="89"/>
      <c r="BE543" s="89"/>
      <c r="BF543" s="89"/>
      <c r="BG543" s="89"/>
      <c r="BH543" s="89"/>
      <c r="BI543" s="89"/>
      <c r="BJ543" s="89"/>
      <c r="BK543" s="91"/>
      <c r="BL543" s="66"/>
      <c r="BM543" s="94"/>
      <c r="BN543" s="94"/>
      <c r="BO543" s="92"/>
      <c r="BP543" s="93"/>
      <c r="BQ543" s="23"/>
      <c r="BR543" s="94"/>
      <c r="BS543" s="94"/>
      <c r="BT543" s="94"/>
      <c r="BU543" s="94"/>
      <c r="BV543" s="95"/>
      <c r="BW543" s="91"/>
      <c r="BX543" s="95"/>
      <c r="BY543" s="8"/>
      <c r="BZ543" s="96"/>
      <c r="CA543" s="91"/>
      <c r="CB543" s="97"/>
      <c r="CC543" s="8"/>
      <c r="CD543" s="91"/>
      <c r="CE543" s="98"/>
      <c r="CF543" s="5"/>
      <c r="DK543" s="89"/>
      <c r="DL543" s="8"/>
      <c r="DM543" s="8"/>
      <c r="DN543" s="8"/>
      <c r="DO543" s="8"/>
      <c r="DP543" s="8"/>
      <c r="DQ543" s="8"/>
      <c r="DR543" s="8"/>
      <c r="DZ543" s="45"/>
      <c r="EA543" s="89"/>
      <c r="EB543" s="89"/>
      <c r="EC543" s="89"/>
      <c r="ED543" s="89"/>
      <c r="EE543" s="89"/>
      <c r="EF543" s="89"/>
      <c r="EG543" s="89"/>
      <c r="EH543" s="89"/>
      <c r="EI543" s="89"/>
      <c r="EJ543" s="89"/>
      <c r="EK543" s="91"/>
      <c r="EL543" s="66"/>
      <c r="EM543" s="94"/>
      <c r="EN543" s="94"/>
      <c r="EO543" s="92"/>
      <c r="EP543" s="93"/>
      <c r="EQ543" s="23"/>
      <c r="ER543" s="94"/>
      <c r="ES543" s="94"/>
      <c r="ET543" s="94"/>
      <c r="EU543" s="94"/>
      <c r="EV543" s="95"/>
      <c r="EW543" s="91"/>
      <c r="EX543" s="95"/>
      <c r="EY543" s="8"/>
      <c r="EZ543" s="96"/>
      <c r="FA543" s="91"/>
      <c r="FB543" s="97"/>
      <c r="FC543" s="8"/>
      <c r="FD543" s="91"/>
      <c r="FE543" s="98"/>
      <c r="FF543" s="5"/>
    </row>
    <row r="544" spans="37:162">
      <c r="AK544" s="89"/>
      <c r="AL544" s="8"/>
      <c r="AM544" s="8"/>
      <c r="AN544" s="8"/>
      <c r="AO544" s="8"/>
      <c r="AP544" s="8"/>
      <c r="AQ544" s="8"/>
      <c r="AR544" s="8"/>
      <c r="AZ544" s="45"/>
      <c r="BA544" s="89"/>
      <c r="BB544" s="89"/>
      <c r="BC544" s="89"/>
      <c r="BD544" s="89"/>
      <c r="BE544" s="89"/>
      <c r="BF544" s="89"/>
      <c r="BG544" s="89"/>
      <c r="BH544" s="89"/>
      <c r="BI544" s="89"/>
      <c r="BJ544" s="89"/>
      <c r="BK544" s="91"/>
      <c r="BL544" s="66"/>
      <c r="BM544" s="94"/>
      <c r="BN544" s="94"/>
      <c r="BO544" s="92"/>
      <c r="BP544" s="93"/>
      <c r="BQ544" s="23"/>
      <c r="BR544" s="94"/>
      <c r="BS544" s="94"/>
      <c r="BT544" s="94"/>
      <c r="BU544" s="94"/>
      <c r="BV544" s="95"/>
      <c r="BW544" s="91"/>
      <c r="BX544" s="95"/>
      <c r="BY544" s="8"/>
      <c r="BZ544" s="96"/>
      <c r="CA544" s="91"/>
      <c r="CB544" s="97"/>
      <c r="CC544" s="8"/>
      <c r="CD544" s="91"/>
      <c r="CE544" s="98"/>
      <c r="CF544" s="5"/>
      <c r="DK544" s="89"/>
      <c r="DL544" s="8"/>
      <c r="DM544" s="8"/>
      <c r="DN544" s="8"/>
      <c r="DO544" s="8"/>
      <c r="DP544" s="8"/>
      <c r="DQ544" s="8"/>
      <c r="DR544" s="8"/>
      <c r="DZ544" s="45"/>
      <c r="EA544" s="89"/>
      <c r="EB544" s="89"/>
      <c r="EC544" s="89"/>
      <c r="ED544" s="89"/>
      <c r="EE544" s="89"/>
      <c r="EF544" s="89"/>
      <c r="EG544" s="89"/>
      <c r="EH544" s="89"/>
      <c r="EI544" s="89"/>
      <c r="EJ544" s="89"/>
      <c r="EK544" s="91"/>
      <c r="EL544" s="66"/>
      <c r="EM544" s="94"/>
      <c r="EN544" s="94"/>
      <c r="EO544" s="92"/>
      <c r="EP544" s="93"/>
      <c r="EQ544" s="23"/>
      <c r="ER544" s="94"/>
      <c r="ES544" s="94"/>
      <c r="ET544" s="94"/>
      <c r="EU544" s="94"/>
      <c r="EV544" s="95"/>
      <c r="EW544" s="91"/>
      <c r="EX544" s="95"/>
      <c r="EY544" s="8"/>
      <c r="EZ544" s="96"/>
      <c r="FA544" s="91"/>
      <c r="FB544" s="97"/>
      <c r="FC544" s="8"/>
      <c r="FD544" s="91"/>
      <c r="FE544" s="98"/>
      <c r="FF544" s="5"/>
    </row>
    <row r="545" spans="37:162">
      <c r="AK545" s="89"/>
      <c r="AL545" s="8"/>
      <c r="AM545" s="8"/>
      <c r="AN545" s="8"/>
      <c r="AO545" s="8"/>
      <c r="AP545" s="8"/>
      <c r="AQ545" s="8"/>
      <c r="AR545" s="8"/>
      <c r="AZ545" s="45"/>
      <c r="BA545" s="89"/>
      <c r="BB545" s="89"/>
      <c r="BC545" s="89"/>
      <c r="BD545" s="89"/>
      <c r="BE545" s="89"/>
      <c r="BF545" s="89"/>
      <c r="BG545" s="89"/>
      <c r="BH545" s="89"/>
      <c r="BI545" s="89"/>
      <c r="BJ545" s="89"/>
      <c r="BK545" s="91"/>
      <c r="BL545" s="66"/>
      <c r="BM545" s="94"/>
      <c r="BN545" s="94"/>
      <c r="BO545" s="92"/>
      <c r="BP545" s="93"/>
      <c r="BQ545" s="23"/>
      <c r="BR545" s="94"/>
      <c r="BS545" s="94"/>
      <c r="BT545" s="94"/>
      <c r="BU545" s="94"/>
      <c r="BV545" s="95"/>
      <c r="BW545" s="91"/>
      <c r="BX545" s="95"/>
      <c r="BY545" s="8"/>
      <c r="BZ545" s="96"/>
      <c r="CA545" s="91"/>
      <c r="CB545" s="97"/>
      <c r="CC545" s="8"/>
      <c r="CD545" s="91"/>
      <c r="CE545" s="98"/>
      <c r="CF545" s="5"/>
      <c r="DK545" s="89"/>
      <c r="DL545" s="8"/>
      <c r="DM545" s="8"/>
      <c r="DN545" s="8"/>
      <c r="DO545" s="8"/>
      <c r="DP545" s="8"/>
      <c r="DQ545" s="8"/>
      <c r="DR545" s="8"/>
      <c r="DZ545" s="45"/>
      <c r="EA545" s="89"/>
      <c r="EB545" s="89"/>
      <c r="EC545" s="89"/>
      <c r="ED545" s="89"/>
      <c r="EE545" s="89"/>
      <c r="EF545" s="89"/>
      <c r="EG545" s="89"/>
      <c r="EH545" s="89"/>
      <c r="EI545" s="89"/>
      <c r="EJ545" s="89"/>
      <c r="EK545" s="91"/>
      <c r="EL545" s="66"/>
      <c r="EM545" s="94"/>
      <c r="EN545" s="94"/>
      <c r="EO545" s="92"/>
      <c r="EP545" s="93"/>
      <c r="EQ545" s="23"/>
      <c r="ER545" s="94"/>
      <c r="ES545" s="94"/>
      <c r="ET545" s="94"/>
      <c r="EU545" s="94"/>
      <c r="EV545" s="95"/>
      <c r="EW545" s="91"/>
      <c r="EX545" s="95"/>
      <c r="EY545" s="8"/>
      <c r="EZ545" s="96"/>
      <c r="FA545" s="91"/>
      <c r="FB545" s="97"/>
      <c r="FC545" s="8"/>
      <c r="FD545" s="91"/>
      <c r="FE545" s="98"/>
      <c r="FF545" s="5"/>
    </row>
    <row r="546" spans="37:162">
      <c r="AK546" s="89"/>
      <c r="AL546" s="8"/>
      <c r="AM546" s="8"/>
      <c r="AN546" s="8"/>
      <c r="AO546" s="8"/>
      <c r="AP546" s="8"/>
      <c r="AQ546" s="8"/>
      <c r="AR546" s="8"/>
      <c r="AZ546" s="45"/>
      <c r="BA546" s="89"/>
      <c r="BB546" s="89"/>
      <c r="BC546" s="89"/>
      <c r="BD546" s="89"/>
      <c r="BE546" s="89"/>
      <c r="BF546" s="89"/>
      <c r="BG546" s="89"/>
      <c r="BH546" s="89"/>
      <c r="BI546" s="89"/>
      <c r="BJ546" s="89"/>
      <c r="BK546" s="91"/>
      <c r="BL546" s="66"/>
      <c r="BM546" s="94"/>
      <c r="BN546" s="94"/>
      <c r="BO546" s="92"/>
      <c r="BP546" s="93"/>
      <c r="BQ546" s="23"/>
      <c r="BR546" s="94"/>
      <c r="BS546" s="94"/>
      <c r="BT546" s="94"/>
      <c r="BU546" s="94"/>
      <c r="BV546" s="95"/>
      <c r="BW546" s="91"/>
      <c r="BX546" s="95"/>
      <c r="BY546" s="8"/>
      <c r="BZ546" s="96"/>
      <c r="CA546" s="91"/>
      <c r="CB546" s="97"/>
      <c r="CC546" s="8"/>
      <c r="CD546" s="91"/>
      <c r="CE546" s="98"/>
      <c r="CF546" s="5"/>
      <c r="DK546" s="89"/>
      <c r="DL546" s="8"/>
      <c r="DM546" s="8"/>
      <c r="DN546" s="8"/>
      <c r="DO546" s="8"/>
      <c r="DP546" s="8"/>
      <c r="DQ546" s="8"/>
      <c r="DR546" s="8"/>
      <c r="DZ546" s="45"/>
      <c r="EA546" s="89"/>
      <c r="EB546" s="89"/>
      <c r="EC546" s="89"/>
      <c r="ED546" s="89"/>
      <c r="EE546" s="89"/>
      <c r="EF546" s="89"/>
      <c r="EG546" s="89"/>
      <c r="EH546" s="89"/>
      <c r="EI546" s="89"/>
      <c r="EJ546" s="89"/>
      <c r="EK546" s="91"/>
      <c r="EL546" s="66"/>
      <c r="EM546" s="94"/>
      <c r="EN546" s="94"/>
      <c r="EO546" s="92"/>
      <c r="EP546" s="93"/>
      <c r="EQ546" s="23"/>
      <c r="ER546" s="94"/>
      <c r="ES546" s="94"/>
      <c r="ET546" s="94"/>
      <c r="EU546" s="94"/>
      <c r="EV546" s="95"/>
      <c r="EW546" s="91"/>
      <c r="EX546" s="95"/>
      <c r="EY546" s="8"/>
      <c r="EZ546" s="96"/>
      <c r="FA546" s="91"/>
      <c r="FB546" s="97"/>
      <c r="FC546" s="8"/>
      <c r="FD546" s="91"/>
      <c r="FE546" s="98"/>
      <c r="FF546" s="5"/>
    </row>
    <row r="547" spans="37:162">
      <c r="AK547" s="89"/>
      <c r="AL547" s="8"/>
      <c r="AM547" s="8"/>
      <c r="AN547" s="8"/>
      <c r="AO547" s="8"/>
      <c r="AP547" s="8"/>
      <c r="AQ547" s="8"/>
      <c r="AR547" s="8"/>
      <c r="AZ547" s="45"/>
      <c r="BA547" s="89"/>
      <c r="BB547" s="89"/>
      <c r="BC547" s="89"/>
      <c r="BD547" s="89"/>
      <c r="BE547" s="89"/>
      <c r="BF547" s="89"/>
      <c r="BG547" s="89"/>
      <c r="BH547" s="89"/>
      <c r="BI547" s="89"/>
      <c r="BJ547" s="89"/>
      <c r="BK547" s="91"/>
      <c r="BL547" s="66"/>
      <c r="BM547" s="94"/>
      <c r="BN547" s="94"/>
      <c r="BO547" s="92"/>
      <c r="BP547" s="93"/>
      <c r="BQ547" s="23"/>
      <c r="BR547" s="94"/>
      <c r="BS547" s="94"/>
      <c r="BT547" s="94"/>
      <c r="BU547" s="94"/>
      <c r="BV547" s="95"/>
      <c r="BW547" s="91"/>
      <c r="BX547" s="95"/>
      <c r="BY547" s="8"/>
      <c r="BZ547" s="96"/>
      <c r="CA547" s="91"/>
      <c r="CB547" s="97"/>
      <c r="CC547" s="8"/>
      <c r="CD547" s="91"/>
      <c r="CE547" s="98"/>
      <c r="CF547" s="5"/>
      <c r="DK547" s="89"/>
      <c r="DL547" s="8"/>
      <c r="DM547" s="8"/>
      <c r="DN547" s="8"/>
      <c r="DO547" s="8"/>
      <c r="DP547" s="8"/>
      <c r="DQ547" s="8"/>
      <c r="DR547" s="8"/>
      <c r="DZ547" s="45"/>
      <c r="EA547" s="89"/>
      <c r="EB547" s="89"/>
      <c r="EC547" s="89"/>
      <c r="ED547" s="89"/>
      <c r="EE547" s="89"/>
      <c r="EF547" s="89"/>
      <c r="EG547" s="89"/>
      <c r="EH547" s="89"/>
      <c r="EI547" s="89"/>
      <c r="EJ547" s="89"/>
      <c r="EK547" s="91"/>
      <c r="EL547" s="66"/>
      <c r="EM547" s="94"/>
      <c r="EN547" s="94"/>
      <c r="EO547" s="92"/>
      <c r="EP547" s="93"/>
      <c r="EQ547" s="23"/>
      <c r="ER547" s="94"/>
      <c r="ES547" s="94"/>
      <c r="ET547" s="94"/>
      <c r="EU547" s="94"/>
      <c r="EV547" s="95"/>
      <c r="EW547" s="91"/>
      <c r="EX547" s="95"/>
      <c r="EY547" s="8"/>
      <c r="EZ547" s="96"/>
      <c r="FA547" s="91"/>
      <c r="FB547" s="97"/>
      <c r="FC547" s="8"/>
      <c r="FD547" s="91"/>
      <c r="FE547" s="98"/>
      <c r="FF547" s="5"/>
    </row>
    <row r="548" spans="37:162">
      <c r="AK548" s="89"/>
      <c r="AL548" s="8"/>
      <c r="AM548" s="8"/>
      <c r="AN548" s="8"/>
      <c r="AO548" s="8"/>
      <c r="AP548" s="8"/>
      <c r="AQ548" s="8"/>
      <c r="AR548" s="8"/>
      <c r="AZ548" s="45"/>
      <c r="BA548" s="89"/>
      <c r="BB548" s="89"/>
      <c r="BC548" s="89"/>
      <c r="BD548" s="89"/>
      <c r="BE548" s="89"/>
      <c r="BF548" s="89"/>
      <c r="BG548" s="89"/>
      <c r="BH548" s="89"/>
      <c r="BI548" s="89"/>
      <c r="BJ548" s="89"/>
      <c r="BK548" s="91"/>
      <c r="BL548" s="66"/>
      <c r="BM548" s="94"/>
      <c r="BN548" s="94"/>
      <c r="BO548" s="92"/>
      <c r="BP548" s="93"/>
      <c r="BQ548" s="23"/>
      <c r="BR548" s="94"/>
      <c r="BS548" s="94"/>
      <c r="BT548" s="94"/>
      <c r="BU548" s="94"/>
      <c r="BV548" s="95"/>
      <c r="BW548" s="91"/>
      <c r="BX548" s="95"/>
      <c r="BY548" s="8"/>
      <c r="BZ548" s="96"/>
      <c r="CA548" s="91"/>
      <c r="CB548" s="97"/>
      <c r="CC548" s="8"/>
      <c r="CD548" s="91"/>
      <c r="CE548" s="98"/>
      <c r="CF548" s="5"/>
      <c r="DK548" s="89"/>
      <c r="DL548" s="8"/>
      <c r="DM548" s="8"/>
      <c r="DN548" s="8"/>
      <c r="DO548" s="8"/>
      <c r="DP548" s="8"/>
      <c r="DQ548" s="8"/>
      <c r="DR548" s="8"/>
      <c r="DZ548" s="45"/>
      <c r="EA548" s="89"/>
      <c r="EB548" s="89"/>
      <c r="EC548" s="89"/>
      <c r="ED548" s="89"/>
      <c r="EE548" s="89"/>
      <c r="EF548" s="89"/>
      <c r="EG548" s="89"/>
      <c r="EH548" s="89"/>
      <c r="EI548" s="89"/>
      <c r="EJ548" s="89"/>
      <c r="EK548" s="91"/>
      <c r="EL548" s="66"/>
      <c r="EM548" s="94"/>
      <c r="EN548" s="94"/>
      <c r="EO548" s="92"/>
      <c r="EP548" s="93"/>
      <c r="EQ548" s="23"/>
      <c r="ER548" s="94"/>
      <c r="ES548" s="94"/>
      <c r="ET548" s="94"/>
      <c r="EU548" s="94"/>
      <c r="EV548" s="95"/>
      <c r="EW548" s="91"/>
      <c r="EX548" s="95"/>
      <c r="EY548" s="8"/>
      <c r="EZ548" s="96"/>
      <c r="FA548" s="91"/>
      <c r="FB548" s="97"/>
      <c r="FC548" s="8"/>
      <c r="FD548" s="91"/>
      <c r="FE548" s="98"/>
      <c r="FF548" s="5"/>
    </row>
    <row r="549" spans="37:162">
      <c r="AK549" s="89"/>
      <c r="AL549" s="8"/>
      <c r="AM549" s="8"/>
      <c r="AN549" s="8"/>
      <c r="AO549" s="8"/>
      <c r="AP549" s="8"/>
      <c r="AQ549" s="8"/>
      <c r="AR549" s="8"/>
      <c r="AZ549" s="45"/>
      <c r="BA549" s="89"/>
      <c r="BB549" s="89"/>
      <c r="BC549" s="89"/>
      <c r="BD549" s="89"/>
      <c r="BE549" s="89"/>
      <c r="BF549" s="89"/>
      <c r="BG549" s="89"/>
      <c r="BH549" s="89"/>
      <c r="BI549" s="89"/>
      <c r="BJ549" s="89"/>
      <c r="BK549" s="91"/>
      <c r="BL549" s="66"/>
      <c r="BM549" s="94"/>
      <c r="BN549" s="94"/>
      <c r="BO549" s="92"/>
      <c r="BP549" s="93"/>
      <c r="BQ549" s="23"/>
      <c r="BR549" s="94"/>
      <c r="BS549" s="94"/>
      <c r="BT549" s="94"/>
      <c r="BU549" s="94"/>
      <c r="BV549" s="95"/>
      <c r="BW549" s="91"/>
      <c r="BX549" s="95"/>
      <c r="BY549" s="8"/>
      <c r="BZ549" s="96"/>
      <c r="CA549" s="91"/>
      <c r="CB549" s="97"/>
      <c r="CC549" s="8"/>
      <c r="CD549" s="91"/>
      <c r="CE549" s="98"/>
      <c r="CF549" s="5"/>
      <c r="DK549" s="89"/>
      <c r="DL549" s="8"/>
      <c r="DM549" s="8"/>
      <c r="DN549" s="8"/>
      <c r="DO549" s="8"/>
      <c r="DP549" s="8"/>
      <c r="DQ549" s="8"/>
      <c r="DR549" s="8"/>
      <c r="DZ549" s="45"/>
      <c r="EA549" s="89"/>
      <c r="EB549" s="89"/>
      <c r="EC549" s="89"/>
      <c r="ED549" s="89"/>
      <c r="EE549" s="89"/>
      <c r="EF549" s="89"/>
      <c r="EG549" s="89"/>
      <c r="EH549" s="89"/>
      <c r="EI549" s="89"/>
      <c r="EJ549" s="89"/>
      <c r="EK549" s="91"/>
      <c r="EL549" s="66"/>
      <c r="EM549" s="94"/>
      <c r="EN549" s="94"/>
      <c r="EO549" s="92"/>
      <c r="EP549" s="93"/>
      <c r="EQ549" s="23"/>
      <c r="ER549" s="94"/>
      <c r="ES549" s="94"/>
      <c r="ET549" s="94"/>
      <c r="EU549" s="94"/>
      <c r="EV549" s="95"/>
      <c r="EW549" s="91"/>
      <c r="EX549" s="95"/>
      <c r="EY549" s="8"/>
      <c r="EZ549" s="96"/>
      <c r="FA549" s="91"/>
      <c r="FB549" s="97"/>
      <c r="FC549" s="8"/>
      <c r="FD549" s="91"/>
      <c r="FE549" s="98"/>
      <c r="FF549" s="5"/>
    </row>
    <row r="550" spans="37:162">
      <c r="AK550" s="89"/>
      <c r="AL550" s="8"/>
      <c r="AM550" s="8"/>
      <c r="AN550" s="8"/>
      <c r="AO550" s="8"/>
      <c r="AP550" s="8"/>
      <c r="AQ550" s="8"/>
      <c r="AR550" s="8"/>
      <c r="AZ550" s="45"/>
      <c r="BA550" s="89"/>
      <c r="BB550" s="89"/>
      <c r="BC550" s="89"/>
      <c r="BD550" s="89"/>
      <c r="BE550" s="89"/>
      <c r="BF550" s="89"/>
      <c r="BG550" s="89"/>
      <c r="BH550" s="89"/>
      <c r="BI550" s="89"/>
      <c r="BJ550" s="89"/>
      <c r="BK550" s="91"/>
      <c r="BL550" s="66"/>
      <c r="BM550" s="94"/>
      <c r="BN550" s="94"/>
      <c r="BO550" s="92"/>
      <c r="BP550" s="93"/>
      <c r="BQ550" s="23"/>
      <c r="BR550" s="94"/>
      <c r="BS550" s="94"/>
      <c r="BT550" s="94"/>
      <c r="BU550" s="94"/>
      <c r="BV550" s="95"/>
      <c r="BW550" s="91"/>
      <c r="BX550" s="95"/>
      <c r="BY550" s="8"/>
      <c r="BZ550" s="96"/>
      <c r="CA550" s="91"/>
      <c r="CB550" s="97"/>
      <c r="CC550" s="8"/>
      <c r="CD550" s="91"/>
      <c r="CE550" s="98"/>
      <c r="CF550" s="5"/>
      <c r="DK550" s="89"/>
      <c r="DL550" s="8"/>
      <c r="DM550" s="8"/>
      <c r="DN550" s="8"/>
      <c r="DO550" s="8"/>
      <c r="DP550" s="8"/>
      <c r="DQ550" s="8"/>
      <c r="DR550" s="8"/>
      <c r="DZ550" s="45"/>
      <c r="EA550" s="89"/>
      <c r="EB550" s="89"/>
      <c r="EC550" s="89"/>
      <c r="ED550" s="89"/>
      <c r="EE550" s="89"/>
      <c r="EF550" s="89"/>
      <c r="EG550" s="89"/>
      <c r="EH550" s="89"/>
      <c r="EI550" s="89"/>
      <c r="EJ550" s="89"/>
      <c r="EK550" s="91"/>
      <c r="EL550" s="66"/>
      <c r="EM550" s="94"/>
      <c r="EN550" s="94"/>
      <c r="EO550" s="92"/>
      <c r="EP550" s="93"/>
      <c r="EQ550" s="23"/>
      <c r="ER550" s="94"/>
      <c r="ES550" s="94"/>
      <c r="ET550" s="94"/>
      <c r="EU550" s="94"/>
      <c r="EV550" s="95"/>
      <c r="EW550" s="91"/>
      <c r="EX550" s="95"/>
      <c r="EY550" s="8"/>
      <c r="EZ550" s="96"/>
      <c r="FA550" s="91"/>
      <c r="FB550" s="97"/>
      <c r="FC550" s="8"/>
      <c r="FD550" s="91"/>
      <c r="FE550" s="98"/>
      <c r="FF550" s="5"/>
    </row>
    <row r="551" spans="37:162">
      <c r="AK551" s="89"/>
      <c r="AL551" s="8"/>
      <c r="AM551" s="8"/>
      <c r="AN551" s="8"/>
      <c r="AO551" s="8"/>
      <c r="AP551" s="8"/>
      <c r="AQ551" s="8"/>
      <c r="AR551" s="8"/>
      <c r="AZ551" s="45"/>
      <c r="BA551" s="89"/>
      <c r="BB551" s="89"/>
      <c r="BC551" s="89"/>
      <c r="BD551" s="89"/>
      <c r="BE551" s="89"/>
      <c r="BF551" s="89"/>
      <c r="BG551" s="89"/>
      <c r="BH551" s="89"/>
      <c r="BI551" s="89"/>
      <c r="BJ551" s="89"/>
      <c r="BK551" s="91"/>
      <c r="BL551" s="66"/>
      <c r="BM551" s="94"/>
      <c r="BN551" s="94"/>
      <c r="BO551" s="92"/>
      <c r="BP551" s="93"/>
      <c r="BQ551" s="23"/>
      <c r="BR551" s="94"/>
      <c r="BS551" s="94"/>
      <c r="BT551" s="94"/>
      <c r="BU551" s="94"/>
      <c r="BV551" s="95"/>
      <c r="BW551" s="91"/>
      <c r="BX551" s="95"/>
      <c r="BY551" s="8"/>
      <c r="BZ551" s="96"/>
      <c r="CA551" s="91"/>
      <c r="CB551" s="97"/>
      <c r="CC551" s="8"/>
      <c r="CD551" s="91"/>
      <c r="CE551" s="98"/>
      <c r="CF551" s="5"/>
      <c r="DK551" s="89"/>
      <c r="DL551" s="8"/>
      <c r="DM551" s="8"/>
      <c r="DN551" s="8"/>
      <c r="DO551" s="8"/>
      <c r="DP551" s="8"/>
      <c r="DQ551" s="8"/>
      <c r="DR551" s="8"/>
      <c r="DZ551" s="45"/>
      <c r="EA551" s="89"/>
      <c r="EB551" s="89"/>
      <c r="EC551" s="89"/>
      <c r="ED551" s="89"/>
      <c r="EE551" s="89"/>
      <c r="EF551" s="89"/>
      <c r="EG551" s="89"/>
      <c r="EH551" s="89"/>
      <c r="EI551" s="89"/>
      <c r="EJ551" s="89"/>
      <c r="EK551" s="91"/>
      <c r="EL551" s="66"/>
      <c r="EM551" s="94"/>
      <c r="EN551" s="94"/>
      <c r="EO551" s="92"/>
      <c r="EP551" s="93"/>
      <c r="EQ551" s="23"/>
      <c r="ER551" s="94"/>
      <c r="ES551" s="94"/>
      <c r="ET551" s="94"/>
      <c r="EU551" s="94"/>
      <c r="EV551" s="95"/>
      <c r="EW551" s="91"/>
      <c r="EX551" s="95"/>
      <c r="EY551" s="8"/>
      <c r="EZ551" s="96"/>
      <c r="FA551" s="91"/>
      <c r="FB551" s="97"/>
      <c r="FC551" s="8"/>
      <c r="FD551" s="91"/>
      <c r="FE551" s="98"/>
      <c r="FF551" s="5"/>
    </row>
    <row r="552" spans="37:162">
      <c r="AK552" s="89"/>
      <c r="AL552" s="8"/>
      <c r="AM552" s="8"/>
      <c r="AN552" s="8"/>
      <c r="AO552" s="8"/>
      <c r="AP552" s="8"/>
      <c r="AQ552" s="8"/>
      <c r="AR552" s="8"/>
      <c r="AZ552" s="45"/>
      <c r="BA552" s="89"/>
      <c r="BB552" s="89"/>
      <c r="BC552" s="89"/>
      <c r="BD552" s="89"/>
      <c r="BE552" s="89"/>
      <c r="BF552" s="89"/>
      <c r="BG552" s="89"/>
      <c r="BH552" s="89"/>
      <c r="BI552" s="89"/>
      <c r="BJ552" s="89"/>
      <c r="BK552" s="91"/>
      <c r="BL552" s="66"/>
      <c r="BM552" s="94"/>
      <c r="BN552" s="94"/>
      <c r="BO552" s="92"/>
      <c r="BP552" s="93"/>
      <c r="BQ552" s="23"/>
      <c r="BR552" s="94"/>
      <c r="BS552" s="94"/>
      <c r="BT552" s="94"/>
      <c r="BU552" s="94"/>
      <c r="BV552" s="95"/>
      <c r="BW552" s="91"/>
      <c r="BX552" s="95"/>
      <c r="BY552" s="8"/>
      <c r="BZ552" s="96"/>
      <c r="CA552" s="91"/>
      <c r="CB552" s="97"/>
      <c r="CC552" s="8"/>
      <c r="CD552" s="91"/>
      <c r="CE552" s="98"/>
      <c r="CF552" s="5"/>
      <c r="DK552" s="89"/>
      <c r="DL552" s="8"/>
      <c r="DM552" s="8"/>
      <c r="DN552" s="8"/>
      <c r="DO552" s="8"/>
      <c r="DP552" s="8"/>
      <c r="DQ552" s="8"/>
      <c r="DR552" s="8"/>
      <c r="DZ552" s="45"/>
      <c r="EA552" s="89"/>
      <c r="EB552" s="89"/>
      <c r="EC552" s="89"/>
      <c r="ED552" s="89"/>
      <c r="EE552" s="89"/>
      <c r="EF552" s="89"/>
      <c r="EG552" s="89"/>
      <c r="EH552" s="89"/>
      <c r="EI552" s="89"/>
      <c r="EJ552" s="89"/>
      <c r="EK552" s="91"/>
      <c r="EL552" s="66"/>
      <c r="EM552" s="94"/>
      <c r="EN552" s="94"/>
      <c r="EO552" s="92"/>
      <c r="EP552" s="93"/>
      <c r="EQ552" s="23"/>
      <c r="ER552" s="94"/>
      <c r="ES552" s="94"/>
      <c r="ET552" s="94"/>
      <c r="EU552" s="94"/>
      <c r="EV552" s="95"/>
      <c r="EW552" s="91"/>
      <c r="EX552" s="95"/>
      <c r="EY552" s="8"/>
      <c r="EZ552" s="96"/>
      <c r="FA552" s="91"/>
      <c r="FB552" s="97"/>
      <c r="FC552" s="8"/>
      <c r="FD552" s="91"/>
      <c r="FE552" s="98"/>
      <c r="FF552" s="5"/>
    </row>
    <row r="553" spans="37:162">
      <c r="AK553" s="89"/>
      <c r="AL553" s="8"/>
      <c r="AM553" s="8"/>
      <c r="AN553" s="8"/>
      <c r="AO553" s="8"/>
      <c r="AP553" s="8"/>
      <c r="AQ553" s="8"/>
      <c r="AR553" s="8"/>
      <c r="AZ553" s="45"/>
      <c r="BA553" s="89"/>
      <c r="BB553" s="89"/>
      <c r="BC553" s="89"/>
      <c r="BD553" s="89"/>
      <c r="BE553" s="89"/>
      <c r="BF553" s="89"/>
      <c r="BG553" s="89"/>
      <c r="BH553" s="89"/>
      <c r="BI553" s="89"/>
      <c r="BJ553" s="89"/>
      <c r="BK553" s="91"/>
      <c r="BL553" s="66"/>
      <c r="BM553" s="94"/>
      <c r="BN553" s="94"/>
      <c r="BO553" s="92"/>
      <c r="BP553" s="93"/>
      <c r="BQ553" s="23"/>
      <c r="BR553" s="94"/>
      <c r="BS553" s="94"/>
      <c r="BT553" s="94"/>
      <c r="BU553" s="94"/>
      <c r="BV553" s="95"/>
      <c r="BW553" s="91"/>
      <c r="BX553" s="95"/>
      <c r="BY553" s="8"/>
      <c r="BZ553" s="96"/>
      <c r="CA553" s="91"/>
      <c r="CB553" s="97"/>
      <c r="CC553" s="8"/>
      <c r="CD553" s="91"/>
      <c r="CE553" s="98"/>
      <c r="CF553" s="5"/>
      <c r="DK553" s="89"/>
      <c r="DL553" s="8"/>
      <c r="DM553" s="8"/>
      <c r="DN553" s="8"/>
      <c r="DO553" s="8"/>
      <c r="DP553" s="8"/>
      <c r="DQ553" s="8"/>
      <c r="DR553" s="8"/>
      <c r="DZ553" s="45"/>
      <c r="EA553" s="89"/>
      <c r="EB553" s="89"/>
      <c r="EC553" s="89"/>
      <c r="ED553" s="89"/>
      <c r="EE553" s="89"/>
      <c r="EF553" s="89"/>
      <c r="EG553" s="89"/>
      <c r="EH553" s="89"/>
      <c r="EI553" s="89"/>
      <c r="EJ553" s="89"/>
      <c r="EK553" s="91"/>
      <c r="EL553" s="66"/>
      <c r="EM553" s="94"/>
      <c r="EN553" s="94"/>
      <c r="EO553" s="92"/>
      <c r="EP553" s="93"/>
      <c r="EQ553" s="23"/>
      <c r="ER553" s="94"/>
      <c r="ES553" s="94"/>
      <c r="ET553" s="94"/>
      <c r="EU553" s="94"/>
      <c r="EV553" s="95"/>
      <c r="EW553" s="91"/>
      <c r="EX553" s="95"/>
      <c r="EY553" s="8"/>
      <c r="EZ553" s="96"/>
      <c r="FA553" s="91"/>
      <c r="FB553" s="97"/>
      <c r="FC553" s="8"/>
      <c r="FD553" s="91"/>
      <c r="FE553" s="98"/>
      <c r="FF553" s="5"/>
    </row>
    <row r="554" spans="37:162">
      <c r="AK554" s="89"/>
      <c r="AL554" s="8"/>
      <c r="AM554" s="8"/>
      <c r="AN554" s="8"/>
      <c r="AO554" s="8"/>
      <c r="AP554" s="8"/>
      <c r="AQ554" s="8"/>
      <c r="AR554" s="8"/>
      <c r="AZ554" s="45"/>
      <c r="BA554" s="89"/>
      <c r="BB554" s="89"/>
      <c r="BC554" s="89"/>
      <c r="BD554" s="89"/>
      <c r="BE554" s="89"/>
      <c r="BF554" s="89"/>
      <c r="BG554" s="89"/>
      <c r="BH554" s="89"/>
      <c r="BI554" s="89"/>
      <c r="BJ554" s="89"/>
      <c r="BK554" s="91"/>
      <c r="BL554" s="66"/>
      <c r="BM554" s="94"/>
      <c r="BN554" s="94"/>
      <c r="BO554" s="92"/>
      <c r="BP554" s="93"/>
      <c r="BQ554" s="23"/>
      <c r="BR554" s="94"/>
      <c r="BS554" s="94"/>
      <c r="BT554" s="94"/>
      <c r="BU554" s="94"/>
      <c r="BV554" s="95"/>
      <c r="BW554" s="91"/>
      <c r="BX554" s="95"/>
      <c r="BY554" s="8"/>
      <c r="BZ554" s="96"/>
      <c r="CA554" s="91"/>
      <c r="CB554" s="97"/>
      <c r="CC554" s="8"/>
      <c r="CD554" s="91"/>
      <c r="CE554" s="98"/>
      <c r="CF554" s="5"/>
      <c r="DK554" s="89"/>
      <c r="DL554" s="8"/>
      <c r="DM554" s="8"/>
      <c r="DN554" s="8"/>
      <c r="DO554" s="8"/>
      <c r="DP554" s="8"/>
      <c r="DQ554" s="8"/>
      <c r="DR554" s="8"/>
      <c r="DZ554" s="45"/>
      <c r="EA554" s="89"/>
      <c r="EB554" s="89"/>
      <c r="EC554" s="89"/>
      <c r="ED554" s="89"/>
      <c r="EE554" s="89"/>
      <c r="EF554" s="89"/>
      <c r="EG554" s="89"/>
      <c r="EH554" s="89"/>
      <c r="EI554" s="89"/>
      <c r="EJ554" s="89"/>
      <c r="EK554" s="91"/>
      <c r="EL554" s="66"/>
      <c r="EM554" s="94"/>
      <c r="EN554" s="94"/>
      <c r="EO554" s="92"/>
      <c r="EP554" s="93"/>
      <c r="EQ554" s="23"/>
      <c r="ER554" s="94"/>
      <c r="ES554" s="94"/>
      <c r="ET554" s="94"/>
      <c r="EU554" s="94"/>
      <c r="EV554" s="95"/>
      <c r="EW554" s="91"/>
      <c r="EX554" s="95"/>
      <c r="EY554" s="8"/>
      <c r="EZ554" s="96"/>
      <c r="FA554" s="91"/>
      <c r="FB554" s="97"/>
      <c r="FC554" s="8"/>
      <c r="FD554" s="91"/>
      <c r="FE554" s="98"/>
      <c r="FF554" s="5"/>
    </row>
    <row r="555" spans="37:162">
      <c r="AK555" s="89"/>
      <c r="AL555" s="8"/>
      <c r="AM555" s="8"/>
      <c r="AN555" s="8"/>
      <c r="AO555" s="8"/>
      <c r="AP555" s="8"/>
      <c r="AQ555" s="8"/>
      <c r="AR555" s="8"/>
      <c r="AZ555" s="45"/>
      <c r="BA555" s="89"/>
      <c r="BB555" s="89"/>
      <c r="BC555" s="89"/>
      <c r="BD555" s="89"/>
      <c r="BE555" s="89"/>
      <c r="BF555" s="89"/>
      <c r="BG555" s="89"/>
      <c r="BH555" s="89"/>
      <c r="BI555" s="89"/>
      <c r="BJ555" s="89"/>
      <c r="BK555" s="91"/>
      <c r="BL555" s="66"/>
      <c r="BM555" s="94"/>
      <c r="BN555" s="94"/>
      <c r="BO555" s="92"/>
      <c r="BP555" s="93"/>
      <c r="BQ555" s="23"/>
      <c r="BR555" s="94"/>
      <c r="BS555" s="94"/>
      <c r="BT555" s="94"/>
      <c r="BU555" s="94"/>
      <c r="BV555" s="95"/>
      <c r="BW555" s="91"/>
      <c r="BX555" s="95"/>
      <c r="BY555" s="8"/>
      <c r="BZ555" s="96"/>
      <c r="CA555" s="91"/>
      <c r="CB555" s="97"/>
      <c r="CC555" s="8"/>
      <c r="CD555" s="91"/>
      <c r="CE555" s="98"/>
      <c r="CF555" s="5"/>
      <c r="DK555" s="89"/>
      <c r="DL555" s="8"/>
      <c r="DM555" s="8"/>
      <c r="DN555" s="8"/>
      <c r="DO555" s="8"/>
      <c r="DP555" s="8"/>
      <c r="DQ555" s="8"/>
      <c r="DR555" s="8"/>
      <c r="DZ555" s="45"/>
      <c r="EA555" s="89"/>
      <c r="EB555" s="89"/>
      <c r="EC555" s="89"/>
      <c r="ED555" s="89"/>
      <c r="EE555" s="89"/>
      <c r="EF555" s="89"/>
      <c r="EG555" s="89"/>
      <c r="EH555" s="89"/>
      <c r="EI555" s="89"/>
      <c r="EJ555" s="89"/>
      <c r="EK555" s="91"/>
      <c r="EL555" s="66"/>
      <c r="EM555" s="94"/>
      <c r="EN555" s="94"/>
      <c r="EO555" s="92"/>
      <c r="EP555" s="93"/>
      <c r="EQ555" s="23"/>
      <c r="ER555" s="94"/>
      <c r="ES555" s="94"/>
      <c r="ET555" s="94"/>
      <c r="EU555" s="94"/>
      <c r="EV555" s="95"/>
      <c r="EW555" s="91"/>
      <c r="EX555" s="95"/>
      <c r="EY555" s="8"/>
      <c r="EZ555" s="96"/>
      <c r="FA555" s="91"/>
      <c r="FB555" s="97"/>
      <c r="FC555" s="8"/>
      <c r="FD555" s="91"/>
      <c r="FE555" s="98"/>
      <c r="FF555" s="5"/>
    </row>
    <row r="556" spans="37:162">
      <c r="AK556" s="89"/>
      <c r="AL556" s="8"/>
      <c r="AM556" s="8"/>
      <c r="AN556" s="8"/>
      <c r="AO556" s="8"/>
      <c r="AP556" s="8"/>
      <c r="AQ556" s="8"/>
      <c r="AR556" s="8"/>
      <c r="AZ556" s="45"/>
      <c r="BA556" s="89"/>
      <c r="BB556" s="89"/>
      <c r="BC556" s="89"/>
      <c r="BD556" s="89"/>
      <c r="BE556" s="89"/>
      <c r="BF556" s="89"/>
      <c r="BG556" s="89"/>
      <c r="BH556" s="89"/>
      <c r="BI556" s="89"/>
      <c r="BJ556" s="89"/>
      <c r="BK556" s="91"/>
      <c r="BL556" s="66"/>
      <c r="BM556" s="94"/>
      <c r="BN556" s="94"/>
      <c r="BO556" s="92"/>
      <c r="BP556" s="93"/>
      <c r="BQ556" s="23"/>
      <c r="BR556" s="94"/>
      <c r="BS556" s="94"/>
      <c r="BT556" s="94"/>
      <c r="BU556" s="94"/>
      <c r="BV556" s="95"/>
      <c r="BW556" s="91"/>
      <c r="BX556" s="95"/>
      <c r="BY556" s="8"/>
      <c r="BZ556" s="96"/>
      <c r="CA556" s="91"/>
      <c r="CB556" s="97"/>
      <c r="CC556" s="8"/>
      <c r="CD556" s="91"/>
      <c r="CE556" s="98"/>
      <c r="CF556" s="5"/>
      <c r="DK556" s="89"/>
      <c r="DL556" s="8"/>
      <c r="DM556" s="8"/>
      <c r="DN556" s="8"/>
      <c r="DO556" s="8"/>
      <c r="DP556" s="8"/>
      <c r="DQ556" s="8"/>
      <c r="DR556" s="8"/>
      <c r="DZ556" s="45"/>
      <c r="EA556" s="89"/>
      <c r="EB556" s="89"/>
      <c r="EC556" s="89"/>
      <c r="ED556" s="89"/>
      <c r="EE556" s="89"/>
      <c r="EF556" s="89"/>
      <c r="EG556" s="89"/>
      <c r="EH556" s="89"/>
      <c r="EI556" s="89"/>
      <c r="EJ556" s="89"/>
      <c r="EK556" s="91"/>
      <c r="EL556" s="66"/>
      <c r="EM556" s="94"/>
      <c r="EN556" s="94"/>
      <c r="EO556" s="92"/>
      <c r="EP556" s="93"/>
      <c r="EQ556" s="23"/>
      <c r="ER556" s="94"/>
      <c r="ES556" s="94"/>
      <c r="ET556" s="94"/>
      <c r="EU556" s="94"/>
      <c r="EV556" s="95"/>
      <c r="EW556" s="91"/>
      <c r="EX556" s="95"/>
      <c r="EY556" s="8"/>
      <c r="EZ556" s="96"/>
      <c r="FA556" s="91"/>
      <c r="FB556" s="97"/>
      <c r="FC556" s="8"/>
      <c r="FD556" s="91"/>
      <c r="FE556" s="98"/>
      <c r="FF556" s="5"/>
    </row>
    <row r="557" spans="37:162">
      <c r="AK557" s="89"/>
      <c r="AL557" s="8"/>
      <c r="AM557" s="8"/>
      <c r="AN557" s="8"/>
      <c r="AO557" s="8"/>
      <c r="AP557" s="8"/>
      <c r="AQ557" s="8"/>
      <c r="AR557" s="8"/>
      <c r="AZ557" s="45"/>
      <c r="BA557" s="89"/>
      <c r="BB557" s="89"/>
      <c r="BC557" s="89"/>
      <c r="BD557" s="89"/>
      <c r="BE557" s="89"/>
      <c r="BF557" s="89"/>
      <c r="BG557" s="89"/>
      <c r="BH557" s="89"/>
      <c r="BI557" s="89"/>
      <c r="BJ557" s="89"/>
      <c r="BK557" s="91"/>
      <c r="BL557" s="66"/>
      <c r="BM557" s="94"/>
      <c r="BN557" s="94"/>
      <c r="BO557" s="92"/>
      <c r="BP557" s="93"/>
      <c r="BQ557" s="23"/>
      <c r="BR557" s="94"/>
      <c r="BS557" s="94"/>
      <c r="BT557" s="94"/>
      <c r="BU557" s="94"/>
      <c r="BV557" s="95"/>
      <c r="BW557" s="91"/>
      <c r="BX557" s="95"/>
      <c r="BY557" s="8"/>
      <c r="BZ557" s="96"/>
      <c r="CA557" s="91"/>
      <c r="CB557" s="97"/>
      <c r="CC557" s="8"/>
      <c r="CD557" s="91"/>
      <c r="CE557" s="98"/>
      <c r="CF557" s="5"/>
      <c r="DK557" s="89"/>
      <c r="DL557" s="8"/>
      <c r="DM557" s="8"/>
      <c r="DN557" s="8"/>
      <c r="DO557" s="8"/>
      <c r="DP557" s="8"/>
      <c r="DQ557" s="8"/>
      <c r="DR557" s="8"/>
      <c r="DZ557" s="45"/>
      <c r="EA557" s="89"/>
      <c r="EB557" s="89"/>
      <c r="EC557" s="89"/>
      <c r="ED557" s="89"/>
      <c r="EE557" s="89"/>
      <c r="EF557" s="89"/>
      <c r="EG557" s="89"/>
      <c r="EH557" s="89"/>
      <c r="EI557" s="89"/>
      <c r="EJ557" s="89"/>
      <c r="EK557" s="91"/>
      <c r="EL557" s="66"/>
      <c r="EM557" s="94"/>
      <c r="EN557" s="94"/>
      <c r="EO557" s="92"/>
      <c r="EP557" s="93"/>
      <c r="EQ557" s="23"/>
      <c r="ER557" s="94"/>
      <c r="ES557" s="94"/>
      <c r="ET557" s="94"/>
      <c r="EU557" s="94"/>
      <c r="EV557" s="95"/>
      <c r="EW557" s="91"/>
      <c r="EX557" s="95"/>
      <c r="EY557" s="8"/>
      <c r="EZ557" s="96"/>
      <c r="FA557" s="91"/>
      <c r="FB557" s="97"/>
      <c r="FC557" s="8"/>
      <c r="FD557" s="91"/>
      <c r="FE557" s="98"/>
      <c r="FF557" s="5"/>
    </row>
    <row r="558" spans="37:162">
      <c r="AK558" s="89"/>
      <c r="AL558" s="8"/>
      <c r="AM558" s="8"/>
      <c r="AN558" s="8"/>
      <c r="AO558" s="8"/>
      <c r="AP558" s="8"/>
      <c r="AQ558" s="8"/>
      <c r="AR558" s="8"/>
      <c r="AZ558" s="45"/>
      <c r="BA558" s="89"/>
      <c r="BB558" s="89"/>
      <c r="BC558" s="89"/>
      <c r="BD558" s="89"/>
      <c r="BE558" s="89"/>
      <c r="BF558" s="89"/>
      <c r="BG558" s="89"/>
      <c r="BH558" s="89"/>
      <c r="BI558" s="89"/>
      <c r="BJ558" s="89"/>
      <c r="BK558" s="91"/>
      <c r="BL558" s="66"/>
      <c r="BM558" s="94"/>
      <c r="BN558" s="94"/>
      <c r="BO558" s="92"/>
      <c r="BP558" s="93"/>
      <c r="BQ558" s="23"/>
      <c r="BR558" s="94"/>
      <c r="BS558" s="94"/>
      <c r="BT558" s="94"/>
      <c r="BU558" s="94"/>
      <c r="BV558" s="95"/>
      <c r="BW558" s="91"/>
      <c r="BX558" s="95"/>
      <c r="BY558" s="8"/>
      <c r="BZ558" s="96"/>
      <c r="CA558" s="91"/>
      <c r="CB558" s="97"/>
      <c r="CC558" s="8"/>
      <c r="CD558" s="91"/>
      <c r="CE558" s="98"/>
      <c r="CF558" s="5"/>
      <c r="DK558" s="89"/>
      <c r="DL558" s="8"/>
      <c r="DM558" s="8"/>
      <c r="DN558" s="8"/>
      <c r="DO558" s="8"/>
      <c r="DP558" s="8"/>
      <c r="DQ558" s="8"/>
      <c r="DR558" s="8"/>
      <c r="DZ558" s="45"/>
      <c r="EA558" s="89"/>
      <c r="EB558" s="89"/>
      <c r="EC558" s="89"/>
      <c r="ED558" s="89"/>
      <c r="EE558" s="89"/>
      <c r="EF558" s="89"/>
      <c r="EG558" s="89"/>
      <c r="EH558" s="89"/>
      <c r="EI558" s="89"/>
      <c r="EJ558" s="89"/>
      <c r="EK558" s="91"/>
      <c r="EL558" s="66"/>
      <c r="EM558" s="94"/>
      <c r="EN558" s="94"/>
      <c r="EO558" s="92"/>
      <c r="EP558" s="93"/>
      <c r="EQ558" s="23"/>
      <c r="ER558" s="94"/>
      <c r="ES558" s="94"/>
      <c r="ET558" s="94"/>
      <c r="EU558" s="94"/>
      <c r="EV558" s="95"/>
      <c r="EW558" s="91"/>
      <c r="EX558" s="95"/>
      <c r="EY558" s="8"/>
      <c r="EZ558" s="96"/>
      <c r="FA558" s="91"/>
      <c r="FB558" s="97"/>
      <c r="FC558" s="8"/>
      <c r="FD558" s="91"/>
      <c r="FE558" s="98"/>
      <c r="FF558" s="5"/>
    </row>
    <row r="559" spans="37:162">
      <c r="AK559" s="89"/>
      <c r="AL559" s="8"/>
      <c r="AM559" s="8"/>
      <c r="AN559" s="8"/>
      <c r="AO559" s="8"/>
      <c r="AP559" s="8"/>
      <c r="AQ559" s="8"/>
      <c r="AR559" s="8"/>
      <c r="AZ559" s="45"/>
      <c r="BA559" s="89"/>
      <c r="BB559" s="89"/>
      <c r="BC559" s="89"/>
      <c r="BD559" s="89"/>
      <c r="BE559" s="89"/>
      <c r="BF559" s="89"/>
      <c r="BG559" s="89"/>
      <c r="BH559" s="89"/>
      <c r="BI559" s="89"/>
      <c r="BJ559" s="89"/>
      <c r="BK559" s="91"/>
      <c r="BL559" s="66"/>
      <c r="BM559" s="94"/>
      <c r="BN559" s="94"/>
      <c r="BO559" s="92"/>
      <c r="BP559" s="93"/>
      <c r="BQ559" s="23"/>
      <c r="BR559" s="94"/>
      <c r="BS559" s="94"/>
      <c r="BT559" s="94"/>
      <c r="BU559" s="94"/>
      <c r="BV559" s="95"/>
      <c r="BW559" s="91"/>
      <c r="BX559" s="95"/>
      <c r="BY559" s="8"/>
      <c r="BZ559" s="96"/>
      <c r="CA559" s="91"/>
      <c r="CB559" s="97"/>
      <c r="CC559" s="8"/>
      <c r="CD559" s="91"/>
      <c r="CE559" s="98"/>
      <c r="CF559" s="5"/>
      <c r="DK559" s="89"/>
      <c r="DL559" s="8"/>
      <c r="DM559" s="8"/>
      <c r="DN559" s="8"/>
      <c r="DO559" s="8"/>
      <c r="DP559" s="8"/>
      <c r="DQ559" s="8"/>
      <c r="DR559" s="8"/>
      <c r="DZ559" s="45"/>
      <c r="EA559" s="89"/>
      <c r="EB559" s="89"/>
      <c r="EC559" s="89"/>
      <c r="ED559" s="89"/>
      <c r="EE559" s="89"/>
      <c r="EF559" s="89"/>
      <c r="EG559" s="89"/>
      <c r="EH559" s="89"/>
      <c r="EI559" s="89"/>
      <c r="EJ559" s="89"/>
      <c r="EK559" s="91"/>
      <c r="EL559" s="66"/>
      <c r="EM559" s="94"/>
      <c r="EN559" s="94"/>
      <c r="EO559" s="92"/>
      <c r="EP559" s="93"/>
      <c r="EQ559" s="23"/>
      <c r="ER559" s="94"/>
      <c r="ES559" s="94"/>
      <c r="ET559" s="94"/>
      <c r="EU559" s="94"/>
      <c r="EV559" s="95"/>
      <c r="EW559" s="91"/>
      <c r="EX559" s="95"/>
      <c r="EY559" s="8"/>
      <c r="EZ559" s="96"/>
      <c r="FA559" s="91"/>
      <c r="FB559" s="97"/>
      <c r="FC559" s="8"/>
      <c r="FD559" s="91"/>
      <c r="FE559" s="98"/>
      <c r="FF559" s="5"/>
    </row>
    <row r="560" spans="37:162">
      <c r="AK560" s="89"/>
      <c r="AL560" s="8"/>
      <c r="AM560" s="8"/>
      <c r="AN560" s="8"/>
      <c r="AO560" s="8"/>
      <c r="AP560" s="8"/>
      <c r="AQ560" s="8"/>
      <c r="AR560" s="8"/>
      <c r="AZ560" s="45"/>
      <c r="BA560" s="89"/>
      <c r="BB560" s="89"/>
      <c r="BC560" s="89"/>
      <c r="BD560" s="89"/>
      <c r="BE560" s="89"/>
      <c r="BF560" s="89"/>
      <c r="BG560" s="89"/>
      <c r="BH560" s="89"/>
      <c r="BI560" s="89"/>
      <c r="BJ560" s="89"/>
      <c r="BK560" s="91"/>
      <c r="BL560" s="66"/>
      <c r="BM560" s="94"/>
      <c r="BN560" s="94"/>
      <c r="BO560" s="92"/>
      <c r="BP560" s="93"/>
      <c r="BQ560" s="23"/>
      <c r="BR560" s="94"/>
      <c r="BS560" s="94"/>
      <c r="BT560" s="94"/>
      <c r="BU560" s="94"/>
      <c r="BV560" s="95"/>
      <c r="BW560" s="91"/>
      <c r="BX560" s="95"/>
      <c r="BY560" s="8"/>
      <c r="BZ560" s="96"/>
      <c r="CA560" s="91"/>
      <c r="CB560" s="97"/>
      <c r="CC560" s="8"/>
      <c r="CD560" s="91"/>
      <c r="CE560" s="98"/>
      <c r="CF560" s="5"/>
      <c r="DK560" s="89"/>
      <c r="DL560" s="8"/>
      <c r="DM560" s="8"/>
      <c r="DN560" s="8"/>
      <c r="DO560" s="8"/>
      <c r="DP560" s="8"/>
      <c r="DQ560" s="8"/>
      <c r="DR560" s="8"/>
      <c r="DZ560" s="45"/>
      <c r="EA560" s="89"/>
      <c r="EB560" s="89"/>
      <c r="EC560" s="89"/>
      <c r="ED560" s="89"/>
      <c r="EE560" s="89"/>
      <c r="EF560" s="89"/>
      <c r="EG560" s="89"/>
      <c r="EH560" s="89"/>
      <c r="EI560" s="89"/>
      <c r="EJ560" s="89"/>
      <c r="EK560" s="91"/>
      <c r="EL560" s="66"/>
      <c r="EM560" s="94"/>
      <c r="EN560" s="94"/>
      <c r="EO560" s="92"/>
      <c r="EP560" s="93"/>
      <c r="EQ560" s="23"/>
      <c r="ER560" s="94"/>
      <c r="ES560" s="94"/>
      <c r="ET560" s="94"/>
      <c r="EU560" s="94"/>
      <c r="EV560" s="95"/>
      <c r="EW560" s="91"/>
      <c r="EX560" s="95"/>
      <c r="EY560" s="8"/>
      <c r="EZ560" s="96"/>
      <c r="FA560" s="91"/>
      <c r="FB560" s="97"/>
      <c r="FC560" s="8"/>
      <c r="FD560" s="91"/>
      <c r="FE560" s="98"/>
      <c r="FF560" s="5"/>
    </row>
    <row r="561" spans="37:162">
      <c r="AK561" s="89"/>
      <c r="AL561" s="8"/>
      <c r="AM561" s="8"/>
      <c r="AN561" s="8"/>
      <c r="AO561" s="8"/>
      <c r="AP561" s="8"/>
      <c r="AQ561" s="8"/>
      <c r="AR561" s="8"/>
      <c r="AZ561" s="45"/>
      <c r="BA561" s="89"/>
      <c r="BB561" s="89"/>
      <c r="BC561" s="89"/>
      <c r="BD561" s="89"/>
      <c r="BE561" s="89"/>
      <c r="BF561" s="89"/>
      <c r="BG561" s="89"/>
      <c r="BH561" s="89"/>
      <c r="BI561" s="89"/>
      <c r="BJ561" s="89"/>
      <c r="BK561" s="91"/>
      <c r="BL561" s="66"/>
      <c r="BM561" s="94"/>
      <c r="BN561" s="94"/>
      <c r="BO561" s="92"/>
      <c r="BP561" s="93"/>
      <c r="BQ561" s="23"/>
      <c r="BR561" s="94"/>
      <c r="BS561" s="94"/>
      <c r="BT561" s="94"/>
      <c r="BU561" s="94"/>
      <c r="BV561" s="95"/>
      <c r="BW561" s="91"/>
      <c r="BX561" s="95"/>
      <c r="BY561" s="8"/>
      <c r="BZ561" s="96"/>
      <c r="CA561" s="91"/>
      <c r="CB561" s="97"/>
      <c r="CC561" s="8"/>
      <c r="CD561" s="91"/>
      <c r="CE561" s="98"/>
      <c r="CF561" s="5"/>
      <c r="DK561" s="89"/>
      <c r="DL561" s="8"/>
      <c r="DM561" s="8"/>
      <c r="DN561" s="8"/>
      <c r="DO561" s="8"/>
      <c r="DP561" s="8"/>
      <c r="DQ561" s="8"/>
      <c r="DR561" s="8"/>
      <c r="DZ561" s="45"/>
      <c r="EA561" s="89"/>
      <c r="EB561" s="89"/>
      <c r="EC561" s="89"/>
      <c r="ED561" s="89"/>
      <c r="EE561" s="89"/>
      <c r="EF561" s="89"/>
      <c r="EG561" s="89"/>
      <c r="EH561" s="89"/>
      <c r="EI561" s="89"/>
      <c r="EJ561" s="89"/>
      <c r="EK561" s="91"/>
      <c r="EL561" s="66"/>
      <c r="EM561" s="94"/>
      <c r="EN561" s="94"/>
      <c r="EO561" s="92"/>
      <c r="EP561" s="93"/>
      <c r="EQ561" s="23"/>
      <c r="ER561" s="94"/>
      <c r="ES561" s="94"/>
      <c r="ET561" s="94"/>
      <c r="EU561" s="94"/>
      <c r="EV561" s="95"/>
      <c r="EW561" s="91"/>
      <c r="EX561" s="95"/>
      <c r="EY561" s="8"/>
      <c r="EZ561" s="96"/>
      <c r="FA561" s="91"/>
      <c r="FB561" s="97"/>
      <c r="FC561" s="8"/>
      <c r="FD561" s="91"/>
      <c r="FE561" s="98"/>
      <c r="FF561" s="5"/>
    </row>
    <row r="562" spans="37:162">
      <c r="AK562" s="89"/>
      <c r="AL562" s="8"/>
      <c r="AM562" s="8"/>
      <c r="AN562" s="8"/>
      <c r="AO562" s="8"/>
      <c r="AP562" s="8"/>
      <c r="AQ562" s="8"/>
      <c r="AR562" s="8"/>
      <c r="AZ562" s="45"/>
      <c r="BA562" s="89"/>
      <c r="BB562" s="89"/>
      <c r="BC562" s="89"/>
      <c r="BD562" s="89"/>
      <c r="BE562" s="89"/>
      <c r="BF562" s="89"/>
      <c r="BG562" s="89"/>
      <c r="BH562" s="89"/>
      <c r="BI562" s="89"/>
      <c r="BJ562" s="89"/>
      <c r="BK562" s="91"/>
      <c r="BL562" s="66"/>
      <c r="BM562" s="94"/>
      <c r="BN562" s="94"/>
      <c r="BO562" s="92"/>
      <c r="BP562" s="93"/>
      <c r="BQ562" s="23"/>
      <c r="BR562" s="94"/>
      <c r="BS562" s="94"/>
      <c r="BT562" s="94"/>
      <c r="BU562" s="94"/>
      <c r="BV562" s="95"/>
      <c r="BW562" s="91"/>
      <c r="BX562" s="95"/>
      <c r="BY562" s="8"/>
      <c r="BZ562" s="96"/>
      <c r="CA562" s="91"/>
      <c r="CB562" s="97"/>
      <c r="CC562" s="8"/>
      <c r="CD562" s="91"/>
      <c r="CE562" s="98"/>
      <c r="CF562" s="5"/>
      <c r="DK562" s="89"/>
      <c r="DL562" s="8"/>
      <c r="DM562" s="8"/>
      <c r="DN562" s="8"/>
      <c r="DO562" s="8"/>
      <c r="DP562" s="8"/>
      <c r="DQ562" s="8"/>
      <c r="DR562" s="8"/>
      <c r="DZ562" s="45"/>
      <c r="EA562" s="89"/>
      <c r="EB562" s="89"/>
      <c r="EC562" s="89"/>
      <c r="ED562" s="89"/>
      <c r="EE562" s="89"/>
      <c r="EF562" s="89"/>
      <c r="EG562" s="89"/>
      <c r="EH562" s="89"/>
      <c r="EI562" s="89"/>
      <c r="EJ562" s="89"/>
      <c r="EK562" s="91"/>
      <c r="EL562" s="66"/>
      <c r="EM562" s="94"/>
      <c r="EN562" s="94"/>
      <c r="EO562" s="92"/>
      <c r="EP562" s="93"/>
      <c r="EQ562" s="23"/>
      <c r="ER562" s="94"/>
      <c r="ES562" s="94"/>
      <c r="ET562" s="94"/>
      <c r="EU562" s="94"/>
      <c r="EV562" s="95"/>
      <c r="EW562" s="91"/>
      <c r="EX562" s="95"/>
      <c r="EY562" s="8"/>
      <c r="EZ562" s="96"/>
      <c r="FA562" s="91"/>
      <c r="FB562" s="97"/>
      <c r="FC562" s="8"/>
      <c r="FD562" s="91"/>
      <c r="FE562" s="98"/>
      <c r="FF562" s="5"/>
    </row>
    <row r="563" spans="37:162">
      <c r="AK563" s="89"/>
      <c r="AL563" s="8"/>
      <c r="AM563" s="8"/>
      <c r="AN563" s="8"/>
      <c r="AO563" s="8"/>
      <c r="AP563" s="8"/>
      <c r="AQ563" s="8"/>
      <c r="AR563" s="8"/>
      <c r="AZ563" s="45"/>
      <c r="BA563" s="89"/>
      <c r="BB563" s="89"/>
      <c r="BC563" s="89"/>
      <c r="BD563" s="89"/>
      <c r="BE563" s="89"/>
      <c r="BF563" s="89"/>
      <c r="BG563" s="89"/>
      <c r="BH563" s="89"/>
      <c r="BI563" s="89"/>
      <c r="BJ563" s="89"/>
      <c r="BK563" s="91"/>
      <c r="BL563" s="66"/>
      <c r="BM563" s="94"/>
      <c r="BN563" s="94"/>
      <c r="BO563" s="92"/>
      <c r="BP563" s="93"/>
      <c r="BQ563" s="23"/>
      <c r="BR563" s="94"/>
      <c r="BS563" s="94"/>
      <c r="BT563" s="94"/>
      <c r="BU563" s="94"/>
      <c r="BV563" s="95"/>
      <c r="BW563" s="91"/>
      <c r="BX563" s="95"/>
      <c r="BY563" s="8"/>
      <c r="BZ563" s="96"/>
      <c r="CA563" s="91"/>
      <c r="CB563" s="97"/>
      <c r="CC563" s="8"/>
      <c r="CD563" s="91"/>
      <c r="CE563" s="98"/>
      <c r="CF563" s="5"/>
      <c r="DK563" s="89"/>
      <c r="DL563" s="8"/>
      <c r="DM563" s="8"/>
      <c r="DN563" s="8"/>
      <c r="DO563" s="8"/>
      <c r="DP563" s="8"/>
      <c r="DQ563" s="8"/>
      <c r="DR563" s="8"/>
      <c r="DZ563" s="45"/>
      <c r="EA563" s="89"/>
      <c r="EB563" s="89"/>
      <c r="EC563" s="89"/>
      <c r="ED563" s="89"/>
      <c r="EE563" s="89"/>
      <c r="EF563" s="89"/>
      <c r="EG563" s="89"/>
      <c r="EH563" s="89"/>
      <c r="EI563" s="89"/>
      <c r="EJ563" s="89"/>
      <c r="EK563" s="91"/>
      <c r="EL563" s="66"/>
      <c r="EM563" s="94"/>
      <c r="EN563" s="94"/>
      <c r="EO563" s="92"/>
      <c r="EP563" s="93"/>
      <c r="EQ563" s="23"/>
      <c r="ER563" s="94"/>
      <c r="ES563" s="94"/>
      <c r="ET563" s="94"/>
      <c r="EU563" s="94"/>
      <c r="EV563" s="95"/>
      <c r="EW563" s="91"/>
      <c r="EX563" s="95"/>
      <c r="EY563" s="8"/>
      <c r="EZ563" s="96"/>
      <c r="FA563" s="91"/>
      <c r="FB563" s="97"/>
      <c r="FC563" s="8"/>
      <c r="FD563" s="91"/>
      <c r="FE563" s="98"/>
      <c r="FF563" s="5"/>
    </row>
    <row r="564" spans="37:162">
      <c r="AK564" s="89"/>
      <c r="AL564" s="8"/>
      <c r="AM564" s="8"/>
      <c r="AN564" s="8"/>
      <c r="AO564" s="8"/>
      <c r="AP564" s="8"/>
      <c r="AQ564" s="8"/>
      <c r="AR564" s="8"/>
      <c r="AZ564" s="45"/>
      <c r="BA564" s="89"/>
      <c r="BB564" s="89"/>
      <c r="BC564" s="89"/>
      <c r="BD564" s="89"/>
      <c r="BE564" s="89"/>
      <c r="BF564" s="89"/>
      <c r="BG564" s="89"/>
      <c r="BH564" s="89"/>
      <c r="BI564" s="89"/>
      <c r="BJ564" s="89"/>
      <c r="BK564" s="91"/>
      <c r="BL564" s="66"/>
      <c r="BM564" s="94"/>
      <c r="BN564" s="94"/>
      <c r="BO564" s="92"/>
      <c r="BP564" s="93"/>
      <c r="BQ564" s="23"/>
      <c r="BR564" s="94"/>
      <c r="BS564" s="94"/>
      <c r="BT564" s="94"/>
      <c r="BU564" s="94"/>
      <c r="BV564" s="95"/>
      <c r="BW564" s="91"/>
      <c r="BX564" s="95"/>
      <c r="BY564" s="8"/>
      <c r="BZ564" s="96"/>
      <c r="CA564" s="91"/>
      <c r="CB564" s="97"/>
      <c r="CC564" s="8"/>
      <c r="CD564" s="91"/>
      <c r="CE564" s="98"/>
      <c r="CF564" s="5"/>
      <c r="DK564" s="89"/>
      <c r="DL564" s="8"/>
      <c r="DM564" s="8"/>
      <c r="DN564" s="8"/>
      <c r="DO564" s="8"/>
      <c r="DP564" s="8"/>
      <c r="DQ564" s="8"/>
      <c r="DR564" s="8"/>
      <c r="DZ564" s="45"/>
      <c r="EA564" s="89"/>
      <c r="EB564" s="89"/>
      <c r="EC564" s="89"/>
      <c r="ED564" s="89"/>
      <c r="EE564" s="89"/>
      <c r="EF564" s="89"/>
      <c r="EG564" s="89"/>
      <c r="EH564" s="89"/>
      <c r="EI564" s="89"/>
      <c r="EJ564" s="89"/>
      <c r="EK564" s="91"/>
      <c r="EL564" s="66"/>
      <c r="EM564" s="94"/>
      <c r="EN564" s="94"/>
      <c r="EO564" s="92"/>
      <c r="EP564" s="93"/>
      <c r="EQ564" s="23"/>
      <c r="ER564" s="94"/>
      <c r="ES564" s="94"/>
      <c r="ET564" s="94"/>
      <c r="EU564" s="94"/>
      <c r="EV564" s="95"/>
      <c r="EW564" s="91"/>
      <c r="EX564" s="95"/>
      <c r="EY564" s="8"/>
      <c r="EZ564" s="96"/>
      <c r="FA564" s="91"/>
      <c r="FB564" s="97"/>
      <c r="FC564" s="8"/>
      <c r="FD564" s="91"/>
      <c r="FE564" s="98"/>
      <c r="FF564" s="5"/>
    </row>
    <row r="565" spans="37:162">
      <c r="AK565" s="89"/>
      <c r="AL565" s="8"/>
      <c r="AM565" s="8"/>
      <c r="AN565" s="8"/>
      <c r="AO565" s="8"/>
      <c r="AP565" s="8"/>
      <c r="AQ565" s="8"/>
      <c r="AR565" s="8"/>
      <c r="AZ565" s="45"/>
      <c r="BA565" s="89"/>
      <c r="BB565" s="89"/>
      <c r="BC565" s="89"/>
      <c r="BD565" s="89"/>
      <c r="BE565" s="89"/>
      <c r="BF565" s="89"/>
      <c r="BG565" s="89"/>
      <c r="BH565" s="89"/>
      <c r="BI565" s="89"/>
      <c r="BJ565" s="89"/>
      <c r="BK565" s="91"/>
      <c r="BL565" s="66"/>
      <c r="BM565" s="94"/>
      <c r="BN565" s="94"/>
      <c r="BO565" s="92"/>
      <c r="BP565" s="93"/>
      <c r="BQ565" s="23"/>
      <c r="BR565" s="94"/>
      <c r="BS565" s="94"/>
      <c r="BT565" s="94"/>
      <c r="BU565" s="94"/>
      <c r="BV565" s="95"/>
      <c r="BW565" s="91"/>
      <c r="BX565" s="95"/>
      <c r="BY565" s="8"/>
      <c r="BZ565" s="96"/>
      <c r="CA565" s="91"/>
      <c r="CB565" s="97"/>
      <c r="CC565" s="8"/>
      <c r="CD565" s="91"/>
      <c r="CE565" s="98"/>
      <c r="CF565" s="5"/>
      <c r="DK565" s="89"/>
      <c r="DL565" s="8"/>
      <c r="DM565" s="8"/>
      <c r="DN565" s="8"/>
      <c r="DO565" s="8"/>
      <c r="DP565" s="8"/>
      <c r="DQ565" s="8"/>
      <c r="DR565" s="8"/>
      <c r="DZ565" s="45"/>
      <c r="EA565" s="89"/>
      <c r="EB565" s="89"/>
      <c r="EC565" s="89"/>
      <c r="ED565" s="89"/>
      <c r="EE565" s="89"/>
      <c r="EF565" s="89"/>
      <c r="EG565" s="89"/>
      <c r="EH565" s="89"/>
      <c r="EI565" s="89"/>
      <c r="EJ565" s="89"/>
      <c r="EK565" s="91"/>
      <c r="EL565" s="66"/>
      <c r="EM565" s="94"/>
      <c r="EN565" s="94"/>
      <c r="EO565" s="92"/>
      <c r="EP565" s="93"/>
      <c r="EQ565" s="23"/>
      <c r="ER565" s="94"/>
      <c r="ES565" s="94"/>
      <c r="ET565" s="94"/>
      <c r="EU565" s="94"/>
      <c r="EV565" s="95"/>
      <c r="EW565" s="91"/>
      <c r="EX565" s="95"/>
      <c r="EY565" s="8"/>
      <c r="EZ565" s="96"/>
      <c r="FA565" s="91"/>
      <c r="FB565" s="97"/>
      <c r="FC565" s="8"/>
      <c r="FD565" s="91"/>
      <c r="FE565" s="98"/>
      <c r="FF565" s="5"/>
    </row>
    <row r="566" spans="37:162">
      <c r="AK566" s="89"/>
      <c r="AL566" s="8"/>
      <c r="AM566" s="8"/>
      <c r="AN566" s="8"/>
      <c r="AO566" s="8"/>
      <c r="AP566" s="8"/>
      <c r="AQ566" s="8"/>
      <c r="AR566" s="8"/>
      <c r="AZ566" s="45"/>
      <c r="BA566" s="89"/>
      <c r="BB566" s="89"/>
      <c r="BC566" s="89"/>
      <c r="BD566" s="89"/>
      <c r="BE566" s="89"/>
      <c r="BF566" s="89"/>
      <c r="BG566" s="89"/>
      <c r="BH566" s="89"/>
      <c r="BI566" s="89"/>
      <c r="BJ566" s="89"/>
      <c r="BK566" s="91"/>
      <c r="BL566" s="66"/>
      <c r="BM566" s="94"/>
      <c r="BN566" s="94"/>
      <c r="BO566" s="92"/>
      <c r="BP566" s="93"/>
      <c r="BQ566" s="23"/>
      <c r="BR566" s="94"/>
      <c r="BS566" s="94"/>
      <c r="BT566" s="94"/>
      <c r="BU566" s="94"/>
      <c r="BV566" s="95"/>
      <c r="BW566" s="91"/>
      <c r="BX566" s="95"/>
      <c r="BY566" s="8"/>
      <c r="BZ566" s="96"/>
      <c r="CA566" s="91"/>
      <c r="CB566" s="97"/>
      <c r="CC566" s="8"/>
      <c r="CD566" s="91"/>
      <c r="CE566" s="98"/>
      <c r="CF566" s="5"/>
      <c r="DK566" s="89"/>
      <c r="DL566" s="8"/>
      <c r="DM566" s="8"/>
      <c r="DN566" s="8"/>
      <c r="DO566" s="8"/>
      <c r="DP566" s="8"/>
      <c r="DQ566" s="8"/>
      <c r="DR566" s="8"/>
      <c r="DZ566" s="45"/>
      <c r="EA566" s="89"/>
      <c r="EB566" s="89"/>
      <c r="EC566" s="89"/>
      <c r="ED566" s="89"/>
      <c r="EE566" s="89"/>
      <c r="EF566" s="89"/>
      <c r="EG566" s="89"/>
      <c r="EH566" s="89"/>
      <c r="EI566" s="89"/>
      <c r="EJ566" s="89"/>
      <c r="EK566" s="91"/>
      <c r="EL566" s="66"/>
      <c r="EM566" s="94"/>
      <c r="EN566" s="94"/>
      <c r="EO566" s="92"/>
      <c r="EP566" s="93"/>
      <c r="EQ566" s="23"/>
      <c r="ER566" s="94"/>
      <c r="ES566" s="94"/>
      <c r="ET566" s="94"/>
      <c r="EU566" s="94"/>
      <c r="EV566" s="95"/>
      <c r="EW566" s="91"/>
      <c r="EX566" s="95"/>
      <c r="EY566" s="8"/>
      <c r="EZ566" s="96"/>
      <c r="FA566" s="91"/>
      <c r="FB566" s="97"/>
      <c r="FC566" s="8"/>
      <c r="FD566" s="91"/>
      <c r="FE566" s="98"/>
      <c r="FF566" s="5"/>
    </row>
    <row r="567" spans="37:162">
      <c r="AK567" s="89"/>
      <c r="AL567" s="8"/>
      <c r="AM567" s="8"/>
      <c r="AN567" s="8"/>
      <c r="AO567" s="8"/>
      <c r="AP567" s="8"/>
      <c r="AQ567" s="8"/>
      <c r="AR567" s="8"/>
      <c r="AZ567" s="45"/>
      <c r="BA567" s="89"/>
      <c r="BB567" s="89"/>
      <c r="BC567" s="89"/>
      <c r="BD567" s="89"/>
      <c r="BE567" s="89"/>
      <c r="BF567" s="89"/>
      <c r="BG567" s="89"/>
      <c r="BH567" s="89"/>
      <c r="BI567" s="89"/>
      <c r="BJ567" s="89"/>
      <c r="BK567" s="91"/>
      <c r="BL567" s="66"/>
      <c r="BM567" s="94"/>
      <c r="BN567" s="94"/>
      <c r="BO567" s="92"/>
      <c r="BP567" s="93"/>
      <c r="BQ567" s="23"/>
      <c r="BR567" s="94"/>
      <c r="BS567" s="94"/>
      <c r="BT567" s="94"/>
      <c r="BU567" s="94"/>
      <c r="BV567" s="95"/>
      <c r="BW567" s="91"/>
      <c r="BX567" s="95"/>
      <c r="BY567" s="8"/>
      <c r="BZ567" s="96"/>
      <c r="CA567" s="91"/>
      <c r="CB567" s="97"/>
      <c r="CC567" s="8"/>
      <c r="CD567" s="91"/>
      <c r="CE567" s="98"/>
      <c r="CF567" s="5"/>
      <c r="DK567" s="89"/>
      <c r="DL567" s="8"/>
      <c r="DM567" s="8"/>
      <c r="DN567" s="8"/>
      <c r="DO567" s="8"/>
      <c r="DP567" s="8"/>
      <c r="DQ567" s="8"/>
      <c r="DR567" s="8"/>
      <c r="DZ567" s="45"/>
      <c r="EA567" s="89"/>
      <c r="EB567" s="89"/>
      <c r="EC567" s="89"/>
      <c r="ED567" s="89"/>
      <c r="EE567" s="89"/>
      <c r="EF567" s="89"/>
      <c r="EG567" s="89"/>
      <c r="EH567" s="89"/>
      <c r="EI567" s="89"/>
      <c r="EJ567" s="89"/>
      <c r="EK567" s="91"/>
      <c r="EL567" s="66"/>
      <c r="EM567" s="94"/>
      <c r="EN567" s="94"/>
      <c r="EO567" s="92"/>
      <c r="EP567" s="93"/>
      <c r="EQ567" s="23"/>
      <c r="ER567" s="94"/>
      <c r="ES567" s="94"/>
      <c r="ET567" s="94"/>
      <c r="EU567" s="94"/>
      <c r="EV567" s="95"/>
      <c r="EW567" s="91"/>
      <c r="EX567" s="95"/>
      <c r="EY567" s="8"/>
      <c r="EZ567" s="96"/>
      <c r="FA567" s="91"/>
      <c r="FB567" s="97"/>
      <c r="FC567" s="8"/>
      <c r="FD567" s="91"/>
      <c r="FE567" s="98"/>
      <c r="FF567" s="5"/>
    </row>
    <row r="568" spans="37:162">
      <c r="AK568" s="89"/>
      <c r="AL568" s="8"/>
      <c r="AM568" s="8"/>
      <c r="AN568" s="8"/>
      <c r="AO568" s="8"/>
      <c r="AP568" s="8"/>
      <c r="AQ568" s="8"/>
      <c r="AR568" s="8"/>
      <c r="AZ568" s="45"/>
      <c r="BA568" s="89"/>
      <c r="BB568" s="89"/>
      <c r="BC568" s="89"/>
      <c r="BD568" s="89"/>
      <c r="BE568" s="89"/>
      <c r="BF568" s="89"/>
      <c r="BG568" s="89"/>
      <c r="BH568" s="89"/>
      <c r="BI568" s="89"/>
      <c r="BJ568" s="89"/>
      <c r="BK568" s="91"/>
      <c r="BL568" s="66"/>
      <c r="BM568" s="94"/>
      <c r="BN568" s="94"/>
      <c r="BO568" s="92"/>
      <c r="BP568" s="93"/>
      <c r="BQ568" s="23"/>
      <c r="BR568" s="94"/>
      <c r="BS568" s="94"/>
      <c r="BT568" s="94"/>
      <c r="BU568" s="94"/>
      <c r="BV568" s="95"/>
      <c r="BW568" s="91"/>
      <c r="BX568" s="95"/>
      <c r="BY568" s="8"/>
      <c r="BZ568" s="96"/>
      <c r="CA568" s="91"/>
      <c r="CB568" s="97"/>
      <c r="CC568" s="8"/>
      <c r="CD568" s="91"/>
      <c r="CE568" s="98"/>
      <c r="CF568" s="5"/>
      <c r="DK568" s="89"/>
      <c r="DL568" s="8"/>
      <c r="DM568" s="8"/>
      <c r="DN568" s="8"/>
      <c r="DO568" s="8"/>
      <c r="DP568" s="8"/>
      <c r="DQ568" s="8"/>
      <c r="DR568" s="8"/>
      <c r="DZ568" s="45"/>
      <c r="EA568" s="89"/>
      <c r="EB568" s="89"/>
      <c r="EC568" s="89"/>
      <c r="ED568" s="89"/>
      <c r="EE568" s="89"/>
      <c r="EF568" s="89"/>
      <c r="EG568" s="89"/>
      <c r="EH568" s="89"/>
      <c r="EI568" s="89"/>
      <c r="EJ568" s="89"/>
      <c r="EK568" s="91"/>
      <c r="EL568" s="66"/>
      <c r="EM568" s="94"/>
      <c r="EN568" s="94"/>
      <c r="EO568" s="92"/>
      <c r="EP568" s="93"/>
      <c r="EQ568" s="23"/>
      <c r="ER568" s="94"/>
      <c r="ES568" s="94"/>
      <c r="ET568" s="94"/>
      <c r="EU568" s="94"/>
      <c r="EV568" s="95"/>
      <c r="EW568" s="91"/>
      <c r="EX568" s="95"/>
      <c r="EY568" s="8"/>
      <c r="EZ568" s="96"/>
      <c r="FA568" s="91"/>
      <c r="FB568" s="97"/>
      <c r="FC568" s="8"/>
      <c r="FD568" s="91"/>
      <c r="FE568" s="98"/>
      <c r="FF568" s="5"/>
    </row>
    <row r="569" spans="37:162">
      <c r="AK569" s="89"/>
      <c r="AL569" s="8"/>
      <c r="AM569" s="8"/>
      <c r="AN569" s="8"/>
      <c r="AO569" s="8"/>
      <c r="AP569" s="8"/>
      <c r="AQ569" s="8"/>
      <c r="AR569" s="8"/>
      <c r="AZ569" s="45"/>
      <c r="BA569" s="89"/>
      <c r="BB569" s="89"/>
      <c r="BC569" s="89"/>
      <c r="BD569" s="89"/>
      <c r="BE569" s="89"/>
      <c r="BF569" s="89"/>
      <c r="BG569" s="89"/>
      <c r="BH569" s="89"/>
      <c r="BI569" s="89"/>
      <c r="BJ569" s="89"/>
      <c r="BK569" s="91"/>
      <c r="BL569" s="66"/>
      <c r="BM569" s="94"/>
      <c r="BN569" s="94"/>
      <c r="BO569" s="92"/>
      <c r="BP569" s="93"/>
      <c r="BQ569" s="23"/>
      <c r="BR569" s="94"/>
      <c r="BS569" s="94"/>
      <c r="BT569" s="94"/>
      <c r="BU569" s="94"/>
      <c r="BV569" s="95"/>
      <c r="BW569" s="91"/>
      <c r="BX569" s="95"/>
      <c r="BY569" s="8"/>
      <c r="BZ569" s="96"/>
      <c r="CA569" s="91"/>
      <c r="CB569" s="97"/>
      <c r="CC569" s="8"/>
      <c r="CD569" s="91"/>
      <c r="CE569" s="98"/>
      <c r="CF569" s="5"/>
      <c r="DK569" s="89"/>
      <c r="DL569" s="8"/>
      <c r="DM569" s="8"/>
      <c r="DN569" s="8"/>
      <c r="DO569" s="8"/>
      <c r="DP569" s="8"/>
      <c r="DQ569" s="8"/>
      <c r="DR569" s="8"/>
      <c r="DZ569" s="45"/>
      <c r="EA569" s="89"/>
      <c r="EB569" s="89"/>
      <c r="EC569" s="89"/>
      <c r="ED569" s="89"/>
      <c r="EE569" s="89"/>
      <c r="EF569" s="89"/>
      <c r="EG569" s="89"/>
      <c r="EH569" s="89"/>
      <c r="EI569" s="89"/>
      <c r="EJ569" s="89"/>
      <c r="EK569" s="91"/>
      <c r="EL569" s="66"/>
      <c r="EM569" s="94"/>
      <c r="EN569" s="94"/>
      <c r="EO569" s="92"/>
      <c r="EP569" s="93"/>
      <c r="EQ569" s="23"/>
      <c r="ER569" s="94"/>
      <c r="ES569" s="94"/>
      <c r="ET569" s="94"/>
      <c r="EU569" s="94"/>
      <c r="EV569" s="95"/>
      <c r="EW569" s="91"/>
      <c r="EX569" s="95"/>
      <c r="EY569" s="8"/>
      <c r="EZ569" s="96"/>
      <c r="FA569" s="91"/>
      <c r="FB569" s="97"/>
      <c r="FC569" s="8"/>
      <c r="FD569" s="91"/>
      <c r="FE569" s="98"/>
      <c r="FF569" s="5"/>
    </row>
    <row r="570" spans="37:162">
      <c r="AK570" s="89"/>
      <c r="AL570" s="8"/>
      <c r="AM570" s="8"/>
      <c r="AN570" s="8"/>
      <c r="AO570" s="8"/>
      <c r="AP570" s="8"/>
      <c r="AQ570" s="8"/>
      <c r="AR570" s="8"/>
      <c r="AZ570" s="45"/>
      <c r="BA570" s="89"/>
      <c r="BB570" s="89"/>
      <c r="BC570" s="89"/>
      <c r="BD570" s="89"/>
      <c r="BE570" s="89"/>
      <c r="BF570" s="89"/>
      <c r="BG570" s="89"/>
      <c r="BH570" s="89"/>
      <c r="BI570" s="89"/>
      <c r="BJ570" s="89"/>
      <c r="BK570" s="91"/>
      <c r="BL570" s="66"/>
      <c r="BM570" s="94"/>
      <c r="BN570" s="94"/>
      <c r="BO570" s="92"/>
      <c r="BP570" s="93"/>
      <c r="BQ570" s="23"/>
      <c r="BR570" s="94"/>
      <c r="BS570" s="94"/>
      <c r="BT570" s="94"/>
      <c r="BU570" s="94"/>
      <c r="BV570" s="95"/>
      <c r="BW570" s="91"/>
      <c r="BX570" s="95"/>
      <c r="BY570" s="8"/>
      <c r="BZ570" s="96"/>
      <c r="CA570" s="91"/>
      <c r="CB570" s="97"/>
      <c r="CC570" s="8"/>
      <c r="CD570" s="91"/>
      <c r="CE570" s="98"/>
      <c r="CF570" s="5"/>
      <c r="DK570" s="89"/>
      <c r="DL570" s="8"/>
      <c r="DM570" s="8"/>
      <c r="DN570" s="8"/>
      <c r="DO570" s="8"/>
      <c r="DP570" s="8"/>
      <c r="DQ570" s="8"/>
      <c r="DR570" s="8"/>
      <c r="DZ570" s="45"/>
      <c r="EA570" s="89"/>
      <c r="EB570" s="89"/>
      <c r="EC570" s="89"/>
      <c r="ED570" s="89"/>
      <c r="EE570" s="89"/>
      <c r="EF570" s="89"/>
      <c r="EG570" s="89"/>
      <c r="EH570" s="89"/>
      <c r="EI570" s="89"/>
      <c r="EJ570" s="89"/>
      <c r="EK570" s="91"/>
      <c r="EL570" s="66"/>
      <c r="EM570" s="94"/>
      <c r="EN570" s="94"/>
      <c r="EO570" s="92"/>
      <c r="EP570" s="93"/>
      <c r="EQ570" s="23"/>
      <c r="ER570" s="94"/>
      <c r="ES570" s="94"/>
      <c r="ET570" s="94"/>
      <c r="EU570" s="94"/>
      <c r="EV570" s="95"/>
      <c r="EW570" s="91"/>
      <c r="EX570" s="95"/>
      <c r="EY570" s="8"/>
      <c r="EZ570" s="96"/>
      <c r="FA570" s="91"/>
      <c r="FB570" s="97"/>
      <c r="FC570" s="8"/>
      <c r="FD570" s="91"/>
      <c r="FE570" s="98"/>
      <c r="FF570" s="5"/>
    </row>
    <row r="571" spans="37:162">
      <c r="AK571" s="89"/>
      <c r="AL571" s="8"/>
      <c r="AM571" s="8"/>
      <c r="AN571" s="8"/>
      <c r="AO571" s="8"/>
      <c r="AP571" s="8"/>
      <c r="AQ571" s="8"/>
      <c r="AR571" s="8"/>
      <c r="AZ571" s="45"/>
      <c r="BA571" s="89"/>
      <c r="BB571" s="89"/>
      <c r="BC571" s="89"/>
      <c r="BD571" s="89"/>
      <c r="BE571" s="89"/>
      <c r="BF571" s="89"/>
      <c r="BG571" s="89"/>
      <c r="BH571" s="89"/>
      <c r="BI571" s="89"/>
      <c r="BJ571" s="89"/>
      <c r="BK571" s="91"/>
      <c r="BL571" s="66"/>
      <c r="BM571" s="94"/>
      <c r="BN571" s="94"/>
      <c r="BO571" s="92"/>
      <c r="BP571" s="93"/>
      <c r="BQ571" s="23"/>
      <c r="BR571" s="94"/>
      <c r="BS571" s="94"/>
      <c r="BT571" s="94"/>
      <c r="BU571" s="94"/>
      <c r="BV571" s="95"/>
      <c r="BW571" s="91"/>
      <c r="BX571" s="95"/>
      <c r="BY571" s="8"/>
      <c r="BZ571" s="96"/>
      <c r="CA571" s="91"/>
      <c r="CB571" s="97"/>
      <c r="CC571" s="8"/>
      <c r="CD571" s="91"/>
      <c r="CE571" s="98"/>
      <c r="CF571" s="5"/>
      <c r="DK571" s="89"/>
      <c r="DL571" s="8"/>
      <c r="DM571" s="8"/>
      <c r="DN571" s="8"/>
      <c r="DO571" s="8"/>
      <c r="DP571" s="8"/>
      <c r="DQ571" s="8"/>
      <c r="DR571" s="8"/>
      <c r="DZ571" s="45"/>
      <c r="EA571" s="89"/>
      <c r="EB571" s="89"/>
      <c r="EC571" s="89"/>
      <c r="ED571" s="89"/>
      <c r="EE571" s="89"/>
      <c r="EF571" s="89"/>
      <c r="EG571" s="89"/>
      <c r="EH571" s="89"/>
      <c r="EI571" s="89"/>
      <c r="EJ571" s="89"/>
      <c r="EK571" s="91"/>
      <c r="EL571" s="66"/>
      <c r="EM571" s="94"/>
      <c r="EN571" s="94"/>
      <c r="EO571" s="92"/>
      <c r="EP571" s="93"/>
      <c r="EQ571" s="23"/>
      <c r="ER571" s="94"/>
      <c r="ES571" s="94"/>
      <c r="ET571" s="94"/>
      <c r="EU571" s="94"/>
      <c r="EV571" s="95"/>
      <c r="EW571" s="91"/>
      <c r="EX571" s="95"/>
      <c r="EY571" s="8"/>
      <c r="EZ571" s="96"/>
      <c r="FA571" s="91"/>
      <c r="FB571" s="97"/>
      <c r="FC571" s="8"/>
      <c r="FD571" s="91"/>
      <c r="FE571" s="98"/>
      <c r="FF571" s="5"/>
    </row>
    <row r="572" spans="37:162">
      <c r="AK572" s="89"/>
      <c r="AL572" s="8"/>
      <c r="AM572" s="8"/>
      <c r="AN572" s="8"/>
      <c r="AO572" s="8"/>
      <c r="AP572" s="8"/>
      <c r="AQ572" s="8"/>
      <c r="AR572" s="8"/>
      <c r="AZ572" s="45"/>
      <c r="BA572" s="89"/>
      <c r="BB572" s="89"/>
      <c r="BC572" s="89"/>
      <c r="BD572" s="89"/>
      <c r="BE572" s="89"/>
      <c r="BF572" s="89"/>
      <c r="BG572" s="89"/>
      <c r="BH572" s="89"/>
      <c r="BI572" s="89"/>
      <c r="BJ572" s="89"/>
      <c r="BK572" s="91"/>
      <c r="BL572" s="66"/>
      <c r="BM572" s="94"/>
      <c r="BN572" s="94"/>
      <c r="BO572" s="92"/>
      <c r="BP572" s="93"/>
      <c r="BQ572" s="23"/>
      <c r="BR572" s="94"/>
      <c r="BS572" s="94"/>
      <c r="BT572" s="94"/>
      <c r="BU572" s="94"/>
      <c r="BV572" s="95"/>
      <c r="BW572" s="91"/>
      <c r="BX572" s="95"/>
      <c r="BY572" s="8"/>
      <c r="BZ572" s="96"/>
      <c r="CA572" s="91"/>
      <c r="CB572" s="97"/>
      <c r="CC572" s="8"/>
      <c r="CD572" s="91"/>
      <c r="CE572" s="98"/>
      <c r="CF572" s="5"/>
      <c r="DK572" s="89"/>
      <c r="DL572" s="8"/>
      <c r="DM572" s="8"/>
      <c r="DN572" s="8"/>
      <c r="DO572" s="8"/>
      <c r="DP572" s="8"/>
      <c r="DQ572" s="8"/>
      <c r="DR572" s="8"/>
      <c r="DZ572" s="45"/>
      <c r="EA572" s="89"/>
      <c r="EB572" s="89"/>
      <c r="EC572" s="89"/>
      <c r="ED572" s="89"/>
      <c r="EE572" s="89"/>
      <c r="EF572" s="89"/>
      <c r="EG572" s="89"/>
      <c r="EH572" s="89"/>
      <c r="EI572" s="89"/>
      <c r="EJ572" s="89"/>
      <c r="EK572" s="91"/>
      <c r="EL572" s="66"/>
      <c r="EM572" s="94"/>
      <c r="EN572" s="94"/>
      <c r="EO572" s="92"/>
      <c r="EP572" s="93"/>
      <c r="EQ572" s="23"/>
      <c r="ER572" s="94"/>
      <c r="ES572" s="94"/>
      <c r="ET572" s="94"/>
      <c r="EU572" s="94"/>
      <c r="EV572" s="95"/>
      <c r="EW572" s="91"/>
      <c r="EX572" s="95"/>
      <c r="EY572" s="8"/>
      <c r="EZ572" s="96"/>
      <c r="FA572" s="91"/>
      <c r="FB572" s="97"/>
      <c r="FC572" s="8"/>
      <c r="FD572" s="91"/>
      <c r="FE572" s="98"/>
      <c r="FF572" s="5"/>
    </row>
    <row r="573" spans="37:162">
      <c r="AK573" s="89"/>
      <c r="AL573" s="8"/>
      <c r="AM573" s="8"/>
      <c r="AN573" s="8"/>
      <c r="AO573" s="8"/>
      <c r="AP573" s="8"/>
      <c r="AQ573" s="8"/>
      <c r="AR573" s="8"/>
      <c r="AZ573" s="45"/>
      <c r="BA573" s="89"/>
      <c r="BB573" s="89"/>
      <c r="BC573" s="89"/>
      <c r="BD573" s="89"/>
      <c r="BE573" s="89"/>
      <c r="BF573" s="89"/>
      <c r="BG573" s="89"/>
      <c r="BH573" s="89"/>
      <c r="BI573" s="89"/>
      <c r="BJ573" s="89"/>
      <c r="BK573" s="91"/>
      <c r="BL573" s="66"/>
      <c r="BM573" s="94"/>
      <c r="BN573" s="94"/>
      <c r="BO573" s="92"/>
      <c r="BP573" s="93"/>
      <c r="BQ573" s="23"/>
      <c r="BR573" s="94"/>
      <c r="BS573" s="94"/>
      <c r="BT573" s="94"/>
      <c r="BU573" s="94"/>
      <c r="BV573" s="95"/>
      <c r="BW573" s="91"/>
      <c r="BX573" s="95"/>
      <c r="BY573" s="8"/>
      <c r="BZ573" s="96"/>
      <c r="CA573" s="91"/>
      <c r="CB573" s="97"/>
      <c r="CC573" s="8"/>
      <c r="CD573" s="91"/>
      <c r="CE573" s="98"/>
      <c r="CF573" s="5"/>
      <c r="DK573" s="89"/>
      <c r="DL573" s="8"/>
      <c r="DM573" s="8"/>
      <c r="DN573" s="8"/>
      <c r="DO573" s="8"/>
      <c r="DP573" s="8"/>
      <c r="DQ573" s="8"/>
      <c r="DR573" s="8"/>
      <c r="DZ573" s="45"/>
      <c r="EA573" s="89"/>
      <c r="EB573" s="89"/>
      <c r="EC573" s="89"/>
      <c r="ED573" s="89"/>
      <c r="EE573" s="89"/>
      <c r="EF573" s="89"/>
      <c r="EG573" s="89"/>
      <c r="EH573" s="89"/>
      <c r="EI573" s="89"/>
      <c r="EJ573" s="89"/>
      <c r="EK573" s="91"/>
      <c r="EL573" s="66"/>
      <c r="EM573" s="94"/>
      <c r="EN573" s="94"/>
      <c r="EO573" s="92"/>
      <c r="EP573" s="93"/>
      <c r="EQ573" s="23"/>
      <c r="ER573" s="94"/>
      <c r="ES573" s="94"/>
      <c r="ET573" s="94"/>
      <c r="EU573" s="94"/>
      <c r="EV573" s="95"/>
      <c r="EW573" s="91"/>
      <c r="EX573" s="95"/>
      <c r="EY573" s="8"/>
      <c r="EZ573" s="96"/>
      <c r="FA573" s="91"/>
      <c r="FB573" s="97"/>
      <c r="FC573" s="8"/>
      <c r="FD573" s="91"/>
      <c r="FE573" s="98"/>
      <c r="FF573" s="5"/>
    </row>
    <row r="574" spans="37:162">
      <c r="AK574" s="89"/>
      <c r="AL574" s="8"/>
      <c r="AM574" s="8"/>
      <c r="AN574" s="8"/>
      <c r="AO574" s="8"/>
      <c r="AP574" s="8"/>
      <c r="AQ574" s="8"/>
      <c r="AR574" s="8"/>
      <c r="AZ574" s="45"/>
      <c r="BA574" s="89"/>
      <c r="BB574" s="89"/>
      <c r="BC574" s="89"/>
      <c r="BD574" s="89"/>
      <c r="BE574" s="89"/>
      <c r="BF574" s="89"/>
      <c r="BG574" s="89"/>
      <c r="BH574" s="89"/>
      <c r="BI574" s="89"/>
      <c r="BJ574" s="89"/>
      <c r="BK574" s="91"/>
      <c r="BL574" s="66"/>
      <c r="BM574" s="94"/>
      <c r="BN574" s="94"/>
      <c r="BO574" s="92"/>
      <c r="BP574" s="93"/>
      <c r="BQ574" s="23"/>
      <c r="BR574" s="94"/>
      <c r="BS574" s="94"/>
      <c r="BT574" s="94"/>
      <c r="BU574" s="94"/>
      <c r="BV574" s="95"/>
      <c r="BW574" s="91"/>
      <c r="BX574" s="95"/>
      <c r="BY574" s="8"/>
      <c r="BZ574" s="96"/>
      <c r="CA574" s="91"/>
      <c r="CB574" s="97"/>
      <c r="CC574" s="8"/>
      <c r="CD574" s="91"/>
      <c r="CE574" s="98"/>
      <c r="CF574" s="5"/>
      <c r="DK574" s="89"/>
      <c r="DL574" s="8"/>
      <c r="DM574" s="8"/>
      <c r="DN574" s="8"/>
      <c r="DO574" s="8"/>
      <c r="DP574" s="8"/>
      <c r="DQ574" s="8"/>
      <c r="DR574" s="8"/>
      <c r="DZ574" s="45"/>
      <c r="EA574" s="89"/>
      <c r="EB574" s="89"/>
      <c r="EC574" s="89"/>
      <c r="ED574" s="89"/>
      <c r="EE574" s="89"/>
      <c r="EF574" s="89"/>
      <c r="EG574" s="89"/>
      <c r="EH574" s="89"/>
      <c r="EI574" s="89"/>
      <c r="EJ574" s="89"/>
      <c r="EK574" s="91"/>
      <c r="EL574" s="66"/>
      <c r="EM574" s="94"/>
      <c r="EN574" s="94"/>
      <c r="EO574" s="92"/>
      <c r="EP574" s="93"/>
      <c r="EQ574" s="23"/>
      <c r="ER574" s="94"/>
      <c r="ES574" s="94"/>
      <c r="ET574" s="94"/>
      <c r="EU574" s="94"/>
      <c r="EV574" s="95"/>
      <c r="EW574" s="91"/>
      <c r="EX574" s="95"/>
      <c r="EY574" s="8"/>
      <c r="EZ574" s="96"/>
      <c r="FA574" s="91"/>
      <c r="FB574" s="97"/>
      <c r="FC574" s="8"/>
      <c r="FD574" s="91"/>
      <c r="FE574" s="98"/>
      <c r="FF574" s="5"/>
    </row>
    <row r="575" spans="37:162">
      <c r="AK575" s="89"/>
      <c r="AL575" s="8"/>
      <c r="AM575" s="8"/>
      <c r="AN575" s="8"/>
      <c r="AO575" s="8"/>
      <c r="AP575" s="8"/>
      <c r="AQ575" s="8"/>
      <c r="AR575" s="8"/>
      <c r="AZ575" s="45"/>
      <c r="BA575" s="89"/>
      <c r="BB575" s="89"/>
      <c r="BC575" s="89"/>
      <c r="BD575" s="89"/>
      <c r="BE575" s="89"/>
      <c r="BF575" s="89"/>
      <c r="BG575" s="89"/>
      <c r="BH575" s="89"/>
      <c r="BI575" s="89"/>
      <c r="BJ575" s="89"/>
      <c r="BK575" s="91"/>
      <c r="BL575" s="66"/>
      <c r="BM575" s="94"/>
      <c r="BN575" s="94"/>
      <c r="BO575" s="92"/>
      <c r="BP575" s="93"/>
      <c r="BQ575" s="23"/>
      <c r="BR575" s="94"/>
      <c r="BS575" s="94"/>
      <c r="BT575" s="94"/>
      <c r="BU575" s="94"/>
      <c r="BV575" s="95"/>
      <c r="BW575" s="91"/>
      <c r="BX575" s="95"/>
      <c r="BY575" s="8"/>
      <c r="BZ575" s="96"/>
      <c r="CA575" s="91"/>
      <c r="CB575" s="97"/>
      <c r="CC575" s="8"/>
      <c r="CD575" s="91"/>
      <c r="CE575" s="98"/>
      <c r="CF575" s="5"/>
      <c r="DK575" s="89"/>
      <c r="DL575" s="8"/>
      <c r="DM575" s="8"/>
      <c r="DN575" s="8"/>
      <c r="DO575" s="8"/>
      <c r="DP575" s="8"/>
      <c r="DQ575" s="8"/>
      <c r="DR575" s="8"/>
      <c r="DZ575" s="45"/>
      <c r="EA575" s="89"/>
      <c r="EB575" s="89"/>
      <c r="EC575" s="89"/>
      <c r="ED575" s="89"/>
      <c r="EE575" s="89"/>
      <c r="EF575" s="89"/>
      <c r="EG575" s="89"/>
      <c r="EH575" s="89"/>
      <c r="EI575" s="89"/>
      <c r="EJ575" s="89"/>
      <c r="EK575" s="91"/>
      <c r="EL575" s="66"/>
      <c r="EM575" s="94"/>
      <c r="EN575" s="94"/>
      <c r="EO575" s="92"/>
      <c r="EP575" s="93"/>
      <c r="EQ575" s="23"/>
      <c r="ER575" s="94"/>
      <c r="ES575" s="94"/>
      <c r="ET575" s="94"/>
      <c r="EU575" s="94"/>
      <c r="EV575" s="95"/>
      <c r="EW575" s="91"/>
      <c r="EX575" s="95"/>
      <c r="EY575" s="8"/>
      <c r="EZ575" s="96"/>
      <c r="FA575" s="91"/>
      <c r="FB575" s="97"/>
      <c r="FC575" s="8"/>
      <c r="FD575" s="91"/>
      <c r="FE575" s="98"/>
      <c r="FF575" s="5"/>
    </row>
    <row r="576" spans="37:162">
      <c r="AK576" s="89"/>
      <c r="AL576" s="8"/>
      <c r="AM576" s="8"/>
      <c r="AN576" s="8"/>
      <c r="AO576" s="8"/>
      <c r="AP576" s="8"/>
      <c r="AQ576" s="8"/>
      <c r="AR576" s="8"/>
      <c r="AZ576" s="45"/>
      <c r="BA576" s="89"/>
      <c r="BB576" s="89"/>
      <c r="BC576" s="89"/>
      <c r="BD576" s="89"/>
      <c r="BE576" s="89"/>
      <c r="BF576" s="89"/>
      <c r="BG576" s="89"/>
      <c r="BH576" s="89"/>
      <c r="BI576" s="89"/>
      <c r="BJ576" s="89"/>
      <c r="BK576" s="91"/>
      <c r="BL576" s="66"/>
      <c r="BM576" s="94"/>
      <c r="BN576" s="94"/>
      <c r="BO576" s="92"/>
      <c r="BP576" s="93"/>
      <c r="BQ576" s="23"/>
      <c r="BR576" s="94"/>
      <c r="BS576" s="94"/>
      <c r="BT576" s="94"/>
      <c r="BU576" s="94"/>
      <c r="BV576" s="95"/>
      <c r="BW576" s="91"/>
      <c r="BX576" s="95"/>
      <c r="BY576" s="8"/>
      <c r="BZ576" s="96"/>
      <c r="CA576" s="91"/>
      <c r="CB576" s="97"/>
      <c r="CC576" s="8"/>
      <c r="CD576" s="91"/>
      <c r="CE576" s="98"/>
      <c r="CF576" s="5"/>
      <c r="DK576" s="89"/>
      <c r="DL576" s="8"/>
      <c r="DM576" s="8"/>
      <c r="DN576" s="8"/>
      <c r="DO576" s="8"/>
      <c r="DP576" s="8"/>
      <c r="DQ576" s="8"/>
      <c r="DR576" s="8"/>
      <c r="DZ576" s="45"/>
      <c r="EA576" s="89"/>
      <c r="EB576" s="89"/>
      <c r="EC576" s="89"/>
      <c r="ED576" s="89"/>
      <c r="EE576" s="89"/>
      <c r="EF576" s="89"/>
      <c r="EG576" s="89"/>
      <c r="EH576" s="89"/>
      <c r="EI576" s="89"/>
      <c r="EJ576" s="89"/>
      <c r="EK576" s="91"/>
      <c r="EL576" s="66"/>
      <c r="EM576" s="94"/>
      <c r="EN576" s="94"/>
      <c r="EO576" s="92"/>
      <c r="EP576" s="93"/>
      <c r="EQ576" s="23"/>
      <c r="ER576" s="94"/>
      <c r="ES576" s="94"/>
      <c r="ET576" s="94"/>
      <c r="EU576" s="94"/>
      <c r="EV576" s="95"/>
      <c r="EW576" s="91"/>
      <c r="EX576" s="95"/>
      <c r="EY576" s="8"/>
      <c r="EZ576" s="96"/>
      <c r="FA576" s="91"/>
      <c r="FB576" s="97"/>
      <c r="FC576" s="8"/>
      <c r="FD576" s="91"/>
      <c r="FE576" s="98"/>
      <c r="FF576" s="5"/>
    </row>
    <row r="577" spans="37:162">
      <c r="AK577" s="89"/>
      <c r="AL577" s="8"/>
      <c r="AM577" s="8"/>
      <c r="AN577" s="8"/>
      <c r="AO577" s="8"/>
      <c r="AP577" s="8"/>
      <c r="AQ577" s="8"/>
      <c r="AR577" s="8"/>
      <c r="AZ577" s="45"/>
      <c r="BA577" s="89"/>
      <c r="BB577" s="89"/>
      <c r="BC577" s="89"/>
      <c r="BD577" s="89"/>
      <c r="BE577" s="89"/>
      <c r="BF577" s="89"/>
      <c r="BG577" s="89"/>
      <c r="BH577" s="89"/>
      <c r="BI577" s="89"/>
      <c r="BJ577" s="89"/>
      <c r="BK577" s="91"/>
      <c r="BL577" s="66"/>
      <c r="BM577" s="94"/>
      <c r="BN577" s="94"/>
      <c r="BO577" s="92"/>
      <c r="BP577" s="93"/>
      <c r="BQ577" s="23"/>
      <c r="BR577" s="94"/>
      <c r="BS577" s="94"/>
      <c r="BT577" s="94"/>
      <c r="BU577" s="94"/>
      <c r="BV577" s="95"/>
      <c r="BW577" s="91"/>
      <c r="BX577" s="95"/>
      <c r="BY577" s="8"/>
      <c r="BZ577" s="96"/>
      <c r="CA577" s="91"/>
      <c r="CB577" s="97"/>
      <c r="CC577" s="8"/>
      <c r="CD577" s="91"/>
      <c r="CE577" s="98"/>
      <c r="CF577" s="5"/>
      <c r="DK577" s="89"/>
      <c r="DL577" s="8"/>
      <c r="DM577" s="8"/>
      <c r="DN577" s="8"/>
      <c r="DO577" s="8"/>
      <c r="DP577" s="8"/>
      <c r="DQ577" s="8"/>
      <c r="DR577" s="8"/>
      <c r="DZ577" s="45"/>
      <c r="EA577" s="89"/>
      <c r="EB577" s="89"/>
      <c r="EC577" s="89"/>
      <c r="ED577" s="89"/>
      <c r="EE577" s="89"/>
      <c r="EF577" s="89"/>
      <c r="EG577" s="89"/>
      <c r="EH577" s="89"/>
      <c r="EI577" s="89"/>
      <c r="EJ577" s="89"/>
      <c r="EK577" s="91"/>
      <c r="EL577" s="66"/>
      <c r="EM577" s="94"/>
      <c r="EN577" s="94"/>
      <c r="EO577" s="92"/>
      <c r="EP577" s="93"/>
      <c r="EQ577" s="23"/>
      <c r="ER577" s="94"/>
      <c r="ES577" s="94"/>
      <c r="ET577" s="94"/>
      <c r="EU577" s="94"/>
      <c r="EV577" s="95"/>
      <c r="EW577" s="91"/>
      <c r="EX577" s="95"/>
      <c r="EY577" s="8"/>
      <c r="EZ577" s="96"/>
      <c r="FA577" s="91"/>
      <c r="FB577" s="97"/>
      <c r="FC577" s="8"/>
      <c r="FD577" s="91"/>
      <c r="FE577" s="98"/>
      <c r="FF577" s="5"/>
    </row>
    <row r="578" spans="37:162">
      <c r="AK578" s="89"/>
      <c r="AL578" s="8"/>
      <c r="AM578" s="8"/>
      <c r="AN578" s="8"/>
      <c r="AO578" s="8"/>
      <c r="AP578" s="8"/>
      <c r="AQ578" s="8"/>
      <c r="AR578" s="8"/>
      <c r="AZ578" s="45"/>
      <c r="BA578" s="89"/>
      <c r="BB578" s="89"/>
      <c r="BC578" s="89"/>
      <c r="BD578" s="89"/>
      <c r="BE578" s="89"/>
      <c r="BF578" s="89"/>
      <c r="BG578" s="89"/>
      <c r="BH578" s="89"/>
      <c r="BI578" s="89"/>
      <c r="BJ578" s="89"/>
      <c r="BK578" s="91"/>
      <c r="BL578" s="66"/>
      <c r="BM578" s="94"/>
      <c r="BN578" s="94"/>
      <c r="BO578" s="92"/>
      <c r="BP578" s="93"/>
      <c r="BQ578" s="23"/>
      <c r="BR578" s="94"/>
      <c r="BS578" s="94"/>
      <c r="BT578" s="94"/>
      <c r="BU578" s="94"/>
      <c r="BV578" s="95"/>
      <c r="BW578" s="91"/>
      <c r="BX578" s="95"/>
      <c r="BY578" s="8"/>
      <c r="BZ578" s="96"/>
      <c r="CA578" s="91"/>
      <c r="CB578" s="97"/>
      <c r="CC578" s="8"/>
      <c r="CD578" s="91"/>
      <c r="CE578" s="98"/>
      <c r="CF578" s="5"/>
      <c r="DK578" s="89"/>
      <c r="DL578" s="8"/>
      <c r="DM578" s="8"/>
      <c r="DN578" s="8"/>
      <c r="DO578" s="8"/>
      <c r="DP578" s="8"/>
      <c r="DQ578" s="8"/>
      <c r="DR578" s="8"/>
      <c r="DZ578" s="45"/>
      <c r="EA578" s="89"/>
      <c r="EB578" s="89"/>
      <c r="EC578" s="89"/>
      <c r="ED578" s="89"/>
      <c r="EE578" s="89"/>
      <c r="EF578" s="89"/>
      <c r="EG578" s="89"/>
      <c r="EH578" s="89"/>
      <c r="EI578" s="89"/>
      <c r="EJ578" s="89"/>
      <c r="EK578" s="91"/>
      <c r="EL578" s="66"/>
      <c r="EM578" s="94"/>
      <c r="EN578" s="94"/>
      <c r="EO578" s="92"/>
      <c r="EP578" s="93"/>
      <c r="EQ578" s="23"/>
      <c r="ER578" s="94"/>
      <c r="ES578" s="94"/>
      <c r="ET578" s="94"/>
      <c r="EU578" s="94"/>
      <c r="EV578" s="95"/>
      <c r="EW578" s="91"/>
      <c r="EX578" s="95"/>
      <c r="EY578" s="8"/>
      <c r="EZ578" s="96"/>
      <c r="FA578" s="91"/>
      <c r="FB578" s="97"/>
      <c r="FC578" s="8"/>
      <c r="FD578" s="91"/>
      <c r="FE578" s="98"/>
      <c r="FF578" s="5"/>
    </row>
    <row r="579" spans="37:162">
      <c r="AK579" s="89"/>
      <c r="AL579" s="8"/>
      <c r="AM579" s="8"/>
      <c r="AN579" s="8"/>
      <c r="AO579" s="8"/>
      <c r="AP579" s="8"/>
      <c r="AQ579" s="8"/>
      <c r="AR579" s="8"/>
      <c r="AZ579" s="45"/>
      <c r="BA579" s="89"/>
      <c r="BB579" s="89"/>
      <c r="BC579" s="89"/>
      <c r="BD579" s="89"/>
      <c r="BE579" s="89"/>
      <c r="BF579" s="89"/>
      <c r="BG579" s="89"/>
      <c r="BH579" s="89"/>
      <c r="BI579" s="89"/>
      <c r="BJ579" s="89"/>
      <c r="BK579" s="91"/>
      <c r="BL579" s="66"/>
      <c r="BM579" s="94"/>
      <c r="BN579" s="94"/>
      <c r="BO579" s="92"/>
      <c r="BP579" s="93"/>
      <c r="BQ579" s="23"/>
      <c r="BR579" s="94"/>
      <c r="BS579" s="94"/>
      <c r="BT579" s="94"/>
      <c r="BU579" s="94"/>
      <c r="BV579" s="95"/>
      <c r="BW579" s="91"/>
      <c r="BX579" s="95"/>
      <c r="BY579" s="8"/>
      <c r="BZ579" s="96"/>
      <c r="CA579" s="91"/>
      <c r="CB579" s="97"/>
      <c r="CC579" s="8"/>
      <c r="CD579" s="91"/>
      <c r="CE579" s="98"/>
      <c r="CF579" s="5"/>
      <c r="DK579" s="89"/>
      <c r="DL579" s="8"/>
      <c r="DM579" s="8"/>
      <c r="DN579" s="8"/>
      <c r="DO579" s="8"/>
      <c r="DP579" s="8"/>
      <c r="DQ579" s="8"/>
      <c r="DR579" s="8"/>
      <c r="DZ579" s="45"/>
      <c r="EA579" s="89"/>
      <c r="EB579" s="89"/>
      <c r="EC579" s="89"/>
      <c r="ED579" s="89"/>
      <c r="EE579" s="89"/>
      <c r="EF579" s="89"/>
      <c r="EG579" s="89"/>
      <c r="EH579" s="89"/>
      <c r="EI579" s="89"/>
      <c r="EJ579" s="89"/>
      <c r="EK579" s="91"/>
      <c r="EL579" s="66"/>
      <c r="EM579" s="94"/>
      <c r="EN579" s="94"/>
      <c r="EO579" s="92"/>
      <c r="EP579" s="93"/>
      <c r="EQ579" s="23"/>
      <c r="ER579" s="94"/>
      <c r="ES579" s="94"/>
      <c r="ET579" s="94"/>
      <c r="EU579" s="94"/>
      <c r="EV579" s="95"/>
      <c r="EW579" s="91"/>
      <c r="EX579" s="95"/>
      <c r="EY579" s="8"/>
      <c r="EZ579" s="96"/>
      <c r="FA579" s="91"/>
      <c r="FB579" s="97"/>
      <c r="FC579" s="8"/>
      <c r="FD579" s="91"/>
      <c r="FE579" s="98"/>
      <c r="FF579" s="5"/>
    </row>
    <row r="580" spans="37:162">
      <c r="AK580" s="89"/>
      <c r="AL580" s="8"/>
      <c r="AM580" s="8"/>
      <c r="AN580" s="8"/>
      <c r="AO580" s="8"/>
      <c r="AP580" s="8"/>
      <c r="AQ580" s="8"/>
      <c r="AR580" s="8"/>
      <c r="AZ580" s="45"/>
      <c r="BA580" s="89"/>
      <c r="BB580" s="89"/>
      <c r="BC580" s="89"/>
      <c r="BD580" s="89"/>
      <c r="BE580" s="89"/>
      <c r="BF580" s="89"/>
      <c r="BG580" s="89"/>
      <c r="BH580" s="89"/>
      <c r="BI580" s="89"/>
      <c r="BJ580" s="89"/>
      <c r="BK580" s="91"/>
      <c r="BL580" s="66"/>
      <c r="BM580" s="94"/>
      <c r="BN580" s="94"/>
      <c r="BO580" s="92"/>
      <c r="BP580" s="93"/>
      <c r="BQ580" s="23"/>
      <c r="BR580" s="94"/>
      <c r="BS580" s="94"/>
      <c r="BT580" s="94"/>
      <c r="BU580" s="94"/>
      <c r="BV580" s="95"/>
      <c r="BW580" s="91"/>
      <c r="BX580" s="95"/>
      <c r="BY580" s="8"/>
      <c r="BZ580" s="96"/>
      <c r="CA580" s="91"/>
      <c r="CB580" s="97"/>
      <c r="CC580" s="8"/>
      <c r="CD580" s="91"/>
      <c r="CE580" s="98"/>
      <c r="CF580" s="5"/>
      <c r="DK580" s="89"/>
      <c r="DL580" s="8"/>
      <c r="DM580" s="8"/>
      <c r="DN580" s="8"/>
      <c r="DO580" s="8"/>
      <c r="DP580" s="8"/>
      <c r="DQ580" s="8"/>
      <c r="DR580" s="8"/>
      <c r="DZ580" s="45"/>
      <c r="EA580" s="89"/>
      <c r="EB580" s="89"/>
      <c r="EC580" s="89"/>
      <c r="ED580" s="89"/>
      <c r="EE580" s="89"/>
      <c r="EF580" s="89"/>
      <c r="EG580" s="89"/>
      <c r="EH580" s="89"/>
      <c r="EI580" s="89"/>
      <c r="EJ580" s="89"/>
      <c r="EK580" s="91"/>
      <c r="EL580" s="66"/>
      <c r="EM580" s="94"/>
      <c r="EN580" s="94"/>
      <c r="EO580" s="92"/>
      <c r="EP580" s="93"/>
      <c r="EQ580" s="23"/>
      <c r="ER580" s="94"/>
      <c r="ES580" s="94"/>
      <c r="ET580" s="94"/>
      <c r="EU580" s="94"/>
      <c r="EV580" s="95"/>
      <c r="EW580" s="91"/>
      <c r="EX580" s="95"/>
      <c r="EY580" s="8"/>
      <c r="EZ580" s="96"/>
      <c r="FA580" s="91"/>
      <c r="FB580" s="97"/>
      <c r="FC580" s="8"/>
      <c r="FD580" s="91"/>
      <c r="FE580" s="98"/>
      <c r="FF580" s="5"/>
    </row>
    <row r="581" spans="37:162">
      <c r="AK581" s="89"/>
      <c r="AL581" s="8"/>
      <c r="AM581" s="8"/>
      <c r="AN581" s="8"/>
      <c r="AO581" s="8"/>
      <c r="AP581" s="8"/>
      <c r="AQ581" s="8"/>
      <c r="AR581" s="8"/>
      <c r="AZ581" s="45"/>
      <c r="BA581" s="89"/>
      <c r="BB581" s="89"/>
      <c r="BC581" s="89"/>
      <c r="BD581" s="89"/>
      <c r="BE581" s="89"/>
      <c r="BF581" s="89"/>
      <c r="BG581" s="89"/>
      <c r="BH581" s="89"/>
      <c r="BI581" s="89"/>
      <c r="BJ581" s="89"/>
      <c r="BK581" s="91"/>
      <c r="BL581" s="66"/>
      <c r="BM581" s="94"/>
      <c r="BN581" s="94"/>
      <c r="BO581" s="92"/>
      <c r="BP581" s="93"/>
      <c r="BQ581" s="23"/>
      <c r="BR581" s="94"/>
      <c r="BS581" s="94"/>
      <c r="BT581" s="94"/>
      <c r="BU581" s="94"/>
      <c r="BV581" s="95"/>
      <c r="BW581" s="91"/>
      <c r="BX581" s="95"/>
      <c r="BY581" s="8"/>
      <c r="BZ581" s="96"/>
      <c r="CA581" s="91"/>
      <c r="CB581" s="97"/>
      <c r="CC581" s="8"/>
      <c r="CD581" s="91"/>
      <c r="CE581" s="98"/>
      <c r="CF581" s="5"/>
      <c r="DK581" s="89"/>
      <c r="DL581" s="8"/>
      <c r="DM581" s="8"/>
      <c r="DN581" s="8"/>
      <c r="DO581" s="8"/>
      <c r="DP581" s="8"/>
      <c r="DQ581" s="8"/>
      <c r="DR581" s="8"/>
      <c r="DZ581" s="45"/>
      <c r="EA581" s="89"/>
      <c r="EB581" s="89"/>
      <c r="EC581" s="89"/>
      <c r="ED581" s="89"/>
      <c r="EE581" s="89"/>
      <c r="EF581" s="89"/>
      <c r="EG581" s="89"/>
      <c r="EH581" s="89"/>
      <c r="EI581" s="89"/>
      <c r="EJ581" s="89"/>
      <c r="EK581" s="91"/>
      <c r="EL581" s="66"/>
      <c r="EM581" s="94"/>
      <c r="EN581" s="94"/>
      <c r="EO581" s="92"/>
      <c r="EP581" s="93"/>
      <c r="EQ581" s="23"/>
      <c r="ER581" s="94"/>
      <c r="ES581" s="94"/>
      <c r="ET581" s="94"/>
      <c r="EU581" s="94"/>
      <c r="EV581" s="95"/>
      <c r="EW581" s="91"/>
      <c r="EX581" s="95"/>
      <c r="EY581" s="8"/>
      <c r="EZ581" s="96"/>
      <c r="FA581" s="91"/>
      <c r="FB581" s="97"/>
      <c r="FC581" s="8"/>
      <c r="FD581" s="91"/>
      <c r="FE581" s="98"/>
      <c r="FF581" s="5"/>
    </row>
    <row r="582" spans="37:162">
      <c r="AK582" s="89"/>
      <c r="AL582" s="8"/>
      <c r="AM582" s="8"/>
      <c r="AN582" s="8"/>
      <c r="AO582" s="8"/>
      <c r="AP582" s="8"/>
      <c r="AQ582" s="8"/>
      <c r="AR582" s="8"/>
      <c r="AZ582" s="45"/>
      <c r="BA582" s="89"/>
      <c r="BB582" s="89"/>
      <c r="BC582" s="89"/>
      <c r="BD582" s="89"/>
      <c r="BE582" s="89"/>
      <c r="BF582" s="89"/>
      <c r="BG582" s="89"/>
      <c r="BH582" s="89"/>
      <c r="BI582" s="89"/>
      <c r="BJ582" s="89"/>
      <c r="BK582" s="91"/>
      <c r="BL582" s="66"/>
      <c r="BM582" s="94"/>
      <c r="BN582" s="94"/>
      <c r="BO582" s="92"/>
      <c r="BP582" s="93"/>
      <c r="BQ582" s="23"/>
      <c r="BR582" s="94"/>
      <c r="BS582" s="94"/>
      <c r="BT582" s="94"/>
      <c r="BU582" s="94"/>
      <c r="BV582" s="95"/>
      <c r="BW582" s="91"/>
      <c r="BX582" s="95"/>
      <c r="BY582" s="8"/>
      <c r="BZ582" s="96"/>
      <c r="CA582" s="91"/>
      <c r="CB582" s="97"/>
      <c r="CC582" s="8"/>
      <c r="CD582" s="91"/>
      <c r="CE582" s="98"/>
      <c r="CF582" s="5"/>
      <c r="DK582" s="89"/>
      <c r="DL582" s="8"/>
      <c r="DM582" s="8"/>
      <c r="DN582" s="8"/>
      <c r="DO582" s="8"/>
      <c r="DP582" s="8"/>
      <c r="DQ582" s="8"/>
      <c r="DR582" s="8"/>
      <c r="DZ582" s="45"/>
      <c r="EA582" s="89"/>
      <c r="EB582" s="89"/>
      <c r="EC582" s="89"/>
      <c r="ED582" s="89"/>
      <c r="EE582" s="89"/>
      <c r="EF582" s="89"/>
      <c r="EG582" s="89"/>
      <c r="EH582" s="89"/>
      <c r="EI582" s="89"/>
      <c r="EJ582" s="89"/>
      <c r="EK582" s="91"/>
      <c r="EL582" s="66"/>
      <c r="EM582" s="94"/>
      <c r="EN582" s="94"/>
      <c r="EO582" s="92"/>
      <c r="EP582" s="93"/>
      <c r="EQ582" s="23"/>
      <c r="ER582" s="94"/>
      <c r="ES582" s="94"/>
      <c r="ET582" s="94"/>
      <c r="EU582" s="94"/>
      <c r="EV582" s="95"/>
      <c r="EW582" s="91"/>
      <c r="EX582" s="95"/>
      <c r="EY582" s="8"/>
      <c r="EZ582" s="96"/>
      <c r="FA582" s="91"/>
      <c r="FB582" s="97"/>
      <c r="FC582" s="8"/>
      <c r="FD582" s="91"/>
      <c r="FE582" s="98"/>
      <c r="FF582" s="5"/>
    </row>
    <row r="583" spans="37:162">
      <c r="AK583" s="89"/>
      <c r="AL583" s="8"/>
      <c r="AM583" s="8"/>
      <c r="AN583" s="8"/>
      <c r="AO583" s="8"/>
      <c r="AP583" s="8"/>
      <c r="AQ583" s="8"/>
      <c r="AR583" s="8"/>
      <c r="AZ583" s="45"/>
      <c r="BA583" s="89"/>
      <c r="BB583" s="89"/>
      <c r="BC583" s="89"/>
      <c r="BD583" s="89"/>
      <c r="BE583" s="89"/>
      <c r="BF583" s="89"/>
      <c r="BG583" s="89"/>
      <c r="BH583" s="89"/>
      <c r="BI583" s="89"/>
      <c r="BJ583" s="89"/>
      <c r="BK583" s="91"/>
      <c r="BL583" s="66"/>
      <c r="BM583" s="94"/>
      <c r="BN583" s="94"/>
      <c r="BO583" s="92"/>
      <c r="BP583" s="93"/>
      <c r="BQ583" s="23"/>
      <c r="BR583" s="94"/>
      <c r="BS583" s="94"/>
      <c r="BT583" s="94"/>
      <c r="BU583" s="94"/>
      <c r="BV583" s="95"/>
      <c r="BW583" s="91"/>
      <c r="BX583" s="95"/>
      <c r="BY583" s="8"/>
      <c r="BZ583" s="96"/>
      <c r="CA583" s="91"/>
      <c r="CB583" s="97"/>
      <c r="CC583" s="8"/>
      <c r="CD583" s="91"/>
      <c r="CE583" s="98"/>
      <c r="CF583" s="5"/>
      <c r="DK583" s="89"/>
      <c r="DL583" s="8"/>
      <c r="DM583" s="8"/>
      <c r="DN583" s="8"/>
      <c r="DO583" s="8"/>
      <c r="DP583" s="8"/>
      <c r="DQ583" s="8"/>
      <c r="DR583" s="8"/>
      <c r="DZ583" s="45"/>
      <c r="EA583" s="89"/>
      <c r="EB583" s="89"/>
      <c r="EC583" s="89"/>
      <c r="ED583" s="89"/>
      <c r="EE583" s="89"/>
      <c r="EF583" s="89"/>
      <c r="EG583" s="89"/>
      <c r="EH583" s="89"/>
      <c r="EI583" s="89"/>
      <c r="EJ583" s="89"/>
      <c r="EK583" s="91"/>
      <c r="EL583" s="66"/>
      <c r="EM583" s="94"/>
      <c r="EN583" s="94"/>
      <c r="EO583" s="92"/>
      <c r="EP583" s="93"/>
      <c r="EQ583" s="23"/>
      <c r="ER583" s="94"/>
      <c r="ES583" s="94"/>
      <c r="ET583" s="94"/>
      <c r="EU583" s="94"/>
      <c r="EV583" s="95"/>
      <c r="EW583" s="91"/>
      <c r="EX583" s="95"/>
      <c r="EY583" s="8"/>
      <c r="EZ583" s="96"/>
      <c r="FA583" s="91"/>
      <c r="FB583" s="97"/>
      <c r="FC583" s="8"/>
      <c r="FD583" s="91"/>
      <c r="FE583" s="98"/>
      <c r="FF583" s="5"/>
    </row>
    <row r="584" spans="37:162">
      <c r="AK584" s="89"/>
      <c r="AL584" s="8"/>
      <c r="AM584" s="8"/>
      <c r="AN584" s="8"/>
      <c r="AO584" s="8"/>
      <c r="AP584" s="8"/>
      <c r="AQ584" s="8"/>
      <c r="AR584" s="8"/>
      <c r="AZ584" s="45"/>
      <c r="BA584" s="89"/>
      <c r="BB584" s="89"/>
      <c r="BC584" s="89"/>
      <c r="BD584" s="89"/>
      <c r="BE584" s="89"/>
      <c r="BF584" s="89"/>
      <c r="BG584" s="89"/>
      <c r="BH584" s="89"/>
      <c r="BI584" s="89"/>
      <c r="BJ584" s="89"/>
      <c r="BK584" s="91"/>
      <c r="BL584" s="66"/>
      <c r="BM584" s="94"/>
      <c r="BN584" s="94"/>
      <c r="BO584" s="92"/>
      <c r="BP584" s="93"/>
      <c r="BQ584" s="23"/>
      <c r="BR584" s="94"/>
      <c r="BS584" s="94"/>
      <c r="BT584" s="94"/>
      <c r="BU584" s="94"/>
      <c r="BV584" s="95"/>
      <c r="BW584" s="91"/>
      <c r="BX584" s="95"/>
      <c r="BY584" s="8"/>
      <c r="BZ584" s="96"/>
      <c r="CA584" s="91"/>
      <c r="CB584" s="97"/>
      <c r="CC584" s="8"/>
      <c r="CD584" s="91"/>
      <c r="CE584" s="98"/>
      <c r="CF584" s="5"/>
      <c r="DK584" s="89"/>
      <c r="DL584" s="8"/>
      <c r="DM584" s="8"/>
      <c r="DN584" s="8"/>
      <c r="DO584" s="8"/>
      <c r="DP584" s="8"/>
      <c r="DQ584" s="8"/>
      <c r="DR584" s="8"/>
      <c r="DZ584" s="45"/>
      <c r="EA584" s="89"/>
      <c r="EB584" s="89"/>
      <c r="EC584" s="89"/>
      <c r="ED584" s="89"/>
      <c r="EE584" s="89"/>
      <c r="EF584" s="89"/>
      <c r="EG584" s="89"/>
      <c r="EH584" s="89"/>
      <c r="EI584" s="89"/>
      <c r="EJ584" s="89"/>
      <c r="EK584" s="91"/>
      <c r="EL584" s="66"/>
      <c r="EM584" s="94"/>
      <c r="EN584" s="94"/>
      <c r="EO584" s="92"/>
      <c r="EP584" s="93"/>
      <c r="EQ584" s="23"/>
      <c r="ER584" s="94"/>
      <c r="ES584" s="94"/>
      <c r="ET584" s="94"/>
      <c r="EU584" s="94"/>
      <c r="EV584" s="95"/>
      <c r="EW584" s="91"/>
      <c r="EX584" s="95"/>
      <c r="EY584" s="8"/>
      <c r="EZ584" s="96"/>
      <c r="FA584" s="91"/>
      <c r="FB584" s="97"/>
      <c r="FC584" s="8"/>
      <c r="FD584" s="91"/>
      <c r="FE584" s="98"/>
      <c r="FF584" s="5"/>
    </row>
    <row r="585" spans="37:162">
      <c r="AK585" s="89"/>
      <c r="AL585" s="8"/>
      <c r="AM585" s="8"/>
      <c r="AN585" s="8"/>
      <c r="AO585" s="8"/>
      <c r="AP585" s="8"/>
      <c r="AQ585" s="8"/>
      <c r="AR585" s="8"/>
      <c r="AZ585" s="45"/>
      <c r="BA585" s="89"/>
      <c r="BB585" s="89"/>
      <c r="BC585" s="89"/>
      <c r="BD585" s="89"/>
      <c r="BE585" s="89"/>
      <c r="BF585" s="89"/>
      <c r="BG585" s="89"/>
      <c r="BH585" s="89"/>
      <c r="BI585" s="89"/>
      <c r="BJ585" s="89"/>
      <c r="BK585" s="91"/>
      <c r="BL585" s="66"/>
      <c r="BM585" s="94"/>
      <c r="BN585" s="94"/>
      <c r="BO585" s="92"/>
      <c r="BP585" s="93"/>
      <c r="BQ585" s="23"/>
      <c r="BR585" s="94"/>
      <c r="BS585" s="94"/>
      <c r="BT585" s="94"/>
      <c r="BU585" s="94"/>
      <c r="BV585" s="95"/>
      <c r="BW585" s="91"/>
      <c r="BX585" s="95"/>
      <c r="BY585" s="8"/>
      <c r="BZ585" s="96"/>
      <c r="CA585" s="91"/>
      <c r="CB585" s="97"/>
      <c r="CC585" s="8"/>
      <c r="CD585" s="91"/>
      <c r="CE585" s="98"/>
      <c r="CF585" s="5"/>
      <c r="DK585" s="89"/>
      <c r="DL585" s="8"/>
      <c r="DM585" s="8"/>
      <c r="DN585" s="8"/>
      <c r="DO585" s="8"/>
      <c r="DP585" s="8"/>
      <c r="DQ585" s="8"/>
      <c r="DR585" s="8"/>
      <c r="DZ585" s="45"/>
      <c r="EA585" s="89"/>
      <c r="EB585" s="89"/>
      <c r="EC585" s="89"/>
      <c r="ED585" s="89"/>
      <c r="EE585" s="89"/>
      <c r="EF585" s="89"/>
      <c r="EG585" s="89"/>
      <c r="EH585" s="89"/>
      <c r="EI585" s="89"/>
      <c r="EJ585" s="89"/>
      <c r="EK585" s="91"/>
      <c r="EL585" s="66"/>
      <c r="EM585" s="94"/>
      <c r="EN585" s="94"/>
      <c r="EO585" s="92"/>
      <c r="EP585" s="93"/>
      <c r="EQ585" s="23"/>
      <c r="ER585" s="94"/>
      <c r="ES585" s="94"/>
      <c r="ET585" s="94"/>
      <c r="EU585" s="94"/>
      <c r="EV585" s="95"/>
      <c r="EW585" s="91"/>
      <c r="EX585" s="95"/>
      <c r="EY585" s="8"/>
      <c r="EZ585" s="96"/>
      <c r="FA585" s="91"/>
      <c r="FB585" s="97"/>
      <c r="FC585" s="8"/>
      <c r="FD585" s="91"/>
      <c r="FE585" s="98"/>
      <c r="FF585" s="5"/>
    </row>
    <row r="586" spans="37:162">
      <c r="AK586" s="89"/>
      <c r="AL586" s="8"/>
      <c r="AM586" s="8"/>
      <c r="AN586" s="8"/>
      <c r="AO586" s="8"/>
      <c r="AP586" s="8"/>
      <c r="AQ586" s="8"/>
      <c r="AR586" s="8"/>
      <c r="AZ586" s="45"/>
      <c r="BA586" s="89"/>
      <c r="BB586" s="89"/>
      <c r="BC586" s="89"/>
      <c r="BD586" s="89"/>
      <c r="BE586" s="89"/>
      <c r="BF586" s="89"/>
      <c r="BG586" s="89"/>
      <c r="BH586" s="89"/>
      <c r="BI586" s="89"/>
      <c r="BJ586" s="89"/>
      <c r="BK586" s="91"/>
      <c r="BL586" s="66"/>
      <c r="BM586" s="94"/>
      <c r="BN586" s="94"/>
      <c r="BO586" s="92"/>
      <c r="BP586" s="93"/>
      <c r="BQ586" s="23"/>
      <c r="BR586" s="94"/>
      <c r="BS586" s="94"/>
      <c r="BT586" s="94"/>
      <c r="BU586" s="94"/>
      <c r="BV586" s="95"/>
      <c r="BW586" s="91"/>
      <c r="BX586" s="95"/>
      <c r="BY586" s="8"/>
      <c r="BZ586" s="96"/>
      <c r="CA586" s="91"/>
      <c r="CB586" s="97"/>
      <c r="CC586" s="8"/>
      <c r="CD586" s="91"/>
      <c r="CE586" s="98"/>
      <c r="CF586" s="5"/>
      <c r="DK586" s="89"/>
      <c r="DL586" s="8"/>
      <c r="DM586" s="8"/>
      <c r="DN586" s="8"/>
      <c r="DO586" s="8"/>
      <c r="DP586" s="8"/>
      <c r="DQ586" s="8"/>
      <c r="DR586" s="8"/>
      <c r="DZ586" s="45"/>
      <c r="EA586" s="89"/>
      <c r="EB586" s="89"/>
      <c r="EC586" s="89"/>
      <c r="ED586" s="89"/>
      <c r="EE586" s="89"/>
      <c r="EF586" s="89"/>
      <c r="EG586" s="89"/>
      <c r="EH586" s="89"/>
      <c r="EI586" s="89"/>
      <c r="EJ586" s="89"/>
      <c r="EK586" s="91"/>
      <c r="EL586" s="66"/>
      <c r="EM586" s="94"/>
      <c r="EN586" s="94"/>
      <c r="EO586" s="92"/>
      <c r="EP586" s="93"/>
      <c r="EQ586" s="23"/>
      <c r="ER586" s="94"/>
      <c r="ES586" s="94"/>
      <c r="ET586" s="94"/>
      <c r="EU586" s="94"/>
      <c r="EV586" s="95"/>
      <c r="EW586" s="91"/>
      <c r="EX586" s="95"/>
      <c r="EY586" s="8"/>
      <c r="EZ586" s="96"/>
      <c r="FA586" s="91"/>
      <c r="FB586" s="97"/>
      <c r="FC586" s="8"/>
      <c r="FD586" s="91"/>
      <c r="FE586" s="98"/>
      <c r="FF586" s="5"/>
    </row>
    <row r="587" spans="37:162">
      <c r="AK587" s="89"/>
      <c r="AL587" s="8"/>
      <c r="AM587" s="8"/>
      <c r="AN587" s="8"/>
      <c r="AO587" s="8"/>
      <c r="AP587" s="8"/>
      <c r="AQ587" s="8"/>
      <c r="AR587" s="8"/>
      <c r="AZ587" s="45"/>
      <c r="BA587" s="89"/>
      <c r="BB587" s="89"/>
      <c r="BC587" s="89"/>
      <c r="BD587" s="89"/>
      <c r="BE587" s="89"/>
      <c r="BF587" s="89"/>
      <c r="BG587" s="89"/>
      <c r="BH587" s="89"/>
      <c r="BI587" s="89"/>
      <c r="BJ587" s="89"/>
      <c r="BK587" s="91"/>
      <c r="BL587" s="66"/>
      <c r="BM587" s="94"/>
      <c r="BN587" s="94"/>
      <c r="BO587" s="92"/>
      <c r="BP587" s="93"/>
      <c r="BQ587" s="23"/>
      <c r="BR587" s="94"/>
      <c r="BS587" s="94"/>
      <c r="BT587" s="94"/>
      <c r="BU587" s="94"/>
      <c r="BV587" s="95"/>
      <c r="BW587" s="91"/>
      <c r="BX587" s="95"/>
      <c r="BY587" s="8"/>
      <c r="BZ587" s="96"/>
      <c r="CA587" s="91"/>
      <c r="CB587" s="97"/>
      <c r="CC587" s="8"/>
      <c r="CD587" s="91"/>
      <c r="CE587" s="98"/>
      <c r="CF587" s="5"/>
      <c r="DK587" s="89"/>
      <c r="DL587" s="8"/>
      <c r="DM587" s="8"/>
      <c r="DN587" s="8"/>
      <c r="DO587" s="8"/>
      <c r="DP587" s="8"/>
      <c r="DQ587" s="8"/>
      <c r="DR587" s="8"/>
      <c r="DZ587" s="45"/>
      <c r="EA587" s="89"/>
      <c r="EB587" s="89"/>
      <c r="EC587" s="89"/>
      <c r="ED587" s="89"/>
      <c r="EE587" s="89"/>
      <c r="EF587" s="89"/>
      <c r="EG587" s="89"/>
      <c r="EH587" s="89"/>
      <c r="EI587" s="89"/>
      <c r="EJ587" s="89"/>
      <c r="EK587" s="91"/>
      <c r="EL587" s="66"/>
      <c r="EM587" s="94"/>
      <c r="EN587" s="94"/>
      <c r="EO587" s="92"/>
      <c r="EP587" s="93"/>
      <c r="EQ587" s="23"/>
      <c r="ER587" s="94"/>
      <c r="ES587" s="94"/>
      <c r="ET587" s="94"/>
      <c r="EU587" s="94"/>
      <c r="EV587" s="95"/>
      <c r="EW587" s="91"/>
      <c r="EX587" s="95"/>
      <c r="EY587" s="8"/>
      <c r="EZ587" s="96"/>
      <c r="FA587" s="91"/>
      <c r="FB587" s="97"/>
      <c r="FC587" s="8"/>
      <c r="FD587" s="91"/>
      <c r="FE587" s="98"/>
      <c r="FF587" s="5"/>
    </row>
    <row r="588" spans="37:162">
      <c r="AK588" s="89"/>
      <c r="AL588" s="8"/>
      <c r="AM588" s="8"/>
      <c r="AN588" s="8"/>
      <c r="AO588" s="8"/>
      <c r="AP588" s="8"/>
      <c r="AQ588" s="8"/>
      <c r="AR588" s="8"/>
      <c r="AZ588" s="45"/>
      <c r="BA588" s="89"/>
      <c r="BB588" s="89"/>
      <c r="BC588" s="89"/>
      <c r="BD588" s="89"/>
      <c r="BE588" s="89"/>
      <c r="BF588" s="89"/>
      <c r="BG588" s="89"/>
      <c r="BH588" s="89"/>
      <c r="BI588" s="89"/>
      <c r="BJ588" s="89"/>
      <c r="BK588" s="91"/>
      <c r="BL588" s="66"/>
      <c r="BM588" s="94"/>
      <c r="BN588" s="94"/>
      <c r="BO588" s="92"/>
      <c r="BP588" s="93"/>
      <c r="BQ588" s="23"/>
      <c r="BR588" s="94"/>
      <c r="BS588" s="94"/>
      <c r="BT588" s="94"/>
      <c r="BU588" s="94"/>
      <c r="BV588" s="95"/>
      <c r="BW588" s="91"/>
      <c r="BX588" s="95"/>
      <c r="BY588" s="8"/>
      <c r="BZ588" s="96"/>
      <c r="CA588" s="91"/>
      <c r="CB588" s="97"/>
      <c r="CC588" s="8"/>
      <c r="CD588" s="91"/>
      <c r="CE588" s="98"/>
      <c r="CF588" s="5"/>
      <c r="DK588" s="89"/>
      <c r="DL588" s="8"/>
      <c r="DM588" s="8"/>
      <c r="DN588" s="8"/>
      <c r="DO588" s="8"/>
      <c r="DP588" s="8"/>
      <c r="DQ588" s="8"/>
      <c r="DR588" s="8"/>
      <c r="DZ588" s="45"/>
      <c r="EA588" s="89"/>
      <c r="EB588" s="89"/>
      <c r="EC588" s="89"/>
      <c r="ED588" s="89"/>
      <c r="EE588" s="89"/>
      <c r="EF588" s="89"/>
      <c r="EG588" s="89"/>
      <c r="EH588" s="89"/>
      <c r="EI588" s="89"/>
      <c r="EJ588" s="89"/>
      <c r="EK588" s="91"/>
      <c r="EL588" s="66"/>
      <c r="EM588" s="94"/>
      <c r="EN588" s="94"/>
      <c r="EO588" s="92"/>
      <c r="EP588" s="93"/>
      <c r="EQ588" s="23"/>
      <c r="ER588" s="94"/>
      <c r="ES588" s="94"/>
      <c r="ET588" s="94"/>
      <c r="EU588" s="94"/>
      <c r="EV588" s="95"/>
      <c r="EW588" s="91"/>
      <c r="EX588" s="95"/>
      <c r="EY588" s="8"/>
      <c r="EZ588" s="96"/>
      <c r="FA588" s="91"/>
      <c r="FB588" s="97"/>
      <c r="FC588" s="8"/>
      <c r="FD588" s="91"/>
      <c r="FE588" s="98"/>
      <c r="FF588" s="5"/>
    </row>
    <row r="589" spans="37:162">
      <c r="AK589" s="89"/>
      <c r="AL589" s="8"/>
      <c r="AM589" s="8"/>
      <c r="AN589" s="8"/>
      <c r="AO589" s="8"/>
      <c r="AP589" s="8"/>
      <c r="AQ589" s="8"/>
      <c r="AR589" s="8"/>
      <c r="AZ589" s="45"/>
      <c r="BA589" s="89"/>
      <c r="BB589" s="89"/>
      <c r="BC589" s="89"/>
      <c r="BD589" s="89"/>
      <c r="BE589" s="89"/>
      <c r="BF589" s="89"/>
      <c r="BG589" s="89"/>
      <c r="BH589" s="89"/>
      <c r="BI589" s="89"/>
      <c r="BJ589" s="89"/>
      <c r="BK589" s="91"/>
      <c r="BL589" s="66"/>
      <c r="BM589" s="94"/>
      <c r="BN589" s="94"/>
      <c r="BO589" s="92"/>
      <c r="BP589" s="93"/>
      <c r="BQ589" s="23"/>
      <c r="BR589" s="94"/>
      <c r="BS589" s="94"/>
      <c r="BT589" s="94"/>
      <c r="BU589" s="94"/>
      <c r="BV589" s="95"/>
      <c r="BW589" s="91"/>
      <c r="BX589" s="95"/>
      <c r="BY589" s="8"/>
      <c r="BZ589" s="96"/>
      <c r="CA589" s="91"/>
      <c r="CB589" s="97"/>
      <c r="CC589" s="8"/>
      <c r="CD589" s="91"/>
      <c r="CE589" s="98"/>
      <c r="CF589" s="5"/>
      <c r="DK589" s="89"/>
      <c r="DL589" s="8"/>
      <c r="DM589" s="8"/>
      <c r="DN589" s="8"/>
      <c r="DO589" s="8"/>
      <c r="DP589" s="8"/>
      <c r="DQ589" s="8"/>
      <c r="DR589" s="8"/>
      <c r="DZ589" s="45"/>
      <c r="EA589" s="89"/>
      <c r="EB589" s="89"/>
      <c r="EC589" s="89"/>
      <c r="ED589" s="89"/>
      <c r="EE589" s="89"/>
      <c r="EF589" s="89"/>
      <c r="EG589" s="89"/>
      <c r="EH589" s="89"/>
      <c r="EI589" s="89"/>
      <c r="EJ589" s="89"/>
      <c r="EK589" s="91"/>
      <c r="EL589" s="66"/>
      <c r="EM589" s="94"/>
      <c r="EN589" s="94"/>
      <c r="EO589" s="92"/>
      <c r="EP589" s="93"/>
      <c r="EQ589" s="23"/>
      <c r="ER589" s="94"/>
      <c r="ES589" s="94"/>
      <c r="ET589" s="94"/>
      <c r="EU589" s="94"/>
      <c r="EV589" s="95"/>
      <c r="EW589" s="91"/>
      <c r="EX589" s="95"/>
      <c r="EY589" s="8"/>
      <c r="EZ589" s="96"/>
      <c r="FA589" s="91"/>
      <c r="FB589" s="97"/>
      <c r="FC589" s="8"/>
      <c r="FD589" s="91"/>
      <c r="FE589" s="98"/>
      <c r="FF589" s="5"/>
    </row>
    <row r="590" spans="37:162">
      <c r="AK590" s="89"/>
      <c r="AL590" s="8"/>
      <c r="AM590" s="8"/>
      <c r="AN590" s="8"/>
      <c r="AO590" s="8"/>
      <c r="AP590" s="8"/>
      <c r="AQ590" s="8"/>
      <c r="AR590" s="8"/>
      <c r="AZ590" s="45"/>
      <c r="BA590" s="89"/>
      <c r="BB590" s="89"/>
      <c r="BC590" s="89"/>
      <c r="BD590" s="89"/>
      <c r="BE590" s="89"/>
      <c r="BF590" s="89"/>
      <c r="BG590" s="89"/>
      <c r="BH590" s="89"/>
      <c r="BI590" s="89"/>
      <c r="BJ590" s="89"/>
      <c r="BK590" s="91"/>
      <c r="BL590" s="66"/>
      <c r="BM590" s="94"/>
      <c r="BN590" s="94"/>
      <c r="BO590" s="92"/>
      <c r="BP590" s="93"/>
      <c r="BQ590" s="23"/>
      <c r="BR590" s="94"/>
      <c r="BS590" s="94"/>
      <c r="BT590" s="94"/>
      <c r="BU590" s="94"/>
      <c r="BV590" s="95"/>
      <c r="BW590" s="91"/>
      <c r="BX590" s="95"/>
      <c r="BY590" s="8"/>
      <c r="BZ590" s="96"/>
      <c r="CA590" s="91"/>
      <c r="CB590" s="97"/>
      <c r="CC590" s="8"/>
      <c r="CD590" s="91"/>
      <c r="CE590" s="98"/>
      <c r="CF590" s="5"/>
      <c r="DK590" s="89"/>
      <c r="DL590" s="8"/>
      <c r="DM590" s="8"/>
      <c r="DN590" s="8"/>
      <c r="DO590" s="8"/>
      <c r="DP590" s="8"/>
      <c r="DQ590" s="8"/>
      <c r="DR590" s="8"/>
      <c r="DZ590" s="45"/>
      <c r="EA590" s="89"/>
      <c r="EB590" s="89"/>
      <c r="EC590" s="89"/>
      <c r="ED590" s="89"/>
      <c r="EE590" s="89"/>
      <c r="EF590" s="89"/>
      <c r="EG590" s="89"/>
      <c r="EH590" s="89"/>
      <c r="EI590" s="89"/>
      <c r="EJ590" s="89"/>
      <c r="EK590" s="91"/>
      <c r="EL590" s="66"/>
      <c r="EM590" s="94"/>
      <c r="EN590" s="94"/>
      <c r="EO590" s="92"/>
      <c r="EP590" s="93"/>
      <c r="EQ590" s="23"/>
      <c r="ER590" s="94"/>
      <c r="ES590" s="94"/>
      <c r="ET590" s="94"/>
      <c r="EU590" s="94"/>
      <c r="EV590" s="95"/>
      <c r="EW590" s="91"/>
      <c r="EX590" s="95"/>
      <c r="EY590" s="8"/>
      <c r="EZ590" s="96"/>
      <c r="FA590" s="91"/>
      <c r="FB590" s="97"/>
      <c r="FC590" s="8"/>
      <c r="FD590" s="91"/>
      <c r="FE590" s="98"/>
      <c r="FF590" s="5"/>
    </row>
    <row r="591" spans="37:162">
      <c r="AK591" s="89"/>
      <c r="AL591" s="8"/>
      <c r="AM591" s="8"/>
      <c r="AN591" s="8"/>
      <c r="AO591" s="8"/>
      <c r="AP591" s="8"/>
      <c r="AQ591" s="8"/>
      <c r="AR591" s="8"/>
      <c r="AZ591" s="45"/>
      <c r="BA591" s="89"/>
      <c r="BB591" s="89"/>
      <c r="BC591" s="89"/>
      <c r="BD591" s="89"/>
      <c r="BE591" s="89"/>
      <c r="BF591" s="89"/>
      <c r="BG591" s="89"/>
      <c r="BH591" s="89"/>
      <c r="BI591" s="89"/>
      <c r="BJ591" s="89"/>
      <c r="BK591" s="91"/>
      <c r="BL591" s="66"/>
      <c r="BM591" s="94"/>
      <c r="BN591" s="94"/>
      <c r="BO591" s="92"/>
      <c r="BP591" s="93"/>
      <c r="BQ591" s="23"/>
      <c r="BR591" s="94"/>
      <c r="BS591" s="94"/>
      <c r="BT591" s="94"/>
      <c r="BU591" s="94"/>
      <c r="BV591" s="95"/>
      <c r="BW591" s="91"/>
      <c r="BX591" s="95"/>
      <c r="BY591" s="8"/>
      <c r="BZ591" s="96"/>
      <c r="CA591" s="91"/>
      <c r="CB591" s="97"/>
      <c r="CC591" s="8"/>
      <c r="CD591" s="91"/>
      <c r="CE591" s="98"/>
      <c r="CF591" s="5"/>
      <c r="DK591" s="89"/>
      <c r="DL591" s="8"/>
      <c r="DM591" s="8"/>
      <c r="DN591" s="8"/>
      <c r="DO591" s="8"/>
      <c r="DP591" s="8"/>
      <c r="DQ591" s="8"/>
      <c r="DR591" s="8"/>
      <c r="DZ591" s="45"/>
      <c r="EA591" s="89"/>
      <c r="EB591" s="89"/>
      <c r="EC591" s="89"/>
      <c r="ED591" s="89"/>
      <c r="EE591" s="89"/>
      <c r="EF591" s="89"/>
      <c r="EG591" s="89"/>
      <c r="EH591" s="89"/>
      <c r="EI591" s="89"/>
      <c r="EJ591" s="89"/>
      <c r="EK591" s="91"/>
      <c r="EL591" s="66"/>
      <c r="EM591" s="94"/>
      <c r="EN591" s="94"/>
      <c r="EO591" s="92"/>
      <c r="EP591" s="93"/>
      <c r="EQ591" s="23"/>
      <c r="ER591" s="94"/>
      <c r="ES591" s="94"/>
      <c r="ET591" s="94"/>
      <c r="EU591" s="94"/>
      <c r="EV591" s="95"/>
      <c r="EW591" s="91"/>
      <c r="EX591" s="95"/>
      <c r="EY591" s="8"/>
      <c r="EZ591" s="96"/>
      <c r="FA591" s="91"/>
      <c r="FB591" s="97"/>
      <c r="FC591" s="8"/>
      <c r="FD591" s="91"/>
      <c r="FE591" s="98"/>
      <c r="FF591" s="5"/>
    </row>
    <row r="592" spans="37:162">
      <c r="AK592" s="89"/>
      <c r="AL592" s="8"/>
      <c r="AM592" s="8"/>
      <c r="AN592" s="8"/>
      <c r="AO592" s="8"/>
      <c r="AP592" s="8"/>
      <c r="AQ592" s="8"/>
      <c r="AR592" s="8"/>
      <c r="AZ592" s="45"/>
      <c r="BA592" s="89"/>
      <c r="BB592" s="89"/>
      <c r="BC592" s="89"/>
      <c r="BD592" s="89"/>
      <c r="BE592" s="89"/>
      <c r="BF592" s="89"/>
      <c r="BG592" s="89"/>
      <c r="BH592" s="89"/>
      <c r="BI592" s="89"/>
      <c r="BJ592" s="89"/>
      <c r="BK592" s="91"/>
      <c r="BL592" s="66"/>
      <c r="BM592" s="94"/>
      <c r="BN592" s="94"/>
      <c r="BO592" s="92"/>
      <c r="BP592" s="93"/>
      <c r="BQ592" s="23"/>
      <c r="BR592" s="94"/>
      <c r="BS592" s="94"/>
      <c r="BT592" s="94"/>
      <c r="BU592" s="94"/>
      <c r="BV592" s="95"/>
      <c r="BW592" s="91"/>
      <c r="BX592" s="95"/>
      <c r="BY592" s="8"/>
      <c r="BZ592" s="96"/>
      <c r="CA592" s="91"/>
      <c r="CB592" s="97"/>
      <c r="CC592" s="8"/>
      <c r="CD592" s="91"/>
      <c r="CE592" s="98"/>
      <c r="CF592" s="5"/>
      <c r="DK592" s="89"/>
      <c r="DL592" s="8"/>
      <c r="DM592" s="8"/>
      <c r="DN592" s="8"/>
      <c r="DO592" s="8"/>
      <c r="DP592" s="8"/>
      <c r="DQ592" s="8"/>
      <c r="DR592" s="8"/>
      <c r="DZ592" s="45"/>
      <c r="EA592" s="89"/>
      <c r="EB592" s="89"/>
      <c r="EC592" s="89"/>
      <c r="ED592" s="89"/>
      <c r="EE592" s="89"/>
      <c r="EF592" s="89"/>
      <c r="EG592" s="89"/>
      <c r="EH592" s="89"/>
      <c r="EI592" s="89"/>
      <c r="EJ592" s="89"/>
      <c r="EK592" s="91"/>
      <c r="EL592" s="66"/>
      <c r="EM592" s="94"/>
      <c r="EN592" s="94"/>
      <c r="EO592" s="92"/>
      <c r="EP592" s="93"/>
      <c r="EQ592" s="23"/>
      <c r="ER592" s="94"/>
      <c r="ES592" s="94"/>
      <c r="ET592" s="94"/>
      <c r="EU592" s="94"/>
      <c r="EV592" s="95"/>
      <c r="EW592" s="91"/>
      <c r="EX592" s="95"/>
      <c r="EY592" s="8"/>
      <c r="EZ592" s="96"/>
      <c r="FA592" s="91"/>
      <c r="FB592" s="97"/>
      <c r="FC592" s="8"/>
      <c r="FD592" s="91"/>
      <c r="FE592" s="98"/>
      <c r="FF592" s="5"/>
    </row>
    <row r="593" spans="37:162">
      <c r="AK593" s="89"/>
      <c r="AL593" s="8"/>
      <c r="AM593" s="8"/>
      <c r="AN593" s="8"/>
      <c r="AO593" s="8"/>
      <c r="AP593" s="8"/>
      <c r="AQ593" s="8"/>
      <c r="AR593" s="8"/>
      <c r="AZ593" s="45"/>
      <c r="BA593" s="89"/>
      <c r="BB593" s="89"/>
      <c r="BC593" s="89"/>
      <c r="BD593" s="89"/>
      <c r="BE593" s="89"/>
      <c r="BF593" s="89"/>
      <c r="BG593" s="89"/>
      <c r="BH593" s="89"/>
      <c r="BI593" s="89"/>
      <c r="BJ593" s="89"/>
      <c r="BK593" s="91"/>
      <c r="BL593" s="66"/>
      <c r="BM593" s="94"/>
      <c r="BN593" s="94"/>
      <c r="BO593" s="92"/>
      <c r="BP593" s="93"/>
      <c r="BQ593" s="23"/>
      <c r="BR593" s="94"/>
      <c r="BS593" s="94"/>
      <c r="BT593" s="94"/>
      <c r="BU593" s="94"/>
      <c r="BV593" s="95"/>
      <c r="BW593" s="91"/>
      <c r="BX593" s="95"/>
      <c r="BY593" s="8"/>
      <c r="BZ593" s="96"/>
      <c r="CA593" s="91"/>
      <c r="CB593" s="97"/>
      <c r="CC593" s="8"/>
      <c r="CD593" s="91"/>
      <c r="CE593" s="98"/>
      <c r="CF593" s="5"/>
      <c r="DK593" s="89"/>
      <c r="DL593" s="8"/>
      <c r="DM593" s="8"/>
      <c r="DN593" s="8"/>
      <c r="DO593" s="8"/>
      <c r="DP593" s="8"/>
      <c r="DQ593" s="8"/>
      <c r="DR593" s="8"/>
      <c r="DZ593" s="45"/>
      <c r="EA593" s="89"/>
      <c r="EB593" s="89"/>
      <c r="EC593" s="89"/>
      <c r="ED593" s="89"/>
      <c r="EE593" s="89"/>
      <c r="EF593" s="89"/>
      <c r="EG593" s="89"/>
      <c r="EH593" s="89"/>
      <c r="EI593" s="89"/>
      <c r="EJ593" s="89"/>
      <c r="EK593" s="91"/>
      <c r="EL593" s="66"/>
      <c r="EM593" s="94"/>
      <c r="EN593" s="94"/>
      <c r="EO593" s="92"/>
      <c r="EP593" s="93"/>
      <c r="EQ593" s="23"/>
      <c r="ER593" s="94"/>
      <c r="ES593" s="94"/>
      <c r="ET593" s="94"/>
      <c r="EU593" s="94"/>
      <c r="EV593" s="95"/>
      <c r="EW593" s="91"/>
      <c r="EX593" s="95"/>
      <c r="EY593" s="8"/>
      <c r="EZ593" s="96"/>
      <c r="FA593" s="91"/>
      <c r="FB593" s="97"/>
      <c r="FC593" s="8"/>
      <c r="FD593" s="91"/>
      <c r="FE593" s="98"/>
      <c r="FF593" s="5"/>
    </row>
    <row r="594" spans="37:162">
      <c r="AK594" s="89"/>
      <c r="AL594" s="8"/>
      <c r="AM594" s="8"/>
      <c r="AN594" s="8"/>
      <c r="AO594" s="8"/>
      <c r="AP594" s="8"/>
      <c r="AQ594" s="8"/>
      <c r="AR594" s="8"/>
      <c r="AZ594" s="45"/>
      <c r="BA594" s="89"/>
      <c r="BB594" s="89"/>
      <c r="BC594" s="89"/>
      <c r="BD594" s="89"/>
      <c r="BE594" s="89"/>
      <c r="BF594" s="89"/>
      <c r="BG594" s="89"/>
      <c r="BH594" s="89"/>
      <c r="BI594" s="89"/>
      <c r="BJ594" s="89"/>
      <c r="BK594" s="91"/>
      <c r="BL594" s="66"/>
      <c r="BM594" s="94"/>
      <c r="BN594" s="94"/>
      <c r="BO594" s="92"/>
      <c r="BP594" s="93"/>
      <c r="BQ594" s="23"/>
      <c r="BR594" s="94"/>
      <c r="BS594" s="94"/>
      <c r="BT594" s="94"/>
      <c r="BU594" s="94"/>
      <c r="BV594" s="95"/>
      <c r="BW594" s="91"/>
      <c r="BX594" s="95"/>
      <c r="BY594" s="8"/>
      <c r="BZ594" s="96"/>
      <c r="CA594" s="91"/>
      <c r="CB594" s="97"/>
      <c r="CC594" s="8"/>
      <c r="CD594" s="91"/>
      <c r="CE594" s="98"/>
      <c r="CF594" s="5"/>
      <c r="DK594" s="89"/>
      <c r="DL594" s="8"/>
      <c r="DM594" s="8"/>
      <c r="DN594" s="8"/>
      <c r="DO594" s="8"/>
      <c r="DP594" s="8"/>
      <c r="DQ594" s="8"/>
      <c r="DR594" s="8"/>
      <c r="DZ594" s="45"/>
      <c r="EA594" s="89"/>
      <c r="EB594" s="89"/>
      <c r="EC594" s="89"/>
      <c r="ED594" s="89"/>
      <c r="EE594" s="89"/>
      <c r="EF594" s="89"/>
      <c r="EG594" s="89"/>
      <c r="EH594" s="89"/>
      <c r="EI594" s="89"/>
      <c r="EJ594" s="89"/>
      <c r="EK594" s="91"/>
      <c r="EL594" s="66"/>
      <c r="EM594" s="94"/>
      <c r="EN594" s="94"/>
      <c r="EO594" s="92"/>
      <c r="EP594" s="93"/>
      <c r="EQ594" s="23"/>
      <c r="ER594" s="94"/>
      <c r="ES594" s="94"/>
      <c r="ET594" s="94"/>
      <c r="EU594" s="94"/>
      <c r="EV594" s="95"/>
      <c r="EW594" s="91"/>
      <c r="EX594" s="95"/>
      <c r="EY594" s="8"/>
      <c r="EZ594" s="96"/>
      <c r="FA594" s="91"/>
      <c r="FB594" s="97"/>
      <c r="FC594" s="8"/>
      <c r="FD594" s="91"/>
      <c r="FE594" s="98"/>
      <c r="FF594" s="5"/>
    </row>
    <row r="595" spans="37:162">
      <c r="AK595" s="89"/>
      <c r="AL595" s="8"/>
      <c r="AM595" s="8"/>
      <c r="AN595" s="8"/>
      <c r="AO595" s="8"/>
      <c r="AP595" s="8"/>
      <c r="AQ595" s="8"/>
      <c r="AR595" s="8"/>
      <c r="AZ595" s="45"/>
      <c r="BA595" s="89"/>
      <c r="BB595" s="89"/>
      <c r="BC595" s="89"/>
      <c r="BD595" s="89"/>
      <c r="BE595" s="89"/>
      <c r="BF595" s="89"/>
      <c r="BG595" s="89"/>
      <c r="BH595" s="89"/>
      <c r="BI595" s="89"/>
      <c r="BJ595" s="89"/>
      <c r="BK595" s="91"/>
      <c r="BL595" s="66"/>
      <c r="BM595" s="94"/>
      <c r="BN595" s="94"/>
      <c r="BO595" s="92"/>
      <c r="BP595" s="93"/>
      <c r="BQ595" s="23"/>
      <c r="BR595" s="94"/>
      <c r="BS595" s="94"/>
      <c r="BT595" s="94"/>
      <c r="BU595" s="94"/>
      <c r="BV595" s="95"/>
      <c r="BW595" s="91"/>
      <c r="BX595" s="95"/>
      <c r="BY595" s="8"/>
      <c r="BZ595" s="96"/>
      <c r="CA595" s="91"/>
      <c r="CB595" s="97"/>
      <c r="CC595" s="8"/>
      <c r="CD595" s="91"/>
      <c r="CE595" s="98"/>
      <c r="CF595" s="5"/>
      <c r="DK595" s="89"/>
      <c r="DL595" s="8"/>
      <c r="DM595" s="8"/>
      <c r="DN595" s="8"/>
      <c r="DO595" s="8"/>
      <c r="DP595" s="8"/>
      <c r="DQ595" s="8"/>
      <c r="DR595" s="8"/>
      <c r="DZ595" s="45"/>
      <c r="EA595" s="89"/>
      <c r="EB595" s="89"/>
      <c r="EC595" s="89"/>
      <c r="ED595" s="89"/>
      <c r="EE595" s="89"/>
      <c r="EF595" s="89"/>
      <c r="EG595" s="89"/>
      <c r="EH595" s="89"/>
      <c r="EI595" s="89"/>
      <c r="EJ595" s="89"/>
      <c r="EK595" s="91"/>
      <c r="EL595" s="66"/>
      <c r="EM595" s="94"/>
      <c r="EN595" s="94"/>
      <c r="EO595" s="92"/>
      <c r="EP595" s="93"/>
      <c r="EQ595" s="23"/>
      <c r="ER595" s="94"/>
      <c r="ES595" s="94"/>
      <c r="ET595" s="94"/>
      <c r="EU595" s="94"/>
      <c r="EV595" s="95"/>
      <c r="EW595" s="91"/>
      <c r="EX595" s="95"/>
      <c r="EY595" s="8"/>
      <c r="EZ595" s="96"/>
      <c r="FA595" s="91"/>
      <c r="FB595" s="97"/>
      <c r="FC595" s="8"/>
      <c r="FD595" s="91"/>
      <c r="FE595" s="98"/>
      <c r="FF595" s="5"/>
    </row>
    <row r="596" spans="37:162">
      <c r="AK596" s="89"/>
      <c r="AL596" s="8"/>
      <c r="AM596" s="8"/>
      <c r="AN596" s="8"/>
      <c r="AO596" s="8"/>
      <c r="AP596" s="8"/>
      <c r="AQ596" s="8"/>
      <c r="AR596" s="8"/>
      <c r="AZ596" s="45"/>
      <c r="BA596" s="89"/>
      <c r="BB596" s="89"/>
      <c r="BC596" s="89"/>
      <c r="BD596" s="89"/>
      <c r="BE596" s="89"/>
      <c r="BF596" s="89"/>
      <c r="BG596" s="89"/>
      <c r="BH596" s="89"/>
      <c r="BI596" s="89"/>
      <c r="BJ596" s="89"/>
      <c r="BK596" s="91"/>
      <c r="BL596" s="66"/>
      <c r="BM596" s="94"/>
      <c r="BN596" s="94"/>
      <c r="BO596" s="92"/>
      <c r="BP596" s="93"/>
      <c r="BQ596" s="23"/>
      <c r="BR596" s="94"/>
      <c r="BS596" s="94"/>
      <c r="BT596" s="94"/>
      <c r="BU596" s="94"/>
      <c r="BV596" s="95"/>
      <c r="BW596" s="91"/>
      <c r="BX596" s="95"/>
      <c r="BY596" s="8"/>
      <c r="BZ596" s="96"/>
      <c r="CA596" s="91"/>
      <c r="CB596" s="97"/>
      <c r="CC596" s="8"/>
      <c r="CD596" s="91"/>
      <c r="CE596" s="98"/>
      <c r="CF596" s="5"/>
      <c r="DK596" s="89"/>
      <c r="DL596" s="8"/>
      <c r="DM596" s="8"/>
      <c r="DN596" s="8"/>
      <c r="DO596" s="8"/>
      <c r="DP596" s="8"/>
      <c r="DQ596" s="8"/>
      <c r="DR596" s="8"/>
      <c r="DZ596" s="45"/>
      <c r="EA596" s="89"/>
      <c r="EB596" s="89"/>
      <c r="EC596" s="89"/>
      <c r="ED596" s="89"/>
      <c r="EE596" s="89"/>
      <c r="EF596" s="89"/>
      <c r="EG596" s="89"/>
      <c r="EH596" s="89"/>
      <c r="EI596" s="89"/>
      <c r="EJ596" s="89"/>
      <c r="EK596" s="91"/>
      <c r="EL596" s="66"/>
      <c r="EM596" s="94"/>
      <c r="EN596" s="94"/>
      <c r="EO596" s="92"/>
      <c r="EP596" s="93"/>
      <c r="EQ596" s="23"/>
      <c r="ER596" s="94"/>
      <c r="ES596" s="94"/>
      <c r="ET596" s="94"/>
      <c r="EU596" s="94"/>
      <c r="EV596" s="95"/>
      <c r="EW596" s="91"/>
      <c r="EX596" s="95"/>
      <c r="EY596" s="8"/>
      <c r="EZ596" s="96"/>
      <c r="FA596" s="91"/>
      <c r="FB596" s="97"/>
      <c r="FC596" s="8"/>
      <c r="FD596" s="91"/>
      <c r="FE596" s="98"/>
      <c r="FF596" s="5"/>
    </row>
    <row r="597" spans="37:162">
      <c r="AK597" s="89"/>
      <c r="AL597" s="8"/>
      <c r="AM597" s="8"/>
      <c r="AN597" s="8"/>
      <c r="AO597" s="8"/>
      <c r="AP597" s="8"/>
      <c r="AQ597" s="8"/>
      <c r="AR597" s="8"/>
      <c r="AZ597" s="45"/>
      <c r="BA597" s="89"/>
      <c r="BB597" s="89"/>
      <c r="BC597" s="89"/>
      <c r="BD597" s="89"/>
      <c r="BE597" s="89"/>
      <c r="BF597" s="89"/>
      <c r="BG597" s="89"/>
      <c r="BH597" s="89"/>
      <c r="BI597" s="89"/>
      <c r="BJ597" s="89"/>
      <c r="BK597" s="91"/>
      <c r="BL597" s="66"/>
      <c r="BM597" s="94"/>
      <c r="BN597" s="94"/>
      <c r="BO597" s="92"/>
      <c r="BP597" s="93"/>
      <c r="BQ597" s="23"/>
      <c r="BR597" s="94"/>
      <c r="BS597" s="94"/>
      <c r="BT597" s="94"/>
      <c r="BU597" s="94"/>
      <c r="BV597" s="95"/>
      <c r="BW597" s="91"/>
      <c r="BX597" s="95"/>
      <c r="BY597" s="8"/>
      <c r="BZ597" s="96"/>
      <c r="CA597" s="91"/>
      <c r="CB597" s="97"/>
      <c r="CC597" s="8"/>
      <c r="CD597" s="91"/>
      <c r="CE597" s="98"/>
      <c r="CF597" s="5"/>
      <c r="DK597" s="89"/>
      <c r="DL597" s="8"/>
      <c r="DM597" s="8"/>
      <c r="DN597" s="8"/>
      <c r="DO597" s="8"/>
      <c r="DP597" s="8"/>
      <c r="DQ597" s="8"/>
      <c r="DR597" s="8"/>
      <c r="DZ597" s="45"/>
      <c r="EA597" s="89"/>
      <c r="EB597" s="89"/>
      <c r="EC597" s="89"/>
      <c r="ED597" s="89"/>
      <c r="EE597" s="89"/>
      <c r="EF597" s="89"/>
      <c r="EG597" s="89"/>
      <c r="EH597" s="89"/>
      <c r="EI597" s="89"/>
      <c r="EJ597" s="89"/>
      <c r="EK597" s="91"/>
      <c r="EL597" s="66"/>
      <c r="EM597" s="94"/>
      <c r="EN597" s="94"/>
      <c r="EO597" s="92"/>
      <c r="EP597" s="93"/>
      <c r="EQ597" s="23"/>
      <c r="ER597" s="94"/>
      <c r="ES597" s="94"/>
      <c r="ET597" s="94"/>
      <c r="EU597" s="94"/>
      <c r="EV597" s="95"/>
      <c r="EW597" s="91"/>
      <c r="EX597" s="95"/>
      <c r="EY597" s="8"/>
      <c r="EZ597" s="96"/>
      <c r="FA597" s="91"/>
      <c r="FB597" s="97"/>
      <c r="FC597" s="8"/>
      <c r="FD597" s="91"/>
      <c r="FE597" s="98"/>
      <c r="FF597" s="5"/>
    </row>
    <row r="598" spans="37:162">
      <c r="AK598" s="89"/>
      <c r="AL598" s="8"/>
      <c r="AM598" s="8"/>
      <c r="AN598" s="8"/>
      <c r="AO598" s="8"/>
      <c r="AP598" s="8"/>
      <c r="AQ598" s="8"/>
      <c r="AR598" s="8"/>
      <c r="AZ598" s="45"/>
      <c r="BA598" s="89"/>
      <c r="BB598" s="89"/>
      <c r="BC598" s="89"/>
      <c r="BD598" s="89"/>
      <c r="BE598" s="89"/>
      <c r="BF598" s="89"/>
      <c r="BG598" s="89"/>
      <c r="BH598" s="89"/>
      <c r="BI598" s="89"/>
      <c r="BJ598" s="89"/>
      <c r="BK598" s="91"/>
      <c r="BL598" s="66"/>
      <c r="BM598" s="94"/>
      <c r="BN598" s="94"/>
      <c r="BO598" s="92"/>
      <c r="BP598" s="93"/>
      <c r="BQ598" s="23"/>
      <c r="BR598" s="94"/>
      <c r="BS598" s="94"/>
      <c r="BT598" s="94"/>
      <c r="BU598" s="94"/>
      <c r="BV598" s="95"/>
      <c r="BW598" s="91"/>
      <c r="BX598" s="95"/>
      <c r="BY598" s="8"/>
      <c r="BZ598" s="96"/>
      <c r="CA598" s="91"/>
      <c r="CB598" s="97"/>
      <c r="CC598" s="8"/>
      <c r="CD598" s="91"/>
      <c r="CE598" s="98"/>
      <c r="CF598" s="5"/>
      <c r="DK598" s="89"/>
      <c r="DL598" s="8"/>
      <c r="DM598" s="8"/>
      <c r="DN598" s="8"/>
      <c r="DO598" s="8"/>
      <c r="DP598" s="8"/>
      <c r="DQ598" s="8"/>
      <c r="DR598" s="8"/>
      <c r="DZ598" s="45"/>
      <c r="EA598" s="89"/>
      <c r="EB598" s="89"/>
      <c r="EC598" s="89"/>
      <c r="ED598" s="89"/>
      <c r="EE598" s="89"/>
      <c r="EF598" s="89"/>
      <c r="EG598" s="89"/>
      <c r="EH598" s="89"/>
      <c r="EI598" s="89"/>
      <c r="EJ598" s="89"/>
      <c r="EK598" s="91"/>
      <c r="EL598" s="66"/>
      <c r="EM598" s="94"/>
      <c r="EN598" s="94"/>
      <c r="EO598" s="92"/>
      <c r="EP598" s="93"/>
      <c r="EQ598" s="23"/>
      <c r="ER598" s="94"/>
      <c r="ES598" s="94"/>
      <c r="ET598" s="94"/>
      <c r="EU598" s="94"/>
      <c r="EV598" s="95"/>
      <c r="EW598" s="91"/>
      <c r="EX598" s="95"/>
      <c r="EY598" s="8"/>
      <c r="EZ598" s="96"/>
      <c r="FA598" s="91"/>
      <c r="FB598" s="97"/>
      <c r="FC598" s="8"/>
      <c r="FD598" s="91"/>
      <c r="FE598" s="98"/>
      <c r="FF598" s="5"/>
    </row>
    <row r="599" spans="37:162">
      <c r="AK599" s="89"/>
      <c r="AL599" s="8"/>
      <c r="AM599" s="8"/>
      <c r="AN599" s="8"/>
      <c r="AO599" s="8"/>
      <c r="AP599" s="8"/>
      <c r="AQ599" s="8"/>
      <c r="AR599" s="8"/>
      <c r="AZ599" s="45"/>
      <c r="BA599" s="89"/>
      <c r="BB599" s="89"/>
      <c r="BC599" s="89"/>
      <c r="BD599" s="89"/>
      <c r="BE599" s="89"/>
      <c r="BF599" s="89"/>
      <c r="BG599" s="89"/>
      <c r="BH599" s="89"/>
      <c r="BI599" s="89"/>
      <c r="BJ599" s="89"/>
      <c r="BK599" s="91"/>
      <c r="BL599" s="66"/>
      <c r="BM599" s="94"/>
      <c r="BN599" s="94"/>
      <c r="BO599" s="92"/>
      <c r="BP599" s="93"/>
      <c r="BQ599" s="23"/>
      <c r="BR599" s="94"/>
      <c r="BS599" s="94"/>
      <c r="BT599" s="94"/>
      <c r="BU599" s="94"/>
      <c r="BV599" s="95"/>
      <c r="BW599" s="91"/>
      <c r="BX599" s="95"/>
      <c r="BY599" s="8"/>
      <c r="BZ599" s="96"/>
      <c r="CA599" s="91"/>
      <c r="CB599" s="97"/>
      <c r="CC599" s="8"/>
      <c r="CD599" s="91"/>
      <c r="CE599" s="98"/>
      <c r="CF599" s="5"/>
      <c r="DK599" s="89"/>
      <c r="DL599" s="8"/>
      <c r="DM599" s="8"/>
      <c r="DN599" s="8"/>
      <c r="DO599" s="8"/>
      <c r="DP599" s="8"/>
      <c r="DQ599" s="8"/>
      <c r="DR599" s="8"/>
      <c r="DZ599" s="45"/>
      <c r="EA599" s="89"/>
      <c r="EB599" s="89"/>
      <c r="EC599" s="89"/>
      <c r="ED599" s="89"/>
      <c r="EE599" s="89"/>
      <c r="EF599" s="89"/>
      <c r="EG599" s="89"/>
      <c r="EH599" s="89"/>
      <c r="EI599" s="89"/>
      <c r="EJ599" s="89"/>
      <c r="EK599" s="91"/>
      <c r="EL599" s="66"/>
      <c r="EM599" s="94"/>
      <c r="EN599" s="94"/>
      <c r="EO599" s="92"/>
      <c r="EP599" s="93"/>
      <c r="EQ599" s="23"/>
      <c r="ER599" s="94"/>
      <c r="ES599" s="94"/>
      <c r="ET599" s="94"/>
      <c r="EU599" s="94"/>
      <c r="EV599" s="95"/>
      <c r="EW599" s="91"/>
      <c r="EX599" s="95"/>
      <c r="EY599" s="8"/>
      <c r="EZ599" s="96"/>
      <c r="FA599" s="91"/>
      <c r="FB599" s="97"/>
      <c r="FC599" s="8"/>
      <c r="FD599" s="91"/>
      <c r="FE599" s="98"/>
      <c r="FF599" s="5"/>
    </row>
    <row r="600" spans="37:162">
      <c r="AK600" s="89"/>
      <c r="AL600" s="8"/>
      <c r="AM600" s="8"/>
      <c r="AN600" s="8"/>
      <c r="AO600" s="8"/>
      <c r="AP600" s="8"/>
      <c r="AQ600" s="8"/>
      <c r="AR600" s="8"/>
      <c r="AZ600" s="45"/>
      <c r="BA600" s="89"/>
      <c r="BB600" s="89"/>
      <c r="BC600" s="89"/>
      <c r="BD600" s="89"/>
      <c r="BE600" s="89"/>
      <c r="BF600" s="89"/>
      <c r="BG600" s="89"/>
      <c r="BH600" s="89"/>
      <c r="BI600" s="89"/>
      <c r="BJ600" s="89"/>
      <c r="BK600" s="91"/>
      <c r="BL600" s="66"/>
      <c r="BM600" s="94"/>
      <c r="BN600" s="94"/>
      <c r="BO600" s="92"/>
      <c r="BP600" s="93"/>
      <c r="BQ600" s="23"/>
      <c r="BR600" s="94"/>
      <c r="BS600" s="94"/>
      <c r="BT600" s="94"/>
      <c r="BU600" s="94"/>
      <c r="BV600" s="95"/>
      <c r="BW600" s="91"/>
      <c r="BX600" s="95"/>
      <c r="BY600" s="8"/>
      <c r="BZ600" s="96"/>
      <c r="CA600" s="91"/>
      <c r="CB600" s="97"/>
      <c r="CC600" s="8"/>
      <c r="CD600" s="91"/>
      <c r="CE600" s="98"/>
      <c r="CF600" s="5"/>
      <c r="DK600" s="89"/>
      <c r="DL600" s="8"/>
      <c r="DM600" s="8"/>
      <c r="DN600" s="8"/>
      <c r="DO600" s="8"/>
      <c r="DP600" s="8"/>
      <c r="DQ600" s="8"/>
      <c r="DR600" s="8"/>
      <c r="DZ600" s="45"/>
      <c r="EA600" s="89"/>
      <c r="EB600" s="89"/>
      <c r="EC600" s="89"/>
      <c r="ED600" s="89"/>
      <c r="EE600" s="89"/>
      <c r="EF600" s="89"/>
      <c r="EG600" s="89"/>
      <c r="EH600" s="89"/>
      <c r="EI600" s="89"/>
      <c r="EJ600" s="89"/>
      <c r="EK600" s="91"/>
      <c r="EL600" s="66"/>
      <c r="EM600" s="94"/>
      <c r="EN600" s="94"/>
      <c r="EO600" s="92"/>
      <c r="EP600" s="93"/>
      <c r="EQ600" s="23"/>
      <c r="ER600" s="94"/>
      <c r="ES600" s="94"/>
      <c r="ET600" s="94"/>
      <c r="EU600" s="94"/>
      <c r="EV600" s="95"/>
      <c r="EW600" s="91"/>
      <c r="EX600" s="95"/>
      <c r="EY600" s="8"/>
      <c r="EZ600" s="96"/>
      <c r="FA600" s="91"/>
      <c r="FB600" s="97"/>
      <c r="FC600" s="8"/>
      <c r="FD600" s="91"/>
      <c r="FE600" s="98"/>
      <c r="FF600" s="5"/>
    </row>
    <row r="601" spans="37:162">
      <c r="AK601" s="89"/>
      <c r="AL601" s="8"/>
      <c r="AM601" s="8"/>
      <c r="AN601" s="8"/>
      <c r="AO601" s="8"/>
      <c r="AP601" s="8"/>
      <c r="AQ601" s="8"/>
      <c r="AR601" s="8"/>
      <c r="AZ601" s="45"/>
      <c r="BA601" s="89"/>
      <c r="BB601" s="89"/>
      <c r="BC601" s="89"/>
      <c r="BD601" s="89"/>
      <c r="BE601" s="89"/>
      <c r="BF601" s="89"/>
      <c r="BG601" s="89"/>
      <c r="BH601" s="89"/>
      <c r="BI601" s="89"/>
      <c r="BJ601" s="89"/>
      <c r="BK601" s="91"/>
      <c r="BL601" s="66"/>
      <c r="BM601" s="94"/>
      <c r="BN601" s="94"/>
      <c r="BO601" s="92"/>
      <c r="BP601" s="93"/>
      <c r="BQ601" s="23"/>
      <c r="BR601" s="94"/>
      <c r="BS601" s="94"/>
      <c r="BT601" s="94"/>
      <c r="BU601" s="94"/>
      <c r="BV601" s="95"/>
      <c r="BW601" s="91"/>
      <c r="BX601" s="95"/>
      <c r="BY601" s="8"/>
      <c r="BZ601" s="96"/>
      <c r="CA601" s="91"/>
      <c r="CB601" s="97"/>
      <c r="CC601" s="8"/>
      <c r="CD601" s="91"/>
      <c r="CE601" s="98"/>
      <c r="CF601" s="5"/>
      <c r="DK601" s="89"/>
      <c r="DL601" s="8"/>
      <c r="DM601" s="8"/>
      <c r="DN601" s="8"/>
      <c r="DO601" s="8"/>
      <c r="DP601" s="8"/>
      <c r="DQ601" s="8"/>
      <c r="DR601" s="8"/>
      <c r="DZ601" s="45"/>
      <c r="EA601" s="89"/>
      <c r="EB601" s="89"/>
      <c r="EC601" s="89"/>
      <c r="ED601" s="89"/>
      <c r="EE601" s="89"/>
      <c r="EF601" s="89"/>
      <c r="EG601" s="89"/>
      <c r="EH601" s="89"/>
      <c r="EI601" s="89"/>
      <c r="EJ601" s="89"/>
      <c r="EK601" s="91"/>
      <c r="EL601" s="66"/>
      <c r="EM601" s="94"/>
      <c r="EN601" s="94"/>
      <c r="EO601" s="92"/>
      <c r="EP601" s="93"/>
      <c r="EQ601" s="23"/>
      <c r="ER601" s="94"/>
      <c r="ES601" s="94"/>
      <c r="ET601" s="94"/>
      <c r="EU601" s="94"/>
      <c r="EV601" s="95"/>
      <c r="EW601" s="91"/>
      <c r="EX601" s="95"/>
      <c r="EY601" s="8"/>
      <c r="EZ601" s="96"/>
      <c r="FA601" s="91"/>
      <c r="FB601" s="97"/>
      <c r="FC601" s="8"/>
      <c r="FD601" s="91"/>
      <c r="FE601" s="98"/>
      <c r="FF601" s="5"/>
    </row>
    <row r="602" spans="37:162">
      <c r="AK602" s="89"/>
      <c r="AL602" s="8"/>
      <c r="AM602" s="8"/>
      <c r="AN602" s="8"/>
      <c r="AO602" s="8"/>
      <c r="AP602" s="8"/>
      <c r="AQ602" s="8"/>
      <c r="AR602" s="8"/>
      <c r="AZ602" s="45"/>
      <c r="BA602" s="89"/>
      <c r="BB602" s="89"/>
      <c r="BC602" s="89"/>
      <c r="BD602" s="89"/>
      <c r="BE602" s="89"/>
      <c r="BF602" s="89"/>
      <c r="BG602" s="89"/>
      <c r="BH602" s="89"/>
      <c r="BI602" s="89"/>
      <c r="BJ602" s="89"/>
      <c r="BK602" s="91"/>
      <c r="BL602" s="66"/>
      <c r="BM602" s="94"/>
      <c r="BN602" s="94"/>
      <c r="BO602" s="92"/>
      <c r="BP602" s="93"/>
      <c r="BQ602" s="23"/>
      <c r="BR602" s="94"/>
      <c r="BS602" s="94"/>
      <c r="BT602" s="94"/>
      <c r="BU602" s="94"/>
      <c r="BV602" s="95"/>
      <c r="BW602" s="91"/>
      <c r="BX602" s="95"/>
      <c r="BY602" s="8"/>
      <c r="BZ602" s="96"/>
      <c r="CA602" s="91"/>
      <c r="CB602" s="97"/>
      <c r="CC602" s="8"/>
      <c r="CD602" s="91"/>
      <c r="CE602" s="98"/>
      <c r="CF602" s="5"/>
      <c r="DK602" s="89"/>
      <c r="DL602" s="8"/>
      <c r="DM602" s="8"/>
      <c r="DN602" s="8"/>
      <c r="DO602" s="8"/>
      <c r="DP602" s="8"/>
      <c r="DQ602" s="8"/>
      <c r="DR602" s="8"/>
      <c r="DZ602" s="45"/>
      <c r="EA602" s="89"/>
      <c r="EB602" s="89"/>
      <c r="EC602" s="89"/>
      <c r="ED602" s="89"/>
      <c r="EE602" s="89"/>
      <c r="EF602" s="89"/>
      <c r="EG602" s="89"/>
      <c r="EH602" s="89"/>
      <c r="EI602" s="89"/>
      <c r="EJ602" s="89"/>
      <c r="EK602" s="91"/>
      <c r="EL602" s="66"/>
      <c r="EM602" s="94"/>
      <c r="EN602" s="94"/>
      <c r="EO602" s="92"/>
      <c r="EP602" s="93"/>
      <c r="EQ602" s="23"/>
      <c r="ER602" s="94"/>
      <c r="ES602" s="94"/>
      <c r="ET602" s="94"/>
      <c r="EU602" s="94"/>
      <c r="EV602" s="95"/>
      <c r="EW602" s="91"/>
      <c r="EX602" s="95"/>
      <c r="EY602" s="8"/>
      <c r="EZ602" s="96"/>
      <c r="FA602" s="91"/>
      <c r="FB602" s="97"/>
      <c r="FC602" s="8"/>
      <c r="FD602" s="91"/>
      <c r="FE602" s="98"/>
      <c r="FF602" s="5"/>
    </row>
    <row r="603" spans="37:162">
      <c r="AK603" s="89"/>
      <c r="AL603" s="8"/>
      <c r="AM603" s="8"/>
      <c r="AN603" s="8"/>
      <c r="AO603" s="8"/>
      <c r="AP603" s="8"/>
      <c r="AQ603" s="8"/>
      <c r="AR603" s="8"/>
      <c r="AZ603" s="45"/>
      <c r="BA603" s="89"/>
      <c r="BB603" s="89"/>
      <c r="BC603" s="89"/>
      <c r="BD603" s="89"/>
      <c r="BE603" s="89"/>
      <c r="BF603" s="89"/>
      <c r="BG603" s="89"/>
      <c r="BH603" s="89"/>
      <c r="BI603" s="89"/>
      <c r="BJ603" s="89"/>
      <c r="BK603" s="91"/>
      <c r="BL603" s="66"/>
      <c r="BM603" s="94"/>
      <c r="BN603" s="94"/>
      <c r="BO603" s="92"/>
      <c r="BP603" s="93"/>
      <c r="BQ603" s="23"/>
      <c r="BR603" s="94"/>
      <c r="BS603" s="94"/>
      <c r="BT603" s="94"/>
      <c r="BU603" s="94"/>
      <c r="BV603" s="95"/>
      <c r="BW603" s="91"/>
      <c r="BX603" s="95"/>
      <c r="BY603" s="8"/>
      <c r="BZ603" s="96"/>
      <c r="CA603" s="91"/>
      <c r="CB603" s="97"/>
      <c r="CC603" s="8"/>
      <c r="CD603" s="91"/>
      <c r="CE603" s="98"/>
      <c r="CF603" s="5"/>
      <c r="DK603" s="89"/>
      <c r="DL603" s="8"/>
      <c r="DM603" s="8"/>
      <c r="DN603" s="8"/>
      <c r="DO603" s="8"/>
      <c r="DP603" s="8"/>
      <c r="DQ603" s="8"/>
      <c r="DR603" s="8"/>
      <c r="DZ603" s="45"/>
      <c r="EA603" s="89"/>
      <c r="EB603" s="89"/>
      <c r="EC603" s="89"/>
      <c r="ED603" s="89"/>
      <c r="EE603" s="89"/>
      <c r="EF603" s="89"/>
      <c r="EG603" s="89"/>
      <c r="EH603" s="89"/>
      <c r="EI603" s="89"/>
      <c r="EJ603" s="89"/>
      <c r="EK603" s="91"/>
      <c r="EL603" s="66"/>
      <c r="EM603" s="94"/>
      <c r="EN603" s="94"/>
      <c r="EO603" s="92"/>
      <c r="EP603" s="93"/>
      <c r="EQ603" s="23"/>
      <c r="ER603" s="94"/>
      <c r="ES603" s="94"/>
      <c r="ET603" s="94"/>
      <c r="EU603" s="94"/>
      <c r="EV603" s="95"/>
      <c r="EW603" s="91"/>
      <c r="EX603" s="95"/>
      <c r="EY603" s="8"/>
      <c r="EZ603" s="96"/>
      <c r="FA603" s="91"/>
      <c r="FB603" s="97"/>
      <c r="FC603" s="8"/>
      <c r="FD603" s="91"/>
      <c r="FE603" s="98"/>
      <c r="FF603" s="5"/>
    </row>
    <row r="604" spans="37:162">
      <c r="AK604" s="89"/>
      <c r="AL604" s="8"/>
      <c r="AM604" s="8"/>
      <c r="AN604" s="8"/>
      <c r="AO604" s="8"/>
      <c r="AP604" s="8"/>
      <c r="AQ604" s="8"/>
      <c r="AR604" s="8"/>
      <c r="AZ604" s="45"/>
      <c r="BA604" s="89"/>
      <c r="BB604" s="89"/>
      <c r="BC604" s="89"/>
      <c r="BD604" s="89"/>
      <c r="BE604" s="89"/>
      <c r="BF604" s="89"/>
      <c r="BG604" s="89"/>
      <c r="BH604" s="89"/>
      <c r="BI604" s="89"/>
      <c r="BJ604" s="89"/>
      <c r="BK604" s="91"/>
      <c r="BL604" s="66"/>
      <c r="BM604" s="94"/>
      <c r="BN604" s="94"/>
      <c r="BO604" s="92"/>
      <c r="BP604" s="93"/>
      <c r="BQ604" s="23"/>
      <c r="BR604" s="94"/>
      <c r="BS604" s="94"/>
      <c r="BT604" s="94"/>
      <c r="BU604" s="94"/>
      <c r="BV604" s="95"/>
      <c r="BW604" s="91"/>
      <c r="BX604" s="95"/>
      <c r="BY604" s="8"/>
      <c r="BZ604" s="96"/>
      <c r="CA604" s="91"/>
      <c r="CB604" s="97"/>
      <c r="CC604" s="8"/>
      <c r="CD604" s="91"/>
      <c r="CE604" s="98"/>
      <c r="CF604" s="5"/>
      <c r="DK604" s="89"/>
      <c r="DL604" s="8"/>
      <c r="DM604" s="8"/>
      <c r="DN604" s="8"/>
      <c r="DO604" s="8"/>
      <c r="DP604" s="8"/>
      <c r="DQ604" s="8"/>
      <c r="DR604" s="8"/>
      <c r="DZ604" s="45"/>
      <c r="EA604" s="89"/>
      <c r="EB604" s="89"/>
      <c r="EC604" s="89"/>
      <c r="ED604" s="89"/>
      <c r="EE604" s="89"/>
      <c r="EF604" s="89"/>
      <c r="EG604" s="89"/>
      <c r="EH604" s="89"/>
      <c r="EI604" s="89"/>
      <c r="EJ604" s="89"/>
      <c r="EK604" s="91"/>
      <c r="EL604" s="66"/>
      <c r="EM604" s="94"/>
      <c r="EN604" s="94"/>
      <c r="EO604" s="92"/>
      <c r="EP604" s="93"/>
      <c r="EQ604" s="23"/>
      <c r="ER604" s="94"/>
      <c r="ES604" s="94"/>
      <c r="ET604" s="94"/>
      <c r="EU604" s="94"/>
      <c r="EV604" s="95"/>
      <c r="EW604" s="91"/>
      <c r="EX604" s="95"/>
      <c r="EY604" s="8"/>
      <c r="EZ604" s="96"/>
      <c r="FA604" s="91"/>
      <c r="FB604" s="97"/>
      <c r="FC604" s="8"/>
      <c r="FD604" s="91"/>
      <c r="FE604" s="98"/>
      <c r="FF604" s="5"/>
    </row>
    <row r="605" spans="37:162">
      <c r="AK605" s="89"/>
      <c r="AL605" s="8"/>
      <c r="AM605" s="8"/>
      <c r="AN605" s="8"/>
      <c r="AO605" s="8"/>
      <c r="AP605" s="8"/>
      <c r="AQ605" s="8"/>
      <c r="AR605" s="8"/>
      <c r="AZ605" s="45"/>
      <c r="BA605" s="89"/>
      <c r="BB605" s="89"/>
      <c r="BC605" s="89"/>
      <c r="BD605" s="89"/>
      <c r="BE605" s="89"/>
      <c r="BF605" s="89"/>
      <c r="BG605" s="89"/>
      <c r="BH605" s="89"/>
      <c r="BI605" s="89"/>
      <c r="BJ605" s="89"/>
      <c r="BK605" s="91"/>
      <c r="BL605" s="66"/>
      <c r="BM605" s="94"/>
      <c r="BN605" s="94"/>
      <c r="BO605" s="92"/>
      <c r="BP605" s="93"/>
      <c r="BQ605" s="23"/>
      <c r="BR605" s="94"/>
      <c r="BS605" s="94"/>
      <c r="BT605" s="94"/>
      <c r="BU605" s="94"/>
      <c r="BV605" s="95"/>
      <c r="BW605" s="91"/>
      <c r="BX605" s="95"/>
      <c r="BY605" s="8"/>
      <c r="BZ605" s="96"/>
      <c r="CA605" s="91"/>
      <c r="CB605" s="97"/>
      <c r="CC605" s="8"/>
      <c r="CD605" s="91"/>
      <c r="CE605" s="98"/>
      <c r="CF605" s="5"/>
      <c r="DK605" s="89"/>
      <c r="DL605" s="8"/>
      <c r="DM605" s="8"/>
      <c r="DN605" s="8"/>
      <c r="DO605" s="8"/>
      <c r="DP605" s="8"/>
      <c r="DQ605" s="8"/>
      <c r="DR605" s="8"/>
      <c r="DZ605" s="45"/>
      <c r="EA605" s="89"/>
      <c r="EB605" s="89"/>
      <c r="EC605" s="89"/>
      <c r="ED605" s="89"/>
      <c r="EE605" s="89"/>
      <c r="EF605" s="89"/>
      <c r="EG605" s="89"/>
      <c r="EH605" s="89"/>
      <c r="EI605" s="89"/>
      <c r="EJ605" s="89"/>
      <c r="EK605" s="91"/>
      <c r="EL605" s="66"/>
      <c r="EM605" s="94"/>
      <c r="EN605" s="94"/>
      <c r="EO605" s="92"/>
      <c r="EP605" s="93"/>
      <c r="EQ605" s="23"/>
      <c r="ER605" s="94"/>
      <c r="ES605" s="94"/>
      <c r="ET605" s="94"/>
      <c r="EU605" s="94"/>
      <c r="EV605" s="95"/>
      <c r="EW605" s="91"/>
      <c r="EX605" s="95"/>
      <c r="EY605" s="8"/>
      <c r="EZ605" s="96"/>
      <c r="FA605" s="91"/>
      <c r="FB605" s="97"/>
      <c r="FC605" s="8"/>
      <c r="FD605" s="91"/>
      <c r="FE605" s="98"/>
      <c r="FF605" s="5"/>
    </row>
    <row r="606" spans="37:162">
      <c r="AK606" s="89"/>
      <c r="AL606" s="8"/>
      <c r="AM606" s="8"/>
      <c r="AN606" s="8"/>
      <c r="AO606" s="8"/>
      <c r="AP606" s="8"/>
      <c r="AQ606" s="8"/>
      <c r="AR606" s="8"/>
      <c r="AZ606" s="45"/>
      <c r="BA606" s="89"/>
      <c r="BB606" s="89"/>
      <c r="BC606" s="89"/>
      <c r="BD606" s="89"/>
      <c r="BE606" s="89"/>
      <c r="BF606" s="89"/>
      <c r="BG606" s="89"/>
      <c r="BH606" s="89"/>
      <c r="BI606" s="89"/>
      <c r="BJ606" s="89"/>
      <c r="BK606" s="91"/>
      <c r="BL606" s="66"/>
      <c r="BM606" s="94"/>
      <c r="BN606" s="94"/>
      <c r="BO606" s="92"/>
      <c r="BP606" s="93"/>
      <c r="BQ606" s="23"/>
      <c r="BR606" s="94"/>
      <c r="BS606" s="94"/>
      <c r="BT606" s="94"/>
      <c r="BU606" s="94"/>
      <c r="BV606" s="95"/>
      <c r="BW606" s="91"/>
      <c r="BX606" s="95"/>
      <c r="BY606" s="8"/>
      <c r="BZ606" s="96"/>
      <c r="CA606" s="91"/>
      <c r="CB606" s="97"/>
      <c r="CC606" s="8"/>
      <c r="CD606" s="91"/>
      <c r="CE606" s="98"/>
      <c r="CF606" s="5"/>
      <c r="DK606" s="89"/>
      <c r="DL606" s="8"/>
      <c r="DM606" s="8"/>
      <c r="DN606" s="8"/>
      <c r="DO606" s="8"/>
      <c r="DP606" s="8"/>
      <c r="DQ606" s="8"/>
      <c r="DR606" s="8"/>
      <c r="DZ606" s="45"/>
      <c r="EA606" s="89"/>
      <c r="EB606" s="89"/>
      <c r="EC606" s="89"/>
      <c r="ED606" s="89"/>
      <c r="EE606" s="89"/>
      <c r="EF606" s="89"/>
      <c r="EG606" s="89"/>
      <c r="EH606" s="89"/>
      <c r="EI606" s="89"/>
      <c r="EJ606" s="89"/>
      <c r="EK606" s="91"/>
      <c r="EL606" s="66"/>
      <c r="EM606" s="94"/>
      <c r="EN606" s="94"/>
      <c r="EO606" s="92"/>
      <c r="EP606" s="93"/>
      <c r="EQ606" s="23"/>
      <c r="ER606" s="94"/>
      <c r="ES606" s="94"/>
      <c r="ET606" s="94"/>
      <c r="EU606" s="94"/>
      <c r="EV606" s="95"/>
      <c r="EW606" s="91"/>
      <c r="EX606" s="95"/>
      <c r="EY606" s="8"/>
      <c r="EZ606" s="96"/>
      <c r="FA606" s="91"/>
      <c r="FB606" s="97"/>
      <c r="FC606" s="8"/>
      <c r="FD606" s="91"/>
      <c r="FE606" s="98"/>
      <c r="FF606" s="5"/>
    </row>
    <row r="607" spans="37:162">
      <c r="AK607" s="89"/>
      <c r="AL607" s="8"/>
      <c r="AM607" s="8"/>
      <c r="AN607" s="8"/>
      <c r="AO607" s="8"/>
      <c r="AP607" s="8"/>
      <c r="AQ607" s="8"/>
      <c r="AR607" s="8"/>
      <c r="AZ607" s="45"/>
      <c r="BA607" s="89"/>
      <c r="BB607" s="89"/>
      <c r="BC607" s="89"/>
      <c r="BD607" s="89"/>
      <c r="BE607" s="89"/>
      <c r="BF607" s="89"/>
      <c r="BG607" s="89"/>
      <c r="BH607" s="89"/>
      <c r="BI607" s="89"/>
      <c r="BJ607" s="89"/>
      <c r="BK607" s="91"/>
      <c r="BL607" s="66"/>
      <c r="BM607" s="94"/>
      <c r="BN607" s="94"/>
      <c r="BO607" s="92"/>
      <c r="BP607" s="93"/>
      <c r="BQ607" s="23"/>
      <c r="BR607" s="94"/>
      <c r="BS607" s="94"/>
      <c r="BT607" s="94"/>
      <c r="BU607" s="94"/>
      <c r="BV607" s="95"/>
      <c r="BW607" s="91"/>
      <c r="BX607" s="95"/>
      <c r="BY607" s="8"/>
      <c r="BZ607" s="96"/>
      <c r="CA607" s="91"/>
      <c r="CB607" s="97"/>
      <c r="CC607" s="8"/>
      <c r="CD607" s="91"/>
      <c r="CE607" s="98"/>
      <c r="CF607" s="5"/>
      <c r="DK607" s="89"/>
      <c r="DL607" s="8"/>
      <c r="DM607" s="8"/>
      <c r="DN607" s="8"/>
      <c r="DO607" s="8"/>
      <c r="DP607" s="8"/>
      <c r="DQ607" s="8"/>
      <c r="DR607" s="8"/>
      <c r="DZ607" s="45"/>
      <c r="EA607" s="89"/>
      <c r="EB607" s="89"/>
      <c r="EC607" s="89"/>
      <c r="ED607" s="89"/>
      <c r="EE607" s="89"/>
      <c r="EF607" s="89"/>
      <c r="EG607" s="89"/>
      <c r="EH607" s="89"/>
      <c r="EI607" s="89"/>
      <c r="EJ607" s="89"/>
      <c r="EK607" s="91"/>
      <c r="EL607" s="66"/>
      <c r="EM607" s="94"/>
      <c r="EN607" s="94"/>
      <c r="EO607" s="92"/>
      <c r="EP607" s="93"/>
      <c r="EQ607" s="23"/>
      <c r="ER607" s="94"/>
      <c r="ES607" s="94"/>
      <c r="ET607" s="94"/>
      <c r="EU607" s="94"/>
      <c r="EV607" s="95"/>
      <c r="EW607" s="91"/>
      <c r="EX607" s="95"/>
      <c r="EY607" s="8"/>
      <c r="EZ607" s="96"/>
      <c r="FA607" s="91"/>
      <c r="FB607" s="97"/>
      <c r="FC607" s="8"/>
      <c r="FD607" s="91"/>
      <c r="FE607" s="98"/>
      <c r="FF607" s="5"/>
    </row>
    <row r="608" spans="37:162">
      <c r="AK608" s="89"/>
      <c r="AL608" s="8"/>
      <c r="AM608" s="8"/>
      <c r="AN608" s="8"/>
      <c r="AO608" s="8"/>
      <c r="AP608" s="8"/>
      <c r="AQ608" s="8"/>
      <c r="AR608" s="8"/>
      <c r="AZ608" s="45"/>
      <c r="BA608" s="89"/>
      <c r="BB608" s="89"/>
      <c r="BC608" s="89"/>
      <c r="BD608" s="89"/>
      <c r="BE608" s="89"/>
      <c r="BF608" s="89"/>
      <c r="BG608" s="89"/>
      <c r="BH608" s="89"/>
      <c r="BI608" s="89"/>
      <c r="BJ608" s="89"/>
      <c r="BK608" s="91"/>
      <c r="BL608" s="66"/>
      <c r="BM608" s="94"/>
      <c r="BN608" s="94"/>
      <c r="BO608" s="92"/>
      <c r="BP608" s="93"/>
      <c r="BQ608" s="23"/>
      <c r="BR608" s="94"/>
      <c r="BS608" s="94"/>
      <c r="BT608" s="94"/>
      <c r="BU608" s="94"/>
      <c r="BV608" s="95"/>
      <c r="BW608" s="91"/>
      <c r="BX608" s="95"/>
      <c r="BY608" s="8"/>
      <c r="BZ608" s="96"/>
      <c r="CA608" s="91"/>
      <c r="CB608" s="97"/>
      <c r="CC608" s="8"/>
      <c r="CD608" s="91"/>
      <c r="CE608" s="98"/>
      <c r="CF608" s="5"/>
      <c r="DK608" s="89"/>
      <c r="DL608" s="8"/>
      <c r="DM608" s="8"/>
      <c r="DN608" s="8"/>
      <c r="DO608" s="8"/>
      <c r="DP608" s="8"/>
      <c r="DQ608" s="8"/>
      <c r="DR608" s="8"/>
      <c r="DZ608" s="45"/>
      <c r="EA608" s="89"/>
      <c r="EB608" s="89"/>
      <c r="EC608" s="89"/>
      <c r="ED608" s="89"/>
      <c r="EE608" s="89"/>
      <c r="EF608" s="89"/>
      <c r="EG608" s="89"/>
      <c r="EH608" s="89"/>
      <c r="EI608" s="89"/>
      <c r="EJ608" s="89"/>
      <c r="EK608" s="91"/>
      <c r="EL608" s="66"/>
      <c r="EM608" s="94"/>
      <c r="EN608" s="94"/>
      <c r="EO608" s="92"/>
      <c r="EP608" s="93"/>
      <c r="EQ608" s="23"/>
      <c r="ER608" s="94"/>
      <c r="ES608" s="94"/>
      <c r="ET608" s="94"/>
      <c r="EU608" s="94"/>
      <c r="EV608" s="95"/>
      <c r="EW608" s="91"/>
      <c r="EX608" s="95"/>
      <c r="EY608" s="8"/>
      <c r="EZ608" s="96"/>
      <c r="FA608" s="91"/>
      <c r="FB608" s="97"/>
      <c r="FC608" s="8"/>
      <c r="FD608" s="91"/>
      <c r="FE608" s="98"/>
      <c r="FF608" s="5"/>
    </row>
    <row r="609" spans="37:162">
      <c r="AK609" s="89"/>
      <c r="AL609" s="8"/>
      <c r="AM609" s="8"/>
      <c r="AN609" s="8"/>
      <c r="AO609" s="8"/>
      <c r="AP609" s="8"/>
      <c r="AQ609" s="8"/>
      <c r="AR609" s="8"/>
      <c r="AZ609" s="45"/>
      <c r="BA609" s="89"/>
      <c r="BB609" s="89"/>
      <c r="BC609" s="89"/>
      <c r="BD609" s="89"/>
      <c r="BE609" s="89"/>
      <c r="BF609" s="89"/>
      <c r="BG609" s="89"/>
      <c r="BH609" s="89"/>
      <c r="BI609" s="89"/>
      <c r="BJ609" s="89"/>
      <c r="BK609" s="91"/>
      <c r="BL609" s="66"/>
      <c r="BM609" s="94"/>
      <c r="BN609" s="94"/>
      <c r="BO609" s="92"/>
      <c r="BP609" s="93"/>
      <c r="BQ609" s="23"/>
      <c r="BR609" s="94"/>
      <c r="BS609" s="94"/>
      <c r="BT609" s="94"/>
      <c r="BU609" s="94"/>
      <c r="BV609" s="95"/>
      <c r="BW609" s="91"/>
      <c r="BX609" s="95"/>
      <c r="BY609" s="8"/>
      <c r="BZ609" s="96"/>
      <c r="CA609" s="91"/>
      <c r="CB609" s="97"/>
      <c r="CC609" s="8"/>
      <c r="CD609" s="91"/>
      <c r="CE609" s="98"/>
      <c r="CF609" s="5"/>
      <c r="DK609" s="89"/>
      <c r="DL609" s="8"/>
      <c r="DM609" s="8"/>
      <c r="DN609" s="8"/>
      <c r="DO609" s="8"/>
      <c r="DP609" s="8"/>
      <c r="DQ609" s="8"/>
      <c r="DR609" s="8"/>
      <c r="DZ609" s="45"/>
      <c r="EA609" s="89"/>
      <c r="EB609" s="89"/>
      <c r="EC609" s="89"/>
      <c r="ED609" s="89"/>
      <c r="EE609" s="89"/>
      <c r="EF609" s="89"/>
      <c r="EG609" s="89"/>
      <c r="EH609" s="89"/>
      <c r="EI609" s="89"/>
      <c r="EJ609" s="89"/>
      <c r="EK609" s="91"/>
      <c r="EL609" s="66"/>
      <c r="EM609" s="94"/>
      <c r="EN609" s="94"/>
      <c r="EO609" s="92"/>
      <c r="EP609" s="93"/>
      <c r="EQ609" s="23"/>
      <c r="ER609" s="94"/>
      <c r="ES609" s="94"/>
      <c r="ET609" s="94"/>
      <c r="EU609" s="94"/>
      <c r="EV609" s="95"/>
      <c r="EW609" s="91"/>
      <c r="EX609" s="95"/>
      <c r="EY609" s="8"/>
      <c r="EZ609" s="96"/>
      <c r="FA609" s="91"/>
      <c r="FB609" s="97"/>
      <c r="FC609" s="8"/>
      <c r="FD609" s="91"/>
      <c r="FE609" s="98"/>
      <c r="FF609" s="5"/>
    </row>
    <row r="610" spans="37:162">
      <c r="AK610" s="89"/>
      <c r="AL610" s="8"/>
      <c r="AM610" s="8"/>
      <c r="AN610" s="8"/>
      <c r="AO610" s="8"/>
      <c r="AP610" s="8"/>
      <c r="AQ610" s="8"/>
      <c r="AR610" s="8"/>
      <c r="AZ610" s="45"/>
      <c r="BA610" s="89"/>
      <c r="BB610" s="89"/>
      <c r="BC610" s="89"/>
      <c r="BD610" s="89"/>
      <c r="BE610" s="89"/>
      <c r="BF610" s="89"/>
      <c r="BG610" s="89"/>
      <c r="BH610" s="89"/>
      <c r="BI610" s="89"/>
      <c r="BJ610" s="89"/>
      <c r="BK610" s="91"/>
      <c r="BL610" s="66"/>
      <c r="BM610" s="94"/>
      <c r="BN610" s="94"/>
      <c r="BO610" s="92"/>
      <c r="BP610" s="93"/>
      <c r="BQ610" s="23"/>
      <c r="BR610" s="94"/>
      <c r="BS610" s="94"/>
      <c r="BT610" s="94"/>
      <c r="BU610" s="94"/>
      <c r="BV610" s="95"/>
      <c r="BW610" s="91"/>
      <c r="BX610" s="95"/>
      <c r="BY610" s="8"/>
      <c r="BZ610" s="96"/>
      <c r="CA610" s="91"/>
      <c r="CB610" s="97"/>
      <c r="CC610" s="8"/>
      <c r="CD610" s="91"/>
      <c r="CE610" s="98"/>
      <c r="CF610" s="5"/>
      <c r="DK610" s="89"/>
      <c r="DL610" s="8"/>
      <c r="DM610" s="8"/>
      <c r="DN610" s="8"/>
      <c r="DO610" s="8"/>
      <c r="DP610" s="8"/>
      <c r="DQ610" s="8"/>
      <c r="DR610" s="8"/>
      <c r="DZ610" s="45"/>
      <c r="EA610" s="89"/>
      <c r="EB610" s="89"/>
      <c r="EC610" s="89"/>
      <c r="ED610" s="89"/>
      <c r="EE610" s="89"/>
      <c r="EF610" s="89"/>
      <c r="EG610" s="89"/>
      <c r="EH610" s="89"/>
      <c r="EI610" s="89"/>
      <c r="EJ610" s="89"/>
      <c r="EK610" s="91"/>
      <c r="EL610" s="66"/>
      <c r="EM610" s="94"/>
      <c r="EN610" s="94"/>
      <c r="EO610" s="92"/>
      <c r="EP610" s="93"/>
      <c r="EQ610" s="23"/>
      <c r="ER610" s="94"/>
      <c r="ES610" s="94"/>
      <c r="ET610" s="94"/>
      <c r="EU610" s="94"/>
      <c r="EV610" s="95"/>
      <c r="EW610" s="91"/>
      <c r="EX610" s="95"/>
      <c r="EY610" s="8"/>
      <c r="EZ610" s="96"/>
      <c r="FA610" s="91"/>
      <c r="FB610" s="97"/>
      <c r="FC610" s="8"/>
      <c r="FD610" s="91"/>
      <c r="FE610" s="98"/>
      <c r="FF610" s="5"/>
    </row>
    <row r="611" spans="37:162">
      <c r="AK611" s="89"/>
      <c r="AL611" s="8"/>
      <c r="AM611" s="8"/>
      <c r="AN611" s="8"/>
      <c r="AO611" s="8"/>
      <c r="AP611" s="8"/>
      <c r="AQ611" s="8"/>
      <c r="AR611" s="8"/>
      <c r="AZ611" s="45"/>
      <c r="BA611" s="89"/>
      <c r="BB611" s="89"/>
      <c r="BC611" s="89"/>
      <c r="BD611" s="89"/>
      <c r="BE611" s="89"/>
      <c r="BF611" s="89"/>
      <c r="BG611" s="89"/>
      <c r="BH611" s="89"/>
      <c r="BI611" s="89"/>
      <c r="BJ611" s="89"/>
      <c r="BK611" s="91"/>
      <c r="BL611" s="66"/>
      <c r="BM611" s="94"/>
      <c r="BN611" s="94"/>
      <c r="BO611" s="92"/>
      <c r="BP611" s="93"/>
      <c r="BQ611" s="23"/>
      <c r="BR611" s="94"/>
      <c r="BS611" s="94"/>
      <c r="BT611" s="94"/>
      <c r="BU611" s="94"/>
      <c r="BV611" s="95"/>
      <c r="BW611" s="91"/>
      <c r="BX611" s="95"/>
      <c r="BY611" s="8"/>
      <c r="BZ611" s="96"/>
      <c r="CA611" s="91"/>
      <c r="CB611" s="97"/>
      <c r="CC611" s="8"/>
      <c r="CD611" s="91"/>
      <c r="CE611" s="98"/>
      <c r="CF611" s="5"/>
      <c r="DK611" s="89"/>
      <c r="DL611" s="8"/>
      <c r="DM611" s="8"/>
      <c r="DN611" s="8"/>
      <c r="DO611" s="8"/>
      <c r="DP611" s="8"/>
      <c r="DQ611" s="8"/>
      <c r="DR611" s="8"/>
      <c r="DZ611" s="45"/>
      <c r="EA611" s="89"/>
      <c r="EB611" s="89"/>
      <c r="EC611" s="89"/>
      <c r="ED611" s="89"/>
      <c r="EE611" s="89"/>
      <c r="EF611" s="89"/>
      <c r="EG611" s="89"/>
      <c r="EH611" s="89"/>
      <c r="EI611" s="89"/>
      <c r="EJ611" s="89"/>
      <c r="EK611" s="91"/>
      <c r="EL611" s="66"/>
      <c r="EM611" s="94"/>
      <c r="EN611" s="94"/>
      <c r="EO611" s="92"/>
      <c r="EP611" s="93"/>
      <c r="EQ611" s="23"/>
      <c r="ER611" s="94"/>
      <c r="ES611" s="94"/>
      <c r="ET611" s="94"/>
      <c r="EU611" s="94"/>
      <c r="EV611" s="95"/>
      <c r="EW611" s="91"/>
      <c r="EX611" s="95"/>
      <c r="EY611" s="8"/>
      <c r="EZ611" s="96"/>
      <c r="FA611" s="91"/>
      <c r="FB611" s="97"/>
      <c r="FC611" s="8"/>
      <c r="FD611" s="91"/>
      <c r="FE611" s="98"/>
      <c r="FF611" s="5"/>
    </row>
    <row r="612" spans="37:162">
      <c r="AK612" s="89"/>
      <c r="AL612" s="8"/>
      <c r="AM612" s="8"/>
      <c r="AN612" s="8"/>
      <c r="AO612" s="8"/>
      <c r="AP612" s="8"/>
      <c r="AQ612" s="8"/>
      <c r="AR612" s="8"/>
      <c r="AZ612" s="45"/>
      <c r="BA612" s="89"/>
      <c r="BB612" s="89"/>
      <c r="BC612" s="89"/>
      <c r="BD612" s="89"/>
      <c r="BE612" s="89"/>
      <c r="BF612" s="89"/>
      <c r="BG612" s="89"/>
      <c r="BH612" s="89"/>
      <c r="BI612" s="89"/>
      <c r="BJ612" s="89"/>
      <c r="BK612" s="91"/>
      <c r="BL612" s="66"/>
      <c r="BM612" s="94"/>
      <c r="BN612" s="94"/>
      <c r="BO612" s="92"/>
      <c r="BP612" s="93"/>
      <c r="BQ612" s="23"/>
      <c r="BR612" s="94"/>
      <c r="BS612" s="94"/>
      <c r="BT612" s="94"/>
      <c r="BU612" s="94"/>
      <c r="BV612" s="95"/>
      <c r="BW612" s="91"/>
      <c r="BX612" s="95"/>
      <c r="BY612" s="8"/>
      <c r="BZ612" s="96"/>
      <c r="CA612" s="91"/>
      <c r="CB612" s="97"/>
      <c r="CC612" s="8"/>
      <c r="CD612" s="91"/>
      <c r="CE612" s="98"/>
      <c r="CF612" s="5"/>
      <c r="DK612" s="89"/>
      <c r="DL612" s="8"/>
      <c r="DM612" s="8"/>
      <c r="DN612" s="8"/>
      <c r="DO612" s="8"/>
      <c r="DP612" s="8"/>
      <c r="DQ612" s="8"/>
      <c r="DR612" s="8"/>
      <c r="DZ612" s="45"/>
      <c r="EA612" s="89"/>
      <c r="EB612" s="89"/>
      <c r="EC612" s="89"/>
      <c r="ED612" s="89"/>
      <c r="EE612" s="89"/>
      <c r="EF612" s="89"/>
      <c r="EG612" s="89"/>
      <c r="EH612" s="89"/>
      <c r="EI612" s="89"/>
      <c r="EJ612" s="89"/>
      <c r="EK612" s="91"/>
      <c r="EL612" s="66"/>
      <c r="EM612" s="94"/>
      <c r="EN612" s="94"/>
      <c r="EO612" s="92"/>
      <c r="EP612" s="93"/>
      <c r="EQ612" s="23"/>
      <c r="ER612" s="94"/>
      <c r="ES612" s="94"/>
      <c r="ET612" s="94"/>
      <c r="EU612" s="94"/>
      <c r="EV612" s="95"/>
      <c r="EW612" s="91"/>
      <c r="EX612" s="95"/>
      <c r="EY612" s="8"/>
      <c r="EZ612" s="96"/>
      <c r="FA612" s="91"/>
      <c r="FB612" s="97"/>
      <c r="FC612" s="8"/>
      <c r="FD612" s="91"/>
      <c r="FE612" s="98"/>
      <c r="FF612" s="5"/>
    </row>
    <row r="613" spans="37:162">
      <c r="AK613" s="89"/>
      <c r="AL613" s="8"/>
      <c r="AM613" s="8"/>
      <c r="AN613" s="8"/>
      <c r="AO613" s="8"/>
      <c r="AP613" s="8"/>
      <c r="AQ613" s="8"/>
      <c r="AR613" s="8"/>
      <c r="AZ613" s="45"/>
      <c r="BA613" s="89"/>
      <c r="BB613" s="89"/>
      <c r="BC613" s="89"/>
      <c r="BD613" s="89"/>
      <c r="BE613" s="89"/>
      <c r="BF613" s="89"/>
      <c r="BG613" s="89"/>
      <c r="BH613" s="89"/>
      <c r="BI613" s="89"/>
      <c r="BJ613" s="89"/>
      <c r="BK613" s="91"/>
      <c r="BL613" s="66"/>
      <c r="BM613" s="94"/>
      <c r="BN613" s="94"/>
      <c r="BO613" s="92"/>
      <c r="BP613" s="93"/>
      <c r="BQ613" s="23"/>
      <c r="BR613" s="94"/>
      <c r="BS613" s="94"/>
      <c r="BT613" s="94"/>
      <c r="BU613" s="94"/>
      <c r="BV613" s="95"/>
      <c r="BW613" s="91"/>
      <c r="BX613" s="95"/>
      <c r="BY613" s="8"/>
      <c r="BZ613" s="96"/>
      <c r="CA613" s="91"/>
      <c r="CB613" s="97"/>
      <c r="CC613" s="8"/>
      <c r="CD613" s="91"/>
      <c r="CE613" s="98"/>
      <c r="CF613" s="5"/>
      <c r="DK613" s="89"/>
      <c r="DL613" s="8"/>
      <c r="DM613" s="8"/>
      <c r="DN613" s="8"/>
      <c r="DO613" s="8"/>
      <c r="DP613" s="8"/>
      <c r="DQ613" s="8"/>
      <c r="DR613" s="8"/>
      <c r="DZ613" s="45"/>
      <c r="EA613" s="89"/>
      <c r="EB613" s="89"/>
      <c r="EC613" s="89"/>
      <c r="ED613" s="89"/>
      <c r="EE613" s="89"/>
      <c r="EF613" s="89"/>
      <c r="EG613" s="89"/>
      <c r="EH613" s="89"/>
      <c r="EI613" s="89"/>
      <c r="EJ613" s="89"/>
      <c r="EK613" s="91"/>
      <c r="EL613" s="66"/>
      <c r="EM613" s="94"/>
      <c r="EN613" s="94"/>
      <c r="EO613" s="92"/>
      <c r="EP613" s="93"/>
      <c r="EQ613" s="23"/>
      <c r="ER613" s="94"/>
      <c r="ES613" s="94"/>
      <c r="ET613" s="94"/>
      <c r="EU613" s="94"/>
      <c r="EV613" s="95"/>
      <c r="EW613" s="91"/>
      <c r="EX613" s="95"/>
      <c r="EY613" s="8"/>
      <c r="EZ613" s="96"/>
      <c r="FA613" s="91"/>
      <c r="FB613" s="97"/>
      <c r="FC613" s="8"/>
      <c r="FD613" s="91"/>
      <c r="FE613" s="98"/>
      <c r="FF613" s="5"/>
    </row>
    <row r="614" spans="37:162">
      <c r="AK614" s="89"/>
      <c r="AL614" s="8"/>
      <c r="AM614" s="8"/>
      <c r="AN614" s="8"/>
      <c r="AO614" s="8"/>
      <c r="AP614" s="8"/>
      <c r="AQ614" s="8"/>
      <c r="AR614" s="8"/>
      <c r="AZ614" s="45"/>
      <c r="BA614" s="89"/>
      <c r="BB614" s="89"/>
      <c r="BC614" s="89"/>
      <c r="BD614" s="89"/>
      <c r="BE614" s="89"/>
      <c r="BF614" s="89"/>
      <c r="BG614" s="89"/>
      <c r="BH614" s="89"/>
      <c r="BI614" s="89"/>
      <c r="BJ614" s="89"/>
      <c r="BK614" s="91"/>
      <c r="BL614" s="66"/>
      <c r="BM614" s="94"/>
      <c r="BN614" s="94"/>
      <c r="BO614" s="92"/>
      <c r="BP614" s="93"/>
      <c r="BQ614" s="23"/>
      <c r="BR614" s="94"/>
      <c r="BS614" s="94"/>
      <c r="BT614" s="94"/>
      <c r="BU614" s="94"/>
      <c r="BV614" s="95"/>
      <c r="BW614" s="91"/>
      <c r="BX614" s="95"/>
      <c r="BY614" s="8"/>
      <c r="BZ614" s="96"/>
      <c r="CA614" s="91"/>
      <c r="CB614" s="97"/>
      <c r="CC614" s="8"/>
      <c r="CD614" s="91"/>
      <c r="CE614" s="98"/>
      <c r="CF614" s="5"/>
      <c r="DK614" s="89"/>
      <c r="DL614" s="8"/>
      <c r="DM614" s="8"/>
      <c r="DN614" s="8"/>
      <c r="DO614" s="8"/>
      <c r="DP614" s="8"/>
      <c r="DQ614" s="8"/>
      <c r="DR614" s="8"/>
      <c r="DZ614" s="45"/>
      <c r="EA614" s="89"/>
      <c r="EB614" s="89"/>
      <c r="EC614" s="89"/>
      <c r="ED614" s="89"/>
      <c r="EE614" s="89"/>
      <c r="EF614" s="89"/>
      <c r="EG614" s="89"/>
      <c r="EH614" s="89"/>
      <c r="EI614" s="89"/>
      <c r="EJ614" s="89"/>
      <c r="EK614" s="91"/>
      <c r="EL614" s="66"/>
      <c r="EM614" s="94"/>
      <c r="EN614" s="94"/>
      <c r="EO614" s="92"/>
      <c r="EP614" s="93"/>
      <c r="EQ614" s="23"/>
      <c r="ER614" s="94"/>
      <c r="ES614" s="94"/>
      <c r="ET614" s="94"/>
      <c r="EU614" s="94"/>
      <c r="EV614" s="95"/>
      <c r="EW614" s="91"/>
      <c r="EX614" s="95"/>
      <c r="EY614" s="8"/>
      <c r="EZ614" s="96"/>
      <c r="FA614" s="91"/>
      <c r="FB614" s="97"/>
      <c r="FC614" s="8"/>
      <c r="FD614" s="91"/>
      <c r="FE614" s="98"/>
      <c r="FF614" s="5"/>
    </row>
    <row r="615" spans="37:162">
      <c r="AK615" s="89"/>
      <c r="AL615" s="8"/>
      <c r="AM615" s="8"/>
      <c r="AN615" s="8"/>
      <c r="AO615" s="8"/>
      <c r="AP615" s="8"/>
      <c r="AQ615" s="8"/>
      <c r="AR615" s="8"/>
      <c r="AZ615" s="45"/>
      <c r="BA615" s="89"/>
      <c r="BB615" s="89"/>
      <c r="BC615" s="89"/>
      <c r="BD615" s="89"/>
      <c r="BE615" s="89"/>
      <c r="BF615" s="89"/>
      <c r="BG615" s="89"/>
      <c r="BH615" s="89"/>
      <c r="BI615" s="89"/>
      <c r="BJ615" s="89"/>
      <c r="BK615" s="91"/>
      <c r="BL615" s="66"/>
      <c r="BM615" s="94"/>
      <c r="BN615" s="94"/>
      <c r="BO615" s="92"/>
      <c r="BP615" s="93"/>
      <c r="BQ615" s="23"/>
      <c r="BR615" s="94"/>
      <c r="BS615" s="94"/>
      <c r="BT615" s="94"/>
      <c r="BU615" s="94"/>
      <c r="BV615" s="95"/>
      <c r="BW615" s="91"/>
      <c r="BX615" s="95"/>
      <c r="BY615" s="8"/>
      <c r="BZ615" s="96"/>
      <c r="CA615" s="91"/>
      <c r="CB615" s="97"/>
      <c r="CC615" s="8"/>
      <c r="CD615" s="91"/>
      <c r="CE615" s="98"/>
      <c r="CF615" s="5"/>
      <c r="DK615" s="89"/>
      <c r="DL615" s="8"/>
      <c r="DM615" s="8"/>
      <c r="DN615" s="8"/>
      <c r="DO615" s="8"/>
      <c r="DP615" s="8"/>
      <c r="DQ615" s="8"/>
      <c r="DR615" s="8"/>
      <c r="DZ615" s="45"/>
      <c r="EA615" s="89"/>
      <c r="EB615" s="89"/>
      <c r="EC615" s="89"/>
      <c r="ED615" s="89"/>
      <c r="EE615" s="89"/>
      <c r="EF615" s="89"/>
      <c r="EG615" s="89"/>
      <c r="EH615" s="89"/>
      <c r="EI615" s="89"/>
      <c r="EJ615" s="89"/>
      <c r="EK615" s="91"/>
      <c r="EL615" s="66"/>
      <c r="EM615" s="94"/>
      <c r="EN615" s="94"/>
      <c r="EO615" s="92"/>
      <c r="EP615" s="93"/>
      <c r="EQ615" s="23"/>
      <c r="ER615" s="94"/>
      <c r="ES615" s="94"/>
      <c r="ET615" s="94"/>
      <c r="EU615" s="94"/>
      <c r="EV615" s="95"/>
      <c r="EW615" s="91"/>
      <c r="EX615" s="95"/>
      <c r="EY615" s="8"/>
      <c r="EZ615" s="96"/>
      <c r="FA615" s="91"/>
      <c r="FB615" s="97"/>
      <c r="FC615" s="8"/>
      <c r="FD615" s="91"/>
      <c r="FE615" s="98"/>
      <c r="FF615" s="5"/>
    </row>
    <row r="616" spans="37:162">
      <c r="AK616" s="89"/>
      <c r="AL616" s="8"/>
      <c r="AM616" s="8"/>
      <c r="AN616" s="8"/>
      <c r="AO616" s="8"/>
      <c r="AP616" s="8"/>
      <c r="AQ616" s="8"/>
      <c r="AR616" s="8"/>
      <c r="AZ616" s="45"/>
      <c r="BA616" s="89"/>
      <c r="BB616" s="89"/>
      <c r="BC616" s="89"/>
      <c r="BD616" s="89"/>
      <c r="BE616" s="89"/>
      <c r="BF616" s="89"/>
      <c r="BG616" s="89"/>
      <c r="BH616" s="89"/>
      <c r="BI616" s="89"/>
      <c r="BJ616" s="89"/>
      <c r="BK616" s="91"/>
      <c r="BL616" s="66"/>
      <c r="BM616" s="94"/>
      <c r="BN616" s="94"/>
      <c r="BO616" s="92"/>
      <c r="BP616" s="93"/>
      <c r="BQ616" s="23"/>
      <c r="BR616" s="94"/>
      <c r="BS616" s="94"/>
      <c r="BT616" s="94"/>
      <c r="BU616" s="94"/>
      <c r="BV616" s="95"/>
      <c r="BW616" s="91"/>
      <c r="BX616" s="95"/>
      <c r="BY616" s="8"/>
      <c r="BZ616" s="96"/>
      <c r="CA616" s="91"/>
      <c r="CB616" s="97"/>
      <c r="CC616" s="8"/>
      <c r="CD616" s="91"/>
      <c r="CE616" s="98"/>
      <c r="CF616" s="5"/>
      <c r="DK616" s="89"/>
      <c r="DL616" s="8"/>
      <c r="DM616" s="8"/>
      <c r="DN616" s="8"/>
      <c r="DO616" s="8"/>
      <c r="DP616" s="8"/>
      <c r="DQ616" s="8"/>
      <c r="DR616" s="8"/>
      <c r="DZ616" s="45"/>
      <c r="EA616" s="89"/>
      <c r="EB616" s="89"/>
      <c r="EC616" s="89"/>
      <c r="ED616" s="89"/>
      <c r="EE616" s="89"/>
      <c r="EF616" s="89"/>
      <c r="EG616" s="89"/>
      <c r="EH616" s="89"/>
      <c r="EI616" s="89"/>
      <c r="EJ616" s="89"/>
      <c r="EK616" s="91"/>
      <c r="EL616" s="66"/>
      <c r="EM616" s="94"/>
      <c r="EN616" s="94"/>
      <c r="EO616" s="92"/>
      <c r="EP616" s="93"/>
      <c r="EQ616" s="23"/>
      <c r="ER616" s="94"/>
      <c r="ES616" s="94"/>
      <c r="ET616" s="94"/>
      <c r="EU616" s="94"/>
      <c r="EV616" s="95"/>
      <c r="EW616" s="91"/>
      <c r="EX616" s="95"/>
      <c r="EY616" s="8"/>
      <c r="EZ616" s="96"/>
      <c r="FA616" s="91"/>
      <c r="FB616" s="97"/>
      <c r="FC616" s="8"/>
      <c r="FD616" s="91"/>
      <c r="FE616" s="98"/>
      <c r="FF616" s="5"/>
    </row>
    <row r="617" spans="37:162">
      <c r="AK617" s="89"/>
      <c r="AL617" s="8"/>
      <c r="AM617" s="8"/>
      <c r="AN617" s="8"/>
      <c r="AO617" s="8"/>
      <c r="AP617" s="8"/>
      <c r="AQ617" s="8"/>
      <c r="AR617" s="8"/>
      <c r="AZ617" s="45"/>
      <c r="BA617" s="89"/>
      <c r="BB617" s="89"/>
      <c r="BC617" s="89"/>
      <c r="BD617" s="89"/>
      <c r="BE617" s="89"/>
      <c r="BF617" s="89"/>
      <c r="BG617" s="89"/>
      <c r="BH617" s="89"/>
      <c r="BI617" s="89"/>
      <c r="BJ617" s="89"/>
      <c r="BK617" s="91"/>
      <c r="BL617" s="66"/>
      <c r="BM617" s="94"/>
      <c r="BN617" s="94"/>
      <c r="BO617" s="92"/>
      <c r="BP617" s="93"/>
      <c r="BQ617" s="23"/>
      <c r="BR617" s="94"/>
      <c r="BS617" s="94"/>
      <c r="BT617" s="94"/>
      <c r="BU617" s="94"/>
      <c r="BV617" s="95"/>
      <c r="BW617" s="91"/>
      <c r="BX617" s="95"/>
      <c r="BY617" s="8"/>
      <c r="BZ617" s="96"/>
      <c r="CA617" s="91"/>
      <c r="CB617" s="97"/>
      <c r="CC617" s="8"/>
      <c r="CD617" s="91"/>
      <c r="CE617" s="98"/>
      <c r="CF617" s="5"/>
      <c r="DK617" s="89"/>
      <c r="DL617" s="8"/>
      <c r="DM617" s="8"/>
      <c r="DN617" s="8"/>
      <c r="DO617" s="8"/>
      <c r="DP617" s="8"/>
      <c r="DQ617" s="8"/>
      <c r="DR617" s="8"/>
      <c r="DZ617" s="45"/>
      <c r="EA617" s="89"/>
      <c r="EB617" s="89"/>
      <c r="EC617" s="89"/>
      <c r="ED617" s="89"/>
      <c r="EE617" s="89"/>
      <c r="EF617" s="89"/>
      <c r="EG617" s="89"/>
      <c r="EH617" s="89"/>
      <c r="EI617" s="89"/>
      <c r="EJ617" s="89"/>
      <c r="EK617" s="91"/>
      <c r="EL617" s="66"/>
      <c r="EM617" s="94"/>
      <c r="EN617" s="94"/>
      <c r="EO617" s="92"/>
      <c r="EP617" s="93"/>
      <c r="EQ617" s="23"/>
      <c r="ER617" s="94"/>
      <c r="ES617" s="94"/>
      <c r="ET617" s="94"/>
      <c r="EU617" s="94"/>
      <c r="EV617" s="95"/>
      <c r="EW617" s="91"/>
      <c r="EX617" s="95"/>
      <c r="EY617" s="8"/>
      <c r="EZ617" s="96"/>
      <c r="FA617" s="91"/>
      <c r="FB617" s="97"/>
      <c r="FC617" s="8"/>
      <c r="FD617" s="91"/>
      <c r="FE617" s="98"/>
      <c r="FF617" s="5"/>
    </row>
    <row r="618" spans="37:162">
      <c r="AK618" s="89"/>
      <c r="AL618" s="8"/>
      <c r="AM618" s="8"/>
      <c r="AN618" s="8"/>
      <c r="AO618" s="8"/>
      <c r="AP618" s="8"/>
      <c r="AQ618" s="8"/>
      <c r="AR618" s="8"/>
      <c r="AZ618" s="45"/>
      <c r="BA618" s="89"/>
      <c r="BB618" s="89"/>
      <c r="BC618" s="89"/>
      <c r="BD618" s="89"/>
      <c r="BE618" s="89"/>
      <c r="BF618" s="89"/>
      <c r="BG618" s="89"/>
      <c r="BH618" s="89"/>
      <c r="BI618" s="89"/>
      <c r="BJ618" s="89"/>
      <c r="BK618" s="91"/>
      <c r="BL618" s="66"/>
      <c r="BM618" s="94"/>
      <c r="BN618" s="94"/>
      <c r="BO618" s="92"/>
      <c r="BP618" s="93"/>
      <c r="BQ618" s="23"/>
      <c r="BR618" s="94"/>
      <c r="BS618" s="94"/>
      <c r="BT618" s="94"/>
      <c r="BU618" s="94"/>
      <c r="BV618" s="95"/>
      <c r="BW618" s="91"/>
      <c r="BX618" s="95"/>
      <c r="BY618" s="8"/>
      <c r="BZ618" s="96"/>
      <c r="CA618" s="91"/>
      <c r="CB618" s="97"/>
      <c r="CC618" s="8"/>
      <c r="CD618" s="91"/>
      <c r="CE618" s="98"/>
      <c r="CF618" s="5"/>
      <c r="DK618" s="89"/>
      <c r="DL618" s="8"/>
      <c r="DM618" s="8"/>
      <c r="DN618" s="8"/>
      <c r="DO618" s="8"/>
      <c r="DP618" s="8"/>
      <c r="DQ618" s="8"/>
      <c r="DR618" s="8"/>
      <c r="DZ618" s="45"/>
      <c r="EA618" s="89"/>
      <c r="EB618" s="89"/>
      <c r="EC618" s="89"/>
      <c r="ED618" s="89"/>
      <c r="EE618" s="89"/>
      <c r="EF618" s="89"/>
      <c r="EG618" s="89"/>
      <c r="EH618" s="89"/>
      <c r="EI618" s="89"/>
      <c r="EJ618" s="89"/>
      <c r="EK618" s="91"/>
      <c r="EL618" s="66"/>
      <c r="EM618" s="94"/>
      <c r="EN618" s="94"/>
      <c r="EO618" s="92"/>
      <c r="EP618" s="93"/>
      <c r="EQ618" s="23"/>
      <c r="ER618" s="94"/>
      <c r="ES618" s="94"/>
      <c r="ET618" s="94"/>
      <c r="EU618" s="94"/>
      <c r="EV618" s="95"/>
      <c r="EW618" s="91"/>
      <c r="EX618" s="95"/>
      <c r="EY618" s="8"/>
      <c r="EZ618" s="96"/>
      <c r="FA618" s="91"/>
      <c r="FB618" s="97"/>
      <c r="FC618" s="8"/>
      <c r="FD618" s="91"/>
      <c r="FE618" s="98"/>
      <c r="FF618" s="5"/>
    </row>
    <row r="619" spans="37:162">
      <c r="AK619" s="89"/>
      <c r="AL619" s="8"/>
      <c r="AM619" s="8"/>
      <c r="AN619" s="8"/>
      <c r="AO619" s="8"/>
      <c r="AP619" s="8"/>
      <c r="AQ619" s="8"/>
      <c r="AR619" s="8"/>
      <c r="AZ619" s="45"/>
      <c r="BA619" s="89"/>
      <c r="BB619" s="89"/>
      <c r="BC619" s="89"/>
      <c r="BD619" s="89"/>
      <c r="BE619" s="89"/>
      <c r="BF619" s="89"/>
      <c r="BG619" s="89"/>
      <c r="BH619" s="89"/>
      <c r="BI619" s="89"/>
      <c r="BJ619" s="89"/>
      <c r="BK619" s="91"/>
      <c r="BL619" s="66"/>
      <c r="BM619" s="94"/>
      <c r="BN619" s="94"/>
      <c r="BO619" s="92"/>
      <c r="BP619" s="93"/>
      <c r="BQ619" s="23"/>
      <c r="BR619" s="94"/>
      <c r="BS619" s="94"/>
      <c r="BT619" s="94"/>
      <c r="BU619" s="94"/>
      <c r="BV619" s="95"/>
      <c r="BW619" s="91"/>
      <c r="BX619" s="95"/>
      <c r="BY619" s="8"/>
      <c r="BZ619" s="96"/>
      <c r="CA619" s="91"/>
      <c r="CB619" s="97"/>
      <c r="CC619" s="8"/>
      <c r="CD619" s="91"/>
      <c r="CE619" s="98"/>
      <c r="CF619" s="5"/>
      <c r="DK619" s="89"/>
      <c r="DL619" s="8"/>
      <c r="DM619" s="8"/>
      <c r="DN619" s="8"/>
      <c r="DO619" s="8"/>
      <c r="DP619" s="8"/>
      <c r="DQ619" s="8"/>
      <c r="DR619" s="8"/>
      <c r="DZ619" s="45"/>
      <c r="EA619" s="89"/>
      <c r="EB619" s="89"/>
      <c r="EC619" s="89"/>
      <c r="ED619" s="89"/>
      <c r="EE619" s="89"/>
      <c r="EF619" s="89"/>
      <c r="EG619" s="89"/>
      <c r="EH619" s="89"/>
      <c r="EI619" s="89"/>
      <c r="EJ619" s="89"/>
      <c r="EK619" s="91"/>
      <c r="EL619" s="66"/>
      <c r="EM619" s="94"/>
      <c r="EN619" s="94"/>
      <c r="EO619" s="92"/>
      <c r="EP619" s="93"/>
      <c r="EQ619" s="23"/>
      <c r="ER619" s="94"/>
      <c r="ES619" s="94"/>
      <c r="ET619" s="94"/>
      <c r="EU619" s="94"/>
      <c r="EV619" s="95"/>
      <c r="EW619" s="91"/>
      <c r="EX619" s="95"/>
      <c r="EY619" s="8"/>
      <c r="EZ619" s="96"/>
      <c r="FA619" s="91"/>
      <c r="FB619" s="97"/>
      <c r="FC619" s="8"/>
      <c r="FD619" s="91"/>
      <c r="FE619" s="98"/>
      <c r="FF619" s="5"/>
    </row>
    <row r="620" spans="37:162">
      <c r="AK620" s="89"/>
      <c r="AL620" s="8"/>
      <c r="AM620" s="8"/>
      <c r="AN620" s="8"/>
      <c r="AO620" s="8"/>
      <c r="AP620" s="8"/>
      <c r="AQ620" s="8"/>
      <c r="AR620" s="8"/>
      <c r="AZ620" s="45"/>
      <c r="BA620" s="89"/>
      <c r="BB620" s="89"/>
      <c r="BC620" s="89"/>
      <c r="BD620" s="89"/>
      <c r="BE620" s="89"/>
      <c r="BF620" s="89"/>
      <c r="BG620" s="89"/>
      <c r="BH620" s="89"/>
      <c r="BI620" s="89"/>
      <c r="BJ620" s="89"/>
      <c r="BK620" s="91"/>
      <c r="BL620" s="66"/>
      <c r="BM620" s="94"/>
      <c r="BN620" s="94"/>
      <c r="BO620" s="92"/>
      <c r="BP620" s="93"/>
      <c r="BQ620" s="23"/>
      <c r="BR620" s="94"/>
      <c r="BS620" s="94"/>
      <c r="BT620" s="94"/>
      <c r="BU620" s="94"/>
      <c r="BV620" s="95"/>
      <c r="BW620" s="91"/>
      <c r="BX620" s="95"/>
      <c r="BY620" s="8"/>
      <c r="BZ620" s="96"/>
      <c r="CA620" s="91"/>
      <c r="CB620" s="97"/>
      <c r="CC620" s="8"/>
      <c r="CD620" s="91"/>
      <c r="CE620" s="98"/>
      <c r="CF620" s="5"/>
      <c r="DK620" s="89"/>
      <c r="DL620" s="8"/>
      <c r="DM620" s="8"/>
      <c r="DN620" s="8"/>
      <c r="DO620" s="8"/>
      <c r="DP620" s="8"/>
      <c r="DQ620" s="8"/>
      <c r="DR620" s="8"/>
      <c r="DZ620" s="45"/>
      <c r="EA620" s="89"/>
      <c r="EB620" s="89"/>
      <c r="EC620" s="89"/>
      <c r="ED620" s="89"/>
      <c r="EE620" s="89"/>
      <c r="EF620" s="89"/>
      <c r="EG620" s="89"/>
      <c r="EH620" s="89"/>
      <c r="EI620" s="89"/>
      <c r="EJ620" s="89"/>
      <c r="EK620" s="91"/>
      <c r="EL620" s="66"/>
      <c r="EM620" s="94"/>
      <c r="EN620" s="94"/>
      <c r="EO620" s="92"/>
      <c r="EP620" s="93"/>
      <c r="EQ620" s="23"/>
      <c r="ER620" s="94"/>
      <c r="ES620" s="94"/>
      <c r="ET620" s="94"/>
      <c r="EU620" s="94"/>
      <c r="EV620" s="95"/>
      <c r="EW620" s="91"/>
      <c r="EX620" s="95"/>
      <c r="EY620" s="8"/>
      <c r="EZ620" s="96"/>
      <c r="FA620" s="91"/>
      <c r="FB620" s="97"/>
      <c r="FC620" s="8"/>
      <c r="FD620" s="91"/>
      <c r="FE620" s="98"/>
      <c r="FF620" s="5"/>
    </row>
    <row r="621" spans="37:162">
      <c r="AK621" s="89"/>
      <c r="AL621" s="8"/>
      <c r="AM621" s="8"/>
      <c r="AN621" s="8"/>
      <c r="AO621" s="8"/>
      <c r="AP621" s="8"/>
      <c r="AQ621" s="8"/>
      <c r="AR621" s="8"/>
      <c r="AZ621" s="45"/>
      <c r="BA621" s="89"/>
      <c r="BB621" s="89"/>
      <c r="BC621" s="89"/>
      <c r="BD621" s="89"/>
      <c r="BE621" s="89"/>
      <c r="BF621" s="89"/>
      <c r="BG621" s="89"/>
      <c r="BH621" s="89"/>
      <c r="BI621" s="89"/>
      <c r="BJ621" s="89"/>
      <c r="BK621" s="91"/>
      <c r="BL621" s="66"/>
      <c r="BM621" s="94"/>
      <c r="BN621" s="94"/>
      <c r="BO621" s="92"/>
      <c r="BP621" s="93"/>
      <c r="BQ621" s="23"/>
      <c r="BR621" s="94"/>
      <c r="BS621" s="94"/>
      <c r="BT621" s="94"/>
      <c r="BU621" s="94"/>
      <c r="BV621" s="95"/>
      <c r="BW621" s="91"/>
      <c r="BX621" s="95"/>
      <c r="BY621" s="8"/>
      <c r="BZ621" s="96"/>
      <c r="CA621" s="91"/>
      <c r="CB621" s="97"/>
      <c r="CC621" s="8"/>
      <c r="CD621" s="91"/>
      <c r="CE621" s="98"/>
      <c r="CF621" s="5"/>
      <c r="DK621" s="89"/>
      <c r="DL621" s="8"/>
      <c r="DM621" s="8"/>
      <c r="DN621" s="8"/>
      <c r="DO621" s="8"/>
      <c r="DP621" s="8"/>
      <c r="DQ621" s="8"/>
      <c r="DR621" s="8"/>
      <c r="DZ621" s="45"/>
      <c r="EA621" s="89"/>
      <c r="EB621" s="89"/>
      <c r="EC621" s="89"/>
      <c r="ED621" s="89"/>
      <c r="EE621" s="89"/>
      <c r="EF621" s="89"/>
      <c r="EG621" s="89"/>
      <c r="EH621" s="89"/>
      <c r="EI621" s="89"/>
      <c r="EJ621" s="89"/>
      <c r="EK621" s="91"/>
      <c r="EL621" s="66"/>
      <c r="EM621" s="94"/>
      <c r="EN621" s="94"/>
      <c r="EO621" s="92"/>
      <c r="EP621" s="93"/>
      <c r="EQ621" s="23"/>
      <c r="ER621" s="94"/>
      <c r="ES621" s="94"/>
      <c r="ET621" s="94"/>
      <c r="EU621" s="94"/>
      <c r="EV621" s="95"/>
      <c r="EW621" s="91"/>
      <c r="EX621" s="95"/>
      <c r="EY621" s="8"/>
      <c r="EZ621" s="96"/>
      <c r="FA621" s="91"/>
      <c r="FB621" s="97"/>
      <c r="FC621" s="8"/>
      <c r="FD621" s="91"/>
      <c r="FE621" s="98"/>
      <c r="FF621" s="5"/>
    </row>
    <row r="622" spans="37:162">
      <c r="AK622" s="89"/>
      <c r="AL622" s="8"/>
      <c r="AM622" s="8"/>
      <c r="AN622" s="8"/>
      <c r="AO622" s="8"/>
      <c r="AP622" s="8"/>
      <c r="AQ622" s="8"/>
      <c r="AR622" s="8"/>
      <c r="AZ622" s="45"/>
      <c r="BA622" s="89"/>
      <c r="BB622" s="89"/>
      <c r="BC622" s="89"/>
      <c r="BD622" s="89"/>
      <c r="BE622" s="89"/>
      <c r="BF622" s="89"/>
      <c r="BG622" s="89"/>
      <c r="BH622" s="89"/>
      <c r="BI622" s="89"/>
      <c r="BJ622" s="89"/>
      <c r="BK622" s="91"/>
      <c r="BL622" s="66"/>
      <c r="BM622" s="94"/>
      <c r="BN622" s="94"/>
      <c r="BO622" s="92"/>
      <c r="BP622" s="93"/>
      <c r="BQ622" s="23"/>
      <c r="BR622" s="94"/>
      <c r="BS622" s="94"/>
      <c r="BT622" s="94"/>
      <c r="BU622" s="94"/>
      <c r="BV622" s="95"/>
      <c r="BW622" s="91"/>
      <c r="BX622" s="95"/>
      <c r="BY622" s="8"/>
      <c r="BZ622" s="96"/>
      <c r="CA622" s="91"/>
      <c r="CB622" s="97"/>
      <c r="CC622" s="8"/>
      <c r="CD622" s="91"/>
      <c r="CE622" s="98"/>
      <c r="CF622" s="5"/>
      <c r="DK622" s="89"/>
      <c r="DL622" s="8"/>
      <c r="DM622" s="8"/>
      <c r="DN622" s="8"/>
      <c r="DO622" s="8"/>
      <c r="DP622" s="8"/>
      <c r="DQ622" s="8"/>
      <c r="DR622" s="8"/>
      <c r="DZ622" s="45"/>
      <c r="EA622" s="89"/>
      <c r="EB622" s="89"/>
      <c r="EC622" s="89"/>
      <c r="ED622" s="89"/>
      <c r="EE622" s="89"/>
      <c r="EF622" s="89"/>
      <c r="EG622" s="89"/>
      <c r="EH622" s="89"/>
      <c r="EI622" s="89"/>
      <c r="EJ622" s="89"/>
      <c r="EK622" s="91"/>
      <c r="EL622" s="66"/>
      <c r="EM622" s="94"/>
      <c r="EN622" s="94"/>
      <c r="EO622" s="92"/>
      <c r="EP622" s="93"/>
      <c r="EQ622" s="23"/>
      <c r="ER622" s="94"/>
      <c r="ES622" s="94"/>
      <c r="ET622" s="94"/>
      <c r="EU622" s="94"/>
      <c r="EV622" s="95"/>
      <c r="EW622" s="91"/>
      <c r="EX622" s="95"/>
      <c r="EY622" s="8"/>
      <c r="EZ622" s="96"/>
      <c r="FA622" s="91"/>
      <c r="FB622" s="97"/>
      <c r="FC622" s="8"/>
      <c r="FD622" s="91"/>
      <c r="FE622" s="98"/>
      <c r="FF622" s="5"/>
    </row>
    <row r="623" spans="37:162">
      <c r="AK623" s="89"/>
      <c r="AL623" s="8"/>
      <c r="AM623" s="8"/>
      <c r="AN623" s="8"/>
      <c r="AO623" s="8"/>
      <c r="AP623" s="8"/>
      <c r="AQ623" s="8"/>
      <c r="AR623" s="8"/>
      <c r="AZ623" s="45"/>
      <c r="BA623" s="89"/>
      <c r="BB623" s="89"/>
      <c r="BC623" s="89"/>
      <c r="BD623" s="89"/>
      <c r="BE623" s="89"/>
      <c r="BF623" s="89"/>
      <c r="BG623" s="89"/>
      <c r="BH623" s="89"/>
      <c r="BI623" s="89"/>
      <c r="BJ623" s="89"/>
      <c r="BK623" s="91"/>
      <c r="BL623" s="66"/>
      <c r="BM623" s="94"/>
      <c r="BN623" s="94"/>
      <c r="BO623" s="92"/>
      <c r="BP623" s="93"/>
      <c r="BQ623" s="23"/>
      <c r="BR623" s="94"/>
      <c r="BS623" s="94"/>
      <c r="BT623" s="94"/>
      <c r="BU623" s="94"/>
      <c r="BV623" s="95"/>
      <c r="BW623" s="91"/>
      <c r="BX623" s="95"/>
      <c r="BY623" s="8"/>
      <c r="BZ623" s="96"/>
      <c r="CA623" s="91"/>
      <c r="CB623" s="97"/>
      <c r="CC623" s="8"/>
      <c r="CD623" s="91"/>
      <c r="CE623" s="98"/>
      <c r="CF623" s="5"/>
      <c r="DK623" s="89"/>
      <c r="DL623" s="8"/>
      <c r="DM623" s="8"/>
      <c r="DN623" s="8"/>
      <c r="DO623" s="8"/>
      <c r="DP623" s="8"/>
      <c r="DQ623" s="8"/>
      <c r="DR623" s="8"/>
      <c r="DZ623" s="45"/>
      <c r="EA623" s="89"/>
      <c r="EB623" s="89"/>
      <c r="EC623" s="89"/>
      <c r="ED623" s="89"/>
      <c r="EE623" s="89"/>
      <c r="EF623" s="89"/>
      <c r="EG623" s="89"/>
      <c r="EH623" s="89"/>
      <c r="EI623" s="89"/>
      <c r="EJ623" s="89"/>
      <c r="EK623" s="91"/>
      <c r="EL623" s="66"/>
      <c r="EM623" s="94"/>
      <c r="EN623" s="94"/>
      <c r="EO623" s="92"/>
      <c r="EP623" s="93"/>
      <c r="EQ623" s="23"/>
      <c r="ER623" s="94"/>
      <c r="ES623" s="94"/>
      <c r="ET623" s="94"/>
      <c r="EU623" s="94"/>
      <c r="EV623" s="95"/>
      <c r="EW623" s="91"/>
      <c r="EX623" s="95"/>
      <c r="EY623" s="8"/>
      <c r="EZ623" s="96"/>
      <c r="FA623" s="91"/>
      <c r="FB623" s="97"/>
      <c r="FC623" s="8"/>
      <c r="FD623" s="91"/>
      <c r="FE623" s="98"/>
      <c r="FF623" s="5"/>
    </row>
    <row r="624" spans="37:162">
      <c r="AK624" s="89"/>
      <c r="AL624" s="8"/>
      <c r="AM624" s="8"/>
      <c r="AN624" s="8"/>
      <c r="AO624" s="8"/>
      <c r="AP624" s="8"/>
      <c r="AQ624" s="8"/>
      <c r="AR624" s="8"/>
      <c r="AZ624" s="45"/>
      <c r="BA624" s="89"/>
      <c r="BB624" s="89"/>
      <c r="BC624" s="89"/>
      <c r="BD624" s="89"/>
      <c r="BE624" s="89"/>
      <c r="BF624" s="89"/>
      <c r="BG624" s="89"/>
      <c r="BH624" s="89"/>
      <c r="BI624" s="89"/>
      <c r="BJ624" s="89"/>
      <c r="BK624" s="91"/>
      <c r="BL624" s="66"/>
      <c r="BM624" s="94"/>
      <c r="BN624" s="94"/>
      <c r="BO624" s="92"/>
      <c r="BP624" s="93"/>
      <c r="BQ624" s="23"/>
      <c r="BR624" s="94"/>
      <c r="BS624" s="94"/>
      <c r="BT624" s="94"/>
      <c r="BU624" s="94"/>
      <c r="BV624" s="95"/>
      <c r="BW624" s="91"/>
      <c r="BX624" s="95"/>
      <c r="BY624" s="8"/>
      <c r="BZ624" s="96"/>
      <c r="CA624" s="91"/>
      <c r="CB624" s="97"/>
      <c r="CC624" s="8"/>
      <c r="CD624" s="91"/>
      <c r="CE624" s="98"/>
      <c r="CF624" s="5"/>
      <c r="DK624" s="89"/>
      <c r="DL624" s="8"/>
      <c r="DM624" s="8"/>
      <c r="DN624" s="8"/>
      <c r="DO624" s="8"/>
      <c r="DP624" s="8"/>
      <c r="DQ624" s="8"/>
      <c r="DR624" s="8"/>
      <c r="DZ624" s="45"/>
      <c r="EA624" s="89"/>
      <c r="EB624" s="89"/>
      <c r="EC624" s="89"/>
      <c r="ED624" s="89"/>
      <c r="EE624" s="89"/>
      <c r="EF624" s="89"/>
      <c r="EG624" s="89"/>
      <c r="EH624" s="89"/>
      <c r="EI624" s="89"/>
      <c r="EJ624" s="89"/>
      <c r="EK624" s="91"/>
      <c r="EL624" s="66"/>
      <c r="EM624" s="94"/>
      <c r="EN624" s="94"/>
      <c r="EO624" s="92"/>
      <c r="EP624" s="93"/>
      <c r="EQ624" s="23"/>
      <c r="ER624" s="94"/>
      <c r="ES624" s="94"/>
      <c r="ET624" s="94"/>
      <c r="EU624" s="94"/>
      <c r="EV624" s="95"/>
      <c r="EW624" s="91"/>
      <c r="EX624" s="95"/>
      <c r="EY624" s="8"/>
      <c r="EZ624" s="96"/>
      <c r="FA624" s="91"/>
      <c r="FB624" s="97"/>
      <c r="FC624" s="8"/>
      <c r="FD624" s="91"/>
      <c r="FE624" s="98"/>
      <c r="FF624" s="5"/>
    </row>
    <row r="625" spans="37:162">
      <c r="AK625" s="89"/>
      <c r="AL625" s="8"/>
      <c r="AM625" s="8"/>
      <c r="AN625" s="8"/>
      <c r="AO625" s="8"/>
      <c r="AP625" s="8"/>
      <c r="AQ625" s="8"/>
      <c r="AR625" s="8"/>
      <c r="AZ625" s="45"/>
      <c r="BA625" s="89"/>
      <c r="BB625" s="89"/>
      <c r="BC625" s="89"/>
      <c r="BD625" s="89"/>
      <c r="BE625" s="89"/>
      <c r="BF625" s="89"/>
      <c r="BG625" s="89"/>
      <c r="BH625" s="89"/>
      <c r="BI625" s="89"/>
      <c r="BJ625" s="89"/>
      <c r="BK625" s="91"/>
      <c r="BL625" s="66"/>
      <c r="BM625" s="94"/>
      <c r="BN625" s="94"/>
      <c r="BO625" s="92"/>
      <c r="BP625" s="93"/>
      <c r="BQ625" s="23"/>
      <c r="BR625" s="94"/>
      <c r="BS625" s="94"/>
      <c r="BT625" s="94"/>
      <c r="BU625" s="94"/>
      <c r="BV625" s="95"/>
      <c r="BW625" s="91"/>
      <c r="BX625" s="95"/>
      <c r="BY625" s="8"/>
      <c r="BZ625" s="96"/>
      <c r="CA625" s="91"/>
      <c r="CB625" s="97"/>
      <c r="CC625" s="8"/>
      <c r="CD625" s="91"/>
      <c r="CE625" s="98"/>
      <c r="CF625" s="5"/>
      <c r="DK625" s="89"/>
      <c r="DL625" s="8"/>
      <c r="DM625" s="8"/>
      <c r="DN625" s="8"/>
      <c r="DO625" s="8"/>
      <c r="DP625" s="8"/>
      <c r="DQ625" s="8"/>
      <c r="DR625" s="8"/>
      <c r="DZ625" s="45"/>
      <c r="EA625" s="89"/>
      <c r="EB625" s="89"/>
      <c r="EC625" s="89"/>
      <c r="ED625" s="89"/>
      <c r="EE625" s="89"/>
      <c r="EF625" s="89"/>
      <c r="EG625" s="89"/>
      <c r="EH625" s="89"/>
      <c r="EI625" s="89"/>
      <c r="EJ625" s="89"/>
      <c r="EK625" s="91"/>
      <c r="EL625" s="66"/>
      <c r="EM625" s="94"/>
      <c r="EN625" s="94"/>
      <c r="EO625" s="92"/>
      <c r="EP625" s="93"/>
      <c r="EQ625" s="23"/>
      <c r="ER625" s="94"/>
      <c r="ES625" s="94"/>
      <c r="ET625" s="94"/>
      <c r="EU625" s="94"/>
      <c r="EV625" s="95"/>
      <c r="EW625" s="91"/>
      <c r="EX625" s="95"/>
      <c r="EY625" s="8"/>
      <c r="EZ625" s="96"/>
      <c r="FA625" s="91"/>
      <c r="FB625" s="97"/>
      <c r="FC625" s="8"/>
      <c r="FD625" s="91"/>
      <c r="FE625" s="98"/>
      <c r="FF625" s="5"/>
    </row>
    <row r="626" spans="37:162">
      <c r="AK626" s="89"/>
      <c r="AL626" s="8"/>
      <c r="AM626" s="8"/>
      <c r="AN626" s="8"/>
      <c r="AO626" s="8"/>
      <c r="AP626" s="8"/>
      <c r="AQ626" s="8"/>
      <c r="AR626" s="8"/>
      <c r="AZ626" s="45"/>
      <c r="BA626" s="89"/>
      <c r="BB626" s="89"/>
      <c r="BC626" s="89"/>
      <c r="BD626" s="89"/>
      <c r="BE626" s="89"/>
      <c r="BF626" s="89"/>
      <c r="BG626" s="89"/>
      <c r="BH626" s="89"/>
      <c r="BI626" s="89"/>
      <c r="BJ626" s="89"/>
      <c r="BK626" s="91"/>
      <c r="BL626" s="66"/>
      <c r="BM626" s="94"/>
      <c r="BN626" s="94"/>
      <c r="BO626" s="92"/>
      <c r="BP626" s="93"/>
      <c r="BQ626" s="23"/>
      <c r="BR626" s="94"/>
      <c r="BS626" s="94"/>
      <c r="BT626" s="94"/>
      <c r="BU626" s="94"/>
      <c r="BV626" s="95"/>
      <c r="BW626" s="91"/>
      <c r="BX626" s="95"/>
      <c r="BY626" s="8"/>
      <c r="BZ626" s="96"/>
      <c r="CA626" s="91"/>
      <c r="CB626" s="97"/>
      <c r="CC626" s="8"/>
      <c r="CD626" s="91"/>
      <c r="CE626" s="98"/>
      <c r="CF626" s="5"/>
      <c r="DK626" s="89"/>
      <c r="DL626" s="8"/>
      <c r="DM626" s="8"/>
      <c r="DN626" s="8"/>
      <c r="DO626" s="8"/>
      <c r="DP626" s="8"/>
      <c r="DQ626" s="8"/>
      <c r="DR626" s="8"/>
      <c r="DZ626" s="45"/>
      <c r="EA626" s="89"/>
      <c r="EB626" s="89"/>
      <c r="EC626" s="89"/>
      <c r="ED626" s="89"/>
      <c r="EE626" s="89"/>
      <c r="EF626" s="89"/>
      <c r="EG626" s="89"/>
      <c r="EH626" s="89"/>
      <c r="EI626" s="89"/>
      <c r="EJ626" s="89"/>
      <c r="EK626" s="91"/>
      <c r="EL626" s="66"/>
      <c r="EM626" s="94"/>
      <c r="EN626" s="94"/>
      <c r="EO626" s="92"/>
      <c r="EP626" s="93"/>
      <c r="EQ626" s="23"/>
      <c r="ER626" s="94"/>
      <c r="ES626" s="94"/>
      <c r="ET626" s="94"/>
      <c r="EU626" s="94"/>
      <c r="EV626" s="95"/>
      <c r="EW626" s="91"/>
      <c r="EX626" s="95"/>
      <c r="EY626" s="8"/>
      <c r="EZ626" s="96"/>
      <c r="FA626" s="91"/>
      <c r="FB626" s="97"/>
      <c r="FC626" s="8"/>
      <c r="FD626" s="91"/>
      <c r="FE626" s="98"/>
      <c r="FF626" s="5"/>
    </row>
    <row r="627" spans="37:162">
      <c r="AK627" s="89"/>
      <c r="AL627" s="8"/>
      <c r="AM627" s="8"/>
      <c r="AN627" s="8"/>
      <c r="AO627" s="8"/>
      <c r="AP627" s="8"/>
      <c r="AQ627" s="8"/>
      <c r="AR627" s="8"/>
      <c r="AZ627" s="45"/>
      <c r="BA627" s="89"/>
      <c r="BB627" s="89"/>
      <c r="BC627" s="89"/>
      <c r="BD627" s="89"/>
      <c r="BE627" s="89"/>
      <c r="BF627" s="89"/>
      <c r="BG627" s="89"/>
      <c r="BH627" s="89"/>
      <c r="BI627" s="89"/>
      <c r="BJ627" s="89"/>
      <c r="BK627" s="91"/>
      <c r="BL627" s="66"/>
      <c r="BM627" s="94"/>
      <c r="BN627" s="94"/>
      <c r="BO627" s="92"/>
      <c r="BP627" s="93"/>
      <c r="BQ627" s="23"/>
      <c r="BR627" s="94"/>
      <c r="BS627" s="94"/>
      <c r="BT627" s="94"/>
      <c r="BU627" s="94"/>
      <c r="BV627" s="95"/>
      <c r="BW627" s="91"/>
      <c r="BX627" s="95"/>
      <c r="BY627" s="8"/>
      <c r="BZ627" s="96"/>
      <c r="CA627" s="91"/>
      <c r="CB627" s="97"/>
      <c r="CC627" s="8"/>
      <c r="CD627" s="91"/>
      <c r="CE627" s="98"/>
      <c r="CF627" s="5"/>
      <c r="DK627" s="89"/>
      <c r="DL627" s="8"/>
      <c r="DM627" s="8"/>
      <c r="DN627" s="8"/>
      <c r="DO627" s="8"/>
      <c r="DP627" s="8"/>
      <c r="DQ627" s="8"/>
      <c r="DR627" s="8"/>
      <c r="DZ627" s="45"/>
      <c r="EA627" s="89"/>
      <c r="EB627" s="89"/>
      <c r="EC627" s="89"/>
      <c r="ED627" s="89"/>
      <c r="EE627" s="89"/>
      <c r="EF627" s="89"/>
      <c r="EG627" s="89"/>
      <c r="EH627" s="89"/>
      <c r="EI627" s="89"/>
      <c r="EJ627" s="89"/>
      <c r="EK627" s="91"/>
      <c r="EL627" s="66"/>
      <c r="EM627" s="94"/>
      <c r="EN627" s="94"/>
      <c r="EO627" s="92"/>
      <c r="EP627" s="93"/>
      <c r="EQ627" s="23"/>
      <c r="ER627" s="94"/>
      <c r="ES627" s="94"/>
      <c r="ET627" s="94"/>
      <c r="EU627" s="94"/>
      <c r="EV627" s="95"/>
      <c r="EW627" s="91"/>
      <c r="EX627" s="95"/>
      <c r="EY627" s="8"/>
      <c r="EZ627" s="96"/>
      <c r="FA627" s="91"/>
      <c r="FB627" s="97"/>
      <c r="FC627" s="8"/>
      <c r="FD627" s="91"/>
      <c r="FE627" s="98"/>
      <c r="FF627" s="5"/>
    </row>
    <row r="628" spans="37:162">
      <c r="AK628" s="89"/>
      <c r="AL628" s="8"/>
      <c r="AM628" s="8"/>
      <c r="AN628" s="8"/>
      <c r="AO628" s="8"/>
      <c r="AP628" s="8"/>
      <c r="AQ628" s="8"/>
      <c r="AR628" s="8"/>
      <c r="AZ628" s="45"/>
      <c r="BA628" s="89"/>
      <c r="BB628" s="89"/>
      <c r="BC628" s="89"/>
      <c r="BD628" s="89"/>
      <c r="BE628" s="89"/>
      <c r="BF628" s="89"/>
      <c r="BG628" s="89"/>
      <c r="BH628" s="89"/>
      <c r="BI628" s="89"/>
      <c r="BJ628" s="89"/>
      <c r="BK628" s="91"/>
      <c r="BL628" s="66"/>
      <c r="BM628" s="94"/>
      <c r="BN628" s="94"/>
      <c r="BO628" s="92"/>
      <c r="BP628" s="93"/>
      <c r="BQ628" s="23"/>
      <c r="BR628" s="94"/>
      <c r="BS628" s="94"/>
      <c r="BT628" s="94"/>
      <c r="BU628" s="94"/>
      <c r="BV628" s="95"/>
      <c r="BW628" s="91"/>
      <c r="BX628" s="95"/>
      <c r="BY628" s="8"/>
      <c r="BZ628" s="96"/>
      <c r="CA628" s="91"/>
      <c r="CB628" s="97"/>
      <c r="CC628" s="8"/>
      <c r="CD628" s="91"/>
      <c r="CE628" s="98"/>
      <c r="CF628" s="5"/>
      <c r="DK628" s="89"/>
      <c r="DL628" s="8"/>
      <c r="DM628" s="8"/>
      <c r="DN628" s="8"/>
      <c r="DO628" s="8"/>
      <c r="DP628" s="8"/>
      <c r="DQ628" s="8"/>
      <c r="DR628" s="8"/>
      <c r="DZ628" s="45"/>
      <c r="EA628" s="89"/>
      <c r="EB628" s="89"/>
      <c r="EC628" s="89"/>
      <c r="ED628" s="89"/>
      <c r="EE628" s="89"/>
      <c r="EF628" s="89"/>
      <c r="EG628" s="89"/>
      <c r="EH628" s="89"/>
      <c r="EI628" s="89"/>
      <c r="EJ628" s="89"/>
      <c r="EK628" s="91"/>
      <c r="EL628" s="66"/>
      <c r="EM628" s="94"/>
      <c r="EN628" s="94"/>
      <c r="EO628" s="92"/>
      <c r="EP628" s="93"/>
      <c r="EQ628" s="23"/>
      <c r="ER628" s="94"/>
      <c r="ES628" s="94"/>
      <c r="ET628" s="94"/>
      <c r="EU628" s="94"/>
      <c r="EV628" s="95"/>
      <c r="EW628" s="91"/>
      <c r="EX628" s="95"/>
      <c r="EY628" s="8"/>
      <c r="EZ628" s="96"/>
      <c r="FA628" s="91"/>
      <c r="FB628" s="97"/>
      <c r="FC628" s="8"/>
      <c r="FD628" s="91"/>
      <c r="FE628" s="98"/>
      <c r="FF628" s="5"/>
    </row>
    <row r="629" spans="37:162">
      <c r="AK629" s="89"/>
      <c r="AL629" s="8"/>
      <c r="AM629" s="8"/>
      <c r="AN629" s="8"/>
      <c r="AO629" s="8"/>
      <c r="AP629" s="8"/>
      <c r="AQ629" s="8"/>
      <c r="AR629" s="8"/>
      <c r="AZ629" s="45"/>
      <c r="BA629" s="89"/>
      <c r="BB629" s="89"/>
      <c r="BC629" s="89"/>
      <c r="BD629" s="89"/>
      <c r="BE629" s="89"/>
      <c r="BF629" s="89"/>
      <c r="BG629" s="89"/>
      <c r="BH629" s="89"/>
      <c r="BI629" s="89"/>
      <c r="BJ629" s="89"/>
      <c r="BK629" s="91"/>
      <c r="BL629" s="66"/>
      <c r="BM629" s="94"/>
      <c r="BN629" s="94"/>
      <c r="BO629" s="92"/>
      <c r="BP629" s="93"/>
      <c r="BQ629" s="23"/>
      <c r="BR629" s="94"/>
      <c r="BS629" s="94"/>
      <c r="BT629" s="94"/>
      <c r="BU629" s="94"/>
      <c r="BV629" s="95"/>
      <c r="BW629" s="91"/>
      <c r="BX629" s="95"/>
      <c r="BY629" s="8"/>
      <c r="BZ629" s="96"/>
      <c r="CA629" s="91"/>
      <c r="CB629" s="97"/>
      <c r="CC629" s="8"/>
      <c r="CD629" s="91"/>
      <c r="CE629" s="98"/>
      <c r="CF629" s="5"/>
      <c r="DK629" s="89"/>
      <c r="DL629" s="8"/>
      <c r="DM629" s="8"/>
      <c r="DN629" s="8"/>
      <c r="DO629" s="8"/>
      <c r="DP629" s="8"/>
      <c r="DQ629" s="8"/>
      <c r="DR629" s="8"/>
      <c r="DZ629" s="45"/>
      <c r="EA629" s="89"/>
      <c r="EB629" s="89"/>
      <c r="EC629" s="89"/>
      <c r="ED629" s="89"/>
      <c r="EE629" s="89"/>
      <c r="EF629" s="89"/>
      <c r="EG629" s="89"/>
      <c r="EH629" s="89"/>
      <c r="EI629" s="89"/>
      <c r="EJ629" s="89"/>
      <c r="EK629" s="91"/>
      <c r="EL629" s="66"/>
      <c r="EM629" s="94"/>
      <c r="EN629" s="94"/>
      <c r="EO629" s="92"/>
      <c r="EP629" s="93"/>
      <c r="EQ629" s="23"/>
      <c r="ER629" s="94"/>
      <c r="ES629" s="94"/>
      <c r="ET629" s="94"/>
      <c r="EU629" s="94"/>
      <c r="EV629" s="95"/>
      <c r="EW629" s="91"/>
      <c r="EX629" s="95"/>
      <c r="EY629" s="8"/>
      <c r="EZ629" s="96"/>
      <c r="FA629" s="91"/>
      <c r="FB629" s="97"/>
      <c r="FC629" s="8"/>
      <c r="FD629" s="91"/>
      <c r="FE629" s="98"/>
      <c r="FF629" s="5"/>
    </row>
    <row r="630" spans="37:162">
      <c r="AK630" s="89"/>
      <c r="AL630" s="8"/>
      <c r="AM630" s="8"/>
      <c r="AN630" s="8"/>
      <c r="AO630" s="8"/>
      <c r="AP630" s="8"/>
      <c r="AQ630" s="8"/>
      <c r="AR630" s="8"/>
      <c r="AZ630" s="45"/>
      <c r="BA630" s="89"/>
      <c r="BB630" s="89"/>
      <c r="BC630" s="89"/>
      <c r="BD630" s="89"/>
      <c r="BE630" s="89"/>
      <c r="BF630" s="89"/>
      <c r="BG630" s="89"/>
      <c r="BH630" s="89"/>
      <c r="BI630" s="89"/>
      <c r="BJ630" s="89"/>
      <c r="BK630" s="91"/>
      <c r="BL630" s="66"/>
      <c r="BM630" s="94"/>
      <c r="BN630" s="94"/>
      <c r="BO630" s="92"/>
      <c r="BP630" s="93"/>
      <c r="BQ630" s="23"/>
      <c r="BR630" s="94"/>
      <c r="BS630" s="94"/>
      <c r="BT630" s="94"/>
      <c r="BU630" s="94"/>
      <c r="BV630" s="95"/>
      <c r="BW630" s="91"/>
      <c r="BX630" s="95"/>
      <c r="BY630" s="8"/>
      <c r="BZ630" s="96"/>
      <c r="CA630" s="91"/>
      <c r="CB630" s="97"/>
      <c r="CC630" s="8"/>
      <c r="CD630" s="91"/>
      <c r="CE630" s="98"/>
      <c r="CF630" s="5"/>
      <c r="DK630" s="89"/>
      <c r="DL630" s="8"/>
      <c r="DM630" s="8"/>
      <c r="DN630" s="8"/>
      <c r="DO630" s="8"/>
      <c r="DP630" s="8"/>
      <c r="DQ630" s="8"/>
      <c r="DR630" s="8"/>
      <c r="DZ630" s="45"/>
      <c r="EA630" s="89"/>
      <c r="EB630" s="89"/>
      <c r="EC630" s="89"/>
      <c r="ED630" s="89"/>
      <c r="EE630" s="89"/>
      <c r="EF630" s="89"/>
      <c r="EG630" s="89"/>
      <c r="EH630" s="89"/>
      <c r="EI630" s="89"/>
      <c r="EJ630" s="89"/>
      <c r="EK630" s="91"/>
      <c r="EL630" s="66"/>
      <c r="EM630" s="94"/>
      <c r="EN630" s="94"/>
      <c r="EO630" s="92"/>
      <c r="EP630" s="93"/>
      <c r="EQ630" s="23"/>
      <c r="ER630" s="94"/>
      <c r="ES630" s="94"/>
      <c r="ET630" s="94"/>
      <c r="EU630" s="94"/>
      <c r="EV630" s="95"/>
      <c r="EW630" s="91"/>
      <c r="EX630" s="95"/>
      <c r="EY630" s="8"/>
      <c r="EZ630" s="96"/>
      <c r="FA630" s="91"/>
      <c r="FB630" s="97"/>
      <c r="FC630" s="8"/>
      <c r="FD630" s="91"/>
      <c r="FE630" s="98"/>
      <c r="FF630" s="5"/>
    </row>
    <row r="631" spans="37:162">
      <c r="AK631" s="89"/>
      <c r="AL631" s="8"/>
      <c r="AM631" s="8"/>
      <c r="AN631" s="8"/>
      <c r="AO631" s="8"/>
      <c r="AP631" s="8"/>
      <c r="AQ631" s="8"/>
      <c r="AR631" s="8"/>
      <c r="AZ631" s="45"/>
      <c r="BA631" s="89"/>
      <c r="BB631" s="89"/>
      <c r="BC631" s="89"/>
      <c r="BD631" s="89"/>
      <c r="BE631" s="89"/>
      <c r="BF631" s="89"/>
      <c r="BG631" s="89"/>
      <c r="BH631" s="89"/>
      <c r="BI631" s="89"/>
      <c r="BJ631" s="89"/>
      <c r="BK631" s="91"/>
      <c r="BL631" s="66"/>
      <c r="BM631" s="94"/>
      <c r="BN631" s="94"/>
      <c r="BO631" s="92"/>
      <c r="BP631" s="93"/>
      <c r="BQ631" s="23"/>
      <c r="BR631" s="94"/>
      <c r="BS631" s="94"/>
      <c r="BT631" s="94"/>
      <c r="BU631" s="94"/>
      <c r="BV631" s="95"/>
      <c r="BW631" s="91"/>
      <c r="BX631" s="95"/>
      <c r="BY631" s="8"/>
      <c r="BZ631" s="96"/>
      <c r="CA631" s="91"/>
      <c r="CB631" s="97"/>
      <c r="CC631" s="8"/>
      <c r="CD631" s="91"/>
      <c r="CE631" s="98"/>
      <c r="CF631" s="5"/>
      <c r="DK631" s="89"/>
      <c r="DL631" s="8"/>
      <c r="DM631" s="8"/>
      <c r="DN631" s="8"/>
      <c r="DO631" s="8"/>
      <c r="DP631" s="8"/>
      <c r="DQ631" s="8"/>
      <c r="DR631" s="8"/>
      <c r="DZ631" s="45"/>
      <c r="EA631" s="89"/>
      <c r="EB631" s="89"/>
      <c r="EC631" s="89"/>
      <c r="ED631" s="89"/>
      <c r="EE631" s="89"/>
      <c r="EF631" s="89"/>
      <c r="EG631" s="89"/>
      <c r="EH631" s="89"/>
      <c r="EI631" s="89"/>
      <c r="EJ631" s="89"/>
      <c r="EK631" s="91"/>
      <c r="EL631" s="66"/>
      <c r="EM631" s="94"/>
      <c r="EN631" s="94"/>
      <c r="EO631" s="92"/>
      <c r="EP631" s="93"/>
      <c r="EQ631" s="23"/>
      <c r="ER631" s="94"/>
      <c r="ES631" s="94"/>
      <c r="ET631" s="94"/>
      <c r="EU631" s="94"/>
      <c r="EV631" s="95"/>
      <c r="EW631" s="91"/>
      <c r="EX631" s="95"/>
      <c r="EY631" s="8"/>
      <c r="EZ631" s="96"/>
      <c r="FA631" s="91"/>
      <c r="FB631" s="97"/>
      <c r="FC631" s="8"/>
      <c r="FD631" s="91"/>
      <c r="FE631" s="98"/>
      <c r="FF631" s="5"/>
    </row>
    <row r="632" spans="37:162">
      <c r="AK632" s="89"/>
      <c r="AL632" s="8"/>
      <c r="AM632" s="8"/>
      <c r="AN632" s="8"/>
      <c r="AO632" s="8"/>
      <c r="AP632" s="8"/>
      <c r="AQ632" s="8"/>
      <c r="AR632" s="8"/>
      <c r="AZ632" s="45"/>
      <c r="BA632" s="89"/>
      <c r="BB632" s="89"/>
      <c r="BC632" s="89"/>
      <c r="BD632" s="89"/>
      <c r="BE632" s="89"/>
      <c r="BF632" s="89"/>
      <c r="BG632" s="89"/>
      <c r="BH632" s="89"/>
      <c r="BI632" s="89"/>
      <c r="BJ632" s="89"/>
      <c r="BK632" s="91"/>
      <c r="BL632" s="66"/>
      <c r="BM632" s="94"/>
      <c r="BN632" s="94"/>
      <c r="BO632" s="92"/>
      <c r="BP632" s="93"/>
      <c r="BQ632" s="23"/>
      <c r="BR632" s="94"/>
      <c r="BS632" s="94"/>
      <c r="BT632" s="94"/>
      <c r="BU632" s="94"/>
      <c r="BV632" s="95"/>
      <c r="BW632" s="91"/>
      <c r="BX632" s="95"/>
      <c r="BY632" s="8"/>
      <c r="BZ632" s="96"/>
      <c r="CA632" s="91"/>
      <c r="CB632" s="97"/>
      <c r="CC632" s="8"/>
      <c r="CD632" s="91"/>
      <c r="CE632" s="98"/>
      <c r="CF632" s="5"/>
      <c r="DK632" s="89"/>
      <c r="DL632" s="8"/>
      <c r="DM632" s="8"/>
      <c r="DN632" s="8"/>
      <c r="DO632" s="8"/>
      <c r="DP632" s="8"/>
      <c r="DQ632" s="8"/>
      <c r="DR632" s="8"/>
      <c r="DZ632" s="45"/>
      <c r="EA632" s="89"/>
      <c r="EB632" s="89"/>
      <c r="EC632" s="89"/>
      <c r="ED632" s="89"/>
      <c r="EE632" s="89"/>
      <c r="EF632" s="89"/>
      <c r="EG632" s="89"/>
      <c r="EH632" s="89"/>
      <c r="EI632" s="89"/>
      <c r="EJ632" s="89"/>
      <c r="EK632" s="91"/>
      <c r="EL632" s="66"/>
      <c r="EM632" s="94"/>
      <c r="EN632" s="94"/>
      <c r="EO632" s="92"/>
      <c r="EP632" s="93"/>
      <c r="EQ632" s="23"/>
      <c r="ER632" s="94"/>
      <c r="ES632" s="94"/>
      <c r="ET632" s="94"/>
      <c r="EU632" s="94"/>
      <c r="EV632" s="95"/>
      <c r="EW632" s="91"/>
      <c r="EX632" s="95"/>
      <c r="EY632" s="8"/>
      <c r="EZ632" s="96"/>
      <c r="FA632" s="91"/>
      <c r="FB632" s="97"/>
      <c r="FC632" s="8"/>
      <c r="FD632" s="91"/>
      <c r="FE632" s="98"/>
      <c r="FF632" s="5"/>
    </row>
    <row r="633" spans="37:162">
      <c r="AK633" s="89"/>
      <c r="AL633" s="8"/>
      <c r="AM633" s="8"/>
      <c r="AN633" s="8"/>
      <c r="AO633" s="8"/>
      <c r="AP633" s="8"/>
      <c r="AQ633" s="8"/>
      <c r="AR633" s="8"/>
      <c r="AZ633" s="45"/>
      <c r="BA633" s="89"/>
      <c r="BB633" s="89"/>
      <c r="BC633" s="89"/>
      <c r="BD633" s="89"/>
      <c r="BE633" s="89"/>
      <c r="BF633" s="89"/>
      <c r="BG633" s="89"/>
      <c r="BH633" s="89"/>
      <c r="BI633" s="89"/>
      <c r="BJ633" s="89"/>
      <c r="BK633" s="91"/>
      <c r="BL633" s="66"/>
      <c r="BM633" s="94"/>
      <c r="BN633" s="94"/>
      <c r="BO633" s="92"/>
      <c r="BP633" s="93"/>
      <c r="BQ633" s="23"/>
      <c r="BR633" s="94"/>
      <c r="BS633" s="94"/>
      <c r="BT633" s="94"/>
      <c r="BU633" s="94"/>
      <c r="BV633" s="95"/>
      <c r="BW633" s="91"/>
      <c r="BX633" s="95"/>
      <c r="BY633" s="8"/>
      <c r="BZ633" s="96"/>
      <c r="CA633" s="91"/>
      <c r="CB633" s="97"/>
      <c r="CC633" s="8"/>
      <c r="CD633" s="91"/>
      <c r="CE633" s="98"/>
      <c r="CF633" s="5"/>
      <c r="DK633" s="89"/>
      <c r="DL633" s="8"/>
      <c r="DM633" s="8"/>
      <c r="DN633" s="8"/>
      <c r="DO633" s="8"/>
      <c r="DP633" s="8"/>
      <c r="DQ633" s="8"/>
      <c r="DR633" s="8"/>
      <c r="DZ633" s="45"/>
      <c r="EA633" s="89"/>
      <c r="EB633" s="89"/>
      <c r="EC633" s="89"/>
      <c r="ED633" s="89"/>
      <c r="EE633" s="89"/>
      <c r="EF633" s="89"/>
      <c r="EG633" s="89"/>
      <c r="EH633" s="89"/>
      <c r="EI633" s="89"/>
      <c r="EJ633" s="89"/>
      <c r="EK633" s="91"/>
      <c r="EL633" s="66"/>
      <c r="EM633" s="94"/>
      <c r="EN633" s="94"/>
      <c r="EO633" s="92"/>
      <c r="EP633" s="93"/>
      <c r="EQ633" s="23"/>
      <c r="ER633" s="94"/>
      <c r="ES633" s="94"/>
      <c r="ET633" s="94"/>
      <c r="EU633" s="94"/>
      <c r="EV633" s="95"/>
      <c r="EW633" s="91"/>
      <c r="EX633" s="95"/>
      <c r="EY633" s="8"/>
      <c r="EZ633" s="96"/>
      <c r="FA633" s="91"/>
      <c r="FB633" s="97"/>
      <c r="FC633" s="8"/>
      <c r="FD633" s="91"/>
      <c r="FE633" s="98"/>
      <c r="FF633" s="5"/>
    </row>
    <row r="634" spans="37:162">
      <c r="AK634" s="89"/>
      <c r="AL634" s="8"/>
      <c r="AM634" s="8"/>
      <c r="AN634" s="8"/>
      <c r="AO634" s="8"/>
      <c r="AP634" s="8"/>
      <c r="AQ634" s="8"/>
      <c r="AR634" s="8"/>
      <c r="AZ634" s="45"/>
      <c r="BA634" s="89"/>
      <c r="BB634" s="89"/>
      <c r="BC634" s="89"/>
      <c r="BD634" s="89"/>
      <c r="BE634" s="89"/>
      <c r="BF634" s="89"/>
      <c r="BG634" s="89"/>
      <c r="BH634" s="89"/>
      <c r="BI634" s="89"/>
      <c r="BJ634" s="89"/>
      <c r="BK634" s="91"/>
      <c r="BL634" s="66"/>
      <c r="BM634" s="94"/>
      <c r="BN634" s="94"/>
      <c r="BO634" s="92"/>
      <c r="BP634" s="93"/>
      <c r="BQ634" s="23"/>
      <c r="BR634" s="94"/>
      <c r="BS634" s="94"/>
      <c r="BT634" s="94"/>
      <c r="BU634" s="94"/>
      <c r="BV634" s="95"/>
      <c r="BW634" s="91"/>
      <c r="BX634" s="95"/>
      <c r="BY634" s="8"/>
      <c r="BZ634" s="96"/>
      <c r="CA634" s="91"/>
      <c r="CB634" s="97"/>
      <c r="CC634" s="8"/>
      <c r="CD634" s="91"/>
      <c r="CE634" s="98"/>
      <c r="CF634" s="5"/>
      <c r="DK634" s="89"/>
      <c r="DL634" s="8"/>
      <c r="DM634" s="8"/>
      <c r="DN634" s="8"/>
      <c r="DO634" s="8"/>
      <c r="DP634" s="8"/>
      <c r="DQ634" s="8"/>
      <c r="DR634" s="8"/>
      <c r="DZ634" s="45"/>
      <c r="EA634" s="89"/>
      <c r="EB634" s="89"/>
      <c r="EC634" s="89"/>
      <c r="ED634" s="89"/>
      <c r="EE634" s="89"/>
      <c r="EF634" s="89"/>
      <c r="EG634" s="89"/>
      <c r="EH634" s="89"/>
      <c r="EI634" s="89"/>
      <c r="EJ634" s="89"/>
      <c r="EK634" s="91"/>
      <c r="EL634" s="66"/>
      <c r="EM634" s="94"/>
      <c r="EN634" s="94"/>
      <c r="EO634" s="92"/>
      <c r="EP634" s="93"/>
      <c r="EQ634" s="23"/>
      <c r="ER634" s="94"/>
      <c r="ES634" s="94"/>
      <c r="ET634" s="94"/>
      <c r="EU634" s="94"/>
      <c r="EV634" s="95"/>
      <c r="EW634" s="91"/>
      <c r="EX634" s="95"/>
      <c r="EY634" s="8"/>
      <c r="EZ634" s="96"/>
      <c r="FA634" s="91"/>
      <c r="FB634" s="97"/>
      <c r="FC634" s="8"/>
      <c r="FD634" s="91"/>
      <c r="FE634" s="98"/>
      <c r="FF634" s="5"/>
    </row>
    <row r="635" spans="37:162">
      <c r="AK635" s="89"/>
      <c r="AL635" s="8"/>
      <c r="AM635" s="8"/>
      <c r="AN635" s="8"/>
      <c r="AO635" s="8"/>
      <c r="AP635" s="8"/>
      <c r="AQ635" s="8"/>
      <c r="AR635" s="8"/>
      <c r="AZ635" s="45"/>
      <c r="BA635" s="89"/>
      <c r="BB635" s="89"/>
      <c r="BC635" s="89"/>
      <c r="BD635" s="89"/>
      <c r="BE635" s="89"/>
      <c r="BF635" s="89"/>
      <c r="BG635" s="89"/>
      <c r="BH635" s="89"/>
      <c r="BI635" s="89"/>
      <c r="BJ635" s="89"/>
      <c r="BK635" s="91"/>
      <c r="BL635" s="66"/>
      <c r="BM635" s="94"/>
      <c r="BN635" s="94"/>
      <c r="BO635" s="92"/>
      <c r="BP635" s="93"/>
      <c r="BQ635" s="23"/>
      <c r="BR635" s="94"/>
      <c r="BS635" s="94"/>
      <c r="BT635" s="94"/>
      <c r="BU635" s="94"/>
      <c r="BV635" s="95"/>
      <c r="BW635" s="91"/>
      <c r="BX635" s="95"/>
      <c r="BY635" s="8"/>
      <c r="BZ635" s="96"/>
      <c r="CA635" s="91"/>
      <c r="CB635" s="97"/>
      <c r="CC635" s="8"/>
      <c r="CD635" s="91"/>
      <c r="CE635" s="98"/>
      <c r="CF635" s="5"/>
      <c r="DK635" s="89"/>
      <c r="DL635" s="8"/>
      <c r="DM635" s="8"/>
      <c r="DN635" s="8"/>
      <c r="DO635" s="8"/>
      <c r="DP635" s="8"/>
      <c r="DQ635" s="8"/>
      <c r="DR635" s="8"/>
      <c r="DZ635" s="45"/>
      <c r="EA635" s="89"/>
      <c r="EB635" s="89"/>
      <c r="EC635" s="89"/>
      <c r="ED635" s="89"/>
      <c r="EE635" s="89"/>
      <c r="EF635" s="89"/>
      <c r="EG635" s="89"/>
      <c r="EH635" s="89"/>
      <c r="EI635" s="89"/>
      <c r="EJ635" s="89"/>
      <c r="EK635" s="91"/>
      <c r="EL635" s="66"/>
      <c r="EM635" s="94"/>
      <c r="EN635" s="94"/>
      <c r="EO635" s="92"/>
      <c r="EP635" s="93"/>
      <c r="EQ635" s="23"/>
      <c r="ER635" s="94"/>
      <c r="ES635" s="94"/>
      <c r="ET635" s="94"/>
      <c r="EU635" s="94"/>
      <c r="EV635" s="95"/>
      <c r="EW635" s="91"/>
      <c r="EX635" s="95"/>
      <c r="EY635" s="8"/>
      <c r="EZ635" s="96"/>
      <c r="FA635" s="91"/>
      <c r="FB635" s="97"/>
      <c r="FC635" s="8"/>
      <c r="FD635" s="91"/>
      <c r="FE635" s="98"/>
      <c r="FF635" s="5"/>
    </row>
    <row r="636" spans="37:162">
      <c r="AK636" s="89"/>
      <c r="AL636" s="8"/>
      <c r="AM636" s="8"/>
      <c r="AN636" s="8"/>
      <c r="AO636" s="8"/>
      <c r="AP636" s="8"/>
      <c r="AQ636" s="8"/>
      <c r="AR636" s="8"/>
      <c r="AZ636" s="45"/>
      <c r="BA636" s="89"/>
      <c r="BB636" s="89"/>
      <c r="BC636" s="89"/>
      <c r="BD636" s="89"/>
      <c r="BE636" s="89"/>
      <c r="BF636" s="89"/>
      <c r="BG636" s="89"/>
      <c r="BH636" s="89"/>
      <c r="BI636" s="89"/>
      <c r="BJ636" s="89"/>
      <c r="BK636" s="91"/>
      <c r="BL636" s="66"/>
      <c r="BM636" s="94"/>
      <c r="BN636" s="94"/>
      <c r="BO636" s="92"/>
      <c r="BP636" s="93"/>
      <c r="BQ636" s="23"/>
      <c r="BR636" s="94"/>
      <c r="BS636" s="94"/>
      <c r="BT636" s="94"/>
      <c r="BU636" s="94"/>
      <c r="BV636" s="95"/>
      <c r="BW636" s="91"/>
      <c r="BX636" s="95"/>
      <c r="BY636" s="8"/>
      <c r="BZ636" s="96"/>
      <c r="CA636" s="91"/>
      <c r="CB636" s="97"/>
      <c r="CC636" s="8"/>
      <c r="CD636" s="91"/>
      <c r="CE636" s="98"/>
      <c r="CF636" s="5"/>
      <c r="DK636" s="89"/>
      <c r="DL636" s="8"/>
      <c r="DM636" s="8"/>
      <c r="DN636" s="8"/>
      <c r="DO636" s="8"/>
      <c r="DP636" s="8"/>
      <c r="DQ636" s="8"/>
      <c r="DR636" s="8"/>
      <c r="DZ636" s="45"/>
      <c r="EA636" s="89"/>
      <c r="EB636" s="89"/>
      <c r="EC636" s="89"/>
      <c r="ED636" s="89"/>
      <c r="EE636" s="89"/>
      <c r="EF636" s="89"/>
      <c r="EG636" s="89"/>
      <c r="EH636" s="89"/>
      <c r="EI636" s="89"/>
      <c r="EJ636" s="89"/>
      <c r="EK636" s="91"/>
      <c r="EL636" s="66"/>
      <c r="EM636" s="94"/>
      <c r="EN636" s="94"/>
      <c r="EO636" s="92"/>
      <c r="EP636" s="93"/>
      <c r="EQ636" s="23"/>
      <c r="ER636" s="94"/>
      <c r="ES636" s="94"/>
      <c r="ET636" s="94"/>
      <c r="EU636" s="94"/>
      <c r="EV636" s="95"/>
      <c r="EW636" s="91"/>
      <c r="EX636" s="95"/>
      <c r="EY636" s="8"/>
      <c r="EZ636" s="96"/>
      <c r="FA636" s="91"/>
      <c r="FB636" s="97"/>
      <c r="FC636" s="8"/>
      <c r="FD636" s="91"/>
      <c r="FE636" s="98"/>
      <c r="FF636" s="5"/>
    </row>
    <row r="637" spans="37:162">
      <c r="AK637" s="89"/>
      <c r="AL637" s="8"/>
      <c r="AM637" s="8"/>
      <c r="AN637" s="8"/>
      <c r="AO637" s="8"/>
      <c r="AP637" s="8"/>
      <c r="AQ637" s="8"/>
      <c r="AR637" s="8"/>
      <c r="AZ637" s="45"/>
      <c r="BA637" s="89"/>
      <c r="BB637" s="89"/>
      <c r="BC637" s="89"/>
      <c r="BD637" s="89"/>
      <c r="BE637" s="89"/>
      <c r="BF637" s="89"/>
      <c r="BG637" s="89"/>
      <c r="BH637" s="89"/>
      <c r="BI637" s="89"/>
      <c r="BJ637" s="89"/>
      <c r="BK637" s="91"/>
      <c r="BL637" s="66"/>
      <c r="BM637" s="94"/>
      <c r="BN637" s="94"/>
      <c r="BO637" s="92"/>
      <c r="BP637" s="93"/>
      <c r="BQ637" s="23"/>
      <c r="BR637" s="94"/>
      <c r="BS637" s="94"/>
      <c r="BT637" s="94"/>
      <c r="BU637" s="94"/>
      <c r="BV637" s="95"/>
      <c r="BW637" s="91"/>
      <c r="BX637" s="95"/>
      <c r="BY637" s="8"/>
      <c r="BZ637" s="96"/>
      <c r="CA637" s="91"/>
      <c r="CB637" s="97"/>
      <c r="CC637" s="8"/>
      <c r="CD637" s="91"/>
      <c r="CE637" s="98"/>
      <c r="CF637" s="5"/>
      <c r="DK637" s="89"/>
      <c r="DL637" s="8"/>
      <c r="DM637" s="8"/>
      <c r="DN637" s="8"/>
      <c r="DO637" s="8"/>
      <c r="DP637" s="8"/>
      <c r="DQ637" s="8"/>
      <c r="DR637" s="8"/>
      <c r="DZ637" s="45"/>
      <c r="EA637" s="89"/>
      <c r="EB637" s="89"/>
      <c r="EC637" s="89"/>
      <c r="ED637" s="89"/>
      <c r="EE637" s="89"/>
      <c r="EF637" s="89"/>
      <c r="EG637" s="89"/>
      <c r="EH637" s="89"/>
      <c r="EI637" s="89"/>
      <c r="EJ637" s="89"/>
      <c r="EK637" s="91"/>
      <c r="EL637" s="66"/>
      <c r="EM637" s="94"/>
      <c r="EN637" s="94"/>
      <c r="EO637" s="92"/>
      <c r="EP637" s="93"/>
      <c r="EQ637" s="23"/>
      <c r="ER637" s="94"/>
      <c r="ES637" s="94"/>
      <c r="ET637" s="94"/>
      <c r="EU637" s="94"/>
      <c r="EV637" s="95"/>
      <c r="EW637" s="91"/>
      <c r="EX637" s="95"/>
      <c r="EY637" s="8"/>
      <c r="EZ637" s="96"/>
      <c r="FA637" s="91"/>
      <c r="FB637" s="97"/>
      <c r="FC637" s="8"/>
      <c r="FD637" s="91"/>
      <c r="FE637" s="98"/>
      <c r="FF637" s="5"/>
    </row>
    <row r="638" spans="37:162">
      <c r="AK638" s="89"/>
      <c r="AL638" s="8"/>
      <c r="AM638" s="8"/>
      <c r="AN638" s="8"/>
      <c r="AO638" s="8"/>
      <c r="AP638" s="8"/>
      <c r="AQ638" s="8"/>
      <c r="AR638" s="8"/>
      <c r="AZ638" s="45"/>
      <c r="BA638" s="89"/>
      <c r="BB638" s="89"/>
      <c r="BC638" s="89"/>
      <c r="BD638" s="89"/>
      <c r="BE638" s="89"/>
      <c r="BF638" s="89"/>
      <c r="BG638" s="89"/>
      <c r="BH638" s="89"/>
      <c r="BI638" s="89"/>
      <c r="BJ638" s="89"/>
      <c r="BK638" s="91"/>
      <c r="BL638" s="66"/>
      <c r="BM638" s="94"/>
      <c r="BN638" s="94"/>
      <c r="BO638" s="92"/>
      <c r="BP638" s="93"/>
      <c r="BQ638" s="23"/>
      <c r="BR638" s="94"/>
      <c r="BS638" s="94"/>
      <c r="BT638" s="94"/>
      <c r="BU638" s="94"/>
      <c r="BV638" s="95"/>
      <c r="BW638" s="91"/>
      <c r="BX638" s="95"/>
      <c r="BY638" s="8"/>
      <c r="BZ638" s="96"/>
      <c r="CA638" s="91"/>
      <c r="CB638" s="97"/>
      <c r="CC638" s="8"/>
      <c r="CD638" s="91"/>
      <c r="CE638" s="98"/>
      <c r="CF638" s="5"/>
      <c r="DK638" s="89"/>
      <c r="DL638" s="8"/>
      <c r="DM638" s="8"/>
      <c r="DN638" s="8"/>
      <c r="DO638" s="8"/>
      <c r="DP638" s="8"/>
      <c r="DQ638" s="8"/>
      <c r="DR638" s="8"/>
      <c r="DZ638" s="45"/>
      <c r="EA638" s="89"/>
      <c r="EB638" s="89"/>
      <c r="EC638" s="89"/>
      <c r="ED638" s="89"/>
      <c r="EE638" s="89"/>
      <c r="EF638" s="89"/>
      <c r="EG638" s="89"/>
      <c r="EH638" s="89"/>
      <c r="EI638" s="89"/>
      <c r="EJ638" s="89"/>
      <c r="EK638" s="91"/>
      <c r="EL638" s="66"/>
      <c r="EM638" s="94"/>
      <c r="EN638" s="94"/>
      <c r="EO638" s="92"/>
      <c r="EP638" s="93"/>
      <c r="EQ638" s="23"/>
      <c r="ER638" s="94"/>
      <c r="ES638" s="94"/>
      <c r="ET638" s="94"/>
      <c r="EU638" s="94"/>
      <c r="EV638" s="95"/>
      <c r="EW638" s="91"/>
      <c r="EX638" s="95"/>
      <c r="EY638" s="8"/>
      <c r="EZ638" s="96"/>
      <c r="FA638" s="91"/>
      <c r="FB638" s="97"/>
      <c r="FC638" s="8"/>
      <c r="FD638" s="91"/>
      <c r="FE638" s="98"/>
      <c r="FF638" s="5"/>
    </row>
    <row r="639" spans="37:162">
      <c r="AK639" s="89"/>
      <c r="AL639" s="8"/>
      <c r="AM639" s="8"/>
      <c r="AN639" s="8"/>
      <c r="AO639" s="8"/>
      <c r="AP639" s="8"/>
      <c r="AQ639" s="8"/>
      <c r="AR639" s="8"/>
      <c r="AZ639" s="45"/>
      <c r="BA639" s="89"/>
      <c r="BB639" s="89"/>
      <c r="BC639" s="89"/>
      <c r="BD639" s="89"/>
      <c r="BE639" s="89"/>
      <c r="BF639" s="89"/>
      <c r="BG639" s="89"/>
      <c r="BH639" s="89"/>
      <c r="BI639" s="89"/>
      <c r="BJ639" s="89"/>
      <c r="BK639" s="91"/>
      <c r="BL639" s="66"/>
      <c r="BM639" s="94"/>
      <c r="BN639" s="94"/>
      <c r="BO639" s="92"/>
      <c r="BP639" s="93"/>
      <c r="BQ639" s="23"/>
      <c r="BR639" s="94"/>
      <c r="BS639" s="94"/>
      <c r="BT639" s="94"/>
      <c r="BU639" s="94"/>
      <c r="BV639" s="95"/>
      <c r="BW639" s="91"/>
      <c r="BX639" s="95"/>
      <c r="BY639" s="8"/>
      <c r="BZ639" s="96"/>
      <c r="CA639" s="91"/>
      <c r="CB639" s="97"/>
      <c r="CC639" s="8"/>
      <c r="CD639" s="91"/>
      <c r="CE639" s="98"/>
      <c r="CF639" s="5"/>
      <c r="DK639" s="89"/>
      <c r="DL639" s="8"/>
      <c r="DM639" s="8"/>
      <c r="DN639" s="8"/>
      <c r="DO639" s="8"/>
      <c r="DP639" s="8"/>
      <c r="DQ639" s="8"/>
      <c r="DR639" s="8"/>
      <c r="DZ639" s="45"/>
      <c r="EA639" s="89"/>
      <c r="EB639" s="89"/>
      <c r="EC639" s="89"/>
      <c r="ED639" s="89"/>
      <c r="EE639" s="89"/>
      <c r="EF639" s="89"/>
      <c r="EG639" s="89"/>
      <c r="EH639" s="89"/>
      <c r="EI639" s="89"/>
      <c r="EJ639" s="89"/>
      <c r="EK639" s="91"/>
      <c r="EL639" s="66"/>
      <c r="EM639" s="94"/>
      <c r="EN639" s="94"/>
      <c r="EO639" s="92"/>
      <c r="EP639" s="93"/>
      <c r="EQ639" s="23"/>
      <c r="ER639" s="94"/>
      <c r="ES639" s="94"/>
      <c r="ET639" s="94"/>
      <c r="EU639" s="94"/>
      <c r="EV639" s="95"/>
      <c r="EW639" s="91"/>
      <c r="EX639" s="95"/>
      <c r="EY639" s="8"/>
      <c r="EZ639" s="96"/>
      <c r="FA639" s="91"/>
      <c r="FB639" s="97"/>
      <c r="FC639" s="8"/>
      <c r="FD639" s="91"/>
      <c r="FE639" s="98"/>
      <c r="FF639" s="5"/>
    </row>
    <row r="640" spans="37:162">
      <c r="AK640" s="89"/>
      <c r="AL640" s="8"/>
      <c r="AM640" s="8"/>
      <c r="AN640" s="8"/>
      <c r="AO640" s="8"/>
      <c r="AP640" s="8"/>
      <c r="AQ640" s="8"/>
      <c r="AR640" s="8"/>
      <c r="AZ640" s="45"/>
      <c r="BA640" s="89"/>
      <c r="BB640" s="89"/>
      <c r="BC640" s="89"/>
      <c r="BD640" s="89"/>
      <c r="BE640" s="89"/>
      <c r="BF640" s="89"/>
      <c r="BG640" s="89"/>
      <c r="BH640" s="89"/>
      <c r="BI640" s="89"/>
      <c r="BJ640" s="89"/>
      <c r="BK640" s="91"/>
      <c r="BL640" s="66"/>
      <c r="BM640" s="94"/>
      <c r="BN640" s="94"/>
      <c r="BO640" s="92"/>
      <c r="BP640" s="93"/>
      <c r="BQ640" s="23"/>
      <c r="BR640" s="94"/>
      <c r="BS640" s="94"/>
      <c r="BT640" s="94"/>
      <c r="BU640" s="94"/>
      <c r="BV640" s="95"/>
      <c r="BW640" s="91"/>
      <c r="BX640" s="95"/>
      <c r="BY640" s="8"/>
      <c r="BZ640" s="96"/>
      <c r="CA640" s="91"/>
      <c r="CB640" s="97"/>
      <c r="CC640" s="8"/>
      <c r="CD640" s="91"/>
      <c r="CE640" s="98"/>
      <c r="CF640" s="5"/>
      <c r="DK640" s="89"/>
      <c r="DL640" s="8"/>
      <c r="DM640" s="8"/>
      <c r="DN640" s="8"/>
      <c r="DO640" s="8"/>
      <c r="DP640" s="8"/>
      <c r="DQ640" s="8"/>
      <c r="DR640" s="8"/>
      <c r="DZ640" s="45"/>
      <c r="EA640" s="89"/>
      <c r="EB640" s="89"/>
      <c r="EC640" s="89"/>
      <c r="ED640" s="89"/>
      <c r="EE640" s="89"/>
      <c r="EF640" s="89"/>
      <c r="EG640" s="89"/>
      <c r="EH640" s="89"/>
      <c r="EI640" s="89"/>
      <c r="EJ640" s="89"/>
      <c r="EK640" s="91"/>
      <c r="EL640" s="66"/>
      <c r="EM640" s="94"/>
      <c r="EN640" s="94"/>
      <c r="EO640" s="92"/>
      <c r="EP640" s="93"/>
      <c r="EQ640" s="23"/>
      <c r="ER640" s="94"/>
      <c r="ES640" s="94"/>
      <c r="ET640" s="94"/>
      <c r="EU640" s="94"/>
      <c r="EV640" s="95"/>
      <c r="EW640" s="91"/>
      <c r="EX640" s="95"/>
      <c r="EY640" s="8"/>
      <c r="EZ640" s="96"/>
      <c r="FA640" s="91"/>
      <c r="FB640" s="97"/>
      <c r="FC640" s="8"/>
      <c r="FD640" s="91"/>
      <c r="FE640" s="98"/>
      <c r="FF640" s="5"/>
    </row>
    <row r="641" spans="37:162">
      <c r="AK641" s="89"/>
      <c r="AL641" s="8"/>
      <c r="AM641" s="8"/>
      <c r="AN641" s="8"/>
      <c r="AO641" s="8"/>
      <c r="AP641" s="8"/>
      <c r="AQ641" s="8"/>
      <c r="AR641" s="8"/>
      <c r="AZ641" s="45"/>
      <c r="BA641" s="89"/>
      <c r="BB641" s="89"/>
      <c r="BC641" s="89"/>
      <c r="BD641" s="89"/>
      <c r="BE641" s="89"/>
      <c r="BF641" s="89"/>
      <c r="BG641" s="89"/>
      <c r="BH641" s="89"/>
      <c r="BI641" s="89"/>
      <c r="BJ641" s="89"/>
      <c r="BK641" s="91"/>
      <c r="BL641" s="66"/>
      <c r="BM641" s="94"/>
      <c r="BN641" s="94"/>
      <c r="BO641" s="92"/>
      <c r="BP641" s="93"/>
      <c r="BQ641" s="23"/>
      <c r="BR641" s="94"/>
      <c r="BS641" s="94"/>
      <c r="BT641" s="94"/>
      <c r="BU641" s="94"/>
      <c r="BV641" s="95"/>
      <c r="BW641" s="91"/>
      <c r="BX641" s="95"/>
      <c r="BY641" s="8"/>
      <c r="BZ641" s="96"/>
      <c r="CA641" s="91"/>
      <c r="CB641" s="97"/>
      <c r="CC641" s="8"/>
      <c r="CD641" s="91"/>
      <c r="CE641" s="98"/>
      <c r="CF641" s="5"/>
      <c r="DK641" s="89"/>
      <c r="DL641" s="8"/>
      <c r="DM641" s="8"/>
      <c r="DN641" s="8"/>
      <c r="DO641" s="8"/>
      <c r="DP641" s="8"/>
      <c r="DQ641" s="8"/>
      <c r="DR641" s="8"/>
      <c r="DZ641" s="45"/>
      <c r="EA641" s="89"/>
      <c r="EB641" s="89"/>
      <c r="EC641" s="89"/>
      <c r="ED641" s="89"/>
      <c r="EE641" s="89"/>
      <c r="EF641" s="89"/>
      <c r="EG641" s="89"/>
      <c r="EH641" s="89"/>
      <c r="EI641" s="89"/>
      <c r="EJ641" s="89"/>
      <c r="EK641" s="91"/>
      <c r="EL641" s="66"/>
      <c r="EM641" s="94"/>
      <c r="EN641" s="94"/>
      <c r="EO641" s="92"/>
      <c r="EP641" s="93"/>
      <c r="EQ641" s="23"/>
      <c r="ER641" s="94"/>
      <c r="ES641" s="94"/>
      <c r="ET641" s="94"/>
      <c r="EU641" s="94"/>
      <c r="EV641" s="95"/>
      <c r="EW641" s="91"/>
      <c r="EX641" s="95"/>
      <c r="EY641" s="8"/>
      <c r="EZ641" s="96"/>
      <c r="FA641" s="91"/>
      <c r="FB641" s="97"/>
      <c r="FC641" s="8"/>
      <c r="FD641" s="91"/>
      <c r="FE641" s="98"/>
      <c r="FF641" s="5"/>
    </row>
    <row r="642" spans="37:162">
      <c r="AK642" s="89"/>
      <c r="AL642" s="8"/>
      <c r="AM642" s="8"/>
      <c r="AN642" s="8"/>
      <c r="AO642" s="8"/>
      <c r="AP642" s="8"/>
      <c r="AQ642" s="8"/>
      <c r="AR642" s="8"/>
      <c r="AZ642" s="45"/>
      <c r="BA642" s="89"/>
      <c r="BB642" s="89"/>
      <c r="BC642" s="89"/>
      <c r="BD642" s="89"/>
      <c r="BE642" s="89"/>
      <c r="BF642" s="89"/>
      <c r="BG642" s="89"/>
      <c r="BH642" s="89"/>
      <c r="BI642" s="89"/>
      <c r="BJ642" s="89"/>
      <c r="BK642" s="91"/>
      <c r="BL642" s="66"/>
      <c r="BM642" s="94"/>
      <c r="BN642" s="94"/>
      <c r="BO642" s="92"/>
      <c r="BP642" s="93"/>
      <c r="BQ642" s="23"/>
      <c r="BR642" s="94"/>
      <c r="BS642" s="94"/>
      <c r="BT642" s="94"/>
      <c r="BU642" s="94"/>
      <c r="BV642" s="95"/>
      <c r="BW642" s="91"/>
      <c r="BX642" s="95"/>
      <c r="BY642" s="8"/>
      <c r="BZ642" s="96"/>
      <c r="CA642" s="91"/>
      <c r="CB642" s="97"/>
      <c r="CC642" s="8"/>
      <c r="CD642" s="91"/>
      <c r="CE642" s="98"/>
      <c r="CF642" s="5"/>
      <c r="DK642" s="89"/>
      <c r="DL642" s="8"/>
      <c r="DM642" s="8"/>
      <c r="DN642" s="8"/>
      <c r="DO642" s="8"/>
      <c r="DP642" s="8"/>
      <c r="DQ642" s="8"/>
      <c r="DR642" s="8"/>
      <c r="DZ642" s="45"/>
      <c r="EA642" s="89"/>
      <c r="EB642" s="89"/>
      <c r="EC642" s="89"/>
      <c r="ED642" s="89"/>
      <c r="EE642" s="89"/>
      <c r="EF642" s="89"/>
      <c r="EG642" s="89"/>
      <c r="EH642" s="89"/>
      <c r="EI642" s="89"/>
      <c r="EJ642" s="89"/>
      <c r="EK642" s="91"/>
      <c r="EL642" s="66"/>
      <c r="EM642" s="94"/>
      <c r="EN642" s="94"/>
      <c r="EO642" s="92"/>
      <c r="EP642" s="93"/>
      <c r="EQ642" s="23"/>
      <c r="ER642" s="94"/>
      <c r="ES642" s="94"/>
      <c r="ET642" s="94"/>
      <c r="EU642" s="94"/>
      <c r="EV642" s="95"/>
      <c r="EW642" s="91"/>
      <c r="EX642" s="95"/>
      <c r="EY642" s="8"/>
      <c r="EZ642" s="96"/>
      <c r="FA642" s="91"/>
      <c r="FB642" s="97"/>
      <c r="FC642" s="8"/>
      <c r="FD642" s="91"/>
      <c r="FE642" s="98"/>
      <c r="FF642" s="5"/>
    </row>
    <row r="643" spans="37:162">
      <c r="AK643" s="89"/>
      <c r="AL643" s="8"/>
      <c r="AM643" s="8"/>
      <c r="AN643" s="8"/>
      <c r="AO643" s="8"/>
      <c r="AP643" s="8"/>
      <c r="AQ643" s="8"/>
      <c r="AR643" s="8"/>
      <c r="AZ643" s="45"/>
      <c r="BA643" s="89"/>
      <c r="BB643" s="89"/>
      <c r="BC643" s="89"/>
      <c r="BD643" s="89"/>
      <c r="BE643" s="89"/>
      <c r="BF643" s="89"/>
      <c r="BG643" s="89"/>
      <c r="BH643" s="89"/>
      <c r="BI643" s="89"/>
      <c r="BJ643" s="89"/>
      <c r="BK643" s="91"/>
      <c r="BL643" s="66"/>
      <c r="BM643" s="94"/>
      <c r="BN643" s="94"/>
      <c r="BO643" s="92"/>
      <c r="BP643" s="93"/>
      <c r="BQ643" s="23"/>
      <c r="BR643" s="94"/>
      <c r="BS643" s="94"/>
      <c r="BT643" s="94"/>
      <c r="BU643" s="94"/>
      <c r="BV643" s="95"/>
      <c r="BW643" s="91"/>
      <c r="BX643" s="95"/>
      <c r="BY643" s="8"/>
      <c r="BZ643" s="96"/>
      <c r="CA643" s="91"/>
      <c r="CB643" s="97"/>
      <c r="CC643" s="8"/>
      <c r="CD643" s="91"/>
      <c r="CE643" s="98"/>
      <c r="CF643" s="5"/>
      <c r="DK643" s="89"/>
      <c r="DL643" s="8"/>
      <c r="DM643" s="8"/>
      <c r="DN643" s="8"/>
      <c r="DO643" s="8"/>
      <c r="DP643" s="8"/>
      <c r="DQ643" s="8"/>
      <c r="DR643" s="8"/>
      <c r="DZ643" s="45"/>
      <c r="EA643" s="89"/>
      <c r="EB643" s="89"/>
      <c r="EC643" s="89"/>
      <c r="ED643" s="89"/>
      <c r="EE643" s="89"/>
      <c r="EF643" s="89"/>
      <c r="EG643" s="89"/>
      <c r="EH643" s="89"/>
      <c r="EI643" s="89"/>
      <c r="EJ643" s="89"/>
      <c r="EK643" s="91"/>
      <c r="EL643" s="66"/>
      <c r="EM643" s="94"/>
      <c r="EN643" s="94"/>
      <c r="EO643" s="92"/>
      <c r="EP643" s="93"/>
      <c r="EQ643" s="23"/>
      <c r="ER643" s="94"/>
      <c r="ES643" s="94"/>
      <c r="ET643" s="94"/>
      <c r="EU643" s="94"/>
      <c r="EV643" s="95"/>
      <c r="EW643" s="91"/>
      <c r="EX643" s="95"/>
      <c r="EY643" s="8"/>
      <c r="EZ643" s="96"/>
      <c r="FA643" s="91"/>
      <c r="FB643" s="97"/>
      <c r="FC643" s="8"/>
      <c r="FD643" s="91"/>
      <c r="FE643" s="98"/>
      <c r="FF643" s="5"/>
    </row>
    <row r="644" spans="37:162">
      <c r="AK644" s="89"/>
      <c r="AL644" s="8"/>
      <c r="AM644" s="8"/>
      <c r="AN644" s="8"/>
      <c r="AO644" s="8"/>
      <c r="AP644" s="8"/>
      <c r="AQ644" s="8"/>
      <c r="AR644" s="8"/>
      <c r="AZ644" s="45"/>
      <c r="BA644" s="89"/>
      <c r="BB644" s="89"/>
      <c r="BC644" s="89"/>
      <c r="BD644" s="89"/>
      <c r="BE644" s="89"/>
      <c r="BF644" s="89"/>
      <c r="BG644" s="89"/>
      <c r="BH644" s="89"/>
      <c r="BI644" s="89"/>
      <c r="BJ644" s="89"/>
      <c r="BK644" s="91"/>
      <c r="BL644" s="66"/>
      <c r="BM644" s="94"/>
      <c r="BN644" s="94"/>
      <c r="BO644" s="92"/>
      <c r="BP644" s="93"/>
      <c r="BQ644" s="23"/>
      <c r="BR644" s="94"/>
      <c r="BS644" s="94"/>
      <c r="BT644" s="94"/>
      <c r="BU644" s="94"/>
      <c r="BV644" s="95"/>
      <c r="BW644" s="91"/>
      <c r="BX644" s="95"/>
      <c r="BY644" s="8"/>
      <c r="BZ644" s="96"/>
      <c r="CA644" s="91"/>
      <c r="CB644" s="97"/>
      <c r="CC644" s="8"/>
      <c r="CD644" s="91"/>
      <c r="CE644" s="98"/>
      <c r="CF644" s="5"/>
      <c r="DK644" s="89"/>
      <c r="DL644" s="8"/>
      <c r="DM644" s="8"/>
      <c r="DN644" s="8"/>
      <c r="DO644" s="8"/>
      <c r="DP644" s="8"/>
      <c r="DQ644" s="8"/>
      <c r="DR644" s="8"/>
      <c r="DZ644" s="45"/>
      <c r="EA644" s="89"/>
      <c r="EB644" s="89"/>
      <c r="EC644" s="89"/>
      <c r="ED644" s="89"/>
      <c r="EE644" s="89"/>
      <c r="EF644" s="89"/>
      <c r="EG644" s="89"/>
      <c r="EH644" s="89"/>
      <c r="EI644" s="89"/>
      <c r="EJ644" s="89"/>
      <c r="EK644" s="91"/>
      <c r="EL644" s="66"/>
      <c r="EM644" s="94"/>
      <c r="EN644" s="94"/>
      <c r="EO644" s="92"/>
      <c r="EP644" s="93"/>
      <c r="EQ644" s="23"/>
      <c r="ER644" s="94"/>
      <c r="ES644" s="94"/>
      <c r="ET644" s="94"/>
      <c r="EU644" s="94"/>
      <c r="EV644" s="95"/>
      <c r="EW644" s="91"/>
      <c r="EX644" s="95"/>
      <c r="EY644" s="8"/>
      <c r="EZ644" s="96"/>
      <c r="FA644" s="91"/>
      <c r="FB644" s="97"/>
      <c r="FC644" s="8"/>
      <c r="FD644" s="91"/>
      <c r="FE644" s="98"/>
      <c r="FF644" s="5"/>
    </row>
    <row r="645" spans="37:162">
      <c r="AK645" s="89"/>
      <c r="AL645" s="8"/>
      <c r="AM645" s="8"/>
      <c r="AN645" s="8"/>
      <c r="AO645" s="8"/>
      <c r="AP645" s="8"/>
      <c r="AQ645" s="8"/>
      <c r="AR645" s="8"/>
      <c r="AZ645" s="45"/>
      <c r="BA645" s="89"/>
      <c r="BB645" s="89"/>
      <c r="BC645" s="89"/>
      <c r="BD645" s="89"/>
      <c r="BE645" s="89"/>
      <c r="BF645" s="89"/>
      <c r="BG645" s="89"/>
      <c r="BH645" s="89"/>
      <c r="BI645" s="89"/>
      <c r="BJ645" s="89"/>
      <c r="BK645" s="91"/>
      <c r="BL645" s="66"/>
      <c r="BM645" s="94"/>
      <c r="BN645" s="94"/>
      <c r="BO645" s="92"/>
      <c r="BP645" s="93"/>
      <c r="BQ645" s="23"/>
      <c r="BR645" s="94"/>
      <c r="BS645" s="94"/>
      <c r="BT645" s="94"/>
      <c r="BU645" s="94"/>
      <c r="BV645" s="95"/>
      <c r="BW645" s="91"/>
      <c r="BX645" s="95"/>
      <c r="BY645" s="8"/>
      <c r="BZ645" s="96"/>
      <c r="CA645" s="91"/>
      <c r="CB645" s="97"/>
      <c r="CC645" s="8"/>
      <c r="CD645" s="91"/>
      <c r="CE645" s="98"/>
      <c r="CF645" s="5"/>
      <c r="DK645" s="89"/>
      <c r="DL645" s="8"/>
      <c r="DM645" s="8"/>
      <c r="DN645" s="8"/>
      <c r="DO645" s="8"/>
      <c r="DP645" s="8"/>
      <c r="DQ645" s="8"/>
      <c r="DR645" s="8"/>
      <c r="DZ645" s="45"/>
      <c r="EA645" s="89"/>
      <c r="EB645" s="89"/>
      <c r="EC645" s="89"/>
      <c r="ED645" s="89"/>
      <c r="EE645" s="89"/>
      <c r="EF645" s="89"/>
      <c r="EG645" s="89"/>
      <c r="EH645" s="89"/>
      <c r="EI645" s="89"/>
      <c r="EJ645" s="89"/>
      <c r="EK645" s="91"/>
      <c r="EL645" s="66"/>
      <c r="EM645" s="94"/>
      <c r="EN645" s="94"/>
      <c r="EO645" s="92"/>
      <c r="EP645" s="93"/>
      <c r="EQ645" s="23"/>
      <c r="ER645" s="94"/>
      <c r="ES645" s="94"/>
      <c r="ET645" s="94"/>
      <c r="EU645" s="94"/>
      <c r="EV645" s="95"/>
      <c r="EW645" s="91"/>
      <c r="EX645" s="95"/>
      <c r="EY645" s="8"/>
      <c r="EZ645" s="96"/>
      <c r="FA645" s="91"/>
      <c r="FB645" s="97"/>
      <c r="FC645" s="8"/>
      <c r="FD645" s="91"/>
      <c r="FE645" s="98"/>
      <c r="FF645" s="5"/>
    </row>
    <row r="646" spans="37:162">
      <c r="AK646" s="89"/>
      <c r="AL646" s="8"/>
      <c r="AM646" s="8"/>
      <c r="AN646" s="8"/>
      <c r="AO646" s="8"/>
      <c r="AP646" s="8"/>
      <c r="AQ646" s="8"/>
      <c r="AR646" s="8"/>
      <c r="AZ646" s="45"/>
      <c r="BA646" s="89"/>
      <c r="BB646" s="89"/>
      <c r="BC646" s="89"/>
      <c r="BD646" s="89"/>
      <c r="BE646" s="89"/>
      <c r="BF646" s="89"/>
      <c r="BG646" s="89"/>
      <c r="BH646" s="89"/>
      <c r="BI646" s="89"/>
      <c r="BJ646" s="89"/>
      <c r="BK646" s="91"/>
      <c r="BL646" s="66"/>
      <c r="BM646" s="94"/>
      <c r="BN646" s="94"/>
      <c r="BO646" s="92"/>
      <c r="BP646" s="93"/>
      <c r="BQ646" s="23"/>
      <c r="BR646" s="94"/>
      <c r="BS646" s="94"/>
      <c r="BT646" s="94"/>
      <c r="BU646" s="94"/>
      <c r="BV646" s="95"/>
      <c r="BW646" s="91"/>
      <c r="BX646" s="95"/>
      <c r="BY646" s="8"/>
      <c r="BZ646" s="96"/>
      <c r="CA646" s="91"/>
      <c r="CB646" s="97"/>
      <c r="CC646" s="8"/>
      <c r="CD646" s="91"/>
      <c r="CE646" s="98"/>
      <c r="CF646" s="5"/>
      <c r="DK646" s="89"/>
      <c r="DL646" s="8"/>
      <c r="DM646" s="8"/>
      <c r="DN646" s="8"/>
      <c r="DO646" s="8"/>
      <c r="DP646" s="8"/>
      <c r="DQ646" s="8"/>
      <c r="DR646" s="8"/>
      <c r="DZ646" s="45"/>
      <c r="EA646" s="89"/>
      <c r="EB646" s="89"/>
      <c r="EC646" s="89"/>
      <c r="ED646" s="89"/>
      <c r="EE646" s="89"/>
      <c r="EF646" s="89"/>
      <c r="EG646" s="89"/>
      <c r="EH646" s="89"/>
      <c r="EI646" s="89"/>
      <c r="EJ646" s="89"/>
      <c r="EK646" s="91"/>
      <c r="EL646" s="66"/>
      <c r="EM646" s="94"/>
      <c r="EN646" s="94"/>
      <c r="EO646" s="92"/>
      <c r="EP646" s="93"/>
      <c r="EQ646" s="23"/>
      <c r="ER646" s="94"/>
      <c r="ES646" s="94"/>
      <c r="ET646" s="94"/>
      <c r="EU646" s="94"/>
      <c r="EV646" s="95"/>
      <c r="EW646" s="91"/>
      <c r="EX646" s="95"/>
      <c r="EY646" s="8"/>
      <c r="EZ646" s="96"/>
      <c r="FA646" s="91"/>
      <c r="FB646" s="97"/>
      <c r="FC646" s="8"/>
      <c r="FD646" s="91"/>
      <c r="FE646" s="98"/>
      <c r="FF646" s="5"/>
    </row>
    <row r="647" spans="37:162">
      <c r="AK647" s="89"/>
      <c r="AL647" s="8"/>
      <c r="AM647" s="8"/>
      <c r="AN647" s="8"/>
      <c r="AO647" s="8"/>
      <c r="AP647" s="8"/>
      <c r="AQ647" s="8"/>
      <c r="AR647" s="8"/>
      <c r="AZ647" s="45"/>
      <c r="BA647" s="89"/>
      <c r="BB647" s="89"/>
      <c r="BC647" s="89"/>
      <c r="BD647" s="89"/>
      <c r="BE647" s="89"/>
      <c r="BF647" s="89"/>
      <c r="BG647" s="89"/>
      <c r="BH647" s="89"/>
      <c r="BI647" s="89"/>
      <c r="BJ647" s="89"/>
      <c r="BK647" s="91"/>
      <c r="BL647" s="66"/>
      <c r="BM647" s="94"/>
      <c r="BN647" s="94"/>
      <c r="BO647" s="92"/>
      <c r="BP647" s="93"/>
      <c r="BQ647" s="23"/>
      <c r="BR647" s="94"/>
      <c r="BS647" s="94"/>
      <c r="BT647" s="94"/>
      <c r="BU647" s="94"/>
      <c r="BV647" s="95"/>
      <c r="BW647" s="91"/>
      <c r="BX647" s="95"/>
      <c r="BY647" s="8"/>
      <c r="BZ647" s="96"/>
      <c r="CA647" s="91"/>
      <c r="CB647" s="97"/>
      <c r="CC647" s="8"/>
      <c r="CD647" s="91"/>
      <c r="CE647" s="98"/>
      <c r="CF647" s="5"/>
      <c r="DK647" s="89"/>
      <c r="DL647" s="8"/>
      <c r="DM647" s="8"/>
      <c r="DN647" s="8"/>
      <c r="DO647" s="8"/>
      <c r="DP647" s="8"/>
      <c r="DQ647" s="8"/>
      <c r="DR647" s="8"/>
      <c r="DZ647" s="45"/>
      <c r="EA647" s="89"/>
      <c r="EB647" s="89"/>
      <c r="EC647" s="89"/>
      <c r="ED647" s="89"/>
      <c r="EE647" s="89"/>
      <c r="EF647" s="89"/>
      <c r="EG647" s="89"/>
      <c r="EH647" s="89"/>
      <c r="EI647" s="89"/>
      <c r="EJ647" s="89"/>
      <c r="EK647" s="91"/>
      <c r="EL647" s="66"/>
      <c r="EM647" s="94"/>
      <c r="EN647" s="94"/>
      <c r="EO647" s="92"/>
      <c r="EP647" s="93"/>
      <c r="EQ647" s="23"/>
      <c r="ER647" s="94"/>
      <c r="ES647" s="94"/>
      <c r="ET647" s="94"/>
      <c r="EU647" s="94"/>
      <c r="EV647" s="95"/>
      <c r="EW647" s="91"/>
      <c r="EX647" s="95"/>
      <c r="EY647" s="8"/>
      <c r="EZ647" s="96"/>
      <c r="FA647" s="91"/>
      <c r="FB647" s="97"/>
      <c r="FC647" s="8"/>
      <c r="FD647" s="91"/>
      <c r="FE647" s="98"/>
      <c r="FF647" s="5"/>
    </row>
    <row r="648" spans="37:162">
      <c r="AK648" s="89"/>
      <c r="AL648" s="8"/>
      <c r="AM648" s="8"/>
      <c r="AN648" s="8"/>
      <c r="AO648" s="8"/>
      <c r="AP648" s="8"/>
      <c r="AQ648" s="8"/>
      <c r="AR648" s="8"/>
      <c r="AZ648" s="45"/>
      <c r="BA648" s="89"/>
      <c r="BB648" s="89"/>
      <c r="BC648" s="89"/>
      <c r="BD648" s="89"/>
      <c r="BE648" s="89"/>
      <c r="BF648" s="89"/>
      <c r="BG648" s="89"/>
      <c r="BH648" s="89"/>
      <c r="BI648" s="89"/>
      <c r="BJ648" s="89"/>
      <c r="BK648" s="91"/>
      <c r="BL648" s="66"/>
      <c r="BM648" s="94"/>
      <c r="BN648" s="94"/>
      <c r="BO648" s="92"/>
      <c r="BP648" s="93"/>
      <c r="BQ648" s="23"/>
      <c r="BR648" s="94"/>
      <c r="BS648" s="94"/>
      <c r="BT648" s="94"/>
      <c r="BU648" s="94"/>
      <c r="BV648" s="95"/>
      <c r="BW648" s="91"/>
      <c r="BX648" s="95"/>
      <c r="BY648" s="8"/>
      <c r="BZ648" s="96"/>
      <c r="CA648" s="91"/>
      <c r="CB648" s="97"/>
      <c r="CC648" s="8"/>
      <c r="CD648" s="91"/>
      <c r="CE648" s="98"/>
      <c r="CF648" s="5"/>
      <c r="DK648" s="89"/>
      <c r="DL648" s="8"/>
      <c r="DM648" s="8"/>
      <c r="DN648" s="8"/>
      <c r="DO648" s="8"/>
      <c r="DP648" s="8"/>
      <c r="DQ648" s="8"/>
      <c r="DR648" s="8"/>
      <c r="DZ648" s="45"/>
      <c r="EA648" s="89"/>
      <c r="EB648" s="89"/>
      <c r="EC648" s="89"/>
      <c r="ED648" s="89"/>
      <c r="EE648" s="89"/>
      <c r="EF648" s="89"/>
      <c r="EG648" s="89"/>
      <c r="EH648" s="89"/>
      <c r="EI648" s="89"/>
      <c r="EJ648" s="89"/>
      <c r="EK648" s="91"/>
      <c r="EL648" s="66"/>
      <c r="EM648" s="94"/>
      <c r="EN648" s="94"/>
      <c r="EO648" s="92"/>
      <c r="EP648" s="93"/>
      <c r="EQ648" s="23"/>
      <c r="ER648" s="94"/>
      <c r="ES648" s="94"/>
      <c r="ET648" s="94"/>
      <c r="EU648" s="94"/>
      <c r="EV648" s="95"/>
      <c r="EW648" s="91"/>
      <c r="EX648" s="95"/>
      <c r="EY648" s="8"/>
      <c r="EZ648" s="96"/>
      <c r="FA648" s="91"/>
      <c r="FB648" s="97"/>
      <c r="FC648" s="8"/>
      <c r="FD648" s="91"/>
      <c r="FE648" s="98"/>
      <c r="FF648" s="5"/>
    </row>
    <row r="649" spans="37:162">
      <c r="AK649" s="89"/>
      <c r="AL649" s="8"/>
      <c r="AM649" s="8"/>
      <c r="AN649" s="8"/>
      <c r="AO649" s="8"/>
      <c r="AP649" s="8"/>
      <c r="AQ649" s="8"/>
      <c r="AR649" s="8"/>
      <c r="AZ649" s="45"/>
      <c r="BA649" s="89"/>
      <c r="BB649" s="89"/>
      <c r="BC649" s="89"/>
      <c r="BD649" s="89"/>
      <c r="BE649" s="89"/>
      <c r="BF649" s="89"/>
      <c r="BG649" s="89"/>
      <c r="BH649" s="89"/>
      <c r="BI649" s="89"/>
      <c r="BJ649" s="89"/>
      <c r="BK649" s="91"/>
      <c r="BL649" s="66"/>
      <c r="BM649" s="94"/>
      <c r="BN649" s="94"/>
      <c r="BO649" s="92"/>
      <c r="BP649" s="93"/>
      <c r="BQ649" s="23"/>
      <c r="BR649" s="94"/>
      <c r="BS649" s="94"/>
      <c r="BT649" s="94"/>
      <c r="BU649" s="94"/>
      <c r="BV649" s="95"/>
      <c r="BW649" s="91"/>
      <c r="BX649" s="95"/>
      <c r="BY649" s="8"/>
      <c r="BZ649" s="96"/>
      <c r="CA649" s="91"/>
      <c r="CB649" s="97"/>
      <c r="CC649" s="8"/>
      <c r="CD649" s="91"/>
      <c r="CE649" s="98"/>
      <c r="CF649" s="5"/>
      <c r="DK649" s="89"/>
      <c r="DL649" s="8"/>
      <c r="DM649" s="8"/>
      <c r="DN649" s="8"/>
      <c r="DO649" s="8"/>
      <c r="DP649" s="8"/>
      <c r="DQ649" s="8"/>
      <c r="DR649" s="8"/>
      <c r="DZ649" s="45"/>
      <c r="EA649" s="89"/>
      <c r="EB649" s="89"/>
      <c r="EC649" s="89"/>
      <c r="ED649" s="89"/>
      <c r="EE649" s="89"/>
      <c r="EF649" s="89"/>
      <c r="EG649" s="89"/>
      <c r="EH649" s="89"/>
      <c r="EI649" s="89"/>
      <c r="EJ649" s="89"/>
      <c r="EK649" s="91"/>
      <c r="EL649" s="66"/>
      <c r="EM649" s="94"/>
      <c r="EN649" s="94"/>
      <c r="EO649" s="92"/>
      <c r="EP649" s="93"/>
      <c r="EQ649" s="23"/>
      <c r="ER649" s="94"/>
      <c r="ES649" s="94"/>
      <c r="ET649" s="94"/>
      <c r="EU649" s="94"/>
      <c r="EV649" s="95"/>
      <c r="EW649" s="91"/>
      <c r="EX649" s="95"/>
      <c r="EY649" s="8"/>
      <c r="EZ649" s="96"/>
      <c r="FA649" s="91"/>
      <c r="FB649" s="97"/>
      <c r="FC649" s="8"/>
      <c r="FD649" s="91"/>
      <c r="FE649" s="98"/>
      <c r="FF649" s="5"/>
    </row>
    <row r="650" spans="37:162">
      <c r="AK650" s="89"/>
      <c r="AL650" s="8"/>
      <c r="AM650" s="8"/>
      <c r="AN650" s="8"/>
      <c r="AO650" s="8"/>
      <c r="AP650" s="8"/>
      <c r="AQ650" s="8"/>
      <c r="AR650" s="8"/>
      <c r="AZ650" s="45"/>
      <c r="BA650" s="89"/>
      <c r="BB650" s="89"/>
      <c r="BC650" s="89"/>
      <c r="BD650" s="89"/>
      <c r="BE650" s="89"/>
      <c r="BF650" s="89"/>
      <c r="BG650" s="89"/>
      <c r="BH650" s="89"/>
      <c r="BI650" s="89"/>
      <c r="BJ650" s="89"/>
      <c r="BK650" s="91"/>
      <c r="BL650" s="66"/>
      <c r="BM650" s="94"/>
      <c r="BN650" s="94"/>
      <c r="BO650" s="92"/>
      <c r="BP650" s="93"/>
      <c r="BQ650" s="23"/>
      <c r="BR650" s="94"/>
      <c r="BS650" s="94"/>
      <c r="BT650" s="94"/>
      <c r="BU650" s="94"/>
      <c r="BV650" s="95"/>
      <c r="BW650" s="91"/>
      <c r="BX650" s="95"/>
      <c r="BY650" s="8"/>
      <c r="BZ650" s="96"/>
      <c r="CA650" s="91"/>
      <c r="CB650" s="97"/>
      <c r="CC650" s="8"/>
      <c r="CD650" s="91"/>
      <c r="CE650" s="98"/>
      <c r="CF650" s="5"/>
      <c r="DK650" s="89"/>
      <c r="DL650" s="8"/>
      <c r="DM650" s="8"/>
      <c r="DN650" s="8"/>
      <c r="DO650" s="8"/>
      <c r="DP650" s="8"/>
      <c r="DQ650" s="8"/>
      <c r="DR650" s="8"/>
      <c r="DZ650" s="45"/>
      <c r="EA650" s="89"/>
      <c r="EB650" s="89"/>
      <c r="EC650" s="89"/>
      <c r="ED650" s="89"/>
      <c r="EE650" s="89"/>
      <c r="EF650" s="89"/>
      <c r="EG650" s="89"/>
      <c r="EH650" s="89"/>
      <c r="EI650" s="89"/>
      <c r="EJ650" s="89"/>
      <c r="EK650" s="91"/>
      <c r="EL650" s="66"/>
      <c r="EM650" s="94"/>
      <c r="EN650" s="94"/>
      <c r="EO650" s="92"/>
      <c r="EP650" s="93"/>
      <c r="EQ650" s="23"/>
      <c r="ER650" s="94"/>
      <c r="ES650" s="94"/>
      <c r="ET650" s="94"/>
      <c r="EU650" s="94"/>
      <c r="EV650" s="95"/>
      <c r="EW650" s="91"/>
      <c r="EX650" s="95"/>
      <c r="EY650" s="8"/>
      <c r="EZ650" s="96"/>
      <c r="FA650" s="91"/>
      <c r="FB650" s="97"/>
      <c r="FC650" s="8"/>
      <c r="FD650" s="91"/>
      <c r="FE650" s="98"/>
      <c r="FF650" s="5"/>
    </row>
    <row r="651" spans="37:162">
      <c r="AK651" s="89"/>
      <c r="AL651" s="8"/>
      <c r="AM651" s="8"/>
      <c r="AN651" s="8"/>
      <c r="AO651" s="8"/>
      <c r="AP651" s="8"/>
      <c r="AQ651" s="8"/>
      <c r="AR651" s="8"/>
      <c r="AZ651" s="45"/>
      <c r="BA651" s="89"/>
      <c r="BB651" s="89"/>
      <c r="BC651" s="89"/>
      <c r="BD651" s="89"/>
      <c r="BE651" s="89"/>
      <c r="BF651" s="89"/>
      <c r="BG651" s="89"/>
      <c r="BH651" s="89"/>
      <c r="BI651" s="89"/>
      <c r="BJ651" s="89"/>
      <c r="BK651" s="91"/>
      <c r="BL651" s="66"/>
      <c r="BM651" s="94"/>
      <c r="BN651" s="94"/>
      <c r="BO651" s="92"/>
      <c r="BP651" s="93"/>
      <c r="BQ651" s="23"/>
      <c r="BR651" s="94"/>
      <c r="BS651" s="94"/>
      <c r="BT651" s="94"/>
      <c r="BU651" s="94"/>
      <c r="BV651" s="95"/>
      <c r="BW651" s="91"/>
      <c r="BX651" s="95"/>
      <c r="BY651" s="8"/>
      <c r="BZ651" s="96"/>
      <c r="CA651" s="91"/>
      <c r="CB651" s="97"/>
      <c r="CC651" s="8"/>
      <c r="CD651" s="91"/>
      <c r="CE651" s="98"/>
      <c r="CF651" s="5"/>
      <c r="DK651" s="89"/>
      <c r="DL651" s="8"/>
      <c r="DM651" s="8"/>
      <c r="DN651" s="8"/>
      <c r="DO651" s="8"/>
      <c r="DP651" s="8"/>
      <c r="DQ651" s="8"/>
      <c r="DR651" s="8"/>
      <c r="DZ651" s="45"/>
      <c r="EA651" s="89"/>
      <c r="EB651" s="89"/>
      <c r="EC651" s="89"/>
      <c r="ED651" s="89"/>
      <c r="EE651" s="89"/>
      <c r="EF651" s="89"/>
      <c r="EG651" s="89"/>
      <c r="EH651" s="89"/>
      <c r="EI651" s="89"/>
      <c r="EJ651" s="89"/>
      <c r="EK651" s="91"/>
      <c r="EL651" s="66"/>
      <c r="EM651" s="94"/>
      <c r="EN651" s="94"/>
      <c r="EO651" s="92"/>
      <c r="EP651" s="93"/>
      <c r="EQ651" s="23"/>
      <c r="ER651" s="94"/>
      <c r="ES651" s="94"/>
      <c r="ET651" s="94"/>
      <c r="EU651" s="94"/>
      <c r="EV651" s="95"/>
      <c r="EW651" s="91"/>
      <c r="EX651" s="95"/>
      <c r="EY651" s="8"/>
      <c r="EZ651" s="96"/>
      <c r="FA651" s="91"/>
      <c r="FB651" s="97"/>
      <c r="FC651" s="8"/>
      <c r="FD651" s="91"/>
      <c r="FE651" s="98"/>
      <c r="FF651" s="5"/>
    </row>
    <row r="652" spans="37:162">
      <c r="AK652" s="89"/>
      <c r="AL652" s="8"/>
      <c r="AM652" s="8"/>
      <c r="AN652" s="8"/>
      <c r="AO652" s="8"/>
      <c r="AP652" s="8"/>
      <c r="AQ652" s="8"/>
      <c r="AR652" s="8"/>
      <c r="AZ652" s="45"/>
      <c r="BA652" s="89"/>
      <c r="BB652" s="89"/>
      <c r="BC652" s="89"/>
      <c r="BD652" s="89"/>
      <c r="BE652" s="89"/>
      <c r="BF652" s="89"/>
      <c r="BG652" s="89"/>
      <c r="BH652" s="89"/>
      <c r="BI652" s="89"/>
      <c r="BJ652" s="89"/>
      <c r="BK652" s="91"/>
      <c r="BL652" s="66"/>
      <c r="BM652" s="94"/>
      <c r="BN652" s="94"/>
      <c r="BO652" s="92"/>
      <c r="BP652" s="93"/>
      <c r="BQ652" s="23"/>
      <c r="BR652" s="94"/>
      <c r="BS652" s="94"/>
      <c r="BT652" s="94"/>
      <c r="BU652" s="94"/>
      <c r="BV652" s="95"/>
      <c r="BW652" s="91"/>
      <c r="BX652" s="95"/>
      <c r="BY652" s="8"/>
      <c r="BZ652" s="96"/>
      <c r="CA652" s="91"/>
      <c r="CB652" s="97"/>
      <c r="CC652" s="8"/>
      <c r="CD652" s="91"/>
      <c r="CE652" s="98"/>
      <c r="CF652" s="5"/>
      <c r="DK652" s="89"/>
      <c r="DL652" s="8"/>
      <c r="DM652" s="8"/>
      <c r="DN652" s="8"/>
      <c r="DO652" s="8"/>
      <c r="DP652" s="8"/>
      <c r="DQ652" s="8"/>
      <c r="DR652" s="8"/>
      <c r="DZ652" s="45"/>
      <c r="EA652" s="89"/>
      <c r="EB652" s="89"/>
      <c r="EC652" s="89"/>
      <c r="ED652" s="89"/>
      <c r="EE652" s="89"/>
      <c r="EF652" s="89"/>
      <c r="EG652" s="89"/>
      <c r="EH652" s="89"/>
      <c r="EI652" s="89"/>
      <c r="EJ652" s="89"/>
      <c r="EK652" s="91"/>
      <c r="EL652" s="66"/>
      <c r="EM652" s="94"/>
      <c r="EN652" s="94"/>
      <c r="EO652" s="92"/>
      <c r="EP652" s="93"/>
      <c r="EQ652" s="23"/>
      <c r="ER652" s="94"/>
      <c r="ES652" s="94"/>
      <c r="ET652" s="94"/>
      <c r="EU652" s="94"/>
      <c r="EV652" s="95"/>
      <c r="EW652" s="91"/>
      <c r="EX652" s="95"/>
      <c r="EY652" s="8"/>
      <c r="EZ652" s="96"/>
      <c r="FA652" s="91"/>
      <c r="FB652" s="97"/>
      <c r="FC652" s="8"/>
      <c r="FD652" s="91"/>
      <c r="FE652" s="98"/>
      <c r="FF652" s="5"/>
    </row>
    <row r="653" spans="37:162">
      <c r="AK653" s="89"/>
      <c r="AL653" s="8"/>
      <c r="AM653" s="8"/>
      <c r="AN653" s="8"/>
      <c r="AO653" s="8"/>
      <c r="AP653" s="8"/>
      <c r="AQ653" s="8"/>
      <c r="AR653" s="8"/>
      <c r="AZ653" s="45"/>
      <c r="BA653" s="89"/>
      <c r="BB653" s="89"/>
      <c r="BC653" s="89"/>
      <c r="BD653" s="89"/>
      <c r="BE653" s="89"/>
      <c r="BF653" s="89"/>
      <c r="BG653" s="89"/>
      <c r="BH653" s="89"/>
      <c r="BI653" s="89"/>
      <c r="BJ653" s="89"/>
      <c r="BK653" s="91"/>
      <c r="BL653" s="66"/>
      <c r="BM653" s="94"/>
      <c r="BN653" s="94"/>
      <c r="BO653" s="92"/>
      <c r="BP653" s="93"/>
      <c r="BQ653" s="23"/>
      <c r="BR653" s="94"/>
      <c r="BS653" s="94"/>
      <c r="BT653" s="94"/>
      <c r="BU653" s="94"/>
      <c r="BV653" s="95"/>
      <c r="BW653" s="91"/>
      <c r="BX653" s="95"/>
      <c r="BY653" s="8"/>
      <c r="BZ653" s="96"/>
      <c r="CA653" s="91"/>
      <c r="CB653" s="97"/>
      <c r="CC653" s="8"/>
      <c r="CD653" s="91"/>
      <c r="CE653" s="98"/>
      <c r="CF653" s="5"/>
      <c r="DK653" s="89"/>
      <c r="DL653" s="8"/>
      <c r="DM653" s="8"/>
      <c r="DN653" s="8"/>
      <c r="DO653" s="8"/>
      <c r="DP653" s="8"/>
      <c r="DQ653" s="8"/>
      <c r="DR653" s="8"/>
      <c r="DZ653" s="45"/>
      <c r="EA653" s="89"/>
      <c r="EB653" s="89"/>
      <c r="EC653" s="89"/>
      <c r="ED653" s="89"/>
      <c r="EE653" s="89"/>
      <c r="EF653" s="89"/>
      <c r="EG653" s="89"/>
      <c r="EH653" s="89"/>
      <c r="EI653" s="89"/>
      <c r="EJ653" s="89"/>
      <c r="EK653" s="91"/>
      <c r="EL653" s="66"/>
      <c r="EM653" s="94"/>
      <c r="EN653" s="94"/>
      <c r="EO653" s="92"/>
      <c r="EP653" s="93"/>
      <c r="EQ653" s="23"/>
      <c r="ER653" s="94"/>
      <c r="ES653" s="94"/>
      <c r="ET653" s="94"/>
      <c r="EU653" s="94"/>
      <c r="EV653" s="95"/>
      <c r="EW653" s="91"/>
      <c r="EX653" s="95"/>
      <c r="EY653" s="8"/>
      <c r="EZ653" s="96"/>
      <c r="FA653" s="91"/>
      <c r="FB653" s="97"/>
      <c r="FC653" s="8"/>
      <c r="FD653" s="91"/>
      <c r="FE653" s="98"/>
      <c r="FF653" s="5"/>
    </row>
    <row r="654" spans="37:162">
      <c r="AK654" s="89"/>
      <c r="AL654" s="8"/>
      <c r="AM654" s="8"/>
      <c r="AN654" s="8"/>
      <c r="AO654" s="8"/>
      <c r="AP654" s="8"/>
      <c r="AQ654" s="8"/>
      <c r="AR654" s="8"/>
      <c r="AZ654" s="45"/>
      <c r="BA654" s="89"/>
      <c r="BB654" s="89"/>
      <c r="BC654" s="89"/>
      <c r="BD654" s="89"/>
      <c r="BE654" s="89"/>
      <c r="BF654" s="89"/>
      <c r="BG654" s="89"/>
      <c r="BH654" s="89"/>
      <c r="BI654" s="89"/>
      <c r="BJ654" s="89"/>
      <c r="BK654" s="91"/>
      <c r="BL654" s="66"/>
      <c r="BM654" s="94"/>
      <c r="BN654" s="94"/>
      <c r="BO654" s="92"/>
      <c r="BP654" s="93"/>
      <c r="BQ654" s="23"/>
      <c r="BR654" s="94"/>
      <c r="BS654" s="94"/>
      <c r="BT654" s="94"/>
      <c r="BU654" s="94"/>
      <c r="BV654" s="95"/>
      <c r="BW654" s="91"/>
      <c r="BX654" s="95"/>
      <c r="BY654" s="8"/>
      <c r="BZ654" s="96"/>
      <c r="CA654" s="91"/>
      <c r="CB654" s="97"/>
      <c r="CC654" s="8"/>
      <c r="CD654" s="91"/>
      <c r="CE654" s="98"/>
      <c r="CF654" s="5"/>
      <c r="DK654" s="89"/>
      <c r="DL654" s="8"/>
      <c r="DM654" s="8"/>
      <c r="DN654" s="8"/>
      <c r="DO654" s="8"/>
      <c r="DP654" s="8"/>
      <c r="DQ654" s="8"/>
      <c r="DR654" s="8"/>
      <c r="DZ654" s="45"/>
      <c r="EA654" s="89"/>
      <c r="EB654" s="89"/>
      <c r="EC654" s="89"/>
      <c r="ED654" s="89"/>
      <c r="EE654" s="89"/>
      <c r="EF654" s="89"/>
      <c r="EG654" s="89"/>
      <c r="EH654" s="89"/>
      <c r="EI654" s="89"/>
      <c r="EJ654" s="89"/>
      <c r="EK654" s="91"/>
      <c r="EL654" s="66"/>
      <c r="EM654" s="94"/>
      <c r="EN654" s="94"/>
      <c r="EO654" s="92"/>
      <c r="EP654" s="93"/>
      <c r="EQ654" s="23"/>
      <c r="ER654" s="94"/>
      <c r="ES654" s="94"/>
      <c r="ET654" s="94"/>
      <c r="EU654" s="94"/>
      <c r="EV654" s="95"/>
      <c r="EW654" s="91"/>
      <c r="EX654" s="95"/>
      <c r="EY654" s="8"/>
      <c r="EZ654" s="96"/>
      <c r="FA654" s="91"/>
      <c r="FB654" s="97"/>
      <c r="FC654" s="8"/>
      <c r="FD654" s="91"/>
      <c r="FE654" s="98"/>
      <c r="FF654" s="5"/>
    </row>
    <row r="655" spans="37:162">
      <c r="AK655" s="89"/>
      <c r="AL655" s="8"/>
      <c r="AM655" s="8"/>
      <c r="AN655" s="8"/>
      <c r="AO655" s="8"/>
      <c r="AP655" s="8"/>
      <c r="AQ655" s="8"/>
      <c r="AR655" s="8"/>
      <c r="AZ655" s="45"/>
      <c r="BA655" s="89"/>
      <c r="BB655" s="89"/>
      <c r="BC655" s="89"/>
      <c r="BD655" s="89"/>
      <c r="BE655" s="89"/>
      <c r="BF655" s="89"/>
      <c r="BG655" s="89"/>
      <c r="BH655" s="89"/>
      <c r="BI655" s="89"/>
      <c r="BJ655" s="89"/>
      <c r="BK655" s="91"/>
      <c r="BL655" s="66"/>
      <c r="BM655" s="94"/>
      <c r="BN655" s="94"/>
      <c r="BO655" s="92"/>
      <c r="BP655" s="93"/>
      <c r="BQ655" s="23"/>
      <c r="BR655" s="94"/>
      <c r="BS655" s="94"/>
      <c r="BT655" s="94"/>
      <c r="BU655" s="94"/>
      <c r="BV655" s="95"/>
      <c r="BW655" s="91"/>
      <c r="BX655" s="95"/>
      <c r="BY655" s="8"/>
      <c r="BZ655" s="96"/>
      <c r="CA655" s="91"/>
      <c r="CB655" s="97"/>
      <c r="CC655" s="8"/>
      <c r="CD655" s="91"/>
      <c r="CE655" s="98"/>
      <c r="CF655" s="5"/>
      <c r="DK655" s="89"/>
      <c r="DL655" s="8"/>
      <c r="DM655" s="8"/>
      <c r="DN655" s="8"/>
      <c r="DO655" s="8"/>
      <c r="DP655" s="8"/>
      <c r="DQ655" s="8"/>
      <c r="DR655" s="8"/>
      <c r="DZ655" s="45"/>
      <c r="EA655" s="89"/>
      <c r="EB655" s="89"/>
      <c r="EC655" s="89"/>
      <c r="ED655" s="89"/>
      <c r="EE655" s="89"/>
      <c r="EF655" s="89"/>
      <c r="EG655" s="89"/>
      <c r="EH655" s="89"/>
      <c r="EI655" s="89"/>
      <c r="EJ655" s="89"/>
      <c r="EK655" s="91"/>
      <c r="EL655" s="66"/>
      <c r="EM655" s="94"/>
      <c r="EN655" s="94"/>
      <c r="EO655" s="92"/>
      <c r="EP655" s="93"/>
      <c r="EQ655" s="23"/>
      <c r="ER655" s="94"/>
      <c r="ES655" s="94"/>
      <c r="ET655" s="94"/>
      <c r="EU655" s="94"/>
      <c r="EV655" s="95"/>
      <c r="EW655" s="91"/>
      <c r="EX655" s="95"/>
      <c r="EY655" s="8"/>
      <c r="EZ655" s="96"/>
      <c r="FA655" s="91"/>
      <c r="FB655" s="97"/>
      <c r="FC655" s="8"/>
      <c r="FD655" s="91"/>
      <c r="FE655" s="98"/>
      <c r="FF655" s="5"/>
    </row>
    <row r="656" spans="37:162">
      <c r="AK656" s="89"/>
      <c r="AL656" s="8"/>
      <c r="AM656" s="8"/>
      <c r="AN656" s="8"/>
      <c r="AO656" s="8"/>
      <c r="AP656" s="8"/>
      <c r="AQ656" s="8"/>
      <c r="AR656" s="8"/>
      <c r="AZ656" s="45"/>
      <c r="BA656" s="89"/>
      <c r="BB656" s="89"/>
      <c r="BC656" s="89"/>
      <c r="BD656" s="89"/>
      <c r="BE656" s="89"/>
      <c r="BF656" s="89"/>
      <c r="BG656" s="89"/>
      <c r="BH656" s="89"/>
      <c r="BI656" s="89"/>
      <c r="BJ656" s="89"/>
      <c r="BK656" s="91"/>
      <c r="BL656" s="66"/>
      <c r="BM656" s="94"/>
      <c r="BN656" s="94"/>
      <c r="BO656" s="92"/>
      <c r="BP656" s="93"/>
      <c r="BQ656" s="23"/>
      <c r="BR656" s="94"/>
      <c r="BS656" s="94"/>
      <c r="BT656" s="94"/>
      <c r="BU656" s="94"/>
      <c r="BV656" s="95"/>
      <c r="BW656" s="91"/>
      <c r="BX656" s="95"/>
      <c r="BY656" s="8"/>
      <c r="BZ656" s="96"/>
      <c r="CA656" s="91"/>
      <c r="CB656" s="97"/>
      <c r="CC656" s="8"/>
      <c r="CD656" s="91"/>
      <c r="CE656" s="98"/>
      <c r="CF656" s="5"/>
      <c r="DK656" s="89"/>
      <c r="DL656" s="8"/>
      <c r="DM656" s="8"/>
      <c r="DN656" s="8"/>
      <c r="DO656" s="8"/>
      <c r="DP656" s="8"/>
      <c r="DQ656" s="8"/>
      <c r="DR656" s="8"/>
      <c r="DZ656" s="45"/>
      <c r="EA656" s="89"/>
      <c r="EB656" s="89"/>
      <c r="EC656" s="89"/>
      <c r="ED656" s="89"/>
      <c r="EE656" s="89"/>
      <c r="EF656" s="89"/>
      <c r="EG656" s="89"/>
      <c r="EH656" s="89"/>
      <c r="EI656" s="89"/>
      <c r="EJ656" s="89"/>
      <c r="EK656" s="91"/>
      <c r="EL656" s="66"/>
      <c r="EM656" s="94"/>
      <c r="EN656" s="94"/>
      <c r="EO656" s="92"/>
      <c r="EP656" s="93"/>
      <c r="EQ656" s="23"/>
      <c r="ER656" s="94"/>
      <c r="ES656" s="94"/>
      <c r="ET656" s="94"/>
      <c r="EU656" s="94"/>
      <c r="EV656" s="95"/>
      <c r="EW656" s="91"/>
      <c r="EX656" s="95"/>
      <c r="EY656" s="8"/>
      <c r="EZ656" s="96"/>
      <c r="FA656" s="91"/>
      <c r="FB656" s="97"/>
      <c r="FC656" s="8"/>
      <c r="FD656" s="91"/>
      <c r="FE656" s="98"/>
      <c r="FF656" s="5"/>
    </row>
    <row r="657" spans="37:162">
      <c r="AK657" s="89"/>
      <c r="AL657" s="8"/>
      <c r="AM657" s="8"/>
      <c r="AN657" s="8"/>
      <c r="AO657" s="8"/>
      <c r="AP657" s="8"/>
      <c r="AQ657" s="8"/>
      <c r="AR657" s="8"/>
      <c r="AZ657" s="45"/>
      <c r="BA657" s="89"/>
      <c r="BB657" s="89"/>
      <c r="BC657" s="89"/>
      <c r="BD657" s="89"/>
      <c r="BE657" s="89"/>
      <c r="BF657" s="89"/>
      <c r="BG657" s="89"/>
      <c r="BH657" s="89"/>
      <c r="BI657" s="89"/>
      <c r="BJ657" s="89"/>
      <c r="BK657" s="91"/>
      <c r="BL657" s="66"/>
      <c r="BM657" s="94"/>
      <c r="BN657" s="94"/>
      <c r="BO657" s="92"/>
      <c r="BP657" s="93"/>
      <c r="BQ657" s="23"/>
      <c r="BR657" s="94"/>
      <c r="BS657" s="94"/>
      <c r="BT657" s="94"/>
      <c r="BU657" s="94"/>
      <c r="BV657" s="95"/>
      <c r="BW657" s="91"/>
      <c r="BX657" s="95"/>
      <c r="BY657" s="8"/>
      <c r="BZ657" s="96"/>
      <c r="CA657" s="91"/>
      <c r="CB657" s="97"/>
      <c r="CC657" s="8"/>
      <c r="CD657" s="91"/>
      <c r="CE657" s="98"/>
      <c r="CF657" s="5"/>
      <c r="DK657" s="89"/>
      <c r="DL657" s="8"/>
      <c r="DM657" s="8"/>
      <c r="DN657" s="8"/>
      <c r="DO657" s="8"/>
      <c r="DP657" s="8"/>
      <c r="DQ657" s="8"/>
      <c r="DR657" s="8"/>
      <c r="DZ657" s="45"/>
      <c r="EA657" s="89"/>
      <c r="EB657" s="89"/>
      <c r="EC657" s="89"/>
      <c r="ED657" s="89"/>
      <c r="EE657" s="89"/>
      <c r="EF657" s="89"/>
      <c r="EG657" s="89"/>
      <c r="EH657" s="89"/>
      <c r="EI657" s="89"/>
      <c r="EJ657" s="89"/>
      <c r="EK657" s="91"/>
      <c r="EL657" s="66"/>
      <c r="EM657" s="94"/>
      <c r="EN657" s="94"/>
      <c r="EO657" s="92"/>
      <c r="EP657" s="93"/>
      <c r="EQ657" s="23"/>
      <c r="ER657" s="94"/>
      <c r="ES657" s="94"/>
      <c r="ET657" s="94"/>
      <c r="EU657" s="94"/>
      <c r="EV657" s="95"/>
      <c r="EW657" s="91"/>
      <c r="EX657" s="95"/>
      <c r="EY657" s="8"/>
      <c r="EZ657" s="96"/>
      <c r="FA657" s="91"/>
      <c r="FB657" s="97"/>
      <c r="FC657" s="8"/>
      <c r="FD657" s="91"/>
      <c r="FE657" s="98"/>
      <c r="FF657" s="5"/>
    </row>
    <row r="658" spans="37:162">
      <c r="AK658" s="89"/>
      <c r="AL658" s="8"/>
      <c r="AM658" s="8"/>
      <c r="AN658" s="8"/>
      <c r="AO658" s="8"/>
      <c r="AP658" s="8"/>
      <c r="AQ658" s="8"/>
      <c r="AR658" s="8"/>
      <c r="AZ658" s="45"/>
      <c r="BA658" s="89"/>
      <c r="BB658" s="89"/>
      <c r="BC658" s="89"/>
      <c r="BD658" s="89"/>
      <c r="BE658" s="89"/>
      <c r="BF658" s="89"/>
      <c r="BG658" s="89"/>
      <c r="BH658" s="89"/>
      <c r="BI658" s="89"/>
      <c r="BJ658" s="89"/>
      <c r="BK658" s="91"/>
      <c r="BL658" s="66"/>
      <c r="BM658" s="94"/>
      <c r="BN658" s="94"/>
      <c r="BO658" s="92"/>
      <c r="BP658" s="93"/>
      <c r="BQ658" s="23"/>
      <c r="BR658" s="94"/>
      <c r="BS658" s="94"/>
      <c r="BT658" s="94"/>
      <c r="BU658" s="94"/>
      <c r="BV658" s="95"/>
      <c r="BW658" s="91"/>
      <c r="BX658" s="95"/>
      <c r="BY658" s="8"/>
      <c r="BZ658" s="96"/>
      <c r="CA658" s="91"/>
      <c r="CB658" s="97"/>
      <c r="CC658" s="8"/>
      <c r="CD658" s="91"/>
      <c r="CE658" s="98"/>
      <c r="CF658" s="5"/>
      <c r="DK658" s="89"/>
      <c r="DL658" s="8"/>
      <c r="DM658" s="8"/>
      <c r="DN658" s="8"/>
      <c r="DO658" s="8"/>
      <c r="DP658" s="8"/>
      <c r="DQ658" s="8"/>
      <c r="DR658" s="8"/>
      <c r="DZ658" s="45"/>
      <c r="EA658" s="89"/>
      <c r="EB658" s="89"/>
      <c r="EC658" s="89"/>
      <c r="ED658" s="89"/>
      <c r="EE658" s="89"/>
      <c r="EF658" s="89"/>
      <c r="EG658" s="89"/>
      <c r="EH658" s="89"/>
      <c r="EI658" s="89"/>
      <c r="EJ658" s="89"/>
      <c r="EK658" s="91"/>
      <c r="EL658" s="66"/>
      <c r="EM658" s="94"/>
      <c r="EN658" s="94"/>
      <c r="EO658" s="92"/>
      <c r="EP658" s="93"/>
      <c r="EQ658" s="23"/>
      <c r="ER658" s="94"/>
      <c r="ES658" s="94"/>
      <c r="ET658" s="94"/>
      <c r="EU658" s="94"/>
      <c r="EV658" s="95"/>
      <c r="EW658" s="91"/>
      <c r="EX658" s="95"/>
      <c r="EY658" s="8"/>
      <c r="EZ658" s="96"/>
      <c r="FA658" s="91"/>
      <c r="FB658" s="97"/>
      <c r="FC658" s="8"/>
      <c r="FD658" s="91"/>
      <c r="FE658" s="98"/>
      <c r="FF658" s="5"/>
    </row>
    <row r="659" spans="37:162">
      <c r="AK659" s="89"/>
      <c r="AL659" s="8"/>
      <c r="AM659" s="8"/>
      <c r="AN659" s="8"/>
      <c r="AO659" s="8"/>
      <c r="AP659" s="8"/>
      <c r="AQ659" s="8"/>
      <c r="AR659" s="8"/>
      <c r="AZ659" s="45"/>
      <c r="BA659" s="89"/>
      <c r="BB659" s="89"/>
      <c r="BC659" s="89"/>
      <c r="BD659" s="89"/>
      <c r="BE659" s="89"/>
      <c r="BF659" s="89"/>
      <c r="BG659" s="89"/>
      <c r="BH659" s="89"/>
      <c r="BI659" s="89"/>
      <c r="BJ659" s="89"/>
      <c r="BK659" s="91"/>
      <c r="BL659" s="66"/>
      <c r="BM659" s="94"/>
      <c r="BN659" s="94"/>
      <c r="BO659" s="92"/>
      <c r="BP659" s="93"/>
      <c r="BQ659" s="23"/>
      <c r="BR659" s="94"/>
      <c r="BS659" s="94"/>
      <c r="BT659" s="94"/>
      <c r="BU659" s="94"/>
      <c r="BV659" s="95"/>
      <c r="BW659" s="91"/>
      <c r="BX659" s="95"/>
      <c r="BY659" s="8"/>
      <c r="BZ659" s="96"/>
      <c r="CA659" s="91"/>
      <c r="CB659" s="97"/>
      <c r="CC659" s="8"/>
      <c r="CD659" s="91"/>
      <c r="CE659" s="98"/>
      <c r="CF659" s="5"/>
      <c r="DK659" s="89"/>
      <c r="DL659" s="8"/>
      <c r="DM659" s="8"/>
      <c r="DN659" s="8"/>
      <c r="DO659" s="8"/>
      <c r="DP659" s="8"/>
      <c r="DQ659" s="8"/>
      <c r="DR659" s="8"/>
      <c r="DZ659" s="45"/>
      <c r="EA659" s="89"/>
      <c r="EB659" s="89"/>
      <c r="EC659" s="89"/>
      <c r="ED659" s="89"/>
      <c r="EE659" s="89"/>
      <c r="EF659" s="89"/>
      <c r="EG659" s="89"/>
      <c r="EH659" s="89"/>
      <c r="EI659" s="89"/>
      <c r="EJ659" s="89"/>
      <c r="EK659" s="91"/>
      <c r="EL659" s="66"/>
      <c r="EM659" s="94"/>
      <c r="EN659" s="94"/>
      <c r="EO659" s="92"/>
      <c r="EP659" s="93"/>
      <c r="EQ659" s="23"/>
      <c r="ER659" s="94"/>
      <c r="ES659" s="94"/>
      <c r="ET659" s="94"/>
      <c r="EU659" s="94"/>
      <c r="EV659" s="95"/>
      <c r="EW659" s="91"/>
      <c r="EX659" s="95"/>
      <c r="EY659" s="8"/>
      <c r="EZ659" s="96"/>
      <c r="FA659" s="91"/>
      <c r="FB659" s="97"/>
      <c r="FC659" s="8"/>
      <c r="FD659" s="91"/>
      <c r="FE659" s="98"/>
      <c r="FF659" s="5"/>
    </row>
    <row r="660" spans="37:162">
      <c r="AK660" s="89"/>
      <c r="AL660" s="8"/>
      <c r="AM660" s="8"/>
      <c r="AN660" s="8"/>
      <c r="AO660" s="8"/>
      <c r="AP660" s="8"/>
      <c r="AQ660" s="8"/>
      <c r="AR660" s="8"/>
      <c r="AZ660" s="45"/>
      <c r="BA660" s="89"/>
      <c r="BB660" s="89"/>
      <c r="BC660" s="89"/>
      <c r="BD660" s="89"/>
      <c r="BE660" s="89"/>
      <c r="BF660" s="89"/>
      <c r="BG660" s="89"/>
      <c r="BH660" s="89"/>
      <c r="BI660" s="89"/>
      <c r="BJ660" s="89"/>
      <c r="BK660" s="91"/>
      <c r="BL660" s="66"/>
      <c r="BM660" s="94"/>
      <c r="BN660" s="94"/>
      <c r="BO660" s="92"/>
      <c r="BP660" s="93"/>
      <c r="BQ660" s="23"/>
      <c r="BR660" s="94"/>
      <c r="BS660" s="94"/>
      <c r="BT660" s="94"/>
      <c r="BU660" s="94"/>
      <c r="BV660" s="95"/>
      <c r="BW660" s="91"/>
      <c r="BX660" s="95"/>
      <c r="BY660" s="8"/>
      <c r="BZ660" s="96"/>
      <c r="CA660" s="91"/>
      <c r="CB660" s="97"/>
      <c r="CC660" s="8"/>
      <c r="CD660" s="91"/>
      <c r="CE660" s="98"/>
      <c r="CF660" s="5"/>
      <c r="DK660" s="89"/>
      <c r="DL660" s="8"/>
      <c r="DM660" s="8"/>
      <c r="DN660" s="8"/>
      <c r="DO660" s="8"/>
      <c r="DP660" s="8"/>
      <c r="DQ660" s="8"/>
      <c r="DR660" s="8"/>
      <c r="DZ660" s="45"/>
      <c r="EA660" s="89"/>
      <c r="EB660" s="89"/>
      <c r="EC660" s="89"/>
      <c r="ED660" s="89"/>
      <c r="EE660" s="89"/>
      <c r="EF660" s="89"/>
      <c r="EG660" s="89"/>
      <c r="EH660" s="89"/>
      <c r="EI660" s="89"/>
      <c r="EJ660" s="89"/>
      <c r="EK660" s="91"/>
      <c r="EL660" s="66"/>
      <c r="EM660" s="94"/>
      <c r="EN660" s="94"/>
      <c r="EO660" s="92"/>
      <c r="EP660" s="93"/>
      <c r="EQ660" s="23"/>
      <c r="ER660" s="94"/>
      <c r="ES660" s="94"/>
      <c r="ET660" s="94"/>
      <c r="EU660" s="94"/>
      <c r="EV660" s="95"/>
      <c r="EW660" s="91"/>
      <c r="EX660" s="95"/>
      <c r="EY660" s="8"/>
      <c r="EZ660" s="96"/>
      <c r="FA660" s="91"/>
      <c r="FB660" s="97"/>
      <c r="FC660" s="8"/>
      <c r="FD660" s="91"/>
      <c r="FE660" s="98"/>
      <c r="FF660" s="5"/>
    </row>
    <row r="661" spans="37:162">
      <c r="AK661" s="89"/>
      <c r="AL661" s="8"/>
      <c r="AM661" s="8"/>
      <c r="AN661" s="8"/>
      <c r="AO661" s="8"/>
      <c r="AP661" s="8"/>
      <c r="AQ661" s="8"/>
      <c r="AR661" s="8"/>
      <c r="AZ661" s="45"/>
      <c r="BA661" s="89"/>
      <c r="BB661" s="89"/>
      <c r="BC661" s="89"/>
      <c r="BD661" s="89"/>
      <c r="BE661" s="89"/>
      <c r="BF661" s="89"/>
      <c r="BG661" s="89"/>
      <c r="BH661" s="89"/>
      <c r="BI661" s="89"/>
      <c r="BJ661" s="89"/>
      <c r="BK661" s="91"/>
      <c r="BL661" s="66"/>
      <c r="BM661" s="94"/>
      <c r="BN661" s="94"/>
      <c r="BO661" s="92"/>
      <c r="BP661" s="93"/>
      <c r="BQ661" s="23"/>
      <c r="BR661" s="94"/>
      <c r="BS661" s="94"/>
      <c r="BT661" s="94"/>
      <c r="BU661" s="94"/>
      <c r="BV661" s="95"/>
      <c r="BW661" s="91"/>
      <c r="BX661" s="95"/>
      <c r="BY661" s="8"/>
      <c r="BZ661" s="96"/>
      <c r="CA661" s="91"/>
      <c r="CB661" s="97"/>
      <c r="CC661" s="8"/>
      <c r="CD661" s="91"/>
      <c r="CE661" s="98"/>
      <c r="CF661" s="5"/>
      <c r="DK661" s="89"/>
      <c r="DL661" s="8"/>
      <c r="DM661" s="8"/>
      <c r="DN661" s="8"/>
      <c r="DO661" s="8"/>
      <c r="DP661" s="8"/>
      <c r="DQ661" s="8"/>
      <c r="DR661" s="8"/>
      <c r="DZ661" s="45"/>
      <c r="EA661" s="89"/>
      <c r="EB661" s="89"/>
      <c r="EC661" s="89"/>
      <c r="ED661" s="89"/>
      <c r="EE661" s="89"/>
      <c r="EF661" s="89"/>
      <c r="EG661" s="89"/>
      <c r="EH661" s="89"/>
      <c r="EI661" s="89"/>
      <c r="EJ661" s="89"/>
      <c r="EK661" s="91"/>
      <c r="EL661" s="66"/>
      <c r="EM661" s="94"/>
      <c r="EN661" s="94"/>
      <c r="EO661" s="92"/>
      <c r="EP661" s="93"/>
      <c r="EQ661" s="23"/>
      <c r="ER661" s="94"/>
      <c r="ES661" s="94"/>
      <c r="ET661" s="94"/>
      <c r="EU661" s="94"/>
      <c r="EV661" s="95"/>
      <c r="EW661" s="91"/>
      <c r="EX661" s="95"/>
      <c r="EY661" s="8"/>
      <c r="EZ661" s="96"/>
      <c r="FA661" s="91"/>
      <c r="FB661" s="97"/>
      <c r="FC661" s="8"/>
      <c r="FD661" s="91"/>
      <c r="FE661" s="98"/>
      <c r="FF661" s="5"/>
    </row>
    <row r="662" spans="37:162">
      <c r="AK662" s="89"/>
      <c r="AL662" s="8"/>
      <c r="AM662" s="8"/>
      <c r="AN662" s="8"/>
      <c r="AO662" s="8"/>
      <c r="AP662" s="8"/>
      <c r="AQ662" s="8"/>
      <c r="AR662" s="8"/>
      <c r="AZ662" s="45"/>
      <c r="BA662" s="89"/>
      <c r="BB662" s="89"/>
      <c r="BC662" s="89"/>
      <c r="BD662" s="89"/>
      <c r="BE662" s="89"/>
      <c r="BF662" s="89"/>
      <c r="BG662" s="89"/>
      <c r="BH662" s="89"/>
      <c r="BI662" s="89"/>
      <c r="BJ662" s="89"/>
      <c r="BK662" s="91"/>
      <c r="BL662" s="66"/>
      <c r="BM662" s="94"/>
      <c r="BN662" s="94"/>
      <c r="BO662" s="92"/>
      <c r="BP662" s="93"/>
      <c r="BQ662" s="23"/>
      <c r="BR662" s="94"/>
      <c r="BS662" s="94"/>
      <c r="BT662" s="94"/>
      <c r="BU662" s="94"/>
      <c r="BV662" s="95"/>
      <c r="BW662" s="91"/>
      <c r="BX662" s="95"/>
      <c r="BY662" s="8"/>
      <c r="BZ662" s="96"/>
      <c r="CA662" s="91"/>
      <c r="CB662" s="97"/>
      <c r="CC662" s="8"/>
      <c r="CD662" s="91"/>
      <c r="CE662" s="98"/>
      <c r="CF662" s="5"/>
      <c r="DK662" s="89"/>
      <c r="DL662" s="8"/>
      <c r="DM662" s="8"/>
      <c r="DN662" s="8"/>
      <c r="DO662" s="8"/>
      <c r="DP662" s="8"/>
      <c r="DQ662" s="8"/>
      <c r="DR662" s="8"/>
      <c r="DZ662" s="45"/>
      <c r="EA662" s="89"/>
      <c r="EB662" s="89"/>
      <c r="EC662" s="89"/>
      <c r="ED662" s="89"/>
      <c r="EE662" s="89"/>
      <c r="EF662" s="89"/>
      <c r="EG662" s="89"/>
      <c r="EH662" s="89"/>
      <c r="EI662" s="89"/>
      <c r="EJ662" s="89"/>
      <c r="EK662" s="91"/>
      <c r="EL662" s="66"/>
      <c r="EM662" s="94"/>
      <c r="EN662" s="94"/>
      <c r="EO662" s="92"/>
      <c r="EP662" s="93"/>
      <c r="EQ662" s="23"/>
      <c r="ER662" s="94"/>
      <c r="ES662" s="94"/>
      <c r="ET662" s="94"/>
      <c r="EU662" s="94"/>
      <c r="EV662" s="95"/>
      <c r="EW662" s="91"/>
      <c r="EX662" s="95"/>
      <c r="EY662" s="8"/>
      <c r="EZ662" s="96"/>
      <c r="FA662" s="91"/>
      <c r="FB662" s="97"/>
      <c r="FC662" s="8"/>
      <c r="FD662" s="91"/>
      <c r="FE662" s="98"/>
      <c r="FF662" s="5"/>
    </row>
    <row r="663" spans="37:162">
      <c r="AK663" s="89"/>
      <c r="AL663" s="8"/>
      <c r="AM663" s="8"/>
      <c r="AN663" s="8"/>
      <c r="AO663" s="8"/>
      <c r="AP663" s="8"/>
      <c r="AQ663" s="8"/>
      <c r="AR663" s="8"/>
      <c r="AZ663" s="45"/>
      <c r="BA663" s="89"/>
      <c r="BB663" s="89"/>
      <c r="BC663" s="89"/>
      <c r="BD663" s="89"/>
      <c r="BE663" s="89"/>
      <c r="BF663" s="89"/>
      <c r="BG663" s="89"/>
      <c r="BH663" s="89"/>
      <c r="BI663" s="89"/>
      <c r="BJ663" s="89"/>
      <c r="BK663" s="91"/>
      <c r="BL663" s="66"/>
      <c r="BM663" s="94"/>
      <c r="BN663" s="94"/>
      <c r="BO663" s="92"/>
      <c r="BP663" s="93"/>
      <c r="BQ663" s="23"/>
      <c r="BR663" s="94"/>
      <c r="BS663" s="94"/>
      <c r="BT663" s="94"/>
      <c r="BU663" s="94"/>
      <c r="BV663" s="95"/>
      <c r="BW663" s="91"/>
      <c r="BX663" s="95"/>
      <c r="BY663" s="8"/>
      <c r="BZ663" s="96"/>
      <c r="CA663" s="91"/>
      <c r="CB663" s="97"/>
      <c r="CC663" s="8"/>
      <c r="CD663" s="91"/>
      <c r="CE663" s="98"/>
      <c r="CF663" s="5"/>
      <c r="DK663" s="89"/>
      <c r="DL663" s="8"/>
      <c r="DM663" s="8"/>
      <c r="DN663" s="8"/>
      <c r="DO663" s="8"/>
      <c r="DP663" s="8"/>
      <c r="DQ663" s="8"/>
      <c r="DR663" s="8"/>
      <c r="DZ663" s="45"/>
      <c r="EA663" s="89"/>
      <c r="EB663" s="89"/>
      <c r="EC663" s="89"/>
      <c r="ED663" s="89"/>
      <c r="EE663" s="89"/>
      <c r="EF663" s="89"/>
      <c r="EG663" s="89"/>
      <c r="EH663" s="89"/>
      <c r="EI663" s="89"/>
      <c r="EJ663" s="89"/>
      <c r="EK663" s="91"/>
      <c r="EL663" s="66"/>
      <c r="EM663" s="94"/>
      <c r="EN663" s="94"/>
      <c r="EO663" s="92"/>
      <c r="EP663" s="93"/>
      <c r="EQ663" s="23"/>
      <c r="ER663" s="94"/>
      <c r="ES663" s="94"/>
      <c r="ET663" s="94"/>
      <c r="EU663" s="94"/>
      <c r="EV663" s="95"/>
      <c r="EW663" s="91"/>
      <c r="EX663" s="95"/>
      <c r="EY663" s="8"/>
      <c r="EZ663" s="96"/>
      <c r="FA663" s="91"/>
      <c r="FB663" s="97"/>
      <c r="FC663" s="8"/>
      <c r="FD663" s="91"/>
      <c r="FE663" s="98"/>
      <c r="FF663" s="5"/>
    </row>
    <row r="664" spans="37:162">
      <c r="AK664" s="89"/>
      <c r="AL664" s="8"/>
      <c r="AM664" s="8"/>
      <c r="AN664" s="8"/>
      <c r="AO664" s="8"/>
      <c r="AP664" s="8"/>
      <c r="AQ664" s="8"/>
      <c r="AR664" s="8"/>
      <c r="AZ664" s="45"/>
      <c r="BA664" s="89"/>
      <c r="BB664" s="89"/>
      <c r="BC664" s="89"/>
      <c r="BD664" s="89"/>
      <c r="BE664" s="89"/>
      <c r="BF664" s="89"/>
      <c r="BG664" s="89"/>
      <c r="BH664" s="89"/>
      <c r="BI664" s="89"/>
      <c r="BJ664" s="89"/>
      <c r="BK664" s="91"/>
      <c r="BL664" s="66"/>
      <c r="BM664" s="94"/>
      <c r="BN664" s="94"/>
      <c r="BO664" s="92"/>
      <c r="BP664" s="93"/>
      <c r="BQ664" s="23"/>
      <c r="BR664" s="94"/>
      <c r="BS664" s="94"/>
      <c r="BT664" s="94"/>
      <c r="BU664" s="94"/>
      <c r="BV664" s="95"/>
      <c r="BW664" s="91"/>
      <c r="BX664" s="95"/>
      <c r="BY664" s="8"/>
      <c r="BZ664" s="96"/>
      <c r="CA664" s="91"/>
      <c r="CB664" s="97"/>
      <c r="CC664" s="8"/>
      <c r="CD664" s="91"/>
      <c r="CE664" s="98"/>
      <c r="CF664" s="5"/>
      <c r="DK664" s="89"/>
      <c r="DL664" s="8"/>
      <c r="DM664" s="8"/>
      <c r="DN664" s="8"/>
      <c r="DO664" s="8"/>
      <c r="DP664" s="8"/>
      <c r="DQ664" s="8"/>
      <c r="DR664" s="8"/>
      <c r="DZ664" s="45"/>
      <c r="EA664" s="89"/>
      <c r="EB664" s="89"/>
      <c r="EC664" s="89"/>
      <c r="ED664" s="89"/>
      <c r="EE664" s="89"/>
      <c r="EF664" s="89"/>
      <c r="EG664" s="89"/>
      <c r="EH664" s="89"/>
      <c r="EI664" s="89"/>
      <c r="EJ664" s="89"/>
      <c r="EK664" s="91"/>
      <c r="EL664" s="66"/>
      <c r="EM664" s="94"/>
      <c r="EN664" s="94"/>
      <c r="EO664" s="92"/>
      <c r="EP664" s="93"/>
      <c r="EQ664" s="23"/>
      <c r="ER664" s="94"/>
      <c r="ES664" s="94"/>
      <c r="ET664" s="94"/>
      <c r="EU664" s="94"/>
      <c r="EV664" s="95"/>
      <c r="EW664" s="91"/>
      <c r="EX664" s="95"/>
      <c r="EY664" s="8"/>
      <c r="EZ664" s="96"/>
      <c r="FA664" s="91"/>
      <c r="FB664" s="97"/>
      <c r="FC664" s="8"/>
      <c r="FD664" s="91"/>
      <c r="FE664" s="98"/>
      <c r="FF664" s="5"/>
    </row>
    <row r="665" spans="37:162">
      <c r="AK665" s="89"/>
      <c r="AL665" s="8"/>
      <c r="AM665" s="8"/>
      <c r="AN665" s="8"/>
      <c r="AO665" s="8"/>
      <c r="AP665" s="8"/>
      <c r="AQ665" s="8"/>
      <c r="AR665" s="8"/>
      <c r="AZ665" s="45"/>
      <c r="BA665" s="89"/>
      <c r="BB665" s="89"/>
      <c r="BC665" s="89"/>
      <c r="BD665" s="89"/>
      <c r="BE665" s="89"/>
      <c r="BF665" s="89"/>
      <c r="BG665" s="89"/>
      <c r="BH665" s="89"/>
      <c r="BI665" s="89"/>
      <c r="BJ665" s="89"/>
      <c r="BK665" s="91"/>
      <c r="BL665" s="66"/>
      <c r="BM665" s="94"/>
      <c r="BN665" s="94"/>
      <c r="BO665" s="92"/>
      <c r="BP665" s="93"/>
      <c r="BQ665" s="23"/>
      <c r="BR665" s="94"/>
      <c r="BS665" s="94"/>
      <c r="BT665" s="94"/>
      <c r="BU665" s="94"/>
      <c r="BV665" s="95"/>
      <c r="BW665" s="91"/>
      <c r="BX665" s="95"/>
      <c r="BY665" s="8"/>
      <c r="BZ665" s="96"/>
      <c r="CA665" s="91"/>
      <c r="CB665" s="97"/>
      <c r="CC665" s="8"/>
      <c r="CD665" s="91"/>
      <c r="CE665" s="98"/>
      <c r="CF665" s="5"/>
      <c r="DK665" s="89"/>
      <c r="DL665" s="8"/>
      <c r="DM665" s="8"/>
      <c r="DN665" s="8"/>
      <c r="DO665" s="8"/>
      <c r="DP665" s="8"/>
      <c r="DQ665" s="8"/>
      <c r="DR665" s="8"/>
      <c r="DZ665" s="45"/>
      <c r="EA665" s="89"/>
      <c r="EB665" s="89"/>
      <c r="EC665" s="89"/>
      <c r="ED665" s="89"/>
      <c r="EE665" s="89"/>
      <c r="EF665" s="89"/>
      <c r="EG665" s="89"/>
      <c r="EH665" s="89"/>
      <c r="EI665" s="89"/>
      <c r="EJ665" s="89"/>
      <c r="EK665" s="91"/>
      <c r="EL665" s="66"/>
      <c r="EM665" s="94"/>
      <c r="EN665" s="94"/>
      <c r="EO665" s="92"/>
      <c r="EP665" s="93"/>
      <c r="EQ665" s="23"/>
      <c r="ER665" s="94"/>
      <c r="ES665" s="94"/>
      <c r="ET665" s="94"/>
      <c r="EU665" s="94"/>
      <c r="EV665" s="95"/>
      <c r="EW665" s="91"/>
      <c r="EX665" s="95"/>
      <c r="EY665" s="8"/>
      <c r="EZ665" s="96"/>
      <c r="FA665" s="91"/>
      <c r="FB665" s="97"/>
      <c r="FC665" s="8"/>
      <c r="FD665" s="91"/>
      <c r="FE665" s="98"/>
      <c r="FF665" s="5"/>
    </row>
    <row r="666" spans="37:162">
      <c r="AK666" s="89"/>
      <c r="AL666" s="8"/>
      <c r="AM666" s="8"/>
      <c r="AN666" s="8"/>
      <c r="AO666" s="8"/>
      <c r="AP666" s="8"/>
      <c r="AQ666" s="8"/>
      <c r="AR666" s="8"/>
      <c r="AZ666" s="45"/>
      <c r="BA666" s="89"/>
      <c r="BB666" s="89"/>
      <c r="BC666" s="89"/>
      <c r="BD666" s="89"/>
      <c r="BE666" s="89"/>
      <c r="BF666" s="89"/>
      <c r="BG666" s="89"/>
      <c r="BH666" s="89"/>
      <c r="BI666" s="89"/>
      <c r="BJ666" s="89"/>
      <c r="BK666" s="91"/>
      <c r="BL666" s="66"/>
      <c r="BM666" s="94"/>
      <c r="BN666" s="94"/>
      <c r="BO666" s="92"/>
      <c r="BP666" s="93"/>
      <c r="BQ666" s="23"/>
      <c r="BR666" s="94"/>
      <c r="BS666" s="94"/>
      <c r="BT666" s="94"/>
      <c r="BU666" s="94"/>
      <c r="BV666" s="95"/>
      <c r="BW666" s="91"/>
      <c r="BX666" s="95"/>
      <c r="BY666" s="8"/>
      <c r="BZ666" s="96"/>
      <c r="CA666" s="91"/>
      <c r="CB666" s="97"/>
      <c r="CC666" s="8"/>
      <c r="CD666" s="91"/>
      <c r="CE666" s="98"/>
      <c r="CF666" s="5"/>
      <c r="DK666" s="89"/>
      <c r="DL666" s="8"/>
      <c r="DM666" s="8"/>
      <c r="DN666" s="8"/>
      <c r="DO666" s="8"/>
      <c r="DP666" s="8"/>
      <c r="DQ666" s="8"/>
      <c r="DR666" s="8"/>
      <c r="DZ666" s="45"/>
      <c r="EA666" s="89"/>
      <c r="EB666" s="89"/>
      <c r="EC666" s="89"/>
      <c r="ED666" s="89"/>
      <c r="EE666" s="89"/>
      <c r="EF666" s="89"/>
      <c r="EG666" s="89"/>
      <c r="EH666" s="89"/>
      <c r="EI666" s="89"/>
      <c r="EJ666" s="89"/>
      <c r="EK666" s="91"/>
      <c r="EL666" s="66"/>
      <c r="EM666" s="94"/>
      <c r="EN666" s="94"/>
      <c r="EO666" s="92"/>
      <c r="EP666" s="93"/>
      <c r="EQ666" s="23"/>
      <c r="ER666" s="94"/>
      <c r="ES666" s="94"/>
      <c r="ET666" s="94"/>
      <c r="EU666" s="94"/>
      <c r="EV666" s="95"/>
      <c r="EW666" s="91"/>
      <c r="EX666" s="95"/>
      <c r="EY666" s="8"/>
      <c r="EZ666" s="96"/>
      <c r="FA666" s="91"/>
      <c r="FB666" s="97"/>
      <c r="FC666" s="8"/>
      <c r="FD666" s="91"/>
      <c r="FE666" s="98"/>
      <c r="FF666" s="5"/>
    </row>
    <row r="667" spans="37:162">
      <c r="AK667" s="89"/>
      <c r="AL667" s="8"/>
      <c r="AM667" s="8"/>
      <c r="AN667" s="8"/>
      <c r="AO667" s="8"/>
      <c r="AP667" s="8"/>
      <c r="AQ667" s="8"/>
      <c r="AR667" s="8"/>
      <c r="AZ667" s="45"/>
      <c r="BA667" s="89"/>
      <c r="BB667" s="89"/>
      <c r="BC667" s="89"/>
      <c r="BD667" s="89"/>
      <c r="BE667" s="89"/>
      <c r="BF667" s="89"/>
      <c r="BG667" s="89"/>
      <c r="BH667" s="89"/>
      <c r="BI667" s="89"/>
      <c r="BJ667" s="89"/>
      <c r="BK667" s="91"/>
      <c r="BL667" s="66"/>
      <c r="BM667" s="94"/>
      <c r="BN667" s="94"/>
      <c r="BO667" s="92"/>
      <c r="BP667" s="93"/>
      <c r="BQ667" s="23"/>
      <c r="BR667" s="94"/>
      <c r="BS667" s="94"/>
      <c r="BT667" s="94"/>
      <c r="BU667" s="94"/>
      <c r="BV667" s="95"/>
      <c r="BW667" s="91"/>
      <c r="BX667" s="95"/>
      <c r="BY667" s="8"/>
      <c r="BZ667" s="96"/>
      <c r="CA667" s="91"/>
      <c r="CB667" s="97"/>
      <c r="CC667" s="8"/>
      <c r="CD667" s="91"/>
      <c r="CE667" s="98"/>
      <c r="CF667" s="5"/>
      <c r="DK667" s="89"/>
      <c r="DL667" s="8"/>
      <c r="DM667" s="8"/>
      <c r="DN667" s="8"/>
      <c r="DO667" s="8"/>
      <c r="DP667" s="8"/>
      <c r="DQ667" s="8"/>
      <c r="DR667" s="8"/>
      <c r="DZ667" s="45"/>
      <c r="EA667" s="89"/>
      <c r="EB667" s="89"/>
      <c r="EC667" s="89"/>
      <c r="ED667" s="89"/>
      <c r="EE667" s="89"/>
      <c r="EF667" s="89"/>
      <c r="EG667" s="89"/>
      <c r="EH667" s="89"/>
      <c r="EI667" s="89"/>
      <c r="EJ667" s="89"/>
      <c r="EK667" s="91"/>
      <c r="EL667" s="66"/>
      <c r="EM667" s="94"/>
      <c r="EN667" s="94"/>
      <c r="EO667" s="92"/>
      <c r="EP667" s="93"/>
      <c r="EQ667" s="23"/>
      <c r="ER667" s="94"/>
      <c r="ES667" s="94"/>
      <c r="ET667" s="94"/>
      <c r="EU667" s="94"/>
      <c r="EV667" s="95"/>
      <c r="EW667" s="91"/>
      <c r="EX667" s="95"/>
      <c r="EY667" s="8"/>
      <c r="EZ667" s="96"/>
      <c r="FA667" s="91"/>
      <c r="FB667" s="97"/>
      <c r="FC667" s="8"/>
      <c r="FD667" s="91"/>
      <c r="FE667" s="98"/>
      <c r="FF667" s="5"/>
    </row>
    <row r="668" spans="37:162">
      <c r="AK668" s="89"/>
      <c r="AL668" s="8"/>
      <c r="AM668" s="8"/>
      <c r="AN668" s="8"/>
      <c r="AO668" s="8"/>
      <c r="AP668" s="8"/>
      <c r="AQ668" s="8"/>
      <c r="AR668" s="8"/>
      <c r="AZ668" s="45"/>
      <c r="BA668" s="89"/>
      <c r="BB668" s="89"/>
      <c r="BC668" s="89"/>
      <c r="BD668" s="89"/>
      <c r="BE668" s="89"/>
      <c r="BF668" s="89"/>
      <c r="BG668" s="89"/>
      <c r="BH668" s="89"/>
      <c r="BI668" s="89"/>
      <c r="BJ668" s="89"/>
      <c r="BK668" s="91"/>
      <c r="BL668" s="66"/>
      <c r="BM668" s="94"/>
      <c r="BN668" s="94"/>
      <c r="BO668" s="92"/>
      <c r="BP668" s="93"/>
      <c r="BQ668" s="23"/>
      <c r="BR668" s="94"/>
      <c r="BS668" s="94"/>
      <c r="BT668" s="94"/>
      <c r="BU668" s="94"/>
      <c r="BV668" s="95"/>
      <c r="BW668" s="91"/>
      <c r="BX668" s="95"/>
      <c r="BY668" s="8"/>
      <c r="BZ668" s="96"/>
      <c r="CA668" s="91"/>
      <c r="CB668" s="97"/>
      <c r="CC668" s="8"/>
      <c r="CD668" s="91"/>
      <c r="CE668" s="98"/>
      <c r="CF668" s="5"/>
      <c r="DK668" s="89"/>
      <c r="DL668" s="8"/>
      <c r="DM668" s="8"/>
      <c r="DN668" s="8"/>
      <c r="DO668" s="8"/>
      <c r="DP668" s="8"/>
      <c r="DQ668" s="8"/>
      <c r="DR668" s="8"/>
      <c r="DZ668" s="45"/>
      <c r="EA668" s="89"/>
      <c r="EB668" s="89"/>
      <c r="EC668" s="89"/>
      <c r="ED668" s="89"/>
      <c r="EE668" s="89"/>
      <c r="EF668" s="89"/>
      <c r="EG668" s="89"/>
      <c r="EH668" s="89"/>
      <c r="EI668" s="89"/>
      <c r="EJ668" s="89"/>
      <c r="EK668" s="91"/>
      <c r="EL668" s="66"/>
      <c r="EM668" s="94"/>
      <c r="EN668" s="94"/>
      <c r="EO668" s="92"/>
      <c r="EP668" s="93"/>
      <c r="EQ668" s="23"/>
      <c r="ER668" s="94"/>
      <c r="ES668" s="94"/>
      <c r="ET668" s="94"/>
      <c r="EU668" s="94"/>
      <c r="EV668" s="95"/>
      <c r="EW668" s="91"/>
      <c r="EX668" s="95"/>
      <c r="EY668" s="8"/>
      <c r="EZ668" s="96"/>
      <c r="FA668" s="91"/>
      <c r="FB668" s="97"/>
      <c r="FC668" s="8"/>
      <c r="FD668" s="91"/>
      <c r="FE668" s="98"/>
      <c r="FF668" s="5"/>
    </row>
    <row r="669" spans="37:162">
      <c r="AK669" s="89"/>
      <c r="AL669" s="8"/>
      <c r="AM669" s="8"/>
      <c r="AN669" s="8"/>
      <c r="AO669" s="8"/>
      <c r="AP669" s="8"/>
      <c r="AQ669" s="8"/>
      <c r="AR669" s="8"/>
      <c r="AZ669" s="45"/>
      <c r="BA669" s="89"/>
      <c r="BB669" s="89"/>
      <c r="BC669" s="89"/>
      <c r="BD669" s="89"/>
      <c r="BE669" s="89"/>
      <c r="BF669" s="89"/>
      <c r="BG669" s="89"/>
      <c r="BH669" s="89"/>
      <c r="BI669" s="89"/>
      <c r="BJ669" s="89"/>
      <c r="BK669" s="91"/>
      <c r="BL669" s="66"/>
      <c r="BM669" s="94"/>
      <c r="BN669" s="94"/>
      <c r="BO669" s="92"/>
      <c r="BP669" s="93"/>
      <c r="BQ669" s="23"/>
      <c r="BR669" s="94"/>
      <c r="BS669" s="94"/>
      <c r="BT669" s="94"/>
      <c r="BU669" s="94"/>
      <c r="BV669" s="95"/>
      <c r="BW669" s="91"/>
      <c r="BX669" s="95"/>
      <c r="BY669" s="8"/>
      <c r="BZ669" s="96"/>
      <c r="CA669" s="91"/>
      <c r="CB669" s="97"/>
      <c r="CC669" s="8"/>
      <c r="CD669" s="91"/>
      <c r="CE669" s="98"/>
      <c r="CF669" s="5"/>
      <c r="DK669" s="89"/>
      <c r="DL669" s="8"/>
      <c r="DM669" s="8"/>
      <c r="DN669" s="8"/>
      <c r="DO669" s="8"/>
      <c r="DP669" s="8"/>
      <c r="DQ669" s="8"/>
      <c r="DR669" s="8"/>
      <c r="DZ669" s="45"/>
      <c r="EA669" s="89"/>
      <c r="EB669" s="89"/>
      <c r="EC669" s="89"/>
      <c r="ED669" s="89"/>
      <c r="EE669" s="89"/>
      <c r="EF669" s="89"/>
      <c r="EG669" s="89"/>
      <c r="EH669" s="89"/>
      <c r="EI669" s="89"/>
      <c r="EJ669" s="89"/>
      <c r="EK669" s="91"/>
      <c r="EL669" s="66"/>
      <c r="EM669" s="94"/>
      <c r="EN669" s="94"/>
      <c r="EO669" s="92"/>
      <c r="EP669" s="93"/>
      <c r="EQ669" s="23"/>
      <c r="ER669" s="94"/>
      <c r="ES669" s="94"/>
      <c r="ET669" s="94"/>
      <c r="EU669" s="94"/>
      <c r="EV669" s="95"/>
      <c r="EW669" s="91"/>
      <c r="EX669" s="95"/>
      <c r="EY669" s="8"/>
      <c r="EZ669" s="96"/>
      <c r="FA669" s="91"/>
      <c r="FB669" s="97"/>
      <c r="FC669" s="8"/>
      <c r="FD669" s="91"/>
      <c r="FE669" s="98"/>
      <c r="FF669" s="5"/>
    </row>
    <row r="670" spans="37:162">
      <c r="AK670" s="89"/>
      <c r="AL670" s="8"/>
      <c r="AM670" s="8"/>
      <c r="AN670" s="8"/>
      <c r="AO670" s="8"/>
      <c r="AP670" s="8"/>
      <c r="AQ670" s="8"/>
      <c r="AR670" s="8"/>
      <c r="AZ670" s="45"/>
      <c r="BA670" s="89"/>
      <c r="BB670" s="89"/>
      <c r="BC670" s="89"/>
      <c r="BD670" s="89"/>
      <c r="BE670" s="89"/>
      <c r="BF670" s="89"/>
      <c r="BG670" s="89"/>
      <c r="BH670" s="89"/>
      <c r="BI670" s="89"/>
      <c r="BJ670" s="89"/>
      <c r="BK670" s="91"/>
      <c r="BL670" s="66"/>
      <c r="BM670" s="94"/>
      <c r="BN670" s="94"/>
      <c r="BO670" s="92"/>
      <c r="BP670" s="93"/>
      <c r="BQ670" s="23"/>
      <c r="BR670" s="94"/>
      <c r="BS670" s="94"/>
      <c r="BT670" s="94"/>
      <c r="BU670" s="94"/>
      <c r="BV670" s="95"/>
      <c r="BW670" s="91"/>
      <c r="BX670" s="95"/>
      <c r="BY670" s="8"/>
      <c r="BZ670" s="96"/>
      <c r="CA670" s="91"/>
      <c r="CB670" s="97"/>
      <c r="CC670" s="8"/>
      <c r="CD670" s="91"/>
      <c r="CE670" s="98"/>
      <c r="CF670" s="5"/>
      <c r="DK670" s="89"/>
      <c r="DL670" s="8"/>
      <c r="DM670" s="8"/>
      <c r="DN670" s="8"/>
      <c r="DO670" s="8"/>
      <c r="DP670" s="8"/>
      <c r="DQ670" s="8"/>
      <c r="DR670" s="8"/>
      <c r="DZ670" s="45"/>
      <c r="EA670" s="89"/>
      <c r="EB670" s="89"/>
      <c r="EC670" s="89"/>
      <c r="ED670" s="89"/>
      <c r="EE670" s="89"/>
      <c r="EF670" s="89"/>
      <c r="EG670" s="89"/>
      <c r="EH670" s="89"/>
      <c r="EI670" s="89"/>
      <c r="EJ670" s="89"/>
      <c r="EK670" s="91"/>
      <c r="EL670" s="66"/>
      <c r="EM670" s="94"/>
      <c r="EN670" s="94"/>
      <c r="EO670" s="92"/>
      <c r="EP670" s="93"/>
      <c r="EQ670" s="23"/>
      <c r="ER670" s="94"/>
      <c r="ES670" s="94"/>
      <c r="ET670" s="94"/>
      <c r="EU670" s="94"/>
      <c r="EV670" s="95"/>
      <c r="EW670" s="91"/>
      <c r="EX670" s="95"/>
      <c r="EY670" s="8"/>
      <c r="EZ670" s="96"/>
      <c r="FA670" s="91"/>
      <c r="FB670" s="97"/>
      <c r="FC670" s="8"/>
      <c r="FD670" s="91"/>
      <c r="FE670" s="98"/>
      <c r="FF670" s="5"/>
    </row>
    <row r="671" spans="37:162">
      <c r="AK671" s="89"/>
      <c r="AL671" s="8"/>
      <c r="AM671" s="8"/>
      <c r="AN671" s="8"/>
      <c r="AO671" s="8"/>
      <c r="AP671" s="8"/>
      <c r="AQ671" s="8"/>
      <c r="AR671" s="8"/>
      <c r="AZ671" s="45"/>
      <c r="BA671" s="89"/>
      <c r="BB671" s="89"/>
      <c r="BC671" s="89"/>
      <c r="BD671" s="89"/>
      <c r="BE671" s="89"/>
      <c r="BF671" s="89"/>
      <c r="BG671" s="89"/>
      <c r="BH671" s="89"/>
      <c r="BI671" s="89"/>
      <c r="BJ671" s="89"/>
      <c r="BK671" s="91"/>
      <c r="BL671" s="66"/>
      <c r="BM671" s="94"/>
      <c r="BN671" s="94"/>
      <c r="BO671" s="92"/>
      <c r="BP671" s="93"/>
      <c r="BQ671" s="23"/>
      <c r="BR671" s="94"/>
      <c r="BS671" s="94"/>
      <c r="BT671" s="94"/>
      <c r="BU671" s="94"/>
      <c r="BV671" s="95"/>
      <c r="BW671" s="91"/>
      <c r="BX671" s="95"/>
      <c r="BY671" s="8"/>
      <c r="BZ671" s="96"/>
      <c r="CA671" s="91"/>
      <c r="CB671" s="97"/>
      <c r="CC671" s="8"/>
      <c r="CD671" s="91"/>
      <c r="CE671" s="98"/>
      <c r="CF671" s="5"/>
      <c r="DK671" s="89"/>
      <c r="DL671" s="8"/>
      <c r="DM671" s="8"/>
      <c r="DN671" s="8"/>
      <c r="DO671" s="8"/>
      <c r="DP671" s="8"/>
      <c r="DQ671" s="8"/>
      <c r="DR671" s="8"/>
      <c r="DZ671" s="45"/>
      <c r="EA671" s="89"/>
      <c r="EB671" s="89"/>
      <c r="EC671" s="89"/>
      <c r="ED671" s="89"/>
      <c r="EE671" s="89"/>
      <c r="EF671" s="89"/>
      <c r="EG671" s="89"/>
      <c r="EH671" s="89"/>
      <c r="EI671" s="89"/>
      <c r="EJ671" s="89"/>
      <c r="EK671" s="91"/>
      <c r="EL671" s="66"/>
      <c r="EM671" s="94"/>
      <c r="EN671" s="94"/>
      <c r="EO671" s="92"/>
      <c r="EP671" s="93"/>
      <c r="EQ671" s="23"/>
      <c r="ER671" s="94"/>
      <c r="ES671" s="94"/>
      <c r="ET671" s="94"/>
      <c r="EU671" s="94"/>
      <c r="EV671" s="95"/>
      <c r="EW671" s="91"/>
      <c r="EX671" s="95"/>
      <c r="EY671" s="8"/>
      <c r="EZ671" s="96"/>
      <c r="FA671" s="91"/>
      <c r="FB671" s="97"/>
      <c r="FC671" s="8"/>
      <c r="FD671" s="91"/>
      <c r="FE671" s="98"/>
      <c r="FF671" s="5"/>
    </row>
    <row r="672" spans="37:162">
      <c r="AK672" s="89"/>
      <c r="AL672" s="8"/>
      <c r="AM672" s="8"/>
      <c r="AN672" s="8"/>
      <c r="AO672" s="8"/>
      <c r="AP672" s="8"/>
      <c r="AQ672" s="8"/>
      <c r="AR672" s="8"/>
      <c r="AZ672" s="45"/>
      <c r="BA672" s="89"/>
      <c r="BB672" s="89"/>
      <c r="BC672" s="89"/>
      <c r="BD672" s="89"/>
      <c r="BE672" s="89"/>
      <c r="BF672" s="89"/>
      <c r="BG672" s="89"/>
      <c r="BH672" s="89"/>
      <c r="BI672" s="89"/>
      <c r="BJ672" s="89"/>
      <c r="BK672" s="91"/>
      <c r="BL672" s="66"/>
      <c r="BM672" s="94"/>
      <c r="BN672" s="94"/>
      <c r="BO672" s="92"/>
      <c r="BP672" s="93"/>
      <c r="BQ672" s="23"/>
      <c r="BR672" s="94"/>
      <c r="BS672" s="94"/>
      <c r="BT672" s="94"/>
      <c r="BU672" s="94"/>
      <c r="BV672" s="95"/>
      <c r="BW672" s="91"/>
      <c r="BX672" s="95"/>
      <c r="BY672" s="8"/>
      <c r="BZ672" s="96"/>
      <c r="CA672" s="91"/>
      <c r="CB672" s="97"/>
      <c r="CC672" s="8"/>
      <c r="CD672" s="91"/>
      <c r="CE672" s="98"/>
      <c r="CF672" s="5"/>
      <c r="DK672" s="89"/>
      <c r="DL672" s="8"/>
      <c r="DM672" s="8"/>
      <c r="DN672" s="8"/>
      <c r="DO672" s="8"/>
      <c r="DP672" s="8"/>
      <c r="DQ672" s="8"/>
      <c r="DR672" s="8"/>
      <c r="DZ672" s="45"/>
      <c r="EA672" s="89"/>
      <c r="EB672" s="89"/>
      <c r="EC672" s="89"/>
      <c r="ED672" s="89"/>
      <c r="EE672" s="89"/>
      <c r="EF672" s="89"/>
      <c r="EG672" s="89"/>
      <c r="EH672" s="89"/>
      <c r="EI672" s="89"/>
      <c r="EJ672" s="89"/>
      <c r="EK672" s="91"/>
      <c r="EL672" s="66"/>
      <c r="EM672" s="94"/>
      <c r="EN672" s="94"/>
      <c r="EO672" s="92"/>
      <c r="EP672" s="93"/>
      <c r="EQ672" s="23"/>
      <c r="ER672" s="94"/>
      <c r="ES672" s="94"/>
      <c r="ET672" s="94"/>
      <c r="EU672" s="94"/>
      <c r="EV672" s="95"/>
      <c r="EW672" s="91"/>
      <c r="EX672" s="95"/>
      <c r="EY672" s="8"/>
      <c r="EZ672" s="96"/>
      <c r="FA672" s="91"/>
      <c r="FB672" s="97"/>
      <c r="FC672" s="8"/>
      <c r="FD672" s="91"/>
      <c r="FE672" s="98"/>
      <c r="FF672" s="5"/>
    </row>
    <row r="673" spans="37:162">
      <c r="AK673" s="89"/>
      <c r="AL673" s="8"/>
      <c r="AM673" s="8"/>
      <c r="AN673" s="8"/>
      <c r="AO673" s="8"/>
      <c r="AP673" s="8"/>
      <c r="AQ673" s="8"/>
      <c r="AR673" s="8"/>
      <c r="AZ673" s="45"/>
      <c r="BA673" s="89"/>
      <c r="BB673" s="89"/>
      <c r="BC673" s="89"/>
      <c r="BD673" s="89"/>
      <c r="BE673" s="89"/>
      <c r="BF673" s="89"/>
      <c r="BG673" s="89"/>
      <c r="BH673" s="89"/>
      <c r="BI673" s="89"/>
      <c r="BJ673" s="89"/>
      <c r="BK673" s="91"/>
      <c r="BL673" s="66"/>
      <c r="BM673" s="94"/>
      <c r="BN673" s="94"/>
      <c r="BO673" s="92"/>
      <c r="BP673" s="93"/>
      <c r="BQ673" s="23"/>
      <c r="BR673" s="94"/>
      <c r="BS673" s="94"/>
      <c r="BT673" s="94"/>
      <c r="BU673" s="94"/>
      <c r="BV673" s="95"/>
      <c r="BW673" s="91"/>
      <c r="BX673" s="95"/>
      <c r="BY673" s="8"/>
      <c r="BZ673" s="96"/>
      <c r="CA673" s="91"/>
      <c r="CB673" s="97"/>
      <c r="CC673" s="8"/>
      <c r="CD673" s="91"/>
      <c r="CE673" s="98"/>
      <c r="CF673" s="5"/>
      <c r="DK673" s="89"/>
      <c r="DL673" s="8"/>
      <c r="DM673" s="8"/>
      <c r="DN673" s="8"/>
      <c r="DO673" s="8"/>
      <c r="DP673" s="8"/>
      <c r="DQ673" s="8"/>
      <c r="DR673" s="8"/>
      <c r="DZ673" s="45"/>
      <c r="EA673" s="89"/>
      <c r="EB673" s="89"/>
      <c r="EC673" s="89"/>
      <c r="ED673" s="89"/>
      <c r="EE673" s="89"/>
      <c r="EF673" s="89"/>
      <c r="EG673" s="89"/>
      <c r="EH673" s="89"/>
      <c r="EI673" s="89"/>
      <c r="EJ673" s="89"/>
      <c r="EK673" s="91"/>
      <c r="EL673" s="66"/>
      <c r="EM673" s="94"/>
      <c r="EN673" s="94"/>
      <c r="EO673" s="92"/>
      <c r="EP673" s="93"/>
      <c r="EQ673" s="23"/>
      <c r="ER673" s="94"/>
      <c r="ES673" s="94"/>
      <c r="ET673" s="94"/>
      <c r="EU673" s="94"/>
      <c r="EV673" s="95"/>
      <c r="EW673" s="91"/>
      <c r="EX673" s="95"/>
      <c r="EY673" s="8"/>
      <c r="EZ673" s="96"/>
      <c r="FA673" s="91"/>
      <c r="FB673" s="97"/>
      <c r="FC673" s="8"/>
      <c r="FD673" s="91"/>
      <c r="FE673" s="98"/>
      <c r="FF673" s="5"/>
    </row>
    <row r="674" spans="37:162">
      <c r="AK674" s="89"/>
      <c r="AL674" s="8"/>
      <c r="AM674" s="8"/>
      <c r="AN674" s="8"/>
      <c r="AO674" s="8"/>
      <c r="AP674" s="8"/>
      <c r="AQ674" s="8"/>
      <c r="AR674" s="8"/>
      <c r="AZ674" s="45"/>
      <c r="BA674" s="89"/>
      <c r="BB674" s="89"/>
      <c r="BC674" s="89"/>
      <c r="BD674" s="89"/>
      <c r="BE674" s="89"/>
      <c r="BF674" s="89"/>
      <c r="BG674" s="89"/>
      <c r="BH674" s="89"/>
      <c r="BI674" s="89"/>
      <c r="BJ674" s="89"/>
      <c r="BK674" s="91"/>
      <c r="BL674" s="66"/>
      <c r="BM674" s="94"/>
      <c r="BN674" s="94"/>
      <c r="BO674" s="92"/>
      <c r="BP674" s="93"/>
      <c r="BQ674" s="23"/>
      <c r="BR674" s="94"/>
      <c r="BS674" s="94"/>
      <c r="BT674" s="94"/>
      <c r="BU674" s="94"/>
      <c r="BV674" s="95"/>
      <c r="BW674" s="91"/>
      <c r="BX674" s="95"/>
      <c r="BY674" s="8"/>
      <c r="BZ674" s="96"/>
      <c r="CA674" s="91"/>
      <c r="CB674" s="97"/>
      <c r="CC674" s="8"/>
      <c r="CD674" s="91"/>
      <c r="CE674" s="98"/>
      <c r="CF674" s="5"/>
      <c r="DK674" s="89"/>
      <c r="DL674" s="8"/>
      <c r="DM674" s="8"/>
      <c r="DN674" s="8"/>
      <c r="DO674" s="8"/>
      <c r="DP674" s="8"/>
      <c r="DQ674" s="8"/>
      <c r="DR674" s="8"/>
      <c r="DZ674" s="45"/>
      <c r="EA674" s="89"/>
      <c r="EB674" s="89"/>
      <c r="EC674" s="89"/>
      <c r="ED674" s="89"/>
      <c r="EE674" s="89"/>
      <c r="EF674" s="89"/>
      <c r="EG674" s="89"/>
      <c r="EH674" s="89"/>
      <c r="EI674" s="89"/>
      <c r="EJ674" s="89"/>
      <c r="EK674" s="91"/>
      <c r="EL674" s="66"/>
      <c r="EM674" s="94"/>
      <c r="EN674" s="94"/>
      <c r="EO674" s="92"/>
      <c r="EP674" s="93"/>
      <c r="EQ674" s="23"/>
      <c r="ER674" s="94"/>
      <c r="ES674" s="94"/>
      <c r="ET674" s="94"/>
      <c r="EU674" s="94"/>
      <c r="EV674" s="95"/>
      <c r="EW674" s="91"/>
      <c r="EX674" s="95"/>
      <c r="EY674" s="8"/>
      <c r="EZ674" s="96"/>
      <c r="FA674" s="91"/>
      <c r="FB674" s="97"/>
      <c r="FC674" s="8"/>
      <c r="FD674" s="91"/>
      <c r="FE674" s="98"/>
      <c r="FF674" s="5"/>
    </row>
    <row r="675" spans="37:162">
      <c r="AK675" s="89"/>
      <c r="AL675" s="8"/>
      <c r="AM675" s="8"/>
      <c r="AN675" s="8"/>
      <c r="AO675" s="8"/>
      <c r="AP675" s="8"/>
      <c r="AQ675" s="8"/>
      <c r="AR675" s="8"/>
      <c r="AZ675" s="45"/>
      <c r="BA675" s="89"/>
      <c r="BB675" s="89"/>
      <c r="BC675" s="89"/>
      <c r="BD675" s="89"/>
      <c r="BE675" s="89"/>
      <c r="BF675" s="89"/>
      <c r="BG675" s="89"/>
      <c r="BH675" s="89"/>
      <c r="BI675" s="89"/>
      <c r="BJ675" s="89"/>
      <c r="BK675" s="91"/>
      <c r="BL675" s="66"/>
      <c r="BM675" s="94"/>
      <c r="BN675" s="94"/>
      <c r="BO675" s="92"/>
      <c r="BP675" s="93"/>
      <c r="BQ675" s="23"/>
      <c r="BR675" s="94"/>
      <c r="BS675" s="94"/>
      <c r="BT675" s="94"/>
      <c r="BU675" s="94"/>
      <c r="BV675" s="95"/>
      <c r="BW675" s="91"/>
      <c r="BX675" s="95"/>
      <c r="BY675" s="8"/>
      <c r="BZ675" s="96"/>
      <c r="CA675" s="91"/>
      <c r="CB675" s="97"/>
      <c r="CC675" s="8"/>
      <c r="CD675" s="91"/>
      <c r="CE675" s="98"/>
      <c r="CF675" s="5"/>
      <c r="DK675" s="89"/>
      <c r="DL675" s="8"/>
      <c r="DM675" s="8"/>
      <c r="DN675" s="8"/>
      <c r="DO675" s="8"/>
      <c r="DP675" s="8"/>
      <c r="DQ675" s="8"/>
      <c r="DR675" s="8"/>
      <c r="DZ675" s="45"/>
      <c r="EA675" s="89"/>
      <c r="EB675" s="89"/>
      <c r="EC675" s="89"/>
      <c r="ED675" s="89"/>
      <c r="EE675" s="89"/>
      <c r="EF675" s="89"/>
      <c r="EG675" s="89"/>
      <c r="EH675" s="89"/>
      <c r="EI675" s="89"/>
      <c r="EJ675" s="89"/>
      <c r="EK675" s="91"/>
      <c r="EL675" s="66"/>
      <c r="EM675" s="94"/>
      <c r="EN675" s="94"/>
      <c r="EO675" s="92"/>
      <c r="EP675" s="93"/>
      <c r="EQ675" s="23"/>
      <c r="ER675" s="94"/>
      <c r="ES675" s="94"/>
      <c r="ET675" s="94"/>
      <c r="EU675" s="94"/>
      <c r="EV675" s="95"/>
      <c r="EW675" s="91"/>
      <c r="EX675" s="95"/>
      <c r="EY675" s="8"/>
      <c r="EZ675" s="96"/>
      <c r="FA675" s="91"/>
      <c r="FB675" s="97"/>
      <c r="FC675" s="8"/>
      <c r="FD675" s="91"/>
      <c r="FE675" s="98"/>
      <c r="FF675" s="5"/>
    </row>
    <row r="676" spans="37:162">
      <c r="AK676" s="89"/>
      <c r="AL676" s="8"/>
      <c r="AM676" s="8"/>
      <c r="AN676" s="8"/>
      <c r="AO676" s="8"/>
      <c r="AP676" s="8"/>
      <c r="AQ676" s="8"/>
      <c r="AR676" s="8"/>
      <c r="AZ676" s="45"/>
      <c r="BA676" s="89"/>
      <c r="BB676" s="89"/>
      <c r="BC676" s="89"/>
      <c r="BD676" s="89"/>
      <c r="BE676" s="89"/>
      <c r="BF676" s="89"/>
      <c r="BG676" s="89"/>
      <c r="BH676" s="89"/>
      <c r="BI676" s="89"/>
      <c r="BJ676" s="89"/>
      <c r="BK676" s="91"/>
      <c r="BL676" s="66"/>
      <c r="BM676" s="94"/>
      <c r="BN676" s="94"/>
      <c r="BO676" s="92"/>
      <c r="BP676" s="93"/>
      <c r="BQ676" s="23"/>
      <c r="BR676" s="94"/>
      <c r="BS676" s="94"/>
      <c r="BT676" s="94"/>
      <c r="BU676" s="94"/>
      <c r="BV676" s="95"/>
      <c r="BW676" s="91"/>
      <c r="BX676" s="95"/>
      <c r="BY676" s="8"/>
      <c r="BZ676" s="96"/>
      <c r="CA676" s="91"/>
      <c r="CB676" s="97"/>
      <c r="CC676" s="8"/>
      <c r="CD676" s="91"/>
      <c r="CE676" s="98"/>
      <c r="CF676" s="5"/>
      <c r="DK676" s="89"/>
      <c r="DL676" s="8"/>
      <c r="DM676" s="8"/>
      <c r="DN676" s="8"/>
      <c r="DO676" s="8"/>
      <c r="DP676" s="8"/>
      <c r="DQ676" s="8"/>
      <c r="DR676" s="8"/>
      <c r="DZ676" s="45"/>
      <c r="EA676" s="89"/>
      <c r="EB676" s="89"/>
      <c r="EC676" s="89"/>
      <c r="ED676" s="89"/>
      <c r="EE676" s="89"/>
      <c r="EF676" s="89"/>
      <c r="EG676" s="89"/>
      <c r="EH676" s="89"/>
      <c r="EI676" s="89"/>
      <c r="EJ676" s="89"/>
      <c r="EK676" s="91"/>
      <c r="EL676" s="66"/>
      <c r="EM676" s="94"/>
      <c r="EN676" s="94"/>
      <c r="EO676" s="92"/>
      <c r="EP676" s="93"/>
      <c r="EQ676" s="23"/>
      <c r="ER676" s="94"/>
      <c r="ES676" s="94"/>
      <c r="ET676" s="94"/>
      <c r="EU676" s="94"/>
      <c r="EV676" s="95"/>
      <c r="EW676" s="91"/>
      <c r="EX676" s="95"/>
      <c r="EY676" s="8"/>
      <c r="EZ676" s="96"/>
      <c r="FA676" s="91"/>
      <c r="FB676" s="97"/>
      <c r="FC676" s="8"/>
      <c r="FD676" s="91"/>
      <c r="FE676" s="98"/>
      <c r="FF676" s="5"/>
    </row>
    <row r="677" spans="37:162">
      <c r="AK677" s="89"/>
      <c r="AL677" s="8"/>
      <c r="AM677" s="8"/>
      <c r="AN677" s="8"/>
      <c r="AO677" s="8"/>
      <c r="AP677" s="8"/>
      <c r="AQ677" s="8"/>
      <c r="AR677" s="8"/>
      <c r="AZ677" s="45"/>
      <c r="BA677" s="89"/>
      <c r="BB677" s="89"/>
      <c r="BC677" s="89"/>
      <c r="BD677" s="89"/>
      <c r="BE677" s="89"/>
      <c r="BF677" s="89"/>
      <c r="BG677" s="89"/>
      <c r="BH677" s="89"/>
      <c r="BI677" s="89"/>
      <c r="BJ677" s="89"/>
      <c r="BK677" s="91"/>
      <c r="BL677" s="66"/>
      <c r="BM677" s="94"/>
      <c r="BN677" s="94"/>
      <c r="BO677" s="92"/>
      <c r="BP677" s="93"/>
      <c r="BQ677" s="23"/>
      <c r="BR677" s="94"/>
      <c r="BS677" s="94"/>
      <c r="BT677" s="94"/>
      <c r="BU677" s="94"/>
      <c r="BV677" s="95"/>
      <c r="BW677" s="91"/>
      <c r="BX677" s="95"/>
      <c r="BY677" s="8"/>
      <c r="BZ677" s="96"/>
      <c r="CA677" s="91"/>
      <c r="CB677" s="97"/>
      <c r="CC677" s="8"/>
      <c r="CD677" s="91"/>
      <c r="CE677" s="98"/>
      <c r="CF677" s="5"/>
      <c r="DK677" s="89"/>
      <c r="DL677" s="8"/>
      <c r="DM677" s="8"/>
      <c r="DN677" s="8"/>
      <c r="DO677" s="8"/>
      <c r="DP677" s="8"/>
      <c r="DQ677" s="8"/>
      <c r="DR677" s="8"/>
      <c r="DZ677" s="45"/>
      <c r="EA677" s="89"/>
      <c r="EB677" s="89"/>
      <c r="EC677" s="89"/>
      <c r="ED677" s="89"/>
      <c r="EE677" s="89"/>
      <c r="EF677" s="89"/>
      <c r="EG677" s="89"/>
      <c r="EH677" s="89"/>
      <c r="EI677" s="89"/>
      <c r="EJ677" s="89"/>
      <c r="EK677" s="91"/>
      <c r="EL677" s="66"/>
      <c r="EM677" s="94"/>
      <c r="EN677" s="94"/>
      <c r="EO677" s="92"/>
      <c r="EP677" s="93"/>
      <c r="EQ677" s="23"/>
      <c r="ER677" s="94"/>
      <c r="ES677" s="94"/>
      <c r="ET677" s="94"/>
      <c r="EU677" s="94"/>
      <c r="EV677" s="95"/>
      <c r="EW677" s="91"/>
      <c r="EX677" s="95"/>
      <c r="EY677" s="8"/>
      <c r="EZ677" s="96"/>
      <c r="FA677" s="91"/>
      <c r="FB677" s="97"/>
      <c r="FC677" s="8"/>
      <c r="FD677" s="91"/>
      <c r="FE677" s="98"/>
      <c r="FF677" s="5"/>
    </row>
    <row r="678" spans="37:162">
      <c r="AK678" s="89"/>
      <c r="AL678" s="8"/>
      <c r="AM678" s="8"/>
      <c r="AN678" s="8"/>
      <c r="AO678" s="8"/>
      <c r="AP678" s="8"/>
      <c r="AQ678" s="8"/>
      <c r="AR678" s="8"/>
      <c r="AZ678" s="45"/>
      <c r="BA678" s="89"/>
      <c r="BB678" s="89"/>
      <c r="BC678" s="89"/>
      <c r="BD678" s="89"/>
      <c r="BE678" s="89"/>
      <c r="BF678" s="89"/>
      <c r="BG678" s="89"/>
      <c r="BH678" s="89"/>
      <c r="BI678" s="89"/>
      <c r="BJ678" s="89"/>
      <c r="BK678" s="91"/>
      <c r="BL678" s="66"/>
      <c r="BM678" s="94"/>
      <c r="BN678" s="94"/>
      <c r="BO678" s="92"/>
      <c r="BP678" s="93"/>
      <c r="BQ678" s="23"/>
      <c r="BR678" s="94"/>
      <c r="BS678" s="94"/>
      <c r="BT678" s="94"/>
      <c r="BU678" s="94"/>
      <c r="BV678" s="95"/>
      <c r="BW678" s="91"/>
      <c r="BX678" s="95"/>
      <c r="BY678" s="8"/>
      <c r="BZ678" s="96"/>
      <c r="CA678" s="91"/>
      <c r="CB678" s="97"/>
      <c r="CC678" s="8"/>
      <c r="CD678" s="91"/>
      <c r="CE678" s="98"/>
      <c r="CF678" s="5"/>
      <c r="DK678" s="89"/>
      <c r="DL678" s="8"/>
      <c r="DM678" s="8"/>
      <c r="DN678" s="8"/>
      <c r="DO678" s="8"/>
      <c r="DP678" s="8"/>
      <c r="DQ678" s="8"/>
      <c r="DR678" s="8"/>
      <c r="DZ678" s="45"/>
      <c r="EA678" s="89"/>
      <c r="EB678" s="89"/>
      <c r="EC678" s="89"/>
      <c r="ED678" s="89"/>
      <c r="EE678" s="89"/>
      <c r="EF678" s="89"/>
      <c r="EG678" s="89"/>
      <c r="EH678" s="89"/>
      <c r="EI678" s="89"/>
      <c r="EJ678" s="89"/>
      <c r="EK678" s="91"/>
      <c r="EL678" s="66"/>
      <c r="EM678" s="94"/>
      <c r="EN678" s="94"/>
      <c r="EO678" s="92"/>
      <c r="EP678" s="93"/>
      <c r="EQ678" s="23"/>
      <c r="ER678" s="94"/>
      <c r="ES678" s="94"/>
      <c r="ET678" s="94"/>
      <c r="EU678" s="94"/>
      <c r="EV678" s="95"/>
      <c r="EW678" s="91"/>
      <c r="EX678" s="95"/>
      <c r="EY678" s="8"/>
      <c r="EZ678" s="96"/>
      <c r="FA678" s="91"/>
      <c r="FB678" s="97"/>
      <c r="FC678" s="8"/>
      <c r="FD678" s="91"/>
      <c r="FE678" s="98"/>
      <c r="FF678" s="5"/>
    </row>
    <row r="679" spans="37:162">
      <c r="AK679" s="89"/>
      <c r="AL679" s="8"/>
      <c r="AM679" s="8"/>
      <c r="AN679" s="8"/>
      <c r="AO679" s="8"/>
      <c r="AP679" s="8"/>
      <c r="AQ679" s="8"/>
      <c r="AR679" s="8"/>
      <c r="AZ679" s="45"/>
      <c r="BA679" s="89"/>
      <c r="BB679" s="89"/>
      <c r="BC679" s="89"/>
      <c r="BD679" s="89"/>
      <c r="BE679" s="89"/>
      <c r="BF679" s="89"/>
      <c r="BG679" s="89"/>
      <c r="BH679" s="89"/>
      <c r="BI679" s="89"/>
      <c r="BJ679" s="89"/>
      <c r="BK679" s="91"/>
      <c r="BL679" s="66"/>
      <c r="BM679" s="94"/>
      <c r="BN679" s="94"/>
      <c r="BO679" s="92"/>
      <c r="BP679" s="93"/>
      <c r="BQ679" s="23"/>
      <c r="BR679" s="94"/>
      <c r="BS679" s="94"/>
      <c r="BT679" s="94"/>
      <c r="BU679" s="94"/>
      <c r="BV679" s="95"/>
      <c r="BW679" s="91"/>
      <c r="BX679" s="95"/>
      <c r="BY679" s="8"/>
      <c r="BZ679" s="96"/>
      <c r="CA679" s="91"/>
      <c r="CB679" s="97"/>
      <c r="CC679" s="8"/>
      <c r="CD679" s="91"/>
      <c r="CE679" s="98"/>
      <c r="CF679" s="5"/>
      <c r="DK679" s="89"/>
      <c r="DL679" s="8"/>
      <c r="DM679" s="8"/>
      <c r="DN679" s="8"/>
      <c r="DO679" s="8"/>
      <c r="DP679" s="8"/>
      <c r="DQ679" s="8"/>
      <c r="DR679" s="8"/>
      <c r="DZ679" s="45"/>
      <c r="EA679" s="89"/>
      <c r="EB679" s="89"/>
      <c r="EC679" s="89"/>
      <c r="ED679" s="89"/>
      <c r="EE679" s="89"/>
      <c r="EF679" s="89"/>
      <c r="EG679" s="89"/>
      <c r="EH679" s="89"/>
      <c r="EI679" s="89"/>
      <c r="EJ679" s="89"/>
      <c r="EK679" s="91"/>
      <c r="EL679" s="66"/>
      <c r="EM679" s="94"/>
      <c r="EN679" s="94"/>
      <c r="EO679" s="92"/>
      <c r="EP679" s="93"/>
      <c r="EQ679" s="23"/>
      <c r="ER679" s="94"/>
      <c r="ES679" s="94"/>
      <c r="ET679" s="94"/>
      <c r="EU679" s="94"/>
      <c r="EV679" s="95"/>
      <c r="EW679" s="91"/>
      <c r="EX679" s="95"/>
      <c r="EY679" s="8"/>
      <c r="EZ679" s="96"/>
      <c r="FA679" s="91"/>
      <c r="FB679" s="97"/>
      <c r="FC679" s="8"/>
      <c r="FD679" s="91"/>
      <c r="FE679" s="98"/>
      <c r="FF679" s="5"/>
    </row>
    <row r="680" spans="37:162">
      <c r="AK680" s="89"/>
      <c r="AL680" s="8"/>
      <c r="AM680" s="8"/>
      <c r="AN680" s="8"/>
      <c r="AO680" s="8"/>
      <c r="AP680" s="8"/>
      <c r="AQ680" s="8"/>
      <c r="AR680" s="8"/>
      <c r="AZ680" s="45"/>
      <c r="BA680" s="89"/>
      <c r="BB680" s="89"/>
      <c r="BC680" s="89"/>
      <c r="BD680" s="89"/>
      <c r="BE680" s="89"/>
      <c r="BF680" s="89"/>
      <c r="BG680" s="89"/>
      <c r="BH680" s="89"/>
      <c r="BI680" s="89"/>
      <c r="BJ680" s="89"/>
      <c r="BK680" s="91"/>
      <c r="BL680" s="66"/>
      <c r="BM680" s="94"/>
      <c r="BN680" s="94"/>
      <c r="BO680" s="92"/>
      <c r="BP680" s="93"/>
      <c r="BQ680" s="23"/>
      <c r="BR680" s="94"/>
      <c r="BS680" s="94"/>
      <c r="BT680" s="94"/>
      <c r="BU680" s="94"/>
      <c r="BV680" s="95"/>
      <c r="BW680" s="91"/>
      <c r="BX680" s="95"/>
      <c r="BY680" s="8"/>
      <c r="BZ680" s="96"/>
      <c r="CA680" s="91"/>
      <c r="CB680" s="97"/>
      <c r="CC680" s="8"/>
      <c r="CD680" s="91"/>
      <c r="CE680" s="98"/>
      <c r="CF680" s="5"/>
      <c r="DK680" s="89"/>
      <c r="DL680" s="8"/>
      <c r="DM680" s="8"/>
      <c r="DN680" s="8"/>
      <c r="DO680" s="8"/>
      <c r="DP680" s="8"/>
      <c r="DQ680" s="8"/>
      <c r="DR680" s="8"/>
      <c r="DZ680" s="45"/>
      <c r="EA680" s="89"/>
      <c r="EB680" s="89"/>
      <c r="EC680" s="89"/>
      <c r="ED680" s="89"/>
      <c r="EE680" s="89"/>
      <c r="EF680" s="89"/>
      <c r="EG680" s="89"/>
      <c r="EH680" s="89"/>
      <c r="EI680" s="89"/>
      <c r="EJ680" s="89"/>
      <c r="EK680" s="91"/>
      <c r="EL680" s="66"/>
      <c r="EM680" s="94"/>
      <c r="EN680" s="94"/>
      <c r="EO680" s="92"/>
      <c r="EP680" s="93"/>
      <c r="EQ680" s="23"/>
      <c r="ER680" s="94"/>
      <c r="ES680" s="94"/>
      <c r="ET680" s="94"/>
      <c r="EU680" s="94"/>
      <c r="EV680" s="95"/>
      <c r="EW680" s="91"/>
      <c r="EX680" s="95"/>
      <c r="EY680" s="8"/>
      <c r="EZ680" s="96"/>
      <c r="FA680" s="91"/>
      <c r="FB680" s="97"/>
      <c r="FC680" s="8"/>
      <c r="FD680" s="91"/>
      <c r="FE680" s="98"/>
      <c r="FF680" s="5"/>
    </row>
    <row r="681" spans="37:162">
      <c r="AK681" s="89"/>
      <c r="AL681" s="8"/>
      <c r="AM681" s="8"/>
      <c r="AN681" s="8"/>
      <c r="AO681" s="8"/>
      <c r="AP681" s="8"/>
      <c r="AQ681" s="8"/>
      <c r="AR681" s="8"/>
      <c r="AZ681" s="45"/>
      <c r="BA681" s="89"/>
      <c r="BB681" s="89"/>
      <c r="BC681" s="89"/>
      <c r="BD681" s="89"/>
      <c r="BE681" s="89"/>
      <c r="BF681" s="89"/>
      <c r="BG681" s="89"/>
      <c r="BH681" s="89"/>
      <c r="BI681" s="89"/>
      <c r="BJ681" s="89"/>
      <c r="BK681" s="91"/>
      <c r="BL681" s="66"/>
      <c r="BM681" s="94"/>
      <c r="BN681" s="94"/>
      <c r="BO681" s="92"/>
      <c r="BP681" s="93"/>
      <c r="BQ681" s="23"/>
      <c r="BR681" s="94"/>
      <c r="BS681" s="94"/>
      <c r="BT681" s="94"/>
      <c r="BU681" s="94"/>
      <c r="BV681" s="95"/>
      <c r="BW681" s="91"/>
      <c r="BX681" s="95"/>
      <c r="BY681" s="8"/>
      <c r="BZ681" s="96"/>
      <c r="CA681" s="91"/>
      <c r="CB681" s="97"/>
      <c r="CC681" s="8"/>
      <c r="CD681" s="91"/>
      <c r="CE681" s="98"/>
      <c r="CF681" s="5"/>
      <c r="DK681" s="89"/>
      <c r="DL681" s="8"/>
      <c r="DM681" s="8"/>
      <c r="DN681" s="8"/>
      <c r="DO681" s="8"/>
      <c r="DP681" s="8"/>
      <c r="DQ681" s="8"/>
      <c r="DR681" s="8"/>
      <c r="DZ681" s="45"/>
      <c r="EA681" s="89"/>
      <c r="EB681" s="89"/>
      <c r="EC681" s="89"/>
      <c r="ED681" s="89"/>
      <c r="EE681" s="89"/>
      <c r="EF681" s="89"/>
      <c r="EG681" s="89"/>
      <c r="EH681" s="89"/>
      <c r="EI681" s="89"/>
      <c r="EJ681" s="89"/>
      <c r="EK681" s="91"/>
      <c r="EL681" s="66"/>
      <c r="EM681" s="94"/>
      <c r="EN681" s="94"/>
      <c r="EO681" s="92"/>
      <c r="EP681" s="93"/>
      <c r="EQ681" s="23"/>
      <c r="ER681" s="94"/>
      <c r="ES681" s="94"/>
      <c r="ET681" s="94"/>
      <c r="EU681" s="94"/>
      <c r="EV681" s="95"/>
      <c r="EW681" s="91"/>
      <c r="EX681" s="95"/>
      <c r="EY681" s="8"/>
      <c r="EZ681" s="96"/>
      <c r="FA681" s="91"/>
      <c r="FB681" s="97"/>
      <c r="FC681" s="8"/>
      <c r="FD681" s="91"/>
      <c r="FE681" s="98"/>
      <c r="FF681" s="5"/>
    </row>
    <row r="682" spans="37:162">
      <c r="AK682" s="89"/>
      <c r="AL682" s="8"/>
      <c r="AM682" s="8"/>
      <c r="AN682" s="8"/>
      <c r="AO682" s="8"/>
      <c r="AP682" s="8"/>
      <c r="AQ682" s="8"/>
      <c r="AR682" s="8"/>
      <c r="AZ682" s="45"/>
      <c r="BA682" s="89"/>
      <c r="BB682" s="89"/>
      <c r="BC682" s="89"/>
      <c r="BD682" s="89"/>
      <c r="BE682" s="89"/>
      <c r="BF682" s="89"/>
      <c r="BG682" s="89"/>
      <c r="BH682" s="89"/>
      <c r="BI682" s="89"/>
      <c r="BJ682" s="89"/>
      <c r="BK682" s="91"/>
      <c r="BL682" s="66"/>
      <c r="BM682" s="94"/>
      <c r="BN682" s="94"/>
      <c r="BO682" s="92"/>
      <c r="BP682" s="93"/>
      <c r="BQ682" s="23"/>
      <c r="BR682" s="94"/>
      <c r="BS682" s="94"/>
      <c r="BT682" s="94"/>
      <c r="BU682" s="94"/>
      <c r="BV682" s="95"/>
      <c r="BW682" s="91"/>
      <c r="BX682" s="95"/>
      <c r="BY682" s="8"/>
      <c r="BZ682" s="96"/>
      <c r="CA682" s="91"/>
      <c r="CB682" s="97"/>
      <c r="CC682" s="8"/>
      <c r="CD682" s="91"/>
      <c r="CE682" s="98"/>
      <c r="CF682" s="5"/>
      <c r="DK682" s="89"/>
      <c r="DL682" s="8"/>
      <c r="DM682" s="8"/>
      <c r="DN682" s="8"/>
      <c r="DO682" s="8"/>
      <c r="DP682" s="8"/>
      <c r="DQ682" s="8"/>
      <c r="DR682" s="8"/>
      <c r="DZ682" s="45"/>
      <c r="EA682" s="89"/>
      <c r="EB682" s="89"/>
      <c r="EC682" s="89"/>
      <c r="ED682" s="89"/>
      <c r="EE682" s="89"/>
      <c r="EF682" s="89"/>
      <c r="EG682" s="89"/>
      <c r="EH682" s="89"/>
      <c r="EI682" s="89"/>
      <c r="EJ682" s="89"/>
      <c r="EK682" s="91"/>
      <c r="EL682" s="66"/>
      <c r="EM682" s="94"/>
      <c r="EN682" s="94"/>
      <c r="EO682" s="92"/>
      <c r="EP682" s="93"/>
      <c r="EQ682" s="23"/>
      <c r="ER682" s="94"/>
      <c r="ES682" s="94"/>
      <c r="ET682" s="94"/>
      <c r="EU682" s="94"/>
      <c r="EV682" s="95"/>
      <c r="EW682" s="91"/>
      <c r="EX682" s="95"/>
      <c r="EY682" s="8"/>
      <c r="EZ682" s="96"/>
      <c r="FA682" s="91"/>
      <c r="FB682" s="97"/>
      <c r="FC682" s="8"/>
      <c r="FD682" s="91"/>
      <c r="FE682" s="98"/>
      <c r="FF682" s="5"/>
    </row>
    <row r="683" spans="37:162">
      <c r="AK683" s="89"/>
      <c r="AL683" s="8"/>
      <c r="AM683" s="8"/>
      <c r="AN683" s="8"/>
      <c r="AO683" s="8"/>
      <c r="AP683" s="8"/>
      <c r="AQ683" s="8"/>
      <c r="AR683" s="8"/>
      <c r="AZ683" s="45"/>
      <c r="BA683" s="89"/>
      <c r="BB683" s="89"/>
      <c r="BC683" s="89"/>
      <c r="BD683" s="89"/>
      <c r="BE683" s="89"/>
      <c r="BF683" s="89"/>
      <c r="BG683" s="89"/>
      <c r="BH683" s="89"/>
      <c r="BI683" s="89"/>
      <c r="BJ683" s="89"/>
      <c r="BK683" s="91"/>
      <c r="BL683" s="66"/>
      <c r="BM683" s="94"/>
      <c r="BN683" s="94"/>
      <c r="BO683" s="92"/>
      <c r="BP683" s="93"/>
      <c r="BQ683" s="23"/>
      <c r="BR683" s="94"/>
      <c r="BS683" s="94"/>
      <c r="BT683" s="94"/>
      <c r="BU683" s="94"/>
      <c r="BV683" s="95"/>
      <c r="BW683" s="91"/>
      <c r="BX683" s="95"/>
      <c r="BY683" s="8"/>
      <c r="BZ683" s="96"/>
      <c r="CA683" s="91"/>
      <c r="CB683" s="97"/>
      <c r="CC683" s="8"/>
      <c r="CD683" s="91"/>
      <c r="CE683" s="98"/>
      <c r="CF683" s="5"/>
      <c r="DK683" s="89"/>
      <c r="DL683" s="8"/>
      <c r="DM683" s="8"/>
      <c r="DN683" s="8"/>
      <c r="DO683" s="8"/>
      <c r="DP683" s="8"/>
      <c r="DQ683" s="8"/>
      <c r="DR683" s="8"/>
      <c r="DZ683" s="45"/>
      <c r="EA683" s="89"/>
      <c r="EB683" s="89"/>
      <c r="EC683" s="89"/>
      <c r="ED683" s="89"/>
      <c r="EE683" s="89"/>
      <c r="EF683" s="89"/>
      <c r="EG683" s="89"/>
      <c r="EH683" s="89"/>
      <c r="EI683" s="89"/>
      <c r="EJ683" s="89"/>
      <c r="EK683" s="91"/>
      <c r="EL683" s="66"/>
      <c r="EM683" s="94"/>
      <c r="EN683" s="94"/>
      <c r="EO683" s="92"/>
      <c r="EP683" s="93"/>
      <c r="EQ683" s="23"/>
      <c r="ER683" s="94"/>
      <c r="ES683" s="94"/>
      <c r="ET683" s="94"/>
      <c r="EU683" s="94"/>
      <c r="EV683" s="95"/>
      <c r="EW683" s="91"/>
      <c r="EX683" s="95"/>
      <c r="EY683" s="8"/>
      <c r="EZ683" s="96"/>
      <c r="FA683" s="91"/>
      <c r="FB683" s="97"/>
      <c r="FC683" s="8"/>
      <c r="FD683" s="91"/>
      <c r="FE683" s="98"/>
      <c r="FF683" s="5"/>
    </row>
    <row r="684" spans="37:162">
      <c r="AK684" s="89"/>
      <c r="AL684" s="8"/>
      <c r="AM684" s="8"/>
      <c r="AN684" s="8"/>
      <c r="AO684" s="8"/>
      <c r="AP684" s="8"/>
      <c r="AQ684" s="8"/>
      <c r="AR684" s="8"/>
      <c r="AZ684" s="45"/>
      <c r="BA684" s="89"/>
      <c r="BB684" s="89"/>
      <c r="BC684" s="89"/>
      <c r="BD684" s="89"/>
      <c r="BE684" s="89"/>
      <c r="BF684" s="89"/>
      <c r="BG684" s="89"/>
      <c r="BH684" s="89"/>
      <c r="BI684" s="89"/>
      <c r="BJ684" s="89"/>
      <c r="BK684" s="91"/>
      <c r="BL684" s="66"/>
      <c r="BM684" s="94"/>
      <c r="BN684" s="94"/>
      <c r="BO684" s="92"/>
      <c r="BP684" s="93"/>
      <c r="BQ684" s="23"/>
      <c r="BR684" s="94"/>
      <c r="BS684" s="94"/>
      <c r="BT684" s="94"/>
      <c r="BU684" s="94"/>
      <c r="BV684" s="95"/>
      <c r="BW684" s="91"/>
      <c r="BX684" s="95"/>
      <c r="BY684" s="8"/>
      <c r="BZ684" s="96"/>
      <c r="CA684" s="91"/>
      <c r="CB684" s="97"/>
      <c r="CC684" s="8"/>
      <c r="CD684" s="91"/>
      <c r="CE684" s="98"/>
      <c r="CF684" s="5"/>
      <c r="DK684" s="89"/>
      <c r="DL684" s="8"/>
      <c r="DM684" s="8"/>
      <c r="DN684" s="8"/>
      <c r="DO684" s="8"/>
      <c r="DP684" s="8"/>
      <c r="DQ684" s="8"/>
      <c r="DR684" s="8"/>
      <c r="DZ684" s="45"/>
      <c r="EA684" s="89"/>
      <c r="EB684" s="89"/>
      <c r="EC684" s="89"/>
      <c r="ED684" s="89"/>
      <c r="EE684" s="89"/>
      <c r="EF684" s="89"/>
      <c r="EG684" s="89"/>
      <c r="EH684" s="89"/>
      <c r="EI684" s="89"/>
      <c r="EJ684" s="89"/>
      <c r="EK684" s="91"/>
      <c r="EL684" s="66"/>
      <c r="EM684" s="94"/>
      <c r="EN684" s="94"/>
      <c r="EO684" s="92"/>
      <c r="EP684" s="93"/>
      <c r="EQ684" s="23"/>
      <c r="ER684" s="94"/>
      <c r="ES684" s="94"/>
      <c r="ET684" s="94"/>
      <c r="EU684" s="94"/>
      <c r="EV684" s="95"/>
      <c r="EW684" s="91"/>
      <c r="EX684" s="95"/>
      <c r="EY684" s="8"/>
      <c r="EZ684" s="96"/>
      <c r="FA684" s="91"/>
      <c r="FB684" s="97"/>
      <c r="FC684" s="8"/>
      <c r="FD684" s="91"/>
      <c r="FE684" s="98"/>
      <c r="FF684" s="5"/>
    </row>
    <row r="685" spans="37:162">
      <c r="AK685" s="89"/>
      <c r="AL685" s="8"/>
      <c r="AM685" s="8"/>
      <c r="AN685" s="8"/>
      <c r="AO685" s="8"/>
      <c r="AP685" s="8"/>
      <c r="AQ685" s="8"/>
      <c r="AR685" s="8"/>
      <c r="AZ685" s="45"/>
      <c r="BA685" s="89"/>
      <c r="BB685" s="89"/>
      <c r="BC685" s="89"/>
      <c r="BD685" s="89"/>
      <c r="BE685" s="89"/>
      <c r="BF685" s="89"/>
      <c r="BG685" s="89"/>
      <c r="BH685" s="89"/>
      <c r="BI685" s="89"/>
      <c r="BJ685" s="89"/>
      <c r="BK685" s="91"/>
      <c r="BL685" s="66"/>
      <c r="BM685" s="94"/>
      <c r="BN685" s="94"/>
      <c r="BO685" s="92"/>
      <c r="BP685" s="93"/>
      <c r="BQ685" s="23"/>
      <c r="BR685" s="94"/>
      <c r="BS685" s="94"/>
      <c r="BT685" s="94"/>
      <c r="BU685" s="94"/>
      <c r="BV685" s="95"/>
      <c r="BW685" s="91"/>
      <c r="BX685" s="95"/>
      <c r="BY685" s="8"/>
      <c r="BZ685" s="96"/>
      <c r="CA685" s="91"/>
      <c r="CB685" s="97"/>
      <c r="CC685" s="8"/>
      <c r="CD685" s="91"/>
      <c r="CE685" s="98"/>
      <c r="CF685" s="5"/>
      <c r="DK685" s="89"/>
      <c r="DL685" s="8"/>
      <c r="DM685" s="8"/>
      <c r="DN685" s="8"/>
      <c r="DO685" s="8"/>
      <c r="DP685" s="8"/>
      <c r="DQ685" s="8"/>
      <c r="DR685" s="8"/>
      <c r="DZ685" s="45"/>
      <c r="EA685" s="89"/>
      <c r="EB685" s="89"/>
      <c r="EC685" s="89"/>
      <c r="ED685" s="89"/>
      <c r="EE685" s="89"/>
      <c r="EF685" s="89"/>
      <c r="EG685" s="89"/>
      <c r="EH685" s="89"/>
      <c r="EI685" s="89"/>
      <c r="EJ685" s="89"/>
      <c r="EK685" s="91"/>
      <c r="EL685" s="66"/>
      <c r="EM685" s="94"/>
      <c r="EN685" s="94"/>
      <c r="EO685" s="92"/>
      <c r="EP685" s="93"/>
      <c r="EQ685" s="23"/>
      <c r="ER685" s="94"/>
      <c r="ES685" s="94"/>
      <c r="ET685" s="94"/>
      <c r="EU685" s="94"/>
      <c r="EV685" s="95"/>
      <c r="EW685" s="91"/>
      <c r="EX685" s="95"/>
      <c r="EY685" s="8"/>
      <c r="EZ685" s="96"/>
      <c r="FA685" s="91"/>
      <c r="FB685" s="97"/>
      <c r="FC685" s="8"/>
      <c r="FD685" s="91"/>
      <c r="FE685" s="98"/>
      <c r="FF685" s="5"/>
    </row>
    <row r="686" spans="37:162">
      <c r="AK686" s="89"/>
      <c r="AL686" s="8"/>
      <c r="AM686" s="8"/>
      <c r="AN686" s="8"/>
      <c r="AO686" s="8"/>
      <c r="AP686" s="8"/>
      <c r="AQ686" s="8"/>
      <c r="AR686" s="8"/>
      <c r="AZ686" s="45"/>
      <c r="BA686" s="89"/>
      <c r="BB686" s="89"/>
      <c r="BC686" s="89"/>
      <c r="BD686" s="89"/>
      <c r="BE686" s="89"/>
      <c r="BF686" s="89"/>
      <c r="BG686" s="89"/>
      <c r="BH686" s="89"/>
      <c r="BI686" s="89"/>
      <c r="BJ686" s="89"/>
      <c r="BK686" s="91"/>
      <c r="BL686" s="66"/>
      <c r="BM686" s="94"/>
      <c r="BN686" s="94"/>
      <c r="BO686" s="92"/>
      <c r="BP686" s="93"/>
      <c r="BQ686" s="23"/>
      <c r="BR686" s="94"/>
      <c r="BS686" s="94"/>
      <c r="BT686" s="94"/>
      <c r="BU686" s="94"/>
      <c r="BV686" s="95"/>
      <c r="BW686" s="91"/>
      <c r="BX686" s="95"/>
      <c r="BY686" s="8"/>
      <c r="BZ686" s="96"/>
      <c r="CA686" s="91"/>
      <c r="CB686" s="97"/>
      <c r="CC686" s="8"/>
      <c r="CD686" s="91"/>
      <c r="CE686" s="98"/>
      <c r="CF686" s="5"/>
      <c r="DK686" s="89"/>
      <c r="DL686" s="8"/>
      <c r="DM686" s="8"/>
      <c r="DN686" s="8"/>
      <c r="DO686" s="8"/>
      <c r="DP686" s="8"/>
      <c r="DQ686" s="8"/>
      <c r="DR686" s="8"/>
      <c r="DZ686" s="45"/>
      <c r="EA686" s="89"/>
      <c r="EB686" s="89"/>
      <c r="EC686" s="89"/>
      <c r="ED686" s="89"/>
      <c r="EE686" s="89"/>
      <c r="EF686" s="89"/>
      <c r="EG686" s="89"/>
      <c r="EH686" s="89"/>
      <c r="EI686" s="89"/>
      <c r="EJ686" s="89"/>
      <c r="EK686" s="91"/>
      <c r="EL686" s="66"/>
      <c r="EM686" s="94"/>
      <c r="EN686" s="94"/>
      <c r="EO686" s="92"/>
      <c r="EP686" s="93"/>
      <c r="EQ686" s="23"/>
      <c r="ER686" s="94"/>
      <c r="ES686" s="94"/>
      <c r="ET686" s="94"/>
      <c r="EU686" s="94"/>
      <c r="EV686" s="95"/>
      <c r="EW686" s="91"/>
      <c r="EX686" s="95"/>
      <c r="EY686" s="8"/>
      <c r="EZ686" s="96"/>
      <c r="FA686" s="91"/>
      <c r="FB686" s="97"/>
      <c r="FC686" s="8"/>
      <c r="FD686" s="91"/>
      <c r="FE686" s="98"/>
      <c r="FF686" s="5"/>
    </row>
    <row r="687" spans="37:162">
      <c r="AK687" s="89"/>
      <c r="AL687" s="8"/>
      <c r="AM687" s="8"/>
      <c r="AN687" s="8"/>
      <c r="AO687" s="8"/>
      <c r="AP687" s="8"/>
      <c r="AQ687" s="8"/>
      <c r="AR687" s="8"/>
      <c r="AZ687" s="45"/>
      <c r="BA687" s="89"/>
      <c r="BB687" s="89"/>
      <c r="BC687" s="89"/>
      <c r="BD687" s="89"/>
      <c r="BE687" s="89"/>
      <c r="BF687" s="89"/>
      <c r="BG687" s="89"/>
      <c r="BH687" s="89"/>
      <c r="BI687" s="89"/>
      <c r="BJ687" s="89"/>
      <c r="BK687" s="91"/>
      <c r="BL687" s="66"/>
      <c r="BM687" s="94"/>
      <c r="BN687" s="94"/>
      <c r="BO687" s="92"/>
      <c r="BP687" s="93"/>
      <c r="BQ687" s="23"/>
      <c r="BR687" s="94"/>
      <c r="BS687" s="94"/>
      <c r="BT687" s="94"/>
      <c r="BU687" s="94"/>
      <c r="BV687" s="95"/>
      <c r="BW687" s="91"/>
      <c r="BX687" s="95"/>
      <c r="BY687" s="8"/>
      <c r="BZ687" s="96"/>
      <c r="CA687" s="91"/>
      <c r="CB687" s="97"/>
      <c r="CC687" s="8"/>
      <c r="CD687" s="91"/>
      <c r="CE687" s="98"/>
      <c r="CF687" s="5"/>
      <c r="DK687" s="89"/>
      <c r="DL687" s="8"/>
      <c r="DM687" s="8"/>
      <c r="DN687" s="8"/>
      <c r="DO687" s="8"/>
      <c r="DP687" s="8"/>
      <c r="DQ687" s="8"/>
      <c r="DR687" s="8"/>
      <c r="DZ687" s="45"/>
      <c r="EA687" s="89"/>
      <c r="EB687" s="89"/>
      <c r="EC687" s="89"/>
      <c r="ED687" s="89"/>
      <c r="EE687" s="89"/>
      <c r="EF687" s="89"/>
      <c r="EG687" s="89"/>
      <c r="EH687" s="89"/>
      <c r="EI687" s="89"/>
      <c r="EJ687" s="89"/>
      <c r="EK687" s="91"/>
      <c r="EL687" s="66"/>
      <c r="EM687" s="94"/>
      <c r="EN687" s="94"/>
      <c r="EO687" s="92"/>
      <c r="EP687" s="93"/>
      <c r="EQ687" s="23"/>
      <c r="ER687" s="94"/>
      <c r="ES687" s="94"/>
      <c r="ET687" s="94"/>
      <c r="EU687" s="94"/>
      <c r="EV687" s="95"/>
      <c r="EW687" s="91"/>
      <c r="EX687" s="95"/>
      <c r="EY687" s="8"/>
      <c r="EZ687" s="96"/>
      <c r="FA687" s="91"/>
      <c r="FB687" s="97"/>
      <c r="FC687" s="8"/>
      <c r="FD687" s="91"/>
      <c r="FE687" s="98"/>
      <c r="FF687" s="5"/>
    </row>
    <row r="688" spans="37:162">
      <c r="AK688" s="89"/>
      <c r="AL688" s="8"/>
      <c r="AM688" s="8"/>
      <c r="AN688" s="8"/>
      <c r="AO688" s="8"/>
      <c r="AP688" s="8"/>
      <c r="AQ688" s="8"/>
      <c r="AR688" s="8"/>
      <c r="AZ688" s="45"/>
      <c r="BA688" s="89"/>
      <c r="BB688" s="89"/>
      <c r="BC688" s="89"/>
      <c r="BD688" s="89"/>
      <c r="BE688" s="89"/>
      <c r="BF688" s="89"/>
      <c r="BG688" s="89"/>
      <c r="BH688" s="89"/>
      <c r="BI688" s="89"/>
      <c r="BJ688" s="89"/>
      <c r="BK688" s="91"/>
      <c r="BL688" s="66"/>
      <c r="BM688" s="94"/>
      <c r="BN688" s="94"/>
      <c r="BO688" s="92"/>
      <c r="BP688" s="93"/>
      <c r="BQ688" s="23"/>
      <c r="BR688" s="94"/>
      <c r="BS688" s="94"/>
      <c r="BT688" s="94"/>
      <c r="BU688" s="94"/>
      <c r="BV688" s="95"/>
      <c r="BW688" s="91"/>
      <c r="BX688" s="95"/>
      <c r="BY688" s="8"/>
      <c r="BZ688" s="96"/>
      <c r="CA688" s="91"/>
      <c r="CB688" s="97"/>
      <c r="CC688" s="8"/>
      <c r="CD688" s="91"/>
      <c r="CE688" s="98"/>
      <c r="CF688" s="5"/>
      <c r="DK688" s="89"/>
      <c r="DL688" s="8"/>
      <c r="DM688" s="8"/>
      <c r="DN688" s="8"/>
      <c r="DO688" s="8"/>
      <c r="DP688" s="8"/>
      <c r="DQ688" s="8"/>
      <c r="DR688" s="8"/>
      <c r="DZ688" s="45"/>
      <c r="EA688" s="89"/>
      <c r="EB688" s="89"/>
      <c r="EC688" s="89"/>
      <c r="ED688" s="89"/>
      <c r="EE688" s="89"/>
      <c r="EF688" s="89"/>
      <c r="EG688" s="89"/>
      <c r="EH688" s="89"/>
      <c r="EI688" s="89"/>
      <c r="EJ688" s="89"/>
      <c r="EK688" s="91"/>
      <c r="EL688" s="66"/>
      <c r="EM688" s="94"/>
      <c r="EN688" s="94"/>
      <c r="EO688" s="92"/>
      <c r="EP688" s="93"/>
      <c r="EQ688" s="23"/>
      <c r="ER688" s="94"/>
      <c r="ES688" s="94"/>
      <c r="ET688" s="94"/>
      <c r="EU688" s="94"/>
      <c r="EV688" s="95"/>
      <c r="EW688" s="91"/>
      <c r="EX688" s="95"/>
      <c r="EY688" s="8"/>
      <c r="EZ688" s="96"/>
      <c r="FA688" s="91"/>
      <c r="FB688" s="97"/>
      <c r="FC688" s="8"/>
      <c r="FD688" s="91"/>
      <c r="FE688" s="98"/>
      <c r="FF688" s="5"/>
    </row>
    <row r="689" spans="37:162">
      <c r="AK689" s="89"/>
      <c r="AL689" s="8"/>
      <c r="AM689" s="8"/>
      <c r="AN689" s="8"/>
      <c r="AO689" s="8"/>
      <c r="AP689" s="8"/>
      <c r="AQ689" s="8"/>
      <c r="AR689" s="8"/>
      <c r="AZ689" s="45"/>
      <c r="BA689" s="89"/>
      <c r="BB689" s="89"/>
      <c r="BC689" s="89"/>
      <c r="BD689" s="89"/>
      <c r="BE689" s="89"/>
      <c r="BF689" s="89"/>
      <c r="BG689" s="89"/>
      <c r="BH689" s="89"/>
      <c r="BI689" s="89"/>
      <c r="BJ689" s="89"/>
      <c r="BK689" s="91"/>
      <c r="BL689" s="66"/>
      <c r="BM689" s="94"/>
      <c r="BN689" s="94"/>
      <c r="BO689" s="92"/>
      <c r="BP689" s="93"/>
      <c r="BQ689" s="23"/>
      <c r="BR689" s="94"/>
      <c r="BS689" s="94"/>
      <c r="BT689" s="94"/>
      <c r="BU689" s="94"/>
      <c r="BV689" s="95"/>
      <c r="BW689" s="91"/>
      <c r="BX689" s="95"/>
      <c r="BY689" s="8"/>
      <c r="BZ689" s="96"/>
      <c r="CA689" s="91"/>
      <c r="CB689" s="97"/>
      <c r="CC689" s="8"/>
      <c r="CD689" s="91"/>
      <c r="CE689" s="98"/>
      <c r="CF689" s="5"/>
      <c r="DK689" s="89"/>
      <c r="DL689" s="8"/>
      <c r="DM689" s="8"/>
      <c r="DN689" s="8"/>
      <c r="DO689" s="8"/>
      <c r="DP689" s="8"/>
      <c r="DQ689" s="8"/>
      <c r="DR689" s="8"/>
      <c r="DZ689" s="45"/>
      <c r="EA689" s="89"/>
      <c r="EB689" s="89"/>
      <c r="EC689" s="89"/>
      <c r="ED689" s="89"/>
      <c r="EE689" s="89"/>
      <c r="EF689" s="89"/>
      <c r="EG689" s="89"/>
      <c r="EH689" s="89"/>
      <c r="EI689" s="89"/>
      <c r="EJ689" s="89"/>
      <c r="EK689" s="91"/>
      <c r="EL689" s="66"/>
      <c r="EM689" s="94"/>
      <c r="EN689" s="94"/>
      <c r="EO689" s="92"/>
      <c r="EP689" s="93"/>
      <c r="EQ689" s="23"/>
      <c r="ER689" s="94"/>
      <c r="ES689" s="94"/>
      <c r="ET689" s="94"/>
      <c r="EU689" s="94"/>
      <c r="EV689" s="95"/>
      <c r="EW689" s="91"/>
      <c r="EX689" s="95"/>
      <c r="EY689" s="8"/>
      <c r="EZ689" s="96"/>
      <c r="FA689" s="91"/>
      <c r="FB689" s="97"/>
      <c r="FC689" s="8"/>
      <c r="FD689" s="91"/>
      <c r="FE689" s="98"/>
      <c r="FF689" s="5"/>
    </row>
    <row r="690" spans="37:162">
      <c r="AK690" s="89"/>
      <c r="AL690" s="8"/>
      <c r="AM690" s="8"/>
      <c r="AN690" s="8"/>
      <c r="AO690" s="8"/>
      <c r="AP690" s="8"/>
      <c r="AQ690" s="8"/>
      <c r="AR690" s="8"/>
      <c r="AZ690" s="45"/>
      <c r="BA690" s="89"/>
      <c r="BB690" s="89"/>
      <c r="BC690" s="89"/>
      <c r="BD690" s="89"/>
      <c r="BE690" s="89"/>
      <c r="BF690" s="89"/>
      <c r="BG690" s="89"/>
      <c r="BH690" s="89"/>
      <c r="BI690" s="89"/>
      <c r="BJ690" s="89"/>
      <c r="BK690" s="91"/>
      <c r="BL690" s="66"/>
      <c r="BM690" s="94"/>
      <c r="BN690" s="94"/>
      <c r="BO690" s="92"/>
      <c r="BP690" s="93"/>
      <c r="BQ690" s="23"/>
      <c r="BR690" s="94"/>
      <c r="BS690" s="94"/>
      <c r="BT690" s="94"/>
      <c r="BU690" s="94"/>
      <c r="BV690" s="95"/>
      <c r="BW690" s="91"/>
      <c r="BX690" s="95"/>
      <c r="BY690" s="8"/>
      <c r="BZ690" s="96"/>
      <c r="CA690" s="91"/>
      <c r="CB690" s="97"/>
      <c r="CC690" s="8"/>
      <c r="CD690" s="91"/>
      <c r="CE690" s="98"/>
      <c r="CF690" s="5"/>
      <c r="DK690" s="89"/>
      <c r="DL690" s="8"/>
      <c r="DM690" s="8"/>
      <c r="DN690" s="8"/>
      <c r="DO690" s="8"/>
      <c r="DP690" s="8"/>
      <c r="DQ690" s="8"/>
      <c r="DR690" s="8"/>
      <c r="DZ690" s="45"/>
      <c r="EA690" s="89"/>
      <c r="EB690" s="89"/>
      <c r="EC690" s="89"/>
      <c r="ED690" s="89"/>
      <c r="EE690" s="89"/>
      <c r="EF690" s="89"/>
      <c r="EG690" s="89"/>
      <c r="EH690" s="89"/>
      <c r="EI690" s="89"/>
      <c r="EJ690" s="89"/>
      <c r="EK690" s="91"/>
      <c r="EL690" s="66"/>
      <c r="EM690" s="94"/>
      <c r="EN690" s="94"/>
      <c r="EO690" s="92"/>
      <c r="EP690" s="93"/>
      <c r="EQ690" s="23"/>
      <c r="ER690" s="94"/>
      <c r="ES690" s="94"/>
      <c r="ET690" s="94"/>
      <c r="EU690" s="94"/>
      <c r="EV690" s="95"/>
      <c r="EW690" s="91"/>
      <c r="EX690" s="95"/>
      <c r="EY690" s="8"/>
      <c r="EZ690" s="96"/>
      <c r="FA690" s="91"/>
      <c r="FB690" s="97"/>
      <c r="FC690" s="8"/>
      <c r="FD690" s="91"/>
      <c r="FE690" s="98"/>
      <c r="FF690" s="5"/>
    </row>
    <row r="691" spans="37:162">
      <c r="AK691" s="89"/>
      <c r="AL691" s="8"/>
      <c r="AM691" s="8"/>
      <c r="AN691" s="8"/>
      <c r="AO691" s="8"/>
      <c r="AP691" s="8"/>
      <c r="AQ691" s="8"/>
      <c r="AR691" s="8"/>
      <c r="AZ691" s="45"/>
      <c r="BA691" s="89"/>
      <c r="BB691" s="89"/>
      <c r="BC691" s="89"/>
      <c r="BD691" s="89"/>
      <c r="BE691" s="89"/>
      <c r="BF691" s="89"/>
      <c r="BG691" s="89"/>
      <c r="BH691" s="89"/>
      <c r="BI691" s="89"/>
      <c r="BJ691" s="89"/>
      <c r="BK691" s="91"/>
      <c r="BL691" s="66"/>
      <c r="BM691" s="94"/>
      <c r="BN691" s="94"/>
      <c r="BO691" s="92"/>
      <c r="BP691" s="93"/>
      <c r="BQ691" s="23"/>
      <c r="BR691" s="94"/>
      <c r="BS691" s="94"/>
      <c r="BT691" s="94"/>
      <c r="BU691" s="94"/>
      <c r="BV691" s="95"/>
      <c r="BW691" s="91"/>
      <c r="BX691" s="95"/>
      <c r="BY691" s="8"/>
      <c r="BZ691" s="96"/>
      <c r="CA691" s="91"/>
      <c r="CB691" s="97"/>
      <c r="CC691" s="8"/>
      <c r="CD691" s="91"/>
      <c r="CE691" s="98"/>
      <c r="CF691" s="5"/>
      <c r="DK691" s="89"/>
      <c r="DL691" s="8"/>
      <c r="DM691" s="8"/>
      <c r="DN691" s="8"/>
      <c r="DO691" s="8"/>
      <c r="DP691" s="8"/>
      <c r="DQ691" s="8"/>
      <c r="DR691" s="8"/>
      <c r="DZ691" s="45"/>
      <c r="EA691" s="89"/>
      <c r="EB691" s="89"/>
      <c r="EC691" s="89"/>
      <c r="ED691" s="89"/>
      <c r="EE691" s="89"/>
      <c r="EF691" s="89"/>
      <c r="EG691" s="89"/>
      <c r="EH691" s="89"/>
      <c r="EI691" s="89"/>
      <c r="EJ691" s="89"/>
      <c r="EK691" s="91"/>
      <c r="EL691" s="66"/>
      <c r="EM691" s="94"/>
      <c r="EN691" s="94"/>
      <c r="EO691" s="92"/>
      <c r="EP691" s="93"/>
      <c r="EQ691" s="23"/>
      <c r="ER691" s="94"/>
      <c r="ES691" s="94"/>
      <c r="ET691" s="94"/>
      <c r="EU691" s="94"/>
      <c r="EV691" s="95"/>
      <c r="EW691" s="91"/>
      <c r="EX691" s="95"/>
      <c r="EY691" s="8"/>
      <c r="EZ691" s="96"/>
      <c r="FA691" s="91"/>
      <c r="FB691" s="97"/>
      <c r="FC691" s="8"/>
      <c r="FD691" s="91"/>
      <c r="FE691" s="98"/>
      <c r="FF691" s="5"/>
    </row>
    <row r="692" spans="37:162">
      <c r="AK692" s="89"/>
      <c r="AL692" s="8"/>
      <c r="AM692" s="8"/>
      <c r="AN692" s="8"/>
      <c r="AO692" s="8"/>
      <c r="AP692" s="8"/>
      <c r="AQ692" s="8"/>
      <c r="AR692" s="8"/>
      <c r="AZ692" s="45"/>
      <c r="BA692" s="89"/>
      <c r="BB692" s="89"/>
      <c r="BC692" s="89"/>
      <c r="BD692" s="89"/>
      <c r="BE692" s="89"/>
      <c r="BF692" s="89"/>
      <c r="BG692" s="89"/>
      <c r="BH692" s="89"/>
      <c r="BI692" s="89"/>
      <c r="BJ692" s="89"/>
      <c r="BK692" s="91"/>
      <c r="BL692" s="66"/>
      <c r="BM692" s="94"/>
      <c r="BN692" s="94"/>
      <c r="BO692" s="92"/>
      <c r="BP692" s="93"/>
      <c r="BQ692" s="23"/>
      <c r="BR692" s="94"/>
      <c r="BS692" s="94"/>
      <c r="BT692" s="94"/>
      <c r="BU692" s="94"/>
      <c r="BV692" s="95"/>
      <c r="BW692" s="91"/>
      <c r="BX692" s="95"/>
      <c r="BY692" s="8"/>
      <c r="BZ692" s="96"/>
      <c r="CA692" s="91"/>
      <c r="CB692" s="97"/>
      <c r="CC692" s="8"/>
      <c r="CD692" s="91"/>
      <c r="CE692" s="98"/>
      <c r="CF692" s="17"/>
      <c r="DK692" s="89"/>
      <c r="DL692" s="8"/>
      <c r="DM692" s="8"/>
      <c r="DN692" s="8"/>
      <c r="DO692" s="8"/>
      <c r="DP692" s="8"/>
      <c r="DQ692" s="8"/>
      <c r="DR692" s="8"/>
      <c r="DZ692" s="45"/>
      <c r="EA692" s="89"/>
      <c r="EB692" s="89"/>
      <c r="EC692" s="89"/>
      <c r="ED692" s="89"/>
      <c r="EE692" s="89"/>
      <c r="EF692" s="89"/>
      <c r="EG692" s="89"/>
      <c r="EH692" s="89"/>
      <c r="EI692" s="89"/>
      <c r="EJ692" s="89"/>
      <c r="EK692" s="91"/>
      <c r="EL692" s="66"/>
      <c r="EM692" s="94"/>
      <c r="EN692" s="94"/>
      <c r="EO692" s="92"/>
      <c r="EP692" s="93"/>
      <c r="EQ692" s="23"/>
      <c r="ER692" s="94"/>
      <c r="ES692" s="94"/>
      <c r="ET692" s="94"/>
      <c r="EU692" s="94"/>
      <c r="EV692" s="95"/>
      <c r="EW692" s="91"/>
      <c r="EX692" s="95"/>
      <c r="EY692" s="8"/>
      <c r="EZ692" s="96"/>
      <c r="FA692" s="91"/>
      <c r="FB692" s="97"/>
      <c r="FC692" s="8"/>
      <c r="FD692" s="91"/>
      <c r="FE692" s="98"/>
      <c r="FF692" s="17"/>
    </row>
    <row r="693" spans="37:162">
      <c r="AK693" s="89"/>
      <c r="AL693" s="8"/>
      <c r="AM693" s="8"/>
      <c r="AN693" s="8"/>
      <c r="AO693" s="8"/>
      <c r="AP693" s="8"/>
      <c r="AQ693" s="8"/>
      <c r="AR693" s="8"/>
      <c r="AZ693" s="45"/>
      <c r="BA693" s="89"/>
      <c r="BB693" s="89"/>
      <c r="BC693" s="89"/>
      <c r="BD693" s="89"/>
      <c r="BE693" s="89"/>
      <c r="BF693" s="89"/>
      <c r="BG693" s="89"/>
      <c r="BH693" s="89"/>
      <c r="BI693" s="89"/>
      <c r="BJ693" s="89"/>
      <c r="BK693" s="91"/>
      <c r="BL693" s="66"/>
      <c r="BM693" s="94"/>
      <c r="BN693" s="94"/>
      <c r="BO693" s="92"/>
      <c r="BP693" s="93"/>
      <c r="BQ693" s="23"/>
      <c r="BR693" s="94"/>
      <c r="BS693" s="94"/>
      <c r="BT693" s="94"/>
      <c r="BU693" s="94"/>
      <c r="BV693" s="95"/>
      <c r="BW693" s="91"/>
      <c r="BX693" s="95"/>
      <c r="BY693" s="8"/>
      <c r="BZ693" s="96"/>
      <c r="CA693" s="91"/>
      <c r="CB693" s="97"/>
      <c r="CC693" s="8"/>
      <c r="CD693" s="91"/>
      <c r="CE693" s="98"/>
      <c r="DK693" s="89"/>
      <c r="DL693" s="8"/>
      <c r="DM693" s="8"/>
      <c r="DN693" s="8"/>
      <c r="DO693" s="8"/>
      <c r="DP693" s="8"/>
      <c r="DQ693" s="8"/>
      <c r="DR693" s="8"/>
      <c r="DZ693" s="45"/>
      <c r="EA693" s="89"/>
      <c r="EB693" s="89"/>
      <c r="EC693" s="89"/>
      <c r="ED693" s="89"/>
      <c r="EE693" s="89"/>
      <c r="EF693" s="89"/>
      <c r="EG693" s="89"/>
      <c r="EH693" s="89"/>
      <c r="EI693" s="89"/>
      <c r="EJ693" s="89"/>
      <c r="EK693" s="91"/>
      <c r="EL693" s="66"/>
      <c r="EM693" s="94"/>
      <c r="EN693" s="94"/>
      <c r="EO693" s="92"/>
      <c r="EP693" s="93"/>
      <c r="EQ693" s="23"/>
      <c r="ER693" s="94"/>
      <c r="ES693" s="94"/>
      <c r="ET693" s="94"/>
      <c r="EU693" s="94"/>
      <c r="EV693" s="95"/>
      <c r="EW693" s="91"/>
      <c r="EX693" s="95"/>
      <c r="EY693" s="8"/>
      <c r="EZ693" s="96"/>
      <c r="FA693" s="91"/>
      <c r="FB693" s="97"/>
      <c r="FC693" s="8"/>
      <c r="FD693" s="91"/>
      <c r="FE693" s="98"/>
    </row>
    <row r="694" spans="37:162">
      <c r="AK694" s="89"/>
      <c r="AL694" s="8"/>
      <c r="AM694" s="8"/>
      <c r="AN694" s="8"/>
      <c r="AO694" s="8"/>
      <c r="AP694" s="8"/>
      <c r="AQ694" s="8"/>
      <c r="AR694" s="8"/>
      <c r="AZ694" s="45"/>
      <c r="BA694" s="89"/>
      <c r="BB694" s="89"/>
      <c r="BC694" s="89"/>
      <c r="BD694" s="89"/>
      <c r="BE694" s="89"/>
      <c r="BF694" s="89"/>
      <c r="BG694" s="89"/>
      <c r="BH694" s="89"/>
      <c r="BI694" s="89"/>
      <c r="BJ694" s="89"/>
      <c r="BK694" s="91"/>
      <c r="BL694" s="66"/>
      <c r="BM694" s="94"/>
      <c r="BN694" s="94"/>
      <c r="BO694" s="92"/>
      <c r="BP694" s="93"/>
      <c r="BQ694" s="23"/>
      <c r="BR694" s="94"/>
      <c r="BS694" s="94"/>
      <c r="BT694" s="94"/>
      <c r="BU694" s="94"/>
      <c r="BV694" s="95"/>
      <c r="BW694" s="91"/>
      <c r="BX694" s="95"/>
      <c r="BY694" s="8"/>
      <c r="BZ694" s="96"/>
      <c r="CA694" s="91"/>
      <c r="CB694" s="97"/>
      <c r="CC694" s="8"/>
      <c r="CD694" s="91"/>
      <c r="CE694" s="98"/>
      <c r="DK694" s="89"/>
      <c r="DL694" s="8"/>
      <c r="DM694" s="8"/>
      <c r="DN694" s="8"/>
      <c r="DO694" s="8"/>
      <c r="DP694" s="8"/>
      <c r="DQ694" s="8"/>
      <c r="DR694" s="8"/>
      <c r="DZ694" s="45"/>
      <c r="EA694" s="89"/>
      <c r="EB694" s="89"/>
      <c r="EC694" s="89"/>
      <c r="ED694" s="89"/>
      <c r="EE694" s="89"/>
      <c r="EF694" s="89"/>
      <c r="EG694" s="89"/>
      <c r="EH694" s="89"/>
      <c r="EI694" s="89"/>
      <c r="EJ694" s="89"/>
      <c r="EK694" s="91"/>
      <c r="EL694" s="66"/>
      <c r="EM694" s="94"/>
      <c r="EN694" s="94"/>
      <c r="EO694" s="92"/>
      <c r="EP694" s="93"/>
      <c r="EQ694" s="23"/>
      <c r="ER694" s="94"/>
      <c r="ES694" s="94"/>
      <c r="ET694" s="94"/>
      <c r="EU694" s="94"/>
      <c r="EV694" s="95"/>
      <c r="EW694" s="91"/>
      <c r="EX694" s="95"/>
      <c r="EY694" s="8"/>
      <c r="EZ694" s="96"/>
      <c r="FA694" s="91"/>
      <c r="FB694" s="97"/>
      <c r="FC694" s="8"/>
      <c r="FD694" s="91"/>
      <c r="FE694" s="98"/>
    </row>
    <row r="695" spans="37:162">
      <c r="AK695" s="89"/>
      <c r="AL695" s="8"/>
      <c r="AM695" s="8"/>
      <c r="AN695" s="8"/>
      <c r="AO695" s="8"/>
      <c r="AP695" s="8"/>
      <c r="AQ695" s="8"/>
      <c r="AR695" s="8"/>
      <c r="AZ695" s="45"/>
      <c r="BA695" s="89"/>
      <c r="BB695" s="89"/>
      <c r="BC695" s="89"/>
      <c r="BD695" s="89"/>
      <c r="BE695" s="89"/>
      <c r="BF695" s="89"/>
      <c r="BG695" s="89"/>
      <c r="BH695" s="89"/>
      <c r="BI695" s="89"/>
      <c r="BJ695" s="89"/>
      <c r="BK695" s="91"/>
      <c r="BL695" s="66"/>
      <c r="BM695" s="94"/>
      <c r="BN695" s="94"/>
      <c r="BO695" s="92"/>
      <c r="BP695" s="93"/>
      <c r="BQ695" s="23"/>
      <c r="BR695" s="94"/>
      <c r="BS695" s="94"/>
      <c r="BT695" s="94"/>
      <c r="BU695" s="94"/>
      <c r="BV695" s="95"/>
      <c r="BW695" s="91"/>
      <c r="BX695" s="95"/>
      <c r="BY695" s="8"/>
      <c r="BZ695" s="96"/>
      <c r="CA695" s="91"/>
      <c r="CB695" s="97"/>
      <c r="CC695" s="8"/>
      <c r="CD695" s="91"/>
      <c r="CE695" s="98"/>
      <c r="DK695" s="89"/>
      <c r="DL695" s="8"/>
      <c r="DM695" s="8"/>
      <c r="DN695" s="8"/>
      <c r="DO695" s="8"/>
      <c r="DP695" s="8"/>
      <c r="DQ695" s="8"/>
      <c r="DR695" s="8"/>
      <c r="DZ695" s="45"/>
      <c r="EA695" s="89"/>
      <c r="EB695" s="89"/>
      <c r="EC695" s="89"/>
      <c r="ED695" s="89"/>
      <c r="EE695" s="89"/>
      <c r="EF695" s="89"/>
      <c r="EG695" s="89"/>
      <c r="EH695" s="89"/>
      <c r="EI695" s="89"/>
      <c r="EJ695" s="89"/>
      <c r="EK695" s="91"/>
      <c r="EL695" s="66"/>
      <c r="EM695" s="94"/>
      <c r="EN695" s="94"/>
      <c r="EO695" s="92"/>
      <c r="EP695" s="93"/>
      <c r="EQ695" s="23"/>
      <c r="ER695" s="94"/>
      <c r="ES695" s="94"/>
      <c r="ET695" s="94"/>
      <c r="EU695" s="94"/>
      <c r="EV695" s="95"/>
      <c r="EW695" s="91"/>
      <c r="EX695" s="95"/>
      <c r="EY695" s="8"/>
      <c r="EZ695" s="96"/>
      <c r="FA695" s="91"/>
      <c r="FB695" s="97"/>
      <c r="FC695" s="8"/>
      <c r="FD695" s="91"/>
      <c r="FE695" s="98"/>
    </row>
    <row r="696" spans="37:162">
      <c r="AK696" s="89"/>
      <c r="AL696" s="8"/>
      <c r="AM696" s="8"/>
      <c r="AN696" s="8"/>
      <c r="AO696" s="8"/>
      <c r="AP696" s="8"/>
      <c r="AQ696" s="8"/>
      <c r="AR696" s="8"/>
      <c r="AZ696" s="45"/>
      <c r="BA696" s="89"/>
      <c r="BB696" s="89"/>
      <c r="BC696" s="89"/>
      <c r="BD696" s="89"/>
      <c r="BE696" s="89"/>
      <c r="BF696" s="89"/>
      <c r="BG696" s="89"/>
      <c r="BH696" s="89"/>
      <c r="BI696" s="89"/>
      <c r="BJ696" s="89"/>
      <c r="BK696" s="91"/>
      <c r="BL696" s="66"/>
      <c r="BM696" s="94"/>
      <c r="BN696" s="94"/>
      <c r="BO696" s="92"/>
      <c r="BP696" s="93"/>
      <c r="BQ696" s="23"/>
      <c r="BR696" s="94"/>
      <c r="BS696" s="94"/>
      <c r="BT696" s="94"/>
      <c r="BU696" s="94"/>
      <c r="BV696" s="95"/>
      <c r="BW696" s="91"/>
      <c r="BX696" s="95"/>
      <c r="BY696" s="8"/>
      <c r="BZ696" s="96"/>
      <c r="CA696" s="91"/>
      <c r="CB696" s="97"/>
      <c r="CC696" s="8"/>
      <c r="CD696" s="91"/>
      <c r="CE696" s="98"/>
      <c r="DK696" s="89"/>
      <c r="DL696" s="8"/>
      <c r="DM696" s="8"/>
      <c r="DN696" s="8"/>
      <c r="DO696" s="8"/>
      <c r="DP696" s="8"/>
      <c r="DQ696" s="8"/>
      <c r="DR696" s="8"/>
      <c r="DZ696" s="45"/>
      <c r="EA696" s="89"/>
      <c r="EB696" s="89"/>
      <c r="EC696" s="89"/>
      <c r="ED696" s="89"/>
      <c r="EE696" s="89"/>
      <c r="EF696" s="89"/>
      <c r="EG696" s="89"/>
      <c r="EH696" s="89"/>
      <c r="EI696" s="89"/>
      <c r="EJ696" s="89"/>
      <c r="EK696" s="91"/>
      <c r="EL696" s="66"/>
      <c r="EM696" s="94"/>
      <c r="EN696" s="94"/>
      <c r="EO696" s="92"/>
      <c r="EP696" s="93"/>
      <c r="EQ696" s="23"/>
      <c r="ER696" s="94"/>
      <c r="ES696" s="94"/>
      <c r="ET696" s="94"/>
      <c r="EU696" s="94"/>
      <c r="EV696" s="95"/>
      <c r="EW696" s="91"/>
      <c r="EX696" s="95"/>
      <c r="EY696" s="8"/>
      <c r="EZ696" s="96"/>
      <c r="FA696" s="91"/>
      <c r="FB696" s="97"/>
      <c r="FC696" s="8"/>
      <c r="FD696" s="91"/>
      <c r="FE696" s="98"/>
    </row>
    <row r="697" spans="37:162">
      <c r="AK697" s="89"/>
      <c r="AL697" s="8"/>
      <c r="AM697" s="8"/>
      <c r="AN697" s="8"/>
      <c r="AO697" s="8"/>
      <c r="AP697" s="8"/>
      <c r="AQ697" s="8"/>
      <c r="AR697" s="8"/>
      <c r="AZ697" s="45"/>
      <c r="BA697" s="89"/>
      <c r="BB697" s="89"/>
      <c r="BC697" s="89"/>
      <c r="BD697" s="89"/>
      <c r="BE697" s="89"/>
      <c r="BF697" s="89"/>
      <c r="BG697" s="89"/>
      <c r="BH697" s="89"/>
      <c r="BI697" s="89"/>
      <c r="BJ697" s="89"/>
      <c r="BK697" s="91"/>
      <c r="BL697" s="66"/>
      <c r="BM697" s="94"/>
      <c r="BN697" s="94"/>
      <c r="BO697" s="92"/>
      <c r="BP697" s="93"/>
      <c r="BQ697" s="23"/>
      <c r="BR697" s="94"/>
      <c r="BS697" s="94"/>
      <c r="BT697" s="94"/>
      <c r="BU697" s="94"/>
      <c r="BV697" s="95"/>
      <c r="BW697" s="91"/>
      <c r="BX697" s="95"/>
      <c r="BY697" s="8"/>
      <c r="BZ697" s="96"/>
      <c r="CA697" s="91"/>
      <c r="CB697" s="97"/>
      <c r="CC697" s="8"/>
      <c r="CD697" s="91"/>
      <c r="CE697" s="98"/>
      <c r="DK697" s="89"/>
      <c r="DL697" s="8"/>
      <c r="DM697" s="8"/>
      <c r="DN697" s="8"/>
      <c r="DO697" s="8"/>
      <c r="DP697" s="8"/>
      <c r="DQ697" s="8"/>
      <c r="DR697" s="8"/>
      <c r="DZ697" s="45"/>
      <c r="EA697" s="89"/>
      <c r="EB697" s="89"/>
      <c r="EC697" s="89"/>
      <c r="ED697" s="89"/>
      <c r="EE697" s="89"/>
      <c r="EF697" s="89"/>
      <c r="EG697" s="89"/>
      <c r="EH697" s="89"/>
      <c r="EI697" s="89"/>
      <c r="EJ697" s="89"/>
      <c r="EK697" s="91"/>
      <c r="EL697" s="66"/>
      <c r="EM697" s="94"/>
      <c r="EN697" s="94"/>
      <c r="EO697" s="92"/>
      <c r="EP697" s="93"/>
      <c r="EQ697" s="23"/>
      <c r="ER697" s="94"/>
      <c r="ES697" s="94"/>
      <c r="ET697" s="94"/>
      <c r="EU697" s="94"/>
      <c r="EV697" s="95"/>
      <c r="EW697" s="91"/>
      <c r="EX697" s="95"/>
      <c r="EY697" s="8"/>
      <c r="EZ697" s="96"/>
      <c r="FA697" s="91"/>
      <c r="FB697" s="97"/>
      <c r="FC697" s="8"/>
      <c r="FD697" s="91"/>
      <c r="FE697" s="98"/>
    </row>
    <row r="698" spans="37:162">
      <c r="AK698" s="89"/>
      <c r="AL698" s="8"/>
      <c r="AM698" s="8"/>
      <c r="AN698" s="8"/>
      <c r="AO698" s="8"/>
      <c r="AP698" s="8"/>
      <c r="AQ698" s="8"/>
      <c r="AR698" s="8"/>
      <c r="AZ698" s="45"/>
      <c r="BA698" s="89"/>
      <c r="BB698" s="89"/>
      <c r="BC698" s="89"/>
      <c r="BD698" s="89"/>
      <c r="BE698" s="89"/>
      <c r="BF698" s="89"/>
      <c r="BG698" s="89"/>
      <c r="BH698" s="89"/>
      <c r="BI698" s="89"/>
      <c r="BJ698" s="89"/>
      <c r="BK698" s="91"/>
      <c r="BL698" s="66"/>
      <c r="BM698" s="94"/>
      <c r="BN698" s="94"/>
      <c r="BO698" s="92"/>
      <c r="BP698" s="93"/>
      <c r="BQ698" s="23"/>
      <c r="BR698" s="94"/>
      <c r="BS698" s="94"/>
      <c r="BT698" s="94"/>
      <c r="BU698" s="94"/>
      <c r="BV698" s="95"/>
      <c r="BW698" s="91"/>
      <c r="BX698" s="95"/>
      <c r="BY698" s="8"/>
      <c r="BZ698" s="96"/>
      <c r="CA698" s="91"/>
      <c r="CB698" s="97"/>
      <c r="CC698" s="8"/>
      <c r="CD698" s="91"/>
      <c r="CE698" s="98"/>
      <c r="DK698" s="89"/>
      <c r="DL698" s="8"/>
      <c r="DM698" s="8"/>
      <c r="DN698" s="8"/>
      <c r="DO698" s="8"/>
      <c r="DP698" s="8"/>
      <c r="DQ698" s="8"/>
      <c r="DR698" s="8"/>
      <c r="DZ698" s="45"/>
      <c r="EA698" s="89"/>
      <c r="EB698" s="89"/>
      <c r="EC698" s="89"/>
      <c r="ED698" s="89"/>
      <c r="EE698" s="89"/>
      <c r="EF698" s="89"/>
      <c r="EG698" s="89"/>
      <c r="EH698" s="89"/>
      <c r="EI698" s="89"/>
      <c r="EJ698" s="89"/>
      <c r="EK698" s="91"/>
      <c r="EL698" s="66"/>
      <c r="EM698" s="94"/>
      <c r="EN698" s="94"/>
      <c r="EO698" s="92"/>
      <c r="EP698" s="93"/>
      <c r="EQ698" s="23"/>
      <c r="ER698" s="94"/>
      <c r="ES698" s="94"/>
      <c r="ET698" s="94"/>
      <c r="EU698" s="94"/>
      <c r="EV698" s="95"/>
      <c r="EW698" s="91"/>
      <c r="EX698" s="95"/>
      <c r="EY698" s="8"/>
      <c r="EZ698" s="96"/>
      <c r="FA698" s="91"/>
      <c r="FB698" s="97"/>
      <c r="FC698" s="8"/>
      <c r="FD698" s="91"/>
      <c r="FE698" s="98"/>
    </row>
    <row r="699" spans="37:162">
      <c r="AK699" s="89"/>
      <c r="AL699" s="8"/>
      <c r="AM699" s="8"/>
      <c r="AN699" s="8"/>
      <c r="AO699" s="8"/>
      <c r="AP699" s="8"/>
      <c r="AQ699" s="8"/>
      <c r="AR699" s="8"/>
      <c r="AZ699" s="45"/>
      <c r="BA699" s="89"/>
      <c r="BB699" s="89"/>
      <c r="BC699" s="89"/>
      <c r="BD699" s="89"/>
      <c r="BE699" s="89"/>
      <c r="BF699" s="89"/>
      <c r="BG699" s="89"/>
      <c r="BH699" s="89"/>
      <c r="BI699" s="89"/>
      <c r="BJ699" s="89"/>
      <c r="BK699" s="91"/>
      <c r="BL699" s="66"/>
      <c r="BM699" s="94"/>
      <c r="BN699" s="94"/>
      <c r="BO699" s="92"/>
      <c r="BP699" s="93"/>
      <c r="BQ699" s="23"/>
      <c r="BR699" s="94"/>
      <c r="BS699" s="94"/>
      <c r="BT699" s="94"/>
      <c r="BU699" s="94"/>
      <c r="BV699" s="95"/>
      <c r="BW699" s="91"/>
      <c r="BX699" s="95"/>
      <c r="BY699" s="8"/>
      <c r="BZ699" s="96"/>
      <c r="CA699" s="91"/>
      <c r="CB699" s="97"/>
      <c r="CC699" s="8"/>
      <c r="CD699" s="91"/>
      <c r="CE699" s="98"/>
      <c r="DK699" s="89"/>
      <c r="DL699" s="8"/>
      <c r="DM699" s="8"/>
      <c r="DN699" s="8"/>
      <c r="DO699" s="8"/>
      <c r="DP699" s="8"/>
      <c r="DQ699" s="8"/>
      <c r="DR699" s="8"/>
      <c r="DZ699" s="45"/>
      <c r="EA699" s="89"/>
      <c r="EB699" s="89"/>
      <c r="EC699" s="89"/>
      <c r="ED699" s="89"/>
      <c r="EE699" s="89"/>
      <c r="EF699" s="89"/>
      <c r="EG699" s="89"/>
      <c r="EH699" s="89"/>
      <c r="EI699" s="89"/>
      <c r="EJ699" s="89"/>
      <c r="EK699" s="91"/>
      <c r="EL699" s="66"/>
      <c r="EM699" s="94"/>
      <c r="EN699" s="94"/>
      <c r="EO699" s="92"/>
      <c r="EP699" s="93"/>
      <c r="EQ699" s="23"/>
      <c r="ER699" s="94"/>
      <c r="ES699" s="94"/>
      <c r="ET699" s="94"/>
      <c r="EU699" s="94"/>
      <c r="EV699" s="95"/>
      <c r="EW699" s="91"/>
      <c r="EX699" s="95"/>
      <c r="EY699" s="8"/>
      <c r="EZ699" s="96"/>
      <c r="FA699" s="91"/>
      <c r="FB699" s="97"/>
      <c r="FC699" s="8"/>
      <c r="FD699" s="91"/>
      <c r="FE699" s="98"/>
    </row>
    <row r="700" spans="37:162">
      <c r="AK700" s="89"/>
      <c r="AL700" s="8"/>
      <c r="AM700" s="8"/>
      <c r="AN700" s="8"/>
      <c r="AO700" s="8"/>
      <c r="AP700" s="8"/>
      <c r="AQ700" s="8"/>
      <c r="AR700" s="8"/>
      <c r="AZ700" s="45"/>
      <c r="BA700" s="89"/>
      <c r="BB700" s="89"/>
      <c r="BC700" s="89"/>
      <c r="BD700" s="89"/>
      <c r="BE700" s="89"/>
      <c r="BF700" s="89"/>
      <c r="BG700" s="89"/>
      <c r="BH700" s="89"/>
      <c r="BI700" s="89"/>
      <c r="BJ700" s="89"/>
      <c r="BK700" s="91"/>
      <c r="BL700" s="66"/>
      <c r="BM700" s="94"/>
      <c r="BN700" s="94"/>
      <c r="BO700" s="92"/>
      <c r="BP700" s="93"/>
      <c r="BQ700" s="23"/>
      <c r="BR700" s="94"/>
      <c r="BS700" s="94"/>
      <c r="BT700" s="94"/>
      <c r="BU700" s="94"/>
      <c r="BV700" s="95"/>
      <c r="BW700" s="91"/>
      <c r="BX700" s="95"/>
      <c r="BY700" s="8"/>
      <c r="BZ700" s="96"/>
      <c r="CA700" s="91"/>
      <c r="CB700" s="97"/>
      <c r="CC700" s="8"/>
      <c r="CD700" s="91"/>
      <c r="CE700" s="98"/>
      <c r="DK700" s="89"/>
      <c r="DL700" s="8"/>
      <c r="DM700" s="8"/>
      <c r="DN700" s="8"/>
      <c r="DO700" s="8"/>
      <c r="DP700" s="8"/>
      <c r="DQ700" s="8"/>
      <c r="DR700" s="8"/>
      <c r="DZ700" s="45"/>
      <c r="EA700" s="89"/>
      <c r="EB700" s="89"/>
      <c r="EC700" s="89"/>
      <c r="ED700" s="89"/>
      <c r="EE700" s="89"/>
      <c r="EF700" s="89"/>
      <c r="EG700" s="89"/>
      <c r="EH700" s="89"/>
      <c r="EI700" s="89"/>
      <c r="EJ700" s="89"/>
      <c r="EK700" s="91"/>
      <c r="EL700" s="66"/>
      <c r="EM700" s="94"/>
      <c r="EN700" s="94"/>
      <c r="EO700" s="92"/>
      <c r="EP700" s="93"/>
      <c r="EQ700" s="23"/>
      <c r="ER700" s="94"/>
      <c r="ES700" s="94"/>
      <c r="ET700" s="94"/>
      <c r="EU700" s="94"/>
      <c r="EV700" s="95"/>
      <c r="EW700" s="91"/>
      <c r="EX700" s="95"/>
      <c r="EY700" s="8"/>
      <c r="EZ700" s="96"/>
      <c r="FA700" s="91"/>
      <c r="FB700" s="97"/>
      <c r="FC700" s="8"/>
      <c r="FD700" s="91"/>
      <c r="FE700" s="98"/>
    </row>
    <row r="701" spans="37:162">
      <c r="AK701" s="89"/>
      <c r="AL701" s="8"/>
      <c r="AM701" s="8"/>
      <c r="AN701" s="8"/>
      <c r="AO701" s="8"/>
      <c r="AP701" s="8"/>
      <c r="AQ701" s="8"/>
      <c r="AR701" s="8"/>
      <c r="AZ701" s="45"/>
      <c r="BA701" s="89"/>
      <c r="BB701" s="89"/>
      <c r="BC701" s="89"/>
      <c r="BD701" s="89"/>
      <c r="BE701" s="89"/>
      <c r="BF701" s="89"/>
      <c r="BG701" s="89"/>
      <c r="BH701" s="89"/>
      <c r="BI701" s="89"/>
      <c r="BJ701" s="89"/>
      <c r="BK701" s="91"/>
      <c r="BL701" s="66"/>
      <c r="BM701" s="94"/>
      <c r="BN701" s="94"/>
      <c r="BO701" s="92"/>
      <c r="BP701" s="93"/>
      <c r="BQ701" s="23"/>
      <c r="BR701" s="94"/>
      <c r="BS701" s="94"/>
      <c r="BT701" s="94"/>
      <c r="BU701" s="94"/>
      <c r="BV701" s="95"/>
      <c r="BW701" s="91"/>
      <c r="BX701" s="95"/>
      <c r="BY701" s="8"/>
      <c r="BZ701" s="96"/>
      <c r="CA701" s="91"/>
      <c r="CB701" s="97"/>
      <c r="CC701" s="8"/>
      <c r="CD701" s="91"/>
      <c r="CE701" s="98"/>
      <c r="DK701" s="89"/>
      <c r="DL701" s="8"/>
      <c r="DM701" s="8"/>
      <c r="DN701" s="8"/>
      <c r="DO701" s="8"/>
      <c r="DP701" s="8"/>
      <c r="DQ701" s="8"/>
      <c r="DR701" s="8"/>
      <c r="DZ701" s="45"/>
      <c r="EA701" s="89"/>
      <c r="EB701" s="89"/>
      <c r="EC701" s="89"/>
      <c r="ED701" s="89"/>
      <c r="EE701" s="89"/>
      <c r="EF701" s="89"/>
      <c r="EG701" s="89"/>
      <c r="EH701" s="89"/>
      <c r="EI701" s="89"/>
      <c r="EJ701" s="89"/>
      <c r="EK701" s="91"/>
      <c r="EL701" s="66"/>
      <c r="EM701" s="94"/>
      <c r="EN701" s="94"/>
      <c r="EO701" s="92"/>
      <c r="EP701" s="93"/>
      <c r="EQ701" s="23"/>
      <c r="ER701" s="94"/>
      <c r="ES701" s="94"/>
      <c r="ET701" s="94"/>
      <c r="EU701" s="94"/>
      <c r="EV701" s="95"/>
      <c r="EW701" s="91"/>
      <c r="EX701" s="95"/>
      <c r="EY701" s="8"/>
      <c r="EZ701" s="96"/>
      <c r="FA701" s="91"/>
      <c r="FB701" s="97"/>
      <c r="FC701" s="8"/>
      <c r="FD701" s="91"/>
      <c r="FE701" s="98"/>
    </row>
    <row r="702" spans="37:162">
      <c r="AK702" s="89"/>
      <c r="AL702" s="8"/>
      <c r="AM702" s="8"/>
      <c r="AN702" s="8"/>
      <c r="AO702" s="8"/>
      <c r="AP702" s="8"/>
      <c r="AQ702" s="8"/>
      <c r="AR702" s="8"/>
      <c r="AZ702" s="45"/>
      <c r="BA702" s="89"/>
      <c r="BB702" s="89"/>
      <c r="BC702" s="89"/>
      <c r="BD702" s="89"/>
      <c r="BE702" s="89"/>
      <c r="BF702" s="89"/>
      <c r="BG702" s="89"/>
      <c r="BH702" s="89"/>
      <c r="BI702" s="89"/>
      <c r="BJ702" s="89"/>
      <c r="BK702" s="91"/>
      <c r="BL702" s="66"/>
      <c r="BM702" s="94"/>
      <c r="BN702" s="94"/>
      <c r="BO702" s="92"/>
      <c r="BP702" s="93"/>
      <c r="BQ702" s="23"/>
      <c r="BR702" s="94"/>
      <c r="BS702" s="94"/>
      <c r="BT702" s="94"/>
      <c r="BU702" s="94"/>
      <c r="BV702" s="95"/>
      <c r="BW702" s="91"/>
      <c r="BX702" s="95"/>
      <c r="BY702" s="8"/>
      <c r="BZ702" s="96"/>
      <c r="CA702" s="91"/>
      <c r="CB702" s="97"/>
      <c r="CC702" s="8"/>
      <c r="CD702" s="91"/>
      <c r="CE702" s="98"/>
      <c r="DK702" s="89"/>
      <c r="DL702" s="8"/>
      <c r="DM702" s="8"/>
      <c r="DN702" s="8"/>
      <c r="DO702" s="8"/>
      <c r="DP702" s="8"/>
      <c r="DQ702" s="8"/>
      <c r="DR702" s="8"/>
      <c r="DZ702" s="45"/>
      <c r="EA702" s="89"/>
      <c r="EB702" s="89"/>
      <c r="EC702" s="89"/>
      <c r="ED702" s="89"/>
      <c r="EE702" s="89"/>
      <c r="EF702" s="89"/>
      <c r="EG702" s="89"/>
      <c r="EH702" s="89"/>
      <c r="EI702" s="89"/>
      <c r="EJ702" s="89"/>
      <c r="EK702" s="91"/>
      <c r="EL702" s="66"/>
      <c r="EM702" s="94"/>
      <c r="EN702" s="94"/>
      <c r="EO702" s="92"/>
      <c r="EP702" s="93"/>
      <c r="EQ702" s="23"/>
      <c r="ER702" s="94"/>
      <c r="ES702" s="94"/>
      <c r="ET702" s="94"/>
      <c r="EU702" s="94"/>
      <c r="EV702" s="95"/>
      <c r="EW702" s="91"/>
      <c r="EX702" s="95"/>
      <c r="EY702" s="8"/>
      <c r="EZ702" s="96"/>
      <c r="FA702" s="91"/>
      <c r="FB702" s="97"/>
      <c r="FC702" s="8"/>
      <c r="FD702" s="91"/>
      <c r="FE702" s="98"/>
    </row>
    <row r="703" spans="37:162">
      <c r="AK703" s="89"/>
      <c r="AL703" s="8"/>
      <c r="AM703" s="8"/>
      <c r="AN703" s="8"/>
      <c r="AO703" s="8"/>
      <c r="AP703" s="8"/>
      <c r="AQ703" s="8"/>
      <c r="AR703" s="8"/>
      <c r="AZ703" s="45"/>
      <c r="BA703" s="89"/>
      <c r="BB703" s="89"/>
      <c r="BC703" s="89"/>
      <c r="BD703" s="89"/>
      <c r="BE703" s="89"/>
      <c r="BF703" s="89"/>
      <c r="BG703" s="89"/>
      <c r="BH703" s="89"/>
      <c r="BI703" s="89"/>
      <c r="BJ703" s="89"/>
      <c r="BK703" s="91"/>
      <c r="BL703" s="66"/>
      <c r="BM703" s="94"/>
      <c r="BN703" s="94"/>
      <c r="BO703" s="92"/>
      <c r="BP703" s="93"/>
      <c r="BQ703" s="23"/>
      <c r="BR703" s="94"/>
      <c r="BS703" s="94"/>
      <c r="BT703" s="94"/>
      <c r="BU703" s="94"/>
      <c r="BV703" s="95"/>
      <c r="BW703" s="91"/>
      <c r="BX703" s="95"/>
      <c r="BY703" s="8"/>
      <c r="BZ703" s="96"/>
      <c r="CA703" s="91"/>
      <c r="CB703" s="97"/>
      <c r="CC703" s="8"/>
      <c r="CD703" s="91"/>
      <c r="CE703" s="98"/>
      <c r="DK703" s="89"/>
      <c r="DL703" s="8"/>
      <c r="DM703" s="8"/>
      <c r="DN703" s="8"/>
      <c r="DO703" s="8"/>
      <c r="DP703" s="8"/>
      <c r="DQ703" s="8"/>
      <c r="DR703" s="8"/>
      <c r="DZ703" s="45"/>
      <c r="EA703" s="89"/>
      <c r="EB703" s="89"/>
      <c r="EC703" s="89"/>
      <c r="ED703" s="89"/>
      <c r="EE703" s="89"/>
      <c r="EF703" s="89"/>
      <c r="EG703" s="89"/>
      <c r="EH703" s="89"/>
      <c r="EI703" s="89"/>
      <c r="EJ703" s="89"/>
      <c r="EK703" s="91"/>
      <c r="EL703" s="66"/>
      <c r="EM703" s="94"/>
      <c r="EN703" s="94"/>
      <c r="EO703" s="92"/>
      <c r="EP703" s="93"/>
      <c r="EQ703" s="23"/>
      <c r="ER703" s="94"/>
      <c r="ES703" s="94"/>
      <c r="ET703" s="94"/>
      <c r="EU703" s="94"/>
      <c r="EV703" s="95"/>
      <c r="EW703" s="91"/>
      <c r="EX703" s="95"/>
      <c r="EY703" s="8"/>
      <c r="EZ703" s="96"/>
      <c r="FA703" s="91"/>
      <c r="FB703" s="97"/>
      <c r="FC703" s="8"/>
      <c r="FD703" s="91"/>
      <c r="FE703" s="98"/>
    </row>
    <row r="704" spans="37:162">
      <c r="AK704" s="89"/>
      <c r="AL704" s="8"/>
      <c r="AM704" s="8"/>
      <c r="AN704" s="8"/>
      <c r="AO704" s="8"/>
      <c r="AP704" s="8"/>
      <c r="AQ704" s="8"/>
      <c r="AR704" s="8"/>
      <c r="AZ704" s="45"/>
      <c r="BA704" s="89"/>
      <c r="BB704" s="89"/>
      <c r="BC704" s="89"/>
      <c r="BD704" s="89"/>
      <c r="BE704" s="89"/>
      <c r="BF704" s="89"/>
      <c r="BG704" s="89"/>
      <c r="BH704" s="89"/>
      <c r="BI704" s="89"/>
      <c r="BJ704" s="89"/>
      <c r="BK704" s="91"/>
      <c r="BL704" s="66"/>
      <c r="BM704" s="94"/>
      <c r="BN704" s="94"/>
      <c r="BO704" s="92"/>
      <c r="BP704" s="93"/>
      <c r="BQ704" s="23"/>
      <c r="BR704" s="94"/>
      <c r="BS704" s="94"/>
      <c r="BT704" s="94"/>
      <c r="BU704" s="94"/>
      <c r="BV704" s="95"/>
      <c r="BW704" s="91"/>
      <c r="BX704" s="95"/>
      <c r="BY704" s="8"/>
      <c r="BZ704" s="96"/>
      <c r="CA704" s="91"/>
      <c r="CB704" s="97"/>
      <c r="CC704" s="8"/>
      <c r="CD704" s="91"/>
      <c r="CE704" s="98"/>
      <c r="DK704" s="89"/>
      <c r="DL704" s="8"/>
      <c r="DM704" s="8"/>
      <c r="DN704" s="8"/>
      <c r="DO704" s="8"/>
      <c r="DP704" s="8"/>
      <c r="DQ704" s="8"/>
      <c r="DR704" s="8"/>
      <c r="DZ704" s="45"/>
      <c r="EA704" s="89"/>
      <c r="EB704" s="89"/>
      <c r="EC704" s="89"/>
      <c r="ED704" s="89"/>
      <c r="EE704" s="89"/>
      <c r="EF704" s="89"/>
      <c r="EG704" s="89"/>
      <c r="EH704" s="89"/>
      <c r="EI704" s="89"/>
      <c r="EJ704" s="89"/>
      <c r="EK704" s="91"/>
      <c r="EL704" s="66"/>
      <c r="EM704" s="94"/>
      <c r="EN704" s="94"/>
      <c r="EO704" s="92"/>
      <c r="EP704" s="93"/>
      <c r="EQ704" s="23"/>
      <c r="ER704" s="94"/>
      <c r="ES704" s="94"/>
      <c r="ET704" s="94"/>
      <c r="EU704" s="94"/>
      <c r="EV704" s="95"/>
      <c r="EW704" s="91"/>
      <c r="EX704" s="95"/>
      <c r="EY704" s="8"/>
      <c r="EZ704" s="96"/>
      <c r="FA704" s="91"/>
      <c r="FB704" s="97"/>
      <c r="FC704" s="8"/>
      <c r="FD704" s="91"/>
      <c r="FE704" s="98"/>
    </row>
    <row r="705" spans="37:161">
      <c r="AK705" s="89"/>
      <c r="AL705" s="8"/>
      <c r="AM705" s="8"/>
      <c r="AN705" s="8"/>
      <c r="AO705" s="8"/>
      <c r="AP705" s="8"/>
      <c r="AQ705" s="8"/>
      <c r="AR705" s="8"/>
      <c r="AZ705" s="45"/>
      <c r="BA705" s="89"/>
      <c r="BB705" s="89"/>
      <c r="BC705" s="89"/>
      <c r="BD705" s="89"/>
      <c r="BE705" s="89"/>
      <c r="BF705" s="89"/>
      <c r="BG705" s="89"/>
      <c r="BH705" s="89"/>
      <c r="BI705" s="89"/>
      <c r="BJ705" s="89"/>
      <c r="BK705" s="91"/>
      <c r="BL705" s="66"/>
      <c r="BM705" s="94"/>
      <c r="BN705" s="94"/>
      <c r="BO705" s="92"/>
      <c r="BP705" s="93"/>
      <c r="BQ705" s="23"/>
      <c r="BR705" s="94"/>
      <c r="BS705" s="94"/>
      <c r="BT705" s="94"/>
      <c r="BU705" s="94"/>
      <c r="BV705" s="95"/>
      <c r="BW705" s="91"/>
      <c r="BX705" s="95"/>
      <c r="BY705" s="8"/>
      <c r="BZ705" s="96"/>
      <c r="CA705" s="91"/>
      <c r="CB705" s="97"/>
      <c r="CC705" s="8"/>
      <c r="CD705" s="91"/>
      <c r="CE705" s="98"/>
      <c r="DK705" s="89"/>
      <c r="DL705" s="8"/>
      <c r="DM705" s="8"/>
      <c r="DN705" s="8"/>
      <c r="DO705" s="8"/>
      <c r="DP705" s="8"/>
      <c r="DQ705" s="8"/>
      <c r="DR705" s="8"/>
      <c r="DZ705" s="45"/>
      <c r="EA705" s="89"/>
      <c r="EB705" s="89"/>
      <c r="EC705" s="89"/>
      <c r="ED705" s="89"/>
      <c r="EE705" s="89"/>
      <c r="EF705" s="89"/>
      <c r="EG705" s="89"/>
      <c r="EH705" s="89"/>
      <c r="EI705" s="89"/>
      <c r="EJ705" s="89"/>
      <c r="EK705" s="91"/>
      <c r="EL705" s="66"/>
      <c r="EM705" s="94"/>
      <c r="EN705" s="94"/>
      <c r="EO705" s="92"/>
      <c r="EP705" s="93"/>
      <c r="EQ705" s="23"/>
      <c r="ER705" s="94"/>
      <c r="ES705" s="94"/>
      <c r="ET705" s="94"/>
      <c r="EU705" s="94"/>
      <c r="EV705" s="95"/>
      <c r="EW705" s="91"/>
      <c r="EX705" s="95"/>
      <c r="EY705" s="8"/>
      <c r="EZ705" s="96"/>
      <c r="FA705" s="91"/>
      <c r="FB705" s="97"/>
      <c r="FC705" s="8"/>
      <c r="FD705" s="91"/>
      <c r="FE705" s="98"/>
    </row>
    <row r="706" spans="37:161">
      <c r="AK706" s="89"/>
      <c r="AL706" s="8"/>
      <c r="AM706" s="8"/>
      <c r="AN706" s="8"/>
      <c r="AO706" s="8"/>
      <c r="AP706" s="8"/>
      <c r="AQ706" s="8"/>
      <c r="AR706" s="8"/>
      <c r="AZ706" s="45"/>
      <c r="BA706" s="89"/>
      <c r="BB706" s="89"/>
      <c r="BC706" s="89"/>
      <c r="BD706" s="89"/>
      <c r="BE706" s="89"/>
      <c r="BF706" s="89"/>
      <c r="BG706" s="89"/>
      <c r="BH706" s="89"/>
      <c r="BI706" s="89"/>
      <c r="BJ706" s="89"/>
      <c r="BK706" s="91"/>
      <c r="BL706" s="66"/>
      <c r="BM706" s="94"/>
      <c r="BN706" s="94"/>
      <c r="BO706" s="92"/>
      <c r="BP706" s="93"/>
      <c r="BQ706" s="23"/>
      <c r="BR706" s="94"/>
      <c r="BS706" s="94"/>
      <c r="BT706" s="94"/>
      <c r="BU706" s="94"/>
      <c r="BV706" s="95"/>
      <c r="BW706" s="91"/>
      <c r="BX706" s="95"/>
      <c r="BY706" s="8"/>
      <c r="BZ706" s="96"/>
      <c r="CA706" s="91"/>
      <c r="CB706" s="97"/>
      <c r="CC706" s="8"/>
      <c r="CD706" s="91"/>
      <c r="CE706" s="98"/>
      <c r="DK706" s="89"/>
      <c r="DL706" s="8"/>
      <c r="DM706" s="8"/>
      <c r="DN706" s="8"/>
      <c r="DO706" s="8"/>
      <c r="DP706" s="8"/>
      <c r="DQ706" s="8"/>
      <c r="DR706" s="8"/>
      <c r="DZ706" s="45"/>
      <c r="EA706" s="89"/>
      <c r="EB706" s="89"/>
      <c r="EC706" s="89"/>
      <c r="ED706" s="89"/>
      <c r="EE706" s="89"/>
      <c r="EF706" s="89"/>
      <c r="EG706" s="89"/>
      <c r="EH706" s="89"/>
      <c r="EI706" s="89"/>
      <c r="EJ706" s="89"/>
      <c r="EK706" s="91"/>
      <c r="EL706" s="66"/>
      <c r="EM706" s="94"/>
      <c r="EN706" s="94"/>
      <c r="EO706" s="92"/>
      <c r="EP706" s="93"/>
      <c r="EQ706" s="23"/>
      <c r="ER706" s="94"/>
      <c r="ES706" s="94"/>
      <c r="ET706" s="94"/>
      <c r="EU706" s="94"/>
      <c r="EV706" s="95"/>
      <c r="EW706" s="91"/>
      <c r="EX706" s="95"/>
      <c r="EY706" s="8"/>
      <c r="EZ706" s="96"/>
      <c r="FA706" s="91"/>
      <c r="FB706" s="97"/>
      <c r="FC706" s="8"/>
      <c r="FD706" s="91"/>
      <c r="FE706" s="98"/>
    </row>
    <row r="707" spans="37:161">
      <c r="AK707" s="89"/>
      <c r="AL707" s="8"/>
      <c r="AM707" s="8"/>
      <c r="AN707" s="8"/>
      <c r="AO707" s="8"/>
      <c r="AP707" s="8"/>
      <c r="AQ707" s="8"/>
      <c r="AR707" s="8"/>
      <c r="AZ707" s="45"/>
      <c r="BA707" s="89"/>
      <c r="BB707" s="89"/>
      <c r="BC707" s="89"/>
      <c r="BD707" s="89"/>
      <c r="BE707" s="89"/>
      <c r="BF707" s="89"/>
      <c r="BG707" s="89"/>
      <c r="BH707" s="89"/>
      <c r="BI707" s="89"/>
      <c r="BJ707" s="89"/>
      <c r="BK707" s="91"/>
      <c r="BL707" s="66"/>
      <c r="BM707" s="94"/>
      <c r="BN707" s="94"/>
      <c r="BO707" s="92"/>
      <c r="BP707" s="93"/>
      <c r="BQ707" s="23"/>
      <c r="BR707" s="94"/>
      <c r="BS707" s="94"/>
      <c r="BT707" s="94"/>
      <c r="BU707" s="94"/>
      <c r="BV707" s="95"/>
      <c r="BW707" s="91"/>
      <c r="BX707" s="95"/>
      <c r="BY707" s="8"/>
      <c r="BZ707" s="96"/>
      <c r="CA707" s="91"/>
      <c r="CB707" s="97"/>
      <c r="CC707" s="8"/>
      <c r="CD707" s="91"/>
      <c r="CE707" s="98"/>
      <c r="DK707" s="89"/>
      <c r="DL707" s="8"/>
      <c r="DM707" s="8"/>
      <c r="DN707" s="8"/>
      <c r="DO707" s="8"/>
      <c r="DP707" s="8"/>
      <c r="DQ707" s="8"/>
      <c r="DR707" s="8"/>
      <c r="DZ707" s="45"/>
      <c r="EA707" s="89"/>
      <c r="EB707" s="89"/>
      <c r="EC707" s="89"/>
      <c r="ED707" s="89"/>
      <c r="EE707" s="89"/>
      <c r="EF707" s="89"/>
      <c r="EG707" s="89"/>
      <c r="EH707" s="89"/>
      <c r="EI707" s="89"/>
      <c r="EJ707" s="89"/>
      <c r="EK707" s="91"/>
      <c r="EL707" s="66"/>
      <c r="EM707" s="94"/>
      <c r="EN707" s="94"/>
      <c r="EO707" s="92"/>
      <c r="EP707" s="93"/>
      <c r="EQ707" s="23"/>
      <c r="ER707" s="94"/>
      <c r="ES707" s="94"/>
      <c r="ET707" s="94"/>
      <c r="EU707" s="94"/>
      <c r="EV707" s="95"/>
      <c r="EW707" s="91"/>
      <c r="EX707" s="95"/>
      <c r="EY707" s="8"/>
      <c r="EZ707" s="96"/>
      <c r="FA707" s="91"/>
      <c r="FB707" s="97"/>
      <c r="FC707" s="8"/>
      <c r="FD707" s="91"/>
      <c r="FE707" s="98"/>
    </row>
    <row r="708" spans="37:161">
      <c r="AK708" s="89"/>
      <c r="AL708" s="8"/>
      <c r="AM708" s="8"/>
      <c r="AN708" s="8"/>
      <c r="AO708" s="8"/>
      <c r="AP708" s="8"/>
      <c r="AQ708" s="8"/>
      <c r="AR708" s="8"/>
      <c r="AZ708" s="45"/>
      <c r="BA708" s="89"/>
      <c r="BB708" s="89"/>
      <c r="BC708" s="89"/>
      <c r="BD708" s="89"/>
      <c r="BE708" s="89"/>
      <c r="BF708" s="89"/>
      <c r="BG708" s="89"/>
      <c r="BH708" s="89"/>
      <c r="BI708" s="89"/>
      <c r="BJ708" s="89"/>
      <c r="BK708" s="91"/>
      <c r="BL708" s="66"/>
      <c r="BM708" s="94"/>
      <c r="BN708" s="94"/>
      <c r="BO708" s="92"/>
      <c r="BP708" s="93"/>
      <c r="BQ708" s="23"/>
      <c r="BR708" s="94"/>
      <c r="BS708" s="94"/>
      <c r="BT708" s="94"/>
      <c r="BU708" s="94"/>
      <c r="BV708" s="95"/>
      <c r="BW708" s="91"/>
      <c r="BX708" s="95"/>
      <c r="BY708" s="8"/>
      <c r="BZ708" s="96"/>
      <c r="CA708" s="91"/>
      <c r="CB708" s="97"/>
      <c r="CC708" s="8"/>
      <c r="CD708" s="91"/>
      <c r="CE708" s="98"/>
      <c r="DK708" s="89"/>
      <c r="DL708" s="8"/>
      <c r="DM708" s="8"/>
      <c r="DN708" s="8"/>
      <c r="DO708" s="8"/>
      <c r="DP708" s="8"/>
      <c r="DQ708" s="8"/>
      <c r="DR708" s="8"/>
      <c r="DZ708" s="45"/>
      <c r="EA708" s="89"/>
      <c r="EB708" s="89"/>
      <c r="EC708" s="89"/>
      <c r="ED708" s="89"/>
      <c r="EE708" s="89"/>
      <c r="EF708" s="89"/>
      <c r="EG708" s="89"/>
      <c r="EH708" s="89"/>
      <c r="EI708" s="89"/>
      <c r="EJ708" s="89"/>
      <c r="EK708" s="91"/>
      <c r="EL708" s="66"/>
      <c r="EM708" s="94"/>
      <c r="EN708" s="94"/>
      <c r="EO708" s="92"/>
      <c r="EP708" s="93"/>
      <c r="EQ708" s="23"/>
      <c r="ER708" s="94"/>
      <c r="ES708" s="94"/>
      <c r="ET708" s="94"/>
      <c r="EU708" s="94"/>
      <c r="EV708" s="95"/>
      <c r="EW708" s="91"/>
      <c r="EX708" s="95"/>
      <c r="EY708" s="8"/>
      <c r="EZ708" s="96"/>
      <c r="FA708" s="91"/>
      <c r="FB708" s="97"/>
      <c r="FC708" s="8"/>
      <c r="FD708" s="91"/>
      <c r="FE708" s="98"/>
    </row>
    <row r="709" spans="37:161">
      <c r="AK709" s="89"/>
      <c r="AL709" s="8"/>
      <c r="AM709" s="8"/>
      <c r="AN709" s="8"/>
      <c r="AO709" s="8"/>
      <c r="AP709" s="8"/>
      <c r="AQ709" s="8"/>
      <c r="AR709" s="8"/>
      <c r="AZ709" s="45"/>
      <c r="BA709" s="89"/>
      <c r="BB709" s="89"/>
      <c r="BC709" s="89"/>
      <c r="BD709" s="89"/>
      <c r="BE709" s="89"/>
      <c r="BF709" s="89"/>
      <c r="BG709" s="89"/>
      <c r="BH709" s="89"/>
      <c r="BI709" s="89"/>
      <c r="BJ709" s="89"/>
      <c r="BK709" s="91"/>
      <c r="BL709" s="66"/>
      <c r="BM709" s="94"/>
      <c r="BN709" s="94"/>
      <c r="BO709" s="92"/>
      <c r="BP709" s="93"/>
      <c r="BQ709" s="23"/>
      <c r="BR709" s="94"/>
      <c r="BS709" s="94"/>
      <c r="BT709" s="94"/>
      <c r="BU709" s="94"/>
      <c r="BV709" s="95"/>
      <c r="BW709" s="91"/>
      <c r="BX709" s="95"/>
      <c r="BY709" s="8"/>
      <c r="BZ709" s="96"/>
      <c r="CA709" s="91"/>
      <c r="CB709" s="97"/>
      <c r="CC709" s="8"/>
      <c r="CD709" s="91"/>
      <c r="CE709" s="98"/>
      <c r="DK709" s="89"/>
      <c r="DL709" s="8"/>
      <c r="DM709" s="8"/>
      <c r="DN709" s="8"/>
      <c r="DO709" s="8"/>
      <c r="DP709" s="8"/>
      <c r="DQ709" s="8"/>
      <c r="DR709" s="8"/>
      <c r="DZ709" s="45"/>
      <c r="EA709" s="89"/>
      <c r="EB709" s="89"/>
      <c r="EC709" s="89"/>
      <c r="ED709" s="89"/>
      <c r="EE709" s="89"/>
      <c r="EF709" s="89"/>
      <c r="EG709" s="89"/>
      <c r="EH709" s="89"/>
      <c r="EI709" s="89"/>
      <c r="EJ709" s="89"/>
      <c r="EK709" s="91"/>
      <c r="EL709" s="66"/>
      <c r="EM709" s="94"/>
      <c r="EN709" s="94"/>
      <c r="EO709" s="92"/>
      <c r="EP709" s="93"/>
      <c r="EQ709" s="23"/>
      <c r="ER709" s="94"/>
      <c r="ES709" s="94"/>
      <c r="ET709" s="94"/>
      <c r="EU709" s="94"/>
      <c r="EV709" s="95"/>
      <c r="EW709" s="91"/>
      <c r="EX709" s="95"/>
      <c r="EY709" s="8"/>
      <c r="EZ709" s="96"/>
      <c r="FA709" s="91"/>
      <c r="FB709" s="97"/>
      <c r="FC709" s="8"/>
      <c r="FD709" s="91"/>
      <c r="FE709" s="98"/>
    </row>
    <row r="710" spans="37:161">
      <c r="AK710" s="89"/>
      <c r="AL710" s="8"/>
      <c r="AM710" s="8"/>
      <c r="AN710" s="8"/>
      <c r="AO710" s="8"/>
      <c r="AP710" s="8"/>
      <c r="AQ710" s="8"/>
      <c r="AR710" s="8"/>
      <c r="AZ710" s="45"/>
      <c r="BA710" s="89"/>
      <c r="BB710" s="89"/>
      <c r="BC710" s="89"/>
      <c r="BD710" s="89"/>
      <c r="BE710" s="89"/>
      <c r="BF710" s="89"/>
      <c r="BG710" s="89"/>
      <c r="BH710" s="89"/>
      <c r="BI710" s="89"/>
      <c r="BJ710" s="89"/>
      <c r="BK710" s="91"/>
      <c r="BL710" s="66"/>
      <c r="BM710" s="94"/>
      <c r="BN710" s="94"/>
      <c r="BO710" s="92"/>
      <c r="BP710" s="93"/>
      <c r="BQ710" s="23"/>
      <c r="BR710" s="94"/>
      <c r="BS710" s="94"/>
      <c r="BT710" s="94"/>
      <c r="BU710" s="94"/>
      <c r="BV710" s="95"/>
      <c r="BW710" s="91"/>
      <c r="BX710" s="95"/>
      <c r="BY710" s="8"/>
      <c r="BZ710" s="96"/>
      <c r="CA710" s="91"/>
      <c r="CB710" s="97"/>
      <c r="CC710" s="8"/>
      <c r="CD710" s="91"/>
      <c r="CE710" s="98"/>
      <c r="DK710" s="89"/>
      <c r="DL710" s="8"/>
      <c r="DM710" s="8"/>
      <c r="DN710" s="8"/>
      <c r="DO710" s="8"/>
      <c r="DP710" s="8"/>
      <c r="DQ710" s="8"/>
      <c r="DR710" s="8"/>
      <c r="DZ710" s="45"/>
      <c r="EA710" s="89"/>
      <c r="EB710" s="89"/>
      <c r="EC710" s="89"/>
      <c r="ED710" s="89"/>
      <c r="EE710" s="89"/>
      <c r="EF710" s="89"/>
      <c r="EG710" s="89"/>
      <c r="EH710" s="89"/>
      <c r="EI710" s="89"/>
      <c r="EJ710" s="89"/>
      <c r="EK710" s="91"/>
      <c r="EL710" s="66"/>
      <c r="EM710" s="94"/>
      <c r="EN710" s="94"/>
      <c r="EO710" s="92"/>
      <c r="EP710" s="93"/>
      <c r="EQ710" s="23"/>
      <c r="ER710" s="94"/>
      <c r="ES710" s="94"/>
      <c r="ET710" s="94"/>
      <c r="EU710" s="94"/>
      <c r="EV710" s="95"/>
      <c r="EW710" s="91"/>
      <c r="EX710" s="95"/>
      <c r="EY710" s="8"/>
      <c r="EZ710" s="96"/>
      <c r="FA710" s="91"/>
      <c r="FB710" s="97"/>
      <c r="FC710" s="8"/>
      <c r="FD710" s="91"/>
      <c r="FE710" s="98"/>
    </row>
    <row r="711" spans="37:161">
      <c r="AK711" s="89"/>
      <c r="AL711" s="8"/>
      <c r="AM711" s="8"/>
      <c r="AN711" s="8"/>
      <c r="AO711" s="8"/>
      <c r="AP711" s="8"/>
      <c r="AQ711" s="8"/>
      <c r="AR711" s="8"/>
      <c r="AZ711" s="45"/>
      <c r="BA711" s="89"/>
      <c r="BB711" s="89"/>
      <c r="BC711" s="89"/>
      <c r="BD711" s="89"/>
      <c r="BE711" s="89"/>
      <c r="BF711" s="89"/>
      <c r="BG711" s="89"/>
      <c r="BH711" s="89"/>
      <c r="BI711" s="89"/>
      <c r="BJ711" s="89"/>
      <c r="BK711" s="91"/>
      <c r="BL711" s="66"/>
      <c r="BM711" s="94"/>
      <c r="BN711" s="94"/>
      <c r="BO711" s="92"/>
      <c r="BP711" s="93"/>
      <c r="BQ711" s="23"/>
      <c r="BR711" s="94"/>
      <c r="BS711" s="94"/>
      <c r="BT711" s="94"/>
      <c r="BU711" s="94"/>
      <c r="BV711" s="95"/>
      <c r="BW711" s="91"/>
      <c r="BX711" s="95"/>
      <c r="BY711" s="8"/>
      <c r="BZ711" s="96"/>
      <c r="CA711" s="91"/>
      <c r="CB711" s="97"/>
      <c r="CC711" s="8"/>
      <c r="CD711" s="91"/>
      <c r="CE711" s="98"/>
      <c r="DK711" s="89"/>
      <c r="DL711" s="8"/>
      <c r="DM711" s="8"/>
      <c r="DN711" s="8"/>
      <c r="DO711" s="8"/>
      <c r="DP711" s="8"/>
      <c r="DQ711" s="8"/>
      <c r="DR711" s="8"/>
      <c r="DZ711" s="45"/>
      <c r="EA711" s="89"/>
      <c r="EB711" s="89"/>
      <c r="EC711" s="89"/>
      <c r="ED711" s="89"/>
      <c r="EE711" s="89"/>
      <c r="EF711" s="89"/>
      <c r="EG711" s="89"/>
      <c r="EH711" s="89"/>
      <c r="EI711" s="89"/>
      <c r="EJ711" s="89"/>
      <c r="EK711" s="91"/>
      <c r="EL711" s="66"/>
      <c r="EM711" s="94"/>
      <c r="EN711" s="94"/>
      <c r="EO711" s="92"/>
      <c r="EP711" s="93"/>
      <c r="EQ711" s="23"/>
      <c r="ER711" s="94"/>
      <c r="ES711" s="94"/>
      <c r="ET711" s="94"/>
      <c r="EU711" s="94"/>
      <c r="EV711" s="95"/>
      <c r="EW711" s="91"/>
      <c r="EX711" s="95"/>
      <c r="EY711" s="8"/>
      <c r="EZ711" s="96"/>
      <c r="FA711" s="91"/>
      <c r="FB711" s="97"/>
      <c r="FC711" s="8"/>
      <c r="FD711" s="91"/>
      <c r="FE711" s="98"/>
    </row>
    <row r="712" spans="37:161">
      <c r="AK712" s="89"/>
      <c r="AL712" s="8"/>
      <c r="AM712" s="8"/>
      <c r="AN712" s="8"/>
      <c r="AO712" s="8"/>
      <c r="AP712" s="8"/>
      <c r="AQ712" s="8"/>
      <c r="AR712" s="8"/>
      <c r="AZ712" s="45"/>
      <c r="BA712" s="89"/>
      <c r="BB712" s="89"/>
      <c r="BC712" s="89"/>
      <c r="BD712" s="89"/>
      <c r="BE712" s="89"/>
      <c r="BF712" s="89"/>
      <c r="BG712" s="89"/>
      <c r="BH712" s="89"/>
      <c r="BI712" s="89"/>
      <c r="BJ712" s="89"/>
      <c r="BK712" s="91"/>
      <c r="BL712" s="66"/>
      <c r="BM712" s="94"/>
      <c r="BN712" s="94"/>
      <c r="BO712" s="92"/>
      <c r="BP712" s="93"/>
      <c r="BQ712" s="23"/>
      <c r="BR712" s="94"/>
      <c r="BS712" s="94"/>
      <c r="BT712" s="94"/>
      <c r="BU712" s="94"/>
      <c r="BV712" s="95"/>
      <c r="BW712" s="91"/>
      <c r="BX712" s="95"/>
      <c r="BY712" s="8"/>
      <c r="BZ712" s="96"/>
      <c r="CA712" s="91"/>
      <c r="CB712" s="97"/>
      <c r="CC712" s="8"/>
      <c r="CD712" s="91"/>
      <c r="CE712" s="98"/>
      <c r="DK712" s="89"/>
      <c r="DL712" s="8"/>
      <c r="DM712" s="8"/>
      <c r="DN712" s="8"/>
      <c r="DO712" s="8"/>
      <c r="DP712" s="8"/>
      <c r="DQ712" s="8"/>
      <c r="DR712" s="8"/>
      <c r="DZ712" s="45"/>
      <c r="EA712" s="89"/>
      <c r="EB712" s="89"/>
      <c r="EC712" s="89"/>
      <c r="ED712" s="89"/>
      <c r="EE712" s="89"/>
      <c r="EF712" s="89"/>
      <c r="EG712" s="89"/>
      <c r="EH712" s="89"/>
      <c r="EI712" s="89"/>
      <c r="EJ712" s="89"/>
      <c r="EK712" s="91"/>
      <c r="EL712" s="66"/>
      <c r="EM712" s="94"/>
      <c r="EN712" s="94"/>
      <c r="EO712" s="92"/>
      <c r="EP712" s="93"/>
      <c r="EQ712" s="23"/>
      <c r="ER712" s="94"/>
      <c r="ES712" s="94"/>
      <c r="ET712" s="94"/>
      <c r="EU712" s="94"/>
      <c r="EV712" s="95"/>
      <c r="EW712" s="91"/>
      <c r="EX712" s="95"/>
      <c r="EY712" s="8"/>
      <c r="EZ712" s="96"/>
      <c r="FA712" s="91"/>
      <c r="FB712" s="97"/>
      <c r="FC712" s="8"/>
      <c r="FD712" s="91"/>
      <c r="FE712" s="98"/>
    </row>
    <row r="713" spans="37:161">
      <c r="AK713" s="89"/>
      <c r="AL713" s="8"/>
      <c r="AM713" s="8"/>
      <c r="AN713" s="8"/>
      <c r="AO713" s="8"/>
      <c r="AP713" s="8"/>
      <c r="AQ713" s="8"/>
      <c r="AR713" s="8"/>
      <c r="AZ713" s="45"/>
      <c r="BA713" s="89"/>
      <c r="BB713" s="89"/>
      <c r="BC713" s="89"/>
      <c r="BD713" s="89"/>
      <c r="BE713" s="89"/>
      <c r="BF713" s="89"/>
      <c r="BG713" s="89"/>
      <c r="BH713" s="89"/>
      <c r="BI713" s="89"/>
      <c r="BJ713" s="89"/>
      <c r="BK713" s="91"/>
      <c r="BL713" s="66"/>
      <c r="BM713" s="94"/>
      <c r="BN713" s="94"/>
      <c r="BO713" s="92"/>
      <c r="BP713" s="93"/>
      <c r="BQ713" s="23"/>
      <c r="BR713" s="94"/>
      <c r="BS713" s="94"/>
      <c r="BT713" s="94"/>
      <c r="BU713" s="94"/>
      <c r="BV713" s="95"/>
      <c r="BW713" s="91"/>
      <c r="BX713" s="95"/>
      <c r="BY713" s="8"/>
      <c r="BZ713" s="96"/>
      <c r="CA713" s="91"/>
      <c r="CB713" s="97"/>
      <c r="CC713" s="8"/>
      <c r="CD713" s="91"/>
      <c r="CE713" s="98"/>
      <c r="DK713" s="89"/>
      <c r="DL713" s="8"/>
      <c r="DM713" s="8"/>
      <c r="DN713" s="8"/>
      <c r="DO713" s="8"/>
      <c r="DP713" s="8"/>
      <c r="DQ713" s="8"/>
      <c r="DR713" s="8"/>
      <c r="DZ713" s="45"/>
      <c r="EA713" s="89"/>
      <c r="EB713" s="89"/>
      <c r="EC713" s="89"/>
      <c r="ED713" s="89"/>
      <c r="EE713" s="89"/>
      <c r="EF713" s="89"/>
      <c r="EG713" s="89"/>
      <c r="EH713" s="89"/>
      <c r="EI713" s="89"/>
      <c r="EJ713" s="89"/>
      <c r="EK713" s="91"/>
      <c r="EL713" s="66"/>
      <c r="EM713" s="94"/>
      <c r="EN713" s="94"/>
      <c r="EO713" s="92"/>
      <c r="EP713" s="93"/>
      <c r="EQ713" s="23"/>
      <c r="ER713" s="94"/>
      <c r="ES713" s="94"/>
      <c r="ET713" s="94"/>
      <c r="EU713" s="94"/>
      <c r="EV713" s="95"/>
      <c r="EW713" s="91"/>
      <c r="EX713" s="95"/>
      <c r="EY713" s="8"/>
      <c r="EZ713" s="96"/>
      <c r="FA713" s="91"/>
      <c r="FB713" s="97"/>
      <c r="FC713" s="8"/>
      <c r="FD713" s="91"/>
      <c r="FE713" s="98"/>
    </row>
    <row r="714" spans="37:161">
      <c r="AK714" s="89"/>
      <c r="AL714" s="8"/>
      <c r="AM714" s="8"/>
      <c r="AN714" s="8"/>
      <c r="AO714" s="8"/>
      <c r="AP714" s="8"/>
      <c r="AQ714" s="8"/>
      <c r="AR714" s="8"/>
      <c r="AZ714" s="45"/>
      <c r="BA714" s="89"/>
      <c r="BB714" s="89"/>
      <c r="BC714" s="89"/>
      <c r="BD714" s="89"/>
      <c r="BE714" s="89"/>
      <c r="BF714" s="89"/>
      <c r="BG714" s="89"/>
      <c r="BH714" s="89"/>
      <c r="BI714" s="89"/>
      <c r="BJ714" s="89"/>
      <c r="BK714" s="91"/>
      <c r="BL714" s="66"/>
      <c r="BM714" s="94"/>
      <c r="BN714" s="94"/>
      <c r="BO714" s="92"/>
      <c r="BP714" s="93"/>
      <c r="BQ714" s="23"/>
      <c r="BR714" s="94"/>
      <c r="BS714" s="94"/>
      <c r="BT714" s="94"/>
      <c r="BU714" s="94"/>
      <c r="BV714" s="95"/>
      <c r="BW714" s="91"/>
      <c r="BX714" s="95"/>
      <c r="BY714" s="8"/>
      <c r="BZ714" s="96"/>
      <c r="CA714" s="91"/>
      <c r="CB714" s="97"/>
      <c r="CC714" s="8"/>
      <c r="CD714" s="91"/>
      <c r="CE714" s="98"/>
      <c r="DK714" s="89"/>
      <c r="DL714" s="8"/>
      <c r="DM714" s="8"/>
      <c r="DN714" s="8"/>
      <c r="DO714" s="8"/>
      <c r="DP714" s="8"/>
      <c r="DQ714" s="8"/>
      <c r="DR714" s="8"/>
      <c r="DZ714" s="45"/>
      <c r="EA714" s="89"/>
      <c r="EB714" s="89"/>
      <c r="EC714" s="89"/>
      <c r="ED714" s="89"/>
      <c r="EE714" s="89"/>
      <c r="EF714" s="89"/>
      <c r="EG714" s="89"/>
      <c r="EH714" s="89"/>
      <c r="EI714" s="89"/>
      <c r="EJ714" s="89"/>
      <c r="EK714" s="91"/>
      <c r="EL714" s="66"/>
      <c r="EM714" s="94"/>
      <c r="EN714" s="94"/>
      <c r="EO714" s="92"/>
      <c r="EP714" s="93"/>
      <c r="EQ714" s="23"/>
      <c r="ER714" s="94"/>
      <c r="ES714" s="94"/>
      <c r="ET714" s="94"/>
      <c r="EU714" s="94"/>
      <c r="EV714" s="95"/>
      <c r="EW714" s="91"/>
      <c r="EX714" s="95"/>
      <c r="EY714" s="8"/>
      <c r="EZ714" s="96"/>
      <c r="FA714" s="91"/>
      <c r="FB714" s="97"/>
      <c r="FC714" s="8"/>
      <c r="FD714" s="91"/>
      <c r="FE714" s="98"/>
    </row>
    <row r="715" spans="37:161">
      <c r="AK715" s="89"/>
      <c r="AL715" s="8"/>
      <c r="AM715" s="8"/>
      <c r="AN715" s="8"/>
      <c r="AO715" s="8"/>
      <c r="AP715" s="8"/>
      <c r="AQ715" s="8"/>
      <c r="AR715" s="8"/>
      <c r="AZ715" s="45"/>
      <c r="BA715" s="89"/>
      <c r="BB715" s="89"/>
      <c r="BC715" s="89"/>
      <c r="BD715" s="89"/>
      <c r="BE715" s="89"/>
      <c r="BF715" s="89"/>
      <c r="BG715" s="89"/>
      <c r="BH715" s="89"/>
      <c r="BI715" s="89"/>
      <c r="BJ715" s="89"/>
      <c r="BK715" s="91"/>
      <c r="BL715" s="66"/>
      <c r="BM715" s="94"/>
      <c r="BN715" s="94"/>
      <c r="BO715" s="92"/>
      <c r="BP715" s="93"/>
      <c r="BQ715" s="23"/>
      <c r="BR715" s="94"/>
      <c r="BS715" s="94"/>
      <c r="BT715" s="94"/>
      <c r="BU715" s="94"/>
      <c r="BV715" s="95"/>
      <c r="BW715" s="91"/>
      <c r="BX715" s="95"/>
      <c r="BY715" s="8"/>
      <c r="BZ715" s="96"/>
      <c r="CA715" s="91"/>
      <c r="CB715" s="97"/>
      <c r="CC715" s="8"/>
      <c r="CD715" s="91"/>
      <c r="CE715" s="98"/>
      <c r="DK715" s="89"/>
      <c r="DL715" s="8"/>
      <c r="DM715" s="8"/>
      <c r="DN715" s="8"/>
      <c r="DO715" s="8"/>
      <c r="DP715" s="8"/>
      <c r="DQ715" s="8"/>
      <c r="DR715" s="8"/>
      <c r="DZ715" s="45"/>
      <c r="EA715" s="89"/>
      <c r="EB715" s="89"/>
      <c r="EC715" s="89"/>
      <c r="ED715" s="89"/>
      <c r="EE715" s="89"/>
      <c r="EF715" s="89"/>
      <c r="EG715" s="89"/>
      <c r="EH715" s="89"/>
      <c r="EI715" s="89"/>
      <c r="EJ715" s="89"/>
      <c r="EK715" s="91"/>
      <c r="EL715" s="66"/>
      <c r="EM715" s="94"/>
      <c r="EN715" s="94"/>
      <c r="EO715" s="92"/>
      <c r="EP715" s="93"/>
      <c r="EQ715" s="23"/>
      <c r="ER715" s="94"/>
      <c r="ES715" s="94"/>
      <c r="ET715" s="94"/>
      <c r="EU715" s="94"/>
      <c r="EV715" s="95"/>
      <c r="EW715" s="91"/>
      <c r="EX715" s="95"/>
      <c r="EY715" s="8"/>
      <c r="EZ715" s="96"/>
      <c r="FA715" s="91"/>
      <c r="FB715" s="97"/>
      <c r="FC715" s="8"/>
      <c r="FD715" s="91"/>
      <c r="FE715" s="98"/>
    </row>
    <row r="716" spans="37:161">
      <c r="AK716" s="89"/>
      <c r="AL716" s="8"/>
      <c r="AM716" s="8"/>
      <c r="AN716" s="8"/>
      <c r="AO716" s="8"/>
      <c r="AP716" s="8"/>
      <c r="AQ716" s="8"/>
      <c r="AR716" s="8"/>
      <c r="AZ716" s="45"/>
      <c r="BA716" s="89"/>
      <c r="BB716" s="89"/>
      <c r="BC716" s="89"/>
      <c r="BD716" s="89"/>
      <c r="BE716" s="89"/>
      <c r="BF716" s="89"/>
      <c r="BG716" s="89"/>
      <c r="BH716" s="89"/>
      <c r="BI716" s="89"/>
      <c r="BJ716" s="89"/>
      <c r="BK716" s="91"/>
      <c r="BL716" s="66"/>
      <c r="BM716" s="94"/>
      <c r="BN716" s="94"/>
      <c r="BO716" s="92"/>
      <c r="BP716" s="93"/>
      <c r="BQ716" s="23"/>
      <c r="BR716" s="94"/>
      <c r="BS716" s="94"/>
      <c r="BT716" s="94"/>
      <c r="BU716" s="94"/>
      <c r="BV716" s="95"/>
      <c r="BW716" s="91"/>
      <c r="BX716" s="95"/>
      <c r="BY716" s="8"/>
      <c r="BZ716" s="96"/>
      <c r="CA716" s="91"/>
      <c r="CB716" s="97"/>
      <c r="CC716" s="8"/>
      <c r="CD716" s="91"/>
      <c r="CE716" s="98"/>
      <c r="DK716" s="89"/>
      <c r="DL716" s="8"/>
      <c r="DM716" s="8"/>
      <c r="DN716" s="8"/>
      <c r="DO716" s="8"/>
      <c r="DP716" s="8"/>
      <c r="DQ716" s="8"/>
      <c r="DR716" s="8"/>
      <c r="DZ716" s="45"/>
      <c r="EA716" s="89"/>
      <c r="EB716" s="89"/>
      <c r="EC716" s="89"/>
      <c r="ED716" s="89"/>
      <c r="EE716" s="89"/>
      <c r="EF716" s="89"/>
      <c r="EG716" s="89"/>
      <c r="EH716" s="89"/>
      <c r="EI716" s="89"/>
      <c r="EJ716" s="89"/>
      <c r="EK716" s="91"/>
      <c r="EL716" s="66"/>
      <c r="EM716" s="94"/>
      <c r="EN716" s="94"/>
      <c r="EO716" s="92"/>
      <c r="EP716" s="93"/>
      <c r="EQ716" s="23"/>
      <c r="ER716" s="94"/>
      <c r="ES716" s="94"/>
      <c r="ET716" s="94"/>
      <c r="EU716" s="94"/>
      <c r="EV716" s="95"/>
      <c r="EW716" s="91"/>
      <c r="EX716" s="95"/>
      <c r="EY716" s="8"/>
      <c r="EZ716" s="96"/>
      <c r="FA716" s="91"/>
      <c r="FB716" s="97"/>
      <c r="FC716" s="8"/>
      <c r="FD716" s="91"/>
      <c r="FE716" s="98"/>
    </row>
    <row r="717" spans="37:161">
      <c r="AK717" s="89"/>
      <c r="AL717" s="8"/>
      <c r="AM717" s="8"/>
      <c r="AN717" s="8"/>
      <c r="AO717" s="8"/>
      <c r="AP717" s="8"/>
      <c r="AQ717" s="8"/>
      <c r="AR717" s="8"/>
      <c r="AZ717" s="45"/>
      <c r="BA717" s="89"/>
      <c r="BB717" s="89"/>
      <c r="BC717" s="89"/>
      <c r="BD717" s="89"/>
      <c r="BE717" s="89"/>
      <c r="BF717" s="89"/>
      <c r="BG717" s="89"/>
      <c r="BH717" s="89"/>
      <c r="BI717" s="89"/>
      <c r="BJ717" s="89"/>
      <c r="BK717" s="91"/>
      <c r="BL717" s="66"/>
      <c r="BM717" s="94"/>
      <c r="BN717" s="94"/>
      <c r="BO717" s="92"/>
      <c r="BP717" s="93"/>
      <c r="BQ717" s="23"/>
      <c r="BR717" s="94"/>
      <c r="BS717" s="94"/>
      <c r="BT717" s="94"/>
      <c r="BU717" s="94"/>
      <c r="BV717" s="95"/>
      <c r="BW717" s="91"/>
      <c r="BX717" s="95"/>
      <c r="BY717" s="8"/>
      <c r="BZ717" s="96"/>
      <c r="CA717" s="91"/>
      <c r="CB717" s="97"/>
      <c r="CC717" s="8"/>
      <c r="CD717" s="91"/>
      <c r="CE717" s="98"/>
      <c r="DK717" s="89"/>
      <c r="DL717" s="8"/>
      <c r="DM717" s="8"/>
      <c r="DN717" s="8"/>
      <c r="DO717" s="8"/>
      <c r="DP717" s="8"/>
      <c r="DQ717" s="8"/>
      <c r="DR717" s="8"/>
      <c r="DZ717" s="45"/>
      <c r="EA717" s="89"/>
      <c r="EB717" s="89"/>
      <c r="EC717" s="89"/>
      <c r="ED717" s="89"/>
      <c r="EE717" s="89"/>
      <c r="EF717" s="89"/>
      <c r="EG717" s="89"/>
      <c r="EH717" s="89"/>
      <c r="EI717" s="89"/>
      <c r="EJ717" s="89"/>
      <c r="EK717" s="91"/>
      <c r="EL717" s="66"/>
      <c r="EM717" s="94"/>
      <c r="EN717" s="94"/>
      <c r="EO717" s="92"/>
      <c r="EP717" s="93"/>
      <c r="EQ717" s="23"/>
      <c r="ER717" s="94"/>
      <c r="ES717" s="94"/>
      <c r="ET717" s="94"/>
      <c r="EU717" s="94"/>
      <c r="EV717" s="95"/>
      <c r="EW717" s="91"/>
      <c r="EX717" s="95"/>
      <c r="EY717" s="8"/>
      <c r="EZ717" s="96"/>
      <c r="FA717" s="91"/>
      <c r="FB717" s="97"/>
      <c r="FC717" s="8"/>
      <c r="FD717" s="91"/>
      <c r="FE717" s="98"/>
    </row>
    <row r="718" spans="37:161">
      <c r="AK718" s="89"/>
      <c r="AL718" s="8"/>
      <c r="AM718" s="8"/>
      <c r="AN718" s="8"/>
      <c r="AO718" s="8"/>
      <c r="AP718" s="8"/>
      <c r="AQ718" s="8"/>
      <c r="AR718" s="8"/>
      <c r="AZ718" s="45"/>
      <c r="BA718" s="89"/>
      <c r="BB718" s="89"/>
      <c r="BC718" s="89"/>
      <c r="BD718" s="89"/>
      <c r="BE718" s="89"/>
      <c r="BF718" s="89"/>
      <c r="BG718" s="89"/>
      <c r="BH718" s="89"/>
      <c r="BI718" s="89"/>
      <c r="BJ718" s="89"/>
      <c r="BK718" s="91"/>
      <c r="BL718" s="66"/>
      <c r="BM718" s="94"/>
      <c r="BN718" s="94"/>
      <c r="BO718" s="92"/>
      <c r="BP718" s="93"/>
      <c r="BQ718" s="23"/>
      <c r="BR718" s="94"/>
      <c r="BS718" s="94"/>
      <c r="BT718" s="94"/>
      <c r="BU718" s="94"/>
      <c r="BV718" s="95"/>
      <c r="BW718" s="91"/>
      <c r="BX718" s="95"/>
      <c r="BY718" s="8"/>
      <c r="BZ718" s="96"/>
      <c r="CA718" s="91"/>
      <c r="CB718" s="97"/>
      <c r="CC718" s="8"/>
      <c r="CD718" s="91"/>
      <c r="CE718" s="98"/>
      <c r="DK718" s="89"/>
      <c r="DL718" s="8"/>
      <c r="DM718" s="8"/>
      <c r="DN718" s="8"/>
      <c r="DO718" s="8"/>
      <c r="DP718" s="8"/>
      <c r="DQ718" s="8"/>
      <c r="DR718" s="8"/>
      <c r="DZ718" s="45"/>
      <c r="EA718" s="89"/>
      <c r="EB718" s="89"/>
      <c r="EC718" s="89"/>
      <c r="ED718" s="89"/>
      <c r="EE718" s="89"/>
      <c r="EF718" s="89"/>
      <c r="EG718" s="89"/>
      <c r="EH718" s="89"/>
      <c r="EI718" s="89"/>
      <c r="EJ718" s="89"/>
      <c r="EK718" s="91"/>
      <c r="EL718" s="66"/>
      <c r="EM718" s="94"/>
      <c r="EN718" s="94"/>
      <c r="EO718" s="92"/>
      <c r="EP718" s="93"/>
      <c r="EQ718" s="23"/>
      <c r="ER718" s="94"/>
      <c r="ES718" s="94"/>
      <c r="ET718" s="94"/>
      <c r="EU718" s="94"/>
      <c r="EV718" s="95"/>
      <c r="EW718" s="91"/>
      <c r="EX718" s="95"/>
      <c r="EY718" s="8"/>
      <c r="EZ718" s="96"/>
      <c r="FA718" s="91"/>
      <c r="FB718" s="97"/>
      <c r="FC718" s="8"/>
      <c r="FD718" s="91"/>
      <c r="FE718" s="98"/>
    </row>
    <row r="719" spans="37:161">
      <c r="AK719" s="89"/>
      <c r="AL719" s="8"/>
      <c r="AM719" s="8"/>
      <c r="AN719" s="8"/>
      <c r="AO719" s="8"/>
      <c r="AP719" s="8"/>
      <c r="AQ719" s="8"/>
      <c r="AR719" s="8"/>
      <c r="AZ719" s="45"/>
      <c r="BA719" s="89"/>
      <c r="BB719" s="89"/>
      <c r="BC719" s="89"/>
      <c r="BD719" s="89"/>
      <c r="BE719" s="89"/>
      <c r="BF719" s="89"/>
      <c r="BG719" s="89"/>
      <c r="BH719" s="89"/>
      <c r="BI719" s="89"/>
      <c r="BJ719" s="89"/>
      <c r="BK719" s="91"/>
      <c r="BL719" s="66"/>
      <c r="BM719" s="94"/>
      <c r="BN719" s="94"/>
      <c r="BO719" s="92"/>
      <c r="BP719" s="93"/>
      <c r="BQ719" s="23"/>
      <c r="BR719" s="94"/>
      <c r="BS719" s="94"/>
      <c r="BT719" s="94"/>
      <c r="BU719" s="94"/>
      <c r="BV719" s="95"/>
      <c r="BW719" s="91"/>
      <c r="BX719" s="95"/>
      <c r="BY719" s="8"/>
      <c r="BZ719" s="96"/>
      <c r="CA719" s="91"/>
      <c r="CB719" s="97"/>
      <c r="CC719" s="8"/>
      <c r="CD719" s="91"/>
      <c r="CE719" s="98"/>
      <c r="DK719" s="89"/>
      <c r="DL719" s="8"/>
      <c r="DM719" s="8"/>
      <c r="DN719" s="8"/>
      <c r="DO719" s="8"/>
      <c r="DP719" s="8"/>
      <c r="DQ719" s="8"/>
      <c r="DR719" s="8"/>
      <c r="DZ719" s="45"/>
      <c r="EA719" s="89"/>
      <c r="EB719" s="89"/>
      <c r="EC719" s="89"/>
      <c r="ED719" s="89"/>
      <c r="EE719" s="89"/>
      <c r="EF719" s="89"/>
      <c r="EG719" s="89"/>
      <c r="EH719" s="89"/>
      <c r="EI719" s="89"/>
      <c r="EJ719" s="89"/>
      <c r="EK719" s="91"/>
      <c r="EL719" s="66"/>
      <c r="EM719" s="94"/>
      <c r="EN719" s="94"/>
      <c r="EO719" s="92"/>
      <c r="EP719" s="93"/>
      <c r="EQ719" s="23"/>
      <c r="ER719" s="94"/>
      <c r="ES719" s="94"/>
      <c r="ET719" s="94"/>
      <c r="EU719" s="94"/>
      <c r="EV719" s="95"/>
      <c r="EW719" s="91"/>
      <c r="EX719" s="95"/>
      <c r="EY719" s="8"/>
      <c r="EZ719" s="96"/>
      <c r="FA719" s="91"/>
      <c r="FB719" s="97"/>
      <c r="FC719" s="8"/>
      <c r="FD719" s="91"/>
      <c r="FE719" s="98"/>
    </row>
    <row r="720" spans="37:161">
      <c r="AK720" s="89"/>
      <c r="AL720" s="8"/>
      <c r="AM720" s="8"/>
      <c r="AN720" s="8"/>
      <c r="AO720" s="8"/>
      <c r="AP720" s="8"/>
      <c r="AQ720" s="8"/>
      <c r="AR720" s="8"/>
      <c r="AZ720" s="45"/>
      <c r="BA720" s="89"/>
      <c r="BB720" s="89"/>
      <c r="BC720" s="89"/>
      <c r="BD720" s="89"/>
      <c r="BE720" s="89"/>
      <c r="BF720" s="89"/>
      <c r="BG720" s="89"/>
      <c r="BH720" s="89"/>
      <c r="BI720" s="89"/>
      <c r="BJ720" s="89"/>
      <c r="BK720" s="91"/>
      <c r="BL720" s="66"/>
      <c r="BM720" s="94"/>
      <c r="BN720" s="94"/>
      <c r="BO720" s="92"/>
      <c r="BP720" s="93"/>
      <c r="BQ720" s="23"/>
      <c r="BR720" s="94"/>
      <c r="BS720" s="94"/>
      <c r="BT720" s="94"/>
      <c r="BU720" s="94"/>
      <c r="BV720" s="95"/>
      <c r="BW720" s="91"/>
      <c r="BX720" s="95"/>
      <c r="BY720" s="8"/>
      <c r="BZ720" s="96"/>
      <c r="CA720" s="91"/>
      <c r="CB720" s="97"/>
      <c r="CC720" s="8"/>
      <c r="CD720" s="91"/>
      <c r="CE720" s="98"/>
      <c r="DK720" s="89"/>
      <c r="DL720" s="8"/>
      <c r="DM720" s="8"/>
      <c r="DN720" s="8"/>
      <c r="DO720" s="8"/>
      <c r="DP720" s="8"/>
      <c r="DQ720" s="8"/>
      <c r="DR720" s="8"/>
      <c r="DZ720" s="45"/>
      <c r="EA720" s="89"/>
      <c r="EB720" s="89"/>
      <c r="EC720" s="89"/>
      <c r="ED720" s="89"/>
      <c r="EE720" s="89"/>
      <c r="EF720" s="89"/>
      <c r="EG720" s="89"/>
      <c r="EH720" s="89"/>
      <c r="EI720" s="89"/>
      <c r="EJ720" s="89"/>
      <c r="EK720" s="91"/>
      <c r="EL720" s="66"/>
      <c r="EM720" s="94"/>
      <c r="EN720" s="94"/>
      <c r="EO720" s="92"/>
      <c r="EP720" s="93"/>
      <c r="EQ720" s="23"/>
      <c r="ER720" s="94"/>
      <c r="ES720" s="94"/>
      <c r="ET720" s="94"/>
      <c r="EU720" s="94"/>
      <c r="EV720" s="95"/>
      <c r="EW720" s="91"/>
      <c r="EX720" s="95"/>
      <c r="EY720" s="8"/>
      <c r="EZ720" s="96"/>
      <c r="FA720" s="91"/>
      <c r="FB720" s="97"/>
      <c r="FC720" s="8"/>
      <c r="FD720" s="91"/>
      <c r="FE720" s="98"/>
    </row>
    <row r="721" spans="37:161">
      <c r="AK721" s="89"/>
      <c r="AL721" s="8"/>
      <c r="AM721" s="8"/>
      <c r="AN721" s="8"/>
      <c r="AO721" s="8"/>
      <c r="AP721" s="8"/>
      <c r="AQ721" s="8"/>
      <c r="AR721" s="8"/>
      <c r="AZ721" s="45"/>
      <c r="BA721" s="89"/>
      <c r="BB721" s="89"/>
      <c r="BC721" s="89"/>
      <c r="BD721" s="89"/>
      <c r="BE721" s="89"/>
      <c r="BF721" s="89"/>
      <c r="BG721" s="89"/>
      <c r="BH721" s="89"/>
      <c r="BI721" s="89"/>
      <c r="BJ721" s="89"/>
      <c r="BK721" s="91"/>
      <c r="BL721" s="66"/>
      <c r="BM721" s="94"/>
      <c r="BN721" s="94"/>
      <c r="BO721" s="92"/>
      <c r="BP721" s="93"/>
      <c r="BQ721" s="23"/>
      <c r="BR721" s="94"/>
      <c r="BS721" s="94"/>
      <c r="BT721" s="94"/>
      <c r="BU721" s="94"/>
      <c r="BV721" s="95"/>
      <c r="BW721" s="91"/>
      <c r="BX721" s="95"/>
      <c r="BY721" s="8"/>
      <c r="BZ721" s="96"/>
      <c r="CA721" s="91"/>
      <c r="CB721" s="97"/>
      <c r="CC721" s="8"/>
      <c r="CD721" s="91"/>
      <c r="CE721" s="98"/>
      <c r="DK721" s="89"/>
      <c r="DL721" s="8"/>
      <c r="DM721" s="8"/>
      <c r="DN721" s="8"/>
      <c r="DO721" s="8"/>
      <c r="DP721" s="8"/>
      <c r="DQ721" s="8"/>
      <c r="DR721" s="8"/>
      <c r="DZ721" s="45"/>
      <c r="EA721" s="89"/>
      <c r="EB721" s="89"/>
      <c r="EC721" s="89"/>
      <c r="ED721" s="89"/>
      <c r="EE721" s="89"/>
      <c r="EF721" s="89"/>
      <c r="EG721" s="89"/>
      <c r="EH721" s="89"/>
      <c r="EI721" s="89"/>
      <c r="EJ721" s="89"/>
      <c r="EK721" s="91"/>
      <c r="EL721" s="66"/>
      <c r="EM721" s="94"/>
      <c r="EN721" s="94"/>
      <c r="EO721" s="92"/>
      <c r="EP721" s="93"/>
      <c r="EQ721" s="23"/>
      <c r="ER721" s="94"/>
      <c r="ES721" s="94"/>
      <c r="ET721" s="94"/>
      <c r="EU721" s="94"/>
      <c r="EV721" s="95"/>
      <c r="EW721" s="91"/>
      <c r="EX721" s="95"/>
      <c r="EY721" s="8"/>
      <c r="EZ721" s="96"/>
      <c r="FA721" s="91"/>
      <c r="FB721" s="97"/>
      <c r="FC721" s="8"/>
      <c r="FD721" s="91"/>
      <c r="FE721" s="98"/>
    </row>
    <row r="722" spans="37:161">
      <c r="AK722" s="89"/>
      <c r="AL722" s="8"/>
      <c r="AM722" s="8"/>
      <c r="AN722" s="8"/>
      <c r="AO722" s="8"/>
      <c r="AP722" s="8"/>
      <c r="AQ722" s="8"/>
      <c r="AR722" s="8"/>
      <c r="AZ722" s="45"/>
      <c r="BA722" s="89"/>
      <c r="BB722" s="89"/>
      <c r="BC722" s="89"/>
      <c r="BD722" s="89"/>
      <c r="BE722" s="89"/>
      <c r="BF722" s="89"/>
      <c r="BG722" s="89"/>
      <c r="BH722" s="89"/>
      <c r="BI722" s="89"/>
      <c r="BJ722" s="89"/>
      <c r="BK722" s="91"/>
      <c r="BL722" s="66"/>
      <c r="BM722" s="94"/>
      <c r="BN722" s="94"/>
      <c r="BO722" s="92"/>
      <c r="BP722" s="93"/>
      <c r="BQ722" s="23"/>
      <c r="BR722" s="94"/>
      <c r="BS722" s="94"/>
      <c r="BT722" s="94"/>
      <c r="BU722" s="94"/>
      <c r="BV722" s="95"/>
      <c r="BW722" s="91"/>
      <c r="BX722" s="95"/>
      <c r="BY722" s="8"/>
      <c r="BZ722" s="96"/>
      <c r="CA722" s="91"/>
      <c r="CB722" s="97"/>
      <c r="CC722" s="8"/>
      <c r="CD722" s="91"/>
      <c r="CE722" s="98"/>
      <c r="DK722" s="89"/>
      <c r="DL722" s="8"/>
      <c r="DM722" s="8"/>
      <c r="DN722" s="8"/>
      <c r="DO722" s="8"/>
      <c r="DP722" s="8"/>
      <c r="DQ722" s="8"/>
      <c r="DR722" s="8"/>
      <c r="DZ722" s="45"/>
      <c r="EA722" s="89"/>
      <c r="EB722" s="89"/>
      <c r="EC722" s="89"/>
      <c r="ED722" s="89"/>
      <c r="EE722" s="89"/>
      <c r="EF722" s="89"/>
      <c r="EG722" s="89"/>
      <c r="EH722" s="89"/>
      <c r="EI722" s="89"/>
      <c r="EJ722" s="89"/>
      <c r="EK722" s="91"/>
      <c r="EL722" s="66"/>
      <c r="EM722" s="94"/>
      <c r="EN722" s="94"/>
      <c r="EO722" s="92"/>
      <c r="EP722" s="93"/>
      <c r="EQ722" s="23"/>
      <c r="ER722" s="94"/>
      <c r="ES722" s="94"/>
      <c r="ET722" s="94"/>
      <c r="EU722" s="94"/>
      <c r="EV722" s="95"/>
      <c r="EW722" s="91"/>
      <c r="EX722" s="95"/>
      <c r="EY722" s="8"/>
      <c r="EZ722" s="96"/>
      <c r="FA722" s="91"/>
      <c r="FB722" s="97"/>
      <c r="FC722" s="8"/>
      <c r="FD722" s="91"/>
      <c r="FE722" s="98"/>
    </row>
    <row r="723" spans="37:161">
      <c r="AK723" s="89"/>
      <c r="AL723" s="8"/>
      <c r="AM723" s="8"/>
      <c r="AN723" s="8"/>
      <c r="AO723" s="8"/>
      <c r="AP723" s="8"/>
      <c r="AQ723" s="8"/>
      <c r="AR723" s="8"/>
      <c r="AZ723" s="45"/>
      <c r="BA723" s="89"/>
      <c r="BB723" s="89"/>
      <c r="BC723" s="89"/>
      <c r="BD723" s="89"/>
      <c r="BE723" s="89"/>
      <c r="BF723" s="89"/>
      <c r="BG723" s="89"/>
      <c r="BH723" s="89"/>
      <c r="BI723" s="89"/>
      <c r="BJ723" s="89"/>
      <c r="BK723" s="91"/>
      <c r="BL723" s="66"/>
      <c r="BM723" s="94"/>
      <c r="BN723" s="94"/>
      <c r="BO723" s="92"/>
      <c r="BP723" s="93"/>
      <c r="BQ723" s="23"/>
      <c r="BR723" s="94"/>
      <c r="BS723" s="94"/>
      <c r="BT723" s="94"/>
      <c r="BU723" s="94"/>
      <c r="BV723" s="95"/>
      <c r="BW723" s="91"/>
      <c r="BX723" s="95"/>
      <c r="BY723" s="8"/>
      <c r="BZ723" s="96"/>
      <c r="CA723" s="91"/>
      <c r="CB723" s="97"/>
      <c r="CC723" s="8"/>
      <c r="CD723" s="91"/>
      <c r="CE723" s="98"/>
      <c r="DK723" s="89"/>
      <c r="DL723" s="8"/>
      <c r="DM723" s="8"/>
      <c r="DN723" s="8"/>
      <c r="DO723" s="8"/>
      <c r="DP723" s="8"/>
      <c r="DQ723" s="8"/>
      <c r="DR723" s="8"/>
      <c r="DZ723" s="45"/>
      <c r="EA723" s="89"/>
      <c r="EB723" s="89"/>
      <c r="EC723" s="89"/>
      <c r="ED723" s="89"/>
      <c r="EE723" s="89"/>
      <c r="EF723" s="89"/>
      <c r="EG723" s="89"/>
      <c r="EH723" s="89"/>
      <c r="EI723" s="89"/>
      <c r="EJ723" s="89"/>
      <c r="EK723" s="91"/>
      <c r="EL723" s="66"/>
      <c r="EM723" s="94"/>
      <c r="EN723" s="94"/>
      <c r="EO723" s="92"/>
      <c r="EP723" s="93"/>
      <c r="EQ723" s="23"/>
      <c r="ER723" s="94"/>
      <c r="ES723" s="94"/>
      <c r="ET723" s="94"/>
      <c r="EU723" s="94"/>
      <c r="EV723" s="95"/>
      <c r="EW723" s="91"/>
      <c r="EX723" s="95"/>
      <c r="EY723" s="8"/>
      <c r="EZ723" s="96"/>
      <c r="FA723" s="91"/>
      <c r="FB723" s="97"/>
      <c r="FC723" s="8"/>
      <c r="FD723" s="91"/>
      <c r="FE723" s="98"/>
    </row>
    <row r="724" spans="37:161">
      <c r="AK724" s="89"/>
      <c r="AL724" s="8"/>
      <c r="AM724" s="8"/>
      <c r="AN724" s="8"/>
      <c r="AO724" s="8"/>
      <c r="AP724" s="8"/>
      <c r="AQ724" s="8"/>
      <c r="AR724" s="8"/>
      <c r="AZ724" s="45"/>
      <c r="BA724" s="89"/>
      <c r="BB724" s="89"/>
      <c r="BC724" s="89"/>
      <c r="BD724" s="89"/>
      <c r="BE724" s="89"/>
      <c r="BF724" s="89"/>
      <c r="BG724" s="89"/>
      <c r="BH724" s="89"/>
      <c r="BI724" s="89"/>
      <c r="BJ724" s="89"/>
      <c r="BK724" s="91"/>
      <c r="BL724" s="66"/>
      <c r="BM724" s="94"/>
      <c r="BN724" s="94"/>
      <c r="BO724" s="92"/>
      <c r="BP724" s="93"/>
      <c r="BQ724" s="23"/>
      <c r="BR724" s="94"/>
      <c r="BS724" s="94"/>
      <c r="BT724" s="94"/>
      <c r="BU724" s="94"/>
      <c r="BV724" s="95"/>
      <c r="BW724" s="91"/>
      <c r="BX724" s="95"/>
      <c r="BY724" s="8"/>
      <c r="BZ724" s="96"/>
      <c r="CA724" s="91"/>
      <c r="CB724" s="97"/>
      <c r="CC724" s="8"/>
      <c r="CD724" s="91"/>
      <c r="CE724" s="98"/>
      <c r="DK724" s="89"/>
      <c r="DL724" s="8"/>
      <c r="DM724" s="8"/>
      <c r="DN724" s="8"/>
      <c r="DO724" s="8"/>
      <c r="DP724" s="8"/>
      <c r="DQ724" s="8"/>
      <c r="DR724" s="8"/>
      <c r="DZ724" s="45"/>
      <c r="EA724" s="89"/>
      <c r="EB724" s="89"/>
      <c r="EC724" s="89"/>
      <c r="ED724" s="89"/>
      <c r="EE724" s="89"/>
      <c r="EF724" s="89"/>
      <c r="EG724" s="89"/>
      <c r="EH724" s="89"/>
      <c r="EI724" s="89"/>
      <c r="EJ724" s="89"/>
      <c r="EK724" s="91"/>
      <c r="EL724" s="66"/>
      <c r="EM724" s="94"/>
      <c r="EN724" s="94"/>
      <c r="EO724" s="92"/>
      <c r="EP724" s="93"/>
      <c r="EQ724" s="23"/>
      <c r="ER724" s="94"/>
      <c r="ES724" s="94"/>
      <c r="ET724" s="94"/>
      <c r="EU724" s="94"/>
      <c r="EV724" s="95"/>
      <c r="EW724" s="91"/>
      <c r="EX724" s="95"/>
      <c r="EY724" s="8"/>
      <c r="EZ724" s="96"/>
      <c r="FA724" s="91"/>
      <c r="FB724" s="97"/>
      <c r="FC724" s="8"/>
      <c r="FD724" s="91"/>
      <c r="FE724" s="98"/>
    </row>
    <row r="725" spans="37:161">
      <c r="AK725" s="89"/>
      <c r="AL725" s="8"/>
      <c r="AM725" s="8"/>
      <c r="AN725" s="8"/>
      <c r="AO725" s="8"/>
      <c r="AP725" s="8"/>
      <c r="AQ725" s="8"/>
      <c r="AR725" s="8"/>
      <c r="AZ725" s="45"/>
      <c r="BA725" s="89"/>
      <c r="BB725" s="89"/>
      <c r="BC725" s="89"/>
      <c r="BD725" s="89"/>
      <c r="BE725" s="89"/>
      <c r="BF725" s="89"/>
      <c r="BG725" s="89"/>
      <c r="BH725" s="89"/>
      <c r="BI725" s="89"/>
      <c r="BJ725" s="89"/>
      <c r="BK725" s="91"/>
      <c r="BL725" s="66"/>
      <c r="BM725" s="94"/>
      <c r="BN725" s="94"/>
      <c r="BO725" s="92"/>
      <c r="BP725" s="93"/>
      <c r="BQ725" s="23"/>
      <c r="BR725" s="94"/>
      <c r="BS725" s="94"/>
      <c r="BT725" s="94"/>
      <c r="BU725" s="94"/>
      <c r="BV725" s="95"/>
      <c r="BW725" s="91"/>
      <c r="BX725" s="95"/>
      <c r="BY725" s="8"/>
      <c r="BZ725" s="96"/>
      <c r="CA725" s="91"/>
      <c r="CB725" s="97"/>
      <c r="CC725" s="8"/>
      <c r="CD725" s="91"/>
      <c r="CE725" s="98"/>
      <c r="DK725" s="89"/>
      <c r="DL725" s="8"/>
      <c r="DM725" s="8"/>
      <c r="DN725" s="8"/>
      <c r="DO725" s="8"/>
      <c r="DP725" s="8"/>
      <c r="DQ725" s="8"/>
      <c r="DR725" s="8"/>
      <c r="DZ725" s="45"/>
      <c r="EA725" s="89"/>
      <c r="EB725" s="89"/>
      <c r="EC725" s="89"/>
      <c r="ED725" s="89"/>
      <c r="EE725" s="89"/>
      <c r="EF725" s="89"/>
      <c r="EG725" s="89"/>
      <c r="EH725" s="89"/>
      <c r="EI725" s="89"/>
      <c r="EJ725" s="89"/>
      <c r="EK725" s="91"/>
      <c r="EL725" s="66"/>
      <c r="EM725" s="94"/>
      <c r="EN725" s="94"/>
      <c r="EO725" s="92"/>
      <c r="EP725" s="93"/>
      <c r="EQ725" s="23"/>
      <c r="ER725" s="94"/>
      <c r="ES725" s="94"/>
      <c r="ET725" s="94"/>
      <c r="EU725" s="94"/>
      <c r="EV725" s="95"/>
      <c r="EW725" s="91"/>
      <c r="EX725" s="95"/>
      <c r="EY725" s="8"/>
      <c r="EZ725" s="96"/>
      <c r="FA725" s="91"/>
      <c r="FB725" s="97"/>
      <c r="FC725" s="8"/>
      <c r="FD725" s="91"/>
      <c r="FE725" s="98"/>
    </row>
    <row r="726" spans="37:161">
      <c r="AK726" s="89"/>
      <c r="AL726" s="8"/>
      <c r="AM726" s="8"/>
      <c r="AN726" s="8"/>
      <c r="AO726" s="8"/>
      <c r="AP726" s="8"/>
      <c r="AQ726" s="8"/>
      <c r="AR726" s="8"/>
      <c r="AZ726" s="45"/>
      <c r="BA726" s="89"/>
      <c r="BB726" s="89"/>
      <c r="BC726" s="89"/>
      <c r="BD726" s="89"/>
      <c r="BE726" s="89"/>
      <c r="BF726" s="89"/>
      <c r="BG726" s="89"/>
      <c r="BH726" s="89"/>
      <c r="BI726" s="89"/>
      <c r="BJ726" s="89"/>
      <c r="BK726" s="91"/>
      <c r="BL726" s="66"/>
      <c r="BM726" s="94"/>
      <c r="BN726" s="94"/>
      <c r="BO726" s="92"/>
      <c r="BP726" s="93"/>
      <c r="BQ726" s="23"/>
      <c r="BR726" s="94"/>
      <c r="BS726" s="94"/>
      <c r="BT726" s="94"/>
      <c r="BU726" s="94"/>
      <c r="BV726" s="95"/>
      <c r="BW726" s="91"/>
      <c r="BX726" s="95"/>
      <c r="BY726" s="8"/>
      <c r="BZ726" s="96"/>
      <c r="CA726" s="91"/>
      <c r="CB726" s="97"/>
      <c r="CC726" s="8"/>
      <c r="CD726" s="91"/>
      <c r="CE726" s="98"/>
      <c r="DK726" s="89"/>
      <c r="DL726" s="8"/>
      <c r="DM726" s="8"/>
      <c r="DN726" s="8"/>
      <c r="DO726" s="8"/>
      <c r="DP726" s="8"/>
      <c r="DQ726" s="8"/>
      <c r="DR726" s="8"/>
      <c r="DZ726" s="45"/>
      <c r="EA726" s="89"/>
      <c r="EB726" s="89"/>
      <c r="EC726" s="89"/>
      <c r="ED726" s="89"/>
      <c r="EE726" s="89"/>
      <c r="EF726" s="89"/>
      <c r="EG726" s="89"/>
      <c r="EH726" s="89"/>
      <c r="EI726" s="89"/>
      <c r="EJ726" s="89"/>
      <c r="EK726" s="91"/>
      <c r="EL726" s="66"/>
      <c r="EM726" s="94"/>
      <c r="EN726" s="94"/>
      <c r="EO726" s="92"/>
      <c r="EP726" s="93"/>
      <c r="EQ726" s="23"/>
      <c r="ER726" s="94"/>
      <c r="ES726" s="94"/>
      <c r="ET726" s="94"/>
      <c r="EU726" s="94"/>
      <c r="EV726" s="95"/>
      <c r="EW726" s="91"/>
      <c r="EX726" s="95"/>
      <c r="EY726" s="8"/>
      <c r="EZ726" s="96"/>
      <c r="FA726" s="91"/>
      <c r="FB726" s="97"/>
      <c r="FC726" s="8"/>
      <c r="FD726" s="91"/>
      <c r="FE726" s="98"/>
    </row>
    <row r="727" spans="37:161">
      <c r="AK727" s="89"/>
      <c r="AL727" s="8"/>
      <c r="AM727" s="8"/>
      <c r="AN727" s="8"/>
      <c r="AO727" s="8"/>
      <c r="AP727" s="8"/>
      <c r="AQ727" s="8"/>
      <c r="AR727" s="8"/>
      <c r="AZ727" s="45"/>
      <c r="BA727" s="89"/>
      <c r="BB727" s="89"/>
      <c r="BC727" s="89"/>
      <c r="BD727" s="89"/>
      <c r="BE727" s="89"/>
      <c r="BF727" s="89"/>
      <c r="BG727" s="89"/>
      <c r="BH727" s="89"/>
      <c r="BI727" s="89"/>
      <c r="BJ727" s="89"/>
      <c r="BK727" s="91"/>
      <c r="BL727" s="66"/>
      <c r="BM727" s="94"/>
      <c r="BN727" s="94"/>
      <c r="BO727" s="92"/>
      <c r="BP727" s="93"/>
      <c r="BQ727" s="23"/>
      <c r="BR727" s="94"/>
      <c r="BS727" s="94"/>
      <c r="BT727" s="94"/>
      <c r="BU727" s="94"/>
      <c r="BV727" s="95"/>
      <c r="BW727" s="91"/>
      <c r="BX727" s="95"/>
      <c r="BY727" s="8"/>
      <c r="BZ727" s="96"/>
      <c r="CA727" s="91"/>
      <c r="CB727" s="97"/>
      <c r="CC727" s="8"/>
      <c r="CD727" s="91"/>
      <c r="CE727" s="98"/>
      <c r="DK727" s="89"/>
      <c r="DL727" s="8"/>
      <c r="DM727" s="8"/>
      <c r="DN727" s="8"/>
      <c r="DO727" s="8"/>
      <c r="DP727" s="8"/>
      <c r="DQ727" s="8"/>
      <c r="DR727" s="8"/>
      <c r="DZ727" s="45"/>
      <c r="EA727" s="89"/>
      <c r="EB727" s="89"/>
      <c r="EC727" s="89"/>
      <c r="ED727" s="89"/>
      <c r="EE727" s="89"/>
      <c r="EF727" s="89"/>
      <c r="EG727" s="89"/>
      <c r="EH727" s="89"/>
      <c r="EI727" s="89"/>
      <c r="EJ727" s="89"/>
      <c r="EK727" s="91"/>
      <c r="EL727" s="66"/>
      <c r="EM727" s="94"/>
      <c r="EN727" s="94"/>
      <c r="EO727" s="92"/>
      <c r="EP727" s="93"/>
      <c r="EQ727" s="23"/>
      <c r="ER727" s="94"/>
      <c r="ES727" s="94"/>
      <c r="ET727" s="94"/>
      <c r="EU727" s="94"/>
      <c r="EV727" s="95"/>
      <c r="EW727" s="91"/>
      <c r="EX727" s="95"/>
      <c r="EY727" s="8"/>
      <c r="EZ727" s="96"/>
      <c r="FA727" s="91"/>
      <c r="FB727" s="97"/>
      <c r="FC727" s="8"/>
      <c r="FD727" s="91"/>
      <c r="FE727" s="98"/>
    </row>
    <row r="728" spans="37:161">
      <c r="AK728" s="89"/>
      <c r="AL728" s="8"/>
      <c r="AM728" s="8"/>
      <c r="AN728" s="8"/>
      <c r="AO728" s="8"/>
      <c r="AP728" s="8"/>
      <c r="AQ728" s="8"/>
      <c r="AR728" s="8"/>
      <c r="AZ728" s="45"/>
      <c r="BA728" s="89"/>
      <c r="BB728" s="89"/>
      <c r="BC728" s="89"/>
      <c r="BD728" s="89"/>
      <c r="BE728" s="89"/>
      <c r="BF728" s="89"/>
      <c r="BG728" s="89"/>
      <c r="BH728" s="89"/>
      <c r="BI728" s="89"/>
      <c r="BJ728" s="89"/>
      <c r="BK728" s="91"/>
      <c r="BL728" s="66"/>
      <c r="BM728" s="94"/>
      <c r="BN728" s="94"/>
      <c r="BO728" s="92"/>
      <c r="BP728" s="93"/>
      <c r="BQ728" s="23"/>
      <c r="BR728" s="94"/>
      <c r="BS728" s="94"/>
      <c r="BT728" s="94"/>
      <c r="BU728" s="94"/>
      <c r="BV728" s="95"/>
      <c r="BW728" s="91"/>
      <c r="BX728" s="95"/>
      <c r="BY728" s="8"/>
      <c r="BZ728" s="96"/>
      <c r="CA728" s="91"/>
      <c r="CB728" s="97"/>
      <c r="CC728" s="8"/>
      <c r="CD728" s="91"/>
      <c r="CE728" s="98"/>
      <c r="DK728" s="89"/>
      <c r="DL728" s="8"/>
      <c r="DM728" s="8"/>
      <c r="DN728" s="8"/>
      <c r="DO728" s="8"/>
      <c r="DP728" s="8"/>
      <c r="DQ728" s="8"/>
      <c r="DR728" s="8"/>
      <c r="DZ728" s="45"/>
      <c r="EA728" s="89"/>
      <c r="EB728" s="89"/>
      <c r="EC728" s="89"/>
      <c r="ED728" s="89"/>
      <c r="EE728" s="89"/>
      <c r="EF728" s="89"/>
      <c r="EG728" s="89"/>
      <c r="EH728" s="89"/>
      <c r="EI728" s="89"/>
      <c r="EJ728" s="89"/>
      <c r="EK728" s="91"/>
      <c r="EL728" s="66"/>
      <c r="EM728" s="94"/>
      <c r="EN728" s="94"/>
      <c r="EO728" s="92"/>
      <c r="EP728" s="93"/>
      <c r="EQ728" s="23"/>
      <c r="ER728" s="94"/>
      <c r="ES728" s="94"/>
      <c r="ET728" s="94"/>
      <c r="EU728" s="94"/>
      <c r="EV728" s="95"/>
      <c r="EW728" s="91"/>
      <c r="EX728" s="95"/>
      <c r="EY728" s="8"/>
      <c r="EZ728" s="96"/>
      <c r="FA728" s="91"/>
      <c r="FB728" s="97"/>
      <c r="FC728" s="8"/>
      <c r="FD728" s="91"/>
      <c r="FE728" s="98"/>
    </row>
    <row r="729" spans="37:161">
      <c r="AK729" s="89"/>
      <c r="AL729" s="8"/>
      <c r="AM729" s="8"/>
      <c r="AN729" s="8"/>
      <c r="AO729" s="8"/>
      <c r="AP729" s="8"/>
      <c r="AQ729" s="8"/>
      <c r="AR729" s="8"/>
      <c r="AZ729" s="45"/>
      <c r="BA729" s="89"/>
      <c r="BB729" s="89"/>
      <c r="BC729" s="89"/>
      <c r="BD729" s="89"/>
      <c r="BE729" s="89"/>
      <c r="BF729" s="89"/>
      <c r="BG729" s="89"/>
      <c r="BH729" s="89"/>
      <c r="BI729" s="89"/>
      <c r="BJ729" s="89"/>
      <c r="BK729" s="91"/>
      <c r="BL729" s="66"/>
      <c r="BM729" s="94"/>
      <c r="BN729" s="94"/>
      <c r="BO729" s="92"/>
      <c r="BP729" s="93"/>
      <c r="BQ729" s="23"/>
      <c r="BR729" s="94"/>
      <c r="BS729" s="94"/>
      <c r="BT729" s="94"/>
      <c r="BU729" s="94"/>
      <c r="BV729" s="95"/>
      <c r="BW729" s="91"/>
      <c r="BX729" s="95"/>
      <c r="BY729" s="8"/>
      <c r="BZ729" s="96"/>
      <c r="CA729" s="91"/>
      <c r="CB729" s="97"/>
      <c r="CC729" s="8"/>
      <c r="CD729" s="91"/>
      <c r="CE729" s="98"/>
      <c r="DK729" s="89"/>
      <c r="DL729" s="8"/>
      <c r="DM729" s="8"/>
      <c r="DN729" s="8"/>
      <c r="DO729" s="8"/>
      <c r="DP729" s="8"/>
      <c r="DQ729" s="8"/>
      <c r="DR729" s="8"/>
      <c r="DZ729" s="45"/>
      <c r="EA729" s="89"/>
      <c r="EB729" s="89"/>
      <c r="EC729" s="89"/>
      <c r="ED729" s="89"/>
      <c r="EE729" s="89"/>
      <c r="EF729" s="89"/>
      <c r="EG729" s="89"/>
      <c r="EH729" s="89"/>
      <c r="EI729" s="89"/>
      <c r="EJ729" s="89"/>
      <c r="EK729" s="91"/>
      <c r="EL729" s="66"/>
      <c r="EM729" s="94"/>
      <c r="EN729" s="94"/>
      <c r="EO729" s="92"/>
      <c r="EP729" s="93"/>
      <c r="EQ729" s="23"/>
      <c r="ER729" s="94"/>
      <c r="ES729" s="94"/>
      <c r="ET729" s="94"/>
      <c r="EU729" s="94"/>
      <c r="EV729" s="95"/>
      <c r="EW729" s="91"/>
      <c r="EX729" s="95"/>
      <c r="EY729" s="8"/>
      <c r="EZ729" s="96"/>
      <c r="FA729" s="91"/>
      <c r="FB729" s="97"/>
      <c r="FC729" s="8"/>
      <c r="FD729" s="91"/>
      <c r="FE729" s="98"/>
    </row>
    <row r="730" spans="37:161">
      <c r="AK730" s="89"/>
      <c r="AL730" s="8"/>
      <c r="AM730" s="8"/>
      <c r="AN730" s="8"/>
      <c r="AO730" s="8"/>
      <c r="AP730" s="8"/>
      <c r="AQ730" s="8"/>
      <c r="AR730" s="8"/>
      <c r="AZ730" s="45"/>
      <c r="BA730" s="89"/>
      <c r="BB730" s="89"/>
      <c r="BC730" s="89"/>
      <c r="BD730" s="89"/>
      <c r="BE730" s="89"/>
      <c r="BF730" s="89"/>
      <c r="BG730" s="89"/>
      <c r="BH730" s="89"/>
      <c r="BI730" s="89"/>
      <c r="BJ730" s="89"/>
      <c r="BK730" s="91"/>
      <c r="BL730" s="66"/>
      <c r="BM730" s="94"/>
      <c r="BN730" s="94"/>
      <c r="BO730" s="92"/>
      <c r="BP730" s="93"/>
      <c r="BQ730" s="23"/>
      <c r="BR730" s="94"/>
      <c r="BS730" s="94"/>
      <c r="BT730" s="94"/>
      <c r="BU730" s="94"/>
      <c r="BV730" s="95"/>
      <c r="BW730" s="91"/>
      <c r="BX730" s="95"/>
      <c r="BY730" s="8"/>
      <c r="BZ730" s="96"/>
      <c r="CA730" s="91"/>
      <c r="CB730" s="97"/>
      <c r="CC730" s="8"/>
      <c r="CD730" s="91"/>
      <c r="CE730" s="98"/>
      <c r="DK730" s="89"/>
      <c r="DL730" s="8"/>
      <c r="DM730" s="8"/>
      <c r="DN730" s="8"/>
      <c r="DO730" s="8"/>
      <c r="DP730" s="8"/>
      <c r="DQ730" s="8"/>
      <c r="DR730" s="8"/>
      <c r="DZ730" s="45"/>
      <c r="EA730" s="89"/>
      <c r="EB730" s="89"/>
      <c r="EC730" s="89"/>
      <c r="ED730" s="89"/>
      <c r="EE730" s="89"/>
      <c r="EF730" s="89"/>
      <c r="EG730" s="89"/>
      <c r="EH730" s="89"/>
      <c r="EI730" s="89"/>
      <c r="EJ730" s="89"/>
      <c r="EK730" s="91"/>
      <c r="EL730" s="66"/>
      <c r="EM730" s="94"/>
      <c r="EN730" s="94"/>
      <c r="EO730" s="92"/>
      <c r="EP730" s="93"/>
      <c r="EQ730" s="23"/>
      <c r="ER730" s="94"/>
      <c r="ES730" s="94"/>
      <c r="ET730" s="94"/>
      <c r="EU730" s="94"/>
      <c r="EV730" s="95"/>
      <c r="EW730" s="91"/>
      <c r="EX730" s="95"/>
      <c r="EY730" s="8"/>
      <c r="EZ730" s="96"/>
      <c r="FA730" s="91"/>
      <c r="FB730" s="97"/>
      <c r="FC730" s="8"/>
      <c r="FD730" s="91"/>
      <c r="FE730" s="98"/>
    </row>
    <row r="731" spans="37:161">
      <c r="AK731" s="89"/>
      <c r="AL731" s="8"/>
      <c r="AM731" s="8"/>
      <c r="AN731" s="8"/>
      <c r="AO731" s="8"/>
      <c r="AP731" s="8"/>
      <c r="AQ731" s="8"/>
      <c r="AR731" s="8"/>
      <c r="AZ731" s="45"/>
      <c r="BA731" s="89"/>
      <c r="BB731" s="89"/>
      <c r="BC731" s="89"/>
      <c r="BD731" s="89"/>
      <c r="BE731" s="89"/>
      <c r="BF731" s="89"/>
      <c r="BG731" s="89"/>
      <c r="BH731" s="89"/>
      <c r="BI731" s="89"/>
      <c r="BJ731" s="89"/>
      <c r="BK731" s="91"/>
      <c r="BL731" s="66"/>
      <c r="BM731" s="94"/>
      <c r="BN731" s="94"/>
      <c r="BO731" s="92"/>
      <c r="BP731" s="93"/>
      <c r="BQ731" s="23"/>
      <c r="BR731" s="94"/>
      <c r="BS731" s="94"/>
      <c r="BT731" s="94"/>
      <c r="BU731" s="94"/>
      <c r="BV731" s="95"/>
      <c r="BW731" s="91"/>
      <c r="BX731" s="95"/>
      <c r="BY731" s="8"/>
      <c r="BZ731" s="96"/>
      <c r="CA731" s="91"/>
      <c r="CB731" s="97"/>
      <c r="CC731" s="8"/>
      <c r="CD731" s="91"/>
      <c r="CE731" s="98"/>
      <c r="DK731" s="89"/>
      <c r="DL731" s="8"/>
      <c r="DM731" s="8"/>
      <c r="DN731" s="8"/>
      <c r="DO731" s="8"/>
      <c r="DP731" s="8"/>
      <c r="DQ731" s="8"/>
      <c r="DR731" s="8"/>
      <c r="DZ731" s="45"/>
      <c r="EA731" s="89"/>
      <c r="EB731" s="89"/>
      <c r="EC731" s="89"/>
      <c r="ED731" s="89"/>
      <c r="EE731" s="89"/>
      <c r="EF731" s="89"/>
      <c r="EG731" s="89"/>
      <c r="EH731" s="89"/>
      <c r="EI731" s="89"/>
      <c r="EJ731" s="89"/>
      <c r="EK731" s="91"/>
      <c r="EL731" s="66"/>
      <c r="EM731" s="94"/>
      <c r="EN731" s="94"/>
      <c r="EO731" s="92"/>
      <c r="EP731" s="93"/>
      <c r="EQ731" s="23"/>
      <c r="ER731" s="94"/>
      <c r="ES731" s="94"/>
      <c r="ET731" s="94"/>
      <c r="EU731" s="94"/>
      <c r="EV731" s="95"/>
      <c r="EW731" s="91"/>
      <c r="EX731" s="95"/>
      <c r="EY731" s="8"/>
      <c r="EZ731" s="96"/>
      <c r="FA731" s="91"/>
      <c r="FB731" s="97"/>
      <c r="FC731" s="8"/>
      <c r="FD731" s="91"/>
      <c r="FE731" s="98"/>
    </row>
    <row r="732" spans="37:161">
      <c r="AK732" s="89"/>
      <c r="AL732" s="8"/>
      <c r="AM732" s="8"/>
      <c r="AN732" s="8"/>
      <c r="AO732" s="8"/>
      <c r="AP732" s="8"/>
      <c r="AQ732" s="8"/>
      <c r="AR732" s="8"/>
      <c r="AZ732" s="45"/>
      <c r="BA732" s="89"/>
      <c r="BB732" s="89"/>
      <c r="BC732" s="89"/>
      <c r="BD732" s="89"/>
      <c r="BE732" s="89"/>
      <c r="BF732" s="89"/>
      <c r="BG732" s="89"/>
      <c r="BH732" s="89"/>
      <c r="BI732" s="89"/>
      <c r="BJ732" s="89"/>
      <c r="BK732" s="91"/>
      <c r="BL732" s="66"/>
      <c r="BM732" s="94"/>
      <c r="BN732" s="94"/>
      <c r="BO732" s="92"/>
      <c r="BP732" s="93"/>
      <c r="BQ732" s="23"/>
      <c r="BR732" s="94"/>
      <c r="BS732" s="94"/>
      <c r="BT732" s="94"/>
      <c r="BU732" s="94"/>
      <c r="BV732" s="95"/>
      <c r="BW732" s="91"/>
      <c r="BX732" s="95"/>
      <c r="BY732" s="8"/>
      <c r="BZ732" s="96"/>
      <c r="CA732" s="91"/>
      <c r="CB732" s="97"/>
      <c r="CC732" s="8"/>
      <c r="CD732" s="91"/>
      <c r="CE732" s="98"/>
      <c r="DK732" s="89"/>
      <c r="DL732" s="8"/>
      <c r="DM732" s="8"/>
      <c r="DN732" s="8"/>
      <c r="DO732" s="8"/>
      <c r="DP732" s="8"/>
      <c r="DQ732" s="8"/>
      <c r="DR732" s="8"/>
      <c r="DZ732" s="45"/>
      <c r="EA732" s="89"/>
      <c r="EB732" s="89"/>
      <c r="EC732" s="89"/>
      <c r="ED732" s="89"/>
      <c r="EE732" s="89"/>
      <c r="EF732" s="89"/>
      <c r="EG732" s="89"/>
      <c r="EH732" s="89"/>
      <c r="EI732" s="89"/>
      <c r="EJ732" s="89"/>
      <c r="EK732" s="91"/>
      <c r="EL732" s="66"/>
      <c r="EM732" s="94"/>
      <c r="EN732" s="94"/>
      <c r="EO732" s="92"/>
      <c r="EP732" s="93"/>
      <c r="EQ732" s="23"/>
      <c r="ER732" s="94"/>
      <c r="ES732" s="94"/>
      <c r="ET732" s="94"/>
      <c r="EU732" s="94"/>
      <c r="EV732" s="95"/>
      <c r="EW732" s="91"/>
      <c r="EX732" s="95"/>
      <c r="EY732" s="8"/>
      <c r="EZ732" s="96"/>
      <c r="FA732" s="91"/>
      <c r="FB732" s="97"/>
      <c r="FC732" s="8"/>
      <c r="FD732" s="91"/>
      <c r="FE732" s="98"/>
    </row>
    <row r="733" spans="37:161">
      <c r="AK733" s="89"/>
      <c r="AL733" s="8"/>
      <c r="AM733" s="8"/>
      <c r="AN733" s="8"/>
      <c r="AO733" s="8"/>
      <c r="AP733" s="8"/>
      <c r="AQ733" s="8"/>
      <c r="AR733" s="8"/>
      <c r="AZ733" s="45"/>
      <c r="BA733" s="89"/>
      <c r="BB733" s="89"/>
      <c r="BC733" s="89"/>
      <c r="BD733" s="89"/>
      <c r="BE733" s="89"/>
      <c r="BF733" s="89"/>
      <c r="BG733" s="89"/>
      <c r="BH733" s="89"/>
      <c r="BI733" s="89"/>
      <c r="BJ733" s="89"/>
      <c r="BK733" s="91"/>
      <c r="BL733" s="66"/>
      <c r="BM733" s="94"/>
      <c r="BN733" s="94"/>
      <c r="BO733" s="92"/>
      <c r="BP733" s="93"/>
      <c r="BQ733" s="23"/>
      <c r="BR733" s="94"/>
      <c r="BS733" s="94"/>
      <c r="BT733" s="94"/>
      <c r="BU733" s="94"/>
      <c r="BV733" s="95"/>
      <c r="BW733" s="91"/>
      <c r="BX733" s="95"/>
      <c r="BY733" s="8"/>
      <c r="BZ733" s="96"/>
      <c r="CA733" s="91"/>
      <c r="CB733" s="97"/>
      <c r="CC733" s="8"/>
      <c r="CD733" s="91"/>
      <c r="CE733" s="98"/>
      <c r="DK733" s="89"/>
      <c r="DL733" s="8"/>
      <c r="DM733" s="8"/>
      <c r="DN733" s="8"/>
      <c r="DO733" s="8"/>
      <c r="DP733" s="8"/>
      <c r="DQ733" s="8"/>
      <c r="DR733" s="8"/>
      <c r="DZ733" s="45"/>
      <c r="EA733" s="89"/>
      <c r="EB733" s="89"/>
      <c r="EC733" s="89"/>
      <c r="ED733" s="89"/>
      <c r="EE733" s="89"/>
      <c r="EF733" s="89"/>
      <c r="EG733" s="89"/>
      <c r="EH733" s="89"/>
      <c r="EI733" s="89"/>
      <c r="EJ733" s="89"/>
      <c r="EK733" s="91"/>
      <c r="EL733" s="66"/>
      <c r="EM733" s="94"/>
      <c r="EN733" s="94"/>
      <c r="EO733" s="92"/>
      <c r="EP733" s="93"/>
      <c r="EQ733" s="23"/>
      <c r="ER733" s="94"/>
      <c r="ES733" s="94"/>
      <c r="ET733" s="94"/>
      <c r="EU733" s="94"/>
      <c r="EV733" s="95"/>
      <c r="EW733" s="91"/>
      <c r="EX733" s="95"/>
      <c r="EY733" s="8"/>
      <c r="EZ733" s="96"/>
      <c r="FA733" s="91"/>
      <c r="FB733" s="97"/>
      <c r="FC733" s="8"/>
      <c r="FD733" s="91"/>
      <c r="FE733" s="98"/>
    </row>
    <row r="734" spans="37:161">
      <c r="AK734" s="89"/>
      <c r="AL734" s="8"/>
      <c r="AM734" s="8"/>
      <c r="AN734" s="8"/>
      <c r="AO734" s="8"/>
      <c r="AP734" s="8"/>
      <c r="AQ734" s="8"/>
      <c r="AR734" s="8"/>
      <c r="AZ734" s="45"/>
      <c r="BA734" s="89"/>
      <c r="BB734" s="89"/>
      <c r="BC734" s="89"/>
      <c r="BD734" s="89"/>
      <c r="BE734" s="89"/>
      <c r="BF734" s="89"/>
      <c r="BG734" s="89"/>
      <c r="BH734" s="89"/>
      <c r="BI734" s="89"/>
      <c r="BJ734" s="89"/>
      <c r="BK734" s="91"/>
      <c r="BL734" s="66"/>
      <c r="BM734" s="94"/>
      <c r="BN734" s="94"/>
      <c r="BO734" s="92"/>
      <c r="BP734" s="93"/>
      <c r="BQ734" s="23"/>
      <c r="BR734" s="94"/>
      <c r="BS734" s="94"/>
      <c r="BT734" s="94"/>
      <c r="BU734" s="94"/>
      <c r="BV734" s="95"/>
      <c r="BW734" s="91"/>
      <c r="BX734" s="95"/>
      <c r="BY734" s="8"/>
      <c r="BZ734" s="96"/>
      <c r="CA734" s="91"/>
      <c r="CB734" s="97"/>
      <c r="CC734" s="8"/>
      <c r="CD734" s="91"/>
      <c r="CE734" s="98"/>
      <c r="DK734" s="89"/>
      <c r="DL734" s="8"/>
      <c r="DM734" s="8"/>
      <c r="DN734" s="8"/>
      <c r="DO734" s="8"/>
      <c r="DP734" s="8"/>
      <c r="DQ734" s="8"/>
      <c r="DR734" s="8"/>
      <c r="DZ734" s="45"/>
      <c r="EA734" s="89"/>
      <c r="EB734" s="89"/>
      <c r="EC734" s="89"/>
      <c r="ED734" s="89"/>
      <c r="EE734" s="89"/>
      <c r="EF734" s="89"/>
      <c r="EG734" s="89"/>
      <c r="EH734" s="89"/>
      <c r="EI734" s="89"/>
      <c r="EJ734" s="89"/>
      <c r="EK734" s="91"/>
      <c r="EL734" s="66"/>
      <c r="EM734" s="94"/>
      <c r="EN734" s="94"/>
      <c r="EO734" s="92"/>
      <c r="EP734" s="93"/>
      <c r="EQ734" s="23"/>
      <c r="ER734" s="94"/>
      <c r="ES734" s="94"/>
      <c r="ET734" s="94"/>
      <c r="EU734" s="94"/>
      <c r="EV734" s="95"/>
      <c r="EW734" s="91"/>
      <c r="EX734" s="95"/>
      <c r="EY734" s="8"/>
      <c r="EZ734" s="96"/>
      <c r="FA734" s="91"/>
      <c r="FB734" s="97"/>
      <c r="FC734" s="8"/>
      <c r="FD734" s="91"/>
      <c r="FE734" s="98"/>
    </row>
    <row r="735" spans="37:161">
      <c r="AK735" s="89"/>
      <c r="AL735" s="8"/>
      <c r="AM735" s="8"/>
      <c r="AN735" s="8"/>
      <c r="AO735" s="8"/>
      <c r="AP735" s="8"/>
      <c r="AQ735" s="8"/>
      <c r="AR735" s="8"/>
      <c r="AZ735" s="45"/>
      <c r="BA735" s="89"/>
      <c r="BB735" s="89"/>
      <c r="BC735" s="89"/>
      <c r="BD735" s="89"/>
      <c r="BE735" s="89"/>
      <c r="BF735" s="89"/>
      <c r="BG735" s="89"/>
      <c r="BH735" s="89"/>
      <c r="BI735" s="89"/>
      <c r="BJ735" s="89"/>
      <c r="BK735" s="91"/>
      <c r="BL735" s="66"/>
      <c r="BM735" s="94"/>
      <c r="BN735" s="94"/>
      <c r="BO735" s="92"/>
      <c r="BP735" s="93"/>
      <c r="BQ735" s="23"/>
      <c r="BR735" s="94"/>
      <c r="BS735" s="94"/>
      <c r="BT735" s="94"/>
      <c r="BU735" s="94"/>
      <c r="BV735" s="95"/>
      <c r="BW735" s="91"/>
      <c r="BX735" s="95"/>
      <c r="BY735" s="8"/>
      <c r="BZ735" s="96"/>
      <c r="CA735" s="91"/>
      <c r="CB735" s="97"/>
      <c r="CC735" s="8"/>
      <c r="CD735" s="91"/>
      <c r="CE735" s="98"/>
      <c r="DK735" s="89"/>
      <c r="DL735" s="8"/>
      <c r="DM735" s="8"/>
      <c r="DN735" s="8"/>
      <c r="DO735" s="8"/>
      <c r="DP735" s="8"/>
      <c r="DQ735" s="8"/>
      <c r="DR735" s="8"/>
      <c r="DZ735" s="45"/>
      <c r="EA735" s="89"/>
      <c r="EB735" s="89"/>
      <c r="EC735" s="89"/>
      <c r="ED735" s="89"/>
      <c r="EE735" s="89"/>
      <c r="EF735" s="89"/>
      <c r="EG735" s="89"/>
      <c r="EH735" s="89"/>
      <c r="EI735" s="89"/>
      <c r="EJ735" s="89"/>
      <c r="EK735" s="91"/>
      <c r="EL735" s="66"/>
      <c r="EM735" s="94"/>
      <c r="EN735" s="94"/>
      <c r="EO735" s="92"/>
      <c r="EP735" s="93"/>
      <c r="EQ735" s="23"/>
      <c r="ER735" s="94"/>
      <c r="ES735" s="94"/>
      <c r="ET735" s="94"/>
      <c r="EU735" s="94"/>
      <c r="EV735" s="95"/>
      <c r="EW735" s="91"/>
      <c r="EX735" s="95"/>
      <c r="EY735" s="8"/>
      <c r="EZ735" s="96"/>
      <c r="FA735" s="91"/>
      <c r="FB735" s="97"/>
      <c r="FC735" s="8"/>
      <c r="FD735" s="91"/>
      <c r="FE735" s="98"/>
    </row>
    <row r="736" spans="37:161">
      <c r="AK736" s="89"/>
      <c r="AL736" s="8"/>
      <c r="AM736" s="8"/>
      <c r="AN736" s="8"/>
      <c r="AO736" s="8"/>
      <c r="AP736" s="8"/>
      <c r="AQ736" s="8"/>
      <c r="AR736" s="8"/>
      <c r="AZ736" s="45"/>
      <c r="BA736" s="89"/>
      <c r="BB736" s="89"/>
      <c r="BC736" s="89"/>
      <c r="BD736" s="89"/>
      <c r="BE736" s="89"/>
      <c r="BF736" s="89"/>
      <c r="BG736" s="89"/>
      <c r="BH736" s="89"/>
      <c r="BI736" s="89"/>
      <c r="BJ736" s="89"/>
      <c r="BK736" s="91"/>
      <c r="BL736" s="66"/>
      <c r="BM736" s="94"/>
      <c r="BN736" s="94"/>
      <c r="BO736" s="92"/>
      <c r="BP736" s="93"/>
      <c r="BQ736" s="23"/>
      <c r="BR736" s="94"/>
      <c r="BS736" s="94"/>
      <c r="BT736" s="94"/>
      <c r="BU736" s="94"/>
      <c r="BV736" s="95"/>
      <c r="BW736" s="91"/>
      <c r="BX736" s="95"/>
      <c r="BY736" s="8"/>
      <c r="BZ736" s="96"/>
      <c r="CA736" s="91"/>
      <c r="CB736" s="97"/>
      <c r="CC736" s="8"/>
      <c r="CD736" s="91"/>
      <c r="CE736" s="98"/>
      <c r="DK736" s="89"/>
      <c r="DL736" s="8"/>
      <c r="DM736" s="8"/>
      <c r="DN736" s="8"/>
      <c r="DO736" s="8"/>
      <c r="DP736" s="8"/>
      <c r="DQ736" s="8"/>
      <c r="DR736" s="8"/>
      <c r="DZ736" s="45"/>
      <c r="EA736" s="89"/>
      <c r="EB736" s="89"/>
      <c r="EC736" s="89"/>
      <c r="ED736" s="89"/>
      <c r="EE736" s="89"/>
      <c r="EF736" s="89"/>
      <c r="EG736" s="89"/>
      <c r="EH736" s="89"/>
      <c r="EI736" s="89"/>
      <c r="EJ736" s="89"/>
      <c r="EK736" s="91"/>
      <c r="EL736" s="66"/>
      <c r="EM736" s="94"/>
      <c r="EN736" s="94"/>
      <c r="EO736" s="92"/>
      <c r="EP736" s="93"/>
      <c r="EQ736" s="23"/>
      <c r="ER736" s="94"/>
      <c r="ES736" s="94"/>
      <c r="ET736" s="94"/>
      <c r="EU736" s="94"/>
      <c r="EV736" s="95"/>
      <c r="EW736" s="91"/>
      <c r="EX736" s="95"/>
      <c r="EY736" s="8"/>
      <c r="EZ736" s="96"/>
      <c r="FA736" s="91"/>
      <c r="FB736" s="97"/>
      <c r="FC736" s="8"/>
      <c r="FD736" s="91"/>
      <c r="FE736" s="98"/>
    </row>
    <row r="737" spans="37:161">
      <c r="AK737" s="89"/>
      <c r="AL737" s="8"/>
      <c r="AM737" s="8"/>
      <c r="AN737" s="8"/>
      <c r="AO737" s="8"/>
      <c r="AP737" s="8"/>
      <c r="AQ737" s="8"/>
      <c r="AR737" s="8"/>
      <c r="AZ737" s="45"/>
      <c r="BA737" s="89"/>
      <c r="BB737" s="89"/>
      <c r="BC737" s="89"/>
      <c r="BD737" s="89"/>
      <c r="BE737" s="89"/>
      <c r="BF737" s="89"/>
      <c r="BG737" s="89"/>
      <c r="BH737" s="89"/>
      <c r="BI737" s="89"/>
      <c r="BJ737" s="89"/>
      <c r="BK737" s="91"/>
      <c r="BL737" s="66"/>
      <c r="BM737" s="94"/>
      <c r="BN737" s="94"/>
      <c r="BO737" s="92"/>
      <c r="BP737" s="93"/>
      <c r="BQ737" s="23"/>
      <c r="BR737" s="94"/>
      <c r="BS737" s="94"/>
      <c r="BT737" s="94"/>
      <c r="BU737" s="94"/>
      <c r="BV737" s="95"/>
      <c r="BW737" s="91"/>
      <c r="BX737" s="95"/>
      <c r="BY737" s="8"/>
      <c r="BZ737" s="96"/>
      <c r="CA737" s="91"/>
      <c r="CB737" s="97"/>
      <c r="CC737" s="8"/>
      <c r="CD737" s="91"/>
      <c r="CE737" s="98"/>
      <c r="DK737" s="89"/>
      <c r="DL737" s="8"/>
      <c r="DM737" s="8"/>
      <c r="DN737" s="8"/>
      <c r="DO737" s="8"/>
      <c r="DP737" s="8"/>
      <c r="DQ737" s="8"/>
      <c r="DR737" s="8"/>
      <c r="DZ737" s="45"/>
      <c r="EA737" s="89"/>
      <c r="EB737" s="89"/>
      <c r="EC737" s="89"/>
      <c r="ED737" s="89"/>
      <c r="EE737" s="89"/>
      <c r="EF737" s="89"/>
      <c r="EG737" s="89"/>
      <c r="EH737" s="89"/>
      <c r="EI737" s="89"/>
      <c r="EJ737" s="89"/>
      <c r="EK737" s="91"/>
      <c r="EL737" s="66"/>
      <c r="EM737" s="94"/>
      <c r="EN737" s="94"/>
      <c r="EO737" s="92"/>
      <c r="EP737" s="93"/>
      <c r="EQ737" s="23"/>
      <c r="ER737" s="94"/>
      <c r="ES737" s="94"/>
      <c r="ET737" s="94"/>
      <c r="EU737" s="94"/>
      <c r="EV737" s="95"/>
      <c r="EW737" s="91"/>
      <c r="EX737" s="95"/>
      <c r="EY737" s="8"/>
      <c r="EZ737" s="96"/>
      <c r="FA737" s="91"/>
      <c r="FB737" s="97"/>
      <c r="FC737" s="8"/>
      <c r="FD737" s="91"/>
      <c r="FE737" s="98"/>
    </row>
    <row r="738" spans="37:161">
      <c r="AK738" s="89"/>
      <c r="AL738" s="8"/>
      <c r="AM738" s="8"/>
      <c r="AN738" s="8"/>
      <c r="AO738" s="8"/>
      <c r="AP738" s="8"/>
      <c r="AQ738" s="8"/>
      <c r="AR738" s="8"/>
      <c r="AZ738" s="45"/>
      <c r="BA738" s="89"/>
      <c r="BB738" s="89"/>
      <c r="BC738" s="89"/>
      <c r="BD738" s="89"/>
      <c r="BE738" s="89"/>
      <c r="BF738" s="89"/>
      <c r="BG738" s="89"/>
      <c r="BH738" s="89"/>
      <c r="BI738" s="89"/>
      <c r="BJ738" s="89"/>
      <c r="BK738" s="91"/>
      <c r="BL738" s="66"/>
      <c r="BM738" s="94"/>
      <c r="BN738" s="94"/>
      <c r="BO738" s="92"/>
      <c r="BP738" s="93"/>
      <c r="BQ738" s="23"/>
      <c r="BR738" s="94"/>
      <c r="BS738" s="94"/>
      <c r="BT738" s="94"/>
      <c r="BU738" s="94"/>
      <c r="BV738" s="95"/>
      <c r="BW738" s="91"/>
      <c r="BX738" s="95"/>
      <c r="BY738" s="8"/>
      <c r="BZ738" s="96"/>
      <c r="CA738" s="91"/>
      <c r="CB738" s="97"/>
      <c r="CC738" s="8"/>
      <c r="CD738" s="91"/>
      <c r="CE738" s="98"/>
      <c r="DK738" s="89"/>
      <c r="DL738" s="8"/>
      <c r="DM738" s="8"/>
      <c r="DN738" s="8"/>
      <c r="DO738" s="8"/>
      <c r="DP738" s="8"/>
      <c r="DQ738" s="8"/>
      <c r="DR738" s="8"/>
      <c r="DZ738" s="45"/>
      <c r="EA738" s="89"/>
      <c r="EB738" s="89"/>
      <c r="EC738" s="89"/>
      <c r="ED738" s="89"/>
      <c r="EE738" s="89"/>
      <c r="EF738" s="89"/>
      <c r="EG738" s="89"/>
      <c r="EH738" s="89"/>
      <c r="EI738" s="89"/>
      <c r="EJ738" s="89"/>
      <c r="EK738" s="91"/>
      <c r="EL738" s="66"/>
      <c r="EM738" s="94"/>
      <c r="EN738" s="94"/>
      <c r="EO738" s="92"/>
      <c r="EP738" s="93"/>
      <c r="EQ738" s="23"/>
      <c r="ER738" s="94"/>
      <c r="ES738" s="94"/>
      <c r="ET738" s="94"/>
      <c r="EU738" s="94"/>
      <c r="EV738" s="95"/>
      <c r="EW738" s="91"/>
      <c r="EX738" s="95"/>
      <c r="EY738" s="8"/>
      <c r="EZ738" s="96"/>
      <c r="FA738" s="91"/>
      <c r="FB738" s="97"/>
      <c r="FC738" s="8"/>
      <c r="FD738" s="91"/>
      <c r="FE738" s="98"/>
    </row>
    <row r="739" spans="37:161">
      <c r="AK739" s="89"/>
      <c r="AL739" s="8"/>
      <c r="AM739" s="8"/>
      <c r="AN739" s="8"/>
      <c r="AO739" s="8"/>
      <c r="AP739" s="8"/>
      <c r="AQ739" s="8"/>
      <c r="AR739" s="8"/>
      <c r="AZ739" s="45"/>
      <c r="BA739" s="89"/>
      <c r="BB739" s="89"/>
      <c r="BC739" s="89"/>
      <c r="BD739" s="89"/>
      <c r="BE739" s="89"/>
      <c r="BF739" s="89"/>
      <c r="BG739" s="89"/>
      <c r="BH739" s="89"/>
      <c r="BI739" s="89"/>
      <c r="BJ739" s="89"/>
      <c r="BK739" s="91"/>
      <c r="BL739" s="66"/>
      <c r="BM739" s="94"/>
      <c r="BN739" s="94"/>
      <c r="BO739" s="92"/>
      <c r="BP739" s="93"/>
      <c r="BQ739" s="23"/>
      <c r="BR739" s="94"/>
      <c r="BS739" s="94"/>
      <c r="BT739" s="94"/>
      <c r="BU739" s="94"/>
      <c r="BV739" s="95"/>
      <c r="BW739" s="91"/>
      <c r="BX739" s="95"/>
      <c r="BY739" s="8"/>
      <c r="BZ739" s="96"/>
      <c r="CA739" s="91"/>
      <c r="CB739" s="97"/>
      <c r="CC739" s="8"/>
      <c r="CD739" s="91"/>
      <c r="CE739" s="98"/>
      <c r="DK739" s="89"/>
      <c r="DL739" s="8"/>
      <c r="DM739" s="8"/>
      <c r="DN739" s="8"/>
      <c r="DO739" s="8"/>
      <c r="DP739" s="8"/>
      <c r="DQ739" s="8"/>
      <c r="DR739" s="8"/>
      <c r="DZ739" s="45"/>
      <c r="EA739" s="89"/>
      <c r="EB739" s="89"/>
      <c r="EC739" s="89"/>
      <c r="ED739" s="89"/>
      <c r="EE739" s="89"/>
      <c r="EF739" s="89"/>
      <c r="EG739" s="89"/>
      <c r="EH739" s="89"/>
      <c r="EI739" s="89"/>
      <c r="EJ739" s="89"/>
      <c r="EK739" s="91"/>
      <c r="EL739" s="66"/>
      <c r="EM739" s="94"/>
      <c r="EN739" s="94"/>
      <c r="EO739" s="92"/>
      <c r="EP739" s="93"/>
      <c r="EQ739" s="23"/>
      <c r="ER739" s="94"/>
      <c r="ES739" s="94"/>
      <c r="ET739" s="94"/>
      <c r="EU739" s="94"/>
      <c r="EV739" s="95"/>
      <c r="EW739" s="91"/>
      <c r="EX739" s="95"/>
      <c r="EY739" s="8"/>
      <c r="EZ739" s="96"/>
      <c r="FA739" s="91"/>
      <c r="FB739" s="97"/>
      <c r="FC739" s="8"/>
      <c r="FD739" s="91"/>
      <c r="FE739" s="98"/>
    </row>
    <row r="740" spans="37:161">
      <c r="AK740" s="89"/>
      <c r="AL740" s="8"/>
      <c r="AM740" s="8"/>
      <c r="AN740" s="8"/>
      <c r="AO740" s="8"/>
      <c r="AP740" s="8"/>
      <c r="AQ740" s="8"/>
      <c r="AR740" s="8"/>
      <c r="AZ740" s="45"/>
      <c r="BA740" s="89"/>
      <c r="BB740" s="89"/>
      <c r="BC740" s="89"/>
      <c r="BD740" s="89"/>
      <c r="BE740" s="89"/>
      <c r="BF740" s="89"/>
      <c r="BG740" s="89"/>
      <c r="BH740" s="89"/>
      <c r="BI740" s="89"/>
      <c r="BJ740" s="89"/>
      <c r="BK740" s="91"/>
      <c r="BL740" s="66"/>
      <c r="BM740" s="94"/>
      <c r="BN740" s="94"/>
      <c r="BO740" s="92"/>
      <c r="BP740" s="93"/>
      <c r="BQ740" s="23"/>
      <c r="BR740" s="94"/>
      <c r="BS740" s="94"/>
      <c r="BT740" s="94"/>
      <c r="BU740" s="94"/>
      <c r="BV740" s="95"/>
      <c r="BW740" s="91"/>
      <c r="BX740" s="95"/>
      <c r="BY740" s="8"/>
      <c r="BZ740" s="96"/>
      <c r="CA740" s="91"/>
      <c r="CB740" s="97"/>
      <c r="CC740" s="8"/>
      <c r="CD740" s="91"/>
      <c r="CE740" s="98"/>
      <c r="DK740" s="89"/>
      <c r="DL740" s="8"/>
      <c r="DM740" s="8"/>
      <c r="DN740" s="8"/>
      <c r="DO740" s="8"/>
      <c r="DP740" s="8"/>
      <c r="DQ740" s="8"/>
      <c r="DR740" s="8"/>
      <c r="DZ740" s="45"/>
      <c r="EA740" s="89"/>
      <c r="EB740" s="89"/>
      <c r="EC740" s="89"/>
      <c r="ED740" s="89"/>
      <c r="EE740" s="89"/>
      <c r="EF740" s="89"/>
      <c r="EG740" s="89"/>
      <c r="EH740" s="89"/>
      <c r="EI740" s="89"/>
      <c r="EJ740" s="89"/>
      <c r="EK740" s="91"/>
      <c r="EL740" s="66"/>
      <c r="EM740" s="94"/>
      <c r="EN740" s="94"/>
      <c r="EO740" s="92"/>
      <c r="EP740" s="93"/>
      <c r="EQ740" s="23"/>
      <c r="ER740" s="94"/>
      <c r="ES740" s="94"/>
      <c r="ET740" s="94"/>
      <c r="EU740" s="94"/>
      <c r="EV740" s="95"/>
      <c r="EW740" s="91"/>
      <c r="EX740" s="95"/>
      <c r="EY740" s="8"/>
      <c r="EZ740" s="96"/>
      <c r="FA740" s="91"/>
      <c r="FB740" s="97"/>
      <c r="FC740" s="8"/>
      <c r="FD740" s="91"/>
      <c r="FE740" s="98"/>
    </row>
    <row r="741" spans="37:161">
      <c r="AK741" s="89"/>
      <c r="AL741" s="8"/>
      <c r="AM741" s="8"/>
      <c r="AN741" s="8"/>
      <c r="AO741" s="8"/>
      <c r="AP741" s="8"/>
      <c r="AQ741" s="8"/>
      <c r="AR741" s="8"/>
      <c r="AZ741" s="45"/>
      <c r="BA741" s="89"/>
      <c r="BB741" s="89"/>
      <c r="BC741" s="89"/>
      <c r="BD741" s="89"/>
      <c r="BE741" s="89"/>
      <c r="BF741" s="89"/>
      <c r="BG741" s="89"/>
      <c r="BH741" s="89"/>
      <c r="BI741" s="89"/>
      <c r="BJ741" s="89"/>
      <c r="BK741" s="91"/>
      <c r="BL741" s="66"/>
      <c r="BM741" s="94"/>
      <c r="BN741" s="94"/>
      <c r="BO741" s="92"/>
      <c r="BP741" s="93"/>
      <c r="BQ741" s="23"/>
      <c r="BR741" s="94"/>
      <c r="BS741" s="94"/>
      <c r="BT741" s="94"/>
      <c r="BU741" s="94"/>
      <c r="BV741" s="95"/>
      <c r="BW741" s="91"/>
      <c r="BX741" s="95"/>
      <c r="BY741" s="8"/>
      <c r="BZ741" s="96"/>
      <c r="CA741" s="91"/>
      <c r="CB741" s="97"/>
      <c r="CC741" s="8"/>
      <c r="CD741" s="91"/>
      <c r="CE741" s="98"/>
      <c r="DK741" s="89"/>
      <c r="DL741" s="8"/>
      <c r="DM741" s="8"/>
      <c r="DN741" s="8"/>
      <c r="DO741" s="8"/>
      <c r="DP741" s="8"/>
      <c r="DQ741" s="8"/>
      <c r="DR741" s="8"/>
      <c r="DZ741" s="45"/>
      <c r="EA741" s="89"/>
      <c r="EB741" s="89"/>
      <c r="EC741" s="89"/>
      <c r="ED741" s="89"/>
      <c r="EE741" s="89"/>
      <c r="EF741" s="89"/>
      <c r="EG741" s="89"/>
      <c r="EH741" s="89"/>
      <c r="EI741" s="89"/>
      <c r="EJ741" s="89"/>
      <c r="EK741" s="91"/>
      <c r="EL741" s="66"/>
      <c r="EM741" s="94"/>
      <c r="EN741" s="94"/>
      <c r="EO741" s="92"/>
      <c r="EP741" s="93"/>
      <c r="EQ741" s="23"/>
      <c r="ER741" s="94"/>
      <c r="ES741" s="94"/>
      <c r="ET741" s="94"/>
      <c r="EU741" s="94"/>
      <c r="EV741" s="95"/>
      <c r="EW741" s="91"/>
      <c r="EX741" s="95"/>
      <c r="EY741" s="8"/>
      <c r="EZ741" s="96"/>
      <c r="FA741" s="91"/>
      <c r="FB741" s="97"/>
      <c r="FC741" s="8"/>
      <c r="FD741" s="91"/>
      <c r="FE741" s="98"/>
    </row>
    <row r="742" spans="37:161">
      <c r="AK742" s="89"/>
      <c r="AL742" s="8"/>
      <c r="AM742" s="8"/>
      <c r="AN742" s="8"/>
      <c r="AO742" s="8"/>
      <c r="AP742" s="8"/>
      <c r="AQ742" s="8"/>
      <c r="AR742" s="8"/>
      <c r="AZ742" s="45"/>
      <c r="BA742" s="89"/>
      <c r="BB742" s="89"/>
      <c r="BC742" s="89"/>
      <c r="BD742" s="89"/>
      <c r="BE742" s="89"/>
      <c r="BF742" s="89"/>
      <c r="BG742" s="89"/>
      <c r="BH742" s="89"/>
      <c r="BI742" s="89"/>
      <c r="BJ742" s="89"/>
      <c r="BK742" s="91"/>
      <c r="BL742" s="66"/>
      <c r="BM742" s="94"/>
      <c r="BN742" s="94"/>
      <c r="BO742" s="92"/>
      <c r="BP742" s="93"/>
      <c r="BQ742" s="23"/>
      <c r="BR742" s="94"/>
      <c r="BS742" s="94"/>
      <c r="BT742" s="94"/>
      <c r="BU742" s="94"/>
      <c r="BV742" s="95"/>
      <c r="BW742" s="91"/>
      <c r="BX742" s="95"/>
      <c r="BY742" s="8"/>
      <c r="BZ742" s="96"/>
      <c r="CA742" s="91"/>
      <c r="CB742" s="97"/>
      <c r="CC742" s="8"/>
      <c r="CD742" s="91"/>
      <c r="CE742" s="98"/>
      <c r="DK742" s="89"/>
      <c r="DL742" s="8"/>
      <c r="DM742" s="8"/>
      <c r="DN742" s="8"/>
      <c r="DO742" s="8"/>
      <c r="DP742" s="8"/>
      <c r="DQ742" s="8"/>
      <c r="DR742" s="8"/>
      <c r="DZ742" s="45"/>
      <c r="EA742" s="89"/>
      <c r="EB742" s="89"/>
      <c r="EC742" s="89"/>
      <c r="ED742" s="89"/>
      <c r="EE742" s="89"/>
      <c r="EF742" s="89"/>
      <c r="EG742" s="89"/>
      <c r="EH742" s="89"/>
      <c r="EI742" s="89"/>
      <c r="EJ742" s="89"/>
      <c r="EK742" s="91"/>
      <c r="EL742" s="66"/>
      <c r="EM742" s="94"/>
      <c r="EN742" s="94"/>
      <c r="EO742" s="92"/>
      <c r="EP742" s="93"/>
      <c r="EQ742" s="23"/>
      <c r="ER742" s="94"/>
      <c r="ES742" s="94"/>
      <c r="ET742" s="94"/>
      <c r="EU742" s="94"/>
      <c r="EV742" s="95"/>
      <c r="EW742" s="91"/>
      <c r="EX742" s="95"/>
      <c r="EY742" s="8"/>
      <c r="EZ742" s="96"/>
      <c r="FA742" s="91"/>
      <c r="FB742" s="97"/>
      <c r="FC742" s="8"/>
      <c r="FD742" s="91"/>
      <c r="FE742" s="98"/>
    </row>
    <row r="743" spans="37:161">
      <c r="AK743" s="89"/>
      <c r="AL743" s="8"/>
      <c r="AM743" s="8"/>
      <c r="AN743" s="8"/>
      <c r="AO743" s="8"/>
      <c r="AP743" s="8"/>
      <c r="AQ743" s="8"/>
      <c r="AR743" s="8"/>
      <c r="AZ743" s="45"/>
      <c r="BA743" s="89"/>
      <c r="BB743" s="89"/>
      <c r="BC743" s="89"/>
      <c r="BD743" s="89"/>
      <c r="BE743" s="89"/>
      <c r="BF743" s="89"/>
      <c r="BG743" s="89"/>
      <c r="BH743" s="89"/>
      <c r="BI743" s="89"/>
      <c r="BJ743" s="89"/>
      <c r="BK743" s="91"/>
      <c r="BL743" s="66"/>
      <c r="BM743" s="94"/>
      <c r="BN743" s="94"/>
      <c r="BO743" s="92"/>
      <c r="BP743" s="93"/>
      <c r="BQ743" s="23"/>
      <c r="BR743" s="94"/>
      <c r="BS743" s="94"/>
      <c r="BT743" s="94"/>
      <c r="BU743" s="94"/>
      <c r="BV743" s="95"/>
      <c r="BW743" s="91"/>
      <c r="BX743" s="95"/>
      <c r="BY743" s="8"/>
      <c r="BZ743" s="96"/>
      <c r="CA743" s="91"/>
      <c r="CB743" s="97"/>
      <c r="CC743" s="8"/>
      <c r="CD743" s="91"/>
      <c r="CE743" s="98"/>
      <c r="DK743" s="89"/>
      <c r="DL743" s="8"/>
      <c r="DM743" s="8"/>
      <c r="DN743" s="8"/>
      <c r="DO743" s="8"/>
      <c r="DP743" s="8"/>
      <c r="DQ743" s="8"/>
      <c r="DR743" s="8"/>
      <c r="DZ743" s="45"/>
      <c r="EA743" s="89"/>
      <c r="EB743" s="89"/>
      <c r="EC743" s="89"/>
      <c r="ED743" s="89"/>
      <c r="EE743" s="89"/>
      <c r="EF743" s="89"/>
      <c r="EG743" s="89"/>
      <c r="EH743" s="89"/>
      <c r="EI743" s="89"/>
      <c r="EJ743" s="89"/>
      <c r="EK743" s="91"/>
      <c r="EL743" s="66"/>
      <c r="EM743" s="94"/>
      <c r="EN743" s="94"/>
      <c r="EO743" s="92"/>
      <c r="EP743" s="93"/>
      <c r="EQ743" s="23"/>
      <c r="ER743" s="94"/>
      <c r="ES743" s="94"/>
      <c r="ET743" s="94"/>
      <c r="EU743" s="94"/>
      <c r="EV743" s="95"/>
      <c r="EW743" s="91"/>
      <c r="EX743" s="95"/>
      <c r="EY743" s="8"/>
      <c r="EZ743" s="96"/>
      <c r="FA743" s="91"/>
      <c r="FB743" s="97"/>
      <c r="FC743" s="8"/>
      <c r="FD743" s="91"/>
      <c r="FE743" s="98"/>
    </row>
    <row r="744" spans="37:161">
      <c r="AK744" s="89"/>
      <c r="AL744" s="8"/>
      <c r="AM744" s="8"/>
      <c r="AN744" s="8"/>
      <c r="AO744" s="8"/>
      <c r="AP744" s="8"/>
      <c r="AQ744" s="8"/>
      <c r="AR744" s="8"/>
      <c r="AZ744" s="45"/>
      <c r="BA744" s="89"/>
      <c r="BB744" s="89"/>
      <c r="BC744" s="89"/>
      <c r="BD744" s="89"/>
      <c r="BE744" s="89"/>
      <c r="BF744" s="89"/>
      <c r="BG744" s="89"/>
      <c r="BH744" s="89"/>
      <c r="BI744" s="89"/>
      <c r="BJ744" s="89"/>
      <c r="BK744" s="91"/>
      <c r="BL744" s="66"/>
      <c r="BM744" s="94"/>
      <c r="BN744" s="94"/>
      <c r="BO744" s="92"/>
      <c r="BP744" s="93"/>
      <c r="BQ744" s="23"/>
      <c r="BR744" s="94"/>
      <c r="BS744" s="94"/>
      <c r="BT744" s="94"/>
      <c r="BU744" s="94"/>
      <c r="BV744" s="95"/>
      <c r="BW744" s="91"/>
      <c r="BX744" s="95"/>
      <c r="BY744" s="8"/>
      <c r="BZ744" s="96"/>
      <c r="CA744" s="91"/>
      <c r="CB744" s="97"/>
      <c r="CC744" s="8"/>
      <c r="CD744" s="91"/>
      <c r="CE744" s="98"/>
      <c r="DK744" s="89"/>
      <c r="DL744" s="8"/>
      <c r="DM744" s="8"/>
      <c r="DN744" s="8"/>
      <c r="DO744" s="8"/>
      <c r="DP744" s="8"/>
      <c r="DQ744" s="8"/>
      <c r="DR744" s="8"/>
      <c r="DZ744" s="45"/>
      <c r="EA744" s="89"/>
      <c r="EB744" s="89"/>
      <c r="EC744" s="89"/>
      <c r="ED744" s="89"/>
      <c r="EE744" s="89"/>
      <c r="EF744" s="89"/>
      <c r="EG744" s="89"/>
      <c r="EH744" s="89"/>
      <c r="EI744" s="89"/>
      <c r="EJ744" s="89"/>
      <c r="EK744" s="91"/>
      <c r="EL744" s="66"/>
      <c r="EM744" s="94"/>
      <c r="EN744" s="94"/>
      <c r="EO744" s="92"/>
      <c r="EP744" s="93"/>
      <c r="EQ744" s="23"/>
      <c r="ER744" s="94"/>
      <c r="ES744" s="94"/>
      <c r="ET744" s="94"/>
      <c r="EU744" s="94"/>
      <c r="EV744" s="95"/>
      <c r="EW744" s="91"/>
      <c r="EX744" s="95"/>
      <c r="EY744" s="8"/>
      <c r="EZ744" s="96"/>
      <c r="FA744" s="91"/>
      <c r="FB744" s="97"/>
      <c r="FC744" s="8"/>
      <c r="FD744" s="91"/>
      <c r="FE744" s="98"/>
    </row>
    <row r="745" spans="37:161">
      <c r="AK745" s="89"/>
      <c r="AL745" s="8"/>
      <c r="AM745" s="8"/>
      <c r="AN745" s="8"/>
      <c r="AO745" s="8"/>
      <c r="AP745" s="8"/>
      <c r="AQ745" s="8"/>
      <c r="AR745" s="8"/>
      <c r="AZ745" s="45"/>
      <c r="BA745" s="89"/>
      <c r="BB745" s="89"/>
      <c r="BC745" s="89"/>
      <c r="BD745" s="89"/>
      <c r="BE745" s="89"/>
      <c r="BF745" s="89"/>
      <c r="BG745" s="89"/>
      <c r="BH745" s="89"/>
      <c r="BI745" s="89"/>
      <c r="BJ745" s="89"/>
      <c r="BK745" s="91"/>
      <c r="BL745" s="66"/>
      <c r="BM745" s="94"/>
      <c r="BN745" s="94"/>
      <c r="BO745" s="92"/>
      <c r="BP745" s="93"/>
      <c r="BQ745" s="23"/>
      <c r="BR745" s="94"/>
      <c r="BS745" s="94"/>
      <c r="BT745" s="94"/>
      <c r="BU745" s="94"/>
      <c r="BV745" s="95"/>
      <c r="BW745" s="91"/>
      <c r="BX745" s="95"/>
      <c r="BY745" s="8"/>
      <c r="BZ745" s="96"/>
      <c r="CA745" s="91"/>
      <c r="CB745" s="97"/>
      <c r="CC745" s="8"/>
      <c r="CD745" s="91"/>
      <c r="CE745" s="98"/>
      <c r="DK745" s="89"/>
      <c r="DL745" s="8"/>
      <c r="DM745" s="8"/>
      <c r="DN745" s="8"/>
      <c r="DO745" s="8"/>
      <c r="DP745" s="8"/>
      <c r="DQ745" s="8"/>
      <c r="DR745" s="8"/>
      <c r="DZ745" s="45"/>
      <c r="EA745" s="89"/>
      <c r="EB745" s="89"/>
      <c r="EC745" s="89"/>
      <c r="ED745" s="89"/>
      <c r="EE745" s="89"/>
      <c r="EF745" s="89"/>
      <c r="EG745" s="89"/>
      <c r="EH745" s="89"/>
      <c r="EI745" s="89"/>
      <c r="EJ745" s="89"/>
      <c r="EK745" s="91"/>
      <c r="EL745" s="66"/>
      <c r="EM745" s="94"/>
      <c r="EN745" s="94"/>
      <c r="EO745" s="92"/>
      <c r="EP745" s="93"/>
      <c r="EQ745" s="23"/>
      <c r="ER745" s="94"/>
      <c r="ES745" s="94"/>
      <c r="ET745" s="94"/>
      <c r="EU745" s="94"/>
      <c r="EV745" s="95"/>
      <c r="EW745" s="91"/>
      <c r="EX745" s="95"/>
      <c r="EY745" s="8"/>
      <c r="EZ745" s="96"/>
      <c r="FA745" s="91"/>
      <c r="FB745" s="97"/>
      <c r="FC745" s="8"/>
      <c r="FD745" s="91"/>
      <c r="FE745" s="98"/>
    </row>
    <row r="746" spans="37:161">
      <c r="AK746" s="89"/>
      <c r="AL746" s="8"/>
      <c r="AM746" s="8"/>
      <c r="AN746" s="8"/>
      <c r="AO746" s="8"/>
      <c r="AP746" s="8"/>
      <c r="AQ746" s="8"/>
      <c r="AR746" s="8"/>
      <c r="AZ746" s="45"/>
      <c r="BA746" s="89"/>
      <c r="BB746" s="89"/>
      <c r="BC746" s="89"/>
      <c r="BD746" s="89"/>
      <c r="BE746" s="89"/>
      <c r="BF746" s="89"/>
      <c r="BG746" s="89"/>
      <c r="BH746" s="89"/>
      <c r="BI746" s="89"/>
      <c r="BJ746" s="89"/>
      <c r="BK746" s="91"/>
      <c r="BL746" s="66"/>
      <c r="BM746" s="94"/>
      <c r="BN746" s="94"/>
      <c r="BO746" s="92"/>
      <c r="BP746" s="93"/>
      <c r="BQ746" s="23"/>
      <c r="BR746" s="94"/>
      <c r="BS746" s="94"/>
      <c r="BT746" s="94"/>
      <c r="BU746" s="94"/>
      <c r="BV746" s="95"/>
      <c r="BW746" s="91"/>
      <c r="BX746" s="95"/>
      <c r="BY746" s="8"/>
      <c r="BZ746" s="96"/>
      <c r="CA746" s="91"/>
      <c r="CB746" s="97"/>
      <c r="CC746" s="8"/>
      <c r="CD746" s="91"/>
      <c r="CE746" s="98"/>
      <c r="DK746" s="89"/>
      <c r="DL746" s="8"/>
      <c r="DM746" s="8"/>
      <c r="DN746" s="8"/>
      <c r="DO746" s="8"/>
      <c r="DP746" s="8"/>
      <c r="DQ746" s="8"/>
      <c r="DR746" s="8"/>
      <c r="DZ746" s="45"/>
      <c r="EA746" s="89"/>
      <c r="EB746" s="89"/>
      <c r="EC746" s="89"/>
      <c r="ED746" s="89"/>
      <c r="EE746" s="89"/>
      <c r="EF746" s="89"/>
      <c r="EG746" s="89"/>
      <c r="EH746" s="89"/>
      <c r="EI746" s="89"/>
      <c r="EJ746" s="89"/>
      <c r="EK746" s="91"/>
      <c r="EL746" s="66"/>
      <c r="EM746" s="94"/>
      <c r="EN746" s="94"/>
      <c r="EO746" s="92"/>
      <c r="EP746" s="93"/>
      <c r="EQ746" s="23"/>
      <c r="ER746" s="94"/>
      <c r="ES746" s="94"/>
      <c r="ET746" s="94"/>
      <c r="EU746" s="94"/>
      <c r="EV746" s="95"/>
      <c r="EW746" s="91"/>
      <c r="EX746" s="95"/>
      <c r="EY746" s="8"/>
      <c r="EZ746" s="96"/>
      <c r="FA746" s="91"/>
      <c r="FB746" s="97"/>
      <c r="FC746" s="8"/>
      <c r="FD746" s="91"/>
      <c r="FE746" s="98"/>
    </row>
    <row r="747" spans="37:161">
      <c r="AK747" s="89"/>
      <c r="AL747" s="8"/>
      <c r="AM747" s="8"/>
      <c r="AN747" s="8"/>
      <c r="AO747" s="8"/>
      <c r="AP747" s="8"/>
      <c r="AQ747" s="8"/>
      <c r="AR747" s="8"/>
      <c r="AZ747" s="45"/>
      <c r="BA747" s="89"/>
      <c r="BB747" s="89"/>
      <c r="BC747" s="89"/>
      <c r="BD747" s="89"/>
      <c r="BE747" s="89"/>
      <c r="BF747" s="89"/>
      <c r="BG747" s="89"/>
      <c r="BH747" s="89"/>
      <c r="BI747" s="89"/>
      <c r="BJ747" s="89"/>
      <c r="BK747" s="91"/>
      <c r="BL747" s="66"/>
      <c r="BM747" s="94"/>
      <c r="BN747" s="94"/>
      <c r="BO747" s="92"/>
      <c r="BP747" s="93"/>
      <c r="BQ747" s="23"/>
      <c r="BR747" s="94"/>
      <c r="BS747" s="94"/>
      <c r="BT747" s="94"/>
      <c r="BU747" s="94"/>
      <c r="BV747" s="95"/>
      <c r="BW747" s="91"/>
      <c r="BX747" s="95"/>
      <c r="BY747" s="8"/>
      <c r="BZ747" s="96"/>
      <c r="CA747" s="91"/>
      <c r="CB747" s="97"/>
      <c r="CC747" s="8"/>
      <c r="CD747" s="91"/>
      <c r="CE747" s="98"/>
      <c r="DK747" s="89"/>
      <c r="DL747" s="8"/>
      <c r="DM747" s="8"/>
      <c r="DN747" s="8"/>
      <c r="DO747" s="8"/>
      <c r="DP747" s="8"/>
      <c r="DQ747" s="8"/>
      <c r="DR747" s="8"/>
      <c r="DZ747" s="45"/>
      <c r="EA747" s="89"/>
      <c r="EB747" s="89"/>
      <c r="EC747" s="89"/>
      <c r="ED747" s="89"/>
      <c r="EE747" s="89"/>
      <c r="EF747" s="89"/>
      <c r="EG747" s="89"/>
      <c r="EH747" s="89"/>
      <c r="EI747" s="89"/>
      <c r="EJ747" s="89"/>
      <c r="EK747" s="91"/>
      <c r="EL747" s="66"/>
      <c r="EM747" s="94"/>
      <c r="EN747" s="94"/>
      <c r="EO747" s="92"/>
      <c r="EP747" s="93"/>
      <c r="EQ747" s="23"/>
      <c r="ER747" s="94"/>
      <c r="ES747" s="94"/>
      <c r="ET747" s="94"/>
      <c r="EU747" s="94"/>
      <c r="EV747" s="95"/>
      <c r="EW747" s="91"/>
      <c r="EX747" s="95"/>
      <c r="EY747" s="8"/>
      <c r="EZ747" s="96"/>
      <c r="FA747" s="91"/>
      <c r="FB747" s="97"/>
      <c r="FC747" s="8"/>
      <c r="FD747" s="91"/>
      <c r="FE747" s="98"/>
    </row>
    <row r="748" spans="37:161">
      <c r="AK748" s="89"/>
      <c r="AL748" s="8"/>
      <c r="AM748" s="8"/>
      <c r="AN748" s="8"/>
      <c r="AO748" s="8"/>
      <c r="AP748" s="8"/>
      <c r="AQ748" s="8"/>
      <c r="AR748" s="8"/>
      <c r="AZ748" s="45"/>
      <c r="BA748" s="89"/>
      <c r="BB748" s="89"/>
      <c r="BC748" s="89"/>
      <c r="BD748" s="89"/>
      <c r="BE748" s="89"/>
      <c r="BF748" s="89"/>
      <c r="BG748" s="89"/>
      <c r="BH748" s="89"/>
      <c r="BI748" s="89"/>
      <c r="BJ748" s="89"/>
      <c r="BK748" s="91"/>
      <c r="BL748" s="66"/>
      <c r="BM748" s="94"/>
      <c r="BN748" s="94"/>
      <c r="BO748" s="92"/>
      <c r="BP748" s="93"/>
      <c r="BQ748" s="23"/>
      <c r="BR748" s="94"/>
      <c r="BS748" s="94"/>
      <c r="BT748" s="94"/>
      <c r="BU748" s="94"/>
      <c r="BV748" s="95"/>
      <c r="BW748" s="91"/>
      <c r="BX748" s="95"/>
      <c r="BY748" s="8"/>
      <c r="BZ748" s="96"/>
      <c r="CA748" s="91"/>
      <c r="CB748" s="97"/>
      <c r="CC748" s="8"/>
      <c r="CD748" s="91"/>
      <c r="CE748" s="98"/>
      <c r="DK748" s="89"/>
      <c r="DL748" s="8"/>
      <c r="DM748" s="8"/>
      <c r="DN748" s="8"/>
      <c r="DO748" s="8"/>
      <c r="DP748" s="8"/>
      <c r="DQ748" s="8"/>
      <c r="DR748" s="8"/>
      <c r="DZ748" s="45"/>
      <c r="EA748" s="89"/>
      <c r="EB748" s="89"/>
      <c r="EC748" s="89"/>
      <c r="ED748" s="89"/>
      <c r="EE748" s="89"/>
      <c r="EF748" s="89"/>
      <c r="EG748" s="89"/>
      <c r="EH748" s="89"/>
      <c r="EI748" s="89"/>
      <c r="EJ748" s="89"/>
      <c r="EK748" s="91"/>
      <c r="EL748" s="66"/>
      <c r="EM748" s="94"/>
      <c r="EN748" s="94"/>
      <c r="EO748" s="92"/>
      <c r="EP748" s="93"/>
      <c r="EQ748" s="23"/>
      <c r="ER748" s="94"/>
      <c r="ES748" s="94"/>
      <c r="ET748" s="94"/>
      <c r="EU748" s="94"/>
      <c r="EV748" s="95"/>
      <c r="EW748" s="91"/>
      <c r="EX748" s="95"/>
      <c r="EY748" s="8"/>
      <c r="EZ748" s="96"/>
      <c r="FA748" s="91"/>
      <c r="FB748" s="97"/>
      <c r="FC748" s="8"/>
      <c r="FD748" s="91"/>
      <c r="FE748" s="98"/>
    </row>
    <row r="749" spans="37:161">
      <c r="AK749" s="89"/>
      <c r="AL749" s="8"/>
      <c r="AM749" s="8"/>
      <c r="AN749" s="8"/>
      <c r="AO749" s="8"/>
      <c r="AP749" s="8"/>
      <c r="AQ749" s="8"/>
      <c r="AR749" s="8"/>
      <c r="AZ749" s="45"/>
      <c r="BA749" s="89"/>
      <c r="BB749" s="89"/>
      <c r="BC749" s="89"/>
      <c r="BD749" s="89"/>
      <c r="BE749" s="89"/>
      <c r="BF749" s="89"/>
      <c r="BG749" s="89"/>
      <c r="BH749" s="89"/>
      <c r="BI749" s="89"/>
      <c r="BJ749" s="89"/>
      <c r="BK749" s="91"/>
      <c r="BL749" s="66"/>
      <c r="BM749" s="94"/>
      <c r="BN749" s="94"/>
      <c r="BO749" s="92"/>
      <c r="BP749" s="93"/>
      <c r="BQ749" s="23"/>
      <c r="BR749" s="94"/>
      <c r="BS749" s="94"/>
      <c r="BT749" s="94"/>
      <c r="BU749" s="94"/>
      <c r="BV749" s="95"/>
      <c r="BW749" s="91"/>
      <c r="BX749" s="95"/>
      <c r="BY749" s="8"/>
      <c r="BZ749" s="96"/>
      <c r="CA749" s="91"/>
      <c r="CB749" s="97"/>
      <c r="CC749" s="8"/>
      <c r="CD749" s="91"/>
      <c r="CE749" s="98"/>
      <c r="DK749" s="89"/>
      <c r="DL749" s="8"/>
      <c r="DM749" s="8"/>
      <c r="DN749" s="8"/>
      <c r="DO749" s="8"/>
      <c r="DP749" s="8"/>
      <c r="DQ749" s="8"/>
      <c r="DR749" s="8"/>
      <c r="DZ749" s="45"/>
      <c r="EA749" s="89"/>
      <c r="EB749" s="89"/>
      <c r="EC749" s="89"/>
      <c r="ED749" s="89"/>
      <c r="EE749" s="89"/>
      <c r="EF749" s="89"/>
      <c r="EG749" s="89"/>
      <c r="EH749" s="89"/>
      <c r="EI749" s="89"/>
      <c r="EJ749" s="89"/>
      <c r="EK749" s="91"/>
      <c r="EL749" s="66"/>
      <c r="EM749" s="94"/>
      <c r="EN749" s="94"/>
      <c r="EO749" s="92"/>
      <c r="EP749" s="93"/>
      <c r="EQ749" s="23"/>
      <c r="ER749" s="94"/>
      <c r="ES749" s="94"/>
      <c r="ET749" s="94"/>
      <c r="EU749" s="94"/>
      <c r="EV749" s="95"/>
      <c r="EW749" s="91"/>
      <c r="EX749" s="95"/>
      <c r="EY749" s="8"/>
      <c r="EZ749" s="96"/>
      <c r="FA749" s="91"/>
      <c r="FB749" s="97"/>
      <c r="FC749" s="8"/>
      <c r="FD749" s="91"/>
      <c r="FE749" s="98"/>
    </row>
    <row r="750" spans="37:161">
      <c r="AK750" s="89"/>
      <c r="AL750" s="8"/>
      <c r="AM750" s="8"/>
      <c r="AN750" s="8"/>
      <c r="AO750" s="8"/>
      <c r="AP750" s="8"/>
      <c r="AQ750" s="8"/>
      <c r="AR750" s="8"/>
      <c r="AZ750" s="45"/>
      <c r="BA750" s="89"/>
      <c r="BB750" s="89"/>
      <c r="BC750" s="89"/>
      <c r="BD750" s="89"/>
      <c r="BE750" s="89"/>
      <c r="BF750" s="89"/>
      <c r="BG750" s="89"/>
      <c r="BH750" s="89"/>
      <c r="BI750" s="89"/>
      <c r="BJ750" s="89"/>
      <c r="BK750" s="91"/>
      <c r="BL750" s="66"/>
      <c r="BM750" s="94"/>
      <c r="BN750" s="94"/>
      <c r="BO750" s="92"/>
      <c r="BP750" s="93"/>
      <c r="BQ750" s="23"/>
      <c r="BR750" s="94"/>
      <c r="BS750" s="94"/>
      <c r="BT750" s="94"/>
      <c r="BU750" s="94"/>
      <c r="BV750" s="95"/>
      <c r="BW750" s="91"/>
      <c r="BX750" s="95"/>
      <c r="BY750" s="8"/>
      <c r="BZ750" s="96"/>
      <c r="CA750" s="91"/>
      <c r="CB750" s="97"/>
      <c r="CC750" s="8"/>
      <c r="CD750" s="91"/>
      <c r="CE750" s="98"/>
      <c r="DK750" s="89"/>
      <c r="DL750" s="8"/>
      <c r="DM750" s="8"/>
      <c r="DN750" s="8"/>
      <c r="DO750" s="8"/>
      <c r="DP750" s="8"/>
      <c r="DQ750" s="8"/>
      <c r="DR750" s="8"/>
      <c r="DZ750" s="45"/>
      <c r="EA750" s="89"/>
      <c r="EB750" s="89"/>
      <c r="EC750" s="89"/>
      <c r="ED750" s="89"/>
      <c r="EE750" s="89"/>
      <c r="EF750" s="89"/>
      <c r="EG750" s="89"/>
      <c r="EH750" s="89"/>
      <c r="EI750" s="89"/>
      <c r="EJ750" s="89"/>
      <c r="EK750" s="91"/>
      <c r="EL750" s="66"/>
      <c r="EM750" s="94"/>
      <c r="EN750" s="94"/>
      <c r="EO750" s="92"/>
      <c r="EP750" s="93"/>
      <c r="EQ750" s="23"/>
      <c r="ER750" s="94"/>
      <c r="ES750" s="94"/>
      <c r="ET750" s="94"/>
      <c r="EU750" s="94"/>
      <c r="EV750" s="95"/>
      <c r="EW750" s="91"/>
      <c r="EX750" s="95"/>
      <c r="EY750" s="8"/>
      <c r="EZ750" s="96"/>
      <c r="FA750" s="91"/>
      <c r="FB750" s="97"/>
      <c r="FC750" s="8"/>
      <c r="FD750" s="91"/>
      <c r="FE750" s="98"/>
    </row>
    <row r="751" spans="37:161">
      <c r="AK751" s="89"/>
      <c r="AL751" s="8"/>
      <c r="AM751" s="8"/>
      <c r="AN751" s="8"/>
      <c r="AO751" s="8"/>
      <c r="AP751" s="8"/>
      <c r="AQ751" s="8"/>
      <c r="AR751" s="8"/>
      <c r="AZ751" s="45"/>
      <c r="BA751" s="89"/>
      <c r="BB751" s="89"/>
      <c r="BC751" s="89"/>
      <c r="BD751" s="89"/>
      <c r="BE751" s="89"/>
      <c r="BF751" s="89"/>
      <c r="BG751" s="89"/>
      <c r="BH751" s="89"/>
      <c r="BI751" s="89"/>
      <c r="BJ751" s="89"/>
      <c r="BK751" s="91"/>
      <c r="BL751" s="66"/>
      <c r="BM751" s="94"/>
      <c r="BN751" s="94"/>
      <c r="BO751" s="92"/>
      <c r="BP751" s="93"/>
      <c r="BQ751" s="23"/>
      <c r="BR751" s="94"/>
      <c r="BS751" s="94"/>
      <c r="BT751" s="94"/>
      <c r="BU751" s="94"/>
      <c r="BV751" s="95"/>
      <c r="BW751" s="91"/>
      <c r="BX751" s="95"/>
      <c r="BY751" s="8"/>
      <c r="BZ751" s="96"/>
      <c r="CA751" s="91"/>
      <c r="CB751" s="97"/>
      <c r="CC751" s="8"/>
      <c r="CD751" s="91"/>
      <c r="CE751" s="98"/>
      <c r="DK751" s="89"/>
      <c r="DL751" s="8"/>
      <c r="DM751" s="8"/>
      <c r="DN751" s="8"/>
      <c r="DO751" s="8"/>
      <c r="DP751" s="8"/>
      <c r="DQ751" s="8"/>
      <c r="DR751" s="8"/>
      <c r="DZ751" s="45"/>
      <c r="EA751" s="89"/>
      <c r="EB751" s="89"/>
      <c r="EC751" s="89"/>
      <c r="ED751" s="89"/>
      <c r="EE751" s="89"/>
      <c r="EF751" s="89"/>
      <c r="EG751" s="89"/>
      <c r="EH751" s="89"/>
      <c r="EI751" s="89"/>
      <c r="EJ751" s="89"/>
      <c r="EK751" s="91"/>
      <c r="EL751" s="66"/>
      <c r="EM751" s="94"/>
      <c r="EN751" s="94"/>
      <c r="EO751" s="92"/>
      <c r="EP751" s="93"/>
      <c r="EQ751" s="23"/>
      <c r="ER751" s="94"/>
      <c r="ES751" s="94"/>
      <c r="ET751" s="94"/>
      <c r="EU751" s="94"/>
      <c r="EV751" s="95"/>
      <c r="EW751" s="91"/>
      <c r="EX751" s="95"/>
      <c r="EY751" s="8"/>
      <c r="EZ751" s="96"/>
      <c r="FA751" s="91"/>
      <c r="FB751" s="97"/>
      <c r="FC751" s="8"/>
      <c r="FD751" s="91"/>
      <c r="FE751" s="98"/>
    </row>
    <row r="752" spans="37:161">
      <c r="AK752" s="89"/>
      <c r="AL752" s="8"/>
      <c r="AM752" s="8"/>
      <c r="AN752" s="8"/>
      <c r="AO752" s="8"/>
      <c r="AP752" s="8"/>
      <c r="AQ752" s="8"/>
      <c r="AR752" s="8"/>
      <c r="AZ752" s="45"/>
      <c r="BA752" s="89"/>
      <c r="BB752" s="89"/>
      <c r="BC752" s="89"/>
      <c r="BD752" s="89"/>
      <c r="BE752" s="89"/>
      <c r="BF752" s="89"/>
      <c r="BG752" s="89"/>
      <c r="BH752" s="89"/>
      <c r="BI752" s="89"/>
      <c r="BJ752" s="89"/>
      <c r="BK752" s="91"/>
      <c r="BL752" s="66"/>
      <c r="BM752" s="94"/>
      <c r="BN752" s="94"/>
      <c r="BO752" s="92"/>
      <c r="BP752" s="93"/>
      <c r="BQ752" s="23"/>
      <c r="BR752" s="94"/>
      <c r="BS752" s="94"/>
      <c r="BT752" s="94"/>
      <c r="BU752" s="94"/>
      <c r="BV752" s="95"/>
      <c r="BW752" s="91"/>
      <c r="BX752" s="95"/>
      <c r="BY752" s="8"/>
      <c r="BZ752" s="96"/>
      <c r="CA752" s="91"/>
      <c r="CB752" s="97"/>
      <c r="CC752" s="8"/>
      <c r="CD752" s="91"/>
      <c r="CE752" s="98"/>
      <c r="DK752" s="89"/>
      <c r="DL752" s="8"/>
      <c r="DM752" s="8"/>
      <c r="DN752" s="8"/>
      <c r="DO752" s="8"/>
      <c r="DP752" s="8"/>
      <c r="DQ752" s="8"/>
      <c r="DR752" s="8"/>
      <c r="DZ752" s="45"/>
      <c r="EA752" s="89"/>
      <c r="EB752" s="89"/>
      <c r="EC752" s="89"/>
      <c r="ED752" s="89"/>
      <c r="EE752" s="89"/>
      <c r="EF752" s="89"/>
      <c r="EG752" s="89"/>
      <c r="EH752" s="89"/>
      <c r="EI752" s="89"/>
      <c r="EJ752" s="89"/>
      <c r="EK752" s="91"/>
      <c r="EL752" s="66"/>
      <c r="EM752" s="94"/>
      <c r="EN752" s="94"/>
      <c r="EO752" s="92"/>
      <c r="EP752" s="93"/>
      <c r="EQ752" s="23"/>
      <c r="ER752" s="94"/>
      <c r="ES752" s="94"/>
      <c r="ET752" s="94"/>
      <c r="EU752" s="94"/>
      <c r="EV752" s="95"/>
      <c r="EW752" s="91"/>
      <c r="EX752" s="95"/>
      <c r="EY752" s="8"/>
      <c r="EZ752" s="96"/>
      <c r="FA752" s="91"/>
      <c r="FB752" s="97"/>
      <c r="FC752" s="8"/>
      <c r="FD752" s="91"/>
      <c r="FE752" s="98"/>
    </row>
    <row r="753" spans="37:161">
      <c r="AK753" s="89"/>
      <c r="AL753" s="8"/>
      <c r="AM753" s="8"/>
      <c r="AN753" s="8"/>
      <c r="AO753" s="8"/>
      <c r="AP753" s="8"/>
      <c r="AQ753" s="8"/>
      <c r="AR753" s="8"/>
      <c r="AZ753" s="45"/>
      <c r="BA753" s="89"/>
      <c r="BB753" s="89"/>
      <c r="BC753" s="89"/>
      <c r="BD753" s="89"/>
      <c r="BE753" s="89"/>
      <c r="BF753" s="89"/>
      <c r="BG753" s="89"/>
      <c r="BH753" s="89"/>
      <c r="BI753" s="89"/>
      <c r="BJ753" s="89"/>
      <c r="BK753" s="91"/>
      <c r="BL753" s="66"/>
      <c r="BM753" s="94"/>
      <c r="BN753" s="94"/>
      <c r="BO753" s="92"/>
      <c r="BP753" s="93"/>
      <c r="BQ753" s="23"/>
      <c r="BR753" s="94"/>
      <c r="BS753" s="94"/>
      <c r="BT753" s="94"/>
      <c r="BU753" s="94"/>
      <c r="BV753" s="95"/>
      <c r="BW753" s="91"/>
      <c r="BX753" s="95"/>
      <c r="BY753" s="8"/>
      <c r="BZ753" s="96"/>
      <c r="CA753" s="91"/>
      <c r="CB753" s="97"/>
      <c r="CC753" s="8"/>
      <c r="CD753" s="91"/>
      <c r="CE753" s="98"/>
      <c r="DK753" s="89"/>
      <c r="DL753" s="8"/>
      <c r="DM753" s="8"/>
      <c r="DN753" s="8"/>
      <c r="DO753" s="8"/>
      <c r="DP753" s="8"/>
      <c r="DQ753" s="8"/>
      <c r="DR753" s="8"/>
      <c r="DZ753" s="45"/>
      <c r="EA753" s="89"/>
      <c r="EB753" s="89"/>
      <c r="EC753" s="89"/>
      <c r="ED753" s="89"/>
      <c r="EE753" s="89"/>
      <c r="EF753" s="89"/>
      <c r="EG753" s="89"/>
      <c r="EH753" s="89"/>
      <c r="EI753" s="89"/>
      <c r="EJ753" s="89"/>
      <c r="EK753" s="91"/>
      <c r="EL753" s="66"/>
      <c r="EM753" s="94"/>
      <c r="EN753" s="94"/>
      <c r="EO753" s="92"/>
      <c r="EP753" s="93"/>
      <c r="EQ753" s="23"/>
      <c r="ER753" s="94"/>
      <c r="ES753" s="94"/>
      <c r="ET753" s="94"/>
      <c r="EU753" s="94"/>
      <c r="EV753" s="95"/>
      <c r="EW753" s="91"/>
      <c r="EX753" s="95"/>
      <c r="EY753" s="8"/>
      <c r="EZ753" s="96"/>
      <c r="FA753" s="91"/>
      <c r="FB753" s="97"/>
      <c r="FC753" s="8"/>
      <c r="FD753" s="91"/>
      <c r="FE753" s="98"/>
    </row>
    <row r="754" spans="37:161">
      <c r="AK754" s="89"/>
      <c r="AL754" s="8"/>
      <c r="AM754" s="8"/>
      <c r="AN754" s="8"/>
      <c r="AO754" s="8"/>
      <c r="AP754" s="8"/>
      <c r="AQ754" s="8"/>
      <c r="AR754" s="8"/>
      <c r="AZ754" s="45"/>
      <c r="BA754" s="89"/>
      <c r="BB754" s="89"/>
      <c r="BC754" s="89"/>
      <c r="BD754" s="89"/>
      <c r="BE754" s="89"/>
      <c r="BF754" s="89"/>
      <c r="BG754" s="89"/>
      <c r="BH754" s="89"/>
      <c r="BI754" s="89"/>
      <c r="BJ754" s="89"/>
      <c r="BK754" s="91"/>
      <c r="BL754" s="66"/>
      <c r="BM754" s="94"/>
      <c r="BN754" s="94"/>
      <c r="BO754" s="92"/>
      <c r="BP754" s="93"/>
      <c r="BQ754" s="23"/>
      <c r="BR754" s="94"/>
      <c r="BS754" s="94"/>
      <c r="BT754" s="94"/>
      <c r="BU754" s="94"/>
      <c r="BV754" s="95"/>
      <c r="BW754" s="91"/>
      <c r="BX754" s="95"/>
      <c r="BY754" s="8"/>
      <c r="BZ754" s="96"/>
      <c r="CA754" s="91"/>
      <c r="CB754" s="97"/>
      <c r="CC754" s="8"/>
      <c r="CD754" s="91"/>
      <c r="CE754" s="98"/>
      <c r="DK754" s="89"/>
      <c r="DL754" s="8"/>
      <c r="DM754" s="8"/>
      <c r="DN754" s="8"/>
      <c r="DO754" s="8"/>
      <c r="DP754" s="8"/>
      <c r="DQ754" s="8"/>
      <c r="DR754" s="8"/>
      <c r="DZ754" s="45"/>
      <c r="EA754" s="89"/>
      <c r="EB754" s="89"/>
      <c r="EC754" s="89"/>
      <c r="ED754" s="89"/>
      <c r="EE754" s="89"/>
      <c r="EF754" s="89"/>
      <c r="EG754" s="89"/>
      <c r="EH754" s="89"/>
      <c r="EI754" s="89"/>
      <c r="EJ754" s="89"/>
      <c r="EK754" s="91"/>
      <c r="EL754" s="66"/>
      <c r="EM754" s="94"/>
      <c r="EN754" s="94"/>
      <c r="EO754" s="92"/>
      <c r="EP754" s="93"/>
      <c r="EQ754" s="23"/>
      <c r="ER754" s="94"/>
      <c r="ES754" s="94"/>
      <c r="ET754" s="94"/>
      <c r="EU754" s="94"/>
      <c r="EV754" s="95"/>
      <c r="EW754" s="91"/>
      <c r="EX754" s="95"/>
      <c r="EY754" s="8"/>
      <c r="EZ754" s="96"/>
      <c r="FA754" s="91"/>
      <c r="FB754" s="97"/>
      <c r="FC754" s="8"/>
      <c r="FD754" s="91"/>
      <c r="FE754" s="98"/>
    </row>
    <row r="755" spans="37:161">
      <c r="AK755" s="89"/>
      <c r="AL755" s="8"/>
      <c r="AM755" s="8"/>
      <c r="AN755" s="8"/>
      <c r="AO755" s="8"/>
      <c r="AP755" s="8"/>
      <c r="AQ755" s="8"/>
      <c r="AR755" s="8"/>
      <c r="AZ755" s="45"/>
      <c r="BA755" s="89"/>
      <c r="BB755" s="89"/>
      <c r="BC755" s="89"/>
      <c r="BD755" s="89"/>
      <c r="BE755" s="89"/>
      <c r="BF755" s="89"/>
      <c r="BG755" s="89"/>
      <c r="BH755" s="89"/>
      <c r="BI755" s="89"/>
      <c r="BJ755" s="89"/>
      <c r="BK755" s="91"/>
      <c r="BL755" s="66"/>
      <c r="BM755" s="94"/>
      <c r="BN755" s="94"/>
      <c r="BO755" s="92"/>
      <c r="BP755" s="93"/>
      <c r="BQ755" s="23"/>
      <c r="BR755" s="94"/>
      <c r="BS755" s="94"/>
      <c r="BT755" s="94"/>
      <c r="BU755" s="94"/>
      <c r="BV755" s="95"/>
      <c r="BW755" s="91"/>
      <c r="BX755" s="95"/>
      <c r="BY755" s="8"/>
      <c r="BZ755" s="96"/>
      <c r="CA755" s="91"/>
      <c r="CB755" s="97"/>
      <c r="CC755" s="8"/>
      <c r="CD755" s="91"/>
      <c r="CE755" s="98"/>
      <c r="DK755" s="89"/>
      <c r="DL755" s="8"/>
      <c r="DM755" s="8"/>
      <c r="DN755" s="8"/>
      <c r="DO755" s="8"/>
      <c r="DP755" s="8"/>
      <c r="DQ755" s="8"/>
      <c r="DR755" s="8"/>
      <c r="DZ755" s="45"/>
      <c r="EA755" s="89"/>
      <c r="EB755" s="89"/>
      <c r="EC755" s="89"/>
      <c r="ED755" s="89"/>
      <c r="EE755" s="89"/>
      <c r="EF755" s="89"/>
      <c r="EG755" s="89"/>
      <c r="EH755" s="89"/>
      <c r="EI755" s="89"/>
      <c r="EJ755" s="89"/>
      <c r="EK755" s="91"/>
      <c r="EL755" s="66"/>
      <c r="EM755" s="94"/>
      <c r="EN755" s="94"/>
      <c r="EO755" s="92"/>
      <c r="EP755" s="93"/>
      <c r="EQ755" s="23"/>
      <c r="ER755" s="94"/>
      <c r="ES755" s="94"/>
      <c r="ET755" s="94"/>
      <c r="EU755" s="94"/>
      <c r="EV755" s="95"/>
      <c r="EW755" s="91"/>
      <c r="EX755" s="95"/>
      <c r="EY755" s="8"/>
      <c r="EZ755" s="96"/>
      <c r="FA755" s="91"/>
      <c r="FB755" s="97"/>
      <c r="FC755" s="8"/>
      <c r="FD755" s="91"/>
      <c r="FE755" s="98"/>
    </row>
    <row r="756" spans="37:161">
      <c r="AK756" s="89"/>
      <c r="AL756" s="8"/>
      <c r="AM756" s="8"/>
      <c r="AN756" s="8"/>
      <c r="AO756" s="8"/>
      <c r="AP756" s="8"/>
      <c r="AQ756" s="8"/>
      <c r="AR756" s="8"/>
      <c r="AZ756" s="45"/>
      <c r="BA756" s="89"/>
      <c r="BB756" s="89"/>
      <c r="BC756" s="89"/>
      <c r="BD756" s="89"/>
      <c r="BE756" s="89"/>
      <c r="BF756" s="89"/>
      <c r="BG756" s="89"/>
      <c r="BH756" s="89"/>
      <c r="BI756" s="89"/>
      <c r="BJ756" s="89"/>
      <c r="BK756" s="91"/>
      <c r="BL756" s="66"/>
      <c r="BM756" s="94"/>
      <c r="BN756" s="94"/>
      <c r="BO756" s="92"/>
      <c r="BP756" s="93"/>
      <c r="BQ756" s="23"/>
      <c r="BR756" s="94"/>
      <c r="BS756" s="94"/>
      <c r="BT756" s="94"/>
      <c r="BU756" s="94"/>
      <c r="BV756" s="95"/>
      <c r="BW756" s="91"/>
      <c r="BX756" s="95"/>
      <c r="BY756" s="8"/>
      <c r="BZ756" s="96"/>
      <c r="CA756" s="91"/>
      <c r="CB756" s="97"/>
      <c r="CC756" s="8"/>
      <c r="CD756" s="91"/>
      <c r="CE756" s="98"/>
      <c r="DK756" s="89"/>
      <c r="DL756" s="8"/>
      <c r="DM756" s="8"/>
      <c r="DN756" s="8"/>
      <c r="DO756" s="8"/>
      <c r="DP756" s="8"/>
      <c r="DQ756" s="8"/>
      <c r="DR756" s="8"/>
      <c r="DZ756" s="45"/>
      <c r="EA756" s="89"/>
      <c r="EB756" s="89"/>
      <c r="EC756" s="89"/>
      <c r="ED756" s="89"/>
      <c r="EE756" s="89"/>
      <c r="EF756" s="89"/>
      <c r="EG756" s="89"/>
      <c r="EH756" s="89"/>
      <c r="EI756" s="89"/>
      <c r="EJ756" s="89"/>
      <c r="EK756" s="91"/>
      <c r="EL756" s="66"/>
      <c r="EM756" s="94"/>
      <c r="EN756" s="94"/>
      <c r="EO756" s="92"/>
      <c r="EP756" s="93"/>
      <c r="EQ756" s="23"/>
      <c r="ER756" s="94"/>
      <c r="ES756" s="94"/>
      <c r="ET756" s="94"/>
      <c r="EU756" s="94"/>
      <c r="EV756" s="95"/>
      <c r="EW756" s="91"/>
      <c r="EX756" s="95"/>
      <c r="EY756" s="8"/>
      <c r="EZ756" s="96"/>
      <c r="FA756" s="91"/>
      <c r="FB756" s="97"/>
      <c r="FC756" s="8"/>
      <c r="FD756" s="91"/>
      <c r="FE756" s="98"/>
    </row>
    <row r="757" spans="37:161">
      <c r="AK757" s="89"/>
      <c r="AL757" s="8"/>
      <c r="AM757" s="8"/>
      <c r="AN757" s="8"/>
      <c r="AO757" s="8"/>
      <c r="AP757" s="8"/>
      <c r="AQ757" s="8"/>
      <c r="AR757" s="8"/>
      <c r="AZ757" s="45"/>
      <c r="BA757" s="89"/>
      <c r="BB757" s="89"/>
      <c r="BC757" s="89"/>
      <c r="BD757" s="89"/>
      <c r="BE757" s="89"/>
      <c r="BF757" s="89"/>
      <c r="BG757" s="89"/>
      <c r="BH757" s="89"/>
      <c r="BI757" s="89"/>
      <c r="BJ757" s="89"/>
      <c r="BK757" s="91"/>
      <c r="BL757" s="66"/>
      <c r="BM757" s="94"/>
      <c r="BN757" s="94"/>
      <c r="BO757" s="92"/>
      <c r="BP757" s="93"/>
      <c r="BQ757" s="23"/>
      <c r="BR757" s="94"/>
      <c r="BS757" s="94"/>
      <c r="BT757" s="94"/>
      <c r="BU757" s="94"/>
      <c r="BV757" s="95"/>
      <c r="BW757" s="91"/>
      <c r="BX757" s="95"/>
      <c r="BY757" s="8"/>
      <c r="BZ757" s="96"/>
      <c r="CA757" s="91"/>
      <c r="CB757" s="97"/>
      <c r="CC757" s="8"/>
      <c r="CD757" s="91"/>
      <c r="CE757" s="98"/>
      <c r="DK757" s="89"/>
      <c r="DL757" s="8"/>
      <c r="DM757" s="8"/>
      <c r="DN757" s="8"/>
      <c r="DO757" s="8"/>
      <c r="DP757" s="8"/>
      <c r="DQ757" s="8"/>
      <c r="DR757" s="8"/>
      <c r="DZ757" s="45"/>
      <c r="EA757" s="89"/>
      <c r="EB757" s="89"/>
      <c r="EC757" s="89"/>
      <c r="ED757" s="89"/>
      <c r="EE757" s="89"/>
      <c r="EF757" s="89"/>
      <c r="EG757" s="89"/>
      <c r="EH757" s="89"/>
      <c r="EI757" s="89"/>
      <c r="EJ757" s="89"/>
      <c r="EK757" s="91"/>
      <c r="EL757" s="66"/>
      <c r="EM757" s="94"/>
      <c r="EN757" s="94"/>
      <c r="EO757" s="92"/>
      <c r="EP757" s="93"/>
      <c r="EQ757" s="23"/>
      <c r="ER757" s="94"/>
      <c r="ES757" s="94"/>
      <c r="ET757" s="94"/>
      <c r="EU757" s="94"/>
      <c r="EV757" s="95"/>
      <c r="EW757" s="91"/>
      <c r="EX757" s="95"/>
      <c r="EY757" s="8"/>
      <c r="EZ757" s="96"/>
      <c r="FA757" s="91"/>
      <c r="FB757" s="97"/>
      <c r="FC757" s="8"/>
      <c r="FD757" s="91"/>
      <c r="FE757" s="98"/>
    </row>
    <row r="758" spans="37:161">
      <c r="AK758" s="89"/>
      <c r="AL758" s="8"/>
      <c r="AM758" s="8"/>
      <c r="AN758" s="8"/>
      <c r="AO758" s="8"/>
      <c r="AP758" s="8"/>
      <c r="AQ758" s="8"/>
      <c r="AR758" s="8"/>
      <c r="AZ758" s="45"/>
      <c r="BA758" s="89"/>
      <c r="BB758" s="89"/>
      <c r="BC758" s="89"/>
      <c r="BD758" s="89"/>
      <c r="BE758" s="89"/>
      <c r="BF758" s="89"/>
      <c r="BG758" s="89"/>
      <c r="BH758" s="89"/>
      <c r="BI758" s="89"/>
      <c r="BJ758" s="89"/>
      <c r="BK758" s="91"/>
      <c r="BL758" s="66"/>
      <c r="BM758" s="94"/>
      <c r="BN758" s="94"/>
      <c r="BO758" s="92"/>
      <c r="BP758" s="93"/>
      <c r="BQ758" s="23"/>
      <c r="BR758" s="94"/>
      <c r="BS758" s="94"/>
      <c r="BT758" s="94"/>
      <c r="BU758" s="94"/>
      <c r="BV758" s="95"/>
      <c r="BW758" s="91"/>
      <c r="BX758" s="95"/>
      <c r="BY758" s="8"/>
      <c r="BZ758" s="96"/>
      <c r="CA758" s="91"/>
      <c r="CB758" s="97"/>
      <c r="CC758" s="8"/>
      <c r="CD758" s="91"/>
      <c r="CE758" s="98"/>
      <c r="DK758" s="89"/>
      <c r="DL758" s="8"/>
      <c r="DM758" s="8"/>
      <c r="DN758" s="8"/>
      <c r="DO758" s="8"/>
      <c r="DP758" s="8"/>
      <c r="DQ758" s="8"/>
      <c r="DR758" s="8"/>
      <c r="DZ758" s="45"/>
      <c r="EA758" s="89"/>
      <c r="EB758" s="89"/>
      <c r="EC758" s="89"/>
      <c r="ED758" s="89"/>
      <c r="EE758" s="89"/>
      <c r="EF758" s="89"/>
      <c r="EG758" s="89"/>
      <c r="EH758" s="89"/>
      <c r="EI758" s="89"/>
      <c r="EJ758" s="89"/>
      <c r="EK758" s="91"/>
      <c r="EL758" s="66"/>
      <c r="EM758" s="94"/>
      <c r="EN758" s="94"/>
      <c r="EO758" s="92"/>
      <c r="EP758" s="93"/>
      <c r="EQ758" s="23"/>
      <c r="ER758" s="94"/>
      <c r="ES758" s="94"/>
      <c r="ET758" s="94"/>
      <c r="EU758" s="94"/>
      <c r="EV758" s="95"/>
      <c r="EW758" s="91"/>
      <c r="EX758" s="95"/>
      <c r="EY758" s="8"/>
      <c r="EZ758" s="96"/>
      <c r="FA758" s="91"/>
      <c r="FB758" s="97"/>
      <c r="FC758" s="8"/>
      <c r="FD758" s="91"/>
      <c r="FE758" s="98"/>
    </row>
    <row r="759" spans="37:161">
      <c r="AK759" s="89"/>
      <c r="AL759" s="8"/>
      <c r="AM759" s="8"/>
      <c r="AN759" s="8"/>
      <c r="AO759" s="8"/>
      <c r="AP759" s="8"/>
      <c r="AQ759" s="8"/>
      <c r="AR759" s="8"/>
      <c r="AZ759" s="45"/>
      <c r="BA759" s="89"/>
      <c r="BB759" s="89"/>
      <c r="BC759" s="89"/>
      <c r="BD759" s="89"/>
      <c r="BE759" s="89"/>
      <c r="BF759" s="89"/>
      <c r="BG759" s="89"/>
      <c r="BH759" s="89"/>
      <c r="BI759" s="89"/>
      <c r="BJ759" s="89"/>
      <c r="BK759" s="91"/>
      <c r="BL759" s="66"/>
      <c r="BM759" s="94"/>
      <c r="BN759" s="94"/>
      <c r="BO759" s="92"/>
      <c r="BP759" s="93"/>
      <c r="BQ759" s="23"/>
      <c r="BR759" s="94"/>
      <c r="BS759" s="94"/>
      <c r="BT759" s="94"/>
      <c r="BU759" s="94"/>
      <c r="BV759" s="95"/>
      <c r="BW759" s="91"/>
      <c r="BX759" s="95"/>
      <c r="BY759" s="8"/>
      <c r="BZ759" s="96"/>
      <c r="CA759" s="91"/>
      <c r="CB759" s="97"/>
      <c r="CC759" s="8"/>
      <c r="CD759" s="91"/>
      <c r="CE759" s="98"/>
      <c r="DK759" s="89"/>
      <c r="DL759" s="8"/>
      <c r="DM759" s="8"/>
      <c r="DN759" s="8"/>
      <c r="DO759" s="8"/>
      <c r="DP759" s="8"/>
      <c r="DQ759" s="8"/>
      <c r="DR759" s="8"/>
      <c r="DZ759" s="45"/>
      <c r="EA759" s="89"/>
      <c r="EB759" s="89"/>
      <c r="EC759" s="89"/>
      <c r="ED759" s="89"/>
      <c r="EE759" s="89"/>
      <c r="EF759" s="89"/>
      <c r="EG759" s="89"/>
      <c r="EH759" s="89"/>
      <c r="EI759" s="89"/>
      <c r="EJ759" s="89"/>
      <c r="EK759" s="91"/>
      <c r="EL759" s="66"/>
      <c r="EM759" s="94"/>
      <c r="EN759" s="94"/>
      <c r="EO759" s="92"/>
      <c r="EP759" s="93"/>
      <c r="EQ759" s="23"/>
      <c r="ER759" s="94"/>
      <c r="ES759" s="94"/>
      <c r="ET759" s="94"/>
      <c r="EU759" s="94"/>
      <c r="EV759" s="95"/>
      <c r="EW759" s="91"/>
      <c r="EX759" s="95"/>
      <c r="EY759" s="8"/>
      <c r="EZ759" s="96"/>
      <c r="FA759" s="91"/>
      <c r="FB759" s="97"/>
      <c r="FC759" s="8"/>
      <c r="FD759" s="91"/>
      <c r="FE759" s="98"/>
    </row>
    <row r="760" spans="37:161">
      <c r="AK760" s="89"/>
      <c r="AL760" s="8"/>
      <c r="AM760" s="8"/>
      <c r="AN760" s="8"/>
      <c r="AO760" s="8"/>
      <c r="AP760" s="8"/>
      <c r="AQ760" s="8"/>
      <c r="AR760" s="8"/>
      <c r="AZ760" s="45"/>
      <c r="BA760" s="89"/>
      <c r="BB760" s="89"/>
      <c r="BC760" s="89"/>
      <c r="BD760" s="89"/>
      <c r="BE760" s="89"/>
      <c r="BF760" s="89"/>
      <c r="BG760" s="89"/>
      <c r="BH760" s="89"/>
      <c r="BI760" s="89"/>
      <c r="BJ760" s="89"/>
      <c r="BK760" s="91"/>
      <c r="BL760" s="66"/>
      <c r="BM760" s="94"/>
      <c r="BN760" s="94"/>
      <c r="BO760" s="92"/>
      <c r="BP760" s="93"/>
      <c r="BQ760" s="23"/>
      <c r="BR760" s="94"/>
      <c r="BS760" s="94"/>
      <c r="BT760" s="94"/>
      <c r="BU760" s="94"/>
      <c r="BV760" s="95"/>
      <c r="BW760" s="91"/>
      <c r="BX760" s="95"/>
      <c r="BY760" s="8"/>
      <c r="BZ760" s="96"/>
      <c r="CA760" s="91"/>
      <c r="CB760" s="97"/>
      <c r="CC760" s="8"/>
      <c r="CD760" s="91"/>
      <c r="CE760" s="98"/>
      <c r="DK760" s="89"/>
      <c r="DL760" s="8"/>
      <c r="DM760" s="8"/>
      <c r="DN760" s="8"/>
      <c r="DO760" s="8"/>
      <c r="DP760" s="8"/>
      <c r="DQ760" s="8"/>
      <c r="DR760" s="8"/>
      <c r="DZ760" s="45"/>
      <c r="EA760" s="89"/>
      <c r="EB760" s="89"/>
      <c r="EC760" s="89"/>
      <c r="ED760" s="89"/>
      <c r="EE760" s="89"/>
      <c r="EF760" s="89"/>
      <c r="EG760" s="89"/>
      <c r="EH760" s="89"/>
      <c r="EI760" s="89"/>
      <c r="EJ760" s="89"/>
      <c r="EK760" s="91"/>
      <c r="EL760" s="66"/>
      <c r="EM760" s="94"/>
      <c r="EN760" s="94"/>
      <c r="EO760" s="92"/>
      <c r="EP760" s="93"/>
      <c r="EQ760" s="23"/>
      <c r="ER760" s="94"/>
      <c r="ES760" s="94"/>
      <c r="ET760" s="94"/>
      <c r="EU760" s="94"/>
      <c r="EV760" s="95"/>
      <c r="EW760" s="91"/>
      <c r="EX760" s="95"/>
      <c r="EY760" s="8"/>
      <c r="EZ760" s="96"/>
      <c r="FA760" s="91"/>
      <c r="FB760" s="97"/>
      <c r="FC760" s="8"/>
      <c r="FD760" s="91"/>
      <c r="FE760" s="98"/>
    </row>
    <row r="761" spans="37:161">
      <c r="AK761" s="89"/>
      <c r="AL761" s="8"/>
      <c r="AM761" s="8"/>
      <c r="AN761" s="8"/>
      <c r="AO761" s="8"/>
      <c r="AP761" s="8"/>
      <c r="AQ761" s="8"/>
      <c r="AR761" s="8"/>
      <c r="AZ761" s="45"/>
      <c r="BA761" s="89"/>
      <c r="BB761" s="89"/>
      <c r="BC761" s="89"/>
      <c r="BD761" s="89"/>
      <c r="BE761" s="89"/>
      <c r="BF761" s="89"/>
      <c r="BG761" s="89"/>
      <c r="BH761" s="89"/>
      <c r="BI761" s="89"/>
      <c r="BJ761" s="89"/>
      <c r="BK761" s="91"/>
      <c r="BL761" s="66"/>
      <c r="BM761" s="94"/>
      <c r="BN761" s="94"/>
      <c r="BO761" s="92"/>
      <c r="BP761" s="93"/>
      <c r="BQ761" s="23"/>
      <c r="BR761" s="94"/>
      <c r="BS761" s="94"/>
      <c r="BT761" s="94"/>
      <c r="BU761" s="94"/>
      <c r="BV761" s="95"/>
      <c r="BW761" s="91"/>
      <c r="BX761" s="95"/>
      <c r="BY761" s="8"/>
      <c r="BZ761" s="96"/>
      <c r="CA761" s="91"/>
      <c r="CB761" s="97"/>
      <c r="CC761" s="8"/>
      <c r="CD761" s="91"/>
      <c r="CE761" s="98"/>
      <c r="DK761" s="89"/>
      <c r="DL761" s="8"/>
      <c r="DM761" s="8"/>
      <c r="DN761" s="8"/>
      <c r="DO761" s="8"/>
      <c r="DP761" s="8"/>
      <c r="DQ761" s="8"/>
      <c r="DR761" s="8"/>
      <c r="DZ761" s="45"/>
      <c r="EA761" s="89"/>
      <c r="EB761" s="89"/>
      <c r="EC761" s="89"/>
      <c r="ED761" s="89"/>
      <c r="EE761" s="89"/>
      <c r="EF761" s="89"/>
      <c r="EG761" s="89"/>
      <c r="EH761" s="89"/>
      <c r="EI761" s="89"/>
      <c r="EJ761" s="89"/>
      <c r="EK761" s="91"/>
      <c r="EL761" s="66"/>
      <c r="EM761" s="94"/>
      <c r="EN761" s="94"/>
      <c r="EO761" s="92"/>
      <c r="EP761" s="93"/>
      <c r="EQ761" s="23"/>
      <c r="ER761" s="94"/>
      <c r="ES761" s="94"/>
      <c r="ET761" s="94"/>
      <c r="EU761" s="94"/>
      <c r="EV761" s="95"/>
      <c r="EW761" s="91"/>
      <c r="EX761" s="95"/>
      <c r="EY761" s="8"/>
      <c r="EZ761" s="96"/>
      <c r="FA761" s="91"/>
      <c r="FB761" s="97"/>
      <c r="FC761" s="8"/>
      <c r="FD761" s="91"/>
      <c r="FE761" s="98"/>
    </row>
    <row r="762" spans="37:161">
      <c r="AK762" s="89"/>
      <c r="AL762" s="8"/>
      <c r="AM762" s="8"/>
      <c r="AN762" s="8"/>
      <c r="AO762" s="8"/>
      <c r="AP762" s="8"/>
      <c r="AQ762" s="8"/>
      <c r="AR762" s="8"/>
      <c r="AZ762" s="45"/>
      <c r="BA762" s="89"/>
      <c r="BB762" s="89"/>
      <c r="BC762" s="89"/>
      <c r="BD762" s="89"/>
      <c r="BE762" s="89"/>
      <c r="BF762" s="89"/>
      <c r="BG762" s="89"/>
      <c r="BH762" s="89"/>
      <c r="BI762" s="89"/>
      <c r="BJ762" s="89"/>
      <c r="BK762" s="91"/>
      <c r="BL762" s="66"/>
      <c r="BM762" s="94"/>
      <c r="BN762" s="94"/>
      <c r="BO762" s="92"/>
      <c r="BP762" s="93"/>
      <c r="BQ762" s="23"/>
      <c r="BR762" s="94"/>
      <c r="BS762" s="94"/>
      <c r="BT762" s="94"/>
      <c r="BU762" s="94"/>
      <c r="BV762" s="95"/>
      <c r="BW762" s="91"/>
      <c r="BX762" s="95"/>
      <c r="BY762" s="8"/>
      <c r="BZ762" s="96"/>
      <c r="CA762" s="91"/>
      <c r="CB762" s="97"/>
      <c r="CC762" s="8"/>
      <c r="CD762" s="91"/>
      <c r="CE762" s="98"/>
      <c r="DK762" s="89"/>
      <c r="DL762" s="8"/>
      <c r="DM762" s="8"/>
      <c r="DN762" s="8"/>
      <c r="DO762" s="8"/>
      <c r="DP762" s="8"/>
      <c r="DQ762" s="8"/>
      <c r="DR762" s="8"/>
      <c r="DZ762" s="45"/>
      <c r="EA762" s="89"/>
      <c r="EB762" s="89"/>
      <c r="EC762" s="89"/>
      <c r="ED762" s="89"/>
      <c r="EE762" s="89"/>
      <c r="EF762" s="89"/>
      <c r="EG762" s="89"/>
      <c r="EH762" s="89"/>
      <c r="EI762" s="89"/>
      <c r="EJ762" s="89"/>
      <c r="EK762" s="91"/>
      <c r="EL762" s="66"/>
      <c r="EM762" s="94"/>
      <c r="EN762" s="94"/>
      <c r="EO762" s="92"/>
      <c r="EP762" s="93"/>
      <c r="EQ762" s="23"/>
      <c r="ER762" s="94"/>
      <c r="ES762" s="94"/>
      <c r="ET762" s="94"/>
      <c r="EU762" s="94"/>
      <c r="EV762" s="95"/>
      <c r="EW762" s="91"/>
      <c r="EX762" s="95"/>
      <c r="EY762" s="8"/>
      <c r="EZ762" s="96"/>
      <c r="FA762" s="91"/>
      <c r="FB762" s="97"/>
      <c r="FC762" s="8"/>
      <c r="FD762" s="91"/>
      <c r="FE762" s="98"/>
    </row>
    <row r="763" spans="37:161">
      <c r="AK763" s="89"/>
      <c r="AL763" s="8"/>
      <c r="AM763" s="8"/>
      <c r="AN763" s="8"/>
      <c r="AO763" s="8"/>
      <c r="AP763" s="8"/>
      <c r="AQ763" s="8"/>
      <c r="AR763" s="8"/>
      <c r="AZ763" s="45"/>
      <c r="BA763" s="89"/>
      <c r="BB763" s="89"/>
      <c r="BC763" s="89"/>
      <c r="BD763" s="89"/>
      <c r="BE763" s="89"/>
      <c r="BF763" s="89"/>
      <c r="BG763" s="89"/>
      <c r="BH763" s="89"/>
      <c r="BI763" s="89"/>
      <c r="BJ763" s="89"/>
      <c r="BK763" s="91"/>
      <c r="BL763" s="66"/>
      <c r="BM763" s="94"/>
      <c r="BN763" s="94"/>
      <c r="BO763" s="92"/>
      <c r="BP763" s="93"/>
      <c r="BQ763" s="23"/>
      <c r="BR763" s="94"/>
      <c r="BS763" s="94"/>
      <c r="BT763" s="94"/>
      <c r="BU763" s="94"/>
      <c r="BV763" s="95"/>
      <c r="BW763" s="91"/>
      <c r="BX763" s="95"/>
      <c r="BY763" s="8"/>
      <c r="BZ763" s="96"/>
      <c r="CA763" s="91"/>
      <c r="CB763" s="97"/>
      <c r="CC763" s="8"/>
      <c r="CD763" s="91"/>
      <c r="CE763" s="98"/>
      <c r="DK763" s="89"/>
      <c r="DL763" s="8"/>
      <c r="DM763" s="8"/>
      <c r="DN763" s="8"/>
      <c r="DO763" s="8"/>
      <c r="DP763" s="8"/>
      <c r="DQ763" s="8"/>
      <c r="DR763" s="8"/>
      <c r="DZ763" s="45"/>
      <c r="EA763" s="89"/>
      <c r="EB763" s="89"/>
      <c r="EC763" s="89"/>
      <c r="ED763" s="89"/>
      <c r="EE763" s="89"/>
      <c r="EF763" s="89"/>
      <c r="EG763" s="89"/>
      <c r="EH763" s="89"/>
      <c r="EI763" s="89"/>
      <c r="EJ763" s="89"/>
      <c r="EK763" s="91"/>
      <c r="EL763" s="66"/>
      <c r="EM763" s="94"/>
      <c r="EN763" s="94"/>
      <c r="EO763" s="92"/>
      <c r="EP763" s="93"/>
      <c r="EQ763" s="23"/>
      <c r="ER763" s="94"/>
      <c r="ES763" s="94"/>
      <c r="ET763" s="94"/>
      <c r="EU763" s="94"/>
      <c r="EV763" s="95"/>
      <c r="EW763" s="91"/>
      <c r="EX763" s="95"/>
      <c r="EY763" s="8"/>
      <c r="EZ763" s="96"/>
      <c r="FA763" s="91"/>
      <c r="FB763" s="97"/>
      <c r="FC763" s="8"/>
      <c r="FD763" s="91"/>
      <c r="FE763" s="98"/>
    </row>
    <row r="764" spans="37:161">
      <c r="AK764" s="89"/>
      <c r="AL764" s="8"/>
      <c r="AM764" s="8"/>
      <c r="AN764" s="8"/>
      <c r="AO764" s="8"/>
      <c r="AP764" s="8"/>
      <c r="AQ764" s="8"/>
      <c r="AR764" s="8"/>
      <c r="AZ764" s="45"/>
      <c r="BA764" s="89"/>
      <c r="BB764" s="89"/>
      <c r="BC764" s="89"/>
      <c r="BD764" s="89"/>
      <c r="BE764" s="89"/>
      <c r="BF764" s="89"/>
      <c r="BG764" s="89"/>
      <c r="BH764" s="89"/>
      <c r="BI764" s="89"/>
      <c r="BJ764" s="89"/>
      <c r="BK764" s="91"/>
      <c r="BL764" s="66"/>
      <c r="BM764" s="94"/>
      <c r="BN764" s="94"/>
      <c r="BO764" s="92"/>
      <c r="BP764" s="93"/>
      <c r="BQ764" s="23"/>
      <c r="BR764" s="94"/>
      <c r="BS764" s="94"/>
      <c r="BT764" s="94"/>
      <c r="BU764" s="94"/>
      <c r="BV764" s="95"/>
      <c r="BW764" s="91"/>
      <c r="BX764" s="95"/>
      <c r="BY764" s="8"/>
      <c r="BZ764" s="96"/>
      <c r="CA764" s="91"/>
      <c r="CB764" s="97"/>
      <c r="CC764" s="8"/>
      <c r="CD764" s="91"/>
      <c r="CE764" s="98"/>
      <c r="DK764" s="89"/>
      <c r="DL764" s="8"/>
      <c r="DM764" s="8"/>
      <c r="DN764" s="8"/>
      <c r="DO764" s="8"/>
      <c r="DP764" s="8"/>
      <c r="DQ764" s="8"/>
      <c r="DR764" s="8"/>
      <c r="DZ764" s="45"/>
      <c r="EA764" s="89"/>
      <c r="EB764" s="89"/>
      <c r="EC764" s="89"/>
      <c r="ED764" s="89"/>
      <c r="EE764" s="89"/>
      <c r="EF764" s="89"/>
      <c r="EG764" s="89"/>
      <c r="EH764" s="89"/>
      <c r="EI764" s="89"/>
      <c r="EJ764" s="89"/>
      <c r="EK764" s="91"/>
      <c r="EL764" s="66"/>
      <c r="EM764" s="94"/>
      <c r="EN764" s="94"/>
      <c r="EO764" s="92"/>
      <c r="EP764" s="93"/>
      <c r="EQ764" s="23"/>
      <c r="ER764" s="94"/>
      <c r="ES764" s="94"/>
      <c r="ET764" s="94"/>
      <c r="EU764" s="94"/>
      <c r="EV764" s="95"/>
      <c r="EW764" s="91"/>
      <c r="EX764" s="95"/>
      <c r="EY764" s="8"/>
      <c r="EZ764" s="96"/>
      <c r="FA764" s="91"/>
      <c r="FB764" s="97"/>
      <c r="FC764" s="8"/>
      <c r="FD764" s="91"/>
      <c r="FE764" s="98"/>
    </row>
    <row r="765" spans="37:161">
      <c r="AK765" s="89"/>
      <c r="AL765" s="8"/>
      <c r="AM765" s="8"/>
      <c r="AN765" s="8"/>
      <c r="AO765" s="8"/>
      <c r="AP765" s="8"/>
      <c r="AQ765" s="8"/>
      <c r="AR765" s="8"/>
      <c r="AZ765" s="45"/>
      <c r="BA765" s="89"/>
      <c r="BB765" s="89"/>
      <c r="BC765" s="89"/>
      <c r="BD765" s="89"/>
      <c r="BE765" s="89"/>
      <c r="BF765" s="89"/>
      <c r="BG765" s="89"/>
      <c r="BH765" s="89"/>
      <c r="BI765" s="89"/>
      <c r="BJ765" s="89"/>
      <c r="BK765" s="91"/>
      <c r="BL765" s="66"/>
      <c r="BM765" s="94"/>
      <c r="BN765" s="94"/>
      <c r="BO765" s="92"/>
      <c r="BP765" s="93"/>
      <c r="BQ765" s="23"/>
      <c r="BR765" s="94"/>
      <c r="BS765" s="94"/>
      <c r="BT765" s="94"/>
      <c r="BU765" s="94"/>
      <c r="BV765" s="95"/>
      <c r="BW765" s="91"/>
      <c r="BX765" s="95"/>
      <c r="BY765" s="8"/>
      <c r="BZ765" s="96"/>
      <c r="CA765" s="91"/>
      <c r="CB765" s="97"/>
      <c r="CC765" s="8"/>
      <c r="CD765" s="91"/>
      <c r="CE765" s="98"/>
      <c r="DK765" s="89"/>
      <c r="DL765" s="8"/>
      <c r="DM765" s="8"/>
      <c r="DN765" s="8"/>
      <c r="DO765" s="8"/>
      <c r="DP765" s="8"/>
      <c r="DQ765" s="8"/>
      <c r="DR765" s="8"/>
      <c r="DZ765" s="45"/>
      <c r="EA765" s="89"/>
      <c r="EB765" s="89"/>
      <c r="EC765" s="89"/>
      <c r="ED765" s="89"/>
      <c r="EE765" s="89"/>
      <c r="EF765" s="89"/>
      <c r="EG765" s="89"/>
      <c r="EH765" s="89"/>
      <c r="EI765" s="89"/>
      <c r="EJ765" s="89"/>
      <c r="EK765" s="91"/>
      <c r="EL765" s="66"/>
      <c r="EM765" s="94"/>
      <c r="EN765" s="94"/>
      <c r="EO765" s="92"/>
      <c r="EP765" s="93"/>
      <c r="EQ765" s="23"/>
      <c r="ER765" s="94"/>
      <c r="ES765" s="94"/>
      <c r="ET765" s="94"/>
      <c r="EU765" s="94"/>
      <c r="EV765" s="95"/>
      <c r="EW765" s="91"/>
      <c r="EX765" s="95"/>
      <c r="EY765" s="8"/>
      <c r="EZ765" s="96"/>
      <c r="FA765" s="91"/>
      <c r="FB765" s="97"/>
      <c r="FC765" s="8"/>
      <c r="FD765" s="91"/>
      <c r="FE765" s="98"/>
    </row>
    <row r="766" spans="37:161">
      <c r="AK766" s="89"/>
      <c r="AL766" s="8"/>
      <c r="AM766" s="8"/>
      <c r="AN766" s="8"/>
      <c r="AO766" s="8"/>
      <c r="AP766" s="8"/>
      <c r="AQ766" s="8"/>
      <c r="AR766" s="8"/>
      <c r="AZ766" s="45"/>
      <c r="BA766" s="89"/>
      <c r="BB766" s="89"/>
      <c r="BC766" s="89"/>
      <c r="BD766" s="89"/>
      <c r="BE766" s="89"/>
      <c r="BF766" s="89"/>
      <c r="BG766" s="89"/>
      <c r="BH766" s="89"/>
      <c r="BI766" s="89"/>
      <c r="BJ766" s="89"/>
      <c r="BK766" s="91"/>
      <c r="BL766" s="66"/>
      <c r="BM766" s="94"/>
      <c r="BN766" s="94"/>
      <c r="BO766" s="92"/>
      <c r="BP766" s="93"/>
      <c r="BQ766" s="23"/>
      <c r="BR766" s="94"/>
      <c r="BS766" s="94"/>
      <c r="BT766" s="94"/>
      <c r="BU766" s="94"/>
      <c r="BV766" s="95"/>
      <c r="BW766" s="91"/>
      <c r="BX766" s="95"/>
      <c r="BY766" s="8"/>
      <c r="BZ766" s="96"/>
      <c r="CA766" s="91"/>
      <c r="CB766" s="97"/>
      <c r="CC766" s="8"/>
      <c r="CD766" s="91"/>
      <c r="CE766" s="98"/>
      <c r="DK766" s="89"/>
      <c r="DL766" s="8"/>
      <c r="DM766" s="8"/>
      <c r="DN766" s="8"/>
      <c r="DO766" s="8"/>
      <c r="DP766" s="8"/>
      <c r="DQ766" s="8"/>
      <c r="DR766" s="8"/>
      <c r="DZ766" s="45"/>
      <c r="EA766" s="89"/>
      <c r="EB766" s="89"/>
      <c r="EC766" s="89"/>
      <c r="ED766" s="89"/>
      <c r="EE766" s="89"/>
      <c r="EF766" s="89"/>
      <c r="EG766" s="89"/>
      <c r="EH766" s="89"/>
      <c r="EI766" s="89"/>
      <c r="EJ766" s="89"/>
      <c r="EK766" s="91"/>
      <c r="EL766" s="66"/>
      <c r="EM766" s="94"/>
      <c r="EN766" s="94"/>
      <c r="EO766" s="92"/>
      <c r="EP766" s="93"/>
      <c r="EQ766" s="23"/>
      <c r="ER766" s="94"/>
      <c r="ES766" s="94"/>
      <c r="ET766" s="94"/>
      <c r="EU766" s="94"/>
      <c r="EV766" s="95"/>
      <c r="EW766" s="91"/>
      <c r="EX766" s="95"/>
      <c r="EY766" s="8"/>
      <c r="EZ766" s="96"/>
      <c r="FA766" s="91"/>
      <c r="FB766" s="97"/>
      <c r="FC766" s="8"/>
      <c r="FD766" s="91"/>
      <c r="FE766" s="98"/>
    </row>
    <row r="767" spans="37:161">
      <c r="AK767" s="89"/>
      <c r="AL767" s="8"/>
      <c r="AM767" s="8"/>
      <c r="AN767" s="8"/>
      <c r="AO767" s="8"/>
      <c r="AP767" s="8"/>
      <c r="AQ767" s="8"/>
      <c r="AR767" s="8"/>
      <c r="AZ767" s="45"/>
      <c r="BA767" s="89"/>
      <c r="BB767" s="89"/>
      <c r="BC767" s="89"/>
      <c r="BD767" s="89"/>
      <c r="BE767" s="89"/>
      <c r="BF767" s="89"/>
      <c r="BG767" s="89"/>
      <c r="BH767" s="89"/>
      <c r="BI767" s="89"/>
      <c r="BJ767" s="89"/>
      <c r="BK767" s="91"/>
      <c r="BL767" s="66"/>
      <c r="BM767" s="94"/>
      <c r="BN767" s="94"/>
      <c r="BO767" s="92"/>
      <c r="BP767" s="93"/>
      <c r="BQ767" s="23"/>
      <c r="BR767" s="94"/>
      <c r="BS767" s="94"/>
      <c r="BT767" s="94"/>
      <c r="BU767" s="94"/>
      <c r="BV767" s="95"/>
      <c r="BW767" s="91"/>
      <c r="BX767" s="95"/>
      <c r="BY767" s="8"/>
      <c r="BZ767" s="96"/>
      <c r="CA767" s="91"/>
      <c r="CB767" s="97"/>
      <c r="CC767" s="8"/>
      <c r="CD767" s="91"/>
      <c r="CE767" s="98"/>
      <c r="DK767" s="89"/>
      <c r="DL767" s="8"/>
      <c r="DM767" s="8"/>
      <c r="DN767" s="8"/>
      <c r="DO767" s="8"/>
      <c r="DP767" s="8"/>
      <c r="DQ767" s="8"/>
      <c r="DR767" s="8"/>
      <c r="DZ767" s="45"/>
      <c r="EA767" s="89"/>
      <c r="EB767" s="89"/>
      <c r="EC767" s="89"/>
      <c r="ED767" s="89"/>
      <c r="EE767" s="89"/>
      <c r="EF767" s="89"/>
      <c r="EG767" s="89"/>
      <c r="EH767" s="89"/>
      <c r="EI767" s="89"/>
      <c r="EJ767" s="89"/>
      <c r="EK767" s="91"/>
      <c r="EL767" s="66"/>
      <c r="EM767" s="94"/>
      <c r="EN767" s="94"/>
      <c r="EO767" s="92"/>
      <c r="EP767" s="93"/>
      <c r="EQ767" s="23"/>
      <c r="ER767" s="94"/>
      <c r="ES767" s="94"/>
      <c r="ET767" s="94"/>
      <c r="EU767" s="94"/>
      <c r="EV767" s="95"/>
      <c r="EW767" s="91"/>
      <c r="EX767" s="95"/>
      <c r="EY767" s="8"/>
      <c r="EZ767" s="96"/>
      <c r="FA767" s="91"/>
      <c r="FB767" s="97"/>
      <c r="FC767" s="8"/>
      <c r="FD767" s="91"/>
      <c r="FE767" s="98"/>
    </row>
    <row r="768" spans="37:161">
      <c r="AK768" s="89"/>
      <c r="AL768" s="8"/>
      <c r="AM768" s="8"/>
      <c r="AN768" s="8"/>
      <c r="AO768" s="8"/>
      <c r="AP768" s="8"/>
      <c r="AQ768" s="8"/>
      <c r="AR768" s="8"/>
      <c r="AZ768" s="45"/>
      <c r="BA768" s="89"/>
      <c r="BB768" s="89"/>
      <c r="BC768" s="89"/>
      <c r="BD768" s="89"/>
      <c r="BE768" s="89"/>
      <c r="BF768" s="89"/>
      <c r="BG768" s="89"/>
      <c r="BH768" s="89"/>
      <c r="BI768" s="89"/>
      <c r="BJ768" s="89"/>
      <c r="BK768" s="91"/>
      <c r="BL768" s="66"/>
      <c r="BM768" s="94"/>
      <c r="BN768" s="94"/>
      <c r="BO768" s="92"/>
      <c r="BP768" s="93"/>
      <c r="BQ768" s="23"/>
      <c r="BR768" s="94"/>
      <c r="BS768" s="94"/>
      <c r="BT768" s="94"/>
      <c r="BU768" s="94"/>
      <c r="BV768" s="95"/>
      <c r="BW768" s="91"/>
      <c r="BX768" s="95"/>
      <c r="BY768" s="8"/>
      <c r="BZ768" s="96"/>
      <c r="CA768" s="91"/>
      <c r="CB768" s="97"/>
      <c r="CC768" s="8"/>
      <c r="CD768" s="91"/>
      <c r="CE768" s="98"/>
      <c r="DK768" s="89"/>
      <c r="DL768" s="8"/>
      <c r="DM768" s="8"/>
      <c r="DN768" s="8"/>
      <c r="DO768" s="8"/>
      <c r="DP768" s="8"/>
      <c r="DQ768" s="8"/>
      <c r="DR768" s="8"/>
      <c r="DZ768" s="45"/>
      <c r="EA768" s="89"/>
      <c r="EB768" s="89"/>
      <c r="EC768" s="89"/>
      <c r="ED768" s="89"/>
      <c r="EE768" s="89"/>
      <c r="EF768" s="89"/>
      <c r="EG768" s="89"/>
      <c r="EH768" s="89"/>
      <c r="EI768" s="89"/>
      <c r="EJ768" s="89"/>
      <c r="EK768" s="91"/>
      <c r="EL768" s="66"/>
      <c r="EM768" s="94"/>
      <c r="EN768" s="94"/>
      <c r="EO768" s="92"/>
      <c r="EP768" s="93"/>
      <c r="EQ768" s="23"/>
      <c r="ER768" s="94"/>
      <c r="ES768" s="94"/>
      <c r="ET768" s="94"/>
      <c r="EU768" s="94"/>
      <c r="EV768" s="95"/>
      <c r="EW768" s="91"/>
      <c r="EX768" s="95"/>
      <c r="EY768" s="8"/>
      <c r="EZ768" s="96"/>
      <c r="FA768" s="91"/>
      <c r="FB768" s="97"/>
      <c r="FC768" s="8"/>
      <c r="FD768" s="91"/>
      <c r="FE768" s="98"/>
    </row>
    <row r="769" spans="37:161">
      <c r="AK769" s="89"/>
      <c r="AL769" s="8"/>
      <c r="AM769" s="8"/>
      <c r="AN769" s="8"/>
      <c r="AO769" s="8"/>
      <c r="AP769" s="8"/>
      <c r="AQ769" s="8"/>
      <c r="AR769" s="8"/>
      <c r="AZ769" s="45"/>
      <c r="BA769" s="89"/>
      <c r="BB769" s="89"/>
      <c r="BC769" s="89"/>
      <c r="BD769" s="89"/>
      <c r="BE769" s="89"/>
      <c r="BF769" s="89"/>
      <c r="BG769" s="89"/>
      <c r="BH769" s="89"/>
      <c r="BI769" s="89"/>
      <c r="BJ769" s="89"/>
      <c r="BK769" s="91"/>
      <c r="BL769" s="66"/>
      <c r="BM769" s="94"/>
      <c r="BN769" s="94"/>
      <c r="BO769" s="92"/>
      <c r="BP769" s="93"/>
      <c r="BQ769" s="23"/>
      <c r="BR769" s="94"/>
      <c r="BS769" s="94"/>
      <c r="BT769" s="94"/>
      <c r="BU769" s="94"/>
      <c r="BV769" s="95"/>
      <c r="BW769" s="91"/>
      <c r="BX769" s="95"/>
      <c r="BY769" s="8"/>
      <c r="BZ769" s="96"/>
      <c r="CA769" s="91"/>
      <c r="CB769" s="97"/>
      <c r="CC769" s="8"/>
      <c r="CD769" s="91"/>
      <c r="CE769" s="98"/>
      <c r="DK769" s="89"/>
      <c r="DL769" s="8"/>
      <c r="DM769" s="8"/>
      <c r="DN769" s="8"/>
      <c r="DO769" s="8"/>
      <c r="DP769" s="8"/>
      <c r="DQ769" s="8"/>
      <c r="DR769" s="8"/>
      <c r="DZ769" s="45"/>
      <c r="EA769" s="89"/>
      <c r="EB769" s="89"/>
      <c r="EC769" s="89"/>
      <c r="ED769" s="89"/>
      <c r="EE769" s="89"/>
      <c r="EF769" s="89"/>
      <c r="EG769" s="89"/>
      <c r="EH769" s="89"/>
      <c r="EI769" s="89"/>
      <c r="EJ769" s="89"/>
      <c r="EK769" s="91"/>
      <c r="EL769" s="66"/>
      <c r="EM769" s="94"/>
      <c r="EN769" s="94"/>
      <c r="EO769" s="92"/>
      <c r="EP769" s="93"/>
      <c r="EQ769" s="23"/>
      <c r="ER769" s="94"/>
      <c r="ES769" s="94"/>
      <c r="ET769" s="94"/>
      <c r="EU769" s="94"/>
      <c r="EV769" s="95"/>
      <c r="EW769" s="91"/>
      <c r="EX769" s="95"/>
      <c r="EY769" s="8"/>
      <c r="EZ769" s="96"/>
      <c r="FA769" s="91"/>
      <c r="FB769" s="97"/>
      <c r="FC769" s="8"/>
      <c r="FD769" s="91"/>
      <c r="FE769" s="98"/>
    </row>
    <row r="770" spans="37:161">
      <c r="AK770" s="89"/>
      <c r="AL770" s="8"/>
      <c r="AM770" s="8"/>
      <c r="AN770" s="8"/>
      <c r="AO770" s="8"/>
      <c r="AP770" s="8"/>
      <c r="AQ770" s="8"/>
      <c r="AR770" s="8"/>
      <c r="AZ770" s="45"/>
      <c r="BA770" s="89"/>
      <c r="BB770" s="89"/>
      <c r="BC770" s="89"/>
      <c r="BD770" s="89"/>
      <c r="BE770" s="89"/>
      <c r="BF770" s="89"/>
      <c r="BG770" s="89"/>
      <c r="BH770" s="89"/>
      <c r="BI770" s="89"/>
      <c r="BJ770" s="89"/>
      <c r="BK770" s="91"/>
      <c r="BL770" s="66"/>
      <c r="BM770" s="94"/>
      <c r="BN770" s="94"/>
      <c r="BO770" s="92"/>
      <c r="BP770" s="93"/>
      <c r="BQ770" s="23"/>
      <c r="BR770" s="94"/>
      <c r="BS770" s="94"/>
      <c r="BT770" s="94"/>
      <c r="BU770" s="94"/>
      <c r="BV770" s="95"/>
      <c r="BW770" s="91"/>
      <c r="BX770" s="95"/>
      <c r="BY770" s="8"/>
      <c r="BZ770" s="96"/>
      <c r="CA770" s="91"/>
      <c r="CB770" s="97"/>
      <c r="CC770" s="8"/>
      <c r="CD770" s="91"/>
      <c r="CE770" s="98"/>
      <c r="DK770" s="89"/>
      <c r="DL770" s="8"/>
      <c r="DM770" s="8"/>
      <c r="DN770" s="8"/>
      <c r="DO770" s="8"/>
      <c r="DP770" s="8"/>
      <c r="DQ770" s="8"/>
      <c r="DR770" s="8"/>
      <c r="DZ770" s="45"/>
      <c r="EA770" s="89"/>
      <c r="EB770" s="89"/>
      <c r="EC770" s="89"/>
      <c r="ED770" s="89"/>
      <c r="EE770" s="89"/>
      <c r="EF770" s="89"/>
      <c r="EG770" s="89"/>
      <c r="EH770" s="89"/>
      <c r="EI770" s="89"/>
      <c r="EJ770" s="89"/>
      <c r="EK770" s="91"/>
      <c r="EL770" s="66"/>
      <c r="EM770" s="94"/>
      <c r="EN770" s="94"/>
      <c r="EO770" s="92"/>
      <c r="EP770" s="93"/>
      <c r="EQ770" s="23"/>
      <c r="ER770" s="94"/>
      <c r="ES770" s="94"/>
      <c r="ET770" s="94"/>
      <c r="EU770" s="94"/>
      <c r="EV770" s="95"/>
      <c r="EW770" s="91"/>
      <c r="EX770" s="95"/>
      <c r="EY770" s="8"/>
      <c r="EZ770" s="96"/>
      <c r="FA770" s="91"/>
      <c r="FB770" s="97"/>
      <c r="FC770" s="8"/>
      <c r="FD770" s="91"/>
      <c r="FE770" s="98"/>
    </row>
    <row r="771" spans="37:161">
      <c r="AK771" s="89"/>
      <c r="AL771" s="8"/>
      <c r="AM771" s="8"/>
      <c r="AN771" s="8"/>
      <c r="AO771" s="8"/>
      <c r="AP771" s="8"/>
      <c r="AQ771" s="8"/>
      <c r="AR771" s="8"/>
      <c r="AZ771" s="45"/>
      <c r="BA771" s="89"/>
      <c r="BB771" s="89"/>
      <c r="BC771" s="89"/>
      <c r="BD771" s="89"/>
      <c r="BE771" s="89"/>
      <c r="BF771" s="89"/>
      <c r="BG771" s="89"/>
      <c r="BH771" s="89"/>
      <c r="BI771" s="89"/>
      <c r="BJ771" s="89"/>
      <c r="BK771" s="91"/>
      <c r="BL771" s="66"/>
      <c r="BM771" s="94"/>
      <c r="BN771" s="94"/>
      <c r="BO771" s="92"/>
      <c r="BP771" s="93"/>
      <c r="BQ771" s="23"/>
      <c r="BR771" s="94"/>
      <c r="BS771" s="94"/>
      <c r="BT771" s="94"/>
      <c r="BU771" s="94"/>
      <c r="BV771" s="95"/>
      <c r="BW771" s="91"/>
      <c r="BX771" s="95"/>
      <c r="BY771" s="8"/>
      <c r="BZ771" s="96"/>
      <c r="CA771" s="91"/>
      <c r="CB771" s="97"/>
      <c r="CC771" s="8"/>
      <c r="CD771" s="91"/>
      <c r="CE771" s="98"/>
      <c r="DK771" s="89"/>
      <c r="DL771" s="8"/>
      <c r="DM771" s="8"/>
      <c r="DN771" s="8"/>
      <c r="DO771" s="8"/>
      <c r="DP771" s="8"/>
      <c r="DQ771" s="8"/>
      <c r="DR771" s="8"/>
      <c r="DZ771" s="45"/>
      <c r="EA771" s="89"/>
      <c r="EB771" s="89"/>
      <c r="EC771" s="89"/>
      <c r="ED771" s="89"/>
      <c r="EE771" s="89"/>
      <c r="EF771" s="89"/>
      <c r="EG771" s="89"/>
      <c r="EH771" s="89"/>
      <c r="EI771" s="89"/>
      <c r="EJ771" s="89"/>
      <c r="EK771" s="91"/>
      <c r="EL771" s="66"/>
      <c r="EM771" s="94"/>
      <c r="EN771" s="94"/>
      <c r="EO771" s="92"/>
      <c r="EP771" s="93"/>
      <c r="EQ771" s="23"/>
      <c r="ER771" s="94"/>
      <c r="ES771" s="94"/>
      <c r="ET771" s="94"/>
      <c r="EU771" s="94"/>
      <c r="EV771" s="95"/>
      <c r="EW771" s="91"/>
      <c r="EX771" s="95"/>
      <c r="EY771" s="8"/>
      <c r="EZ771" s="96"/>
      <c r="FA771" s="91"/>
      <c r="FB771" s="97"/>
      <c r="FC771" s="8"/>
      <c r="FD771" s="91"/>
      <c r="FE771" s="98"/>
    </row>
    <row r="772" spans="37:161">
      <c r="AK772" s="89"/>
      <c r="AL772" s="8"/>
      <c r="AM772" s="8"/>
      <c r="AN772" s="8"/>
      <c r="AO772" s="8"/>
      <c r="AP772" s="8"/>
      <c r="AQ772" s="8"/>
      <c r="AR772" s="8"/>
      <c r="AZ772" s="45"/>
      <c r="BA772" s="89"/>
      <c r="BB772" s="89"/>
      <c r="BC772" s="89"/>
      <c r="BD772" s="89"/>
      <c r="BE772" s="89"/>
      <c r="BF772" s="89"/>
      <c r="BG772" s="89"/>
      <c r="BH772" s="89"/>
      <c r="BI772" s="89"/>
      <c r="BJ772" s="89"/>
      <c r="BK772" s="91"/>
      <c r="BL772" s="66"/>
      <c r="BM772" s="94"/>
      <c r="BN772" s="94"/>
      <c r="BO772" s="92"/>
      <c r="BP772" s="93"/>
      <c r="BQ772" s="23"/>
      <c r="BR772" s="94"/>
      <c r="BS772" s="94"/>
      <c r="BT772" s="94"/>
      <c r="BU772" s="94"/>
      <c r="BV772" s="95"/>
      <c r="BW772" s="91"/>
      <c r="BX772" s="95"/>
      <c r="BY772" s="8"/>
      <c r="BZ772" s="96"/>
      <c r="CA772" s="91"/>
      <c r="CB772" s="97"/>
      <c r="CC772" s="8"/>
      <c r="CD772" s="91"/>
      <c r="CE772" s="98"/>
      <c r="DK772" s="89"/>
      <c r="DL772" s="8"/>
      <c r="DM772" s="8"/>
      <c r="DN772" s="8"/>
      <c r="DO772" s="8"/>
      <c r="DP772" s="8"/>
      <c r="DQ772" s="8"/>
      <c r="DR772" s="8"/>
      <c r="DZ772" s="45"/>
      <c r="EA772" s="89"/>
      <c r="EB772" s="89"/>
      <c r="EC772" s="89"/>
      <c r="ED772" s="89"/>
      <c r="EE772" s="89"/>
      <c r="EF772" s="89"/>
      <c r="EG772" s="89"/>
      <c r="EH772" s="89"/>
      <c r="EI772" s="89"/>
      <c r="EJ772" s="89"/>
      <c r="EK772" s="91"/>
      <c r="EL772" s="66"/>
      <c r="EM772" s="94"/>
      <c r="EN772" s="94"/>
      <c r="EO772" s="92"/>
      <c r="EP772" s="93"/>
      <c r="EQ772" s="23"/>
      <c r="ER772" s="94"/>
      <c r="ES772" s="94"/>
      <c r="ET772" s="94"/>
      <c r="EU772" s="94"/>
      <c r="EV772" s="95"/>
      <c r="EW772" s="91"/>
      <c r="EX772" s="95"/>
      <c r="EY772" s="8"/>
      <c r="EZ772" s="96"/>
      <c r="FA772" s="91"/>
      <c r="FB772" s="97"/>
      <c r="FC772" s="8"/>
      <c r="FD772" s="91"/>
      <c r="FE772" s="98"/>
    </row>
    <row r="773" spans="37:161">
      <c r="AK773" s="89"/>
      <c r="AL773" s="8"/>
      <c r="AM773" s="8"/>
      <c r="AN773" s="8"/>
      <c r="AO773" s="8"/>
      <c r="AP773" s="8"/>
      <c r="AQ773" s="8"/>
      <c r="AR773" s="8"/>
      <c r="AZ773" s="45"/>
      <c r="BA773" s="89"/>
      <c r="BB773" s="89"/>
      <c r="BC773" s="89"/>
      <c r="BD773" s="89"/>
      <c r="BE773" s="89"/>
      <c r="BF773" s="89"/>
      <c r="BG773" s="89"/>
      <c r="BH773" s="89"/>
      <c r="BI773" s="89"/>
      <c r="BJ773" s="89"/>
      <c r="BK773" s="91"/>
      <c r="BL773" s="66"/>
      <c r="BM773" s="94"/>
      <c r="BN773" s="94"/>
      <c r="BO773" s="92"/>
      <c r="BP773" s="93"/>
      <c r="BQ773" s="23"/>
      <c r="BR773" s="94"/>
      <c r="BS773" s="94"/>
      <c r="BT773" s="94"/>
      <c r="BU773" s="94"/>
      <c r="BV773" s="95"/>
      <c r="BW773" s="91"/>
      <c r="BX773" s="95"/>
      <c r="BY773" s="8"/>
      <c r="BZ773" s="96"/>
      <c r="CA773" s="91"/>
      <c r="CB773" s="97"/>
      <c r="CC773" s="8"/>
      <c r="CD773" s="91"/>
      <c r="CE773" s="98"/>
      <c r="DK773" s="89"/>
      <c r="DL773" s="8"/>
      <c r="DM773" s="8"/>
      <c r="DN773" s="8"/>
      <c r="DO773" s="8"/>
      <c r="DP773" s="8"/>
      <c r="DQ773" s="8"/>
      <c r="DR773" s="8"/>
      <c r="DZ773" s="45"/>
      <c r="EA773" s="89"/>
      <c r="EB773" s="89"/>
      <c r="EC773" s="89"/>
      <c r="ED773" s="89"/>
      <c r="EE773" s="89"/>
      <c r="EF773" s="89"/>
      <c r="EG773" s="89"/>
      <c r="EH773" s="89"/>
      <c r="EI773" s="89"/>
      <c r="EJ773" s="89"/>
      <c r="EK773" s="91"/>
      <c r="EL773" s="66"/>
      <c r="EM773" s="94"/>
      <c r="EN773" s="94"/>
      <c r="EO773" s="92"/>
      <c r="EP773" s="93"/>
      <c r="EQ773" s="23"/>
      <c r="ER773" s="94"/>
      <c r="ES773" s="94"/>
      <c r="ET773" s="94"/>
      <c r="EU773" s="94"/>
      <c r="EV773" s="95"/>
      <c r="EW773" s="91"/>
      <c r="EX773" s="95"/>
      <c r="EY773" s="8"/>
      <c r="EZ773" s="96"/>
      <c r="FA773" s="91"/>
      <c r="FB773" s="97"/>
      <c r="FC773" s="8"/>
      <c r="FD773" s="91"/>
      <c r="FE773" s="98"/>
    </row>
    <row r="774" spans="37:161">
      <c r="AK774" s="89"/>
      <c r="AL774" s="8"/>
      <c r="AM774" s="8"/>
      <c r="AN774" s="8"/>
      <c r="AO774" s="8"/>
      <c r="AP774" s="8"/>
      <c r="AQ774" s="8"/>
      <c r="AR774" s="8"/>
      <c r="AZ774" s="45"/>
      <c r="BA774" s="89"/>
      <c r="BB774" s="89"/>
      <c r="BC774" s="89"/>
      <c r="BD774" s="89"/>
      <c r="BE774" s="89"/>
      <c r="BF774" s="89"/>
      <c r="BG774" s="89"/>
      <c r="BH774" s="89"/>
      <c r="BI774" s="89"/>
      <c r="BJ774" s="89"/>
      <c r="BK774" s="91"/>
      <c r="BL774" s="66"/>
      <c r="BM774" s="94"/>
      <c r="BN774" s="94"/>
      <c r="BO774" s="92"/>
      <c r="BP774" s="93"/>
      <c r="BQ774" s="23"/>
      <c r="BR774" s="94"/>
      <c r="BS774" s="94"/>
      <c r="BT774" s="94"/>
      <c r="BU774" s="94"/>
      <c r="BV774" s="95"/>
      <c r="BW774" s="91"/>
      <c r="BX774" s="95"/>
      <c r="BY774" s="8"/>
      <c r="BZ774" s="96"/>
      <c r="CA774" s="91"/>
      <c r="CB774" s="97"/>
      <c r="CC774" s="8"/>
      <c r="CD774" s="91"/>
      <c r="CE774" s="98"/>
      <c r="DK774" s="89"/>
      <c r="DL774" s="8"/>
      <c r="DM774" s="8"/>
      <c r="DN774" s="8"/>
      <c r="DO774" s="8"/>
      <c r="DP774" s="8"/>
      <c r="DQ774" s="8"/>
      <c r="DR774" s="8"/>
      <c r="DZ774" s="45"/>
      <c r="EA774" s="89"/>
      <c r="EB774" s="89"/>
      <c r="EC774" s="89"/>
      <c r="ED774" s="89"/>
      <c r="EE774" s="89"/>
      <c r="EF774" s="89"/>
      <c r="EG774" s="89"/>
      <c r="EH774" s="89"/>
      <c r="EI774" s="89"/>
      <c r="EJ774" s="89"/>
      <c r="EK774" s="91"/>
      <c r="EL774" s="66"/>
      <c r="EM774" s="94"/>
      <c r="EN774" s="94"/>
      <c r="EO774" s="92"/>
      <c r="EP774" s="93"/>
      <c r="EQ774" s="23"/>
      <c r="ER774" s="94"/>
      <c r="ES774" s="94"/>
      <c r="ET774" s="94"/>
      <c r="EU774" s="94"/>
      <c r="EV774" s="95"/>
      <c r="EW774" s="91"/>
      <c r="EX774" s="95"/>
      <c r="EY774" s="8"/>
      <c r="EZ774" s="96"/>
      <c r="FA774" s="91"/>
      <c r="FB774" s="97"/>
      <c r="FC774" s="8"/>
      <c r="FD774" s="91"/>
      <c r="FE774" s="98"/>
    </row>
    <row r="775" spans="37:161">
      <c r="AK775" s="89"/>
      <c r="AL775" s="8"/>
      <c r="AM775" s="8"/>
      <c r="AN775" s="8"/>
      <c r="AO775" s="8"/>
      <c r="AP775" s="8"/>
      <c r="AQ775" s="8"/>
      <c r="AR775" s="8"/>
      <c r="AZ775" s="45"/>
      <c r="BA775" s="89"/>
      <c r="BB775" s="89"/>
      <c r="BC775" s="89"/>
      <c r="BD775" s="89"/>
      <c r="BE775" s="89"/>
      <c r="BF775" s="89"/>
      <c r="BG775" s="89"/>
      <c r="BH775" s="89"/>
      <c r="BI775" s="89"/>
      <c r="BJ775" s="89"/>
      <c r="BK775" s="91"/>
      <c r="BL775" s="66"/>
      <c r="BM775" s="94"/>
      <c r="BN775" s="94"/>
      <c r="BO775" s="92"/>
      <c r="BP775" s="93"/>
      <c r="BQ775" s="23"/>
      <c r="BR775" s="94"/>
      <c r="BS775" s="94"/>
      <c r="BT775" s="94"/>
      <c r="BU775" s="94"/>
      <c r="BV775" s="95"/>
      <c r="BW775" s="91"/>
      <c r="BX775" s="95"/>
      <c r="BY775" s="8"/>
      <c r="BZ775" s="96"/>
      <c r="CA775" s="91"/>
      <c r="CB775" s="97"/>
      <c r="CC775" s="8"/>
      <c r="CD775" s="91"/>
      <c r="CE775" s="98"/>
      <c r="DK775" s="89"/>
      <c r="DL775" s="8"/>
      <c r="DM775" s="8"/>
      <c r="DN775" s="8"/>
      <c r="DO775" s="8"/>
      <c r="DP775" s="8"/>
      <c r="DQ775" s="8"/>
      <c r="DR775" s="8"/>
      <c r="DZ775" s="45"/>
      <c r="EA775" s="89"/>
      <c r="EB775" s="89"/>
      <c r="EC775" s="89"/>
      <c r="ED775" s="89"/>
      <c r="EE775" s="89"/>
      <c r="EF775" s="89"/>
      <c r="EG775" s="89"/>
      <c r="EH775" s="89"/>
      <c r="EI775" s="89"/>
      <c r="EJ775" s="89"/>
      <c r="EK775" s="91"/>
      <c r="EL775" s="66"/>
      <c r="EM775" s="94"/>
      <c r="EN775" s="94"/>
      <c r="EO775" s="92"/>
      <c r="EP775" s="93"/>
      <c r="EQ775" s="23"/>
      <c r="ER775" s="94"/>
      <c r="ES775" s="94"/>
      <c r="ET775" s="94"/>
      <c r="EU775" s="94"/>
      <c r="EV775" s="95"/>
      <c r="EW775" s="91"/>
      <c r="EX775" s="95"/>
      <c r="EY775" s="8"/>
      <c r="EZ775" s="96"/>
      <c r="FA775" s="91"/>
      <c r="FB775" s="97"/>
      <c r="FC775" s="8"/>
      <c r="FD775" s="91"/>
      <c r="FE775" s="98"/>
    </row>
    <row r="776" spans="37:161">
      <c r="AK776" s="89"/>
      <c r="AL776" s="8"/>
      <c r="AM776" s="8"/>
      <c r="AN776" s="8"/>
      <c r="AO776" s="8"/>
      <c r="AP776" s="8"/>
      <c r="AQ776" s="8"/>
      <c r="AR776" s="8"/>
      <c r="AZ776" s="45"/>
      <c r="BA776" s="89"/>
      <c r="BB776" s="89"/>
      <c r="BC776" s="89"/>
      <c r="BD776" s="89"/>
      <c r="BE776" s="89"/>
      <c r="BF776" s="89"/>
      <c r="BG776" s="89"/>
      <c r="BH776" s="89"/>
      <c r="BI776" s="89"/>
      <c r="BJ776" s="89"/>
      <c r="BK776" s="91"/>
      <c r="BL776" s="66"/>
      <c r="BM776" s="94"/>
      <c r="BN776" s="94"/>
      <c r="BO776" s="92"/>
      <c r="BP776" s="93"/>
      <c r="BQ776" s="23"/>
      <c r="BR776" s="94"/>
      <c r="BS776" s="94"/>
      <c r="BT776" s="94"/>
      <c r="BU776" s="94"/>
      <c r="BV776" s="95"/>
      <c r="BW776" s="91"/>
      <c r="BX776" s="95"/>
      <c r="BY776" s="8"/>
      <c r="BZ776" s="96"/>
      <c r="CA776" s="91"/>
      <c r="CB776" s="97"/>
      <c r="CC776" s="8"/>
      <c r="CD776" s="91"/>
      <c r="CE776" s="98"/>
      <c r="DK776" s="89"/>
      <c r="DL776" s="8"/>
      <c r="DM776" s="8"/>
      <c r="DN776" s="8"/>
      <c r="DO776" s="8"/>
      <c r="DP776" s="8"/>
      <c r="DQ776" s="8"/>
      <c r="DR776" s="8"/>
      <c r="DZ776" s="45"/>
      <c r="EA776" s="89"/>
      <c r="EB776" s="89"/>
      <c r="EC776" s="89"/>
      <c r="ED776" s="89"/>
      <c r="EE776" s="89"/>
      <c r="EF776" s="89"/>
      <c r="EG776" s="89"/>
      <c r="EH776" s="89"/>
      <c r="EI776" s="89"/>
      <c r="EJ776" s="89"/>
      <c r="EK776" s="91"/>
      <c r="EL776" s="66"/>
      <c r="EM776" s="94"/>
      <c r="EN776" s="94"/>
      <c r="EO776" s="92"/>
      <c r="EP776" s="93"/>
      <c r="EQ776" s="23"/>
      <c r="ER776" s="94"/>
      <c r="ES776" s="94"/>
      <c r="ET776" s="94"/>
      <c r="EU776" s="94"/>
      <c r="EV776" s="95"/>
      <c r="EW776" s="91"/>
      <c r="EX776" s="95"/>
      <c r="EY776" s="8"/>
      <c r="EZ776" s="96"/>
      <c r="FA776" s="91"/>
      <c r="FB776" s="97"/>
      <c r="FC776" s="8"/>
      <c r="FD776" s="91"/>
      <c r="FE776" s="98"/>
    </row>
    <row r="777" spans="37:161">
      <c r="AK777" s="89"/>
      <c r="AL777" s="8"/>
      <c r="AM777" s="8"/>
      <c r="AN777" s="8"/>
      <c r="AO777" s="8"/>
      <c r="AP777" s="8"/>
      <c r="AQ777" s="8"/>
      <c r="AR777" s="8"/>
      <c r="AZ777" s="45"/>
      <c r="BA777" s="89"/>
      <c r="BB777" s="89"/>
      <c r="BC777" s="89"/>
      <c r="BD777" s="89"/>
      <c r="BE777" s="89"/>
      <c r="BF777" s="89"/>
      <c r="BG777" s="89"/>
      <c r="BH777" s="89"/>
      <c r="BI777" s="89"/>
      <c r="BJ777" s="89"/>
      <c r="BK777" s="91"/>
      <c r="BL777" s="66"/>
      <c r="BM777" s="94"/>
      <c r="BN777" s="94"/>
      <c r="BO777" s="92"/>
      <c r="BP777" s="93"/>
      <c r="BQ777" s="23"/>
      <c r="BR777" s="94"/>
      <c r="BS777" s="94"/>
      <c r="BT777" s="94"/>
      <c r="BU777" s="94"/>
      <c r="BV777" s="95"/>
      <c r="BW777" s="91"/>
      <c r="BX777" s="95"/>
      <c r="BY777" s="8"/>
      <c r="BZ777" s="96"/>
      <c r="CA777" s="91"/>
      <c r="CB777" s="97"/>
      <c r="CC777" s="8"/>
      <c r="CD777" s="91"/>
      <c r="CE777" s="98"/>
      <c r="DK777" s="89"/>
      <c r="DL777" s="8"/>
      <c r="DM777" s="8"/>
      <c r="DN777" s="8"/>
      <c r="DO777" s="8"/>
      <c r="DP777" s="8"/>
      <c r="DQ777" s="8"/>
      <c r="DR777" s="8"/>
      <c r="DZ777" s="45"/>
      <c r="EA777" s="89"/>
      <c r="EB777" s="89"/>
      <c r="EC777" s="89"/>
      <c r="ED777" s="89"/>
      <c r="EE777" s="89"/>
      <c r="EF777" s="89"/>
      <c r="EG777" s="89"/>
      <c r="EH777" s="89"/>
      <c r="EI777" s="89"/>
      <c r="EJ777" s="89"/>
      <c r="EK777" s="91"/>
      <c r="EL777" s="66"/>
      <c r="EM777" s="94"/>
      <c r="EN777" s="94"/>
      <c r="EO777" s="92"/>
      <c r="EP777" s="93"/>
      <c r="EQ777" s="23"/>
      <c r="ER777" s="94"/>
      <c r="ES777" s="94"/>
      <c r="ET777" s="94"/>
      <c r="EU777" s="94"/>
      <c r="EV777" s="95"/>
      <c r="EW777" s="91"/>
      <c r="EX777" s="95"/>
      <c r="EY777" s="8"/>
      <c r="EZ777" s="96"/>
      <c r="FA777" s="91"/>
      <c r="FB777" s="97"/>
      <c r="FC777" s="8"/>
      <c r="FD777" s="91"/>
      <c r="FE777" s="98"/>
    </row>
    <row r="778" spans="37:161">
      <c r="AK778" s="89"/>
      <c r="AL778" s="8"/>
      <c r="AM778" s="8"/>
      <c r="AN778" s="8"/>
      <c r="AO778" s="8"/>
      <c r="AP778" s="8"/>
      <c r="AQ778" s="8"/>
      <c r="AR778" s="8"/>
      <c r="AZ778" s="45"/>
      <c r="BA778" s="89"/>
      <c r="BB778" s="89"/>
      <c r="BC778" s="89"/>
      <c r="BD778" s="89"/>
      <c r="BE778" s="89"/>
      <c r="BF778" s="89"/>
      <c r="BG778" s="89"/>
      <c r="BH778" s="89"/>
      <c r="BI778" s="89"/>
      <c r="BJ778" s="89"/>
      <c r="BK778" s="91"/>
      <c r="BL778" s="66"/>
      <c r="BM778" s="94"/>
      <c r="BN778" s="94"/>
      <c r="BO778" s="92"/>
      <c r="BP778" s="93"/>
      <c r="BQ778" s="23"/>
      <c r="BR778" s="94"/>
      <c r="BS778" s="94"/>
      <c r="BT778" s="94"/>
      <c r="BU778" s="94"/>
      <c r="BV778" s="95"/>
      <c r="BW778" s="91"/>
      <c r="BX778" s="95"/>
      <c r="BY778" s="8"/>
      <c r="BZ778" s="96"/>
      <c r="CA778" s="91"/>
      <c r="CB778" s="97"/>
      <c r="CC778" s="8"/>
      <c r="CD778" s="91"/>
      <c r="CE778" s="98"/>
      <c r="DK778" s="89"/>
      <c r="DL778" s="8"/>
      <c r="DM778" s="8"/>
      <c r="DN778" s="8"/>
      <c r="DO778" s="8"/>
      <c r="DP778" s="8"/>
      <c r="DQ778" s="8"/>
      <c r="DR778" s="8"/>
      <c r="DZ778" s="45"/>
      <c r="EA778" s="89"/>
      <c r="EB778" s="89"/>
      <c r="EC778" s="89"/>
      <c r="ED778" s="89"/>
      <c r="EE778" s="89"/>
      <c r="EF778" s="89"/>
      <c r="EG778" s="89"/>
      <c r="EH778" s="89"/>
      <c r="EI778" s="89"/>
      <c r="EJ778" s="89"/>
      <c r="EK778" s="91"/>
      <c r="EL778" s="66"/>
      <c r="EM778" s="94"/>
      <c r="EN778" s="94"/>
      <c r="EO778" s="92"/>
      <c r="EP778" s="93"/>
      <c r="EQ778" s="23"/>
      <c r="ER778" s="94"/>
      <c r="ES778" s="94"/>
      <c r="ET778" s="94"/>
      <c r="EU778" s="94"/>
      <c r="EV778" s="95"/>
      <c r="EW778" s="91"/>
      <c r="EX778" s="95"/>
      <c r="EY778" s="8"/>
      <c r="EZ778" s="96"/>
      <c r="FA778" s="91"/>
      <c r="FB778" s="97"/>
      <c r="FC778" s="8"/>
      <c r="FD778" s="91"/>
      <c r="FE778" s="98"/>
    </row>
    <row r="779" spans="37:161">
      <c r="AK779" s="89"/>
      <c r="AL779" s="8"/>
      <c r="AM779" s="8"/>
      <c r="AN779" s="8"/>
      <c r="AO779" s="8"/>
      <c r="AP779" s="8"/>
      <c r="AQ779" s="8"/>
      <c r="AR779" s="8"/>
      <c r="AZ779" s="45"/>
      <c r="BA779" s="89"/>
      <c r="BB779" s="89"/>
      <c r="BC779" s="89"/>
      <c r="BD779" s="89"/>
      <c r="BE779" s="89"/>
      <c r="BF779" s="89"/>
      <c r="BG779" s="89"/>
      <c r="BH779" s="89"/>
      <c r="BI779" s="89"/>
      <c r="BJ779" s="89"/>
      <c r="BK779" s="91"/>
      <c r="BL779" s="66"/>
      <c r="BM779" s="94"/>
      <c r="BN779" s="94"/>
      <c r="BO779" s="92"/>
      <c r="BP779" s="93"/>
      <c r="BQ779" s="23"/>
      <c r="BR779" s="94"/>
      <c r="BS779" s="94"/>
      <c r="BT779" s="94"/>
      <c r="BU779" s="94"/>
      <c r="BV779" s="95"/>
      <c r="BW779" s="91"/>
      <c r="BX779" s="95"/>
      <c r="BY779" s="8"/>
      <c r="BZ779" s="96"/>
      <c r="CA779" s="91"/>
      <c r="CB779" s="97"/>
      <c r="CC779" s="8"/>
      <c r="CD779" s="91"/>
      <c r="CE779" s="98"/>
      <c r="DK779" s="89"/>
      <c r="DL779" s="8"/>
      <c r="DM779" s="8"/>
      <c r="DN779" s="8"/>
      <c r="DO779" s="8"/>
      <c r="DP779" s="8"/>
      <c r="DQ779" s="8"/>
      <c r="DR779" s="8"/>
      <c r="DZ779" s="45"/>
      <c r="EA779" s="89"/>
      <c r="EB779" s="89"/>
      <c r="EC779" s="89"/>
      <c r="ED779" s="89"/>
      <c r="EE779" s="89"/>
      <c r="EF779" s="89"/>
      <c r="EG779" s="89"/>
      <c r="EH779" s="89"/>
      <c r="EI779" s="89"/>
      <c r="EJ779" s="89"/>
      <c r="EK779" s="91"/>
      <c r="EL779" s="66"/>
      <c r="EM779" s="94"/>
      <c r="EN779" s="94"/>
      <c r="EO779" s="92"/>
      <c r="EP779" s="93"/>
      <c r="EQ779" s="23"/>
      <c r="ER779" s="94"/>
      <c r="ES779" s="94"/>
      <c r="ET779" s="94"/>
      <c r="EU779" s="94"/>
      <c r="EV779" s="95"/>
      <c r="EW779" s="91"/>
      <c r="EX779" s="95"/>
      <c r="EY779" s="8"/>
      <c r="EZ779" s="96"/>
      <c r="FA779" s="91"/>
      <c r="FB779" s="97"/>
      <c r="FC779" s="8"/>
      <c r="FD779" s="91"/>
      <c r="FE779" s="98"/>
    </row>
    <row r="780" spans="37:161">
      <c r="AK780" s="89"/>
      <c r="AL780" s="8"/>
      <c r="AM780" s="8"/>
      <c r="AN780" s="8"/>
      <c r="AO780" s="8"/>
      <c r="AP780" s="8"/>
      <c r="AQ780" s="8"/>
      <c r="AR780" s="8"/>
      <c r="AZ780" s="45"/>
      <c r="BA780" s="89"/>
      <c r="BB780" s="89"/>
      <c r="BC780" s="89"/>
      <c r="BD780" s="89"/>
      <c r="BE780" s="89"/>
      <c r="BF780" s="89"/>
      <c r="BG780" s="89"/>
      <c r="BH780" s="89"/>
      <c r="BI780" s="89"/>
      <c r="BJ780" s="89"/>
      <c r="BK780" s="91"/>
      <c r="BL780" s="66"/>
      <c r="BM780" s="94"/>
      <c r="BN780" s="94"/>
      <c r="BO780" s="92"/>
      <c r="BP780" s="93"/>
      <c r="BQ780" s="23"/>
      <c r="BR780" s="94"/>
      <c r="BS780" s="94"/>
      <c r="BT780" s="94"/>
      <c r="BU780" s="94"/>
      <c r="BV780" s="95"/>
      <c r="BW780" s="91"/>
      <c r="BX780" s="95"/>
      <c r="BY780" s="8"/>
      <c r="BZ780" s="96"/>
      <c r="CA780" s="91"/>
      <c r="CB780" s="97"/>
      <c r="CC780" s="8"/>
      <c r="CD780" s="91"/>
      <c r="CE780" s="98"/>
      <c r="DK780" s="89"/>
      <c r="DL780" s="8"/>
      <c r="DM780" s="8"/>
      <c r="DN780" s="8"/>
      <c r="DO780" s="8"/>
      <c r="DP780" s="8"/>
      <c r="DQ780" s="8"/>
      <c r="DR780" s="8"/>
      <c r="DZ780" s="45"/>
      <c r="EA780" s="89"/>
      <c r="EB780" s="89"/>
      <c r="EC780" s="89"/>
      <c r="ED780" s="89"/>
      <c r="EE780" s="89"/>
      <c r="EF780" s="89"/>
      <c r="EG780" s="89"/>
      <c r="EH780" s="89"/>
      <c r="EI780" s="89"/>
      <c r="EJ780" s="89"/>
      <c r="EK780" s="91"/>
      <c r="EL780" s="66"/>
      <c r="EM780" s="94"/>
      <c r="EN780" s="94"/>
      <c r="EO780" s="92"/>
      <c r="EP780" s="93"/>
      <c r="EQ780" s="23"/>
      <c r="ER780" s="94"/>
      <c r="ES780" s="94"/>
      <c r="ET780" s="94"/>
      <c r="EU780" s="94"/>
      <c r="EV780" s="95"/>
      <c r="EW780" s="91"/>
      <c r="EX780" s="95"/>
      <c r="EY780" s="8"/>
      <c r="EZ780" s="96"/>
      <c r="FA780" s="91"/>
      <c r="FB780" s="97"/>
      <c r="FC780" s="8"/>
      <c r="FD780" s="91"/>
      <c r="FE780" s="98"/>
    </row>
    <row r="781" spans="37:161">
      <c r="AK781" s="89"/>
      <c r="AL781" s="8"/>
      <c r="AM781" s="8"/>
      <c r="AN781" s="8"/>
      <c r="AO781" s="8"/>
      <c r="AP781" s="8"/>
      <c r="AQ781" s="8"/>
      <c r="AR781" s="8"/>
      <c r="AZ781" s="45"/>
      <c r="BA781" s="89"/>
      <c r="BB781" s="89"/>
      <c r="BC781" s="89"/>
      <c r="BD781" s="89"/>
      <c r="BE781" s="89"/>
      <c r="BF781" s="89"/>
      <c r="BG781" s="89"/>
      <c r="BH781" s="89"/>
      <c r="BI781" s="89"/>
      <c r="BJ781" s="89"/>
      <c r="BK781" s="91"/>
      <c r="BL781" s="66"/>
      <c r="BM781" s="94"/>
      <c r="BN781" s="94"/>
      <c r="BO781" s="92"/>
      <c r="BP781" s="93"/>
      <c r="BQ781" s="23"/>
      <c r="BR781" s="94"/>
      <c r="BS781" s="94"/>
      <c r="BT781" s="94"/>
      <c r="BU781" s="94"/>
      <c r="BV781" s="95"/>
      <c r="BW781" s="91"/>
      <c r="BX781" s="95"/>
      <c r="BY781" s="8"/>
      <c r="BZ781" s="96"/>
      <c r="CA781" s="91"/>
      <c r="CB781" s="97"/>
      <c r="CC781" s="8"/>
      <c r="CD781" s="91"/>
      <c r="CE781" s="98"/>
      <c r="DK781" s="89"/>
      <c r="DL781" s="8"/>
      <c r="DM781" s="8"/>
      <c r="DN781" s="8"/>
      <c r="DO781" s="8"/>
      <c r="DP781" s="8"/>
      <c r="DQ781" s="8"/>
      <c r="DR781" s="8"/>
      <c r="DZ781" s="45"/>
      <c r="EA781" s="89"/>
      <c r="EB781" s="89"/>
      <c r="EC781" s="89"/>
      <c r="ED781" s="89"/>
      <c r="EE781" s="89"/>
      <c r="EF781" s="89"/>
      <c r="EG781" s="89"/>
      <c r="EH781" s="89"/>
      <c r="EI781" s="89"/>
      <c r="EJ781" s="89"/>
      <c r="EK781" s="91"/>
      <c r="EL781" s="66"/>
      <c r="EM781" s="94"/>
      <c r="EN781" s="94"/>
      <c r="EO781" s="92"/>
      <c r="EP781" s="93"/>
      <c r="EQ781" s="23"/>
      <c r="ER781" s="94"/>
      <c r="ES781" s="94"/>
      <c r="ET781" s="94"/>
      <c r="EU781" s="94"/>
      <c r="EV781" s="95"/>
      <c r="EW781" s="91"/>
      <c r="EX781" s="95"/>
      <c r="EY781" s="8"/>
      <c r="EZ781" s="96"/>
      <c r="FA781" s="91"/>
      <c r="FB781" s="97"/>
      <c r="FC781" s="8"/>
      <c r="FD781" s="91"/>
      <c r="FE781" s="98"/>
    </row>
    <row r="782" spans="37:161">
      <c r="AK782" s="89"/>
      <c r="AL782" s="8"/>
      <c r="AM782" s="8"/>
      <c r="AN782" s="8"/>
      <c r="AO782" s="8"/>
      <c r="AP782" s="8"/>
      <c r="AQ782" s="8"/>
      <c r="AR782" s="8"/>
      <c r="AZ782" s="45"/>
      <c r="BA782" s="89"/>
      <c r="BB782" s="89"/>
      <c r="BC782" s="89"/>
      <c r="BD782" s="89"/>
      <c r="BE782" s="89"/>
      <c r="BF782" s="89"/>
      <c r="BG782" s="89"/>
      <c r="BH782" s="89"/>
      <c r="BI782" s="89"/>
      <c r="BJ782" s="89"/>
      <c r="BK782" s="91"/>
      <c r="BL782" s="66"/>
      <c r="BM782" s="94"/>
      <c r="BN782" s="94"/>
      <c r="BO782" s="92"/>
      <c r="BP782" s="93"/>
      <c r="BQ782" s="23"/>
      <c r="BR782" s="94"/>
      <c r="BS782" s="94"/>
      <c r="BT782" s="94"/>
      <c r="BU782" s="94"/>
      <c r="BV782" s="95"/>
      <c r="BW782" s="91"/>
      <c r="BX782" s="95"/>
      <c r="BY782" s="8"/>
      <c r="BZ782" s="96"/>
      <c r="CA782" s="91"/>
      <c r="CB782" s="97"/>
      <c r="CC782" s="8"/>
      <c r="CD782" s="91"/>
      <c r="CE782" s="98"/>
      <c r="DK782" s="89"/>
      <c r="DL782" s="8"/>
      <c r="DM782" s="8"/>
      <c r="DN782" s="8"/>
      <c r="DO782" s="8"/>
      <c r="DP782" s="8"/>
      <c r="DQ782" s="8"/>
      <c r="DR782" s="8"/>
      <c r="DZ782" s="45"/>
      <c r="EA782" s="89"/>
      <c r="EB782" s="89"/>
      <c r="EC782" s="89"/>
      <c r="ED782" s="89"/>
      <c r="EE782" s="89"/>
      <c r="EF782" s="89"/>
      <c r="EG782" s="89"/>
      <c r="EH782" s="89"/>
      <c r="EI782" s="89"/>
      <c r="EJ782" s="89"/>
      <c r="EK782" s="91"/>
      <c r="EL782" s="66"/>
      <c r="EM782" s="94"/>
      <c r="EN782" s="94"/>
      <c r="EO782" s="92"/>
      <c r="EP782" s="93"/>
      <c r="EQ782" s="23"/>
      <c r="ER782" s="94"/>
      <c r="ES782" s="94"/>
      <c r="ET782" s="94"/>
      <c r="EU782" s="94"/>
      <c r="EV782" s="95"/>
      <c r="EW782" s="91"/>
      <c r="EX782" s="95"/>
      <c r="EY782" s="8"/>
      <c r="EZ782" s="96"/>
      <c r="FA782" s="91"/>
      <c r="FB782" s="97"/>
      <c r="FC782" s="8"/>
      <c r="FD782" s="91"/>
      <c r="FE782" s="98"/>
    </row>
    <row r="783" spans="37:161">
      <c r="AK783" s="89"/>
      <c r="AL783" s="8"/>
      <c r="AM783" s="8"/>
      <c r="AN783" s="8"/>
      <c r="AO783" s="8"/>
      <c r="AP783" s="8"/>
      <c r="AQ783" s="8"/>
      <c r="AR783" s="8"/>
      <c r="AZ783" s="45"/>
      <c r="BA783" s="89"/>
      <c r="BB783" s="89"/>
      <c r="BC783" s="89"/>
      <c r="BD783" s="89"/>
      <c r="BE783" s="89"/>
      <c r="BF783" s="89"/>
      <c r="BG783" s="89"/>
      <c r="BH783" s="89"/>
      <c r="BI783" s="89"/>
      <c r="BJ783" s="89"/>
      <c r="BK783" s="91"/>
      <c r="BL783" s="66"/>
      <c r="BM783" s="94"/>
      <c r="BN783" s="94"/>
      <c r="BO783" s="92"/>
      <c r="BP783" s="93"/>
      <c r="BQ783" s="23"/>
      <c r="BR783" s="94"/>
      <c r="BS783" s="94"/>
      <c r="BT783" s="94"/>
      <c r="BU783" s="94"/>
      <c r="BV783" s="95"/>
      <c r="BW783" s="91"/>
      <c r="BX783" s="95"/>
      <c r="BY783" s="8"/>
      <c r="BZ783" s="96"/>
      <c r="CA783" s="91"/>
      <c r="CB783" s="97"/>
      <c r="CC783" s="8"/>
      <c r="CD783" s="91"/>
      <c r="CE783" s="98"/>
      <c r="DK783" s="89"/>
      <c r="DL783" s="8"/>
      <c r="DM783" s="8"/>
      <c r="DN783" s="8"/>
      <c r="DO783" s="8"/>
      <c r="DP783" s="8"/>
      <c r="DQ783" s="8"/>
      <c r="DR783" s="8"/>
      <c r="DZ783" s="45"/>
      <c r="EA783" s="89"/>
      <c r="EB783" s="89"/>
      <c r="EC783" s="89"/>
      <c r="ED783" s="89"/>
      <c r="EE783" s="89"/>
      <c r="EF783" s="89"/>
      <c r="EG783" s="89"/>
      <c r="EH783" s="89"/>
      <c r="EI783" s="89"/>
      <c r="EJ783" s="89"/>
      <c r="EK783" s="91"/>
      <c r="EL783" s="66"/>
      <c r="EM783" s="94"/>
      <c r="EN783" s="94"/>
      <c r="EO783" s="92"/>
      <c r="EP783" s="93"/>
      <c r="EQ783" s="23"/>
      <c r="ER783" s="94"/>
      <c r="ES783" s="94"/>
      <c r="ET783" s="94"/>
      <c r="EU783" s="94"/>
      <c r="EV783" s="95"/>
      <c r="EW783" s="91"/>
      <c r="EX783" s="95"/>
      <c r="EY783" s="8"/>
      <c r="EZ783" s="96"/>
      <c r="FA783" s="91"/>
      <c r="FB783" s="97"/>
      <c r="FC783" s="8"/>
      <c r="FD783" s="91"/>
      <c r="FE783" s="98"/>
    </row>
    <row r="784" spans="37:161">
      <c r="AK784" s="89"/>
      <c r="AL784" s="8"/>
      <c r="AM784" s="8"/>
      <c r="AN784" s="8"/>
      <c r="AO784" s="8"/>
      <c r="AP784" s="8"/>
      <c r="AQ784" s="8"/>
      <c r="AR784" s="8"/>
      <c r="AZ784" s="45"/>
      <c r="BA784" s="89"/>
      <c r="BB784" s="89"/>
      <c r="BC784" s="89"/>
      <c r="BD784" s="89"/>
      <c r="BE784" s="89"/>
      <c r="BF784" s="89"/>
      <c r="BG784" s="89"/>
      <c r="BH784" s="89"/>
      <c r="BI784" s="89"/>
      <c r="BJ784" s="89"/>
      <c r="BK784" s="91"/>
      <c r="BL784" s="66"/>
      <c r="BM784" s="94"/>
      <c r="BN784" s="94"/>
      <c r="BO784" s="92"/>
      <c r="BP784" s="93"/>
      <c r="BQ784" s="23"/>
      <c r="BR784" s="94"/>
      <c r="BS784" s="94"/>
      <c r="BT784" s="94"/>
      <c r="BU784" s="94"/>
      <c r="BV784" s="95"/>
      <c r="BW784" s="91"/>
      <c r="BX784" s="95"/>
      <c r="BY784" s="8"/>
      <c r="BZ784" s="96"/>
      <c r="CA784" s="91"/>
      <c r="CB784" s="97"/>
      <c r="CC784" s="8"/>
      <c r="CD784" s="91"/>
      <c r="CE784" s="98"/>
      <c r="DK784" s="89"/>
      <c r="DL784" s="8"/>
      <c r="DM784" s="8"/>
      <c r="DN784" s="8"/>
      <c r="DO784" s="8"/>
      <c r="DP784" s="8"/>
      <c r="DQ784" s="8"/>
      <c r="DR784" s="8"/>
      <c r="DZ784" s="45"/>
      <c r="EA784" s="89"/>
      <c r="EB784" s="89"/>
      <c r="EC784" s="89"/>
      <c r="ED784" s="89"/>
      <c r="EE784" s="89"/>
      <c r="EF784" s="89"/>
      <c r="EG784" s="89"/>
      <c r="EH784" s="89"/>
      <c r="EI784" s="89"/>
      <c r="EJ784" s="89"/>
      <c r="EK784" s="91"/>
      <c r="EL784" s="66"/>
      <c r="EM784" s="94"/>
      <c r="EN784" s="94"/>
      <c r="EO784" s="92"/>
      <c r="EP784" s="93"/>
      <c r="EQ784" s="23"/>
      <c r="ER784" s="94"/>
      <c r="ES784" s="94"/>
      <c r="ET784" s="94"/>
      <c r="EU784" s="94"/>
      <c r="EV784" s="95"/>
      <c r="EW784" s="91"/>
      <c r="EX784" s="95"/>
      <c r="EY784" s="8"/>
      <c r="EZ784" s="96"/>
      <c r="FA784" s="91"/>
      <c r="FB784" s="97"/>
      <c r="FC784" s="8"/>
      <c r="FD784" s="91"/>
      <c r="FE784" s="98"/>
    </row>
    <row r="785" spans="37:161">
      <c r="AK785" s="89"/>
      <c r="AL785" s="8"/>
      <c r="AM785" s="8"/>
      <c r="AN785" s="8"/>
      <c r="AO785" s="8"/>
      <c r="AP785" s="8"/>
      <c r="AQ785" s="8"/>
      <c r="AR785" s="8"/>
      <c r="AZ785" s="45"/>
      <c r="BA785" s="89"/>
      <c r="BB785" s="89"/>
      <c r="BC785" s="89"/>
      <c r="BD785" s="89"/>
      <c r="BE785" s="89"/>
      <c r="BF785" s="89"/>
      <c r="BG785" s="89"/>
      <c r="BH785" s="89"/>
      <c r="BI785" s="89"/>
      <c r="BJ785" s="89"/>
      <c r="BK785" s="91"/>
      <c r="BL785" s="66"/>
      <c r="BM785" s="94"/>
      <c r="BN785" s="94"/>
      <c r="BO785" s="92"/>
      <c r="BP785" s="93"/>
      <c r="BQ785" s="23"/>
      <c r="BR785" s="94"/>
      <c r="BS785" s="94"/>
      <c r="BT785" s="94"/>
      <c r="BU785" s="94"/>
      <c r="BV785" s="95"/>
      <c r="BW785" s="91"/>
      <c r="BX785" s="95"/>
      <c r="BY785" s="8"/>
      <c r="BZ785" s="96"/>
      <c r="CA785" s="91"/>
      <c r="CB785" s="97"/>
      <c r="CC785" s="8"/>
      <c r="CD785" s="91"/>
      <c r="CE785" s="98"/>
      <c r="DK785" s="89"/>
      <c r="DL785" s="8"/>
      <c r="DM785" s="8"/>
      <c r="DN785" s="8"/>
      <c r="DO785" s="8"/>
      <c r="DP785" s="8"/>
      <c r="DQ785" s="8"/>
      <c r="DR785" s="8"/>
      <c r="DZ785" s="45"/>
      <c r="EA785" s="89"/>
      <c r="EB785" s="89"/>
      <c r="EC785" s="89"/>
      <c r="ED785" s="89"/>
      <c r="EE785" s="89"/>
      <c r="EF785" s="89"/>
      <c r="EG785" s="89"/>
      <c r="EH785" s="89"/>
      <c r="EI785" s="89"/>
      <c r="EJ785" s="89"/>
      <c r="EK785" s="91"/>
      <c r="EL785" s="66"/>
      <c r="EM785" s="94"/>
      <c r="EN785" s="94"/>
      <c r="EO785" s="92"/>
      <c r="EP785" s="93"/>
      <c r="EQ785" s="23"/>
      <c r="ER785" s="94"/>
      <c r="ES785" s="94"/>
      <c r="ET785" s="94"/>
      <c r="EU785" s="94"/>
      <c r="EV785" s="95"/>
      <c r="EW785" s="91"/>
      <c r="EX785" s="95"/>
      <c r="EY785" s="8"/>
      <c r="EZ785" s="96"/>
      <c r="FA785" s="91"/>
      <c r="FB785" s="97"/>
      <c r="FC785" s="8"/>
      <c r="FD785" s="91"/>
      <c r="FE785" s="98"/>
    </row>
    <row r="786" spans="37:161">
      <c r="AK786" s="89"/>
      <c r="AL786" s="8"/>
      <c r="AM786" s="8"/>
      <c r="AN786" s="8"/>
      <c r="AO786" s="8"/>
      <c r="AP786" s="8"/>
      <c r="AQ786" s="8"/>
      <c r="AR786" s="8"/>
      <c r="AZ786" s="45"/>
      <c r="BA786" s="89"/>
      <c r="BB786" s="89"/>
      <c r="BC786" s="89"/>
      <c r="BD786" s="89"/>
      <c r="BE786" s="89"/>
      <c r="BF786" s="89"/>
      <c r="BG786" s="89"/>
      <c r="BH786" s="89"/>
      <c r="BI786" s="89"/>
      <c r="BJ786" s="89"/>
      <c r="BK786" s="91"/>
      <c r="BL786" s="66"/>
      <c r="BM786" s="94"/>
      <c r="BN786" s="94"/>
      <c r="BO786" s="92"/>
      <c r="BP786" s="93"/>
      <c r="BQ786" s="23"/>
      <c r="BR786" s="94"/>
      <c r="BS786" s="94"/>
      <c r="BT786" s="94"/>
      <c r="BU786" s="94"/>
      <c r="BV786" s="95"/>
      <c r="BW786" s="91"/>
      <c r="BX786" s="95"/>
      <c r="BY786" s="8"/>
      <c r="BZ786" s="96"/>
      <c r="CA786" s="91"/>
      <c r="CB786" s="97"/>
      <c r="CC786" s="8"/>
      <c r="CD786" s="91"/>
      <c r="CE786" s="98"/>
      <c r="DK786" s="89"/>
      <c r="DL786" s="8"/>
      <c r="DM786" s="8"/>
      <c r="DN786" s="8"/>
      <c r="DO786" s="8"/>
      <c r="DP786" s="8"/>
      <c r="DQ786" s="8"/>
      <c r="DR786" s="8"/>
      <c r="DZ786" s="45"/>
      <c r="EA786" s="89"/>
      <c r="EB786" s="89"/>
      <c r="EC786" s="89"/>
      <c r="ED786" s="89"/>
      <c r="EE786" s="89"/>
      <c r="EF786" s="89"/>
      <c r="EG786" s="89"/>
      <c r="EH786" s="89"/>
      <c r="EI786" s="89"/>
      <c r="EJ786" s="89"/>
      <c r="EK786" s="91"/>
      <c r="EL786" s="66"/>
      <c r="EM786" s="94"/>
      <c r="EN786" s="94"/>
      <c r="EO786" s="92"/>
      <c r="EP786" s="93"/>
      <c r="EQ786" s="23"/>
      <c r="ER786" s="94"/>
      <c r="ES786" s="94"/>
      <c r="ET786" s="94"/>
      <c r="EU786" s="94"/>
      <c r="EV786" s="95"/>
      <c r="EW786" s="91"/>
      <c r="EX786" s="95"/>
      <c r="EY786" s="8"/>
      <c r="EZ786" s="96"/>
      <c r="FA786" s="91"/>
      <c r="FB786" s="97"/>
      <c r="FC786" s="8"/>
      <c r="FD786" s="91"/>
      <c r="FE786" s="98"/>
    </row>
    <row r="787" spans="37:161">
      <c r="AK787" s="89"/>
      <c r="AL787" s="8"/>
      <c r="AM787" s="8"/>
      <c r="AN787" s="8"/>
      <c r="AO787" s="8"/>
      <c r="AP787" s="8"/>
      <c r="AQ787" s="8"/>
      <c r="AR787" s="8"/>
      <c r="AZ787" s="45"/>
      <c r="BA787" s="89"/>
      <c r="BB787" s="89"/>
      <c r="BC787" s="89"/>
      <c r="BD787" s="89"/>
      <c r="BE787" s="89"/>
      <c r="BF787" s="89"/>
      <c r="BG787" s="89"/>
      <c r="BH787" s="89"/>
      <c r="BI787" s="89"/>
      <c r="BJ787" s="89"/>
      <c r="BK787" s="91"/>
      <c r="BL787" s="66"/>
      <c r="BM787" s="94"/>
      <c r="BN787" s="94"/>
      <c r="BO787" s="92"/>
      <c r="BP787" s="93"/>
      <c r="BQ787" s="23"/>
      <c r="BR787" s="94"/>
      <c r="BS787" s="94"/>
      <c r="BT787" s="94"/>
      <c r="BU787" s="94"/>
      <c r="BV787" s="95"/>
      <c r="BW787" s="91"/>
      <c r="BX787" s="95"/>
      <c r="BY787" s="8"/>
      <c r="BZ787" s="96"/>
      <c r="CA787" s="91"/>
      <c r="CB787" s="97"/>
      <c r="CC787" s="8"/>
      <c r="CD787" s="91"/>
      <c r="CE787" s="98"/>
      <c r="DK787" s="89"/>
      <c r="DL787" s="8"/>
      <c r="DM787" s="8"/>
      <c r="DN787" s="8"/>
      <c r="DO787" s="8"/>
      <c r="DP787" s="8"/>
      <c r="DQ787" s="8"/>
      <c r="DR787" s="8"/>
      <c r="DZ787" s="45"/>
      <c r="EA787" s="89"/>
      <c r="EB787" s="89"/>
      <c r="EC787" s="89"/>
      <c r="ED787" s="89"/>
      <c r="EE787" s="89"/>
      <c r="EF787" s="89"/>
      <c r="EG787" s="89"/>
      <c r="EH787" s="89"/>
      <c r="EI787" s="89"/>
      <c r="EJ787" s="89"/>
      <c r="EK787" s="91"/>
      <c r="EL787" s="66"/>
      <c r="EM787" s="94"/>
      <c r="EN787" s="94"/>
      <c r="EO787" s="92"/>
      <c r="EP787" s="93"/>
      <c r="EQ787" s="23"/>
      <c r="ER787" s="94"/>
      <c r="ES787" s="94"/>
      <c r="ET787" s="94"/>
      <c r="EU787" s="94"/>
      <c r="EV787" s="95"/>
      <c r="EW787" s="91"/>
      <c r="EX787" s="95"/>
      <c r="EY787" s="8"/>
      <c r="EZ787" s="96"/>
      <c r="FA787" s="91"/>
      <c r="FB787" s="97"/>
      <c r="FC787" s="8"/>
      <c r="FD787" s="91"/>
      <c r="FE787" s="98"/>
    </row>
    <row r="788" spans="37:161">
      <c r="AK788" s="89"/>
      <c r="AL788" s="8"/>
      <c r="AM788" s="8"/>
      <c r="AN788" s="8"/>
      <c r="AO788" s="8"/>
      <c r="AP788" s="8"/>
      <c r="AQ788" s="8"/>
      <c r="AR788" s="8"/>
      <c r="AZ788" s="45"/>
      <c r="BA788" s="89"/>
      <c r="BB788" s="89"/>
      <c r="BC788" s="89"/>
      <c r="BD788" s="89"/>
      <c r="BE788" s="89"/>
      <c r="BF788" s="89"/>
      <c r="BG788" s="89"/>
      <c r="BH788" s="89"/>
      <c r="BI788" s="89"/>
      <c r="BJ788" s="89"/>
      <c r="BK788" s="91"/>
      <c r="BL788" s="66"/>
      <c r="BM788" s="94"/>
      <c r="BN788" s="94"/>
      <c r="BO788" s="92"/>
      <c r="BP788" s="93"/>
      <c r="BQ788" s="23"/>
      <c r="BR788" s="94"/>
      <c r="BS788" s="94"/>
      <c r="BT788" s="94"/>
      <c r="BU788" s="94"/>
      <c r="BV788" s="95"/>
      <c r="BW788" s="91"/>
      <c r="BX788" s="95"/>
      <c r="BY788" s="8"/>
      <c r="BZ788" s="96"/>
      <c r="CA788" s="91"/>
      <c r="CB788" s="97"/>
      <c r="CC788" s="8"/>
      <c r="CD788" s="91"/>
      <c r="CE788" s="98"/>
      <c r="DK788" s="89"/>
      <c r="DL788" s="8"/>
      <c r="DM788" s="8"/>
      <c r="DN788" s="8"/>
      <c r="DO788" s="8"/>
      <c r="DP788" s="8"/>
      <c r="DQ788" s="8"/>
      <c r="DR788" s="8"/>
      <c r="DZ788" s="45"/>
      <c r="EA788" s="89"/>
      <c r="EB788" s="89"/>
      <c r="EC788" s="89"/>
      <c r="ED788" s="89"/>
      <c r="EE788" s="89"/>
      <c r="EF788" s="89"/>
      <c r="EG788" s="89"/>
      <c r="EH788" s="89"/>
      <c r="EI788" s="89"/>
      <c r="EJ788" s="89"/>
      <c r="EK788" s="91"/>
      <c r="EL788" s="66"/>
      <c r="EM788" s="94"/>
      <c r="EN788" s="94"/>
      <c r="EO788" s="92"/>
      <c r="EP788" s="93"/>
      <c r="EQ788" s="23"/>
      <c r="ER788" s="94"/>
      <c r="ES788" s="94"/>
      <c r="ET788" s="94"/>
      <c r="EU788" s="94"/>
      <c r="EV788" s="95"/>
      <c r="EW788" s="91"/>
      <c r="EX788" s="95"/>
      <c r="EY788" s="8"/>
      <c r="EZ788" s="96"/>
      <c r="FA788" s="91"/>
      <c r="FB788" s="97"/>
      <c r="FC788" s="8"/>
      <c r="FD788" s="91"/>
      <c r="FE788" s="98"/>
    </row>
    <row r="789" spans="37:161">
      <c r="AK789" s="89"/>
      <c r="AL789" s="8"/>
      <c r="AM789" s="8"/>
      <c r="AN789" s="8"/>
      <c r="AO789" s="8"/>
      <c r="AP789" s="8"/>
      <c r="AQ789" s="8"/>
      <c r="AR789" s="8"/>
      <c r="AZ789" s="45"/>
      <c r="BA789" s="89"/>
      <c r="BB789" s="89"/>
      <c r="BC789" s="89"/>
      <c r="BD789" s="89"/>
      <c r="BE789" s="89"/>
      <c r="BF789" s="89"/>
      <c r="BG789" s="89"/>
      <c r="BH789" s="89"/>
      <c r="BI789" s="89"/>
      <c r="BJ789" s="89"/>
      <c r="BK789" s="91"/>
      <c r="BL789" s="66"/>
      <c r="BM789" s="94"/>
      <c r="BN789" s="94"/>
      <c r="BO789" s="92"/>
      <c r="BP789" s="93"/>
      <c r="BQ789" s="23"/>
      <c r="BR789" s="94"/>
      <c r="BS789" s="94"/>
      <c r="BT789" s="94"/>
      <c r="BU789" s="94"/>
      <c r="BV789" s="95"/>
      <c r="BW789" s="91"/>
      <c r="BX789" s="95"/>
      <c r="BY789" s="8"/>
      <c r="BZ789" s="96"/>
      <c r="CA789" s="91"/>
      <c r="CB789" s="97"/>
      <c r="CC789" s="8"/>
      <c r="CD789" s="91"/>
      <c r="CE789" s="98"/>
      <c r="DK789" s="89"/>
      <c r="DL789" s="8"/>
      <c r="DM789" s="8"/>
      <c r="DN789" s="8"/>
      <c r="DO789" s="8"/>
      <c r="DP789" s="8"/>
      <c r="DQ789" s="8"/>
      <c r="DR789" s="8"/>
      <c r="DZ789" s="45"/>
      <c r="EA789" s="89"/>
      <c r="EB789" s="89"/>
      <c r="EC789" s="89"/>
      <c r="ED789" s="89"/>
      <c r="EE789" s="89"/>
      <c r="EF789" s="89"/>
      <c r="EG789" s="89"/>
      <c r="EH789" s="89"/>
      <c r="EI789" s="89"/>
      <c r="EJ789" s="89"/>
      <c r="EK789" s="91"/>
      <c r="EL789" s="66"/>
      <c r="EM789" s="94"/>
      <c r="EN789" s="94"/>
      <c r="EO789" s="92"/>
      <c r="EP789" s="93"/>
      <c r="EQ789" s="23"/>
      <c r="ER789" s="94"/>
      <c r="ES789" s="94"/>
      <c r="ET789" s="94"/>
      <c r="EU789" s="94"/>
      <c r="EV789" s="95"/>
      <c r="EW789" s="91"/>
      <c r="EX789" s="95"/>
      <c r="EY789" s="8"/>
      <c r="EZ789" s="96"/>
      <c r="FA789" s="91"/>
      <c r="FB789" s="97"/>
      <c r="FC789" s="8"/>
      <c r="FD789" s="91"/>
      <c r="FE789" s="98"/>
    </row>
    <row r="790" spans="37:161">
      <c r="AK790" s="89"/>
      <c r="AL790" s="8"/>
      <c r="AM790" s="8"/>
      <c r="AN790" s="8"/>
      <c r="AO790" s="8"/>
      <c r="AP790" s="8"/>
      <c r="AQ790" s="8"/>
      <c r="AR790" s="8"/>
      <c r="AZ790" s="45"/>
      <c r="BA790" s="89"/>
      <c r="BB790" s="89"/>
      <c r="BC790" s="89"/>
      <c r="BD790" s="89"/>
      <c r="BE790" s="89"/>
      <c r="BF790" s="89"/>
      <c r="BG790" s="89"/>
      <c r="BH790" s="89"/>
      <c r="BI790" s="89"/>
      <c r="BJ790" s="89"/>
      <c r="BK790" s="91"/>
      <c r="BL790" s="66"/>
      <c r="BM790" s="94"/>
      <c r="BN790" s="94"/>
      <c r="BO790" s="92"/>
      <c r="BP790" s="93"/>
      <c r="BQ790" s="23"/>
      <c r="BR790" s="94"/>
      <c r="BS790" s="94"/>
      <c r="BT790" s="94"/>
      <c r="BU790" s="94"/>
      <c r="BV790" s="95"/>
      <c r="BW790" s="91"/>
      <c r="BX790" s="95"/>
      <c r="BY790" s="8"/>
      <c r="BZ790" s="96"/>
      <c r="CA790" s="91"/>
      <c r="CB790" s="97"/>
      <c r="CC790" s="8"/>
      <c r="CD790" s="91"/>
      <c r="CE790" s="98"/>
      <c r="DK790" s="89"/>
      <c r="DL790" s="8"/>
      <c r="DM790" s="8"/>
      <c r="DN790" s="8"/>
      <c r="DO790" s="8"/>
      <c r="DP790" s="8"/>
      <c r="DQ790" s="8"/>
      <c r="DR790" s="8"/>
      <c r="DZ790" s="45"/>
      <c r="EA790" s="89"/>
      <c r="EB790" s="89"/>
      <c r="EC790" s="89"/>
      <c r="ED790" s="89"/>
      <c r="EE790" s="89"/>
      <c r="EF790" s="89"/>
      <c r="EG790" s="89"/>
      <c r="EH790" s="89"/>
      <c r="EI790" s="89"/>
      <c r="EJ790" s="89"/>
      <c r="EK790" s="91"/>
      <c r="EL790" s="66"/>
      <c r="EM790" s="94"/>
      <c r="EN790" s="94"/>
      <c r="EO790" s="92"/>
      <c r="EP790" s="93"/>
      <c r="EQ790" s="23"/>
      <c r="ER790" s="94"/>
      <c r="ES790" s="94"/>
      <c r="ET790" s="94"/>
      <c r="EU790" s="94"/>
      <c r="EV790" s="95"/>
      <c r="EW790" s="91"/>
      <c r="EX790" s="95"/>
      <c r="EY790" s="8"/>
      <c r="EZ790" s="96"/>
      <c r="FA790" s="91"/>
      <c r="FB790" s="97"/>
      <c r="FC790" s="8"/>
      <c r="FD790" s="91"/>
      <c r="FE790" s="98"/>
    </row>
    <row r="791" spans="37:161">
      <c r="AK791" s="89"/>
      <c r="AL791" s="8"/>
      <c r="AM791" s="8"/>
      <c r="AN791" s="8"/>
      <c r="AO791" s="8"/>
      <c r="AP791" s="8"/>
      <c r="AQ791" s="8"/>
      <c r="AR791" s="8"/>
      <c r="AZ791" s="45"/>
      <c r="BA791" s="89"/>
      <c r="BB791" s="89"/>
      <c r="BC791" s="89"/>
      <c r="BD791" s="89"/>
      <c r="BE791" s="89"/>
      <c r="BF791" s="89"/>
      <c r="BG791" s="89"/>
      <c r="BH791" s="89"/>
      <c r="BI791" s="89"/>
      <c r="BJ791" s="89"/>
      <c r="BK791" s="91"/>
      <c r="BL791" s="66"/>
      <c r="BM791" s="94"/>
      <c r="BN791" s="94"/>
      <c r="BO791" s="92"/>
      <c r="BP791" s="93"/>
      <c r="BQ791" s="23"/>
      <c r="BR791" s="94"/>
      <c r="BS791" s="94"/>
      <c r="BT791" s="94"/>
      <c r="BU791" s="94"/>
      <c r="BV791" s="95"/>
      <c r="BW791" s="91"/>
      <c r="BX791" s="95"/>
      <c r="BY791" s="8"/>
      <c r="BZ791" s="96"/>
      <c r="CA791" s="91"/>
      <c r="CB791" s="97"/>
      <c r="CC791" s="8"/>
      <c r="CD791" s="91"/>
      <c r="CE791" s="98"/>
      <c r="DK791" s="89"/>
      <c r="DL791" s="8"/>
      <c r="DM791" s="8"/>
      <c r="DN791" s="8"/>
      <c r="DO791" s="8"/>
      <c r="DP791" s="8"/>
      <c r="DQ791" s="8"/>
      <c r="DR791" s="8"/>
      <c r="DZ791" s="45"/>
      <c r="EA791" s="89"/>
      <c r="EB791" s="89"/>
      <c r="EC791" s="89"/>
      <c r="ED791" s="89"/>
      <c r="EE791" s="89"/>
      <c r="EF791" s="89"/>
      <c r="EG791" s="89"/>
      <c r="EH791" s="89"/>
      <c r="EI791" s="89"/>
      <c r="EJ791" s="89"/>
      <c r="EK791" s="91"/>
      <c r="EL791" s="66"/>
      <c r="EM791" s="94"/>
      <c r="EN791" s="94"/>
      <c r="EO791" s="92"/>
      <c r="EP791" s="93"/>
      <c r="EQ791" s="23"/>
      <c r="ER791" s="94"/>
      <c r="ES791" s="94"/>
      <c r="ET791" s="94"/>
      <c r="EU791" s="94"/>
      <c r="EV791" s="95"/>
      <c r="EW791" s="91"/>
      <c r="EX791" s="95"/>
      <c r="EY791" s="8"/>
      <c r="EZ791" s="96"/>
      <c r="FA791" s="91"/>
      <c r="FB791" s="97"/>
      <c r="FC791" s="8"/>
      <c r="FD791" s="91"/>
      <c r="FE791" s="98"/>
    </row>
    <row r="792" spans="37:161">
      <c r="AK792" s="89"/>
      <c r="AL792" s="8"/>
      <c r="AM792" s="8"/>
      <c r="AN792" s="8"/>
      <c r="AO792" s="8"/>
      <c r="AP792" s="8"/>
      <c r="AQ792" s="8"/>
      <c r="AR792" s="8"/>
      <c r="AZ792" s="45"/>
      <c r="BA792" s="89"/>
      <c r="BB792" s="89"/>
      <c r="BC792" s="89"/>
      <c r="BD792" s="89"/>
      <c r="BE792" s="89"/>
      <c r="BF792" s="89"/>
      <c r="BG792" s="89"/>
      <c r="BH792" s="89"/>
      <c r="BI792" s="89"/>
      <c r="BJ792" s="89"/>
      <c r="BK792" s="91"/>
      <c r="BL792" s="66"/>
      <c r="BM792" s="94"/>
      <c r="BN792" s="94"/>
      <c r="BO792" s="92"/>
      <c r="BP792" s="93"/>
      <c r="BQ792" s="23"/>
      <c r="BR792" s="94"/>
      <c r="BS792" s="94"/>
      <c r="BT792" s="94"/>
      <c r="BU792" s="94"/>
      <c r="BV792" s="95"/>
      <c r="BW792" s="91"/>
      <c r="BX792" s="95"/>
      <c r="BY792" s="8"/>
      <c r="BZ792" s="96"/>
      <c r="CA792" s="91"/>
      <c r="CB792" s="97"/>
      <c r="CC792" s="8"/>
      <c r="CD792" s="91"/>
      <c r="CE792" s="98"/>
      <c r="DK792" s="89"/>
      <c r="DL792" s="8"/>
      <c r="DM792" s="8"/>
      <c r="DN792" s="8"/>
      <c r="DO792" s="8"/>
      <c r="DP792" s="8"/>
      <c r="DQ792" s="8"/>
      <c r="DR792" s="8"/>
      <c r="DZ792" s="45"/>
      <c r="EA792" s="89"/>
      <c r="EB792" s="89"/>
      <c r="EC792" s="89"/>
      <c r="ED792" s="89"/>
      <c r="EE792" s="89"/>
      <c r="EF792" s="89"/>
      <c r="EG792" s="89"/>
      <c r="EH792" s="89"/>
      <c r="EI792" s="89"/>
      <c r="EJ792" s="89"/>
      <c r="EK792" s="91"/>
      <c r="EL792" s="66"/>
      <c r="EM792" s="94"/>
      <c r="EN792" s="94"/>
      <c r="EO792" s="92"/>
      <c r="EP792" s="93"/>
      <c r="EQ792" s="23"/>
      <c r="ER792" s="94"/>
      <c r="ES792" s="94"/>
      <c r="ET792" s="94"/>
      <c r="EU792" s="94"/>
      <c r="EV792" s="95"/>
      <c r="EW792" s="91"/>
      <c r="EX792" s="95"/>
      <c r="EY792" s="8"/>
      <c r="EZ792" s="96"/>
      <c r="FA792" s="91"/>
      <c r="FB792" s="97"/>
      <c r="FC792" s="8"/>
      <c r="FD792" s="91"/>
      <c r="FE792" s="98"/>
    </row>
    <row r="793" spans="37:161">
      <c r="AK793" s="89"/>
      <c r="AL793" s="8"/>
      <c r="AM793" s="8"/>
      <c r="AN793" s="8"/>
      <c r="AO793" s="8"/>
      <c r="AP793" s="8"/>
      <c r="AQ793" s="8"/>
      <c r="AR793" s="8"/>
      <c r="AZ793" s="45"/>
      <c r="BA793" s="89"/>
      <c r="BB793" s="89"/>
      <c r="BC793" s="89"/>
      <c r="BD793" s="89"/>
      <c r="BE793" s="89"/>
      <c r="BF793" s="89"/>
      <c r="BG793" s="89"/>
      <c r="BH793" s="89"/>
      <c r="BI793" s="89"/>
      <c r="BJ793" s="89"/>
      <c r="BK793" s="91"/>
      <c r="BL793" s="66"/>
      <c r="BM793" s="94"/>
      <c r="BN793" s="94"/>
      <c r="BO793" s="92"/>
      <c r="BP793" s="93"/>
      <c r="BQ793" s="23"/>
      <c r="BR793" s="94"/>
      <c r="BS793" s="94"/>
      <c r="BT793" s="94"/>
      <c r="BU793" s="94"/>
      <c r="BV793" s="95"/>
      <c r="BW793" s="91"/>
      <c r="BX793" s="95"/>
      <c r="BY793" s="8"/>
      <c r="BZ793" s="96"/>
      <c r="CA793" s="91"/>
      <c r="CB793" s="97"/>
      <c r="CC793" s="8"/>
      <c r="CD793" s="91"/>
      <c r="CE793" s="98"/>
      <c r="DK793" s="89"/>
      <c r="DL793" s="8"/>
      <c r="DM793" s="8"/>
      <c r="DN793" s="8"/>
      <c r="DO793" s="8"/>
      <c r="DP793" s="8"/>
      <c r="DQ793" s="8"/>
      <c r="DR793" s="8"/>
      <c r="DZ793" s="45"/>
      <c r="EA793" s="89"/>
      <c r="EB793" s="89"/>
      <c r="EC793" s="89"/>
      <c r="ED793" s="89"/>
      <c r="EE793" s="89"/>
      <c r="EF793" s="89"/>
      <c r="EG793" s="89"/>
      <c r="EH793" s="89"/>
      <c r="EI793" s="89"/>
      <c r="EJ793" s="89"/>
      <c r="EK793" s="91"/>
      <c r="EL793" s="66"/>
      <c r="EM793" s="94"/>
      <c r="EN793" s="94"/>
      <c r="EO793" s="92"/>
      <c r="EP793" s="93"/>
      <c r="EQ793" s="23"/>
      <c r="ER793" s="94"/>
      <c r="ES793" s="94"/>
      <c r="ET793" s="94"/>
      <c r="EU793" s="94"/>
      <c r="EV793" s="95"/>
      <c r="EW793" s="91"/>
      <c r="EX793" s="95"/>
      <c r="EY793" s="8"/>
      <c r="EZ793" s="96"/>
      <c r="FA793" s="91"/>
      <c r="FB793" s="97"/>
      <c r="FC793" s="8"/>
      <c r="FD793" s="91"/>
      <c r="FE793" s="98"/>
    </row>
    <row r="794" spans="37:161">
      <c r="AK794" s="89"/>
      <c r="AL794" s="8"/>
      <c r="AM794" s="8"/>
      <c r="AN794" s="8"/>
      <c r="AO794" s="8"/>
      <c r="AP794" s="8"/>
      <c r="AQ794" s="8"/>
      <c r="AR794" s="8"/>
      <c r="AZ794" s="45"/>
      <c r="BA794" s="89"/>
      <c r="BB794" s="89"/>
      <c r="BC794" s="89"/>
      <c r="BD794" s="89"/>
      <c r="BE794" s="89"/>
      <c r="BF794" s="89"/>
      <c r="BG794" s="89"/>
      <c r="BH794" s="89"/>
      <c r="BI794" s="89"/>
      <c r="BJ794" s="89"/>
      <c r="BK794" s="91"/>
      <c r="BL794" s="66"/>
      <c r="BM794" s="94"/>
      <c r="BN794" s="94"/>
      <c r="BO794" s="92"/>
      <c r="BP794" s="93"/>
      <c r="BQ794" s="23"/>
      <c r="BR794" s="94"/>
      <c r="BS794" s="94"/>
      <c r="BT794" s="94"/>
      <c r="BU794" s="94"/>
      <c r="BV794" s="95"/>
      <c r="BW794" s="91"/>
      <c r="BX794" s="95"/>
      <c r="BY794" s="8"/>
      <c r="BZ794" s="96"/>
      <c r="CA794" s="91"/>
      <c r="CB794" s="97"/>
      <c r="CC794" s="8"/>
      <c r="CD794" s="91"/>
      <c r="CE794" s="98"/>
      <c r="DK794" s="89"/>
      <c r="DL794" s="8"/>
      <c r="DM794" s="8"/>
      <c r="DN794" s="8"/>
      <c r="DO794" s="8"/>
      <c r="DP794" s="8"/>
      <c r="DQ794" s="8"/>
      <c r="DR794" s="8"/>
      <c r="DZ794" s="45"/>
      <c r="EA794" s="89"/>
      <c r="EB794" s="89"/>
      <c r="EC794" s="89"/>
      <c r="ED794" s="89"/>
      <c r="EE794" s="89"/>
      <c r="EF794" s="89"/>
      <c r="EG794" s="89"/>
      <c r="EH794" s="89"/>
      <c r="EI794" s="89"/>
      <c r="EJ794" s="89"/>
      <c r="EK794" s="91"/>
      <c r="EL794" s="66"/>
      <c r="EM794" s="94"/>
      <c r="EN794" s="94"/>
      <c r="EO794" s="92"/>
      <c r="EP794" s="93"/>
      <c r="EQ794" s="23"/>
      <c r="ER794" s="94"/>
      <c r="ES794" s="94"/>
      <c r="ET794" s="94"/>
      <c r="EU794" s="94"/>
      <c r="EV794" s="95"/>
      <c r="EW794" s="91"/>
      <c r="EX794" s="95"/>
      <c r="EY794" s="8"/>
      <c r="EZ794" s="96"/>
      <c r="FA794" s="91"/>
      <c r="FB794" s="97"/>
      <c r="FC794" s="8"/>
      <c r="FD794" s="91"/>
      <c r="FE794" s="98"/>
    </row>
    <row r="795" spans="37:161">
      <c r="AK795" s="89"/>
      <c r="AL795" s="8"/>
      <c r="AM795" s="8"/>
      <c r="AN795" s="8"/>
      <c r="AO795" s="8"/>
      <c r="AP795" s="8"/>
      <c r="AQ795" s="8"/>
      <c r="AR795" s="8"/>
      <c r="AZ795" s="45"/>
      <c r="BA795" s="89"/>
      <c r="BB795" s="89"/>
      <c r="BC795" s="89"/>
      <c r="BD795" s="89"/>
      <c r="BE795" s="89"/>
      <c r="BF795" s="89"/>
      <c r="BG795" s="89"/>
      <c r="BH795" s="89"/>
      <c r="BI795" s="89"/>
      <c r="BJ795" s="89"/>
      <c r="BK795" s="91"/>
      <c r="BL795" s="66"/>
      <c r="BM795" s="94"/>
      <c r="BN795" s="94"/>
      <c r="BO795" s="92"/>
      <c r="BP795" s="93"/>
      <c r="BQ795" s="23"/>
      <c r="BR795" s="94"/>
      <c r="BS795" s="94"/>
      <c r="BT795" s="94"/>
      <c r="BU795" s="94"/>
      <c r="BV795" s="95"/>
      <c r="BW795" s="91"/>
      <c r="BX795" s="95"/>
      <c r="BY795" s="8"/>
      <c r="BZ795" s="96"/>
      <c r="CA795" s="91"/>
      <c r="CB795" s="97"/>
      <c r="CC795" s="8"/>
      <c r="CD795" s="91"/>
      <c r="CE795" s="98"/>
      <c r="DK795" s="89"/>
      <c r="DL795" s="8"/>
      <c r="DM795" s="8"/>
      <c r="DN795" s="8"/>
      <c r="DO795" s="8"/>
      <c r="DP795" s="8"/>
      <c r="DQ795" s="8"/>
      <c r="DR795" s="8"/>
      <c r="DZ795" s="45"/>
      <c r="EA795" s="89"/>
      <c r="EB795" s="89"/>
      <c r="EC795" s="89"/>
      <c r="ED795" s="89"/>
      <c r="EE795" s="89"/>
      <c r="EF795" s="89"/>
      <c r="EG795" s="89"/>
      <c r="EH795" s="89"/>
      <c r="EI795" s="89"/>
      <c r="EJ795" s="89"/>
      <c r="EK795" s="91"/>
      <c r="EL795" s="66"/>
      <c r="EM795" s="94"/>
      <c r="EN795" s="94"/>
      <c r="EO795" s="92"/>
      <c r="EP795" s="93"/>
      <c r="EQ795" s="23"/>
      <c r="ER795" s="94"/>
      <c r="ES795" s="94"/>
      <c r="ET795" s="94"/>
      <c r="EU795" s="94"/>
      <c r="EV795" s="95"/>
      <c r="EW795" s="91"/>
      <c r="EX795" s="95"/>
      <c r="EY795" s="8"/>
      <c r="EZ795" s="96"/>
      <c r="FA795" s="91"/>
      <c r="FB795" s="97"/>
      <c r="FC795" s="8"/>
      <c r="FD795" s="91"/>
      <c r="FE795" s="98"/>
    </row>
    <row r="796" spans="37:161">
      <c r="AK796" s="89"/>
      <c r="AL796" s="8"/>
      <c r="AM796" s="8"/>
      <c r="AN796" s="8"/>
      <c r="AO796" s="8"/>
      <c r="AP796" s="8"/>
      <c r="AQ796" s="8"/>
      <c r="AR796" s="8"/>
      <c r="AZ796" s="45"/>
      <c r="BA796" s="89"/>
      <c r="BB796" s="89"/>
      <c r="BC796" s="89"/>
      <c r="BD796" s="89"/>
      <c r="BE796" s="89"/>
      <c r="BF796" s="89"/>
      <c r="BG796" s="89"/>
      <c r="BH796" s="89"/>
      <c r="BI796" s="89"/>
      <c r="BJ796" s="89"/>
      <c r="BK796" s="91"/>
      <c r="BL796" s="66"/>
      <c r="BM796" s="94"/>
      <c r="BN796" s="94"/>
      <c r="BO796" s="92"/>
      <c r="BP796" s="93"/>
      <c r="BQ796" s="23"/>
      <c r="BR796" s="94"/>
      <c r="BS796" s="94"/>
      <c r="BT796" s="94"/>
      <c r="BU796" s="94"/>
      <c r="BV796" s="95"/>
      <c r="BW796" s="91"/>
      <c r="BX796" s="95"/>
      <c r="BY796" s="8"/>
      <c r="BZ796" s="96"/>
      <c r="CA796" s="91"/>
      <c r="CB796" s="97"/>
      <c r="CC796" s="8"/>
      <c r="CD796" s="91"/>
      <c r="CE796" s="98"/>
      <c r="DK796" s="89"/>
      <c r="DL796" s="8"/>
      <c r="DM796" s="8"/>
      <c r="DN796" s="8"/>
      <c r="DO796" s="8"/>
      <c r="DP796" s="8"/>
      <c r="DQ796" s="8"/>
      <c r="DR796" s="8"/>
      <c r="DZ796" s="45"/>
      <c r="EA796" s="89"/>
      <c r="EB796" s="89"/>
      <c r="EC796" s="89"/>
      <c r="ED796" s="89"/>
      <c r="EE796" s="89"/>
      <c r="EF796" s="89"/>
      <c r="EG796" s="89"/>
      <c r="EH796" s="89"/>
      <c r="EI796" s="89"/>
      <c r="EJ796" s="89"/>
      <c r="EK796" s="91"/>
      <c r="EL796" s="66"/>
      <c r="EM796" s="94"/>
      <c r="EN796" s="94"/>
      <c r="EO796" s="92"/>
      <c r="EP796" s="93"/>
      <c r="EQ796" s="23"/>
      <c r="ER796" s="94"/>
      <c r="ES796" s="94"/>
      <c r="ET796" s="94"/>
      <c r="EU796" s="94"/>
      <c r="EV796" s="95"/>
      <c r="EW796" s="91"/>
      <c r="EX796" s="95"/>
      <c r="EY796" s="8"/>
      <c r="EZ796" s="96"/>
      <c r="FA796" s="91"/>
      <c r="FB796" s="97"/>
      <c r="FC796" s="8"/>
      <c r="FD796" s="91"/>
      <c r="FE796" s="98"/>
    </row>
    <row r="797" spans="37:161">
      <c r="AK797" s="89"/>
      <c r="AL797" s="8"/>
      <c r="AM797" s="8"/>
      <c r="AN797" s="8"/>
      <c r="AO797" s="8"/>
      <c r="AP797" s="8"/>
      <c r="AQ797" s="8"/>
      <c r="AR797" s="8"/>
      <c r="AZ797" s="45"/>
      <c r="BA797" s="89"/>
      <c r="BB797" s="89"/>
      <c r="BC797" s="89"/>
      <c r="BD797" s="89"/>
      <c r="BE797" s="89"/>
      <c r="BF797" s="89"/>
      <c r="BG797" s="89"/>
      <c r="BH797" s="89"/>
      <c r="BI797" s="89"/>
      <c r="BJ797" s="89"/>
      <c r="BK797" s="91"/>
      <c r="BL797" s="66"/>
      <c r="BM797" s="94"/>
      <c r="BN797" s="94"/>
      <c r="BO797" s="92"/>
      <c r="BP797" s="93"/>
      <c r="BQ797" s="23"/>
      <c r="BR797" s="94"/>
      <c r="BS797" s="94"/>
      <c r="BT797" s="94"/>
      <c r="BU797" s="94"/>
      <c r="BV797" s="95"/>
      <c r="BW797" s="91"/>
      <c r="BX797" s="95"/>
      <c r="BY797" s="8"/>
      <c r="BZ797" s="96"/>
      <c r="CA797" s="91"/>
      <c r="CB797" s="97"/>
      <c r="CC797" s="8"/>
      <c r="CD797" s="91"/>
      <c r="CE797" s="98"/>
      <c r="DK797" s="89"/>
      <c r="DL797" s="8"/>
      <c r="DM797" s="8"/>
      <c r="DN797" s="8"/>
      <c r="DO797" s="8"/>
      <c r="DP797" s="8"/>
      <c r="DQ797" s="8"/>
      <c r="DR797" s="8"/>
      <c r="DZ797" s="45"/>
      <c r="EA797" s="89"/>
      <c r="EB797" s="89"/>
      <c r="EC797" s="89"/>
      <c r="ED797" s="89"/>
      <c r="EE797" s="89"/>
      <c r="EF797" s="89"/>
      <c r="EG797" s="89"/>
      <c r="EH797" s="89"/>
      <c r="EI797" s="89"/>
      <c r="EJ797" s="89"/>
      <c r="EK797" s="91"/>
      <c r="EL797" s="66"/>
      <c r="EM797" s="94"/>
      <c r="EN797" s="94"/>
      <c r="EO797" s="92"/>
      <c r="EP797" s="93"/>
      <c r="EQ797" s="23"/>
      <c r="ER797" s="94"/>
      <c r="ES797" s="94"/>
      <c r="ET797" s="94"/>
      <c r="EU797" s="94"/>
      <c r="EV797" s="95"/>
      <c r="EW797" s="91"/>
      <c r="EX797" s="95"/>
      <c r="EY797" s="8"/>
      <c r="EZ797" s="96"/>
      <c r="FA797" s="91"/>
      <c r="FB797" s="97"/>
      <c r="FC797" s="8"/>
      <c r="FD797" s="91"/>
      <c r="FE797" s="98"/>
    </row>
    <row r="798" spans="37:161">
      <c r="AK798" s="89"/>
      <c r="AL798" s="8"/>
      <c r="AM798" s="8"/>
      <c r="AN798" s="8"/>
      <c r="AO798" s="8"/>
      <c r="AP798" s="8"/>
      <c r="AQ798" s="8"/>
      <c r="AR798" s="8"/>
      <c r="AZ798" s="45"/>
      <c r="BA798" s="89"/>
      <c r="BB798" s="89"/>
      <c r="BC798" s="89"/>
      <c r="BD798" s="89"/>
      <c r="BE798" s="89"/>
      <c r="BF798" s="89"/>
      <c r="BG798" s="89"/>
      <c r="BH798" s="89"/>
      <c r="BI798" s="89"/>
      <c r="BJ798" s="89"/>
      <c r="BK798" s="91"/>
      <c r="BL798" s="66"/>
      <c r="BM798" s="94"/>
      <c r="BN798" s="94"/>
      <c r="BO798" s="92"/>
      <c r="BP798" s="93"/>
      <c r="BQ798" s="23"/>
      <c r="BR798" s="94"/>
      <c r="BS798" s="94"/>
      <c r="BT798" s="94"/>
      <c r="BU798" s="94"/>
      <c r="BV798" s="95"/>
      <c r="BW798" s="91"/>
      <c r="BX798" s="95"/>
      <c r="BY798" s="8"/>
      <c r="BZ798" s="96"/>
      <c r="CA798" s="91"/>
      <c r="CB798" s="97"/>
      <c r="CC798" s="8"/>
      <c r="CD798" s="91"/>
      <c r="CE798" s="98"/>
      <c r="DK798" s="89"/>
      <c r="DL798" s="8"/>
      <c r="DM798" s="8"/>
      <c r="DN798" s="8"/>
      <c r="DO798" s="8"/>
      <c r="DP798" s="8"/>
      <c r="DQ798" s="8"/>
      <c r="DR798" s="8"/>
      <c r="DZ798" s="45"/>
      <c r="EA798" s="89"/>
      <c r="EB798" s="89"/>
      <c r="EC798" s="89"/>
      <c r="ED798" s="89"/>
      <c r="EE798" s="89"/>
      <c r="EF798" s="89"/>
      <c r="EG798" s="89"/>
      <c r="EH798" s="89"/>
      <c r="EI798" s="89"/>
      <c r="EJ798" s="89"/>
      <c r="EK798" s="91"/>
      <c r="EL798" s="66"/>
      <c r="EM798" s="94"/>
      <c r="EN798" s="94"/>
      <c r="EO798" s="92"/>
      <c r="EP798" s="93"/>
      <c r="EQ798" s="23"/>
      <c r="ER798" s="94"/>
      <c r="ES798" s="94"/>
      <c r="ET798" s="94"/>
      <c r="EU798" s="94"/>
      <c r="EV798" s="95"/>
      <c r="EW798" s="91"/>
      <c r="EX798" s="95"/>
      <c r="EY798" s="8"/>
      <c r="EZ798" s="96"/>
      <c r="FA798" s="91"/>
      <c r="FB798" s="97"/>
      <c r="FC798" s="8"/>
      <c r="FD798" s="91"/>
      <c r="FE798" s="98"/>
    </row>
    <row r="799" spans="37:161">
      <c r="AK799" s="89"/>
      <c r="AL799" s="8"/>
      <c r="AM799" s="8"/>
      <c r="AN799" s="8"/>
      <c r="AO799" s="8"/>
      <c r="AP799" s="8"/>
      <c r="AQ799" s="8"/>
      <c r="AR799" s="8"/>
      <c r="AZ799" s="45"/>
      <c r="BA799" s="89"/>
      <c r="BB799" s="89"/>
      <c r="BC799" s="89"/>
      <c r="BD799" s="89"/>
      <c r="BE799" s="89"/>
      <c r="BF799" s="89"/>
      <c r="BG799" s="89"/>
      <c r="BH799" s="89"/>
      <c r="BI799" s="89"/>
      <c r="BJ799" s="89"/>
      <c r="BK799" s="91"/>
      <c r="BL799" s="66"/>
      <c r="BM799" s="94"/>
      <c r="BN799" s="94"/>
      <c r="BO799" s="92"/>
      <c r="BP799" s="93"/>
      <c r="BQ799" s="23"/>
      <c r="BR799" s="94"/>
      <c r="BS799" s="94"/>
      <c r="BT799" s="94"/>
      <c r="BU799" s="94"/>
      <c r="BV799" s="95"/>
      <c r="BW799" s="91"/>
      <c r="BX799" s="95"/>
      <c r="BY799" s="8"/>
      <c r="BZ799" s="96"/>
      <c r="CA799" s="91"/>
      <c r="CB799" s="97"/>
      <c r="CC799" s="8"/>
      <c r="CD799" s="91"/>
      <c r="CE799" s="98"/>
      <c r="DK799" s="89"/>
      <c r="DL799" s="8"/>
      <c r="DM799" s="8"/>
      <c r="DN799" s="8"/>
      <c r="DO799" s="8"/>
      <c r="DP799" s="8"/>
      <c r="DQ799" s="8"/>
      <c r="DR799" s="8"/>
      <c r="DZ799" s="45"/>
      <c r="EA799" s="89"/>
      <c r="EB799" s="89"/>
      <c r="EC799" s="89"/>
      <c r="ED799" s="89"/>
      <c r="EE799" s="89"/>
      <c r="EF799" s="89"/>
      <c r="EG799" s="89"/>
      <c r="EH799" s="89"/>
      <c r="EI799" s="89"/>
      <c r="EJ799" s="89"/>
      <c r="EK799" s="91"/>
      <c r="EL799" s="66"/>
      <c r="EM799" s="94"/>
      <c r="EN799" s="94"/>
      <c r="EO799" s="92"/>
      <c r="EP799" s="93"/>
      <c r="EQ799" s="23"/>
      <c r="ER799" s="94"/>
      <c r="ES799" s="94"/>
      <c r="ET799" s="94"/>
      <c r="EU799" s="94"/>
      <c r="EV799" s="95"/>
      <c r="EW799" s="91"/>
      <c r="EX799" s="95"/>
      <c r="EY799" s="8"/>
      <c r="EZ799" s="96"/>
      <c r="FA799" s="91"/>
      <c r="FB799" s="97"/>
      <c r="FC799" s="8"/>
      <c r="FD799" s="91"/>
      <c r="FE799" s="98"/>
    </row>
    <row r="800" spans="37:161">
      <c r="AK800" s="89"/>
      <c r="AL800" s="8"/>
      <c r="AM800" s="8"/>
      <c r="AN800" s="8"/>
      <c r="AO800" s="8"/>
      <c r="AP800" s="8"/>
      <c r="AQ800" s="8"/>
      <c r="AR800" s="8"/>
      <c r="AZ800" s="45"/>
      <c r="BA800" s="89"/>
      <c r="BB800" s="89"/>
      <c r="BC800" s="89"/>
      <c r="BD800" s="89"/>
      <c r="BE800" s="89"/>
      <c r="BF800" s="89"/>
      <c r="BG800" s="89"/>
      <c r="BH800" s="89"/>
      <c r="BI800" s="89"/>
      <c r="BJ800" s="89"/>
      <c r="BK800" s="91"/>
      <c r="BL800" s="66"/>
      <c r="BM800" s="94"/>
      <c r="BN800" s="94"/>
      <c r="BO800" s="92"/>
      <c r="BP800" s="93"/>
      <c r="BQ800" s="23"/>
      <c r="BR800" s="94"/>
      <c r="BS800" s="94"/>
      <c r="BT800" s="94"/>
      <c r="BU800" s="94"/>
      <c r="BV800" s="95"/>
      <c r="BW800" s="91"/>
      <c r="BX800" s="95"/>
      <c r="BY800" s="8"/>
      <c r="BZ800" s="96"/>
      <c r="CA800" s="91"/>
      <c r="CB800" s="97"/>
      <c r="CC800" s="8"/>
      <c r="CD800" s="91"/>
      <c r="CE800" s="98"/>
      <c r="DK800" s="89"/>
      <c r="DL800" s="8"/>
      <c r="DM800" s="8"/>
      <c r="DN800" s="8"/>
      <c r="DO800" s="8"/>
      <c r="DP800" s="8"/>
      <c r="DQ800" s="8"/>
      <c r="DR800" s="8"/>
      <c r="DZ800" s="45"/>
      <c r="EA800" s="89"/>
      <c r="EB800" s="89"/>
      <c r="EC800" s="89"/>
      <c r="ED800" s="89"/>
      <c r="EE800" s="89"/>
      <c r="EF800" s="89"/>
      <c r="EG800" s="89"/>
      <c r="EH800" s="89"/>
      <c r="EI800" s="89"/>
      <c r="EJ800" s="89"/>
      <c r="EK800" s="91"/>
      <c r="EL800" s="66"/>
      <c r="EM800" s="94"/>
      <c r="EN800" s="94"/>
      <c r="EO800" s="92"/>
      <c r="EP800" s="93"/>
      <c r="EQ800" s="23"/>
      <c r="ER800" s="94"/>
      <c r="ES800" s="94"/>
      <c r="ET800" s="94"/>
      <c r="EU800" s="94"/>
      <c r="EV800" s="95"/>
      <c r="EW800" s="91"/>
      <c r="EX800" s="95"/>
      <c r="EY800" s="8"/>
      <c r="EZ800" s="96"/>
      <c r="FA800" s="91"/>
      <c r="FB800" s="97"/>
      <c r="FC800" s="8"/>
      <c r="FD800" s="91"/>
      <c r="FE800" s="98"/>
    </row>
    <row r="801" spans="37:161">
      <c r="AK801" s="89"/>
      <c r="AL801" s="8"/>
      <c r="AM801" s="8"/>
      <c r="AN801" s="8"/>
      <c r="AO801" s="8"/>
      <c r="AP801" s="8"/>
      <c r="AQ801" s="8"/>
      <c r="AR801" s="8"/>
      <c r="AZ801" s="45"/>
      <c r="BA801" s="89"/>
      <c r="BB801" s="89"/>
      <c r="BC801" s="89"/>
      <c r="BD801" s="89"/>
      <c r="BE801" s="89"/>
      <c r="BF801" s="89"/>
      <c r="BG801" s="89"/>
      <c r="BH801" s="89"/>
      <c r="BI801" s="89"/>
      <c r="BJ801" s="89"/>
      <c r="BK801" s="91"/>
      <c r="BL801" s="66"/>
      <c r="BM801" s="94"/>
      <c r="BN801" s="94"/>
      <c r="BO801" s="92"/>
      <c r="BP801" s="93"/>
      <c r="BQ801" s="23"/>
      <c r="BR801" s="94"/>
      <c r="BS801" s="94"/>
      <c r="BT801" s="94"/>
      <c r="BU801" s="94"/>
      <c r="BV801" s="95"/>
      <c r="BW801" s="91"/>
      <c r="BX801" s="95"/>
      <c r="BY801" s="8"/>
      <c r="BZ801" s="96"/>
      <c r="CA801" s="91"/>
      <c r="CB801" s="97"/>
      <c r="CC801" s="8"/>
      <c r="CD801" s="91"/>
      <c r="CE801" s="98"/>
      <c r="DK801" s="89"/>
      <c r="DL801" s="8"/>
      <c r="DM801" s="8"/>
      <c r="DN801" s="8"/>
      <c r="DO801" s="8"/>
      <c r="DP801" s="8"/>
      <c r="DQ801" s="8"/>
      <c r="DR801" s="8"/>
      <c r="DZ801" s="45"/>
      <c r="EA801" s="89"/>
      <c r="EB801" s="89"/>
      <c r="EC801" s="89"/>
      <c r="ED801" s="89"/>
      <c r="EE801" s="89"/>
      <c r="EF801" s="89"/>
      <c r="EG801" s="89"/>
      <c r="EH801" s="89"/>
      <c r="EI801" s="89"/>
      <c r="EJ801" s="89"/>
      <c r="EK801" s="91"/>
      <c r="EL801" s="66"/>
      <c r="EM801" s="94"/>
      <c r="EN801" s="94"/>
      <c r="EO801" s="92"/>
      <c r="EP801" s="93"/>
      <c r="EQ801" s="23"/>
      <c r="ER801" s="94"/>
      <c r="ES801" s="94"/>
      <c r="ET801" s="94"/>
      <c r="EU801" s="94"/>
      <c r="EV801" s="95"/>
      <c r="EW801" s="91"/>
      <c r="EX801" s="95"/>
      <c r="EY801" s="8"/>
      <c r="EZ801" s="96"/>
      <c r="FA801" s="91"/>
      <c r="FB801" s="97"/>
      <c r="FC801" s="8"/>
      <c r="FD801" s="91"/>
      <c r="FE801" s="98"/>
    </row>
    <row r="802" spans="37:161">
      <c r="AK802" s="89"/>
      <c r="AL802" s="8"/>
      <c r="AM802" s="8"/>
      <c r="AN802" s="8"/>
      <c r="AO802" s="8"/>
      <c r="AP802" s="8"/>
      <c r="AQ802" s="8"/>
      <c r="AR802" s="8"/>
      <c r="AZ802" s="45"/>
      <c r="BA802" s="89"/>
      <c r="BB802" s="89"/>
      <c r="BC802" s="89"/>
      <c r="BD802" s="89"/>
      <c r="BE802" s="89"/>
      <c r="BF802" s="89"/>
      <c r="BG802" s="89"/>
      <c r="BH802" s="89"/>
      <c r="BI802" s="89"/>
      <c r="BJ802" s="89"/>
      <c r="BK802" s="91"/>
      <c r="BL802" s="66"/>
      <c r="BM802" s="94"/>
      <c r="BN802" s="94"/>
      <c r="BO802" s="92"/>
      <c r="BP802" s="93"/>
      <c r="BQ802" s="23"/>
      <c r="BR802" s="94"/>
      <c r="BS802" s="94"/>
      <c r="BT802" s="94"/>
      <c r="BU802" s="94"/>
      <c r="BV802" s="95"/>
      <c r="BW802" s="91"/>
      <c r="BX802" s="95"/>
      <c r="BY802" s="8"/>
      <c r="BZ802" s="96"/>
      <c r="CA802" s="91"/>
      <c r="CB802" s="97"/>
      <c r="CC802" s="8"/>
      <c r="CD802" s="91"/>
      <c r="CE802" s="98"/>
      <c r="DK802" s="89"/>
      <c r="DL802" s="8"/>
      <c r="DM802" s="8"/>
      <c r="DN802" s="8"/>
      <c r="DO802" s="8"/>
      <c r="DP802" s="8"/>
      <c r="DQ802" s="8"/>
      <c r="DR802" s="8"/>
      <c r="DZ802" s="45"/>
      <c r="EA802" s="89"/>
      <c r="EB802" s="89"/>
      <c r="EC802" s="89"/>
      <c r="ED802" s="89"/>
      <c r="EE802" s="89"/>
      <c r="EF802" s="89"/>
      <c r="EG802" s="89"/>
      <c r="EH802" s="89"/>
      <c r="EI802" s="89"/>
      <c r="EJ802" s="89"/>
      <c r="EK802" s="91"/>
      <c r="EL802" s="66"/>
      <c r="EM802" s="94"/>
      <c r="EN802" s="94"/>
      <c r="EO802" s="92"/>
      <c r="EP802" s="93"/>
      <c r="EQ802" s="23"/>
      <c r="ER802" s="94"/>
      <c r="ES802" s="94"/>
      <c r="ET802" s="94"/>
      <c r="EU802" s="94"/>
      <c r="EV802" s="95"/>
      <c r="EW802" s="91"/>
      <c r="EX802" s="95"/>
      <c r="EY802" s="8"/>
      <c r="EZ802" s="96"/>
      <c r="FA802" s="91"/>
      <c r="FB802" s="97"/>
      <c r="FC802" s="8"/>
      <c r="FD802" s="91"/>
      <c r="FE802" s="98"/>
    </row>
    <row r="803" spans="37:161">
      <c r="AK803" s="89"/>
      <c r="AL803" s="8"/>
      <c r="AM803" s="8"/>
      <c r="AN803" s="8"/>
      <c r="AO803" s="8"/>
      <c r="AP803" s="8"/>
      <c r="AQ803" s="8"/>
      <c r="AR803" s="8"/>
      <c r="AZ803" s="45"/>
      <c r="BA803" s="89"/>
      <c r="BB803" s="89"/>
      <c r="BC803" s="89"/>
      <c r="BD803" s="89"/>
      <c r="BE803" s="89"/>
      <c r="BF803" s="89"/>
      <c r="BG803" s="89"/>
      <c r="BH803" s="89"/>
      <c r="BI803" s="89"/>
      <c r="BJ803" s="89"/>
      <c r="BK803" s="91"/>
      <c r="BL803" s="66"/>
      <c r="BM803" s="94"/>
      <c r="BN803" s="94"/>
      <c r="BO803" s="92"/>
      <c r="BP803" s="93"/>
      <c r="BQ803" s="23"/>
      <c r="BR803" s="94"/>
      <c r="BS803" s="94"/>
      <c r="BT803" s="94"/>
      <c r="BU803" s="94"/>
      <c r="BV803" s="95"/>
      <c r="BW803" s="91"/>
      <c r="BX803" s="95"/>
      <c r="BY803" s="8"/>
      <c r="BZ803" s="96"/>
      <c r="CA803" s="91"/>
      <c r="CB803" s="97"/>
      <c r="CC803" s="8"/>
      <c r="CD803" s="91"/>
      <c r="CE803" s="98"/>
      <c r="DK803" s="89"/>
      <c r="DL803" s="8"/>
      <c r="DM803" s="8"/>
      <c r="DN803" s="8"/>
      <c r="DO803" s="8"/>
      <c r="DP803" s="8"/>
      <c r="DQ803" s="8"/>
      <c r="DR803" s="8"/>
      <c r="DZ803" s="45"/>
      <c r="EA803" s="89"/>
      <c r="EB803" s="89"/>
      <c r="EC803" s="89"/>
      <c r="ED803" s="89"/>
      <c r="EE803" s="89"/>
      <c r="EF803" s="89"/>
      <c r="EG803" s="89"/>
      <c r="EH803" s="89"/>
      <c r="EI803" s="89"/>
      <c r="EJ803" s="89"/>
      <c r="EK803" s="91"/>
      <c r="EL803" s="66"/>
      <c r="EM803" s="94"/>
      <c r="EN803" s="94"/>
      <c r="EO803" s="92"/>
      <c r="EP803" s="93"/>
      <c r="EQ803" s="23"/>
      <c r="ER803" s="94"/>
      <c r="ES803" s="94"/>
      <c r="ET803" s="94"/>
      <c r="EU803" s="94"/>
      <c r="EV803" s="95"/>
      <c r="EW803" s="91"/>
      <c r="EX803" s="95"/>
      <c r="EY803" s="8"/>
      <c r="EZ803" s="96"/>
      <c r="FA803" s="91"/>
      <c r="FB803" s="97"/>
      <c r="FC803" s="8"/>
      <c r="FD803" s="91"/>
      <c r="FE803" s="98"/>
    </row>
    <row r="804" spans="37:161">
      <c r="AK804" s="89"/>
      <c r="AL804" s="8"/>
      <c r="AM804" s="8"/>
      <c r="AN804" s="8"/>
      <c r="AO804" s="8"/>
      <c r="AP804" s="8"/>
      <c r="AQ804" s="8"/>
      <c r="AR804" s="8"/>
      <c r="AZ804" s="45"/>
      <c r="BA804" s="89"/>
      <c r="BB804" s="89"/>
      <c r="BC804" s="89"/>
      <c r="BD804" s="89"/>
      <c r="BE804" s="89"/>
      <c r="BF804" s="89"/>
      <c r="BG804" s="89"/>
      <c r="BH804" s="89"/>
      <c r="BI804" s="89"/>
      <c r="BJ804" s="89"/>
      <c r="BK804" s="91"/>
      <c r="BL804" s="66"/>
      <c r="BM804" s="94"/>
      <c r="BN804" s="94"/>
      <c r="BO804" s="92"/>
      <c r="BP804" s="93"/>
      <c r="BQ804" s="23"/>
      <c r="BR804" s="94"/>
      <c r="BS804" s="94"/>
      <c r="BT804" s="94"/>
      <c r="BU804" s="94"/>
      <c r="BV804" s="95"/>
      <c r="BW804" s="91"/>
      <c r="BX804" s="95"/>
      <c r="BY804" s="8"/>
      <c r="BZ804" s="96"/>
      <c r="CA804" s="91"/>
      <c r="CB804" s="97"/>
      <c r="CC804" s="8"/>
      <c r="CD804" s="91"/>
      <c r="CE804" s="98"/>
      <c r="DK804" s="89"/>
      <c r="DL804" s="8"/>
      <c r="DM804" s="8"/>
      <c r="DN804" s="8"/>
      <c r="DO804" s="8"/>
      <c r="DP804" s="8"/>
      <c r="DQ804" s="8"/>
      <c r="DR804" s="8"/>
      <c r="DZ804" s="45"/>
      <c r="EA804" s="89"/>
      <c r="EB804" s="89"/>
      <c r="EC804" s="89"/>
      <c r="ED804" s="89"/>
      <c r="EE804" s="89"/>
      <c r="EF804" s="89"/>
      <c r="EG804" s="89"/>
      <c r="EH804" s="89"/>
      <c r="EI804" s="89"/>
      <c r="EJ804" s="89"/>
      <c r="EK804" s="91"/>
      <c r="EL804" s="66"/>
      <c r="EM804" s="94"/>
      <c r="EN804" s="94"/>
      <c r="EO804" s="92"/>
      <c r="EP804" s="93"/>
      <c r="EQ804" s="23"/>
      <c r="ER804" s="94"/>
      <c r="ES804" s="94"/>
      <c r="ET804" s="94"/>
      <c r="EU804" s="94"/>
      <c r="EV804" s="95"/>
      <c r="EW804" s="91"/>
      <c r="EX804" s="95"/>
      <c r="EY804" s="8"/>
      <c r="EZ804" s="96"/>
      <c r="FA804" s="91"/>
      <c r="FB804" s="97"/>
      <c r="FC804" s="8"/>
      <c r="FD804" s="91"/>
      <c r="FE804" s="98"/>
    </row>
    <row r="805" spans="37:161">
      <c r="AK805" s="89"/>
      <c r="AL805" s="8"/>
      <c r="AM805" s="8"/>
      <c r="AN805" s="8"/>
      <c r="AO805" s="8"/>
      <c r="AP805" s="8"/>
      <c r="AQ805" s="8"/>
      <c r="AR805" s="8"/>
      <c r="AZ805" s="45"/>
      <c r="BA805" s="89"/>
      <c r="BB805" s="89"/>
      <c r="BC805" s="89"/>
      <c r="BD805" s="89"/>
      <c r="BE805" s="89"/>
      <c r="BF805" s="89"/>
      <c r="BG805" s="89"/>
      <c r="BH805" s="89"/>
      <c r="BI805" s="89"/>
      <c r="BJ805" s="89"/>
      <c r="BK805" s="91"/>
      <c r="BL805" s="66"/>
      <c r="BM805" s="94"/>
      <c r="BN805" s="94"/>
      <c r="BO805" s="92"/>
      <c r="BP805" s="93"/>
      <c r="BQ805" s="23"/>
      <c r="BR805" s="94"/>
      <c r="BS805" s="94"/>
      <c r="BT805" s="94"/>
      <c r="BU805" s="94"/>
      <c r="BV805" s="95"/>
      <c r="BW805" s="91"/>
      <c r="BX805" s="95"/>
      <c r="BY805" s="8"/>
      <c r="BZ805" s="96"/>
      <c r="CA805" s="91"/>
      <c r="CB805" s="97"/>
      <c r="CC805" s="8"/>
      <c r="CD805" s="91"/>
      <c r="CE805" s="98"/>
      <c r="DK805" s="89"/>
      <c r="DL805" s="8"/>
      <c r="DM805" s="8"/>
      <c r="DN805" s="8"/>
      <c r="DO805" s="8"/>
      <c r="DP805" s="8"/>
      <c r="DQ805" s="8"/>
      <c r="DR805" s="8"/>
      <c r="DZ805" s="45"/>
      <c r="EA805" s="89"/>
      <c r="EB805" s="89"/>
      <c r="EC805" s="89"/>
      <c r="ED805" s="89"/>
      <c r="EE805" s="89"/>
      <c r="EF805" s="89"/>
      <c r="EG805" s="89"/>
      <c r="EH805" s="89"/>
      <c r="EI805" s="89"/>
      <c r="EJ805" s="89"/>
      <c r="EK805" s="91"/>
      <c r="EL805" s="66"/>
      <c r="EM805" s="94"/>
      <c r="EN805" s="94"/>
      <c r="EO805" s="92"/>
      <c r="EP805" s="93"/>
      <c r="EQ805" s="23"/>
      <c r="ER805" s="94"/>
      <c r="ES805" s="94"/>
      <c r="ET805" s="94"/>
      <c r="EU805" s="94"/>
      <c r="EV805" s="95"/>
      <c r="EW805" s="91"/>
      <c r="EX805" s="95"/>
      <c r="EY805" s="8"/>
      <c r="EZ805" s="96"/>
      <c r="FA805" s="91"/>
      <c r="FB805" s="97"/>
      <c r="FC805" s="8"/>
      <c r="FD805" s="91"/>
      <c r="FE805" s="98"/>
    </row>
    <row r="806" spans="37:161">
      <c r="AK806" s="89"/>
      <c r="AL806" s="8"/>
      <c r="AM806" s="8"/>
      <c r="AN806" s="8"/>
      <c r="AO806" s="8"/>
      <c r="AP806" s="8"/>
      <c r="AQ806" s="8"/>
      <c r="AR806" s="8"/>
      <c r="AZ806" s="45"/>
      <c r="BA806" s="89"/>
      <c r="BB806" s="89"/>
      <c r="BC806" s="89"/>
      <c r="BD806" s="89"/>
      <c r="BE806" s="89"/>
      <c r="BF806" s="89"/>
      <c r="BG806" s="89"/>
      <c r="BH806" s="89"/>
      <c r="BI806" s="89"/>
      <c r="BJ806" s="89"/>
      <c r="BK806" s="91"/>
      <c r="BL806" s="66"/>
      <c r="BM806" s="94"/>
      <c r="BN806" s="94"/>
      <c r="BO806" s="92"/>
      <c r="BP806" s="93"/>
      <c r="BQ806" s="23"/>
      <c r="BR806" s="94"/>
      <c r="BS806" s="94"/>
      <c r="BT806" s="94"/>
      <c r="BU806" s="94"/>
      <c r="BV806" s="95"/>
      <c r="BW806" s="91"/>
      <c r="BX806" s="95"/>
      <c r="BY806" s="8"/>
      <c r="BZ806" s="96"/>
      <c r="CA806" s="91"/>
      <c r="CB806" s="97"/>
      <c r="CC806" s="8"/>
      <c r="CD806" s="91"/>
      <c r="CE806" s="98"/>
      <c r="DK806" s="89"/>
      <c r="DL806" s="8"/>
      <c r="DM806" s="8"/>
      <c r="DN806" s="8"/>
      <c r="DO806" s="8"/>
      <c r="DP806" s="8"/>
      <c r="DQ806" s="8"/>
      <c r="DR806" s="8"/>
      <c r="DZ806" s="45"/>
      <c r="EA806" s="89"/>
      <c r="EB806" s="89"/>
      <c r="EC806" s="89"/>
      <c r="ED806" s="89"/>
      <c r="EE806" s="89"/>
      <c r="EF806" s="89"/>
      <c r="EG806" s="89"/>
      <c r="EH806" s="89"/>
      <c r="EI806" s="89"/>
      <c r="EJ806" s="89"/>
      <c r="EK806" s="91"/>
      <c r="EL806" s="66"/>
      <c r="EM806" s="94"/>
      <c r="EN806" s="94"/>
      <c r="EO806" s="92"/>
      <c r="EP806" s="93"/>
      <c r="EQ806" s="23"/>
      <c r="ER806" s="94"/>
      <c r="ES806" s="94"/>
      <c r="ET806" s="94"/>
      <c r="EU806" s="94"/>
      <c r="EV806" s="95"/>
      <c r="EW806" s="91"/>
      <c r="EX806" s="95"/>
      <c r="EY806" s="8"/>
      <c r="EZ806" s="96"/>
      <c r="FA806" s="91"/>
      <c r="FB806" s="97"/>
      <c r="FC806" s="8"/>
      <c r="FD806" s="91"/>
      <c r="FE806" s="98"/>
    </row>
    <row r="807" spans="37:161">
      <c r="AK807" s="89"/>
      <c r="AL807" s="8"/>
      <c r="AM807" s="8"/>
      <c r="AN807" s="8"/>
      <c r="AO807" s="8"/>
      <c r="AP807" s="8"/>
      <c r="AQ807" s="8"/>
      <c r="AR807" s="8"/>
      <c r="AZ807" s="45"/>
      <c r="BA807" s="89"/>
      <c r="BB807" s="89"/>
      <c r="BC807" s="89"/>
      <c r="BD807" s="89"/>
      <c r="BE807" s="89"/>
      <c r="BF807" s="89"/>
      <c r="BG807" s="89"/>
      <c r="BH807" s="89"/>
      <c r="BI807" s="89"/>
      <c r="BJ807" s="89"/>
      <c r="BK807" s="91"/>
      <c r="BL807" s="66"/>
      <c r="BM807" s="94"/>
      <c r="BN807" s="94"/>
      <c r="BO807" s="92"/>
      <c r="BP807" s="93"/>
      <c r="BQ807" s="23"/>
      <c r="BR807" s="94"/>
      <c r="BS807" s="94"/>
      <c r="BT807" s="94"/>
      <c r="BU807" s="94"/>
      <c r="BV807" s="95"/>
      <c r="BW807" s="91"/>
      <c r="BX807" s="95"/>
      <c r="BY807" s="8"/>
      <c r="BZ807" s="96"/>
      <c r="CA807" s="91"/>
      <c r="CB807" s="97"/>
      <c r="CC807" s="8"/>
      <c r="CD807" s="91"/>
      <c r="CE807" s="98"/>
      <c r="DK807" s="89"/>
      <c r="DL807" s="8"/>
      <c r="DM807" s="8"/>
      <c r="DN807" s="8"/>
      <c r="DO807" s="8"/>
      <c r="DP807" s="8"/>
      <c r="DQ807" s="8"/>
      <c r="DR807" s="8"/>
      <c r="DZ807" s="45"/>
      <c r="EA807" s="89"/>
      <c r="EB807" s="89"/>
      <c r="EC807" s="89"/>
      <c r="ED807" s="89"/>
      <c r="EE807" s="89"/>
      <c r="EF807" s="89"/>
      <c r="EG807" s="89"/>
      <c r="EH807" s="89"/>
      <c r="EI807" s="89"/>
      <c r="EJ807" s="89"/>
      <c r="EK807" s="91"/>
      <c r="EL807" s="66"/>
      <c r="EM807" s="94"/>
      <c r="EN807" s="94"/>
      <c r="EO807" s="92"/>
      <c r="EP807" s="93"/>
      <c r="EQ807" s="23"/>
      <c r="ER807" s="94"/>
      <c r="ES807" s="94"/>
      <c r="ET807" s="94"/>
      <c r="EU807" s="94"/>
      <c r="EV807" s="95"/>
      <c r="EW807" s="91"/>
      <c r="EX807" s="95"/>
      <c r="EY807" s="8"/>
      <c r="EZ807" s="96"/>
      <c r="FA807" s="91"/>
      <c r="FB807" s="97"/>
      <c r="FC807" s="8"/>
      <c r="FD807" s="91"/>
      <c r="FE807" s="98"/>
    </row>
    <row r="808" spans="37:161">
      <c r="AK808" s="89"/>
      <c r="AL808" s="8"/>
      <c r="AM808" s="8"/>
      <c r="AN808" s="8"/>
      <c r="AO808" s="8"/>
      <c r="AP808" s="8"/>
      <c r="AQ808" s="8"/>
      <c r="AR808" s="8"/>
      <c r="AZ808" s="45"/>
      <c r="BA808" s="89"/>
      <c r="BB808" s="89"/>
      <c r="BC808" s="89"/>
      <c r="BD808" s="89"/>
      <c r="BE808" s="89"/>
      <c r="BF808" s="89"/>
      <c r="BG808" s="89"/>
      <c r="BH808" s="89"/>
      <c r="BI808" s="89"/>
      <c r="BJ808" s="89"/>
      <c r="BK808" s="91"/>
      <c r="BL808" s="66"/>
      <c r="BM808" s="94"/>
      <c r="BN808" s="94"/>
      <c r="BO808" s="92"/>
      <c r="BP808" s="93"/>
      <c r="BQ808" s="23"/>
      <c r="BR808" s="94"/>
      <c r="BS808" s="94"/>
      <c r="BT808" s="94"/>
      <c r="BU808" s="94"/>
      <c r="BV808" s="95"/>
      <c r="BW808" s="91"/>
      <c r="BX808" s="95"/>
      <c r="BY808" s="8"/>
      <c r="BZ808" s="96"/>
      <c r="CA808" s="91"/>
      <c r="CB808" s="97"/>
      <c r="CC808" s="8"/>
      <c r="CD808" s="91"/>
      <c r="CE808" s="98"/>
      <c r="DK808" s="89"/>
      <c r="DL808" s="8"/>
      <c r="DM808" s="8"/>
      <c r="DN808" s="8"/>
      <c r="DO808" s="8"/>
      <c r="DP808" s="8"/>
      <c r="DQ808" s="8"/>
      <c r="DR808" s="8"/>
      <c r="DZ808" s="45"/>
      <c r="EA808" s="89"/>
      <c r="EB808" s="89"/>
      <c r="EC808" s="89"/>
      <c r="ED808" s="89"/>
      <c r="EE808" s="89"/>
      <c r="EF808" s="89"/>
      <c r="EG808" s="89"/>
      <c r="EH808" s="89"/>
      <c r="EI808" s="89"/>
      <c r="EJ808" s="89"/>
      <c r="EK808" s="91"/>
      <c r="EL808" s="66"/>
      <c r="EM808" s="94"/>
      <c r="EN808" s="94"/>
      <c r="EO808" s="92"/>
      <c r="EP808" s="93"/>
      <c r="EQ808" s="23"/>
      <c r="ER808" s="94"/>
      <c r="ES808" s="94"/>
      <c r="ET808" s="94"/>
      <c r="EU808" s="94"/>
      <c r="EV808" s="95"/>
      <c r="EW808" s="91"/>
      <c r="EX808" s="95"/>
      <c r="EY808" s="8"/>
      <c r="EZ808" s="96"/>
      <c r="FA808" s="91"/>
      <c r="FB808" s="97"/>
      <c r="FC808" s="8"/>
      <c r="FD808" s="91"/>
      <c r="FE808" s="98"/>
    </row>
    <row r="809" spans="37:161">
      <c r="AK809" s="89"/>
      <c r="AL809" s="8"/>
      <c r="AM809" s="8"/>
      <c r="AN809" s="8"/>
      <c r="AO809" s="8"/>
      <c r="AP809" s="8"/>
      <c r="AQ809" s="8"/>
      <c r="AR809" s="8"/>
      <c r="AZ809" s="45"/>
      <c r="BA809" s="89"/>
      <c r="BB809" s="89"/>
      <c r="BC809" s="89"/>
      <c r="BD809" s="89"/>
      <c r="BE809" s="89"/>
      <c r="BF809" s="89"/>
      <c r="BG809" s="89"/>
      <c r="BH809" s="89"/>
      <c r="BI809" s="89"/>
      <c r="BJ809" s="89"/>
      <c r="BK809" s="91"/>
      <c r="BL809" s="66"/>
      <c r="BM809" s="94"/>
      <c r="BN809" s="94"/>
      <c r="BO809" s="92"/>
      <c r="BP809" s="93"/>
      <c r="BQ809" s="23"/>
      <c r="BR809" s="94"/>
      <c r="BS809" s="94"/>
      <c r="BT809" s="94"/>
      <c r="BU809" s="94"/>
      <c r="BV809" s="95"/>
      <c r="BW809" s="91"/>
      <c r="BX809" s="95"/>
      <c r="BY809" s="8"/>
      <c r="BZ809" s="96"/>
      <c r="CA809" s="91"/>
      <c r="CB809" s="97"/>
      <c r="CC809" s="8"/>
      <c r="CD809" s="91"/>
      <c r="CE809" s="98"/>
      <c r="DK809" s="89"/>
      <c r="DL809" s="8"/>
      <c r="DM809" s="8"/>
      <c r="DN809" s="8"/>
      <c r="DO809" s="8"/>
      <c r="DP809" s="8"/>
      <c r="DQ809" s="8"/>
      <c r="DR809" s="8"/>
      <c r="DZ809" s="45"/>
      <c r="EA809" s="89"/>
      <c r="EB809" s="89"/>
      <c r="EC809" s="89"/>
      <c r="ED809" s="89"/>
      <c r="EE809" s="89"/>
      <c r="EF809" s="89"/>
      <c r="EG809" s="89"/>
      <c r="EH809" s="89"/>
      <c r="EI809" s="89"/>
      <c r="EJ809" s="89"/>
      <c r="EK809" s="91"/>
      <c r="EL809" s="66"/>
      <c r="EM809" s="94"/>
      <c r="EN809" s="94"/>
      <c r="EO809" s="92"/>
      <c r="EP809" s="93"/>
      <c r="EQ809" s="23"/>
      <c r="ER809" s="94"/>
      <c r="ES809" s="94"/>
      <c r="ET809" s="94"/>
      <c r="EU809" s="94"/>
      <c r="EV809" s="95"/>
      <c r="EW809" s="91"/>
      <c r="EX809" s="95"/>
      <c r="EY809" s="8"/>
      <c r="EZ809" s="96"/>
      <c r="FA809" s="91"/>
      <c r="FB809" s="97"/>
      <c r="FC809" s="8"/>
      <c r="FD809" s="91"/>
      <c r="FE809" s="98"/>
    </row>
    <row r="810" spans="37:161">
      <c r="AK810" s="89"/>
      <c r="AL810" s="8"/>
      <c r="AM810" s="8"/>
      <c r="AN810" s="8"/>
      <c r="AO810" s="8"/>
      <c r="AP810" s="8"/>
      <c r="AQ810" s="8"/>
      <c r="AR810" s="8"/>
      <c r="AZ810" s="45"/>
      <c r="BA810" s="89"/>
      <c r="BB810" s="89"/>
      <c r="BC810" s="89"/>
      <c r="BD810" s="89"/>
      <c r="BE810" s="89"/>
      <c r="BF810" s="89"/>
      <c r="BG810" s="89"/>
      <c r="BH810" s="89"/>
      <c r="BI810" s="89"/>
      <c r="BJ810" s="89"/>
      <c r="BK810" s="91"/>
      <c r="BL810" s="66"/>
      <c r="BM810" s="94"/>
      <c r="BN810" s="94"/>
      <c r="BO810" s="92"/>
      <c r="BP810" s="93"/>
      <c r="BQ810" s="23"/>
      <c r="BR810" s="94"/>
      <c r="BS810" s="94"/>
      <c r="BT810" s="94"/>
      <c r="BU810" s="94"/>
      <c r="BV810" s="95"/>
      <c r="BW810" s="91"/>
      <c r="BX810" s="95"/>
      <c r="BY810" s="8"/>
      <c r="BZ810" s="96"/>
      <c r="CA810" s="91"/>
      <c r="CB810" s="97"/>
      <c r="CC810" s="8"/>
      <c r="CD810" s="91"/>
      <c r="CE810" s="98"/>
      <c r="DK810" s="89"/>
      <c r="DL810" s="8"/>
      <c r="DM810" s="8"/>
      <c r="DN810" s="8"/>
      <c r="DO810" s="8"/>
      <c r="DP810" s="8"/>
      <c r="DQ810" s="8"/>
      <c r="DR810" s="8"/>
      <c r="DZ810" s="45"/>
      <c r="EA810" s="89"/>
      <c r="EB810" s="89"/>
      <c r="EC810" s="89"/>
      <c r="ED810" s="89"/>
      <c r="EE810" s="89"/>
      <c r="EF810" s="89"/>
      <c r="EG810" s="89"/>
      <c r="EH810" s="89"/>
      <c r="EI810" s="89"/>
      <c r="EJ810" s="89"/>
      <c r="EK810" s="91"/>
      <c r="EL810" s="66"/>
      <c r="EM810" s="94"/>
      <c r="EN810" s="94"/>
      <c r="EO810" s="92"/>
      <c r="EP810" s="93"/>
      <c r="EQ810" s="23"/>
      <c r="ER810" s="94"/>
      <c r="ES810" s="94"/>
      <c r="ET810" s="94"/>
      <c r="EU810" s="94"/>
      <c r="EV810" s="95"/>
      <c r="EW810" s="91"/>
      <c r="EX810" s="95"/>
      <c r="EY810" s="8"/>
      <c r="EZ810" s="96"/>
      <c r="FA810" s="91"/>
      <c r="FB810" s="97"/>
      <c r="FC810" s="8"/>
      <c r="FD810" s="91"/>
      <c r="FE810" s="98"/>
    </row>
    <row r="811" spans="37:161">
      <c r="AK811" s="89"/>
      <c r="AL811" s="8"/>
      <c r="AM811" s="8"/>
      <c r="AN811" s="8"/>
      <c r="AO811" s="8"/>
      <c r="AP811" s="8"/>
      <c r="AQ811" s="8"/>
      <c r="AR811" s="8"/>
      <c r="AZ811" s="45"/>
      <c r="BA811" s="89"/>
      <c r="BB811" s="89"/>
      <c r="BC811" s="89"/>
      <c r="BD811" s="89"/>
      <c r="BE811" s="89"/>
      <c r="BF811" s="89"/>
      <c r="BG811" s="89"/>
      <c r="BH811" s="89"/>
      <c r="BI811" s="89"/>
      <c r="BJ811" s="89"/>
      <c r="BK811" s="91"/>
      <c r="BL811" s="66"/>
      <c r="BM811" s="94"/>
      <c r="BN811" s="94"/>
      <c r="BO811" s="92"/>
      <c r="BP811" s="93"/>
      <c r="BQ811" s="23"/>
      <c r="BR811" s="94"/>
      <c r="BS811" s="94"/>
      <c r="BT811" s="94"/>
      <c r="BU811" s="94"/>
      <c r="BV811" s="95"/>
      <c r="BW811" s="91"/>
      <c r="BX811" s="95"/>
      <c r="BY811" s="8"/>
      <c r="BZ811" s="96"/>
      <c r="CA811" s="91"/>
      <c r="CB811" s="97"/>
      <c r="CC811" s="8"/>
      <c r="CD811" s="91"/>
      <c r="CE811" s="98"/>
      <c r="DK811" s="89"/>
      <c r="DL811" s="8"/>
      <c r="DM811" s="8"/>
      <c r="DN811" s="8"/>
      <c r="DO811" s="8"/>
      <c r="DP811" s="8"/>
      <c r="DQ811" s="8"/>
      <c r="DR811" s="8"/>
      <c r="DZ811" s="45"/>
      <c r="EA811" s="89"/>
      <c r="EB811" s="89"/>
      <c r="EC811" s="89"/>
      <c r="ED811" s="89"/>
      <c r="EE811" s="89"/>
      <c r="EF811" s="89"/>
      <c r="EG811" s="89"/>
      <c r="EH811" s="89"/>
      <c r="EI811" s="89"/>
      <c r="EJ811" s="89"/>
      <c r="EK811" s="91"/>
      <c r="EL811" s="66"/>
      <c r="EM811" s="94"/>
      <c r="EN811" s="94"/>
      <c r="EO811" s="92"/>
      <c r="EP811" s="93"/>
      <c r="EQ811" s="23"/>
      <c r="ER811" s="94"/>
      <c r="ES811" s="94"/>
      <c r="ET811" s="94"/>
      <c r="EU811" s="94"/>
      <c r="EV811" s="95"/>
      <c r="EW811" s="91"/>
      <c r="EX811" s="95"/>
      <c r="EY811" s="8"/>
      <c r="EZ811" s="96"/>
      <c r="FA811" s="91"/>
      <c r="FB811" s="97"/>
      <c r="FC811" s="8"/>
      <c r="FD811" s="91"/>
      <c r="FE811" s="98"/>
    </row>
    <row r="812" spans="37:161">
      <c r="AK812" s="89"/>
      <c r="AL812" s="8"/>
      <c r="AM812" s="8"/>
      <c r="AN812" s="8"/>
      <c r="AO812" s="8"/>
      <c r="AP812" s="8"/>
      <c r="AQ812" s="8"/>
      <c r="AR812" s="8"/>
      <c r="AZ812" s="45"/>
      <c r="BA812" s="89"/>
      <c r="BB812" s="89"/>
      <c r="BC812" s="89"/>
      <c r="BD812" s="89"/>
      <c r="BE812" s="89"/>
      <c r="BF812" s="89"/>
      <c r="BG812" s="89"/>
      <c r="BH812" s="89"/>
      <c r="BI812" s="89"/>
      <c r="BJ812" s="89"/>
      <c r="BK812" s="91"/>
      <c r="BL812" s="66"/>
      <c r="BM812" s="94"/>
      <c r="BN812" s="94"/>
      <c r="BO812" s="92"/>
      <c r="BP812" s="93"/>
      <c r="BQ812" s="23"/>
      <c r="BR812" s="94"/>
      <c r="BS812" s="94"/>
      <c r="BT812" s="94"/>
      <c r="BU812" s="94"/>
      <c r="BV812" s="95"/>
      <c r="BW812" s="91"/>
      <c r="BX812" s="95"/>
      <c r="BY812" s="8"/>
      <c r="BZ812" s="96"/>
      <c r="CA812" s="91"/>
      <c r="CB812" s="97"/>
      <c r="CC812" s="8"/>
      <c r="CD812" s="91"/>
      <c r="CE812" s="98"/>
      <c r="DK812" s="89"/>
      <c r="DL812" s="8"/>
      <c r="DM812" s="8"/>
      <c r="DN812" s="8"/>
      <c r="DO812" s="8"/>
      <c r="DP812" s="8"/>
      <c r="DQ812" s="8"/>
      <c r="DR812" s="8"/>
      <c r="DZ812" s="45"/>
      <c r="EA812" s="89"/>
      <c r="EB812" s="89"/>
      <c r="EC812" s="89"/>
      <c r="ED812" s="89"/>
      <c r="EE812" s="89"/>
      <c r="EF812" s="89"/>
      <c r="EG812" s="89"/>
      <c r="EH812" s="89"/>
      <c r="EI812" s="89"/>
      <c r="EJ812" s="89"/>
      <c r="EK812" s="91"/>
      <c r="EL812" s="66"/>
      <c r="EM812" s="94"/>
      <c r="EN812" s="94"/>
      <c r="EO812" s="92"/>
      <c r="EP812" s="93"/>
      <c r="EQ812" s="23"/>
      <c r="ER812" s="94"/>
      <c r="ES812" s="94"/>
      <c r="ET812" s="94"/>
      <c r="EU812" s="94"/>
      <c r="EV812" s="95"/>
      <c r="EW812" s="91"/>
      <c r="EX812" s="95"/>
      <c r="EY812" s="8"/>
      <c r="EZ812" s="96"/>
      <c r="FA812" s="91"/>
      <c r="FB812" s="97"/>
      <c r="FC812" s="8"/>
      <c r="FD812" s="91"/>
      <c r="FE812" s="98"/>
    </row>
    <row r="813" spans="37:161">
      <c r="AK813" s="89"/>
      <c r="AL813" s="8"/>
      <c r="AM813" s="8"/>
      <c r="AN813" s="8"/>
      <c r="AO813" s="8"/>
      <c r="AP813" s="8"/>
      <c r="AQ813" s="8"/>
      <c r="AR813" s="8"/>
      <c r="AZ813" s="45"/>
      <c r="BA813" s="89"/>
      <c r="BB813" s="89"/>
      <c r="BC813" s="89"/>
      <c r="BD813" s="89"/>
      <c r="BE813" s="89"/>
      <c r="BF813" s="89"/>
      <c r="BG813" s="89"/>
      <c r="BH813" s="89"/>
      <c r="BI813" s="89"/>
      <c r="BJ813" s="89"/>
      <c r="BK813" s="91"/>
      <c r="BL813" s="66"/>
      <c r="BM813" s="94"/>
      <c r="BN813" s="94"/>
      <c r="BO813" s="92"/>
      <c r="BP813" s="93"/>
      <c r="BQ813" s="23"/>
      <c r="BR813" s="94"/>
      <c r="BS813" s="94"/>
      <c r="BT813" s="94"/>
      <c r="BU813" s="94"/>
      <c r="BV813" s="95"/>
      <c r="BW813" s="91"/>
      <c r="BX813" s="95"/>
      <c r="BY813" s="8"/>
      <c r="BZ813" s="96"/>
      <c r="CA813" s="91"/>
      <c r="CB813" s="97"/>
      <c r="CC813" s="8"/>
      <c r="CD813" s="91"/>
      <c r="CE813" s="98"/>
      <c r="DK813" s="89"/>
      <c r="DL813" s="8"/>
      <c r="DM813" s="8"/>
      <c r="DN813" s="8"/>
      <c r="DO813" s="8"/>
      <c r="DP813" s="8"/>
      <c r="DQ813" s="8"/>
      <c r="DR813" s="8"/>
      <c r="DZ813" s="45"/>
      <c r="EA813" s="89"/>
      <c r="EB813" s="89"/>
      <c r="EC813" s="89"/>
      <c r="ED813" s="89"/>
      <c r="EE813" s="89"/>
      <c r="EF813" s="89"/>
      <c r="EG813" s="89"/>
      <c r="EH813" s="89"/>
      <c r="EI813" s="89"/>
      <c r="EJ813" s="89"/>
      <c r="EK813" s="91"/>
      <c r="EL813" s="66"/>
      <c r="EM813" s="94"/>
      <c r="EN813" s="94"/>
      <c r="EO813" s="92"/>
      <c r="EP813" s="93"/>
      <c r="EQ813" s="23"/>
      <c r="ER813" s="94"/>
      <c r="ES813" s="94"/>
      <c r="ET813" s="94"/>
      <c r="EU813" s="94"/>
      <c r="EV813" s="95"/>
      <c r="EW813" s="91"/>
      <c r="EX813" s="95"/>
      <c r="EY813" s="8"/>
      <c r="EZ813" s="96"/>
      <c r="FA813" s="91"/>
      <c r="FB813" s="97"/>
      <c r="FC813" s="8"/>
      <c r="FD813" s="91"/>
      <c r="FE813" s="98"/>
    </row>
    <row r="814" spans="37:161">
      <c r="AK814" s="89"/>
      <c r="AL814" s="8"/>
      <c r="AM814" s="8"/>
      <c r="AN814" s="8"/>
      <c r="AO814" s="8"/>
      <c r="AP814" s="8"/>
      <c r="AQ814" s="8"/>
      <c r="AR814" s="8"/>
      <c r="AZ814" s="45"/>
      <c r="BA814" s="89"/>
      <c r="BB814" s="89"/>
      <c r="BC814" s="89"/>
      <c r="BD814" s="89"/>
      <c r="BE814" s="89"/>
      <c r="BF814" s="89"/>
      <c r="BG814" s="89"/>
      <c r="BH814" s="89"/>
      <c r="BI814" s="89"/>
      <c r="BJ814" s="89"/>
      <c r="BK814" s="91"/>
      <c r="BL814" s="66"/>
      <c r="BM814" s="94"/>
      <c r="BN814" s="94"/>
      <c r="BO814" s="92"/>
      <c r="BP814" s="93"/>
      <c r="BQ814" s="23"/>
      <c r="BR814" s="94"/>
      <c r="BS814" s="94"/>
      <c r="BT814" s="94"/>
      <c r="BU814" s="94"/>
      <c r="BV814" s="95"/>
      <c r="BW814" s="91"/>
      <c r="BX814" s="95"/>
      <c r="BY814" s="8"/>
      <c r="BZ814" s="96"/>
      <c r="CA814" s="91"/>
      <c r="CB814" s="97"/>
      <c r="CC814" s="8"/>
      <c r="CD814" s="91"/>
      <c r="CE814" s="98"/>
      <c r="DK814" s="89"/>
      <c r="DL814" s="8"/>
      <c r="DM814" s="8"/>
      <c r="DN814" s="8"/>
      <c r="DO814" s="8"/>
      <c r="DP814" s="8"/>
      <c r="DQ814" s="8"/>
      <c r="DR814" s="8"/>
      <c r="DZ814" s="45"/>
      <c r="EA814" s="89"/>
      <c r="EB814" s="89"/>
      <c r="EC814" s="89"/>
      <c r="ED814" s="89"/>
      <c r="EE814" s="89"/>
      <c r="EF814" s="89"/>
      <c r="EG814" s="89"/>
      <c r="EH814" s="89"/>
      <c r="EI814" s="89"/>
      <c r="EJ814" s="89"/>
      <c r="EK814" s="91"/>
      <c r="EL814" s="66"/>
      <c r="EM814" s="94"/>
      <c r="EN814" s="94"/>
      <c r="EO814" s="92"/>
      <c r="EP814" s="93"/>
      <c r="EQ814" s="23"/>
      <c r="ER814" s="94"/>
      <c r="ES814" s="94"/>
      <c r="ET814" s="94"/>
      <c r="EU814" s="94"/>
      <c r="EV814" s="95"/>
      <c r="EW814" s="91"/>
      <c r="EX814" s="95"/>
      <c r="EY814" s="8"/>
      <c r="EZ814" s="96"/>
      <c r="FA814" s="91"/>
      <c r="FB814" s="97"/>
      <c r="FC814" s="8"/>
      <c r="FD814" s="91"/>
      <c r="FE814" s="98"/>
    </row>
    <row r="815" spans="37:161">
      <c r="AK815" s="89"/>
      <c r="AL815" s="8"/>
      <c r="AM815" s="8"/>
      <c r="AN815" s="8"/>
      <c r="AO815" s="8"/>
      <c r="AP815" s="8"/>
      <c r="AQ815" s="8"/>
      <c r="AR815" s="8"/>
      <c r="AZ815" s="45"/>
      <c r="BA815" s="89"/>
      <c r="BB815" s="89"/>
      <c r="BC815" s="89"/>
      <c r="BD815" s="89"/>
      <c r="BE815" s="89"/>
      <c r="BF815" s="89"/>
      <c r="BG815" s="89"/>
      <c r="BH815" s="89"/>
      <c r="BI815" s="89"/>
      <c r="BJ815" s="89"/>
      <c r="BK815" s="91"/>
      <c r="BL815" s="66"/>
      <c r="BM815" s="94"/>
      <c r="BN815" s="94"/>
      <c r="BO815" s="92"/>
      <c r="BP815" s="93"/>
      <c r="BQ815" s="23"/>
      <c r="BR815" s="94"/>
      <c r="BS815" s="94"/>
      <c r="BT815" s="94"/>
      <c r="BU815" s="94"/>
      <c r="BV815" s="95"/>
      <c r="BW815" s="91"/>
      <c r="BX815" s="95"/>
      <c r="BY815" s="8"/>
      <c r="BZ815" s="96"/>
      <c r="CA815" s="91"/>
      <c r="CB815" s="97"/>
      <c r="CC815" s="8"/>
      <c r="CD815" s="91"/>
      <c r="CE815" s="98"/>
      <c r="DK815" s="89"/>
      <c r="DL815" s="8"/>
      <c r="DM815" s="8"/>
      <c r="DN815" s="8"/>
      <c r="DO815" s="8"/>
      <c r="DP815" s="8"/>
      <c r="DQ815" s="8"/>
      <c r="DR815" s="8"/>
      <c r="DZ815" s="45"/>
      <c r="EA815" s="89"/>
      <c r="EB815" s="89"/>
      <c r="EC815" s="89"/>
      <c r="ED815" s="89"/>
      <c r="EE815" s="89"/>
      <c r="EF815" s="89"/>
      <c r="EG815" s="89"/>
      <c r="EH815" s="89"/>
      <c r="EI815" s="89"/>
      <c r="EJ815" s="89"/>
      <c r="EK815" s="91"/>
      <c r="EL815" s="66"/>
      <c r="EM815" s="94"/>
      <c r="EN815" s="94"/>
      <c r="EO815" s="92"/>
      <c r="EP815" s="93"/>
      <c r="EQ815" s="23"/>
      <c r="ER815" s="94"/>
      <c r="ES815" s="94"/>
      <c r="ET815" s="94"/>
      <c r="EU815" s="94"/>
      <c r="EV815" s="95"/>
      <c r="EW815" s="91"/>
      <c r="EX815" s="95"/>
      <c r="EY815" s="8"/>
      <c r="EZ815" s="96"/>
      <c r="FA815" s="91"/>
      <c r="FB815" s="97"/>
      <c r="FC815" s="8"/>
      <c r="FD815" s="91"/>
      <c r="FE815" s="98"/>
    </row>
    <row r="816" spans="37:161">
      <c r="AK816" s="89"/>
      <c r="AL816" s="8"/>
      <c r="AM816" s="8"/>
      <c r="AN816" s="8"/>
      <c r="AO816" s="8"/>
      <c r="AP816" s="8"/>
      <c r="AQ816" s="8"/>
      <c r="AR816" s="8"/>
      <c r="AZ816" s="45"/>
      <c r="BA816" s="89"/>
      <c r="BB816" s="89"/>
      <c r="BC816" s="89"/>
      <c r="BD816" s="89"/>
      <c r="BE816" s="89"/>
      <c r="BF816" s="89"/>
      <c r="BG816" s="89"/>
      <c r="BH816" s="89"/>
      <c r="BI816" s="89"/>
      <c r="BJ816" s="89"/>
      <c r="BK816" s="91"/>
      <c r="BL816" s="66"/>
      <c r="BM816" s="94"/>
      <c r="BN816" s="94"/>
      <c r="BO816" s="92"/>
      <c r="BP816" s="93"/>
      <c r="BQ816" s="23"/>
      <c r="BR816" s="94"/>
      <c r="BS816" s="94"/>
      <c r="BT816" s="94"/>
      <c r="BU816" s="94"/>
      <c r="BV816" s="95"/>
      <c r="BW816" s="91"/>
      <c r="BX816" s="95"/>
      <c r="BY816" s="8"/>
      <c r="BZ816" s="96"/>
      <c r="CA816" s="91"/>
      <c r="CB816" s="97"/>
      <c r="CC816" s="8"/>
      <c r="CD816" s="91"/>
      <c r="CE816" s="98"/>
      <c r="DK816" s="89"/>
      <c r="DL816" s="8"/>
      <c r="DM816" s="8"/>
      <c r="DN816" s="8"/>
      <c r="DO816" s="8"/>
      <c r="DP816" s="8"/>
      <c r="DQ816" s="8"/>
      <c r="DR816" s="8"/>
      <c r="DZ816" s="45"/>
      <c r="EA816" s="89"/>
      <c r="EB816" s="89"/>
      <c r="EC816" s="89"/>
      <c r="ED816" s="89"/>
      <c r="EE816" s="89"/>
      <c r="EF816" s="89"/>
      <c r="EG816" s="89"/>
      <c r="EH816" s="89"/>
      <c r="EI816" s="89"/>
      <c r="EJ816" s="89"/>
      <c r="EK816" s="91"/>
      <c r="EL816" s="66"/>
      <c r="EM816" s="94"/>
      <c r="EN816" s="94"/>
      <c r="EO816" s="92"/>
      <c r="EP816" s="93"/>
      <c r="EQ816" s="23"/>
      <c r="ER816" s="94"/>
      <c r="ES816" s="94"/>
      <c r="ET816" s="94"/>
      <c r="EU816" s="94"/>
      <c r="EV816" s="95"/>
      <c r="EW816" s="91"/>
      <c r="EX816" s="95"/>
      <c r="EY816" s="8"/>
      <c r="EZ816" s="96"/>
      <c r="FA816" s="91"/>
      <c r="FB816" s="97"/>
      <c r="FC816" s="8"/>
      <c r="FD816" s="91"/>
      <c r="FE816" s="98"/>
    </row>
    <row r="817" spans="37:161">
      <c r="AK817" s="89"/>
      <c r="AL817" s="8"/>
      <c r="AM817" s="8"/>
      <c r="AN817" s="8"/>
      <c r="AO817" s="8"/>
      <c r="AP817" s="8"/>
      <c r="AQ817" s="8"/>
      <c r="AR817" s="8"/>
      <c r="AZ817" s="45"/>
      <c r="BA817" s="89"/>
      <c r="BB817" s="89"/>
      <c r="BC817" s="89"/>
      <c r="BD817" s="89"/>
      <c r="BE817" s="89"/>
      <c r="BF817" s="89"/>
      <c r="BG817" s="89"/>
      <c r="BH817" s="89"/>
      <c r="BI817" s="89"/>
      <c r="BJ817" s="89"/>
      <c r="BK817" s="91"/>
      <c r="BL817" s="66"/>
      <c r="BM817" s="94"/>
      <c r="BN817" s="94"/>
      <c r="BO817" s="92"/>
      <c r="BP817" s="93"/>
      <c r="BQ817" s="23"/>
      <c r="BR817" s="94"/>
      <c r="BS817" s="94"/>
      <c r="BT817" s="94"/>
      <c r="BU817" s="94"/>
      <c r="BV817" s="95"/>
      <c r="BW817" s="91"/>
      <c r="BX817" s="95"/>
      <c r="BY817" s="8"/>
      <c r="BZ817" s="96"/>
      <c r="CA817" s="91"/>
      <c r="CB817" s="97"/>
      <c r="CC817" s="8"/>
      <c r="CD817" s="91"/>
      <c r="CE817" s="98"/>
      <c r="DK817" s="89"/>
      <c r="DL817" s="8"/>
      <c r="DM817" s="8"/>
      <c r="DN817" s="8"/>
      <c r="DO817" s="8"/>
      <c r="DP817" s="8"/>
      <c r="DQ817" s="8"/>
      <c r="DR817" s="8"/>
      <c r="DZ817" s="45"/>
      <c r="EA817" s="89"/>
      <c r="EB817" s="89"/>
      <c r="EC817" s="89"/>
      <c r="ED817" s="89"/>
      <c r="EE817" s="89"/>
      <c r="EF817" s="89"/>
      <c r="EG817" s="89"/>
      <c r="EH817" s="89"/>
      <c r="EI817" s="89"/>
      <c r="EJ817" s="89"/>
      <c r="EK817" s="91"/>
      <c r="EL817" s="66"/>
      <c r="EM817" s="94"/>
      <c r="EN817" s="94"/>
      <c r="EO817" s="92"/>
      <c r="EP817" s="93"/>
      <c r="EQ817" s="23"/>
      <c r="ER817" s="94"/>
      <c r="ES817" s="94"/>
      <c r="ET817" s="94"/>
      <c r="EU817" s="94"/>
      <c r="EV817" s="95"/>
      <c r="EW817" s="91"/>
      <c r="EX817" s="95"/>
      <c r="EY817" s="8"/>
      <c r="EZ817" s="96"/>
      <c r="FA817" s="91"/>
      <c r="FB817" s="97"/>
      <c r="FC817" s="8"/>
      <c r="FD817" s="91"/>
      <c r="FE817" s="98"/>
    </row>
    <row r="818" spans="37:161">
      <c r="AK818" s="89"/>
      <c r="AL818" s="8"/>
      <c r="AM818" s="8"/>
      <c r="AN818" s="8"/>
      <c r="AO818" s="8"/>
      <c r="AP818" s="8"/>
      <c r="AQ818" s="8"/>
      <c r="AR818" s="8"/>
      <c r="AZ818" s="45"/>
      <c r="BA818" s="89"/>
      <c r="BB818" s="89"/>
      <c r="BC818" s="89"/>
      <c r="BD818" s="89"/>
      <c r="BE818" s="89"/>
      <c r="BF818" s="89"/>
      <c r="BG818" s="89"/>
      <c r="BH818" s="89"/>
      <c r="BI818" s="89"/>
      <c r="BJ818" s="89"/>
      <c r="BK818" s="91"/>
      <c r="BL818" s="66"/>
      <c r="BM818" s="94"/>
      <c r="BN818" s="94"/>
      <c r="BO818" s="92"/>
      <c r="BP818" s="93"/>
      <c r="BQ818" s="23"/>
      <c r="BR818" s="94"/>
      <c r="BS818" s="94"/>
      <c r="BT818" s="94"/>
      <c r="BU818" s="94"/>
      <c r="BV818" s="95"/>
      <c r="BW818" s="91"/>
      <c r="BX818" s="95"/>
      <c r="BY818" s="8"/>
      <c r="BZ818" s="96"/>
      <c r="CA818" s="91"/>
      <c r="CB818" s="97"/>
      <c r="CC818" s="8"/>
      <c r="CD818" s="91"/>
      <c r="CE818" s="98"/>
      <c r="DK818" s="89"/>
      <c r="DL818" s="8"/>
      <c r="DM818" s="8"/>
      <c r="DN818" s="8"/>
      <c r="DO818" s="8"/>
      <c r="DP818" s="8"/>
      <c r="DQ818" s="8"/>
      <c r="DR818" s="8"/>
      <c r="DZ818" s="45"/>
      <c r="EA818" s="89"/>
      <c r="EB818" s="89"/>
      <c r="EC818" s="89"/>
      <c r="ED818" s="89"/>
      <c r="EE818" s="89"/>
      <c r="EF818" s="89"/>
      <c r="EG818" s="89"/>
      <c r="EH818" s="89"/>
      <c r="EI818" s="89"/>
      <c r="EJ818" s="89"/>
      <c r="EK818" s="91"/>
      <c r="EL818" s="66"/>
      <c r="EM818" s="94"/>
      <c r="EN818" s="94"/>
      <c r="EO818" s="92"/>
      <c r="EP818" s="93"/>
      <c r="EQ818" s="23"/>
      <c r="ER818" s="94"/>
      <c r="ES818" s="94"/>
      <c r="ET818" s="94"/>
      <c r="EU818" s="94"/>
      <c r="EV818" s="95"/>
      <c r="EW818" s="91"/>
      <c r="EX818" s="95"/>
      <c r="EY818" s="8"/>
      <c r="EZ818" s="96"/>
      <c r="FA818" s="91"/>
      <c r="FB818" s="97"/>
      <c r="FC818" s="8"/>
      <c r="FD818" s="91"/>
      <c r="FE818" s="98"/>
    </row>
    <row r="819" spans="37:161">
      <c r="AK819" s="89"/>
      <c r="AL819" s="8"/>
      <c r="AM819" s="8"/>
      <c r="AN819" s="8"/>
      <c r="AO819" s="8"/>
      <c r="AP819" s="8"/>
      <c r="AQ819" s="8"/>
      <c r="AR819" s="8"/>
      <c r="AZ819" s="45"/>
      <c r="BA819" s="89"/>
      <c r="BB819" s="89"/>
      <c r="BC819" s="89"/>
      <c r="BD819" s="89"/>
      <c r="BE819" s="89"/>
      <c r="BF819" s="89"/>
      <c r="BG819" s="89"/>
      <c r="BH819" s="89"/>
      <c r="BI819" s="89"/>
      <c r="BJ819" s="89"/>
      <c r="BK819" s="91"/>
      <c r="BL819" s="66"/>
      <c r="BM819" s="94"/>
      <c r="BN819" s="94"/>
      <c r="BO819" s="92"/>
      <c r="BP819" s="93"/>
      <c r="BQ819" s="23"/>
      <c r="BR819" s="94"/>
      <c r="BS819" s="94"/>
      <c r="BT819" s="94"/>
      <c r="BU819" s="94"/>
      <c r="BV819" s="95"/>
      <c r="BW819" s="91"/>
      <c r="BX819" s="95"/>
      <c r="BY819" s="8"/>
      <c r="BZ819" s="96"/>
      <c r="CA819" s="91"/>
      <c r="CB819" s="97"/>
      <c r="CC819" s="8"/>
      <c r="CD819" s="91"/>
      <c r="CE819" s="98"/>
      <c r="DK819" s="89"/>
      <c r="DL819" s="8"/>
      <c r="DM819" s="8"/>
      <c r="DN819" s="8"/>
      <c r="DO819" s="8"/>
      <c r="DP819" s="8"/>
      <c r="DQ819" s="8"/>
      <c r="DR819" s="8"/>
      <c r="DZ819" s="45"/>
      <c r="EA819" s="89"/>
      <c r="EB819" s="89"/>
      <c r="EC819" s="89"/>
      <c r="ED819" s="89"/>
      <c r="EE819" s="89"/>
      <c r="EF819" s="89"/>
      <c r="EG819" s="89"/>
      <c r="EH819" s="89"/>
      <c r="EI819" s="89"/>
      <c r="EJ819" s="89"/>
      <c r="EK819" s="91"/>
      <c r="EL819" s="66"/>
      <c r="EM819" s="94"/>
      <c r="EN819" s="94"/>
      <c r="EO819" s="92"/>
      <c r="EP819" s="93"/>
      <c r="EQ819" s="23"/>
      <c r="ER819" s="94"/>
      <c r="ES819" s="94"/>
      <c r="ET819" s="94"/>
      <c r="EU819" s="94"/>
      <c r="EV819" s="95"/>
      <c r="EW819" s="91"/>
      <c r="EX819" s="95"/>
      <c r="EY819" s="8"/>
      <c r="EZ819" s="96"/>
      <c r="FA819" s="91"/>
      <c r="FB819" s="97"/>
      <c r="FC819" s="8"/>
      <c r="FD819" s="91"/>
      <c r="FE819" s="98"/>
    </row>
    <row r="820" spans="37:161">
      <c r="AK820" s="89"/>
      <c r="AL820" s="8"/>
      <c r="AM820" s="8"/>
      <c r="AN820" s="8"/>
      <c r="AO820" s="8"/>
      <c r="AP820" s="8"/>
      <c r="AQ820" s="8"/>
      <c r="AR820" s="8"/>
      <c r="AZ820" s="45"/>
      <c r="BA820" s="89"/>
      <c r="BB820" s="89"/>
      <c r="BC820" s="89"/>
      <c r="BD820" s="89"/>
      <c r="BE820" s="89"/>
      <c r="BF820" s="89"/>
      <c r="BG820" s="89"/>
      <c r="BH820" s="89"/>
      <c r="BI820" s="89"/>
      <c r="BJ820" s="89"/>
      <c r="BK820" s="91"/>
      <c r="BL820" s="66"/>
      <c r="BM820" s="94"/>
      <c r="BN820" s="94"/>
      <c r="BO820" s="92"/>
      <c r="BP820" s="93"/>
      <c r="BQ820" s="23"/>
      <c r="BR820" s="94"/>
      <c r="BS820" s="94"/>
      <c r="BT820" s="94"/>
      <c r="BU820" s="94"/>
      <c r="BV820" s="95"/>
      <c r="BW820" s="91"/>
      <c r="BX820" s="95"/>
      <c r="BY820" s="8"/>
      <c r="BZ820" s="96"/>
      <c r="CA820" s="91"/>
      <c r="CB820" s="97"/>
      <c r="CC820" s="8"/>
      <c r="CD820" s="91"/>
      <c r="CE820" s="98"/>
      <c r="DK820" s="89"/>
      <c r="DL820" s="8"/>
      <c r="DM820" s="8"/>
      <c r="DN820" s="8"/>
      <c r="DO820" s="8"/>
      <c r="DP820" s="8"/>
      <c r="DQ820" s="8"/>
      <c r="DR820" s="8"/>
      <c r="DZ820" s="45"/>
      <c r="EA820" s="89"/>
      <c r="EB820" s="89"/>
      <c r="EC820" s="89"/>
      <c r="ED820" s="89"/>
      <c r="EE820" s="89"/>
      <c r="EF820" s="89"/>
      <c r="EG820" s="89"/>
      <c r="EH820" s="89"/>
      <c r="EI820" s="89"/>
      <c r="EJ820" s="89"/>
      <c r="EK820" s="91"/>
      <c r="EL820" s="66"/>
      <c r="EM820" s="94"/>
      <c r="EN820" s="94"/>
      <c r="EO820" s="92"/>
      <c r="EP820" s="93"/>
      <c r="EQ820" s="23"/>
      <c r="ER820" s="94"/>
      <c r="ES820" s="94"/>
      <c r="ET820" s="94"/>
      <c r="EU820" s="94"/>
      <c r="EV820" s="95"/>
      <c r="EW820" s="91"/>
      <c r="EX820" s="95"/>
      <c r="EY820" s="8"/>
      <c r="EZ820" s="96"/>
      <c r="FA820" s="91"/>
      <c r="FB820" s="97"/>
      <c r="FC820" s="8"/>
      <c r="FD820" s="91"/>
      <c r="FE820" s="98"/>
    </row>
    <row r="821" spans="37:161">
      <c r="AK821" s="89"/>
      <c r="AL821" s="8"/>
      <c r="AM821" s="8"/>
      <c r="AN821" s="8"/>
      <c r="AO821" s="8"/>
      <c r="AP821" s="8"/>
      <c r="AQ821" s="8"/>
      <c r="AR821" s="8"/>
      <c r="AZ821" s="45"/>
      <c r="BA821" s="89"/>
      <c r="BB821" s="89"/>
      <c r="BC821" s="89"/>
      <c r="BD821" s="89"/>
      <c r="BE821" s="89"/>
      <c r="BF821" s="89"/>
      <c r="BG821" s="89"/>
      <c r="BH821" s="89"/>
      <c r="BI821" s="89"/>
      <c r="BJ821" s="89"/>
      <c r="BK821" s="91"/>
      <c r="BL821" s="66"/>
      <c r="BM821" s="94"/>
      <c r="BN821" s="94"/>
      <c r="BO821" s="92"/>
      <c r="BP821" s="93"/>
      <c r="BQ821" s="23"/>
      <c r="BR821" s="94"/>
      <c r="BS821" s="94"/>
      <c r="BT821" s="94"/>
      <c r="BU821" s="94"/>
      <c r="BV821" s="95"/>
      <c r="BW821" s="91"/>
      <c r="BX821" s="95"/>
      <c r="BY821" s="8"/>
      <c r="BZ821" s="96"/>
      <c r="CA821" s="91"/>
      <c r="CB821" s="97"/>
      <c r="CC821" s="8"/>
      <c r="CD821" s="91"/>
      <c r="CE821" s="98"/>
      <c r="DK821" s="89"/>
      <c r="DL821" s="8"/>
      <c r="DM821" s="8"/>
      <c r="DN821" s="8"/>
      <c r="DO821" s="8"/>
      <c r="DP821" s="8"/>
      <c r="DQ821" s="8"/>
      <c r="DR821" s="8"/>
      <c r="DZ821" s="45"/>
      <c r="EA821" s="89"/>
      <c r="EB821" s="89"/>
      <c r="EC821" s="89"/>
      <c r="ED821" s="89"/>
      <c r="EE821" s="89"/>
      <c r="EF821" s="89"/>
      <c r="EG821" s="89"/>
      <c r="EH821" s="89"/>
      <c r="EI821" s="89"/>
      <c r="EJ821" s="89"/>
      <c r="EK821" s="91"/>
      <c r="EL821" s="66"/>
      <c r="EM821" s="94"/>
      <c r="EN821" s="94"/>
      <c r="EO821" s="92"/>
      <c r="EP821" s="93"/>
      <c r="EQ821" s="23"/>
      <c r="ER821" s="94"/>
      <c r="ES821" s="94"/>
      <c r="ET821" s="94"/>
      <c r="EU821" s="94"/>
      <c r="EV821" s="95"/>
      <c r="EW821" s="91"/>
      <c r="EX821" s="95"/>
      <c r="EY821" s="8"/>
      <c r="EZ821" s="96"/>
      <c r="FA821" s="91"/>
      <c r="FB821" s="97"/>
      <c r="FC821" s="8"/>
      <c r="FD821" s="91"/>
      <c r="FE821" s="98"/>
    </row>
    <row r="822" spans="37:161">
      <c r="AK822" s="89"/>
      <c r="AL822" s="8"/>
      <c r="AM822" s="8"/>
      <c r="AN822" s="8"/>
      <c r="AO822" s="8"/>
      <c r="AP822" s="8"/>
      <c r="AQ822" s="8"/>
      <c r="AR822" s="8"/>
      <c r="AZ822" s="45"/>
      <c r="BA822" s="89"/>
      <c r="BB822" s="89"/>
      <c r="BC822" s="89"/>
      <c r="BD822" s="89"/>
      <c r="BE822" s="89"/>
      <c r="BF822" s="89"/>
      <c r="BG822" s="89"/>
      <c r="BH822" s="89"/>
      <c r="BI822" s="89"/>
      <c r="BJ822" s="89"/>
      <c r="BK822" s="91"/>
      <c r="BL822" s="66"/>
      <c r="BM822" s="94"/>
      <c r="BN822" s="94"/>
      <c r="BO822" s="92"/>
      <c r="BP822" s="93"/>
      <c r="BQ822" s="23"/>
      <c r="BR822" s="94"/>
      <c r="BS822" s="94"/>
      <c r="BT822" s="94"/>
      <c r="BU822" s="94"/>
      <c r="BV822" s="95"/>
      <c r="BW822" s="91"/>
      <c r="BX822" s="95"/>
      <c r="BY822" s="8"/>
      <c r="BZ822" s="96"/>
      <c r="CA822" s="91"/>
      <c r="CB822" s="97"/>
      <c r="CC822" s="8"/>
      <c r="CD822" s="91"/>
      <c r="CE822" s="98"/>
      <c r="DK822" s="89"/>
      <c r="DL822" s="8"/>
      <c r="DM822" s="8"/>
      <c r="DN822" s="8"/>
      <c r="DO822" s="8"/>
      <c r="DP822" s="8"/>
      <c r="DQ822" s="8"/>
      <c r="DR822" s="8"/>
      <c r="DZ822" s="45"/>
      <c r="EA822" s="89"/>
      <c r="EB822" s="89"/>
      <c r="EC822" s="89"/>
      <c r="ED822" s="89"/>
      <c r="EE822" s="89"/>
      <c r="EF822" s="89"/>
      <c r="EG822" s="89"/>
      <c r="EH822" s="89"/>
      <c r="EI822" s="89"/>
      <c r="EJ822" s="89"/>
      <c r="EK822" s="91"/>
      <c r="EL822" s="66"/>
      <c r="EM822" s="94"/>
      <c r="EN822" s="94"/>
      <c r="EO822" s="92"/>
      <c r="EP822" s="93"/>
      <c r="EQ822" s="23"/>
      <c r="ER822" s="94"/>
      <c r="ES822" s="94"/>
      <c r="ET822" s="94"/>
      <c r="EU822" s="94"/>
      <c r="EV822" s="95"/>
      <c r="EW822" s="91"/>
      <c r="EX822" s="95"/>
      <c r="EY822" s="8"/>
      <c r="EZ822" s="96"/>
      <c r="FA822" s="91"/>
      <c r="FB822" s="97"/>
      <c r="FC822" s="8"/>
      <c r="FD822" s="91"/>
      <c r="FE822" s="98"/>
    </row>
    <row r="823" spans="37:161">
      <c r="AK823" s="89"/>
      <c r="AL823" s="8"/>
      <c r="AM823" s="8"/>
      <c r="AN823" s="8"/>
      <c r="AO823" s="8"/>
      <c r="AP823" s="8"/>
      <c r="AQ823" s="8"/>
      <c r="AR823" s="8"/>
      <c r="AZ823" s="45"/>
      <c r="BA823" s="89"/>
      <c r="BB823" s="89"/>
      <c r="BC823" s="89"/>
      <c r="BD823" s="89"/>
      <c r="BE823" s="89"/>
      <c r="BF823" s="89"/>
      <c r="BG823" s="89"/>
      <c r="BH823" s="89"/>
      <c r="BI823" s="89"/>
      <c r="BJ823" s="89"/>
      <c r="BK823" s="91"/>
      <c r="BL823" s="66"/>
      <c r="BM823" s="94"/>
      <c r="BN823" s="94"/>
      <c r="BO823" s="92"/>
      <c r="BP823" s="93"/>
      <c r="BQ823" s="23"/>
      <c r="BR823" s="94"/>
      <c r="BS823" s="94"/>
      <c r="BT823" s="94"/>
      <c r="BU823" s="94"/>
      <c r="BV823" s="95"/>
      <c r="BW823" s="91"/>
      <c r="BX823" s="95"/>
      <c r="BY823" s="8"/>
      <c r="BZ823" s="96"/>
      <c r="CA823" s="91"/>
      <c r="CB823" s="97"/>
      <c r="CC823" s="8"/>
      <c r="CD823" s="91"/>
      <c r="CE823" s="98"/>
      <c r="DK823" s="89"/>
      <c r="DL823" s="8"/>
      <c r="DM823" s="8"/>
      <c r="DN823" s="8"/>
      <c r="DO823" s="8"/>
      <c r="DP823" s="8"/>
      <c r="DQ823" s="8"/>
      <c r="DR823" s="8"/>
      <c r="DZ823" s="45"/>
      <c r="EA823" s="89"/>
      <c r="EB823" s="89"/>
      <c r="EC823" s="89"/>
      <c r="ED823" s="89"/>
      <c r="EE823" s="89"/>
      <c r="EF823" s="89"/>
      <c r="EG823" s="89"/>
      <c r="EH823" s="89"/>
      <c r="EI823" s="89"/>
      <c r="EJ823" s="89"/>
      <c r="EK823" s="91"/>
      <c r="EL823" s="66"/>
      <c r="EM823" s="94"/>
      <c r="EN823" s="94"/>
      <c r="EO823" s="92"/>
      <c r="EP823" s="93"/>
      <c r="EQ823" s="23"/>
      <c r="ER823" s="94"/>
      <c r="ES823" s="94"/>
      <c r="ET823" s="94"/>
      <c r="EU823" s="94"/>
      <c r="EV823" s="95"/>
      <c r="EW823" s="91"/>
      <c r="EX823" s="95"/>
      <c r="EY823" s="8"/>
      <c r="EZ823" s="96"/>
      <c r="FA823" s="91"/>
      <c r="FB823" s="97"/>
      <c r="FC823" s="8"/>
      <c r="FD823" s="91"/>
      <c r="FE823" s="98"/>
    </row>
    <row r="824" spans="37:161">
      <c r="AK824" s="89"/>
      <c r="AL824" s="8"/>
      <c r="AM824" s="8"/>
      <c r="AN824" s="8"/>
      <c r="AO824" s="8"/>
      <c r="AP824" s="8"/>
      <c r="AQ824" s="8"/>
      <c r="AR824" s="8"/>
      <c r="AZ824" s="45"/>
      <c r="BA824" s="89"/>
      <c r="BB824" s="89"/>
      <c r="BC824" s="89"/>
      <c r="BD824" s="89"/>
      <c r="BE824" s="89"/>
      <c r="BF824" s="89"/>
      <c r="BG824" s="89"/>
      <c r="BH824" s="89"/>
      <c r="BI824" s="89"/>
      <c r="BJ824" s="89"/>
      <c r="BK824" s="91"/>
      <c r="BL824" s="66"/>
      <c r="BM824" s="94"/>
      <c r="BN824" s="94"/>
      <c r="BO824" s="92"/>
      <c r="BP824" s="93"/>
      <c r="BQ824" s="23"/>
      <c r="BR824" s="94"/>
      <c r="BS824" s="94"/>
      <c r="BT824" s="94"/>
      <c r="BU824" s="94"/>
      <c r="BV824" s="95"/>
      <c r="BW824" s="91"/>
      <c r="BX824" s="95"/>
      <c r="BY824" s="8"/>
      <c r="BZ824" s="96"/>
      <c r="CA824" s="91"/>
      <c r="CB824" s="97"/>
      <c r="CC824" s="8"/>
      <c r="CD824" s="91"/>
      <c r="CE824" s="98"/>
      <c r="DK824" s="89"/>
      <c r="DL824" s="8"/>
      <c r="DM824" s="8"/>
      <c r="DN824" s="8"/>
      <c r="DO824" s="8"/>
      <c r="DP824" s="8"/>
      <c r="DQ824" s="8"/>
      <c r="DR824" s="8"/>
      <c r="DZ824" s="45"/>
      <c r="EA824" s="89"/>
      <c r="EB824" s="89"/>
      <c r="EC824" s="89"/>
      <c r="ED824" s="89"/>
      <c r="EE824" s="89"/>
      <c r="EF824" s="89"/>
      <c r="EG824" s="89"/>
      <c r="EH824" s="89"/>
      <c r="EI824" s="89"/>
      <c r="EJ824" s="89"/>
      <c r="EK824" s="91"/>
      <c r="EL824" s="66"/>
      <c r="EM824" s="94"/>
      <c r="EN824" s="94"/>
      <c r="EO824" s="92"/>
      <c r="EP824" s="93"/>
      <c r="EQ824" s="23"/>
      <c r="ER824" s="94"/>
      <c r="ES824" s="94"/>
      <c r="ET824" s="94"/>
      <c r="EU824" s="94"/>
      <c r="EV824" s="95"/>
      <c r="EW824" s="91"/>
      <c r="EX824" s="95"/>
      <c r="EY824" s="8"/>
      <c r="EZ824" s="96"/>
      <c r="FA824" s="91"/>
      <c r="FB824" s="97"/>
      <c r="FC824" s="8"/>
      <c r="FD824" s="91"/>
      <c r="FE824" s="98"/>
    </row>
    <row r="825" spans="37:161">
      <c r="AK825" s="89"/>
      <c r="AL825" s="8"/>
      <c r="AM825" s="8"/>
      <c r="AN825" s="8"/>
      <c r="AO825" s="8"/>
      <c r="AP825" s="8"/>
      <c r="AQ825" s="8"/>
      <c r="AR825" s="8"/>
      <c r="AZ825" s="45"/>
      <c r="BA825" s="89"/>
      <c r="BB825" s="89"/>
      <c r="BC825" s="89"/>
      <c r="BD825" s="89"/>
      <c r="BE825" s="89"/>
      <c r="BF825" s="89"/>
      <c r="BG825" s="89"/>
      <c r="BH825" s="89"/>
      <c r="BI825" s="89"/>
      <c r="BJ825" s="89"/>
      <c r="BK825" s="91"/>
      <c r="BL825" s="66"/>
      <c r="BM825" s="94"/>
      <c r="BN825" s="94"/>
      <c r="BO825" s="92"/>
      <c r="BP825" s="93"/>
      <c r="BQ825" s="23"/>
      <c r="BR825" s="94"/>
      <c r="BS825" s="94"/>
      <c r="BT825" s="94"/>
      <c r="BU825" s="94"/>
      <c r="BV825" s="95"/>
      <c r="BW825" s="91"/>
      <c r="BX825" s="95"/>
      <c r="BY825" s="8"/>
      <c r="BZ825" s="96"/>
      <c r="CA825" s="91"/>
      <c r="CB825" s="97"/>
      <c r="CC825" s="8"/>
      <c r="CD825" s="91"/>
      <c r="CE825" s="98"/>
      <c r="DK825" s="89"/>
      <c r="DL825" s="8"/>
      <c r="DM825" s="8"/>
      <c r="DN825" s="8"/>
      <c r="DO825" s="8"/>
      <c r="DP825" s="8"/>
      <c r="DQ825" s="8"/>
      <c r="DR825" s="8"/>
      <c r="DZ825" s="45"/>
      <c r="EA825" s="89"/>
      <c r="EB825" s="89"/>
      <c r="EC825" s="89"/>
      <c r="ED825" s="89"/>
      <c r="EE825" s="89"/>
      <c r="EF825" s="89"/>
      <c r="EG825" s="89"/>
      <c r="EH825" s="89"/>
      <c r="EI825" s="89"/>
      <c r="EJ825" s="89"/>
      <c r="EK825" s="91"/>
      <c r="EL825" s="66"/>
      <c r="EM825" s="94"/>
      <c r="EN825" s="94"/>
      <c r="EO825" s="92"/>
      <c r="EP825" s="93"/>
      <c r="EQ825" s="23"/>
      <c r="ER825" s="94"/>
      <c r="ES825" s="94"/>
      <c r="ET825" s="94"/>
      <c r="EU825" s="94"/>
      <c r="EV825" s="95"/>
      <c r="EW825" s="91"/>
      <c r="EX825" s="95"/>
      <c r="EY825" s="8"/>
      <c r="EZ825" s="96"/>
      <c r="FA825" s="91"/>
      <c r="FB825" s="97"/>
      <c r="FC825" s="8"/>
      <c r="FD825" s="91"/>
      <c r="FE825" s="98"/>
    </row>
    <row r="826" spans="37:161">
      <c r="AK826" s="89"/>
      <c r="AL826" s="8"/>
      <c r="AM826" s="8"/>
      <c r="AN826" s="8"/>
      <c r="AO826" s="8"/>
      <c r="AP826" s="8"/>
      <c r="AQ826" s="8"/>
      <c r="AR826" s="8"/>
      <c r="AZ826" s="45"/>
      <c r="BA826" s="89"/>
      <c r="BB826" s="89"/>
      <c r="BC826" s="89"/>
      <c r="BD826" s="89"/>
      <c r="BE826" s="89"/>
      <c r="BF826" s="89"/>
      <c r="BG826" s="89"/>
      <c r="BH826" s="89"/>
      <c r="BI826" s="89"/>
      <c r="BJ826" s="89"/>
      <c r="BK826" s="91"/>
      <c r="BL826" s="66"/>
      <c r="BM826" s="94"/>
      <c r="BN826" s="94"/>
      <c r="BO826" s="92"/>
      <c r="BP826" s="93"/>
      <c r="BQ826" s="23"/>
      <c r="BR826" s="94"/>
      <c r="BS826" s="94"/>
      <c r="BT826" s="94"/>
      <c r="BU826" s="94"/>
      <c r="BV826" s="95"/>
      <c r="BW826" s="91"/>
      <c r="BX826" s="95"/>
      <c r="BY826" s="8"/>
      <c r="BZ826" s="96"/>
      <c r="CA826" s="91"/>
      <c r="CB826" s="97"/>
      <c r="CC826" s="8"/>
      <c r="CD826" s="91"/>
      <c r="CE826" s="98"/>
      <c r="DK826" s="89"/>
      <c r="DL826" s="8"/>
      <c r="DM826" s="8"/>
      <c r="DN826" s="8"/>
      <c r="DO826" s="8"/>
      <c r="DP826" s="8"/>
      <c r="DQ826" s="8"/>
      <c r="DR826" s="8"/>
      <c r="DZ826" s="45"/>
      <c r="EA826" s="89"/>
      <c r="EB826" s="89"/>
      <c r="EC826" s="89"/>
      <c r="ED826" s="89"/>
      <c r="EE826" s="89"/>
      <c r="EF826" s="89"/>
      <c r="EG826" s="89"/>
      <c r="EH826" s="89"/>
      <c r="EI826" s="89"/>
      <c r="EJ826" s="89"/>
      <c r="EK826" s="91"/>
      <c r="EL826" s="66"/>
      <c r="EM826" s="94"/>
      <c r="EN826" s="94"/>
      <c r="EO826" s="92"/>
      <c r="EP826" s="93"/>
      <c r="EQ826" s="23"/>
      <c r="ER826" s="94"/>
      <c r="ES826" s="94"/>
      <c r="ET826" s="94"/>
      <c r="EU826" s="94"/>
      <c r="EV826" s="95"/>
      <c r="EW826" s="91"/>
      <c r="EX826" s="95"/>
      <c r="EY826" s="8"/>
      <c r="EZ826" s="96"/>
      <c r="FA826" s="91"/>
      <c r="FB826" s="97"/>
      <c r="FC826" s="8"/>
      <c r="FD826" s="91"/>
      <c r="FE826" s="98"/>
    </row>
    <row r="827" spans="37:161">
      <c r="AK827" s="89"/>
      <c r="AL827" s="8"/>
      <c r="AM827" s="8"/>
      <c r="AN827" s="8"/>
      <c r="AO827" s="8"/>
      <c r="AP827" s="8"/>
      <c r="AQ827" s="8"/>
      <c r="AR827" s="8"/>
      <c r="AZ827" s="45"/>
      <c r="BA827" s="89"/>
      <c r="BB827" s="89"/>
      <c r="BC827" s="89"/>
      <c r="BD827" s="89"/>
      <c r="BE827" s="89"/>
      <c r="BF827" s="89"/>
      <c r="BG827" s="89"/>
      <c r="BH827" s="89"/>
      <c r="BI827" s="89"/>
      <c r="BJ827" s="89"/>
      <c r="BK827" s="91"/>
      <c r="BL827" s="66"/>
      <c r="BM827" s="94"/>
      <c r="BN827" s="94"/>
      <c r="BO827" s="92"/>
      <c r="BP827" s="93"/>
      <c r="BQ827" s="23"/>
      <c r="BR827" s="94"/>
      <c r="BS827" s="94"/>
      <c r="BT827" s="94"/>
      <c r="BU827" s="94"/>
      <c r="BV827" s="95"/>
      <c r="BW827" s="91"/>
      <c r="BX827" s="95"/>
      <c r="BY827" s="8"/>
      <c r="BZ827" s="96"/>
      <c r="CA827" s="91"/>
      <c r="CB827" s="97"/>
      <c r="CC827" s="8"/>
      <c r="CD827" s="91"/>
      <c r="CE827" s="98"/>
      <c r="DK827" s="89"/>
      <c r="DL827" s="8"/>
      <c r="DM827" s="8"/>
      <c r="DN827" s="8"/>
      <c r="DO827" s="8"/>
      <c r="DP827" s="8"/>
      <c r="DQ827" s="8"/>
      <c r="DR827" s="8"/>
      <c r="DZ827" s="45"/>
      <c r="EA827" s="89"/>
      <c r="EB827" s="89"/>
      <c r="EC827" s="89"/>
      <c r="ED827" s="89"/>
      <c r="EE827" s="89"/>
      <c r="EF827" s="89"/>
      <c r="EG827" s="89"/>
      <c r="EH827" s="89"/>
      <c r="EI827" s="89"/>
      <c r="EJ827" s="89"/>
      <c r="EK827" s="91"/>
      <c r="EL827" s="66"/>
      <c r="EM827" s="94"/>
      <c r="EN827" s="94"/>
      <c r="EO827" s="92"/>
      <c r="EP827" s="93"/>
      <c r="EQ827" s="23"/>
      <c r="ER827" s="94"/>
      <c r="ES827" s="94"/>
      <c r="ET827" s="94"/>
      <c r="EU827" s="94"/>
      <c r="EV827" s="95"/>
      <c r="EW827" s="91"/>
      <c r="EX827" s="95"/>
      <c r="EY827" s="8"/>
      <c r="EZ827" s="96"/>
      <c r="FA827" s="91"/>
      <c r="FB827" s="97"/>
      <c r="FC827" s="8"/>
      <c r="FD827" s="91"/>
      <c r="FE827" s="98"/>
    </row>
    <row r="828" spans="37:161">
      <c r="AK828" s="89"/>
      <c r="AL828" s="8"/>
      <c r="AM828" s="8"/>
      <c r="AN828" s="8"/>
      <c r="AO828" s="8"/>
      <c r="AP828" s="8"/>
      <c r="AQ828" s="8"/>
      <c r="AR828" s="8"/>
      <c r="AZ828" s="45"/>
      <c r="BA828" s="89"/>
      <c r="BB828" s="89"/>
      <c r="BC828" s="89"/>
      <c r="BD828" s="89"/>
      <c r="BE828" s="89"/>
      <c r="BF828" s="89"/>
      <c r="BG828" s="89"/>
      <c r="BH828" s="89"/>
      <c r="BI828" s="89"/>
      <c r="BJ828" s="89"/>
      <c r="BK828" s="91"/>
      <c r="BL828" s="66"/>
      <c r="BM828" s="94"/>
      <c r="BN828" s="94"/>
      <c r="BO828" s="92"/>
      <c r="BP828" s="93"/>
      <c r="BQ828" s="23"/>
      <c r="BR828" s="94"/>
      <c r="BS828" s="94"/>
      <c r="BT828" s="94"/>
      <c r="BU828" s="94"/>
      <c r="BV828" s="95"/>
      <c r="BW828" s="91"/>
      <c r="BX828" s="95"/>
      <c r="BY828" s="8"/>
      <c r="BZ828" s="96"/>
      <c r="CA828" s="91"/>
      <c r="CB828" s="97"/>
      <c r="CC828" s="8"/>
      <c r="CD828" s="91"/>
      <c r="CE828" s="98"/>
      <c r="DK828" s="89"/>
      <c r="DL828" s="8"/>
      <c r="DM828" s="8"/>
      <c r="DN828" s="8"/>
      <c r="DO828" s="8"/>
      <c r="DP828" s="8"/>
      <c r="DQ828" s="8"/>
      <c r="DR828" s="8"/>
      <c r="DZ828" s="45"/>
      <c r="EA828" s="89"/>
      <c r="EB828" s="89"/>
      <c r="EC828" s="89"/>
      <c r="ED828" s="89"/>
      <c r="EE828" s="89"/>
      <c r="EF828" s="89"/>
      <c r="EG828" s="89"/>
      <c r="EH828" s="89"/>
      <c r="EI828" s="89"/>
      <c r="EJ828" s="89"/>
      <c r="EK828" s="91"/>
      <c r="EL828" s="66"/>
      <c r="EM828" s="94"/>
      <c r="EN828" s="94"/>
      <c r="EO828" s="92"/>
      <c r="EP828" s="93"/>
      <c r="EQ828" s="23"/>
      <c r="ER828" s="94"/>
      <c r="ES828" s="94"/>
      <c r="ET828" s="94"/>
      <c r="EU828" s="94"/>
      <c r="EV828" s="95"/>
      <c r="EW828" s="91"/>
      <c r="EX828" s="95"/>
      <c r="EY828" s="8"/>
      <c r="EZ828" s="96"/>
      <c r="FA828" s="91"/>
      <c r="FB828" s="97"/>
      <c r="FC828" s="8"/>
      <c r="FD828" s="91"/>
      <c r="FE828" s="98"/>
    </row>
    <row r="829" spans="37:161">
      <c r="AK829" s="89"/>
      <c r="AL829" s="8"/>
      <c r="AM829" s="8"/>
      <c r="AN829" s="8"/>
      <c r="AO829" s="8"/>
      <c r="AP829" s="8"/>
      <c r="AQ829" s="8"/>
      <c r="AR829" s="8"/>
      <c r="AZ829" s="45"/>
      <c r="BA829" s="89"/>
      <c r="BB829" s="89"/>
      <c r="BC829" s="89"/>
      <c r="BD829" s="89"/>
      <c r="BE829" s="89"/>
      <c r="BF829" s="89"/>
      <c r="BG829" s="89"/>
      <c r="BH829" s="89"/>
      <c r="BI829" s="89"/>
      <c r="BJ829" s="89"/>
      <c r="BK829" s="91"/>
      <c r="BL829" s="66"/>
      <c r="BM829" s="94"/>
      <c r="BN829" s="94"/>
      <c r="BO829" s="92"/>
      <c r="BP829" s="93"/>
      <c r="BQ829" s="23"/>
      <c r="BR829" s="94"/>
      <c r="BS829" s="94"/>
      <c r="BT829" s="94"/>
      <c r="BU829" s="94"/>
      <c r="BV829" s="95"/>
      <c r="BW829" s="91"/>
      <c r="BX829" s="95"/>
      <c r="BY829" s="8"/>
      <c r="BZ829" s="96"/>
      <c r="CA829" s="91"/>
      <c r="CB829" s="97"/>
      <c r="CC829" s="8"/>
      <c r="CD829" s="91"/>
      <c r="CE829" s="98"/>
      <c r="DK829" s="89"/>
      <c r="DL829" s="8"/>
      <c r="DM829" s="8"/>
      <c r="DN829" s="8"/>
      <c r="DO829" s="8"/>
      <c r="DP829" s="8"/>
      <c r="DQ829" s="8"/>
      <c r="DR829" s="8"/>
      <c r="DZ829" s="45"/>
      <c r="EA829" s="89"/>
      <c r="EB829" s="89"/>
      <c r="EC829" s="89"/>
      <c r="ED829" s="89"/>
      <c r="EE829" s="89"/>
      <c r="EF829" s="89"/>
      <c r="EG829" s="89"/>
      <c r="EH829" s="89"/>
      <c r="EI829" s="89"/>
      <c r="EJ829" s="89"/>
      <c r="EK829" s="91"/>
      <c r="EL829" s="66"/>
      <c r="EM829" s="94"/>
      <c r="EN829" s="94"/>
      <c r="EO829" s="92"/>
      <c r="EP829" s="93"/>
      <c r="EQ829" s="23"/>
      <c r="ER829" s="94"/>
      <c r="ES829" s="94"/>
      <c r="ET829" s="94"/>
      <c r="EU829" s="94"/>
      <c r="EV829" s="95"/>
      <c r="EW829" s="91"/>
      <c r="EX829" s="95"/>
      <c r="EY829" s="8"/>
      <c r="EZ829" s="96"/>
      <c r="FA829" s="91"/>
      <c r="FB829" s="97"/>
      <c r="FC829" s="8"/>
      <c r="FD829" s="91"/>
      <c r="FE829" s="98"/>
    </row>
    <row r="830" spans="37:161">
      <c r="AK830" s="89"/>
      <c r="AL830" s="8"/>
      <c r="AM830" s="8"/>
      <c r="AN830" s="8"/>
      <c r="AO830" s="8"/>
      <c r="AP830" s="8"/>
      <c r="AQ830" s="8"/>
      <c r="AR830" s="8"/>
      <c r="AZ830" s="45"/>
      <c r="BA830" s="89"/>
      <c r="BB830" s="89"/>
      <c r="BC830" s="89"/>
      <c r="BD830" s="89"/>
      <c r="BE830" s="89"/>
      <c r="BF830" s="89"/>
      <c r="BG830" s="89"/>
      <c r="BH830" s="89"/>
      <c r="BI830" s="89"/>
      <c r="BJ830" s="89"/>
      <c r="BK830" s="91"/>
      <c r="BL830" s="66"/>
      <c r="BM830" s="94"/>
      <c r="BN830" s="94"/>
      <c r="BO830" s="92"/>
      <c r="BP830" s="93"/>
      <c r="BQ830" s="23"/>
      <c r="BR830" s="94"/>
      <c r="BS830" s="94"/>
      <c r="BT830" s="94"/>
      <c r="BU830" s="94"/>
      <c r="BV830" s="95"/>
      <c r="BW830" s="91"/>
      <c r="BX830" s="95"/>
      <c r="BY830" s="8"/>
      <c r="BZ830" s="96"/>
      <c r="CA830" s="91"/>
      <c r="CB830" s="97"/>
      <c r="CC830" s="8"/>
      <c r="CD830" s="91"/>
      <c r="CE830" s="98"/>
      <c r="DK830" s="89"/>
      <c r="DL830" s="8"/>
      <c r="DM830" s="8"/>
      <c r="DN830" s="8"/>
      <c r="DO830" s="8"/>
      <c r="DP830" s="8"/>
      <c r="DQ830" s="8"/>
      <c r="DR830" s="8"/>
      <c r="DZ830" s="45"/>
      <c r="EA830" s="89"/>
      <c r="EB830" s="89"/>
      <c r="EC830" s="89"/>
      <c r="ED830" s="89"/>
      <c r="EE830" s="89"/>
      <c r="EF830" s="89"/>
      <c r="EG830" s="89"/>
      <c r="EH830" s="89"/>
      <c r="EI830" s="89"/>
      <c r="EJ830" s="89"/>
      <c r="EK830" s="91"/>
      <c r="EL830" s="66"/>
      <c r="EM830" s="94"/>
      <c r="EN830" s="94"/>
      <c r="EO830" s="92"/>
      <c r="EP830" s="93"/>
      <c r="EQ830" s="23"/>
      <c r="ER830" s="94"/>
      <c r="ES830" s="94"/>
      <c r="ET830" s="94"/>
      <c r="EU830" s="94"/>
      <c r="EV830" s="95"/>
      <c r="EW830" s="91"/>
      <c r="EX830" s="95"/>
      <c r="EY830" s="8"/>
      <c r="EZ830" s="96"/>
      <c r="FA830" s="91"/>
      <c r="FB830" s="97"/>
      <c r="FC830" s="8"/>
      <c r="FD830" s="91"/>
      <c r="FE830" s="98"/>
    </row>
    <row r="831" spans="37:161">
      <c r="AK831" s="89"/>
      <c r="AL831" s="8"/>
      <c r="AM831" s="8"/>
      <c r="AN831" s="8"/>
      <c r="AO831" s="8"/>
      <c r="AP831" s="8"/>
      <c r="AQ831" s="8"/>
      <c r="AR831" s="8"/>
      <c r="AZ831" s="45"/>
      <c r="BA831" s="89"/>
      <c r="BB831" s="89"/>
      <c r="BC831" s="89"/>
      <c r="BD831" s="89"/>
      <c r="BE831" s="89"/>
      <c r="BF831" s="89"/>
      <c r="BG831" s="89"/>
      <c r="BH831" s="89"/>
      <c r="BI831" s="89"/>
      <c r="BJ831" s="89"/>
      <c r="BK831" s="91"/>
      <c r="BL831" s="66"/>
      <c r="BM831" s="94"/>
      <c r="BN831" s="94"/>
      <c r="BO831" s="92"/>
      <c r="BP831" s="93"/>
      <c r="BQ831" s="23"/>
      <c r="BR831" s="94"/>
      <c r="BS831" s="94"/>
      <c r="BT831" s="94"/>
      <c r="BU831" s="94"/>
      <c r="BV831" s="95"/>
      <c r="BW831" s="91"/>
      <c r="BX831" s="95"/>
      <c r="BY831" s="8"/>
      <c r="BZ831" s="96"/>
      <c r="CA831" s="91"/>
      <c r="CB831" s="97"/>
      <c r="CC831" s="8"/>
      <c r="CD831" s="91"/>
      <c r="CE831" s="98"/>
      <c r="DK831" s="89"/>
      <c r="DL831" s="8"/>
      <c r="DM831" s="8"/>
      <c r="DN831" s="8"/>
      <c r="DO831" s="8"/>
      <c r="DP831" s="8"/>
      <c r="DQ831" s="8"/>
      <c r="DR831" s="8"/>
      <c r="DZ831" s="45"/>
      <c r="EA831" s="89"/>
      <c r="EB831" s="89"/>
      <c r="EC831" s="89"/>
      <c r="ED831" s="89"/>
      <c r="EE831" s="89"/>
      <c r="EF831" s="89"/>
      <c r="EG831" s="89"/>
      <c r="EH831" s="89"/>
      <c r="EI831" s="89"/>
      <c r="EJ831" s="89"/>
      <c r="EK831" s="91"/>
      <c r="EL831" s="66"/>
      <c r="EM831" s="94"/>
      <c r="EN831" s="94"/>
      <c r="EO831" s="92"/>
      <c r="EP831" s="93"/>
      <c r="EQ831" s="23"/>
      <c r="ER831" s="94"/>
      <c r="ES831" s="94"/>
      <c r="ET831" s="94"/>
      <c r="EU831" s="94"/>
      <c r="EV831" s="95"/>
      <c r="EW831" s="91"/>
      <c r="EX831" s="95"/>
      <c r="EY831" s="8"/>
      <c r="EZ831" s="96"/>
      <c r="FA831" s="91"/>
      <c r="FB831" s="97"/>
      <c r="FC831" s="8"/>
      <c r="FD831" s="91"/>
      <c r="FE831" s="98"/>
    </row>
    <row r="832" spans="37:161">
      <c r="AK832" s="89"/>
      <c r="AL832" s="8"/>
      <c r="AM832" s="8"/>
      <c r="AN832" s="8"/>
      <c r="AO832" s="8"/>
      <c r="AP832" s="8"/>
      <c r="AQ832" s="8"/>
      <c r="AR832" s="8"/>
      <c r="AZ832" s="45"/>
      <c r="BA832" s="89"/>
      <c r="BB832" s="89"/>
      <c r="BC832" s="89"/>
      <c r="BD832" s="89"/>
      <c r="BE832" s="89"/>
      <c r="BF832" s="89"/>
      <c r="BG832" s="89"/>
      <c r="BH832" s="89"/>
      <c r="BI832" s="89"/>
      <c r="BJ832" s="89"/>
      <c r="BK832" s="91"/>
      <c r="BL832" s="66"/>
      <c r="BM832" s="94"/>
      <c r="BN832" s="94"/>
      <c r="BO832" s="92"/>
      <c r="BP832" s="93"/>
      <c r="BQ832" s="23"/>
      <c r="BR832" s="94"/>
      <c r="BS832" s="94"/>
      <c r="BT832" s="94"/>
      <c r="BU832" s="94"/>
      <c r="BV832" s="95"/>
      <c r="BW832" s="91"/>
      <c r="BX832" s="95"/>
      <c r="BY832" s="8"/>
      <c r="BZ832" s="96"/>
      <c r="CA832" s="91"/>
      <c r="CB832" s="97"/>
      <c r="CC832" s="8"/>
      <c r="CD832" s="91"/>
      <c r="CE832" s="98"/>
      <c r="DK832" s="89"/>
      <c r="DL832" s="8"/>
      <c r="DM832" s="8"/>
      <c r="DN832" s="8"/>
      <c r="DO832" s="8"/>
      <c r="DP832" s="8"/>
      <c r="DQ832" s="8"/>
      <c r="DR832" s="8"/>
      <c r="DZ832" s="45"/>
      <c r="EA832" s="89"/>
      <c r="EB832" s="89"/>
      <c r="EC832" s="89"/>
      <c r="ED832" s="89"/>
      <c r="EE832" s="89"/>
      <c r="EF832" s="89"/>
      <c r="EG832" s="89"/>
      <c r="EH832" s="89"/>
      <c r="EI832" s="89"/>
      <c r="EJ832" s="89"/>
      <c r="EK832" s="91"/>
      <c r="EL832" s="66"/>
      <c r="EM832" s="94"/>
      <c r="EN832" s="94"/>
      <c r="EO832" s="92"/>
      <c r="EP832" s="93"/>
      <c r="EQ832" s="23"/>
      <c r="ER832" s="94"/>
      <c r="ES832" s="94"/>
      <c r="ET832" s="94"/>
      <c r="EU832" s="94"/>
      <c r="EV832" s="95"/>
      <c r="EW832" s="91"/>
      <c r="EX832" s="95"/>
      <c r="EY832" s="8"/>
      <c r="EZ832" s="96"/>
      <c r="FA832" s="91"/>
      <c r="FB832" s="97"/>
      <c r="FC832" s="8"/>
      <c r="FD832" s="91"/>
      <c r="FE832" s="98"/>
    </row>
    <row r="833" spans="37:161">
      <c r="AK833" s="89"/>
      <c r="AL833" s="8"/>
      <c r="AM833" s="8"/>
      <c r="AN833" s="8"/>
      <c r="AO833" s="8"/>
      <c r="AP833" s="8"/>
      <c r="AQ833" s="8"/>
      <c r="AR833" s="8"/>
      <c r="AZ833" s="45"/>
      <c r="BA833" s="89"/>
      <c r="BB833" s="89"/>
      <c r="BC833" s="89"/>
      <c r="BD833" s="89"/>
      <c r="BE833" s="89"/>
      <c r="BF833" s="89"/>
      <c r="BG833" s="89"/>
      <c r="BH833" s="89"/>
      <c r="BI833" s="89"/>
      <c r="BJ833" s="89"/>
      <c r="BK833" s="91"/>
      <c r="BL833" s="66"/>
      <c r="BM833" s="94"/>
      <c r="BN833" s="94"/>
      <c r="BO833" s="92"/>
      <c r="BP833" s="93"/>
      <c r="BQ833" s="23"/>
      <c r="BR833" s="94"/>
      <c r="BS833" s="94"/>
      <c r="BT833" s="94"/>
      <c r="BU833" s="94"/>
      <c r="BV833" s="95"/>
      <c r="BW833" s="91"/>
      <c r="BX833" s="95"/>
      <c r="BY833" s="8"/>
      <c r="BZ833" s="96"/>
      <c r="CA833" s="91"/>
      <c r="CB833" s="97"/>
      <c r="CC833" s="8"/>
      <c r="CD833" s="91"/>
      <c r="CE833" s="98"/>
      <c r="DK833" s="89"/>
      <c r="DL833" s="8"/>
      <c r="DM833" s="8"/>
      <c r="DN833" s="8"/>
      <c r="DO833" s="8"/>
      <c r="DP833" s="8"/>
      <c r="DQ833" s="8"/>
      <c r="DR833" s="8"/>
      <c r="DZ833" s="45"/>
      <c r="EA833" s="89"/>
      <c r="EB833" s="89"/>
      <c r="EC833" s="89"/>
      <c r="ED833" s="89"/>
      <c r="EE833" s="89"/>
      <c r="EF833" s="89"/>
      <c r="EG833" s="89"/>
      <c r="EH833" s="89"/>
      <c r="EI833" s="89"/>
      <c r="EJ833" s="89"/>
      <c r="EK833" s="91"/>
      <c r="EL833" s="66"/>
      <c r="EM833" s="94"/>
      <c r="EN833" s="94"/>
      <c r="EO833" s="92"/>
      <c r="EP833" s="93"/>
      <c r="EQ833" s="23"/>
      <c r="ER833" s="94"/>
      <c r="ES833" s="94"/>
      <c r="ET833" s="94"/>
      <c r="EU833" s="94"/>
      <c r="EV833" s="95"/>
      <c r="EW833" s="91"/>
      <c r="EX833" s="95"/>
      <c r="EY833" s="8"/>
      <c r="EZ833" s="96"/>
      <c r="FA833" s="91"/>
      <c r="FB833" s="97"/>
      <c r="FC833" s="8"/>
      <c r="FD833" s="91"/>
      <c r="FE833" s="98"/>
    </row>
    <row r="834" spans="37:161">
      <c r="AK834" s="89"/>
      <c r="AL834" s="8"/>
      <c r="AM834" s="8"/>
      <c r="AN834" s="8"/>
      <c r="AO834" s="8"/>
      <c r="AP834" s="8"/>
      <c r="AQ834" s="8"/>
      <c r="AR834" s="8"/>
      <c r="AZ834" s="45"/>
      <c r="BA834" s="89"/>
      <c r="BB834" s="89"/>
      <c r="BC834" s="89"/>
      <c r="BD834" s="89"/>
      <c r="BE834" s="89"/>
      <c r="BF834" s="89"/>
      <c r="BG834" s="89"/>
      <c r="BH834" s="89"/>
      <c r="BI834" s="89"/>
      <c r="BJ834" s="89"/>
      <c r="BK834" s="91"/>
      <c r="BL834" s="66"/>
      <c r="BM834" s="94"/>
      <c r="BN834" s="94"/>
      <c r="BO834" s="92"/>
      <c r="BP834" s="93"/>
      <c r="BQ834" s="23"/>
      <c r="BR834" s="94"/>
      <c r="BS834" s="94"/>
      <c r="BT834" s="94"/>
      <c r="BU834" s="94"/>
      <c r="BV834" s="95"/>
      <c r="BW834" s="91"/>
      <c r="BX834" s="95"/>
      <c r="BY834" s="8"/>
      <c r="BZ834" s="96"/>
      <c r="CA834" s="91"/>
      <c r="CB834" s="97"/>
      <c r="CC834" s="8"/>
      <c r="CD834" s="91"/>
      <c r="CE834" s="98"/>
      <c r="DK834" s="89"/>
      <c r="DL834" s="8"/>
      <c r="DM834" s="8"/>
      <c r="DN834" s="8"/>
      <c r="DO834" s="8"/>
      <c r="DP834" s="8"/>
      <c r="DQ834" s="8"/>
      <c r="DR834" s="8"/>
      <c r="DZ834" s="45"/>
      <c r="EA834" s="89"/>
      <c r="EB834" s="89"/>
      <c r="EC834" s="89"/>
      <c r="ED834" s="89"/>
      <c r="EE834" s="89"/>
      <c r="EF834" s="89"/>
      <c r="EG834" s="89"/>
      <c r="EH834" s="89"/>
      <c r="EI834" s="89"/>
      <c r="EJ834" s="89"/>
      <c r="EK834" s="91"/>
      <c r="EL834" s="66"/>
      <c r="EM834" s="94"/>
      <c r="EN834" s="94"/>
      <c r="EO834" s="92"/>
      <c r="EP834" s="93"/>
      <c r="EQ834" s="23"/>
      <c r="ER834" s="94"/>
      <c r="ES834" s="94"/>
      <c r="ET834" s="94"/>
      <c r="EU834" s="94"/>
      <c r="EV834" s="95"/>
      <c r="EW834" s="91"/>
      <c r="EX834" s="95"/>
      <c r="EY834" s="8"/>
      <c r="EZ834" s="96"/>
      <c r="FA834" s="91"/>
      <c r="FB834" s="97"/>
      <c r="FC834" s="8"/>
      <c r="FD834" s="91"/>
      <c r="FE834" s="98"/>
    </row>
    <row r="835" spans="37:161">
      <c r="AK835" s="89"/>
      <c r="AL835" s="8"/>
      <c r="AM835" s="8"/>
      <c r="AN835" s="8"/>
      <c r="AO835" s="8"/>
      <c r="AP835" s="8"/>
      <c r="AQ835" s="8"/>
      <c r="AR835" s="8"/>
      <c r="AZ835" s="45"/>
      <c r="BA835" s="89"/>
      <c r="BB835" s="89"/>
      <c r="BC835" s="89"/>
      <c r="BD835" s="89"/>
      <c r="BE835" s="89"/>
      <c r="BF835" s="89"/>
      <c r="BG835" s="89"/>
      <c r="BH835" s="89"/>
      <c r="BI835" s="89"/>
      <c r="BJ835" s="89"/>
      <c r="BK835" s="91"/>
      <c r="BL835" s="66"/>
      <c r="BM835" s="94"/>
      <c r="BN835" s="94"/>
      <c r="BO835" s="92"/>
      <c r="BP835" s="93"/>
      <c r="BQ835" s="23"/>
      <c r="BR835" s="94"/>
      <c r="BS835" s="94"/>
      <c r="BT835" s="94"/>
      <c r="BU835" s="94"/>
      <c r="BV835" s="95"/>
      <c r="BW835" s="91"/>
      <c r="BX835" s="95"/>
      <c r="BY835" s="8"/>
      <c r="BZ835" s="96"/>
      <c r="CA835" s="91"/>
      <c r="CB835" s="97"/>
      <c r="CC835" s="8"/>
      <c r="CD835" s="91"/>
      <c r="CE835" s="98"/>
      <c r="DK835" s="89"/>
      <c r="DL835" s="8"/>
      <c r="DM835" s="8"/>
      <c r="DN835" s="8"/>
      <c r="DO835" s="8"/>
      <c r="DP835" s="8"/>
      <c r="DQ835" s="8"/>
      <c r="DR835" s="8"/>
      <c r="DZ835" s="45"/>
      <c r="EA835" s="89"/>
      <c r="EB835" s="89"/>
      <c r="EC835" s="89"/>
      <c r="ED835" s="89"/>
      <c r="EE835" s="89"/>
      <c r="EF835" s="89"/>
      <c r="EG835" s="89"/>
      <c r="EH835" s="89"/>
      <c r="EI835" s="89"/>
      <c r="EJ835" s="89"/>
      <c r="EK835" s="91"/>
      <c r="EL835" s="66"/>
      <c r="EM835" s="94"/>
      <c r="EN835" s="94"/>
      <c r="EO835" s="92"/>
      <c r="EP835" s="93"/>
      <c r="EQ835" s="23"/>
      <c r="ER835" s="94"/>
      <c r="ES835" s="94"/>
      <c r="ET835" s="94"/>
      <c r="EU835" s="94"/>
      <c r="EV835" s="95"/>
      <c r="EW835" s="91"/>
      <c r="EX835" s="95"/>
      <c r="EY835" s="8"/>
      <c r="EZ835" s="96"/>
      <c r="FA835" s="91"/>
      <c r="FB835" s="97"/>
      <c r="FC835" s="8"/>
      <c r="FD835" s="91"/>
      <c r="FE835" s="98"/>
    </row>
    <row r="836" spans="37:161">
      <c r="AK836" s="89"/>
      <c r="AL836" s="8"/>
      <c r="AM836" s="8"/>
      <c r="AN836" s="8"/>
      <c r="AO836" s="8"/>
      <c r="AP836" s="8"/>
      <c r="AQ836" s="8"/>
      <c r="AR836" s="8"/>
      <c r="AZ836" s="45"/>
      <c r="BA836" s="89"/>
      <c r="BB836" s="89"/>
      <c r="BC836" s="89"/>
      <c r="BD836" s="89"/>
      <c r="BE836" s="89"/>
      <c r="BF836" s="89"/>
      <c r="BG836" s="89"/>
      <c r="BH836" s="89"/>
      <c r="BI836" s="89"/>
      <c r="BJ836" s="89"/>
      <c r="BK836" s="91"/>
      <c r="BL836" s="66"/>
      <c r="BM836" s="94"/>
      <c r="BN836" s="94"/>
      <c r="BO836" s="92"/>
      <c r="BP836" s="93"/>
      <c r="BQ836" s="23"/>
      <c r="BR836" s="94"/>
      <c r="BS836" s="94"/>
      <c r="BT836" s="94"/>
      <c r="BU836" s="94"/>
      <c r="BV836" s="95"/>
      <c r="BW836" s="91"/>
      <c r="BX836" s="95"/>
      <c r="BY836" s="8"/>
      <c r="BZ836" s="96"/>
      <c r="CA836" s="91"/>
      <c r="CB836" s="97"/>
      <c r="CC836" s="8"/>
      <c r="CD836" s="91"/>
      <c r="CE836" s="98"/>
      <c r="DK836" s="89"/>
      <c r="DL836" s="8"/>
      <c r="DM836" s="8"/>
      <c r="DN836" s="8"/>
      <c r="DO836" s="8"/>
      <c r="DP836" s="8"/>
      <c r="DQ836" s="8"/>
      <c r="DR836" s="8"/>
      <c r="DZ836" s="45"/>
      <c r="EA836" s="89"/>
      <c r="EB836" s="89"/>
      <c r="EC836" s="89"/>
      <c r="ED836" s="89"/>
      <c r="EE836" s="89"/>
      <c r="EF836" s="89"/>
      <c r="EG836" s="89"/>
      <c r="EH836" s="89"/>
      <c r="EI836" s="89"/>
      <c r="EJ836" s="89"/>
      <c r="EK836" s="91"/>
      <c r="EL836" s="66"/>
      <c r="EM836" s="94"/>
      <c r="EN836" s="94"/>
      <c r="EO836" s="92"/>
      <c r="EP836" s="93"/>
      <c r="EQ836" s="23"/>
      <c r="ER836" s="94"/>
      <c r="ES836" s="94"/>
      <c r="ET836" s="94"/>
      <c r="EU836" s="94"/>
      <c r="EV836" s="95"/>
      <c r="EW836" s="91"/>
      <c r="EX836" s="95"/>
      <c r="EY836" s="8"/>
      <c r="EZ836" s="96"/>
      <c r="FA836" s="91"/>
      <c r="FB836" s="97"/>
      <c r="FC836" s="8"/>
      <c r="FD836" s="91"/>
      <c r="FE836" s="98"/>
    </row>
    <row r="837" spans="37:161">
      <c r="AK837" s="89"/>
      <c r="AL837" s="8"/>
      <c r="AM837" s="8"/>
      <c r="AN837" s="8"/>
      <c r="AO837" s="8"/>
      <c r="AP837" s="8"/>
      <c r="AQ837" s="8"/>
      <c r="AR837" s="8"/>
      <c r="AZ837" s="45"/>
      <c r="BA837" s="89"/>
      <c r="BB837" s="89"/>
      <c r="BC837" s="89"/>
      <c r="BD837" s="89"/>
      <c r="BE837" s="89"/>
      <c r="BF837" s="89"/>
      <c r="BG837" s="89"/>
      <c r="BH837" s="89"/>
      <c r="BI837" s="89"/>
      <c r="BJ837" s="89"/>
      <c r="BK837" s="91"/>
      <c r="BL837" s="66"/>
      <c r="BM837" s="94"/>
      <c r="BN837" s="94"/>
      <c r="BO837" s="92"/>
      <c r="BP837" s="93"/>
      <c r="BQ837" s="23"/>
      <c r="BR837" s="94"/>
      <c r="BS837" s="94"/>
      <c r="BT837" s="94"/>
      <c r="BU837" s="94"/>
      <c r="BV837" s="95"/>
      <c r="BW837" s="91"/>
      <c r="BX837" s="95"/>
      <c r="BY837" s="8"/>
      <c r="BZ837" s="96"/>
      <c r="CA837" s="91"/>
      <c r="CB837" s="97"/>
      <c r="CC837" s="8"/>
      <c r="CD837" s="91"/>
      <c r="CE837" s="98"/>
      <c r="DK837" s="89"/>
      <c r="DL837" s="8"/>
      <c r="DM837" s="8"/>
      <c r="DN837" s="8"/>
      <c r="DO837" s="8"/>
      <c r="DP837" s="8"/>
      <c r="DQ837" s="8"/>
      <c r="DR837" s="8"/>
      <c r="DZ837" s="45"/>
      <c r="EA837" s="89"/>
      <c r="EB837" s="89"/>
      <c r="EC837" s="89"/>
      <c r="ED837" s="89"/>
      <c r="EE837" s="89"/>
      <c r="EF837" s="89"/>
      <c r="EG837" s="89"/>
      <c r="EH837" s="89"/>
      <c r="EI837" s="89"/>
      <c r="EJ837" s="89"/>
      <c r="EK837" s="91"/>
      <c r="EL837" s="66"/>
      <c r="EM837" s="94"/>
      <c r="EN837" s="94"/>
      <c r="EO837" s="92"/>
      <c r="EP837" s="93"/>
      <c r="EQ837" s="23"/>
      <c r="ER837" s="94"/>
      <c r="ES837" s="94"/>
      <c r="ET837" s="94"/>
      <c r="EU837" s="94"/>
      <c r="EV837" s="95"/>
      <c r="EW837" s="91"/>
      <c r="EX837" s="95"/>
      <c r="EY837" s="8"/>
      <c r="EZ837" s="96"/>
      <c r="FA837" s="91"/>
      <c r="FB837" s="97"/>
      <c r="FC837" s="8"/>
      <c r="FD837" s="91"/>
      <c r="FE837" s="98"/>
    </row>
    <row r="838" spans="37:161">
      <c r="AK838" s="89"/>
      <c r="AL838" s="8"/>
      <c r="AM838" s="8"/>
      <c r="AN838" s="8"/>
      <c r="AO838" s="8"/>
      <c r="AP838" s="8"/>
      <c r="AQ838" s="8"/>
      <c r="AR838" s="8"/>
      <c r="AZ838" s="45"/>
      <c r="BA838" s="89"/>
      <c r="BB838" s="89"/>
      <c r="BC838" s="89"/>
      <c r="BD838" s="89"/>
      <c r="BE838" s="89"/>
      <c r="BF838" s="89"/>
      <c r="BG838" s="89"/>
      <c r="BH838" s="89"/>
      <c r="BI838" s="89"/>
      <c r="BJ838" s="89"/>
      <c r="BK838" s="91"/>
      <c r="BL838" s="66"/>
      <c r="BM838" s="94"/>
      <c r="BN838" s="94"/>
      <c r="BO838" s="92"/>
      <c r="BP838" s="93"/>
      <c r="BQ838" s="23"/>
      <c r="BR838" s="94"/>
      <c r="BS838" s="94"/>
      <c r="BT838" s="94"/>
      <c r="BU838" s="94"/>
      <c r="BV838" s="95"/>
      <c r="BW838" s="91"/>
      <c r="BX838" s="95"/>
      <c r="BY838" s="8"/>
      <c r="BZ838" s="96"/>
      <c r="CA838" s="91"/>
      <c r="CB838" s="97"/>
      <c r="CC838" s="8"/>
      <c r="CD838" s="91"/>
      <c r="CE838" s="98"/>
      <c r="DK838" s="89"/>
      <c r="DL838" s="8"/>
      <c r="DM838" s="8"/>
      <c r="DN838" s="8"/>
      <c r="DO838" s="8"/>
      <c r="DP838" s="8"/>
      <c r="DQ838" s="8"/>
      <c r="DR838" s="8"/>
      <c r="DZ838" s="45"/>
      <c r="EA838" s="89"/>
      <c r="EB838" s="89"/>
      <c r="EC838" s="89"/>
      <c r="ED838" s="89"/>
      <c r="EE838" s="89"/>
      <c r="EF838" s="89"/>
      <c r="EG838" s="89"/>
      <c r="EH838" s="89"/>
      <c r="EI838" s="89"/>
      <c r="EJ838" s="89"/>
      <c r="EK838" s="91"/>
      <c r="EL838" s="66"/>
      <c r="EM838" s="94"/>
      <c r="EN838" s="94"/>
      <c r="EO838" s="92"/>
      <c r="EP838" s="93"/>
      <c r="EQ838" s="23"/>
      <c r="ER838" s="94"/>
      <c r="ES838" s="94"/>
      <c r="ET838" s="94"/>
      <c r="EU838" s="94"/>
      <c r="EV838" s="95"/>
      <c r="EW838" s="91"/>
      <c r="EX838" s="95"/>
      <c r="EY838" s="8"/>
      <c r="EZ838" s="96"/>
      <c r="FA838" s="91"/>
      <c r="FB838" s="97"/>
      <c r="FC838" s="8"/>
      <c r="FD838" s="91"/>
      <c r="FE838" s="98"/>
    </row>
    <row r="839" spans="37:161">
      <c r="AK839" s="89"/>
      <c r="AL839" s="8"/>
      <c r="AM839" s="8"/>
      <c r="AN839" s="8"/>
      <c r="AO839" s="8"/>
      <c r="AP839" s="8"/>
      <c r="AQ839" s="8"/>
      <c r="AR839" s="8"/>
      <c r="AZ839" s="45"/>
      <c r="BA839" s="89"/>
      <c r="BB839" s="89"/>
      <c r="BC839" s="89"/>
      <c r="BD839" s="89"/>
      <c r="BE839" s="89"/>
      <c r="BF839" s="89"/>
      <c r="BG839" s="89"/>
      <c r="BH839" s="89"/>
      <c r="BI839" s="89"/>
      <c r="BJ839" s="89"/>
      <c r="BK839" s="91"/>
      <c r="BL839" s="66"/>
      <c r="BM839" s="94"/>
      <c r="BN839" s="94"/>
      <c r="BO839" s="92"/>
      <c r="BP839" s="93"/>
      <c r="BQ839" s="23"/>
      <c r="BR839" s="94"/>
      <c r="BS839" s="94"/>
      <c r="BT839" s="94"/>
      <c r="BU839" s="94"/>
      <c r="BV839" s="95"/>
      <c r="BW839" s="91"/>
      <c r="BX839" s="95"/>
      <c r="BY839" s="8"/>
      <c r="BZ839" s="96"/>
      <c r="CA839" s="91"/>
      <c r="CB839" s="97"/>
      <c r="CC839" s="8"/>
      <c r="CD839" s="91"/>
      <c r="CE839" s="98"/>
      <c r="DK839" s="89"/>
      <c r="DL839" s="8"/>
      <c r="DM839" s="8"/>
      <c r="DN839" s="8"/>
      <c r="DO839" s="8"/>
      <c r="DP839" s="8"/>
      <c r="DQ839" s="8"/>
      <c r="DR839" s="8"/>
      <c r="DZ839" s="45"/>
      <c r="EA839" s="89"/>
      <c r="EB839" s="89"/>
      <c r="EC839" s="89"/>
      <c r="ED839" s="89"/>
      <c r="EE839" s="89"/>
      <c r="EF839" s="89"/>
      <c r="EG839" s="89"/>
      <c r="EH839" s="89"/>
      <c r="EI839" s="89"/>
      <c r="EJ839" s="89"/>
      <c r="EK839" s="91"/>
      <c r="EL839" s="66"/>
      <c r="EM839" s="94"/>
      <c r="EN839" s="94"/>
      <c r="EO839" s="92"/>
      <c r="EP839" s="93"/>
      <c r="EQ839" s="23"/>
      <c r="ER839" s="94"/>
      <c r="ES839" s="94"/>
      <c r="ET839" s="94"/>
      <c r="EU839" s="94"/>
      <c r="EV839" s="95"/>
      <c r="EW839" s="91"/>
      <c r="EX839" s="95"/>
      <c r="EY839" s="8"/>
      <c r="EZ839" s="96"/>
      <c r="FA839" s="91"/>
      <c r="FB839" s="97"/>
      <c r="FC839" s="8"/>
      <c r="FD839" s="91"/>
      <c r="FE839" s="98"/>
    </row>
    <row r="840" spans="37:161">
      <c r="AK840" s="89"/>
      <c r="AL840" s="8"/>
      <c r="AM840" s="8"/>
      <c r="AN840" s="8"/>
      <c r="AO840" s="8"/>
      <c r="AP840" s="8"/>
      <c r="AQ840" s="8"/>
      <c r="AR840" s="8"/>
      <c r="AZ840" s="45"/>
      <c r="BA840" s="89"/>
      <c r="BB840" s="89"/>
      <c r="BC840" s="89"/>
      <c r="BD840" s="89"/>
      <c r="BE840" s="89"/>
      <c r="BF840" s="89"/>
      <c r="BG840" s="89"/>
      <c r="BH840" s="89"/>
      <c r="BI840" s="89"/>
      <c r="BJ840" s="89"/>
      <c r="BK840" s="91"/>
      <c r="BL840" s="66"/>
      <c r="BM840" s="94"/>
      <c r="BN840" s="94"/>
      <c r="BO840" s="92"/>
      <c r="BP840" s="93"/>
      <c r="BQ840" s="23"/>
      <c r="BR840" s="94"/>
      <c r="BS840" s="94"/>
      <c r="BT840" s="94"/>
      <c r="BU840" s="94"/>
      <c r="BV840" s="95"/>
      <c r="BW840" s="91"/>
      <c r="BX840" s="95"/>
      <c r="BY840" s="8"/>
      <c r="BZ840" s="96"/>
      <c r="CA840" s="91"/>
      <c r="CB840" s="97"/>
      <c r="CC840" s="8"/>
      <c r="CD840" s="91"/>
      <c r="CE840" s="98"/>
      <c r="DK840" s="89"/>
      <c r="DL840" s="8"/>
      <c r="DM840" s="8"/>
      <c r="DN840" s="8"/>
      <c r="DO840" s="8"/>
      <c r="DP840" s="8"/>
      <c r="DQ840" s="8"/>
      <c r="DR840" s="8"/>
      <c r="DZ840" s="45"/>
      <c r="EA840" s="89"/>
      <c r="EB840" s="89"/>
      <c r="EC840" s="89"/>
      <c r="ED840" s="89"/>
      <c r="EE840" s="89"/>
      <c r="EF840" s="89"/>
      <c r="EG840" s="89"/>
      <c r="EH840" s="89"/>
      <c r="EI840" s="89"/>
      <c r="EJ840" s="89"/>
      <c r="EK840" s="91"/>
      <c r="EL840" s="66"/>
      <c r="EM840" s="94"/>
      <c r="EN840" s="94"/>
      <c r="EO840" s="92"/>
      <c r="EP840" s="93"/>
      <c r="EQ840" s="23"/>
      <c r="ER840" s="94"/>
      <c r="ES840" s="94"/>
      <c r="ET840" s="94"/>
      <c r="EU840" s="94"/>
      <c r="EV840" s="95"/>
      <c r="EW840" s="91"/>
      <c r="EX840" s="95"/>
      <c r="EY840" s="8"/>
      <c r="EZ840" s="96"/>
      <c r="FA840" s="91"/>
      <c r="FB840" s="97"/>
      <c r="FC840" s="8"/>
      <c r="FD840" s="91"/>
      <c r="FE840" s="98"/>
    </row>
    <row r="841" spans="37:161">
      <c r="AK841" s="89"/>
      <c r="AL841" s="8"/>
      <c r="AM841" s="8"/>
      <c r="AN841" s="8"/>
      <c r="AO841" s="8"/>
      <c r="AP841" s="8"/>
      <c r="AQ841" s="8"/>
      <c r="AR841" s="8"/>
      <c r="AZ841" s="45"/>
      <c r="BA841" s="89"/>
      <c r="BB841" s="89"/>
      <c r="BC841" s="89"/>
      <c r="BD841" s="89"/>
      <c r="BE841" s="89"/>
      <c r="BF841" s="89"/>
      <c r="BG841" s="89"/>
      <c r="BH841" s="89"/>
      <c r="BI841" s="89"/>
      <c r="BJ841" s="89"/>
      <c r="BK841" s="91"/>
      <c r="BL841" s="66"/>
      <c r="BM841" s="94"/>
      <c r="BN841" s="94"/>
      <c r="BO841" s="92"/>
      <c r="BP841" s="93"/>
      <c r="BQ841" s="23"/>
      <c r="BR841" s="94"/>
      <c r="BS841" s="94"/>
      <c r="BT841" s="94"/>
      <c r="BU841" s="94"/>
      <c r="BV841" s="95"/>
      <c r="BW841" s="91"/>
      <c r="BX841" s="95"/>
      <c r="BY841" s="8"/>
      <c r="BZ841" s="96"/>
      <c r="CA841" s="91"/>
      <c r="CB841" s="97"/>
      <c r="CC841" s="8"/>
      <c r="CD841" s="91"/>
      <c r="CE841" s="98"/>
      <c r="DK841" s="89"/>
      <c r="DL841" s="8"/>
      <c r="DM841" s="8"/>
      <c r="DN841" s="8"/>
      <c r="DO841" s="8"/>
      <c r="DP841" s="8"/>
      <c r="DQ841" s="8"/>
      <c r="DR841" s="8"/>
      <c r="DZ841" s="45"/>
      <c r="EA841" s="89"/>
      <c r="EB841" s="89"/>
      <c r="EC841" s="89"/>
      <c r="ED841" s="89"/>
      <c r="EE841" s="89"/>
      <c r="EF841" s="89"/>
      <c r="EG841" s="89"/>
      <c r="EH841" s="89"/>
      <c r="EI841" s="89"/>
      <c r="EJ841" s="89"/>
      <c r="EK841" s="91"/>
      <c r="EL841" s="66"/>
      <c r="EM841" s="94"/>
      <c r="EN841" s="94"/>
      <c r="EO841" s="92"/>
      <c r="EP841" s="93"/>
      <c r="EQ841" s="23"/>
      <c r="ER841" s="94"/>
      <c r="ES841" s="94"/>
      <c r="ET841" s="94"/>
      <c r="EU841" s="94"/>
      <c r="EV841" s="95"/>
      <c r="EW841" s="91"/>
      <c r="EX841" s="95"/>
      <c r="EY841" s="8"/>
      <c r="EZ841" s="96"/>
      <c r="FA841" s="91"/>
      <c r="FB841" s="97"/>
      <c r="FC841" s="8"/>
      <c r="FD841" s="91"/>
      <c r="FE841" s="98"/>
    </row>
    <row r="842" spans="37:161">
      <c r="AK842" s="89"/>
      <c r="AL842" s="8"/>
      <c r="AM842" s="8"/>
      <c r="AN842" s="8"/>
      <c r="AO842" s="8"/>
      <c r="AP842" s="8"/>
      <c r="AQ842" s="8"/>
      <c r="AR842" s="8"/>
      <c r="AZ842" s="45"/>
      <c r="BA842" s="89"/>
      <c r="BB842" s="89"/>
      <c r="BC842" s="89"/>
      <c r="BD842" s="89"/>
      <c r="BE842" s="89"/>
      <c r="BF842" s="89"/>
      <c r="BG842" s="89"/>
      <c r="BH842" s="89"/>
      <c r="BI842" s="89"/>
      <c r="BJ842" s="89"/>
      <c r="BK842" s="91"/>
      <c r="BL842" s="66"/>
      <c r="BM842" s="94"/>
      <c r="BN842" s="94"/>
      <c r="BO842" s="92"/>
      <c r="BP842" s="93"/>
      <c r="BQ842" s="23"/>
      <c r="BR842" s="94"/>
      <c r="BS842" s="94"/>
      <c r="BT842" s="94"/>
      <c r="BU842" s="94"/>
      <c r="BV842" s="95"/>
      <c r="BW842" s="91"/>
      <c r="BX842" s="95"/>
      <c r="BY842" s="8"/>
      <c r="BZ842" s="96"/>
      <c r="CA842" s="91"/>
      <c r="CB842" s="97"/>
      <c r="CC842" s="8"/>
      <c r="CD842" s="91"/>
      <c r="CE842" s="98"/>
      <c r="DK842" s="89"/>
      <c r="DL842" s="8"/>
      <c r="DM842" s="8"/>
      <c r="DN842" s="8"/>
      <c r="DO842" s="8"/>
      <c r="DP842" s="8"/>
      <c r="DQ842" s="8"/>
      <c r="DR842" s="8"/>
      <c r="DZ842" s="45"/>
      <c r="EA842" s="89"/>
      <c r="EB842" s="89"/>
      <c r="EC842" s="89"/>
      <c r="ED842" s="89"/>
      <c r="EE842" s="89"/>
      <c r="EF842" s="89"/>
      <c r="EG842" s="89"/>
      <c r="EH842" s="89"/>
      <c r="EI842" s="89"/>
      <c r="EJ842" s="89"/>
      <c r="EK842" s="91"/>
      <c r="EL842" s="66"/>
      <c r="EM842" s="94"/>
      <c r="EN842" s="94"/>
      <c r="EO842" s="92"/>
      <c r="EP842" s="93"/>
      <c r="EQ842" s="23"/>
      <c r="ER842" s="94"/>
      <c r="ES842" s="94"/>
      <c r="ET842" s="94"/>
      <c r="EU842" s="94"/>
      <c r="EV842" s="95"/>
      <c r="EW842" s="91"/>
      <c r="EX842" s="95"/>
      <c r="EY842" s="8"/>
      <c r="EZ842" s="96"/>
      <c r="FA842" s="91"/>
      <c r="FB842" s="97"/>
      <c r="FC842" s="8"/>
      <c r="FD842" s="91"/>
      <c r="FE842" s="98"/>
    </row>
    <row r="843" spans="37:161">
      <c r="AK843" s="89"/>
      <c r="AL843" s="8"/>
      <c r="AM843" s="8"/>
      <c r="AN843" s="8"/>
      <c r="AO843" s="8"/>
      <c r="AP843" s="8"/>
      <c r="AQ843" s="8"/>
      <c r="AR843" s="8"/>
      <c r="AZ843" s="45"/>
      <c r="BA843" s="89"/>
      <c r="BB843" s="89"/>
      <c r="BC843" s="89"/>
      <c r="BD843" s="89"/>
      <c r="BE843" s="89"/>
      <c r="BF843" s="89"/>
      <c r="BG843" s="89"/>
      <c r="BH843" s="89"/>
      <c r="BI843" s="89"/>
      <c r="BJ843" s="89"/>
      <c r="BK843" s="91"/>
      <c r="BL843" s="66"/>
      <c r="BM843" s="94"/>
      <c r="BN843" s="94"/>
      <c r="BO843" s="92"/>
      <c r="BP843" s="93"/>
      <c r="BQ843" s="23"/>
      <c r="BR843" s="94"/>
      <c r="BS843" s="94"/>
      <c r="BT843" s="94"/>
      <c r="BU843" s="94"/>
      <c r="BV843" s="95"/>
      <c r="BW843" s="91"/>
      <c r="BX843" s="95"/>
      <c r="BY843" s="8"/>
      <c r="BZ843" s="96"/>
      <c r="CA843" s="91"/>
      <c r="CB843" s="97"/>
      <c r="CC843" s="8"/>
      <c r="CD843" s="91"/>
      <c r="CE843" s="98"/>
      <c r="DK843" s="89"/>
      <c r="DL843" s="8"/>
      <c r="DM843" s="8"/>
      <c r="DN843" s="8"/>
      <c r="DO843" s="8"/>
      <c r="DP843" s="8"/>
      <c r="DQ843" s="8"/>
      <c r="DR843" s="8"/>
      <c r="DZ843" s="45"/>
      <c r="EA843" s="89"/>
      <c r="EB843" s="89"/>
      <c r="EC843" s="89"/>
      <c r="ED843" s="89"/>
      <c r="EE843" s="89"/>
      <c r="EF843" s="89"/>
      <c r="EG843" s="89"/>
      <c r="EH843" s="89"/>
      <c r="EI843" s="89"/>
      <c r="EJ843" s="89"/>
      <c r="EK843" s="91"/>
      <c r="EL843" s="66"/>
      <c r="EM843" s="94"/>
      <c r="EN843" s="94"/>
      <c r="EO843" s="92"/>
      <c r="EP843" s="93"/>
      <c r="EQ843" s="23"/>
      <c r="ER843" s="94"/>
      <c r="ES843" s="94"/>
      <c r="ET843" s="94"/>
      <c r="EU843" s="94"/>
      <c r="EV843" s="95"/>
      <c r="EW843" s="91"/>
      <c r="EX843" s="95"/>
      <c r="EY843" s="8"/>
      <c r="EZ843" s="96"/>
      <c r="FA843" s="91"/>
      <c r="FB843" s="97"/>
      <c r="FC843" s="8"/>
      <c r="FD843" s="91"/>
      <c r="FE843" s="98"/>
    </row>
    <row r="844" spans="37:161">
      <c r="AK844" s="89"/>
      <c r="AL844" s="8"/>
      <c r="AM844" s="8"/>
      <c r="AN844" s="8"/>
      <c r="AO844" s="8"/>
      <c r="AP844" s="8"/>
      <c r="AQ844" s="8"/>
      <c r="AR844" s="8"/>
      <c r="AZ844" s="45"/>
      <c r="BA844" s="89"/>
      <c r="BB844" s="89"/>
      <c r="BC844" s="89"/>
      <c r="BD844" s="89"/>
      <c r="BE844" s="89"/>
      <c r="BF844" s="89"/>
      <c r="BG844" s="89"/>
      <c r="BH844" s="89"/>
      <c r="BI844" s="89"/>
      <c r="BJ844" s="89"/>
      <c r="BK844" s="91"/>
      <c r="BL844" s="66"/>
      <c r="BM844" s="94"/>
      <c r="BN844" s="94"/>
      <c r="BO844" s="92"/>
      <c r="BP844" s="93"/>
      <c r="BQ844" s="23"/>
      <c r="BR844" s="94"/>
      <c r="BS844" s="94"/>
      <c r="BT844" s="94"/>
      <c r="BU844" s="94"/>
      <c r="BV844" s="95"/>
      <c r="BW844" s="91"/>
      <c r="BX844" s="95"/>
      <c r="BY844" s="8"/>
      <c r="BZ844" s="96"/>
      <c r="CA844" s="91"/>
      <c r="CB844" s="97"/>
      <c r="CC844" s="8"/>
      <c r="CD844" s="91"/>
      <c r="CE844" s="98"/>
      <c r="DK844" s="89"/>
      <c r="DL844" s="8"/>
      <c r="DM844" s="8"/>
      <c r="DN844" s="8"/>
      <c r="DO844" s="8"/>
      <c r="DP844" s="8"/>
      <c r="DQ844" s="8"/>
      <c r="DR844" s="8"/>
      <c r="DZ844" s="45"/>
      <c r="EA844" s="89"/>
      <c r="EB844" s="89"/>
      <c r="EC844" s="89"/>
      <c r="ED844" s="89"/>
      <c r="EE844" s="89"/>
      <c r="EF844" s="89"/>
      <c r="EG844" s="89"/>
      <c r="EH844" s="89"/>
      <c r="EI844" s="89"/>
      <c r="EJ844" s="89"/>
      <c r="EK844" s="91"/>
      <c r="EL844" s="66"/>
      <c r="EM844" s="94"/>
      <c r="EN844" s="94"/>
      <c r="EO844" s="92"/>
      <c r="EP844" s="93"/>
      <c r="EQ844" s="23"/>
      <c r="ER844" s="94"/>
      <c r="ES844" s="94"/>
      <c r="ET844" s="94"/>
      <c r="EU844" s="94"/>
      <c r="EV844" s="95"/>
      <c r="EW844" s="91"/>
      <c r="EX844" s="95"/>
      <c r="EY844" s="8"/>
      <c r="EZ844" s="96"/>
      <c r="FA844" s="91"/>
      <c r="FB844" s="97"/>
      <c r="FC844" s="8"/>
      <c r="FD844" s="91"/>
      <c r="FE844" s="98"/>
    </row>
    <row r="845" spans="37:161">
      <c r="AK845" s="89"/>
      <c r="AL845" s="8"/>
      <c r="AM845" s="8"/>
      <c r="AN845" s="8"/>
      <c r="AO845" s="8"/>
      <c r="AP845" s="8"/>
      <c r="AQ845" s="8"/>
      <c r="AR845" s="8"/>
      <c r="AZ845" s="45"/>
      <c r="BA845" s="89"/>
      <c r="BB845" s="89"/>
      <c r="BC845" s="89"/>
      <c r="BD845" s="89"/>
      <c r="BE845" s="89"/>
      <c r="BF845" s="89"/>
      <c r="BG845" s="89"/>
      <c r="BH845" s="89"/>
      <c r="BI845" s="89"/>
      <c r="BJ845" s="89"/>
      <c r="BK845" s="91"/>
      <c r="BL845" s="66"/>
      <c r="BM845" s="94"/>
      <c r="BN845" s="94"/>
      <c r="BO845" s="92"/>
      <c r="BP845" s="93"/>
      <c r="BQ845" s="23"/>
      <c r="BR845" s="94"/>
      <c r="BS845" s="94"/>
      <c r="BT845" s="94"/>
      <c r="BU845" s="94"/>
      <c r="BV845" s="95"/>
      <c r="BW845" s="91"/>
      <c r="BX845" s="95"/>
      <c r="BY845" s="8"/>
      <c r="BZ845" s="96"/>
      <c r="CA845" s="91"/>
      <c r="CB845" s="97"/>
      <c r="CC845" s="8"/>
      <c r="CD845" s="91"/>
      <c r="CE845" s="98"/>
      <c r="DK845" s="89"/>
      <c r="DL845" s="8"/>
      <c r="DM845" s="8"/>
      <c r="DN845" s="8"/>
      <c r="DO845" s="8"/>
      <c r="DP845" s="8"/>
      <c r="DQ845" s="8"/>
      <c r="DR845" s="8"/>
      <c r="DZ845" s="45"/>
      <c r="EA845" s="89"/>
      <c r="EB845" s="89"/>
      <c r="EC845" s="89"/>
      <c r="ED845" s="89"/>
      <c r="EE845" s="89"/>
      <c r="EF845" s="89"/>
      <c r="EG845" s="89"/>
      <c r="EH845" s="89"/>
      <c r="EI845" s="89"/>
      <c r="EJ845" s="89"/>
      <c r="EK845" s="91"/>
      <c r="EL845" s="66"/>
      <c r="EM845" s="94"/>
      <c r="EN845" s="94"/>
      <c r="EO845" s="92"/>
      <c r="EP845" s="93"/>
      <c r="EQ845" s="23"/>
      <c r="ER845" s="94"/>
      <c r="ES845" s="94"/>
      <c r="ET845" s="94"/>
      <c r="EU845" s="94"/>
      <c r="EV845" s="95"/>
      <c r="EW845" s="91"/>
      <c r="EX845" s="95"/>
      <c r="EY845" s="8"/>
      <c r="EZ845" s="96"/>
      <c r="FA845" s="91"/>
      <c r="FB845" s="97"/>
      <c r="FC845" s="8"/>
      <c r="FD845" s="91"/>
      <c r="FE845" s="98"/>
    </row>
    <row r="846" spans="37:161">
      <c r="AK846" s="89"/>
      <c r="AL846" s="8"/>
      <c r="AM846" s="8"/>
      <c r="AN846" s="8"/>
      <c r="AO846" s="8"/>
      <c r="AP846" s="8"/>
      <c r="AQ846" s="8"/>
      <c r="AR846" s="8"/>
      <c r="AZ846" s="45"/>
      <c r="BA846" s="89"/>
      <c r="BB846" s="89"/>
      <c r="BC846" s="89"/>
      <c r="BD846" s="89"/>
      <c r="BE846" s="89"/>
      <c r="BF846" s="89"/>
      <c r="BG846" s="89"/>
      <c r="BH846" s="89"/>
      <c r="BI846" s="89"/>
      <c r="BJ846" s="89"/>
      <c r="BK846" s="91"/>
      <c r="BL846" s="66"/>
      <c r="BM846" s="94"/>
      <c r="BN846" s="94"/>
      <c r="BO846" s="92"/>
      <c r="BP846" s="93"/>
      <c r="BQ846" s="23"/>
      <c r="BR846" s="94"/>
      <c r="BS846" s="94"/>
      <c r="BT846" s="94"/>
      <c r="BU846" s="94"/>
      <c r="BV846" s="95"/>
      <c r="BW846" s="91"/>
      <c r="BX846" s="95"/>
      <c r="BY846" s="8"/>
      <c r="BZ846" s="96"/>
      <c r="CA846" s="91"/>
      <c r="CB846" s="97"/>
      <c r="CC846" s="8"/>
      <c r="CD846" s="91"/>
      <c r="CE846" s="98"/>
      <c r="DK846" s="89"/>
      <c r="DL846" s="8"/>
      <c r="DM846" s="8"/>
      <c r="DN846" s="8"/>
      <c r="DO846" s="8"/>
      <c r="DP846" s="8"/>
      <c r="DQ846" s="8"/>
      <c r="DR846" s="8"/>
      <c r="DZ846" s="45"/>
      <c r="EA846" s="89"/>
      <c r="EB846" s="89"/>
      <c r="EC846" s="89"/>
      <c r="ED846" s="89"/>
      <c r="EE846" s="89"/>
      <c r="EF846" s="89"/>
      <c r="EG846" s="89"/>
      <c r="EH846" s="89"/>
      <c r="EI846" s="89"/>
      <c r="EJ846" s="89"/>
      <c r="EK846" s="91"/>
      <c r="EL846" s="66"/>
      <c r="EM846" s="94"/>
      <c r="EN846" s="94"/>
      <c r="EO846" s="92"/>
      <c r="EP846" s="93"/>
      <c r="EQ846" s="23"/>
      <c r="ER846" s="94"/>
      <c r="ES846" s="94"/>
      <c r="ET846" s="94"/>
      <c r="EU846" s="94"/>
      <c r="EV846" s="95"/>
      <c r="EW846" s="91"/>
      <c r="EX846" s="95"/>
      <c r="EY846" s="8"/>
      <c r="EZ846" s="96"/>
      <c r="FA846" s="91"/>
      <c r="FB846" s="97"/>
      <c r="FC846" s="8"/>
      <c r="FD846" s="91"/>
      <c r="FE846" s="98"/>
    </row>
    <row r="847" spans="37:161">
      <c r="AK847" s="89"/>
      <c r="AL847" s="8"/>
      <c r="AM847" s="8"/>
      <c r="AN847" s="8"/>
      <c r="AO847" s="8"/>
      <c r="AP847" s="8"/>
      <c r="AQ847" s="8"/>
      <c r="AR847" s="8"/>
      <c r="AZ847" s="45"/>
      <c r="BA847" s="89"/>
      <c r="BB847" s="89"/>
      <c r="BC847" s="89"/>
      <c r="BD847" s="89"/>
      <c r="BE847" s="89"/>
      <c r="BF847" s="89"/>
      <c r="BG847" s="89"/>
      <c r="BH847" s="89"/>
      <c r="BI847" s="89"/>
      <c r="BJ847" s="89"/>
      <c r="BK847" s="91"/>
      <c r="BL847" s="66"/>
      <c r="BM847" s="94"/>
      <c r="BN847" s="94"/>
      <c r="BO847" s="92"/>
      <c r="BP847" s="93"/>
      <c r="BQ847" s="23"/>
      <c r="BR847" s="94"/>
      <c r="BS847" s="94"/>
      <c r="BT847" s="94"/>
      <c r="BU847" s="94"/>
      <c r="BV847" s="95"/>
      <c r="BW847" s="91"/>
      <c r="BX847" s="95"/>
      <c r="BY847" s="8"/>
      <c r="BZ847" s="96"/>
      <c r="CA847" s="91"/>
      <c r="CB847" s="97"/>
      <c r="CC847" s="8"/>
      <c r="CD847" s="91"/>
      <c r="CE847" s="98"/>
      <c r="DK847" s="89"/>
      <c r="DL847" s="8"/>
      <c r="DM847" s="8"/>
      <c r="DN847" s="8"/>
      <c r="DO847" s="8"/>
      <c r="DP847" s="8"/>
      <c r="DQ847" s="8"/>
      <c r="DR847" s="8"/>
      <c r="DZ847" s="45"/>
      <c r="EA847" s="89"/>
      <c r="EB847" s="89"/>
      <c r="EC847" s="89"/>
      <c r="ED847" s="89"/>
      <c r="EE847" s="89"/>
      <c r="EF847" s="89"/>
      <c r="EG847" s="89"/>
      <c r="EH847" s="89"/>
      <c r="EI847" s="89"/>
      <c r="EJ847" s="89"/>
      <c r="EK847" s="91"/>
      <c r="EL847" s="66"/>
      <c r="EM847" s="94"/>
      <c r="EN847" s="94"/>
      <c r="EO847" s="92"/>
      <c r="EP847" s="93"/>
      <c r="EQ847" s="23"/>
      <c r="ER847" s="94"/>
      <c r="ES847" s="94"/>
      <c r="ET847" s="94"/>
      <c r="EU847" s="94"/>
      <c r="EV847" s="95"/>
      <c r="EW847" s="91"/>
      <c r="EX847" s="95"/>
      <c r="EY847" s="8"/>
      <c r="EZ847" s="96"/>
      <c r="FA847" s="91"/>
      <c r="FB847" s="97"/>
      <c r="FC847" s="8"/>
      <c r="FD847" s="91"/>
      <c r="FE847" s="98"/>
    </row>
    <row r="848" spans="37:161">
      <c r="AK848" s="89"/>
      <c r="AL848" s="8"/>
      <c r="AM848" s="8"/>
      <c r="AN848" s="8"/>
      <c r="AO848" s="8"/>
      <c r="AP848" s="8"/>
      <c r="AQ848" s="8"/>
      <c r="AR848" s="8"/>
      <c r="AZ848" s="45"/>
      <c r="BA848" s="89"/>
      <c r="BB848" s="89"/>
      <c r="BC848" s="89"/>
      <c r="BD848" s="89"/>
      <c r="BE848" s="89"/>
      <c r="BF848" s="89"/>
      <c r="BG848" s="89"/>
      <c r="BH848" s="89"/>
      <c r="BI848" s="89"/>
      <c r="BJ848" s="89"/>
      <c r="BK848" s="91"/>
      <c r="BL848" s="66"/>
      <c r="BM848" s="94"/>
      <c r="BN848" s="94"/>
      <c r="BO848" s="92"/>
      <c r="BP848" s="93"/>
      <c r="BQ848" s="23"/>
      <c r="BR848" s="94"/>
      <c r="BS848" s="94"/>
      <c r="BT848" s="94"/>
      <c r="BU848" s="94"/>
      <c r="BV848" s="95"/>
      <c r="BW848" s="91"/>
      <c r="BX848" s="95"/>
      <c r="BY848" s="8"/>
      <c r="BZ848" s="96"/>
      <c r="CA848" s="91"/>
      <c r="CB848" s="97"/>
      <c r="CC848" s="8"/>
      <c r="CD848" s="91"/>
      <c r="CE848" s="98"/>
      <c r="DK848" s="89"/>
      <c r="DL848" s="8"/>
      <c r="DM848" s="8"/>
      <c r="DN848" s="8"/>
      <c r="DO848" s="8"/>
      <c r="DP848" s="8"/>
      <c r="DQ848" s="8"/>
      <c r="DR848" s="8"/>
      <c r="DZ848" s="45"/>
      <c r="EA848" s="89"/>
      <c r="EB848" s="89"/>
      <c r="EC848" s="89"/>
      <c r="ED848" s="89"/>
      <c r="EE848" s="89"/>
      <c r="EF848" s="89"/>
      <c r="EG848" s="89"/>
      <c r="EH848" s="89"/>
      <c r="EI848" s="89"/>
      <c r="EJ848" s="89"/>
      <c r="EK848" s="91"/>
      <c r="EL848" s="66"/>
      <c r="EM848" s="94"/>
      <c r="EN848" s="94"/>
      <c r="EO848" s="92"/>
      <c r="EP848" s="93"/>
      <c r="EQ848" s="23"/>
      <c r="ER848" s="94"/>
      <c r="ES848" s="94"/>
      <c r="ET848" s="94"/>
      <c r="EU848" s="94"/>
      <c r="EV848" s="95"/>
      <c r="EW848" s="91"/>
      <c r="EX848" s="95"/>
      <c r="EY848" s="8"/>
      <c r="EZ848" s="96"/>
      <c r="FA848" s="91"/>
      <c r="FB848" s="97"/>
      <c r="FC848" s="8"/>
      <c r="FD848" s="91"/>
      <c r="FE848" s="98"/>
    </row>
    <row r="849" spans="37:161">
      <c r="AK849" s="89"/>
      <c r="AL849" s="8"/>
      <c r="AM849" s="8"/>
      <c r="AN849" s="8"/>
      <c r="AO849" s="8"/>
      <c r="AP849" s="8"/>
      <c r="AQ849" s="8"/>
      <c r="AR849" s="8"/>
      <c r="AZ849" s="45"/>
      <c r="BA849" s="89"/>
      <c r="BB849" s="89"/>
      <c r="BC849" s="89"/>
      <c r="BD849" s="89"/>
      <c r="BE849" s="89"/>
      <c r="BF849" s="89"/>
      <c r="BG849" s="89"/>
      <c r="BH849" s="89"/>
      <c r="BI849" s="89"/>
      <c r="BJ849" s="89"/>
      <c r="BK849" s="91"/>
      <c r="BL849" s="66"/>
      <c r="BM849" s="94"/>
      <c r="BN849" s="94"/>
      <c r="BO849" s="92"/>
      <c r="BP849" s="93"/>
      <c r="BQ849" s="23"/>
      <c r="BR849" s="94"/>
      <c r="BS849" s="94"/>
      <c r="BT849" s="94"/>
      <c r="BU849" s="94"/>
      <c r="BV849" s="95"/>
      <c r="BW849" s="91"/>
      <c r="BX849" s="95"/>
      <c r="BY849" s="8"/>
      <c r="BZ849" s="96"/>
      <c r="CA849" s="91"/>
      <c r="CB849" s="97"/>
      <c r="CC849" s="8"/>
      <c r="CD849" s="91"/>
      <c r="CE849" s="98"/>
      <c r="DK849" s="89"/>
      <c r="DL849" s="8"/>
      <c r="DM849" s="8"/>
      <c r="DN849" s="8"/>
      <c r="DO849" s="8"/>
      <c r="DP849" s="8"/>
      <c r="DQ849" s="8"/>
      <c r="DR849" s="8"/>
      <c r="DZ849" s="45"/>
      <c r="EA849" s="89"/>
      <c r="EB849" s="89"/>
      <c r="EC849" s="89"/>
      <c r="ED849" s="89"/>
      <c r="EE849" s="89"/>
      <c r="EF849" s="89"/>
      <c r="EG849" s="89"/>
      <c r="EH849" s="89"/>
      <c r="EI849" s="89"/>
      <c r="EJ849" s="89"/>
      <c r="EK849" s="91"/>
      <c r="EL849" s="66"/>
      <c r="EM849" s="94"/>
      <c r="EN849" s="94"/>
      <c r="EO849" s="92"/>
      <c r="EP849" s="93"/>
      <c r="EQ849" s="23"/>
      <c r="ER849" s="94"/>
      <c r="ES849" s="94"/>
      <c r="ET849" s="94"/>
      <c r="EU849" s="94"/>
      <c r="EV849" s="95"/>
      <c r="EW849" s="91"/>
      <c r="EX849" s="95"/>
      <c r="EY849" s="8"/>
      <c r="EZ849" s="96"/>
      <c r="FA849" s="91"/>
      <c r="FB849" s="97"/>
      <c r="FC849" s="8"/>
      <c r="FD849" s="91"/>
      <c r="FE849" s="98"/>
    </row>
    <row r="850" spans="37:161">
      <c r="AK850" s="89"/>
      <c r="AL850" s="8"/>
      <c r="AM850" s="8"/>
      <c r="AN850" s="8"/>
      <c r="AO850" s="8"/>
      <c r="AP850" s="8"/>
      <c r="AQ850" s="8"/>
      <c r="AR850" s="8"/>
      <c r="AZ850" s="45"/>
      <c r="BA850" s="89"/>
      <c r="BB850" s="89"/>
      <c r="BC850" s="89"/>
      <c r="BD850" s="89"/>
      <c r="BE850" s="89"/>
      <c r="BF850" s="89"/>
      <c r="BG850" s="89"/>
      <c r="BH850" s="89"/>
      <c r="BI850" s="89"/>
      <c r="BJ850" s="89"/>
      <c r="BK850" s="91"/>
      <c r="BL850" s="66"/>
      <c r="BM850" s="94"/>
      <c r="BN850" s="94"/>
      <c r="BO850" s="92"/>
      <c r="BP850" s="93"/>
      <c r="BQ850" s="23"/>
      <c r="BR850" s="94"/>
      <c r="BS850" s="94"/>
      <c r="BT850" s="94"/>
      <c r="BU850" s="94"/>
      <c r="BV850" s="95"/>
      <c r="BW850" s="91"/>
      <c r="BX850" s="95"/>
      <c r="BY850" s="8"/>
      <c r="BZ850" s="96"/>
      <c r="CA850" s="91"/>
      <c r="CB850" s="97"/>
      <c r="CC850" s="8"/>
      <c r="CD850" s="91"/>
      <c r="CE850" s="98"/>
      <c r="DK850" s="89"/>
      <c r="DL850" s="8"/>
      <c r="DM850" s="8"/>
      <c r="DN850" s="8"/>
      <c r="DO850" s="8"/>
      <c r="DP850" s="8"/>
      <c r="DQ850" s="8"/>
      <c r="DR850" s="8"/>
      <c r="DZ850" s="45"/>
      <c r="EA850" s="89"/>
      <c r="EB850" s="89"/>
      <c r="EC850" s="89"/>
      <c r="ED850" s="89"/>
      <c r="EE850" s="89"/>
      <c r="EF850" s="89"/>
      <c r="EG850" s="89"/>
      <c r="EH850" s="89"/>
      <c r="EI850" s="89"/>
      <c r="EJ850" s="89"/>
      <c r="EK850" s="91"/>
      <c r="EL850" s="66"/>
      <c r="EM850" s="94"/>
      <c r="EN850" s="94"/>
      <c r="EO850" s="92"/>
      <c r="EP850" s="93"/>
      <c r="EQ850" s="23"/>
      <c r="ER850" s="94"/>
      <c r="ES850" s="94"/>
      <c r="ET850" s="94"/>
      <c r="EU850" s="94"/>
      <c r="EV850" s="95"/>
      <c r="EW850" s="91"/>
      <c r="EX850" s="95"/>
      <c r="EY850" s="8"/>
      <c r="EZ850" s="96"/>
      <c r="FA850" s="91"/>
      <c r="FB850" s="97"/>
      <c r="FC850" s="8"/>
      <c r="FD850" s="91"/>
      <c r="FE850" s="98"/>
    </row>
    <row r="851" spans="37:161">
      <c r="AK851" s="89"/>
      <c r="AL851" s="8"/>
      <c r="AM851" s="8"/>
      <c r="AN851" s="8"/>
      <c r="AO851" s="8"/>
      <c r="AP851" s="8"/>
      <c r="AQ851" s="8"/>
      <c r="AR851" s="8"/>
      <c r="AZ851" s="45"/>
      <c r="BA851" s="89"/>
      <c r="BB851" s="89"/>
      <c r="BC851" s="89"/>
      <c r="BD851" s="89"/>
      <c r="BE851" s="89"/>
      <c r="BF851" s="89"/>
      <c r="BG851" s="89"/>
      <c r="BH851" s="89"/>
      <c r="BI851" s="89"/>
      <c r="BJ851" s="89"/>
      <c r="BK851" s="91"/>
      <c r="BL851" s="66"/>
      <c r="BM851" s="94"/>
      <c r="BN851" s="94"/>
      <c r="BO851" s="92"/>
      <c r="BP851" s="93"/>
      <c r="BQ851" s="23"/>
      <c r="BR851" s="94"/>
      <c r="BS851" s="94"/>
      <c r="BT851" s="94"/>
      <c r="BU851" s="94"/>
      <c r="BV851" s="95"/>
      <c r="BW851" s="91"/>
      <c r="BX851" s="95"/>
      <c r="BY851" s="8"/>
      <c r="BZ851" s="96"/>
      <c r="CA851" s="91"/>
      <c r="CB851" s="97"/>
      <c r="CC851" s="8"/>
      <c r="CD851" s="91"/>
      <c r="CE851" s="98"/>
      <c r="DK851" s="89"/>
      <c r="DL851" s="8"/>
      <c r="DM851" s="8"/>
      <c r="DN851" s="8"/>
      <c r="DO851" s="8"/>
      <c r="DP851" s="8"/>
      <c r="DQ851" s="8"/>
      <c r="DR851" s="8"/>
      <c r="DZ851" s="45"/>
      <c r="EA851" s="89"/>
      <c r="EB851" s="89"/>
      <c r="EC851" s="89"/>
      <c r="ED851" s="89"/>
      <c r="EE851" s="89"/>
      <c r="EF851" s="89"/>
      <c r="EG851" s="89"/>
      <c r="EH851" s="89"/>
      <c r="EI851" s="89"/>
      <c r="EJ851" s="89"/>
      <c r="EK851" s="91"/>
      <c r="EL851" s="66"/>
      <c r="EM851" s="94"/>
      <c r="EN851" s="94"/>
      <c r="EO851" s="92"/>
      <c r="EP851" s="93"/>
      <c r="EQ851" s="23"/>
      <c r="ER851" s="94"/>
      <c r="ES851" s="94"/>
      <c r="ET851" s="94"/>
      <c r="EU851" s="94"/>
      <c r="EV851" s="95"/>
      <c r="EW851" s="91"/>
      <c r="EX851" s="95"/>
      <c r="EY851" s="8"/>
      <c r="EZ851" s="96"/>
      <c r="FA851" s="91"/>
      <c r="FB851" s="97"/>
      <c r="FC851" s="8"/>
      <c r="FD851" s="91"/>
      <c r="FE851" s="98"/>
    </row>
    <row r="852" spans="37:161">
      <c r="AK852" s="89"/>
      <c r="AL852" s="8"/>
      <c r="AM852" s="8"/>
      <c r="AN852" s="8"/>
      <c r="AO852" s="8"/>
      <c r="AP852" s="8"/>
      <c r="AQ852" s="8"/>
      <c r="AR852" s="8"/>
      <c r="AZ852" s="45"/>
      <c r="BA852" s="89"/>
      <c r="BB852" s="89"/>
      <c r="BC852" s="89"/>
      <c r="BD852" s="89"/>
      <c r="BE852" s="89"/>
      <c r="BF852" s="89"/>
      <c r="BG852" s="89"/>
      <c r="BH852" s="89"/>
      <c r="BI852" s="89"/>
      <c r="BJ852" s="89"/>
      <c r="BK852" s="91"/>
      <c r="BL852" s="66"/>
      <c r="BM852" s="94"/>
      <c r="BN852" s="94"/>
      <c r="BO852" s="92"/>
      <c r="BP852" s="93"/>
      <c r="BQ852" s="23"/>
      <c r="BR852" s="94"/>
      <c r="BS852" s="94"/>
      <c r="BT852" s="94"/>
      <c r="BU852" s="94"/>
      <c r="BV852" s="95"/>
      <c r="BW852" s="91"/>
      <c r="BX852" s="95"/>
      <c r="BY852" s="8"/>
      <c r="BZ852" s="96"/>
      <c r="CA852" s="91"/>
      <c r="CB852" s="97"/>
      <c r="CC852" s="8"/>
      <c r="CD852" s="91"/>
      <c r="CE852" s="98"/>
      <c r="DK852" s="89"/>
      <c r="DL852" s="8"/>
      <c r="DM852" s="8"/>
      <c r="DN852" s="8"/>
      <c r="DO852" s="8"/>
      <c r="DP852" s="8"/>
      <c r="DQ852" s="8"/>
      <c r="DR852" s="8"/>
      <c r="DZ852" s="45"/>
      <c r="EA852" s="89"/>
      <c r="EB852" s="89"/>
      <c r="EC852" s="89"/>
      <c r="ED852" s="89"/>
      <c r="EE852" s="89"/>
      <c r="EF852" s="89"/>
      <c r="EG852" s="89"/>
      <c r="EH852" s="89"/>
      <c r="EI852" s="89"/>
      <c r="EJ852" s="89"/>
      <c r="EK852" s="91"/>
      <c r="EL852" s="66"/>
      <c r="EM852" s="94"/>
      <c r="EN852" s="94"/>
      <c r="EO852" s="92"/>
      <c r="EP852" s="93"/>
      <c r="EQ852" s="23"/>
      <c r="ER852" s="94"/>
      <c r="ES852" s="94"/>
      <c r="ET852" s="94"/>
      <c r="EU852" s="94"/>
      <c r="EV852" s="95"/>
      <c r="EW852" s="91"/>
      <c r="EX852" s="95"/>
      <c r="EY852" s="8"/>
      <c r="EZ852" s="96"/>
      <c r="FA852" s="91"/>
      <c r="FB852" s="97"/>
      <c r="FC852" s="8"/>
      <c r="FD852" s="91"/>
      <c r="FE852" s="98"/>
    </row>
    <row r="853" spans="37:161">
      <c r="AK853" s="89"/>
      <c r="AL853" s="8"/>
      <c r="AM853" s="8"/>
      <c r="AN853" s="8"/>
      <c r="AO853" s="8"/>
      <c r="AP853" s="8"/>
      <c r="AQ853" s="8"/>
      <c r="AR853" s="8"/>
      <c r="AZ853" s="45"/>
      <c r="BA853" s="89"/>
      <c r="BB853" s="89"/>
      <c r="BC853" s="89"/>
      <c r="BD853" s="89"/>
      <c r="BE853" s="89"/>
      <c r="BF853" s="89"/>
      <c r="BG853" s="89"/>
      <c r="BH853" s="89"/>
      <c r="BI853" s="89"/>
      <c r="BJ853" s="89"/>
      <c r="BK853" s="91"/>
      <c r="BL853" s="66"/>
      <c r="BM853" s="94"/>
      <c r="BN853" s="94"/>
      <c r="BO853" s="92"/>
      <c r="BP853" s="93"/>
      <c r="BQ853" s="23"/>
      <c r="BR853" s="94"/>
      <c r="BS853" s="94"/>
      <c r="BT853" s="94"/>
      <c r="BU853" s="94"/>
      <c r="BV853" s="95"/>
      <c r="BW853" s="91"/>
      <c r="BX853" s="95"/>
      <c r="BY853" s="8"/>
      <c r="BZ853" s="96"/>
      <c r="CA853" s="91"/>
      <c r="CB853" s="97"/>
      <c r="CC853" s="8"/>
      <c r="CD853" s="91"/>
      <c r="CE853" s="98"/>
      <c r="DK853" s="89"/>
      <c r="DL853" s="8"/>
      <c r="DM853" s="8"/>
      <c r="DN853" s="8"/>
      <c r="DO853" s="8"/>
      <c r="DP853" s="8"/>
      <c r="DQ853" s="8"/>
      <c r="DR853" s="8"/>
      <c r="DZ853" s="45"/>
      <c r="EA853" s="89"/>
      <c r="EB853" s="89"/>
      <c r="EC853" s="89"/>
      <c r="ED853" s="89"/>
      <c r="EE853" s="89"/>
      <c r="EF853" s="89"/>
      <c r="EG853" s="89"/>
      <c r="EH853" s="89"/>
      <c r="EI853" s="89"/>
      <c r="EJ853" s="89"/>
      <c r="EK853" s="91"/>
      <c r="EL853" s="66"/>
      <c r="EM853" s="94"/>
      <c r="EN853" s="94"/>
      <c r="EO853" s="92"/>
      <c r="EP853" s="93"/>
      <c r="EQ853" s="23"/>
      <c r="ER853" s="94"/>
      <c r="ES853" s="94"/>
      <c r="ET853" s="94"/>
      <c r="EU853" s="94"/>
      <c r="EV853" s="95"/>
      <c r="EW853" s="91"/>
      <c r="EX853" s="95"/>
      <c r="EY853" s="8"/>
      <c r="EZ853" s="96"/>
      <c r="FA853" s="91"/>
      <c r="FB853" s="97"/>
      <c r="FC853" s="8"/>
      <c r="FD853" s="91"/>
      <c r="FE853" s="98"/>
    </row>
    <row r="854" spans="37:161">
      <c r="AK854" s="89"/>
      <c r="AL854" s="8"/>
      <c r="AM854" s="8"/>
      <c r="AN854" s="8"/>
      <c r="AO854" s="8"/>
      <c r="AP854" s="8"/>
      <c r="AQ854" s="8"/>
      <c r="AR854" s="8"/>
      <c r="AZ854" s="45"/>
      <c r="BA854" s="89"/>
      <c r="BB854" s="89"/>
      <c r="BC854" s="89"/>
      <c r="BD854" s="89"/>
      <c r="BE854" s="89"/>
      <c r="BF854" s="89"/>
      <c r="BG854" s="89"/>
      <c r="BH854" s="89"/>
      <c r="BI854" s="89"/>
      <c r="BJ854" s="89"/>
      <c r="BK854" s="91"/>
      <c r="BL854" s="66"/>
      <c r="BM854" s="94"/>
      <c r="BN854" s="94"/>
      <c r="BO854" s="92"/>
      <c r="BP854" s="93"/>
      <c r="BQ854" s="23"/>
      <c r="BR854" s="94"/>
      <c r="BS854" s="94"/>
      <c r="BT854" s="94"/>
      <c r="BU854" s="94"/>
      <c r="BV854" s="95"/>
      <c r="BW854" s="91"/>
      <c r="BX854" s="95"/>
      <c r="BY854" s="8"/>
      <c r="BZ854" s="96"/>
      <c r="CA854" s="91"/>
      <c r="CB854" s="97"/>
      <c r="CC854" s="8"/>
      <c r="CD854" s="91"/>
      <c r="CE854" s="98"/>
      <c r="DK854" s="89"/>
      <c r="DL854" s="8"/>
      <c r="DM854" s="8"/>
      <c r="DN854" s="8"/>
      <c r="DO854" s="8"/>
      <c r="DP854" s="8"/>
      <c r="DQ854" s="8"/>
      <c r="DR854" s="8"/>
      <c r="DZ854" s="45"/>
      <c r="EA854" s="89"/>
      <c r="EB854" s="89"/>
      <c r="EC854" s="89"/>
      <c r="ED854" s="89"/>
      <c r="EE854" s="89"/>
      <c r="EF854" s="89"/>
      <c r="EG854" s="89"/>
      <c r="EH854" s="89"/>
      <c r="EI854" s="89"/>
      <c r="EJ854" s="89"/>
      <c r="EK854" s="91"/>
      <c r="EL854" s="66"/>
      <c r="EM854" s="94"/>
      <c r="EN854" s="94"/>
      <c r="EO854" s="92"/>
      <c r="EP854" s="93"/>
      <c r="EQ854" s="23"/>
      <c r="ER854" s="94"/>
      <c r="ES854" s="94"/>
      <c r="ET854" s="94"/>
      <c r="EU854" s="94"/>
      <c r="EV854" s="95"/>
      <c r="EW854" s="91"/>
      <c r="EX854" s="95"/>
      <c r="EY854" s="8"/>
      <c r="EZ854" s="96"/>
      <c r="FA854" s="91"/>
      <c r="FB854" s="97"/>
      <c r="FC854" s="8"/>
      <c r="FD854" s="91"/>
      <c r="FE854" s="98"/>
    </row>
    <row r="855" spans="37:161">
      <c r="AK855" s="89"/>
      <c r="AL855" s="8"/>
      <c r="AM855" s="8"/>
      <c r="AN855" s="8"/>
      <c r="AO855" s="8"/>
      <c r="AP855" s="8"/>
      <c r="AQ855" s="8"/>
      <c r="AR855" s="8"/>
      <c r="AZ855" s="45"/>
      <c r="BA855" s="89"/>
      <c r="BB855" s="89"/>
      <c r="BC855" s="89"/>
      <c r="BD855" s="89"/>
      <c r="BE855" s="89"/>
      <c r="BF855" s="89"/>
      <c r="BG855" s="89"/>
      <c r="BH855" s="89"/>
      <c r="BI855" s="89"/>
      <c r="BJ855" s="89"/>
      <c r="BK855" s="91"/>
      <c r="BL855" s="66"/>
      <c r="BM855" s="94"/>
      <c r="BN855" s="94"/>
      <c r="BO855" s="92"/>
      <c r="BP855" s="93"/>
      <c r="BQ855" s="23"/>
      <c r="BR855" s="94"/>
      <c r="BS855" s="94"/>
      <c r="BT855" s="94"/>
      <c r="BU855" s="94"/>
      <c r="BV855" s="95"/>
      <c r="BW855" s="91"/>
      <c r="BX855" s="95"/>
      <c r="BY855" s="8"/>
      <c r="BZ855" s="96"/>
      <c r="CA855" s="91"/>
      <c r="CB855" s="97"/>
      <c r="CC855" s="8"/>
      <c r="CD855" s="91"/>
      <c r="CE855" s="98"/>
      <c r="DK855" s="89"/>
      <c r="DL855" s="8"/>
      <c r="DM855" s="8"/>
      <c r="DN855" s="8"/>
      <c r="DO855" s="8"/>
      <c r="DP855" s="8"/>
      <c r="DQ855" s="8"/>
      <c r="DR855" s="8"/>
      <c r="DZ855" s="45"/>
      <c r="EA855" s="89"/>
      <c r="EB855" s="89"/>
      <c r="EC855" s="89"/>
      <c r="ED855" s="89"/>
      <c r="EE855" s="89"/>
      <c r="EF855" s="89"/>
      <c r="EG855" s="89"/>
      <c r="EH855" s="89"/>
      <c r="EI855" s="89"/>
      <c r="EJ855" s="89"/>
      <c r="EK855" s="91"/>
      <c r="EL855" s="66"/>
      <c r="EM855" s="94"/>
      <c r="EN855" s="94"/>
      <c r="EO855" s="92"/>
      <c r="EP855" s="93"/>
      <c r="EQ855" s="23"/>
      <c r="ER855" s="94"/>
      <c r="ES855" s="94"/>
      <c r="ET855" s="94"/>
      <c r="EU855" s="94"/>
      <c r="EV855" s="95"/>
      <c r="EW855" s="91"/>
      <c r="EX855" s="95"/>
      <c r="EY855" s="8"/>
      <c r="EZ855" s="96"/>
      <c r="FA855" s="91"/>
      <c r="FB855" s="97"/>
      <c r="FC855" s="8"/>
      <c r="FD855" s="91"/>
      <c r="FE855" s="98"/>
    </row>
    <row r="856" spans="37:161">
      <c r="AK856" s="89"/>
      <c r="AL856" s="8"/>
      <c r="AM856" s="8"/>
      <c r="AN856" s="8"/>
      <c r="AO856" s="8"/>
      <c r="AP856" s="8"/>
      <c r="AQ856" s="8"/>
      <c r="AR856" s="8"/>
      <c r="AZ856" s="45"/>
      <c r="BA856" s="89"/>
      <c r="BB856" s="89"/>
      <c r="BC856" s="89"/>
      <c r="BD856" s="89"/>
      <c r="BE856" s="89"/>
      <c r="BF856" s="89"/>
      <c r="BG856" s="89"/>
      <c r="BH856" s="89"/>
      <c r="BI856" s="89"/>
      <c r="BJ856" s="89"/>
      <c r="BK856" s="91"/>
      <c r="BL856" s="66"/>
      <c r="BM856" s="94"/>
      <c r="BN856" s="94"/>
      <c r="BO856" s="92"/>
      <c r="BP856" s="93"/>
      <c r="BQ856" s="23"/>
      <c r="BR856" s="94"/>
      <c r="BS856" s="94"/>
      <c r="BT856" s="94"/>
      <c r="BU856" s="94"/>
      <c r="BV856" s="95"/>
      <c r="BW856" s="91"/>
      <c r="BX856" s="95"/>
      <c r="BY856" s="8"/>
      <c r="BZ856" s="96"/>
      <c r="CA856" s="91"/>
      <c r="CB856" s="97"/>
      <c r="CC856" s="8"/>
      <c r="CD856" s="91"/>
      <c r="CE856" s="98"/>
      <c r="DK856" s="89"/>
      <c r="DL856" s="8"/>
      <c r="DM856" s="8"/>
      <c r="DN856" s="8"/>
      <c r="DO856" s="8"/>
      <c r="DP856" s="8"/>
      <c r="DQ856" s="8"/>
      <c r="DR856" s="8"/>
      <c r="DZ856" s="45"/>
      <c r="EA856" s="89"/>
      <c r="EB856" s="89"/>
      <c r="EC856" s="89"/>
      <c r="ED856" s="89"/>
      <c r="EE856" s="89"/>
      <c r="EF856" s="89"/>
      <c r="EG856" s="89"/>
      <c r="EH856" s="89"/>
      <c r="EI856" s="89"/>
      <c r="EJ856" s="89"/>
      <c r="EK856" s="91"/>
      <c r="EL856" s="66"/>
      <c r="EM856" s="94"/>
      <c r="EN856" s="94"/>
      <c r="EO856" s="92"/>
      <c r="EP856" s="93"/>
      <c r="EQ856" s="23"/>
      <c r="ER856" s="94"/>
      <c r="ES856" s="94"/>
      <c r="ET856" s="94"/>
      <c r="EU856" s="94"/>
      <c r="EV856" s="95"/>
      <c r="EW856" s="91"/>
      <c r="EX856" s="95"/>
      <c r="EY856" s="8"/>
      <c r="EZ856" s="96"/>
      <c r="FA856" s="91"/>
      <c r="FB856" s="97"/>
      <c r="FC856" s="8"/>
      <c r="FD856" s="91"/>
      <c r="FE856" s="98"/>
    </row>
    <row r="857" spans="37:161">
      <c r="AK857" s="89"/>
      <c r="AL857" s="8"/>
      <c r="AM857" s="8"/>
      <c r="AN857" s="8"/>
      <c r="AO857" s="8"/>
      <c r="AP857" s="8"/>
      <c r="AQ857" s="8"/>
      <c r="AR857" s="8"/>
      <c r="AZ857" s="45"/>
      <c r="BA857" s="89"/>
      <c r="BB857" s="89"/>
      <c r="BC857" s="89"/>
      <c r="BD857" s="89"/>
      <c r="BE857" s="89"/>
      <c r="BF857" s="89"/>
      <c r="BG857" s="89"/>
      <c r="BH857" s="89"/>
      <c r="BI857" s="89"/>
      <c r="BJ857" s="89"/>
      <c r="BK857" s="91"/>
      <c r="BL857" s="66"/>
      <c r="BM857" s="94"/>
      <c r="BN857" s="94"/>
      <c r="BO857" s="92"/>
      <c r="BP857" s="93"/>
      <c r="BQ857" s="23"/>
      <c r="BR857" s="94"/>
      <c r="BS857" s="94"/>
      <c r="BT857" s="94"/>
      <c r="BU857" s="94"/>
      <c r="BV857" s="95"/>
      <c r="BW857" s="91"/>
      <c r="BX857" s="95"/>
      <c r="BY857" s="8"/>
      <c r="BZ857" s="96"/>
      <c r="CA857" s="91"/>
      <c r="CB857" s="97"/>
      <c r="CC857" s="8"/>
      <c r="CD857" s="91"/>
      <c r="CE857" s="98"/>
      <c r="DK857" s="89"/>
      <c r="DL857" s="8"/>
      <c r="DM857" s="8"/>
      <c r="DN857" s="8"/>
      <c r="DO857" s="8"/>
      <c r="DP857" s="8"/>
      <c r="DQ857" s="8"/>
      <c r="DR857" s="8"/>
      <c r="DZ857" s="45"/>
      <c r="EA857" s="89"/>
      <c r="EB857" s="89"/>
      <c r="EC857" s="89"/>
      <c r="ED857" s="89"/>
      <c r="EE857" s="89"/>
      <c r="EF857" s="89"/>
      <c r="EG857" s="89"/>
      <c r="EH857" s="89"/>
      <c r="EI857" s="89"/>
      <c r="EJ857" s="89"/>
      <c r="EK857" s="91"/>
      <c r="EL857" s="66"/>
      <c r="EM857" s="94"/>
      <c r="EN857" s="94"/>
      <c r="EO857" s="92"/>
      <c r="EP857" s="93"/>
      <c r="EQ857" s="23"/>
      <c r="ER857" s="94"/>
      <c r="ES857" s="94"/>
      <c r="ET857" s="94"/>
      <c r="EU857" s="94"/>
      <c r="EV857" s="95"/>
      <c r="EW857" s="91"/>
      <c r="EX857" s="95"/>
      <c r="EY857" s="8"/>
      <c r="EZ857" s="96"/>
      <c r="FA857" s="91"/>
      <c r="FB857" s="97"/>
      <c r="FC857" s="8"/>
      <c r="FD857" s="91"/>
      <c r="FE857" s="98"/>
    </row>
    <row r="858" spans="37:161">
      <c r="AK858" s="89"/>
      <c r="AL858" s="8"/>
      <c r="AM858" s="8"/>
      <c r="AN858" s="8"/>
      <c r="AO858" s="8"/>
      <c r="AP858" s="8"/>
      <c r="AQ858" s="8"/>
      <c r="AR858" s="8"/>
      <c r="AZ858" s="45"/>
      <c r="BA858" s="89"/>
      <c r="BB858" s="89"/>
      <c r="BC858" s="89"/>
      <c r="BD858" s="89"/>
      <c r="BE858" s="89"/>
      <c r="BF858" s="89"/>
      <c r="BG858" s="89"/>
      <c r="BH858" s="89"/>
      <c r="BI858" s="89"/>
      <c r="BJ858" s="89"/>
      <c r="BK858" s="91"/>
      <c r="BL858" s="66"/>
      <c r="BM858" s="94"/>
      <c r="BN858" s="94"/>
      <c r="BO858" s="92"/>
      <c r="BP858" s="93"/>
      <c r="BQ858" s="23"/>
      <c r="BR858" s="94"/>
      <c r="BS858" s="94"/>
      <c r="BT858" s="94"/>
      <c r="BU858" s="94"/>
      <c r="BV858" s="95"/>
      <c r="BW858" s="91"/>
      <c r="BX858" s="95"/>
      <c r="BY858" s="8"/>
      <c r="BZ858" s="96"/>
      <c r="CA858" s="91"/>
      <c r="CB858" s="97"/>
      <c r="CC858" s="8"/>
      <c r="CD858" s="91"/>
      <c r="CE858" s="98"/>
      <c r="DK858" s="89"/>
      <c r="DL858" s="8"/>
      <c r="DM858" s="8"/>
      <c r="DN858" s="8"/>
      <c r="DO858" s="8"/>
      <c r="DP858" s="8"/>
      <c r="DQ858" s="8"/>
      <c r="DR858" s="8"/>
      <c r="DZ858" s="45"/>
      <c r="EA858" s="89"/>
      <c r="EB858" s="89"/>
      <c r="EC858" s="89"/>
      <c r="ED858" s="89"/>
      <c r="EE858" s="89"/>
      <c r="EF858" s="89"/>
      <c r="EG858" s="89"/>
      <c r="EH858" s="89"/>
      <c r="EI858" s="89"/>
      <c r="EJ858" s="89"/>
      <c r="EK858" s="91"/>
      <c r="EL858" s="66"/>
      <c r="EM858" s="94"/>
      <c r="EN858" s="94"/>
      <c r="EO858" s="92"/>
      <c r="EP858" s="93"/>
      <c r="EQ858" s="23"/>
      <c r="ER858" s="94"/>
      <c r="ES858" s="94"/>
      <c r="ET858" s="94"/>
      <c r="EU858" s="94"/>
      <c r="EV858" s="95"/>
      <c r="EW858" s="91"/>
      <c r="EX858" s="95"/>
      <c r="EY858" s="8"/>
      <c r="EZ858" s="96"/>
      <c r="FA858" s="91"/>
      <c r="FB858" s="97"/>
      <c r="FC858" s="8"/>
      <c r="FD858" s="91"/>
      <c r="FE858" s="98"/>
    </row>
    <row r="859" spans="37:161">
      <c r="AK859" s="89"/>
      <c r="AL859" s="8"/>
      <c r="AM859" s="8"/>
      <c r="AN859" s="8"/>
      <c r="AO859" s="8"/>
      <c r="AP859" s="8"/>
      <c r="AQ859" s="8"/>
      <c r="AR859" s="8"/>
      <c r="AZ859" s="45"/>
      <c r="BA859" s="89"/>
      <c r="BB859" s="89"/>
      <c r="BC859" s="89"/>
      <c r="BD859" s="89"/>
      <c r="BE859" s="89"/>
      <c r="BF859" s="89"/>
      <c r="BG859" s="89"/>
      <c r="BH859" s="89"/>
      <c r="BI859" s="89"/>
      <c r="BJ859" s="89"/>
      <c r="BK859" s="91"/>
      <c r="BL859" s="66"/>
      <c r="BM859" s="94"/>
      <c r="BN859" s="94"/>
      <c r="BO859" s="92"/>
      <c r="BP859" s="93"/>
      <c r="BQ859" s="23"/>
      <c r="BR859" s="94"/>
      <c r="BS859" s="94"/>
      <c r="BT859" s="94"/>
      <c r="BU859" s="94"/>
      <c r="BV859" s="95"/>
      <c r="BW859" s="91"/>
      <c r="BX859" s="95"/>
      <c r="BY859" s="8"/>
      <c r="BZ859" s="96"/>
      <c r="CA859" s="91"/>
      <c r="CB859" s="97"/>
      <c r="CC859" s="8"/>
      <c r="CD859" s="91"/>
      <c r="CE859" s="98"/>
      <c r="DK859" s="89"/>
      <c r="DL859" s="8"/>
      <c r="DM859" s="8"/>
      <c r="DN859" s="8"/>
      <c r="DO859" s="8"/>
      <c r="DP859" s="8"/>
      <c r="DQ859" s="8"/>
      <c r="DR859" s="8"/>
      <c r="DZ859" s="45"/>
      <c r="EA859" s="89"/>
      <c r="EB859" s="89"/>
      <c r="EC859" s="89"/>
      <c r="ED859" s="89"/>
      <c r="EE859" s="89"/>
      <c r="EF859" s="89"/>
      <c r="EG859" s="89"/>
      <c r="EH859" s="89"/>
      <c r="EI859" s="89"/>
      <c r="EJ859" s="89"/>
      <c r="EK859" s="91"/>
      <c r="EL859" s="66"/>
      <c r="EM859" s="94"/>
      <c r="EN859" s="94"/>
      <c r="EO859" s="92"/>
      <c r="EP859" s="93"/>
      <c r="EQ859" s="23"/>
      <c r="ER859" s="94"/>
      <c r="ES859" s="94"/>
      <c r="ET859" s="94"/>
      <c r="EU859" s="94"/>
      <c r="EV859" s="95"/>
      <c r="EW859" s="91"/>
      <c r="EX859" s="95"/>
      <c r="EY859" s="8"/>
      <c r="EZ859" s="96"/>
      <c r="FA859" s="91"/>
      <c r="FB859" s="97"/>
      <c r="FC859" s="8"/>
      <c r="FD859" s="91"/>
      <c r="FE859" s="98"/>
    </row>
    <row r="860" spans="37:161">
      <c r="AK860" s="89"/>
      <c r="AL860" s="8"/>
      <c r="AM860" s="8"/>
      <c r="AN860" s="8"/>
      <c r="AO860" s="8"/>
      <c r="AP860" s="8"/>
      <c r="AQ860" s="8"/>
      <c r="AR860" s="8"/>
      <c r="AZ860" s="45"/>
      <c r="BA860" s="89"/>
      <c r="BB860" s="89"/>
      <c r="BC860" s="89"/>
      <c r="BD860" s="89"/>
      <c r="BE860" s="89"/>
      <c r="BF860" s="89"/>
      <c r="BG860" s="89"/>
      <c r="BH860" s="89"/>
      <c r="BI860" s="89"/>
      <c r="BJ860" s="89"/>
      <c r="BK860" s="91"/>
      <c r="BL860" s="66"/>
      <c r="BM860" s="94"/>
      <c r="BN860" s="94"/>
      <c r="BO860" s="92"/>
      <c r="BP860" s="93"/>
      <c r="BQ860" s="23"/>
      <c r="BR860" s="94"/>
      <c r="BS860" s="94"/>
      <c r="BT860" s="94"/>
      <c r="BU860" s="94"/>
      <c r="BV860" s="95"/>
      <c r="BW860" s="91"/>
      <c r="BX860" s="95"/>
      <c r="BY860" s="8"/>
      <c r="BZ860" s="96"/>
      <c r="CA860" s="91"/>
      <c r="CB860" s="97"/>
      <c r="CC860" s="8"/>
      <c r="CD860" s="91"/>
      <c r="CE860" s="98"/>
      <c r="DK860" s="89"/>
      <c r="DL860" s="8"/>
      <c r="DM860" s="8"/>
      <c r="DN860" s="8"/>
      <c r="DO860" s="8"/>
      <c r="DP860" s="8"/>
      <c r="DQ860" s="8"/>
      <c r="DR860" s="8"/>
      <c r="DZ860" s="45"/>
      <c r="EA860" s="89"/>
      <c r="EB860" s="89"/>
      <c r="EC860" s="89"/>
      <c r="ED860" s="89"/>
      <c r="EE860" s="89"/>
      <c r="EF860" s="89"/>
      <c r="EG860" s="89"/>
      <c r="EH860" s="89"/>
      <c r="EI860" s="89"/>
      <c r="EJ860" s="89"/>
      <c r="EK860" s="91"/>
      <c r="EL860" s="66"/>
      <c r="EM860" s="94"/>
      <c r="EN860" s="94"/>
      <c r="EO860" s="92"/>
      <c r="EP860" s="93"/>
      <c r="EQ860" s="23"/>
      <c r="ER860" s="94"/>
      <c r="ES860" s="94"/>
      <c r="ET860" s="94"/>
      <c r="EU860" s="94"/>
      <c r="EV860" s="95"/>
      <c r="EW860" s="91"/>
      <c r="EX860" s="95"/>
      <c r="EY860" s="8"/>
      <c r="EZ860" s="96"/>
      <c r="FA860" s="91"/>
      <c r="FB860" s="97"/>
      <c r="FC860" s="8"/>
      <c r="FD860" s="91"/>
      <c r="FE860" s="98"/>
    </row>
    <row r="861" spans="37:161">
      <c r="AK861" s="89"/>
      <c r="AL861" s="8"/>
      <c r="AM861" s="8"/>
      <c r="AN861" s="8"/>
      <c r="AO861" s="8"/>
      <c r="AP861" s="8"/>
      <c r="AQ861" s="8"/>
      <c r="AR861" s="8"/>
      <c r="AZ861" s="45"/>
      <c r="BA861" s="89"/>
      <c r="BB861" s="89"/>
      <c r="BC861" s="89"/>
      <c r="BD861" s="89"/>
      <c r="BE861" s="89"/>
      <c r="BF861" s="89"/>
      <c r="BG861" s="89"/>
      <c r="BH861" s="89"/>
      <c r="BI861" s="89"/>
      <c r="BJ861" s="89"/>
      <c r="BK861" s="91"/>
      <c r="BL861" s="66"/>
      <c r="BM861" s="94"/>
      <c r="BN861" s="94"/>
      <c r="BO861" s="92"/>
      <c r="BP861" s="93"/>
      <c r="BQ861" s="23"/>
      <c r="BR861" s="94"/>
      <c r="BS861" s="94"/>
      <c r="BT861" s="94"/>
      <c r="BU861" s="94"/>
      <c r="BV861" s="95"/>
      <c r="BW861" s="91"/>
      <c r="BX861" s="95"/>
      <c r="BY861" s="8"/>
      <c r="BZ861" s="96"/>
      <c r="CA861" s="91"/>
      <c r="CB861" s="97"/>
      <c r="CC861" s="8"/>
      <c r="CD861" s="91"/>
      <c r="CE861" s="98"/>
      <c r="DK861" s="89"/>
      <c r="DL861" s="8"/>
      <c r="DM861" s="8"/>
      <c r="DN861" s="8"/>
      <c r="DO861" s="8"/>
      <c r="DP861" s="8"/>
      <c r="DQ861" s="8"/>
      <c r="DR861" s="8"/>
      <c r="DZ861" s="45"/>
      <c r="EA861" s="89"/>
      <c r="EB861" s="89"/>
      <c r="EC861" s="89"/>
      <c r="ED861" s="89"/>
      <c r="EE861" s="89"/>
      <c r="EF861" s="89"/>
      <c r="EG861" s="89"/>
      <c r="EH861" s="89"/>
      <c r="EI861" s="89"/>
      <c r="EJ861" s="89"/>
      <c r="EK861" s="91"/>
      <c r="EL861" s="66"/>
      <c r="EM861" s="94"/>
      <c r="EN861" s="94"/>
      <c r="EO861" s="92"/>
      <c r="EP861" s="93"/>
      <c r="EQ861" s="23"/>
      <c r="ER861" s="94"/>
      <c r="ES861" s="94"/>
      <c r="ET861" s="94"/>
      <c r="EU861" s="94"/>
      <c r="EV861" s="95"/>
      <c r="EW861" s="91"/>
      <c r="EX861" s="95"/>
      <c r="EY861" s="8"/>
      <c r="EZ861" s="96"/>
      <c r="FA861" s="91"/>
      <c r="FB861" s="97"/>
      <c r="FC861" s="8"/>
      <c r="FD861" s="91"/>
      <c r="FE861" s="98"/>
    </row>
    <row r="862" spans="37:161">
      <c r="AK862" s="89"/>
      <c r="AL862" s="8"/>
      <c r="AM862" s="8"/>
      <c r="AN862" s="8"/>
      <c r="AO862" s="8"/>
      <c r="AP862" s="8"/>
      <c r="AQ862" s="8"/>
      <c r="AR862" s="8"/>
      <c r="AZ862" s="45"/>
      <c r="BA862" s="89"/>
      <c r="BB862" s="89"/>
      <c r="BC862" s="89"/>
      <c r="BD862" s="89"/>
      <c r="BE862" s="89"/>
      <c r="BF862" s="89"/>
      <c r="BG862" s="89"/>
      <c r="BH862" s="89"/>
      <c r="BI862" s="89"/>
      <c r="BJ862" s="89"/>
      <c r="BK862" s="91"/>
      <c r="BL862" s="66"/>
      <c r="BM862" s="94"/>
      <c r="BN862" s="94"/>
      <c r="BO862" s="92"/>
      <c r="BP862" s="93"/>
      <c r="BQ862" s="23"/>
      <c r="BR862" s="94"/>
      <c r="BS862" s="94"/>
      <c r="BT862" s="94"/>
      <c r="BU862" s="94"/>
      <c r="BV862" s="95"/>
      <c r="BW862" s="91"/>
      <c r="BX862" s="95"/>
      <c r="BY862" s="8"/>
      <c r="BZ862" s="96"/>
      <c r="CA862" s="91"/>
      <c r="CB862" s="97"/>
      <c r="CC862" s="8"/>
      <c r="CD862" s="91"/>
      <c r="CE862" s="98"/>
      <c r="DK862" s="89"/>
      <c r="DL862" s="8"/>
      <c r="DM862" s="8"/>
      <c r="DN862" s="8"/>
      <c r="DO862" s="8"/>
      <c r="DP862" s="8"/>
      <c r="DQ862" s="8"/>
      <c r="DR862" s="8"/>
      <c r="DZ862" s="45"/>
      <c r="EA862" s="89"/>
      <c r="EB862" s="89"/>
      <c r="EC862" s="89"/>
      <c r="ED862" s="89"/>
      <c r="EE862" s="89"/>
      <c r="EF862" s="89"/>
      <c r="EG862" s="89"/>
      <c r="EH862" s="89"/>
      <c r="EI862" s="89"/>
      <c r="EJ862" s="89"/>
      <c r="EK862" s="91"/>
      <c r="EL862" s="66"/>
      <c r="EM862" s="94"/>
      <c r="EN862" s="94"/>
      <c r="EO862" s="92"/>
      <c r="EP862" s="93"/>
      <c r="EQ862" s="23"/>
      <c r="ER862" s="94"/>
      <c r="ES862" s="94"/>
      <c r="ET862" s="94"/>
      <c r="EU862" s="94"/>
      <c r="EV862" s="95"/>
      <c r="EW862" s="91"/>
      <c r="EX862" s="95"/>
      <c r="EY862" s="8"/>
      <c r="EZ862" s="96"/>
      <c r="FA862" s="91"/>
      <c r="FB862" s="97"/>
      <c r="FC862" s="8"/>
      <c r="FD862" s="91"/>
      <c r="FE862" s="98"/>
    </row>
    <row r="863" spans="37:161">
      <c r="AK863" s="89"/>
      <c r="AL863" s="8"/>
      <c r="AM863" s="8"/>
      <c r="AN863" s="8"/>
      <c r="AO863" s="8"/>
      <c r="AP863" s="8"/>
      <c r="AQ863" s="8"/>
      <c r="AR863" s="8"/>
      <c r="AZ863" s="45"/>
      <c r="BA863" s="89"/>
      <c r="BB863" s="89"/>
      <c r="BC863" s="89"/>
      <c r="BD863" s="89"/>
      <c r="BE863" s="89"/>
      <c r="BF863" s="89"/>
      <c r="BG863" s="89"/>
      <c r="BH863" s="89"/>
      <c r="BI863" s="89"/>
      <c r="BJ863" s="89"/>
      <c r="BK863" s="91"/>
      <c r="BL863" s="66"/>
      <c r="BM863" s="94"/>
      <c r="BN863" s="94"/>
      <c r="BO863" s="92"/>
      <c r="BP863" s="93"/>
      <c r="BQ863" s="23"/>
      <c r="BR863" s="94"/>
      <c r="BS863" s="94"/>
      <c r="BT863" s="94"/>
      <c r="BU863" s="94"/>
      <c r="BV863" s="95"/>
      <c r="BW863" s="91"/>
      <c r="BX863" s="95"/>
      <c r="BY863" s="8"/>
      <c r="BZ863" s="96"/>
      <c r="CA863" s="91"/>
      <c r="CB863" s="97"/>
      <c r="CC863" s="8"/>
      <c r="CD863" s="91"/>
      <c r="CE863" s="98"/>
      <c r="DK863" s="89"/>
      <c r="DL863" s="8"/>
      <c r="DM863" s="8"/>
      <c r="DN863" s="8"/>
      <c r="DO863" s="8"/>
      <c r="DP863" s="8"/>
      <c r="DQ863" s="8"/>
      <c r="DR863" s="8"/>
      <c r="DZ863" s="45"/>
      <c r="EA863" s="89"/>
      <c r="EB863" s="89"/>
      <c r="EC863" s="89"/>
      <c r="ED863" s="89"/>
      <c r="EE863" s="89"/>
      <c r="EF863" s="89"/>
      <c r="EG863" s="89"/>
      <c r="EH863" s="89"/>
      <c r="EI863" s="89"/>
      <c r="EJ863" s="89"/>
      <c r="EK863" s="91"/>
      <c r="EL863" s="66"/>
      <c r="EM863" s="94"/>
      <c r="EN863" s="94"/>
      <c r="EO863" s="92"/>
      <c r="EP863" s="93"/>
      <c r="EQ863" s="23"/>
      <c r="ER863" s="94"/>
      <c r="ES863" s="94"/>
      <c r="ET863" s="94"/>
      <c r="EU863" s="94"/>
      <c r="EV863" s="95"/>
      <c r="EW863" s="91"/>
      <c r="EX863" s="95"/>
      <c r="EY863" s="8"/>
      <c r="EZ863" s="96"/>
      <c r="FA863" s="91"/>
      <c r="FB863" s="97"/>
      <c r="FC863" s="8"/>
      <c r="FD863" s="91"/>
      <c r="FE863" s="98"/>
    </row>
    <row r="864" spans="37:161">
      <c r="AK864" s="89"/>
      <c r="AL864" s="8"/>
      <c r="AM864" s="8"/>
      <c r="AN864" s="8"/>
      <c r="AO864" s="8"/>
      <c r="AP864" s="8"/>
      <c r="AQ864" s="8"/>
      <c r="AR864" s="8"/>
      <c r="AZ864" s="45"/>
      <c r="BA864" s="89"/>
      <c r="BB864" s="89"/>
      <c r="BC864" s="89"/>
      <c r="BD864" s="89"/>
      <c r="BE864" s="89"/>
      <c r="BF864" s="89"/>
      <c r="BG864" s="89"/>
      <c r="BH864" s="89"/>
      <c r="BI864" s="89"/>
      <c r="BJ864" s="89"/>
      <c r="BK864" s="91"/>
      <c r="BL864" s="66"/>
      <c r="BM864" s="94"/>
      <c r="BN864" s="94"/>
      <c r="BO864" s="92"/>
      <c r="BP864" s="93"/>
      <c r="BQ864" s="23"/>
      <c r="BR864" s="94"/>
      <c r="BS864" s="94"/>
      <c r="BT864" s="94"/>
      <c r="BU864" s="94"/>
      <c r="BV864" s="95"/>
      <c r="BW864" s="91"/>
      <c r="BX864" s="95"/>
      <c r="BY864" s="8"/>
      <c r="BZ864" s="96"/>
      <c r="CA864" s="91"/>
      <c r="CB864" s="97"/>
      <c r="CC864" s="8"/>
      <c r="CD864" s="91"/>
      <c r="CE864" s="98"/>
      <c r="DK864" s="89"/>
      <c r="DL864" s="8"/>
      <c r="DM864" s="8"/>
      <c r="DN864" s="8"/>
      <c r="DO864" s="8"/>
      <c r="DP864" s="8"/>
      <c r="DQ864" s="8"/>
      <c r="DR864" s="8"/>
      <c r="DZ864" s="45"/>
      <c r="EA864" s="89"/>
      <c r="EB864" s="89"/>
      <c r="EC864" s="89"/>
      <c r="ED864" s="89"/>
      <c r="EE864" s="89"/>
      <c r="EF864" s="89"/>
      <c r="EG864" s="89"/>
      <c r="EH864" s="89"/>
      <c r="EI864" s="89"/>
      <c r="EJ864" s="89"/>
      <c r="EK864" s="91"/>
      <c r="EL864" s="66"/>
      <c r="EM864" s="94"/>
      <c r="EN864" s="94"/>
      <c r="EO864" s="92"/>
      <c r="EP864" s="93"/>
      <c r="EQ864" s="23"/>
      <c r="ER864" s="94"/>
      <c r="ES864" s="94"/>
      <c r="ET864" s="94"/>
      <c r="EU864" s="94"/>
      <c r="EV864" s="95"/>
      <c r="EW864" s="91"/>
      <c r="EX864" s="95"/>
      <c r="EY864" s="8"/>
      <c r="EZ864" s="96"/>
      <c r="FA864" s="91"/>
      <c r="FB864" s="97"/>
      <c r="FC864" s="8"/>
      <c r="FD864" s="91"/>
      <c r="FE864" s="98"/>
    </row>
    <row r="865" spans="37:161">
      <c r="AK865" s="89"/>
      <c r="AL865" s="8"/>
      <c r="AM865" s="8"/>
      <c r="AN865" s="8"/>
      <c r="AO865" s="8"/>
      <c r="AP865" s="8"/>
      <c r="AQ865" s="8"/>
      <c r="AR865" s="8"/>
      <c r="AZ865" s="45"/>
      <c r="BA865" s="89"/>
      <c r="BB865" s="89"/>
      <c r="BC865" s="89"/>
      <c r="BD865" s="89"/>
      <c r="BE865" s="89"/>
      <c r="BF865" s="89"/>
      <c r="BG865" s="89"/>
      <c r="BH865" s="89"/>
      <c r="BI865" s="89"/>
      <c r="BJ865" s="89"/>
      <c r="BK865" s="91"/>
      <c r="BL865" s="66"/>
      <c r="BM865" s="94"/>
      <c r="BN865" s="94"/>
      <c r="BO865" s="92"/>
      <c r="BP865" s="93"/>
      <c r="BQ865" s="23"/>
      <c r="BR865" s="94"/>
      <c r="BS865" s="94"/>
      <c r="BT865" s="94"/>
      <c r="BU865" s="94"/>
      <c r="BV865" s="95"/>
      <c r="BW865" s="91"/>
      <c r="BX865" s="95"/>
      <c r="BY865" s="8"/>
      <c r="BZ865" s="96"/>
      <c r="CA865" s="91"/>
      <c r="CB865" s="97"/>
      <c r="CC865" s="8"/>
      <c r="CD865" s="91"/>
      <c r="CE865" s="98"/>
      <c r="DK865" s="89"/>
      <c r="DL865" s="8"/>
      <c r="DM865" s="8"/>
      <c r="DN865" s="8"/>
      <c r="DO865" s="8"/>
      <c r="DP865" s="8"/>
      <c r="DQ865" s="8"/>
      <c r="DR865" s="8"/>
      <c r="DZ865" s="45"/>
      <c r="EA865" s="89"/>
      <c r="EB865" s="89"/>
      <c r="EC865" s="89"/>
      <c r="ED865" s="89"/>
      <c r="EE865" s="89"/>
      <c r="EF865" s="89"/>
      <c r="EG865" s="89"/>
      <c r="EH865" s="89"/>
      <c r="EI865" s="89"/>
      <c r="EJ865" s="89"/>
      <c r="EK865" s="91"/>
      <c r="EL865" s="66"/>
      <c r="EM865" s="94"/>
      <c r="EN865" s="94"/>
      <c r="EO865" s="92"/>
      <c r="EP865" s="93"/>
      <c r="EQ865" s="23"/>
      <c r="ER865" s="94"/>
      <c r="ES865" s="94"/>
      <c r="ET865" s="94"/>
      <c r="EU865" s="94"/>
      <c r="EV865" s="95"/>
      <c r="EW865" s="91"/>
      <c r="EX865" s="95"/>
      <c r="EY865" s="8"/>
      <c r="EZ865" s="96"/>
      <c r="FA865" s="91"/>
      <c r="FB865" s="97"/>
      <c r="FC865" s="8"/>
      <c r="FD865" s="91"/>
      <c r="FE865" s="98"/>
    </row>
    <row r="866" spans="37:161">
      <c r="AK866" s="89"/>
      <c r="AL866" s="8"/>
      <c r="AM866" s="8"/>
      <c r="AN866" s="8"/>
      <c r="AO866" s="8"/>
      <c r="AP866" s="8"/>
      <c r="AQ866" s="8"/>
      <c r="AR866" s="8"/>
      <c r="AZ866" s="45"/>
      <c r="BA866" s="89"/>
      <c r="BB866" s="89"/>
      <c r="BC866" s="89"/>
      <c r="BD866" s="89"/>
      <c r="BE866" s="89"/>
      <c r="BF866" s="89"/>
      <c r="BG866" s="89"/>
      <c r="BH866" s="89"/>
      <c r="BI866" s="89"/>
      <c r="BJ866" s="89"/>
      <c r="BK866" s="91"/>
      <c r="BL866" s="66"/>
      <c r="BM866" s="94"/>
      <c r="BN866" s="94"/>
      <c r="BO866" s="92"/>
      <c r="BP866" s="93"/>
      <c r="BQ866" s="23"/>
      <c r="BR866" s="94"/>
      <c r="BS866" s="94"/>
      <c r="BT866" s="94"/>
      <c r="BU866" s="94"/>
      <c r="BV866" s="95"/>
      <c r="BW866" s="91"/>
      <c r="BX866" s="95"/>
      <c r="BY866" s="8"/>
      <c r="BZ866" s="96"/>
      <c r="CA866" s="91"/>
      <c r="CB866" s="97"/>
      <c r="CC866" s="8"/>
      <c r="CD866" s="91"/>
      <c r="CE866" s="98"/>
      <c r="DK866" s="89"/>
      <c r="DL866" s="8"/>
      <c r="DM866" s="8"/>
      <c r="DN866" s="8"/>
      <c r="DO866" s="8"/>
      <c r="DP866" s="8"/>
      <c r="DQ866" s="8"/>
      <c r="DR866" s="8"/>
      <c r="DZ866" s="45"/>
      <c r="EA866" s="89"/>
      <c r="EB866" s="89"/>
      <c r="EC866" s="89"/>
      <c r="ED866" s="89"/>
      <c r="EE866" s="89"/>
      <c r="EF866" s="89"/>
      <c r="EG866" s="89"/>
      <c r="EH866" s="89"/>
      <c r="EI866" s="89"/>
      <c r="EJ866" s="89"/>
      <c r="EK866" s="91"/>
      <c r="EL866" s="66"/>
      <c r="EM866" s="94"/>
      <c r="EN866" s="94"/>
      <c r="EO866" s="92"/>
      <c r="EP866" s="93"/>
      <c r="EQ866" s="23"/>
      <c r="ER866" s="94"/>
      <c r="ES866" s="94"/>
      <c r="ET866" s="94"/>
      <c r="EU866" s="94"/>
      <c r="EV866" s="95"/>
      <c r="EW866" s="91"/>
      <c r="EX866" s="95"/>
      <c r="EY866" s="8"/>
      <c r="EZ866" s="96"/>
      <c r="FA866" s="91"/>
      <c r="FB866" s="97"/>
      <c r="FC866" s="8"/>
      <c r="FD866" s="91"/>
      <c r="FE866" s="98"/>
    </row>
    <row r="867" spans="37:161">
      <c r="AK867" s="89"/>
      <c r="AL867" s="8"/>
      <c r="AM867" s="8"/>
      <c r="AN867" s="8"/>
      <c r="AO867" s="8"/>
      <c r="AP867" s="8"/>
      <c r="AQ867" s="8"/>
      <c r="AR867" s="8"/>
      <c r="AZ867" s="45"/>
      <c r="BA867" s="89"/>
      <c r="BB867" s="89"/>
      <c r="BC867" s="89"/>
      <c r="BD867" s="89"/>
      <c r="BE867" s="89"/>
      <c r="BF867" s="89"/>
      <c r="BG867" s="89"/>
      <c r="BH867" s="89"/>
      <c r="BI867" s="89"/>
      <c r="BJ867" s="89"/>
      <c r="BK867" s="91"/>
      <c r="BL867" s="66"/>
      <c r="BM867" s="94"/>
      <c r="BN867" s="94"/>
      <c r="BO867" s="92"/>
      <c r="BP867" s="93"/>
      <c r="BQ867" s="23"/>
      <c r="BR867" s="94"/>
      <c r="BS867" s="94"/>
      <c r="BT867" s="94"/>
      <c r="BU867" s="94"/>
      <c r="BV867" s="95"/>
      <c r="BW867" s="91"/>
      <c r="BX867" s="95"/>
      <c r="BY867" s="8"/>
      <c r="BZ867" s="96"/>
      <c r="CA867" s="91"/>
      <c r="CB867" s="97"/>
      <c r="CC867" s="8"/>
      <c r="CD867" s="91"/>
      <c r="CE867" s="98"/>
      <c r="DK867" s="89"/>
      <c r="DL867" s="8"/>
      <c r="DM867" s="8"/>
      <c r="DN867" s="8"/>
      <c r="DO867" s="8"/>
      <c r="DP867" s="8"/>
      <c r="DQ867" s="8"/>
      <c r="DR867" s="8"/>
      <c r="DZ867" s="45"/>
      <c r="EA867" s="89"/>
      <c r="EB867" s="89"/>
      <c r="EC867" s="89"/>
      <c r="ED867" s="89"/>
      <c r="EE867" s="89"/>
      <c r="EF867" s="89"/>
      <c r="EG867" s="89"/>
      <c r="EH867" s="89"/>
      <c r="EI867" s="89"/>
      <c r="EJ867" s="89"/>
      <c r="EK867" s="91"/>
      <c r="EL867" s="66"/>
      <c r="EM867" s="94"/>
      <c r="EN867" s="94"/>
      <c r="EO867" s="92"/>
      <c r="EP867" s="93"/>
      <c r="EQ867" s="23"/>
      <c r="ER867" s="94"/>
      <c r="ES867" s="94"/>
      <c r="ET867" s="94"/>
      <c r="EU867" s="94"/>
      <c r="EV867" s="95"/>
      <c r="EW867" s="91"/>
      <c r="EX867" s="95"/>
      <c r="EY867" s="8"/>
      <c r="EZ867" s="96"/>
      <c r="FA867" s="91"/>
      <c r="FB867" s="97"/>
      <c r="FC867" s="8"/>
      <c r="FD867" s="91"/>
      <c r="FE867" s="98"/>
    </row>
    <row r="868" spans="37:161">
      <c r="AK868" s="89"/>
      <c r="AL868" s="8"/>
      <c r="AM868" s="8"/>
      <c r="AN868" s="8"/>
      <c r="AO868" s="8"/>
      <c r="AP868" s="8"/>
      <c r="AQ868" s="8"/>
      <c r="AR868" s="8"/>
      <c r="AZ868" s="45"/>
      <c r="BA868" s="89"/>
      <c r="BB868" s="89"/>
      <c r="BC868" s="89"/>
      <c r="BD868" s="89"/>
      <c r="BE868" s="89"/>
      <c r="BF868" s="89"/>
      <c r="BG868" s="89"/>
      <c r="BH868" s="89"/>
      <c r="BI868" s="89"/>
      <c r="BJ868" s="89"/>
      <c r="BK868" s="91"/>
      <c r="BL868" s="66"/>
      <c r="BM868" s="94"/>
      <c r="BN868" s="94"/>
      <c r="BO868" s="92"/>
      <c r="BP868" s="93"/>
      <c r="BQ868" s="23"/>
      <c r="BR868" s="94"/>
      <c r="BS868" s="94"/>
      <c r="BT868" s="94"/>
      <c r="BU868" s="94"/>
      <c r="BV868" s="95"/>
      <c r="BW868" s="91"/>
      <c r="BX868" s="95"/>
      <c r="BY868" s="8"/>
      <c r="BZ868" s="96"/>
      <c r="CA868" s="91"/>
      <c r="CB868" s="97"/>
      <c r="CC868" s="8"/>
      <c r="CD868" s="91"/>
      <c r="CE868" s="98"/>
      <c r="DK868" s="89"/>
      <c r="DL868" s="8"/>
      <c r="DM868" s="8"/>
      <c r="DN868" s="8"/>
      <c r="DO868" s="8"/>
      <c r="DP868" s="8"/>
      <c r="DQ868" s="8"/>
      <c r="DR868" s="8"/>
      <c r="DZ868" s="45"/>
      <c r="EA868" s="89"/>
      <c r="EB868" s="89"/>
      <c r="EC868" s="89"/>
      <c r="ED868" s="89"/>
      <c r="EE868" s="89"/>
      <c r="EF868" s="89"/>
      <c r="EG868" s="89"/>
      <c r="EH868" s="89"/>
      <c r="EI868" s="89"/>
      <c r="EJ868" s="89"/>
      <c r="EK868" s="91"/>
      <c r="EL868" s="66"/>
      <c r="EM868" s="94"/>
      <c r="EN868" s="94"/>
      <c r="EO868" s="92"/>
      <c r="EP868" s="93"/>
      <c r="EQ868" s="23"/>
      <c r="ER868" s="94"/>
      <c r="ES868" s="94"/>
      <c r="ET868" s="94"/>
      <c r="EU868" s="94"/>
      <c r="EV868" s="95"/>
      <c r="EW868" s="91"/>
      <c r="EX868" s="95"/>
      <c r="EY868" s="8"/>
      <c r="EZ868" s="96"/>
      <c r="FA868" s="91"/>
      <c r="FB868" s="97"/>
      <c r="FC868" s="8"/>
      <c r="FD868" s="91"/>
      <c r="FE868" s="98"/>
    </row>
    <row r="869" spans="37:161">
      <c r="AK869" s="89"/>
      <c r="AL869" s="8"/>
      <c r="AM869" s="8"/>
      <c r="AN869" s="8"/>
      <c r="AO869" s="8"/>
      <c r="AP869" s="8"/>
      <c r="AQ869" s="8"/>
      <c r="AR869" s="8"/>
      <c r="AZ869" s="45"/>
      <c r="BA869" s="89"/>
      <c r="BB869" s="89"/>
      <c r="BC869" s="89"/>
      <c r="BD869" s="89"/>
      <c r="BE869" s="89"/>
      <c r="BF869" s="89"/>
      <c r="BG869" s="89"/>
      <c r="BH869" s="89"/>
      <c r="BI869" s="89"/>
      <c r="BJ869" s="89"/>
      <c r="BK869" s="91"/>
      <c r="BL869" s="66"/>
      <c r="BM869" s="94"/>
      <c r="BN869" s="94"/>
      <c r="BO869" s="92"/>
      <c r="BP869" s="93"/>
      <c r="BQ869" s="23"/>
      <c r="BR869" s="94"/>
      <c r="BS869" s="94"/>
      <c r="BT869" s="94"/>
      <c r="BU869" s="94"/>
      <c r="BV869" s="95"/>
      <c r="BW869" s="91"/>
      <c r="BX869" s="95"/>
      <c r="BY869" s="8"/>
      <c r="BZ869" s="96"/>
      <c r="CA869" s="91"/>
      <c r="CB869" s="97"/>
      <c r="CC869" s="8"/>
      <c r="CD869" s="91"/>
      <c r="CE869" s="98"/>
      <c r="DK869" s="89"/>
      <c r="DL869" s="8"/>
      <c r="DM869" s="8"/>
      <c r="DN869" s="8"/>
      <c r="DO869" s="8"/>
      <c r="DP869" s="8"/>
      <c r="DQ869" s="8"/>
      <c r="DR869" s="8"/>
      <c r="DZ869" s="45"/>
      <c r="EA869" s="89"/>
      <c r="EB869" s="89"/>
      <c r="EC869" s="89"/>
      <c r="ED869" s="89"/>
      <c r="EE869" s="89"/>
      <c r="EF869" s="89"/>
      <c r="EG869" s="89"/>
      <c r="EH869" s="89"/>
      <c r="EI869" s="89"/>
      <c r="EJ869" s="89"/>
      <c r="EK869" s="91"/>
      <c r="EL869" s="66"/>
      <c r="EM869" s="94"/>
      <c r="EN869" s="94"/>
      <c r="EO869" s="92"/>
      <c r="EP869" s="93"/>
      <c r="EQ869" s="23"/>
      <c r="ER869" s="94"/>
      <c r="ES869" s="94"/>
      <c r="ET869" s="94"/>
      <c r="EU869" s="94"/>
      <c r="EV869" s="95"/>
      <c r="EW869" s="91"/>
      <c r="EX869" s="95"/>
      <c r="EY869" s="8"/>
      <c r="EZ869" s="96"/>
      <c r="FA869" s="91"/>
      <c r="FB869" s="97"/>
      <c r="FC869" s="8"/>
      <c r="FD869" s="91"/>
      <c r="FE869" s="98"/>
    </row>
    <row r="870" spans="37:161">
      <c r="AK870" s="89"/>
      <c r="AL870" s="8"/>
      <c r="AM870" s="8"/>
      <c r="AN870" s="8"/>
      <c r="AO870" s="8"/>
      <c r="AP870" s="8"/>
      <c r="AQ870" s="8"/>
      <c r="AR870" s="8"/>
      <c r="AZ870" s="45"/>
      <c r="BA870" s="89"/>
      <c r="BB870" s="89"/>
      <c r="BC870" s="89"/>
      <c r="BD870" s="89"/>
      <c r="BE870" s="89"/>
      <c r="BF870" s="89"/>
      <c r="BG870" s="89"/>
      <c r="BH870" s="89"/>
      <c r="BI870" s="89"/>
      <c r="BJ870" s="89"/>
      <c r="BK870" s="91"/>
      <c r="BL870" s="66"/>
      <c r="BM870" s="94"/>
      <c r="BN870" s="94"/>
      <c r="BO870" s="92"/>
      <c r="BP870" s="93"/>
      <c r="BQ870" s="23"/>
      <c r="BR870" s="94"/>
      <c r="BS870" s="94"/>
      <c r="BT870" s="94"/>
      <c r="BU870" s="94"/>
      <c r="BV870" s="95"/>
      <c r="BW870" s="91"/>
      <c r="BX870" s="95"/>
      <c r="BY870" s="8"/>
      <c r="BZ870" s="96"/>
      <c r="CA870" s="91"/>
      <c r="CB870" s="97"/>
      <c r="CC870" s="8"/>
      <c r="CD870" s="91"/>
      <c r="CE870" s="98"/>
      <c r="DK870" s="89"/>
      <c r="DL870" s="8"/>
      <c r="DM870" s="8"/>
      <c r="DN870" s="8"/>
      <c r="DO870" s="8"/>
      <c r="DP870" s="8"/>
      <c r="DQ870" s="8"/>
      <c r="DR870" s="8"/>
      <c r="DZ870" s="45"/>
      <c r="EA870" s="89"/>
      <c r="EB870" s="89"/>
      <c r="EC870" s="89"/>
      <c r="ED870" s="89"/>
      <c r="EE870" s="89"/>
      <c r="EF870" s="89"/>
      <c r="EG870" s="89"/>
      <c r="EH870" s="89"/>
      <c r="EI870" s="89"/>
      <c r="EJ870" s="89"/>
      <c r="EK870" s="91"/>
      <c r="EL870" s="66"/>
      <c r="EM870" s="94"/>
      <c r="EN870" s="94"/>
      <c r="EO870" s="92"/>
      <c r="EP870" s="93"/>
      <c r="EQ870" s="23"/>
      <c r="ER870" s="94"/>
      <c r="ES870" s="94"/>
      <c r="ET870" s="94"/>
      <c r="EU870" s="94"/>
      <c r="EV870" s="95"/>
      <c r="EW870" s="91"/>
      <c r="EX870" s="95"/>
      <c r="EY870" s="8"/>
      <c r="EZ870" s="96"/>
      <c r="FA870" s="91"/>
      <c r="FB870" s="97"/>
      <c r="FC870" s="8"/>
      <c r="FD870" s="91"/>
      <c r="FE870" s="98"/>
    </row>
    <row r="871" spans="37:161">
      <c r="AK871" s="89"/>
      <c r="AL871" s="8"/>
      <c r="AM871" s="8"/>
      <c r="AN871" s="8"/>
      <c r="AO871" s="8"/>
      <c r="AP871" s="8"/>
      <c r="AQ871" s="8"/>
      <c r="AR871" s="8"/>
      <c r="AZ871" s="45"/>
      <c r="BA871" s="89"/>
      <c r="BB871" s="89"/>
      <c r="BC871" s="89"/>
      <c r="BD871" s="89"/>
      <c r="BE871" s="89"/>
      <c r="BF871" s="89"/>
      <c r="BG871" s="89"/>
      <c r="BH871" s="89"/>
      <c r="BI871" s="89"/>
      <c r="BJ871" s="89"/>
      <c r="BK871" s="91"/>
      <c r="BL871" s="66"/>
      <c r="BM871" s="94"/>
      <c r="BN871" s="94"/>
      <c r="BO871" s="92"/>
      <c r="BP871" s="93"/>
      <c r="BQ871" s="23"/>
      <c r="BR871" s="94"/>
      <c r="BS871" s="94"/>
      <c r="BT871" s="94"/>
      <c r="BU871" s="94"/>
      <c r="BV871" s="95"/>
      <c r="BW871" s="91"/>
      <c r="BX871" s="95"/>
      <c r="BY871" s="8"/>
      <c r="BZ871" s="96"/>
      <c r="CA871" s="91"/>
      <c r="CB871" s="97"/>
      <c r="CC871" s="8"/>
      <c r="CD871" s="91"/>
      <c r="CE871" s="98"/>
      <c r="DK871" s="89"/>
      <c r="DL871" s="8"/>
      <c r="DM871" s="8"/>
      <c r="DN871" s="8"/>
      <c r="DO871" s="8"/>
      <c r="DP871" s="8"/>
      <c r="DQ871" s="8"/>
      <c r="DR871" s="8"/>
      <c r="DZ871" s="45"/>
      <c r="EA871" s="89"/>
      <c r="EB871" s="89"/>
      <c r="EC871" s="89"/>
      <c r="ED871" s="89"/>
      <c r="EE871" s="89"/>
      <c r="EF871" s="89"/>
      <c r="EG871" s="89"/>
      <c r="EH871" s="89"/>
      <c r="EI871" s="89"/>
      <c r="EJ871" s="89"/>
      <c r="EK871" s="91"/>
      <c r="EL871" s="66"/>
      <c r="EM871" s="94"/>
      <c r="EN871" s="94"/>
      <c r="EO871" s="92"/>
      <c r="EP871" s="93"/>
      <c r="EQ871" s="23"/>
      <c r="ER871" s="94"/>
      <c r="ES871" s="94"/>
      <c r="ET871" s="94"/>
      <c r="EU871" s="94"/>
      <c r="EV871" s="95"/>
      <c r="EW871" s="91"/>
      <c r="EX871" s="95"/>
      <c r="EY871" s="8"/>
      <c r="EZ871" s="96"/>
      <c r="FA871" s="91"/>
      <c r="FB871" s="97"/>
      <c r="FC871" s="8"/>
      <c r="FD871" s="91"/>
      <c r="FE871" s="98"/>
    </row>
    <row r="872" spans="37:161">
      <c r="AK872" s="89"/>
      <c r="AL872" s="8"/>
      <c r="AM872" s="8"/>
      <c r="AN872" s="8"/>
      <c r="AO872" s="8"/>
      <c r="AP872" s="8"/>
      <c r="AQ872" s="8"/>
      <c r="AR872" s="8"/>
      <c r="AZ872" s="45"/>
      <c r="BA872" s="89"/>
      <c r="BB872" s="89"/>
      <c r="BC872" s="89"/>
      <c r="BD872" s="89"/>
      <c r="BE872" s="89"/>
      <c r="BF872" s="89"/>
      <c r="BG872" s="89"/>
      <c r="BH872" s="89"/>
      <c r="BI872" s="89"/>
      <c r="BJ872" s="89"/>
      <c r="BK872" s="91"/>
      <c r="BL872" s="66"/>
      <c r="BM872" s="94"/>
      <c r="BN872" s="94"/>
      <c r="BO872" s="92"/>
      <c r="BP872" s="93"/>
      <c r="BQ872" s="23"/>
      <c r="BR872" s="94"/>
      <c r="BS872" s="94"/>
      <c r="BT872" s="94"/>
      <c r="BU872" s="94"/>
      <c r="BV872" s="95"/>
      <c r="BW872" s="91"/>
      <c r="BX872" s="95"/>
      <c r="BY872" s="8"/>
      <c r="BZ872" s="96"/>
      <c r="CA872" s="91"/>
      <c r="CB872" s="97"/>
      <c r="CC872" s="8"/>
      <c r="CD872" s="91"/>
      <c r="CE872" s="98"/>
      <c r="DK872" s="89"/>
      <c r="DL872" s="8"/>
      <c r="DM872" s="8"/>
      <c r="DN872" s="8"/>
      <c r="DO872" s="8"/>
      <c r="DP872" s="8"/>
      <c r="DQ872" s="8"/>
      <c r="DR872" s="8"/>
      <c r="DZ872" s="45"/>
      <c r="EA872" s="89"/>
      <c r="EB872" s="89"/>
      <c r="EC872" s="89"/>
      <c r="ED872" s="89"/>
      <c r="EE872" s="89"/>
      <c r="EF872" s="89"/>
      <c r="EG872" s="89"/>
      <c r="EH872" s="89"/>
      <c r="EI872" s="89"/>
      <c r="EJ872" s="89"/>
      <c r="EK872" s="91"/>
      <c r="EL872" s="66"/>
      <c r="EM872" s="94"/>
      <c r="EN872" s="94"/>
      <c r="EO872" s="92"/>
      <c r="EP872" s="93"/>
      <c r="EQ872" s="23"/>
      <c r="ER872" s="94"/>
      <c r="ES872" s="94"/>
      <c r="ET872" s="94"/>
      <c r="EU872" s="94"/>
      <c r="EV872" s="95"/>
      <c r="EW872" s="91"/>
      <c r="EX872" s="95"/>
      <c r="EY872" s="8"/>
      <c r="EZ872" s="96"/>
      <c r="FA872" s="91"/>
      <c r="FB872" s="97"/>
      <c r="FC872" s="8"/>
      <c r="FD872" s="91"/>
      <c r="FE872" s="98"/>
    </row>
    <row r="873" spans="37:161">
      <c r="AK873" s="89"/>
      <c r="AL873" s="8"/>
      <c r="AM873" s="8"/>
      <c r="AN873" s="8"/>
      <c r="AO873" s="8"/>
      <c r="AP873" s="8"/>
      <c r="AQ873" s="8"/>
      <c r="AR873" s="8"/>
      <c r="AZ873" s="45"/>
      <c r="BA873" s="89"/>
      <c r="BB873" s="89"/>
      <c r="BC873" s="89"/>
      <c r="BD873" s="89"/>
      <c r="BE873" s="89"/>
      <c r="BF873" s="89"/>
      <c r="BG873" s="89"/>
      <c r="BH873" s="89"/>
      <c r="BI873" s="89"/>
      <c r="BJ873" s="89"/>
      <c r="BK873" s="91"/>
      <c r="BL873" s="66"/>
      <c r="BM873" s="94"/>
      <c r="BN873" s="94"/>
      <c r="BO873" s="92"/>
      <c r="BP873" s="93"/>
      <c r="BQ873" s="23"/>
      <c r="BR873" s="94"/>
      <c r="BS873" s="94"/>
      <c r="BT873" s="94"/>
      <c r="BU873" s="94"/>
      <c r="BV873" s="95"/>
      <c r="BW873" s="91"/>
      <c r="BX873" s="95"/>
      <c r="BY873" s="8"/>
      <c r="BZ873" s="96"/>
      <c r="CA873" s="91"/>
      <c r="CB873" s="97"/>
      <c r="CC873" s="8"/>
      <c r="CD873" s="91"/>
      <c r="CE873" s="98"/>
      <c r="DK873" s="89"/>
      <c r="DL873" s="8"/>
      <c r="DM873" s="8"/>
      <c r="DN873" s="8"/>
      <c r="DO873" s="8"/>
      <c r="DP873" s="8"/>
      <c r="DQ873" s="8"/>
      <c r="DR873" s="8"/>
      <c r="DZ873" s="45"/>
      <c r="EA873" s="89"/>
      <c r="EB873" s="89"/>
      <c r="EC873" s="89"/>
      <c r="ED873" s="89"/>
      <c r="EE873" s="89"/>
      <c r="EF873" s="89"/>
      <c r="EG873" s="89"/>
      <c r="EH873" s="89"/>
      <c r="EI873" s="89"/>
      <c r="EJ873" s="89"/>
      <c r="EK873" s="91"/>
      <c r="EL873" s="66"/>
      <c r="EM873" s="94"/>
      <c r="EN873" s="94"/>
      <c r="EO873" s="92"/>
      <c r="EP873" s="93"/>
      <c r="EQ873" s="23"/>
      <c r="ER873" s="94"/>
      <c r="ES873" s="94"/>
      <c r="ET873" s="94"/>
      <c r="EU873" s="94"/>
      <c r="EV873" s="95"/>
      <c r="EW873" s="91"/>
      <c r="EX873" s="95"/>
      <c r="EY873" s="8"/>
      <c r="EZ873" s="96"/>
      <c r="FA873" s="91"/>
      <c r="FB873" s="97"/>
      <c r="FC873" s="8"/>
      <c r="FD873" s="91"/>
      <c r="FE873" s="98"/>
    </row>
    <row r="874" spans="37:161">
      <c r="AK874" s="89"/>
      <c r="AL874" s="8"/>
      <c r="AM874" s="8"/>
      <c r="AN874" s="8"/>
      <c r="AO874" s="8"/>
      <c r="AP874" s="8"/>
      <c r="AQ874" s="8"/>
      <c r="AR874" s="8"/>
      <c r="AZ874" s="45"/>
      <c r="BA874" s="89"/>
      <c r="BB874" s="89"/>
      <c r="BC874" s="89"/>
      <c r="BD874" s="89"/>
      <c r="BE874" s="89"/>
      <c r="BF874" s="89"/>
      <c r="BG874" s="89"/>
      <c r="BH874" s="89"/>
      <c r="BI874" s="89"/>
      <c r="BJ874" s="89"/>
      <c r="BK874" s="91"/>
      <c r="BL874" s="66"/>
      <c r="BM874" s="94"/>
      <c r="BN874" s="94"/>
      <c r="BO874" s="92"/>
      <c r="BP874" s="93"/>
      <c r="BQ874" s="23"/>
      <c r="BR874" s="94"/>
      <c r="BS874" s="94"/>
      <c r="BT874" s="94"/>
      <c r="BU874" s="94"/>
      <c r="BV874" s="95"/>
      <c r="BW874" s="91"/>
      <c r="BX874" s="95"/>
      <c r="BY874" s="8"/>
      <c r="BZ874" s="96"/>
      <c r="CA874" s="91"/>
      <c r="CB874" s="97"/>
      <c r="CC874" s="8"/>
      <c r="CD874" s="91"/>
      <c r="CE874" s="98"/>
      <c r="DK874" s="89"/>
      <c r="DL874" s="8"/>
      <c r="DM874" s="8"/>
      <c r="DN874" s="8"/>
      <c r="DO874" s="8"/>
      <c r="DP874" s="8"/>
      <c r="DQ874" s="8"/>
      <c r="DR874" s="8"/>
      <c r="DZ874" s="45"/>
      <c r="EA874" s="89"/>
      <c r="EB874" s="89"/>
      <c r="EC874" s="89"/>
      <c r="ED874" s="89"/>
      <c r="EE874" s="89"/>
      <c r="EF874" s="89"/>
      <c r="EG874" s="89"/>
      <c r="EH874" s="89"/>
      <c r="EI874" s="89"/>
      <c r="EJ874" s="89"/>
      <c r="EK874" s="91"/>
      <c r="EL874" s="66"/>
      <c r="EM874" s="94"/>
      <c r="EN874" s="94"/>
      <c r="EO874" s="92"/>
      <c r="EP874" s="93"/>
      <c r="EQ874" s="23"/>
      <c r="ER874" s="94"/>
      <c r="ES874" s="94"/>
      <c r="ET874" s="94"/>
      <c r="EU874" s="94"/>
      <c r="EV874" s="95"/>
      <c r="EW874" s="91"/>
      <c r="EX874" s="95"/>
      <c r="EY874" s="8"/>
      <c r="EZ874" s="96"/>
      <c r="FA874" s="91"/>
      <c r="FB874" s="97"/>
      <c r="FC874" s="8"/>
      <c r="FD874" s="91"/>
      <c r="FE874" s="98"/>
    </row>
    <row r="875" spans="37:161">
      <c r="AK875" s="89"/>
      <c r="AL875" s="8"/>
      <c r="AM875" s="8"/>
      <c r="AN875" s="8"/>
      <c r="AO875" s="8"/>
      <c r="AP875" s="8"/>
      <c r="AQ875" s="8"/>
      <c r="AR875" s="8"/>
      <c r="AZ875" s="45"/>
      <c r="BA875" s="89"/>
      <c r="BB875" s="89"/>
      <c r="BC875" s="89"/>
      <c r="BD875" s="89"/>
      <c r="BE875" s="89"/>
      <c r="BF875" s="89"/>
      <c r="BG875" s="89"/>
      <c r="BH875" s="89"/>
      <c r="BI875" s="89"/>
      <c r="BJ875" s="89"/>
      <c r="BK875" s="91"/>
      <c r="BL875" s="66"/>
      <c r="BM875" s="94"/>
      <c r="BN875" s="94"/>
      <c r="BO875" s="92"/>
      <c r="BP875" s="93"/>
      <c r="BQ875" s="23"/>
      <c r="BR875" s="94"/>
      <c r="BS875" s="94"/>
      <c r="BT875" s="94"/>
      <c r="BU875" s="94"/>
      <c r="BV875" s="95"/>
      <c r="BW875" s="91"/>
      <c r="BX875" s="95"/>
      <c r="BY875" s="8"/>
      <c r="BZ875" s="96"/>
      <c r="CA875" s="91"/>
      <c r="CB875" s="97"/>
      <c r="CC875" s="8"/>
      <c r="CD875" s="91"/>
      <c r="CE875" s="98"/>
      <c r="DK875" s="89"/>
      <c r="DL875" s="8"/>
      <c r="DM875" s="8"/>
      <c r="DN875" s="8"/>
      <c r="DO875" s="8"/>
      <c r="DP875" s="8"/>
      <c r="DQ875" s="8"/>
      <c r="DR875" s="8"/>
      <c r="DZ875" s="45"/>
      <c r="EA875" s="89"/>
      <c r="EB875" s="89"/>
      <c r="EC875" s="89"/>
      <c r="ED875" s="89"/>
      <c r="EE875" s="89"/>
      <c r="EF875" s="89"/>
      <c r="EG875" s="89"/>
      <c r="EH875" s="89"/>
      <c r="EI875" s="89"/>
      <c r="EJ875" s="89"/>
      <c r="EK875" s="91"/>
      <c r="EL875" s="66"/>
      <c r="EM875" s="94"/>
      <c r="EN875" s="94"/>
      <c r="EO875" s="92"/>
      <c r="EP875" s="93"/>
      <c r="EQ875" s="23"/>
      <c r="ER875" s="94"/>
      <c r="ES875" s="94"/>
      <c r="ET875" s="94"/>
      <c r="EU875" s="94"/>
      <c r="EV875" s="95"/>
      <c r="EW875" s="91"/>
      <c r="EX875" s="95"/>
      <c r="EY875" s="8"/>
      <c r="EZ875" s="96"/>
      <c r="FA875" s="91"/>
      <c r="FB875" s="97"/>
      <c r="FC875" s="8"/>
      <c r="FD875" s="91"/>
      <c r="FE875" s="98"/>
    </row>
    <row r="876" spans="37:161">
      <c r="AK876" s="89"/>
      <c r="AL876" s="8"/>
      <c r="AM876" s="8"/>
      <c r="AN876" s="8"/>
      <c r="AO876" s="8"/>
      <c r="AP876" s="8"/>
      <c r="AQ876" s="8"/>
      <c r="AR876" s="8"/>
      <c r="AZ876" s="45"/>
      <c r="BA876" s="89"/>
      <c r="BB876" s="89"/>
      <c r="BC876" s="89"/>
      <c r="BD876" s="89"/>
      <c r="BE876" s="89"/>
      <c r="BF876" s="89"/>
      <c r="BG876" s="89"/>
      <c r="BH876" s="89"/>
      <c r="BI876" s="89"/>
      <c r="BJ876" s="89"/>
      <c r="BK876" s="91"/>
      <c r="BL876" s="66"/>
      <c r="BM876" s="94"/>
      <c r="BN876" s="94"/>
      <c r="BO876" s="92"/>
      <c r="BP876" s="93"/>
      <c r="BQ876" s="23"/>
      <c r="BR876" s="94"/>
      <c r="BS876" s="94"/>
      <c r="BT876" s="94"/>
      <c r="BU876" s="94"/>
      <c r="BV876" s="95"/>
      <c r="BW876" s="91"/>
      <c r="BX876" s="95"/>
      <c r="BY876" s="8"/>
      <c r="BZ876" s="96"/>
      <c r="CA876" s="91"/>
      <c r="CB876" s="97"/>
      <c r="CC876" s="8"/>
      <c r="CD876" s="91"/>
      <c r="CE876" s="98"/>
      <c r="DK876" s="89"/>
      <c r="DL876" s="8"/>
      <c r="DM876" s="8"/>
      <c r="DN876" s="8"/>
      <c r="DO876" s="8"/>
      <c r="DP876" s="8"/>
      <c r="DQ876" s="8"/>
      <c r="DR876" s="8"/>
      <c r="DZ876" s="45"/>
      <c r="EA876" s="89"/>
      <c r="EB876" s="89"/>
      <c r="EC876" s="89"/>
      <c r="ED876" s="89"/>
      <c r="EE876" s="89"/>
      <c r="EF876" s="89"/>
      <c r="EG876" s="89"/>
      <c r="EH876" s="89"/>
      <c r="EI876" s="89"/>
      <c r="EJ876" s="89"/>
      <c r="EK876" s="91"/>
      <c r="EL876" s="66"/>
      <c r="EM876" s="94"/>
      <c r="EN876" s="94"/>
      <c r="EO876" s="92"/>
      <c r="EP876" s="93"/>
      <c r="EQ876" s="23"/>
      <c r="ER876" s="94"/>
      <c r="ES876" s="94"/>
      <c r="ET876" s="94"/>
      <c r="EU876" s="94"/>
      <c r="EV876" s="95"/>
      <c r="EW876" s="91"/>
      <c r="EX876" s="95"/>
      <c r="EY876" s="8"/>
      <c r="EZ876" s="96"/>
      <c r="FA876" s="91"/>
      <c r="FB876" s="97"/>
      <c r="FC876" s="8"/>
      <c r="FD876" s="91"/>
      <c r="FE876" s="98"/>
    </row>
    <row r="877" spans="37:161">
      <c r="AK877" s="89"/>
      <c r="AL877" s="8"/>
      <c r="AM877" s="8"/>
      <c r="AN877" s="8"/>
      <c r="AO877" s="8"/>
      <c r="AP877" s="8"/>
      <c r="AQ877" s="8"/>
      <c r="AR877" s="8"/>
      <c r="AZ877" s="45"/>
      <c r="BA877" s="89"/>
      <c r="BB877" s="89"/>
      <c r="BC877" s="89"/>
      <c r="BD877" s="89"/>
      <c r="BE877" s="89"/>
      <c r="BF877" s="89"/>
      <c r="BG877" s="89"/>
      <c r="BH877" s="89"/>
      <c r="BI877" s="89"/>
      <c r="BJ877" s="89"/>
      <c r="BK877" s="91"/>
      <c r="BL877" s="66"/>
      <c r="BM877" s="94"/>
      <c r="BN877" s="94"/>
      <c r="BO877" s="92"/>
      <c r="BP877" s="93"/>
      <c r="BQ877" s="23"/>
      <c r="BR877" s="94"/>
      <c r="BS877" s="94"/>
      <c r="BT877" s="94"/>
      <c r="BU877" s="94"/>
      <c r="BV877" s="95"/>
      <c r="BW877" s="91"/>
      <c r="BX877" s="95"/>
      <c r="BY877" s="8"/>
      <c r="BZ877" s="96"/>
      <c r="CA877" s="91"/>
      <c r="CB877" s="97"/>
      <c r="CC877" s="8"/>
      <c r="CD877" s="91"/>
      <c r="CE877" s="98"/>
      <c r="DK877" s="89"/>
      <c r="DL877" s="8"/>
      <c r="DM877" s="8"/>
      <c r="DN877" s="8"/>
      <c r="DO877" s="8"/>
      <c r="DP877" s="8"/>
      <c r="DQ877" s="8"/>
      <c r="DR877" s="8"/>
      <c r="DZ877" s="45"/>
      <c r="EA877" s="89"/>
      <c r="EB877" s="89"/>
      <c r="EC877" s="89"/>
      <c r="ED877" s="89"/>
      <c r="EE877" s="89"/>
      <c r="EF877" s="89"/>
      <c r="EG877" s="89"/>
      <c r="EH877" s="89"/>
      <c r="EI877" s="89"/>
      <c r="EJ877" s="89"/>
      <c r="EK877" s="91"/>
      <c r="EL877" s="66"/>
      <c r="EM877" s="94"/>
      <c r="EN877" s="94"/>
      <c r="EO877" s="92"/>
      <c r="EP877" s="93"/>
      <c r="EQ877" s="23"/>
      <c r="ER877" s="94"/>
      <c r="ES877" s="94"/>
      <c r="ET877" s="94"/>
      <c r="EU877" s="94"/>
      <c r="EV877" s="95"/>
      <c r="EW877" s="91"/>
      <c r="EX877" s="95"/>
      <c r="EY877" s="8"/>
      <c r="EZ877" s="96"/>
      <c r="FA877" s="91"/>
      <c r="FB877" s="97"/>
      <c r="FC877" s="8"/>
      <c r="FD877" s="91"/>
      <c r="FE877" s="98"/>
    </row>
    <row r="878" spans="37:161">
      <c r="AK878" s="89"/>
      <c r="AL878" s="8"/>
      <c r="AM878" s="8"/>
      <c r="AN878" s="8"/>
      <c r="AO878" s="8"/>
      <c r="AP878" s="8"/>
      <c r="AQ878" s="8"/>
      <c r="AR878" s="8"/>
      <c r="AZ878" s="45"/>
      <c r="BA878" s="89"/>
      <c r="BB878" s="89"/>
      <c r="BC878" s="89"/>
      <c r="BD878" s="89"/>
      <c r="BE878" s="89"/>
      <c r="BF878" s="89"/>
      <c r="BG878" s="89"/>
      <c r="BH878" s="89"/>
      <c r="BI878" s="89"/>
      <c r="BJ878" s="89"/>
      <c r="BK878" s="91"/>
      <c r="BL878" s="66"/>
      <c r="BM878" s="94"/>
      <c r="BN878" s="94"/>
      <c r="BO878" s="92"/>
      <c r="BP878" s="93"/>
      <c r="BQ878" s="23"/>
      <c r="BR878" s="94"/>
      <c r="BS878" s="94"/>
      <c r="BT878" s="94"/>
      <c r="BU878" s="94"/>
      <c r="BV878" s="95"/>
      <c r="BW878" s="91"/>
      <c r="BX878" s="95"/>
      <c r="BY878" s="8"/>
      <c r="BZ878" s="96"/>
      <c r="CA878" s="91"/>
      <c r="CB878" s="97"/>
      <c r="CC878" s="8"/>
      <c r="CD878" s="91"/>
      <c r="CE878" s="98"/>
      <c r="DK878" s="89"/>
      <c r="DL878" s="8"/>
      <c r="DM878" s="8"/>
      <c r="DN878" s="8"/>
      <c r="DO878" s="8"/>
      <c r="DP878" s="8"/>
      <c r="DQ878" s="8"/>
      <c r="DR878" s="8"/>
      <c r="DZ878" s="45"/>
      <c r="EA878" s="89"/>
      <c r="EB878" s="89"/>
      <c r="EC878" s="89"/>
      <c r="ED878" s="89"/>
      <c r="EE878" s="89"/>
      <c r="EF878" s="89"/>
      <c r="EG878" s="89"/>
      <c r="EH878" s="89"/>
      <c r="EI878" s="89"/>
      <c r="EJ878" s="89"/>
      <c r="EK878" s="91"/>
      <c r="EL878" s="66"/>
      <c r="EM878" s="94"/>
      <c r="EN878" s="94"/>
      <c r="EO878" s="92"/>
      <c r="EP878" s="93"/>
      <c r="EQ878" s="23"/>
      <c r="ER878" s="94"/>
      <c r="ES878" s="94"/>
      <c r="ET878" s="94"/>
      <c r="EU878" s="94"/>
      <c r="EV878" s="95"/>
      <c r="EW878" s="91"/>
      <c r="EX878" s="95"/>
      <c r="EY878" s="8"/>
      <c r="EZ878" s="96"/>
      <c r="FA878" s="91"/>
      <c r="FB878" s="97"/>
      <c r="FC878" s="8"/>
      <c r="FD878" s="91"/>
      <c r="FE878" s="98"/>
    </row>
    <row r="879" spans="37:161">
      <c r="AK879" s="89"/>
      <c r="AL879" s="8"/>
      <c r="AM879" s="8"/>
      <c r="AN879" s="8"/>
      <c r="AO879" s="8"/>
      <c r="AP879" s="8"/>
      <c r="AQ879" s="8"/>
      <c r="AR879" s="8"/>
      <c r="AZ879" s="45"/>
      <c r="BA879" s="89"/>
      <c r="BB879" s="89"/>
      <c r="BC879" s="89"/>
      <c r="BD879" s="89"/>
      <c r="BE879" s="89"/>
      <c r="BF879" s="89"/>
      <c r="BG879" s="89"/>
      <c r="BH879" s="89"/>
      <c r="BI879" s="89"/>
      <c r="BJ879" s="89"/>
      <c r="BK879" s="91"/>
      <c r="BL879" s="66"/>
      <c r="BM879" s="94"/>
      <c r="BN879" s="94"/>
      <c r="BO879" s="92"/>
      <c r="BP879" s="93"/>
      <c r="BQ879" s="23"/>
      <c r="BR879" s="94"/>
      <c r="BS879" s="94"/>
      <c r="BT879" s="94"/>
      <c r="BU879" s="94"/>
      <c r="BV879" s="95"/>
      <c r="BW879" s="91"/>
      <c r="BX879" s="95"/>
      <c r="BY879" s="8"/>
      <c r="BZ879" s="96"/>
      <c r="CA879" s="91"/>
      <c r="CB879" s="97"/>
      <c r="CC879" s="8"/>
      <c r="CD879" s="91"/>
      <c r="CE879" s="98"/>
      <c r="DK879" s="89"/>
      <c r="DL879" s="8"/>
      <c r="DM879" s="8"/>
      <c r="DN879" s="8"/>
      <c r="DO879" s="8"/>
      <c r="DP879" s="8"/>
      <c r="DQ879" s="8"/>
      <c r="DR879" s="8"/>
      <c r="DZ879" s="45"/>
      <c r="EA879" s="89"/>
      <c r="EB879" s="89"/>
      <c r="EC879" s="89"/>
      <c r="ED879" s="89"/>
      <c r="EE879" s="89"/>
      <c r="EF879" s="89"/>
      <c r="EG879" s="89"/>
      <c r="EH879" s="89"/>
      <c r="EI879" s="89"/>
      <c r="EJ879" s="89"/>
      <c r="EK879" s="91"/>
      <c r="EL879" s="66"/>
      <c r="EM879" s="94"/>
      <c r="EN879" s="94"/>
      <c r="EO879" s="92"/>
      <c r="EP879" s="93"/>
      <c r="EQ879" s="23"/>
      <c r="ER879" s="94"/>
      <c r="ES879" s="94"/>
      <c r="ET879" s="94"/>
      <c r="EU879" s="94"/>
      <c r="EV879" s="95"/>
      <c r="EW879" s="91"/>
      <c r="EX879" s="95"/>
      <c r="EY879" s="8"/>
      <c r="EZ879" s="96"/>
      <c r="FA879" s="91"/>
      <c r="FB879" s="97"/>
      <c r="FC879" s="8"/>
      <c r="FD879" s="91"/>
      <c r="FE879" s="98"/>
    </row>
    <row r="880" spans="37:161">
      <c r="AK880" s="89"/>
      <c r="AL880" s="8"/>
      <c r="AM880" s="8"/>
      <c r="AN880" s="8"/>
      <c r="AO880" s="8"/>
      <c r="AP880" s="8"/>
      <c r="AQ880" s="8"/>
      <c r="AR880" s="8"/>
      <c r="AZ880" s="45"/>
      <c r="BA880" s="89"/>
      <c r="BB880" s="89"/>
      <c r="BC880" s="89"/>
      <c r="BD880" s="89"/>
      <c r="BE880" s="89"/>
      <c r="BF880" s="89"/>
      <c r="BG880" s="89"/>
      <c r="BH880" s="89"/>
      <c r="BI880" s="89"/>
      <c r="BJ880" s="89"/>
      <c r="BK880" s="91"/>
      <c r="BL880" s="66"/>
      <c r="BM880" s="94"/>
      <c r="BN880" s="94"/>
      <c r="BO880" s="92"/>
      <c r="BP880" s="93"/>
      <c r="BQ880" s="23"/>
      <c r="BR880" s="94"/>
      <c r="BS880" s="94"/>
      <c r="BT880" s="94"/>
      <c r="BU880" s="94"/>
      <c r="BV880" s="95"/>
      <c r="BW880" s="91"/>
      <c r="BX880" s="95"/>
      <c r="BY880" s="8"/>
      <c r="BZ880" s="96"/>
      <c r="CA880" s="91"/>
      <c r="CB880" s="97"/>
      <c r="CC880" s="8"/>
      <c r="CD880" s="91"/>
      <c r="CE880" s="98"/>
      <c r="DK880" s="89"/>
      <c r="DL880" s="8"/>
      <c r="DM880" s="8"/>
      <c r="DN880" s="8"/>
      <c r="DO880" s="8"/>
      <c r="DP880" s="8"/>
      <c r="DQ880" s="8"/>
      <c r="DR880" s="8"/>
      <c r="DZ880" s="45"/>
      <c r="EA880" s="89"/>
      <c r="EB880" s="89"/>
      <c r="EC880" s="89"/>
      <c r="ED880" s="89"/>
      <c r="EE880" s="89"/>
      <c r="EF880" s="89"/>
      <c r="EG880" s="89"/>
      <c r="EH880" s="89"/>
      <c r="EI880" s="89"/>
      <c r="EJ880" s="89"/>
      <c r="EK880" s="91"/>
      <c r="EL880" s="66"/>
      <c r="EM880" s="94"/>
      <c r="EN880" s="94"/>
      <c r="EO880" s="92"/>
      <c r="EP880" s="93"/>
      <c r="EQ880" s="23"/>
      <c r="ER880" s="94"/>
      <c r="ES880" s="94"/>
      <c r="ET880" s="94"/>
      <c r="EU880" s="94"/>
      <c r="EV880" s="95"/>
      <c r="EW880" s="91"/>
      <c r="EX880" s="95"/>
      <c r="EY880" s="8"/>
      <c r="EZ880" s="96"/>
      <c r="FA880" s="91"/>
      <c r="FB880" s="97"/>
      <c r="FC880" s="8"/>
      <c r="FD880" s="91"/>
      <c r="FE880" s="98"/>
    </row>
    <row r="881" spans="37:161">
      <c r="AK881" s="89"/>
      <c r="AL881" s="8"/>
      <c r="AM881" s="8"/>
      <c r="AN881" s="8"/>
      <c r="AO881" s="8"/>
      <c r="AP881" s="8"/>
      <c r="AQ881" s="8"/>
      <c r="AR881" s="8"/>
      <c r="AZ881" s="45"/>
      <c r="BA881" s="89"/>
      <c r="BB881" s="89"/>
      <c r="BC881" s="89"/>
      <c r="BD881" s="89"/>
      <c r="BE881" s="89"/>
      <c r="BF881" s="89"/>
      <c r="BG881" s="89"/>
      <c r="BH881" s="89"/>
      <c r="BI881" s="89"/>
      <c r="BJ881" s="89"/>
      <c r="BK881" s="91"/>
      <c r="BL881" s="66"/>
      <c r="BM881" s="94"/>
      <c r="BN881" s="94"/>
      <c r="BO881" s="92"/>
      <c r="BP881" s="93"/>
      <c r="BQ881" s="23"/>
      <c r="BR881" s="94"/>
      <c r="BS881" s="94"/>
      <c r="BT881" s="94"/>
      <c r="BU881" s="94"/>
      <c r="BV881" s="95"/>
      <c r="BW881" s="91"/>
      <c r="BX881" s="95"/>
      <c r="BY881" s="8"/>
      <c r="BZ881" s="96"/>
      <c r="CA881" s="91"/>
      <c r="CB881" s="97"/>
      <c r="CC881" s="8"/>
      <c r="CD881" s="91"/>
      <c r="CE881" s="98"/>
      <c r="DK881" s="89"/>
      <c r="DL881" s="8"/>
      <c r="DM881" s="8"/>
      <c r="DN881" s="8"/>
      <c r="DO881" s="8"/>
      <c r="DP881" s="8"/>
      <c r="DQ881" s="8"/>
      <c r="DR881" s="8"/>
      <c r="DZ881" s="45"/>
      <c r="EA881" s="89"/>
      <c r="EB881" s="89"/>
      <c r="EC881" s="89"/>
      <c r="ED881" s="89"/>
      <c r="EE881" s="89"/>
      <c r="EF881" s="89"/>
      <c r="EG881" s="89"/>
      <c r="EH881" s="89"/>
      <c r="EI881" s="89"/>
      <c r="EJ881" s="89"/>
      <c r="EK881" s="91"/>
      <c r="EL881" s="66"/>
      <c r="EM881" s="94"/>
      <c r="EN881" s="94"/>
      <c r="EO881" s="92"/>
      <c r="EP881" s="93"/>
      <c r="EQ881" s="23"/>
      <c r="ER881" s="94"/>
      <c r="ES881" s="94"/>
      <c r="ET881" s="94"/>
      <c r="EU881" s="94"/>
      <c r="EV881" s="95"/>
      <c r="EW881" s="91"/>
      <c r="EX881" s="95"/>
      <c r="EY881" s="8"/>
      <c r="EZ881" s="96"/>
      <c r="FA881" s="91"/>
      <c r="FB881" s="97"/>
      <c r="FC881" s="8"/>
      <c r="FD881" s="91"/>
      <c r="FE881" s="98"/>
    </row>
    <row r="882" spans="37:161">
      <c r="AK882" s="89"/>
      <c r="AL882" s="8"/>
      <c r="AM882" s="8"/>
      <c r="AN882" s="8"/>
      <c r="AO882" s="8"/>
      <c r="AP882" s="8"/>
      <c r="AQ882" s="8"/>
      <c r="AR882" s="8"/>
      <c r="AZ882" s="45"/>
      <c r="BA882" s="89"/>
      <c r="BB882" s="89"/>
      <c r="BC882" s="89"/>
      <c r="BD882" s="89"/>
      <c r="BE882" s="89"/>
      <c r="BF882" s="89"/>
      <c r="BG882" s="89"/>
      <c r="BH882" s="89"/>
      <c r="BI882" s="89"/>
      <c r="BJ882" s="89"/>
      <c r="BK882" s="91"/>
      <c r="BL882" s="66"/>
      <c r="BM882" s="94"/>
      <c r="BN882" s="94"/>
      <c r="BO882" s="92"/>
      <c r="BP882" s="93"/>
      <c r="BQ882" s="23"/>
      <c r="BR882" s="94"/>
      <c r="BS882" s="94"/>
      <c r="BT882" s="94"/>
      <c r="BU882" s="94"/>
      <c r="BV882" s="95"/>
      <c r="BW882" s="91"/>
      <c r="BX882" s="95"/>
      <c r="BY882" s="8"/>
      <c r="BZ882" s="96"/>
      <c r="CA882" s="91"/>
      <c r="CB882" s="97"/>
      <c r="CC882" s="8"/>
      <c r="CD882" s="91"/>
      <c r="CE882" s="98"/>
      <c r="DK882" s="89"/>
      <c r="DL882" s="8"/>
      <c r="DM882" s="8"/>
      <c r="DN882" s="8"/>
      <c r="DO882" s="8"/>
      <c r="DP882" s="8"/>
      <c r="DQ882" s="8"/>
      <c r="DR882" s="8"/>
      <c r="DZ882" s="45"/>
      <c r="EA882" s="89"/>
      <c r="EB882" s="89"/>
      <c r="EC882" s="89"/>
      <c r="ED882" s="89"/>
      <c r="EE882" s="89"/>
      <c r="EF882" s="89"/>
      <c r="EG882" s="89"/>
      <c r="EH882" s="89"/>
      <c r="EI882" s="89"/>
      <c r="EJ882" s="89"/>
      <c r="EK882" s="91"/>
      <c r="EL882" s="66"/>
      <c r="EM882" s="94"/>
      <c r="EN882" s="94"/>
      <c r="EO882" s="92"/>
      <c r="EP882" s="93"/>
      <c r="EQ882" s="23"/>
      <c r="ER882" s="94"/>
      <c r="ES882" s="94"/>
      <c r="ET882" s="94"/>
      <c r="EU882" s="94"/>
      <c r="EV882" s="95"/>
      <c r="EW882" s="91"/>
      <c r="EX882" s="95"/>
      <c r="EY882" s="8"/>
      <c r="EZ882" s="96"/>
      <c r="FA882" s="91"/>
      <c r="FB882" s="97"/>
      <c r="FC882" s="8"/>
      <c r="FD882" s="91"/>
      <c r="FE882" s="98"/>
    </row>
    <row r="883" spans="37:161">
      <c r="AK883" s="89"/>
      <c r="AL883" s="8"/>
      <c r="AM883" s="8"/>
      <c r="AN883" s="8"/>
      <c r="AO883" s="8"/>
      <c r="AP883" s="8"/>
      <c r="AQ883" s="8"/>
      <c r="AR883" s="8"/>
      <c r="AZ883" s="45"/>
      <c r="BA883" s="89"/>
      <c r="BB883" s="89"/>
      <c r="BC883" s="89"/>
      <c r="BD883" s="89"/>
      <c r="BE883" s="89"/>
      <c r="BF883" s="89"/>
      <c r="BG883" s="89"/>
      <c r="BH883" s="89"/>
      <c r="BI883" s="89"/>
      <c r="BJ883" s="89"/>
      <c r="BK883" s="91"/>
      <c r="BL883" s="66"/>
      <c r="BM883" s="94"/>
      <c r="BN883" s="94"/>
      <c r="BO883" s="92"/>
      <c r="BP883" s="93"/>
      <c r="BQ883" s="23"/>
      <c r="BR883" s="94"/>
      <c r="BS883" s="94"/>
      <c r="BT883" s="94"/>
      <c r="BU883" s="94"/>
      <c r="BV883" s="95"/>
      <c r="BW883" s="91"/>
      <c r="BX883" s="95"/>
      <c r="BY883" s="8"/>
      <c r="BZ883" s="96"/>
      <c r="CA883" s="91"/>
      <c r="CB883" s="97"/>
      <c r="CC883" s="8"/>
      <c r="CD883" s="91"/>
      <c r="CE883" s="98"/>
      <c r="DK883" s="89"/>
      <c r="DL883" s="8"/>
      <c r="DM883" s="8"/>
      <c r="DN883" s="8"/>
      <c r="DO883" s="8"/>
      <c r="DP883" s="8"/>
      <c r="DQ883" s="8"/>
      <c r="DR883" s="8"/>
      <c r="DZ883" s="45"/>
      <c r="EA883" s="89"/>
      <c r="EB883" s="89"/>
      <c r="EC883" s="89"/>
      <c r="ED883" s="89"/>
      <c r="EE883" s="89"/>
      <c r="EF883" s="89"/>
      <c r="EG883" s="89"/>
      <c r="EH883" s="89"/>
      <c r="EI883" s="89"/>
      <c r="EJ883" s="89"/>
      <c r="EK883" s="91"/>
      <c r="EL883" s="66"/>
      <c r="EM883" s="94"/>
      <c r="EN883" s="94"/>
      <c r="EO883" s="92"/>
      <c r="EP883" s="93"/>
      <c r="EQ883" s="23"/>
      <c r="ER883" s="94"/>
      <c r="ES883" s="94"/>
      <c r="ET883" s="94"/>
      <c r="EU883" s="94"/>
      <c r="EV883" s="95"/>
      <c r="EW883" s="91"/>
      <c r="EX883" s="95"/>
      <c r="EY883" s="8"/>
      <c r="EZ883" s="96"/>
      <c r="FA883" s="91"/>
      <c r="FB883" s="97"/>
      <c r="FC883" s="8"/>
      <c r="FD883" s="91"/>
      <c r="FE883" s="98"/>
    </row>
    <row r="884" spans="37:161">
      <c r="AK884" s="89"/>
      <c r="AL884" s="8"/>
      <c r="AM884" s="8"/>
      <c r="AN884" s="8"/>
      <c r="AO884" s="8"/>
      <c r="AP884" s="8"/>
      <c r="AQ884" s="8"/>
      <c r="AR884" s="8"/>
      <c r="AZ884" s="45"/>
      <c r="BA884" s="89"/>
      <c r="BB884" s="89"/>
      <c r="BC884" s="89"/>
      <c r="BD884" s="89"/>
      <c r="BE884" s="89"/>
      <c r="BF884" s="89"/>
      <c r="BG884" s="89"/>
      <c r="BH884" s="89"/>
      <c r="BI884" s="89"/>
      <c r="BJ884" s="89"/>
      <c r="BK884" s="91"/>
      <c r="BL884" s="66"/>
      <c r="BM884" s="94"/>
      <c r="BN884" s="94"/>
      <c r="BO884" s="92"/>
      <c r="BP884" s="93"/>
      <c r="BQ884" s="23"/>
      <c r="BR884" s="94"/>
      <c r="BS884" s="94"/>
      <c r="BT884" s="94"/>
      <c r="BU884" s="94"/>
      <c r="BV884" s="95"/>
      <c r="BW884" s="91"/>
      <c r="BX884" s="95"/>
      <c r="BY884" s="8"/>
      <c r="BZ884" s="96"/>
      <c r="CA884" s="91"/>
      <c r="CB884" s="97"/>
      <c r="CC884" s="8"/>
      <c r="CD884" s="91"/>
      <c r="CE884" s="98"/>
      <c r="DK884" s="89"/>
      <c r="DL884" s="8"/>
      <c r="DM884" s="8"/>
      <c r="DN884" s="8"/>
      <c r="DO884" s="8"/>
      <c r="DP884" s="8"/>
      <c r="DQ884" s="8"/>
      <c r="DR884" s="8"/>
      <c r="DZ884" s="45"/>
      <c r="EA884" s="89"/>
      <c r="EB884" s="89"/>
      <c r="EC884" s="89"/>
      <c r="ED884" s="89"/>
      <c r="EE884" s="89"/>
      <c r="EF884" s="89"/>
      <c r="EG884" s="89"/>
      <c r="EH884" s="89"/>
      <c r="EI884" s="89"/>
      <c r="EJ884" s="89"/>
      <c r="EK884" s="91"/>
      <c r="EL884" s="66"/>
      <c r="EM884" s="94"/>
      <c r="EN884" s="94"/>
      <c r="EO884" s="92"/>
      <c r="EP884" s="93"/>
      <c r="EQ884" s="23"/>
      <c r="ER884" s="94"/>
      <c r="ES884" s="94"/>
      <c r="ET884" s="94"/>
      <c r="EU884" s="94"/>
      <c r="EV884" s="95"/>
      <c r="EW884" s="91"/>
      <c r="EX884" s="95"/>
      <c r="EY884" s="8"/>
      <c r="EZ884" s="96"/>
      <c r="FA884" s="91"/>
      <c r="FB884" s="97"/>
      <c r="FC884" s="8"/>
      <c r="FD884" s="91"/>
      <c r="FE884" s="98"/>
    </row>
    <row r="885" spans="37:161">
      <c r="AK885" s="89"/>
      <c r="AL885" s="8"/>
      <c r="AM885" s="8"/>
      <c r="AN885" s="8"/>
      <c r="AO885" s="8"/>
      <c r="AP885" s="8"/>
      <c r="AQ885" s="8"/>
      <c r="AR885" s="8"/>
      <c r="AZ885" s="45"/>
      <c r="BA885" s="89"/>
      <c r="BB885" s="89"/>
      <c r="BC885" s="89"/>
      <c r="BD885" s="89"/>
      <c r="BE885" s="89"/>
      <c r="BF885" s="89"/>
      <c r="BG885" s="89"/>
      <c r="BH885" s="89"/>
      <c r="BI885" s="89"/>
      <c r="BJ885" s="89"/>
      <c r="BK885" s="91"/>
      <c r="BL885" s="66"/>
      <c r="BM885" s="94"/>
      <c r="BN885" s="94"/>
      <c r="BO885" s="92"/>
      <c r="BP885" s="93"/>
      <c r="BQ885" s="23"/>
      <c r="BR885" s="94"/>
      <c r="BS885" s="94"/>
      <c r="BT885" s="94"/>
      <c r="BU885" s="94"/>
      <c r="BV885" s="95"/>
      <c r="BW885" s="91"/>
      <c r="BX885" s="95"/>
      <c r="BY885" s="8"/>
      <c r="BZ885" s="96"/>
      <c r="CA885" s="91"/>
      <c r="CB885" s="97"/>
      <c r="CC885" s="8"/>
      <c r="CD885" s="91"/>
      <c r="CE885" s="98"/>
      <c r="DK885" s="89"/>
      <c r="DL885" s="8"/>
      <c r="DM885" s="8"/>
      <c r="DN885" s="8"/>
      <c r="DO885" s="8"/>
      <c r="DP885" s="8"/>
      <c r="DQ885" s="8"/>
      <c r="DR885" s="8"/>
      <c r="DZ885" s="45"/>
      <c r="EA885" s="89"/>
      <c r="EB885" s="89"/>
      <c r="EC885" s="89"/>
      <c r="ED885" s="89"/>
      <c r="EE885" s="89"/>
      <c r="EF885" s="89"/>
      <c r="EG885" s="89"/>
      <c r="EH885" s="89"/>
      <c r="EI885" s="89"/>
      <c r="EJ885" s="89"/>
      <c r="EK885" s="91"/>
      <c r="EL885" s="66"/>
      <c r="EM885" s="94"/>
      <c r="EN885" s="94"/>
      <c r="EO885" s="92"/>
      <c r="EP885" s="93"/>
      <c r="EQ885" s="23"/>
      <c r="ER885" s="94"/>
      <c r="ES885" s="94"/>
      <c r="ET885" s="94"/>
      <c r="EU885" s="94"/>
      <c r="EV885" s="95"/>
      <c r="EW885" s="91"/>
      <c r="EX885" s="95"/>
      <c r="EY885" s="8"/>
      <c r="EZ885" s="96"/>
      <c r="FA885" s="91"/>
      <c r="FB885" s="97"/>
      <c r="FC885" s="8"/>
      <c r="FD885" s="91"/>
      <c r="FE885" s="98"/>
    </row>
    <row r="886" spans="37:161">
      <c r="AK886" s="89"/>
      <c r="AL886" s="8"/>
      <c r="AM886" s="8"/>
      <c r="AN886" s="8"/>
      <c r="AO886" s="8"/>
      <c r="AP886" s="8"/>
      <c r="AQ886" s="8"/>
      <c r="AR886" s="8"/>
      <c r="AZ886" s="45"/>
      <c r="BA886" s="89"/>
      <c r="BB886" s="89"/>
      <c r="BC886" s="89"/>
      <c r="BD886" s="89"/>
      <c r="BE886" s="89"/>
      <c r="BF886" s="89"/>
      <c r="BG886" s="89"/>
      <c r="BH886" s="89"/>
      <c r="BI886" s="89"/>
      <c r="BJ886" s="89"/>
      <c r="BK886" s="91"/>
      <c r="BL886" s="66"/>
      <c r="BM886" s="94"/>
      <c r="BN886" s="94"/>
      <c r="BO886" s="92"/>
      <c r="BP886" s="93"/>
      <c r="BQ886" s="23"/>
      <c r="BR886" s="94"/>
      <c r="BS886" s="94"/>
      <c r="BT886" s="94"/>
      <c r="BU886" s="94"/>
      <c r="BV886" s="95"/>
      <c r="BW886" s="91"/>
      <c r="BX886" s="95"/>
      <c r="BY886" s="8"/>
      <c r="BZ886" s="96"/>
      <c r="CA886" s="91"/>
      <c r="CB886" s="97"/>
      <c r="CC886" s="8"/>
      <c r="CD886" s="91"/>
      <c r="CE886" s="98"/>
      <c r="DK886" s="89"/>
      <c r="DL886" s="8"/>
      <c r="DM886" s="8"/>
      <c r="DN886" s="8"/>
      <c r="DO886" s="8"/>
      <c r="DP886" s="8"/>
      <c r="DQ886" s="8"/>
      <c r="DR886" s="8"/>
      <c r="DZ886" s="45"/>
      <c r="EA886" s="89"/>
      <c r="EB886" s="89"/>
      <c r="EC886" s="89"/>
      <c r="ED886" s="89"/>
      <c r="EE886" s="89"/>
      <c r="EF886" s="89"/>
      <c r="EG886" s="89"/>
      <c r="EH886" s="89"/>
      <c r="EI886" s="89"/>
      <c r="EJ886" s="89"/>
      <c r="EK886" s="91"/>
      <c r="EL886" s="66"/>
      <c r="EM886" s="94"/>
      <c r="EN886" s="94"/>
      <c r="EO886" s="92"/>
      <c r="EP886" s="93"/>
      <c r="EQ886" s="23"/>
      <c r="ER886" s="94"/>
      <c r="ES886" s="94"/>
      <c r="ET886" s="94"/>
      <c r="EU886" s="94"/>
      <c r="EV886" s="95"/>
      <c r="EW886" s="91"/>
      <c r="EX886" s="95"/>
      <c r="EY886" s="8"/>
      <c r="EZ886" s="96"/>
      <c r="FA886" s="91"/>
      <c r="FB886" s="97"/>
      <c r="FC886" s="8"/>
      <c r="FD886" s="91"/>
      <c r="FE886" s="98"/>
    </row>
    <row r="887" spans="37:161">
      <c r="AK887" s="89"/>
      <c r="AL887" s="8"/>
      <c r="AM887" s="8"/>
      <c r="AN887" s="8"/>
      <c r="AO887" s="8"/>
      <c r="AP887" s="8"/>
      <c r="AQ887" s="8"/>
      <c r="AR887" s="8"/>
      <c r="AZ887" s="45"/>
      <c r="BA887" s="89"/>
      <c r="BB887" s="89"/>
      <c r="BC887" s="89"/>
      <c r="BD887" s="89"/>
      <c r="BE887" s="89"/>
      <c r="BF887" s="89"/>
      <c r="BG887" s="89"/>
      <c r="BH887" s="89"/>
      <c r="BI887" s="89"/>
      <c r="BJ887" s="89"/>
      <c r="BK887" s="91"/>
      <c r="BL887" s="66"/>
      <c r="BM887" s="94"/>
      <c r="BN887" s="94"/>
      <c r="BO887" s="92"/>
      <c r="BP887" s="93"/>
      <c r="BQ887" s="23"/>
      <c r="BR887" s="94"/>
      <c r="BS887" s="94"/>
      <c r="BT887" s="94"/>
      <c r="BU887" s="94"/>
      <c r="BV887" s="95"/>
      <c r="BW887" s="91"/>
      <c r="BX887" s="95"/>
      <c r="BY887" s="8"/>
      <c r="BZ887" s="96"/>
      <c r="CA887" s="91"/>
      <c r="CB887" s="97"/>
      <c r="CC887" s="8"/>
      <c r="CD887" s="91"/>
      <c r="CE887" s="98"/>
      <c r="DK887" s="89"/>
      <c r="DL887" s="8"/>
      <c r="DM887" s="8"/>
      <c r="DN887" s="8"/>
      <c r="DO887" s="8"/>
      <c r="DP887" s="8"/>
      <c r="DQ887" s="8"/>
      <c r="DR887" s="8"/>
      <c r="DZ887" s="45"/>
      <c r="EA887" s="89"/>
      <c r="EB887" s="89"/>
      <c r="EC887" s="89"/>
      <c r="ED887" s="89"/>
      <c r="EE887" s="89"/>
      <c r="EF887" s="89"/>
      <c r="EG887" s="89"/>
      <c r="EH887" s="89"/>
      <c r="EI887" s="89"/>
      <c r="EJ887" s="89"/>
      <c r="EK887" s="91"/>
      <c r="EL887" s="66"/>
      <c r="EM887" s="94"/>
      <c r="EN887" s="94"/>
      <c r="EO887" s="92"/>
      <c r="EP887" s="93"/>
      <c r="EQ887" s="23"/>
      <c r="ER887" s="94"/>
      <c r="ES887" s="94"/>
      <c r="ET887" s="94"/>
      <c r="EU887" s="94"/>
      <c r="EV887" s="95"/>
      <c r="EW887" s="91"/>
      <c r="EX887" s="95"/>
      <c r="EY887" s="8"/>
      <c r="EZ887" s="96"/>
      <c r="FA887" s="91"/>
      <c r="FB887" s="97"/>
      <c r="FC887" s="8"/>
      <c r="FD887" s="91"/>
      <c r="FE887" s="98"/>
    </row>
    <row r="888" spans="37:161">
      <c r="AK888" s="89"/>
      <c r="AL888" s="8"/>
      <c r="AM888" s="8"/>
      <c r="AN888" s="8"/>
      <c r="AO888" s="8"/>
      <c r="AP888" s="8"/>
      <c r="AQ888" s="8"/>
      <c r="AR888" s="8"/>
      <c r="AZ888" s="45"/>
      <c r="BA888" s="89"/>
      <c r="BB888" s="89"/>
      <c r="BC888" s="89"/>
      <c r="BD888" s="89"/>
      <c r="BE888" s="89"/>
      <c r="BF888" s="89"/>
      <c r="BG888" s="89"/>
      <c r="BH888" s="89"/>
      <c r="BI888" s="89"/>
      <c r="BJ888" s="89"/>
      <c r="BK888" s="91"/>
      <c r="BL888" s="66"/>
      <c r="BM888" s="94"/>
      <c r="BN888" s="94"/>
      <c r="BO888" s="92"/>
      <c r="BP888" s="93"/>
      <c r="BQ888" s="23"/>
      <c r="BR888" s="94"/>
      <c r="BS888" s="94"/>
      <c r="BT888" s="94"/>
      <c r="BU888" s="94"/>
      <c r="BV888" s="95"/>
      <c r="BW888" s="91"/>
      <c r="BX888" s="95"/>
      <c r="BY888" s="8"/>
      <c r="BZ888" s="96"/>
      <c r="CA888" s="91"/>
      <c r="CB888" s="97"/>
      <c r="CC888" s="8"/>
      <c r="CD888" s="91"/>
      <c r="CE888" s="98"/>
      <c r="DK888" s="89"/>
      <c r="DL888" s="8"/>
      <c r="DM888" s="8"/>
      <c r="DN888" s="8"/>
      <c r="DO888" s="8"/>
      <c r="DP888" s="8"/>
      <c r="DQ888" s="8"/>
      <c r="DR888" s="8"/>
      <c r="DZ888" s="45"/>
      <c r="EA888" s="89"/>
      <c r="EB888" s="89"/>
      <c r="EC888" s="89"/>
      <c r="ED888" s="89"/>
      <c r="EE888" s="89"/>
      <c r="EF888" s="89"/>
      <c r="EG888" s="89"/>
      <c r="EH888" s="89"/>
      <c r="EI888" s="89"/>
      <c r="EJ888" s="89"/>
      <c r="EK888" s="91"/>
      <c r="EL888" s="66"/>
      <c r="EM888" s="94"/>
      <c r="EN888" s="94"/>
      <c r="EO888" s="92"/>
      <c r="EP888" s="93"/>
      <c r="EQ888" s="23"/>
      <c r="ER888" s="94"/>
      <c r="ES888" s="94"/>
      <c r="ET888" s="94"/>
      <c r="EU888" s="94"/>
      <c r="EV888" s="95"/>
      <c r="EW888" s="91"/>
      <c r="EX888" s="95"/>
      <c r="EY888" s="8"/>
      <c r="EZ888" s="96"/>
      <c r="FA888" s="91"/>
      <c r="FB888" s="97"/>
      <c r="FC888" s="8"/>
      <c r="FD888" s="91"/>
      <c r="FE888" s="98"/>
    </row>
    <row r="889" spans="37:161">
      <c r="AK889" s="89"/>
      <c r="AL889" s="8"/>
      <c r="AM889" s="8"/>
      <c r="AN889" s="8"/>
      <c r="AO889" s="8"/>
      <c r="AP889" s="8"/>
      <c r="AQ889" s="8"/>
      <c r="AR889" s="8"/>
      <c r="AZ889" s="45"/>
      <c r="BA889" s="89"/>
      <c r="BB889" s="89"/>
      <c r="BC889" s="89"/>
      <c r="BD889" s="89"/>
      <c r="BE889" s="89"/>
      <c r="BF889" s="89"/>
      <c r="BG889" s="89"/>
      <c r="BH889" s="89"/>
      <c r="BI889" s="89"/>
      <c r="BJ889" s="89"/>
      <c r="BK889" s="91"/>
      <c r="BL889" s="66"/>
      <c r="BM889" s="94"/>
      <c r="BN889" s="94"/>
      <c r="BO889" s="92"/>
      <c r="BP889" s="93"/>
      <c r="BQ889" s="23"/>
      <c r="BR889" s="94"/>
      <c r="BS889" s="94"/>
      <c r="BT889" s="94"/>
      <c r="BU889" s="94"/>
      <c r="BV889" s="95"/>
      <c r="BW889" s="91"/>
      <c r="BX889" s="95"/>
      <c r="BY889" s="8"/>
      <c r="BZ889" s="96"/>
      <c r="CA889" s="91"/>
      <c r="CB889" s="97"/>
      <c r="CC889" s="8"/>
      <c r="CD889" s="91"/>
      <c r="CE889" s="98"/>
      <c r="DK889" s="89"/>
      <c r="DL889" s="8"/>
      <c r="DM889" s="8"/>
      <c r="DN889" s="8"/>
      <c r="DO889" s="8"/>
      <c r="DP889" s="8"/>
      <c r="DQ889" s="8"/>
      <c r="DR889" s="8"/>
      <c r="DZ889" s="45"/>
      <c r="EA889" s="89"/>
      <c r="EB889" s="89"/>
      <c r="EC889" s="89"/>
      <c r="ED889" s="89"/>
      <c r="EE889" s="89"/>
      <c r="EF889" s="89"/>
      <c r="EG889" s="89"/>
      <c r="EH889" s="89"/>
      <c r="EI889" s="89"/>
      <c r="EJ889" s="89"/>
      <c r="EK889" s="91"/>
      <c r="EL889" s="66"/>
      <c r="EM889" s="94"/>
      <c r="EN889" s="94"/>
      <c r="EO889" s="92"/>
      <c r="EP889" s="93"/>
      <c r="EQ889" s="23"/>
      <c r="ER889" s="94"/>
      <c r="ES889" s="94"/>
      <c r="ET889" s="94"/>
      <c r="EU889" s="94"/>
      <c r="EV889" s="95"/>
      <c r="EW889" s="91"/>
      <c r="EX889" s="95"/>
      <c r="EY889" s="8"/>
      <c r="EZ889" s="96"/>
      <c r="FA889" s="91"/>
      <c r="FB889" s="97"/>
      <c r="FC889" s="8"/>
      <c r="FD889" s="91"/>
      <c r="FE889" s="98"/>
    </row>
    <row r="890" spans="37:161">
      <c r="AK890" s="89"/>
      <c r="AL890" s="8"/>
      <c r="AM890" s="8"/>
      <c r="AN890" s="8"/>
      <c r="AO890" s="8"/>
      <c r="AP890" s="8"/>
      <c r="AQ890" s="8"/>
      <c r="AR890" s="8"/>
      <c r="AZ890" s="45"/>
      <c r="BA890" s="89"/>
      <c r="BB890" s="89"/>
      <c r="BC890" s="89"/>
      <c r="BD890" s="89"/>
      <c r="BE890" s="89"/>
      <c r="BF890" s="89"/>
      <c r="BG890" s="89"/>
      <c r="BH890" s="89"/>
      <c r="BI890" s="89"/>
      <c r="BJ890" s="89"/>
      <c r="BK890" s="91"/>
      <c r="BL890" s="66"/>
      <c r="BM890" s="94"/>
      <c r="BN890" s="94"/>
      <c r="BO890" s="92"/>
      <c r="BP890" s="93"/>
      <c r="BQ890" s="23"/>
      <c r="BR890" s="94"/>
      <c r="BS890" s="94"/>
      <c r="BT890" s="94"/>
      <c r="BU890" s="94"/>
      <c r="BV890" s="95"/>
      <c r="BW890" s="91"/>
      <c r="BX890" s="95"/>
      <c r="BY890" s="8"/>
      <c r="BZ890" s="96"/>
      <c r="CA890" s="91"/>
      <c r="CB890" s="97"/>
      <c r="CC890" s="8"/>
      <c r="CD890" s="91"/>
      <c r="CE890" s="98"/>
      <c r="DK890" s="89"/>
      <c r="DL890" s="8"/>
      <c r="DM890" s="8"/>
      <c r="DN890" s="8"/>
      <c r="DO890" s="8"/>
      <c r="DP890" s="8"/>
      <c r="DQ890" s="8"/>
      <c r="DR890" s="8"/>
      <c r="DZ890" s="45"/>
      <c r="EA890" s="89"/>
      <c r="EB890" s="89"/>
      <c r="EC890" s="89"/>
      <c r="ED890" s="89"/>
      <c r="EE890" s="89"/>
      <c r="EF890" s="89"/>
      <c r="EG890" s="89"/>
      <c r="EH890" s="89"/>
      <c r="EI890" s="89"/>
      <c r="EJ890" s="89"/>
      <c r="EK890" s="91"/>
      <c r="EL890" s="66"/>
      <c r="EM890" s="94"/>
      <c r="EN890" s="94"/>
      <c r="EO890" s="92"/>
      <c r="EP890" s="93"/>
      <c r="EQ890" s="23"/>
      <c r="ER890" s="94"/>
      <c r="ES890" s="94"/>
      <c r="ET890" s="94"/>
      <c r="EU890" s="94"/>
      <c r="EV890" s="95"/>
      <c r="EW890" s="91"/>
      <c r="EX890" s="95"/>
      <c r="EY890" s="8"/>
      <c r="EZ890" s="96"/>
      <c r="FA890" s="91"/>
      <c r="FB890" s="97"/>
      <c r="FC890" s="8"/>
      <c r="FD890" s="91"/>
      <c r="FE890" s="98"/>
    </row>
    <row r="891" spans="37:161">
      <c r="AK891" s="89"/>
      <c r="AL891" s="8"/>
      <c r="AM891" s="8"/>
      <c r="AN891" s="8"/>
      <c r="AO891" s="8"/>
      <c r="AP891" s="8"/>
      <c r="AQ891" s="8"/>
      <c r="AR891" s="8"/>
      <c r="AZ891" s="45"/>
      <c r="BA891" s="89"/>
      <c r="BB891" s="89"/>
      <c r="BC891" s="89"/>
      <c r="BD891" s="89"/>
      <c r="BE891" s="89"/>
      <c r="BF891" s="89"/>
      <c r="BG891" s="89"/>
      <c r="BH891" s="89"/>
      <c r="BI891" s="89"/>
      <c r="BJ891" s="89"/>
      <c r="BK891" s="91"/>
      <c r="BL891" s="66"/>
      <c r="BM891" s="94"/>
      <c r="BN891" s="94"/>
      <c r="BO891" s="92"/>
      <c r="BP891" s="93"/>
      <c r="BQ891" s="23"/>
      <c r="BR891" s="94"/>
      <c r="BS891" s="94"/>
      <c r="BT891" s="94"/>
      <c r="BU891" s="94"/>
      <c r="BV891" s="95"/>
      <c r="BW891" s="91"/>
      <c r="BX891" s="95"/>
      <c r="BY891" s="8"/>
      <c r="BZ891" s="96"/>
      <c r="CA891" s="91"/>
      <c r="CB891" s="97"/>
      <c r="CC891" s="8"/>
      <c r="CD891" s="91"/>
      <c r="CE891" s="98"/>
      <c r="DK891" s="89"/>
      <c r="DL891" s="8"/>
      <c r="DM891" s="8"/>
      <c r="DN891" s="8"/>
      <c r="DO891" s="8"/>
      <c r="DP891" s="8"/>
      <c r="DQ891" s="8"/>
      <c r="DR891" s="8"/>
      <c r="DZ891" s="45"/>
      <c r="EA891" s="89"/>
      <c r="EB891" s="89"/>
      <c r="EC891" s="89"/>
      <c r="ED891" s="89"/>
      <c r="EE891" s="89"/>
      <c r="EF891" s="89"/>
      <c r="EG891" s="89"/>
      <c r="EH891" s="89"/>
      <c r="EI891" s="89"/>
      <c r="EJ891" s="89"/>
      <c r="EK891" s="91"/>
      <c r="EL891" s="66"/>
      <c r="EM891" s="94"/>
      <c r="EN891" s="94"/>
      <c r="EO891" s="92"/>
      <c r="EP891" s="93"/>
      <c r="EQ891" s="23"/>
      <c r="ER891" s="94"/>
      <c r="ES891" s="94"/>
      <c r="ET891" s="94"/>
      <c r="EU891" s="94"/>
      <c r="EV891" s="95"/>
      <c r="EW891" s="91"/>
      <c r="EX891" s="95"/>
      <c r="EY891" s="8"/>
      <c r="EZ891" s="96"/>
      <c r="FA891" s="91"/>
      <c r="FB891" s="97"/>
      <c r="FC891" s="8"/>
      <c r="FD891" s="91"/>
      <c r="FE891" s="98"/>
    </row>
    <row r="892" spans="37:161">
      <c r="AK892" s="89"/>
      <c r="AL892" s="8"/>
      <c r="AM892" s="8"/>
      <c r="AN892" s="8"/>
      <c r="AO892" s="8"/>
      <c r="AP892" s="8"/>
      <c r="AQ892" s="8"/>
      <c r="AR892" s="8"/>
      <c r="AZ892" s="45"/>
      <c r="BA892" s="89"/>
      <c r="BB892" s="89"/>
      <c r="BC892" s="89"/>
      <c r="BD892" s="89"/>
      <c r="BE892" s="89"/>
      <c r="BF892" s="89"/>
      <c r="BG892" s="89"/>
      <c r="BH892" s="89"/>
      <c r="BI892" s="89"/>
      <c r="BJ892" s="89"/>
      <c r="BK892" s="91"/>
      <c r="BL892" s="66"/>
      <c r="BM892" s="94"/>
      <c r="BN892" s="94"/>
      <c r="BO892" s="92"/>
      <c r="BP892" s="93"/>
      <c r="BQ892" s="23"/>
      <c r="BR892" s="94"/>
      <c r="BS892" s="94"/>
      <c r="BT892" s="94"/>
      <c r="BU892" s="94"/>
      <c r="BV892" s="95"/>
      <c r="BW892" s="91"/>
      <c r="BX892" s="95"/>
      <c r="BY892" s="8"/>
      <c r="BZ892" s="96"/>
      <c r="CA892" s="91"/>
      <c r="CB892" s="97"/>
      <c r="CC892" s="8"/>
      <c r="CD892" s="91"/>
      <c r="CE892" s="98"/>
      <c r="DK892" s="89"/>
      <c r="DL892" s="8"/>
      <c r="DM892" s="8"/>
      <c r="DN892" s="8"/>
      <c r="DO892" s="8"/>
      <c r="DP892" s="8"/>
      <c r="DQ892" s="8"/>
      <c r="DR892" s="8"/>
      <c r="DZ892" s="45"/>
      <c r="EA892" s="89"/>
      <c r="EB892" s="89"/>
      <c r="EC892" s="89"/>
      <c r="ED892" s="89"/>
      <c r="EE892" s="89"/>
      <c r="EF892" s="89"/>
      <c r="EG892" s="89"/>
      <c r="EH892" s="89"/>
      <c r="EI892" s="89"/>
      <c r="EJ892" s="89"/>
      <c r="EK892" s="91"/>
      <c r="EL892" s="66"/>
      <c r="EM892" s="94"/>
      <c r="EN892" s="94"/>
      <c r="EO892" s="92"/>
      <c r="EP892" s="93"/>
      <c r="EQ892" s="23"/>
      <c r="ER892" s="94"/>
      <c r="ES892" s="94"/>
      <c r="ET892" s="94"/>
      <c r="EU892" s="94"/>
      <c r="EV892" s="95"/>
      <c r="EW892" s="91"/>
      <c r="EX892" s="95"/>
      <c r="EY892" s="8"/>
      <c r="EZ892" s="96"/>
      <c r="FA892" s="91"/>
      <c r="FB892" s="97"/>
      <c r="FC892" s="8"/>
      <c r="FD892" s="91"/>
      <c r="FE892" s="98"/>
    </row>
    <row r="893" spans="37:161">
      <c r="AK893" s="89"/>
      <c r="AL893" s="8"/>
      <c r="AM893" s="8"/>
      <c r="AN893" s="8"/>
      <c r="AO893" s="8"/>
      <c r="AP893" s="8"/>
      <c r="AQ893" s="8"/>
      <c r="AR893" s="8"/>
      <c r="AZ893" s="45"/>
      <c r="BA893" s="89"/>
      <c r="BB893" s="89"/>
      <c r="BC893" s="89"/>
      <c r="BD893" s="89"/>
      <c r="BE893" s="89"/>
      <c r="BF893" s="89"/>
      <c r="BG893" s="89"/>
      <c r="BH893" s="89"/>
      <c r="BI893" s="89"/>
      <c r="BJ893" s="89"/>
      <c r="BK893" s="91"/>
      <c r="BL893" s="66"/>
      <c r="BM893" s="94"/>
      <c r="BN893" s="94"/>
      <c r="BO893" s="92"/>
      <c r="BP893" s="93"/>
      <c r="BQ893" s="23"/>
      <c r="BR893" s="94"/>
      <c r="BS893" s="94"/>
      <c r="BT893" s="94"/>
      <c r="BU893" s="94"/>
      <c r="BV893" s="95"/>
      <c r="BW893" s="91"/>
      <c r="BX893" s="95"/>
      <c r="BY893" s="8"/>
      <c r="BZ893" s="96"/>
      <c r="CA893" s="91"/>
      <c r="CB893" s="97"/>
      <c r="CC893" s="8"/>
      <c r="CD893" s="91"/>
      <c r="CE893" s="98"/>
      <c r="DK893" s="89"/>
      <c r="DL893" s="8"/>
      <c r="DM893" s="8"/>
      <c r="DN893" s="8"/>
      <c r="DO893" s="8"/>
      <c r="DP893" s="8"/>
      <c r="DQ893" s="8"/>
      <c r="DR893" s="8"/>
      <c r="DZ893" s="45"/>
      <c r="EA893" s="89"/>
      <c r="EB893" s="89"/>
      <c r="EC893" s="89"/>
      <c r="ED893" s="89"/>
      <c r="EE893" s="89"/>
      <c r="EF893" s="89"/>
      <c r="EG893" s="89"/>
      <c r="EH893" s="89"/>
      <c r="EI893" s="89"/>
      <c r="EJ893" s="89"/>
      <c r="EK893" s="91"/>
      <c r="EL893" s="66"/>
      <c r="EM893" s="94"/>
      <c r="EN893" s="94"/>
      <c r="EO893" s="92"/>
      <c r="EP893" s="93"/>
      <c r="EQ893" s="23"/>
      <c r="ER893" s="94"/>
      <c r="ES893" s="94"/>
      <c r="ET893" s="94"/>
      <c r="EU893" s="94"/>
      <c r="EV893" s="95"/>
      <c r="EW893" s="91"/>
      <c r="EX893" s="95"/>
      <c r="EY893" s="8"/>
      <c r="EZ893" s="96"/>
      <c r="FA893" s="91"/>
      <c r="FB893" s="97"/>
      <c r="FC893" s="8"/>
      <c r="FD893" s="91"/>
      <c r="FE893" s="98"/>
    </row>
    <row r="894" spans="37:161">
      <c r="AK894" s="89"/>
      <c r="AL894" s="8"/>
      <c r="AM894" s="8"/>
      <c r="AN894" s="8"/>
      <c r="AO894" s="8"/>
      <c r="AP894" s="8"/>
      <c r="AQ894" s="8"/>
      <c r="AR894" s="8"/>
      <c r="AZ894" s="45"/>
      <c r="BA894" s="89"/>
      <c r="BB894" s="89"/>
      <c r="BC894" s="89"/>
      <c r="BD894" s="89"/>
      <c r="BE894" s="89"/>
      <c r="BF894" s="89"/>
      <c r="BG894" s="89"/>
      <c r="BH894" s="89"/>
      <c r="BI894" s="89"/>
      <c r="BJ894" s="89"/>
      <c r="BK894" s="91"/>
      <c r="BL894" s="66"/>
      <c r="BM894" s="94"/>
      <c r="BN894" s="94"/>
      <c r="BO894" s="92"/>
      <c r="BP894" s="93"/>
      <c r="BQ894" s="23"/>
      <c r="BR894" s="94"/>
      <c r="BS894" s="94"/>
      <c r="BT894" s="94"/>
      <c r="BU894" s="94"/>
      <c r="BV894" s="95"/>
      <c r="BW894" s="91"/>
      <c r="BX894" s="95"/>
      <c r="BY894" s="8"/>
      <c r="BZ894" s="96"/>
      <c r="CA894" s="91"/>
      <c r="CB894" s="97"/>
      <c r="CC894" s="8"/>
      <c r="CD894" s="91"/>
      <c r="CE894" s="98"/>
      <c r="DK894" s="89"/>
      <c r="DL894" s="8"/>
      <c r="DM894" s="8"/>
      <c r="DN894" s="8"/>
      <c r="DO894" s="8"/>
      <c r="DP894" s="8"/>
      <c r="DQ894" s="8"/>
      <c r="DR894" s="8"/>
      <c r="DZ894" s="45"/>
      <c r="EA894" s="89"/>
      <c r="EB894" s="89"/>
      <c r="EC894" s="89"/>
      <c r="ED894" s="89"/>
      <c r="EE894" s="89"/>
      <c r="EF894" s="89"/>
      <c r="EG894" s="89"/>
      <c r="EH894" s="89"/>
      <c r="EI894" s="89"/>
      <c r="EJ894" s="89"/>
      <c r="EK894" s="91"/>
      <c r="EL894" s="66"/>
      <c r="EM894" s="94"/>
      <c r="EN894" s="94"/>
      <c r="EO894" s="92"/>
      <c r="EP894" s="93"/>
      <c r="EQ894" s="23"/>
      <c r="ER894" s="94"/>
      <c r="ES894" s="94"/>
      <c r="ET894" s="94"/>
      <c r="EU894" s="94"/>
      <c r="EV894" s="95"/>
      <c r="EW894" s="91"/>
      <c r="EX894" s="95"/>
      <c r="EY894" s="8"/>
      <c r="EZ894" s="96"/>
      <c r="FA894" s="91"/>
      <c r="FB894" s="97"/>
      <c r="FC894" s="8"/>
      <c r="FD894" s="91"/>
      <c r="FE894" s="98"/>
    </row>
    <row r="895" spans="37:161">
      <c r="AK895" s="89"/>
      <c r="AL895" s="8"/>
      <c r="AM895" s="8"/>
      <c r="AN895" s="8"/>
      <c r="AO895" s="8"/>
      <c r="AP895" s="8"/>
      <c r="AQ895" s="8"/>
      <c r="AR895" s="8"/>
      <c r="AZ895" s="45"/>
      <c r="BA895" s="89"/>
      <c r="BB895" s="89"/>
      <c r="BC895" s="89"/>
      <c r="BD895" s="89"/>
      <c r="BE895" s="89"/>
      <c r="BF895" s="89"/>
      <c r="BG895" s="89"/>
      <c r="BH895" s="89"/>
      <c r="BI895" s="89"/>
      <c r="BJ895" s="89"/>
      <c r="BK895" s="91"/>
      <c r="BL895" s="66"/>
      <c r="BM895" s="94"/>
      <c r="BN895" s="94"/>
      <c r="BO895" s="92"/>
      <c r="BP895" s="93"/>
      <c r="BQ895" s="23"/>
      <c r="BR895" s="94"/>
      <c r="BS895" s="94"/>
      <c r="BT895" s="94"/>
      <c r="BU895" s="94"/>
      <c r="BV895" s="95"/>
      <c r="BW895" s="91"/>
      <c r="BX895" s="95"/>
      <c r="BY895" s="8"/>
      <c r="BZ895" s="96"/>
      <c r="CA895" s="91"/>
      <c r="CB895" s="97"/>
      <c r="CC895" s="8"/>
      <c r="CD895" s="91"/>
      <c r="CE895" s="98"/>
      <c r="DK895" s="89"/>
      <c r="DL895" s="8"/>
      <c r="DM895" s="8"/>
      <c r="DN895" s="8"/>
      <c r="DO895" s="8"/>
      <c r="DP895" s="8"/>
      <c r="DQ895" s="8"/>
      <c r="DR895" s="8"/>
      <c r="DZ895" s="45"/>
      <c r="EA895" s="89"/>
      <c r="EB895" s="89"/>
      <c r="EC895" s="89"/>
      <c r="ED895" s="89"/>
      <c r="EE895" s="89"/>
      <c r="EF895" s="89"/>
      <c r="EG895" s="89"/>
      <c r="EH895" s="89"/>
      <c r="EI895" s="89"/>
      <c r="EJ895" s="89"/>
      <c r="EK895" s="91"/>
      <c r="EL895" s="66"/>
      <c r="EM895" s="94"/>
      <c r="EN895" s="94"/>
      <c r="EO895" s="92"/>
      <c r="EP895" s="93"/>
      <c r="EQ895" s="23"/>
      <c r="ER895" s="94"/>
      <c r="ES895" s="94"/>
      <c r="ET895" s="94"/>
      <c r="EU895" s="94"/>
      <c r="EV895" s="95"/>
      <c r="EW895" s="91"/>
      <c r="EX895" s="95"/>
      <c r="EY895" s="8"/>
      <c r="EZ895" s="96"/>
      <c r="FA895" s="91"/>
      <c r="FB895" s="97"/>
      <c r="FC895" s="8"/>
      <c r="FD895" s="91"/>
      <c r="FE895" s="98"/>
    </row>
    <row r="896" spans="37:161">
      <c r="AK896" s="89"/>
      <c r="AL896" s="8"/>
      <c r="AM896" s="8"/>
      <c r="AN896" s="8"/>
      <c r="AO896" s="8"/>
      <c r="AP896" s="8"/>
      <c r="AQ896" s="8"/>
      <c r="AR896" s="8"/>
      <c r="AZ896" s="45"/>
      <c r="BA896" s="89"/>
      <c r="BB896" s="89"/>
      <c r="BC896" s="89"/>
      <c r="BD896" s="89"/>
      <c r="BE896" s="89"/>
      <c r="BF896" s="89"/>
      <c r="BG896" s="89"/>
      <c r="BH896" s="89"/>
      <c r="BI896" s="89"/>
      <c r="BJ896" s="89"/>
      <c r="BK896" s="91"/>
      <c r="BL896" s="66"/>
      <c r="BM896" s="94"/>
      <c r="BN896" s="94"/>
      <c r="BO896" s="92"/>
      <c r="BP896" s="93"/>
      <c r="BQ896" s="23"/>
      <c r="BR896" s="94"/>
      <c r="BS896" s="94"/>
      <c r="BT896" s="94"/>
      <c r="BU896" s="94"/>
      <c r="BV896" s="95"/>
      <c r="BW896" s="91"/>
      <c r="BX896" s="95"/>
      <c r="BY896" s="8"/>
      <c r="BZ896" s="96"/>
      <c r="CA896" s="91"/>
      <c r="CB896" s="97"/>
      <c r="CC896" s="8"/>
      <c r="CD896" s="91"/>
      <c r="CE896" s="98"/>
      <c r="DK896" s="89"/>
      <c r="DL896" s="8"/>
      <c r="DM896" s="8"/>
      <c r="DN896" s="8"/>
      <c r="DO896" s="8"/>
      <c r="DP896" s="8"/>
      <c r="DQ896" s="8"/>
      <c r="DR896" s="8"/>
      <c r="DZ896" s="45"/>
      <c r="EA896" s="89"/>
      <c r="EB896" s="89"/>
      <c r="EC896" s="89"/>
      <c r="ED896" s="89"/>
      <c r="EE896" s="89"/>
      <c r="EF896" s="89"/>
      <c r="EG896" s="89"/>
      <c r="EH896" s="89"/>
      <c r="EI896" s="89"/>
      <c r="EJ896" s="89"/>
      <c r="EK896" s="91"/>
      <c r="EL896" s="66"/>
      <c r="EM896" s="94"/>
      <c r="EN896" s="94"/>
      <c r="EO896" s="92"/>
      <c r="EP896" s="93"/>
      <c r="EQ896" s="23"/>
      <c r="ER896" s="94"/>
      <c r="ES896" s="94"/>
      <c r="ET896" s="94"/>
      <c r="EU896" s="94"/>
      <c r="EV896" s="95"/>
      <c r="EW896" s="91"/>
      <c r="EX896" s="95"/>
      <c r="EY896" s="8"/>
      <c r="EZ896" s="96"/>
      <c r="FA896" s="91"/>
      <c r="FB896" s="97"/>
      <c r="FC896" s="8"/>
      <c r="FD896" s="91"/>
      <c r="FE896" s="98"/>
    </row>
    <row r="897" spans="37:161">
      <c r="AK897" s="89"/>
      <c r="AL897" s="8"/>
      <c r="AM897" s="8"/>
      <c r="AN897" s="8"/>
      <c r="AO897" s="8"/>
      <c r="AP897" s="8"/>
      <c r="AQ897" s="8"/>
      <c r="AR897" s="8"/>
      <c r="AZ897" s="45"/>
      <c r="BA897" s="89"/>
      <c r="BB897" s="89"/>
      <c r="BC897" s="89"/>
      <c r="BD897" s="89"/>
      <c r="BE897" s="89"/>
      <c r="BF897" s="89"/>
      <c r="BG897" s="89"/>
      <c r="BH897" s="89"/>
      <c r="BI897" s="89"/>
      <c r="BJ897" s="89"/>
      <c r="BK897" s="91"/>
      <c r="BL897" s="66"/>
      <c r="BM897" s="94"/>
      <c r="BN897" s="94"/>
      <c r="BO897" s="92"/>
      <c r="BP897" s="93"/>
      <c r="BQ897" s="23"/>
      <c r="BR897" s="94"/>
      <c r="BS897" s="94"/>
      <c r="BT897" s="94"/>
      <c r="BU897" s="94"/>
      <c r="BV897" s="95"/>
      <c r="BW897" s="91"/>
      <c r="BX897" s="95"/>
      <c r="BY897" s="8"/>
      <c r="BZ897" s="96"/>
      <c r="CA897" s="91"/>
      <c r="CB897" s="97"/>
      <c r="CC897" s="8"/>
      <c r="CD897" s="91"/>
      <c r="CE897" s="98"/>
      <c r="DK897" s="89"/>
      <c r="DL897" s="8"/>
      <c r="DM897" s="8"/>
      <c r="DN897" s="8"/>
      <c r="DO897" s="8"/>
      <c r="DP897" s="8"/>
      <c r="DQ897" s="8"/>
      <c r="DR897" s="8"/>
      <c r="DZ897" s="45"/>
      <c r="EA897" s="89"/>
      <c r="EB897" s="89"/>
      <c r="EC897" s="89"/>
      <c r="ED897" s="89"/>
      <c r="EE897" s="89"/>
      <c r="EF897" s="89"/>
      <c r="EG897" s="89"/>
      <c r="EH897" s="89"/>
      <c r="EI897" s="89"/>
      <c r="EJ897" s="89"/>
      <c r="EK897" s="91"/>
      <c r="EL897" s="66"/>
      <c r="EM897" s="94"/>
      <c r="EN897" s="94"/>
      <c r="EO897" s="92"/>
      <c r="EP897" s="93"/>
      <c r="EQ897" s="23"/>
      <c r="ER897" s="94"/>
      <c r="ES897" s="94"/>
      <c r="ET897" s="94"/>
      <c r="EU897" s="94"/>
      <c r="EV897" s="95"/>
      <c r="EW897" s="91"/>
      <c r="EX897" s="95"/>
      <c r="EY897" s="8"/>
      <c r="EZ897" s="96"/>
      <c r="FA897" s="91"/>
      <c r="FB897" s="97"/>
      <c r="FC897" s="8"/>
      <c r="FD897" s="91"/>
      <c r="FE897" s="98"/>
    </row>
    <row r="898" spans="37:161">
      <c r="AK898" s="89"/>
      <c r="AL898" s="8"/>
      <c r="AM898" s="8"/>
      <c r="AN898" s="8"/>
      <c r="AO898" s="8"/>
      <c r="AP898" s="8"/>
      <c r="AQ898" s="8"/>
      <c r="AR898" s="8"/>
      <c r="AZ898" s="45"/>
      <c r="BA898" s="89"/>
      <c r="BB898" s="89"/>
      <c r="BC898" s="89"/>
      <c r="BD898" s="89"/>
      <c r="BE898" s="89"/>
      <c r="BF898" s="89"/>
      <c r="BG898" s="89"/>
      <c r="BH898" s="89"/>
      <c r="BI898" s="89"/>
      <c r="BJ898" s="89"/>
      <c r="BK898" s="91"/>
      <c r="BL898" s="66"/>
      <c r="BM898" s="94"/>
      <c r="BN898" s="94"/>
      <c r="BO898" s="92"/>
      <c r="BP898" s="93"/>
      <c r="BQ898" s="23"/>
      <c r="BR898" s="94"/>
      <c r="BS898" s="94"/>
      <c r="BT898" s="94"/>
      <c r="BU898" s="94"/>
      <c r="BV898" s="95"/>
      <c r="BW898" s="91"/>
      <c r="BX898" s="95"/>
      <c r="BY898" s="8"/>
      <c r="BZ898" s="96"/>
      <c r="CA898" s="91"/>
      <c r="CB898" s="97"/>
      <c r="CC898" s="8"/>
      <c r="CD898" s="91"/>
      <c r="CE898" s="98"/>
      <c r="DK898" s="89"/>
      <c r="DL898" s="8"/>
      <c r="DM898" s="8"/>
      <c r="DN898" s="8"/>
      <c r="DO898" s="8"/>
      <c r="DP898" s="8"/>
      <c r="DQ898" s="8"/>
      <c r="DR898" s="8"/>
      <c r="DZ898" s="45"/>
      <c r="EA898" s="89"/>
      <c r="EB898" s="89"/>
      <c r="EC898" s="89"/>
      <c r="ED898" s="89"/>
      <c r="EE898" s="89"/>
      <c r="EF898" s="89"/>
      <c r="EG898" s="89"/>
      <c r="EH898" s="89"/>
      <c r="EI898" s="89"/>
      <c r="EJ898" s="89"/>
      <c r="EK898" s="91"/>
      <c r="EL898" s="66"/>
      <c r="EM898" s="94"/>
      <c r="EN898" s="94"/>
      <c r="EO898" s="92"/>
      <c r="EP898" s="93"/>
      <c r="EQ898" s="23"/>
      <c r="ER898" s="94"/>
      <c r="ES898" s="94"/>
      <c r="ET898" s="94"/>
      <c r="EU898" s="94"/>
      <c r="EV898" s="95"/>
      <c r="EW898" s="91"/>
      <c r="EX898" s="95"/>
      <c r="EY898" s="8"/>
      <c r="EZ898" s="96"/>
      <c r="FA898" s="91"/>
      <c r="FB898" s="97"/>
      <c r="FC898" s="8"/>
      <c r="FD898" s="91"/>
      <c r="FE898" s="98"/>
    </row>
    <row r="899" spans="37:161">
      <c r="AK899" s="89"/>
      <c r="AL899" s="8"/>
      <c r="AM899" s="8"/>
      <c r="AN899" s="8"/>
      <c r="AO899" s="8"/>
      <c r="AP899" s="8"/>
      <c r="AQ899" s="8"/>
      <c r="AR899" s="8"/>
      <c r="AZ899" s="45"/>
      <c r="BA899" s="89"/>
      <c r="BB899" s="89"/>
      <c r="BC899" s="89"/>
      <c r="BD899" s="89"/>
      <c r="BE899" s="89"/>
      <c r="BF899" s="89"/>
      <c r="BG899" s="89"/>
      <c r="BH899" s="89"/>
      <c r="BI899" s="89"/>
      <c r="BJ899" s="89"/>
      <c r="BK899" s="91"/>
      <c r="BL899" s="66"/>
      <c r="BM899" s="94"/>
      <c r="BN899" s="94"/>
      <c r="BO899" s="92"/>
      <c r="BP899" s="93"/>
      <c r="BQ899" s="23"/>
      <c r="BR899" s="94"/>
      <c r="BS899" s="94"/>
      <c r="BT899" s="94"/>
      <c r="BU899" s="94"/>
      <c r="BV899" s="95"/>
      <c r="BW899" s="91"/>
      <c r="BX899" s="95"/>
      <c r="BY899" s="8"/>
      <c r="BZ899" s="96"/>
      <c r="CA899" s="91"/>
      <c r="CB899" s="97"/>
      <c r="CC899" s="8"/>
      <c r="CD899" s="91"/>
      <c r="CE899" s="98"/>
      <c r="DK899" s="89"/>
      <c r="DL899" s="8"/>
      <c r="DM899" s="8"/>
      <c r="DN899" s="8"/>
      <c r="DO899" s="8"/>
      <c r="DP899" s="8"/>
      <c r="DQ899" s="8"/>
      <c r="DR899" s="8"/>
      <c r="DZ899" s="45"/>
      <c r="EA899" s="89"/>
      <c r="EB899" s="89"/>
      <c r="EC899" s="89"/>
      <c r="ED899" s="89"/>
      <c r="EE899" s="89"/>
      <c r="EF899" s="89"/>
      <c r="EG899" s="89"/>
      <c r="EH899" s="89"/>
      <c r="EI899" s="89"/>
      <c r="EJ899" s="89"/>
      <c r="EK899" s="91"/>
      <c r="EL899" s="66"/>
      <c r="EM899" s="94"/>
      <c r="EN899" s="94"/>
      <c r="EO899" s="92"/>
      <c r="EP899" s="93"/>
      <c r="EQ899" s="23"/>
      <c r="ER899" s="94"/>
      <c r="ES899" s="94"/>
      <c r="ET899" s="94"/>
      <c r="EU899" s="94"/>
      <c r="EV899" s="95"/>
      <c r="EW899" s="91"/>
      <c r="EX899" s="95"/>
      <c r="EY899" s="8"/>
      <c r="EZ899" s="96"/>
      <c r="FA899" s="91"/>
      <c r="FB899" s="97"/>
      <c r="FC899" s="8"/>
      <c r="FD899" s="91"/>
      <c r="FE899" s="98"/>
    </row>
    <row r="900" spans="37:161">
      <c r="AK900" s="89"/>
      <c r="AL900" s="8"/>
      <c r="AM900" s="8"/>
      <c r="AN900" s="8"/>
      <c r="AO900" s="8"/>
      <c r="AP900" s="8"/>
      <c r="AQ900" s="8"/>
      <c r="AR900" s="8"/>
      <c r="AZ900" s="45"/>
      <c r="BA900" s="89"/>
      <c r="BB900" s="89"/>
      <c r="BC900" s="89"/>
      <c r="BD900" s="89"/>
      <c r="BE900" s="89"/>
      <c r="BF900" s="89"/>
      <c r="BG900" s="89"/>
      <c r="BH900" s="89"/>
      <c r="BI900" s="89"/>
      <c r="BJ900" s="89"/>
      <c r="BK900" s="91"/>
      <c r="BL900" s="66"/>
      <c r="BM900" s="94"/>
      <c r="BN900" s="94"/>
      <c r="BO900" s="92"/>
      <c r="BP900" s="93"/>
      <c r="BQ900" s="23"/>
      <c r="BR900" s="94"/>
      <c r="BS900" s="94"/>
      <c r="BT900" s="94"/>
      <c r="BU900" s="94"/>
      <c r="BV900" s="95"/>
      <c r="BW900" s="91"/>
      <c r="BX900" s="95"/>
      <c r="BY900" s="8"/>
      <c r="BZ900" s="96"/>
      <c r="CA900" s="91"/>
      <c r="CB900" s="97"/>
      <c r="CC900" s="8"/>
      <c r="CD900" s="91"/>
      <c r="CE900" s="98"/>
      <c r="DK900" s="89"/>
      <c r="DL900" s="8"/>
      <c r="DM900" s="8"/>
      <c r="DN900" s="8"/>
      <c r="DO900" s="8"/>
      <c r="DP900" s="8"/>
      <c r="DQ900" s="8"/>
      <c r="DR900" s="8"/>
      <c r="DZ900" s="45"/>
      <c r="EA900" s="89"/>
      <c r="EB900" s="89"/>
      <c r="EC900" s="89"/>
      <c r="ED900" s="89"/>
      <c r="EE900" s="89"/>
      <c r="EF900" s="89"/>
      <c r="EG900" s="89"/>
      <c r="EH900" s="89"/>
      <c r="EI900" s="89"/>
      <c r="EJ900" s="89"/>
      <c r="EK900" s="91"/>
      <c r="EL900" s="66"/>
      <c r="EM900" s="94"/>
      <c r="EN900" s="94"/>
      <c r="EO900" s="92"/>
      <c r="EP900" s="93"/>
      <c r="EQ900" s="23"/>
      <c r="ER900" s="94"/>
      <c r="ES900" s="94"/>
      <c r="ET900" s="94"/>
      <c r="EU900" s="94"/>
      <c r="EV900" s="95"/>
      <c r="EW900" s="91"/>
      <c r="EX900" s="95"/>
      <c r="EY900" s="8"/>
      <c r="EZ900" s="96"/>
      <c r="FA900" s="91"/>
      <c r="FB900" s="97"/>
      <c r="FC900" s="8"/>
      <c r="FD900" s="91"/>
      <c r="FE900" s="98"/>
    </row>
  </sheetData>
  <mergeCells count="68">
    <mergeCell ref="DJ21:DJ22"/>
    <mergeCell ref="AS21:AS22"/>
    <mergeCell ref="BM21:BM22"/>
    <mergeCell ref="BR21:BR22"/>
    <mergeCell ref="CE21:CE22"/>
    <mergeCell ref="BN21:BN22"/>
    <mergeCell ref="CF21:CF22"/>
    <mergeCell ref="AS19:AY20"/>
    <mergeCell ref="BA19:BG20"/>
    <mergeCell ref="BH19:BJ20"/>
    <mergeCell ref="BK19:BN20"/>
    <mergeCell ref="DB21:DC21"/>
    <mergeCell ref="BO19:BS20"/>
    <mergeCell ref="BS21:BS22"/>
    <mergeCell ref="BT19:BU20"/>
    <mergeCell ref="BT21:BT22"/>
    <mergeCell ref="BU21:BU22"/>
    <mergeCell ref="BV19:CF20"/>
    <mergeCell ref="H62:J62"/>
    <mergeCell ref="H11:P12"/>
    <mergeCell ref="Q11:S12"/>
    <mergeCell ref="H13:J13"/>
    <mergeCell ref="A11:E11"/>
    <mergeCell ref="A26:B26"/>
    <mergeCell ref="H52:I53"/>
    <mergeCell ref="A42:E42"/>
    <mergeCell ref="M59:N60"/>
    <mergeCell ref="M61:N61"/>
    <mergeCell ref="J59:K59"/>
    <mergeCell ref="H99:J99"/>
    <mergeCell ref="H100:J100"/>
    <mergeCell ref="H101:J101"/>
    <mergeCell ref="H98:J98"/>
    <mergeCell ref="R98:S101"/>
    <mergeCell ref="T11:V12"/>
    <mergeCell ref="AB21:AC21"/>
    <mergeCell ref="AJ21:AJ22"/>
    <mergeCell ref="AR21:AR22"/>
    <mergeCell ref="AK19:AR20"/>
    <mergeCell ref="AN21:AQ21"/>
    <mergeCell ref="AE19:AJ20"/>
    <mergeCell ref="CE13:CF13"/>
    <mergeCell ref="CE17:CF17"/>
    <mergeCell ref="CE18:CF18"/>
    <mergeCell ref="CE16:CF16"/>
    <mergeCell ref="CE15:CF15"/>
    <mergeCell ref="CE14:CF14"/>
    <mergeCell ref="FE18:FF18"/>
    <mergeCell ref="DE19:DJ20"/>
    <mergeCell ref="DK19:DR20"/>
    <mergeCell ref="DS19:DY20"/>
    <mergeCell ref="EA19:EG20"/>
    <mergeCell ref="EH19:EJ20"/>
    <mergeCell ref="EK19:EN20"/>
    <mergeCell ref="EO19:ES20"/>
    <mergeCell ref="ET19:EU20"/>
    <mergeCell ref="EV19:FF20"/>
    <mergeCell ref="DN21:DQ21"/>
    <mergeCell ref="DR21:DR22"/>
    <mergeCell ref="DS21:DS22"/>
    <mergeCell ref="EM21:EM22"/>
    <mergeCell ref="EN21:EN22"/>
    <mergeCell ref="FF21:FF22"/>
    <mergeCell ref="ER21:ER22"/>
    <mergeCell ref="ES21:ES22"/>
    <mergeCell ref="ET21:ET22"/>
    <mergeCell ref="EU21:EU22"/>
    <mergeCell ref="FE21:FE22"/>
  </mergeCells>
  <phoneticPr fontId="42" type="noConversion"/>
  <conditionalFormatting sqref="L96:L97">
    <cfRule type="containsText" dxfId="20" priority="53" operator="containsText" text="OK">
      <formula>NOT(ISERROR(SEARCH("OK",L96)))</formula>
    </cfRule>
  </conditionalFormatting>
  <conditionalFormatting sqref="S71 S95 S75 S85 S87 S89 S79:S80">
    <cfRule type="containsText" dxfId="19" priority="49" operator="containsText" text="Check">
      <formula>NOT(ISERROR(SEARCH("Check",S71)))</formula>
    </cfRule>
    <cfRule type="containsText" dxfId="18" priority="50" operator="containsText" text="OK">
      <formula>NOT(ISERROR(SEARCH("OK",S71)))</formula>
    </cfRule>
  </conditionalFormatting>
  <conditionalFormatting sqref="N53">
    <cfRule type="cellIs" dxfId="17" priority="34" operator="lessThan">
      <formula>0</formula>
    </cfRule>
  </conditionalFormatting>
  <conditionalFormatting sqref="E44:F55 A44:B55">
    <cfRule type="expression" dxfId="16" priority="31">
      <formula>$A44=$E$41</formula>
    </cfRule>
  </conditionalFormatting>
  <conditionalFormatting sqref="C44:C55">
    <cfRule type="expression" dxfId="15" priority="30">
      <formula>$A44=$E$41</formula>
    </cfRule>
  </conditionalFormatting>
  <conditionalFormatting sqref="D44:D55">
    <cfRule type="expression" dxfId="14" priority="29">
      <formula>$A44=$E$41</formula>
    </cfRule>
  </conditionalFormatting>
  <conditionalFormatting sqref="A13:E21">
    <cfRule type="expression" dxfId="13" priority="28">
      <formula>$A13=$R$20</formula>
    </cfRule>
  </conditionalFormatting>
  <conditionalFormatting sqref="A28:B35">
    <cfRule type="expression" dxfId="12" priority="27">
      <formula>$A28=$R$53</formula>
    </cfRule>
  </conditionalFormatting>
  <conditionalFormatting sqref="A44:F55">
    <cfRule type="expression" dxfId="11" priority="26">
      <formula>$A44=$F$42</formula>
    </cfRule>
  </conditionalFormatting>
  <conditionalFormatting sqref="BM1:BN18 BM30:BN1048576 BM21:BM126">
    <cfRule type="top10" dxfId="10" priority="25" rank="1"/>
  </conditionalFormatting>
  <conditionalFormatting sqref="BR1:BU18 BR75:BU1048576 BR21:BR126 BR30:BS74 BU30:BU74">
    <cfRule type="top10" dxfId="9" priority="24" rank="1"/>
  </conditionalFormatting>
  <conditionalFormatting sqref="CE1:CE18 CE21:CE1048576">
    <cfRule type="top10" dxfId="8" priority="23" rank="1"/>
  </conditionalFormatting>
  <conditionalFormatting sqref="BN21:BN22">
    <cfRule type="top10" dxfId="7" priority="19" rank="1"/>
  </conditionalFormatting>
  <conditionalFormatting sqref="BS21:BS22">
    <cfRule type="top10" dxfId="6" priority="18" rank="1"/>
  </conditionalFormatting>
  <conditionalFormatting sqref="BT21 BT19">
    <cfRule type="top10" dxfId="5" priority="17" rank="1"/>
  </conditionalFormatting>
  <conditionalFormatting sqref="BU21:BU22">
    <cfRule type="top10" dxfId="4" priority="16" rank="1"/>
  </conditionalFormatting>
  <conditionalFormatting sqref="CF1:CF12 CF30:CF1048576">
    <cfRule type="top10" dxfId="3" priority="15" rank="1"/>
  </conditionalFormatting>
  <conditionalFormatting sqref="CF21:CF22">
    <cfRule type="top10" dxfId="2" priority="14" rank="1"/>
  </conditionalFormatting>
  <conditionalFormatting sqref="DS13:DS17">
    <cfRule type="top10" dxfId="1" priority="3" rank="1"/>
  </conditionalFormatting>
  <conditionalFormatting sqref="EM1:FF1048576">
    <cfRule type="top10" dxfId="0" priority="1" rank="1"/>
  </conditionalFormatting>
  <dataValidations count="6">
    <dataValidation type="list" allowBlank="1" showInputMessage="1" showErrorMessage="1" sqref="S16" xr:uid="{A62B5363-9F30-4799-8226-D7CB0009279F}">
      <formula1>"A,B"</formula1>
    </dataValidation>
    <dataValidation type="list" allowBlank="1" showInputMessage="1" showErrorMessage="1" sqref="R47" xr:uid="{35D5CC6D-5FAC-4CFA-BA55-E564F8A31787}">
      <formula1>"2,4,6,8"</formula1>
    </dataValidation>
    <dataValidation type="list" allowBlank="1" showInputMessage="1" showErrorMessage="1" sqref="R48" xr:uid="{0A80ADC0-6F3B-43E9-B952-B15CA7CD9DD2}">
      <formula1>"0,2"</formula1>
    </dataValidation>
    <dataValidation type="list" allowBlank="1" showInputMessage="1" showErrorMessage="1" sqref="R49" xr:uid="{8898D8D7-E196-460B-97F6-7EB5601D03A7}">
      <formula1>"2,4,6"</formula1>
    </dataValidation>
    <dataValidation type="list" allowBlank="1" showInputMessage="1" showErrorMessage="1" sqref="T11" xr:uid="{F8CD85BB-0768-40CC-8C95-34579F362473}">
      <formula1>$T$13:$T$15</formula1>
    </dataValidation>
    <dataValidation type="list" allowBlank="1" showInputMessage="1" showErrorMessage="1" sqref="V14" xr:uid="{D43FBF63-BA08-40B2-8391-C16AC8E925E5}">
      <formula1>"H Tổng,H Bụng"</formula1>
    </dataValidation>
  </dataValidations>
  <printOptions horizontalCentered="1"/>
  <pageMargins left="0.5" right="0.5" top="0.5" bottom="0.5" header="0.31496062992125984" footer="0.31496062992125984"/>
  <pageSetup fitToHeight="0" orientation="portrait" r:id="rId1"/>
  <ignoredErrors>
    <ignoredError sqref="R86 R88 H88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8FD0C9-3064-4C01-BE0D-BF7AC6584D18}">
          <x14:formula1>
            <xm:f>Data!$G$4:$G$8</xm:f>
          </x14:formula1>
          <xm:sqref>R16</xm:sqref>
        </x14:dataValidation>
        <x14:dataValidation type="list" allowBlank="1" showInputMessage="1" showErrorMessage="1" xr:uid="{8BF0BE00-DFA4-4910-8E77-E4DF2BD4D291}">
          <x14:formula1>
            <xm:f>Data!$H$31:$Q$31</xm:f>
          </x14:formula1>
          <xm:sqref>R20</xm:sqref>
        </x14:dataValidation>
        <x14:dataValidation type="list" allowBlank="1" showInputMessage="1" showErrorMessage="1" xr:uid="{0F84600D-F1C5-475F-8EC1-94C34E1A4A47}">
          <x14:formula1>
            <xm:f>Data!$A$3:$A$99</xm:f>
          </x14:formula1>
          <xm:sqref>R27</xm:sqref>
        </x14:dataValidation>
        <x14:dataValidation type="list" allowBlank="1" showInputMessage="1" showErrorMessage="1" xr:uid="{9EA4955E-EBA1-4B75-84B0-A21FD53146E3}">
          <x14:formula1>
            <xm:f>Data!$L$39:$L$43</xm:f>
          </x14:formula1>
          <xm:sqref>R34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cp:lastPrinted>2026-09-21T07:13:03Z</cp:lastPrinted>
  <dcterms:created xsi:type="dcterms:W3CDTF">2015-06-05T18:17:20Z</dcterms:created>
  <dcterms:modified xsi:type="dcterms:W3CDTF">2026-09-21T13:55:43Z</dcterms:modified>
</cp:coreProperties>
</file>