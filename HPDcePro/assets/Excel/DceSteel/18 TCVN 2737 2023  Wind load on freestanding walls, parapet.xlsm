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831A3954-908C-4BA5-9849-31084E007987}" xr6:coauthVersionLast="47" xr6:coauthVersionMax="47" xr10:uidLastSave="{00000000-0000-0000-0000-000000000000}"/>
  <bookViews>
    <workbookView xWindow="28680" yWindow="-120" windowWidth="29040" windowHeight="15720" tabRatio="934" firstSheet="1" activeTab="2" xr2:uid="{00000000-000D-0000-FFFF-FFFF00000000}"/>
  </bookViews>
  <sheets>
    <sheet name="MWFRS (Low-Rise)" sheetId="142" state="hidden" r:id="rId1"/>
    <sheet name="Sheet1" sheetId="147" r:id="rId2"/>
    <sheet name="LT" sheetId="148" r:id="rId3"/>
  </sheets>
  <functionGroups builtInGroupCount="19"/>
  <externalReferences>
    <externalReference r:id="rId4"/>
    <externalReference r:id="rId5"/>
  </externalReferences>
  <definedNames>
    <definedName name="_IND1">#REF!</definedName>
    <definedName name="AA">'[1]2Angles'!$A$1</definedName>
    <definedName name="_xlnm.Print_Area" localSheetId="0">'MWFRS (Low-Rise)'!$A$1:$H$62</definedName>
    <definedName name="_xlnm.Print_Titles" localSheetId="0">'MWFRS (Low-Rise)'!$5:$7</definedName>
    <definedName name="Shape">#REF!</definedName>
    <definedName name="Structural_type">[2]input!$AM$27:$AM$30</definedName>
    <definedName name="Structure">[2]input!$AI$14:$AI$21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147" l="1"/>
  <c r="O26" i="147"/>
  <c r="U27" i="147"/>
  <c r="I27" i="147" l="1"/>
  <c r="E27" i="147"/>
  <c r="C16" i="147"/>
  <c r="P18" i="147"/>
  <c r="C20" i="147"/>
  <c r="AQ56" i="147"/>
  <c r="AQ57" i="147" s="1"/>
  <c r="J19" i="147"/>
  <c r="AQ58" i="147" l="1"/>
  <c r="AQ59" i="147" l="1"/>
  <c r="AQ60" i="147" s="1"/>
  <c r="AQ61" i="147" s="1"/>
  <c r="C17" i="147"/>
  <c r="P16" i="147"/>
  <c r="K18" i="147"/>
  <c r="AQ89" i="147" l="1"/>
  <c r="AQ90" i="147" s="1"/>
  <c r="AQ91" i="147" s="1"/>
  <c r="AQ92" i="147" s="1"/>
  <c r="AQ93" i="147" s="1"/>
  <c r="AQ94" i="147" s="1"/>
  <c r="AQ95" i="147" s="1"/>
  <c r="AQ96" i="147" s="1"/>
  <c r="AQ97" i="147" s="1"/>
  <c r="AQ98" i="147" s="1"/>
  <c r="AQ99" i="147" s="1"/>
  <c r="AQ100" i="147" s="1"/>
  <c r="AQ101" i="147" s="1"/>
  <c r="AQ102" i="147" s="1"/>
  <c r="AQ103" i="147" s="1"/>
  <c r="AQ104" i="147" s="1"/>
  <c r="AQ105" i="147" s="1"/>
  <c r="AQ106" i="147" s="1"/>
  <c r="AQ107" i="147" s="1"/>
  <c r="AQ108" i="147" s="1"/>
  <c r="AQ109" i="147" s="1"/>
  <c r="AQ110" i="147" s="1"/>
  <c r="AQ111" i="147" s="1"/>
  <c r="AQ112" i="147" s="1"/>
  <c r="AQ113" i="147" s="1"/>
  <c r="AQ62" i="147"/>
  <c r="C23" i="147" s="1"/>
  <c r="G10" i="147"/>
  <c r="F63" i="147"/>
  <c r="F62" i="147"/>
  <c r="F61" i="147"/>
  <c r="F60" i="147"/>
  <c r="G26" i="147"/>
  <c r="W14" i="147"/>
  <c r="W13" i="147"/>
  <c r="Y10" i="147"/>
  <c r="P10" i="147"/>
  <c r="J14" i="147"/>
  <c r="J12" i="147"/>
  <c r="J13" i="147"/>
  <c r="C11" i="147" l="1"/>
  <c r="C10" i="147"/>
  <c r="P9" i="147"/>
  <c r="C9" i="147" l="1"/>
  <c r="J7" i="147"/>
  <c r="I7" i="147"/>
  <c r="J6" i="147"/>
  <c r="I6" i="147"/>
  <c r="AF36" i="147" l="1"/>
  <c r="AF35" i="147"/>
  <c r="D27" i="147"/>
  <c r="AF30" i="147"/>
  <c r="E19" i="147"/>
  <c r="L26" i="147" s="1"/>
  <c r="AG36" i="147"/>
  <c r="AH36" i="147"/>
  <c r="AJ36" i="147"/>
  <c r="AI36" i="147"/>
  <c r="AG29" i="147" l="1"/>
  <c r="AJ29" i="147"/>
  <c r="AI29" i="147"/>
  <c r="AH29" i="147"/>
  <c r="AF19" i="147"/>
  <c r="AG19" i="147"/>
  <c r="AJ19" i="147"/>
  <c r="AI19" i="147"/>
  <c r="AH19" i="147"/>
  <c r="AG30" i="147"/>
  <c r="G21" i="147" l="1"/>
  <c r="AJ34" i="147"/>
  <c r="AI34" i="147"/>
  <c r="AH34" i="147"/>
  <c r="AG34" i="147"/>
  <c r="AH30" i="147"/>
  <c r="AJ30" i="147"/>
  <c r="AI30" i="147"/>
  <c r="M21" i="147" l="1"/>
  <c r="K21" i="147"/>
  <c r="I21" i="147"/>
  <c r="AA12" i="147" l="1"/>
  <c r="AA11" i="147"/>
  <c r="W12" i="147"/>
  <c r="W11" i="147"/>
  <c r="R11" i="147"/>
  <c r="R12" i="147" s="1"/>
  <c r="Z14" i="147" l="1"/>
  <c r="T19" i="147" s="1"/>
  <c r="Z19" i="147"/>
  <c r="U32" i="147" s="1"/>
  <c r="R59" i="147" l="1"/>
  <c r="X19" i="147"/>
  <c r="V19" i="147"/>
  <c r="Q27" i="142"/>
  <c r="Q26" i="142"/>
  <c r="P26" i="142"/>
  <c r="M28" i="142"/>
  <c r="M27" i="142"/>
  <c r="M26" i="142"/>
  <c r="M30" i="142"/>
  <c r="K29" i="142"/>
  <c r="K28" i="142"/>
  <c r="J27" i="142"/>
  <c r="J28" i="142"/>
  <c r="J26" i="142"/>
  <c r="J29" i="142" s="1"/>
  <c r="O25" i="142"/>
  <c r="L25" i="142"/>
  <c r="I25" i="142"/>
  <c r="J24" i="142"/>
  <c r="M24" i="142" s="1"/>
  <c r="E49" i="142"/>
  <c r="E37" i="142"/>
  <c r="E25" i="142"/>
  <c r="O18" i="142"/>
  <c r="O13" i="142"/>
  <c r="J19" i="142"/>
  <c r="C18" i="142"/>
  <c r="S13" i="142"/>
  <c r="O32" i="147" l="1"/>
  <c r="R63" i="147"/>
  <c r="U63" i="147" s="1"/>
  <c r="I32" i="147"/>
  <c r="L59" i="147"/>
  <c r="E32" i="147"/>
  <c r="I59" i="147"/>
  <c r="I60" i="147" s="1"/>
  <c r="R26" i="147"/>
  <c r="O59" i="147"/>
  <c r="S17" i="142"/>
  <c r="J30" i="142"/>
  <c r="J22" i="142"/>
  <c r="J21" i="142"/>
  <c r="C19" i="142" s="1"/>
  <c r="J20" i="142"/>
  <c r="R13" i="142"/>
  <c r="P13" i="142"/>
  <c r="Q13" i="142"/>
  <c r="O62" i="147" l="1"/>
  <c r="R62" i="147" s="1"/>
  <c r="L61" i="147"/>
  <c r="O61" i="147" s="1"/>
  <c r="U61" i="147" s="1"/>
  <c r="L60" i="147"/>
  <c r="U60" i="147" s="1"/>
  <c r="Q17" i="142"/>
  <c r="P17" i="142"/>
  <c r="R17" i="142"/>
  <c r="C11" i="142"/>
  <c r="C12" i="142" s="1"/>
  <c r="Q18" i="142"/>
  <c r="P18" i="142"/>
  <c r="U62" i="147" l="1"/>
  <c r="P19" i="142"/>
  <c r="N26" i="142" s="1"/>
  <c r="Q19" i="142"/>
  <c r="N27" i="142" s="1"/>
  <c r="S19" i="142"/>
  <c r="F23" i="142" s="1"/>
  <c r="R19" i="142"/>
  <c r="E23" i="142" l="1"/>
  <c r="N28" i="142"/>
  <c r="D23" i="142"/>
  <c r="K27" i="142"/>
  <c r="C23" i="142"/>
  <c r="K26" i="1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13" authorId="0" shapeId="0" xr:uid="{08DEAEBE-11BD-4066-B656-7BF3614982DA}">
      <text>
        <r>
          <rPr>
            <b/>
            <sz val="9"/>
            <color indexed="81"/>
            <rFont val="Tahoma"/>
            <family val="2"/>
          </rPr>
          <t>[HVMT]:
Nên nhập giá trị &gt; 4h</t>
        </r>
      </text>
    </comment>
    <comment ref="M19" authorId="0" shapeId="0" xr:uid="{E1B16477-2C1B-4009-B216-213AAB8F0EED}">
      <text>
        <r>
          <rPr>
            <sz val="9"/>
            <color indexed="81"/>
            <rFont val="Tahoma"/>
            <family val="2"/>
          </rPr>
          <t xml:space="preserve">[HVMT]: Kiểm tra nếu hệ số đặc
</t>
        </r>
      </text>
    </comment>
  </commentList>
</comments>
</file>

<file path=xl/sharedStrings.xml><?xml version="1.0" encoding="utf-8"?>
<sst xmlns="http://schemas.openxmlformats.org/spreadsheetml/2006/main" count="342" uniqueCount="219">
  <si>
    <t>zg =</t>
  </si>
  <si>
    <t>Input Data:</t>
  </si>
  <si>
    <t>C</t>
  </si>
  <si>
    <t>Resulting Parameters and Coefficients:</t>
  </si>
  <si>
    <r>
      <t xml:space="preserve">Determine </t>
    </r>
    <r>
      <rPr>
        <sz val="10"/>
        <color indexed="12"/>
        <rFont val="Symbol"/>
        <family val="1"/>
        <charset val="2"/>
      </rPr>
      <t>a</t>
    </r>
    <r>
      <rPr>
        <sz val="10"/>
        <color indexed="12"/>
        <rFont val="Arial"/>
        <family val="2"/>
      </rPr>
      <t>, zg, Kh, I, and qh:</t>
    </r>
  </si>
  <si>
    <r>
      <t>a</t>
    </r>
    <r>
      <rPr>
        <sz val="10"/>
        <color indexed="12"/>
        <rFont val="Arial"/>
        <family val="2"/>
      </rPr>
      <t xml:space="preserve"> =</t>
    </r>
  </si>
  <si>
    <t>B</t>
  </si>
  <si>
    <t>II</t>
  </si>
  <si>
    <t>III</t>
  </si>
  <si>
    <t>IV</t>
  </si>
  <si>
    <t>D</t>
  </si>
  <si>
    <t>I</t>
  </si>
  <si>
    <t>m</t>
  </si>
  <si>
    <t>Project's code:</t>
  </si>
  <si>
    <t>Rev. No.</t>
  </si>
  <si>
    <t>Project:</t>
  </si>
  <si>
    <t>Date:</t>
  </si>
  <si>
    <t>The owner:</t>
  </si>
  <si>
    <t>Design:</t>
  </si>
  <si>
    <t>NBN</t>
  </si>
  <si>
    <t>Item:</t>
  </si>
  <si>
    <t>Check:</t>
  </si>
  <si>
    <t>HVK</t>
  </si>
  <si>
    <t>m/s</t>
  </si>
  <si>
    <t>V</t>
  </si>
  <si>
    <t>Zone</t>
  </si>
  <si>
    <t>W3s,20</t>
  </si>
  <si>
    <r>
      <t>Wind pressure W</t>
    </r>
    <r>
      <rPr>
        <vertAlign val="subscript"/>
        <sz val="10"/>
        <rFont val="Arial"/>
        <family val="2"/>
      </rPr>
      <t>3s,20</t>
    </r>
  </si>
  <si>
    <t>kPa</t>
  </si>
  <si>
    <r>
      <t>Wind pressure W</t>
    </r>
    <r>
      <rPr>
        <vertAlign val="subscript"/>
        <sz val="10"/>
        <rFont val="Arial"/>
        <family val="2"/>
      </rPr>
      <t>3s,10</t>
    </r>
  </si>
  <si>
    <t>A</t>
  </si>
  <si>
    <r>
      <t>The reference height, z</t>
    </r>
    <r>
      <rPr>
        <vertAlign val="subscript"/>
        <sz val="10"/>
        <rFont val="Arial"/>
        <family val="2"/>
      </rPr>
      <t>e</t>
    </r>
  </si>
  <si>
    <t xml:space="preserve">Terrain </t>
  </si>
  <si>
    <t>zg</t>
  </si>
  <si>
    <t>zmin</t>
  </si>
  <si>
    <t>a</t>
  </si>
  <si>
    <t>zmin =</t>
  </si>
  <si>
    <t>k(ze)max</t>
  </si>
  <si>
    <r>
      <t>Terrain factor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</si>
  <si>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t>Per TCVN 2737-2023 Code for  Buildings</t>
  </si>
  <si>
    <r>
      <t>Gust Effect factor G</t>
    </r>
    <r>
      <rPr>
        <vertAlign val="subscript"/>
        <sz val="10"/>
        <rFont val="Arial"/>
        <family val="2"/>
      </rPr>
      <t>f</t>
    </r>
  </si>
  <si>
    <t xml:space="preserve"> </t>
  </si>
  <si>
    <t>Exposure Category</t>
  </si>
  <si>
    <t>Length of wall, L</t>
  </si>
  <si>
    <t>Height of wall above ground, h</t>
  </si>
  <si>
    <r>
      <t>Distance of the base of the wall from the ground, h</t>
    </r>
    <r>
      <rPr>
        <vertAlign val="subscript"/>
        <sz val="10"/>
        <rFont val="Arial"/>
        <family val="2"/>
      </rPr>
      <t xml:space="preserve">base </t>
    </r>
  </si>
  <si>
    <r>
      <t xml:space="preserve">Solidity ratio, </t>
    </r>
    <r>
      <rPr>
        <sz val="10"/>
        <rFont val="Symbol"/>
        <family val="1"/>
        <charset val="2"/>
      </rPr>
      <t>j</t>
    </r>
  </si>
  <si>
    <t>L/H</t>
  </si>
  <si>
    <t>j</t>
  </si>
  <si>
    <t>Wk (kPa)</t>
  </si>
  <si>
    <t>Net wind pressure (kPa)</t>
  </si>
  <si>
    <r>
      <t xml:space="preserve">Case 2h &lt; L </t>
    </r>
    <r>
      <rPr>
        <b/>
        <u/>
        <sz val="10"/>
        <rFont val="Calibri"/>
        <family val="2"/>
      </rPr>
      <t>≤</t>
    </r>
    <r>
      <rPr>
        <b/>
        <u/>
        <sz val="10"/>
        <rFont val="Arial"/>
        <family val="2"/>
      </rPr>
      <t xml:space="preserve"> 4h</t>
    </r>
  </si>
  <si>
    <r>
      <t xml:space="preserve">Case L </t>
    </r>
    <r>
      <rPr>
        <b/>
        <u/>
        <sz val="10"/>
        <rFont val="Calibri"/>
        <family val="2"/>
      </rPr>
      <t>&gt;</t>
    </r>
    <r>
      <rPr>
        <b/>
        <u/>
        <sz val="10"/>
        <rFont val="Arial"/>
        <family val="2"/>
      </rPr>
      <t xml:space="preserve"> 4h</t>
    </r>
  </si>
  <si>
    <r>
      <t xml:space="preserve">Case L </t>
    </r>
    <r>
      <rPr>
        <b/>
        <u/>
        <sz val="10"/>
        <rFont val="Calibri"/>
        <family val="2"/>
      </rPr>
      <t>≤</t>
    </r>
    <r>
      <rPr>
        <b/>
        <u/>
        <sz val="10"/>
        <rFont val="Arial"/>
        <family val="2"/>
      </rPr>
      <t xml:space="preserve"> 2h</t>
    </r>
  </si>
  <si>
    <t>WIND LOADING ANALYSIS - FREE STANDING WALL &amp; PARAPET</t>
  </si>
  <si>
    <t>0.3h</t>
  </si>
  <si>
    <t>1.7h</t>
  </si>
  <si>
    <t>2h</t>
  </si>
  <si>
    <r>
      <rPr>
        <sz val="10"/>
        <color rgb="FF0000FF"/>
        <rFont val="Calibri"/>
        <family val="2"/>
        <scheme val="minor"/>
      </rPr>
      <t>L</t>
    </r>
    <r>
      <rPr>
        <sz val="10"/>
        <color rgb="FF0000FF"/>
        <rFont val="Symbol"/>
        <family val="1"/>
        <charset val="2"/>
      </rPr>
      <t>-D</t>
    </r>
  </si>
  <si>
    <t>L</t>
  </si>
  <si>
    <t>-</t>
  </si>
  <si>
    <t>BUILDING (STRUCTURE) DATA</t>
  </si>
  <si>
    <t>Structure:</t>
  </si>
  <si>
    <t>Vertical walls</t>
  </si>
  <si>
    <t>RETURN CORNERS, OPENINGS AND SHELTER FACTOR</t>
  </si>
  <si>
    <t>Return corners:</t>
  </si>
  <si>
    <t>Yes</t>
  </si>
  <si>
    <t>SITE DATA</t>
  </si>
  <si>
    <t>Site terrain type: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</si>
  <si>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</si>
  <si>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</si>
  <si>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</si>
  <si>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</si>
  <si>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</si>
  <si>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</si>
  <si>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L &gt; 4h</t>
  </si>
  <si>
    <r>
      <t xml:space="preserve">L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2h</t>
    </r>
  </si>
  <si>
    <r>
      <t xml:space="preserve">2h &lt; L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4h</t>
    </r>
  </si>
  <si>
    <t>Reinforced concrete building</t>
  </si>
  <si>
    <r>
      <t xml:space="preserve">Áp dụng với </t>
    </r>
    <r>
      <rPr>
        <sz val="10"/>
        <rFont val="Symbol"/>
        <family val="1"/>
        <charset val="2"/>
      </rPr>
      <t>j</t>
    </r>
    <r>
      <rPr>
        <sz val="11.5"/>
        <rFont val="Arial"/>
        <family val="2"/>
      </rPr>
      <t xml:space="preserve"> </t>
    </r>
    <r>
      <rPr>
        <sz val="10"/>
        <rFont val="Arial"/>
        <family val="2"/>
      </rPr>
      <t>= 1.0 và tường không bẻ góc</t>
    </r>
  </si>
  <si>
    <r>
      <t xml:space="preserve">Áp dụng với </t>
    </r>
    <r>
      <rPr>
        <sz val="10"/>
        <rFont val="Symbol"/>
        <family val="1"/>
        <charset val="2"/>
      </rPr>
      <t>j</t>
    </r>
    <r>
      <rPr>
        <sz val="11.5"/>
        <rFont val="Arial"/>
        <family val="2"/>
      </rPr>
      <t xml:space="preserve"> </t>
    </r>
    <r>
      <rPr>
        <sz val="10"/>
        <rFont val="Arial"/>
        <family val="2"/>
      </rPr>
      <t>= 1.0 và tường có bẻ góc</t>
    </r>
  </si>
  <si>
    <r>
      <t>L</t>
    </r>
    <r>
      <rPr>
        <vertAlign val="subscript"/>
        <sz val="10"/>
        <rFont val="Arial"/>
        <family val="2"/>
      </rPr>
      <t>z</t>
    </r>
  </si>
  <si>
    <r>
      <t xml:space="preserve">Áp dụng với </t>
    </r>
    <r>
      <rPr>
        <sz val="10"/>
        <rFont val="Symbol"/>
        <family val="1"/>
        <charset val="2"/>
      </rPr>
      <t>j</t>
    </r>
    <r>
      <rPr>
        <sz val="10"/>
        <rFont val="Arial"/>
        <family val="2"/>
      </rPr>
      <t xml:space="preserve"> thay đổi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</si>
  <si>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</si>
  <si>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</si>
  <si>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</si>
  <si>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</si>
  <si>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</si>
  <si>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</si>
  <si>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</si>
  <si>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</si>
  <si>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</si>
  <si>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</si>
  <si>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</si>
  <si>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</si>
  <si>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</si>
  <si>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</si>
  <si>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</si>
  <si>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</si>
  <si>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</si>
  <si>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Section F.2.1 Flat roofs are defined as having a angle</t>
  </si>
  <si>
    <t>Mục F.2.1 Mái bằng khi có góc dốc</t>
  </si>
  <si>
    <t>Kết cấu:</t>
  </si>
  <si>
    <t>Flat roof</t>
  </si>
  <si>
    <t>Mái bằng</t>
  </si>
  <si>
    <t>Structural type:</t>
  </si>
  <si>
    <t>Loại kết cấu:</t>
  </si>
  <si>
    <t>Type of roof:</t>
  </si>
  <si>
    <t>Loại mái:</t>
  </si>
  <si>
    <t>Roof / building width</t>
  </si>
  <si>
    <t>Chiều rộng nhà / mái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</si>
  <si>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</si>
  <si>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</si>
  <si>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</si>
  <si>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</si>
  <si>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</si>
  <si>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</si>
  <si>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</si>
  <si>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</si>
  <si>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</si>
  <si>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</si>
  <si>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</si>
  <si>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</si>
  <si>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DỮ LIỆU CÔNG TRÌNH</t>
  </si>
  <si>
    <t>Vùng</t>
  </si>
  <si>
    <t>Địa hình</t>
  </si>
  <si>
    <t>COEFFICIENTS AND FACTORS</t>
  </si>
  <si>
    <t>HỆ SỐ</t>
  </si>
  <si>
    <t>Internal pressure coefficient</t>
  </si>
  <si>
    <t>Hệ số khí động áp lực bên trong</t>
  </si>
  <si>
    <t>Case 1</t>
  </si>
  <si>
    <t>Trường hợp 1</t>
  </si>
  <si>
    <t>Case 2</t>
  </si>
  <si>
    <t>Trường hợp 2</t>
  </si>
  <si>
    <t>CALCULATIONS: WIND PRESSURES FOR ROOF</t>
  </si>
  <si>
    <t>TÍNH TOÁN ÁP LỰC GIÓ</t>
  </si>
  <si>
    <t>Reference height</t>
  </si>
  <si>
    <t>Chiều cao tham chiếu</t>
  </si>
  <si>
    <t xml:space="preserve">Terrain factor </t>
  </si>
  <si>
    <t>Hệ số địa hình</t>
  </si>
  <si>
    <t>(Section 10.2.2)</t>
  </si>
  <si>
    <t>(Mục 10.2.2)</t>
  </si>
  <si>
    <t>TH1</t>
  </si>
  <si>
    <t>TH2</t>
  </si>
  <si>
    <t>Wind pressure acting on the surfaces:</t>
  </si>
  <si>
    <t>Áp lực gió tác dụng lên bề mặt:</t>
  </si>
  <si>
    <t>ENVN</t>
  </si>
  <si>
    <t>BUILDING (STRUCTURE) DATA / DỮ LIỆU CÔNG TRÌNH</t>
  </si>
  <si>
    <t>SỐ LIỆU GIÓ THEO VÙNG</t>
  </si>
  <si>
    <t xml:space="preserve">SITE DATA / SỐ LIỆU GIÓ THEO VÙNG </t>
  </si>
  <si>
    <t>Structure / Kết cấu:</t>
  </si>
  <si>
    <t>Structural type / Loại:</t>
  </si>
  <si>
    <t>L (m) =</t>
  </si>
  <si>
    <t>Free-standing wall length</t>
  </si>
  <si>
    <t>Free-standing wall height</t>
  </si>
  <si>
    <t>Chiều dài tường</t>
  </si>
  <si>
    <t>Chiều cao tường</t>
  </si>
  <si>
    <t>Free-standing wall length / Chiều dài tường</t>
  </si>
  <si>
    <t>Free-standing wall height / Chiều cao tường</t>
  </si>
  <si>
    <t>Gust Effect factor / Hệ số hiệu ứng giật</t>
  </si>
  <si>
    <t>Zone / Vùng</t>
  </si>
  <si>
    <t>Site terrain type / Địa hình:</t>
  </si>
  <si>
    <t>Reference height / Chiều cao tham chiếu</t>
  </si>
  <si>
    <t>Terrain factor / Hệ số địa hình</t>
  </si>
  <si>
    <t>TÍNH NHANH ÁP LỰC GIÓ TÁC DỤNG LÊN CỘT</t>
  </si>
  <si>
    <t>Bước cột hàng rào</t>
  </si>
  <si>
    <t>Cột thứ 1</t>
  </si>
  <si>
    <t>Cột thứ 2</t>
  </si>
  <si>
    <t>Cột thứ 3</t>
  </si>
  <si>
    <t>Cột giữa</t>
  </si>
  <si>
    <t>Áp lực</t>
  </si>
  <si>
    <t>Vùng A</t>
  </si>
  <si>
    <t>Vùng B</t>
  </si>
  <si>
    <t>Vùng C</t>
  </si>
  <si>
    <t>Vùng D</t>
  </si>
  <si>
    <t>Tổng cộng
kN/m</t>
  </si>
  <si>
    <t>Bề rộng
truyền tải</t>
  </si>
  <si>
    <t>Các phương án giảm tải để thiết kế hàng rào:
- Xem xét hệ số đặc = 0.8
 - Xem xét tường rỗng
 - Xem xét tường có bẻ góc
 - Hàng rào thuộc công trình có cấp độ C1, tức gama n  = 0.87</t>
  </si>
  <si>
    <t>Tường phẳng, hàng rào</t>
  </si>
  <si>
    <t>Vertical walls / Tường phẳng, hàng rào</t>
  </si>
  <si>
    <r>
      <t>G</t>
    </r>
    <r>
      <rPr>
        <vertAlign val="subscript"/>
        <sz val="10"/>
        <rFont val="Calibri"/>
        <family val="2"/>
        <scheme val="minor"/>
      </rPr>
      <t>f</t>
    </r>
    <r>
      <rPr>
        <sz val="10"/>
        <rFont val="Calibri"/>
        <family val="2"/>
        <scheme val="minor"/>
      </rPr>
      <t xml:space="preserve"> =</t>
    </r>
  </si>
  <si>
    <r>
      <t>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(m) =</t>
    </r>
  </si>
  <si>
    <r>
      <t>k(z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) =</t>
    </r>
  </si>
  <si>
    <t>TÍNH TOÁN HỆ SỐ Cx</t>
  </si>
  <si>
    <t>CALCULATIONS: COEFFICIENTS Cx</t>
  </si>
  <si>
    <t>CALCULATION COEFFICIENTS / TÍNH TOÁN HỆ SỐ Cx</t>
  </si>
  <si>
    <r>
      <rPr>
        <sz val="11"/>
        <color theme="1"/>
        <rFont val="Symbol"/>
        <family val="1"/>
        <charset val="2"/>
      </rPr>
      <t>j</t>
    </r>
    <r>
      <rPr>
        <sz val="11"/>
        <color theme="1"/>
        <rFont val="Calibri"/>
        <family val="2"/>
        <scheme val="minor"/>
      </rPr>
      <t xml:space="preserve"> =</t>
    </r>
  </si>
  <si>
    <t>Solidity</t>
  </si>
  <si>
    <t>Hệ số đặc</t>
  </si>
  <si>
    <t>Solidity / Hệ số đặc</t>
  </si>
  <si>
    <t>L / h =</t>
  </si>
  <si>
    <t>Wall length to height ration</t>
  </si>
  <si>
    <t>Ratio / Tỉ số</t>
  </si>
  <si>
    <t>Tỉ số chiều dài và chiều cao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</si>
  <si>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=</t>
    </r>
  </si>
  <si>
    <t>TƯỜNG PHẲNG, HÀNG RÀO BẺ GÓC</t>
  </si>
  <si>
    <t>RETURN CORNERS / BẺ GÓC</t>
  </si>
  <si>
    <t>Có bẻ góc</t>
  </si>
  <si>
    <t>Return corners / Có bẻ góc</t>
  </si>
  <si>
    <t>Lz =</t>
  </si>
  <si>
    <t>Minimum length of return corners</t>
  </si>
  <si>
    <t>Length of return corners / Chiều dài phần bẻ góc</t>
  </si>
  <si>
    <t>Chiều dài tối thiểu phần bẻ góc</t>
  </si>
  <si>
    <t>RESULTS: WIND NET PRESSURES</t>
  </si>
  <si>
    <t>KẾT QUẢ: ÁP LỰC TÍNH TOÁN</t>
  </si>
  <si>
    <t>RESULTS / KẾT QUẢ</t>
  </si>
  <si>
    <t>WIND PRESSURE ACTING ON THE SURFACES:</t>
  </si>
  <si>
    <t>ÁP LỰC GIÓ TÁC DỤNG LÊN BỀ MẶT:</t>
  </si>
  <si>
    <t>WIND PRESSURE ACTING  / ÁP LỰC GIÓ TÁC DỤNG LÊN BỀ MẶT: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</si>
  <si>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x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</si>
  <si>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</si>
  <si>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t>DIAGRAM: ZONES OF FREE STANDING WALLS AND PARAPETS</t>
  </si>
  <si>
    <t>SƠ ĐỒ: ÁP LỰC GIÓ LÊN TƯỜNG PHẲNG, HÀNG RÀO THEO VÙNG</t>
  </si>
  <si>
    <t>h(m) =</t>
  </si>
  <si>
    <t>TÍNH TOÁN TẢI TRỌNG GIÓ TÁC DỤNG LÊN TƯỜNG THẲNG ĐỨNG</t>
  </si>
  <si>
    <t>HẠNG MỤC</t>
  </si>
  <si>
    <t>FENCE</t>
  </si>
  <si>
    <r>
      <t>L</t>
    </r>
    <r>
      <rPr>
        <sz val="10"/>
        <color theme="1"/>
        <rFont val="Arial"/>
        <family val="2"/>
      </rPr>
      <t>A</t>
    </r>
    <r>
      <rPr>
        <sz val="10"/>
        <color theme="1"/>
        <rFont val="Arial"/>
        <family val="2"/>
        <charset val="238"/>
      </rPr>
      <t xml:space="preserve"> =</t>
    </r>
  </si>
  <si>
    <r>
      <t>L</t>
    </r>
    <r>
      <rPr>
        <sz val="10"/>
        <color theme="1"/>
        <rFont val="Arial"/>
        <family val="2"/>
      </rPr>
      <t>B</t>
    </r>
    <r>
      <rPr>
        <sz val="10"/>
        <color theme="1"/>
        <rFont val="Arial"/>
        <family val="2"/>
        <charset val="238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</si>
</sst>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&quot;$&quot;#,##0\ ;\(&quot;$&quot;#,##0\)"/>
    <numFmt numFmtId="167" formatCode="00"/>
  </numFmts>
  <fonts count="8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0"/>
      <color indexed="12"/>
      <name val="Symbol"/>
      <family val="1"/>
      <charset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10"/>
      <color indexed="12"/>
      <name val="Tahoma"/>
      <family val="2"/>
    </font>
    <font>
      <sz val="9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b/>
      <i/>
      <sz val="10"/>
      <color indexed="8"/>
      <name val="Arial"/>
      <family val="2"/>
    </font>
    <font>
      <sz val="10"/>
      <color rgb="FFFF0000"/>
      <name val="Arial"/>
      <family val="2"/>
    </font>
    <font>
      <b/>
      <i/>
      <sz val="10"/>
      <color rgb="FF0000FF"/>
      <name val="Arial"/>
      <family val="2"/>
    </font>
    <font>
      <vertAlign val="subscript"/>
      <sz val="10"/>
      <name val="Arial"/>
      <family val="2"/>
    </font>
    <font>
      <sz val="11"/>
      <color rgb="FF000000"/>
      <name val="Arial"/>
      <family val="2"/>
    </font>
    <font>
      <b/>
      <u/>
      <sz val="10"/>
      <name val="Calibri"/>
      <family val="2"/>
    </font>
    <font>
      <sz val="11"/>
      <color rgb="FF222222"/>
      <name val="Open Sans"/>
      <family val="2"/>
    </font>
    <font>
      <sz val="10"/>
      <color rgb="FF0000FF"/>
      <name val="Arial"/>
      <family val="2"/>
    </font>
    <font>
      <sz val="10"/>
      <color rgb="FF0000FF"/>
      <name val="Symbol"/>
      <family val="1"/>
      <charset val="2"/>
    </font>
    <font>
      <sz val="10"/>
      <color rgb="FF0000FF"/>
      <name val="Calibri"/>
      <family val="2"/>
      <scheme val="minor"/>
    </font>
    <font>
      <sz val="10"/>
      <color rgb="FF0000FF"/>
      <name val="Symbol"/>
      <family val="2"/>
      <charset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0"/>
      <color theme="1"/>
      <name val="Arial"/>
      <family val="2"/>
      <charset val="238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name val="Calibri"/>
      <family val="2"/>
    </font>
    <font>
      <sz val="11"/>
      <color theme="1"/>
      <name val="Symbol"/>
      <family val="1"/>
      <charset val="2"/>
    </font>
    <font>
      <sz val="10"/>
      <color rgb="FFC00000"/>
      <name val="Arial"/>
      <family val="2"/>
    </font>
    <font>
      <sz val="11.5"/>
      <name val="Arial"/>
      <family val="2"/>
    </font>
    <font>
      <sz val="16"/>
      <color rgb="FFFF0000"/>
      <name val="Arial"/>
      <family val="2"/>
    </font>
    <font>
      <u/>
      <sz val="11"/>
      <name val="Calibri"/>
      <family val="2"/>
      <scheme val="minor"/>
    </font>
    <font>
      <sz val="10"/>
      <color rgb="FF0000FF"/>
      <name val="Arial"/>
      <family val="2"/>
      <charset val="2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b/>
      <sz val="14"/>
      <color rgb="FF0070C0"/>
      <name val="Arial"/>
      <family val="2"/>
    </font>
    <font>
      <sz val="11"/>
      <color rgb="FF0000CC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Up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9" borderId="0" applyNumberFormat="0" applyBorder="0" applyAlignment="0" applyProtection="0"/>
    <xf numFmtId="0" fontId="24" fillId="3" borderId="0" applyNumberFormat="0" applyBorder="0" applyAlignment="0" applyProtection="0"/>
    <xf numFmtId="0" fontId="25" fillId="20" borderId="1" applyNumberFormat="0" applyAlignment="0" applyProtection="0"/>
    <xf numFmtId="0" fontId="26" fillId="21" borderId="2" applyNumberFormat="0" applyAlignment="0" applyProtection="0"/>
    <xf numFmtId="3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7" fillId="0" borderId="0" applyNumberFormat="0" applyFill="0" applyBorder="0" applyAlignment="0" applyProtection="0"/>
    <xf numFmtId="2" fontId="19" fillId="0" borderId="0" applyFont="0" applyFill="0" applyBorder="0" applyAlignment="0" applyProtection="0"/>
    <xf numFmtId="0" fontId="28" fillId="4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9" fillId="0" borderId="3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1" applyNumberFormat="0" applyAlignment="0" applyProtection="0"/>
    <xf numFmtId="0" fontId="31" fillId="0" borderId="4" applyNumberFormat="0" applyFill="0" applyAlignment="0" applyProtection="0"/>
    <xf numFmtId="0" fontId="32" fillId="22" borderId="0" applyNumberFormat="0" applyBorder="0" applyAlignment="0" applyProtection="0"/>
    <xf numFmtId="0" fontId="5" fillId="0" borderId="0"/>
    <xf numFmtId="0" fontId="8" fillId="23" borderId="5" applyNumberFormat="0" applyFont="0" applyAlignment="0" applyProtection="0"/>
    <xf numFmtId="0" fontId="33" fillId="20" borderId="6" applyNumberFormat="0" applyAlignment="0" applyProtection="0"/>
    <xf numFmtId="49" fontId="36" fillId="0" borderId="0">
      <alignment horizontal="left" vertical="center"/>
    </xf>
    <xf numFmtId="0" fontId="34" fillId="0" borderId="0" applyNumberFormat="0" applyFill="0" applyBorder="0" applyAlignment="0" applyProtection="0"/>
    <xf numFmtId="0" fontId="19" fillId="0" borderId="7" applyNumberFormat="0" applyFont="0" applyFill="0" applyAlignment="0" applyProtection="0"/>
    <xf numFmtId="0" fontId="35" fillId="0" borderId="0" applyNumberFormat="0" applyFill="0" applyBorder="0" applyAlignment="0" applyProtection="0"/>
  </cellStyleXfs>
  <cellXfs count="321">
    <xf numFmtId="0" fontId="0" fillId="0" borderId="0" xfId="0"/>
    <xf numFmtId="0" fontId="7" fillId="0" borderId="0" xfId="0" applyFont="1"/>
    <xf numFmtId="0" fontId="7" fillId="0" borderId="0" xfId="0" applyFont="1" applyAlignment="1">
      <alignment horizontal="center"/>
    </xf>
    <xf numFmtId="0" fontId="14" fillId="0" borderId="0" xfId="0" applyFont="1"/>
    <xf numFmtId="0" fontId="7" fillId="24" borderId="0" xfId="0" applyFont="1" applyFill="1" applyAlignment="1" applyProtection="1">
      <alignment horizontal="center"/>
      <protection hidden="1"/>
    </xf>
    <xf numFmtId="0" fontId="17" fillId="0" borderId="0" xfId="0" applyFont="1" applyAlignment="1">
      <alignment horizontal="center"/>
    </xf>
    <xf numFmtId="0" fontId="7" fillId="24" borderId="0" xfId="0" applyFont="1" applyFill="1" applyProtection="1">
      <protection hidden="1"/>
    </xf>
    <xf numFmtId="0" fontId="38" fillId="0" borderId="0" xfId="0" applyFont="1" applyAlignment="1">
      <alignment horizontal="center"/>
    </xf>
    <xf numFmtId="49" fontId="36" fillId="25" borderId="0" xfId="44" applyFill="1">
      <alignment horizontal="left" vertical="center"/>
    </xf>
    <xf numFmtId="167" fontId="36" fillId="25" borderId="0" xfId="44" applyNumberFormat="1" applyFill="1" applyAlignment="1">
      <alignment vertical="center"/>
    </xf>
    <xf numFmtId="0" fontId="0" fillId="25" borderId="8" xfId="0" applyFill="1" applyBorder="1" applyProtection="1">
      <protection hidden="1"/>
    </xf>
    <xf numFmtId="0" fontId="7" fillId="25" borderId="0" xfId="0" applyFont="1" applyFill="1" applyProtection="1">
      <protection locked="0"/>
    </xf>
    <xf numFmtId="0" fontId="15" fillId="25" borderId="0" xfId="0" applyFont="1" applyFill="1" applyAlignment="1" applyProtection="1">
      <alignment horizontal="center"/>
      <protection hidden="1"/>
    </xf>
    <xf numFmtId="0" fontId="7" fillId="25" borderId="0" xfId="0" applyFont="1" applyFill="1" applyAlignment="1" applyProtection="1">
      <alignment horizontal="center"/>
      <protection hidden="1"/>
    </xf>
    <xf numFmtId="14" fontId="7" fillId="25" borderId="12" xfId="0" applyNumberFormat="1" applyFont="1" applyFill="1" applyBorder="1" applyAlignment="1" applyProtection="1">
      <alignment horizontal="center"/>
      <protection hidden="1"/>
    </xf>
    <xf numFmtId="0" fontId="6" fillId="25" borderId="8" xfId="0" applyFont="1" applyFill="1" applyBorder="1" applyProtection="1">
      <protection hidden="1"/>
    </xf>
    <xf numFmtId="0" fontId="7" fillId="25" borderId="0" xfId="0" applyFont="1" applyFill="1" applyProtection="1">
      <protection hidden="1"/>
    </xf>
    <xf numFmtId="0" fontId="7" fillId="25" borderId="9" xfId="0" applyFont="1" applyFill="1" applyBorder="1" applyAlignment="1" applyProtection="1">
      <alignment horizontal="center"/>
      <protection hidden="1"/>
    </xf>
    <xf numFmtId="0" fontId="0" fillId="25" borderId="0" xfId="0" applyFill="1" applyProtection="1">
      <protection hidden="1"/>
    </xf>
    <xf numFmtId="0" fontId="0" fillId="25" borderId="9" xfId="0" applyFill="1" applyBorder="1" applyProtection="1">
      <protection hidden="1"/>
    </xf>
    <xf numFmtId="0" fontId="5" fillId="25" borderId="0" xfId="0" applyFont="1" applyFill="1" applyProtection="1">
      <protection hidden="1"/>
    </xf>
    <xf numFmtId="0" fontId="13" fillId="25" borderId="10" xfId="0" applyFont="1" applyFill="1" applyBorder="1" applyAlignment="1" applyProtection="1">
      <alignment horizontal="center"/>
      <protection locked="0"/>
    </xf>
    <xf numFmtId="0" fontId="18" fillId="25" borderId="0" xfId="0" applyFont="1" applyFill="1" applyProtection="1">
      <protection hidden="1"/>
    </xf>
    <xf numFmtId="0" fontId="14" fillId="25" borderId="9" xfId="0" applyFont="1" applyFill="1" applyBorder="1" applyProtection="1">
      <protection hidden="1"/>
    </xf>
    <xf numFmtId="0" fontId="0" fillId="25" borderId="15" xfId="0" applyFill="1" applyBorder="1" applyProtection="1">
      <protection hidden="1"/>
    </xf>
    <xf numFmtId="0" fontId="0" fillId="25" borderId="16" xfId="0" applyFill="1" applyBorder="1" applyProtection="1">
      <protection hidden="1"/>
    </xf>
    <xf numFmtId="0" fontId="0" fillId="25" borderId="17" xfId="0" applyFill="1" applyBorder="1" applyProtection="1">
      <protection hidden="1"/>
    </xf>
    <xf numFmtId="49" fontId="37" fillId="25" borderId="11" xfId="44" applyFont="1" applyFill="1" applyBorder="1" applyAlignment="1">
      <alignment vertical="center"/>
    </xf>
    <xf numFmtId="49" fontId="37" fillId="25" borderId="11" xfId="44" applyFont="1" applyFill="1" applyBorder="1">
      <alignment horizontal="left" vertical="center"/>
    </xf>
    <xf numFmtId="167" fontId="37" fillId="25" borderId="11" xfId="44" applyNumberFormat="1" applyFont="1" applyFill="1" applyBorder="1">
      <alignment horizontal="left" vertical="center"/>
    </xf>
    <xf numFmtId="14" fontId="37" fillId="25" borderId="11" xfId="44" applyNumberFormat="1" applyFont="1" applyFill="1" applyBorder="1" applyAlignment="1">
      <alignment horizontal="left" vertical="top"/>
    </xf>
    <xf numFmtId="167" fontId="39" fillId="25" borderId="11" xfId="44" applyNumberFormat="1" applyFont="1" applyFill="1" applyBorder="1" applyAlignment="1">
      <alignment vertical="center"/>
    </xf>
    <xf numFmtId="0" fontId="7" fillId="0" borderId="11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25" borderId="0" xfId="0" applyFont="1" applyFill="1" applyAlignment="1" applyProtection="1">
      <alignment horizontal="right"/>
      <protection hidden="1"/>
    </xf>
    <xf numFmtId="0" fontId="13" fillId="25" borderId="21" xfId="0" applyFont="1" applyFill="1" applyBorder="1" applyAlignment="1" applyProtection="1">
      <alignment horizontal="center"/>
      <protection locked="0"/>
    </xf>
    <xf numFmtId="0" fontId="0" fillId="25" borderId="11" xfId="0" applyFill="1" applyBorder="1" applyAlignment="1" applyProtection="1">
      <alignment horizontal="center" vertical="center"/>
      <protection hidden="1"/>
    </xf>
    <xf numFmtId="164" fontId="0" fillId="25" borderId="11" xfId="0" applyNumberFormat="1" applyFill="1" applyBorder="1" applyAlignment="1" applyProtection="1">
      <alignment horizontal="center" vertical="center"/>
      <protection hidden="1"/>
    </xf>
    <xf numFmtId="2" fontId="0" fillId="25" borderId="11" xfId="0" applyNumberFormat="1" applyFill="1" applyBorder="1" applyAlignment="1" applyProtection="1">
      <alignment horizontal="center" vertical="center"/>
      <protection hidden="1"/>
    </xf>
    <xf numFmtId="0" fontId="12" fillId="0" borderId="11" xfId="0" applyFont="1" applyBorder="1" applyAlignment="1">
      <alignment horizontal="center" vertical="center"/>
    </xf>
    <xf numFmtId="165" fontId="41" fillId="0" borderId="0" xfId="0" applyNumberFormat="1" applyFont="1" applyAlignment="1">
      <alignment horizontal="center" vertical="top" shrinkToFit="1"/>
    </xf>
    <xf numFmtId="2" fontId="7" fillId="25" borderId="10" xfId="0" applyNumberFormat="1" applyFont="1" applyFill="1" applyBorder="1" applyAlignment="1" applyProtection="1">
      <alignment horizontal="center"/>
      <protection locked="0"/>
    </xf>
    <xf numFmtId="2" fontId="38" fillId="25" borderId="11" xfId="0" applyNumberFormat="1" applyFont="1" applyFill="1" applyBorder="1" applyAlignment="1" applyProtection="1">
      <alignment horizontal="center" vertical="center"/>
      <protection hidden="1"/>
    </xf>
    <xf numFmtId="0" fontId="7" fillId="0" borderId="11" xfId="0" applyFont="1" applyBorder="1" applyAlignment="1">
      <alignment horizontal="right" vertical="center"/>
    </xf>
    <xf numFmtId="0" fontId="12" fillId="0" borderId="11" xfId="0" applyFont="1" applyBorder="1" applyAlignment="1">
      <alignment horizontal="right"/>
    </xf>
    <xf numFmtId="0" fontId="5" fillId="25" borderId="0" xfId="0" applyFont="1" applyFill="1" applyAlignment="1" applyProtection="1">
      <alignment horizontal="right" vertical="center"/>
      <protection hidden="1"/>
    </xf>
    <xf numFmtId="0" fontId="0" fillId="25" borderId="0" xfId="0" applyFill="1" applyAlignment="1" applyProtection="1">
      <alignment horizontal="right" indent="1"/>
      <protection hidden="1"/>
    </xf>
    <xf numFmtId="0" fontId="5" fillId="25" borderId="0" xfId="0" applyFont="1" applyFill="1" applyAlignment="1" applyProtection="1">
      <alignment horizontal="right" indent="1"/>
      <protection hidden="1"/>
    </xf>
    <xf numFmtId="0" fontId="0" fillId="25" borderId="8" xfId="0" applyFill="1" applyBorder="1" applyAlignment="1" applyProtection="1">
      <alignment horizontal="right" indent="1"/>
      <protection hidden="1"/>
    </xf>
    <xf numFmtId="0" fontId="0" fillId="25" borderId="0" xfId="0" applyFill="1" applyAlignment="1" applyProtection="1">
      <alignment horizontal="center" vertical="center"/>
      <protection hidden="1"/>
    </xf>
    <xf numFmtId="0" fontId="5" fillId="25" borderId="8" xfId="0" applyFont="1" applyFill="1" applyBorder="1" applyAlignment="1" applyProtection="1">
      <alignment horizontal="right" indent="1"/>
      <protection hidden="1"/>
    </xf>
    <xf numFmtId="165" fontId="13" fillId="25" borderId="11" xfId="0" applyNumberFormat="1" applyFont="1" applyFill="1" applyBorder="1" applyAlignment="1" applyProtection="1">
      <alignment horizontal="center"/>
      <protection locked="0"/>
    </xf>
    <xf numFmtId="0" fontId="5" fillId="0" borderId="11" xfId="0" applyFont="1" applyBorder="1" applyAlignment="1">
      <alignment horizontal="center" vertical="center"/>
    </xf>
    <xf numFmtId="0" fontId="7" fillId="0" borderId="11" xfId="0" applyFont="1" applyBorder="1"/>
    <xf numFmtId="165" fontId="14" fillId="0" borderId="11" xfId="0" applyNumberFormat="1" applyFont="1" applyBorder="1" applyAlignment="1">
      <alignment horizontal="center" vertical="center"/>
    </xf>
    <xf numFmtId="0" fontId="6" fillId="25" borderId="0" xfId="0" applyFont="1" applyFill="1" applyAlignment="1" applyProtection="1">
      <alignment horizontal="right" vertical="center"/>
      <protection hidden="1"/>
    </xf>
    <xf numFmtId="2" fontId="14" fillId="0" borderId="11" xfId="0" applyNumberFormat="1" applyFont="1" applyBorder="1" applyAlignment="1">
      <alignment horizontal="center" vertical="center"/>
    </xf>
    <xf numFmtId="0" fontId="43" fillId="0" borderId="0" xfId="0" applyFont="1"/>
    <xf numFmtId="0" fontId="7" fillId="0" borderId="0" xfId="0" applyFont="1" applyAlignment="1">
      <alignment horizontal="center" vertical="center"/>
    </xf>
    <xf numFmtId="0" fontId="44" fillId="0" borderId="11" xfId="0" applyFont="1" applyBorder="1" applyAlignment="1">
      <alignment horizontal="center"/>
    </xf>
    <xf numFmtId="0" fontId="44" fillId="0" borderId="11" xfId="0" applyFont="1" applyBorder="1" applyAlignment="1">
      <alignment horizontal="center" vertical="center"/>
    </xf>
    <xf numFmtId="165" fontId="44" fillId="0" borderId="11" xfId="0" applyNumberFormat="1" applyFont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4" fillId="0" borderId="21" xfId="0" applyFont="1" applyBorder="1" applyAlignment="1">
      <alignment horizontal="center"/>
    </xf>
    <xf numFmtId="0" fontId="0" fillId="0" borderId="21" xfId="0" applyBorder="1"/>
    <xf numFmtId="0" fontId="44" fillId="26" borderId="0" xfId="0" applyFont="1" applyFill="1"/>
    <xf numFmtId="2" fontId="0" fillId="0" borderId="11" xfId="0" applyNumberFormat="1" applyBorder="1" applyAlignment="1">
      <alignment horizontal="center" vertical="center"/>
    </xf>
    <xf numFmtId="0" fontId="0" fillId="25" borderId="0" xfId="0" applyFill="1" applyAlignment="1" applyProtection="1">
      <alignment horizontal="center"/>
      <protection hidden="1"/>
    </xf>
    <xf numFmtId="2" fontId="44" fillId="0" borderId="11" xfId="0" applyNumberFormat="1" applyFont="1" applyBorder="1" applyAlignment="1">
      <alignment horizontal="center" vertical="center"/>
    </xf>
    <xf numFmtId="0" fontId="48" fillId="27" borderId="0" xfId="0" applyFont="1" applyFill="1" applyProtection="1">
      <protection hidden="1"/>
    </xf>
    <xf numFmtId="0" fontId="50" fillId="28" borderId="0" xfId="0" applyFont="1" applyFill="1" applyAlignment="1" applyProtection="1">
      <alignment vertical="center"/>
      <protection hidden="1"/>
    </xf>
    <xf numFmtId="0" fontId="50" fillId="29" borderId="0" xfId="0" applyFont="1" applyFill="1" applyAlignment="1" applyProtection="1">
      <alignment vertical="center"/>
      <protection hidden="1"/>
    </xf>
    <xf numFmtId="0" fontId="0" fillId="27" borderId="0" xfId="0" applyFill="1" applyProtection="1">
      <protection hidden="1"/>
    </xf>
    <xf numFmtId="0" fontId="51" fillId="25" borderId="8" xfId="0" applyFont="1" applyFill="1" applyBorder="1" applyProtection="1">
      <protection hidden="1"/>
    </xf>
    <xf numFmtId="0" fontId="4" fillId="27" borderId="0" xfId="0" applyFont="1" applyFill="1"/>
    <xf numFmtId="0" fontId="51" fillId="30" borderId="13" xfId="0" applyFont="1" applyFill="1" applyBorder="1" applyAlignment="1">
      <alignment vertical="center"/>
    </xf>
    <xf numFmtId="0" fontId="51" fillId="30" borderId="8" xfId="0" applyFont="1" applyFill="1" applyBorder="1" applyAlignment="1">
      <alignment vertical="center" shrinkToFit="1"/>
    </xf>
    <xf numFmtId="2" fontId="51" fillId="30" borderId="9" xfId="0" applyNumberFormat="1" applyFont="1" applyFill="1" applyBorder="1" applyAlignment="1" applyProtection="1">
      <alignment vertical="center"/>
      <protection hidden="1"/>
    </xf>
    <xf numFmtId="0" fontId="51" fillId="30" borderId="8" xfId="0" applyFont="1" applyFill="1" applyBorder="1" applyAlignment="1">
      <alignment horizontal="right" vertical="center"/>
    </xf>
    <xf numFmtId="0" fontId="7" fillId="25" borderId="11" xfId="0" applyFont="1" applyFill="1" applyBorder="1" applyAlignment="1">
      <alignment horizontal="center" vertical="center"/>
    </xf>
    <xf numFmtId="0" fontId="12" fillId="25" borderId="11" xfId="0" applyFont="1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2" fontId="60" fillId="0" borderId="11" xfId="0" applyNumberFormat="1" applyFont="1" applyBorder="1" applyAlignment="1">
      <alignment horizontal="center" vertical="center"/>
    </xf>
    <xf numFmtId="0" fontId="60" fillId="0" borderId="11" xfId="0" applyFont="1" applyBorder="1" applyAlignment="1">
      <alignment horizontal="center" vertical="center"/>
    </xf>
    <xf numFmtId="0" fontId="5" fillId="0" borderId="0" xfId="0" applyFont="1"/>
    <xf numFmtId="0" fontId="51" fillId="30" borderId="13" xfId="0" applyFont="1" applyFill="1" applyBorder="1" applyAlignment="1">
      <alignment horizontal="right" vertical="center"/>
    </xf>
    <xf numFmtId="0" fontId="0" fillId="31" borderId="11" xfId="0" applyFill="1" applyBorder="1" applyAlignment="1">
      <alignment horizontal="left" vertical="center"/>
    </xf>
    <xf numFmtId="0" fontId="5" fillId="31" borderId="11" xfId="0" applyFont="1" applyFill="1" applyBorder="1" applyAlignment="1">
      <alignment horizontal="left"/>
    </xf>
    <xf numFmtId="0" fontId="5" fillId="31" borderId="0" xfId="0" applyFont="1" applyFill="1" applyAlignment="1">
      <alignment horizontal="left"/>
    </xf>
    <xf numFmtId="0" fontId="0" fillId="31" borderId="11" xfId="0" applyFill="1" applyBorder="1" applyAlignment="1">
      <alignment horizontal="left"/>
    </xf>
    <xf numFmtId="0" fontId="5" fillId="31" borderId="20" xfId="0" applyFont="1" applyFill="1" applyBorder="1" applyAlignment="1">
      <alignment horizontal="left"/>
    </xf>
    <xf numFmtId="0" fontId="0" fillId="31" borderId="20" xfId="0" applyFill="1" applyBorder="1" applyAlignment="1">
      <alignment horizontal="left"/>
    </xf>
    <xf numFmtId="0" fontId="0" fillId="31" borderId="20" xfId="0" applyFill="1" applyBorder="1" applyAlignment="1">
      <alignment horizontal="left" vertical="center"/>
    </xf>
    <xf numFmtId="0" fontId="0" fillId="31" borderId="0" xfId="0" applyFill="1"/>
    <xf numFmtId="0" fontId="5" fillId="30" borderId="15" xfId="0" applyFont="1" applyFill="1" applyBorder="1" applyAlignment="1" applyProtection="1">
      <alignment vertical="center"/>
      <protection hidden="1"/>
    </xf>
    <xf numFmtId="0" fontId="5" fillId="30" borderId="16" xfId="0" applyFont="1" applyFill="1" applyBorder="1" applyAlignment="1" applyProtection="1">
      <alignment vertical="center"/>
      <protection hidden="1"/>
    </xf>
    <xf numFmtId="0" fontId="2" fillId="30" borderId="8" xfId="0" applyFont="1" applyFill="1" applyBorder="1" applyAlignment="1">
      <alignment vertical="center"/>
    </xf>
    <xf numFmtId="0" fontId="51" fillId="25" borderId="0" xfId="0" applyFont="1" applyFill="1" applyAlignment="1" applyProtection="1">
      <alignment vertical="center"/>
      <protection hidden="1"/>
    </xf>
    <xf numFmtId="2" fontId="51" fillId="25" borderId="9" xfId="0" applyNumberFormat="1" applyFont="1" applyFill="1" applyBorder="1" applyProtection="1">
      <protection hidden="1"/>
    </xf>
    <xf numFmtId="0" fontId="51" fillId="25" borderId="15" xfId="0" applyFont="1" applyFill="1" applyBorder="1" applyProtection="1">
      <protection hidden="1"/>
    </xf>
    <xf numFmtId="0" fontId="51" fillId="25" borderId="16" xfId="0" applyFont="1" applyFill="1" applyBorder="1" applyAlignment="1" applyProtection="1">
      <alignment vertical="center"/>
      <protection hidden="1"/>
    </xf>
    <xf numFmtId="0" fontId="55" fillId="25" borderId="16" xfId="0" applyFont="1" applyFill="1" applyBorder="1" applyAlignment="1" applyProtection="1">
      <alignment horizontal="right" vertical="top" indent="1"/>
      <protection hidden="1"/>
    </xf>
    <xf numFmtId="2" fontId="51" fillId="25" borderId="17" xfId="0" applyNumberFormat="1" applyFont="1" applyFill="1" applyBorder="1" applyProtection="1">
      <protection hidden="1"/>
    </xf>
    <xf numFmtId="0" fontId="51" fillId="25" borderId="0" xfId="0" applyFont="1" applyFill="1" applyProtection="1">
      <protection hidden="1"/>
    </xf>
    <xf numFmtId="0" fontId="55" fillId="25" borderId="0" xfId="0" applyFont="1" applyFill="1" applyAlignment="1" applyProtection="1">
      <alignment horizontal="right" vertical="top" indent="1"/>
      <protection hidden="1"/>
    </xf>
    <xf numFmtId="2" fontId="51" fillId="25" borderId="0" xfId="0" applyNumberFormat="1" applyFont="1" applyFill="1" applyProtection="1">
      <protection hidden="1"/>
    </xf>
    <xf numFmtId="0" fontId="51" fillId="25" borderId="0" xfId="0" applyFont="1" applyFill="1" applyAlignment="1" applyProtection="1">
      <alignment horizontal="left" vertical="center"/>
      <protection hidden="1"/>
    </xf>
    <xf numFmtId="0" fontId="68" fillId="25" borderId="0" xfId="0" applyFont="1" applyFill="1" applyAlignment="1" applyProtection="1">
      <alignment horizontal="center" vertical="center"/>
      <protection hidden="1"/>
    </xf>
    <xf numFmtId="0" fontId="37" fillId="25" borderId="8" xfId="44" applyNumberFormat="1" applyFont="1" applyFill="1" applyBorder="1" applyAlignment="1">
      <alignment vertical="center"/>
    </xf>
    <xf numFmtId="0" fontId="37" fillId="25" borderId="9" xfId="44" applyNumberFormat="1" applyFont="1" applyFill="1" applyBorder="1" applyAlignment="1">
      <alignment vertical="center"/>
    </xf>
    <xf numFmtId="0" fontId="37" fillId="25" borderId="0" xfId="44" applyNumberFormat="1" applyFont="1" applyFill="1" applyAlignment="1">
      <alignment vertical="center"/>
    </xf>
    <xf numFmtId="0" fontId="5" fillId="31" borderId="11" xfId="0" applyFont="1" applyFill="1" applyBorder="1" applyAlignment="1">
      <alignment horizontal="center"/>
    </xf>
    <xf numFmtId="0" fontId="2" fillId="31" borderId="11" xfId="0" applyFont="1" applyFill="1" applyBorder="1" applyAlignment="1">
      <alignment horizontal="center" vertical="center"/>
    </xf>
    <xf numFmtId="0" fontId="5" fillId="31" borderId="11" xfId="0" applyFont="1" applyFill="1" applyBorder="1"/>
    <xf numFmtId="0" fontId="5" fillId="31" borderId="11" xfId="0" applyFont="1" applyFill="1" applyBorder="1" applyAlignment="1" applyProtection="1">
      <alignment horizontal="center" vertical="center"/>
      <protection hidden="1"/>
    </xf>
    <xf numFmtId="0" fontId="71" fillId="30" borderId="16" xfId="0" applyFont="1" applyFill="1" applyBorder="1" applyAlignment="1" applyProtection="1">
      <alignment horizontal="right" vertical="center"/>
      <protection hidden="1"/>
    </xf>
    <xf numFmtId="0" fontId="71" fillId="30" borderId="8" xfId="0" applyFont="1" applyFill="1" applyBorder="1" applyAlignment="1" applyProtection="1">
      <alignment vertical="center"/>
      <protection hidden="1"/>
    </xf>
    <xf numFmtId="0" fontId="71" fillId="30" borderId="15" xfId="0" applyFont="1" applyFill="1" applyBorder="1" applyAlignment="1" applyProtection="1">
      <alignment vertical="center"/>
      <protection hidden="1"/>
    </xf>
    <xf numFmtId="0" fontId="71" fillId="30" borderId="16" xfId="0" applyFont="1" applyFill="1" applyBorder="1" applyAlignment="1" applyProtection="1">
      <alignment vertical="center"/>
      <protection hidden="1"/>
    </xf>
    <xf numFmtId="0" fontId="73" fillId="30" borderId="16" xfId="0" applyFont="1" applyFill="1" applyBorder="1" applyAlignment="1" applyProtection="1">
      <alignment vertical="center"/>
      <protection hidden="1"/>
    </xf>
    <xf numFmtId="0" fontId="73" fillId="30" borderId="16" xfId="0" applyFont="1" applyFill="1" applyBorder="1" applyAlignment="1" applyProtection="1">
      <alignment horizontal="right" vertical="center"/>
      <protection hidden="1"/>
    </xf>
    <xf numFmtId="0" fontId="50" fillId="0" borderId="0" xfId="0" applyFont="1" applyAlignment="1" applyProtection="1">
      <alignment vertical="center"/>
      <protection hidden="1"/>
    </xf>
    <xf numFmtId="0" fontId="63" fillId="25" borderId="0" xfId="0" applyFont="1" applyFill="1" applyAlignment="1" applyProtection="1">
      <alignment horizontal="right" vertical="center"/>
      <protection hidden="1"/>
    </xf>
    <xf numFmtId="0" fontId="51" fillId="30" borderId="0" xfId="0" applyFont="1" applyFill="1" applyAlignment="1">
      <alignment horizontal="right" vertical="center"/>
    </xf>
    <xf numFmtId="0" fontId="51" fillId="30" borderId="0" xfId="0" applyFont="1" applyFill="1" applyAlignment="1">
      <alignment vertical="center" shrinkToFit="1"/>
    </xf>
    <xf numFmtId="0" fontId="4" fillId="30" borderId="0" xfId="0" applyFont="1" applyFill="1" applyAlignment="1">
      <alignment vertical="center"/>
    </xf>
    <xf numFmtId="0" fontId="71" fillId="30" borderId="0" xfId="0" applyFont="1" applyFill="1" applyAlignment="1" applyProtection="1">
      <alignment vertical="center"/>
      <protection hidden="1"/>
    </xf>
    <xf numFmtId="0" fontId="73" fillId="30" borderId="0" xfId="0" applyFont="1" applyFill="1" applyAlignment="1" applyProtection="1">
      <alignment vertical="center"/>
      <protection hidden="1"/>
    </xf>
    <xf numFmtId="0" fontId="73" fillId="30" borderId="0" xfId="0" applyFont="1" applyFill="1" applyAlignment="1" applyProtection="1">
      <alignment horizontal="right" vertical="center"/>
      <protection hidden="1"/>
    </xf>
    <xf numFmtId="0" fontId="4" fillId="30" borderId="0" xfId="0" applyFont="1" applyFill="1" applyAlignment="1">
      <alignment horizontal="right" vertical="center"/>
    </xf>
    <xf numFmtId="0" fontId="3" fillId="30" borderId="8" xfId="0" applyFont="1" applyFill="1" applyBorder="1" applyAlignment="1">
      <alignment vertical="center"/>
    </xf>
    <xf numFmtId="0" fontId="1" fillId="30" borderId="0" xfId="0" applyFont="1" applyFill="1" applyAlignment="1">
      <alignment horizontal="right" vertical="center"/>
    </xf>
    <xf numFmtId="0" fontId="75" fillId="30" borderId="0" xfId="0" applyFont="1" applyFill="1" applyAlignment="1">
      <alignment horizontal="right" vertical="center"/>
    </xf>
    <xf numFmtId="0" fontId="5" fillId="34" borderId="11" xfId="41" applyFill="1" applyBorder="1"/>
    <xf numFmtId="0" fontId="10" fillId="25" borderId="8" xfId="0" applyFont="1" applyFill="1" applyBorder="1" applyAlignment="1" applyProtection="1">
      <alignment horizontal="center"/>
      <protection hidden="1"/>
    </xf>
    <xf numFmtId="0" fontId="10" fillId="25" borderId="0" xfId="0" applyFont="1" applyFill="1" applyAlignment="1" applyProtection="1">
      <alignment horizontal="center"/>
      <protection hidden="1"/>
    </xf>
    <xf numFmtId="0" fontId="10" fillId="25" borderId="9" xfId="0" applyFont="1" applyFill="1" applyBorder="1" applyAlignment="1" applyProtection="1">
      <alignment horizontal="center"/>
      <protection hidden="1"/>
    </xf>
    <xf numFmtId="0" fontId="5" fillId="25" borderId="0" xfId="0" applyFont="1" applyFill="1" applyAlignment="1" applyProtection="1">
      <alignment horizontal="right" vertical="center" wrapText="1"/>
      <protection hidden="1"/>
    </xf>
    <xf numFmtId="0" fontId="0" fillId="25" borderId="0" xfId="0" applyFill="1" applyAlignment="1" applyProtection="1">
      <alignment horizontal="right" vertical="center" wrapText="1"/>
      <protection hidden="1"/>
    </xf>
    <xf numFmtId="2" fontId="13" fillId="25" borderId="11" xfId="0" applyNumberFormat="1" applyFont="1" applyFill="1" applyBorder="1" applyAlignment="1" applyProtection="1">
      <alignment horizontal="center" vertical="center"/>
      <protection locked="0"/>
    </xf>
    <xf numFmtId="49" fontId="37" fillId="25" borderId="20" xfId="44" applyFont="1" applyFill="1" applyBorder="1" applyAlignment="1">
      <alignment horizontal="center" vertical="center"/>
    </xf>
    <xf numFmtId="49" fontId="37" fillId="25" borderId="19" xfId="44" applyFont="1" applyFill="1" applyBorder="1" applyAlignment="1">
      <alignment horizontal="center" vertical="center"/>
    </xf>
    <xf numFmtId="49" fontId="37" fillId="25" borderId="14" xfId="44" applyFont="1" applyFill="1" applyBorder="1" applyAlignment="1">
      <alignment horizontal="center" vertical="center"/>
    </xf>
    <xf numFmtId="0" fontId="9" fillId="25" borderId="18" xfId="0" applyFont="1" applyFill="1" applyBorder="1" applyAlignment="1" applyProtection="1">
      <alignment horizontal="center"/>
      <protection hidden="1"/>
    </xf>
    <xf numFmtId="0" fontId="9" fillId="25" borderId="13" xfId="0" applyFont="1" applyFill="1" applyBorder="1" applyAlignment="1" applyProtection="1">
      <alignment horizontal="center"/>
      <protection hidden="1"/>
    </xf>
    <xf numFmtId="0" fontId="9" fillId="25" borderId="12" xfId="0" applyFont="1" applyFill="1" applyBorder="1" applyAlignment="1" applyProtection="1">
      <alignment horizontal="center"/>
      <protection hidden="1"/>
    </xf>
    <xf numFmtId="0" fontId="44" fillId="0" borderId="0" xfId="0" applyFont="1" applyAlignment="1">
      <alignment horizontal="center"/>
    </xf>
    <xf numFmtId="0" fontId="44" fillId="0" borderId="20" xfId="0" applyFont="1" applyBorder="1" applyAlignment="1">
      <alignment horizontal="center"/>
    </xf>
    <xf numFmtId="0" fontId="44" fillId="0" borderId="19" xfId="0" applyFont="1" applyBorder="1" applyAlignment="1">
      <alignment horizontal="center"/>
    </xf>
    <xf numFmtId="0" fontId="44" fillId="0" borderId="14" xfId="0" applyFont="1" applyBorder="1" applyAlignment="1">
      <alignment horizontal="center"/>
    </xf>
    <xf numFmtId="0" fontId="44" fillId="0" borderId="11" xfId="0" applyFont="1" applyBorder="1" applyAlignment="1">
      <alignment horizontal="center"/>
    </xf>
    <xf numFmtId="0" fontId="14" fillId="0" borderId="2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62" fillId="26" borderId="0" xfId="0" applyFont="1" applyFill="1" applyAlignment="1">
      <alignment horizontal="center" vertical="center"/>
    </xf>
    <xf numFmtId="0" fontId="71" fillId="30" borderId="16" xfId="0" applyFont="1" applyFill="1" applyBorder="1" applyAlignment="1" applyProtection="1">
      <alignment horizontal="right" vertical="center"/>
      <protection hidden="1"/>
    </xf>
    <xf numFmtId="0" fontId="73" fillId="30" borderId="16" xfId="0" applyFont="1" applyFill="1" applyBorder="1" applyAlignment="1" applyProtection="1">
      <alignment horizontal="right" vertical="center"/>
      <protection hidden="1"/>
    </xf>
    <xf numFmtId="0" fontId="51" fillId="30" borderId="8" xfId="0" applyFont="1" applyFill="1" applyBorder="1" applyAlignment="1">
      <alignment horizontal="right" vertical="center" indent="1"/>
    </xf>
    <xf numFmtId="0" fontId="49" fillId="30" borderId="20" xfId="0" applyFont="1" applyFill="1" applyBorder="1" applyAlignment="1">
      <alignment horizontal="center" vertical="center"/>
    </xf>
    <xf numFmtId="0" fontId="49" fillId="30" borderId="19" xfId="0" applyFont="1" applyFill="1" applyBorder="1" applyAlignment="1">
      <alignment horizontal="center" vertical="center"/>
    </xf>
    <xf numFmtId="0" fontId="49" fillId="30" borderId="14" xfId="0" applyFont="1" applyFill="1" applyBorder="1" applyAlignment="1">
      <alignment horizontal="center" vertical="center"/>
    </xf>
    <xf numFmtId="0" fontId="51" fillId="30" borderId="0" xfId="0" applyFont="1" applyFill="1" applyAlignment="1">
      <alignment horizontal="center" vertical="center" shrinkToFit="1"/>
    </xf>
    <xf numFmtId="0" fontId="51" fillId="30" borderId="0" xfId="0" applyFont="1" applyFill="1" applyAlignment="1">
      <alignment horizontal="right" vertical="center" shrinkToFit="1"/>
    </xf>
    <xf numFmtId="0" fontId="51" fillId="30" borderId="18" xfId="0" applyFont="1" applyFill="1" applyBorder="1" applyAlignment="1">
      <alignment horizontal="right" vertical="center"/>
    </xf>
    <xf numFmtId="0" fontId="51" fillId="30" borderId="13" xfId="0" applyFont="1" applyFill="1" applyBorder="1" applyAlignment="1">
      <alignment horizontal="right" vertical="center"/>
    </xf>
    <xf numFmtId="0" fontId="5" fillId="0" borderId="2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2" fontId="73" fillId="30" borderId="16" xfId="0" applyNumberFormat="1" applyFont="1" applyFill="1" applyBorder="1" applyAlignment="1" applyProtection="1">
      <alignment horizontal="center"/>
      <protection hidden="1"/>
    </xf>
    <xf numFmtId="2" fontId="73" fillId="30" borderId="17" xfId="0" applyNumberFormat="1" applyFont="1" applyFill="1" applyBorder="1" applyAlignment="1" applyProtection="1">
      <alignment horizontal="center"/>
      <protection hidden="1"/>
    </xf>
    <xf numFmtId="0" fontId="49" fillId="0" borderId="0" xfId="0" applyFont="1" applyAlignment="1">
      <alignment horizontal="center" vertical="center"/>
    </xf>
    <xf numFmtId="0" fontId="4" fillId="30" borderId="8" xfId="0" applyFont="1" applyFill="1" applyBorder="1" applyAlignment="1">
      <alignment horizontal="right" vertical="center"/>
    </xf>
    <xf numFmtId="0" fontId="4" fillId="30" borderId="0" xfId="0" applyFont="1" applyFill="1" applyAlignment="1">
      <alignment horizontal="right" vertical="center"/>
    </xf>
    <xf numFmtId="0" fontId="4" fillId="30" borderId="33" xfId="0" applyFont="1" applyFill="1" applyBorder="1" applyAlignment="1">
      <alignment horizontal="center" vertical="center"/>
    </xf>
    <xf numFmtId="0" fontId="4" fillId="30" borderId="34" xfId="0" applyFont="1" applyFill="1" applyBorder="1" applyAlignment="1">
      <alignment horizontal="center" vertical="center"/>
    </xf>
    <xf numFmtId="2" fontId="4" fillId="30" borderId="16" xfId="0" applyNumberFormat="1" applyFont="1" applyFill="1" applyBorder="1" applyAlignment="1" applyProtection="1">
      <alignment horizontal="center" vertical="center"/>
      <protection hidden="1"/>
    </xf>
    <xf numFmtId="2" fontId="4" fillId="30" borderId="17" xfId="0" applyNumberFormat="1" applyFont="1" applyFill="1" applyBorder="1" applyAlignment="1" applyProtection="1">
      <alignment horizontal="center" vertical="center"/>
      <protection hidden="1"/>
    </xf>
    <xf numFmtId="0" fontId="4" fillId="30" borderId="18" xfId="0" applyFont="1" applyFill="1" applyBorder="1" applyAlignment="1">
      <alignment horizontal="right" vertical="center"/>
    </xf>
    <xf numFmtId="0" fontId="4" fillId="30" borderId="13" xfId="0" applyFont="1" applyFill="1" applyBorder="1" applyAlignment="1">
      <alignment horizontal="right" vertical="center"/>
    </xf>
    <xf numFmtId="0" fontId="56" fillId="30" borderId="0" xfId="0" applyFont="1" applyFill="1" applyAlignment="1">
      <alignment horizontal="right" vertical="center" shrinkToFit="1"/>
    </xf>
    <xf numFmtId="2" fontId="51" fillId="30" borderId="0" xfId="0" applyNumberFormat="1" applyFont="1" applyFill="1" applyAlignment="1">
      <alignment horizontal="center" vertical="center" shrinkToFit="1"/>
    </xf>
    <xf numFmtId="0" fontId="1" fillId="30" borderId="15" xfId="0" applyFont="1" applyFill="1" applyBorder="1" applyAlignment="1">
      <alignment horizontal="right" vertical="center"/>
    </xf>
    <xf numFmtId="0" fontId="4" fillId="30" borderId="16" xfId="0" applyFont="1" applyFill="1" applyBorder="1" applyAlignment="1">
      <alignment horizontal="right" vertical="center"/>
    </xf>
    <xf numFmtId="2" fontId="51" fillId="30" borderId="0" xfId="0" applyNumberFormat="1" applyFont="1" applyFill="1" applyAlignment="1" applyProtection="1">
      <alignment horizontal="center" vertical="center"/>
      <protection hidden="1"/>
    </xf>
    <xf numFmtId="0" fontId="1" fillId="30" borderId="8" xfId="0" applyFont="1" applyFill="1" applyBorder="1" applyAlignment="1">
      <alignment horizontal="right" vertical="center"/>
    </xf>
    <xf numFmtId="0" fontId="49" fillId="30" borderId="18" xfId="41" applyFont="1" applyFill="1" applyBorder="1" applyAlignment="1" applyProtection="1">
      <alignment horizontal="center"/>
      <protection hidden="1"/>
    </xf>
    <xf numFmtId="0" fontId="49" fillId="30" borderId="13" xfId="41" applyFont="1" applyFill="1" applyBorder="1" applyAlignment="1" applyProtection="1">
      <alignment horizontal="center"/>
      <protection hidden="1"/>
    </xf>
    <xf numFmtId="0" fontId="49" fillId="30" borderId="12" xfId="41" applyFont="1" applyFill="1" applyBorder="1" applyAlignment="1" applyProtection="1">
      <alignment horizontal="center"/>
      <protection hidden="1"/>
    </xf>
    <xf numFmtId="0" fontId="51" fillId="30" borderId="8" xfId="41" applyFont="1" applyFill="1" applyBorder="1" applyAlignment="1" applyProtection="1">
      <alignment horizontal="center"/>
      <protection hidden="1"/>
    </xf>
    <xf numFmtId="0" fontId="51" fillId="30" borderId="0" xfId="41" applyFont="1" applyFill="1" applyAlignment="1" applyProtection="1">
      <alignment horizontal="center"/>
      <protection hidden="1"/>
    </xf>
    <xf numFmtId="0" fontId="51" fillId="30" borderId="9" xfId="41" applyFont="1" applyFill="1" applyBorder="1" applyAlignment="1" applyProtection="1">
      <alignment horizontal="center"/>
      <protection hidden="1"/>
    </xf>
    <xf numFmtId="0" fontId="1" fillId="30" borderId="15" xfId="0" quotePrefix="1" applyFont="1" applyFill="1" applyBorder="1" applyAlignment="1">
      <alignment horizontal="right" vertical="center"/>
    </xf>
    <xf numFmtId="0" fontId="4" fillId="30" borderId="16" xfId="0" quotePrefix="1" applyFont="1" applyFill="1" applyBorder="1" applyAlignment="1">
      <alignment horizontal="right" vertical="center"/>
    </xf>
    <xf numFmtId="2" fontId="4" fillId="30" borderId="35" xfId="0" applyNumberFormat="1" applyFont="1" applyFill="1" applyBorder="1" applyAlignment="1" applyProtection="1">
      <alignment horizontal="center" vertical="center"/>
      <protection hidden="1"/>
    </xf>
    <xf numFmtId="2" fontId="4" fillId="30" borderId="36" xfId="0" applyNumberFormat="1" applyFont="1" applyFill="1" applyBorder="1" applyAlignment="1" applyProtection="1">
      <alignment horizontal="center" vertical="center"/>
      <protection hidden="1"/>
    </xf>
    <xf numFmtId="2" fontId="51" fillId="25" borderId="11" xfId="0" applyNumberFormat="1" applyFont="1" applyFill="1" applyBorder="1" applyAlignment="1" applyProtection="1">
      <alignment horizontal="center" vertical="center"/>
      <protection hidden="1"/>
    </xf>
    <xf numFmtId="2" fontId="51" fillId="25" borderId="20" xfId="0" applyNumberFormat="1" applyFont="1" applyFill="1" applyBorder="1" applyAlignment="1" applyProtection="1">
      <alignment horizontal="center" vertical="center"/>
      <protection hidden="1"/>
    </xf>
    <xf numFmtId="2" fontId="51" fillId="25" borderId="19" xfId="0" applyNumberFormat="1" applyFont="1" applyFill="1" applyBorder="1" applyAlignment="1" applyProtection="1">
      <alignment horizontal="center" vertical="center"/>
      <protection hidden="1"/>
    </xf>
    <xf numFmtId="2" fontId="51" fillId="25" borderId="14" xfId="0" applyNumberFormat="1" applyFont="1" applyFill="1" applyBorder="1" applyAlignment="1" applyProtection="1">
      <alignment horizontal="center" vertical="center"/>
      <protection hidden="1"/>
    </xf>
    <xf numFmtId="0" fontId="51" fillId="30" borderId="24" xfId="0" applyFont="1" applyFill="1" applyBorder="1" applyAlignment="1" applyProtection="1">
      <alignment horizontal="center"/>
      <protection hidden="1"/>
    </xf>
    <xf numFmtId="0" fontId="51" fillId="30" borderId="26" xfId="0" applyFont="1" applyFill="1" applyBorder="1" applyAlignment="1" applyProtection="1">
      <alignment horizontal="center"/>
      <protection hidden="1"/>
    </xf>
    <xf numFmtId="0" fontId="51" fillId="30" borderId="25" xfId="0" applyFont="1" applyFill="1" applyBorder="1" applyAlignment="1" applyProtection="1">
      <alignment horizontal="center"/>
      <protection hidden="1"/>
    </xf>
    <xf numFmtId="0" fontId="51" fillId="30" borderId="8" xfId="0" applyFont="1" applyFill="1" applyBorder="1" applyAlignment="1" applyProtection="1">
      <alignment horizontal="center"/>
      <protection hidden="1"/>
    </xf>
    <xf numFmtId="0" fontId="51" fillId="30" borderId="9" xfId="0" applyFont="1" applyFill="1" applyBorder="1" applyAlignment="1" applyProtection="1">
      <alignment horizontal="center"/>
      <protection hidden="1"/>
    </xf>
    <xf numFmtId="0" fontId="51" fillId="30" borderId="24" xfId="0" applyFont="1" applyFill="1" applyBorder="1" applyAlignment="1" applyProtection="1">
      <alignment horizontal="center" vertical="top"/>
      <protection hidden="1"/>
    </xf>
    <xf numFmtId="0" fontId="51" fillId="30" borderId="26" xfId="0" applyFont="1" applyFill="1" applyBorder="1" applyAlignment="1" applyProtection="1">
      <alignment horizontal="center" vertical="top"/>
      <protection hidden="1"/>
    </xf>
    <xf numFmtId="0" fontId="51" fillId="30" borderId="25" xfId="0" applyFont="1" applyFill="1" applyBorder="1" applyAlignment="1" applyProtection="1">
      <alignment horizontal="center" vertical="top"/>
      <protection hidden="1"/>
    </xf>
    <xf numFmtId="0" fontId="51" fillId="30" borderId="8" xfId="0" applyFont="1" applyFill="1" applyBorder="1" applyAlignment="1" applyProtection="1">
      <alignment horizontal="center" vertical="top"/>
      <protection hidden="1"/>
    </xf>
    <xf numFmtId="0" fontId="51" fillId="30" borderId="9" xfId="0" applyFont="1" applyFill="1" applyBorder="1" applyAlignment="1" applyProtection="1">
      <alignment horizontal="center" vertical="top"/>
      <protection hidden="1"/>
    </xf>
    <xf numFmtId="0" fontId="51" fillId="30" borderId="15" xfId="0" applyFont="1" applyFill="1" applyBorder="1" applyAlignment="1" applyProtection="1">
      <alignment horizontal="center" vertical="top"/>
      <protection hidden="1"/>
    </xf>
    <xf numFmtId="0" fontId="51" fillId="30" borderId="16" xfId="0" applyFont="1" applyFill="1" applyBorder="1" applyAlignment="1" applyProtection="1">
      <alignment horizontal="center" vertical="top"/>
      <protection hidden="1"/>
    </xf>
    <xf numFmtId="0" fontId="51" fillId="30" borderId="17" xfId="0" applyFont="1" applyFill="1" applyBorder="1" applyAlignment="1" applyProtection="1">
      <alignment horizontal="center" vertical="top"/>
      <protection hidden="1"/>
    </xf>
    <xf numFmtId="2" fontId="70" fillId="25" borderId="20" xfId="0" applyNumberFormat="1" applyFont="1" applyFill="1" applyBorder="1" applyAlignment="1" applyProtection="1">
      <alignment horizontal="center" vertical="center"/>
      <protection hidden="1"/>
    </xf>
    <xf numFmtId="2" fontId="70" fillId="25" borderId="19" xfId="0" applyNumberFormat="1" applyFont="1" applyFill="1" applyBorder="1" applyAlignment="1" applyProtection="1">
      <alignment horizontal="center" vertical="center"/>
      <protection hidden="1"/>
    </xf>
    <xf numFmtId="2" fontId="70" fillId="25" borderId="14" xfId="0" applyNumberFormat="1" applyFont="1" applyFill="1" applyBorder="1" applyAlignment="1" applyProtection="1">
      <alignment horizontal="center" vertical="center"/>
      <protection hidden="1"/>
    </xf>
    <xf numFmtId="0" fontId="67" fillId="32" borderId="0" xfId="0" applyFont="1" applyFill="1" applyAlignment="1" applyProtection="1">
      <alignment horizontal="center" vertical="center"/>
      <protection hidden="1"/>
    </xf>
    <xf numFmtId="0" fontId="64" fillId="29" borderId="0" xfId="0" applyFont="1" applyFill="1" applyAlignment="1" applyProtection="1">
      <alignment horizontal="left" vertical="top" wrapText="1"/>
      <protection hidden="1"/>
    </xf>
    <xf numFmtId="0" fontId="64" fillId="29" borderId="0" xfId="0" applyFont="1" applyFill="1" applyAlignment="1" applyProtection="1">
      <alignment horizontal="left" vertical="top"/>
      <protection hidden="1"/>
    </xf>
    <xf numFmtId="0" fontId="68" fillId="25" borderId="0" xfId="0" applyFont="1" applyFill="1" applyAlignment="1" applyProtection="1">
      <alignment horizontal="center" vertical="center"/>
      <protection hidden="1"/>
    </xf>
    <xf numFmtId="0" fontId="51" fillId="25" borderId="11" xfId="0" applyFont="1" applyFill="1" applyBorder="1" applyAlignment="1" applyProtection="1">
      <alignment horizontal="center" vertical="center"/>
      <protection hidden="1"/>
    </xf>
    <xf numFmtId="0" fontId="69" fillId="33" borderId="11" xfId="0" applyFont="1" applyFill="1" applyBorder="1" applyAlignment="1" applyProtection="1">
      <alignment horizontal="center" vertical="center"/>
      <protection hidden="1"/>
    </xf>
    <xf numFmtId="2" fontId="69" fillId="33" borderId="11" xfId="0" applyNumberFormat="1" applyFont="1" applyFill="1" applyBorder="1" applyAlignment="1" applyProtection="1">
      <alignment horizontal="center" vertical="center"/>
      <protection hidden="1"/>
    </xf>
    <xf numFmtId="165" fontId="51" fillId="25" borderId="11" xfId="0" applyNumberFormat="1" applyFont="1" applyFill="1" applyBorder="1" applyAlignment="1" applyProtection="1">
      <alignment horizontal="center" vertical="center"/>
      <protection hidden="1"/>
    </xf>
    <xf numFmtId="0" fontId="69" fillId="33" borderId="18" xfId="0" applyFont="1" applyFill="1" applyBorder="1" applyAlignment="1" applyProtection="1">
      <alignment horizontal="center" vertical="center" wrapText="1"/>
      <protection hidden="1"/>
    </xf>
    <xf numFmtId="0" fontId="69" fillId="33" borderId="13" xfId="0" applyFont="1" applyFill="1" applyBorder="1" applyAlignment="1" applyProtection="1">
      <alignment horizontal="center" vertical="center" wrapText="1"/>
      <protection hidden="1"/>
    </xf>
    <xf numFmtId="0" fontId="69" fillId="33" borderId="12" xfId="0" applyFont="1" applyFill="1" applyBorder="1" applyAlignment="1" applyProtection="1">
      <alignment horizontal="center" vertical="center" wrapText="1"/>
      <protection hidden="1"/>
    </xf>
    <xf numFmtId="0" fontId="69" fillId="33" borderId="15" xfId="0" applyFont="1" applyFill="1" applyBorder="1" applyAlignment="1" applyProtection="1">
      <alignment horizontal="center" vertical="center" wrapText="1"/>
      <protection hidden="1"/>
    </xf>
    <xf numFmtId="0" fontId="69" fillId="33" borderId="16" xfId="0" applyFont="1" applyFill="1" applyBorder="1" applyAlignment="1" applyProtection="1">
      <alignment horizontal="center" vertical="center" wrapText="1"/>
      <protection hidden="1"/>
    </xf>
    <xf numFmtId="0" fontId="69" fillId="33" borderId="17" xfId="0" applyFont="1" applyFill="1" applyBorder="1" applyAlignment="1" applyProtection="1">
      <alignment horizontal="center" vertical="center" wrapText="1"/>
      <protection hidden="1"/>
    </xf>
    <xf numFmtId="0" fontId="69" fillId="33" borderId="20" xfId="0" applyFont="1" applyFill="1" applyBorder="1" applyAlignment="1" applyProtection="1">
      <alignment horizontal="center" vertical="center"/>
      <protection hidden="1"/>
    </xf>
    <xf numFmtId="0" fontId="69" fillId="33" borderId="19" xfId="0" applyFont="1" applyFill="1" applyBorder="1" applyAlignment="1" applyProtection="1">
      <alignment horizontal="center" vertical="center"/>
      <protection hidden="1"/>
    </xf>
    <xf numFmtId="0" fontId="69" fillId="33" borderId="14" xfId="0" applyFont="1" applyFill="1" applyBorder="1" applyAlignment="1" applyProtection="1">
      <alignment horizontal="center" vertical="center"/>
      <protection hidden="1"/>
    </xf>
    <xf numFmtId="2" fontId="69" fillId="33" borderId="20" xfId="0" applyNumberFormat="1" applyFont="1" applyFill="1" applyBorder="1" applyAlignment="1" applyProtection="1">
      <alignment horizontal="center" vertical="center"/>
      <protection hidden="1"/>
    </xf>
    <xf numFmtId="2" fontId="69" fillId="33" borderId="19" xfId="0" applyNumberFormat="1" applyFont="1" applyFill="1" applyBorder="1" applyAlignment="1" applyProtection="1">
      <alignment horizontal="center" vertical="center"/>
      <protection hidden="1"/>
    </xf>
    <xf numFmtId="2" fontId="69" fillId="33" borderId="14" xfId="0" applyNumberFormat="1" applyFont="1" applyFill="1" applyBorder="1" applyAlignment="1" applyProtection="1">
      <alignment horizontal="center" vertical="center"/>
      <protection hidden="1"/>
    </xf>
    <xf numFmtId="0" fontId="51" fillId="30" borderId="39" xfId="0" applyFont="1" applyFill="1" applyBorder="1" applyAlignment="1">
      <alignment horizontal="right" vertical="center" indent="1"/>
    </xf>
    <xf numFmtId="0" fontId="51" fillId="30" borderId="40" xfId="0" applyFont="1" applyFill="1" applyBorder="1" applyAlignment="1">
      <alignment horizontal="right" vertical="center" indent="1"/>
    </xf>
    <xf numFmtId="0" fontId="51" fillId="30" borderId="40" xfId="0" applyFont="1" applyFill="1" applyBorder="1" applyAlignment="1" applyProtection="1">
      <alignment vertical="center"/>
      <protection locked="0"/>
    </xf>
    <xf numFmtId="0" fontId="52" fillId="30" borderId="40" xfId="0" applyFont="1" applyFill="1" applyBorder="1" applyAlignment="1" applyProtection="1">
      <alignment vertical="center"/>
      <protection locked="0"/>
    </xf>
    <xf numFmtId="0" fontId="52" fillId="30" borderId="37" xfId="0" applyFont="1" applyFill="1" applyBorder="1" applyAlignment="1" applyProtection="1">
      <alignment vertical="center"/>
      <protection locked="0"/>
    </xf>
    <xf numFmtId="0" fontId="51" fillId="30" borderId="0" xfId="0" applyFont="1" applyFill="1" applyBorder="1" applyAlignment="1">
      <alignment horizontal="right" vertical="center" indent="1"/>
    </xf>
    <xf numFmtId="0" fontId="4" fillId="30" borderId="0" xfId="0" applyFont="1" applyFill="1" applyBorder="1" applyAlignment="1">
      <alignment vertical="center"/>
    </xf>
    <xf numFmtId="0" fontId="2" fillId="30" borderId="0" xfId="0" applyFont="1" applyFill="1" applyBorder="1" applyAlignment="1">
      <alignment horizontal="right" vertical="center"/>
    </xf>
    <xf numFmtId="0" fontId="2" fillId="30" borderId="0" xfId="0" applyFont="1" applyFill="1" applyBorder="1" applyAlignment="1">
      <alignment horizontal="right" vertical="center"/>
    </xf>
    <xf numFmtId="0" fontId="1" fillId="30" borderId="0" xfId="0" applyFont="1" applyFill="1" applyBorder="1" applyAlignment="1">
      <alignment horizontal="right" vertical="center"/>
    </xf>
    <xf numFmtId="0" fontId="49" fillId="0" borderId="20" xfId="0" applyFont="1" applyFill="1" applyBorder="1" applyAlignment="1">
      <alignment horizontal="center" vertical="center"/>
    </xf>
    <xf numFmtId="0" fontId="49" fillId="0" borderId="19" xfId="0" applyFont="1" applyFill="1" applyBorder="1" applyAlignment="1">
      <alignment horizontal="center" vertical="center"/>
    </xf>
    <xf numFmtId="0" fontId="49" fillId="0" borderId="14" xfId="0" applyFont="1" applyFill="1" applyBorder="1" applyAlignment="1">
      <alignment horizontal="center" vertical="center"/>
    </xf>
    <xf numFmtId="0" fontId="51" fillId="0" borderId="8" xfId="0" applyFont="1" applyFill="1" applyBorder="1" applyAlignment="1" applyProtection="1">
      <alignment vertical="center"/>
      <protection hidden="1"/>
    </xf>
    <xf numFmtId="0" fontId="51" fillId="0" borderId="9" xfId="0" applyFont="1" applyFill="1" applyBorder="1" applyAlignment="1" applyProtection="1">
      <alignment vertical="center"/>
      <protection hidden="1"/>
    </xf>
    <xf numFmtId="0" fontId="51" fillId="0" borderId="9" xfId="0" applyFont="1" applyFill="1" applyBorder="1" applyAlignment="1" applyProtection="1">
      <alignment horizontal="center" vertical="center"/>
      <protection hidden="1"/>
    </xf>
    <xf numFmtId="0" fontId="51" fillId="0" borderId="15" xfId="0" applyFont="1" applyFill="1" applyBorder="1" applyAlignment="1" applyProtection="1">
      <alignment vertical="center"/>
      <protection hidden="1"/>
    </xf>
    <xf numFmtId="0" fontId="51" fillId="0" borderId="16" xfId="0" applyFont="1" applyFill="1" applyBorder="1" applyAlignment="1" applyProtection="1">
      <alignment vertical="center"/>
      <protection hidden="1"/>
    </xf>
    <xf numFmtId="0" fontId="51" fillId="0" borderId="17" xfId="0" applyFont="1" applyFill="1" applyBorder="1" applyAlignment="1" applyProtection="1">
      <alignment vertical="center"/>
      <protection hidden="1"/>
    </xf>
    <xf numFmtId="0" fontId="51" fillId="30" borderId="27" xfId="0" applyFont="1" applyFill="1" applyBorder="1" applyAlignment="1" applyProtection="1">
      <alignment horizontal="center"/>
      <protection hidden="1"/>
    </xf>
    <xf numFmtId="0" fontId="51" fillId="30" borderId="28" xfId="0" applyFont="1" applyFill="1" applyBorder="1" applyAlignment="1" applyProtection="1">
      <alignment horizontal="center"/>
      <protection hidden="1"/>
    </xf>
    <xf numFmtId="0" fontId="51" fillId="30" borderId="29" xfId="0" applyFont="1" applyFill="1" applyBorder="1" applyAlignment="1" applyProtection="1">
      <alignment horizontal="center"/>
      <protection hidden="1"/>
    </xf>
    <xf numFmtId="0" fontId="51" fillId="30" borderId="28" xfId="0" applyFont="1" applyFill="1" applyBorder="1" applyAlignment="1" applyProtection="1">
      <alignment horizontal="center" vertical="top"/>
      <protection hidden="1"/>
    </xf>
    <xf numFmtId="0" fontId="51" fillId="30" borderId="29" xfId="0" applyFont="1" applyFill="1" applyBorder="1" applyAlignment="1" applyProtection="1">
      <alignment horizontal="center" vertical="top"/>
      <protection hidden="1"/>
    </xf>
    <xf numFmtId="0" fontId="51" fillId="30" borderId="30" xfId="0" applyFont="1" applyFill="1" applyBorder="1" applyAlignment="1" applyProtection="1">
      <alignment horizontal="center" vertical="top"/>
      <protection hidden="1"/>
    </xf>
    <xf numFmtId="0" fontId="51" fillId="30" borderId="31" xfId="0" applyFont="1" applyFill="1" applyBorder="1" applyAlignment="1" applyProtection="1">
      <alignment horizontal="center" vertical="top"/>
      <protection hidden="1"/>
    </xf>
    <xf numFmtId="0" fontId="51" fillId="30" borderId="32" xfId="0" applyFont="1" applyFill="1" applyBorder="1" applyAlignment="1" applyProtection="1">
      <alignment horizontal="center" vertical="top"/>
      <protection hidden="1"/>
    </xf>
    <xf numFmtId="0" fontId="50" fillId="0" borderId="0" xfId="0" applyFont="1" applyFill="1" applyBorder="1" applyAlignment="1" applyProtection="1">
      <alignment horizontal="right" vertical="center"/>
      <protection hidden="1"/>
    </xf>
    <xf numFmtId="2" fontId="51" fillId="0" borderId="0" xfId="0" applyNumberFormat="1" applyFont="1" applyFill="1" applyBorder="1" applyAlignment="1" applyProtection="1">
      <alignment horizontal="left" vertical="center"/>
      <protection hidden="1"/>
    </xf>
    <xf numFmtId="0" fontId="51" fillId="30" borderId="39" xfId="0" applyFont="1" applyFill="1" applyBorder="1" applyAlignment="1" applyProtection="1">
      <alignment horizontal="center"/>
      <protection hidden="1"/>
    </xf>
    <xf numFmtId="0" fontId="51" fillId="30" borderId="40" xfId="0" applyFont="1" applyFill="1" applyBorder="1" applyAlignment="1" applyProtection="1">
      <alignment horizontal="center"/>
      <protection hidden="1"/>
    </xf>
    <xf numFmtId="0" fontId="51" fillId="30" borderId="37" xfId="0" applyFont="1" applyFill="1" applyBorder="1" applyAlignment="1" applyProtection="1">
      <alignment horizontal="center"/>
      <protection hidden="1"/>
    </xf>
    <xf numFmtId="0" fontId="51" fillId="30" borderId="41" xfId="0" applyFont="1" applyFill="1" applyBorder="1" applyAlignment="1" applyProtection="1">
      <alignment horizontal="center"/>
      <protection hidden="1"/>
    </xf>
    <xf numFmtId="0" fontId="51" fillId="30" borderId="38" xfId="0" applyFont="1" applyFill="1" applyBorder="1" applyAlignment="1" applyProtection="1">
      <alignment horizontal="center"/>
      <protection hidden="1"/>
    </xf>
    <xf numFmtId="0" fontId="51" fillId="30" borderId="42" xfId="0" applyFont="1" applyFill="1" applyBorder="1" applyAlignment="1" applyProtection="1">
      <alignment horizontal="center"/>
      <protection hidden="1"/>
    </xf>
    <xf numFmtId="0" fontId="51" fillId="30" borderId="43" xfId="0" applyFont="1" applyFill="1" applyBorder="1" applyAlignment="1" applyProtection="1">
      <alignment horizontal="center"/>
      <protection hidden="1"/>
    </xf>
    <xf numFmtId="0" fontId="51" fillId="30" borderId="0" xfId="0" applyFont="1" applyFill="1" applyBorder="1" applyAlignment="1" applyProtection="1">
      <alignment horizontal="center"/>
      <protection hidden="1"/>
    </xf>
    <xf numFmtId="0" fontId="51" fillId="30" borderId="0" xfId="0" applyFont="1" applyFill="1" applyBorder="1" applyAlignment="1" applyProtection="1">
      <alignment horizontal="center" vertical="top"/>
      <protection hidden="1"/>
    </xf>
    <xf numFmtId="0" fontId="51" fillId="30" borderId="44" xfId="0" applyFont="1" applyFill="1" applyBorder="1" applyAlignment="1" applyProtection="1">
      <alignment horizontal="center" vertical="top"/>
      <protection hidden="1"/>
    </xf>
    <xf numFmtId="0" fontId="51" fillId="30" borderId="45" xfId="0" applyFont="1" applyFill="1" applyBorder="1" applyAlignment="1" applyProtection="1">
      <alignment horizontal="center" vertical="top"/>
      <protection hidden="1"/>
    </xf>
    <xf numFmtId="0" fontId="78" fillId="37" borderId="14" xfId="44" applyNumberFormat="1" applyFont="1" applyFill="1" applyBorder="1" applyAlignment="1">
      <alignment horizontal="center" vertical="center" wrapText="1"/>
    </xf>
    <xf numFmtId="0" fontId="78" fillId="37" borderId="11" xfId="44" applyNumberFormat="1" applyFont="1" applyFill="1" applyBorder="1" applyAlignment="1">
      <alignment horizontal="center" vertical="center" wrapText="1"/>
    </xf>
    <xf numFmtId="0" fontId="78" fillId="37" borderId="20" xfId="44" applyNumberFormat="1" applyFont="1" applyFill="1" applyBorder="1" applyAlignment="1">
      <alignment horizontal="center" vertical="center" wrapText="1"/>
    </xf>
    <xf numFmtId="0" fontId="77" fillId="36" borderId="39" xfId="44" applyNumberFormat="1" applyFont="1" applyFill="1" applyBorder="1" applyAlignment="1">
      <alignment horizontal="center" vertical="center"/>
    </xf>
    <xf numFmtId="0" fontId="77" fillId="36" borderId="40" xfId="44" applyNumberFormat="1" applyFont="1" applyFill="1" applyBorder="1" applyAlignment="1">
      <alignment horizontal="center" vertical="center"/>
    </xf>
    <xf numFmtId="0" fontId="77" fillId="36" borderId="8" xfId="44" applyNumberFormat="1" applyFont="1" applyFill="1" applyBorder="1" applyAlignment="1">
      <alignment horizontal="center" vertical="center"/>
    </xf>
    <xf numFmtId="0" fontId="77" fillId="36" borderId="0" xfId="44" applyNumberFormat="1" applyFont="1" applyFill="1" applyBorder="1" applyAlignment="1">
      <alignment horizontal="center" vertical="center"/>
    </xf>
    <xf numFmtId="0" fontId="78" fillId="37" borderId="40" xfId="44" applyNumberFormat="1" applyFont="1" applyFill="1" applyBorder="1" applyAlignment="1">
      <alignment horizontal="center" vertical="center" wrapText="1"/>
    </xf>
    <xf numFmtId="0" fontId="78" fillId="37" borderId="37" xfId="44" applyNumberFormat="1" applyFont="1" applyFill="1" applyBorder="1" applyAlignment="1">
      <alignment horizontal="center" vertical="center" wrapText="1"/>
    </xf>
    <xf numFmtId="0" fontId="78" fillId="37" borderId="0" xfId="44" applyNumberFormat="1" applyFont="1" applyFill="1" applyBorder="1" applyAlignment="1">
      <alignment horizontal="center" vertical="center" wrapText="1"/>
    </xf>
    <xf numFmtId="0" fontId="78" fillId="37" borderId="9" xfId="44" applyNumberFormat="1" applyFont="1" applyFill="1" applyBorder="1" applyAlignment="1">
      <alignment horizontal="center" vertical="center" wrapText="1"/>
    </xf>
    <xf numFmtId="0" fontId="77" fillId="36" borderId="15" xfId="44" applyNumberFormat="1" applyFont="1" applyFill="1" applyBorder="1" applyAlignment="1">
      <alignment horizontal="center" vertical="center"/>
    </xf>
    <xf numFmtId="0" fontId="77" fillId="36" borderId="16" xfId="44" applyNumberFormat="1" applyFont="1" applyFill="1" applyBorder="1" applyAlignment="1">
      <alignment horizontal="center" vertical="center"/>
    </xf>
    <xf numFmtId="0" fontId="78" fillId="37" borderId="16" xfId="44" applyNumberFormat="1" applyFont="1" applyFill="1" applyBorder="1" applyAlignment="1">
      <alignment horizontal="center" vertical="center" wrapText="1"/>
    </xf>
    <xf numFmtId="0" fontId="78" fillId="37" borderId="17" xfId="44" applyNumberFormat="1" applyFont="1" applyFill="1" applyBorder="1" applyAlignment="1">
      <alignment horizontal="center" vertical="center" wrapText="1"/>
    </xf>
    <xf numFmtId="0" fontId="68" fillId="30" borderId="0" xfId="0" applyFont="1" applyFill="1" applyBorder="1" applyAlignment="1" applyProtection="1">
      <alignment horizontal="left" vertical="center"/>
      <protection locked="0"/>
    </xf>
    <xf numFmtId="0" fontId="68" fillId="30" borderId="9" xfId="0" applyFont="1" applyFill="1" applyBorder="1" applyAlignment="1" applyProtection="1">
      <alignment horizontal="left" vertical="center"/>
      <protection locked="0"/>
    </xf>
    <xf numFmtId="2" fontId="68" fillId="30" borderId="0" xfId="0" applyNumberFormat="1" applyFont="1" applyFill="1" applyBorder="1" applyAlignment="1">
      <alignment horizontal="center" vertical="center"/>
    </xf>
    <xf numFmtId="2" fontId="68" fillId="30" borderId="9" xfId="0" applyNumberFormat="1" applyFont="1" applyFill="1" applyBorder="1" applyAlignment="1">
      <alignment horizontal="center" vertical="center"/>
    </xf>
    <xf numFmtId="2" fontId="68" fillId="30" borderId="0" xfId="0" applyNumberFormat="1" applyFont="1" applyFill="1" applyBorder="1" applyAlignment="1" applyProtection="1">
      <alignment horizontal="center" vertical="center"/>
      <protection locked="0"/>
    </xf>
    <xf numFmtId="2" fontId="68" fillId="30" borderId="9" xfId="0" applyNumberFormat="1" applyFont="1" applyFill="1" applyBorder="1" applyAlignment="1" applyProtection="1">
      <alignment horizontal="center" vertical="center"/>
      <protection locked="0"/>
    </xf>
    <xf numFmtId="2" fontId="68" fillId="30" borderId="16" xfId="0" applyNumberFormat="1" applyFont="1" applyFill="1" applyBorder="1" applyAlignment="1" applyProtection="1">
      <alignment horizontal="center" vertical="center"/>
      <protection locked="0"/>
    </xf>
    <xf numFmtId="2" fontId="68" fillId="30" borderId="17" xfId="0" applyNumberFormat="1" applyFont="1" applyFill="1" applyBorder="1" applyAlignment="1" applyProtection="1">
      <alignment horizontal="center" vertical="center"/>
      <protection locked="0"/>
    </xf>
    <xf numFmtId="2" fontId="68" fillId="30" borderId="13" xfId="0" applyNumberFormat="1" applyFont="1" applyFill="1" applyBorder="1" applyAlignment="1" applyProtection="1">
      <alignment horizontal="center" vertical="center"/>
      <protection locked="0"/>
    </xf>
    <xf numFmtId="2" fontId="68" fillId="30" borderId="12" xfId="0" applyNumberFormat="1" applyFont="1" applyFill="1" applyBorder="1" applyAlignment="1" applyProtection="1">
      <alignment horizontal="center" vertical="center"/>
      <protection locked="0"/>
    </xf>
    <xf numFmtId="2" fontId="68" fillId="30" borderId="0" xfId="0" applyNumberFormat="1" applyFont="1" applyFill="1" applyAlignment="1" applyProtection="1">
      <alignment horizontal="center" vertical="center"/>
      <protection locked="0"/>
    </xf>
    <xf numFmtId="2" fontId="68" fillId="30" borderId="0" xfId="0" applyNumberFormat="1" applyFont="1" applyFill="1" applyAlignment="1" applyProtection="1">
      <alignment horizontal="center" vertical="center"/>
      <protection hidden="1"/>
    </xf>
    <xf numFmtId="2" fontId="68" fillId="30" borderId="9" xfId="0" applyNumberFormat="1" applyFont="1" applyFill="1" applyBorder="1" applyAlignment="1" applyProtection="1">
      <alignment horizontal="center" vertical="center"/>
      <protection hidden="1"/>
    </xf>
    <xf numFmtId="1" fontId="68" fillId="30" borderId="0" xfId="0" applyNumberFormat="1" applyFont="1" applyFill="1" applyAlignment="1">
      <alignment horizontal="center" vertical="center"/>
    </xf>
    <xf numFmtId="1" fontId="68" fillId="30" borderId="9" xfId="0" applyNumberFormat="1" applyFont="1" applyFill="1" applyBorder="1" applyAlignment="1">
      <alignment horizontal="center" vertical="center"/>
    </xf>
    <xf numFmtId="0" fontId="68" fillId="30" borderId="13" xfId="0" applyFont="1" applyFill="1" applyBorder="1" applyAlignment="1">
      <alignment horizontal="center" vertical="center"/>
    </xf>
    <xf numFmtId="0" fontId="68" fillId="30" borderId="12" xfId="0" applyFont="1" applyFill="1" applyBorder="1" applyAlignment="1">
      <alignment horizontal="center" vertical="center"/>
    </xf>
    <xf numFmtId="0" fontId="51" fillId="0" borderId="0" xfId="0" applyFont="1" applyFill="1" applyBorder="1" applyAlignment="1" applyProtection="1">
      <alignment vertical="center"/>
      <protection hidden="1"/>
    </xf>
    <xf numFmtId="0" fontId="51" fillId="0" borderId="39" xfId="0" applyFont="1" applyFill="1" applyBorder="1" applyAlignment="1" applyProtection="1">
      <alignment vertical="center"/>
      <protection hidden="1"/>
    </xf>
    <xf numFmtId="0" fontId="51" fillId="0" borderId="40" xfId="0" applyFont="1" applyFill="1" applyBorder="1" applyAlignment="1" applyProtection="1">
      <alignment vertical="center"/>
      <protection hidden="1"/>
    </xf>
    <xf numFmtId="0" fontId="51" fillId="0" borderId="37" xfId="0" applyFont="1" applyFill="1" applyBorder="1" applyAlignment="1" applyProtection="1">
      <alignment vertical="center"/>
      <protection hidden="1"/>
    </xf>
    <xf numFmtId="0" fontId="51" fillId="0" borderId="0" xfId="0" applyFont="1" applyFill="1" applyBorder="1" applyAlignment="1" applyProtection="1">
      <alignment horizontal="center" vertical="center"/>
      <protection hidden="1"/>
    </xf>
    <xf numFmtId="2" fontId="51" fillId="0" borderId="0" xfId="0" applyNumberFormat="1" applyFont="1" applyFill="1" applyBorder="1" applyAlignment="1" applyProtection="1">
      <alignment vertical="center"/>
      <protection hidden="1"/>
    </xf>
    <xf numFmtId="2" fontId="51" fillId="0" borderId="0" xfId="0" applyNumberFormat="1" applyFont="1" applyFill="1" applyBorder="1" applyAlignment="1" applyProtection="1">
      <alignment horizontal="center" vertical="center" textRotation="90"/>
      <protection hidden="1"/>
    </xf>
    <xf numFmtId="0" fontId="51" fillId="35" borderId="0" xfId="0" applyFont="1" applyFill="1" applyBorder="1" applyAlignment="1" applyProtection="1">
      <alignment horizontal="center" vertical="center"/>
      <protection hidden="1"/>
    </xf>
    <xf numFmtId="2" fontId="79" fillId="30" borderId="13" xfId="0" applyNumberFormat="1" applyFont="1" applyFill="1" applyBorder="1" applyAlignment="1">
      <alignment horizontal="center" vertical="center"/>
    </xf>
  </cellXfs>
  <cellStyles count="4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te" xfId="42" builtinId="10" customBuiltin="1"/>
    <cellStyle name="Output" xfId="43" builtinId="21" customBuiltin="1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48">
    <dxf>
      <border>
        <left style="thin">
          <color auto="1"/>
        </left>
        <vertical/>
        <horizontal/>
      </border>
    </dxf>
    <dxf>
      <fill>
        <patternFill patternType="lightUp"/>
      </fill>
    </dxf>
    <dxf>
      <border>
        <left style="thin">
          <color auto="1"/>
        </left>
        <vertical/>
        <horizontal/>
      </border>
    </dxf>
    <dxf>
      <fill>
        <patternFill patternType="lightUp"/>
      </fill>
    </dxf>
    <dxf>
      <fill>
        <patternFill patternType="lightUp"/>
      </fill>
    </dxf>
    <dxf>
      <border>
        <left style="thin">
          <color auto="1"/>
        </left>
        <vertical/>
        <horizontal/>
      </border>
    </dxf>
    <dxf>
      <font>
        <strike val="0"/>
        <color auto="1"/>
      </font>
    </dxf>
    <dxf>
      <font>
        <strike val="0"/>
        <color auto="1"/>
      </font>
    </dxf>
    <dxf>
      <fill>
        <patternFill patternType="lightUp"/>
      </fill>
    </dxf>
    <dxf>
      <fill>
        <patternFill patternType="lightUp"/>
      </fill>
    </dxf>
    <dxf>
      <font>
        <strike val="0"/>
        <color auto="1"/>
      </font>
    </dxf>
    <dxf>
      <font>
        <b val="0"/>
        <i val="0"/>
        <color rgb="FFC0C0C0"/>
      </font>
      <numFmt numFmtId="168" formatCode="&quot;N/A&quot;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lightUp"/>
      </fill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 patternType="lightUp"/>
      </fill>
    </dxf>
    <dxf>
      <fill>
        <patternFill patternType="lightUp"/>
      </fill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 style="thin">
          <color auto="1"/>
        </top>
        <bottom/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color auto="1"/>
      </font>
    </dxf>
    <dxf>
      <font>
        <strike val="0"/>
        <color auto="1"/>
      </font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 patternType="lightUp"/>
      </fill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lightUp"/>
      </fill>
    </dxf>
    <dxf>
      <fill>
        <patternFill>
          <bgColor theme="0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color auto="1"/>
      </font>
    </dxf>
    <dxf>
      <font>
        <b val="0"/>
        <i val="0"/>
        <color rgb="FFC0C0C0"/>
      </font>
      <numFmt numFmtId="168" formatCode="&quot;N/A&quot;"/>
    </dxf>
  </dxfs>
  <tableStyles count="0" defaultTableStyle="TableStyleMedium9" defaultPivotStyle="PivotStyleLight16"/>
  <colors>
    <mruColors>
      <color rgb="FF0000FF"/>
      <color rgb="FFFFFFCC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478726</xdr:colOff>
      <xdr:row>10</xdr:row>
      <xdr:rowOff>119012</xdr:rowOff>
    </xdr:from>
    <xdr:ext cx="248851" cy="220317"/>
    <xdr:sp macro="" textlink="G13">
      <xdr:nvSpPr>
        <xdr:cNvPr id="3" name="TextBox 2">
          <a:extLst>
            <a:ext uri="{FF2B5EF4-FFF2-40B4-BE49-F238E27FC236}">
              <a16:creationId xmlns:a16="http://schemas.microsoft.com/office/drawing/2014/main" id="{FFDB7C4C-AAAA-4CF1-8F36-1B330E3B1028}"/>
            </a:ext>
          </a:extLst>
        </xdr:cNvPr>
        <xdr:cNvSpPr txBox="1"/>
      </xdr:nvSpPr>
      <xdr:spPr>
        <a:xfrm rot="16200000">
          <a:off x="6555375" y="196492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FB3145C-FB97-4B69-8E6B-84D8E65F2325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 b="0"/>
        </a:p>
      </xdr:txBody>
    </xdr:sp>
    <xdr:clientData/>
  </xdr:oneCellAnchor>
  <xdr:twoCellAnchor editAs="oneCell">
    <xdr:from>
      <xdr:col>0</xdr:col>
      <xdr:colOff>828675</xdr:colOff>
      <xdr:row>25</xdr:row>
      <xdr:rowOff>28575</xdr:rowOff>
    </xdr:from>
    <xdr:to>
      <xdr:col>5</xdr:col>
      <xdr:colOff>923925</xdr:colOff>
      <xdr:row>35</xdr:row>
      <xdr:rowOff>38101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42D672F-F059-174C-1789-C3FE2F00B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3298" b="2680"/>
        <a:stretch/>
      </xdr:blipFill>
      <xdr:spPr>
        <a:xfrm>
          <a:off x="828675" y="4019550"/>
          <a:ext cx="4410075" cy="1628776"/>
        </a:xfrm>
        <a:prstGeom prst="rect">
          <a:avLst/>
        </a:prstGeom>
      </xdr:spPr>
    </xdr:pic>
    <xdr:clientData/>
  </xdr:twoCellAnchor>
  <xdr:twoCellAnchor editAs="oneCell">
    <xdr:from>
      <xdr:col>0</xdr:col>
      <xdr:colOff>893885</xdr:colOff>
      <xdr:row>37</xdr:row>
      <xdr:rowOff>65944</xdr:rowOff>
    </xdr:from>
    <xdr:to>
      <xdr:col>4</xdr:col>
      <xdr:colOff>368823</xdr:colOff>
      <xdr:row>47</xdr:row>
      <xdr:rowOff>21985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CF49852-5506-A178-34CC-3582964763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7058" t="19213" b="2602"/>
        <a:stretch/>
      </xdr:blipFill>
      <xdr:spPr>
        <a:xfrm>
          <a:off x="893885" y="6235213"/>
          <a:ext cx="2947900" cy="1633904"/>
        </a:xfrm>
        <a:prstGeom prst="rect">
          <a:avLst/>
        </a:prstGeom>
      </xdr:spPr>
    </xdr:pic>
    <xdr:clientData/>
  </xdr:twoCellAnchor>
  <xdr:twoCellAnchor editAs="oneCell">
    <xdr:from>
      <xdr:col>0</xdr:col>
      <xdr:colOff>735623</xdr:colOff>
      <xdr:row>49</xdr:row>
      <xdr:rowOff>153867</xdr:rowOff>
    </xdr:from>
    <xdr:to>
      <xdr:col>3</xdr:col>
      <xdr:colOff>293077</xdr:colOff>
      <xdr:row>60</xdr:row>
      <xdr:rowOff>97916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FA754FA-D556-896B-C4BA-AA95C99D6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7926" b="3770"/>
        <a:stretch/>
      </xdr:blipFill>
      <xdr:spPr>
        <a:xfrm>
          <a:off x="735623" y="8499232"/>
          <a:ext cx="2488223" cy="1717164"/>
        </a:xfrm>
        <a:prstGeom prst="rect">
          <a:avLst/>
        </a:prstGeom>
      </xdr:spPr>
    </xdr:pic>
    <xdr:clientData/>
  </xdr:twoCellAnchor>
  <xdr:twoCellAnchor editAs="absolute">
    <xdr:from>
      <xdr:col>0</xdr:col>
      <xdr:colOff>1278547</xdr:colOff>
      <xdr:row>30</xdr:row>
      <xdr:rowOff>85725</xdr:rowOff>
    </xdr:from>
    <xdr:to>
      <xdr:col>1</xdr:col>
      <xdr:colOff>417634</xdr:colOff>
      <xdr:row>32</xdr:row>
      <xdr:rowOff>12191</xdr:rowOff>
    </xdr:to>
    <xdr:sp macro="" textlink="K26">
      <xdr:nvSpPr>
        <xdr:cNvPr id="11" name="TextBox 10">
          <a:extLst>
            <a:ext uri="{FF2B5EF4-FFF2-40B4-BE49-F238E27FC236}">
              <a16:creationId xmlns:a16="http://schemas.microsoft.com/office/drawing/2014/main" id="{21D07349-DE7A-1B6B-2F14-22AD1362BEF0}"/>
            </a:ext>
          </a:extLst>
        </xdr:cNvPr>
        <xdr:cNvSpPr txBox="1"/>
      </xdr:nvSpPr>
      <xdr:spPr>
        <a:xfrm>
          <a:off x="1278547" y="5236552"/>
          <a:ext cx="52387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3BD10AD-BA7A-4137-8D57-B45C14CB323E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1</xdr:col>
      <xdr:colOff>411955</xdr:colOff>
      <xdr:row>30</xdr:row>
      <xdr:rowOff>93234</xdr:rowOff>
    </xdr:from>
    <xdr:to>
      <xdr:col>2</xdr:col>
      <xdr:colOff>175846</xdr:colOff>
      <xdr:row>32</xdr:row>
      <xdr:rowOff>19700</xdr:rowOff>
    </xdr:to>
    <xdr:sp macro="" textlink="K27">
      <xdr:nvSpPr>
        <xdr:cNvPr id="12" name="TextBox 11">
          <a:extLst>
            <a:ext uri="{FF2B5EF4-FFF2-40B4-BE49-F238E27FC236}">
              <a16:creationId xmlns:a16="http://schemas.microsoft.com/office/drawing/2014/main" id="{CB61BB7F-F2C4-4857-9ED6-0DCD7A390EF1}"/>
            </a:ext>
          </a:extLst>
        </xdr:cNvPr>
        <xdr:cNvSpPr txBox="1"/>
      </xdr:nvSpPr>
      <xdr:spPr>
        <a:xfrm>
          <a:off x="1796743" y="5244061"/>
          <a:ext cx="52589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022B037-5680-469A-81D5-1EC8CDDF5EE8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2</xdr:col>
      <xdr:colOff>418367</xdr:colOff>
      <xdr:row>30</xdr:row>
      <xdr:rowOff>99646</xdr:rowOff>
    </xdr:from>
    <xdr:to>
      <xdr:col>3</xdr:col>
      <xdr:colOff>87923</xdr:colOff>
      <xdr:row>32</xdr:row>
      <xdr:rowOff>26112</xdr:rowOff>
    </xdr:to>
    <xdr:sp macro="" textlink="K28">
      <xdr:nvSpPr>
        <xdr:cNvPr id="13" name="TextBox 12">
          <a:extLst>
            <a:ext uri="{FF2B5EF4-FFF2-40B4-BE49-F238E27FC236}">
              <a16:creationId xmlns:a16="http://schemas.microsoft.com/office/drawing/2014/main" id="{BF6A2DBC-2070-4637-AD10-E261C3D194F4}"/>
            </a:ext>
          </a:extLst>
        </xdr:cNvPr>
        <xdr:cNvSpPr txBox="1"/>
      </xdr:nvSpPr>
      <xdr:spPr>
        <a:xfrm>
          <a:off x="2565155" y="5250473"/>
          <a:ext cx="4535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AA6857D-CACA-4FAD-9711-17D97843F6F2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4</xdr:col>
      <xdr:colOff>190500</xdr:colOff>
      <xdr:row>30</xdr:row>
      <xdr:rowOff>117231</xdr:rowOff>
    </xdr:from>
    <xdr:to>
      <xdr:col>4</xdr:col>
      <xdr:colOff>652096</xdr:colOff>
      <xdr:row>32</xdr:row>
      <xdr:rowOff>43697</xdr:rowOff>
    </xdr:to>
    <xdr:sp macro="" textlink="K29">
      <xdr:nvSpPr>
        <xdr:cNvPr id="14" name="TextBox 13">
          <a:extLst>
            <a:ext uri="{FF2B5EF4-FFF2-40B4-BE49-F238E27FC236}">
              <a16:creationId xmlns:a16="http://schemas.microsoft.com/office/drawing/2014/main" id="{0BD36356-0BAE-45F8-82C2-43479B1CD48F}"/>
            </a:ext>
          </a:extLst>
        </xdr:cNvPr>
        <xdr:cNvSpPr txBox="1"/>
      </xdr:nvSpPr>
      <xdr:spPr>
        <a:xfrm>
          <a:off x="3663462" y="5268058"/>
          <a:ext cx="46159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937084E5-8938-494A-A567-C8AC401C43BD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>
            <a:solidFill>
              <a:srgbClr val="0000FF"/>
            </a:solidFill>
          </a:endParaRPr>
        </a:p>
      </xdr:txBody>
    </xdr:sp>
    <xdr:clientData/>
  </xdr:twoCellAnchor>
  <xdr:oneCellAnchor>
    <xdr:from>
      <xdr:col>0</xdr:col>
      <xdr:colOff>1304193</xdr:colOff>
      <xdr:row>42</xdr:row>
      <xdr:rowOff>109904</xdr:rowOff>
    </xdr:from>
    <xdr:ext cx="476568" cy="248851"/>
    <xdr:sp macro="" textlink="N26">
      <xdr:nvSpPr>
        <xdr:cNvPr id="15" name="TextBox 14">
          <a:extLst>
            <a:ext uri="{FF2B5EF4-FFF2-40B4-BE49-F238E27FC236}">
              <a16:creationId xmlns:a16="http://schemas.microsoft.com/office/drawing/2014/main" id="{8A4CEAA4-07AE-4E37-9915-D560CFD4203F}"/>
            </a:ext>
          </a:extLst>
        </xdr:cNvPr>
        <xdr:cNvSpPr txBox="1"/>
      </xdr:nvSpPr>
      <xdr:spPr>
        <a:xfrm>
          <a:off x="1304193" y="7382034"/>
          <a:ext cx="4765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D81E4EA-74E4-4420-8D48-E23946E77F05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0.77</a:t>
          </a:fld>
          <a:endParaRPr lang="en-US" sz="1100"/>
        </a:p>
      </xdr:txBody>
    </xdr:sp>
    <xdr:clientData/>
  </xdr:oneCellAnchor>
  <xdr:oneCellAnchor>
    <xdr:from>
      <xdr:col>1</xdr:col>
      <xdr:colOff>461597</xdr:colOff>
      <xdr:row>42</xdr:row>
      <xdr:rowOff>131884</xdr:rowOff>
    </xdr:from>
    <xdr:ext cx="474337" cy="248851"/>
    <xdr:sp macro="" textlink="N27">
      <xdr:nvSpPr>
        <xdr:cNvPr id="16" name="TextBox 15">
          <a:extLst>
            <a:ext uri="{FF2B5EF4-FFF2-40B4-BE49-F238E27FC236}">
              <a16:creationId xmlns:a16="http://schemas.microsoft.com/office/drawing/2014/main" id="{FD7B4B6C-A012-445C-BB1C-EDBB461CF47C}"/>
            </a:ext>
          </a:extLst>
        </xdr:cNvPr>
        <xdr:cNvSpPr txBox="1"/>
      </xdr:nvSpPr>
      <xdr:spPr>
        <a:xfrm>
          <a:off x="1844793" y="7404014"/>
          <a:ext cx="47433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CBFEF84-4AC7-4990-AC2C-B30A3C5DE42C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0.47</a:t>
          </a:fld>
          <a:endParaRPr lang="en-US" sz="1100"/>
        </a:p>
      </xdr:txBody>
    </xdr:sp>
    <xdr:clientData/>
  </xdr:oneCellAnchor>
  <xdr:oneCellAnchor>
    <xdr:from>
      <xdr:col>2</xdr:col>
      <xdr:colOff>520212</xdr:colOff>
      <xdr:row>42</xdr:row>
      <xdr:rowOff>102577</xdr:rowOff>
    </xdr:from>
    <xdr:ext cx="498549" cy="248851"/>
    <xdr:sp macro="" textlink="N28">
      <xdr:nvSpPr>
        <xdr:cNvPr id="17" name="TextBox 16">
          <a:extLst>
            <a:ext uri="{FF2B5EF4-FFF2-40B4-BE49-F238E27FC236}">
              <a16:creationId xmlns:a16="http://schemas.microsoft.com/office/drawing/2014/main" id="{634783A0-DFFD-4FF6-99D9-D4048D7027AB}"/>
            </a:ext>
          </a:extLst>
        </xdr:cNvPr>
        <xdr:cNvSpPr txBox="1"/>
      </xdr:nvSpPr>
      <xdr:spPr>
        <a:xfrm>
          <a:off x="2665408" y="7374707"/>
          <a:ext cx="49854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0D1E439-5E04-4CED-92CB-F685AD7CE18A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0.40</a:t>
          </a:fld>
          <a:endParaRPr lang="en-US" sz="1100"/>
        </a:p>
      </xdr:txBody>
    </xdr:sp>
    <xdr:clientData/>
  </xdr:oneCellAnchor>
  <xdr:oneCellAnchor>
    <xdr:from>
      <xdr:col>0</xdr:col>
      <xdr:colOff>1362808</xdr:colOff>
      <xdr:row>55</xdr:row>
      <xdr:rowOff>87923</xdr:rowOff>
    </xdr:from>
    <xdr:ext cx="434221" cy="248851"/>
    <xdr:sp macro="" textlink="Q26">
      <xdr:nvSpPr>
        <xdr:cNvPr id="18" name="TextBox 17">
          <a:extLst>
            <a:ext uri="{FF2B5EF4-FFF2-40B4-BE49-F238E27FC236}">
              <a16:creationId xmlns:a16="http://schemas.microsoft.com/office/drawing/2014/main" id="{E40102A2-89DD-42A1-9848-71B745E5E293}"/>
            </a:ext>
          </a:extLst>
        </xdr:cNvPr>
        <xdr:cNvSpPr txBox="1"/>
      </xdr:nvSpPr>
      <xdr:spPr>
        <a:xfrm>
          <a:off x="1362808" y="9400442"/>
          <a:ext cx="43422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D741AFA-E1A1-4F2B-9F86-B59377AC006B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1</xdr:col>
      <xdr:colOff>549520</xdr:colOff>
      <xdr:row>55</xdr:row>
      <xdr:rowOff>109905</xdr:rowOff>
    </xdr:from>
    <xdr:ext cx="434221" cy="248851"/>
    <xdr:sp macro="" textlink="Q27">
      <xdr:nvSpPr>
        <xdr:cNvPr id="19" name="TextBox 18">
          <a:extLst>
            <a:ext uri="{FF2B5EF4-FFF2-40B4-BE49-F238E27FC236}">
              <a16:creationId xmlns:a16="http://schemas.microsoft.com/office/drawing/2014/main" id="{2DA2C931-60D6-48D8-9A32-4FBB95C49CE0}"/>
            </a:ext>
          </a:extLst>
        </xdr:cNvPr>
        <xdr:cNvSpPr txBox="1"/>
      </xdr:nvSpPr>
      <xdr:spPr>
        <a:xfrm>
          <a:off x="1934308" y="9422424"/>
          <a:ext cx="43422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76D5300-5959-4ADB-82DF-5A6F087346FA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absolute">
    <xdr:from>
      <xdr:col>0</xdr:col>
      <xdr:colOff>1319579</xdr:colOff>
      <xdr:row>26</xdr:row>
      <xdr:rowOff>121627</xdr:rowOff>
    </xdr:from>
    <xdr:to>
      <xdr:col>1</xdr:col>
      <xdr:colOff>351693</xdr:colOff>
      <xdr:row>28</xdr:row>
      <xdr:rowOff>48094</xdr:rowOff>
    </xdr:to>
    <xdr:sp macro="" textlink="J26">
      <xdr:nvSpPr>
        <xdr:cNvPr id="2" name="TextBox 1">
          <a:extLst>
            <a:ext uri="{FF2B5EF4-FFF2-40B4-BE49-F238E27FC236}">
              <a16:creationId xmlns:a16="http://schemas.microsoft.com/office/drawing/2014/main" id="{5B05C849-9576-4992-9700-81D69A3B7292}"/>
            </a:ext>
          </a:extLst>
        </xdr:cNvPr>
        <xdr:cNvSpPr txBox="1"/>
      </xdr:nvSpPr>
      <xdr:spPr>
        <a:xfrm>
          <a:off x="1319579" y="4627685"/>
          <a:ext cx="41690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3540A37-21ED-4461-9178-5B5B521AF8C4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 editAs="absolute">
    <xdr:from>
      <xdr:col>1</xdr:col>
      <xdr:colOff>410308</xdr:colOff>
      <xdr:row>26</xdr:row>
      <xdr:rowOff>117231</xdr:rowOff>
    </xdr:from>
    <xdr:to>
      <xdr:col>2</xdr:col>
      <xdr:colOff>131885</xdr:colOff>
      <xdr:row>28</xdr:row>
      <xdr:rowOff>43698</xdr:rowOff>
    </xdr:to>
    <xdr:sp macro="" textlink="J27">
      <xdr:nvSpPr>
        <xdr:cNvPr id="4" name="TextBox 3">
          <a:extLst>
            <a:ext uri="{FF2B5EF4-FFF2-40B4-BE49-F238E27FC236}">
              <a16:creationId xmlns:a16="http://schemas.microsoft.com/office/drawing/2014/main" id="{E8440FE6-7D32-4BBE-A01F-7E11B9C3855D}"/>
            </a:ext>
          </a:extLst>
        </xdr:cNvPr>
        <xdr:cNvSpPr txBox="1"/>
      </xdr:nvSpPr>
      <xdr:spPr>
        <a:xfrm>
          <a:off x="1795096" y="4623289"/>
          <a:ext cx="48357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089E012-2793-4CD9-871B-19BD2B7687DC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 editAs="absolute">
    <xdr:from>
      <xdr:col>2</xdr:col>
      <xdr:colOff>432289</xdr:colOff>
      <xdr:row>26</xdr:row>
      <xdr:rowOff>109903</xdr:rowOff>
    </xdr:from>
    <xdr:to>
      <xdr:col>3</xdr:col>
      <xdr:colOff>168519</xdr:colOff>
      <xdr:row>28</xdr:row>
      <xdr:rowOff>36370</xdr:rowOff>
    </xdr:to>
    <xdr:sp macro="" textlink="J28">
      <xdr:nvSpPr>
        <xdr:cNvPr id="5" name="TextBox 4">
          <a:extLst>
            <a:ext uri="{FF2B5EF4-FFF2-40B4-BE49-F238E27FC236}">
              <a16:creationId xmlns:a16="http://schemas.microsoft.com/office/drawing/2014/main" id="{CB5DC065-0D8D-4ADC-A015-68E745C6FA4B}"/>
            </a:ext>
          </a:extLst>
        </xdr:cNvPr>
        <xdr:cNvSpPr txBox="1"/>
      </xdr:nvSpPr>
      <xdr:spPr>
        <a:xfrm>
          <a:off x="2579077" y="4615961"/>
          <a:ext cx="52021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A361C11-4E8F-4FB4-A254-65A4A4649E51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oneCellAnchor>
    <xdr:from>
      <xdr:col>4</xdr:col>
      <xdr:colOff>344367</xdr:colOff>
      <xdr:row>26</xdr:row>
      <xdr:rowOff>117231</xdr:rowOff>
    </xdr:from>
    <xdr:ext cx="227370" cy="248851"/>
    <xdr:sp macro="" textlink="J29">
      <xdr:nvSpPr>
        <xdr:cNvPr id="8" name="TextBox 7">
          <a:extLst>
            <a:ext uri="{FF2B5EF4-FFF2-40B4-BE49-F238E27FC236}">
              <a16:creationId xmlns:a16="http://schemas.microsoft.com/office/drawing/2014/main" id="{A24B9599-E578-42CB-B86F-B0D548E64892}"/>
            </a:ext>
          </a:extLst>
        </xdr:cNvPr>
        <xdr:cNvSpPr txBox="1"/>
      </xdr:nvSpPr>
      <xdr:spPr>
        <a:xfrm>
          <a:off x="3817329" y="4623289"/>
          <a:ext cx="22737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63AEB38-2B10-43A0-96D4-0E403F7C65E7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-</a:t>
          </a:fld>
          <a:endParaRPr lang="en-US" sz="1100"/>
        </a:p>
      </xdr:txBody>
    </xdr:sp>
    <xdr:clientData/>
  </xdr:oneCellAnchor>
  <xdr:twoCellAnchor>
    <xdr:from>
      <xdr:col>4</xdr:col>
      <xdr:colOff>307730</xdr:colOff>
      <xdr:row>25</xdr:row>
      <xdr:rowOff>87923</xdr:rowOff>
    </xdr:from>
    <xdr:to>
      <xdr:col>4</xdr:col>
      <xdr:colOff>593480</xdr:colOff>
      <xdr:row>26</xdr:row>
      <xdr:rowOff>65942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77415515-5601-7C61-018D-005E0954323A}"/>
            </a:ext>
          </a:extLst>
        </xdr:cNvPr>
        <xdr:cNvSpPr/>
      </xdr:nvSpPr>
      <xdr:spPr bwMode="auto">
        <a:xfrm>
          <a:off x="3780692" y="4432788"/>
          <a:ext cx="285750" cy="139212"/>
        </a:xfrm>
        <a:prstGeom prst="rect">
          <a:avLst/>
        </a:prstGeom>
        <a:solidFill>
          <a:srgbClr val="FFFFFF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622789</xdr:colOff>
      <xdr:row>37</xdr:row>
      <xdr:rowOff>109903</xdr:rowOff>
    </xdr:from>
    <xdr:to>
      <xdr:col>3</xdr:col>
      <xdr:colOff>124558</xdr:colOff>
      <xdr:row>38</xdr:row>
      <xdr:rowOff>87923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E4287CC4-69A5-453D-ACA2-EE03E979140E}"/>
            </a:ext>
          </a:extLst>
        </xdr:cNvPr>
        <xdr:cNvSpPr/>
      </xdr:nvSpPr>
      <xdr:spPr bwMode="auto">
        <a:xfrm>
          <a:off x="2769577" y="6411057"/>
          <a:ext cx="285750" cy="139212"/>
        </a:xfrm>
        <a:prstGeom prst="rect">
          <a:avLst/>
        </a:prstGeom>
        <a:solidFill>
          <a:srgbClr val="FFFFFF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0</xdr:rowOff>
    </xdr:from>
    <xdr:to>
      <xdr:col>6</xdr:col>
      <xdr:colOff>285750</xdr:colOff>
      <xdr:row>43</xdr:row>
      <xdr:rowOff>139212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6441CC5-A066-493C-9006-30B79FDF358D}"/>
            </a:ext>
          </a:extLst>
        </xdr:cNvPr>
        <xdr:cNvSpPr/>
      </xdr:nvSpPr>
      <xdr:spPr bwMode="auto">
        <a:xfrm>
          <a:off x="5275385" y="7268308"/>
          <a:ext cx="285750" cy="139212"/>
        </a:xfrm>
        <a:prstGeom prst="rect">
          <a:avLst/>
        </a:prstGeom>
        <a:solidFill>
          <a:srgbClr val="FFFFFF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593480</xdr:colOff>
      <xdr:row>50</xdr:row>
      <xdr:rowOff>14654</xdr:rowOff>
    </xdr:from>
    <xdr:to>
      <xdr:col>2</xdr:col>
      <xdr:colOff>219807</xdr:colOff>
      <xdr:row>51</xdr:row>
      <xdr:rowOff>14654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CAE4AE5-3B8D-4C63-A798-57BC79BC9284}"/>
            </a:ext>
          </a:extLst>
        </xdr:cNvPr>
        <xdr:cNvSpPr/>
      </xdr:nvSpPr>
      <xdr:spPr bwMode="auto">
        <a:xfrm>
          <a:off x="1978268" y="8521212"/>
          <a:ext cx="388327" cy="161192"/>
        </a:xfrm>
        <a:prstGeom prst="rect">
          <a:avLst/>
        </a:prstGeom>
        <a:solidFill>
          <a:srgbClr val="FFFFFF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1333501</xdr:colOff>
      <xdr:row>38</xdr:row>
      <xdr:rowOff>117230</xdr:rowOff>
    </xdr:from>
    <xdr:ext cx="432287" cy="248851"/>
    <xdr:sp macro="" textlink="M26">
      <xdr:nvSpPr>
        <xdr:cNvPr id="23" name="TextBox 22">
          <a:extLst>
            <a:ext uri="{FF2B5EF4-FFF2-40B4-BE49-F238E27FC236}">
              <a16:creationId xmlns:a16="http://schemas.microsoft.com/office/drawing/2014/main" id="{8D228ED8-EDE3-4231-8EE5-B1064BC345F8}"/>
            </a:ext>
          </a:extLst>
        </xdr:cNvPr>
        <xdr:cNvSpPr txBox="1"/>
      </xdr:nvSpPr>
      <xdr:spPr>
        <a:xfrm>
          <a:off x="1333501" y="6608884"/>
          <a:ext cx="43228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33F46F0-D923-4000-AF48-22039C74B6B2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600</a:t>
          </a:fld>
          <a:endParaRPr lang="en-US" sz="1100"/>
        </a:p>
      </xdr:txBody>
    </xdr:sp>
    <xdr:clientData/>
  </xdr:oneCellAnchor>
  <xdr:oneCellAnchor>
    <xdr:from>
      <xdr:col>1</xdr:col>
      <xdr:colOff>445478</xdr:colOff>
      <xdr:row>38</xdr:row>
      <xdr:rowOff>115765</xdr:rowOff>
    </xdr:from>
    <xdr:ext cx="550984" cy="248851"/>
    <xdr:sp macro="" textlink="M27">
      <xdr:nvSpPr>
        <xdr:cNvPr id="24" name="TextBox 23">
          <a:extLst>
            <a:ext uri="{FF2B5EF4-FFF2-40B4-BE49-F238E27FC236}">
              <a16:creationId xmlns:a16="http://schemas.microsoft.com/office/drawing/2014/main" id="{DB7CB593-C565-4401-A11C-ECF573240538}"/>
            </a:ext>
          </a:extLst>
        </xdr:cNvPr>
        <xdr:cNvSpPr txBox="1"/>
      </xdr:nvSpPr>
      <xdr:spPr>
        <a:xfrm>
          <a:off x="1830266" y="6607419"/>
          <a:ext cx="55098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1249890-27C5-45D2-A783-B4E3E11FF198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3400</a:t>
          </a:fld>
          <a:endParaRPr lang="en-US" sz="1100"/>
        </a:p>
      </xdr:txBody>
    </xdr:sp>
    <xdr:clientData/>
  </xdr:oneCellAnchor>
  <xdr:oneCellAnchor>
    <xdr:from>
      <xdr:col>2</xdr:col>
      <xdr:colOff>461597</xdr:colOff>
      <xdr:row>38</xdr:row>
      <xdr:rowOff>109903</xdr:rowOff>
    </xdr:from>
    <xdr:ext cx="550984" cy="248851"/>
    <xdr:sp macro="" textlink="M28">
      <xdr:nvSpPr>
        <xdr:cNvPr id="25" name="TextBox 24">
          <a:extLst>
            <a:ext uri="{FF2B5EF4-FFF2-40B4-BE49-F238E27FC236}">
              <a16:creationId xmlns:a16="http://schemas.microsoft.com/office/drawing/2014/main" id="{04AC750E-4341-4937-8A7A-944B8A123204}"/>
            </a:ext>
          </a:extLst>
        </xdr:cNvPr>
        <xdr:cNvSpPr txBox="1"/>
      </xdr:nvSpPr>
      <xdr:spPr>
        <a:xfrm>
          <a:off x="2608385" y="6601557"/>
          <a:ext cx="55098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051FA032-2990-4000-8D42-16CFAAEDEC19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 algn="ctr"/>
            <a:t>-</a:t>
          </a:fld>
          <a:endParaRPr lang="en-US" sz="1100"/>
        </a:p>
      </xdr:txBody>
    </xdr:sp>
    <xdr:clientData/>
  </xdr:oneCellAnchor>
  <xdr:oneCellAnchor>
    <xdr:from>
      <xdr:col>0</xdr:col>
      <xdr:colOff>1362808</xdr:colOff>
      <xdr:row>51</xdr:row>
      <xdr:rowOff>36634</xdr:rowOff>
    </xdr:from>
    <xdr:ext cx="432287" cy="248851"/>
    <xdr:sp macro="" textlink="P26">
      <xdr:nvSpPr>
        <xdr:cNvPr id="26" name="TextBox 25">
          <a:extLst>
            <a:ext uri="{FF2B5EF4-FFF2-40B4-BE49-F238E27FC236}">
              <a16:creationId xmlns:a16="http://schemas.microsoft.com/office/drawing/2014/main" id="{880115DB-7245-4E20-913E-7EED4B7C94C9}"/>
            </a:ext>
          </a:extLst>
        </xdr:cNvPr>
        <xdr:cNvSpPr txBox="1"/>
      </xdr:nvSpPr>
      <xdr:spPr>
        <a:xfrm>
          <a:off x="1362808" y="8733692"/>
          <a:ext cx="43228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9A4DC7B-7CE9-498B-956F-37F6EE461CEC}" type="TxLink">
            <a:rPr lang="en-US" sz="1000" b="0" i="0" u="none" strike="noStrike">
              <a:solidFill>
                <a:srgbClr val="0000FF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36636</xdr:colOff>
      <xdr:row>70</xdr:row>
      <xdr:rowOff>131885</xdr:rowOff>
    </xdr:from>
    <xdr:to>
      <xdr:col>27</xdr:col>
      <xdr:colOff>52898</xdr:colOff>
      <xdr:row>81</xdr:row>
      <xdr:rowOff>102578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530FF2B-93EA-67A6-F081-7E2936715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155" y="8953500"/>
          <a:ext cx="8200435" cy="1743808"/>
        </a:xfrm>
        <a:prstGeom prst="rect">
          <a:avLst/>
        </a:prstGeom>
      </xdr:spPr>
    </xdr:pic>
    <xdr:clientData/>
  </xdr:twoCellAnchor>
  <xdr:twoCellAnchor editAs="oneCell">
    <xdr:from>
      <xdr:col>6</xdr:col>
      <xdr:colOff>224117</xdr:colOff>
      <xdr:row>38</xdr:row>
      <xdr:rowOff>123264</xdr:rowOff>
    </xdr:from>
    <xdr:to>
      <xdr:col>22</xdr:col>
      <xdr:colOff>280147</xdr:colOff>
      <xdr:row>48</xdr:row>
      <xdr:rowOff>179294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F9E0DB-9331-29F1-DBF0-C3CDE15071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953" t="6265" r="14315" b="69583"/>
        <a:stretch>
          <a:fillRect/>
        </a:stretch>
      </xdr:blipFill>
      <xdr:spPr>
        <a:xfrm>
          <a:off x="1882588" y="7619999"/>
          <a:ext cx="5154706" cy="196103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190499</xdr:colOff>
      <xdr:row>38</xdr:row>
      <xdr:rowOff>47626</xdr:rowOff>
    </xdr:from>
    <xdr:to>
      <xdr:col>41</xdr:col>
      <xdr:colOff>616449</xdr:colOff>
      <xdr:row>63</xdr:row>
      <xdr:rowOff>164552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4AA154-F62E-C00B-2948-3F33CDDBE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39187" y="7643814"/>
          <a:ext cx="7950700" cy="48794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</xdr:colOff>
      <xdr:row>0</xdr:row>
      <xdr:rowOff>0</xdr:rowOff>
    </xdr:from>
    <xdr:to>
      <xdr:col>25</xdr:col>
      <xdr:colOff>565156</xdr:colOff>
      <xdr:row>30</xdr:row>
      <xdr:rowOff>30551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7BA50A-DE0E-3799-A5F8-B643A5D14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4325" y="0"/>
          <a:ext cx="7870831" cy="4888301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13</xdr:col>
      <xdr:colOff>38101</xdr:colOff>
      <xdr:row>23</xdr:row>
      <xdr:rowOff>44944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165F0E-3BD8-A76B-5CF9-3008B5775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962900" cy="37692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152842</xdr:rowOff>
    </xdr:from>
    <xdr:to>
      <xdr:col>13</xdr:col>
      <xdr:colOff>57150</xdr:colOff>
      <xdr:row>83</xdr:row>
      <xdr:rowOff>22389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2BCE3F-4D98-28BA-4ACA-32249568D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715192"/>
          <a:ext cx="7981950" cy="97469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U98PRINAP02\clients\Documents%20and%20Settings\RVICERRA\Desktop\Engineering%20Design%20Aids\Alex\AISCProp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oan.hvm\Downloads\Wind_design_spreadsheet_eurocode_to_ec_v1.0_ref.xlsm" TargetMode="External"/><Relationship Id="rId1" Type="http://schemas.openxmlformats.org/officeDocument/2006/relationships/externalLinkPath" Target="/Users/toan.hvm/Downloads/Wind_design_spreadsheet_eurocode_to_ec_v1.0_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, S, M, HP Shapes"/>
      <sheetName val="C, MC Shapes"/>
      <sheetName val="WT Shapes"/>
      <sheetName val="Angles"/>
      <sheetName val="2Angles"/>
      <sheetName val="Tubes"/>
      <sheetName val="Pipes"/>
    </sheetNames>
    <sheetDataSet>
      <sheetData sheetId="0"/>
      <sheetData sheetId="1"/>
      <sheetData sheetId="2"/>
      <sheetData sheetId="3"/>
      <sheetData sheetId="4">
        <row r="1">
          <cell r="A1" t="str">
            <v>Shape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base"/>
      <sheetName val="wind pressure"/>
      <sheetName val="input"/>
      <sheetName val="Vertical walls"/>
      <sheetName val="Free-standing walls"/>
      <sheetName val="Flat roofs"/>
      <sheetName val="Monopitch roofs"/>
      <sheetName val="Duopitch roofs"/>
      <sheetName val="Hipped roofs"/>
      <sheetName val="Monopitch canopies"/>
      <sheetName val="Duopitch canopies"/>
      <sheetName val="from author"/>
      <sheetName val="Wind_design_spreadsheet_eurocod"/>
    </sheetNames>
    <sheetDataSet>
      <sheetData sheetId="0" refreshError="1"/>
      <sheetData sheetId="1" refreshError="1"/>
      <sheetData sheetId="2">
        <row r="14">
          <cell r="AI14" t="str">
            <v>Vertical walls</v>
          </cell>
        </row>
        <row r="15">
          <cell r="AI15" t="str">
            <v>Free-standing walls</v>
          </cell>
        </row>
        <row r="16">
          <cell r="AI16" t="str">
            <v>Flat roofs</v>
          </cell>
        </row>
        <row r="17">
          <cell r="AI17" t="str">
            <v>Monopitch roofs</v>
          </cell>
        </row>
        <row r="18">
          <cell r="AI18" t="str">
            <v>Duopitch roofs</v>
          </cell>
        </row>
        <row r="19">
          <cell r="AI19" t="str">
            <v>Hipped roofs</v>
          </cell>
        </row>
        <row r="20">
          <cell r="AI20" t="str">
            <v>Monopitch canopies</v>
          </cell>
        </row>
        <row r="21">
          <cell r="AI21" t="str">
            <v>Duopitch canopies</v>
          </cell>
        </row>
        <row r="27">
          <cell r="AM27" t="str">
            <v>Reinforced concrete building</v>
          </cell>
        </row>
        <row r="28">
          <cell r="AM28" t="str">
            <v>Steel building</v>
          </cell>
        </row>
        <row r="29">
          <cell r="AM29" t="str">
            <v xml:space="preserve">Mixed structures concrete plus steel </v>
          </cell>
        </row>
        <row r="30">
          <cell r="AM30" t="str">
            <v>Reinforced concrete tower or chimney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442204"/>
  </sheetPr>
  <dimension ref="A1:T49"/>
  <sheetViews>
    <sheetView showGridLines="0" view="pageBreakPreview" topLeftCell="A4" zoomScale="115" zoomScaleNormal="115" zoomScaleSheetLayoutView="115" workbookViewId="0">
      <selection activeCell="H33" sqref="H33"/>
    </sheetView>
  </sheetViews>
  <sheetFormatPr defaultRowHeight="12.75"/>
  <cols>
    <col min="1" max="1" width="20.7109375" style="18" customWidth="1"/>
    <col min="2" max="2" width="11.42578125" style="18" customWidth="1"/>
    <col min="3" max="3" width="11.7109375" style="18" customWidth="1"/>
    <col min="4" max="4" width="8.140625" style="18" customWidth="1"/>
    <col min="5" max="5" width="12.7109375" style="18" customWidth="1"/>
    <col min="6" max="6" width="14.28515625" style="18" customWidth="1"/>
    <col min="7" max="8" width="11.7109375" style="18" customWidth="1"/>
    <col min="9" max="9" width="9.140625" style="7" customWidth="1"/>
    <col min="10" max="11" width="9.140625" customWidth="1"/>
    <col min="12" max="17" width="9.140625" style="3" customWidth="1"/>
  </cols>
  <sheetData>
    <row r="1" spans="1:20" ht="14.25">
      <c r="A1" s="27" t="s">
        <v>13</v>
      </c>
      <c r="B1" s="142"/>
      <c r="C1" s="143"/>
      <c r="D1" s="143"/>
      <c r="E1" s="143"/>
      <c r="F1" s="144"/>
      <c r="G1" s="28" t="s">
        <v>14</v>
      </c>
      <c r="H1" s="29">
        <v>0</v>
      </c>
      <c r="I1" s="8"/>
      <c r="J1" s="9"/>
    </row>
    <row r="2" spans="1:20" ht="14.25">
      <c r="A2" s="27" t="s">
        <v>15</v>
      </c>
      <c r="B2" s="142"/>
      <c r="C2" s="143"/>
      <c r="D2" s="143"/>
      <c r="E2" s="143"/>
      <c r="F2" s="144"/>
      <c r="G2" s="28" t="s">
        <v>16</v>
      </c>
      <c r="H2" s="30">
        <v>42077</v>
      </c>
      <c r="I2" s="8"/>
      <c r="J2" s="9"/>
      <c r="M2" s="32" t="s">
        <v>25</v>
      </c>
      <c r="N2" s="32" t="s">
        <v>26</v>
      </c>
      <c r="P2" s="32" t="s">
        <v>32</v>
      </c>
      <c r="Q2" s="32" t="s">
        <v>33</v>
      </c>
      <c r="R2" s="32" t="s">
        <v>34</v>
      </c>
      <c r="S2" s="40" t="s">
        <v>35</v>
      </c>
      <c r="T2" s="32" t="s">
        <v>37</v>
      </c>
    </row>
    <row r="3" spans="1:20">
      <c r="A3" s="27" t="s">
        <v>17</v>
      </c>
      <c r="B3" s="142"/>
      <c r="C3" s="143"/>
      <c r="D3" s="143"/>
      <c r="E3" s="143"/>
      <c r="F3" s="144"/>
      <c r="G3" s="28" t="s">
        <v>18</v>
      </c>
      <c r="H3" s="31" t="s">
        <v>19</v>
      </c>
      <c r="M3" s="34" t="s">
        <v>11</v>
      </c>
      <c r="N3" s="34">
        <v>0.65</v>
      </c>
      <c r="P3" s="32" t="s">
        <v>30</v>
      </c>
      <c r="Q3" s="33">
        <v>213.36</v>
      </c>
      <c r="R3" s="33">
        <v>2.13</v>
      </c>
      <c r="S3" s="33">
        <v>11.5</v>
      </c>
      <c r="T3" s="33">
        <v>1.99</v>
      </c>
    </row>
    <row r="4" spans="1:20">
      <c r="A4" s="27" t="s">
        <v>20</v>
      </c>
      <c r="B4" s="142"/>
      <c r="C4" s="143"/>
      <c r="D4" s="143"/>
      <c r="E4" s="143"/>
      <c r="F4" s="144"/>
      <c r="G4" s="28" t="s">
        <v>21</v>
      </c>
      <c r="H4" s="31" t="s">
        <v>22</v>
      </c>
      <c r="M4" s="34" t="s">
        <v>7</v>
      </c>
      <c r="N4" s="34">
        <v>0.95</v>
      </c>
      <c r="P4" s="32" t="s">
        <v>6</v>
      </c>
      <c r="Q4" s="33">
        <v>274.32</v>
      </c>
      <c r="R4" s="33">
        <v>4.57</v>
      </c>
      <c r="S4" s="33">
        <v>9.5</v>
      </c>
      <c r="T4" s="33">
        <v>1.97</v>
      </c>
    </row>
    <row r="5" spans="1:20" ht="15.75">
      <c r="A5" s="145" t="s">
        <v>54</v>
      </c>
      <c r="B5" s="146"/>
      <c r="C5" s="146"/>
      <c r="D5" s="146"/>
      <c r="E5" s="146"/>
      <c r="F5" s="146"/>
      <c r="G5" s="146"/>
      <c r="H5" s="147"/>
      <c r="J5" s="5"/>
      <c r="M5" s="34" t="s">
        <v>8</v>
      </c>
      <c r="N5" s="34">
        <v>1.25</v>
      </c>
      <c r="P5" s="32" t="s">
        <v>2</v>
      </c>
      <c r="Q5" s="33">
        <v>365.76</v>
      </c>
      <c r="R5" s="33">
        <v>9.14</v>
      </c>
      <c r="S5" s="33">
        <v>7</v>
      </c>
      <c r="T5" s="33">
        <v>1.98</v>
      </c>
    </row>
    <row r="6" spans="1:20">
      <c r="A6" s="136" t="s">
        <v>39</v>
      </c>
      <c r="B6" s="137"/>
      <c r="C6" s="137"/>
      <c r="D6" s="137"/>
      <c r="E6" s="137"/>
      <c r="F6" s="137"/>
      <c r="G6" s="137"/>
      <c r="H6" s="138"/>
      <c r="J6" s="5"/>
      <c r="M6" s="34" t="s">
        <v>9</v>
      </c>
      <c r="N6" s="34">
        <v>1.55</v>
      </c>
    </row>
    <row r="7" spans="1:20">
      <c r="A7" s="24"/>
      <c r="B7" s="25"/>
      <c r="C7" s="25"/>
      <c r="D7" s="25"/>
      <c r="E7" s="25"/>
      <c r="F7" s="25"/>
      <c r="G7" s="25"/>
      <c r="H7" s="26"/>
      <c r="J7" s="5"/>
      <c r="M7" s="34" t="s">
        <v>24</v>
      </c>
      <c r="N7" s="34">
        <v>1.85</v>
      </c>
      <c r="R7" s="6"/>
      <c r="S7" s="4"/>
      <c r="T7" s="4"/>
    </row>
    <row r="8" spans="1:20">
      <c r="A8" s="10"/>
      <c r="B8" s="11"/>
      <c r="C8" s="11"/>
      <c r="D8" s="11"/>
      <c r="E8" s="11"/>
      <c r="F8" s="12"/>
      <c r="G8" s="13"/>
      <c r="H8" s="14"/>
      <c r="J8" s="5"/>
    </row>
    <row r="9" spans="1:20">
      <c r="A9" s="15" t="s">
        <v>1</v>
      </c>
      <c r="B9" s="11"/>
      <c r="C9" s="11"/>
      <c r="D9" s="11"/>
      <c r="E9" s="11"/>
      <c r="F9" s="16"/>
      <c r="G9" s="13"/>
      <c r="H9" s="17"/>
      <c r="J9" s="2"/>
      <c r="N9" s="40" t="s">
        <v>48</v>
      </c>
      <c r="O9" s="32" t="s">
        <v>47</v>
      </c>
      <c r="P9" s="32" t="s">
        <v>30</v>
      </c>
      <c r="Q9" s="32" t="s">
        <v>6</v>
      </c>
      <c r="R9" s="32" t="s">
        <v>2</v>
      </c>
      <c r="S9" s="32" t="s">
        <v>10</v>
      </c>
    </row>
    <row r="10" spans="1:20">
      <c r="B10" s="47" t="s">
        <v>25</v>
      </c>
      <c r="C10" s="36" t="s">
        <v>11</v>
      </c>
      <c r="D10" s="20" t="s">
        <v>23</v>
      </c>
      <c r="F10" s="49" t="s">
        <v>43</v>
      </c>
      <c r="G10" s="52">
        <v>5</v>
      </c>
      <c r="H10" s="20" t="s">
        <v>12</v>
      </c>
      <c r="J10" s="2"/>
      <c r="N10" s="153">
        <v>1</v>
      </c>
      <c r="O10" s="33">
        <v>3</v>
      </c>
      <c r="P10" s="33">
        <v>2.2999999999999998</v>
      </c>
      <c r="Q10" s="33">
        <v>1.4</v>
      </c>
      <c r="R10" s="33">
        <v>1.2</v>
      </c>
      <c r="S10" s="33">
        <v>1.2</v>
      </c>
    </row>
    <row r="11" spans="1:20" ht="15.75">
      <c r="B11" s="48" t="s">
        <v>27</v>
      </c>
      <c r="C11" s="37">
        <f>VLOOKUP(C10,$M$2:$N$7,2,FALSE)</f>
        <v>0.65</v>
      </c>
      <c r="D11" s="20" t="s">
        <v>28</v>
      </c>
      <c r="F11" s="51" t="s">
        <v>44</v>
      </c>
      <c r="G11" s="52">
        <v>2</v>
      </c>
      <c r="H11" s="20" t="s">
        <v>12</v>
      </c>
      <c r="J11" s="2"/>
      <c r="N11" s="154"/>
      <c r="O11" s="33">
        <v>5</v>
      </c>
      <c r="P11" s="33">
        <v>2.9</v>
      </c>
      <c r="Q11" s="33">
        <v>1.8</v>
      </c>
      <c r="R11" s="33">
        <v>1.4</v>
      </c>
      <c r="S11" s="33">
        <v>1.2</v>
      </c>
    </row>
    <row r="12" spans="1:20" ht="15.75">
      <c r="B12" s="48" t="s">
        <v>29</v>
      </c>
      <c r="C12" s="39">
        <f>0.852*C11</f>
        <v>0.55379999999999996</v>
      </c>
      <c r="D12" s="20" t="s">
        <v>28</v>
      </c>
      <c r="E12" s="139" t="s">
        <v>45</v>
      </c>
      <c r="F12" s="140"/>
      <c r="G12" s="141">
        <v>0</v>
      </c>
      <c r="H12" s="20" t="s">
        <v>12</v>
      </c>
      <c r="J12" s="2"/>
      <c r="N12" s="154"/>
      <c r="O12" s="33">
        <v>10</v>
      </c>
      <c r="P12" s="33">
        <v>3.4</v>
      </c>
      <c r="Q12" s="33">
        <v>2.1</v>
      </c>
      <c r="R12" s="33">
        <v>1.7</v>
      </c>
      <c r="S12" s="33">
        <v>1.2</v>
      </c>
    </row>
    <row r="13" spans="1:20">
      <c r="B13" s="49" t="s">
        <v>42</v>
      </c>
      <c r="C13" s="21" t="s">
        <v>6</v>
      </c>
      <c r="E13" s="140"/>
      <c r="F13" s="140"/>
      <c r="G13" s="141"/>
      <c r="H13" s="20"/>
      <c r="J13" s="2"/>
      <c r="N13" s="155"/>
      <c r="O13" s="53">
        <f>G10/G11</f>
        <v>2.5</v>
      </c>
      <c r="P13" s="53">
        <f>IF($O$13&lt;3,P10,IF($O$13&gt;10,P12,noisuy1chieu($O$13,$O$10:$O$12,P10:P12)))</f>
        <v>2.2999999999999998</v>
      </c>
      <c r="Q13" s="53">
        <f>IF($O$13&lt;3,Q10,IF($O$13&gt;10,Q12,noisuy1chieu($O$13,$O$10:$O$12,Q10:Q12)))</f>
        <v>1.4</v>
      </c>
      <c r="R13" s="53">
        <f>IF($O$13&lt;3,R10,IF($O$13&gt;10,R12,noisuy1chieu($O$13,$O$10:$O$12,R10:R12)))</f>
        <v>1.2</v>
      </c>
      <c r="S13" s="53">
        <f>IF($O$13&lt;3,S10,IF($O$13&gt;10,S12,noisuy1chieu($O$13,$O$10:$O$12,S10:S12)))</f>
        <v>1.2</v>
      </c>
    </row>
    <row r="14" spans="1:20">
      <c r="F14" s="46" t="s">
        <v>46</v>
      </c>
      <c r="G14" s="52">
        <v>1</v>
      </c>
      <c r="J14" s="2"/>
    </row>
    <row r="15" spans="1:20">
      <c r="H15" s="19"/>
      <c r="J15" s="2"/>
      <c r="O15" s="40" t="s">
        <v>48</v>
      </c>
      <c r="P15" s="32" t="s">
        <v>30</v>
      </c>
      <c r="Q15" s="32" t="s">
        <v>6</v>
      </c>
      <c r="R15" s="32" t="s">
        <v>2</v>
      </c>
      <c r="S15" s="32" t="s">
        <v>10</v>
      </c>
    </row>
    <row r="16" spans="1:20">
      <c r="A16" s="15" t="s">
        <v>3</v>
      </c>
      <c r="H16" s="19"/>
      <c r="O16" s="33">
        <v>0.8</v>
      </c>
      <c r="P16" s="33">
        <v>1.2</v>
      </c>
      <c r="Q16" s="33">
        <v>1.2</v>
      </c>
      <c r="R16" s="33">
        <v>1.2</v>
      </c>
      <c r="S16" s="33">
        <v>1.2</v>
      </c>
    </row>
    <row r="17" spans="1:19">
      <c r="H17" s="19"/>
      <c r="O17" s="33">
        <v>1</v>
      </c>
      <c r="P17" s="33">
        <f>P13</f>
        <v>2.2999999999999998</v>
      </c>
      <c r="Q17" s="33">
        <f t="shared" ref="Q17:S17" si="0">Q13</f>
        <v>1.4</v>
      </c>
      <c r="R17" s="33">
        <f t="shared" si="0"/>
        <v>1.2</v>
      </c>
      <c r="S17" s="33">
        <f t="shared" si="0"/>
        <v>1.2</v>
      </c>
    </row>
    <row r="18" spans="1:19" ht="15.75">
      <c r="B18" s="35" t="s">
        <v>31</v>
      </c>
      <c r="C18" s="39">
        <f>G11+G12</f>
        <v>2</v>
      </c>
      <c r="D18" s="20" t="s">
        <v>12</v>
      </c>
      <c r="I18" s="1" t="s">
        <v>4</v>
      </c>
      <c r="O18" s="55">
        <f>G14</f>
        <v>1</v>
      </c>
      <c r="P18" s="33">
        <f>IF($O$18&lt;0.8,P16,IF($O$18&gt;1,P17,noisuy1chieu($O$18,$O$16:$O$17,$P$16:$P$17)))</f>
        <v>2.2999999999999998</v>
      </c>
      <c r="Q18" s="33">
        <f>IF($O$18&lt;0.8,Q16,IF($O$18&gt;1,Q17,noisuy1chieu($O$18,$O$16:$O$17,$Q$16:$Q$17)))</f>
        <v>1.4</v>
      </c>
      <c r="R18" s="33">
        <v>1.2</v>
      </c>
      <c r="S18" s="33">
        <v>1.2</v>
      </c>
    </row>
    <row r="19" spans="1:19" ht="15.75">
      <c r="B19" s="35" t="s">
        <v>38</v>
      </c>
      <c r="C19" s="38">
        <f>MIN(2.01*(C18/J19)^(2/J21),J22)</f>
        <v>0.71326913404574221</v>
      </c>
      <c r="I19" s="44" t="s">
        <v>0</v>
      </c>
      <c r="J19" s="32">
        <f>VLOOKUP(C13,$P$3:$S$5,2,FALSE)</f>
        <v>274.32</v>
      </c>
      <c r="O19" s="54" t="s">
        <v>49</v>
      </c>
      <c r="P19" s="57">
        <f>$C$12*$C$19*P18*$C$20</f>
        <v>0.77224151277951014</v>
      </c>
      <c r="Q19" s="57">
        <f t="shared" ref="Q19:S19" si="1">$C$12*$C$19*Q18*$C$20</f>
        <v>0.47006005125709305</v>
      </c>
      <c r="R19" s="57">
        <f t="shared" si="1"/>
        <v>0.40290861536322264</v>
      </c>
      <c r="S19" s="57">
        <f t="shared" si="1"/>
        <v>0.40290861536322264</v>
      </c>
    </row>
    <row r="20" spans="1:19" ht="15.75">
      <c r="B20" s="35" t="s">
        <v>40</v>
      </c>
      <c r="C20" s="42">
        <v>0.85</v>
      </c>
      <c r="D20" s="22"/>
      <c r="I20" s="44" t="s">
        <v>36</v>
      </c>
      <c r="J20" s="32">
        <f>VLOOKUP(C13,$P$3:$S$5,3,FALSE)</f>
        <v>4.57</v>
      </c>
    </row>
    <row r="21" spans="1:19">
      <c r="H21" s="23"/>
      <c r="I21" s="45" t="s">
        <v>5</v>
      </c>
      <c r="J21" s="32">
        <f>VLOOKUP(C13,$P$3:$S$5,4,FALSE)</f>
        <v>9.5</v>
      </c>
    </row>
    <row r="22" spans="1:19">
      <c r="A22" s="10"/>
      <c r="C22" s="53" t="s">
        <v>30</v>
      </c>
      <c r="D22" s="53" t="s">
        <v>6</v>
      </c>
      <c r="E22" s="53" t="s">
        <v>2</v>
      </c>
      <c r="F22" s="53" t="s">
        <v>10</v>
      </c>
      <c r="H22" s="19"/>
      <c r="I22" s="32" t="s">
        <v>37</v>
      </c>
      <c r="J22" s="32">
        <f>VLOOKUP(C13,$P$3:$T$5,5,FALSE)</f>
        <v>1.97</v>
      </c>
    </row>
    <row r="23" spans="1:19">
      <c r="B23" s="46" t="s">
        <v>50</v>
      </c>
      <c r="C23" s="43">
        <f>P19</f>
        <v>0.77224151277951014</v>
      </c>
      <c r="D23" s="43">
        <f t="shared" ref="D23:F23" si="2">Q19</f>
        <v>0.47006005125709305</v>
      </c>
      <c r="E23" s="43">
        <f t="shared" si="2"/>
        <v>0.40290861536322264</v>
      </c>
      <c r="F23" s="43">
        <f t="shared" si="2"/>
        <v>0.40290861536322264</v>
      </c>
      <c r="H23" s="19"/>
      <c r="I23" s="59"/>
      <c r="J23" s="59"/>
    </row>
    <row r="24" spans="1:19">
      <c r="F24" s="22"/>
      <c r="H24" s="19"/>
      <c r="I24" s="64" t="s">
        <v>59</v>
      </c>
      <c r="J24" s="64">
        <f>G10*1000</f>
        <v>5000</v>
      </c>
      <c r="K24" s="65"/>
      <c r="L24" s="64" t="s">
        <v>59</v>
      </c>
      <c r="M24" s="64">
        <f>J24</f>
        <v>5000</v>
      </c>
      <c r="N24" s="65"/>
      <c r="O24"/>
    </row>
    <row r="25" spans="1:19" ht="16.5">
      <c r="A25" s="56" t="s">
        <v>52</v>
      </c>
      <c r="B25" s="58" t="s">
        <v>50</v>
      </c>
      <c r="E25" s="68" t="str">
        <f>IF(G10&gt;(4*G11),"True","Not applicable")</f>
        <v>Not applicable</v>
      </c>
      <c r="H25" s="19"/>
      <c r="I25" s="152" t="str">
        <f>A25</f>
        <v>Case L &gt; 4h</v>
      </c>
      <c r="J25" s="152"/>
      <c r="K25" s="152"/>
      <c r="L25" s="152" t="str">
        <f>A37</f>
        <v>Case 2h &lt; L ≤ 4h</v>
      </c>
      <c r="M25" s="152"/>
      <c r="N25" s="152"/>
      <c r="O25" s="149">
        <f>C37</f>
        <v>0</v>
      </c>
      <c r="P25" s="150"/>
      <c r="Q25" s="151"/>
    </row>
    <row r="26" spans="1:19">
      <c r="A26" s="10"/>
      <c r="H26" s="19"/>
      <c r="I26" s="60" t="s">
        <v>55</v>
      </c>
      <c r="J26" s="61" t="str">
        <f>IF(G10&gt;(4*G11),0.3*G11*1000,"")</f>
        <v/>
      </c>
      <c r="K26" s="67" t="str">
        <f>IF(G10&gt;(4*G11),P19,"")</f>
        <v/>
      </c>
      <c r="L26" s="60" t="s">
        <v>55</v>
      </c>
      <c r="M26" s="61">
        <f>IF(AND(G10&gt;(2*G11),G10&lt;=4*G11),0.3*G11*1000,"")</f>
        <v>600</v>
      </c>
      <c r="N26" s="69">
        <f>IF(AND(G10&gt;(2*G11),G10&lt;=4*G11),P19,"")</f>
        <v>0.77224151277951014</v>
      </c>
      <c r="O26" s="60" t="s">
        <v>55</v>
      </c>
      <c r="P26" s="61" t="str">
        <f>IF(G10&lt;=(2*G11),0.3*G11*1000,"")</f>
        <v/>
      </c>
      <c r="Q26" s="69" t="str">
        <f>IF(G10&lt;=(2*G11),P19,"")</f>
        <v/>
      </c>
    </row>
    <row r="27" spans="1:19">
      <c r="A27" s="10"/>
      <c r="H27" s="19"/>
      <c r="I27" s="60" t="s">
        <v>56</v>
      </c>
      <c r="J27" s="61" t="str">
        <f>IF(G10&gt;(4*G11),1.7*G11*1000,"")</f>
        <v/>
      </c>
      <c r="K27" s="67" t="str">
        <f>IF(G10&gt;(4*G11),Q19,"")</f>
        <v/>
      </c>
      <c r="L27" s="60" t="s">
        <v>56</v>
      </c>
      <c r="M27" s="61">
        <f>IF(AND(G10&gt;(2*G11),G10&lt;=4*G11),1.7*G11*1000,"")</f>
        <v>3400</v>
      </c>
      <c r="N27" s="69">
        <f>IF(AND(G10&gt;(2*G11),G10&lt;=4*G11),Q19,"")</f>
        <v>0.47006005125709305</v>
      </c>
      <c r="O27" s="63" t="s">
        <v>58</v>
      </c>
      <c r="P27" s="62" t="s">
        <v>60</v>
      </c>
      <c r="Q27" s="69" t="str">
        <f>IF(G10&lt;=(2*G11),Q19,"")</f>
        <v/>
      </c>
    </row>
    <row r="28" spans="1:19">
      <c r="A28" s="10"/>
      <c r="H28" s="19"/>
      <c r="I28" s="60" t="s">
        <v>57</v>
      </c>
      <c r="J28" s="61" t="str">
        <f>IF(G10&gt;(4*G11),2*G11*1000,"")</f>
        <v/>
      </c>
      <c r="K28" s="67" t="str">
        <f>IF(G10&gt;(4*G11),R19,"")</f>
        <v/>
      </c>
      <c r="L28" s="63" t="s">
        <v>58</v>
      </c>
      <c r="M28" s="62" t="str">
        <f>IF(AND(G10&gt;(2*G11),G10&lt;=4*G11),"-","")</f>
        <v>-</v>
      </c>
      <c r="N28" s="69">
        <f>IF(AND(G10&gt;(2*G11),G10&lt;=4*G11),R19,"")</f>
        <v>0.40290861536322264</v>
      </c>
      <c r="O28" s="61" t="s">
        <v>60</v>
      </c>
      <c r="P28" s="61" t="s">
        <v>60</v>
      </c>
      <c r="Q28" s="69" t="s">
        <v>60</v>
      </c>
    </row>
    <row r="29" spans="1:19">
      <c r="A29" s="10"/>
      <c r="H29" s="19"/>
      <c r="I29" s="63" t="s">
        <v>58</v>
      </c>
      <c r="J29" s="62" t="str">
        <f>IF(G10&gt;(4*G11),IF(G10-(J26+J27+J28)&lt;=0,"-",G10-(J26+J27+J28)),"-")</f>
        <v>-</v>
      </c>
      <c r="K29" s="67" t="str">
        <f>IF(G10&gt;(4*G11),S19,"")</f>
        <v/>
      </c>
      <c r="L29" s="32" t="s">
        <v>60</v>
      </c>
      <c r="M29" s="32" t="s">
        <v>60</v>
      </c>
      <c r="N29" s="61" t="s">
        <v>60</v>
      </c>
      <c r="O29" s="61" t="s">
        <v>60</v>
      </c>
      <c r="P29" s="61" t="s">
        <v>60</v>
      </c>
      <c r="Q29" s="61" t="s">
        <v>60</v>
      </c>
    </row>
    <row r="30" spans="1:19">
      <c r="A30" s="10"/>
      <c r="H30" s="19"/>
      <c r="J30" s="66" t="str">
        <f>IF(G10&gt;(4*G11),IF(G10-(J26+J27+J28)&lt;=0,"",G10-(J26+J27+J28)),"")</f>
        <v/>
      </c>
      <c r="L30"/>
      <c r="M30" s="3" t="str">
        <f>IF(AND(G10&gt;(2*G11),G10&lt;=4*G11),"True","Not applicable")</f>
        <v>True</v>
      </c>
      <c r="O30"/>
      <c r="P30"/>
      <c r="Q30"/>
    </row>
    <row r="31" spans="1:19">
      <c r="A31" s="10"/>
      <c r="H31" s="19"/>
      <c r="L31"/>
      <c r="M31"/>
      <c r="N31"/>
      <c r="O31"/>
      <c r="P31"/>
      <c r="Q31"/>
    </row>
    <row r="32" spans="1:19">
      <c r="A32"/>
      <c r="B32"/>
      <c r="C32"/>
      <c r="D32"/>
      <c r="E32"/>
      <c r="F32"/>
      <c r="I32" s="148"/>
      <c r="J32" s="148"/>
      <c r="K32" s="148"/>
      <c r="L32" s="148"/>
      <c r="M32"/>
      <c r="N32"/>
      <c r="O32"/>
      <c r="P32"/>
      <c r="Q32"/>
    </row>
    <row r="33" spans="1:17">
      <c r="A33"/>
      <c r="B33"/>
      <c r="C33"/>
      <c r="D33"/>
      <c r="E33"/>
      <c r="F33"/>
      <c r="I33" s="148"/>
      <c r="J33" s="148"/>
      <c r="K33" s="148"/>
      <c r="L33" s="148"/>
      <c r="M33"/>
      <c r="N33"/>
      <c r="O33"/>
      <c r="P33"/>
      <c r="Q33"/>
    </row>
    <row r="34" spans="1:17">
      <c r="A34"/>
      <c r="B34"/>
      <c r="C34"/>
      <c r="D34"/>
      <c r="E34"/>
      <c r="F34"/>
      <c r="I34" s="148"/>
      <c r="J34" s="148"/>
      <c r="K34" s="148"/>
      <c r="L34" s="148"/>
      <c r="M34"/>
      <c r="N34"/>
      <c r="O34"/>
      <c r="P34"/>
      <c r="Q34"/>
    </row>
    <row r="35" spans="1:17">
      <c r="H35" s="19"/>
      <c r="P35"/>
      <c r="Q35"/>
    </row>
    <row r="36" spans="1:17">
      <c r="A36" s="10"/>
      <c r="H36" s="19"/>
      <c r="P36"/>
      <c r="Q36"/>
    </row>
    <row r="37" spans="1:17" ht="16.5">
      <c r="A37" s="56" t="s">
        <v>51</v>
      </c>
      <c r="B37" s="58" t="s">
        <v>50</v>
      </c>
      <c r="E37" s="50" t="str">
        <f>IF(AND(G10&gt;(2*G11),G10&lt;=4*G11),"True","Not applicable")</f>
        <v>True</v>
      </c>
      <c r="H37" s="19"/>
      <c r="P37"/>
      <c r="Q37"/>
    </row>
    <row r="38" spans="1:17">
      <c r="A38" s="10"/>
      <c r="H38" s="19"/>
      <c r="P38"/>
      <c r="Q38"/>
    </row>
    <row r="39" spans="1:17">
      <c r="A39" s="10"/>
      <c r="H39" s="19"/>
      <c r="P39"/>
      <c r="Q39"/>
    </row>
    <row r="40" spans="1:17">
      <c r="A40" s="10"/>
      <c r="H40" s="19"/>
      <c r="N40"/>
      <c r="O40"/>
      <c r="P40"/>
      <c r="Q40"/>
    </row>
    <row r="41" spans="1:17">
      <c r="A41" s="10"/>
      <c r="H41" s="19"/>
      <c r="L41"/>
      <c r="M41"/>
      <c r="N41"/>
      <c r="O41"/>
      <c r="P41"/>
      <c r="Q41"/>
    </row>
    <row r="42" spans="1:17">
      <c r="A42" s="10"/>
      <c r="H42" s="19"/>
      <c r="L42"/>
      <c r="M42"/>
      <c r="N42"/>
      <c r="O42"/>
      <c r="P42"/>
      <c r="Q42"/>
    </row>
    <row r="43" spans="1:17">
      <c r="A43" s="10"/>
      <c r="D43" s="20" t="s">
        <v>41</v>
      </c>
      <c r="H43" s="19"/>
      <c r="L43"/>
      <c r="M43"/>
      <c r="N43"/>
      <c r="O43"/>
      <c r="P43"/>
      <c r="Q43"/>
    </row>
    <row r="44" spans="1:17">
      <c r="A44" s="10"/>
      <c r="H44" s="19"/>
      <c r="L44"/>
      <c r="M44"/>
      <c r="N44"/>
      <c r="O44"/>
      <c r="P44"/>
      <c r="Q44"/>
    </row>
    <row r="45" spans="1:17" ht="14.25">
      <c r="A45" s="10"/>
      <c r="H45" s="19"/>
      <c r="K45" s="41"/>
      <c r="L45" s="41"/>
    </row>
    <row r="46" spans="1:17" ht="14.25">
      <c r="A46" s="10"/>
      <c r="H46" s="19"/>
      <c r="K46" s="41"/>
      <c r="L46" s="41"/>
    </row>
    <row r="47" spans="1:17" ht="14.25">
      <c r="A47" s="10"/>
      <c r="H47" s="19"/>
      <c r="K47" s="41"/>
      <c r="L47" s="41"/>
    </row>
    <row r="48" spans="1:17" ht="14.25">
      <c r="A48" s="10"/>
      <c r="H48" s="19"/>
      <c r="K48" s="41"/>
      <c r="L48" s="41"/>
    </row>
    <row r="49" spans="1:5" ht="16.5">
      <c r="A49" s="56" t="s">
        <v>53</v>
      </c>
      <c r="B49" s="58" t="s">
        <v>50</v>
      </c>
      <c r="E49" s="50" t="str">
        <f>IF(G10&lt;=(2*G11),"True","Not applicable")</f>
        <v>Not applicable</v>
      </c>
    </row>
  </sheetData>
  <mergeCells count="13">
    <mergeCell ref="I32:L34"/>
    <mergeCell ref="O25:Q25"/>
    <mergeCell ref="I25:K25"/>
    <mergeCell ref="L25:N25"/>
    <mergeCell ref="N10:N13"/>
    <mergeCell ref="A6:H6"/>
    <mergeCell ref="E12:F13"/>
    <mergeCell ref="G12:G13"/>
    <mergeCell ref="B1:F1"/>
    <mergeCell ref="B2:F2"/>
    <mergeCell ref="B3:F3"/>
    <mergeCell ref="B4:F4"/>
    <mergeCell ref="A5:H5"/>
  </mergeCells>
  <phoneticPr fontId="16" type="noConversion"/>
  <conditionalFormatting sqref="E25">
    <cfRule type="containsText" dxfId="17" priority="5" operator="containsText" text="True">
      <formula>NOT(ISERROR(SEARCH("True",E25)))</formula>
    </cfRule>
    <cfRule type="containsText" dxfId="16" priority="6" operator="containsText" text="Not applicable">
      <formula>NOT(ISERROR(SEARCH("Not applicable",E25)))</formula>
    </cfRule>
  </conditionalFormatting>
  <conditionalFormatting sqref="E37">
    <cfRule type="containsText" dxfId="15" priority="3" operator="containsText" text="True">
      <formula>NOT(ISERROR(SEARCH("True",E37)))</formula>
    </cfRule>
    <cfRule type="containsText" dxfId="14" priority="4" operator="containsText" text="Not applicable">
      <formula>NOT(ISERROR(SEARCH("Not applicable",E37)))</formula>
    </cfRule>
  </conditionalFormatting>
  <conditionalFormatting sqref="E49">
    <cfRule type="containsText" dxfId="13" priority="1" operator="containsText" text="True">
      <formula>NOT(ISERROR(SEARCH("True",E49)))</formula>
    </cfRule>
    <cfRule type="containsText" dxfId="12" priority="2" operator="containsText" text="Not applicable">
      <formula>NOT(ISERROR(SEARCH("Not applicable",E49)))</formula>
    </cfRule>
  </conditionalFormatting>
  <dataValidations disablePrompts="1" count="3">
    <dataValidation type="list" operator="greaterThanOrEqual" showInputMessage="1" showErrorMessage="1" errorTitle="Warning!" error="Minimum design wind speed = 85 mph" sqref="C10" xr:uid="{00000000-0002-0000-0000-000006000000}">
      <formula1>$M$3:$M$7</formula1>
    </dataValidation>
    <dataValidation type="list" allowBlank="1" showInputMessage="1" showErrorMessage="1" errorTitle="Warning!" error="Invalid exposure category_x000a_Must input either A, B, C, or D" sqref="C13" xr:uid="{00000000-0002-0000-0000-000007000000}">
      <formula1>"A,B,C"</formula1>
    </dataValidation>
    <dataValidation type="decimal" allowBlank="1" showInputMessage="1" showErrorMessage="1" sqref="G14" xr:uid="{11E1A4FD-7921-45C2-A38D-EC730ECA9BD0}">
      <formula1>0.8</formula1>
      <formula2>1</formula2>
    </dataValidation>
  </dataValidations>
  <printOptions gridLines="1"/>
  <pageMargins left="1" right="0.5" top="0.75" bottom="0.75" header="0.5" footer="0.5"/>
  <pageSetup paperSize="9" scale="82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5CC93-80DE-4E40-8750-9C698757A8D8}">
  <sheetPr codeName="Sheet1"/>
  <dimension ref="A1:AT113"/>
  <sheetViews>
    <sheetView showGridLines="0" zoomScale="115" zoomScaleNormal="115" workbookViewId="0">
      <selection activeCell="P21" sqref="P21:AA21"/>
    </sheetView>
  </sheetViews>
  <sheetFormatPr defaultRowHeight="12.75"/>
  <cols>
    <col min="1" max="1" width="2.5703125" style="72" customWidth="1"/>
    <col min="2" max="2" width="2" style="72" customWidth="1"/>
    <col min="3" max="3" width="6.140625" style="72" customWidth="1"/>
    <col min="4" max="15" width="4.7109375" style="72" customWidth="1"/>
    <col min="16" max="16" width="5.42578125" style="72" customWidth="1"/>
    <col min="17" max="17" width="5.28515625" style="72" customWidth="1"/>
    <col min="18" max="27" width="4.7109375" style="72" customWidth="1"/>
    <col min="28" max="28" width="2" style="72" customWidth="1"/>
    <col min="29" max="29" width="2.5703125" style="72" customWidth="1"/>
    <col min="38" max="38" width="10.5703125" bestFit="1" customWidth="1"/>
    <col min="43" max="43" width="9.140625" style="95"/>
    <col min="44" max="44" width="46.42578125" style="95" bestFit="1" customWidth="1"/>
    <col min="45" max="45" width="51.5703125" style="95" bestFit="1" customWidth="1"/>
    <col min="46" max="46" width="38.140625" style="95" customWidth="1"/>
  </cols>
  <sheetData>
    <row r="1" spans="1:46" ht="15" customHeight="1">
      <c r="A1" s="70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1"/>
      <c r="AQ1" s="88"/>
      <c r="AR1" s="88" t="s">
        <v>83</v>
      </c>
      <c r="AS1" s="94" t="s">
        <v>84</v>
      </c>
      <c r="AT1" s="89" t="s">
        <v>146</v>
      </c>
    </row>
    <row r="2" spans="1:46" ht="18" customHeight="1">
      <c r="A2" s="70"/>
      <c r="B2" s="283" t="s">
        <v>214</v>
      </c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0" t="s">
        <v>215</v>
      </c>
      <c r="W2" s="281"/>
      <c r="X2" s="282"/>
      <c r="Y2" s="287" t="s">
        <v>216</v>
      </c>
      <c r="Z2" s="287"/>
      <c r="AA2" s="287"/>
      <c r="AB2" s="288"/>
      <c r="AC2" s="71"/>
      <c r="AQ2" s="88">
        <v>1</v>
      </c>
      <c r="AR2" s="89" t="s">
        <v>13</v>
      </c>
      <c r="AS2" s="92" t="s">
        <v>85</v>
      </c>
      <c r="AT2" s="89" t="s">
        <v>13</v>
      </c>
    </row>
    <row r="3" spans="1:46" ht="18" customHeight="1">
      <c r="A3" s="70"/>
      <c r="B3" s="285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0"/>
      <c r="W3" s="281"/>
      <c r="X3" s="282"/>
      <c r="Y3" s="289"/>
      <c r="Z3" s="289"/>
      <c r="AA3" s="289"/>
      <c r="AB3" s="290"/>
      <c r="AC3" s="71"/>
      <c r="AQ3" s="88">
        <v>2</v>
      </c>
      <c r="AR3" s="89" t="s">
        <v>15</v>
      </c>
      <c r="AS3" s="92" t="s">
        <v>86</v>
      </c>
      <c r="AT3" s="89" t="s">
        <v>15</v>
      </c>
    </row>
    <row r="4" spans="1:46" ht="18" customHeight="1">
      <c r="A4" s="70"/>
      <c r="B4" s="291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80"/>
      <c r="W4" s="281"/>
      <c r="X4" s="282"/>
      <c r="Y4" s="293"/>
      <c r="Z4" s="293"/>
      <c r="AA4" s="293"/>
      <c r="AB4" s="294"/>
      <c r="AC4" s="71"/>
      <c r="AQ4" s="88">
        <v>3</v>
      </c>
      <c r="AR4" s="89" t="s">
        <v>17</v>
      </c>
      <c r="AS4" s="92" t="s">
        <v>87</v>
      </c>
      <c r="AT4" s="89" t="s">
        <v>17</v>
      </c>
    </row>
    <row r="5" spans="1:46">
      <c r="A5" s="70"/>
      <c r="B5" s="110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1"/>
      <c r="AC5" s="71"/>
      <c r="AQ5" s="88">
        <v>4</v>
      </c>
      <c r="AR5" s="89" t="s">
        <v>88</v>
      </c>
      <c r="AS5" s="92" t="s">
        <v>89</v>
      </c>
      <c r="AT5" s="89" t="s">
        <v>88</v>
      </c>
    </row>
    <row r="6" spans="1:46" ht="15">
      <c r="A6" s="70"/>
      <c r="B6" s="74"/>
      <c r="C6" s="99"/>
      <c r="D6" s="99"/>
      <c r="E6" s="99"/>
      <c r="F6" s="99"/>
      <c r="G6" s="99"/>
      <c r="H6" s="99"/>
      <c r="I6" s="124" t="str">
        <f>VLOOKUP(9,$AQ$2:$AT$1023,1+MATCH(AD6,$AR$1:$AT$1,0),FALSE)</f>
        <v>Design code:</v>
      </c>
      <c r="J6" s="99" t="str">
        <f>VLOOKUP(10,$AQ$2:$AT$1023,1+MATCH(AD6,$AR$1:$AT$1,0),FALSE)</f>
        <v>TCVN 2737:2023 Loads and Action - Design standard</v>
      </c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100"/>
      <c r="AC6" s="71"/>
      <c r="AD6" s="156" t="s">
        <v>146</v>
      </c>
      <c r="AQ6" s="88">
        <v>5</v>
      </c>
      <c r="AR6" s="89" t="s">
        <v>14</v>
      </c>
      <c r="AS6" s="92" t="s">
        <v>90</v>
      </c>
      <c r="AT6" s="89" t="s">
        <v>14</v>
      </c>
    </row>
    <row r="7" spans="1:46" ht="15">
      <c r="A7" s="70"/>
      <c r="B7" s="74"/>
      <c r="C7" s="99"/>
      <c r="D7" s="99"/>
      <c r="E7" s="99"/>
      <c r="F7" s="99"/>
      <c r="G7" s="99"/>
      <c r="H7" s="99"/>
      <c r="I7" s="124" t="str">
        <f>IF(AD6=AT1,AS10,"")</f>
        <v>Tiêu chuẩn thiết kế:</v>
      </c>
      <c r="J7" s="99" t="str">
        <f>IF(AD6=AT1,AS11,"")</f>
        <v>TCVN 2737:2023 Tải trọng và tác động - Tiêu chuẩn thiết kế</v>
      </c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100"/>
      <c r="AC7" s="71"/>
      <c r="AD7" s="156"/>
      <c r="AQ7" s="88">
        <v>6</v>
      </c>
      <c r="AR7" s="89" t="s">
        <v>16</v>
      </c>
      <c r="AS7" s="92" t="s">
        <v>91</v>
      </c>
      <c r="AT7" s="89" t="s">
        <v>16</v>
      </c>
    </row>
    <row r="8" spans="1:46" ht="15">
      <c r="A8" s="73"/>
      <c r="B8" s="74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100"/>
      <c r="AC8" s="71"/>
      <c r="AD8" s="156"/>
      <c r="AQ8" s="88">
        <v>7</v>
      </c>
      <c r="AR8" s="89" t="s">
        <v>92</v>
      </c>
      <c r="AS8" s="92" t="s">
        <v>93</v>
      </c>
      <c r="AT8" s="89" t="s">
        <v>92</v>
      </c>
    </row>
    <row r="9" spans="1:46" ht="15">
      <c r="A9" s="73"/>
      <c r="B9" s="74"/>
      <c r="C9" s="160" t="str">
        <f>VLOOKUP(12,$AQ$2:$AT$1023,1+MATCH(AD6,$AR$1:$AT$1,0),FALSE)</f>
        <v>BUILDING (STRUCTURE) DATA / DỮ LIỆU CÔNG TRÌNH</v>
      </c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2"/>
      <c r="O9" s="99"/>
      <c r="P9" s="160" t="str">
        <f>VLOOKUP(24,$AQ$2:$AT$1023,1+MATCH(AD6,$AR$1:$AT$1,0),FALSE)</f>
        <v xml:space="preserve">SITE DATA / SỐ LIỆU GIÓ THEO VÙNG </v>
      </c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2"/>
      <c r="AB9" s="100"/>
      <c r="AC9" s="71"/>
      <c r="AD9" s="156"/>
      <c r="AE9" s="80" t="s">
        <v>32</v>
      </c>
      <c r="AF9" s="80" t="s">
        <v>33</v>
      </c>
      <c r="AG9" s="80" t="s">
        <v>34</v>
      </c>
      <c r="AH9" s="81" t="s">
        <v>35</v>
      </c>
      <c r="AI9" s="80" t="s">
        <v>37</v>
      </c>
      <c r="AL9" s="80" t="s">
        <v>25</v>
      </c>
      <c r="AM9" s="80" t="s">
        <v>26</v>
      </c>
      <c r="AQ9" s="88">
        <v>8</v>
      </c>
      <c r="AR9" s="89" t="s">
        <v>94</v>
      </c>
      <c r="AS9" s="92" t="s">
        <v>95</v>
      </c>
      <c r="AT9" s="89" t="s">
        <v>94</v>
      </c>
    </row>
    <row r="10" spans="1:46" ht="15">
      <c r="A10" s="73"/>
      <c r="B10" s="74"/>
      <c r="C10" s="240" t="str">
        <f>VLOOKUP(13,$AQ$2:$AT$1023,1+MATCH(AD6,$AR$1:$AT$1,0),FALSE)</f>
        <v>Structure / Kết cấu:</v>
      </c>
      <c r="D10" s="241"/>
      <c r="E10" s="241"/>
      <c r="F10" s="241"/>
      <c r="G10" s="242" t="str">
        <f>VLOOKUP(41,$AQ$2:$AT$1023,1+MATCH(AD6,$AR$1:$AT$1,0),FALSE)</f>
        <v>Vertical walls / Tường phẳng, hàng rào</v>
      </c>
      <c r="H10" s="242"/>
      <c r="I10" s="242"/>
      <c r="J10" s="242"/>
      <c r="K10" s="243"/>
      <c r="L10" s="243"/>
      <c r="M10" s="243"/>
      <c r="N10" s="244"/>
      <c r="O10" s="99"/>
      <c r="P10" s="165" t="str">
        <f>VLOOKUP(25,$AQ$2:$AT$1023,1+MATCH(AD6,$AR$1:$AT$1,0),FALSE)</f>
        <v>Zone / Vùng</v>
      </c>
      <c r="Q10" s="166"/>
      <c r="R10" s="320" t="s">
        <v>11</v>
      </c>
      <c r="S10" s="320"/>
      <c r="T10" s="76"/>
      <c r="U10" s="76"/>
      <c r="V10" s="87"/>
      <c r="W10" s="87"/>
      <c r="X10" s="87"/>
      <c r="Y10" s="87" t="str">
        <f>VLOOKUP(26,$AQ$2:$AT$1023,1+MATCH(AD6,$AR$1:$AT$1,0),FALSE)</f>
        <v>Site terrain type / Địa hình:</v>
      </c>
      <c r="Z10" s="310" t="s">
        <v>6</v>
      </c>
      <c r="AA10" s="311"/>
      <c r="AB10" s="100"/>
      <c r="AC10" s="71"/>
      <c r="AE10" s="80" t="s">
        <v>30</v>
      </c>
      <c r="AF10" s="80">
        <v>213.36</v>
      </c>
      <c r="AG10" s="80">
        <v>2.13</v>
      </c>
      <c r="AH10" s="80">
        <v>11.5</v>
      </c>
      <c r="AI10" s="80">
        <v>1.99</v>
      </c>
      <c r="AL10" s="82" t="s">
        <v>11</v>
      </c>
      <c r="AM10" s="82">
        <v>0.65</v>
      </c>
      <c r="AQ10" s="88">
        <v>9</v>
      </c>
      <c r="AR10" s="89" t="s">
        <v>96</v>
      </c>
      <c r="AS10" s="92" t="s">
        <v>97</v>
      </c>
      <c r="AT10" s="89" t="s">
        <v>96</v>
      </c>
    </row>
    <row r="11" spans="1:46" ht="18">
      <c r="A11" s="73"/>
      <c r="B11" s="74"/>
      <c r="C11" s="159" t="str">
        <f>VLOOKUP(15,$AQ$2:$AT$1023,1+MATCH(AD6,$AR$1:$AT$1,0),FALSE)</f>
        <v>Structural type / Loại:</v>
      </c>
      <c r="D11" s="245"/>
      <c r="E11" s="245"/>
      <c r="F11" s="245"/>
      <c r="G11" s="295" t="s">
        <v>78</v>
      </c>
      <c r="H11" s="295"/>
      <c r="I11" s="295"/>
      <c r="J11" s="295"/>
      <c r="K11" s="295"/>
      <c r="L11" s="295"/>
      <c r="M11" s="295"/>
      <c r="N11" s="296"/>
      <c r="O11" s="99"/>
      <c r="P11" s="77"/>
      <c r="Q11" s="125" t="s">
        <v>69</v>
      </c>
      <c r="R11" s="163">
        <f>VLOOKUP(R10,$AL$10:$AM$14,2,FALSE)</f>
        <v>0.65</v>
      </c>
      <c r="S11" s="163"/>
      <c r="T11" s="126" t="s">
        <v>28</v>
      </c>
      <c r="U11" s="164" t="s">
        <v>70</v>
      </c>
      <c r="V11" s="164"/>
      <c r="W11" s="163">
        <f>VLOOKUP(Z10,$AE$10:$AI$12,2,FALSE)</f>
        <v>274.32</v>
      </c>
      <c r="X11" s="163"/>
      <c r="Y11" s="184" t="s">
        <v>71</v>
      </c>
      <c r="Z11" s="184"/>
      <c r="AA11" s="78">
        <f>VLOOKUP(Z10,$AE$10:$AI$12,4,FALSE)</f>
        <v>9.5</v>
      </c>
      <c r="AB11" s="100"/>
      <c r="AC11" s="71"/>
      <c r="AE11" s="80" t="s">
        <v>6</v>
      </c>
      <c r="AF11" s="80">
        <v>274.32</v>
      </c>
      <c r="AG11" s="80">
        <v>4.57</v>
      </c>
      <c r="AH11" s="80">
        <v>9.5</v>
      </c>
      <c r="AI11" s="80">
        <v>1.97</v>
      </c>
      <c r="AL11" s="82" t="s">
        <v>7</v>
      </c>
      <c r="AM11" s="82">
        <v>0.95</v>
      </c>
      <c r="AQ11" s="88">
        <v>10</v>
      </c>
      <c r="AR11" s="89" t="s">
        <v>98</v>
      </c>
      <c r="AS11" s="92" t="s">
        <v>99</v>
      </c>
      <c r="AT11" s="89" t="s">
        <v>98</v>
      </c>
    </row>
    <row r="12" spans="1:46" ht="18">
      <c r="A12" s="73"/>
      <c r="B12" s="74"/>
      <c r="C12" s="98"/>
      <c r="D12" s="246"/>
      <c r="E12" s="246"/>
      <c r="F12" s="246"/>
      <c r="G12" s="246"/>
      <c r="H12" s="246"/>
      <c r="I12" s="246"/>
      <c r="J12" s="247" t="str">
        <f>VLOOKUP(39,$AQ$2:$AT$1023,1+MATCH(AD6,$AR$1:$AT$1,0),FALSE)</f>
        <v>Free-standing wall height / Chiều cao tường</v>
      </c>
      <c r="K12" s="249" t="s">
        <v>213</v>
      </c>
      <c r="L12" s="248"/>
      <c r="M12" s="297">
        <v>2.2999999999999998</v>
      </c>
      <c r="N12" s="298"/>
      <c r="O12" s="99"/>
      <c r="P12" s="77"/>
      <c r="Q12" s="79" t="s">
        <v>72</v>
      </c>
      <c r="R12" s="185">
        <f>0.852*R11</f>
        <v>0.55379999999999996</v>
      </c>
      <c r="S12" s="185"/>
      <c r="T12" s="126" t="s">
        <v>28</v>
      </c>
      <c r="U12" s="164" t="s">
        <v>73</v>
      </c>
      <c r="V12" s="164"/>
      <c r="W12" s="163">
        <f>VLOOKUP(Z10,$AE$10:$AI$12,3,FALSE)</f>
        <v>4.57</v>
      </c>
      <c r="X12" s="163"/>
      <c r="Y12" s="163" t="s">
        <v>74</v>
      </c>
      <c r="Z12" s="163"/>
      <c r="AA12" s="78">
        <f>VLOOKUP(Z10,$AE$10:$AI$12,5,FALSE)</f>
        <v>1.97</v>
      </c>
      <c r="AB12" s="100"/>
      <c r="AC12" s="71"/>
      <c r="AE12" s="80" t="s">
        <v>2</v>
      </c>
      <c r="AF12" s="80">
        <v>365.76</v>
      </c>
      <c r="AG12" s="80">
        <v>9.14</v>
      </c>
      <c r="AH12" s="80">
        <v>7</v>
      </c>
      <c r="AI12" s="80">
        <v>1.98</v>
      </c>
      <c r="AL12" s="82" t="s">
        <v>8</v>
      </c>
      <c r="AM12" s="82">
        <v>1.25</v>
      </c>
      <c r="AQ12" s="88">
        <v>11</v>
      </c>
      <c r="AR12" s="89" t="s">
        <v>100</v>
      </c>
      <c r="AS12" s="92" t="s">
        <v>101</v>
      </c>
      <c r="AT12" s="89" t="s">
        <v>100</v>
      </c>
    </row>
    <row r="13" spans="1:46" ht="15">
      <c r="A13" s="73"/>
      <c r="B13" s="74"/>
      <c r="C13" s="98"/>
      <c r="D13" s="246"/>
      <c r="E13" s="246"/>
      <c r="F13" s="246"/>
      <c r="G13" s="246"/>
      <c r="H13" s="246"/>
      <c r="I13" s="246"/>
      <c r="J13" s="247" t="str">
        <f>VLOOKUP(38,$AQ$2:$AT$1023,1+MATCH(AD6,$AR$1:$AT$1,0),FALSE)</f>
        <v>Free-standing wall length / Chiều dài tường</v>
      </c>
      <c r="K13" s="248" t="s">
        <v>152</v>
      </c>
      <c r="L13" s="248"/>
      <c r="M13" s="299">
        <v>20</v>
      </c>
      <c r="N13" s="300"/>
      <c r="O13" s="99"/>
      <c r="P13" s="118"/>
      <c r="Q13" s="128"/>
      <c r="R13" s="128"/>
      <c r="S13" s="128"/>
      <c r="T13" s="128"/>
      <c r="U13" s="128"/>
      <c r="V13" s="129"/>
      <c r="W13" s="130" t="str">
        <f>VLOOKUP(32,$AQ$2:$AT$1023,1+MATCH(AD6,$AR$1:$AT$1,0),FALSE)</f>
        <v>Reference height / Chiều cao tham chiếu</v>
      </c>
      <c r="X13" s="129"/>
      <c r="Y13" s="130" t="s">
        <v>181</v>
      </c>
      <c r="Z13" s="308">
        <v>120</v>
      </c>
      <c r="AA13" s="309"/>
      <c r="AB13" s="100"/>
      <c r="AC13" s="71"/>
      <c r="AL13" s="82" t="s">
        <v>9</v>
      </c>
      <c r="AM13" s="82">
        <v>1.55</v>
      </c>
      <c r="AQ13" s="88">
        <v>12</v>
      </c>
      <c r="AR13" s="89" t="s">
        <v>61</v>
      </c>
      <c r="AS13" s="92" t="s">
        <v>123</v>
      </c>
      <c r="AT13" s="89" t="s">
        <v>147</v>
      </c>
    </row>
    <row r="14" spans="1:46" ht="15">
      <c r="A14" s="73"/>
      <c r="B14" s="74"/>
      <c r="C14" s="96"/>
      <c r="D14" s="97"/>
      <c r="E14" s="97"/>
      <c r="F14" s="97"/>
      <c r="G14" s="97"/>
      <c r="H14" s="97"/>
      <c r="I14" s="97"/>
      <c r="J14" s="117" t="str">
        <f>VLOOKUP(40,$AQ$2:$AT$1023,1+MATCH(AD6,$AR$1:$AT$1,0),FALSE)</f>
        <v>Gust Effect factor / Hệ số hiệu ứng giật</v>
      </c>
      <c r="K14" s="157" t="s">
        <v>180</v>
      </c>
      <c r="L14" s="157"/>
      <c r="M14" s="301">
        <v>0.85</v>
      </c>
      <c r="N14" s="302"/>
      <c r="O14" s="99"/>
      <c r="P14" s="119"/>
      <c r="Q14" s="120"/>
      <c r="R14" s="120"/>
      <c r="S14" s="120"/>
      <c r="T14" s="120"/>
      <c r="U14" s="120"/>
      <c r="V14" s="121"/>
      <c r="W14" s="122" t="str">
        <f>VLOOKUP(33,$AQ$2:$AT$1023,1+MATCH(AD6,$AR$1:$AT$1,0),FALSE)</f>
        <v>Terrain factor / Hệ số địa hình</v>
      </c>
      <c r="X14" s="158" t="s">
        <v>182</v>
      </c>
      <c r="Y14" s="158"/>
      <c r="Z14" s="173">
        <f>MIN(2.01*(Z13/W11)^(2/AA11),AA12)</f>
        <v>1.688888826493691</v>
      </c>
      <c r="AA14" s="174"/>
      <c r="AB14" s="100"/>
      <c r="AC14" s="71"/>
      <c r="AE14" s="167" t="s">
        <v>79</v>
      </c>
      <c r="AF14" s="168"/>
      <c r="AG14" s="168"/>
      <c r="AH14" s="168"/>
      <c r="AI14" s="168"/>
      <c r="AJ14" s="169"/>
      <c r="AL14" s="82" t="s">
        <v>24</v>
      </c>
      <c r="AM14" s="82">
        <v>1.85</v>
      </c>
      <c r="AQ14" s="88">
        <v>13</v>
      </c>
      <c r="AR14" s="89" t="s">
        <v>62</v>
      </c>
      <c r="AS14" s="92" t="s">
        <v>102</v>
      </c>
      <c r="AT14" s="89" t="s">
        <v>150</v>
      </c>
    </row>
    <row r="15" spans="1:46" ht="15">
      <c r="A15" s="73"/>
      <c r="B15" s="74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100"/>
      <c r="AC15" s="71"/>
      <c r="AE15" s="40" t="s">
        <v>48</v>
      </c>
      <c r="AF15" s="32" t="s">
        <v>47</v>
      </c>
      <c r="AG15" s="32" t="s">
        <v>30</v>
      </c>
      <c r="AH15" s="32" t="s">
        <v>6</v>
      </c>
      <c r="AI15" s="32" t="s">
        <v>2</v>
      </c>
      <c r="AJ15" s="32" t="s">
        <v>10</v>
      </c>
      <c r="AQ15" s="88">
        <v>14</v>
      </c>
      <c r="AR15" s="89" t="s">
        <v>103</v>
      </c>
      <c r="AS15" s="92" t="s">
        <v>104</v>
      </c>
      <c r="AT15" s="89" t="s">
        <v>103</v>
      </c>
    </row>
    <row r="16" spans="1:46" ht="15">
      <c r="A16" s="73"/>
      <c r="B16" s="74"/>
      <c r="C16" s="160" t="str">
        <f>VLOOKUP(42,$AQ$2:$AT$1023,1+MATCH(AD6,$AR$1:$AT$1,0),FALSE)</f>
        <v>CALCULATION COEFFICIENTS / TÍNH TOÁN HỆ SỐ Cx</v>
      </c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2"/>
      <c r="O16" s="99"/>
      <c r="P16" s="190" t="str">
        <f>VLOOKUP(49,$AQ$2:$AT$1023,1+MATCH(AD6,$AR$1:$AT$1,0),FALSE)</f>
        <v>WIND PRESSURE ACTING  / ÁP LỰC GIÓ TÁC DỤNG LÊN BỀ MẶT:</v>
      </c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2"/>
      <c r="AB16" s="100"/>
      <c r="AC16" s="71"/>
      <c r="AE16" s="153">
        <v>1</v>
      </c>
      <c r="AF16" s="33">
        <v>3</v>
      </c>
      <c r="AG16" s="33">
        <v>2.2999999999999998</v>
      </c>
      <c r="AH16" s="33">
        <v>1.4</v>
      </c>
      <c r="AI16" s="33">
        <v>1.2</v>
      </c>
      <c r="AJ16" s="33">
        <v>1.2</v>
      </c>
      <c r="AQ16" s="88">
        <v>15</v>
      </c>
      <c r="AR16" s="89" t="s">
        <v>105</v>
      </c>
      <c r="AS16" s="92" t="s">
        <v>106</v>
      </c>
      <c r="AT16" s="89" t="s">
        <v>151</v>
      </c>
    </row>
    <row r="17" spans="1:46" ht="18">
      <c r="A17" s="73"/>
      <c r="B17" s="74"/>
      <c r="C17" s="182" t="str">
        <f>VLOOKUP(46,$AQ$2:$AT$1023,1+MATCH(AD6,$AR$1:$AT$1,0),FALSE)</f>
        <v>Return corners / Có bẻ góc</v>
      </c>
      <c r="D17" s="183"/>
      <c r="E17" s="183"/>
      <c r="F17" s="183"/>
      <c r="G17" s="183"/>
      <c r="H17" s="183"/>
      <c r="I17" s="183"/>
      <c r="J17" s="183"/>
      <c r="K17" s="183"/>
      <c r="L17" s="183"/>
      <c r="M17" s="303" t="s">
        <v>66</v>
      </c>
      <c r="N17" s="304"/>
      <c r="O17" s="99"/>
      <c r="P17" s="193" t="s">
        <v>209</v>
      </c>
      <c r="Q17" s="194"/>
      <c r="R17" s="194"/>
      <c r="S17" s="194"/>
      <c r="T17" s="194"/>
      <c r="U17" s="194"/>
      <c r="V17" s="194"/>
      <c r="W17" s="194"/>
      <c r="X17" s="194"/>
      <c r="Y17" s="194"/>
      <c r="Z17" s="194"/>
      <c r="AA17" s="195"/>
      <c r="AB17" s="100"/>
      <c r="AC17" s="71"/>
      <c r="AE17" s="154"/>
      <c r="AF17" s="33">
        <v>5</v>
      </c>
      <c r="AG17" s="33">
        <v>2.9</v>
      </c>
      <c r="AH17" s="33">
        <v>1.8</v>
      </c>
      <c r="AI17" s="33">
        <v>1.4</v>
      </c>
      <c r="AJ17" s="33">
        <v>1.2</v>
      </c>
      <c r="AQ17" s="88">
        <v>16</v>
      </c>
      <c r="AR17" s="90" t="s">
        <v>107</v>
      </c>
      <c r="AS17" s="90" t="s">
        <v>108</v>
      </c>
      <c r="AT17" s="90" t="s">
        <v>107</v>
      </c>
    </row>
    <row r="18" spans="1:46" ht="15">
      <c r="A18" s="73"/>
      <c r="B18" s="74"/>
      <c r="C18" s="132"/>
      <c r="D18" s="127"/>
      <c r="E18" s="127"/>
      <c r="F18" s="127"/>
      <c r="G18" s="127"/>
      <c r="H18" s="127"/>
      <c r="I18" s="127"/>
      <c r="J18" s="127"/>
      <c r="K18" s="131" t="str">
        <f>VLOOKUP(47,$AQ$2:$AT$1023,1+MATCH(AD6,$AR$1:$AT$1,0),FALSE)</f>
        <v>Length of return corners / Chiều dài phần bẻ góc</v>
      </c>
      <c r="L18" s="133" t="s">
        <v>199</v>
      </c>
      <c r="M18" s="305">
        <v>5</v>
      </c>
      <c r="N18" s="300"/>
      <c r="O18" s="99"/>
      <c r="P18" s="176" t="str">
        <f>VLOOKUP(25,$AQ$2:$AT$1023,1+MATCH(AD6,$AR$1:$AT$1,0),FALSE)</f>
        <v>Zone / Vùng</v>
      </c>
      <c r="Q18" s="177"/>
      <c r="R18" s="177"/>
      <c r="S18" s="177"/>
      <c r="T18" s="178" t="s">
        <v>30</v>
      </c>
      <c r="U18" s="178"/>
      <c r="V18" s="178" t="s">
        <v>6</v>
      </c>
      <c r="W18" s="178"/>
      <c r="X18" s="178" t="s">
        <v>2</v>
      </c>
      <c r="Y18" s="178"/>
      <c r="Z18" s="178" t="s">
        <v>10</v>
      </c>
      <c r="AA18" s="179"/>
      <c r="AB18" s="100"/>
      <c r="AC18" s="71"/>
      <c r="AE18" s="154"/>
      <c r="AF18" s="33">
        <v>10</v>
      </c>
      <c r="AG18" s="33">
        <v>3.4</v>
      </c>
      <c r="AH18" s="33">
        <v>2.1</v>
      </c>
      <c r="AI18" s="33">
        <v>1.7</v>
      </c>
      <c r="AJ18" s="33">
        <v>1.2</v>
      </c>
      <c r="AK18" s="86"/>
      <c r="AQ18" s="88">
        <v>17</v>
      </c>
      <c r="AR18" s="89" t="s">
        <v>109</v>
      </c>
      <c r="AS18" s="92" t="s">
        <v>110</v>
      </c>
      <c r="AT18" s="89" t="s">
        <v>109</v>
      </c>
    </row>
    <row r="19" spans="1:46" ht="18">
      <c r="A19" s="73"/>
      <c r="B19" s="74"/>
      <c r="C19" s="189" t="s">
        <v>190</v>
      </c>
      <c r="D19" s="177"/>
      <c r="E19" s="188">
        <f>M13/M12</f>
        <v>8.6956521739130448</v>
      </c>
      <c r="F19" s="188"/>
      <c r="G19" s="127"/>
      <c r="H19" s="127"/>
      <c r="I19" s="127"/>
      <c r="J19" s="131" t="str">
        <f>VLOOKUP(43,$AQ$2:$AT$1023,1+MATCH(AD6,$AR$1:$AT$1,0),FALSE)</f>
        <v>Solidity / Hệ số đặc</v>
      </c>
      <c r="K19" s="127"/>
      <c r="L19" s="134" t="s">
        <v>186</v>
      </c>
      <c r="M19" s="306">
        <v>1</v>
      </c>
      <c r="N19" s="307"/>
      <c r="O19" s="99"/>
      <c r="P19" s="196" t="s">
        <v>210</v>
      </c>
      <c r="Q19" s="197"/>
      <c r="R19" s="197"/>
      <c r="S19" s="197"/>
      <c r="T19" s="198">
        <f>IFERROR($R$12*$Z$14*G21*$M$14,"-")</f>
        <v>1.6695223383202877</v>
      </c>
      <c r="U19" s="198"/>
      <c r="V19" s="198">
        <f>IFERROR($R$12*$Z$14*I21*$M$14,"-")</f>
        <v>1.4310191471316751</v>
      </c>
      <c r="W19" s="198"/>
      <c r="X19" s="198">
        <f>IFERROR($R$12*$Z$14*K21*$M$14,"-")</f>
        <v>1.113014892213525</v>
      </c>
      <c r="Y19" s="198"/>
      <c r="Z19" s="198">
        <f>IFERROR($R$12*$Z$14*M21*$M$14,"-")</f>
        <v>0.95401276475444996</v>
      </c>
      <c r="AA19" s="199"/>
      <c r="AB19" s="100"/>
      <c r="AC19" s="71"/>
      <c r="AE19" s="155"/>
      <c r="AF19" s="84">
        <f>E19</f>
        <v>8.6956521739130448</v>
      </c>
      <c r="AG19" s="85">
        <f>noisuy1chieu($AF$19,$AF$16:$AF$18,$AG$16:$AG$18)</f>
        <v>3.2695653438568115</v>
      </c>
      <c r="AH19" s="85">
        <f>noisuy1chieu($AF$19,$AF$16:$AF$18,$AH$16:$AH$18)</f>
        <v>2.0217390060424805</v>
      </c>
      <c r="AI19" s="85">
        <f>noisuy1chieu($AF$19,$AF$16:$AF$18,$AI$16:$AI$18)</f>
        <v>1.6217391490936279</v>
      </c>
      <c r="AJ19" s="85">
        <f>noisuy1chieu($AF$19,$AF$16:$AF$18,$AJ$16:$AJ$18)</f>
        <v>1.2000000476837158</v>
      </c>
      <c r="AQ19" s="88">
        <v>18</v>
      </c>
      <c r="AR19" s="89" t="s">
        <v>111</v>
      </c>
      <c r="AS19" s="92" t="s">
        <v>112</v>
      </c>
      <c r="AT19" s="89" t="s">
        <v>111</v>
      </c>
    </row>
    <row r="20" spans="1:46" ht="15">
      <c r="A20" s="73"/>
      <c r="B20" s="74"/>
      <c r="C20" s="176" t="str">
        <f>VLOOKUP(25,$AQ$2:$AT$1023,1+MATCH(AD6,$AR$1:$AT$1,0),FALSE)</f>
        <v>Zone / Vùng</v>
      </c>
      <c r="D20" s="177"/>
      <c r="E20" s="177"/>
      <c r="F20" s="177"/>
      <c r="G20" s="178" t="s">
        <v>30</v>
      </c>
      <c r="H20" s="178"/>
      <c r="I20" s="178" t="s">
        <v>6</v>
      </c>
      <c r="J20" s="178"/>
      <c r="K20" s="178" t="s">
        <v>2</v>
      </c>
      <c r="L20" s="178"/>
      <c r="M20" s="178" t="s">
        <v>10</v>
      </c>
      <c r="N20" s="179"/>
      <c r="O20" s="99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00"/>
      <c r="AC20" s="71"/>
      <c r="AQ20" s="88">
        <v>19</v>
      </c>
      <c r="AR20" s="89" t="s">
        <v>113</v>
      </c>
      <c r="AS20" s="92" t="s">
        <v>114</v>
      </c>
      <c r="AT20" s="89" t="s">
        <v>113</v>
      </c>
    </row>
    <row r="21" spans="1:46" ht="18">
      <c r="A21" s="73"/>
      <c r="B21" s="74"/>
      <c r="C21" s="186" t="s">
        <v>194</v>
      </c>
      <c r="D21" s="187"/>
      <c r="E21" s="187"/>
      <c r="F21" s="187"/>
      <c r="G21" s="180">
        <f>AG30</f>
        <v>2.1</v>
      </c>
      <c r="H21" s="180"/>
      <c r="I21" s="180">
        <f>AH30</f>
        <v>1.8</v>
      </c>
      <c r="J21" s="180"/>
      <c r="K21" s="180">
        <f>IF(E19&gt;2,AI30,"-")</f>
        <v>1.4</v>
      </c>
      <c r="L21" s="180"/>
      <c r="M21" s="180">
        <f>IF(E19&gt;4,AJ30,"-")</f>
        <v>1.2</v>
      </c>
      <c r="N21" s="181"/>
      <c r="O21" s="99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00"/>
      <c r="AC21" s="71"/>
      <c r="AQ21" s="88">
        <v>20</v>
      </c>
      <c r="AR21" s="89" t="s">
        <v>115</v>
      </c>
      <c r="AS21" s="90" t="s">
        <v>116</v>
      </c>
      <c r="AT21" s="89" t="s">
        <v>115</v>
      </c>
    </row>
    <row r="22" spans="1:46" ht="15">
      <c r="A22" s="73"/>
      <c r="B22" s="74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99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00"/>
      <c r="AC22" s="71"/>
      <c r="AQ22" s="88">
        <v>21</v>
      </c>
      <c r="AR22" s="90" t="s">
        <v>117</v>
      </c>
      <c r="AS22" s="92" t="s">
        <v>118</v>
      </c>
      <c r="AT22" s="90" t="s">
        <v>117</v>
      </c>
    </row>
    <row r="23" spans="1:46" ht="15">
      <c r="A23" s="73"/>
      <c r="B23" s="74"/>
      <c r="C23" s="250" t="str">
        <f>VLOOKUP(50,$AQ$2:$AT$1023,1+MATCH(AD6,$AR$1:$AT$1,0),FALSE)</f>
        <v>DIAGRAM: ZONES OF FREE STANDING WALLS AND PARAPETS</v>
      </c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  <c r="AA23" s="252"/>
      <c r="AB23" s="100"/>
      <c r="AC23" s="71"/>
      <c r="AQ23" s="88">
        <v>22</v>
      </c>
      <c r="AR23" s="89" t="s">
        <v>119</v>
      </c>
      <c r="AS23" s="92" t="s">
        <v>120</v>
      </c>
      <c r="AT23" s="89" t="s">
        <v>119</v>
      </c>
    </row>
    <row r="24" spans="1:46" ht="15">
      <c r="A24" s="73"/>
      <c r="B24" s="74"/>
      <c r="C24" s="313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4"/>
      <c r="P24" s="314"/>
      <c r="Q24" s="314"/>
      <c r="R24" s="314"/>
      <c r="S24" s="314"/>
      <c r="T24" s="314"/>
      <c r="U24" s="314"/>
      <c r="V24" s="314"/>
      <c r="W24" s="314"/>
      <c r="X24" s="314"/>
      <c r="Y24" s="314"/>
      <c r="Z24" s="314"/>
      <c r="AA24" s="315"/>
      <c r="AB24" s="100"/>
      <c r="AC24" s="71"/>
      <c r="AQ24" s="88">
        <v>23</v>
      </c>
      <c r="AR24" s="89" t="s">
        <v>121</v>
      </c>
      <c r="AS24" s="92" t="s">
        <v>122</v>
      </c>
      <c r="AT24" s="89" t="s">
        <v>121</v>
      </c>
    </row>
    <row r="25" spans="1:46" ht="15">
      <c r="A25" s="73"/>
      <c r="B25" s="74"/>
      <c r="C25" s="253"/>
      <c r="D25" s="312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2"/>
      <c r="AA25" s="254"/>
      <c r="AB25" s="100"/>
      <c r="AC25" s="71"/>
      <c r="AQ25" s="88">
        <v>24</v>
      </c>
      <c r="AR25" s="89" t="s">
        <v>67</v>
      </c>
      <c r="AS25" s="92" t="s">
        <v>148</v>
      </c>
      <c r="AT25" s="89" t="s">
        <v>149</v>
      </c>
    </row>
    <row r="26" spans="1:46" ht="15">
      <c r="A26" s="73"/>
      <c r="B26" s="74"/>
      <c r="C26" s="253"/>
      <c r="D26" s="312"/>
      <c r="E26" s="267" t="s">
        <v>217</v>
      </c>
      <c r="F26" s="267"/>
      <c r="G26" s="317" t="str">
        <f>ROUND(0.3*M12,1)&amp;" m"</f>
        <v>0.7 m</v>
      </c>
      <c r="H26" s="317"/>
      <c r="I26" s="267" t="s">
        <v>218</v>
      </c>
      <c r="J26" s="267"/>
      <c r="K26" s="267"/>
      <c r="L26" s="268" t="str">
        <f>IF(E19&lt;=2,ROUND(M13-0.3*M12,1),1.7*M12)&amp;"m"</f>
        <v>3.91m</v>
      </c>
      <c r="M26" s="268"/>
      <c r="N26" s="268"/>
      <c r="O26" s="267" t="str">
        <f>IF(M13&gt;2*M12,"LC =","")</f>
        <v>LC =</v>
      </c>
      <c r="P26" s="267"/>
      <c r="Q26" s="267"/>
      <c r="R26" s="268" t="str">
        <f>IF(X19&lt;&gt;"-",IF(E19&lt;=4,ROUND(M13-2*M12,1),2*M12)&amp;"m","")</f>
        <v>4.6m</v>
      </c>
      <c r="S26" s="268"/>
      <c r="T26" s="268"/>
      <c r="U26" s="267"/>
      <c r="V26" s="267"/>
      <c r="W26" s="267"/>
      <c r="X26" s="268"/>
      <c r="Y26" s="268"/>
      <c r="Z26" s="268"/>
      <c r="AA26" s="254"/>
      <c r="AB26" s="100"/>
      <c r="AC26" s="71"/>
      <c r="AF26" s="171" t="s">
        <v>82</v>
      </c>
      <c r="AG26" s="172"/>
      <c r="AH26" s="172"/>
      <c r="AI26" s="172"/>
      <c r="AJ26" s="172"/>
      <c r="AL26" s="53" t="s">
        <v>75</v>
      </c>
      <c r="AQ26" s="88">
        <v>25</v>
      </c>
      <c r="AR26" s="89" t="s">
        <v>25</v>
      </c>
      <c r="AS26" s="92" t="s">
        <v>124</v>
      </c>
      <c r="AT26" s="89" t="s">
        <v>160</v>
      </c>
    </row>
    <row r="27" spans="1:46" ht="15">
      <c r="A27" s="73"/>
      <c r="B27" s="74"/>
      <c r="C27" s="253"/>
      <c r="D27" s="318" t="str">
        <f>"h = "&amp;ROUND(M12,1)&amp;"m"</f>
        <v>h = 2.3m</v>
      </c>
      <c r="E27" s="269" t="str">
        <f>IF(AD6="VN","Vùng A","Zone A")</f>
        <v>Zone A</v>
      </c>
      <c r="F27" s="270"/>
      <c r="G27" s="270"/>
      <c r="H27" s="271"/>
      <c r="I27" s="272" t="str">
        <f>IF(AD6="VN","Vùng B","Zone B")</f>
        <v>Zone B</v>
      </c>
      <c r="J27" s="259"/>
      <c r="K27" s="259"/>
      <c r="L27" s="259"/>
      <c r="M27" s="259"/>
      <c r="N27" s="273"/>
      <c r="O27" s="274" t="str">
        <f>IF(M13&gt;2*M12,IF(AD6="VN","Vùng C","Zone C"),"-")</f>
        <v>Zone C</v>
      </c>
      <c r="P27" s="259"/>
      <c r="Q27" s="259"/>
      <c r="R27" s="259"/>
      <c r="S27" s="259"/>
      <c r="T27" s="275"/>
      <c r="U27" s="269" t="str">
        <f>IF(M13&gt;4*M12,IF(AD6="VN","Vùng D","Zone D"),"-")</f>
        <v>Zone D</v>
      </c>
      <c r="V27" s="270"/>
      <c r="W27" s="270"/>
      <c r="X27" s="270"/>
      <c r="Y27" s="270"/>
      <c r="Z27" s="271"/>
      <c r="AA27" s="255"/>
      <c r="AB27" s="100"/>
      <c r="AC27" s="71"/>
      <c r="AF27" s="40" t="s">
        <v>48</v>
      </c>
      <c r="AG27" s="32" t="s">
        <v>30</v>
      </c>
      <c r="AH27" s="32" t="s">
        <v>6</v>
      </c>
      <c r="AI27" s="32" t="s">
        <v>2</v>
      </c>
      <c r="AJ27" s="32" t="s">
        <v>10</v>
      </c>
      <c r="AL27" s="53" t="s">
        <v>77</v>
      </c>
      <c r="AQ27" s="88">
        <v>26</v>
      </c>
      <c r="AR27" s="89" t="s">
        <v>68</v>
      </c>
      <c r="AS27" s="92" t="s">
        <v>125</v>
      </c>
      <c r="AT27" s="89" t="s">
        <v>161</v>
      </c>
    </row>
    <row r="28" spans="1:46" ht="15" customHeight="1">
      <c r="A28" s="73"/>
      <c r="B28" s="74"/>
      <c r="C28" s="253"/>
      <c r="D28" s="318"/>
      <c r="E28" s="207"/>
      <c r="F28" s="276"/>
      <c r="G28" s="276"/>
      <c r="H28" s="208"/>
      <c r="I28" s="260"/>
      <c r="J28" s="205"/>
      <c r="K28" s="205"/>
      <c r="L28" s="205"/>
      <c r="M28" s="205"/>
      <c r="N28" s="261"/>
      <c r="O28" s="204"/>
      <c r="P28" s="205"/>
      <c r="Q28" s="205"/>
      <c r="R28" s="205"/>
      <c r="S28" s="205"/>
      <c r="T28" s="206"/>
      <c r="U28" s="207"/>
      <c r="V28" s="276"/>
      <c r="W28" s="276"/>
      <c r="X28" s="276"/>
      <c r="Y28" s="276"/>
      <c r="Z28" s="208"/>
      <c r="AA28" s="255"/>
      <c r="AB28" s="100"/>
      <c r="AC28" s="71"/>
      <c r="AF28" s="83">
        <v>0.8</v>
      </c>
      <c r="AG28" s="83">
        <v>1.2</v>
      </c>
      <c r="AH28" s="83">
        <v>1.2</v>
      </c>
      <c r="AI28" s="83">
        <v>1.2</v>
      </c>
      <c r="AJ28" s="83">
        <v>1.2</v>
      </c>
      <c r="AL28" s="53" t="s">
        <v>76</v>
      </c>
      <c r="AQ28" s="88">
        <v>27</v>
      </c>
      <c r="AR28" s="89" t="s">
        <v>126</v>
      </c>
      <c r="AS28" s="92" t="s">
        <v>127</v>
      </c>
      <c r="AT28" s="89" t="s">
        <v>126</v>
      </c>
    </row>
    <row r="29" spans="1:46" ht="15">
      <c r="A29" s="73"/>
      <c r="B29" s="74"/>
      <c r="C29" s="253"/>
      <c r="D29" s="318"/>
      <c r="E29" s="207"/>
      <c r="F29" s="276"/>
      <c r="G29" s="276"/>
      <c r="H29" s="208"/>
      <c r="I29" s="260"/>
      <c r="J29" s="205"/>
      <c r="K29" s="205"/>
      <c r="L29" s="205"/>
      <c r="M29" s="205"/>
      <c r="N29" s="261"/>
      <c r="O29" s="204"/>
      <c r="P29" s="205"/>
      <c r="Q29" s="205"/>
      <c r="R29" s="205"/>
      <c r="S29" s="205"/>
      <c r="T29" s="206"/>
      <c r="U29" s="207"/>
      <c r="V29" s="276"/>
      <c r="W29" s="276"/>
      <c r="X29" s="276"/>
      <c r="Y29" s="276"/>
      <c r="Z29" s="208"/>
      <c r="AA29" s="255"/>
      <c r="AB29" s="100"/>
      <c r="AC29" s="71"/>
      <c r="AF29" s="83">
        <v>1</v>
      </c>
      <c r="AG29" s="83">
        <f>AG36</f>
        <v>2.1</v>
      </c>
      <c r="AH29" s="83">
        <f>AH36</f>
        <v>1.8</v>
      </c>
      <c r="AI29" s="83">
        <f>AI36</f>
        <v>1.4</v>
      </c>
      <c r="AJ29" s="83">
        <f>AJ36</f>
        <v>1.2</v>
      </c>
      <c r="AQ29" s="88">
        <v>28</v>
      </c>
      <c r="AR29" s="91" t="s">
        <v>128</v>
      </c>
      <c r="AS29" s="92" t="s">
        <v>129</v>
      </c>
      <c r="AT29" s="91" t="s">
        <v>128</v>
      </c>
    </row>
    <row r="30" spans="1:46" ht="15">
      <c r="A30" s="73"/>
      <c r="B30" s="74"/>
      <c r="C30" s="253"/>
      <c r="D30" s="318"/>
      <c r="E30" s="207"/>
      <c r="F30" s="276"/>
      <c r="G30" s="276"/>
      <c r="H30" s="208"/>
      <c r="I30" s="260"/>
      <c r="J30" s="205"/>
      <c r="K30" s="205"/>
      <c r="L30" s="205"/>
      <c r="M30" s="205"/>
      <c r="N30" s="261"/>
      <c r="O30" s="204"/>
      <c r="P30" s="205"/>
      <c r="Q30" s="205"/>
      <c r="R30" s="205"/>
      <c r="S30" s="205"/>
      <c r="T30" s="206"/>
      <c r="U30" s="207"/>
      <c r="V30" s="276"/>
      <c r="W30" s="276"/>
      <c r="X30" s="276"/>
      <c r="Y30" s="276"/>
      <c r="Z30" s="208"/>
      <c r="AA30" s="255"/>
      <c r="AB30" s="100"/>
      <c r="AC30" s="71"/>
      <c r="AF30" s="84">
        <f>M19</f>
        <v>1</v>
      </c>
      <c r="AG30" s="85">
        <f>noisuy1chieu($AF$30,$AF$28:$AF$29,AG28:AG29)</f>
        <v>2.1</v>
      </c>
      <c r="AH30" s="85">
        <f>noisuy1chieu($AF$30,$AF$28:$AF$29,AH28:AH29)</f>
        <v>1.8</v>
      </c>
      <c r="AI30" s="85">
        <f>noisuy1chieu($AF$30,$AF$28:$AF$29,AI28:AI29)</f>
        <v>1.4</v>
      </c>
      <c r="AJ30" s="85">
        <f>noisuy1chieu($AF$30,$AF$28:$AF$29,AJ28:AJ29)</f>
        <v>1.2</v>
      </c>
      <c r="AQ30" s="88">
        <v>29</v>
      </c>
      <c r="AR30" s="89" t="s">
        <v>130</v>
      </c>
      <c r="AS30" s="92" t="s">
        <v>131</v>
      </c>
      <c r="AT30" s="89" t="s">
        <v>130</v>
      </c>
    </row>
    <row r="31" spans="1:46" ht="15">
      <c r="A31" s="73"/>
      <c r="B31" s="74"/>
      <c r="C31" s="253"/>
      <c r="D31" s="318"/>
      <c r="E31" s="207"/>
      <c r="F31" s="276"/>
      <c r="G31" s="276"/>
      <c r="H31" s="208"/>
      <c r="I31" s="260"/>
      <c r="J31" s="205"/>
      <c r="K31" s="205"/>
      <c r="L31" s="205"/>
      <c r="M31" s="205"/>
      <c r="N31" s="261"/>
      <c r="O31" s="204"/>
      <c r="P31" s="205"/>
      <c r="Q31" s="205"/>
      <c r="R31" s="205"/>
      <c r="S31" s="205"/>
      <c r="T31" s="206"/>
      <c r="U31" s="207"/>
      <c r="V31" s="276"/>
      <c r="W31" s="276"/>
      <c r="X31" s="276"/>
      <c r="Y31" s="276"/>
      <c r="Z31" s="208"/>
      <c r="AA31" s="255"/>
      <c r="AB31" s="100"/>
      <c r="AC31" s="71"/>
      <c r="AQ31" s="88">
        <v>30</v>
      </c>
      <c r="AR31" s="89" t="s">
        <v>132</v>
      </c>
      <c r="AS31" s="92" t="s">
        <v>133</v>
      </c>
      <c r="AT31" s="89" t="s">
        <v>132</v>
      </c>
    </row>
    <row r="32" spans="1:46" ht="15">
      <c r="A32" s="73"/>
      <c r="B32" s="74"/>
      <c r="C32" s="253"/>
      <c r="D32" s="318"/>
      <c r="E32" s="212" t="str">
        <f>ROUND(T19,2)&amp;" kN/m2"</f>
        <v>1.67 kN/m2</v>
      </c>
      <c r="F32" s="277"/>
      <c r="G32" s="277"/>
      <c r="H32" s="213"/>
      <c r="I32" s="262" t="str">
        <f>ROUND(V19,2)&amp;" kN/m2"</f>
        <v>1.43 kN/m2</v>
      </c>
      <c r="J32" s="210"/>
      <c r="K32" s="210"/>
      <c r="L32" s="210"/>
      <c r="M32" s="210"/>
      <c r="N32" s="263"/>
      <c r="O32" s="209" t="str">
        <f>IF(M13&gt;2*M12,ROUND(X19,2)&amp;" kN/m2","-")</f>
        <v>1.11 kN/m2</v>
      </c>
      <c r="P32" s="210"/>
      <c r="Q32" s="210"/>
      <c r="R32" s="210"/>
      <c r="S32" s="210"/>
      <c r="T32" s="211"/>
      <c r="U32" s="212" t="str">
        <f>IF(M13&gt;4*M12,ROUND(Z19,2)&amp;" kN/m2","-")</f>
        <v>0.95 kN/m2</v>
      </c>
      <c r="V32" s="277"/>
      <c r="W32" s="277"/>
      <c r="X32" s="277"/>
      <c r="Y32" s="277"/>
      <c r="Z32" s="213"/>
      <c r="AA32" s="255"/>
      <c r="AB32" s="100"/>
      <c r="AC32" s="71"/>
      <c r="AE32" s="171" t="s">
        <v>80</v>
      </c>
      <c r="AF32" s="171"/>
      <c r="AG32" s="171"/>
      <c r="AH32" s="171"/>
      <c r="AI32" s="171"/>
      <c r="AJ32" s="171"/>
      <c r="AQ32" s="88">
        <v>31</v>
      </c>
      <c r="AR32" s="89" t="s">
        <v>134</v>
      </c>
      <c r="AS32" s="92" t="s">
        <v>135</v>
      </c>
      <c r="AT32" s="89" t="s">
        <v>134</v>
      </c>
    </row>
    <row r="33" spans="1:46" ht="15.75">
      <c r="A33" s="73"/>
      <c r="B33" s="74"/>
      <c r="C33" s="253"/>
      <c r="D33" s="318"/>
      <c r="E33" s="212"/>
      <c r="F33" s="277"/>
      <c r="G33" s="277"/>
      <c r="H33" s="213"/>
      <c r="I33" s="262"/>
      <c r="J33" s="210"/>
      <c r="K33" s="210"/>
      <c r="L33" s="210"/>
      <c r="M33" s="210"/>
      <c r="N33" s="263"/>
      <c r="O33" s="209"/>
      <c r="P33" s="210"/>
      <c r="Q33" s="210"/>
      <c r="R33" s="210"/>
      <c r="S33" s="210"/>
      <c r="T33" s="211"/>
      <c r="U33" s="212"/>
      <c r="V33" s="277"/>
      <c r="W33" s="277"/>
      <c r="X33" s="277"/>
      <c r="Y33" s="277"/>
      <c r="Z33" s="213"/>
      <c r="AA33" s="255"/>
      <c r="AB33" s="100"/>
      <c r="AC33" s="71"/>
      <c r="AE33" s="40" t="s">
        <v>48</v>
      </c>
      <c r="AF33" s="53" t="s">
        <v>81</v>
      </c>
      <c r="AG33" s="32" t="s">
        <v>30</v>
      </c>
      <c r="AH33" s="32" t="s">
        <v>6</v>
      </c>
      <c r="AI33" s="32" t="s">
        <v>2</v>
      </c>
      <c r="AJ33" s="32" t="s">
        <v>10</v>
      </c>
      <c r="AQ33" s="88">
        <v>32</v>
      </c>
      <c r="AR33" s="89" t="s">
        <v>136</v>
      </c>
      <c r="AS33" s="92" t="s">
        <v>137</v>
      </c>
      <c r="AT33" s="89" t="s">
        <v>162</v>
      </c>
    </row>
    <row r="34" spans="1:46" ht="15">
      <c r="A34" s="73"/>
      <c r="B34" s="74"/>
      <c r="C34" s="253"/>
      <c r="D34" s="318"/>
      <c r="E34" s="212"/>
      <c r="F34" s="277"/>
      <c r="G34" s="277"/>
      <c r="H34" s="213"/>
      <c r="I34" s="262"/>
      <c r="J34" s="210"/>
      <c r="K34" s="210"/>
      <c r="L34" s="210"/>
      <c r="M34" s="210"/>
      <c r="N34" s="263"/>
      <c r="O34" s="209"/>
      <c r="P34" s="210"/>
      <c r="Q34" s="210"/>
      <c r="R34" s="210"/>
      <c r="S34" s="210"/>
      <c r="T34" s="211"/>
      <c r="U34" s="212"/>
      <c r="V34" s="277"/>
      <c r="W34" s="277"/>
      <c r="X34" s="277"/>
      <c r="Y34" s="277"/>
      <c r="Z34" s="213"/>
      <c r="AA34" s="255"/>
      <c r="AB34" s="100"/>
      <c r="AC34" s="71"/>
      <c r="AE34" s="170">
        <v>1</v>
      </c>
      <c r="AF34" s="34">
        <v>0</v>
      </c>
      <c r="AG34" s="67">
        <f>AG19</f>
        <v>3.2695653438568115</v>
      </c>
      <c r="AH34" s="67">
        <f>AH19</f>
        <v>2.0217390060424805</v>
      </c>
      <c r="AI34" s="67">
        <f>AI19</f>
        <v>1.6217391490936279</v>
      </c>
      <c r="AJ34" s="67">
        <f>AJ19</f>
        <v>1.2000000476837158</v>
      </c>
      <c r="AQ34" s="88">
        <v>33</v>
      </c>
      <c r="AR34" s="89" t="s">
        <v>138</v>
      </c>
      <c r="AS34" s="92" t="s">
        <v>139</v>
      </c>
      <c r="AT34" s="89" t="s">
        <v>163</v>
      </c>
    </row>
    <row r="35" spans="1:46" ht="15">
      <c r="A35" s="73"/>
      <c r="B35" s="74"/>
      <c r="C35" s="253"/>
      <c r="D35" s="318"/>
      <c r="E35" s="212"/>
      <c r="F35" s="277"/>
      <c r="G35" s="277"/>
      <c r="H35" s="213"/>
      <c r="I35" s="262"/>
      <c r="J35" s="210"/>
      <c r="K35" s="210"/>
      <c r="L35" s="210"/>
      <c r="M35" s="210"/>
      <c r="N35" s="263"/>
      <c r="O35" s="209"/>
      <c r="P35" s="210"/>
      <c r="Q35" s="210"/>
      <c r="R35" s="210"/>
      <c r="S35" s="210"/>
      <c r="T35" s="211"/>
      <c r="U35" s="212"/>
      <c r="V35" s="277"/>
      <c r="W35" s="277"/>
      <c r="X35" s="277"/>
      <c r="Y35" s="277"/>
      <c r="Z35" s="213"/>
      <c r="AA35" s="255"/>
      <c r="AB35" s="100"/>
      <c r="AC35" s="71"/>
      <c r="AE35" s="170"/>
      <c r="AF35" s="67">
        <f>M12</f>
        <v>2.2999999999999998</v>
      </c>
      <c r="AG35" s="34">
        <v>2.1</v>
      </c>
      <c r="AH35" s="34">
        <v>1.8</v>
      </c>
      <c r="AI35" s="34">
        <v>1.4</v>
      </c>
      <c r="AJ35" s="34">
        <v>1.2</v>
      </c>
      <c r="AQ35" s="88">
        <v>34</v>
      </c>
      <c r="AR35" s="89" t="s">
        <v>140</v>
      </c>
      <c r="AS35" s="92" t="s">
        <v>141</v>
      </c>
      <c r="AT35" s="89" t="s">
        <v>140</v>
      </c>
    </row>
    <row r="36" spans="1:46" ht="15">
      <c r="A36" s="73"/>
      <c r="B36" s="74"/>
      <c r="C36" s="253"/>
      <c r="D36" s="318"/>
      <c r="E36" s="214"/>
      <c r="F36" s="215"/>
      <c r="G36" s="215"/>
      <c r="H36" s="216"/>
      <c r="I36" s="264"/>
      <c r="J36" s="265"/>
      <c r="K36" s="265"/>
      <c r="L36" s="265"/>
      <c r="M36" s="265"/>
      <c r="N36" s="266"/>
      <c r="O36" s="278"/>
      <c r="P36" s="265"/>
      <c r="Q36" s="265"/>
      <c r="R36" s="265"/>
      <c r="S36" s="265"/>
      <c r="T36" s="279"/>
      <c r="U36" s="214"/>
      <c r="V36" s="215"/>
      <c r="W36" s="215"/>
      <c r="X36" s="215"/>
      <c r="Y36" s="215"/>
      <c r="Z36" s="216"/>
      <c r="AA36" s="255"/>
      <c r="AB36" s="100"/>
      <c r="AC36" s="71"/>
      <c r="AE36" s="170"/>
      <c r="AF36" s="84">
        <f>IF(M17="Yes",M18,0)</f>
        <v>5</v>
      </c>
      <c r="AG36" s="85">
        <f>noisuy1chieu($AF$36,$AF$34:$AF$35,AG34:AG35)</f>
        <v>2.1</v>
      </c>
      <c r="AH36" s="85">
        <f>noisuy1chieu($AF$36,$AF$34:$AF$35,AH34:AH35)</f>
        <v>1.8</v>
      </c>
      <c r="AI36" s="85">
        <f>noisuy1chieu($AF$36,$AF$34:$AF$35,AI34:AI35)</f>
        <v>1.4</v>
      </c>
      <c r="AJ36" s="85">
        <f>noisuy1chieu($AF$36,$AF$34:$AF$35,AJ34:AJ35)</f>
        <v>1.2</v>
      </c>
      <c r="AQ36" s="88">
        <v>35</v>
      </c>
      <c r="AR36" s="89" t="s">
        <v>130</v>
      </c>
      <c r="AS36" s="92" t="s">
        <v>142</v>
      </c>
      <c r="AT36" s="89" t="s">
        <v>130</v>
      </c>
    </row>
    <row r="37" spans="1:46" ht="15">
      <c r="A37" s="73"/>
      <c r="B37" s="74"/>
      <c r="C37" s="253"/>
      <c r="D37" s="312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  <c r="V37" s="319"/>
      <c r="W37" s="319"/>
      <c r="X37" s="319"/>
      <c r="Y37" s="319"/>
      <c r="Z37" s="319"/>
      <c r="AA37" s="254"/>
      <c r="AB37" s="100"/>
      <c r="AC37" s="71"/>
      <c r="AQ37" s="88">
        <v>36</v>
      </c>
      <c r="AR37" s="89" t="s">
        <v>132</v>
      </c>
      <c r="AS37" s="92" t="s">
        <v>143</v>
      </c>
      <c r="AT37" s="89" t="s">
        <v>132</v>
      </c>
    </row>
    <row r="38" spans="1:46" ht="15">
      <c r="A38" s="73"/>
      <c r="B38" s="74"/>
      <c r="C38" s="253"/>
      <c r="D38" s="312"/>
      <c r="E38" s="312"/>
      <c r="F38" s="312"/>
      <c r="G38" s="312"/>
      <c r="H38" s="312"/>
      <c r="I38" s="312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254"/>
      <c r="AB38" s="100"/>
      <c r="AC38" s="71"/>
      <c r="AQ38" s="88">
        <v>37</v>
      </c>
      <c r="AR38" s="113" t="s">
        <v>144</v>
      </c>
      <c r="AS38" s="89" t="s">
        <v>145</v>
      </c>
      <c r="AT38" s="89" t="s">
        <v>144</v>
      </c>
    </row>
    <row r="39" spans="1:46" ht="15">
      <c r="A39" s="73"/>
      <c r="B39" s="74"/>
      <c r="C39" s="253"/>
      <c r="D39" s="312"/>
      <c r="E39" s="312"/>
      <c r="F39" s="312"/>
      <c r="G39" s="312"/>
      <c r="H39" s="312"/>
      <c r="I39" s="312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254"/>
      <c r="AB39" s="100"/>
      <c r="AC39" s="71"/>
      <c r="AQ39" s="88">
        <v>38</v>
      </c>
      <c r="AR39" s="114" t="s">
        <v>153</v>
      </c>
      <c r="AS39" s="115" t="s">
        <v>155</v>
      </c>
      <c r="AT39" s="114" t="s">
        <v>157</v>
      </c>
    </row>
    <row r="40" spans="1:46" ht="15">
      <c r="A40" s="73"/>
      <c r="B40" s="74"/>
      <c r="C40" s="253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254"/>
      <c r="AB40" s="100"/>
      <c r="AC40" s="71"/>
      <c r="AQ40" s="88"/>
      <c r="AR40" s="114"/>
      <c r="AS40" s="115"/>
      <c r="AT40" s="114"/>
    </row>
    <row r="41" spans="1:46" ht="15">
      <c r="A41" s="73"/>
      <c r="B41" s="74"/>
      <c r="C41" s="253"/>
      <c r="D41" s="312"/>
      <c r="E41" s="312"/>
      <c r="F41" s="312"/>
      <c r="G41" s="312"/>
      <c r="H41" s="312"/>
      <c r="I41" s="312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254"/>
      <c r="AB41" s="100"/>
      <c r="AC41" s="71"/>
      <c r="AQ41" s="88"/>
      <c r="AR41" s="114"/>
      <c r="AS41" s="115"/>
      <c r="AT41" s="114"/>
    </row>
    <row r="42" spans="1:46" ht="15">
      <c r="A42" s="73"/>
      <c r="B42" s="74"/>
      <c r="C42" s="253"/>
      <c r="D42" s="312"/>
      <c r="E42" s="312"/>
      <c r="F42" s="312"/>
      <c r="G42" s="312"/>
      <c r="H42" s="312"/>
      <c r="I42" s="312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254"/>
      <c r="AB42" s="100"/>
      <c r="AC42" s="71"/>
      <c r="AQ42" s="88"/>
      <c r="AR42" s="114"/>
      <c r="AS42" s="115"/>
      <c r="AT42" s="114"/>
    </row>
    <row r="43" spans="1:46" ht="15">
      <c r="A43" s="73"/>
      <c r="B43" s="74"/>
      <c r="C43" s="253"/>
      <c r="D43" s="312"/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254"/>
      <c r="AB43" s="100"/>
      <c r="AC43" s="71"/>
      <c r="AQ43" s="88"/>
      <c r="AR43" s="114"/>
      <c r="AS43" s="115"/>
      <c r="AT43" s="114"/>
    </row>
    <row r="44" spans="1:46" ht="15">
      <c r="A44" s="73"/>
      <c r="B44" s="74"/>
      <c r="C44" s="253"/>
      <c r="D44" s="312"/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254"/>
      <c r="AB44" s="100"/>
      <c r="AC44" s="71"/>
      <c r="AQ44" s="88"/>
      <c r="AR44" s="114"/>
      <c r="AS44" s="115"/>
      <c r="AT44" s="114"/>
    </row>
    <row r="45" spans="1:46" ht="15">
      <c r="A45" s="73"/>
      <c r="B45" s="74"/>
      <c r="C45" s="253"/>
      <c r="D45" s="312"/>
      <c r="E45" s="312"/>
      <c r="F45" s="312"/>
      <c r="G45" s="312"/>
      <c r="H45" s="312"/>
      <c r="I45" s="312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254"/>
      <c r="AB45" s="100"/>
      <c r="AC45" s="71"/>
      <c r="AQ45" s="88"/>
      <c r="AR45" s="114"/>
      <c r="AS45" s="115"/>
      <c r="AT45" s="114"/>
    </row>
    <row r="46" spans="1:46" ht="15">
      <c r="A46" s="73"/>
      <c r="B46" s="74"/>
      <c r="C46" s="253"/>
      <c r="D46" s="312"/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254"/>
      <c r="AB46" s="100"/>
      <c r="AC46" s="71"/>
      <c r="AQ46" s="88"/>
      <c r="AR46" s="114"/>
      <c r="AS46" s="115"/>
      <c r="AT46" s="114"/>
    </row>
    <row r="47" spans="1:46" ht="15">
      <c r="A47" s="73"/>
      <c r="B47" s="74"/>
      <c r="C47" s="253"/>
      <c r="D47" s="312"/>
      <c r="E47" s="312"/>
      <c r="F47" s="312"/>
      <c r="G47" s="312"/>
      <c r="H47" s="312"/>
      <c r="I47" s="312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254"/>
      <c r="AB47" s="100"/>
      <c r="AC47" s="71"/>
      <c r="AQ47" s="88"/>
      <c r="AR47" s="114"/>
      <c r="AS47" s="115"/>
      <c r="AT47" s="114"/>
    </row>
    <row r="48" spans="1:46" ht="15">
      <c r="A48" s="73"/>
      <c r="B48" s="74"/>
      <c r="C48" s="253"/>
      <c r="D48" s="312"/>
      <c r="E48" s="312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254"/>
      <c r="AB48" s="100"/>
      <c r="AC48" s="71"/>
      <c r="AQ48" s="88"/>
      <c r="AR48" s="114"/>
      <c r="AS48" s="115"/>
      <c r="AT48" s="114"/>
    </row>
    <row r="49" spans="1:46" ht="15">
      <c r="A49" s="73"/>
      <c r="B49" s="74"/>
      <c r="C49" s="253"/>
      <c r="D49" s="312"/>
      <c r="E49" s="312"/>
      <c r="F49" s="312"/>
      <c r="G49" s="312"/>
      <c r="H49" s="312"/>
      <c r="I49" s="312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254"/>
      <c r="AB49" s="100"/>
      <c r="AC49" s="71"/>
      <c r="AQ49" s="88"/>
      <c r="AR49" s="114"/>
      <c r="AS49" s="115"/>
      <c r="AT49" s="114"/>
    </row>
    <row r="50" spans="1:46" ht="15">
      <c r="A50" s="73"/>
      <c r="B50" s="74"/>
      <c r="C50" s="256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8"/>
      <c r="AB50" s="100"/>
      <c r="AC50" s="71"/>
      <c r="AQ50" s="88"/>
      <c r="AR50" s="114"/>
      <c r="AS50" s="115"/>
      <c r="AT50" s="114"/>
    </row>
    <row r="51" spans="1:46" ht="15">
      <c r="A51" s="73"/>
      <c r="B51" s="101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3"/>
      <c r="AB51" s="104"/>
      <c r="AC51" s="71"/>
      <c r="AQ51" s="88">
        <v>39</v>
      </c>
      <c r="AR51" s="114" t="s">
        <v>154</v>
      </c>
      <c r="AS51" s="115" t="s">
        <v>156</v>
      </c>
      <c r="AT51" s="114" t="s">
        <v>158</v>
      </c>
    </row>
    <row r="52" spans="1:46" ht="15">
      <c r="A52" s="73"/>
      <c r="B52" s="105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106"/>
      <c r="AB52" s="107"/>
      <c r="AC52" s="71"/>
      <c r="AQ52" s="88">
        <v>40</v>
      </c>
      <c r="AR52" s="116" t="s">
        <v>121</v>
      </c>
      <c r="AS52" s="89" t="s">
        <v>122</v>
      </c>
      <c r="AT52" s="116" t="s">
        <v>159</v>
      </c>
    </row>
    <row r="53" spans="1:46" ht="15">
      <c r="A53" s="73"/>
      <c r="B53" s="105"/>
      <c r="C53" s="220" t="s">
        <v>164</v>
      </c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107"/>
      <c r="AC53" s="71"/>
      <c r="AQ53" s="88">
        <v>41</v>
      </c>
      <c r="AR53" s="91" t="s">
        <v>63</v>
      </c>
      <c r="AS53" s="93" t="s">
        <v>178</v>
      </c>
      <c r="AT53" s="91" t="s">
        <v>179</v>
      </c>
    </row>
    <row r="54" spans="1:46" ht="15">
      <c r="A54" s="73"/>
      <c r="B54" s="105"/>
      <c r="C54" s="220"/>
      <c r="D54" s="220"/>
      <c r="E54" s="220"/>
      <c r="F54" s="220"/>
      <c r="G54" s="220"/>
      <c r="H54" s="220"/>
      <c r="I54" s="220"/>
      <c r="J54" s="220"/>
      <c r="K54" s="220"/>
      <c r="L54" s="220"/>
      <c r="M54" s="220"/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107"/>
      <c r="AC54" s="71"/>
      <c r="AQ54" s="88">
        <v>42</v>
      </c>
      <c r="AR54" s="89" t="s">
        <v>184</v>
      </c>
      <c r="AS54" s="92" t="s">
        <v>183</v>
      </c>
      <c r="AT54" s="89" t="s">
        <v>185</v>
      </c>
    </row>
    <row r="55" spans="1:46" ht="15">
      <c r="A55" s="73"/>
      <c r="B55" s="105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106"/>
      <c r="AB55" s="107"/>
      <c r="AC55" s="71"/>
      <c r="AQ55" s="88">
        <v>43</v>
      </c>
      <c r="AR55" s="89" t="s">
        <v>187</v>
      </c>
      <c r="AS55" s="92" t="s">
        <v>188</v>
      </c>
      <c r="AT55" s="89" t="s">
        <v>189</v>
      </c>
    </row>
    <row r="56" spans="1:46" ht="15">
      <c r="A56" s="73"/>
      <c r="B56" s="105"/>
      <c r="C56" s="108" t="s">
        <v>165</v>
      </c>
      <c r="D56" s="99"/>
      <c r="E56" s="99"/>
      <c r="F56" s="99"/>
      <c r="G56" s="223">
        <v>3</v>
      </c>
      <c r="H56" s="223"/>
      <c r="I56" s="99" t="s">
        <v>12</v>
      </c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106"/>
      <c r="AB56" s="107"/>
      <c r="AC56" s="71"/>
      <c r="AQ56" s="88">
        <f t="shared" ref="AQ56:AQ62" si="0">AQ55+1</f>
        <v>44</v>
      </c>
      <c r="AR56" s="89" t="s">
        <v>191</v>
      </c>
      <c r="AS56" s="92" t="s">
        <v>193</v>
      </c>
      <c r="AT56" s="89" t="s">
        <v>192</v>
      </c>
    </row>
    <row r="57" spans="1:46" ht="15">
      <c r="A57" s="73"/>
      <c r="B57" s="105"/>
      <c r="C57" s="108"/>
      <c r="D57" s="99"/>
      <c r="E57" s="99"/>
      <c r="F57" s="99"/>
      <c r="G57" s="109"/>
      <c r="H57" s="10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106"/>
      <c r="AB57" s="107"/>
      <c r="AC57" s="71"/>
      <c r="AQ57" s="88">
        <f t="shared" si="0"/>
        <v>45</v>
      </c>
      <c r="AR57" s="89" t="s">
        <v>64</v>
      </c>
      <c r="AS57" s="92" t="s">
        <v>195</v>
      </c>
      <c r="AT57" s="89" t="s">
        <v>196</v>
      </c>
    </row>
    <row r="58" spans="1:46" ht="15" customHeight="1">
      <c r="A58" s="73"/>
      <c r="B58" s="105"/>
      <c r="C58" s="225" t="s">
        <v>170</v>
      </c>
      <c r="D58" s="225"/>
      <c r="E58" s="225"/>
      <c r="F58" s="228" t="s">
        <v>176</v>
      </c>
      <c r="G58" s="229"/>
      <c r="H58" s="230"/>
      <c r="I58" s="225" t="s">
        <v>171</v>
      </c>
      <c r="J58" s="225"/>
      <c r="K58" s="225"/>
      <c r="L58" s="234" t="s">
        <v>172</v>
      </c>
      <c r="M58" s="235"/>
      <c r="N58" s="236"/>
      <c r="O58" s="234" t="s">
        <v>173</v>
      </c>
      <c r="P58" s="235"/>
      <c r="Q58" s="236"/>
      <c r="R58" s="234" t="s">
        <v>174</v>
      </c>
      <c r="S58" s="235"/>
      <c r="T58" s="236"/>
      <c r="U58" s="228" t="s">
        <v>175</v>
      </c>
      <c r="V58" s="229"/>
      <c r="W58" s="230"/>
      <c r="X58" s="99"/>
      <c r="Y58" s="99"/>
      <c r="Z58" s="99"/>
      <c r="AA58" s="106"/>
      <c r="AB58" s="107"/>
      <c r="AC58" s="71"/>
      <c r="AQ58" s="88">
        <f t="shared" si="0"/>
        <v>46</v>
      </c>
      <c r="AR58" s="89" t="s">
        <v>65</v>
      </c>
      <c r="AS58" s="92" t="s">
        <v>197</v>
      </c>
      <c r="AT58" s="89" t="s">
        <v>198</v>
      </c>
    </row>
    <row r="59" spans="1:46" ht="15">
      <c r="A59" s="73"/>
      <c r="B59" s="105"/>
      <c r="C59" s="225"/>
      <c r="D59" s="225"/>
      <c r="E59" s="225"/>
      <c r="F59" s="231"/>
      <c r="G59" s="232"/>
      <c r="H59" s="233"/>
      <c r="I59" s="226">
        <f>T19</f>
        <v>1.6695223383202877</v>
      </c>
      <c r="J59" s="225"/>
      <c r="K59" s="225"/>
      <c r="L59" s="237">
        <f>V19</f>
        <v>1.4310191471316751</v>
      </c>
      <c r="M59" s="238"/>
      <c r="N59" s="239"/>
      <c r="O59" s="237">
        <f>X19</f>
        <v>1.113014892213525</v>
      </c>
      <c r="P59" s="238"/>
      <c r="Q59" s="239"/>
      <c r="R59" s="237">
        <f>Z19</f>
        <v>0.95401276475444996</v>
      </c>
      <c r="S59" s="238"/>
      <c r="T59" s="239"/>
      <c r="U59" s="231"/>
      <c r="V59" s="232"/>
      <c r="W59" s="233"/>
      <c r="X59" s="99"/>
      <c r="Y59" s="99"/>
      <c r="Z59" s="99"/>
      <c r="AA59" s="106"/>
      <c r="AB59" s="107"/>
      <c r="AC59" s="71"/>
      <c r="AQ59" s="88">
        <f t="shared" si="0"/>
        <v>47</v>
      </c>
      <c r="AR59" s="89" t="s">
        <v>200</v>
      </c>
      <c r="AS59" s="92" t="s">
        <v>202</v>
      </c>
      <c r="AT59" s="89" t="s">
        <v>201</v>
      </c>
    </row>
    <row r="60" spans="1:46" ht="15">
      <c r="A60" s="73"/>
      <c r="B60" s="105"/>
      <c r="C60" s="224" t="s">
        <v>166</v>
      </c>
      <c r="D60" s="224"/>
      <c r="E60" s="224"/>
      <c r="F60" s="227">
        <f>G56/2</f>
        <v>1.5</v>
      </c>
      <c r="G60" s="227"/>
      <c r="H60" s="227"/>
      <c r="I60" s="200">
        <f>0.3*M12*I59</f>
        <v>1.1519704134409985</v>
      </c>
      <c r="J60" s="200"/>
      <c r="K60" s="200"/>
      <c r="L60" s="201">
        <f>(F60-0.3*M12)*L59</f>
        <v>1.159125509176657</v>
      </c>
      <c r="M60" s="202"/>
      <c r="N60" s="203"/>
      <c r="O60" s="201"/>
      <c r="P60" s="202"/>
      <c r="Q60" s="203"/>
      <c r="R60" s="201"/>
      <c r="S60" s="202"/>
      <c r="T60" s="203"/>
      <c r="U60" s="217">
        <f>SUM(I60:T60)</f>
        <v>2.3110959226176555</v>
      </c>
      <c r="V60" s="218"/>
      <c r="W60" s="219"/>
      <c r="X60" s="99"/>
      <c r="Y60" s="99"/>
      <c r="Z60" s="99"/>
      <c r="AA60" s="106"/>
      <c r="AB60" s="107"/>
      <c r="AC60" s="71"/>
      <c r="AQ60" s="88">
        <f t="shared" si="0"/>
        <v>48</v>
      </c>
      <c r="AR60" s="89" t="s">
        <v>203</v>
      </c>
      <c r="AS60" s="92" t="s">
        <v>204</v>
      </c>
      <c r="AT60" s="89" t="s">
        <v>205</v>
      </c>
    </row>
    <row r="61" spans="1:46" ht="15">
      <c r="A61" s="73"/>
      <c r="B61" s="105"/>
      <c r="C61" s="224" t="s">
        <v>167</v>
      </c>
      <c r="D61" s="224"/>
      <c r="E61" s="224"/>
      <c r="F61" s="227">
        <f>G56</f>
        <v>3</v>
      </c>
      <c r="G61" s="227"/>
      <c r="H61" s="227"/>
      <c r="I61" s="200"/>
      <c r="J61" s="200"/>
      <c r="K61" s="200"/>
      <c r="L61" s="201">
        <f>IF(2*M12&gt;(F60+F61),F61*L59,0)</f>
        <v>4.2930574413950255</v>
      </c>
      <c r="M61" s="202"/>
      <c r="N61" s="203"/>
      <c r="O61" s="201">
        <f>IF(L61=0,F61*O59,0)</f>
        <v>0</v>
      </c>
      <c r="P61" s="202"/>
      <c r="Q61" s="203"/>
      <c r="R61" s="201"/>
      <c r="S61" s="202"/>
      <c r="T61" s="203"/>
      <c r="U61" s="217">
        <f>SUM(I61:T61)</f>
        <v>4.2930574413950255</v>
      </c>
      <c r="V61" s="218"/>
      <c r="W61" s="219"/>
      <c r="X61" s="99"/>
      <c r="Y61" s="99"/>
      <c r="Z61" s="99"/>
      <c r="AA61" s="106"/>
      <c r="AB61" s="107"/>
      <c r="AC61" s="71"/>
      <c r="AQ61" s="88">
        <f t="shared" si="0"/>
        <v>49</v>
      </c>
      <c r="AR61" s="135" t="s">
        <v>206</v>
      </c>
      <c r="AS61" s="135" t="s">
        <v>207</v>
      </c>
      <c r="AT61" s="135" t="s">
        <v>208</v>
      </c>
    </row>
    <row r="62" spans="1:46" ht="15">
      <c r="A62" s="73"/>
      <c r="B62" s="105"/>
      <c r="C62" s="224" t="s">
        <v>168</v>
      </c>
      <c r="D62" s="224"/>
      <c r="E62" s="224"/>
      <c r="F62" s="227">
        <f>G56</f>
        <v>3</v>
      </c>
      <c r="G62" s="227"/>
      <c r="H62" s="227"/>
      <c r="I62" s="200"/>
      <c r="J62" s="200"/>
      <c r="K62" s="200"/>
      <c r="L62" s="201"/>
      <c r="M62" s="202"/>
      <c r="N62" s="203"/>
      <c r="O62" s="201">
        <f>IF(4*M12&gt;(F60+F61+F62),F62*O59,0)</f>
        <v>3.339044676640575</v>
      </c>
      <c r="P62" s="202"/>
      <c r="Q62" s="203"/>
      <c r="R62" s="201">
        <f>IF(O62=0,F62*R59,0)</f>
        <v>0</v>
      </c>
      <c r="S62" s="202"/>
      <c r="T62" s="203"/>
      <c r="U62" s="217">
        <f>SUM(I62:T62)</f>
        <v>3.339044676640575</v>
      </c>
      <c r="V62" s="218"/>
      <c r="W62" s="219"/>
      <c r="X62" s="99"/>
      <c r="Y62" s="99"/>
      <c r="Z62" s="99"/>
      <c r="AA62" s="106"/>
      <c r="AB62" s="107"/>
      <c r="AC62" s="71"/>
      <c r="AQ62" s="88">
        <f t="shared" si="0"/>
        <v>50</v>
      </c>
      <c r="AR62" s="115" t="s">
        <v>211</v>
      </c>
      <c r="AS62" s="115" t="s">
        <v>212</v>
      </c>
      <c r="AT62" s="115" t="s">
        <v>211</v>
      </c>
    </row>
    <row r="63" spans="1:46" ht="15">
      <c r="A63" s="73"/>
      <c r="B63" s="105"/>
      <c r="C63" s="224" t="s">
        <v>169</v>
      </c>
      <c r="D63" s="224"/>
      <c r="E63" s="224"/>
      <c r="F63" s="227">
        <f>G56</f>
        <v>3</v>
      </c>
      <c r="G63" s="227"/>
      <c r="H63" s="227"/>
      <c r="I63" s="200"/>
      <c r="J63" s="200"/>
      <c r="K63" s="200"/>
      <c r="L63" s="201"/>
      <c r="M63" s="202"/>
      <c r="N63" s="203"/>
      <c r="O63" s="201"/>
      <c r="P63" s="202"/>
      <c r="Q63" s="203"/>
      <c r="R63" s="201">
        <f>F63*R59</f>
        <v>2.8620382942633498</v>
      </c>
      <c r="S63" s="202"/>
      <c r="T63" s="203"/>
      <c r="U63" s="217">
        <f>SUM(I63:T63)</f>
        <v>2.8620382942633498</v>
      </c>
      <c r="V63" s="218"/>
      <c r="W63" s="219"/>
      <c r="X63" s="99"/>
      <c r="Y63" s="99"/>
      <c r="Z63" s="99"/>
      <c r="AA63" s="106"/>
      <c r="AB63" s="107"/>
      <c r="AC63" s="71"/>
    </row>
    <row r="64" spans="1:46" ht="15">
      <c r="A64" s="73"/>
      <c r="B64" s="105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106"/>
      <c r="AB64" s="107"/>
      <c r="AC64" s="71"/>
    </row>
    <row r="65" spans="1:29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</row>
    <row r="66" spans="1:29">
      <c r="C66" s="221" t="s">
        <v>177</v>
      </c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</row>
    <row r="67" spans="1:29"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2"/>
      <c r="P67" s="222"/>
      <c r="Q67" s="222"/>
      <c r="R67" s="222"/>
      <c r="S67" s="222"/>
      <c r="T67" s="222"/>
      <c r="U67" s="222"/>
      <c r="V67" s="222"/>
      <c r="W67" s="222"/>
      <c r="X67" s="222"/>
      <c r="Y67" s="222"/>
      <c r="Z67" s="222"/>
      <c r="AA67" s="222"/>
    </row>
    <row r="68" spans="1:29"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</row>
    <row r="69" spans="1:29">
      <c r="C69" s="222"/>
      <c r="D69" s="222"/>
      <c r="E69" s="222"/>
      <c r="F69" s="222"/>
      <c r="G69" s="222"/>
      <c r="H69" s="222"/>
      <c r="I69" s="222"/>
      <c r="J69" s="222"/>
      <c r="K69" s="222"/>
      <c r="L69" s="222"/>
      <c r="M69" s="222"/>
      <c r="N69" s="222"/>
      <c r="O69" s="222"/>
      <c r="P69" s="222"/>
      <c r="Q69" s="222"/>
      <c r="R69" s="222"/>
      <c r="S69" s="222"/>
      <c r="T69" s="222"/>
      <c r="U69" s="222"/>
      <c r="V69" s="222"/>
      <c r="W69" s="222"/>
      <c r="X69" s="222"/>
      <c r="Y69" s="222"/>
      <c r="Z69" s="222"/>
      <c r="AA69" s="222"/>
    </row>
    <row r="70" spans="1:29">
      <c r="C70" s="222"/>
      <c r="D70" s="222"/>
      <c r="E70" s="222"/>
      <c r="F70" s="222"/>
      <c r="G70" s="222"/>
      <c r="H70" s="222"/>
      <c r="I70" s="222"/>
      <c r="J70" s="222"/>
      <c r="K70" s="222"/>
      <c r="L70" s="222"/>
      <c r="M70" s="222"/>
      <c r="N70" s="222"/>
      <c r="O70" s="222"/>
      <c r="P70" s="222"/>
      <c r="Q70" s="222"/>
      <c r="R70" s="222"/>
      <c r="S70" s="222"/>
      <c r="T70" s="222"/>
      <c r="U70" s="222"/>
      <c r="V70" s="222"/>
      <c r="W70" s="222"/>
      <c r="X70" s="222"/>
      <c r="Y70" s="222"/>
      <c r="Z70" s="222"/>
      <c r="AA70" s="222"/>
    </row>
    <row r="71" spans="1:29"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</row>
    <row r="72" spans="1:29">
      <c r="C72" s="222"/>
      <c r="D72" s="222"/>
      <c r="E72" s="222"/>
      <c r="F72" s="222"/>
      <c r="G72" s="222"/>
      <c r="H72" s="222"/>
      <c r="I72" s="222"/>
      <c r="J72" s="222"/>
      <c r="K72" s="222"/>
      <c r="L72" s="222"/>
      <c r="M72" s="222"/>
      <c r="N72" s="222"/>
      <c r="O72" s="222"/>
      <c r="P72" s="222"/>
      <c r="Q72" s="222"/>
      <c r="R72" s="222"/>
      <c r="S72" s="222"/>
      <c r="T72" s="222"/>
      <c r="U72" s="222"/>
      <c r="V72" s="222"/>
      <c r="W72" s="222"/>
      <c r="X72" s="222"/>
      <c r="Y72" s="222"/>
      <c r="Z72" s="222"/>
      <c r="AA72" s="222"/>
    </row>
    <row r="73" spans="1:29">
      <c r="C73" s="222"/>
      <c r="D73" s="222"/>
      <c r="E73" s="222"/>
      <c r="F73" s="222"/>
      <c r="G73" s="222"/>
      <c r="H73" s="222"/>
      <c r="I73" s="222"/>
      <c r="J73" s="222"/>
      <c r="K73" s="222"/>
      <c r="L73" s="222"/>
      <c r="M73" s="222"/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</row>
    <row r="74" spans="1:29">
      <c r="C74" s="222"/>
      <c r="D74" s="222"/>
      <c r="E74" s="222"/>
      <c r="F74" s="222"/>
      <c r="G74" s="222"/>
      <c r="H74" s="222"/>
      <c r="I74" s="222"/>
      <c r="J74" s="222"/>
      <c r="K74" s="222"/>
      <c r="L74" s="222"/>
      <c r="M74" s="222"/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</row>
    <row r="89" spans="43:46">
      <c r="AQ89" s="88" t="e">
        <f>#REF!+1</f>
        <v>#REF!</v>
      </c>
      <c r="AR89" s="91"/>
      <c r="AS89" s="93"/>
      <c r="AT89" s="91"/>
    </row>
    <row r="90" spans="43:46">
      <c r="AQ90" s="88" t="e">
        <f t="shared" ref="AQ90:AQ113" si="1">AQ89+1</f>
        <v>#REF!</v>
      </c>
      <c r="AR90" s="91"/>
      <c r="AS90" s="93"/>
      <c r="AT90" s="91"/>
    </row>
    <row r="91" spans="43:46">
      <c r="AQ91" s="88" t="e">
        <f t="shared" si="1"/>
        <v>#REF!</v>
      </c>
      <c r="AR91" s="91"/>
      <c r="AS91" s="93"/>
      <c r="AT91" s="91"/>
    </row>
    <row r="92" spans="43:46">
      <c r="AQ92" s="88" t="e">
        <f t="shared" si="1"/>
        <v>#REF!</v>
      </c>
      <c r="AR92" s="91"/>
      <c r="AS92" s="93"/>
      <c r="AT92" s="91"/>
    </row>
    <row r="93" spans="43:46">
      <c r="AQ93" s="88" t="e">
        <f t="shared" si="1"/>
        <v>#REF!</v>
      </c>
      <c r="AR93" s="91"/>
      <c r="AS93" s="93"/>
      <c r="AT93" s="91"/>
    </row>
    <row r="94" spans="43:46">
      <c r="AQ94" s="88" t="e">
        <f t="shared" si="1"/>
        <v>#REF!</v>
      </c>
      <c r="AR94" s="91"/>
      <c r="AS94" s="93"/>
      <c r="AT94" s="91"/>
    </row>
    <row r="95" spans="43:46">
      <c r="AQ95" s="88" t="e">
        <f t="shared" si="1"/>
        <v>#REF!</v>
      </c>
      <c r="AR95" s="91"/>
      <c r="AS95" s="93"/>
      <c r="AT95" s="91"/>
    </row>
    <row r="96" spans="43:46">
      <c r="AQ96" s="88" t="e">
        <f t="shared" si="1"/>
        <v>#REF!</v>
      </c>
      <c r="AR96" s="91"/>
      <c r="AS96" s="93"/>
      <c r="AT96" s="91"/>
    </row>
    <row r="97" spans="43:46">
      <c r="AQ97" s="88" t="e">
        <f t="shared" si="1"/>
        <v>#REF!</v>
      </c>
      <c r="AR97" s="91"/>
      <c r="AS97" s="93"/>
      <c r="AT97" s="91"/>
    </row>
    <row r="98" spans="43:46">
      <c r="AQ98" s="88" t="e">
        <f t="shared" si="1"/>
        <v>#REF!</v>
      </c>
      <c r="AR98" s="91"/>
      <c r="AS98" s="93"/>
      <c r="AT98" s="91"/>
    </row>
    <row r="99" spans="43:46">
      <c r="AQ99" s="88" t="e">
        <f t="shared" si="1"/>
        <v>#REF!</v>
      </c>
      <c r="AR99" s="91"/>
      <c r="AS99" s="93"/>
      <c r="AT99" s="91"/>
    </row>
    <row r="100" spans="43:46">
      <c r="AQ100" s="88" t="e">
        <f t="shared" si="1"/>
        <v>#REF!</v>
      </c>
      <c r="AR100" s="91"/>
      <c r="AS100" s="93"/>
      <c r="AT100" s="91"/>
    </row>
    <row r="101" spans="43:46">
      <c r="AQ101" s="88" t="e">
        <f t="shared" si="1"/>
        <v>#REF!</v>
      </c>
      <c r="AR101" s="91"/>
      <c r="AS101" s="93"/>
      <c r="AT101" s="91"/>
    </row>
    <row r="102" spans="43:46">
      <c r="AQ102" s="88" t="e">
        <f t="shared" si="1"/>
        <v>#REF!</v>
      </c>
      <c r="AR102" s="91"/>
      <c r="AS102" s="93"/>
      <c r="AT102" s="91"/>
    </row>
    <row r="103" spans="43:46">
      <c r="AQ103" s="88" t="e">
        <f t="shared" si="1"/>
        <v>#REF!</v>
      </c>
      <c r="AR103" s="91"/>
      <c r="AS103" s="93"/>
      <c r="AT103" s="91"/>
    </row>
    <row r="104" spans="43:46">
      <c r="AQ104" s="88" t="e">
        <f t="shared" si="1"/>
        <v>#REF!</v>
      </c>
      <c r="AR104" s="91"/>
      <c r="AS104" s="93"/>
      <c r="AT104" s="91"/>
    </row>
    <row r="105" spans="43:46">
      <c r="AQ105" s="88" t="e">
        <f t="shared" si="1"/>
        <v>#REF!</v>
      </c>
      <c r="AR105" s="91"/>
      <c r="AS105" s="93"/>
      <c r="AT105" s="91"/>
    </row>
    <row r="106" spans="43:46">
      <c r="AQ106" s="88" t="e">
        <f t="shared" si="1"/>
        <v>#REF!</v>
      </c>
      <c r="AR106" s="91"/>
      <c r="AS106" s="93"/>
      <c r="AT106" s="91"/>
    </row>
    <row r="107" spans="43:46">
      <c r="AQ107" s="88" t="e">
        <f t="shared" si="1"/>
        <v>#REF!</v>
      </c>
      <c r="AR107" s="91"/>
      <c r="AS107" s="93"/>
      <c r="AT107" s="91"/>
    </row>
    <row r="108" spans="43:46">
      <c r="AQ108" s="88" t="e">
        <f t="shared" si="1"/>
        <v>#REF!</v>
      </c>
      <c r="AR108" s="91"/>
      <c r="AS108" s="93"/>
      <c r="AT108" s="91"/>
    </row>
    <row r="109" spans="43:46">
      <c r="AQ109" s="88" t="e">
        <f t="shared" si="1"/>
        <v>#REF!</v>
      </c>
      <c r="AR109" s="91"/>
      <c r="AS109" s="93"/>
      <c r="AT109" s="91"/>
    </row>
    <row r="110" spans="43:46">
      <c r="AQ110" s="88" t="e">
        <f t="shared" si="1"/>
        <v>#REF!</v>
      </c>
      <c r="AR110" s="91"/>
      <c r="AS110" s="93"/>
      <c r="AT110" s="91"/>
    </row>
    <row r="111" spans="43:46">
      <c r="AQ111" s="88" t="e">
        <f t="shared" si="1"/>
        <v>#REF!</v>
      </c>
      <c r="AR111" s="91"/>
      <c r="AS111" s="93"/>
      <c r="AT111" s="91"/>
    </row>
    <row r="112" spans="43:46">
      <c r="AQ112" s="88" t="e">
        <f t="shared" si="1"/>
        <v>#REF!</v>
      </c>
      <c r="AR112" s="91"/>
      <c r="AS112" s="93"/>
      <c r="AT112" s="91"/>
    </row>
    <row r="113" spans="43:46">
      <c r="AQ113" s="88" t="e">
        <f t="shared" si="1"/>
        <v>#REF!</v>
      </c>
      <c r="AR113" s="91"/>
      <c r="AS113" s="93"/>
      <c r="AT113" s="91"/>
    </row>
  </sheetData>
  <mergeCells count="132">
    <mergeCell ref="V2:X4"/>
    <mergeCell ref="B2:U4"/>
    <mergeCell ref="Y2:AB4"/>
    <mergeCell ref="O58:Q58"/>
    <mergeCell ref="O59:Q59"/>
    <mergeCell ref="R58:T58"/>
    <mergeCell ref="R59:T59"/>
    <mergeCell ref="R61:T61"/>
    <mergeCell ref="L62:N62"/>
    <mergeCell ref="O62:Q62"/>
    <mergeCell ref="R62:T62"/>
    <mergeCell ref="L63:N63"/>
    <mergeCell ref="O63:Q63"/>
    <mergeCell ref="R63:T63"/>
    <mergeCell ref="U60:W60"/>
    <mergeCell ref="U61:W61"/>
    <mergeCell ref="U62:W62"/>
    <mergeCell ref="U63:W63"/>
    <mergeCell ref="C53:AA54"/>
    <mergeCell ref="C66:AA74"/>
    <mergeCell ref="G56:H56"/>
    <mergeCell ref="C60:E60"/>
    <mergeCell ref="C61:E61"/>
    <mergeCell ref="C62:E62"/>
    <mergeCell ref="C63:E63"/>
    <mergeCell ref="C58:E59"/>
    <mergeCell ref="I58:K58"/>
    <mergeCell ref="I59:K59"/>
    <mergeCell ref="I63:K63"/>
    <mergeCell ref="F60:H60"/>
    <mergeCell ref="F61:H61"/>
    <mergeCell ref="F62:H62"/>
    <mergeCell ref="F63:H63"/>
    <mergeCell ref="F58:H59"/>
    <mergeCell ref="I60:K60"/>
    <mergeCell ref="I61:K61"/>
    <mergeCell ref="I62:K62"/>
    <mergeCell ref="L60:N60"/>
    <mergeCell ref="O60:Q60"/>
    <mergeCell ref="R60:T60"/>
    <mergeCell ref="L61:N61"/>
    <mergeCell ref="O61:Q61"/>
    <mergeCell ref="D27:D36"/>
    <mergeCell ref="AA27:AA36"/>
    <mergeCell ref="E37:H37"/>
    <mergeCell ref="I37:N37"/>
    <mergeCell ref="O37:T37"/>
    <mergeCell ref="U37:Z37"/>
    <mergeCell ref="E27:H31"/>
    <mergeCell ref="I27:N31"/>
    <mergeCell ref="O27:T31"/>
    <mergeCell ref="U27:Z31"/>
    <mergeCell ref="E32:H36"/>
    <mergeCell ref="I32:N36"/>
    <mergeCell ref="O32:T36"/>
    <mergeCell ref="U32:Z36"/>
    <mergeCell ref="U58:W59"/>
    <mergeCell ref="L58:N58"/>
    <mergeCell ref="L59:N59"/>
    <mergeCell ref="E26:F26"/>
    <mergeCell ref="L26:N26"/>
    <mergeCell ref="I26:K26"/>
    <mergeCell ref="R26:T26"/>
    <mergeCell ref="O26:Q26"/>
    <mergeCell ref="X26:Z26"/>
    <mergeCell ref="U26:W26"/>
    <mergeCell ref="M12:N12"/>
    <mergeCell ref="Y11:Z11"/>
    <mergeCell ref="R12:S12"/>
    <mergeCell ref="C21:F21"/>
    <mergeCell ref="G21:H21"/>
    <mergeCell ref="I21:J21"/>
    <mergeCell ref="E19:F19"/>
    <mergeCell ref="C20:F20"/>
    <mergeCell ref="G20:H20"/>
    <mergeCell ref="I20:J20"/>
    <mergeCell ref="K20:L20"/>
    <mergeCell ref="C19:D19"/>
    <mergeCell ref="P16:AA16"/>
    <mergeCell ref="P17:AA17"/>
    <mergeCell ref="P19:S19"/>
    <mergeCell ref="T19:U19"/>
    <mergeCell ref="V19:W19"/>
    <mergeCell ref="M20:N20"/>
    <mergeCell ref="K21:L21"/>
    <mergeCell ref="M21:N21"/>
    <mergeCell ref="M19:N19"/>
    <mergeCell ref="C16:N16"/>
    <mergeCell ref="C17:L17"/>
    <mergeCell ref="M17:N17"/>
    <mergeCell ref="M18:N18"/>
    <mergeCell ref="X18:Y18"/>
    <mergeCell ref="X19:Y19"/>
    <mergeCell ref="AE14:AJ14"/>
    <mergeCell ref="AE34:AE36"/>
    <mergeCell ref="AE32:AJ32"/>
    <mergeCell ref="AF26:AJ26"/>
    <mergeCell ref="Z14:AA14"/>
    <mergeCell ref="AE16:AE19"/>
    <mergeCell ref="P21:AA21"/>
    <mergeCell ref="P18:S18"/>
    <mergeCell ref="T18:U18"/>
    <mergeCell ref="V18:W18"/>
    <mergeCell ref="Z18:AA18"/>
    <mergeCell ref="Z19:AA19"/>
    <mergeCell ref="C23:AA23"/>
    <mergeCell ref="E25:G25"/>
    <mergeCell ref="H25:M25"/>
    <mergeCell ref="N25:S25"/>
    <mergeCell ref="T25:Y25"/>
    <mergeCell ref="AD6:AD9"/>
    <mergeCell ref="K13:L13"/>
    <mergeCell ref="K12:L12"/>
    <mergeCell ref="K14:L14"/>
    <mergeCell ref="X14:Y14"/>
    <mergeCell ref="Z13:AA13"/>
    <mergeCell ref="C11:F11"/>
    <mergeCell ref="G11:N11"/>
    <mergeCell ref="C9:N9"/>
    <mergeCell ref="C10:F10"/>
    <mergeCell ref="W12:X12"/>
    <mergeCell ref="Y12:Z12"/>
    <mergeCell ref="U12:V12"/>
    <mergeCell ref="M14:N14"/>
    <mergeCell ref="P9:AA9"/>
    <mergeCell ref="P10:Q10"/>
    <mergeCell ref="R10:S10"/>
    <mergeCell ref="Z10:AA10"/>
    <mergeCell ref="R11:S11"/>
    <mergeCell ref="U11:V11"/>
    <mergeCell ref="W11:X11"/>
    <mergeCell ref="M13:N13"/>
  </mergeCells>
  <conditionalFormatting sqref="M18:N18">
    <cfRule type="expression" dxfId="11" priority="18">
      <formula>#REF!=2</formula>
    </cfRule>
  </conditionalFormatting>
  <conditionalFormatting sqref="E25:M25">
    <cfRule type="expression" dxfId="10" priority="20">
      <formula>$AH$10=TRUE</formula>
    </cfRule>
  </conditionalFormatting>
  <conditionalFormatting sqref="S37:T37">
    <cfRule type="expression" dxfId="9" priority="5">
      <formula>AB22&lt;&gt;"-"</formula>
    </cfRule>
  </conditionalFormatting>
  <conditionalFormatting sqref="W37:Y37">
    <cfRule type="expression" dxfId="8" priority="2">
      <formula>AB22&lt;&gt;"-"</formula>
    </cfRule>
  </conditionalFormatting>
  <conditionalFormatting sqref="E25:S25">
    <cfRule type="expression" dxfId="7" priority="31">
      <formula>$AH$15=TRUE</formula>
    </cfRule>
  </conditionalFormatting>
  <conditionalFormatting sqref="E25:S25">
    <cfRule type="expression" dxfId="6" priority="32">
      <formula>$AH$16=TRUE</formula>
    </cfRule>
  </conditionalFormatting>
  <conditionalFormatting sqref="AA28:AA33">
    <cfRule type="expression" dxfId="5" priority="55">
      <formula>AN34&lt;&gt;"-"</formula>
    </cfRule>
  </conditionalFormatting>
  <conditionalFormatting sqref="O37:R37">
    <cfRule type="expression" dxfId="4" priority="75">
      <formula>X19&lt;&gt;"-"</formula>
    </cfRule>
  </conditionalFormatting>
  <conditionalFormatting sqref="U37:V37">
    <cfRule type="expression" dxfId="3" priority="76">
      <formula>Z19&lt;&gt;"-"</formula>
    </cfRule>
  </conditionalFormatting>
  <conditionalFormatting sqref="AA27">
    <cfRule type="expression" dxfId="2" priority="77">
      <formula>Z19&lt;&gt;"-"</formula>
    </cfRule>
  </conditionalFormatting>
  <conditionalFormatting sqref="Z37">
    <cfRule type="expression" dxfId="1" priority="83">
      <formula>AE33&lt;&gt;"-"</formula>
    </cfRule>
  </conditionalFormatting>
  <conditionalFormatting sqref="AA34:AA36">
    <cfRule type="expression" dxfId="0" priority="85">
      <formula>AN51&lt;&gt;"-"</formula>
    </cfRule>
  </conditionalFormatting>
  <dataValidations count="7">
    <dataValidation type="list" allowBlank="1" showInputMessage="1" showErrorMessage="1" sqref="N10" xr:uid="{3FDCEE35-5739-47C3-94AF-6262760679F6}">
      <formula1>"Vertical walls"</formula1>
    </dataValidation>
    <dataValidation type="list" allowBlank="1" showInputMessage="1" showErrorMessage="1" sqref="G11:N11" xr:uid="{AB15FC77-B33B-4A9E-82DE-5A00518E380D}">
      <formula1>"Reinforced concrete building,Steel building"</formula1>
    </dataValidation>
    <dataValidation type="list" allowBlank="1" showInputMessage="1" showErrorMessage="1" sqref="M17:N17" xr:uid="{4988CA1A-9A01-40D2-9576-0ECD0EF3E4D0}">
      <formula1>"Yes,No"</formula1>
    </dataValidation>
    <dataValidation type="list" allowBlank="1" showInputMessage="1" showErrorMessage="1" sqref="R10:S10" xr:uid="{A400D761-1F1E-4ECC-989C-A41D27A2E953}">
      <formula1>"I,II,III,IV,V"</formula1>
    </dataValidation>
    <dataValidation type="list" allowBlank="1" showInputMessage="1" showErrorMessage="1" sqref="Z10:AA10" xr:uid="{A4211C44-9410-419A-A1B4-BD663D1C3C9E}">
      <formula1>"A,B,C"</formula1>
    </dataValidation>
    <dataValidation type="decimal" allowBlank="1" showInputMessage="1" showErrorMessage="1" prompt="From 0.8 to 1.0" sqref="M19:N19" xr:uid="{7A4299D4-D9E6-46E7-BBEA-3AFC3568FC79}">
      <formula1>0.8</formula1>
      <formula2>1</formula2>
    </dataValidation>
    <dataValidation type="list" allowBlank="1" showInputMessage="1" showErrorMessage="1" sqref="AD6:AD9" xr:uid="{3FAD64D2-3DAA-4397-BCD4-5EB733FE6341}">
      <formula1>$AR$1:$AT$1</formula1>
    </dataValidation>
  </dataValidations>
  <pageMargins left="0.7" right="0.7" top="0.75" bottom="0.75" header="0.3" footer="0.3"/>
  <ignoredErrors>
    <ignoredError sqref="G10" unlockedFormula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1338A-9A29-4712-8A9A-EDD13F840F89}">
  <dimension ref="A1"/>
  <sheetViews>
    <sheetView tabSelected="1" workbookViewId="0">
      <selection activeCell="R38" sqref="R38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MWFRS (Low-Rise)</vt:lpstr>
      <vt:lpstr>Sheet1</vt:lpstr>
      <vt:lpstr>LT</vt:lpstr>
      <vt:lpstr>'MWFRS (Low-Rise)'!Print_Area</vt:lpstr>
      <vt:lpstr>'MWFRS (Low-Rise)'!Print_Titles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2015-12-11T09:20:04Z</cp:lastPrinted>
  <dcterms:created xsi:type="dcterms:W3CDTF">2000-02-14T22:01:47Z</dcterms:created>
  <dcterms:modified xsi:type="dcterms:W3CDTF">2025-10-13T06:31:48Z</dcterms:modified>
  <cp:category>Structural Enginnering Analysis/Design</cp:category>
</cp:coreProperties>
</file>